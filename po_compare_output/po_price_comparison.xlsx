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9a31c603524e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价格对比" sheetId="1" r:id="R77d82e71c2d44e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.0%;[Red]-0.0%"/>
    <x:numFmt numFmtId="202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left style="medium">
        <x:color rgb="FF1F4E78"/>
      </x:left>
      <x:top style="medium">
        <x:color rgb="FF1F4E78"/>
      </x:top>
      <x:bottom style="medium">
        <x:color rgb="FF1F4E78"/>
      </x:bottom>
    </x:border>
    <x:border>
      <x:top style="medium">
        <x:color rgb="FF1F4E78"/>
      </x:top>
      <x:bottom style="medium">
        <x:color rgb="FF1F4E78"/>
      </x:bottom>
    </x:border>
    <x:border>
      <x:right style="medium">
        <x:color rgb="FF1F4E78"/>
      </x:right>
      <x:top style="medium">
        <x:color rgb="FF1F4E78"/>
      </x:top>
      <x:bottom style="medium">
        <x:color rgb="FF1F4E78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horizontal="right" vertical="center"/>
    </x:xf>
    <x:xf numFmtId="0" fontId="0" fillId="0" borderId="5" xfId="0" applyNumberFormat="1" applyFont="1" applyFill="1" applyBorder="1" applyAlignment="1">
      <x:alignment horizontal="right" vertical="center"/>
    </x:xf>
    <x:xf numFmtId="0" fontId="0" fillId="0" borderId="6" xfId="0" applyNumberFormat="1" applyFont="1" applyFill="1" applyBorder="1" applyAlignment="1">
      <x:alignment horizontal="right" vertical="center"/>
    </x:xf>
    <x:xf numFmtId="200" fontId="0" fillId="0" borderId="4" xfId="0" applyNumberFormat="1" applyFont="1" applyFill="1" applyBorder="1" applyAlignment="1">
      <x:alignment horizontal="right" vertical="center"/>
    </x:xf>
    <x:xf numFmtId="200" fontId="0" fillId="0" borderId="5" xfId="0" applyNumberFormat="1" applyFont="1" applyFill="1" applyBorder="1" applyAlignment="1">
      <x:alignment horizontal="right" vertical="center"/>
    </x:xf>
    <x:xf numFmtId="200" fontId="0" fillId="0" borderId="6" xfId="0" applyNumberFormat="1" applyFont="1" applyFill="1" applyBorder="1" applyAlignment="1">
      <x:alignment horizontal="right" vertical="center"/>
    </x:xf>
    <x:xf numFmtId="201" fontId="0" fillId="0" borderId="4" xfId="0" applyNumberFormat="1" applyFont="1" applyFill="1" applyBorder="1" applyAlignment="1">
      <x:alignment horizontal="right" vertical="center"/>
    </x:xf>
    <x:xf numFmtId="201" fontId="0" fillId="0" borderId="5" xfId="0" applyNumberFormat="1" applyFont="1" applyFill="1" applyBorder="1" applyAlignment="1">
      <x:alignment horizontal="right" vertical="center"/>
    </x:xf>
    <x:xf numFmtId="201" fontId="0" fillId="0" borderId="6" xfId="0" applyNumberFormat="1" applyFont="1" applyFill="1" applyBorder="1" applyAlignment="1">
      <x:alignment horizontal="right" vertical="center"/>
    </x:xf>
    <x:xf numFmtId="200" fontId="0" fillId="0" borderId="4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2" fontId="0" fillId="0" borderId="4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2" fontId="0" fillId="0" borderId="6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9B1C1C"/>
      </x:font>
      <x:fill>
        <x:patternFill patternType="solid">
          <x:bgColor rgb="FFFDECEC"/>
        </x:patternFill>
      </x:fill>
    </x:dxf>
    <x:dxf>
      <x:font>
        <x:color rgb="FF92400E"/>
      </x:font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3fbdf3b7c743af" /><Relationship Type="http://schemas.openxmlformats.org/officeDocument/2006/relationships/theme" Target="/xl/theme/theme1.xml" Id="R8ccc236a21b54b28" /><Relationship Type="http://schemas.openxmlformats.org/officeDocument/2006/relationships/sharedStrings" Target="/xl/sharedStrings.xml" Id="R9f44c4447c52488b" /><Relationship Type="http://schemas.openxmlformats.org/officeDocument/2006/relationships/worksheet" Target="/xl/worksheets/sheet1.xml" Id="R77d82e71c2d44edb" /></Relationships>
</file>

<file path=xl/tables/table1.xml><?xml version="1.0" encoding="utf-8"?>
<x:table xmlns:x="http://schemas.openxmlformats.org/spreadsheetml/2006/main" id="1" name="POPriceComparison" displayName="POPriceComparison" ref="A1:Q6036" headerRowCount="1" totalsRowCount="0" totalsRowShown="0">
  <x:autoFilter ref="A1:Q6036"/>
  <x:tableColumns count="17">
    <x:tableColumn id="1" name="Ticket"/>
    <x:tableColumn id="2" name="PO价格"/>
    <x:tableColumn id="3" name="AmountIncludingTax价格"/>
    <x:tableColumn id="4" name="差异百分比"/>
    <x:tableColumn id="5" name="价格对比"/>
    <x:tableColumn id="6" name="StatusGroup"/>
    <x:tableColumn id="7" name="StatusText"/>
    <x:tableColumn id="8" name="ClaimScope"/>
    <x:tableColumn id="9" name="ApproveDate"/>
    <x:tableColumn id="10" name="PODate"/>
    <x:tableColumn id="11" name="DealerName"/>
    <x:tableColumn id="12" name="TicketType"/>
    <x:tableColumn id="13" name="TicketTypeText"/>
    <x:tableColumn id="14" name="CreatedDate"/>
    <x:tableColumn id="15" name="ResolvedDate"/>
    <x:tableColumn id="16" name="AmountValue"/>
    <x:tableColumn id="17" name="ClaimApproved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f74c3e25d746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21" hidden="0" customWidth="1"/>
    <x:col min="4" max="4" width="13" hidden="0" customWidth="1"/>
    <x:col min="5" max="5" width="20" hidden="0" customWidth="1"/>
    <x:col min="6" max="6" width="15" hidden="0" customWidth="1"/>
    <x:col min="7" max="7" width="24" hidden="0" customWidth="1"/>
    <x:col min="8" max="8" width="15" hidden="0" customWidth="1"/>
    <x:col min="9" max="9" width="14" hidden="0" customWidth="1"/>
    <x:col min="10" max="10" width="14" hidden="0" customWidth="1"/>
    <x:col min="11" max="11" width="30" hidden="0" customWidth="1"/>
    <x:col min="12" max="12" width="12" hidden="0" customWidth="1"/>
    <x:col min="13" max="13" width="30" hidden="0" customWidth="1"/>
    <x:col min="14" max="14" width="14" hidden="0" customWidth="1"/>
    <x:col min="15" max="15" width="14" hidden="0" customWidth="1"/>
    <x:col min="16" max="16" width="14" hidden="0" customWidth="1"/>
    <x:col min="17" max="17" width="17" hidden="0" customWidth="1"/>
  </x:cols>
  <x:sheetData>
    <x:row r="1" ht="30" customHeight="1">
      <x:c r="A1" s="12" t="str">
        <x:v>Ticket</x:v>
      </x:c>
      <x:c r="B1" s="13" t="str">
        <x:v>PO价格</x:v>
      </x:c>
      <x:c r="C1" s="13" t="str">
        <x:v>AmountIncludingTax价格</x:v>
      </x:c>
      <x:c r="D1" s="13" t="str">
        <x:v>差异百分比</x:v>
      </x:c>
      <x:c r="E1" s="13" t="str">
        <x:v>价格对比</x:v>
      </x:c>
      <x:c r="F1" s="13" t="str">
        <x:v>StatusGroup</x:v>
      </x:c>
      <x:c r="G1" s="13" t="str">
        <x:v>StatusText</x:v>
      </x:c>
      <x:c r="H1" s="13" t="str">
        <x:v>ClaimScope</x:v>
      </x:c>
      <x:c r="I1" s="13" t="str">
        <x:v>ApproveDate</x:v>
      </x:c>
      <x:c r="J1" s="13" t="str">
        <x:v>PODate</x:v>
      </x:c>
      <x:c r="K1" s="13" t="str">
        <x:v>DealerName</x:v>
      </x:c>
      <x:c r="L1" s="13" t="str">
        <x:v>TicketType</x:v>
      </x:c>
      <x:c r="M1" s="13" t="str">
        <x:v>TicketTypeText</x:v>
      </x:c>
      <x:c r="N1" s="13" t="str">
        <x:v>CreatedDate</x:v>
      </x:c>
      <x:c r="O1" s="13" t="str">
        <x:v>ResolvedDate</x:v>
      </x:c>
      <x:c r="P1" s="13" t="str">
        <x:v>AmountValue</x:v>
      </x:c>
      <x:c r="Q1" s="14" t="str">
        <x:v>ClaimApprovedOn</x:v>
      </x:c>
    </x:row>
    <x:row r="2">
      <x:c r="A2" s="21" t="n">
        <x:v>37591</x:v>
      </x:c>
      <x:c r="B2" s="27" t="n">
        <x:v>33.75</x:v>
      </x:c>
      <x:c r="C2" s="27"/>
      <x:c r="D2" s="30" t="str">
        <x:f>IF(OR(ISBLANK(B2),ISBLANK(C2),B2=0),"",(C2-B2)/B2)</x:f>
      </x:c>
      <x:c r="E2" s="21" t="str">
        <x:f>IF(ISBLANK(C2),"AmountIncludingTax缺失",IF(ABS(B2-C2)&lt;0.005,"一致","不一致"))</x:f>
        <x:v>AmountIncludingTax缺失</x:v>
      </x:c>
      <x:c r="F2" s="18"/>
      <x:c r="G2" s="18"/>
      <x:c r="H2" s="18"/>
      <x:c r="I2" s="36"/>
      <x:c r="J2" s="36" t="n">
        <x:v>46213</x:v>
      </x:c>
      <x:c r="K2" s="18"/>
      <x:c r="L2" s="18"/>
      <x:c r="M2" s="18"/>
      <x:c r="N2" s="36"/>
      <x:c r="O2" s="36"/>
      <x:c r="P2" s="33"/>
      <x:c r="Q2" s="36"/>
    </x:row>
    <x:row r="3">
      <x:c r="A3" s="22" t="n">
        <x:v>37581</x:v>
      </x:c>
      <x:c r="B3" s="28" t="n">
        <x:v>285</x:v>
      </x:c>
      <x:c r="C3" s="28"/>
      <x:c r="D3" s="31" t="str">
        <x:f>IF(OR(ISBLANK(B3),ISBLANK(C3),B3=0),"",(C3-B3)/B3)</x:f>
      </x:c>
      <x:c r="E3" s="22" t="str">
        <x:f>IF(ISBLANK(C3),"AmountIncludingTax缺失",IF(ABS(B3-C3)&lt;0.005,"一致","不一致"))</x:f>
        <x:v>AmountIncludingTax缺失</x:v>
      </x:c>
      <x:c r="F3" s="19"/>
      <x:c r="G3" s="19"/>
      <x:c r="H3" s="19"/>
      <x:c r="I3" s="37"/>
      <x:c r="J3" s="37" t="n">
        <x:v>46212</x:v>
      </x:c>
      <x:c r="K3" s="19"/>
      <x:c r="L3" s="19"/>
      <x:c r="M3" s="19"/>
      <x:c r="N3" s="37"/>
      <x:c r="O3" s="37"/>
      <x:c r="P3" s="34"/>
      <x:c r="Q3" s="37"/>
    </x:row>
    <x:row r="4">
      <x:c r="A4" s="22" t="n">
        <x:v>37579</x:v>
      </x:c>
      <x:c r="B4" s="28" t="n">
        <x:v>377.11</x:v>
      </x:c>
      <x:c r="C4" s="28"/>
      <x:c r="D4" s="31" t="str">
        <x:f>IF(OR(ISBLANK(B4),ISBLANK(C4),B4=0),"",(C4-B4)/B4)</x:f>
      </x:c>
      <x:c r="E4" s="22" t="str">
        <x:f>IF(ISBLANK(C4),"AmountIncludingTax缺失",IF(ABS(B4-C4)&lt;0.005,"一致","不一致"))</x:f>
        <x:v>AmountIncludingTax缺失</x:v>
      </x:c>
      <x:c r="F4" s="19"/>
      <x:c r="G4" s="19"/>
      <x:c r="H4" s="19"/>
      <x:c r="I4" s="37"/>
      <x:c r="J4" s="37" t="n">
        <x:v>46213</x:v>
      </x:c>
      <x:c r="K4" s="19"/>
      <x:c r="L4" s="19"/>
      <x:c r="M4" s="19"/>
      <x:c r="N4" s="37"/>
      <x:c r="O4" s="37"/>
      <x:c r="P4" s="34"/>
      <x:c r="Q4" s="37"/>
    </x:row>
    <x:row r="5">
      <x:c r="A5" s="22" t="n">
        <x:v>37573</x:v>
      </x:c>
      <x:c r="B5" s="28" t="n">
        <x:v>435</x:v>
      </x:c>
      <x:c r="C5" s="28" t="n">
        <x:v>478.5</x:v>
      </x:c>
      <x:c r="D5" s="31" t="n">
        <x:f>IF(OR(ISBLANK(B5),ISBLANK(C5),B5=0),"",(C5-B5)/B5)</x:f>
        <x:v>0.1</x:v>
      </x:c>
      <x:c r="E5" s="22" t="str">
        <x:f>IF(ISBLANK(C5),"AmountIncludingTax缺失",IF(ABS(B5-C5)&lt;0.005,"一致","不一致"))</x:f>
        <x:v>不一致</x:v>
      </x:c>
      <x:c r="F5" s="19"/>
      <x:c r="G5" s="19" t="str">
        <x:v>Claim Assessment</x:v>
      </x:c>
      <x:c r="H5" s="19" t="str">
        <x:v>In Field</x:v>
      </x:c>
      <x:c r="I5" s="37"/>
      <x:c r="J5" s="37" t="n">
        <x:v>46212</x:v>
      </x:c>
      <x:c r="K5" s="19" t="str">
        <x:v>Green RV - Slacks Creek</x:v>
      </x:c>
      <x:c r="L5" s="19" t="str">
        <x:v>Z006</x:v>
      </x:c>
      <x:c r="M5" s="19" t="str">
        <x:v>In Field Warranty Claims</x:v>
      </x:c>
      <x:c r="N5" s="37" t="n">
        <x:v>46212</x:v>
      </x:c>
      <x:c r="O5" s="37"/>
      <x:c r="P5" s="34" t="n">
        <x:v>478.5</x:v>
      </x:c>
      <x:c r="Q5" s="37"/>
    </x:row>
    <x:row r="6">
      <x:c r="A6" s="22" t="n">
        <x:v>37572</x:v>
      </x:c>
      <x:c r="B6" s="28" t="n">
        <x:v>38.75</x:v>
      </x:c>
      <x:c r="C6" s="28"/>
      <x:c r="D6" s="31" t="str">
        <x:f>IF(OR(ISBLANK(B6),ISBLANK(C6),B6=0),"",(C6-B6)/B6)</x:f>
      </x:c>
      <x:c r="E6" s="22" t="str">
        <x:f>IF(ISBLANK(C6),"AmountIncludingTax缺失",IF(ABS(B6-C6)&lt;0.005,"一致","不一致"))</x:f>
        <x:v>AmountIncludingTax缺失</x:v>
      </x:c>
      <x:c r="F6" s="19" t="str">
        <x:v>approved</x:v>
      </x:c>
      <x:c r="G6" s="19" t="str">
        <x:v>Sales Order Approved</x:v>
      </x:c>
      <x:c r="H6" s="19" t="str">
        <x:v>Pre Delivery</x:v>
      </x:c>
      <x:c r="I6" s="37" t="n">
        <x:v>46212</x:v>
      </x:c>
      <x:c r="J6" s="37" t="n">
        <x:v>46212</x:v>
      </x:c>
      <x:c r="K6" s="19" t="str">
        <x:v>Regent RV - Perth</x:v>
      </x:c>
      <x:c r="L6" s="19" t="str">
        <x:v>Z005</x:v>
      </x:c>
      <x:c r="M6" s="19" t="str">
        <x:v>Pre Delivery Warranty Claims</x:v>
      </x:c>
      <x:c r="N6" s="37" t="n">
        <x:v>46211</x:v>
      </x:c>
      <x:c r="O6" s="37"/>
      <x:c r="P6" s="34" t="n">
        <x:v>0</x:v>
      </x:c>
      <x:c r="Q6" s="37" t="n">
        <x:v>46212.033159722225</x:v>
      </x:c>
    </x:row>
    <x:row r="7">
      <x:c r="A7" s="22" t="n">
        <x:v>37571</x:v>
      </x:c>
      <x:c r="B7" s="28" t="n">
        <x:v>67.5</x:v>
      </x:c>
      <x:c r="C7" s="28"/>
      <x:c r="D7" s="31" t="str">
        <x:f>IF(OR(ISBLANK(B7),ISBLANK(C7),B7=0),"",(C7-B7)/B7)</x:f>
      </x:c>
      <x:c r="E7" s="22" t="str">
        <x:f>IF(ISBLANK(C7),"AmountIncludingTax缺失",IF(ABS(B7-C7)&lt;0.005,"一致","不一致"))</x:f>
        <x:v>AmountIncludingTax缺失</x:v>
      </x:c>
      <x:c r="F7" s="19" t="str">
        <x:v>approved</x:v>
      </x:c>
      <x:c r="G7" s="19" t="str">
        <x:v>Sales Order Approved</x:v>
      </x:c>
      <x:c r="H7" s="19" t="str">
        <x:v>Pre Delivery</x:v>
      </x:c>
      <x:c r="I7" s="37" t="n">
        <x:v>46212</x:v>
      </x:c>
      <x:c r="J7" s="37" t="n">
        <x:v>46212</x:v>
      </x:c>
      <x:c r="K7" s="19" t="str">
        <x:v>Lesiure Lion-New Castle</x:v>
      </x:c>
      <x:c r="L7" s="19" t="str">
        <x:v>Z005</x:v>
      </x:c>
      <x:c r="M7" s="19" t="str">
        <x:v>Pre Delivery Warranty Claims</x:v>
      </x:c>
      <x:c r="N7" s="37" t="n">
        <x:v>46211</x:v>
      </x:c>
      <x:c r="O7" s="37"/>
      <x:c r="P7" s="34" t="n">
        <x:v>0</x:v>
      </x:c>
      <x:c r="Q7" s="37" t="n">
        <x:v>46212.03628472222</x:v>
      </x:c>
    </x:row>
    <x:row r="8">
      <x:c r="A8" s="22" t="n">
        <x:v>37553</x:v>
      </x:c>
      <x:c r="B8" s="28" t="n">
        <x:v>72.5</x:v>
      </x:c>
      <x:c r="C8" s="28" t="n">
        <x:v>0</x:v>
      </x:c>
      <x:c r="D8" s="31" t="n">
        <x:f>IF(OR(ISBLANK(B8),ISBLANK(C8),B8=0),"",(C8-B8)/B8)</x:f>
        <x:v>-1</x:v>
      </x:c>
      <x:c r="E8" s="22" t="str">
        <x:f>IF(ISBLANK(C8),"AmountIncludingTax缺失",IF(ABS(B8-C8)&lt;0.005,"一致","不一致"))</x:f>
        <x:v>不一致</x:v>
      </x:c>
      <x:c r="F8" s="19"/>
      <x:c r="G8" s="19" t="str">
        <x:v>Claim Assessment</x:v>
      </x:c>
      <x:c r="H8" s="19" t="str">
        <x:v>In Field</x:v>
      </x:c>
      <x:c r="I8" s="37"/>
      <x:c r="J8" s="37" t="n">
        <x:v>46213</x:v>
      </x:c>
      <x:c r="K8" s="19" t="str">
        <x:v>Lesiure Lion-New Castle</x:v>
      </x:c>
      <x:c r="L8" s="19" t="str">
        <x:v>Z006</x:v>
      </x:c>
      <x:c r="M8" s="19" t="str">
        <x:v>In Field Warranty Claims</x:v>
      </x:c>
      <x:c r="N8" s="37" t="n">
        <x:v>46211</x:v>
      </x:c>
      <x:c r="O8" s="37"/>
      <x:c r="P8" s="34" t="n">
        <x:v>0</x:v>
      </x:c>
      <x:c r="Q8" s="37"/>
    </x:row>
    <x:row r="9">
      <x:c r="A9" s="22" t="n">
        <x:v>37538</x:v>
      </x:c>
      <x:c r="B9" s="28" t="n">
        <x:v>122.05</x:v>
      </x:c>
      <x:c r="C9" s="28" t="n">
        <x:v>134.26</x:v>
      </x:c>
      <x:c r="D9" s="31" t="n">
        <x:f>IF(OR(ISBLANK(B9),ISBLANK(C9),B9=0),"",(C9-B9)/B9)</x:f>
        <x:v>0.10004096681687828</x:v>
      </x:c>
      <x:c r="E9" s="22" t="str">
        <x:f>IF(ISBLANK(C9),"AmountIncludingTax缺失",IF(ABS(B9-C9)&lt;0.005,"一致","不一致"))</x:f>
        <x:v>不一致</x:v>
      </x:c>
      <x:c r="F9" s="19"/>
      <x:c r="G9" s="19" t="str">
        <x:v>Claim Assessment</x:v>
      </x:c>
      <x:c r="H9" s="19" t="str">
        <x:v>In Field</x:v>
      </x:c>
      <x:c r="I9" s="37"/>
      <x:c r="J9" s="37" t="n">
        <x:v>46212</x:v>
      </x:c>
      <x:c r="K9" s="19" t="str">
        <x:v>Destiny RV - South Australia</x:v>
      </x:c>
      <x:c r="L9" s="19" t="str">
        <x:v>Z006</x:v>
      </x:c>
      <x:c r="M9" s="19" t="str">
        <x:v>In Field Warranty Claims</x:v>
      </x:c>
      <x:c r="N9" s="37" t="n">
        <x:v>46211</x:v>
      </x:c>
      <x:c r="O9" s="37"/>
      <x:c r="P9" s="34" t="n">
        <x:v>134.26</x:v>
      </x:c>
      <x:c r="Q9" s="37"/>
    </x:row>
    <x:row r="10">
      <x:c r="A10" s="22" t="n">
        <x:v>37537</x:v>
      </x:c>
      <x:c r="B10" s="28" t="n">
        <x:v>212.5</x:v>
      </x:c>
      <x:c r="C10" s="28"/>
      <x:c r="D10" s="31" t="str">
        <x:f>IF(OR(ISBLANK(B10),ISBLANK(C10),B10=0),"",(C10-B10)/B10)</x:f>
      </x:c>
      <x:c r="E10" s="22" t="str">
        <x:f>IF(ISBLANK(C10),"AmountIncludingTax缺失",IF(ABS(B10-C10)&lt;0.005,"一致","不一致"))</x:f>
        <x:v>AmountIncludingTax缺失</x:v>
      </x:c>
      <x:c r="F10" s="19" t="str">
        <x:v>approved</x:v>
      </x:c>
      <x:c r="G10" s="19" t="str">
        <x:v>Sales Order Approved</x:v>
      </x:c>
      <x:c r="H10" s="19" t="str">
        <x:v>In Field</x:v>
      </x:c>
      <x:c r="I10" s="37" t="n">
        <x:v>46212</x:v>
      </x:c>
      <x:c r="J10" s="37" t="n">
        <x:v>46212</x:v>
      </x:c>
      <x:c r="K10" s="19" t="str">
        <x:v>Green RV - Slacks Creek</x:v>
      </x:c>
      <x:c r="L10" s="19" t="str">
        <x:v>Z006</x:v>
      </x:c>
      <x:c r="M10" s="19" t="str">
        <x:v>In Field Warranty Claims</x:v>
      </x:c>
      <x:c r="N10" s="37" t="n">
        <x:v>46211</x:v>
      </x:c>
      <x:c r="O10" s="37"/>
      <x:c r="P10" s="34" t="n">
        <x:v>0</x:v>
      </x:c>
      <x:c r="Q10" s="37" t="n">
        <x:v>46211.867893518516</x:v>
      </x:c>
    </x:row>
    <x:row r="11">
      <x:c r="A11" s="22" t="n">
        <x:v>37534</x:v>
      </x:c>
      <x:c r="B11" s="28" t="n">
        <x:v>222.5</x:v>
      </x:c>
      <x:c r="C11" s="28"/>
      <x:c r="D11" s="31" t="str">
        <x:f>IF(OR(ISBLANK(B11),ISBLANK(C11),B11=0),"",(C11-B11)/B11)</x:f>
      </x:c>
      <x:c r="E11" s="22" t="str">
        <x:f>IF(ISBLANK(C11),"AmountIncludingTax缺失",IF(ABS(B11-C11)&lt;0.005,"一致","不一致"))</x:f>
        <x:v>AmountIncludingTax缺失</x:v>
      </x:c>
      <x:c r="F11" s="19" t="str">
        <x:v>approved</x:v>
      </x:c>
      <x:c r="G11" s="19" t="str">
        <x:v>Sales Order Approved</x:v>
      </x:c>
      <x:c r="H11" s="19" t="str">
        <x:v>In Field</x:v>
      </x:c>
      <x:c r="I11" s="37" t="n">
        <x:v>46211</x:v>
      </x:c>
      <x:c r="J11" s="37" t="n">
        <x:v>46211</x:v>
      </x:c>
      <x:c r="K11" s="19" t="str">
        <x:v>The Caravan Hub - Townsville</x:v>
      </x:c>
      <x:c r="L11" s="19" t="str">
        <x:v>Z006</x:v>
      </x:c>
      <x:c r="M11" s="19" t="str">
        <x:v>In Field Warranty Claims</x:v>
      </x:c>
      <x:c r="N11" s="37" t="n">
        <x:v>46211</x:v>
      </x:c>
      <x:c r="O11" s="37"/>
      <x:c r="P11" s="34" t="n">
        <x:v>0</x:v>
      </x:c>
      <x:c r="Q11" s="37" t="n">
        <x:v>46211.20636574074</x:v>
      </x:c>
    </x:row>
    <x:row r="12">
      <x:c r="A12" s="22" t="n">
        <x:v>37533</x:v>
      </x:c>
      <x:c r="B12" s="28" t="n">
        <x:v>1451.25</x:v>
      </x:c>
      <x:c r="C12" s="28" t="n">
        <x:v>0</x:v>
      </x:c>
      <x:c r="D12" s="31" t="n">
        <x:f>IF(OR(ISBLANK(B12),ISBLANK(C12),B12=0),"",(C12-B12)/B12)</x:f>
        <x:v>-1</x:v>
      </x:c>
      <x:c r="E12" s="22" t="str">
        <x:f>IF(ISBLANK(C12),"AmountIncludingTax缺失",IF(ABS(B12-C12)&lt;0.005,"一致","不一致"))</x:f>
        <x:v>不一致</x:v>
      </x:c>
      <x:c r="F12" s="19"/>
      <x:c r="G12" s="19" t="str">
        <x:v>Claim Assessment</x:v>
      </x:c>
      <x:c r="H12" s="19" t="str">
        <x:v>In Field</x:v>
      </x:c>
      <x:c r="I12" s="37"/>
      <x:c r="J12" s="37" t="n">
        <x:v>46212</x:v>
      </x:c>
      <x:c r="K12" s="19" t="str">
        <x:v>Regent RV - Perth</x:v>
      </x:c>
      <x:c r="L12" s="19" t="str">
        <x:v>Z006</x:v>
      </x:c>
      <x:c r="M12" s="19" t="str">
        <x:v>In Field Warranty Claims</x:v>
      </x:c>
      <x:c r="N12" s="37" t="n">
        <x:v>46211</x:v>
      </x:c>
      <x:c r="O12" s="37"/>
      <x:c r="P12" s="34" t="n">
        <x:v>0</x:v>
      </x:c>
      <x:c r="Q12" s="37"/>
    </x:row>
    <x:row r="13">
      <x:c r="A13" s="22" t="n">
        <x:v>37530</x:v>
      </x:c>
      <x:c r="B13" s="28" t="n">
        <x:v>1477.5</x:v>
      </x:c>
      <x:c r="C13" s="28"/>
      <x:c r="D13" s="31" t="str">
        <x:f>IF(OR(ISBLANK(B13),ISBLANK(C13),B13=0),"",(C13-B13)/B13)</x:f>
      </x:c>
      <x:c r="E13" s="22" t="str">
        <x:f>IF(ISBLANK(C13),"AmountIncludingTax缺失",IF(ABS(B13-C13)&lt;0.005,"一致","不一致"))</x:f>
        <x:v>AmountIncludingTax缺失</x:v>
      </x:c>
      <x:c r="F13" s="19" t="str">
        <x:v>approved</x:v>
      </x:c>
      <x:c r="G13" s="19" t="str">
        <x:v>Sales Order Approved</x:v>
      </x:c>
      <x:c r="H13" s="19" t="str">
        <x:v>Pre Delivery</x:v>
      </x:c>
      <x:c r="I13" s="37" t="n">
        <x:v>46212</x:v>
      </x:c>
      <x:c r="J13" s="37" t="n">
        <x:v>46212</x:v>
      </x:c>
      <x:c r="K13" s="19" t="str">
        <x:v>Green RV - Slacks Creek</x:v>
      </x:c>
      <x:c r="L13" s="19" t="str">
        <x:v>Z005</x:v>
      </x:c>
      <x:c r="M13" s="19" t="str">
        <x:v>Pre Delivery Warranty Claims</x:v>
      </x:c>
      <x:c r="N13" s="37" t="n">
        <x:v>46211</x:v>
      </x:c>
      <x:c r="O13" s="37"/>
      <x:c r="P13" s="34" t="n">
        <x:v>0</x:v>
      </x:c>
      <x:c r="Q13" s="37" t="n">
        <x:v>46212.03780092593</x:v>
      </x:c>
    </x:row>
    <x:row r="14">
      <x:c r="A14" s="22" t="n">
        <x:v>37527</x:v>
      </x:c>
      <x:c r="B14" s="28" t="n">
        <x:v>135</x:v>
      </x:c>
      <x:c r="C14" s="28" t="n">
        <x:v>148.5</x:v>
      </x:c>
      <x:c r="D14" s="31" t="n">
        <x:f>IF(OR(ISBLANK(B14),ISBLANK(C14),B14=0),"",(C14-B14)/B14)</x:f>
        <x:v>0.1</x:v>
      </x:c>
      <x:c r="E14" s="22" t="str">
        <x:f>IF(ISBLANK(C14),"AmountIncludingTax缺失",IF(ABS(B14-C14)&lt;0.005,"一致","不一致"))</x:f>
        <x:v>不一致</x:v>
      </x:c>
      <x:c r="F14" s="19" t="str">
        <x:v>approved</x:v>
      </x:c>
      <x:c r="G14" s="19" t="str">
        <x:v>Repair in Progress</x:v>
      </x:c>
      <x:c r="H14" s="19" t="str">
        <x:v>Pre Delivery</x:v>
      </x:c>
      <x:c r="I14" s="37" t="n">
        <x:v>46212</x:v>
      </x:c>
      <x:c r="J14" s="37" t="n">
        <x:v>46212</x:v>
      </x:c>
      <x:c r="K14" s="19" t="str">
        <x:v>Regent RV - Perth</x:v>
      </x:c>
      <x:c r="L14" s="19" t="str">
        <x:v>Z005</x:v>
      </x:c>
      <x:c r="M14" s="19" t="str">
        <x:v>Pre Delivery Warranty Claims</x:v>
      </x:c>
      <x:c r="N14" s="37" t="n">
        <x:v>46211</x:v>
      </x:c>
      <x:c r="O14" s="37"/>
      <x:c r="P14" s="34" t="n">
        <x:v>148.5</x:v>
      </x:c>
      <x:c r="Q14" s="37" t="n">
        <x:v>46212.01023148148</x:v>
      </x:c>
    </x:row>
    <x:row r="15">
      <x:c r="A15" s="22" t="n">
        <x:v>37526</x:v>
      </x:c>
      <x:c r="B15" s="28" t="n">
        <x:v>33.75</x:v>
      </x:c>
      <x:c r="C15" s="28"/>
      <x:c r="D15" s="31" t="str">
        <x:f>IF(OR(ISBLANK(B15),ISBLANK(C15),B15=0),"",(C15-B15)/B15)</x:f>
      </x:c>
      <x:c r="E15" s="22" t="str">
        <x:f>IF(ISBLANK(C15),"AmountIncludingTax缺失",IF(ABS(B15-C15)&lt;0.005,"一致","不一致"))</x:f>
        <x:v>AmountIncludingTax缺失</x:v>
      </x:c>
      <x:c r="F15" s="19" t="str">
        <x:v>approved</x:v>
      </x:c>
      <x:c r="G15" s="19" t="str">
        <x:v>Sales Order Approved</x:v>
      </x:c>
      <x:c r="H15" s="19" t="str">
        <x:v>Pre Delivery</x:v>
      </x:c>
      <x:c r="I15" s="37" t="n">
        <x:v>46212</x:v>
      </x:c>
      <x:c r="J15" s="37" t="n">
        <x:v>46212</x:v>
      </x:c>
      <x:c r="K15" s="19" t="str">
        <x:v>Lesiure Lion-New Castle</x:v>
      </x:c>
      <x:c r="L15" s="19" t="str">
        <x:v>Z005</x:v>
      </x:c>
      <x:c r="M15" s="19" t="str">
        <x:v>Pre Delivery Warranty Claims</x:v>
      </x:c>
      <x:c r="N15" s="37" t="n">
        <x:v>46211</x:v>
      </x:c>
      <x:c r="O15" s="37"/>
      <x:c r="P15" s="34" t="n">
        <x:v>0</x:v>
      </x:c>
      <x:c r="Q15" s="37" t="n">
        <x:v>46212.01259259259</x:v>
      </x:c>
    </x:row>
    <x:row r="16">
      <x:c r="A16" s="22" t="n">
        <x:v>37525</x:v>
      </x:c>
      <x:c r="B16" s="28" t="n">
        <x:v>405</x:v>
      </x:c>
      <x:c r="C16" s="28"/>
      <x:c r="D16" s="31" t="str">
        <x:f>IF(OR(ISBLANK(B16),ISBLANK(C16),B16=0),"",(C16-B16)/B16)</x:f>
      </x:c>
      <x:c r="E16" s="22" t="str">
        <x:f>IF(ISBLANK(C16),"AmountIncludingTax缺失",IF(ABS(B16-C16)&lt;0.005,"一致","不一致"))</x:f>
        <x:v>AmountIncludingTax缺失</x:v>
      </x:c>
      <x:c r="F16" s="19" t="str">
        <x:v>approved</x:v>
      </x:c>
      <x:c r="G16" s="19" t="str">
        <x:v>Sales Order Approved</x:v>
      </x:c>
      <x:c r="H16" s="19" t="str">
        <x:v>In Field</x:v>
      </x:c>
      <x:c r="I16" s="37" t="n">
        <x:v>46212</x:v>
      </x:c>
      <x:c r="J16" s="37" t="n">
        <x:v>46212</x:v>
      </x:c>
      <x:c r="K16" s="19" t="str">
        <x:v>Green RV - Slacks Creek</x:v>
      </x:c>
      <x:c r="L16" s="19" t="str">
        <x:v>Z006</x:v>
      </x:c>
      <x:c r="M16" s="19" t="str">
        <x:v>In Field Warranty Claims</x:v>
      </x:c>
      <x:c r="N16" s="37" t="n">
        <x:v>46211</x:v>
      </x:c>
      <x:c r="O16" s="37"/>
      <x:c r="P16" s="34" t="n">
        <x:v>0</x:v>
      </x:c>
      <x:c r="Q16" s="37" t="n">
        <x:v>46211.873240740744</x:v>
      </x:c>
    </x:row>
    <x:row r="17">
      <x:c r="A17" s="22" t="n">
        <x:v>37524</x:v>
      </x:c>
      <x:c r="B17" s="28" t="n">
        <x:v>675</x:v>
      </x:c>
      <x:c r="C17" s="28"/>
      <x:c r="D17" s="31" t="str">
        <x:f>IF(OR(ISBLANK(B17),ISBLANK(C17),B17=0),"",(C17-B17)/B17)</x:f>
      </x:c>
      <x:c r="E17" s="22" t="str">
        <x:f>IF(ISBLANK(C17),"AmountIncludingTax缺失",IF(ABS(B17-C17)&lt;0.005,"一致","不一致"))</x:f>
        <x:v>AmountIncludingTax缺失</x:v>
      </x:c>
      <x:c r="F17" s="19" t="str">
        <x:v>approved</x:v>
      </x:c>
      <x:c r="G17" s="19" t="str">
        <x:v>Sales Order Approved</x:v>
      </x:c>
      <x:c r="H17" s="19" t="str">
        <x:v>In Field</x:v>
      </x:c>
      <x:c r="I17" s="37" t="n">
        <x:v>46212</x:v>
      </x:c>
      <x:c r="J17" s="37" t="n">
        <x:v>46212</x:v>
      </x:c>
      <x:c r="K17" s="19" t="str">
        <x:v>Destiny RV - South Australia</x:v>
      </x:c>
      <x:c r="L17" s="19" t="str">
        <x:v>Z006</x:v>
      </x:c>
      <x:c r="M17" s="19" t="str">
        <x:v>In Field Warranty Claims</x:v>
      </x:c>
      <x:c r="N17" s="37" t="n">
        <x:v>46211</x:v>
      </x:c>
      <x:c r="O17" s="37"/>
      <x:c r="P17" s="34" t="n">
        <x:v>0</x:v>
      </x:c>
      <x:c r="Q17" s="37" t="n">
        <x:v>46212.01310185185</x:v>
      </x:c>
    </x:row>
    <x:row r="18">
      <x:c r="A18" s="22" t="n">
        <x:v>37523</x:v>
      </x:c>
      <x:c r="B18" s="28" t="n">
        <x:v>1012.5</x:v>
      </x:c>
      <x:c r="C18" s="28"/>
      <x:c r="D18" s="31" t="str">
        <x:f>IF(OR(ISBLANK(B18),ISBLANK(C18),B18=0),"",(C18-B18)/B18)</x:f>
      </x:c>
      <x:c r="E18" s="22" t="str">
        <x:f>IF(ISBLANK(C18),"AmountIncludingTax缺失",IF(ABS(B18-C18)&lt;0.005,"一致","不一致"))</x:f>
        <x:v>AmountIncludingTax缺失</x:v>
      </x:c>
      <x:c r="F18" s="19" t="str">
        <x:v>approved</x:v>
      </x:c>
      <x:c r="G18" s="19" t="str">
        <x:v>Sales Order Approved</x:v>
      </x:c>
      <x:c r="H18" s="19" t="str">
        <x:v>In Field</x:v>
      </x:c>
      <x:c r="I18" s="37" t="n">
        <x:v>46212</x:v>
      </x:c>
      <x:c r="J18" s="37" t="n">
        <x:v>46212</x:v>
      </x:c>
      <x:c r="K18" s="19" t="str">
        <x:v>Dario Caravans -St.Marys</x:v>
      </x:c>
      <x:c r="L18" s="19" t="str">
        <x:v>Z006</x:v>
      </x:c>
      <x:c r="M18" s="19" t="str">
        <x:v>In Field Warranty Claims</x:v>
      </x:c>
      <x:c r="N18" s="37" t="n">
        <x:v>46211</x:v>
      </x:c>
      <x:c r="O18" s="37"/>
      <x:c r="P18" s="34" t="n">
        <x:v>0</x:v>
      </x:c>
      <x:c r="Q18" s="37" t="n">
        <x:v>46211.941041666665</x:v>
      </x:c>
    </x:row>
    <x:row r="19">
      <x:c r="A19" s="22" t="n">
        <x:v>37508</x:v>
      </x:c>
      <x:c r="B19" s="28" t="n">
        <x:v>671.25</x:v>
      </x:c>
      <x:c r="C19" s="28" t="n">
        <x:v>738.38</x:v>
      </x:c>
      <x:c r="D19" s="31" t="n">
        <x:f>IF(OR(ISBLANK(B19),ISBLANK(C19),B19=0),"",(C19-B19)/B19)</x:f>
        <x:v>0.10000744878957168</x:v>
      </x:c>
      <x:c r="E19" s="22" t="str">
        <x:f>IF(ISBLANK(C19),"AmountIncludingTax缺失",IF(ABS(B19-C19)&lt;0.005,"一致","不一致"))</x:f>
        <x:v>不一致</x:v>
      </x:c>
      <x:c r="F19" s="19"/>
      <x:c r="G19" s="19" t="str">
        <x:v>Awaiting Parts</x:v>
      </x:c>
      <x:c r="H19" s="19" t="str">
        <x:v>Pre Delivery</x:v>
      </x:c>
      <x:c r="I19" s="37"/>
      <x:c r="J19" s="37" t="n">
        <x:v>46212</x:v>
      </x:c>
      <x:c r="K19" s="19" t="str">
        <x:v>Leisure Lion - Bundaberg</x:v>
      </x:c>
      <x:c r="L19" s="19" t="str">
        <x:v>Z005</x:v>
      </x:c>
      <x:c r="M19" s="19" t="str">
        <x:v>Pre Delivery Warranty Claims</x:v>
      </x:c>
      <x:c r="N19" s="37" t="n">
        <x:v>46210</x:v>
      </x:c>
      <x:c r="O19" s="37"/>
      <x:c r="P19" s="34" t="n">
        <x:v>738.38</x:v>
      </x:c>
      <x:c r="Q19" s="37"/>
    </x:row>
    <x:row r="20">
      <x:c r="A20" s="22" t="n">
        <x:v>37505</x:v>
      </x:c>
      <x:c r="B20" s="28" t="n">
        <x:v>222.5</x:v>
      </x:c>
      <x:c r="C20" s="28"/>
      <x:c r="D20" s="31" t="str">
        <x:f>IF(OR(ISBLANK(B20),ISBLANK(C20),B20=0),"",(C20-B20)/B20)</x:f>
      </x:c>
      <x:c r="E20" s="22" t="str">
        <x:f>IF(ISBLANK(C20),"AmountIncludingTax缺失",IF(ABS(B20-C20)&lt;0.005,"一致","不一致"))</x:f>
        <x:v>AmountIncludingTax缺失</x:v>
      </x:c>
      <x:c r="F20" s="19" t="str">
        <x:v>approved</x:v>
      </x:c>
      <x:c r="G20" s="19" t="str">
        <x:v>Sales Order Approved</x:v>
      </x:c>
      <x:c r="H20" s="19" t="str">
        <x:v>Pre Delivery</x:v>
      </x:c>
      <x:c r="I20" s="37" t="n">
        <x:v>46212</x:v>
      </x:c>
      <x:c r="J20" s="37" t="n">
        <x:v>46212</x:v>
      </x:c>
      <x:c r="K20" s="19" t="str">
        <x:v>Snowy River Launceston</x:v>
      </x:c>
      <x:c r="L20" s="19" t="str">
        <x:v>Z005</x:v>
      </x:c>
      <x:c r="M20" s="19" t="str">
        <x:v>Pre Delivery Warranty Claims</x:v>
      </x:c>
      <x:c r="N20" s="37" t="n">
        <x:v>46210</x:v>
      </x:c>
      <x:c r="O20" s="37"/>
      <x:c r="P20" s="34" t="n">
        <x:v>0</x:v>
      </x:c>
      <x:c r="Q20" s="37" t="n">
        <x:v>46211.94163194444</x:v>
      </x:c>
    </x:row>
    <x:row r="21">
      <x:c r="A21" s="22" t="n">
        <x:v>37504</x:v>
      </x:c>
      <x:c r="B21" s="28" t="n">
        <x:v>1525</x:v>
      </x:c>
      <x:c r="C21" s="28"/>
      <x:c r="D21" s="31" t="str">
        <x:f>IF(OR(ISBLANK(B21),ISBLANK(C21),B21=0),"",(C21-B21)/B21)</x:f>
      </x:c>
      <x:c r="E21" s="22" t="str">
        <x:f>IF(ISBLANK(C21),"AmountIncludingTax缺失",IF(ABS(B21-C21)&lt;0.005,"一致","不一致"))</x:f>
        <x:v>AmountIncludingTax缺失</x:v>
      </x:c>
      <x:c r="F21" s="19" t="str">
        <x:v>approved</x:v>
      </x:c>
      <x:c r="G21" s="19" t="str">
        <x:v>Sales Order Approved</x:v>
      </x:c>
      <x:c r="H21" s="19" t="str">
        <x:v>In Field</x:v>
      </x:c>
      <x:c r="I21" s="37" t="n">
        <x:v>46212</x:v>
      </x:c>
      <x:c r="J21" s="37" t="n">
        <x:v>46212</x:v>
      </x:c>
      <x:c r="K21" s="19" t="str">
        <x:v>Green RV - Forest Glen</x:v>
      </x:c>
      <x:c r="L21" s="19" t="str">
        <x:v>Z006</x:v>
      </x:c>
      <x:c r="M21" s="19" t="str">
        <x:v>In Field Warranty Claims</x:v>
      </x:c>
      <x:c r="N21" s="37" t="n">
        <x:v>46210</x:v>
      </x:c>
      <x:c r="O21" s="37"/>
      <x:c r="P21" s="34" t="n">
        <x:v>0</x:v>
      </x:c>
      <x:c r="Q21" s="37" t="n">
        <x:v>46212.01599537037</x:v>
      </x:c>
    </x:row>
    <x:row r="22">
      <x:c r="A22" s="22" t="n">
        <x:v>37498</x:v>
      </x:c>
      <x:c r="B22" s="28" t="n">
        <x:v>202.5</x:v>
      </x:c>
      <x:c r="C22" s="28"/>
      <x:c r="D22" s="31" t="str">
        <x:f>IF(OR(ISBLANK(B22),ISBLANK(C22),B22=0),"",(C22-B22)/B22)</x:f>
      </x:c>
      <x:c r="E22" s="22" t="str">
        <x:f>IF(ISBLANK(C22),"AmountIncludingTax缺失",IF(ABS(B22-C22)&lt;0.005,"一致","不一致"))</x:f>
        <x:v>AmountIncludingTax缺失</x:v>
      </x:c>
      <x:c r="F22" s="19" t="str">
        <x:v>approved</x:v>
      </x:c>
      <x:c r="G22" s="19" t="str">
        <x:v>Sales Order Approved</x:v>
      </x:c>
      <x:c r="H22" s="19" t="str">
        <x:v>Pre Delivery</x:v>
      </x:c>
      <x:c r="I22" s="37" t="n">
        <x:v>46211</x:v>
      </x:c>
      <x:c r="J22" s="37" t="n">
        <x:v>46211</x:v>
      </x:c>
      <x:c r="K22" s="19" t="str">
        <x:v>Green RV - Slacks Creek</x:v>
      </x:c>
      <x:c r="L22" s="19" t="str">
        <x:v>Z005</x:v>
      </x:c>
      <x:c r="M22" s="19" t="str">
        <x:v>Pre Delivery Warranty Claims</x:v>
      </x:c>
      <x:c r="N22" s="37" t="n">
        <x:v>46210</x:v>
      </x:c>
      <x:c r="O22" s="37"/>
      <x:c r="P22" s="34" t="n">
        <x:v>0</x:v>
      </x:c>
      <x:c r="Q22" s="37" t="n">
        <x:v>46210.99065972222</x:v>
      </x:c>
    </x:row>
    <x:row r="23">
      <x:c r="A23" s="22" t="n">
        <x:v>37497</x:v>
      </x:c>
      <x:c r="B23" s="28" t="n">
        <x:v>806.25</x:v>
      </x:c>
      <x:c r="C23" s="28"/>
      <x:c r="D23" s="31" t="str">
        <x:f>IF(OR(ISBLANK(B23),ISBLANK(C23),B23=0),"",(C23-B23)/B23)</x:f>
      </x:c>
      <x:c r="E23" s="22" t="str">
        <x:f>IF(ISBLANK(C23),"AmountIncludingTax缺失",IF(ABS(B23-C23)&lt;0.005,"一致","不一致"))</x:f>
        <x:v>AmountIncludingTax缺失</x:v>
      </x:c>
      <x:c r="F23" s="19" t="str">
        <x:v>approved</x:v>
      </x:c>
      <x:c r="G23" s="19" t="str">
        <x:v>Sales Order Approved</x:v>
      </x:c>
      <x:c r="H23" s="19" t="str">
        <x:v>Pre Delivery</x:v>
      </x:c>
      <x:c r="I23" s="37" t="n">
        <x:v>46211</x:v>
      </x:c>
      <x:c r="J23" s="37" t="n">
        <x:v>46211</x:v>
      </x:c>
      <x:c r="K23" s="19" t="str">
        <x:v>Lesiure Lion-New Castle</x:v>
      </x:c>
      <x:c r="L23" s="19" t="str">
        <x:v>Z005</x:v>
      </x:c>
      <x:c r="M23" s="19" t="str">
        <x:v>Pre Delivery Warranty Claims</x:v>
      </x:c>
      <x:c r="N23" s="37" t="n">
        <x:v>46210</x:v>
      </x:c>
      <x:c r="O23" s="37"/>
      <x:c r="P23" s="34" t="n">
        <x:v>0</x:v>
      </x:c>
      <x:c r="Q23" s="37" t="n">
        <x:v>46211.23127314815</x:v>
      </x:c>
    </x:row>
    <x:row r="24">
      <x:c r="A24" s="22" t="n">
        <x:v>37496</x:v>
      </x:c>
      <x:c r="B24" s="28" t="n">
        <x:v>21.3</x:v>
      </x:c>
      <x:c r="C24" s="28" t="n">
        <x:v>19.29</x:v>
      </x:c>
      <x:c r="D24" s="31" t="n">
        <x:f>IF(OR(ISBLANK(B24),ISBLANK(C24),B24=0),"",(C24-B24)/B24)</x:f>
        <x:v>-0.09436619718309866</x:v>
      </x:c>
      <x:c r="E24" s="22" t="str">
        <x:f>IF(ISBLANK(C24),"AmountIncludingTax缺失",IF(ABS(B24-C24)&lt;0.005,"一致","不一致"))</x:f>
        <x:v>不一致</x:v>
      </x:c>
      <x:c r="F24" s="19" t="str">
        <x:v>approved</x:v>
      </x:c>
      <x:c r="G24" s="19" t="str">
        <x:v>Repair in Progress</x:v>
      </x:c>
      <x:c r="H24" s="19" t="str">
        <x:v>In Field</x:v>
      </x:c>
      <x:c r="I24" s="37" t="n">
        <x:v>46211</x:v>
      </x:c>
      <x:c r="J24" s="37" t="n">
        <x:v>46211</x:v>
      </x:c>
      <x:c r="K24" s="19" t="str">
        <x:v>Vanari Caravans - Marden Point</x:v>
      </x:c>
      <x:c r="L24" s="19" t="str">
        <x:v>Z006</x:v>
      </x:c>
      <x:c r="M24" s="19" t="str">
        <x:v>In Field Warranty Claims</x:v>
      </x:c>
      <x:c r="N24" s="37" t="n">
        <x:v>46210</x:v>
      </x:c>
      <x:c r="O24" s="37"/>
      <x:c r="P24" s="34" t="n">
        <x:v>19.29</x:v>
      </x:c>
      <x:c r="Q24" s="37" t="n">
        <x:v>46211.01715277778</x:v>
      </x:c>
    </x:row>
    <x:row r="25">
      <x:c r="A25" s="22" t="n">
        <x:v>37495</x:v>
      </x:c>
      <x:c r="B25" s="28" t="n">
        <x:v>285</x:v>
      </x:c>
      <x:c r="C25" s="28"/>
      <x:c r="D25" s="31" t="str">
        <x:f>IF(OR(ISBLANK(B25),ISBLANK(C25),B25=0),"",(C25-B25)/B25)</x:f>
      </x:c>
      <x:c r="E25" s="22" t="str">
        <x:f>IF(ISBLANK(C25),"AmountIncludingTax缺失",IF(ABS(B25-C25)&lt;0.005,"一致","不一致"))</x:f>
        <x:v>AmountIncludingTax缺失</x:v>
      </x:c>
      <x:c r="F25" s="19" t="str">
        <x:v>approved</x:v>
      </x:c>
      <x:c r="G25" s="19" t="str">
        <x:v>Sales Order Approved</x:v>
      </x:c>
      <x:c r="H25" s="19" t="str">
        <x:v>Pre Delivery</x:v>
      </x:c>
      <x:c r="I25" s="37" t="n">
        <x:v>46212</x:v>
      </x:c>
      <x:c r="J25" s="37" t="n">
        <x:v>46212</x:v>
      </x:c>
      <x:c r="K25" s="19" t="str">
        <x:v>Lesiure Lion-New Castle</x:v>
      </x:c>
      <x:c r="L25" s="19" t="str">
        <x:v>Z005</x:v>
      </x:c>
      <x:c r="M25" s="19" t="str">
        <x:v>Pre Delivery Warranty Claims</x:v>
      </x:c>
      <x:c r="N25" s="37" t="n">
        <x:v>46210</x:v>
      </x:c>
      <x:c r="O25" s="37"/>
      <x:c r="P25" s="34" t="n">
        <x:v>0</x:v>
      </x:c>
      <x:c r="Q25" s="37" t="n">
        <x:v>46211.94231481481</x:v>
      </x:c>
    </x:row>
    <x:row r="26">
      <x:c r="A26" s="22" t="n">
        <x:v>37492</x:v>
      </x:c>
      <x:c r="B26" s="28" t="n">
        <x:v>222.5</x:v>
      </x:c>
      <x:c r="C26" s="28"/>
      <x:c r="D26" s="31" t="str">
        <x:f>IF(OR(ISBLANK(B26),ISBLANK(C26),B26=0),"",(C26-B26)/B26)</x:f>
      </x:c>
      <x:c r="E26" s="22" t="str">
        <x:f>IF(ISBLANK(C26),"AmountIncludingTax缺失",IF(ABS(B26-C26)&lt;0.005,"一致","不一致"))</x:f>
        <x:v>AmountIncludingTax缺失</x:v>
      </x:c>
      <x:c r="F26" s="19" t="str">
        <x:v>approved</x:v>
      </x:c>
      <x:c r="G26" s="19" t="str">
        <x:v>Sales Order Approved</x:v>
      </x:c>
      <x:c r="H26" s="19" t="str">
        <x:v>In Field</x:v>
      </x:c>
      <x:c r="I26" s="37" t="n">
        <x:v>46211</x:v>
      </x:c>
      <x:c r="J26" s="37" t="n">
        <x:v>46211</x:v>
      </x:c>
      <x:c r="K26" s="19" t="str">
        <x:v>Dario Caravans -St.Marys</x:v>
      </x:c>
      <x:c r="L26" s="19" t="str">
        <x:v>Z006</x:v>
      </x:c>
      <x:c r="M26" s="19" t="str">
        <x:v>In Field Warranty Claims</x:v>
      </x:c>
      <x:c r="N26" s="37" t="n">
        <x:v>46210</x:v>
      </x:c>
      <x:c r="O26" s="37" t="n">
        <x:v>46211</x:v>
      </x:c>
      <x:c r="P26" s="34" t="n">
        <x:v>0</x:v>
      </x:c>
      <x:c r="Q26" s="37" t="n">
        <x:v>46211.20920138889</x:v>
      </x:c>
    </x:row>
    <x:row r="27">
      <x:c r="A27" s="22" t="n">
        <x:v>37488</x:v>
      </x:c>
      <x:c r="B27" s="28" t="n">
        <x:v>665</x:v>
      </x:c>
      <x:c r="C27" s="28"/>
      <x:c r="D27" s="31" t="str">
        <x:f>IF(OR(ISBLANK(B27),ISBLANK(C27),B27=0),"",(C27-B27)/B27)</x:f>
      </x:c>
      <x:c r="E27" s="22" t="str">
        <x:f>IF(ISBLANK(C27),"AmountIncludingTax缺失",IF(ABS(B27-C27)&lt;0.005,"一致","不一致"))</x:f>
        <x:v>AmountIncludingTax缺失</x:v>
      </x:c>
      <x:c r="F27" s="19" t="str">
        <x:v>approved</x:v>
      </x:c>
      <x:c r="G27" s="19" t="str">
        <x:v>Sales Order Approved</x:v>
      </x:c>
      <x:c r="H27" s="19" t="str">
        <x:v>In Field</x:v>
      </x:c>
      <x:c r="I27" s="37" t="n">
        <x:v>46211</x:v>
      </x:c>
      <x:c r="J27" s="37" t="n">
        <x:v>46211</x:v>
      </x:c>
      <x:c r="K27" s="19" t="str">
        <x:v>Regent RV - Townsville</x:v>
      </x:c>
      <x:c r="L27" s="19" t="str">
        <x:v>Z006</x:v>
      </x:c>
      <x:c r="M27" s="19" t="str">
        <x:v>In Field Warranty Claims</x:v>
      </x:c>
      <x:c r="N27" s="37" t="n">
        <x:v>46210</x:v>
      </x:c>
      <x:c r="O27" s="37"/>
      <x:c r="P27" s="34" t="n">
        <x:v>0</x:v>
      </x:c>
      <x:c r="Q27" s="37" t="n">
        <x:v>46211.207025462965</x:v>
      </x:c>
    </x:row>
    <x:row r="28">
      <x:c r="A28" s="22" t="n">
        <x:v>37487</x:v>
      </x:c>
      <x:c r="B28" s="28" t="n">
        <x:v>973.8</x:v>
      </x:c>
      <x:c r="C28" s="28" t="n">
        <x:v>881.68</x:v>
      </x:c>
      <x:c r="D28" s="31" t="n">
        <x:f>IF(OR(ISBLANK(B28),ISBLANK(C28),B28=0),"",(C28-B28)/B28)</x:f>
        <x:v>-0.09459848018073527</x:v>
      </x:c>
      <x:c r="E28" s="22" t="str">
        <x:f>IF(ISBLANK(C28),"AmountIncludingTax缺失",IF(ABS(B28-C28)&lt;0.005,"一致","不一致"))</x:f>
        <x:v>不一致</x:v>
      </x:c>
      <x:c r="F28" s="19" t="str">
        <x:v>approved</x:v>
      </x:c>
      <x:c r="G28" s="19" t="str">
        <x:v>Repairer Invoiced Processed</x:v>
      </x:c>
      <x:c r="H28" s="19" t="str">
        <x:v>In Field</x:v>
      </x:c>
      <x:c r="I28" s="37" t="n">
        <x:v>46211</x:v>
      </x:c>
      <x:c r="J28" s="37" t="n">
        <x:v>46211</x:v>
      </x:c>
      <x:c r="K28" s="19" t="str">
        <x:v>Vanari Caravans - Marden Point</x:v>
      </x:c>
      <x:c r="L28" s="19" t="str">
        <x:v>Z006</x:v>
      </x:c>
      <x:c r="M28" s="19" t="str">
        <x:v>In Field Warranty Claims</x:v>
      </x:c>
      <x:c r="N28" s="37" t="n">
        <x:v>46210</x:v>
      </x:c>
      <x:c r="O28" s="37"/>
      <x:c r="P28" s="34" t="n">
        <x:v>881.68</x:v>
      </x:c>
      <x:c r="Q28" s="37" t="n">
        <x:v>46210.952581018515</x:v>
      </x:c>
    </x:row>
    <x:row r="29">
      <x:c r="A29" s="22" t="n">
        <x:v>37485</x:v>
      </x:c>
      <x:c r="B29" s="28" t="n">
        <x:v>120</x:v>
      </x:c>
      <x:c r="C29" s="28" t="n">
        <x:v>108.65</x:v>
      </x:c>
      <x:c r="D29" s="31" t="n">
        <x:f>IF(OR(ISBLANK(B29),ISBLANK(C29),B29=0),"",(C29-B29)/B29)</x:f>
        <x:v>-0.09458333333333328</x:v>
      </x:c>
      <x:c r="E29" s="22" t="str">
        <x:f>IF(ISBLANK(C29),"AmountIncludingTax缺失",IF(ABS(B29-C29)&lt;0.005,"一致","不一致"))</x:f>
        <x:v>不一致</x:v>
      </x:c>
      <x:c r="F29" s="19" t="str">
        <x:v>approved</x:v>
      </x:c>
      <x:c r="G29" s="19" t="str">
        <x:v>Repair in Progress</x:v>
      </x:c>
      <x:c r="H29" s="19" t="str">
        <x:v>In Field</x:v>
      </x:c>
      <x:c r="I29" s="37" t="n">
        <x:v>46211</x:v>
      </x:c>
      <x:c r="J29" s="37" t="n">
        <x:v>46211</x:v>
      </x:c>
      <x:c r="K29" s="19" t="str">
        <x:v>Vanari Caravans - Marden Point</x:v>
      </x:c>
      <x:c r="L29" s="19" t="str">
        <x:v>Z006</x:v>
      </x:c>
      <x:c r="M29" s="19" t="str">
        <x:v>In Field Warranty Claims</x:v>
      </x:c>
      <x:c r="N29" s="37" t="n">
        <x:v>46210</x:v>
      </x:c>
      <x:c r="O29" s="37"/>
      <x:c r="P29" s="34" t="n">
        <x:v>108.65</x:v>
      </x:c>
      <x:c r="Q29" s="37" t="n">
        <x:v>46210.941608796296</x:v>
      </x:c>
    </x:row>
    <x:row r="30">
      <x:c r="A30" s="22" t="n">
        <x:v>37484</x:v>
      </x:c>
      <x:c r="B30" s="28" t="n">
        <x:v>178.75</x:v>
      </x:c>
      <x:c r="C30" s="28"/>
      <x:c r="D30" s="31" t="str">
        <x:f>IF(OR(ISBLANK(B30),ISBLANK(C30),B30=0),"",(C30-B30)/B30)</x:f>
      </x:c>
      <x:c r="E30" s="22" t="str">
        <x:f>IF(ISBLANK(C30),"AmountIncludingTax缺失",IF(ABS(B30-C30)&lt;0.005,"一致","不一致"))</x:f>
        <x:v>AmountIncludingTax缺失</x:v>
      </x:c>
      <x:c r="F30" s="19" t="str">
        <x:v>approved</x:v>
      </x:c>
      <x:c r="G30" s="19" t="str">
        <x:v>Sales Order Approved</x:v>
      </x:c>
      <x:c r="H30" s="19" t="str">
        <x:v>In Field</x:v>
      </x:c>
      <x:c r="I30" s="37" t="n">
        <x:v>46210</x:v>
      </x:c>
      <x:c r="J30" s="37" t="n">
        <x:v>46210</x:v>
      </x:c>
      <x:c r="K30" s="19" t="str">
        <x:v>Green RV - Slacks Creek</x:v>
      </x:c>
      <x:c r="L30" s="19" t="str">
        <x:v>Z006</x:v>
      </x:c>
      <x:c r="M30" s="19" t="str">
        <x:v>In Field Warranty Claims</x:v>
      </x:c>
      <x:c r="N30" s="37" t="n">
        <x:v>46210</x:v>
      </x:c>
      <x:c r="O30" s="37"/>
      <x:c r="P30" s="34" t="n">
        <x:v>0</x:v>
      </x:c>
      <x:c r="Q30" s="37" t="n">
        <x:v>46210.24587962963</x:v>
      </x:c>
    </x:row>
    <x:row r="31">
      <x:c r="A31" s="22" t="n">
        <x:v>37483</x:v>
      </x:c>
      <x:c r="B31" s="28" t="n">
        <x:v>220</x:v>
      </x:c>
      <x:c r="C31" s="28" t="n">
        <x:v>199.19</x:v>
      </x:c>
      <x:c r="D31" s="31" t="n">
        <x:f>IF(OR(ISBLANK(B31),ISBLANK(C31),B31=0),"",(C31-B31)/B31)</x:f>
        <x:v>-0.0945909090909091</x:v>
      </x:c>
      <x:c r="E31" s="22" t="str">
        <x:f>IF(ISBLANK(C31),"AmountIncludingTax缺失",IF(ABS(B31-C31)&lt;0.005,"一致","不一致"))</x:f>
        <x:v>不一致</x:v>
      </x:c>
      <x:c r="F31" s="19" t="str">
        <x:v>approved</x:v>
      </x:c>
      <x:c r="G31" s="19" t="str">
        <x:v>Repairer Invoiced Processed</x:v>
      </x:c>
      <x:c r="H31" s="19" t="str">
        <x:v>In Field</x:v>
      </x:c>
      <x:c r="I31" s="37" t="n">
        <x:v>46211</x:v>
      </x:c>
      <x:c r="J31" s="37" t="n">
        <x:v>46211</x:v>
      </x:c>
      <x:c r="K31" s="19" t="str">
        <x:v>Vanari Caravans - Marden Point</x:v>
      </x:c>
      <x:c r="L31" s="19" t="str">
        <x:v>Z006</x:v>
      </x:c>
      <x:c r="M31" s="19" t="str">
        <x:v>In Field Warranty Claims</x:v>
      </x:c>
      <x:c r="N31" s="37" t="n">
        <x:v>46210</x:v>
      </x:c>
      <x:c r="O31" s="37"/>
      <x:c r="P31" s="34" t="n">
        <x:v>199.19</x:v>
      </x:c>
      <x:c r="Q31" s="37" t="n">
        <x:v>46210.93730324074</x:v>
      </x:c>
    </x:row>
    <x:row r="32">
      <x:c r="A32" s="22" t="n">
        <x:v>37476</x:v>
      </x:c>
      <x:c r="B32" s="28" t="n">
        <x:v>540</x:v>
      </x:c>
      <x:c r="C32" s="28"/>
      <x:c r="D32" s="31" t="str">
        <x:f>IF(OR(ISBLANK(B32),ISBLANK(C32),B32=0),"",(C32-B32)/B32)</x:f>
      </x:c>
      <x:c r="E32" s="22" t="str">
        <x:f>IF(ISBLANK(C32),"AmountIncludingTax缺失",IF(ABS(B32-C32)&lt;0.005,"一致","不一致"))</x:f>
        <x:v>AmountIncludingTax缺失</x:v>
      </x:c>
      <x:c r="F32" s="19" t="str">
        <x:v>approved</x:v>
      </x:c>
      <x:c r="G32" s="19" t="str">
        <x:v>Repairer Invoiced Processed</x:v>
      </x:c>
      <x:c r="H32" s="19" t="str">
        <x:v>In Field</x:v>
      </x:c>
      <x:c r="I32" s="37" t="n">
        <x:v>46211</x:v>
      </x:c>
      <x:c r="J32" s="37" t="n">
        <x:v>46211</x:v>
      </x:c>
      <x:c r="K32" s="19" t="str">
        <x:v>Lesiure Lion-New Castle</x:v>
      </x:c>
      <x:c r="L32" s="19" t="str">
        <x:v>Z006</x:v>
      </x:c>
      <x:c r="M32" s="19" t="str">
        <x:v>In Field Warranty Claims</x:v>
      </x:c>
      <x:c r="N32" s="37" t="n">
        <x:v>46210</x:v>
      </x:c>
      <x:c r="O32" s="37"/>
      <x:c r="P32" s="34" t="n">
        <x:v>0</x:v>
      </x:c>
      <x:c r="Q32" s="37" t="n">
        <x:v>46211.02712962963</x:v>
      </x:c>
    </x:row>
    <x:row r="33">
      <x:c r="A33" s="22" t="n">
        <x:v>37469</x:v>
      </x:c>
      <x:c r="B33" s="28" t="n">
        <x:v>273.75</x:v>
      </x:c>
      <x:c r="C33" s="28"/>
      <x:c r="D33" s="31" t="str">
        <x:f>IF(OR(ISBLANK(B33),ISBLANK(C33),B33=0),"",(C33-B33)/B33)</x:f>
      </x:c>
      <x:c r="E33" s="22" t="str">
        <x:f>IF(ISBLANK(C33),"AmountIncludingTax缺失",IF(ABS(B33-C33)&lt;0.005,"一致","不一致"))</x:f>
        <x:v>AmountIncludingTax缺失</x:v>
      </x:c>
      <x:c r="F33" s="19" t="str">
        <x:v>approved</x:v>
      </x:c>
      <x:c r="G33" s="19" t="str">
        <x:v>Sales Order Approved</x:v>
      </x:c>
      <x:c r="H33" s="19" t="str">
        <x:v>In Field</x:v>
      </x:c>
      <x:c r="I33" s="37" t="n">
        <x:v>46211</x:v>
      </x:c>
      <x:c r="J33" s="37" t="n">
        <x:v>46211</x:v>
      </x:c>
      <x:c r="K33" s="19" t="str">
        <x:v>Newcastle RV Super Centre - Beresfield</x:v>
      </x:c>
      <x:c r="L33" s="19" t="str">
        <x:v>Z006</x:v>
      </x:c>
      <x:c r="M33" s="19" t="str">
        <x:v>In Field Warranty Claims</x:v>
      </x:c>
      <x:c r="N33" s="37" t="n">
        <x:v>46210</x:v>
      </x:c>
      <x:c r="O33" s="37"/>
      <x:c r="P33" s="34" t="n">
        <x:v>0</x:v>
      </x:c>
      <x:c r="Q33" s="37" t="n">
        <x:v>46211.063414351855</x:v>
      </x:c>
    </x:row>
    <x:row r="34">
      <x:c r="A34" s="22" t="n">
        <x:v>37468</x:v>
      </x:c>
      <x:c r="B34" s="28" t="n">
        <x:v>140</x:v>
      </x:c>
      <x:c r="C34" s="28" t="n">
        <x:v>0</x:v>
      </x:c>
      <x:c r="D34" s="31" t="n">
        <x:f>IF(OR(ISBLANK(B34),ISBLANK(C34),B34=0),"",(C34-B34)/B34)</x:f>
        <x:v>-1</x:v>
      </x:c>
      <x:c r="E34" s="22" t="str">
        <x:f>IF(ISBLANK(C34),"AmountIncludingTax缺失",IF(ABS(B34-C34)&lt;0.005,"一致","不一致"))</x:f>
        <x:v>不一致</x:v>
      </x:c>
      <x:c r="F34" s="19"/>
      <x:c r="G34" s="19" t="str">
        <x:v>Claim Assessment</x:v>
      </x:c>
      <x:c r="H34" s="19" t="str">
        <x:v>In Field</x:v>
      </x:c>
      <x:c r="I34" s="37"/>
      <x:c r="J34" s="37" t="n">
        <x:v>46212</x:v>
      </x:c>
      <x:c r="K34" s="19" t="str">
        <x:v>Newcastle RV Super Centre - Beresfield</x:v>
      </x:c>
      <x:c r="L34" s="19" t="str">
        <x:v>Z006</x:v>
      </x:c>
      <x:c r="M34" s="19" t="str">
        <x:v>In Field Warranty Claims</x:v>
      </x:c>
      <x:c r="N34" s="37" t="n">
        <x:v>46210</x:v>
      </x:c>
      <x:c r="O34" s="37"/>
      <x:c r="P34" s="34" t="n">
        <x:v>0</x:v>
      </x:c>
      <x:c r="Q34" s="37"/>
    </x:row>
    <x:row r="35">
      <x:c r="A35" s="22" t="n">
        <x:v>37467</x:v>
      </x:c>
      <x:c r="B35" s="28" t="n">
        <x:v>576.8</x:v>
      </x:c>
      <x:c r="C35" s="28" t="n">
        <x:v>522.23</x:v>
      </x:c>
      <x:c r="D35" s="31" t="n">
        <x:f>IF(OR(ISBLANK(B35),ISBLANK(C35),B35=0),"",(C35-B35)/B35)</x:f>
        <x:v>-0.09460818307905676</x:v>
      </x:c>
      <x:c r="E35" s="22" t="str">
        <x:f>IF(ISBLANK(C35),"AmountIncludingTax缺失",IF(ABS(B35-C35)&lt;0.005,"一致","不一致"))</x:f>
        <x:v>不一致</x:v>
      </x:c>
      <x:c r="F35" s="19" t="str">
        <x:v>approved</x:v>
      </x:c>
      <x:c r="G35" s="19" t="str">
        <x:v>Repairer Invoiced Processed</x:v>
      </x:c>
      <x:c r="H35" s="19" t="str">
        <x:v>In Field</x:v>
      </x:c>
      <x:c r="I35" s="37" t="n">
        <x:v>46211</x:v>
      </x:c>
      <x:c r="J35" s="37" t="n">
        <x:v>46211</x:v>
      </x:c>
      <x:c r="K35" s="19" t="str">
        <x:v>Vanari Caravans - Marden Point</x:v>
      </x:c>
      <x:c r="L35" s="19" t="str">
        <x:v>Z006</x:v>
      </x:c>
      <x:c r="M35" s="19" t="str">
        <x:v>In Field Warranty Claims</x:v>
      </x:c>
      <x:c r="N35" s="37" t="n">
        <x:v>46210</x:v>
      </x:c>
      <x:c r="O35" s="37"/>
      <x:c r="P35" s="34" t="n">
        <x:v>522.23</x:v>
      </x:c>
      <x:c r="Q35" s="37" t="n">
        <x:v>46210.948483796295</x:v>
      </x:c>
    </x:row>
    <x:row r="36">
      <x:c r="A36" s="22" t="n">
        <x:v>37465</x:v>
      </x:c>
      <x:c r="B36" s="28" t="n">
        <x:v>270</x:v>
      </x:c>
      <x:c r="C36" s="28" t="n">
        <x:v>297</x:v>
      </x:c>
      <x:c r="D36" s="31" t="n">
        <x:f>IF(OR(ISBLANK(B36),ISBLANK(C36),B36=0),"",(C36-B36)/B36)</x:f>
        <x:v>0.1</x:v>
      </x:c>
      <x:c r="E36" s="22" t="str">
        <x:f>IF(ISBLANK(C36),"AmountIncludingTax缺失",IF(ABS(B36-C36)&lt;0.005,"一致","不一致"))</x:f>
        <x:v>不一致</x:v>
      </x:c>
      <x:c r="F36" s="19" t="str">
        <x:v>approved</x:v>
      </x:c>
      <x:c r="G36" s="19" t="str">
        <x:v>Repair in Progress</x:v>
      </x:c>
      <x:c r="H36" s="19" t="str">
        <x:v>In Field</x:v>
      </x:c>
      <x:c r="I36" s="37" t="n">
        <x:v>46211</x:v>
      </x:c>
      <x:c r="J36" s="37" t="n">
        <x:v>46211</x:v>
      </x:c>
      <x:c r="K36" s="19" t="str">
        <x:v>Regent RV - Perth</x:v>
      </x:c>
      <x:c r="L36" s="19" t="str">
        <x:v>Z006</x:v>
      </x:c>
      <x:c r="M36" s="19" t="str">
        <x:v>In Field Warranty Claims</x:v>
      </x:c>
      <x:c r="N36" s="37" t="n">
        <x:v>46210</x:v>
      </x:c>
      <x:c r="O36" s="37"/>
      <x:c r="P36" s="34" t="n">
        <x:v>297</x:v>
      </x:c>
      <x:c r="Q36" s="37" t="n">
        <x:v>46211.21025462963</x:v>
      </x:c>
    </x:row>
    <x:row r="37">
      <x:c r="A37" s="22" t="n">
        <x:v>37462</x:v>
      </x:c>
      <x:c r="B37" s="28" t="n">
        <x:v>227.5</x:v>
      </x:c>
      <x:c r="C37" s="28"/>
      <x:c r="D37" s="31" t="str">
        <x:f>IF(OR(ISBLANK(B37),ISBLANK(C37),B37=0),"",(C37-B37)/B37)</x:f>
      </x:c>
      <x:c r="E37" s="22" t="str">
        <x:f>IF(ISBLANK(C37),"AmountIncludingTax缺失",IF(ABS(B37-C37)&lt;0.005,"一致","不一致"))</x:f>
        <x:v>AmountIncludingTax缺失</x:v>
      </x:c>
      <x:c r="F37" s="19" t="str">
        <x:v>approved</x:v>
      </x:c>
      <x:c r="G37" s="19" t="str">
        <x:v>Sales Order Approved</x:v>
      </x:c>
      <x:c r="H37" s="19" t="str">
        <x:v>In Field</x:v>
      </x:c>
      <x:c r="I37" s="37" t="n">
        <x:v>46211</x:v>
      </x:c>
      <x:c r="J37" s="37" t="n">
        <x:v>46211</x:v>
      </x:c>
      <x:c r="K37" s="19" t="str">
        <x:v>Dario Caravans - Pooraka</x:v>
      </x:c>
      <x:c r="L37" s="19" t="str">
        <x:v>Z006</x:v>
      </x:c>
      <x:c r="M37" s="19" t="str">
        <x:v>In Field Warranty Claims</x:v>
      </x:c>
      <x:c r="N37" s="37" t="n">
        <x:v>46210</x:v>
      </x:c>
      <x:c r="O37" s="37"/>
      <x:c r="P37" s="34" t="n">
        <x:v>0</x:v>
      </x:c>
      <x:c r="Q37" s="37" t="n">
        <x:v>46211.211006944446</x:v>
      </x:c>
    </x:row>
    <x:row r="38">
      <x:c r="A38" s="22" t="n">
        <x:v>37461</x:v>
      </x:c>
      <x:c r="B38" s="28" t="n">
        <x:v>1120</x:v>
      </x:c>
      <x:c r="C38" s="28"/>
      <x:c r="D38" s="31" t="str">
        <x:f>IF(OR(ISBLANK(B38),ISBLANK(C38),B38=0),"",(C38-B38)/B38)</x:f>
      </x:c>
      <x:c r="E38" s="22" t="str">
        <x:f>IF(ISBLANK(C38),"AmountIncludingTax缺失",IF(ABS(B38-C38)&lt;0.005,"一致","不一致"))</x:f>
        <x:v>AmountIncludingTax缺失</x:v>
      </x:c>
      <x:c r="F38" s="19" t="str">
        <x:v>approved</x:v>
      </x:c>
      <x:c r="G38" s="19" t="str">
        <x:v>Sales Order Approved</x:v>
      </x:c>
      <x:c r="H38" s="19" t="str">
        <x:v>In Field</x:v>
      </x:c>
      <x:c r="I38" s="37" t="n">
        <x:v>46211</x:v>
      </x:c>
      <x:c r="J38" s="37" t="n">
        <x:v>46210</x:v>
      </x:c>
      <x:c r="K38" s="19" t="str">
        <x:v>Regent RV - Frankston</x:v>
      </x:c>
      <x:c r="L38" s="19" t="str">
        <x:v>Z006</x:v>
      </x:c>
      <x:c r="M38" s="19" t="str">
        <x:v>In Field Warranty Claims</x:v>
      </x:c>
      <x:c r="N38" s="37" t="n">
        <x:v>46210</x:v>
      </x:c>
      <x:c r="O38" s="37"/>
      <x:c r="P38" s="34" t="n">
        <x:v>0</x:v>
      </x:c>
      <x:c r="Q38" s="37" t="n">
        <x:v>46210.89945601852</x:v>
      </x:c>
    </x:row>
    <x:row r="39">
      <x:c r="A39" s="22" t="n">
        <x:v>37452</x:v>
      </x:c>
      <x:c r="B39" s="28" t="n">
        <x:v>195</x:v>
      </x:c>
      <x:c r="C39" s="28" t="n">
        <x:v>214.5</x:v>
      </x:c>
      <x:c r="D39" s="31" t="n">
        <x:f>IF(OR(ISBLANK(B39),ISBLANK(C39),B39=0),"",(C39-B39)/B39)</x:f>
        <x:v>0.1</x:v>
      </x:c>
      <x:c r="E39" s="22" t="str">
        <x:f>IF(ISBLANK(C39),"AmountIncludingTax缺失",IF(ABS(B39-C39)&lt;0.005,"一致","不一致"))</x:f>
        <x:v>不一致</x:v>
      </x:c>
      <x:c r="F39" s="19" t="str">
        <x:v>approved</x:v>
      </x:c>
      <x:c r="G39" s="19" t="str">
        <x:v>Repair in Progress</x:v>
      </x:c>
      <x:c r="H39" s="19" t="str">
        <x:v>In Field</x:v>
      </x:c>
      <x:c r="I39" s="37" t="n">
        <x:v>46210</x:v>
      </x:c>
      <x:c r="J39" s="37" t="n">
        <x:v>46210</x:v>
      </x:c>
      <x:c r="K39" s="19" t="str">
        <x:v>Green RV - Forest Glen</x:v>
      </x:c>
      <x:c r="L39" s="19" t="str">
        <x:v>Z006</x:v>
      </x:c>
      <x:c r="M39" s="19" t="str">
        <x:v>In Field Warranty Claims</x:v>
      </x:c>
      <x:c r="N39" s="37" t="n">
        <x:v>46209</x:v>
      </x:c>
      <x:c r="O39" s="37"/>
      <x:c r="P39" s="34" t="n">
        <x:v>214.5</x:v>
      </x:c>
      <x:c r="Q39" s="37" t="n">
        <x:v>46209.99188657408</x:v>
      </x:c>
    </x:row>
    <x:row r="40">
      <x:c r="A40" s="22" t="n">
        <x:v>37451</x:v>
      </x:c>
      <x:c r="B40" s="28" t="n">
        <x:v>67.5</x:v>
      </x:c>
      <x:c r="C40" s="28"/>
      <x:c r="D40" s="31" t="str">
        <x:f>IF(OR(ISBLANK(B40),ISBLANK(C40),B40=0),"",(C40-B40)/B40)</x:f>
      </x:c>
      <x:c r="E40" s="22" t="str">
        <x:f>IF(ISBLANK(C40),"AmountIncludingTax缺失",IF(ABS(B40-C40)&lt;0.005,"一致","不一致"))</x:f>
        <x:v>AmountIncludingTax缺失</x:v>
      </x:c>
      <x:c r="F40" s="19" t="str">
        <x:v>approved</x:v>
      </x:c>
      <x:c r="G40" s="19" t="str">
        <x:v>Sales Order Approved</x:v>
      </x:c>
      <x:c r="H40" s="19" t="str">
        <x:v>In Field</x:v>
      </x:c>
      <x:c r="I40" s="37" t="n">
        <x:v>46210</x:v>
      </x:c>
      <x:c r="J40" s="37" t="n">
        <x:v>46210</x:v>
      </x:c>
      <x:c r="K40" s="19" t="str">
        <x:v>Newcastle RV Super Centre - Beresfield</x:v>
      </x:c>
      <x:c r="L40" s="19" t="str">
        <x:v>Z006</x:v>
      </x:c>
      <x:c r="M40" s="19" t="str">
        <x:v>In Field Warranty Claims</x:v>
      </x:c>
      <x:c r="N40" s="37" t="n">
        <x:v>46209</x:v>
      </x:c>
      <x:c r="O40" s="37"/>
      <x:c r="P40" s="34" t="n">
        <x:v>0</x:v>
      </x:c>
      <x:c r="Q40" s="37" t="n">
        <x:v>46209.97248842593</x:v>
      </x:c>
    </x:row>
    <x:row r="41">
      <x:c r="A41" s="22" t="n">
        <x:v>37443</x:v>
      </x:c>
      <x:c r="B41" s="28" t="n">
        <x:v>98.96</x:v>
      </x:c>
      <x:c r="C41" s="28" t="n">
        <x:v>89.6</x:v>
      </x:c>
      <x:c r="D41" s="31" t="n">
        <x:f>IF(OR(ISBLANK(B41),ISBLANK(C41),B41=0),"",(C41-B41)/B41)</x:f>
        <x:v>-0.09458367016976556</x:v>
      </x:c>
      <x:c r="E41" s="22" t="str">
        <x:f>IF(ISBLANK(C41),"AmountIncludingTax缺失",IF(ABS(B41-C41)&lt;0.005,"一致","不一致"))</x:f>
        <x:v>不一致</x:v>
      </x:c>
      <x:c r="F41" s="19" t="str">
        <x:v>approved</x:v>
      </x:c>
      <x:c r="G41" s="19" t="str">
        <x:v>Repairer Invoiced Processed</x:v>
      </x:c>
      <x:c r="H41" s="19" t="str">
        <x:v>In Field</x:v>
      </x:c>
      <x:c r="I41" s="37" t="n">
        <x:v>46210</x:v>
      </x:c>
      <x:c r="J41" s="37" t="n">
        <x:v>46210</x:v>
      </x:c>
      <x:c r="K41" s="19" t="str">
        <x:v>CMG Campers - Christchurch</x:v>
      </x:c>
      <x:c r="L41" s="19" t="str">
        <x:v>Z006</x:v>
      </x:c>
      <x:c r="M41" s="19" t="str">
        <x:v>In Field Warranty Claims</x:v>
      </x:c>
      <x:c r="N41" s="37" t="n">
        <x:v>46209</x:v>
      </x:c>
      <x:c r="O41" s="37"/>
      <x:c r="P41" s="34" t="n">
        <x:v>89.6</x:v>
      </x:c>
      <x:c r="Q41" s="37" t="n">
        <x:v>46209.94730324074</x:v>
      </x:c>
    </x:row>
    <x:row r="42">
      <x:c r="A42" s="22" t="n">
        <x:v>37442</x:v>
      </x:c>
      <x:c r="B42" s="28" t="n">
        <x:v>44.57</x:v>
      </x:c>
      <x:c r="C42" s="28" t="n">
        <x:v>40.35</x:v>
      </x:c>
      <x:c r="D42" s="31" t="n">
        <x:f>IF(OR(ISBLANK(B42),ISBLANK(C42),B42=0),"",(C42-B42)/B42)</x:f>
        <x:v>-0.09468252187570111</x:v>
      </x:c>
      <x:c r="E42" s="22" t="str">
        <x:f>IF(ISBLANK(C42),"AmountIncludingTax缺失",IF(ABS(B42-C42)&lt;0.005,"一致","不一致"))</x:f>
        <x:v>不一致</x:v>
      </x:c>
      <x:c r="F42" s="19" t="str">
        <x:v>approved</x:v>
      </x:c>
      <x:c r="G42" s="19" t="str">
        <x:v>Repairer Invoiced Processed</x:v>
      </x:c>
      <x:c r="H42" s="19" t="str">
        <x:v>In Field</x:v>
      </x:c>
      <x:c r="I42" s="37" t="n">
        <x:v>46210</x:v>
      </x:c>
      <x:c r="J42" s="37" t="n">
        <x:v>46210</x:v>
      </x:c>
      <x:c r="K42" s="19" t="str">
        <x:v>CMG Campers - Christchurch</x:v>
      </x:c>
      <x:c r="L42" s="19" t="str">
        <x:v>Z006</x:v>
      </x:c>
      <x:c r="M42" s="19" t="str">
        <x:v>In Field Warranty Claims</x:v>
      </x:c>
      <x:c r="N42" s="37" t="n">
        <x:v>46209</x:v>
      </x:c>
      <x:c r="O42" s="37"/>
      <x:c r="P42" s="34" t="n">
        <x:v>40.35</x:v>
      </x:c>
      <x:c r="Q42" s="37" t="n">
        <x:v>46209.945185185185</x:v>
      </x:c>
    </x:row>
    <x:row r="43">
      <x:c r="A43" s="22" t="n">
        <x:v>37441</x:v>
      </x:c>
      <x:c r="B43" s="28" t="n">
        <x:v>53.64</x:v>
      </x:c>
      <x:c r="C43" s="28" t="n">
        <x:v>48.57</x:v>
      </x:c>
      <x:c r="D43" s="31" t="n">
        <x:f>IF(OR(ISBLANK(B43),ISBLANK(C43),B43=0),"",(C43-B43)/B43)</x:f>
        <x:v>-0.09451901565995526</x:v>
      </x:c>
      <x:c r="E43" s="22" t="str">
        <x:f>IF(ISBLANK(C43),"AmountIncludingTax缺失",IF(ABS(B43-C43)&lt;0.005,"一致","不一致"))</x:f>
        <x:v>不一致</x:v>
      </x:c>
      <x:c r="F43" s="19" t="str">
        <x:v>approved</x:v>
      </x:c>
      <x:c r="G43" s="19" t="str">
        <x:v>Repairer Invoiced Processed</x:v>
      </x:c>
      <x:c r="H43" s="19" t="str">
        <x:v>In Field</x:v>
      </x:c>
      <x:c r="I43" s="37" t="n">
        <x:v>46210</x:v>
      </x:c>
      <x:c r="J43" s="37" t="n">
        <x:v>46210</x:v>
      </x:c>
      <x:c r="K43" s="19" t="str">
        <x:v>Vanari Caravans - Marden Point</x:v>
      </x:c>
      <x:c r="L43" s="19" t="str">
        <x:v>Z006</x:v>
      </x:c>
      <x:c r="M43" s="19" t="str">
        <x:v>In Field Warranty Claims</x:v>
      </x:c>
      <x:c r="N43" s="37" t="n">
        <x:v>46209</x:v>
      </x:c>
      <x:c r="O43" s="37"/>
      <x:c r="P43" s="34" t="n">
        <x:v>48.57</x:v>
      </x:c>
      <x:c r="Q43" s="37" t="n">
        <x:v>46209.94321759259</x:v>
      </x:c>
    </x:row>
    <x:row r="44">
      <x:c r="A44" s="22" t="n">
        <x:v>37440</x:v>
      </x:c>
      <x:c r="B44" s="28" t="n">
        <x:v>45</x:v>
      </x:c>
      <x:c r="C44" s="28" t="n">
        <x:v>0</x:v>
      </x:c>
      <x:c r="D44" s="31" t="n">
        <x:f>IF(OR(ISBLANK(B44),ISBLANK(C44),B44=0),"",(C44-B44)/B44)</x:f>
        <x:v>-1</x:v>
      </x:c>
      <x:c r="E44" s="22" t="str">
        <x:f>IF(ISBLANK(C44),"AmountIncludingTax缺失",IF(ABS(B44-C44)&lt;0.005,"一致","不一致"))</x:f>
        <x:v>不一致</x:v>
      </x:c>
      <x:c r="F44" s="19"/>
      <x:c r="G44" s="19" t="str">
        <x:v>Claim Assessment</x:v>
      </x:c>
      <x:c r="H44" s="19" t="str">
        <x:v>In Field</x:v>
      </x:c>
      <x:c r="I44" s="37"/>
      <x:c r="J44" s="37" t="n">
        <x:v>46212</x:v>
      </x:c>
      <x:c r="K44" s="19" t="str">
        <x:v>Green RV - Forest Glen</x:v>
      </x:c>
      <x:c r="L44" s="19" t="str">
        <x:v>Z006</x:v>
      </x:c>
      <x:c r="M44" s="19" t="str">
        <x:v>In Field Warranty Claims</x:v>
      </x:c>
      <x:c r="N44" s="37" t="n">
        <x:v>46210</x:v>
      </x:c>
      <x:c r="O44" s="37"/>
      <x:c r="P44" s="34" t="n">
        <x:v>0</x:v>
      </x:c>
      <x:c r="Q44" s="37"/>
    </x:row>
    <x:row r="45">
      <x:c r="A45" s="22" t="n">
        <x:v>37438</x:v>
      </x:c>
      <x:c r="B45" s="28" t="n">
        <x:v>81.14</x:v>
      </x:c>
      <x:c r="C45" s="28" t="n">
        <x:v>89.25</x:v>
      </x:c>
      <x:c r="D45" s="31" t="n">
        <x:f>IF(OR(ISBLANK(B45),ISBLANK(C45),B45=0),"",(C45-B45)/B45)</x:f>
        <x:v>0.09995070248952427</x:v>
      </x:c>
      <x:c r="E45" s="22" t="str">
        <x:f>IF(ISBLANK(C45),"AmountIncludingTax缺失",IF(ABS(B45-C45)&lt;0.005,"一致","不一致"))</x:f>
        <x:v>不一致</x:v>
      </x:c>
      <x:c r="F45" s="19" t="str">
        <x:v>approved</x:v>
      </x:c>
      <x:c r="G45" s="19" t="str">
        <x:v>Repair in Progress</x:v>
      </x:c>
      <x:c r="H45" s="19" t="str">
        <x:v>In Field</x:v>
      </x:c>
      <x:c r="I45" s="37" t="n">
        <x:v>46212</x:v>
      </x:c>
      <x:c r="J45" s="37" t="n">
        <x:v>46212</x:v>
      </x:c>
      <x:c r="K45" s="19" t="str">
        <x:v>Newcastle RV Super Centre - Beresfield</x:v>
      </x:c>
      <x:c r="L45" s="19" t="str">
        <x:v>Z006</x:v>
      </x:c>
      <x:c r="M45" s="19" t="str">
        <x:v>In Field Warranty Claims</x:v>
      </x:c>
      <x:c r="N45" s="37" t="n">
        <x:v>46210</x:v>
      </x:c>
      <x:c r="O45" s="37"/>
      <x:c r="P45" s="34" t="n">
        <x:v>89.25</x:v>
      </x:c>
      <x:c r="Q45" s="37" t="n">
        <x:v>46212.07111111111</x:v>
      </x:c>
    </x:row>
    <x:row r="46">
      <x:c r="A46" s="22" t="n">
        <x:v>37437</x:v>
      </x:c>
      <x:c r="B46" s="28" t="n">
        <x:v>364.07</x:v>
      </x:c>
      <x:c r="C46" s="28"/>
      <x:c r="D46" s="31" t="str">
        <x:f>IF(OR(ISBLANK(B46),ISBLANK(C46),B46=0),"",(C46-B46)/B46)</x:f>
      </x:c>
      <x:c r="E46" s="22" t="str">
        <x:f>IF(ISBLANK(C46),"AmountIncludingTax缺失",IF(ABS(B46-C46)&lt;0.005,"一致","不一致"))</x:f>
        <x:v>AmountIncludingTax缺失</x:v>
      </x:c>
      <x:c r="F46" s="19" t="str">
        <x:v>approved</x:v>
      </x:c>
      <x:c r="G46" s="19" t="str">
        <x:v>Sales Order Approved</x:v>
      </x:c>
      <x:c r="H46" s="19" t="str">
        <x:v>In Field</x:v>
      </x:c>
      <x:c r="I46" s="37" t="n">
        <x:v>46210</x:v>
      </x:c>
      <x:c r="J46" s="37" t="n">
        <x:v>46210</x:v>
      </x:c>
      <x:c r="K46" s="19" t="str">
        <x:v>Green RV - Forest Glen</x:v>
      </x:c>
      <x:c r="L46" s="19" t="str">
        <x:v>Z006</x:v>
      </x:c>
      <x:c r="M46" s="19" t="str">
        <x:v>In Field Warranty Claims</x:v>
      </x:c>
      <x:c r="N46" s="37" t="n">
        <x:v>46210</x:v>
      </x:c>
      <x:c r="O46" s="37"/>
      <x:c r="P46" s="34" t="n">
        <x:v>0</x:v>
      </x:c>
      <x:c r="Q46" s="37" t="n">
        <x:v>46210.24696759259</x:v>
      </x:c>
    </x:row>
    <x:row r="47">
      <x:c r="A47" s="22" t="n">
        <x:v>37436</x:v>
      </x:c>
      <x:c r="B47" s="28" t="n">
        <x:v>135</x:v>
      </x:c>
      <x:c r="C47" s="28"/>
      <x:c r="D47" s="31" t="str">
        <x:f>IF(OR(ISBLANK(B47),ISBLANK(C47),B47=0),"",(C47-B47)/B47)</x:f>
      </x:c>
      <x:c r="E47" s="22" t="str">
        <x:f>IF(ISBLANK(C47),"AmountIncludingTax缺失",IF(ABS(B47-C47)&lt;0.005,"一致","不一致"))</x:f>
        <x:v>AmountIncludingTax缺失</x:v>
      </x:c>
      <x:c r="F47" s="19" t="str">
        <x:v>approved</x:v>
      </x:c>
      <x:c r="G47" s="19" t="str">
        <x:v>Sales Order Approved</x:v>
      </x:c>
      <x:c r="H47" s="19" t="str">
        <x:v>In Field</x:v>
      </x:c>
      <x:c r="I47" s="37" t="n">
        <x:v>46210</x:v>
      </x:c>
      <x:c r="J47" s="37" t="n">
        <x:v>46210</x:v>
      </x:c>
      <x:c r="K47" s="19" t="str">
        <x:v>Auswide Caravans - South Nowra</x:v>
      </x:c>
      <x:c r="L47" s="19" t="str">
        <x:v>Z006</x:v>
      </x:c>
      <x:c r="M47" s="19" t="str">
        <x:v>In Field Warranty Claims</x:v>
      </x:c>
      <x:c r="N47" s="37" t="n">
        <x:v>46210</x:v>
      </x:c>
      <x:c r="O47" s="37"/>
      <x:c r="P47" s="34" t="n">
        <x:v>0</x:v>
      </x:c>
      <x:c r="Q47" s="37" t="n">
        <x:v>46210.186261574076</x:v>
      </x:c>
    </x:row>
    <x:row r="48">
      <x:c r="A48" s="22" t="n">
        <x:v>37434</x:v>
      </x:c>
      <x:c r="B48" s="28" t="n">
        <x:v>67.5</x:v>
      </x:c>
      <x:c r="C48" s="28" t="n">
        <x:v>74.25</x:v>
      </x:c>
      <x:c r="D48" s="31" t="n">
        <x:f>IF(OR(ISBLANK(B48),ISBLANK(C48),B48=0),"",(C48-B48)/B48)</x:f>
        <x:v>0.1</x:v>
      </x:c>
      <x:c r="E48" s="22" t="str">
        <x:f>IF(ISBLANK(C48),"AmountIncludingTax缺失",IF(ABS(B48-C48)&lt;0.005,"一致","不一致"))</x:f>
        <x:v>不一致</x:v>
      </x:c>
      <x:c r="F48" s="19"/>
      <x:c r="G48" s="19" t="str">
        <x:v>Awaiting Parts</x:v>
      </x:c>
      <x:c r="H48" s="19" t="str">
        <x:v>In Field</x:v>
      </x:c>
      <x:c r="I48" s="37"/>
      <x:c r="J48" s="37" t="n">
        <x:v>46212</x:v>
      </x:c>
      <x:c r="K48" s="19" t="str">
        <x:v>Lesiure Lion-New Castle</x:v>
      </x:c>
      <x:c r="L48" s="19" t="str">
        <x:v>Z006</x:v>
      </x:c>
      <x:c r="M48" s="19" t="str">
        <x:v>In Field Warranty Claims</x:v>
      </x:c>
      <x:c r="N48" s="37" t="n">
        <x:v>46209</x:v>
      </x:c>
      <x:c r="O48" s="37"/>
      <x:c r="P48" s="34" t="n">
        <x:v>74.25</x:v>
      </x:c>
      <x:c r="Q48" s="37"/>
    </x:row>
    <x:row r="49">
      <x:c r="A49" s="22" t="n">
        <x:v>37433</x:v>
      </x:c>
      <x:c r="B49" s="28" t="n">
        <x:v>580</x:v>
      </x:c>
      <x:c r="C49" s="28"/>
      <x:c r="D49" s="31" t="str">
        <x:f>IF(OR(ISBLANK(B49),ISBLANK(C49),B49=0),"",(C49-B49)/B49)</x:f>
      </x:c>
      <x:c r="E49" s="22" t="str">
        <x:f>IF(ISBLANK(C49),"AmountIncludingTax缺失",IF(ABS(B49-C49)&lt;0.005,"一致","不一致"))</x:f>
        <x:v>AmountIncludingTax缺失</x:v>
      </x:c>
      <x:c r="F49" s="19" t="str">
        <x:v>approved</x:v>
      </x:c>
      <x:c r="G49" s="19" t="str">
        <x:v>Sales Order Approved</x:v>
      </x:c>
      <x:c r="H49" s="19" t="str">
        <x:v>In Field</x:v>
      </x:c>
      <x:c r="I49" s="37" t="n">
        <x:v>46210</x:v>
      </x:c>
      <x:c r="J49" s="37" t="n">
        <x:v>46210</x:v>
      </x:c>
      <x:c r="K49" s="19" t="str">
        <x:v>QCCC - Gympie</x:v>
      </x:c>
      <x:c r="L49" s="19" t="str">
        <x:v>Z006</x:v>
      </x:c>
      <x:c r="M49" s="19" t="str">
        <x:v>In Field Warranty Claims</x:v>
      </x:c>
      <x:c r="N49" s="37" t="n">
        <x:v>46209</x:v>
      </x:c>
      <x:c r="O49" s="37"/>
      <x:c r="P49" s="34" t="n">
        <x:v>0</x:v>
      </x:c>
      <x:c r="Q49" s="37" t="n">
        <x:v>46210.022048611114</x:v>
      </x:c>
    </x:row>
    <x:row r="50">
      <x:c r="A50" s="22" t="n">
        <x:v>37430</x:v>
      </x:c>
      <x:c r="B50" s="28" t="n">
        <x:v>40.78</x:v>
      </x:c>
      <x:c r="C50" s="28" t="n">
        <x:v>36.92</x:v>
      </x:c>
      <x:c r="D50" s="31" t="n">
        <x:f>IF(OR(ISBLANK(B50),ISBLANK(C50),B50=0),"",(C50-B50)/B50)</x:f>
        <x:v>-0.09465424227562529</x:v>
      </x:c>
      <x:c r="E50" s="22" t="str">
        <x:f>IF(ISBLANK(C50),"AmountIncludingTax缺失",IF(ABS(B50-C50)&lt;0.005,"一致","不一致"))</x:f>
        <x:v>不一致</x:v>
      </x:c>
      <x:c r="F50" s="19" t="str">
        <x:v>approved</x:v>
      </x:c>
      <x:c r="G50" s="19" t="str">
        <x:v>Repairer Invoiced Processed</x:v>
      </x:c>
      <x:c r="H50" s="19" t="str">
        <x:v>In Field</x:v>
      </x:c>
      <x:c r="I50" s="37" t="n">
        <x:v>46210</x:v>
      </x:c>
      <x:c r="J50" s="37" t="n">
        <x:v>46210</x:v>
      </x:c>
      <x:c r="K50" s="19" t="str">
        <x:v>Vanari Caravans - Marden Point</x:v>
      </x:c>
      <x:c r="L50" s="19" t="str">
        <x:v>Z006</x:v>
      </x:c>
      <x:c r="M50" s="19" t="str">
        <x:v>In Field Warranty Claims</x:v>
      </x:c>
      <x:c r="N50" s="37" t="n">
        <x:v>46209</x:v>
      </x:c>
      <x:c r="O50" s="37"/>
      <x:c r="P50" s="34" t="n">
        <x:v>36.92</x:v>
      </x:c>
      <x:c r="Q50" s="37" t="n">
        <x:v>46209.93696759259</x:v>
      </x:c>
    </x:row>
    <x:row r="51">
      <x:c r="A51" s="22" t="n">
        <x:v>37429</x:v>
      </x:c>
      <x:c r="B51" s="28" t="n">
        <x:v>52.1</x:v>
      </x:c>
      <x:c r="C51" s="28" t="n">
        <x:v>47.17</x:v>
      </x:c>
      <x:c r="D51" s="31" t="n">
        <x:f>IF(OR(ISBLANK(B51),ISBLANK(C51),B51=0),"",(C51-B51)/B51)</x:f>
        <x:v>-0.0946257197696737</x:v>
      </x:c>
      <x:c r="E51" s="22" t="str">
        <x:f>IF(ISBLANK(C51),"AmountIncludingTax缺失",IF(ABS(B51-C51)&lt;0.005,"一致","不一致"))</x:f>
        <x:v>不一致</x:v>
      </x:c>
      <x:c r="F51" s="19" t="str">
        <x:v>approved</x:v>
      </x:c>
      <x:c r="G51" s="19" t="str">
        <x:v>Repairer Invoiced Processed</x:v>
      </x:c>
      <x:c r="H51" s="19" t="str">
        <x:v>In Field</x:v>
      </x:c>
      <x:c r="I51" s="37" t="n">
        <x:v>46210</x:v>
      </x:c>
      <x:c r="J51" s="37" t="n">
        <x:v>46210</x:v>
      </x:c>
      <x:c r="K51" s="19" t="str">
        <x:v>Vanari Caravans - Marden Point</x:v>
      </x:c>
      <x:c r="L51" s="19" t="str">
        <x:v>Z006</x:v>
      </x:c>
      <x:c r="M51" s="19" t="str">
        <x:v>In Field Warranty Claims</x:v>
      </x:c>
      <x:c r="N51" s="37" t="n">
        <x:v>46209</x:v>
      </x:c>
      <x:c r="O51" s="37"/>
      <x:c r="P51" s="34" t="n">
        <x:v>47.17</x:v>
      </x:c>
      <x:c r="Q51" s="37" t="n">
        <x:v>46209.93304398148</x:v>
      </x:c>
    </x:row>
    <x:row r="52">
      <x:c r="A52" s="22" t="n">
        <x:v>37428</x:v>
      </x:c>
      <x:c r="B52" s="28" t="n">
        <x:v>46.37</x:v>
      </x:c>
      <x:c r="C52" s="28" t="n">
        <x:v>41.98</x:v>
      </x:c>
      <x:c r="D52" s="31" t="n">
        <x:f>IF(OR(ISBLANK(B52),ISBLANK(C52),B52=0),"",(C52-B52)/B52)</x:f>
        <x:v>-0.09467328013802029</x:v>
      </x:c>
      <x:c r="E52" s="22" t="str">
        <x:f>IF(ISBLANK(C52),"AmountIncludingTax缺失",IF(ABS(B52-C52)&lt;0.005,"一致","不一致"))</x:f>
        <x:v>不一致</x:v>
      </x:c>
      <x:c r="F52" s="19" t="str">
        <x:v>approved</x:v>
      </x:c>
      <x:c r="G52" s="19" t="str">
        <x:v>Repairer Invoiced Processed</x:v>
      </x:c>
      <x:c r="H52" s="19" t="str">
        <x:v>In Field</x:v>
      </x:c>
      <x:c r="I52" s="37" t="n">
        <x:v>46210</x:v>
      </x:c>
      <x:c r="J52" s="37" t="n">
        <x:v>46210</x:v>
      </x:c>
      <x:c r="K52" s="19" t="str">
        <x:v>Vanari Caravans - Marden Point</x:v>
      </x:c>
      <x:c r="L52" s="19" t="str">
        <x:v>Z006</x:v>
      </x:c>
      <x:c r="M52" s="19" t="str">
        <x:v>In Field Warranty Claims</x:v>
      </x:c>
      <x:c r="N52" s="37" t="n">
        <x:v>46209</x:v>
      </x:c>
      <x:c r="O52" s="37"/>
      <x:c r="P52" s="34" t="n">
        <x:v>41.98</x:v>
      </x:c>
      <x:c r="Q52" s="37" t="n">
        <x:v>46209.92521990741</x:v>
      </x:c>
    </x:row>
    <x:row r="53">
      <x:c r="A53" s="22" t="n">
        <x:v>37427</x:v>
      </x:c>
      <x:c r="B53" s="28" t="n">
        <x:v>38.7</x:v>
      </x:c>
      <x:c r="C53" s="28" t="n">
        <x:v>35.04</x:v>
      </x:c>
      <x:c r="D53" s="31" t="n">
        <x:f>IF(OR(ISBLANK(B53),ISBLANK(C53),B53=0),"",(C53-B53)/B53)</x:f>
        <x:v>-0.0945736434108528</x:v>
      </x:c>
      <x:c r="E53" s="22" t="str">
        <x:f>IF(ISBLANK(C53),"AmountIncludingTax缺失",IF(ABS(B53-C53)&lt;0.005,"一致","不一致"))</x:f>
        <x:v>不一致</x:v>
      </x:c>
      <x:c r="F53" s="19" t="str">
        <x:v>approved</x:v>
      </x:c>
      <x:c r="G53" s="19" t="str">
        <x:v>Repairer Invoiced Processed</x:v>
      </x:c>
      <x:c r="H53" s="19" t="str">
        <x:v>In Field</x:v>
      </x:c>
      <x:c r="I53" s="37" t="n">
        <x:v>46210</x:v>
      </x:c>
      <x:c r="J53" s="37" t="n">
        <x:v>46210</x:v>
      </x:c>
      <x:c r="K53" s="19" t="str">
        <x:v>Vanari Caravans - Marden Point</x:v>
      </x:c>
      <x:c r="L53" s="19" t="str">
        <x:v>Z006</x:v>
      </x:c>
      <x:c r="M53" s="19" t="str">
        <x:v>In Field Warranty Claims</x:v>
      </x:c>
      <x:c r="N53" s="37" t="n">
        <x:v>46209</x:v>
      </x:c>
      <x:c r="O53" s="37"/>
      <x:c r="P53" s="34" t="n">
        <x:v>35.04</x:v>
      </x:c>
      <x:c r="Q53" s="37" t="n">
        <x:v>46209.92217592592</x:v>
      </x:c>
    </x:row>
    <x:row r="54">
      <x:c r="A54" s="22" t="n">
        <x:v>37426</x:v>
      </x:c>
      <x:c r="B54" s="28" t="n">
        <x:v>38.73</x:v>
      </x:c>
      <x:c r="C54" s="28" t="n">
        <x:v>35.07</x:v>
      </x:c>
      <x:c r="D54" s="31" t="n">
        <x:f>IF(OR(ISBLANK(B54),ISBLANK(C54),B54=0),"",(C54-B54)/B54)</x:f>
        <x:v>-0.09450038729666917</x:v>
      </x:c>
      <x:c r="E54" s="22" t="str">
        <x:f>IF(ISBLANK(C54),"AmountIncludingTax缺失",IF(ABS(B54-C54)&lt;0.005,"一致","不一致"))</x:f>
        <x:v>不一致</x:v>
      </x:c>
      <x:c r="F54" s="19" t="str">
        <x:v>approved</x:v>
      </x:c>
      <x:c r="G54" s="19" t="str">
        <x:v>Repairer Invoiced Processed</x:v>
      </x:c>
      <x:c r="H54" s="19" t="str">
        <x:v>In Field</x:v>
      </x:c>
      <x:c r="I54" s="37" t="n">
        <x:v>46209</x:v>
      </x:c>
      <x:c r="J54" s="37" t="n">
        <x:v>46209</x:v>
      </x:c>
      <x:c r="K54" s="19" t="str">
        <x:v>Vanari Caravans - Marden Point</x:v>
      </x:c>
      <x:c r="L54" s="19" t="str">
        <x:v>Z006</x:v>
      </x:c>
      <x:c r="M54" s="19" t="str">
        <x:v>In Field Warranty Claims</x:v>
      </x:c>
      <x:c r="N54" s="37" t="n">
        <x:v>46209</x:v>
      </x:c>
      <x:c r="O54" s="37"/>
      <x:c r="P54" s="34" t="n">
        <x:v>35.07</x:v>
      </x:c>
      <x:c r="Q54" s="37" t="n">
        <x:v>46209.27140046296</x:v>
      </x:c>
    </x:row>
    <x:row r="55">
      <x:c r="A55" s="22" t="n">
        <x:v>37425</x:v>
      </x:c>
      <x:c r="B55" s="28" t="n">
        <x:v>44.15</x:v>
      </x:c>
      <x:c r="C55" s="28" t="n">
        <x:v>39.97</x:v>
      </x:c>
      <x:c r="D55" s="31" t="n">
        <x:f>IF(OR(ISBLANK(B55),ISBLANK(C55),B55=0),"",(C55-B55)/B55)</x:f>
        <x:v>-0.09467723669309173</x:v>
      </x:c>
      <x:c r="E55" s="22" t="str">
        <x:f>IF(ISBLANK(C55),"AmountIncludingTax缺失",IF(ABS(B55-C55)&lt;0.005,"一致","不一致"))</x:f>
        <x:v>不一致</x:v>
      </x:c>
      <x:c r="F55" s="19" t="str">
        <x:v>approved</x:v>
      </x:c>
      <x:c r="G55" s="19" t="str">
        <x:v>Repairer Invoiced Processed</x:v>
      </x:c>
      <x:c r="H55" s="19" t="str">
        <x:v>In Field</x:v>
      </x:c>
      <x:c r="I55" s="37" t="n">
        <x:v>46209</x:v>
      </x:c>
      <x:c r="J55" s="37" t="n">
        <x:v>46209</x:v>
      </x:c>
      <x:c r="K55" s="19" t="str">
        <x:v>Vanari Caravans - Marden Point</x:v>
      </x:c>
      <x:c r="L55" s="19" t="str">
        <x:v>Z006</x:v>
      </x:c>
      <x:c r="M55" s="19" t="str">
        <x:v>In Field Warranty Claims</x:v>
      </x:c>
      <x:c r="N55" s="37" t="n">
        <x:v>46209</x:v>
      </x:c>
      <x:c r="O55" s="37"/>
      <x:c r="P55" s="34" t="n">
        <x:v>39.97</x:v>
      </x:c>
      <x:c r="Q55" s="37" t="n">
        <x:v>46209.26944444444</x:v>
      </x:c>
    </x:row>
    <x:row r="56">
      <x:c r="A56" s="22" t="n">
        <x:v>37424</x:v>
      </x:c>
      <x:c r="B56" s="28" t="n">
        <x:v>43.88</x:v>
      </x:c>
      <x:c r="C56" s="28" t="n">
        <x:v>39.73</x:v>
      </x:c>
      <x:c r="D56" s="31" t="n">
        <x:f>IF(OR(ISBLANK(B56),ISBLANK(C56),B56=0),"",(C56-B56)/B56)</x:f>
        <x:v>-0.09457611668185974</x:v>
      </x:c>
      <x:c r="E56" s="22" t="str">
        <x:f>IF(ISBLANK(C56),"AmountIncludingTax缺失",IF(ABS(B56-C56)&lt;0.005,"一致","不一致"))</x:f>
        <x:v>不一致</x:v>
      </x:c>
      <x:c r="F56" s="19" t="str">
        <x:v>approved</x:v>
      </x:c>
      <x:c r="G56" s="19" t="str">
        <x:v>Repairer Invoiced Processed</x:v>
      </x:c>
      <x:c r="H56" s="19" t="str">
        <x:v>In Field</x:v>
      </x:c>
      <x:c r="I56" s="37" t="n">
        <x:v>46209</x:v>
      </x:c>
      <x:c r="J56" s="37" t="n">
        <x:v>46209</x:v>
      </x:c>
      <x:c r="K56" s="19" t="str">
        <x:v>Vanari Caravans - Marden Point</x:v>
      </x:c>
      <x:c r="L56" s="19" t="str">
        <x:v>Z006</x:v>
      </x:c>
      <x:c r="M56" s="19" t="str">
        <x:v>In Field Warranty Claims</x:v>
      </x:c>
      <x:c r="N56" s="37" t="n">
        <x:v>46209</x:v>
      </x:c>
      <x:c r="O56" s="37"/>
      <x:c r="P56" s="34" t="n">
        <x:v>39.73</x:v>
      </x:c>
      <x:c r="Q56" s="37" t="n">
        <x:v>46209.267384259256</x:v>
      </x:c>
    </x:row>
    <x:row r="57">
      <x:c r="A57" s="22" t="n">
        <x:v>37423</x:v>
      </x:c>
      <x:c r="B57" s="28" t="n">
        <x:v>35.76</x:v>
      </x:c>
      <x:c r="C57" s="28" t="n">
        <x:v>32.38</x:v>
      </x:c>
      <x:c r="D57" s="31" t="n">
        <x:f>IF(OR(ISBLANK(B57),ISBLANK(C57),B57=0),"",(C57-B57)/B57)</x:f>
        <x:v>-0.09451901565995513</x:v>
      </x:c>
      <x:c r="E57" s="22" t="str">
        <x:f>IF(ISBLANK(C57),"AmountIncludingTax缺失",IF(ABS(B57-C57)&lt;0.005,"一致","不一致"))</x:f>
        <x:v>不一致</x:v>
      </x:c>
      <x:c r="F57" s="19" t="str">
        <x:v>approved</x:v>
      </x:c>
      <x:c r="G57" s="19" t="str">
        <x:v>Repairer Invoiced Processed</x:v>
      </x:c>
      <x:c r="H57" s="19" t="str">
        <x:v>In Field</x:v>
      </x:c>
      <x:c r="I57" s="37" t="n">
        <x:v>46209</x:v>
      </x:c>
      <x:c r="J57" s="37" t="n">
        <x:v>46209</x:v>
      </x:c>
      <x:c r="K57" s="19" t="str">
        <x:v>Vanari Caravans - Marden Point</x:v>
      </x:c>
      <x:c r="L57" s="19" t="str">
        <x:v>Z006</x:v>
      </x:c>
      <x:c r="M57" s="19" t="str">
        <x:v>In Field Warranty Claims</x:v>
      </x:c>
      <x:c r="N57" s="37" t="n">
        <x:v>46209</x:v>
      </x:c>
      <x:c r="O57" s="37"/>
      <x:c r="P57" s="34" t="n">
        <x:v>32.38</x:v>
      </x:c>
      <x:c r="Q57" s="37" t="n">
        <x:v>46209.263865740744</x:v>
      </x:c>
    </x:row>
    <x:row r="58">
      <x:c r="A58" s="22" t="n">
        <x:v>37422</x:v>
      </x:c>
      <x:c r="B58" s="28" t="n">
        <x:v>43.88</x:v>
      </x:c>
      <x:c r="C58" s="28" t="n">
        <x:v>39.73</x:v>
      </x:c>
      <x:c r="D58" s="31" t="n">
        <x:f>IF(OR(ISBLANK(B58),ISBLANK(C58),B58=0),"",(C58-B58)/B58)</x:f>
        <x:v>-0.09457611668185974</x:v>
      </x:c>
      <x:c r="E58" s="22" t="str">
        <x:f>IF(ISBLANK(C58),"AmountIncludingTax缺失",IF(ABS(B58-C58)&lt;0.005,"一致","不一致"))</x:f>
        <x:v>不一致</x:v>
      </x:c>
      <x:c r="F58" s="19" t="str">
        <x:v>approved</x:v>
      </x:c>
      <x:c r="G58" s="19" t="str">
        <x:v>Repairer Invoiced Processed</x:v>
      </x:c>
      <x:c r="H58" s="19" t="str">
        <x:v>In Field</x:v>
      </x:c>
      <x:c r="I58" s="37" t="n">
        <x:v>46209</x:v>
      </x:c>
      <x:c r="J58" s="37" t="n">
        <x:v>46209</x:v>
      </x:c>
      <x:c r="K58" s="19" t="str">
        <x:v>Vanari Caravans - Marden Point</x:v>
      </x:c>
      <x:c r="L58" s="19" t="str">
        <x:v>Z006</x:v>
      </x:c>
      <x:c r="M58" s="19" t="str">
        <x:v>In Field Warranty Claims</x:v>
      </x:c>
      <x:c r="N58" s="37" t="n">
        <x:v>46209</x:v>
      </x:c>
      <x:c r="O58" s="37"/>
      <x:c r="P58" s="34" t="n">
        <x:v>39.73</x:v>
      </x:c>
      <x:c r="Q58" s="37" t="n">
        <x:v>46209.26181712963</x:v>
      </x:c>
    </x:row>
    <x:row r="59">
      <x:c r="A59" s="22" t="n">
        <x:v>37421</x:v>
      </x:c>
      <x:c r="B59" s="28" t="n">
        <x:v>240.91</x:v>
      </x:c>
      <x:c r="C59" s="28" t="n">
        <x:v>265</x:v>
      </x:c>
      <x:c r="D59" s="31" t="n">
        <x:f>IF(OR(ISBLANK(B59),ISBLANK(C59),B59=0),"",(C59-B59)/B59)</x:f>
        <x:v>0.09999584907226766</x:v>
      </x:c>
      <x:c r="E59" s="22" t="str">
        <x:f>IF(ISBLANK(C59),"AmountIncludingTax缺失",IF(ABS(B59-C59)&lt;0.005,"一致","不一致"))</x:f>
        <x:v>不一致</x:v>
      </x:c>
      <x:c r="F59" s="19" t="str">
        <x:v>approved</x:v>
      </x:c>
      <x:c r="G59" s="19" t="str">
        <x:v>Repairer Invoiced Processed</x:v>
      </x:c>
      <x:c r="H59" s="19" t="str">
        <x:v>In Field</x:v>
      </x:c>
      <x:c r="I59" s="37" t="n">
        <x:v>46209</x:v>
      </x:c>
      <x:c r="J59" s="37" t="n">
        <x:v>46209</x:v>
      </x:c>
      <x:c r="K59" s="19" t="str">
        <x:v>Regent RV Pty Ltd</x:v>
      </x:c>
      <x:c r="L59" s="19" t="str">
        <x:v>Z006</x:v>
      </x:c>
      <x:c r="M59" s="19" t="str">
        <x:v>In Field Warranty Claims</x:v>
      </x:c>
      <x:c r="N59" s="37" t="n">
        <x:v>46209</x:v>
      </x:c>
      <x:c r="O59" s="37"/>
      <x:c r="P59" s="34" t="n">
        <x:v>265</x:v>
      </x:c>
      <x:c r="Q59" s="37" t="n">
        <x:v>46209.26122685185</x:v>
      </x:c>
    </x:row>
    <x:row r="60">
      <x:c r="A60" s="22" t="n">
        <x:v>37419</x:v>
      </x:c>
      <x:c r="B60" s="28" t="n">
        <x:v>227.5</x:v>
      </x:c>
      <x:c r="C60" s="28"/>
      <x:c r="D60" s="31" t="str">
        <x:f>IF(OR(ISBLANK(B60),ISBLANK(C60),B60=0),"",(C60-B60)/B60)</x:f>
      </x:c>
      <x:c r="E60" s="22" t="str">
        <x:f>IF(ISBLANK(C60),"AmountIncludingTax缺失",IF(ABS(B60-C60)&lt;0.005,"一致","不一致"))</x:f>
        <x:v>AmountIncludingTax缺失</x:v>
      </x:c>
      <x:c r="F60" s="19" t="str">
        <x:v>approved</x:v>
      </x:c>
      <x:c r="G60" s="19" t="str">
        <x:v>Sales Order Approved</x:v>
      </x:c>
      <x:c r="H60" s="19" t="str">
        <x:v>In Field</x:v>
      </x:c>
      <x:c r="I60" s="37" t="n">
        <x:v>46210</x:v>
      </x:c>
      <x:c r="J60" s="37" t="n">
        <x:v>46210</x:v>
      </x:c>
      <x:c r="K60" s="19" t="str">
        <x:v>Regent RV - Townsville</x:v>
      </x:c>
      <x:c r="L60" s="19" t="str">
        <x:v>Z006</x:v>
      </x:c>
      <x:c r="M60" s="19" t="str">
        <x:v>In Field Warranty Claims</x:v>
      </x:c>
      <x:c r="N60" s="37" t="n">
        <x:v>46210</x:v>
      </x:c>
      <x:c r="O60" s="37"/>
      <x:c r="P60" s="34" t="n">
        <x:v>0</x:v>
      </x:c>
      <x:c r="Q60" s="37" t="n">
        <x:v>46210.196238425924</x:v>
      </x:c>
    </x:row>
    <x:row r="61">
      <x:c r="A61" s="22" t="n">
        <x:v>37417</x:v>
      </x:c>
      <x:c r="B61" s="28" t="n">
        <x:v>202.5</x:v>
      </x:c>
      <x:c r="C61" s="28"/>
      <x:c r="D61" s="31" t="str">
        <x:f>IF(OR(ISBLANK(B61),ISBLANK(C61),B61=0),"",(C61-B61)/B61)</x:f>
      </x:c>
      <x:c r="E61" s="22" t="str">
        <x:f>IF(ISBLANK(C61),"AmountIncludingTax缺失",IF(ABS(B61-C61)&lt;0.005,"一致","不一致"))</x:f>
        <x:v>AmountIncludingTax缺失</x:v>
      </x:c>
      <x:c r="F61" s="19" t="str">
        <x:v>approved</x:v>
      </x:c>
      <x:c r="G61" s="19" t="str">
        <x:v>Sales Order Approved</x:v>
      </x:c>
      <x:c r="H61" s="19" t="str">
        <x:v>Pre Delivery</x:v>
      </x:c>
      <x:c r="I61" s="37" t="n">
        <x:v>46212</x:v>
      </x:c>
      <x:c r="J61" s="37" t="n">
        <x:v>46212</x:v>
      </x:c>
      <x:c r="K61" s="19" t="str">
        <x:v>Regent RV - Perth</x:v>
      </x:c>
      <x:c r="L61" s="19" t="str">
        <x:v>Z005</x:v>
      </x:c>
      <x:c r="M61" s="19" t="str">
        <x:v>Pre Delivery Warranty Claims</x:v>
      </x:c>
      <x:c r="N61" s="37" t="n">
        <x:v>46210</x:v>
      </x:c>
      <x:c r="O61" s="37"/>
      <x:c r="P61" s="34" t="n">
        <x:v>0</x:v>
      </x:c>
      <x:c r="Q61" s="37" t="n">
        <x:v>46212.03701388889</x:v>
      </x:c>
    </x:row>
    <x:row r="62">
      <x:c r="A62" s="22" t="n">
        <x:v>37416</x:v>
      </x:c>
      <x:c r="B62" s="28" t="n">
        <x:v>135</x:v>
      </x:c>
      <x:c r="C62" s="28" t="n">
        <x:v>148.5</x:v>
      </x:c>
      <x:c r="D62" s="31" t="n">
        <x:f>IF(OR(ISBLANK(B62),ISBLANK(C62),B62=0),"",(C62-B62)/B62)</x:f>
        <x:v>0.1</x:v>
      </x:c>
      <x:c r="E62" s="22" t="str">
        <x:f>IF(ISBLANK(C62),"AmountIncludingTax缺失",IF(ABS(B62-C62)&lt;0.005,"一致","不一致"))</x:f>
        <x:v>不一致</x:v>
      </x:c>
      <x:c r="F62" s="19"/>
      <x:c r="G62" s="19" t="str">
        <x:v>Awaiting Parts</x:v>
      </x:c>
      <x:c r="H62" s="19" t="str">
        <x:v>In Field</x:v>
      </x:c>
      <x:c r="I62" s="37"/>
      <x:c r="J62" s="37" t="n">
        <x:v>46212</x:v>
      </x:c>
      <x:c r="K62" s="19" t="str">
        <x:v>Auswide Caravans - South Nowra</x:v>
      </x:c>
      <x:c r="L62" s="19" t="str">
        <x:v>Z006</x:v>
      </x:c>
      <x:c r="M62" s="19" t="str">
        <x:v>In Field Warranty Claims</x:v>
      </x:c>
      <x:c r="N62" s="37" t="n">
        <x:v>46209</x:v>
      </x:c>
      <x:c r="O62" s="37"/>
      <x:c r="P62" s="34" t="n">
        <x:v>148.5</x:v>
      </x:c>
      <x:c r="Q62" s="37"/>
    </x:row>
    <x:row r="63">
      <x:c r="A63" s="22" t="n">
        <x:v>37415</x:v>
      </x:c>
      <x:c r="B63" s="28" t="n">
        <x:v>135</x:v>
      </x:c>
      <x:c r="C63" s="28" t="n">
        <x:v>148.5</x:v>
      </x:c>
      <x:c r="D63" s="31" t="n">
        <x:f>IF(OR(ISBLANK(B63),ISBLANK(C63),B63=0),"",(C63-B63)/B63)</x:f>
        <x:v>0.1</x:v>
      </x:c>
      <x:c r="E63" s="22" t="str">
        <x:f>IF(ISBLANK(C63),"AmountIncludingTax缺失",IF(ABS(B63-C63)&lt;0.005,"一致","不一致"))</x:f>
        <x:v>不一致</x:v>
      </x:c>
      <x:c r="F63" s="19"/>
      <x:c r="G63" s="19" t="str">
        <x:v>Awaiting Parts</x:v>
      </x:c>
      <x:c r="H63" s="19" t="str">
        <x:v>In Field</x:v>
      </x:c>
      <x:c r="I63" s="37"/>
      <x:c r="J63" s="37" t="n">
        <x:v>46212</x:v>
      </x:c>
      <x:c r="K63" s="19" t="str">
        <x:v>Green RV - Forest Glen</x:v>
      </x:c>
      <x:c r="L63" s="19" t="str">
        <x:v>Z006</x:v>
      </x:c>
      <x:c r="M63" s="19" t="str">
        <x:v>In Field Warranty Claims</x:v>
      </x:c>
      <x:c r="N63" s="37" t="n">
        <x:v>46209</x:v>
      </x:c>
      <x:c r="O63" s="37"/>
      <x:c r="P63" s="34" t="n">
        <x:v>148.5</x:v>
      </x:c>
      <x:c r="Q63" s="37"/>
    </x:row>
    <x:row r="64">
      <x:c r="A64" s="22" t="n">
        <x:v>37413</x:v>
      </x:c>
      <x:c r="B64" s="28" t="n">
        <x:v>830</x:v>
      </x:c>
      <x:c r="C64" s="28"/>
      <x:c r="D64" s="31" t="str">
        <x:f>IF(OR(ISBLANK(B64),ISBLANK(C64),B64=0),"",(C64-B64)/B64)</x:f>
      </x:c>
      <x:c r="E64" s="22" t="str">
        <x:f>IF(ISBLANK(C64),"AmountIncludingTax缺失",IF(ABS(B64-C64)&lt;0.005,"一致","不一致"))</x:f>
        <x:v>AmountIncludingTax缺失</x:v>
      </x:c>
      <x:c r="F64" s="19" t="str">
        <x:v>approved</x:v>
      </x:c>
      <x:c r="G64" s="19" t="str">
        <x:v>Sales Order Approved</x:v>
      </x:c>
      <x:c r="H64" s="19" t="str">
        <x:v>In Field</x:v>
      </x:c>
      <x:c r="I64" s="37" t="n">
        <x:v>46210</x:v>
      </x:c>
      <x:c r="J64" s="37" t="n">
        <x:v>46210</x:v>
      </x:c>
      <x:c r="K64" s="19" t="str">
        <x:v>Dario Caravans - Pooraka</x:v>
      </x:c>
      <x:c r="L64" s="19" t="str">
        <x:v>Z006</x:v>
      </x:c>
      <x:c r="M64" s="19" t="str">
        <x:v>In Field Warranty Claims</x:v>
      </x:c>
      <x:c r="N64" s="37" t="n">
        <x:v>46209</x:v>
      </x:c>
      <x:c r="O64" s="37"/>
      <x:c r="P64" s="34" t="n">
        <x:v>0</x:v>
      </x:c>
      <x:c r="Q64" s="37" t="n">
        <x:v>46210.08008101852</x:v>
      </x:c>
    </x:row>
    <x:row r="65">
      <x:c r="A65" s="22" t="n">
        <x:v>37412</x:v>
      </x:c>
      <x:c r="B65" s="28" t="n">
        <x:v>735.5</x:v>
      </x:c>
      <x:c r="C65" s="28"/>
      <x:c r="D65" s="31" t="str">
        <x:f>IF(OR(ISBLANK(B65),ISBLANK(C65),B65=0),"",(C65-B65)/B65)</x:f>
      </x:c>
      <x:c r="E65" s="22" t="str">
        <x:f>IF(ISBLANK(C65),"AmountIncludingTax缺失",IF(ABS(B65-C65)&lt;0.005,"一致","不一致"))</x:f>
        <x:v>AmountIncludingTax缺失</x:v>
      </x:c>
      <x:c r="F65" s="19" t="str">
        <x:v>approved</x:v>
      </x:c>
      <x:c r="G65" s="19" t="str">
        <x:v>Sales Order Approved</x:v>
      </x:c>
      <x:c r="H65" s="19" t="str">
        <x:v>In Field</x:v>
      </x:c>
      <x:c r="I65" s="37" t="n">
        <x:v>46210</x:v>
      </x:c>
      <x:c r="J65" s="37" t="n">
        <x:v>46210</x:v>
      </x:c>
      <x:c r="K65" s="19" t="str">
        <x:v>Regent RV - Frankston</x:v>
      </x:c>
      <x:c r="L65" s="19" t="str">
        <x:v>Z006</x:v>
      </x:c>
      <x:c r="M65" s="19" t="str">
        <x:v>In Field Warranty Claims</x:v>
      </x:c>
      <x:c r="N65" s="37" t="n">
        <x:v>46209</x:v>
      </x:c>
      <x:c r="O65" s="37"/>
      <x:c r="P65" s="34" t="n">
        <x:v>0</x:v>
      </x:c>
      <x:c r="Q65" s="37" t="n">
        <x:v>46210.01440972222</x:v>
      </x:c>
    </x:row>
    <x:row r="66">
      <x:c r="A66" s="22" t="n">
        <x:v>37411</x:v>
      </x:c>
      <x:c r="B66" s="28" t="n">
        <x:v>438.75</x:v>
      </x:c>
      <x:c r="C66" s="28"/>
      <x:c r="D66" s="31" t="str">
        <x:f>IF(OR(ISBLANK(B66),ISBLANK(C66),B66=0),"",(C66-B66)/B66)</x:f>
      </x:c>
      <x:c r="E66" s="22" t="str">
        <x:f>IF(ISBLANK(C66),"AmountIncludingTax缺失",IF(ABS(B66-C66)&lt;0.005,"一致","不一致"))</x:f>
        <x:v>AmountIncludingTax缺失</x:v>
      </x:c>
      <x:c r="F66" s="19" t="str">
        <x:v>approved</x:v>
      </x:c>
      <x:c r="G66" s="19" t="str">
        <x:v>Sales Order Approved</x:v>
      </x:c>
      <x:c r="H66" s="19" t="str">
        <x:v>In Field</x:v>
      </x:c>
      <x:c r="I66" s="37" t="n">
        <x:v>46210</x:v>
      </x:c>
      <x:c r="J66" s="37" t="n">
        <x:v>46210</x:v>
      </x:c>
      <x:c r="K66" s="19" t="str">
        <x:v>Regent RV - Toowoomba</x:v>
      </x:c>
      <x:c r="L66" s="19" t="str">
        <x:v>Z006</x:v>
      </x:c>
      <x:c r="M66" s="19" t="str">
        <x:v>In Field Warranty Claims</x:v>
      </x:c>
      <x:c r="N66" s="37" t="n">
        <x:v>46209</x:v>
      </x:c>
      <x:c r="O66" s="37"/>
      <x:c r="P66" s="34" t="n">
        <x:v>0</x:v>
      </x:c>
      <x:c r="Q66" s="37" t="n">
        <x:v>46209.974583333336</x:v>
      </x:c>
    </x:row>
    <x:row r="67">
      <x:c r="A67" s="22" t="n">
        <x:v>37410</x:v>
      </x:c>
      <x:c r="B67" s="28" t="n">
        <x:v>43.54</x:v>
      </x:c>
      <x:c r="C67" s="28" t="n">
        <x:v>39.42</x:v>
      </x:c>
      <x:c r="D67" s="31" t="n">
        <x:f>IF(OR(ISBLANK(B67),ISBLANK(C67),B67=0),"",(C67-B67)/B67)</x:f>
        <x:v>-0.09462563160312351</x:v>
      </x:c>
      <x:c r="E67" s="22" t="str">
        <x:f>IF(ISBLANK(C67),"AmountIncludingTax缺失",IF(ABS(B67-C67)&lt;0.005,"一致","不一致"))</x:f>
        <x:v>不一致</x:v>
      </x:c>
      <x:c r="F67" s="19" t="str">
        <x:v>approved</x:v>
      </x:c>
      <x:c r="G67" s="19" t="str">
        <x:v>Repairer Invoiced Processed</x:v>
      </x:c>
      <x:c r="H67" s="19" t="str">
        <x:v>In Field</x:v>
      </x:c>
      <x:c r="I67" s="37" t="n">
        <x:v>46209</x:v>
      </x:c>
      <x:c r="J67" s="37" t="n">
        <x:v>46209</x:v>
      </x:c>
      <x:c r="K67" s="19" t="str">
        <x:v>Vanari Caravans - Marden Point</x:v>
      </x:c>
      <x:c r="L67" s="19" t="str">
        <x:v>Z006</x:v>
      </x:c>
      <x:c r="M67" s="19" t="str">
        <x:v>In Field Warranty Claims</x:v>
      </x:c>
      <x:c r="N67" s="37" t="n">
        <x:v>46209</x:v>
      </x:c>
      <x:c r="O67" s="37"/>
      <x:c r="P67" s="34" t="n">
        <x:v>39.42</x:v>
      </x:c>
      <x:c r="Q67" s="37" t="n">
        <x:v>46209.25965277778</x:v>
      </x:c>
    </x:row>
    <x:row r="68">
      <x:c r="A68" s="22" t="n">
        <x:v>37408</x:v>
      </x:c>
      <x:c r="B68" s="28" t="n">
        <x:v>47.6</x:v>
      </x:c>
      <x:c r="C68" s="28" t="n">
        <x:v>43.1</x:v>
      </x:c>
      <x:c r="D68" s="31" t="n">
        <x:f>IF(OR(ISBLANK(B68),ISBLANK(C68),B68=0),"",(C68-B68)/B68)</x:f>
        <x:v>-0.09453781512605042</x:v>
      </x:c>
      <x:c r="E68" s="22" t="str">
        <x:f>IF(ISBLANK(C68),"AmountIncludingTax缺失",IF(ABS(B68-C68)&lt;0.005,"一致","不一致"))</x:f>
        <x:v>不一致</x:v>
      </x:c>
      <x:c r="F68" s="19" t="str">
        <x:v>approved</x:v>
      </x:c>
      <x:c r="G68" s="19" t="str">
        <x:v>Repairer Invoiced Processed</x:v>
      </x:c>
      <x:c r="H68" s="19" t="str">
        <x:v>Pre Delivery</x:v>
      </x:c>
      <x:c r="I68" s="37" t="n">
        <x:v>46209</x:v>
      </x:c>
      <x:c r="J68" s="37" t="n">
        <x:v>46209</x:v>
      </x:c>
      <x:c r="K68" s="19" t="str">
        <x:v>Vanari Caravans - Marden Point</x:v>
      </x:c>
      <x:c r="L68" s="19" t="str">
        <x:v>Z005</x:v>
      </x:c>
      <x:c r="M68" s="19" t="str">
        <x:v>Pre Delivery Warranty Claims</x:v>
      </x:c>
      <x:c r="N68" s="37" t="n">
        <x:v>46209</x:v>
      </x:c>
      <x:c r="O68" s="37"/>
      <x:c r="P68" s="34" t="n">
        <x:v>43.1</x:v>
      </x:c>
      <x:c r="Q68" s="37" t="n">
        <x:v>46209.257569444446</x:v>
      </x:c>
    </x:row>
    <x:row r="69">
      <x:c r="A69" s="22" t="n">
        <x:v>37407</x:v>
      </x:c>
      <x:c r="B69" s="28" t="n">
        <x:v>73.65</x:v>
      </x:c>
      <x:c r="C69" s="28" t="n">
        <x:v>66.68</x:v>
      </x:c>
      <x:c r="D69" s="31" t="n">
        <x:f>IF(OR(ISBLANK(B69),ISBLANK(C69),B69=0),"",(C69-B69)/B69)</x:f>
        <x:v>-0.09463679565512557</x:v>
      </x:c>
      <x:c r="E69" s="22" t="str">
        <x:f>IF(ISBLANK(C69),"AmountIncludingTax缺失",IF(ABS(B69-C69)&lt;0.005,"一致","不一致"))</x:f>
        <x:v>不一致</x:v>
      </x:c>
      <x:c r="F69" s="19" t="str">
        <x:v>approved</x:v>
      </x:c>
      <x:c r="G69" s="19" t="str">
        <x:v>Repairer Invoiced Processed</x:v>
      </x:c>
      <x:c r="H69" s="19" t="str">
        <x:v>In Field</x:v>
      </x:c>
      <x:c r="I69" s="37" t="n">
        <x:v>46209</x:v>
      </x:c>
      <x:c r="J69" s="37" t="n">
        <x:v>46209</x:v>
      </x:c>
      <x:c r="K69" s="19" t="str">
        <x:v>Vanari Caravans - Marden Point</x:v>
      </x:c>
      <x:c r="L69" s="19" t="str">
        <x:v>Z006</x:v>
      </x:c>
      <x:c r="M69" s="19" t="str">
        <x:v>In Field Warranty Claims</x:v>
      </x:c>
      <x:c r="N69" s="37" t="n">
        <x:v>46209</x:v>
      </x:c>
      <x:c r="O69" s="37"/>
      <x:c r="P69" s="34" t="n">
        <x:v>66.68</x:v>
      </x:c>
      <x:c r="Q69" s="37" t="n">
        <x:v>46209.252604166664</x:v>
      </x:c>
    </x:row>
    <x:row r="70">
      <x:c r="A70" s="22" t="n">
        <x:v>37405</x:v>
      </x:c>
      <x:c r="B70" s="28" t="n">
        <x:v>38.73</x:v>
      </x:c>
      <x:c r="C70" s="28" t="n">
        <x:v>35.07</x:v>
      </x:c>
      <x:c r="D70" s="31" t="n">
        <x:f>IF(OR(ISBLANK(B70),ISBLANK(C70),B70=0),"",(C70-B70)/B70)</x:f>
        <x:v>-0.09450038729666917</x:v>
      </x:c>
      <x:c r="E70" s="22" t="str">
        <x:f>IF(ISBLANK(C70),"AmountIncludingTax缺失",IF(ABS(B70-C70)&lt;0.005,"一致","不一致"))</x:f>
        <x:v>不一致</x:v>
      </x:c>
      <x:c r="F70" s="19" t="str">
        <x:v>approved</x:v>
      </x:c>
      <x:c r="G70" s="19" t="str">
        <x:v>Repairer Invoiced Processed</x:v>
      </x:c>
      <x:c r="H70" s="19" t="str">
        <x:v>In Field</x:v>
      </x:c>
      <x:c r="I70" s="37" t="n">
        <x:v>46209</x:v>
      </x:c>
      <x:c r="J70" s="37" t="n">
        <x:v>46209</x:v>
      </x:c>
      <x:c r="K70" s="19" t="str">
        <x:v>Vanari Caravans - Marden Point</x:v>
      </x:c>
      <x:c r="L70" s="19" t="str">
        <x:v>Z006</x:v>
      </x:c>
      <x:c r="M70" s="19" t="str">
        <x:v>In Field Warranty Claims</x:v>
      </x:c>
      <x:c r="N70" s="37" t="n">
        <x:v>46209</x:v>
      </x:c>
      <x:c r="O70" s="37"/>
      <x:c r="P70" s="34" t="n">
        <x:v>35.07</x:v>
      </x:c>
      <x:c r="Q70" s="37" t="n">
        <x:v>46209.24940972222</x:v>
      </x:c>
    </x:row>
    <x:row r="71">
      <x:c r="A71" s="22" t="n">
        <x:v>37404</x:v>
      </x:c>
      <x:c r="B71" s="28" t="n">
        <x:v>35.77</x:v>
      </x:c>
      <x:c r="C71" s="28" t="n">
        <x:v>32.39</x:v>
      </x:c>
      <x:c r="D71" s="31" t="n">
        <x:f>IF(OR(ISBLANK(B71),ISBLANK(C71),B71=0),"",(C71-B71)/B71)</x:f>
        <x:v>-0.09449259155717088</x:v>
      </x:c>
      <x:c r="E71" s="22" t="str">
        <x:f>IF(ISBLANK(C71),"AmountIncludingTax缺失",IF(ABS(B71-C71)&lt;0.005,"一致","不一致"))</x:f>
        <x:v>不一致</x:v>
      </x:c>
      <x:c r="F71" s="19" t="str">
        <x:v>approved</x:v>
      </x:c>
      <x:c r="G71" s="19" t="str">
        <x:v>Repairer Invoiced Processed</x:v>
      </x:c>
      <x:c r="H71" s="19" t="str">
        <x:v>In Field</x:v>
      </x:c>
      <x:c r="I71" s="37" t="n">
        <x:v>46209</x:v>
      </x:c>
      <x:c r="J71" s="37" t="n">
        <x:v>46209</x:v>
      </x:c>
      <x:c r="K71" s="19" t="str">
        <x:v>Vanari Caravans - Marden Point</x:v>
      </x:c>
      <x:c r="L71" s="19" t="str">
        <x:v>Z006</x:v>
      </x:c>
      <x:c r="M71" s="19" t="str">
        <x:v>In Field Warranty Claims</x:v>
      </x:c>
      <x:c r="N71" s="37" t="n">
        <x:v>46209</x:v>
      </x:c>
      <x:c r="O71" s="37"/>
      <x:c r="P71" s="34" t="n">
        <x:v>32.39</x:v>
      </x:c>
      <x:c r="Q71" s="37" t="n">
        <x:v>46209.2394212963</x:v>
      </x:c>
    </x:row>
    <x:row r="72">
      <x:c r="A72" s="22" t="n">
        <x:v>37403</x:v>
      </x:c>
      <x:c r="B72" s="28" t="n">
        <x:v>44.31</x:v>
      </x:c>
      <x:c r="C72" s="28" t="n">
        <x:v>40.12</x:v>
      </x:c>
      <x:c r="D72" s="31" t="n">
        <x:f>IF(OR(ISBLANK(B72),ISBLANK(C72),B72=0),"",(C72-B72)/B72)</x:f>
        <x:v>-0.09456104716768235</x:v>
      </x:c>
      <x:c r="E72" s="22" t="str">
        <x:f>IF(ISBLANK(C72),"AmountIncludingTax缺失",IF(ABS(B72-C72)&lt;0.005,"一致","不一致"))</x:f>
        <x:v>不一致</x:v>
      </x:c>
      <x:c r="F72" s="19" t="str">
        <x:v>approved</x:v>
      </x:c>
      <x:c r="G72" s="19" t="str">
        <x:v>Repairer Invoiced Processed</x:v>
      </x:c>
      <x:c r="H72" s="19" t="str">
        <x:v>In Field</x:v>
      </x:c>
      <x:c r="I72" s="37" t="n">
        <x:v>46209</x:v>
      </x:c>
      <x:c r="J72" s="37" t="n">
        <x:v>46209</x:v>
      </x:c>
      <x:c r="K72" s="19" t="str">
        <x:v>Vanari Caravans - Marden Point</x:v>
      </x:c>
      <x:c r="L72" s="19" t="str">
        <x:v>Z006</x:v>
      </x:c>
      <x:c r="M72" s="19" t="str">
        <x:v>In Field Warranty Claims</x:v>
      </x:c>
      <x:c r="N72" s="37" t="n">
        <x:v>46209</x:v>
      </x:c>
      <x:c r="O72" s="37"/>
      <x:c r="P72" s="34" t="n">
        <x:v>40.12</x:v>
      </x:c>
      <x:c r="Q72" s="37" t="n">
        <x:v>46209.23472222222</x:v>
      </x:c>
    </x:row>
    <x:row r="73">
      <x:c r="A73" s="22" t="n">
        <x:v>37399</x:v>
      </x:c>
      <x:c r="B73" s="28" t="n">
        <x:v>472.5</x:v>
      </x:c>
      <x:c r="C73" s="28"/>
      <x:c r="D73" s="31" t="str">
        <x:f>IF(OR(ISBLANK(B73),ISBLANK(C73),B73=0),"",(C73-B73)/B73)</x:f>
      </x:c>
      <x:c r="E73" s="22" t="str">
        <x:f>IF(ISBLANK(C73),"AmountIncludingTax缺失",IF(ABS(B73-C73)&lt;0.005,"一致","不一致"))</x:f>
        <x:v>AmountIncludingTax缺失</x:v>
      </x:c>
      <x:c r="F73" s="19" t="str">
        <x:v>approved</x:v>
      </x:c>
      <x:c r="G73" s="19" t="str">
        <x:v>Sales Order Approved</x:v>
      </x:c>
      <x:c r="H73" s="19" t="str">
        <x:v>In Field</x:v>
      </x:c>
      <x:c r="I73" s="37" t="n">
        <x:v>46210</x:v>
      </x:c>
      <x:c r="J73" s="37" t="n">
        <x:v>46210</x:v>
      </x:c>
      <x:c r="K73" s="19" t="str">
        <x:v>Leisure Lion - Bundaberg</x:v>
      </x:c>
      <x:c r="L73" s="19" t="str">
        <x:v>Z006</x:v>
      </x:c>
      <x:c r="M73" s="19" t="str">
        <x:v>In Field Warranty Claims</x:v>
      </x:c>
      <x:c r="N73" s="37" t="n">
        <x:v>46209</x:v>
      </x:c>
      <x:c r="O73" s="37"/>
      <x:c r="P73" s="34" t="n">
        <x:v>0</x:v>
      </x:c>
      <x:c r="Q73" s="37" t="n">
        <x:v>46209.980729166666</x:v>
      </x:c>
    </x:row>
    <x:row r="74">
      <x:c r="A74" s="22" t="n">
        <x:v>37393</x:v>
      </x:c>
      <x:c r="B74" s="28" t="n">
        <x:v>695</x:v>
      </x:c>
      <x:c r="C74" s="28" t="n">
        <x:v>764.5</x:v>
      </x:c>
      <x:c r="D74" s="31" t="n">
        <x:f>IF(OR(ISBLANK(B74),ISBLANK(C74),B74=0),"",(C74-B74)/B74)</x:f>
        <x:v>0.1</x:v>
      </x:c>
      <x:c r="E74" s="22" t="str">
        <x:f>IF(ISBLANK(C74),"AmountIncludingTax缺失",IF(ABS(B74-C74)&lt;0.005,"一致","不一致"))</x:f>
        <x:v>不一致</x:v>
      </x:c>
      <x:c r="F74" s="19" t="str">
        <x:v>approved</x:v>
      </x:c>
      <x:c r="G74" s="19" t="str">
        <x:v>Repair in Progress</x:v>
      </x:c>
      <x:c r="H74" s="19" t="str">
        <x:v>In Field</x:v>
      </x:c>
      <x:c r="I74" s="37" t="n">
        <x:v>46210</x:v>
      </x:c>
      <x:c r="J74" s="37" t="n">
        <x:v>46210</x:v>
      </x:c>
      <x:c r="K74" s="19" t="str">
        <x:v>Regent RV - Perth</x:v>
      </x:c>
      <x:c r="L74" s="19" t="str">
        <x:v>Z006</x:v>
      </x:c>
      <x:c r="M74" s="19" t="str">
        <x:v>In Field Warranty Claims</x:v>
      </x:c>
      <x:c r="N74" s="37" t="n">
        <x:v>46209</x:v>
      </x:c>
      <x:c r="O74" s="37"/>
      <x:c r="P74" s="34" t="n">
        <x:v>764.5</x:v>
      </x:c>
      <x:c r="Q74" s="37" t="n">
        <x:v>46210.02427083333</x:v>
      </x:c>
    </x:row>
    <x:row r="75">
      <x:c r="A75" s="22" t="n">
        <x:v>37392</x:v>
      </x:c>
      <x:c r="B75" s="28" t="n">
        <x:v>489.25</x:v>
      </x:c>
      <x:c r="C75" s="28" t="n">
        <x:v>442.97</x:v>
      </x:c>
      <x:c r="D75" s="31" t="n">
        <x:f>IF(OR(ISBLANK(B75),ISBLANK(C75),B75=0),"",(C75-B75)/B75)</x:f>
        <x:v>-0.0945937659683188</x:v>
      </x:c>
      <x:c r="E75" s="22" t="str">
        <x:f>IF(ISBLANK(C75),"AmountIncludingTax缺失",IF(ABS(B75-C75)&lt;0.005,"一致","不一致"))</x:f>
        <x:v>不一致</x:v>
      </x:c>
      <x:c r="F75" s="19" t="str">
        <x:v>approved</x:v>
      </x:c>
      <x:c r="G75" s="19" t="str">
        <x:v>Repair in Progress</x:v>
      </x:c>
      <x:c r="H75" s="19" t="str">
        <x:v>In Field</x:v>
      </x:c>
      <x:c r="I75" s="37" t="n">
        <x:v>46210</x:v>
      </x:c>
      <x:c r="J75" s="37" t="n">
        <x:v>46210</x:v>
      </x:c>
      <x:c r="K75" s="19" t="str">
        <x:v>Vanari Caravans - Marden Point</x:v>
      </x:c>
      <x:c r="L75" s="19" t="str">
        <x:v>Z006</x:v>
      </x:c>
      <x:c r="M75" s="19" t="str">
        <x:v>In Field Warranty Claims</x:v>
      </x:c>
      <x:c r="N75" s="37" t="n">
        <x:v>46209</x:v>
      </x:c>
      <x:c r="O75" s="37"/>
      <x:c r="P75" s="34" t="n">
        <x:v>442.97</x:v>
      </x:c>
      <x:c r="Q75" s="37" t="n">
        <x:v>46209.974282407406</x:v>
      </x:c>
    </x:row>
    <x:row r="76">
      <x:c r="A76" s="22" t="n">
        <x:v>37391</x:v>
      </x:c>
      <x:c r="B76" s="28" t="n">
        <x:v>222.5</x:v>
      </x:c>
      <x:c r="C76" s="28"/>
      <x:c r="D76" s="31" t="str">
        <x:f>IF(OR(ISBLANK(B76),ISBLANK(C76),B76=0),"",(C76-B76)/B76)</x:f>
      </x:c>
      <x:c r="E76" s="22" t="str">
        <x:f>IF(ISBLANK(C76),"AmountIncludingTax缺失",IF(ABS(B76-C76)&lt;0.005,"一致","不一致"))</x:f>
        <x:v>AmountIncludingTax缺失</x:v>
      </x:c>
      <x:c r="F76" s="19" t="str">
        <x:v>approved</x:v>
      </x:c>
      <x:c r="G76" s="19" t="str">
        <x:v>Sales Order Approved</x:v>
      </x:c>
      <x:c r="H76" s="19" t="str">
        <x:v>In Field</x:v>
      </x:c>
      <x:c r="I76" s="37" t="n">
        <x:v>46210</x:v>
      </x:c>
      <x:c r="J76" s="37" t="n">
        <x:v>46210</x:v>
      </x:c>
      <x:c r="K76" s="19" t="str">
        <x:v>Regent RV - Frankston</x:v>
      </x:c>
      <x:c r="L76" s="19" t="str">
        <x:v>Z006</x:v>
      </x:c>
      <x:c r="M76" s="19" t="str">
        <x:v>In Field Warranty Claims</x:v>
      </x:c>
      <x:c r="N76" s="37" t="n">
        <x:v>46209</x:v>
      </x:c>
      <x:c r="O76" s="37"/>
      <x:c r="P76" s="34" t="n">
        <x:v>0</x:v>
      </x:c>
      <x:c r="Q76" s="37" t="n">
        <x:v>46209.89157407408</x:v>
      </x:c>
    </x:row>
    <x:row r="77">
      <x:c r="A77" s="22" t="n">
        <x:v>37388</x:v>
      </x:c>
      <x:c r="B77" s="28" t="n">
        <x:v>135</x:v>
      </x:c>
      <x:c r="C77" s="28" t="n">
        <x:v>148.5</x:v>
      </x:c>
      <x:c r="D77" s="31" t="n">
        <x:f>IF(OR(ISBLANK(B77),ISBLANK(C77),B77=0),"",(C77-B77)/B77)</x:f>
        <x:v>0.1</x:v>
      </x:c>
      <x:c r="E77" s="22" t="str">
        <x:f>IF(ISBLANK(C77),"AmountIncludingTax缺失",IF(ABS(B77-C77)&lt;0.005,"一致","不一致"))</x:f>
        <x:v>不一致</x:v>
      </x:c>
      <x:c r="F77" s="19" t="str">
        <x:v>approved</x:v>
      </x:c>
      <x:c r="G77" s="19" t="str">
        <x:v>Repair in Progress</x:v>
      </x:c>
      <x:c r="H77" s="19" t="str">
        <x:v>In Field</x:v>
      </x:c>
      <x:c r="I77" s="37" t="n">
        <x:v>46210</x:v>
      </x:c>
      <x:c r="J77" s="37" t="n">
        <x:v>46210</x:v>
      </x:c>
      <x:c r="K77" s="19" t="str">
        <x:v>Leisure Lion - Bundaberg</x:v>
      </x:c>
      <x:c r="L77" s="19" t="str">
        <x:v>Z006</x:v>
      </x:c>
      <x:c r="M77" s="19" t="str">
        <x:v>In Field Warranty Claims</x:v>
      </x:c>
      <x:c r="N77" s="37" t="n">
        <x:v>46209</x:v>
      </x:c>
      <x:c r="O77" s="37"/>
      <x:c r="P77" s="34" t="n">
        <x:v>148.5</x:v>
      </x:c>
      <x:c r="Q77" s="37" t="n">
        <x:v>46209.94665509259</x:v>
      </x:c>
    </x:row>
    <x:row r="78">
      <x:c r="A78" s="22" t="n">
        <x:v>37386</x:v>
      </x:c>
      <x:c r="B78" s="28" t="n">
        <x:v>67.5</x:v>
      </x:c>
      <x:c r="C78" s="28"/>
      <x:c r="D78" s="31" t="str">
        <x:f>IF(OR(ISBLANK(B78),ISBLANK(C78),B78=0),"",(C78-B78)/B78)</x:f>
      </x:c>
      <x:c r="E78" s="22" t="str">
        <x:f>IF(ISBLANK(C78),"AmountIncludingTax缺失",IF(ABS(B78-C78)&lt;0.005,"一致","不一致"))</x:f>
        <x:v>AmountIncludingTax缺失</x:v>
      </x:c>
      <x:c r="F78" s="19" t="str">
        <x:v>approved</x:v>
      </x:c>
      <x:c r="G78" s="19" t="str">
        <x:v>Sales Order Approved</x:v>
      </x:c>
      <x:c r="H78" s="19" t="str">
        <x:v>Pre Delivery</x:v>
      </x:c>
      <x:c r="I78" s="37" t="n">
        <x:v>46212</x:v>
      </x:c>
      <x:c r="J78" s="37" t="n">
        <x:v>46212</x:v>
      </x:c>
      <x:c r="K78" s="19" t="str">
        <x:v>Regent RV - Perth</x:v>
      </x:c>
      <x:c r="L78" s="19" t="str">
        <x:v>Z005</x:v>
      </x:c>
      <x:c r="M78" s="19" t="str">
        <x:v>Pre Delivery Warranty Claims</x:v>
      </x:c>
      <x:c r="N78" s="37" t="n">
        <x:v>46209</x:v>
      </x:c>
      <x:c r="O78" s="37" t="n">
        <x:v>46210</x:v>
      </x:c>
      <x:c r="P78" s="34" t="n">
        <x:v>0</x:v>
      </x:c>
      <x:c r="Q78" s="37" t="n">
        <x:v>46212.01358796296</x:v>
      </x:c>
    </x:row>
    <x:row r="79">
      <x:c r="A79" s="22" t="n">
        <x:v>37384</x:v>
      </x:c>
      <x:c r="B79" s="28" t="n">
        <x:v>1700</x:v>
      </x:c>
      <x:c r="C79" s="28"/>
      <x:c r="D79" s="31" t="str">
        <x:f>IF(OR(ISBLANK(B79),ISBLANK(C79),B79=0),"",(C79-B79)/B79)</x:f>
      </x:c>
      <x:c r="E79" s="22" t="str">
        <x:f>IF(ISBLANK(C79),"AmountIncludingTax缺失",IF(ABS(B79-C79)&lt;0.005,"一致","不一致"))</x:f>
        <x:v>AmountIncludingTax缺失</x:v>
      </x:c>
      <x:c r="F79" s="19" t="str">
        <x:v>approved</x:v>
      </x:c>
      <x:c r="G79" s="19" t="str">
        <x:v>Sales Order Approved</x:v>
      </x:c>
      <x:c r="H79" s="19" t="str">
        <x:v>In Field</x:v>
      </x:c>
      <x:c r="I79" s="37" t="n">
        <x:v>46212</x:v>
      </x:c>
      <x:c r="J79" s="37" t="n">
        <x:v>46212</x:v>
      </x:c>
      <x:c r="K79" s="19" t="str">
        <x:v>Lesiure Lion-New Castle</x:v>
      </x:c>
      <x:c r="L79" s="19" t="str">
        <x:v>Z006</x:v>
      </x:c>
      <x:c r="M79" s="19" t="str">
        <x:v>In Field Warranty Claims</x:v>
      </x:c>
      <x:c r="N79" s="37" t="n">
        <x:v>46209</x:v>
      </x:c>
      <x:c r="O79" s="37"/>
      <x:c r="P79" s="34" t="n">
        <x:v>0</x:v>
      </x:c>
      <x:c r="Q79" s="37" t="n">
        <x:v>46212.03892361111</x:v>
      </x:c>
    </x:row>
    <x:row r="80">
      <x:c r="A80" s="22" t="n">
        <x:v>37383</x:v>
      </x:c>
      <x:c r="B80" s="28" t="n">
        <x:v>247.5</x:v>
      </x:c>
      <x:c r="C80" s="28" t="n">
        <x:v>224.09</x:v>
      </x:c>
      <x:c r="D80" s="31" t="n">
        <x:f>IF(OR(ISBLANK(B80),ISBLANK(C80),B80=0),"",(C80-B80)/B80)</x:f>
        <x:v>-0.09458585858585858</x:v>
      </x:c>
      <x:c r="E80" s="22" t="str">
        <x:f>IF(ISBLANK(C80),"AmountIncludingTax缺失",IF(ABS(B80-C80)&lt;0.005,"一致","不一致"))</x:f>
        <x:v>不一致</x:v>
      </x:c>
      <x:c r="F80" s="19" t="str">
        <x:v>approved</x:v>
      </x:c>
      <x:c r="G80" s="19" t="str">
        <x:v>Repairer Invoiced Processed</x:v>
      </x:c>
      <x:c r="H80" s="19" t="str">
        <x:v>In Field</x:v>
      </x:c>
      <x:c r="I80" s="37" t="n">
        <x:v>46210</x:v>
      </x:c>
      <x:c r="J80" s="37" t="n">
        <x:v>46210</x:v>
      </x:c>
      <x:c r="K80" s="19" t="str">
        <x:v>Vanari Caravans - Marden Point</x:v>
      </x:c>
      <x:c r="L80" s="19" t="str">
        <x:v>Z006</x:v>
      </x:c>
      <x:c r="M80" s="19" t="str">
        <x:v>In Field Warranty Claims</x:v>
      </x:c>
      <x:c r="N80" s="37" t="n">
        <x:v>46209</x:v>
      </x:c>
      <x:c r="O80" s="37"/>
      <x:c r="P80" s="34" t="n">
        <x:v>224.09</x:v>
      </x:c>
      <x:c r="Q80" s="37" t="n">
        <x:v>46209.976643518516</x:v>
      </x:c>
    </x:row>
    <x:row r="81">
      <x:c r="A81" s="22" t="n">
        <x:v>37382</x:v>
      </x:c>
      <x:c r="B81" s="28" t="n">
        <x:v>2718.7</x:v>
      </x:c>
      <x:c r="C81" s="28"/>
      <x:c r="D81" s="31" t="str">
        <x:f>IF(OR(ISBLANK(B81),ISBLANK(C81),B81=0),"",(C81-B81)/B81)</x:f>
      </x:c>
      <x:c r="E81" s="22" t="str">
        <x:f>IF(ISBLANK(C81),"AmountIncludingTax缺失",IF(ABS(B81-C81)&lt;0.005,"一致","不一致"))</x:f>
        <x:v>AmountIncludingTax缺失</x:v>
      </x:c>
      <x:c r="F81" s="19" t="str">
        <x:v>approved</x:v>
      </x:c>
      <x:c r="G81" s="19" t="str">
        <x:v>Repair in Progress</x:v>
      </x:c>
      <x:c r="H81" s="19" t="str">
        <x:v>In Field</x:v>
      </x:c>
      <x:c r="I81" s="37" t="n">
        <x:v>46210</x:v>
      </x:c>
      <x:c r="J81" s="37" t="n">
        <x:v>46210</x:v>
      </x:c>
      <x:c r="K81" s="19" t="str">
        <x:v>Vanari Caravans - Marden Point</x:v>
      </x:c>
      <x:c r="L81" s="19" t="str">
        <x:v>Z006</x:v>
      </x:c>
      <x:c r="M81" s="19" t="str">
        <x:v>In Field Warranty Claims</x:v>
      </x:c>
      <x:c r="N81" s="37" t="n">
        <x:v>46209</x:v>
      </x:c>
      <x:c r="O81" s="37"/>
      <x:c r="P81" s="34" t="n">
        <x:v>2461.51</x:v>
      </x:c>
      <x:c r="Q81" s="37" t="n">
        <x:v>46210.000243055554</x:v>
      </x:c>
    </x:row>
    <x:row r="82">
      <x:c r="A82" s="22" t="n">
        <x:v>37381</x:v>
      </x:c>
      <x:c r="B82" s="28" t="n">
        <x:v>577.5</x:v>
      </x:c>
      <x:c r="C82" s="28" t="n">
        <x:v>522.87</x:v>
      </x:c>
      <x:c r="D82" s="31" t="n">
        <x:f>IF(OR(ISBLANK(B82),ISBLANK(C82),B82=0),"",(C82-B82)/B82)</x:f>
        <x:v>-0.09459740259740258</x:v>
      </x:c>
      <x:c r="E82" s="22" t="str">
        <x:f>IF(ISBLANK(C82),"AmountIncludingTax缺失",IF(ABS(B82-C82)&lt;0.005,"一致","不一致"))</x:f>
        <x:v>不一致</x:v>
      </x:c>
      <x:c r="F82" s="19" t="str">
        <x:v>approved</x:v>
      </x:c>
      <x:c r="G82" s="19" t="str">
        <x:v>Repair in Progress</x:v>
      </x:c>
      <x:c r="H82" s="19" t="str">
        <x:v>In Field</x:v>
      </x:c>
      <x:c r="I82" s="37" t="n">
        <x:v>46210</x:v>
      </x:c>
      <x:c r="J82" s="37" t="n">
        <x:v>46210</x:v>
      </x:c>
      <x:c r="K82" s="19" t="str">
        <x:v>Vanari Caravans - Marden Point</x:v>
      </x:c>
      <x:c r="L82" s="19" t="str">
        <x:v>Z006</x:v>
      </x:c>
      <x:c r="M82" s="19" t="str">
        <x:v>In Field Warranty Claims</x:v>
      </x:c>
      <x:c r="N82" s="37" t="n">
        <x:v>46209</x:v>
      </x:c>
      <x:c r="O82" s="37"/>
      <x:c r="P82" s="34" t="n">
        <x:v>522.87</x:v>
      </x:c>
      <x:c r="Q82" s="37" t="n">
        <x:v>46210.00711805555</x:v>
      </x:c>
    </x:row>
    <x:row r="83">
      <x:c r="A83" s="22" t="n">
        <x:v>37380</x:v>
      </x:c>
      <x:c r="B83" s="28" t="n">
        <x:v>352.5</x:v>
      </x:c>
      <x:c r="C83" s="28"/>
      <x:c r="D83" s="31" t="str">
        <x:f>IF(OR(ISBLANK(B83),ISBLANK(C83),B83=0),"",(C83-B83)/B83)</x:f>
      </x:c>
      <x:c r="E83" s="22" t="str">
        <x:f>IF(ISBLANK(C83),"AmountIncludingTax缺失",IF(ABS(B83-C83)&lt;0.005,"一致","不一致"))</x:f>
        <x:v>AmountIncludingTax缺失</x:v>
      </x:c>
      <x:c r="F83" s="19" t="str">
        <x:v>approved</x:v>
      </x:c>
      <x:c r="G83" s="19" t="str">
        <x:v>Sales Order Approved</x:v>
      </x:c>
      <x:c r="H83" s="19" t="str">
        <x:v>In Field</x:v>
      </x:c>
      <x:c r="I83" s="37" t="n">
        <x:v>46212</x:v>
      </x:c>
      <x:c r="J83" s="37" t="n">
        <x:v>46212</x:v>
      </x:c>
      <x:c r="K83" s="19" t="str">
        <x:v>Snowy River Frankston</x:v>
      </x:c>
      <x:c r="L83" s="19" t="str">
        <x:v>Z006</x:v>
      </x:c>
      <x:c r="M83" s="19" t="str">
        <x:v>In Field Warranty Claims</x:v>
      </x:c>
      <x:c r="N83" s="37" t="n">
        <x:v>46209</x:v>
      </x:c>
      <x:c r="O83" s="37"/>
      <x:c r="P83" s="34" t="n">
        <x:v>0</x:v>
      </x:c>
      <x:c r="Q83" s="37" t="n">
        <x:v>46212.04252314815</x:v>
      </x:c>
    </x:row>
    <x:row r="84">
      <x:c r="A84" s="22" t="n">
        <x:v>37379</x:v>
      </x:c>
      <x:c r="B84" s="28" t="n">
        <x:v>67.5</x:v>
      </x:c>
      <x:c r="C84" s="28"/>
      <x:c r="D84" s="31" t="str">
        <x:f>IF(OR(ISBLANK(B84),ISBLANK(C84),B84=0),"",(C84-B84)/B84)</x:f>
      </x:c>
      <x:c r="E84" s="22" t="str">
        <x:f>IF(ISBLANK(C84),"AmountIncludingTax缺失",IF(ABS(B84-C84)&lt;0.005,"一致","不一致"))</x:f>
        <x:v>AmountIncludingTax缺失</x:v>
      </x:c>
      <x:c r="F84" s="19" t="str">
        <x:v>approved</x:v>
      </x:c>
      <x:c r="G84" s="19" t="str">
        <x:v>Sales Order Approved</x:v>
      </x:c>
      <x:c r="H84" s="19" t="str">
        <x:v>In Field</x:v>
      </x:c>
      <x:c r="I84" s="37" t="n">
        <x:v>46212</x:v>
      </x:c>
      <x:c r="J84" s="37" t="n">
        <x:v>46212</x:v>
      </x:c>
      <x:c r="K84" s="19" t="str">
        <x:v>Auswide Caravans - South Nowra</x:v>
      </x:c>
      <x:c r="L84" s="19" t="str">
        <x:v>Z006</x:v>
      </x:c>
      <x:c r="M84" s="19" t="str">
        <x:v>In Field Warranty Claims</x:v>
      </x:c>
      <x:c r="N84" s="37" t="n">
        <x:v>46209</x:v>
      </x:c>
      <x:c r="O84" s="37"/>
      <x:c r="P84" s="34" t="n">
        <x:v>0</x:v>
      </x:c>
      <x:c r="Q84" s="37" t="n">
        <x:v>46212.01461805555</x:v>
      </x:c>
    </x:row>
    <x:row r="85">
      <x:c r="A85" s="22" t="n">
        <x:v>37377</x:v>
      </x:c>
      <x:c r="B85" s="28" t="n">
        <x:v>67.5</x:v>
      </x:c>
      <x:c r="C85" s="28"/>
      <x:c r="D85" s="31" t="str">
        <x:f>IF(OR(ISBLANK(B85),ISBLANK(C85),B85=0),"",(C85-B85)/B85)</x:f>
      </x:c>
      <x:c r="E85" s="22" t="str">
        <x:f>IF(ISBLANK(C85),"AmountIncludingTax缺失",IF(ABS(B85-C85)&lt;0.005,"一致","不一致"))</x:f>
        <x:v>AmountIncludingTax缺失</x:v>
      </x:c>
      <x:c r="F85" s="19" t="str">
        <x:v>approved</x:v>
      </x:c>
      <x:c r="G85" s="19" t="str">
        <x:v>Sales Order Approved</x:v>
      </x:c>
      <x:c r="H85" s="19" t="str">
        <x:v>In Field</x:v>
      </x:c>
      <x:c r="I85" s="37" t="n">
        <x:v>46212</x:v>
      </x:c>
      <x:c r="J85" s="37" t="n">
        <x:v>46212</x:v>
      </x:c>
      <x:c r="K85" s="19" t="str">
        <x:v>Lesiure Lion-New Castle</x:v>
      </x:c>
      <x:c r="L85" s="19" t="str">
        <x:v>Z006</x:v>
      </x:c>
      <x:c r="M85" s="19" t="str">
        <x:v>In Field Warranty Claims</x:v>
      </x:c>
      <x:c r="N85" s="37" t="n">
        <x:v>46209</x:v>
      </x:c>
      <x:c r="O85" s="37"/>
      <x:c r="P85" s="34" t="n">
        <x:v>0</x:v>
      </x:c>
      <x:c r="Q85" s="37" t="n">
        <x:v>46212.0115625</x:v>
      </x:c>
    </x:row>
    <x:row r="86">
      <x:c r="A86" s="22" t="n">
        <x:v>37376</x:v>
      </x:c>
      <x:c r="B86" s="28" t="n">
        <x:v>1072.5</x:v>
      </x:c>
      <x:c r="C86" s="28"/>
      <x:c r="D86" s="31" t="str">
        <x:f>IF(OR(ISBLANK(B86),ISBLANK(C86),B86=0),"",(C86-B86)/B86)</x:f>
      </x:c>
      <x:c r="E86" s="22" t="str">
        <x:f>IF(ISBLANK(C86),"AmountIncludingTax缺失",IF(ABS(B86-C86)&lt;0.005,"一致","不一致"))</x:f>
        <x:v>AmountIncludingTax缺失</x:v>
      </x:c>
      <x:c r="F86" s="19" t="str">
        <x:v>approved</x:v>
      </x:c>
      <x:c r="G86" s="19" t="str">
        <x:v>Sales Order Approved</x:v>
      </x:c>
      <x:c r="H86" s="19" t="str">
        <x:v>In Field</x:v>
      </x:c>
      <x:c r="I86" s="37" t="n">
        <x:v>46209</x:v>
      </x:c>
      <x:c r="J86" s="37" t="n">
        <x:v>46209</x:v>
      </x:c>
      <x:c r="K86" s="19" t="str">
        <x:v>Regent RV - Toowoomba</x:v>
      </x:c>
      <x:c r="L86" s="19" t="str">
        <x:v>Z006</x:v>
      </x:c>
      <x:c r="M86" s="19" t="str">
        <x:v>In Field Warranty Claims</x:v>
      </x:c>
      <x:c r="N86" s="37" t="n">
        <x:v>46209</x:v>
      </x:c>
      <x:c r="O86" s="37"/>
      <x:c r="P86" s="34" t="n">
        <x:v>0</x:v>
      </x:c>
      <x:c r="Q86" s="37" t="n">
        <x:v>46209.2146875</x:v>
      </x:c>
    </x:row>
    <x:row r="87">
      <x:c r="A87" s="22" t="n">
        <x:v>37375</x:v>
      </x:c>
      <x:c r="B87" s="28" t="n">
        <x:v>67.5</x:v>
      </x:c>
      <x:c r="C87" s="28"/>
      <x:c r="D87" s="31" t="str">
        <x:f>IF(OR(ISBLANK(B87),ISBLANK(C87),B87=0),"",(C87-B87)/B87)</x:f>
      </x:c>
      <x:c r="E87" s="22" t="str">
        <x:f>IF(ISBLANK(C87),"AmountIncludingTax缺失",IF(ABS(B87-C87)&lt;0.005,"一致","不一致"))</x:f>
        <x:v>AmountIncludingTax缺失</x:v>
      </x:c>
      <x:c r="F87" s="19" t="str">
        <x:v>approved</x:v>
      </x:c>
      <x:c r="G87" s="19" t="str">
        <x:v>Sales Order Approved</x:v>
      </x:c>
      <x:c r="H87" s="19" t="str">
        <x:v>In Field</x:v>
      </x:c>
      <x:c r="I87" s="37" t="n">
        <x:v>46210</x:v>
      </x:c>
      <x:c r="J87" s="37" t="n">
        <x:v>46210</x:v>
      </x:c>
      <x:c r="K87" s="19" t="str">
        <x:v>Lesiure Lion-New Castle</x:v>
      </x:c>
      <x:c r="L87" s="19" t="str">
        <x:v>Z006</x:v>
      </x:c>
      <x:c r="M87" s="19" t="str">
        <x:v>In Field Warranty Claims</x:v>
      </x:c>
      <x:c r="N87" s="37" t="n">
        <x:v>46209</x:v>
      </x:c>
      <x:c r="O87" s="37"/>
      <x:c r="P87" s="34" t="n">
        <x:v>0</x:v>
      </x:c>
      <x:c r="Q87" s="37" t="n">
        <x:v>46210.145625</x:v>
      </x:c>
    </x:row>
    <x:row r="88">
      <x:c r="A88" s="22" t="n">
        <x:v>37374</x:v>
      </x:c>
      <x:c r="B88" s="28" t="n">
        <x:v>222.5</x:v>
      </x:c>
      <x:c r="C88" s="28"/>
      <x:c r="D88" s="31" t="str">
        <x:f>IF(OR(ISBLANK(B88),ISBLANK(C88),B88=0),"",(C88-B88)/B88)</x:f>
      </x:c>
      <x:c r="E88" s="22" t="str">
        <x:f>IF(ISBLANK(C88),"AmountIncludingTax缺失",IF(ABS(B88-C88)&lt;0.005,"一致","不一致"))</x:f>
        <x:v>AmountIncludingTax缺失</x:v>
      </x:c>
      <x:c r="F88" s="19" t="str">
        <x:v>approved</x:v>
      </x:c>
      <x:c r="G88" s="19" t="str">
        <x:v>Sales Order Approved</x:v>
      </x:c>
      <x:c r="H88" s="19" t="str">
        <x:v>In Field</x:v>
      </x:c>
      <x:c r="I88" s="37" t="n">
        <x:v>46210</x:v>
      </x:c>
      <x:c r="J88" s="37" t="n">
        <x:v>46210</x:v>
      </x:c>
      <x:c r="K88" s="19" t="str">
        <x:v>Dario Caravans - Pooraka</x:v>
      </x:c>
      <x:c r="L88" s="19" t="str">
        <x:v>Z006</x:v>
      </x:c>
      <x:c r="M88" s="19" t="str">
        <x:v>In Field Warranty Claims</x:v>
      </x:c>
      <x:c r="N88" s="37" t="n">
        <x:v>46209</x:v>
      </x:c>
      <x:c r="O88" s="37"/>
      <x:c r="P88" s="34" t="n">
        <x:v>0</x:v>
      </x:c>
      <x:c r="Q88" s="37" t="n">
        <x:v>46210.07650462963</x:v>
      </x:c>
    </x:row>
    <x:row r="89">
      <x:c r="A89" s="22" t="n">
        <x:v>37373</x:v>
      </x:c>
      <x:c r="B89" s="28" t="n">
        <x:v>202.5</x:v>
      </x:c>
      <x:c r="C89" s="28" t="n">
        <x:v>222.75</x:v>
      </x:c>
      <x:c r="D89" s="31" t="n">
        <x:f>IF(OR(ISBLANK(B89),ISBLANK(C89),B89=0),"",(C89-B89)/B89)</x:f>
        <x:v>0.1</x:v>
      </x:c>
      <x:c r="E89" s="22" t="str">
        <x:f>IF(ISBLANK(C89),"AmountIncludingTax缺失",IF(ABS(B89-C89)&lt;0.005,"一致","不一致"))</x:f>
        <x:v>不一致</x:v>
      </x:c>
      <x:c r="F89" s="19"/>
      <x:c r="G89" s="19" t="str">
        <x:v>Awaiting Parts</x:v>
      </x:c>
      <x:c r="H89" s="19" t="str">
        <x:v>In Field</x:v>
      </x:c>
      <x:c r="I89" s="37"/>
      <x:c r="J89" s="37" t="n">
        <x:v>46212</x:v>
      </x:c>
      <x:c r="K89" s="19" t="str">
        <x:v>Regent RV - Toowoomba</x:v>
      </x:c>
      <x:c r="L89" s="19" t="str">
        <x:v>Z006</x:v>
      </x:c>
      <x:c r="M89" s="19" t="str">
        <x:v>In Field Warranty Claims</x:v>
      </x:c>
      <x:c r="N89" s="37" t="n">
        <x:v>46209</x:v>
      </x:c>
      <x:c r="O89" s="37"/>
      <x:c r="P89" s="34" t="n">
        <x:v>222.75</x:v>
      </x:c>
      <x:c r="Q89" s="37"/>
    </x:row>
    <x:row r="90">
      <x:c r="A90" s="22" t="n">
        <x:v>37371</x:v>
      </x:c>
      <x:c r="B90" s="28" t="n">
        <x:v>101.25</x:v>
      </x:c>
      <x:c r="C90" s="28"/>
      <x:c r="D90" s="31" t="str">
        <x:f>IF(OR(ISBLANK(B90),ISBLANK(C90),B90=0),"",(C90-B90)/B90)</x:f>
      </x:c>
      <x:c r="E90" s="22" t="str">
        <x:f>IF(ISBLANK(C90),"AmountIncludingTax缺失",IF(ABS(B90-C90)&lt;0.005,"一致","不一致"))</x:f>
        <x:v>AmountIncludingTax缺失</x:v>
      </x:c>
      <x:c r="F90" s="19" t="str">
        <x:v>approved</x:v>
      </x:c>
      <x:c r="G90" s="19" t="str">
        <x:v>Sales Order Approved</x:v>
      </x:c>
      <x:c r="H90" s="19" t="str">
        <x:v>In Field</x:v>
      </x:c>
      <x:c r="I90" s="37" t="n">
        <x:v>46209</x:v>
      </x:c>
      <x:c r="J90" s="37" t="n">
        <x:v>46209</x:v>
      </x:c>
      <x:c r="K90" s="19" t="str">
        <x:v>Lesiure Lion-New Castle</x:v>
      </x:c>
      <x:c r="L90" s="19" t="str">
        <x:v>Z006</x:v>
      </x:c>
      <x:c r="M90" s="19" t="str">
        <x:v>In Field Warranty Claims</x:v>
      </x:c>
      <x:c r="N90" s="37" t="n">
        <x:v>46208</x:v>
      </x:c>
      <x:c r="O90" s="37"/>
      <x:c r="P90" s="34" t="n">
        <x:v>0</x:v>
      </x:c>
      <x:c r="Q90" s="37" t="n">
        <x:v>46209.04059027778</x:v>
      </x:c>
    </x:row>
    <x:row r="91">
      <x:c r="A91" s="22" t="n">
        <x:v>37370</x:v>
      </x:c>
      <x:c r="B91" s="28" t="n">
        <x:v>1852.5</x:v>
      </x:c>
      <x:c r="C91" s="28"/>
      <x:c r="D91" s="31" t="str">
        <x:f>IF(OR(ISBLANK(B91),ISBLANK(C91),B91=0),"",(C91-B91)/B91)</x:f>
      </x:c>
      <x:c r="E91" s="22" t="str">
        <x:f>IF(ISBLANK(C91),"AmountIncludingTax缺失",IF(ABS(B91-C91)&lt;0.005,"一致","不一致"))</x:f>
        <x:v>AmountIncludingTax缺失</x:v>
      </x:c>
      <x:c r="F91" s="19" t="str">
        <x:v>approved</x:v>
      </x:c>
      <x:c r="G91" s="19" t="str">
        <x:v>Partially Picked</x:v>
      </x:c>
      <x:c r="H91" s="19" t="str">
        <x:v>In Field</x:v>
      </x:c>
      <x:c r="I91" s="37" t="n">
        <x:v>46209</x:v>
      </x:c>
      <x:c r="J91" s="37" t="n">
        <x:v>46209</x:v>
      </x:c>
      <x:c r="K91" s="19" t="str">
        <x:v>Snowy River Geelong</x:v>
      </x:c>
      <x:c r="L91" s="19" t="str">
        <x:v>Z006</x:v>
      </x:c>
      <x:c r="M91" s="19" t="str">
        <x:v>In Field Warranty Claims</x:v>
      </x:c>
      <x:c r="N91" s="37" t="n">
        <x:v>46209</x:v>
      </x:c>
      <x:c r="O91" s="37"/>
      <x:c r="P91" s="34" t="n">
        <x:v>0</x:v>
      </x:c>
      <x:c r="Q91" s="37" t="n">
        <x:v>46209.249189814815</x:v>
      </x:c>
    </x:row>
    <x:row r="92">
      <x:c r="A92" s="22" t="n">
        <x:v>37369</x:v>
      </x:c>
      <x:c r="B92" s="28" t="n">
        <x:v>135</x:v>
      </x:c>
      <x:c r="C92" s="28"/>
      <x:c r="D92" s="31" t="str">
        <x:f>IF(OR(ISBLANK(B92),ISBLANK(C92),B92=0),"",(C92-B92)/B92)</x:f>
      </x:c>
      <x:c r="E92" s="22" t="str">
        <x:f>IF(ISBLANK(C92),"AmountIncludingTax缺失",IF(ABS(B92-C92)&lt;0.005,"一致","不一致"))</x:f>
        <x:v>AmountIncludingTax缺失</x:v>
      </x:c>
      <x:c r="F92" s="19" t="str">
        <x:v>approved</x:v>
      </x:c>
      <x:c r="G92" s="19" t="str">
        <x:v>Sales Order Approved</x:v>
      </x:c>
      <x:c r="H92" s="19" t="str">
        <x:v>In Field</x:v>
      </x:c>
      <x:c r="I92" s="37" t="n">
        <x:v>46209</x:v>
      </x:c>
      <x:c r="J92" s="37" t="n">
        <x:v>46209</x:v>
      </x:c>
      <x:c r="K92" s="19" t="str">
        <x:v>Green RV - Slacks Creek</x:v>
      </x:c>
      <x:c r="L92" s="19" t="str">
        <x:v>Z006</x:v>
      </x:c>
      <x:c r="M92" s="19" t="str">
        <x:v>In Field Warranty Claims</x:v>
      </x:c>
      <x:c r="N92" s="37" t="n">
        <x:v>46209</x:v>
      </x:c>
      <x:c r="O92" s="37"/>
      <x:c r="P92" s="34" t="n">
        <x:v>0</x:v>
      </x:c>
      <x:c r="Q92" s="37" t="n">
        <x:v>46209.21864583333</x:v>
      </x:c>
    </x:row>
    <x:row r="93">
      <x:c r="A93" s="22" t="n">
        <x:v>37368</x:v>
      </x:c>
      <x:c r="B93" s="28" t="n">
        <x:v>681.25</x:v>
      </x:c>
      <x:c r="C93" s="28"/>
      <x:c r="D93" s="31" t="str">
        <x:f>IF(OR(ISBLANK(B93),ISBLANK(C93),B93=0),"",(C93-B93)/B93)</x:f>
      </x:c>
      <x:c r="E93" s="22" t="str">
        <x:f>IF(ISBLANK(C93),"AmountIncludingTax缺失",IF(ABS(B93-C93)&lt;0.005,"一致","不一致"))</x:f>
        <x:v>AmountIncludingTax缺失</x:v>
      </x:c>
      <x:c r="F93" s="19" t="str">
        <x:v>approved</x:v>
      </x:c>
      <x:c r="G93" s="19" t="str">
        <x:v>Sales Order Approved</x:v>
      </x:c>
      <x:c r="H93" s="19" t="str">
        <x:v>In Field</x:v>
      </x:c>
      <x:c r="I93" s="37" t="n">
        <x:v>46210</x:v>
      </x:c>
      <x:c r="J93" s="37" t="n">
        <x:v>46210</x:v>
      </x:c>
      <x:c r="K93" s="19" t="str">
        <x:v>Regent RV - Toowoomba</x:v>
      </x:c>
      <x:c r="L93" s="19" t="str">
        <x:v>Z006</x:v>
      </x:c>
      <x:c r="M93" s="19" t="str">
        <x:v>In Field Warranty Claims</x:v>
      </x:c>
      <x:c r="N93" s="37" t="n">
        <x:v>46209</x:v>
      </x:c>
      <x:c r="O93" s="37"/>
      <x:c r="P93" s="34" t="n">
        <x:v>0</x:v>
      </x:c>
      <x:c r="Q93" s="37" t="n">
        <x:v>46210.247569444444</x:v>
      </x:c>
    </x:row>
    <x:row r="94">
      <x:c r="A94" s="22" t="n">
        <x:v>37366</x:v>
      </x:c>
      <x:c r="B94" s="28" t="n">
        <x:v>675</x:v>
      </x:c>
      <x:c r="C94" s="28"/>
      <x:c r="D94" s="31" t="str">
        <x:f>IF(OR(ISBLANK(B94),ISBLANK(C94),B94=0),"",(C94-B94)/B94)</x:f>
      </x:c>
      <x:c r="E94" s="22" t="str">
        <x:f>IF(ISBLANK(C94),"AmountIncludingTax缺失",IF(ABS(B94-C94)&lt;0.005,"一致","不一致"))</x:f>
        <x:v>AmountIncludingTax缺失</x:v>
      </x:c>
      <x:c r="F94" s="19" t="str">
        <x:v>approved</x:v>
      </x:c>
      <x:c r="G94" s="19" t="str">
        <x:v>Sales Order Approved</x:v>
      </x:c>
      <x:c r="H94" s="19" t="str">
        <x:v>In Field</x:v>
      </x:c>
      <x:c r="I94" s="37" t="n">
        <x:v>46210</x:v>
      </x:c>
      <x:c r="J94" s="37" t="n">
        <x:v>46210</x:v>
      </x:c>
      <x:c r="K94" s="19" t="str">
        <x:v>Green RV - Forest Glen</x:v>
      </x:c>
      <x:c r="L94" s="19" t="str">
        <x:v>Z006</x:v>
      </x:c>
      <x:c r="M94" s="19" t="str">
        <x:v>In Field Warranty Claims</x:v>
      </x:c>
      <x:c r="N94" s="37" t="n">
        <x:v>46209</x:v>
      </x:c>
      <x:c r="O94" s="37"/>
      <x:c r="P94" s="34" t="n">
        <x:v>0</x:v>
      </x:c>
      <x:c r="Q94" s="37" t="n">
        <x:v>46210.23422453704</x:v>
      </x:c>
    </x:row>
    <x:row r="95">
      <x:c r="A95" s="22" t="n">
        <x:v>37362</x:v>
      </x:c>
      <x:c r="B95" s="28" t="n">
        <x:v>145</x:v>
      </x:c>
      <x:c r="C95" s="28"/>
      <x:c r="D95" s="31" t="str">
        <x:f>IF(OR(ISBLANK(B95),ISBLANK(C95),B95=0),"",(C95-B95)/B95)</x:f>
      </x:c>
      <x:c r="E95" s="22" t="str">
        <x:f>IF(ISBLANK(C95),"AmountIncludingTax缺失",IF(ABS(B95-C95)&lt;0.005,"一致","不一致"))</x:f>
        <x:v>AmountIncludingTax缺失</x:v>
      </x:c>
      <x:c r="F95" s="19" t="str">
        <x:v>approved</x:v>
      </x:c>
      <x:c r="G95" s="19" t="str">
        <x:v>Sales Order Approved</x:v>
      </x:c>
      <x:c r="H95" s="19" t="str">
        <x:v>In Field</x:v>
      </x:c>
      <x:c r="I95" s="37" t="n">
        <x:v>46209</x:v>
      </x:c>
      <x:c r="J95" s="37" t="n">
        <x:v>46209</x:v>
      </x:c>
      <x:c r="K95" s="19" t="str">
        <x:v>Leisure Lion - Bundaberg</x:v>
      </x:c>
      <x:c r="L95" s="19" t="str">
        <x:v>Z006</x:v>
      </x:c>
      <x:c r="M95" s="19" t="str">
        <x:v>In Field Warranty Claims</x:v>
      </x:c>
      <x:c r="N95" s="37" t="n">
        <x:v>46206</x:v>
      </x:c>
      <x:c r="O95" s="37"/>
      <x:c r="P95" s="34" t="n">
        <x:v>0</x:v>
      </x:c>
      <x:c r="Q95" s="37" t="n">
        <x:v>46209.01351851852</x:v>
      </x:c>
    </x:row>
    <x:row r="96">
      <x:c r="A96" s="22" t="n">
        <x:v>37360</x:v>
      </x:c>
      <x:c r="B96" s="28" t="n">
        <x:v>260</x:v>
      </x:c>
      <x:c r="C96" s="28" t="n">
        <x:v>286</x:v>
      </x:c>
      <x:c r="D96" s="31" t="n">
        <x:f>IF(OR(ISBLANK(B96),ISBLANK(C96),B96=0),"",(C96-B96)/B96)</x:f>
        <x:v>0.1</x:v>
      </x:c>
      <x:c r="E96" s="22" t="str">
        <x:f>IF(ISBLANK(C96),"AmountIncludingTax缺失",IF(ABS(B96-C96)&lt;0.005,"一致","不一致"))</x:f>
        <x:v>不一致</x:v>
      </x:c>
      <x:c r="F96" s="19" t="str">
        <x:v>approved</x:v>
      </x:c>
      <x:c r="G96" s="19" t="str">
        <x:v>Repair in Progress</x:v>
      </x:c>
      <x:c r="H96" s="19" t="str">
        <x:v>In Field</x:v>
      </x:c>
      <x:c r="I96" s="37" t="n">
        <x:v>46210</x:v>
      </x:c>
      <x:c r="J96" s="37" t="n">
        <x:v>46210</x:v>
      </x:c>
      <x:c r="K96" s="19" t="str">
        <x:v>Green RV - Slacks Creek</x:v>
      </x:c>
      <x:c r="L96" s="19" t="str">
        <x:v>Z006</x:v>
      </x:c>
      <x:c r="M96" s="19" t="str">
        <x:v>In Field Warranty Claims</x:v>
      </x:c>
      <x:c r="N96" s="37" t="n">
        <x:v>46209</x:v>
      </x:c>
      <x:c r="O96" s="37"/>
      <x:c r="P96" s="34" t="n">
        <x:v>286</x:v>
      </x:c>
      <x:c r="Q96" s="37" t="n">
        <x:v>46209.927152777775</x:v>
      </x:c>
    </x:row>
    <x:row r="97">
      <x:c r="A97" s="22" t="n">
        <x:v>37355</x:v>
      </x:c>
      <x:c r="B97" s="28" t="n">
        <x:v>409.09</x:v>
      </x:c>
      <x:c r="C97" s="28" t="n">
        <x:v>450</x:v>
      </x:c>
      <x:c r="D97" s="31" t="n">
        <x:f>IF(OR(ISBLANK(B97),ISBLANK(C97),B97=0),"",(C97-B97)/B97)</x:f>
        <x:v>0.10000244444987662</x:v>
      </x:c>
      <x:c r="E97" s="22" t="str">
        <x:f>IF(ISBLANK(C97),"AmountIncludingTax缺失",IF(ABS(B97-C97)&lt;0.005,"一致","不一致"))</x:f>
        <x:v>不一致</x:v>
      </x:c>
      <x:c r="F97" s="19" t="str">
        <x:v>approved</x:v>
      </x:c>
      <x:c r="G97" s="19" t="str">
        <x:v>Repair in Progress</x:v>
      </x:c>
      <x:c r="H97" s="19" t="str">
        <x:v>In Field</x:v>
      </x:c>
      <x:c r="I97" s="37" t="n">
        <x:v>46209</x:v>
      </x:c>
      <x:c r="J97" s="37" t="n">
        <x:v>46209</x:v>
      </x:c>
      <x:c r="K97" s="19" t="str">
        <x:v>Dario Caravans - Pooraka</x:v>
      </x:c>
      <x:c r="L97" s="19" t="str">
        <x:v>Z006</x:v>
      </x:c>
      <x:c r="M97" s="19" t="str">
        <x:v>In Field Warranty Claims</x:v>
      </x:c>
      <x:c r="N97" s="37" t="n">
        <x:v>46208</x:v>
      </x:c>
      <x:c r="O97" s="37"/>
      <x:c r="P97" s="34" t="n">
        <x:v>450</x:v>
      </x:c>
      <x:c r="Q97" s="37" t="n">
        <x:v>46208.946921296294</x:v>
      </x:c>
    </x:row>
    <x:row r="98">
      <x:c r="A98" s="22" t="n">
        <x:v>37353</x:v>
      </x:c>
      <x:c r="B98" s="28" t="n">
        <x:v>135</x:v>
      </x:c>
      <x:c r="C98" s="28"/>
      <x:c r="D98" s="31" t="str">
        <x:f>IF(OR(ISBLANK(B98),ISBLANK(C98),B98=0),"",(C98-B98)/B98)</x:f>
      </x:c>
      <x:c r="E98" s="22" t="str">
        <x:f>IF(ISBLANK(C98),"AmountIncludingTax缺失",IF(ABS(B98-C98)&lt;0.005,"一致","不一致"))</x:f>
        <x:v>AmountIncludingTax缺失</x:v>
      </x:c>
      <x:c r="F98" s="19" t="str">
        <x:v>approved</x:v>
      </x:c>
      <x:c r="G98" s="19" t="str">
        <x:v>Sales Order Approved</x:v>
      </x:c>
      <x:c r="H98" s="19" t="str">
        <x:v>In Field</x:v>
      </x:c>
      <x:c r="I98" s="37" t="n">
        <x:v>46209</x:v>
      </x:c>
      <x:c r="J98" s="37" t="n">
        <x:v>46209</x:v>
      </x:c>
      <x:c r="K98" s="19" t="str">
        <x:v>Regent RV - Perth</x:v>
      </x:c>
      <x:c r="L98" s="19" t="str">
        <x:v>Z006</x:v>
      </x:c>
      <x:c r="M98" s="19" t="str">
        <x:v>In Field Warranty Claims</x:v>
      </x:c>
      <x:c r="N98" s="37" t="n">
        <x:v>46206</x:v>
      </x:c>
      <x:c r="O98" s="37"/>
      <x:c r="P98" s="34" t="n">
        <x:v>0</x:v>
      </x:c>
      <x:c r="Q98" s="37" t="n">
        <x:v>46208.917025462964</x:v>
      </x:c>
    </x:row>
    <x:row r="99">
      <x:c r="A99" s="22" t="n">
        <x:v>37337</x:v>
      </x:c>
      <x:c r="B99" s="28" t="n">
        <x:v>270</x:v>
      </x:c>
      <x:c r="C99" s="28" t="n">
        <x:v>297</x:v>
      </x:c>
      <x:c r="D99" s="31" t="n">
        <x:f>IF(OR(ISBLANK(B99),ISBLANK(C99),B99=0),"",(C99-B99)/B99)</x:f>
        <x:v>0.1</x:v>
      </x:c>
      <x:c r="E99" s="22" t="str">
        <x:f>IF(ISBLANK(C99),"AmountIncludingTax缺失",IF(ABS(B99-C99)&lt;0.005,"一致","不一致"))</x:f>
        <x:v>不一致</x:v>
      </x:c>
      <x:c r="F99" s="19" t="str">
        <x:v>approved</x:v>
      </x:c>
      <x:c r="G99" s="19" t="str">
        <x:v>Repair in Progress</x:v>
      </x:c>
      <x:c r="H99" s="19" t="str">
        <x:v>In Field</x:v>
      </x:c>
      <x:c r="I99" s="37" t="n">
        <x:v>46210</x:v>
      </x:c>
      <x:c r="J99" s="37" t="n">
        <x:v>46210</x:v>
      </x:c>
      <x:c r="K99" s="19" t="str">
        <x:v>Regent RV - Perth</x:v>
      </x:c>
      <x:c r="L99" s="19" t="str">
        <x:v>Z006</x:v>
      </x:c>
      <x:c r="M99" s="19" t="str">
        <x:v>In Field Warranty Claims</x:v>
      </x:c>
      <x:c r="N99" s="37" t="n">
        <x:v>46206</x:v>
      </x:c>
      <x:c r="O99" s="37"/>
      <x:c r="P99" s="34" t="n">
        <x:v>297</x:v>
      </x:c>
      <x:c r="Q99" s="37" t="n">
        <x:v>46210.01373842593</x:v>
      </x:c>
    </x:row>
    <x:row r="100">
      <x:c r="A100" s="22" t="n">
        <x:v>37335</x:v>
      </x:c>
      <x:c r="B100" s="28" t="n">
        <x:v>145</x:v>
      </x:c>
      <x:c r="C100" s="28"/>
      <x:c r="D100" s="31" t="str">
        <x:f>IF(OR(ISBLANK(B100),ISBLANK(C100),B100=0),"",(C100-B100)/B100)</x:f>
      </x:c>
      <x:c r="E100" s="22" t="str">
        <x:f>IF(ISBLANK(C100),"AmountIncludingTax缺失",IF(ABS(B100-C100)&lt;0.005,"一致","不一致"))</x:f>
        <x:v>AmountIncludingTax缺失</x:v>
      </x:c>
      <x:c r="F100" s="19" t="str">
        <x:v>approved</x:v>
      </x:c>
      <x:c r="G100" s="19" t="str">
        <x:v>Sales Order Approved</x:v>
      </x:c>
      <x:c r="H100" s="19" t="str">
        <x:v>In Field</x:v>
      </x:c>
      <x:c r="I100" s="37" t="n">
        <x:v>46209</x:v>
      </x:c>
      <x:c r="J100" s="37" t="n">
        <x:v>46209</x:v>
      </x:c>
      <x:c r="K100" s="19" t="str">
        <x:v>Green RV - Forest Glen</x:v>
      </x:c>
      <x:c r="L100" s="19" t="str">
        <x:v>Z006</x:v>
      </x:c>
      <x:c r="M100" s="19" t="str">
        <x:v>In Field Warranty Claims</x:v>
      </x:c>
      <x:c r="N100" s="37" t="n">
        <x:v>46206</x:v>
      </x:c>
      <x:c r="O100" s="37"/>
      <x:c r="P100" s="34" t="n">
        <x:v>0</x:v>
      </x:c>
      <x:c r="Q100" s="37" t="n">
        <x:v>46209.01663194445</x:v>
      </x:c>
    </x:row>
    <x:row r="101">
      <x:c r="A101" s="22" t="n">
        <x:v>37334</x:v>
      </x:c>
      <x:c r="B101" s="28" t="n">
        <x:v>1100</x:v>
      </x:c>
      <x:c r="C101" s="28" t="n">
        <x:v>995.94</x:v>
      </x:c>
      <x:c r="D101" s="31" t="n">
        <x:f>IF(OR(ISBLANK(B101),ISBLANK(C101),B101=0),"",(C101-B101)/B101)</x:f>
        <x:v>-0.09459999999999995</x:v>
      </x:c>
      <x:c r="E101" s="22" t="str">
        <x:f>IF(ISBLANK(C101),"AmountIncludingTax缺失",IF(ABS(B101-C101)&lt;0.005,"一致","不一致"))</x:f>
        <x:v>不一致</x:v>
      </x:c>
      <x:c r="F101" s="19" t="str">
        <x:v>approved</x:v>
      </x:c>
      <x:c r="G101" s="19" t="str">
        <x:v>Repairer Invoiced Processed</x:v>
      </x:c>
      <x:c r="H101" s="19" t="str">
        <x:v>In Field</x:v>
      </x:c>
      <x:c r="I101" s="37" t="n">
        <x:v>46209</x:v>
      </x:c>
      <x:c r="J101" s="37" t="n">
        <x:v>46209</x:v>
      </x:c>
      <x:c r="K101" s="19" t="str">
        <x:v>Vanari Caravans - Marden Point</x:v>
      </x:c>
      <x:c r="L101" s="19" t="str">
        <x:v>Z006</x:v>
      </x:c>
      <x:c r="M101" s="19" t="str">
        <x:v>In Field Warranty Claims</x:v>
      </x:c>
      <x:c r="N101" s="37" t="n">
        <x:v>46206</x:v>
      </x:c>
      <x:c r="O101" s="37"/>
      <x:c r="P101" s="34" t="n">
        <x:v>995.94</x:v>
      </x:c>
      <x:c r="Q101" s="37" t="n">
        <x:v>46209.217523148145</x:v>
      </x:c>
    </x:row>
    <x:row r="102">
      <x:c r="A102" s="22" t="n">
        <x:v>37333</x:v>
      </x:c>
      <x:c r="B102" s="28" t="n">
        <x:v>430</x:v>
      </x:c>
      <x:c r="C102" s="28" t="n">
        <x:v>473</x:v>
      </x:c>
      <x:c r="D102" s="31" t="n">
        <x:f>IF(OR(ISBLANK(B102),ISBLANK(C102),B102=0),"",(C102-B102)/B102)</x:f>
        <x:v>0.1</x:v>
      </x:c>
      <x:c r="E102" s="22" t="str">
        <x:f>IF(ISBLANK(C102),"AmountIncludingTax缺失",IF(ABS(B102-C102)&lt;0.005,"一致","不一致"))</x:f>
        <x:v>不一致</x:v>
      </x:c>
      <x:c r="F102" s="19"/>
      <x:c r="G102" s="19" t="str">
        <x:v>Awaiting Parts</x:v>
      </x:c>
      <x:c r="H102" s="19" t="str">
        <x:v>Pre Delivery</x:v>
      </x:c>
      <x:c r="I102" s="37"/>
      <x:c r="J102" s="37" t="n">
        <x:v>46212</x:v>
      </x:c>
      <x:c r="K102" s="19" t="str">
        <x:v>Lesiure Lion-New Castle</x:v>
      </x:c>
      <x:c r="L102" s="19" t="str">
        <x:v>Z005</x:v>
      </x:c>
      <x:c r="M102" s="19" t="str">
        <x:v>Pre Delivery Warranty Claims</x:v>
      </x:c>
      <x:c r="N102" s="37" t="n">
        <x:v>46206</x:v>
      </x:c>
      <x:c r="O102" s="37"/>
      <x:c r="P102" s="34" t="n">
        <x:v>473</x:v>
      </x:c>
      <x:c r="Q102" s="37"/>
    </x:row>
    <x:row r="103">
      <x:c r="A103" s="22" t="n">
        <x:v>37332</x:v>
      </x:c>
      <x:c r="B103" s="28" t="n">
        <x:v>677</x:v>
      </x:c>
      <x:c r="C103" s="28"/>
      <x:c r="D103" s="31" t="str">
        <x:f>IF(OR(ISBLANK(B103),ISBLANK(C103),B103=0),"",(C103-B103)/B103)</x:f>
      </x:c>
      <x:c r="E103" s="22" t="str">
        <x:f>IF(ISBLANK(C103),"AmountIncludingTax缺失",IF(ABS(B103-C103)&lt;0.005,"一致","不一致"))</x:f>
        <x:v>AmountIncludingTax缺失</x:v>
      </x:c>
      <x:c r="F103" s="19" t="str">
        <x:v>approved</x:v>
      </x:c>
      <x:c r="G103" s="19" t="str">
        <x:v>Sales Order Approved</x:v>
      </x:c>
      <x:c r="H103" s="19" t="str">
        <x:v>In Field</x:v>
      </x:c>
      <x:c r="I103" s="37" t="n">
        <x:v>46210</x:v>
      </x:c>
      <x:c r="J103" s="37" t="n">
        <x:v>46210</x:v>
      </x:c>
      <x:c r="K103" s="19" t="str">
        <x:v>Vanari Caravans - Marden Point</x:v>
      </x:c>
      <x:c r="L103" s="19" t="str">
        <x:v>Z006</x:v>
      </x:c>
      <x:c r="M103" s="19" t="str">
        <x:v>In Field Warranty Claims</x:v>
      </x:c>
      <x:c r="N103" s="37" t="n">
        <x:v>46206</x:v>
      </x:c>
      <x:c r="O103" s="37"/>
      <x:c r="P103" s="34" t="n">
        <x:v>0</x:v>
      </x:c>
      <x:c r="Q103" s="37" t="n">
        <x:v>46210.073645833334</x:v>
      </x:c>
    </x:row>
    <x:row r="104">
      <x:c r="A104" s="22" t="n">
        <x:v>37331</x:v>
      </x:c>
      <x:c r="B104" s="28" t="n">
        <x:v>140.5</x:v>
      </x:c>
      <x:c r="C104" s="28" t="n">
        <x:v>154.55</x:v>
      </x:c>
      <x:c r="D104" s="31" t="n">
        <x:f>IF(OR(ISBLANK(B104),ISBLANK(C104),B104=0),"",(C104-B104)/B104)</x:f>
        <x:v>0.10000000000000007</x:v>
      </x:c>
      <x:c r="E104" s="22" t="str">
        <x:f>IF(ISBLANK(C104),"AmountIncludingTax缺失",IF(ABS(B104-C104)&lt;0.005,"一致","不一致"))</x:f>
        <x:v>不一致</x:v>
      </x:c>
      <x:c r="F104" s="19" t="str">
        <x:v>approved</x:v>
      </x:c>
      <x:c r="G104" s="19" t="str">
        <x:v>Repair in Progress</x:v>
      </x:c>
      <x:c r="H104" s="19" t="str">
        <x:v>In Field</x:v>
      </x:c>
      <x:c r="I104" s="37" t="n">
        <x:v>46209</x:v>
      </x:c>
      <x:c r="J104" s="37" t="n">
        <x:v>46209</x:v>
      </x:c>
      <x:c r="K104" s="19" t="str">
        <x:v>Lesiure Lion-New Castle</x:v>
      </x:c>
      <x:c r="L104" s="19" t="str">
        <x:v>Z006</x:v>
      </x:c>
      <x:c r="M104" s="19" t="str">
        <x:v>In Field Warranty Claims</x:v>
      </x:c>
      <x:c r="N104" s="37" t="n">
        <x:v>46206</x:v>
      </x:c>
      <x:c r="O104" s="37"/>
      <x:c r="P104" s="34" t="n">
        <x:v>154.55</x:v>
      </x:c>
      <x:c r="Q104" s="37" t="n">
        <x:v>46208.99282407408</x:v>
      </x:c>
    </x:row>
    <x:row r="105">
      <x:c r="A105" s="22" t="n">
        <x:v>37330</x:v>
      </x:c>
      <x:c r="B105" s="28" t="n">
        <x:v>1082.73</x:v>
      </x:c>
      <x:c r="C105" s="28"/>
      <x:c r="D105" s="31" t="str">
        <x:f>IF(OR(ISBLANK(B105),ISBLANK(C105),B105=0),"",(C105-B105)/B105)</x:f>
      </x:c>
      <x:c r="E105" s="22" t="str">
        <x:f>IF(ISBLANK(C105),"AmountIncludingTax缺失",IF(ABS(B105-C105)&lt;0.005,"一致","不一致"))</x:f>
        <x:v>AmountIncludingTax缺失</x:v>
      </x:c>
      <x:c r="F105" s="19" t="str">
        <x:v>approved</x:v>
      </x:c>
      <x:c r="G105" s="19" t="str">
        <x:v>Repair in Progress</x:v>
      </x:c>
      <x:c r="H105" s="19" t="str">
        <x:v>Pre Delivery</x:v>
      </x:c>
      <x:c r="I105" s="37" t="n">
        <x:v>46209</x:v>
      </x:c>
      <x:c r="J105" s="37" t="n">
        <x:v>46209</x:v>
      </x:c>
      <x:c r="K105" s="19" t="str">
        <x:v>Auswide Caravans - South Nowra</x:v>
      </x:c>
      <x:c r="L105" s="19" t="str">
        <x:v>Z005</x:v>
      </x:c>
      <x:c r="M105" s="19" t="str">
        <x:v>Pre Delivery Warranty Claims</x:v>
      </x:c>
      <x:c r="N105" s="37" t="n">
        <x:v>46206</x:v>
      </x:c>
      <x:c r="O105" s="37"/>
      <x:c r="P105" s="34" t="n">
        <x:v>1191</x:v>
      </x:c>
      <x:c r="Q105" s="37" t="n">
        <x:v>46209.214155092595</x:v>
      </x:c>
    </x:row>
    <x:row r="106">
      <x:c r="A106" s="22" t="n">
        <x:v>37329</x:v>
      </x:c>
      <x:c r="B106" s="28" t="n">
        <x:v>492.5</x:v>
      </x:c>
      <x:c r="C106" s="28"/>
      <x:c r="D106" s="31" t="str">
        <x:f>IF(OR(ISBLANK(B106),ISBLANK(C106),B106=0),"",(C106-B106)/B106)</x:f>
      </x:c>
      <x:c r="E106" s="22" t="str">
        <x:f>IF(ISBLANK(C106),"AmountIncludingTax缺失",IF(ABS(B106-C106)&lt;0.005,"一致","不一致"))</x:f>
        <x:v>AmountIncludingTax缺失</x:v>
      </x:c>
      <x:c r="F106" s="19" t="str">
        <x:v>approved</x:v>
      </x:c>
      <x:c r="G106" s="19" t="str">
        <x:v>Sales Order Approved</x:v>
      </x:c>
      <x:c r="H106" s="19" t="str">
        <x:v>In Field</x:v>
      </x:c>
      <x:c r="I106" s="37" t="n">
        <x:v>46209</x:v>
      </x:c>
      <x:c r="J106" s="37" t="n">
        <x:v>46209</x:v>
      </x:c>
      <x:c r="K106" s="19" t="str">
        <x:v>Green RV - Forest Glen</x:v>
      </x:c>
      <x:c r="L106" s="19" t="str">
        <x:v>Z006</x:v>
      </x:c>
      <x:c r="M106" s="19" t="str">
        <x:v>In Field Warranty Claims</x:v>
      </x:c>
      <x:c r="N106" s="37" t="n">
        <x:v>46206</x:v>
      </x:c>
      <x:c r="O106" s="37"/>
      <x:c r="P106" s="34" t="n">
        <x:v>0</x:v>
      </x:c>
      <x:c r="Q106" s="37" t="n">
        <x:v>46208.89601851852</x:v>
      </x:c>
    </x:row>
    <x:row r="107">
      <x:c r="A107" s="22" t="n">
        <x:v>37328</x:v>
      </x:c>
      <x:c r="B107" s="28" t="n">
        <x:v>101.25</x:v>
      </x:c>
      <x:c r="C107" s="28"/>
      <x:c r="D107" s="31" t="str">
        <x:f>IF(OR(ISBLANK(B107),ISBLANK(C107),B107=0),"",(C107-B107)/B107)</x:f>
      </x:c>
      <x:c r="E107" s="22" t="str">
        <x:f>IF(ISBLANK(C107),"AmountIncludingTax缺失",IF(ABS(B107-C107)&lt;0.005,"一致","不一致"))</x:f>
        <x:v>AmountIncludingTax缺失</x:v>
      </x:c>
      <x:c r="F107" s="19" t="str">
        <x:v>approved</x:v>
      </x:c>
      <x:c r="G107" s="19" t="str">
        <x:v>Sales Order Approved</x:v>
      </x:c>
      <x:c r="H107" s="19" t="str">
        <x:v>In Field</x:v>
      </x:c>
      <x:c r="I107" s="37" t="n">
        <x:v>46206</x:v>
      </x:c>
      <x:c r="J107" s="37" t="n">
        <x:v>46206</x:v>
      </x:c>
      <x:c r="K107" s="19" t="str">
        <x:v>Regent RV - Perth</x:v>
      </x:c>
      <x:c r="L107" s="19" t="str">
        <x:v>Z006</x:v>
      </x:c>
      <x:c r="M107" s="19" t="str">
        <x:v>In Field Warranty Claims</x:v>
      </x:c>
      <x:c r="N107" s="37" t="n">
        <x:v>46206</x:v>
      </x:c>
      <x:c r="O107" s="37"/>
      <x:c r="P107" s="34" t="n">
        <x:v>0</x:v>
      </x:c>
      <x:c r="Q107" s="37" t="n">
        <x:v>46206.251388888886</x:v>
      </x:c>
    </x:row>
    <x:row r="108">
      <x:c r="A108" s="22" t="n">
        <x:v>37325</x:v>
      </x:c>
      <x:c r="B108" s="28" t="n">
        <x:v>3600</x:v>
      </x:c>
      <x:c r="C108" s="28"/>
      <x:c r="D108" s="31" t="str">
        <x:f>IF(OR(ISBLANK(B108),ISBLANK(C108),B108=0),"",(C108-B108)/B108)</x:f>
      </x:c>
      <x:c r="E108" s="22" t="str">
        <x:f>IF(ISBLANK(C108),"AmountIncludingTax缺失",IF(ABS(B108-C108)&lt;0.005,"一致","不一致"))</x:f>
        <x:v>AmountIncludingTax缺失</x:v>
      </x:c>
      <x:c r="F108" s="19" t="str">
        <x:v>approved</x:v>
      </x:c>
      <x:c r="G108" s="19" t="str">
        <x:v>Repair in Progress</x:v>
      </x:c>
      <x:c r="H108" s="19" t="str">
        <x:v>In Field</x:v>
      </x:c>
      <x:c r="I108" s="37" t="n">
        <x:v>46211</x:v>
      </x:c>
      <x:c r="J108" s="37" t="n">
        <x:v>46211</x:v>
      </x:c>
      <x:c r="K108" s="19" t="str">
        <x:v>Auswide Caravans - South Nowra</x:v>
      </x:c>
      <x:c r="L108" s="19" t="str">
        <x:v>Z006</x:v>
      </x:c>
      <x:c r="M108" s="19" t="str">
        <x:v>In Field Warranty Claims</x:v>
      </x:c>
      <x:c r="N108" s="37" t="n">
        <x:v>46206</x:v>
      </x:c>
      <x:c r="O108" s="37"/>
      <x:c r="P108" s="34" t="n">
        <x:v>3960</x:v>
      </x:c>
      <x:c r="Q108" s="37" t="n">
        <x:v>46211.20334490741</x:v>
      </x:c>
    </x:row>
    <x:row r="109">
      <x:c r="A109" s="22" t="n">
        <x:v>37321</x:v>
      </x:c>
      <x:c r="B109" s="28" t="n">
        <x:v>810</x:v>
      </x:c>
      <x:c r="C109" s="28" t="n">
        <x:v>891</x:v>
      </x:c>
      <x:c r="D109" s="31" t="n">
        <x:f>IF(OR(ISBLANK(B109),ISBLANK(C109),B109=0),"",(C109-B109)/B109)</x:f>
        <x:v>0.1</x:v>
      </x:c>
      <x:c r="E109" s="22" t="str">
        <x:f>IF(ISBLANK(C109),"AmountIncludingTax缺失",IF(ABS(B109-C109)&lt;0.005,"一致","不一致"))</x:f>
        <x:v>不一致</x:v>
      </x:c>
      <x:c r="F109" s="19" t="str">
        <x:v>approved</x:v>
      </x:c>
      <x:c r="G109" s="19" t="str">
        <x:v>Repair in Progress</x:v>
      </x:c>
      <x:c r="H109" s="19" t="str">
        <x:v>In Field</x:v>
      </x:c>
      <x:c r="I109" s="37" t="n">
        <x:v>46206</x:v>
      </x:c>
      <x:c r="J109" s="37" t="n">
        <x:v>46206</x:v>
      </x:c>
      <x:c r="K109" s="19" t="str">
        <x:v>Leisure Lion Pty Ltd - Gympie</x:v>
      </x:c>
      <x:c r="L109" s="19" t="str">
        <x:v>Z006</x:v>
      </x:c>
      <x:c r="M109" s="19" t="str">
        <x:v>In Field Warranty Claims</x:v>
      </x:c>
      <x:c r="N109" s="37" t="n">
        <x:v>46206</x:v>
      </x:c>
      <x:c r="O109" s="37"/>
      <x:c r="P109" s="34" t="n">
        <x:v>891</x:v>
      </x:c>
      <x:c r="Q109" s="37" t="n">
        <x:v>46206.09474537037</x:v>
      </x:c>
    </x:row>
    <x:row r="110">
      <x:c r="A110" s="22" t="n">
        <x:v>37316</x:v>
      </x:c>
      <x:c r="B110" s="28" t="n">
        <x:v>607.5</x:v>
      </x:c>
      <x:c r="C110" s="28"/>
      <x:c r="D110" s="31" t="str">
        <x:f>IF(OR(ISBLANK(B110),ISBLANK(C110),B110=0),"",(C110-B110)/B110)</x:f>
      </x:c>
      <x:c r="E110" s="22" t="str">
        <x:f>IF(ISBLANK(C110),"AmountIncludingTax缺失",IF(ABS(B110-C110)&lt;0.005,"一致","不一致"))</x:f>
        <x:v>AmountIncludingTax缺失</x:v>
      </x:c>
      <x:c r="F110" s="19" t="str">
        <x:v>approved</x:v>
      </x:c>
      <x:c r="G110" s="19" t="str">
        <x:v>Sales Order Approved</x:v>
      </x:c>
      <x:c r="H110" s="19" t="str">
        <x:v>In Field</x:v>
      </x:c>
      <x:c r="I110" s="37" t="n">
        <x:v>46211</x:v>
      </x:c>
      <x:c r="J110" s="37" t="n">
        <x:v>46211</x:v>
      </x:c>
      <x:c r="K110" s="19" t="str">
        <x:v>Regent RV - Toowoomba</x:v>
      </x:c>
      <x:c r="L110" s="19" t="str">
        <x:v>Z006</x:v>
      </x:c>
      <x:c r="M110" s="19" t="str">
        <x:v>In Field Warranty Claims</x:v>
      </x:c>
      <x:c r="N110" s="37" t="n">
        <x:v>46206</x:v>
      </x:c>
      <x:c r="O110" s="37"/>
      <x:c r="P110" s="34" t="n">
        <x:v>0</x:v>
      </x:c>
      <x:c r="Q110" s="37" t="n">
        <x:v>46211.204351851855</x:v>
      </x:c>
    </x:row>
    <x:row r="111">
      <x:c r="A111" s="22" t="n">
        <x:v>37313</x:v>
      </x:c>
      <x:c r="B111" s="28" t="n">
        <x:v>985</x:v>
      </x:c>
      <x:c r="C111" s="28"/>
      <x:c r="D111" s="31" t="str">
        <x:f>IF(OR(ISBLANK(B111),ISBLANK(C111),B111=0),"",(C111-B111)/B111)</x:f>
      </x:c>
      <x:c r="E111" s="22" t="str">
        <x:f>IF(ISBLANK(C111),"AmountIncludingTax缺失",IF(ABS(B111-C111)&lt;0.005,"一致","不一致"))</x:f>
        <x:v>AmountIncludingTax缺失</x:v>
      </x:c>
      <x:c r="F111" s="19" t="str">
        <x:v>approved</x:v>
      </x:c>
      <x:c r="G111" s="19" t="str">
        <x:v>Sales Order Approved</x:v>
      </x:c>
      <x:c r="H111" s="19" t="str">
        <x:v>Pre Delivery</x:v>
      </x:c>
      <x:c r="I111" s="37" t="n">
        <x:v>46212</x:v>
      </x:c>
      <x:c r="J111" s="37" t="n">
        <x:v>46212</x:v>
      </x:c>
      <x:c r="K111" s="19" t="str">
        <x:v>QCCC - Gympie</x:v>
      </x:c>
      <x:c r="L111" s="19" t="str">
        <x:v>Z005</x:v>
      </x:c>
      <x:c r="M111" s="19" t="str">
        <x:v>Pre Delivery Warranty Claims</x:v>
      </x:c>
      <x:c r="N111" s="37" t="n">
        <x:v>46205</x:v>
      </x:c>
      <x:c r="O111" s="37"/>
      <x:c r="P111" s="34" t="n">
        <x:v>0</x:v>
      </x:c>
      <x:c r="Q111" s="37" t="n">
        <x:v>46212.01559027778</x:v>
      </x:c>
    </x:row>
    <x:row r="112">
      <x:c r="A112" s="22" t="n">
        <x:v>37312</x:v>
      </x:c>
      <x:c r="B112" s="28" t="n">
        <x:v>232.5</x:v>
      </x:c>
      <x:c r="C112" s="28"/>
      <x:c r="D112" s="31" t="str">
        <x:f>IF(OR(ISBLANK(B112),ISBLANK(C112),B112=0),"",(C112-B112)/B112)</x:f>
      </x:c>
      <x:c r="E112" s="22" t="str">
        <x:f>IF(ISBLANK(C112),"AmountIncludingTax缺失",IF(ABS(B112-C112)&lt;0.005,"一致","不一致"))</x:f>
        <x:v>AmountIncludingTax缺失</x:v>
      </x:c>
      <x:c r="F112" s="19" t="str">
        <x:v>approved</x:v>
      </x:c>
      <x:c r="G112" s="19" t="str">
        <x:v>Sales Order Approved</x:v>
      </x:c>
      <x:c r="H112" s="19" t="str">
        <x:v>Pre Delivery</x:v>
      </x:c>
      <x:c r="I112" s="37" t="n">
        <x:v>46212</x:v>
      </x:c>
      <x:c r="J112" s="37" t="n">
        <x:v>46212</x:v>
      </x:c>
      <x:c r="K112" s="19" t="str">
        <x:v>Regent RV - Townsville</x:v>
      </x:c>
      <x:c r="L112" s="19" t="str">
        <x:v>Z005</x:v>
      </x:c>
      <x:c r="M112" s="19" t="str">
        <x:v>Pre Delivery Warranty Claims</x:v>
      </x:c>
      <x:c r="N112" s="37" t="n">
        <x:v>46205</x:v>
      </x:c>
      <x:c r="O112" s="37"/>
      <x:c r="P112" s="34" t="n">
        <x:v>0</x:v>
      </x:c>
      <x:c r="Q112" s="37" t="n">
        <x:v>46212.01498842592</x:v>
      </x:c>
    </x:row>
    <x:row r="113">
      <x:c r="A113" s="22" t="n">
        <x:v>37300</x:v>
      </x:c>
      <x:c r="B113" s="28" t="n">
        <x:v>1592.5</x:v>
      </x:c>
      <x:c r="C113" s="28"/>
      <x:c r="D113" s="31" t="str">
        <x:f>IF(OR(ISBLANK(B113),ISBLANK(C113),B113=0),"",(C113-B113)/B113)</x:f>
      </x:c>
      <x:c r="E113" s="22" t="str">
        <x:f>IF(ISBLANK(C113),"AmountIncludingTax缺失",IF(ABS(B113-C113)&lt;0.005,"一致","不一致"))</x:f>
        <x:v>AmountIncludingTax缺失</x:v>
      </x:c>
      <x:c r="F113" s="19" t="str">
        <x:v>approved</x:v>
      </x:c>
      <x:c r="G113" s="19" t="str">
        <x:v>Sales Order Approved</x:v>
      </x:c>
      <x:c r="H113" s="19" t="str">
        <x:v>In Field</x:v>
      </x:c>
      <x:c r="I113" s="37" t="n">
        <x:v>46206</x:v>
      </x:c>
      <x:c r="J113" s="37" t="n">
        <x:v>46206</x:v>
      </x:c>
      <x:c r="K113" s="19" t="str">
        <x:v>Green RV - Slacks Creek</x:v>
      </x:c>
      <x:c r="L113" s="19" t="str">
        <x:v>Z006</x:v>
      </x:c>
      <x:c r="M113" s="19" t="str">
        <x:v>In Field Warranty Claims</x:v>
      </x:c>
      <x:c r="N113" s="37" t="n">
        <x:v>46205</x:v>
      </x:c>
      <x:c r="O113" s="37"/>
      <x:c r="P113" s="34" t="n">
        <x:v>0</x:v>
      </x:c>
      <x:c r="Q113" s="37" t="n">
        <x:v>46206.016701388886</x:v>
      </x:c>
    </x:row>
    <x:row r="114">
      <x:c r="A114" s="22" t="n">
        <x:v>37299</x:v>
      </x:c>
      <x:c r="B114" s="28" t="n">
        <x:v>2450</x:v>
      </x:c>
      <x:c r="C114" s="28"/>
      <x:c r="D114" s="31" t="str">
        <x:f>IF(OR(ISBLANK(B114),ISBLANK(C114),B114=0),"",(C114-B114)/B114)</x:f>
      </x:c>
      <x:c r="E114" s="22" t="str">
        <x:f>IF(ISBLANK(C114),"AmountIncludingTax缺失",IF(ABS(B114-C114)&lt;0.005,"一致","不一致"))</x:f>
        <x:v>AmountIncludingTax缺失</x:v>
      </x:c>
      <x:c r="F114" s="19" t="str">
        <x:v>approved</x:v>
      </x:c>
      <x:c r="G114" s="19" t="str">
        <x:v>Repair in Progress</x:v>
      </x:c>
      <x:c r="H114" s="19" t="str">
        <x:v>In Field</x:v>
      </x:c>
      <x:c r="I114" s="37" t="n">
        <x:v>46206</x:v>
      </x:c>
      <x:c r="J114" s="37" t="n">
        <x:v>46206</x:v>
      </x:c>
      <x:c r="K114" s="19" t="str">
        <x:v>The Caravan Hub - Townsville</x:v>
      </x:c>
      <x:c r="L114" s="19" t="str">
        <x:v>Z006</x:v>
      </x:c>
      <x:c r="M114" s="19" t="str">
        <x:v>In Field Warranty Claims</x:v>
      </x:c>
      <x:c r="N114" s="37" t="n">
        <x:v>46205</x:v>
      </x:c>
      <x:c r="O114" s="37"/>
      <x:c r="P114" s="34" t="n">
        <x:v>2682</x:v>
      </x:c>
      <x:c r="Q114" s="37" t="n">
        <x:v>46206.170011574075</x:v>
      </x:c>
    </x:row>
    <x:row r="115">
      <x:c r="A115" s="22" t="n">
        <x:v>37298</x:v>
      </x:c>
      <x:c r="B115" s="28" t="n">
        <x:v>6702</x:v>
      </x:c>
      <x:c r="C115" s="28"/>
      <x:c r="D115" s="31" t="str">
        <x:f>IF(OR(ISBLANK(B115),ISBLANK(C115),B115=0),"",(C115-B115)/B115)</x:f>
      </x:c>
      <x:c r="E115" s="22" t="str">
        <x:f>IF(ISBLANK(C115),"AmountIncludingTax缺失",IF(ABS(B115-C115)&lt;0.005,"一致","不一致"))</x:f>
        <x:v>AmountIncludingTax缺失</x:v>
      </x:c>
      <x:c r="F115" s="19" t="str">
        <x:v>approved</x:v>
      </x:c>
      <x:c r="G115" s="19" t="str">
        <x:v>Sales Order Approved</x:v>
      </x:c>
      <x:c r="H115" s="19" t="str">
        <x:v>In Field</x:v>
      </x:c>
      <x:c r="I115" s="37" t="n">
        <x:v>46211</x:v>
      </x:c>
      <x:c r="J115" s="37" t="n">
        <x:v>46211</x:v>
      </x:c>
      <x:c r="K115" s="19" t="str">
        <x:v>Green RV - Forest Glen</x:v>
      </x:c>
      <x:c r="L115" s="19" t="str">
        <x:v>Z006</x:v>
      </x:c>
      <x:c r="M115" s="19" t="str">
        <x:v>In Field Warranty Claims</x:v>
      </x:c>
      <x:c r="N115" s="37" t="n">
        <x:v>46205</x:v>
      </x:c>
      <x:c r="O115" s="37" t="n">
        <x:v>46209</x:v>
      </x:c>
      <x:c r="P115" s="34" t="n">
        <x:v>0</x:v>
      </x:c>
      <x:c r="Q115" s="37" t="n">
        <x:v>46211.07858796296</x:v>
      </x:c>
    </x:row>
    <x:row r="116">
      <x:c r="A116" s="22" t="n">
        <x:v>37296</x:v>
      </x:c>
      <x:c r="B116" s="28" t="n">
        <x:v>1350</x:v>
      </x:c>
      <x:c r="C116" s="28"/>
      <x:c r="D116" s="31" t="str">
        <x:f>IF(OR(ISBLANK(B116),ISBLANK(C116),B116=0),"",(C116-B116)/B116)</x:f>
      </x:c>
      <x:c r="E116" s="22" t="str">
        <x:f>IF(ISBLANK(C116),"AmountIncludingTax缺失",IF(ABS(B116-C116)&lt;0.005,"一致","不一致"))</x:f>
        <x:v>AmountIncludingTax缺失</x:v>
      </x:c>
      <x:c r="F116" s="19" t="str">
        <x:v>approved</x:v>
      </x:c>
      <x:c r="G116" s="19" t="str">
        <x:v>Repair in Progress</x:v>
      </x:c>
      <x:c r="H116" s="19" t="str">
        <x:v>In Field</x:v>
      </x:c>
      <x:c r="I116" s="37" t="n">
        <x:v>46206</x:v>
      </x:c>
      <x:c r="J116" s="37" t="n">
        <x:v>46206</x:v>
      </x:c>
      <x:c r="K116" s="19" t="str">
        <x:v>Auswide Caravans - South Nowra</x:v>
      </x:c>
      <x:c r="L116" s="19" t="str">
        <x:v>Z006</x:v>
      </x:c>
      <x:c r="M116" s="19" t="str">
        <x:v>In Field Warranty Claims</x:v>
      </x:c>
      <x:c r="N116" s="37" t="n">
        <x:v>46205</x:v>
      </x:c>
      <x:c r="O116" s="37"/>
      <x:c r="P116" s="34" t="n">
        <x:v>1485</x:v>
      </x:c>
      <x:c r="Q116" s="37" t="n">
        <x:v>46206.01403935185</x:v>
      </x:c>
    </x:row>
    <x:row r="117">
      <x:c r="A117" s="22" t="n">
        <x:v>37294</x:v>
      </x:c>
      <x:c r="B117" s="28" t="n">
        <x:v>360.45</x:v>
      </x:c>
      <x:c r="C117" s="28"/>
      <x:c r="D117" s="31" t="str">
        <x:f>IF(OR(ISBLANK(B117),ISBLANK(C117),B117=0),"",(C117-B117)/B117)</x:f>
      </x:c>
      <x:c r="E117" s="22" t="str">
        <x:f>IF(ISBLANK(C117),"AmountIncludingTax缺失",IF(ABS(B117-C117)&lt;0.005,"一致","不一致"))</x:f>
        <x:v>AmountIncludingTax缺失</x:v>
      </x:c>
      <x:c r="F117" s="19" t="str">
        <x:v>approved</x:v>
      </x:c>
      <x:c r="G117" s="19" t="str">
        <x:v>Sales Order Approved</x:v>
      </x:c>
      <x:c r="H117" s="19" t="str">
        <x:v>In Field</x:v>
      </x:c>
      <x:c r="I117" s="37" t="n">
        <x:v>46210</x:v>
      </x:c>
      <x:c r="J117" s="37" t="n">
        <x:v>46210</x:v>
      </x:c>
      <x:c r="K117" s="19" t="str">
        <x:v>Regent RV - Frankston</x:v>
      </x:c>
      <x:c r="L117" s="19" t="str">
        <x:v>Z006</x:v>
      </x:c>
      <x:c r="M117" s="19" t="str">
        <x:v>In Field Warranty Claims</x:v>
      </x:c>
      <x:c r="N117" s="37" t="n">
        <x:v>46205</x:v>
      </x:c>
      <x:c r="O117" s="37"/>
      <x:c r="P117" s="34" t="n">
        <x:v>0</x:v>
      </x:c>
      <x:c r="Q117" s="37" t="n">
        <x:v>46209.96265046296</x:v>
      </x:c>
    </x:row>
    <x:row r="118">
      <x:c r="A118" s="22" t="n">
        <x:v>37292</x:v>
      </x:c>
      <x:c r="B118" s="28" t="n">
        <x:v>33.75</x:v>
      </x:c>
      <x:c r="C118" s="28"/>
      <x:c r="D118" s="31" t="str">
        <x:f>IF(OR(ISBLANK(B118),ISBLANK(C118),B118=0),"",(C118-B118)/B118)</x:f>
      </x:c>
      <x:c r="E118" s="22" t="str">
        <x:f>IF(ISBLANK(C118),"AmountIncludingTax缺失",IF(ABS(B118-C118)&lt;0.005,"一致","不一致"))</x:f>
        <x:v>AmountIncludingTax缺失</x:v>
      </x:c>
      <x:c r="F118" s="19" t="str">
        <x:v>approved</x:v>
      </x:c>
      <x:c r="G118" s="19" t="str">
        <x:v>Sales Order Approved</x:v>
      </x:c>
      <x:c r="H118" s="19" t="str">
        <x:v>In Field</x:v>
      </x:c>
      <x:c r="I118" s="37" t="n">
        <x:v>46209</x:v>
      </x:c>
      <x:c r="J118" s="37" t="n">
        <x:v>46209</x:v>
      </x:c>
      <x:c r="K118" s="19" t="str">
        <x:v>Newcastle RV Super Centre - Beresfield</x:v>
      </x:c>
      <x:c r="L118" s="19" t="str">
        <x:v>Z006</x:v>
      </x:c>
      <x:c r="M118" s="19" t="str">
        <x:v>In Field Warranty Claims</x:v>
      </x:c>
      <x:c r="N118" s="37" t="n">
        <x:v>46205</x:v>
      </x:c>
      <x:c r="O118" s="37"/>
      <x:c r="P118" s="34" t="n">
        <x:v>0</x:v>
      </x:c>
      <x:c r="Q118" s="37" t="n">
        <x:v>46209.092997685184</x:v>
      </x:c>
    </x:row>
    <x:row r="119">
      <x:c r="A119" s="22" t="n">
        <x:v>37291</x:v>
      </x:c>
      <x:c r="B119" s="28" t="n">
        <x:v>560</x:v>
      </x:c>
      <x:c r="C119" s="28"/>
      <x:c r="D119" s="31" t="str">
        <x:f>IF(OR(ISBLANK(B119),ISBLANK(C119),B119=0),"",(C119-B119)/B119)</x:f>
      </x:c>
      <x:c r="E119" s="22" t="str">
        <x:f>IF(ISBLANK(C119),"AmountIncludingTax缺失",IF(ABS(B119-C119)&lt;0.005,"一致","不一致"))</x:f>
        <x:v>AmountIncludingTax缺失</x:v>
      </x:c>
      <x:c r="F119" s="19" t="str">
        <x:v>approved</x:v>
      </x:c>
      <x:c r="G119" s="19" t="str">
        <x:v>Sales Order Approved</x:v>
      </x:c>
      <x:c r="H119" s="19" t="str">
        <x:v>In Field</x:v>
      </x:c>
      <x:c r="I119" s="37" t="n">
        <x:v>46210</x:v>
      </x:c>
      <x:c r="J119" s="37" t="n">
        <x:v>46210</x:v>
      </x:c>
      <x:c r="K119" s="19" t="str">
        <x:v>Regent RV - Frankston</x:v>
      </x:c>
      <x:c r="L119" s="19" t="str">
        <x:v>Z006</x:v>
      </x:c>
      <x:c r="M119" s="19" t="str">
        <x:v>In Field Warranty Claims</x:v>
      </x:c>
      <x:c r="N119" s="37" t="n">
        <x:v>46205</x:v>
      </x:c>
      <x:c r="O119" s="37"/>
      <x:c r="P119" s="34" t="n">
        <x:v>0</x:v>
      </x:c>
      <x:c r="Q119" s="37" t="n">
        <x:v>46209.888969907406</x:v>
      </x:c>
    </x:row>
    <x:row r="120">
      <x:c r="A120" s="22" t="n">
        <x:v>37290</x:v>
      </x:c>
      <x:c r="B120" s="28" t="n">
        <x:v>67.5</x:v>
      </x:c>
      <x:c r="C120" s="28"/>
      <x:c r="D120" s="31" t="str">
        <x:f>IF(OR(ISBLANK(B120),ISBLANK(C120),B120=0),"",(C120-B120)/B120)</x:f>
      </x:c>
      <x:c r="E120" s="22" t="str">
        <x:f>IF(ISBLANK(C120),"AmountIncludingTax缺失",IF(ABS(B120-C120)&lt;0.005,"一致","不一致"))</x:f>
        <x:v>AmountIncludingTax缺失</x:v>
      </x:c>
      <x:c r="F120" s="19" t="str">
        <x:v>approved</x:v>
      </x:c>
      <x:c r="G120" s="19" t="str">
        <x:v>Sales Order Approved</x:v>
      </x:c>
      <x:c r="H120" s="19" t="str">
        <x:v>In Field</x:v>
      </x:c>
      <x:c r="I120" s="37" t="n">
        <x:v>46210</x:v>
      </x:c>
      <x:c r="J120" s="37" t="n">
        <x:v>46210</x:v>
      </x:c>
      <x:c r="K120" s="19" t="str">
        <x:v>ABCO Caravans - Boambee Valley</x:v>
      </x:c>
      <x:c r="L120" s="19" t="str">
        <x:v>Z006</x:v>
      </x:c>
      <x:c r="M120" s="19" t="str">
        <x:v>In Field Warranty Claims</x:v>
      </x:c>
      <x:c r="N120" s="37" t="n">
        <x:v>46205</x:v>
      </x:c>
      <x:c r="O120" s="37"/>
      <x:c r="P120" s="34" t="n">
        <x:v>0</x:v>
      </x:c>
      <x:c r="Q120" s="37" t="n">
        <x:v>46210.073159722226</x:v>
      </x:c>
    </x:row>
    <x:row r="121">
      <x:c r="A121" s="22" t="n">
        <x:v>37285</x:v>
      </x:c>
      <x:c r="B121" s="28" t="n">
        <x:v>273.75</x:v>
      </x:c>
      <x:c r="C121" s="28"/>
      <x:c r="D121" s="31" t="str">
        <x:f>IF(OR(ISBLANK(B121),ISBLANK(C121),B121=0),"",(C121-B121)/B121)</x:f>
      </x:c>
      <x:c r="E121" s="22" t="str">
        <x:f>IF(ISBLANK(C121),"AmountIncludingTax缺失",IF(ABS(B121-C121)&lt;0.005,"一致","不一致"))</x:f>
        <x:v>AmountIncludingTax缺失</x:v>
      </x:c>
      <x:c r="F121" s="19" t="str">
        <x:v>approved</x:v>
      </x:c>
      <x:c r="G121" s="19" t="str">
        <x:v>Sales Order Approved</x:v>
      </x:c>
      <x:c r="H121" s="19" t="str">
        <x:v>In Field</x:v>
      </x:c>
      <x:c r="I121" s="37" t="n">
        <x:v>46206</x:v>
      </x:c>
      <x:c r="J121" s="37" t="n">
        <x:v>46206</x:v>
      </x:c>
      <x:c r="K121" s="19" t="str">
        <x:v>Regent RV - Perth</x:v>
      </x:c>
      <x:c r="L121" s="19" t="str">
        <x:v>Z006</x:v>
      </x:c>
      <x:c r="M121" s="19" t="str">
        <x:v>In Field Warranty Claims</x:v>
      </x:c>
      <x:c r="N121" s="37" t="n">
        <x:v>46205</x:v>
      </x:c>
      <x:c r="O121" s="37"/>
      <x:c r="P121" s="34" t="n">
        <x:v>0</x:v>
      </x:c>
      <x:c r="Q121" s="37" t="n">
        <x:v>46205.94887731481</x:v>
      </x:c>
    </x:row>
    <x:row r="122">
      <x:c r="A122" s="22" t="n">
        <x:v>37282</x:v>
      </x:c>
      <x:c r="B122" s="28" t="n">
        <x:v>222.5</x:v>
      </x:c>
      <x:c r="C122" s="28"/>
      <x:c r="D122" s="31" t="str">
        <x:f>IF(OR(ISBLANK(B122),ISBLANK(C122),B122=0),"",(C122-B122)/B122)</x:f>
      </x:c>
      <x:c r="E122" s="22" t="str">
        <x:f>IF(ISBLANK(C122),"AmountIncludingTax缺失",IF(ABS(B122-C122)&lt;0.005,"一致","不一致"))</x:f>
        <x:v>AmountIncludingTax缺失</x:v>
      </x:c>
      <x:c r="F122" s="19" t="str">
        <x:v>approved</x:v>
      </x:c>
      <x:c r="G122" s="19" t="str">
        <x:v>Sales Order Approved</x:v>
      </x:c>
      <x:c r="H122" s="19" t="str">
        <x:v>In Field</x:v>
      </x:c>
      <x:c r="I122" s="37" t="n">
        <x:v>46209</x:v>
      </x:c>
      <x:c r="J122" s="37" t="n">
        <x:v>46209</x:v>
      </x:c>
      <x:c r="K122" s="19" t="str">
        <x:v>Regent RV - Frankston</x:v>
      </x:c>
      <x:c r="L122" s="19" t="str">
        <x:v>Z006</x:v>
      </x:c>
      <x:c r="M122" s="19" t="str">
        <x:v>In Field Warranty Claims</x:v>
      </x:c>
      <x:c r="N122" s="37" t="n">
        <x:v>46205</x:v>
      </x:c>
      <x:c r="O122" s="37"/>
      <x:c r="P122" s="34" t="n">
        <x:v>0</x:v>
      </x:c>
      <x:c r="Q122" s="37" t="n">
        <x:v>46209.2440625</x:v>
      </x:c>
    </x:row>
    <x:row r="123">
      <x:c r="A123" s="22" t="n">
        <x:v>37281</x:v>
      </x:c>
      <x:c r="B123" s="28" t="n">
        <x:v>135</x:v>
      </x:c>
      <x:c r="C123" s="28"/>
      <x:c r="D123" s="31" t="str">
        <x:f>IF(OR(ISBLANK(B123),ISBLANK(C123),B123=0),"",(C123-B123)/B123)</x:f>
      </x:c>
      <x:c r="E123" s="22" t="str">
        <x:f>IF(ISBLANK(C123),"AmountIncludingTax缺失",IF(ABS(B123-C123)&lt;0.005,"一致","不一致"))</x:f>
        <x:v>AmountIncludingTax缺失</x:v>
      </x:c>
      <x:c r="F123" s="19" t="str">
        <x:v>approved</x:v>
      </x:c>
      <x:c r="G123" s="19" t="str">
        <x:v>Repairer Invoiced Processed</x:v>
      </x:c>
      <x:c r="H123" s="19" t="str">
        <x:v>In Field</x:v>
      </x:c>
      <x:c r="I123" s="37" t="n">
        <x:v>46206</x:v>
      </x:c>
      <x:c r="J123" s="37" t="n">
        <x:v>46206</x:v>
      </x:c>
      <x:c r="K123" s="19" t="str">
        <x:v>Dario Caravans -St.Marys</x:v>
      </x:c>
      <x:c r="L123" s="19" t="str">
        <x:v>Z006</x:v>
      </x:c>
      <x:c r="M123" s="19" t="str">
        <x:v>In Field Warranty Claims</x:v>
      </x:c>
      <x:c r="N123" s="37" t="n">
        <x:v>46205</x:v>
      </x:c>
      <x:c r="O123" s="37"/>
      <x:c r="P123" s="34" t="n">
        <x:v>0</x:v>
      </x:c>
      <x:c r="Q123" s="37" t="n">
        <x:v>46205.945763888885</x:v>
      </x:c>
    </x:row>
    <x:row r="124">
      <x:c r="A124" s="22" t="n">
        <x:v>37280</x:v>
      </x:c>
      <x:c r="B124" s="28" t="n">
        <x:v>1397.5</x:v>
      </x:c>
      <x:c r="C124" s="28"/>
      <x:c r="D124" s="31" t="str">
        <x:f>IF(OR(ISBLANK(B124),ISBLANK(C124),B124=0),"",(C124-B124)/B124)</x:f>
      </x:c>
      <x:c r="E124" s="22" t="str">
        <x:f>IF(ISBLANK(C124),"AmountIncludingTax缺失",IF(ABS(B124-C124)&lt;0.005,"一致","不一致"))</x:f>
        <x:v>AmountIncludingTax缺失</x:v>
      </x:c>
      <x:c r="F124" s="19" t="str">
        <x:v>approved</x:v>
      </x:c>
      <x:c r="G124" s="19" t="str">
        <x:v>Sales Order Approved</x:v>
      </x:c>
      <x:c r="H124" s="19" t="str">
        <x:v>In Field</x:v>
      </x:c>
      <x:c r="I124" s="37" t="n">
        <x:v>46210</x:v>
      </x:c>
      <x:c r="J124" s="37" t="n">
        <x:v>46210</x:v>
      </x:c>
      <x:c r="K124" s="19" t="str">
        <x:v>Newcastle RV Super Centre - Beresfield</x:v>
      </x:c>
      <x:c r="L124" s="19" t="str">
        <x:v>Z006</x:v>
      </x:c>
      <x:c r="M124" s="19" t="str">
        <x:v>In Field Warranty Claims</x:v>
      </x:c>
      <x:c r="N124" s="37" t="n">
        <x:v>46205</x:v>
      </x:c>
      <x:c r="O124" s="37"/>
      <x:c r="P124" s="34" t="n">
        <x:v>0</x:v>
      </x:c>
      <x:c r="Q124" s="37" t="n">
        <x:v>46210.020532407405</x:v>
      </x:c>
    </x:row>
    <x:row r="125">
      <x:c r="A125" s="22" t="n">
        <x:v>37277</x:v>
      </x:c>
      <x:c r="B125" s="28" t="n">
        <x:v>135</x:v>
      </x:c>
      <x:c r="C125" s="28"/>
      <x:c r="D125" s="31" t="str">
        <x:f>IF(OR(ISBLANK(B125),ISBLANK(C125),B125=0),"",(C125-B125)/B125)</x:f>
      </x:c>
      <x:c r="E125" s="22" t="str">
        <x:f>IF(ISBLANK(C125),"AmountIncludingTax缺失",IF(ABS(B125-C125)&lt;0.005,"一致","不一致"))</x:f>
        <x:v>AmountIncludingTax缺失</x:v>
      </x:c>
      <x:c r="F125" s="19" t="str">
        <x:v>approved</x:v>
      </x:c>
      <x:c r="G125" s="19" t="str">
        <x:v>Repairer Invoiced Processed</x:v>
      </x:c>
      <x:c r="H125" s="19" t="str">
        <x:v>In Field</x:v>
      </x:c>
      <x:c r="I125" s="37" t="n">
        <x:v>46205</x:v>
      </x:c>
      <x:c r="J125" s="37" t="n">
        <x:v>46205</x:v>
      </x:c>
      <x:c r="K125" s="19" t="str">
        <x:v>Destiny RV - South Australia</x:v>
      </x:c>
      <x:c r="L125" s="19" t="str">
        <x:v>Z006</x:v>
      </x:c>
      <x:c r="M125" s="19" t="str">
        <x:v>In Field Warranty Claims</x:v>
      </x:c>
      <x:c r="N125" s="37" t="n">
        <x:v>46205</x:v>
      </x:c>
      <x:c r="O125" s="37"/>
      <x:c r="P125" s="34" t="n">
        <x:v>0</x:v>
      </x:c>
      <x:c r="Q125" s="37" t="n">
        <x:v>46205.13340277778</x:v>
      </x:c>
    </x:row>
    <x:row r="126">
      <x:c r="A126" s="22" t="n">
        <x:v>37276</x:v>
      </x:c>
      <x:c r="B126" s="28" t="n">
        <x:v>202.5</x:v>
      </x:c>
      <x:c r="C126" s="28"/>
      <x:c r="D126" s="31" t="str">
        <x:f>IF(OR(ISBLANK(B126),ISBLANK(C126),B126=0),"",(C126-B126)/B126)</x:f>
      </x:c>
      <x:c r="E126" s="22" t="str">
        <x:f>IF(ISBLANK(C126),"AmountIncludingTax缺失",IF(ABS(B126-C126)&lt;0.005,"一致","不一致"))</x:f>
        <x:v>AmountIncludingTax缺失</x:v>
      </x:c>
      <x:c r="F126" s="19" t="str">
        <x:v>approved</x:v>
      </x:c>
      <x:c r="G126" s="19" t="str">
        <x:v>Sales Order Approved</x:v>
      </x:c>
      <x:c r="H126" s="19" t="str">
        <x:v>In Field</x:v>
      </x:c>
      <x:c r="I126" s="37" t="n">
        <x:v>46206</x:v>
      </x:c>
      <x:c r="J126" s="37" t="n">
        <x:v>46206</x:v>
      </x:c>
      <x:c r="K126" s="19" t="str">
        <x:v>Regent RV Pty Ltd</x:v>
      </x:c>
      <x:c r="L126" s="19" t="str">
        <x:v>Z006</x:v>
      </x:c>
      <x:c r="M126" s="19" t="str">
        <x:v>In Field Warranty Claims</x:v>
      </x:c>
      <x:c r="N126" s="37" t="n">
        <x:v>46205</x:v>
      </x:c>
      <x:c r="O126" s="37"/>
      <x:c r="P126" s="34" t="n">
        <x:v>0</x:v>
      </x:c>
      <x:c r="Q126" s="37" t="n">
        <x:v>46206.25344907407</x:v>
      </x:c>
    </x:row>
    <x:row r="127">
      <x:c r="A127" s="22" t="n">
        <x:v>37275</x:v>
      </x:c>
      <x:c r="B127" s="28" t="n">
        <x:v>67.5</x:v>
      </x:c>
      <x:c r="C127" s="28"/>
      <x:c r="D127" s="31" t="str">
        <x:f>IF(OR(ISBLANK(B127),ISBLANK(C127),B127=0),"",(C127-B127)/B127)</x:f>
      </x:c>
      <x:c r="E127" s="22" t="str">
        <x:f>IF(ISBLANK(C127),"AmountIncludingTax缺失",IF(ABS(B127-C127)&lt;0.005,"一致","不一致"))</x:f>
        <x:v>AmountIncludingTax缺失</x:v>
      </x:c>
      <x:c r="F127" s="19" t="str">
        <x:v>approved</x:v>
      </x:c>
      <x:c r="G127" s="19" t="str">
        <x:v>Sales Order Approved</x:v>
      </x:c>
      <x:c r="H127" s="19" t="str">
        <x:v>In Field</x:v>
      </x:c>
      <x:c r="I127" s="37" t="n">
        <x:v>46210</x:v>
      </x:c>
      <x:c r="J127" s="37" t="n">
        <x:v>46210</x:v>
      </x:c>
      <x:c r="K127" s="19" t="str">
        <x:v>Sherrif Caravans &amp; Traliers - Prospect Vale</x:v>
      </x:c>
      <x:c r="L127" s="19" t="str">
        <x:v>Z006</x:v>
      </x:c>
      <x:c r="M127" s="19" t="str">
        <x:v>In Field Warranty Claims</x:v>
      </x:c>
      <x:c r="N127" s="37" t="n">
        <x:v>46205</x:v>
      </x:c>
      <x:c r="O127" s="37"/>
      <x:c r="P127" s="34" t="n">
        <x:v>0</x:v>
      </x:c>
      <x:c r="Q127" s="37" t="n">
        <x:v>46209.966574074075</x:v>
      </x:c>
    </x:row>
    <x:row r="128">
      <x:c r="A128" s="22" t="n">
        <x:v>37274</x:v>
      </x:c>
      <x:c r="B128" s="28" t="n">
        <x:v>850</x:v>
      </x:c>
      <x:c r="C128" s="28"/>
      <x:c r="D128" s="31" t="str">
        <x:f>IF(OR(ISBLANK(B128),ISBLANK(C128),B128=0),"",(C128-B128)/B128)</x:f>
      </x:c>
      <x:c r="E128" s="22" t="str">
        <x:f>IF(ISBLANK(C128),"AmountIncludingTax缺失",IF(ABS(B128-C128)&lt;0.005,"一致","不一致"))</x:f>
        <x:v>AmountIncludingTax缺失</x:v>
      </x:c>
      <x:c r="F128" s="19" t="str">
        <x:v>approved</x:v>
      </x:c>
      <x:c r="G128" s="19" t="str">
        <x:v>Sales Order Approved</x:v>
      </x:c>
      <x:c r="H128" s="19" t="str">
        <x:v>In Field</x:v>
      </x:c>
      <x:c r="I128" s="37" t="n">
        <x:v>46205</x:v>
      </x:c>
      <x:c r="J128" s="37" t="n">
        <x:v>46205</x:v>
      </x:c>
      <x:c r="K128" s="19" t="str">
        <x:v>Regent RV - Toowoomba</x:v>
      </x:c>
      <x:c r="L128" s="19" t="str">
        <x:v>Z006</x:v>
      </x:c>
      <x:c r="M128" s="19" t="str">
        <x:v>In Field Warranty Claims</x:v>
      </x:c>
      <x:c r="N128" s="37" t="n">
        <x:v>46205</x:v>
      </x:c>
      <x:c r="O128" s="37"/>
      <x:c r="P128" s="34" t="n">
        <x:v>0</x:v>
      </x:c>
      <x:c r="Q128" s="37" t="n">
        <x:v>46205.08982638889</x:v>
      </x:c>
    </x:row>
    <x:row r="129">
      <x:c r="A129" s="22" t="n">
        <x:v>37273</x:v>
      </x:c>
      <x:c r="B129" s="28" t="n">
        <x:v>270</x:v>
      </x:c>
      <x:c r="C129" s="28"/>
      <x:c r="D129" s="31" t="str">
        <x:f>IF(OR(ISBLANK(B129),ISBLANK(C129),B129=0),"",(C129-B129)/B129)</x:f>
      </x:c>
      <x:c r="E129" s="22" t="str">
        <x:f>IF(ISBLANK(C129),"AmountIncludingTax缺失",IF(ABS(B129-C129)&lt;0.005,"一致","不一致"))</x:f>
        <x:v>AmountIncludingTax缺失</x:v>
      </x:c>
      <x:c r="F129" s="19" t="str">
        <x:v>approved</x:v>
      </x:c>
      <x:c r="G129" s="19" t="str">
        <x:v>Sales Order Approved</x:v>
      </x:c>
      <x:c r="H129" s="19" t="str">
        <x:v>In Field</x:v>
      </x:c>
      <x:c r="I129" s="37" t="n">
        <x:v>46210</x:v>
      </x:c>
      <x:c r="J129" s="37" t="n">
        <x:v>46210</x:v>
      </x:c>
      <x:c r="K129" s="19" t="str">
        <x:v>Dario Caravans -St.Marys</x:v>
      </x:c>
      <x:c r="L129" s="19" t="str">
        <x:v>Z006</x:v>
      </x:c>
      <x:c r="M129" s="19" t="str">
        <x:v>In Field Warranty Claims</x:v>
      </x:c>
      <x:c r="N129" s="37" t="n">
        <x:v>46205</x:v>
      </x:c>
      <x:c r="O129" s="37"/>
      <x:c r="P129" s="34" t="n">
        <x:v>0</x:v>
      </x:c>
      <x:c r="Q129" s="37" t="n">
        <x:v>46210.2584375</x:v>
      </x:c>
    </x:row>
    <x:row r="130">
      <x:c r="A130" s="22" t="n">
        <x:v>37272</x:v>
      </x:c>
      <x:c r="B130" s="28" t="n">
        <x:v>725</x:v>
      </x:c>
      <x:c r="C130" s="28"/>
      <x:c r="D130" s="31" t="str">
        <x:f>IF(OR(ISBLANK(B130),ISBLANK(C130),B130=0),"",(C130-B130)/B130)</x:f>
      </x:c>
      <x:c r="E130" s="22" t="str">
        <x:f>IF(ISBLANK(C130),"AmountIncludingTax缺失",IF(ABS(B130-C130)&lt;0.005,"一致","不一致"))</x:f>
        <x:v>AmountIncludingTax缺失</x:v>
      </x:c>
      <x:c r="F130" s="19" t="str">
        <x:v>approved</x:v>
      </x:c>
      <x:c r="G130" s="19" t="str">
        <x:v>Sales Order Approved</x:v>
      </x:c>
      <x:c r="H130" s="19" t="str">
        <x:v>In Field</x:v>
      </x:c>
      <x:c r="I130" s="37" t="n">
        <x:v>46209</x:v>
      </x:c>
      <x:c r="J130" s="37" t="n">
        <x:v>46209</x:v>
      </x:c>
      <x:c r="K130" s="19" t="str">
        <x:v>Snowy River Wangaratta</x:v>
      </x:c>
      <x:c r="L130" s="19" t="str">
        <x:v>Z006</x:v>
      </x:c>
      <x:c r="M130" s="19" t="str">
        <x:v>In Field Warranty Claims</x:v>
      </x:c>
      <x:c r="N130" s="37" t="n">
        <x:v>46205</x:v>
      </x:c>
      <x:c r="O130" s="37"/>
      <x:c r="P130" s="34" t="n">
        <x:v>0</x:v>
      </x:c>
      <x:c r="Q130" s="37" t="n">
        <x:v>46209.11170138889</x:v>
      </x:c>
    </x:row>
    <x:row r="131">
      <x:c r="A131" s="22" t="n">
        <x:v>37271</x:v>
      </x:c>
      <x:c r="B131" s="28" t="n">
        <x:v>202.5</x:v>
      </x:c>
      <x:c r="C131" s="28"/>
      <x:c r="D131" s="31" t="str">
        <x:f>IF(OR(ISBLANK(B131),ISBLANK(C131),B131=0),"",(C131-B131)/B131)</x:f>
      </x:c>
      <x:c r="E131" s="22" t="str">
        <x:f>IF(ISBLANK(C131),"AmountIncludingTax缺失",IF(ABS(B131-C131)&lt;0.005,"一致","不一致"))</x:f>
        <x:v>AmountIncludingTax缺失</x:v>
      </x:c>
      <x:c r="F131" s="19" t="str">
        <x:v>approved</x:v>
      </x:c>
      <x:c r="G131" s="19" t="str">
        <x:v>Sales Order Approved</x:v>
      </x:c>
      <x:c r="H131" s="19" t="str">
        <x:v>In Field</x:v>
      </x:c>
      <x:c r="I131" s="37" t="n">
        <x:v>46210</x:v>
      </x:c>
      <x:c r="J131" s="37" t="n">
        <x:v>46210</x:v>
      </x:c>
      <x:c r="K131" s="19" t="str">
        <x:v>Regent RV - Perth</x:v>
      </x:c>
      <x:c r="L131" s="19" t="str">
        <x:v>Z006</x:v>
      </x:c>
      <x:c r="M131" s="19" t="str">
        <x:v>In Field Warranty Claims</x:v>
      </x:c>
      <x:c r="N131" s="37" t="n">
        <x:v>46205</x:v>
      </x:c>
      <x:c r="O131" s="37"/>
      <x:c r="P131" s="34" t="n">
        <x:v>0</x:v>
      </x:c>
      <x:c r="Q131" s="37" t="n">
        <x:v>46210.01462962963</x:v>
      </x:c>
    </x:row>
    <x:row r="132">
      <x:c r="A132" s="22" t="n">
        <x:v>37260</x:v>
      </x:c>
      <x:c r="B132" s="28" t="n">
        <x:v>405</x:v>
      </x:c>
      <x:c r="C132" s="28" t="n">
        <x:v>445.5</x:v>
      </x:c>
      <x:c r="D132" s="31" t="n">
        <x:f>IF(OR(ISBLANK(B132),ISBLANK(C132),B132=0),"",(C132-B132)/B132)</x:f>
        <x:v>0.1</x:v>
      </x:c>
      <x:c r="E132" s="22" t="str">
        <x:f>IF(ISBLANK(C132),"AmountIncludingTax缺失",IF(ABS(B132-C132)&lt;0.005,"一致","不一致"))</x:f>
        <x:v>不一致</x:v>
      </x:c>
      <x:c r="F132" s="19" t="str">
        <x:v>approved</x:v>
      </x:c>
      <x:c r="G132" s="19" t="str">
        <x:v>Repair in Progress</x:v>
      </x:c>
      <x:c r="H132" s="19" t="str">
        <x:v>In Field</x:v>
      </x:c>
      <x:c r="I132" s="37" t="n">
        <x:v>46205</x:v>
      </x:c>
      <x:c r="J132" s="37" t="n">
        <x:v>46205</x:v>
      </x:c>
      <x:c r="K132" s="19" t="str">
        <x:v>Regent RV - Toowoomba</x:v>
      </x:c>
      <x:c r="L132" s="19" t="str">
        <x:v>Z006</x:v>
      </x:c>
      <x:c r="M132" s="19" t="str">
        <x:v>In Field Warranty Claims</x:v>
      </x:c>
      <x:c r="N132" s="37" t="n">
        <x:v>46205</x:v>
      </x:c>
      <x:c r="O132" s="37"/>
      <x:c r="P132" s="34" t="n">
        <x:v>445.5</x:v>
      </x:c>
      <x:c r="Q132" s="37" t="n">
        <x:v>46205.239895833336</x:v>
      </x:c>
    </x:row>
    <x:row r="133">
      <x:c r="A133" s="22" t="n">
        <x:v>37258</x:v>
      </x:c>
      <x:c r="B133" s="28" t="n">
        <x:v>580</x:v>
      </x:c>
      <x:c r="C133" s="28"/>
      <x:c r="D133" s="31" t="str">
        <x:f>IF(OR(ISBLANK(B133),ISBLANK(C133),B133=0),"",(C133-B133)/B133)</x:f>
      </x:c>
      <x:c r="E133" s="22" t="str">
        <x:f>IF(ISBLANK(C133),"AmountIncludingTax缺失",IF(ABS(B133-C133)&lt;0.005,"一致","不一致"))</x:f>
        <x:v>AmountIncludingTax缺失</x:v>
      </x:c>
      <x:c r="F133" s="19" t="str">
        <x:v>approved</x:v>
      </x:c>
      <x:c r="G133" s="19" t="str">
        <x:v>Sales Order Approved</x:v>
      </x:c>
      <x:c r="H133" s="19" t="str">
        <x:v>In Field</x:v>
      </x:c>
      <x:c r="I133" s="37" t="n">
        <x:v>46205</x:v>
      </x:c>
      <x:c r="J133" s="37" t="n">
        <x:v>46205</x:v>
      </x:c>
      <x:c r="K133" s="19" t="str">
        <x:v>Green RV - Forest Glen</x:v>
      </x:c>
      <x:c r="L133" s="19" t="str">
        <x:v>Z006</x:v>
      </x:c>
      <x:c r="M133" s="19" t="str">
        <x:v>In Field Warranty Claims</x:v>
      </x:c>
      <x:c r="N133" s="37" t="n">
        <x:v>46205</x:v>
      </x:c>
      <x:c r="O133" s="37"/>
      <x:c r="P133" s="34" t="n">
        <x:v>0</x:v>
      </x:c>
      <x:c r="Q133" s="37" t="n">
        <x:v>46205.15244212963</x:v>
      </x:c>
    </x:row>
    <x:row r="134">
      <x:c r="A134" s="22" t="n">
        <x:v>37257</x:v>
      </x:c>
      <x:c r="B134" s="28" t="n">
        <x:v>67.5</x:v>
      </x:c>
      <x:c r="C134" s="28"/>
      <x:c r="D134" s="31" t="str">
        <x:f>IF(OR(ISBLANK(B134),ISBLANK(C134),B134=0),"",(C134-B134)/B134)</x:f>
      </x:c>
      <x:c r="E134" s="22" t="str">
        <x:f>IF(ISBLANK(C134),"AmountIncludingTax缺失",IF(ABS(B134-C134)&lt;0.005,"一致","不一致"))</x:f>
        <x:v>AmountIncludingTax缺失</x:v>
      </x:c>
      <x:c r="F134" s="19" t="str">
        <x:v>approved</x:v>
      </x:c>
      <x:c r="G134" s="19" t="str">
        <x:v>Sales Order Approved</x:v>
      </x:c>
      <x:c r="H134" s="19" t="str">
        <x:v>Pre Delivery</x:v>
      </x:c>
      <x:c r="I134" s="37" t="n">
        <x:v>46206</x:v>
      </x:c>
      <x:c r="J134" s="37" t="n">
        <x:v>46206</x:v>
      </x:c>
      <x:c r="K134" s="19" t="str">
        <x:v>Snowy River Wangaratta</x:v>
      </x:c>
      <x:c r="L134" s="19" t="str">
        <x:v>Z005</x:v>
      </x:c>
      <x:c r="M134" s="19" t="str">
        <x:v>Pre Delivery Warranty Claims</x:v>
      </x:c>
      <x:c r="N134" s="37" t="n">
        <x:v>46205</x:v>
      </x:c>
      <x:c r="O134" s="37"/>
      <x:c r="P134" s="34" t="n">
        <x:v>0</x:v>
      </x:c>
      <x:c r="Q134" s="37" t="n">
        <x:v>46206.18380787037</x:v>
      </x:c>
    </x:row>
    <x:row r="135">
      <x:c r="A135" s="22" t="n">
        <x:v>37256</x:v>
      </x:c>
      <x:c r="B135" s="28" t="n">
        <x:v>337.5</x:v>
      </x:c>
      <x:c r="C135" s="28"/>
      <x:c r="D135" s="31" t="str">
        <x:f>IF(OR(ISBLANK(B135),ISBLANK(C135),B135=0),"",(C135-B135)/B135)</x:f>
      </x:c>
      <x:c r="E135" s="22" t="str">
        <x:f>IF(ISBLANK(C135),"AmountIncludingTax缺失",IF(ABS(B135-C135)&lt;0.005,"一致","不一致"))</x:f>
        <x:v>AmountIncludingTax缺失</x:v>
      </x:c>
      <x:c r="F135" s="19" t="str">
        <x:v>approved</x:v>
      </x:c>
      <x:c r="G135" s="19" t="str">
        <x:v>Sales Order Approved</x:v>
      </x:c>
      <x:c r="H135" s="19" t="str">
        <x:v>Pre Delivery</x:v>
      </x:c>
      <x:c r="I135" s="37" t="n">
        <x:v>46206</x:v>
      </x:c>
      <x:c r="J135" s="37" t="n">
        <x:v>46206</x:v>
      </x:c>
      <x:c r="K135" s="19" t="str">
        <x:v>Regent RV Pty Ltd</x:v>
      </x:c>
      <x:c r="L135" s="19" t="str">
        <x:v>Z005</x:v>
      </x:c>
      <x:c r="M135" s="19" t="str">
        <x:v>Pre Delivery Warranty Claims</x:v>
      </x:c>
      <x:c r="N135" s="37" t="n">
        <x:v>46205</x:v>
      </x:c>
      <x:c r="O135" s="37"/>
      <x:c r="P135" s="34" t="n">
        <x:v>0</x:v>
      </x:c>
      <x:c r="Q135" s="37" t="n">
        <x:v>46206.17228009259</x:v>
      </x:c>
    </x:row>
    <x:row r="136">
      <x:c r="A136" s="22" t="n">
        <x:v>37253</x:v>
      </x:c>
      <x:c r="B136" s="28" t="n">
        <x:v>270</x:v>
      </x:c>
      <x:c r="C136" s="28"/>
      <x:c r="D136" s="31" t="str">
        <x:f>IF(OR(ISBLANK(B136),ISBLANK(C136),B136=0),"",(C136-B136)/B136)</x:f>
      </x:c>
      <x:c r="E136" s="22" t="str">
        <x:f>IF(ISBLANK(C136),"AmountIncludingTax缺失",IF(ABS(B136-C136)&lt;0.005,"一致","不一致"))</x:f>
        <x:v>AmountIncludingTax缺失</x:v>
      </x:c>
      <x:c r="F136" s="19" t="str">
        <x:v>approved</x:v>
      </x:c>
      <x:c r="G136" s="19" t="str">
        <x:v>Sales Order Approved</x:v>
      </x:c>
      <x:c r="H136" s="19" t="str">
        <x:v>In Field</x:v>
      </x:c>
      <x:c r="I136" s="37" t="n">
        <x:v>46209</x:v>
      </x:c>
      <x:c r="J136" s="37" t="n">
        <x:v>46209</x:v>
      </x:c>
      <x:c r="K136" s="19" t="str">
        <x:v>Snowy River Launceston</x:v>
      </x:c>
      <x:c r="L136" s="19" t="str">
        <x:v>Z006</x:v>
      </x:c>
      <x:c r="M136" s="19" t="str">
        <x:v>In Field Warranty Claims</x:v>
      </x:c>
      <x:c r="N136" s="37" t="n">
        <x:v>46205</x:v>
      </x:c>
      <x:c r="O136" s="37"/>
      <x:c r="P136" s="34" t="n">
        <x:v>0</x:v>
      </x:c>
      <x:c r="Q136" s="37" t="n">
        <x:v>46209.17543981481</x:v>
      </x:c>
    </x:row>
    <x:row r="137">
      <x:c r="A137" s="22" t="n">
        <x:v>37252</x:v>
      </x:c>
      <x:c r="B137" s="28" t="n">
        <x:v>580</x:v>
      </x:c>
      <x:c r="C137" s="28"/>
      <x:c r="D137" s="31" t="str">
        <x:f>IF(OR(ISBLANK(B137),ISBLANK(C137),B137=0),"",(C137-B137)/B137)</x:f>
      </x:c>
      <x:c r="E137" s="22" t="str">
        <x:f>IF(ISBLANK(C137),"AmountIncludingTax缺失",IF(ABS(B137-C137)&lt;0.005,"一致","不一致"))</x:f>
        <x:v>AmountIncludingTax缺失</x:v>
      </x:c>
      <x:c r="F137" s="19" t="str">
        <x:v>approved</x:v>
      </x:c>
      <x:c r="G137" s="19" t="str">
        <x:v>Sales Order Approved</x:v>
      </x:c>
      <x:c r="H137" s="19" t="str">
        <x:v>In Field</x:v>
      </x:c>
      <x:c r="I137" s="37" t="n">
        <x:v>46206</x:v>
      </x:c>
      <x:c r="J137" s="37" t="n">
        <x:v>46206</x:v>
      </x:c>
      <x:c r="K137" s="19" t="str">
        <x:v>Sherrif Caravans &amp; Traliers - Prospect Vale</x:v>
      </x:c>
      <x:c r="L137" s="19" t="str">
        <x:v>Z006</x:v>
      </x:c>
      <x:c r="M137" s="19" t="str">
        <x:v>In Field Warranty Claims</x:v>
      </x:c>
      <x:c r="N137" s="37" t="n">
        <x:v>46204</x:v>
      </x:c>
      <x:c r="O137" s="37"/>
      <x:c r="P137" s="34" t="n">
        <x:v>0</x:v>
      </x:c>
      <x:c r="Q137" s="37" t="n">
        <x:v>46206.17429398148</x:v>
      </x:c>
    </x:row>
    <x:row r="138">
      <x:c r="A138" s="22" t="n">
        <x:v>37251</x:v>
      </x:c>
      <x:c r="B138" s="28" t="n">
        <x:v>67.5</x:v>
      </x:c>
      <x:c r="C138" s="28"/>
      <x:c r="D138" s="31" t="str">
        <x:f>IF(OR(ISBLANK(B138),ISBLANK(C138),B138=0),"",(C138-B138)/B138)</x:f>
      </x:c>
      <x:c r="E138" s="22" t="str">
        <x:f>IF(ISBLANK(C138),"AmountIncludingTax缺失",IF(ABS(B138-C138)&lt;0.005,"一致","不一致"))</x:f>
        <x:v>AmountIncludingTax缺失</x:v>
      </x:c>
      <x:c r="F138" s="19" t="str">
        <x:v>approved</x:v>
      </x:c>
      <x:c r="G138" s="19" t="str">
        <x:v>Sales Order Approved</x:v>
      </x:c>
      <x:c r="H138" s="19" t="str">
        <x:v>In Field</x:v>
      </x:c>
      <x:c r="I138" s="37" t="n">
        <x:v>46205</x:v>
      </x:c>
      <x:c r="J138" s="37" t="n">
        <x:v>46205</x:v>
      </x:c>
      <x:c r="K138" s="19" t="str">
        <x:v>Green RV - Forest Glen</x:v>
      </x:c>
      <x:c r="L138" s="19" t="str">
        <x:v>Z006</x:v>
      </x:c>
      <x:c r="M138" s="19" t="str">
        <x:v>In Field Warranty Claims</x:v>
      </x:c>
      <x:c r="N138" s="37" t="n">
        <x:v>46204</x:v>
      </x:c>
      <x:c r="O138" s="37"/>
      <x:c r="P138" s="34" t="n">
        <x:v>0</x:v>
      </x:c>
      <x:c r="Q138" s="37" t="n">
        <x:v>46204.99078703704</x:v>
      </x:c>
    </x:row>
    <x:row r="139">
      <x:c r="A139" s="22" t="n">
        <x:v>37250</x:v>
      </x:c>
      <x:c r="B139" s="28" t="n">
        <x:v>145</x:v>
      </x:c>
      <x:c r="C139" s="28"/>
      <x:c r="D139" s="31" t="str">
        <x:f>IF(OR(ISBLANK(B139),ISBLANK(C139),B139=0),"",(C139-B139)/B139)</x:f>
      </x:c>
      <x:c r="E139" s="22" t="str">
        <x:f>IF(ISBLANK(C139),"AmountIncludingTax缺失",IF(ABS(B139-C139)&lt;0.005,"一致","不一致"))</x:f>
        <x:v>AmountIncludingTax缺失</x:v>
      </x:c>
      <x:c r="F139" s="19" t="str">
        <x:v>approved</x:v>
      </x:c>
      <x:c r="G139" s="19" t="str">
        <x:v>Sales Order Approved</x:v>
      </x:c>
      <x:c r="H139" s="19" t="str">
        <x:v>In Field</x:v>
      </x:c>
      <x:c r="I139" s="37" t="n">
        <x:v>46206</x:v>
      </x:c>
      <x:c r="J139" s="37" t="n">
        <x:v>46206</x:v>
      </x:c>
      <x:c r="K139" s="19" t="str">
        <x:v>Snowy River Launceston</x:v>
      </x:c>
      <x:c r="L139" s="19" t="str">
        <x:v>Z006</x:v>
      </x:c>
      <x:c r="M139" s="19" t="str">
        <x:v>In Field Warranty Claims</x:v>
      </x:c>
      <x:c r="N139" s="37" t="n">
        <x:v>46204</x:v>
      </x:c>
      <x:c r="O139" s="37"/>
      <x:c r="P139" s="34" t="n">
        <x:v>0</x:v>
      </x:c>
      <x:c r="Q139" s="37" t="n">
        <x:v>46205.94530092592</x:v>
      </x:c>
    </x:row>
    <x:row r="140">
      <x:c r="A140" s="22" t="n">
        <x:v>37249</x:v>
      </x:c>
      <x:c r="B140" s="28" t="n">
        <x:v>362.5</x:v>
      </x:c>
      <x:c r="C140" s="28"/>
      <x:c r="D140" s="31" t="str">
        <x:f>IF(OR(ISBLANK(B140),ISBLANK(C140),B140=0),"",(C140-B140)/B140)</x:f>
      </x:c>
      <x:c r="E140" s="22" t="str">
        <x:f>IF(ISBLANK(C140),"AmountIncludingTax缺失",IF(ABS(B140-C140)&lt;0.005,"一致","不一致"))</x:f>
        <x:v>AmountIncludingTax缺失</x:v>
      </x:c>
      <x:c r="F140" s="19" t="str">
        <x:v>approved</x:v>
      </x:c>
      <x:c r="G140" s="19" t="str">
        <x:v>Sales Order Approved</x:v>
      </x:c>
      <x:c r="H140" s="19" t="str">
        <x:v>Pre Delivery</x:v>
      </x:c>
      <x:c r="I140" s="37" t="n">
        <x:v>46205</x:v>
      </x:c>
      <x:c r="J140" s="37" t="n">
        <x:v>46205</x:v>
      </x:c>
      <x:c r="K140" s="19" t="str">
        <x:v>Regent RV - Townsville</x:v>
      </x:c>
      <x:c r="L140" s="19" t="str">
        <x:v>Z005</x:v>
      </x:c>
      <x:c r="M140" s="19" t="str">
        <x:v>Pre Delivery Warranty Claims</x:v>
      </x:c>
      <x:c r="N140" s="37" t="n">
        <x:v>46204</x:v>
      </x:c>
      <x:c r="O140" s="37"/>
      <x:c r="P140" s="34" t="n">
        <x:v>0</x:v>
      </x:c>
      <x:c r="Q140" s="37" t="n">
        <x:v>46204.982094907406</x:v>
      </x:c>
    </x:row>
    <x:row r="141">
      <x:c r="A141" s="22" t="n">
        <x:v>37247</x:v>
      </x:c>
      <x:c r="B141" s="28" t="n">
        <x:v>135</x:v>
      </x:c>
      <x:c r="C141" s="28"/>
      <x:c r="D141" s="31" t="str">
        <x:f>IF(OR(ISBLANK(B141),ISBLANK(C141),B141=0),"",(C141-B141)/B141)</x:f>
      </x:c>
      <x:c r="E141" s="22" t="str">
        <x:f>IF(ISBLANK(C141),"AmountIncludingTax缺失",IF(ABS(B141-C141)&lt;0.005,"一致","不一致"))</x:f>
        <x:v>AmountIncludingTax缺失</x:v>
      </x:c>
      <x:c r="F141" s="19" t="str">
        <x:v>approved</x:v>
      </x:c>
      <x:c r="G141" s="19" t="str">
        <x:v>Sales Order Approved</x:v>
      </x:c>
      <x:c r="H141" s="19" t="str">
        <x:v>In Field</x:v>
      </x:c>
      <x:c r="I141" s="37" t="n">
        <x:v>46206</x:v>
      </x:c>
      <x:c r="J141" s="37" t="n">
        <x:v>46206</x:v>
      </x:c>
      <x:c r="K141" s="19" t="str">
        <x:v>Green RV - Slacks Creek</x:v>
      </x:c>
      <x:c r="L141" s="19" t="str">
        <x:v>Z006</x:v>
      </x:c>
      <x:c r="M141" s="19" t="str">
        <x:v>In Field Warranty Claims</x:v>
      </x:c>
      <x:c r="N141" s="37" t="n">
        <x:v>46204</x:v>
      </x:c>
      <x:c r="O141" s="37"/>
      <x:c r="P141" s="34" t="n">
        <x:v>0</x:v>
      </x:c>
      <x:c r="Q141" s="37" t="n">
        <x:v>46206.234988425924</x:v>
      </x:c>
    </x:row>
    <x:row r="142">
      <x:c r="A142" s="22" t="n">
        <x:v>37241</x:v>
      </x:c>
      <x:c r="B142" s="28" t="n">
        <x:v>207.73</x:v>
      </x:c>
      <x:c r="C142" s="28"/>
      <x:c r="D142" s="31" t="str">
        <x:f>IF(OR(ISBLANK(B142),ISBLANK(C142),B142=0),"",(C142-B142)/B142)</x:f>
      </x:c>
      <x:c r="E142" s="22" t="str">
        <x:f>IF(ISBLANK(C142),"AmountIncludingTax缺失",IF(ABS(B142-C142)&lt;0.005,"一致","不一致"))</x:f>
        <x:v>AmountIncludingTax缺失</x:v>
      </x:c>
      <x:c r="F142" s="19" t="str">
        <x:v>approved</x:v>
      </x:c>
      <x:c r="G142" s="19" t="str">
        <x:v>Repairer Invoiced Processed</x:v>
      </x:c>
      <x:c r="H142" s="19" t="str">
        <x:v>In Field</x:v>
      </x:c>
      <x:c r="I142" s="37" t="n">
        <x:v>46206</x:v>
      </x:c>
      <x:c r="J142" s="37" t="n">
        <x:v>46206</x:v>
      </x:c>
      <x:c r="K142" s="19" t="str">
        <x:v>Regent RV - Frankston</x:v>
      </x:c>
      <x:c r="L142" s="19" t="str">
        <x:v>Z006</x:v>
      </x:c>
      <x:c r="M142" s="19" t="str">
        <x:v>In Field Warranty Claims</x:v>
      </x:c>
      <x:c r="N142" s="37" t="n">
        <x:v>46204</x:v>
      </x:c>
      <x:c r="O142" s="37"/>
      <x:c r="P142" s="34" t="n">
        <x:v>0</x:v>
      </x:c>
      <x:c r="Q142" s="37" t="n">
        <x:v>46206.18209490741</x:v>
      </x:c>
    </x:row>
    <x:row r="143">
      <x:c r="A143" s="22" t="n">
        <x:v>37229</x:v>
      </x:c>
      <x:c r="B143" s="28" t="n">
        <x:v>101.81</x:v>
      </x:c>
      <x:c r="C143" s="28" t="n">
        <x:v>111.99</x:v>
      </x:c>
      <x:c r="D143" s="31" t="n">
        <x:f>IF(OR(ISBLANK(B143),ISBLANK(C143),B143=0),"",(C143-B143)/B143)</x:f>
        <x:v>0.09999017778214313</x:v>
      </x:c>
      <x:c r="E143" s="22" t="str">
        <x:f>IF(ISBLANK(C143),"AmountIncludingTax缺失",IF(ABS(B143-C143)&lt;0.005,"一致","不一致"))</x:f>
        <x:v>不一致</x:v>
      </x:c>
      <x:c r="F143" s="19" t="str">
        <x:v>approved</x:v>
      </x:c>
      <x:c r="G143" s="19" t="str">
        <x:v>Repairer Invoiced Processed</x:v>
      </x:c>
      <x:c r="H143" s="19" t="str">
        <x:v>In Field</x:v>
      </x:c>
      <x:c r="I143" s="37" t="n">
        <x:v>46205</x:v>
      </x:c>
      <x:c r="J143" s="37" t="n">
        <x:v>46205</x:v>
      </x:c>
      <x:c r="K143" s="19" t="str">
        <x:v>Green RV - Slacks Creek</x:v>
      </x:c>
      <x:c r="L143" s="19" t="str">
        <x:v>Z006</x:v>
      </x:c>
      <x:c r="M143" s="19" t="str">
        <x:v>In Field Warranty Claims</x:v>
      </x:c>
      <x:c r="N143" s="37" t="n">
        <x:v>46204</x:v>
      </x:c>
      <x:c r="O143" s="37"/>
      <x:c r="P143" s="34" t="n">
        <x:v>111.99</x:v>
      </x:c>
      <x:c r="Q143" s="37" t="n">
        <x:v>46204.883726851855</x:v>
      </x:c>
    </x:row>
    <x:row r="144">
      <x:c r="A144" s="22" t="n">
        <x:v>37228</x:v>
      </x:c>
      <x:c r="B144" s="28" t="n">
        <x:v>350</x:v>
      </x:c>
      <x:c r="C144" s="28" t="n">
        <x:v>385</x:v>
      </x:c>
      <x:c r="D144" s="31" t="n">
        <x:f>IF(OR(ISBLANK(B144),ISBLANK(C144),B144=0),"",(C144-B144)/B144)</x:f>
        <x:v>0.1</x:v>
      </x:c>
      <x:c r="E144" s="22" t="str">
        <x:f>IF(ISBLANK(C144),"AmountIncludingTax缺失",IF(ABS(B144-C144)&lt;0.005,"一致","不一致"))</x:f>
        <x:v>不一致</x:v>
      </x:c>
      <x:c r="F144" s="19" t="str">
        <x:v>approved</x:v>
      </x:c>
      <x:c r="G144" s="19" t="str">
        <x:v>Repairer Invoiced Processed</x:v>
      </x:c>
      <x:c r="H144" s="19" t="str">
        <x:v>In Field</x:v>
      </x:c>
      <x:c r="I144" s="37" t="n">
        <x:v>46211</x:v>
      </x:c>
      <x:c r="J144" s="37" t="n">
        <x:v>46211</x:v>
      </x:c>
      <x:c r="K144" s="19" t="str">
        <x:v>Green RV - Forest Glen</x:v>
      </x:c>
      <x:c r="L144" s="19" t="str">
        <x:v>Z006</x:v>
      </x:c>
      <x:c r="M144" s="19" t="str">
        <x:v>In Field Warranty Claims</x:v>
      </x:c>
      <x:c r="N144" s="37" t="n">
        <x:v>46204</x:v>
      </x:c>
      <x:c r="O144" s="37"/>
      <x:c r="P144" s="34" t="n">
        <x:v>385</x:v>
      </x:c>
      <x:c r="Q144" s="37" t="n">
        <x:v>46210.92959490741</x:v>
      </x:c>
    </x:row>
    <x:row r="145">
      <x:c r="A145" s="22" t="n">
        <x:v>37224</x:v>
      </x:c>
      <x:c r="B145" s="28" t="n">
        <x:v>135</x:v>
      </x:c>
      <x:c r="C145" s="28" t="n">
        <x:v>148.5</x:v>
      </x:c>
      <x:c r="D145" s="31" t="n">
        <x:f>IF(OR(ISBLANK(B145),ISBLANK(C145),B145=0),"",(C145-B145)/B145)</x:f>
        <x:v>0.1</x:v>
      </x:c>
      <x:c r="E145" s="22" t="str">
        <x:f>IF(ISBLANK(C145),"AmountIncludingTax缺失",IF(ABS(B145-C145)&lt;0.005,"一致","不一致"))</x:f>
        <x:v>不一致</x:v>
      </x:c>
      <x:c r="F145" s="19" t="str">
        <x:v>approved</x:v>
      </x:c>
      <x:c r="G145" s="19" t="str">
        <x:v>Repair in Progress</x:v>
      </x:c>
      <x:c r="H145" s="19" t="str">
        <x:v>In Field</x:v>
      </x:c>
      <x:c r="I145" s="37" t="n">
        <x:v>46204</x:v>
      </x:c>
      <x:c r="J145" s="37" t="n">
        <x:v>46204</x:v>
      </x:c>
      <x:c r="K145" s="19" t="str">
        <x:v>Regent RV Pty Ltd</x:v>
      </x:c>
      <x:c r="L145" s="19" t="str">
        <x:v>Z006</x:v>
      </x:c>
      <x:c r="M145" s="19" t="str">
        <x:v>In Field Warranty Claims</x:v>
      </x:c>
      <x:c r="N145" s="37" t="n">
        <x:v>46204</x:v>
      </x:c>
      <x:c r="O145" s="37"/>
      <x:c r="P145" s="34" t="n">
        <x:v>148.5</x:v>
      </x:c>
      <x:c r="Q145" s="37" t="n">
        <x:v>46204.21766203704</x:v>
      </x:c>
    </x:row>
    <x:row r="146">
      <x:c r="A146" s="22" t="n">
        <x:v>37218</x:v>
      </x:c>
      <x:c r="B146" s="28" t="n">
        <x:v>1430</x:v>
      </x:c>
      <x:c r="C146" s="28"/>
      <x:c r="D146" s="31" t="str">
        <x:f>IF(OR(ISBLANK(B146),ISBLANK(C146),B146=0),"",(C146-B146)/B146)</x:f>
      </x:c>
      <x:c r="E146" s="22" t="str">
        <x:f>IF(ISBLANK(C146),"AmountIncludingTax缺失",IF(ABS(B146-C146)&lt;0.005,"一致","不一致"))</x:f>
        <x:v>AmountIncludingTax缺失</x:v>
      </x:c>
      <x:c r="F146" s="19" t="str">
        <x:v>approved</x:v>
      </x:c>
      <x:c r="G146" s="19" t="str">
        <x:v>Sales Order Approved</x:v>
      </x:c>
      <x:c r="H146" s="19" t="str">
        <x:v>In Field</x:v>
      </x:c>
      <x:c r="I146" s="37" t="n">
        <x:v>46209</x:v>
      </x:c>
      <x:c r="J146" s="37" t="n">
        <x:v>46209</x:v>
      </x:c>
      <x:c r="K146" s="19" t="str">
        <x:v>Snowy River Frankston</x:v>
      </x:c>
      <x:c r="L146" s="19" t="str">
        <x:v>Z006</x:v>
      </x:c>
      <x:c r="M146" s="19" t="str">
        <x:v>In Field Warranty Claims</x:v>
      </x:c>
      <x:c r="N146" s="37" t="n">
        <x:v>46204</x:v>
      </x:c>
      <x:c r="O146" s="37"/>
      <x:c r="P146" s="34" t="n">
        <x:v>0</x:v>
      </x:c>
      <x:c r="Q146" s="37" t="n">
        <x:v>46209.037453703706</x:v>
      </x:c>
    </x:row>
    <x:row r="147">
      <x:c r="A147" s="22" t="n">
        <x:v>37217</x:v>
      </x:c>
      <x:c r="B147" s="28" t="n">
        <x:v>150</x:v>
      </x:c>
      <x:c r="C147" s="28"/>
      <x:c r="D147" s="31" t="str">
        <x:f>IF(OR(ISBLANK(B147),ISBLANK(C147),B147=0),"",(C147-B147)/B147)</x:f>
      </x:c>
      <x:c r="E147" s="22" t="str">
        <x:f>IF(ISBLANK(C147),"AmountIncludingTax缺失",IF(ABS(B147-C147)&lt;0.005,"一致","不一致"))</x:f>
        <x:v>AmountIncludingTax缺失</x:v>
      </x:c>
      <x:c r="F147" s="19" t="str">
        <x:v>approved</x:v>
      </x:c>
      <x:c r="G147" s="19" t="str">
        <x:v>Sales Order Approved</x:v>
      </x:c>
      <x:c r="H147" s="19" t="str">
        <x:v>In Field</x:v>
      </x:c>
      <x:c r="I147" s="37" t="n">
        <x:v>46209</x:v>
      </x:c>
      <x:c r="J147" s="37" t="n">
        <x:v>46209</x:v>
      </x:c>
      <x:c r="K147" s="19" t="str">
        <x:v>Regent RV - Townsville</x:v>
      </x:c>
      <x:c r="L147" s="19" t="str">
        <x:v>Z006</x:v>
      </x:c>
      <x:c r="M147" s="19" t="str">
        <x:v>In Field Warranty Claims</x:v>
      </x:c>
      <x:c r="N147" s="37" t="n">
        <x:v>46204</x:v>
      </x:c>
      <x:c r="O147" s="37"/>
      <x:c r="P147" s="34" t="n">
        <x:v>0</x:v>
      </x:c>
      <x:c r="Q147" s="37" t="n">
        <x:v>46209.24290509259</x:v>
      </x:c>
    </x:row>
    <x:row r="148">
      <x:c r="A148" s="22" t="n">
        <x:v>37216</x:v>
      </x:c>
      <x:c r="B148" s="28" t="n">
        <x:v>202.5</x:v>
      </x:c>
      <x:c r="C148" s="28"/>
      <x:c r="D148" s="31" t="str">
        <x:f>IF(OR(ISBLANK(B148),ISBLANK(C148),B148=0),"",(C148-B148)/B148)</x:f>
      </x:c>
      <x:c r="E148" s="22" t="str">
        <x:f>IF(ISBLANK(C148),"AmountIncludingTax缺失",IF(ABS(B148-C148)&lt;0.005,"一致","不一致"))</x:f>
        <x:v>AmountIncludingTax缺失</x:v>
      </x:c>
      <x:c r="F148" s="19" t="str">
        <x:v>approved</x:v>
      </x:c>
      <x:c r="G148" s="19" t="str">
        <x:v>Sales Order Approved</x:v>
      </x:c>
      <x:c r="H148" s="19" t="str">
        <x:v>Pre Delivery</x:v>
      </x:c>
      <x:c r="I148" s="37" t="n">
        <x:v>46206</x:v>
      </x:c>
      <x:c r="J148" s="37" t="n">
        <x:v>46206</x:v>
      </x:c>
      <x:c r="K148" s="19" t="str">
        <x:v>Snowy River Wangaratta</x:v>
      </x:c>
      <x:c r="L148" s="19" t="str">
        <x:v>Z005</x:v>
      </x:c>
      <x:c r="M148" s="19" t="str">
        <x:v>Pre Delivery Warranty Claims</x:v>
      </x:c>
      <x:c r="N148" s="37" t="n">
        <x:v>46204</x:v>
      </x:c>
      <x:c r="O148" s="37"/>
      <x:c r="P148" s="34" t="n">
        <x:v>0</x:v>
      </x:c>
      <x:c r="Q148" s="37" t="n">
        <x:v>46206.14209490741</x:v>
      </x:c>
    </x:row>
    <x:row r="149">
      <x:c r="A149" s="22" t="n">
        <x:v>37214</x:v>
      </x:c>
      <x:c r="B149" s="28" t="n">
        <x:v>265.45</x:v>
      </x:c>
      <x:c r="C149" s="28" t="n">
        <x:v>292</x:v>
      </x:c>
      <x:c r="D149" s="31" t="n">
        <x:f>IF(OR(ISBLANK(B149),ISBLANK(C149),B149=0),"",(C149-B149)/B149)</x:f>
        <x:v>0.10001883593897161</x:v>
      </x:c>
      <x:c r="E149" s="22" t="str">
        <x:f>IF(ISBLANK(C149),"AmountIncludingTax缺失",IF(ABS(B149-C149)&lt;0.005,"一致","不一致"))</x:f>
        <x:v>不一致</x:v>
      </x:c>
      <x:c r="F149" s="19" t="str">
        <x:v>approved</x:v>
      </x:c>
      <x:c r="G149" s="19" t="str">
        <x:v>Repairer Invoiced Processed</x:v>
      </x:c>
      <x:c r="H149" s="19" t="str">
        <x:v>In Field</x:v>
      </x:c>
      <x:c r="I149" s="37" t="n">
        <x:v>46205</x:v>
      </x:c>
      <x:c r="J149" s="37" t="n">
        <x:v>46205</x:v>
      </x:c>
      <x:c r="K149" s="19" t="str">
        <x:v>Regent RV - Townsville</x:v>
      </x:c>
      <x:c r="L149" s="19" t="str">
        <x:v>Z006</x:v>
      </x:c>
      <x:c r="M149" s="19" t="str">
        <x:v>In Field Warranty Claims</x:v>
      </x:c>
      <x:c r="N149" s="37" t="n">
        <x:v>46204</x:v>
      </x:c>
      <x:c r="O149" s="37"/>
      <x:c r="P149" s="34" t="n">
        <x:v>292</x:v>
      </x:c>
      <x:c r="Q149" s="37" t="n">
        <x:v>46204.99579861111</x:v>
      </x:c>
    </x:row>
    <x:row r="150">
      <x:c r="A150" s="22" t="n">
        <x:v>37212</x:v>
      </x:c>
      <x:c r="B150" s="28" t="n">
        <x:v>850</x:v>
      </x:c>
      <x:c r="C150" s="28"/>
      <x:c r="D150" s="31" t="str">
        <x:f>IF(OR(ISBLANK(B150),ISBLANK(C150),B150=0),"",(C150-B150)/B150)</x:f>
      </x:c>
      <x:c r="E150" s="22" t="str">
        <x:f>IF(ISBLANK(C150),"AmountIncludingTax缺失",IF(ABS(B150-C150)&lt;0.005,"一致","不一致"))</x:f>
        <x:v>AmountIncludingTax缺失</x:v>
      </x:c>
      <x:c r="F150" s="19" t="str">
        <x:v>approved</x:v>
      </x:c>
      <x:c r="G150" s="19" t="str">
        <x:v>Sales Order Approved</x:v>
      </x:c>
      <x:c r="H150" s="19" t="str">
        <x:v>In Field</x:v>
      </x:c>
      <x:c r="I150" s="37" t="n">
        <x:v>46206</x:v>
      </x:c>
      <x:c r="J150" s="37" t="n">
        <x:v>46206</x:v>
      </x:c>
      <x:c r="K150" s="19" t="str">
        <x:v>Snowy River Geelong</x:v>
      </x:c>
      <x:c r="L150" s="19" t="str">
        <x:v>Z006</x:v>
      </x:c>
      <x:c r="M150" s="19" t="str">
        <x:v>In Field Warranty Claims</x:v>
      </x:c>
      <x:c r="N150" s="37" t="n">
        <x:v>46204</x:v>
      </x:c>
      <x:c r="O150" s="37"/>
      <x:c r="P150" s="34" t="n">
        <x:v>0</x:v>
      </x:c>
      <x:c r="Q150" s="37" t="n">
        <x:v>46206.17166666667</x:v>
      </x:c>
    </x:row>
    <x:row r="151">
      <x:c r="A151" s="22" t="n">
        <x:v>37210</x:v>
      </x:c>
      <x:c r="B151" s="28" t="n">
        <x:v>202.5</x:v>
      </x:c>
      <x:c r="C151" s="28" t="n">
        <x:v>222.75</x:v>
      </x:c>
      <x:c r="D151" s="31" t="n">
        <x:f>IF(OR(ISBLANK(B151),ISBLANK(C151),B151=0),"",(C151-B151)/B151)</x:f>
        <x:v>0.1</x:v>
      </x:c>
      <x:c r="E151" s="22" t="str">
        <x:f>IF(ISBLANK(C151),"AmountIncludingTax缺失",IF(ABS(B151-C151)&lt;0.005,"一致","不一致"))</x:f>
        <x:v>不一致</x:v>
      </x:c>
      <x:c r="F151" s="19" t="str">
        <x:v>approved</x:v>
      </x:c>
      <x:c r="G151" s="19" t="str">
        <x:v>Repair in Progress</x:v>
      </x:c>
      <x:c r="H151" s="19" t="str">
        <x:v>In Field</x:v>
      </x:c>
      <x:c r="I151" s="37" t="n">
        <x:v>46206</x:v>
      </x:c>
      <x:c r="J151" s="37" t="n">
        <x:v>46206</x:v>
      </x:c>
      <x:c r="K151" s="19" t="str">
        <x:v>Auswide Caravans - South Nowra</x:v>
      </x:c>
      <x:c r="L151" s="19" t="str">
        <x:v>Z006</x:v>
      </x:c>
      <x:c r="M151" s="19" t="str">
        <x:v>In Field Warranty Claims</x:v>
      </x:c>
      <x:c r="N151" s="37" t="n">
        <x:v>46204</x:v>
      </x:c>
      <x:c r="O151" s="37"/>
      <x:c r="P151" s="34" t="n">
        <x:v>222.75</x:v>
      </x:c>
      <x:c r="Q151" s="37" t="n">
        <x:v>46206.22729166667</x:v>
      </x:c>
    </x:row>
    <x:row r="152">
      <x:c r="A152" s="22" t="n">
        <x:v>37207</x:v>
      </x:c>
      <x:c r="B152" s="28" t="n">
        <x:v>1477.5</x:v>
      </x:c>
      <x:c r="C152" s="28"/>
      <x:c r="D152" s="31" t="str">
        <x:f>IF(OR(ISBLANK(B152),ISBLANK(C152),B152=0),"",(C152-B152)/B152)</x:f>
      </x:c>
      <x:c r="E152" s="22" t="str">
        <x:f>IF(ISBLANK(C152),"AmountIncludingTax缺失",IF(ABS(B152-C152)&lt;0.005,"一致","不一致"))</x:f>
        <x:v>AmountIncludingTax缺失</x:v>
      </x:c>
      <x:c r="F152" s="19" t="str">
        <x:v>approved</x:v>
      </x:c>
      <x:c r="G152" s="19" t="str">
        <x:v>Sales Order Approved</x:v>
      </x:c>
      <x:c r="H152" s="19" t="str">
        <x:v>In Field</x:v>
      </x:c>
      <x:c r="I152" s="37" t="n">
        <x:v>46206</x:v>
      </x:c>
      <x:c r="J152" s="37" t="n">
        <x:v>46206</x:v>
      </x:c>
      <x:c r="K152" s="19" t="str">
        <x:v>Snowy River Geelong</x:v>
      </x:c>
      <x:c r="L152" s="19" t="str">
        <x:v>Z006</x:v>
      </x:c>
      <x:c r="M152" s="19" t="str">
        <x:v>In Field Warranty Claims</x:v>
      </x:c>
      <x:c r="N152" s="37" t="n">
        <x:v>46204</x:v>
      </x:c>
      <x:c r="O152" s="37"/>
      <x:c r="P152" s="34" t="n">
        <x:v>0</x:v>
      </x:c>
      <x:c r="Q152" s="37" t="n">
        <x:v>46206.14743055555</x:v>
      </x:c>
    </x:row>
    <x:row r="153">
      <x:c r="A153" s="22" t="n">
        <x:v>37206</x:v>
      </x:c>
      <x:c r="B153" s="28" t="n">
        <x:v>519.58</x:v>
      </x:c>
      <x:c r="C153" s="28"/>
      <x:c r="D153" s="31" t="str">
        <x:f>IF(OR(ISBLANK(B153),ISBLANK(C153),B153=0),"",(C153-B153)/B153)</x:f>
      </x:c>
      <x:c r="E153" s="22" t="str">
        <x:f>IF(ISBLANK(C153),"AmountIncludingTax缺失",IF(ABS(B153-C153)&lt;0.005,"一致","不一致"))</x:f>
        <x:v>AmountIncludingTax缺失</x:v>
      </x:c>
      <x:c r="F153" s="19" t="str">
        <x:v>approved</x:v>
      </x:c>
      <x:c r="G153" s="19" t="str">
        <x:v>Repairer Invoiced Processed</x:v>
      </x:c>
      <x:c r="H153" s="19" t="str">
        <x:v>In Field</x:v>
      </x:c>
      <x:c r="I153" s="37" t="n">
        <x:v>46205</x:v>
      </x:c>
      <x:c r="J153" s="37" t="n">
        <x:v>46205</x:v>
      </x:c>
      <x:c r="K153" s="19" t="str">
        <x:v>Regent RV - Townsville</x:v>
      </x:c>
      <x:c r="L153" s="19" t="str">
        <x:v>Z006</x:v>
      </x:c>
      <x:c r="M153" s="19" t="str">
        <x:v>In Field Warranty Claims</x:v>
      </x:c>
      <x:c r="N153" s="37" t="n">
        <x:v>46204</x:v>
      </x:c>
      <x:c r="O153" s="37"/>
      <x:c r="P153" s="34" t="n">
        <x:v>0</x:v>
      </x:c>
      <x:c r="Q153" s="37" t="n">
        <x:v>46205.17542824074</x:v>
      </x:c>
    </x:row>
    <x:row r="154">
      <x:c r="A154" s="22" t="n">
        <x:v>37205</x:v>
      </x:c>
      <x:c r="B154" s="28" t="n">
        <x:v>67.5</x:v>
      </x:c>
      <x:c r="C154" s="28"/>
      <x:c r="D154" s="31" t="str">
        <x:f>IF(OR(ISBLANK(B154),ISBLANK(C154),B154=0),"",(C154-B154)/B154)</x:f>
      </x:c>
      <x:c r="E154" s="22" t="str">
        <x:f>IF(ISBLANK(C154),"AmountIncludingTax缺失",IF(ABS(B154-C154)&lt;0.005,"一致","不一致"))</x:f>
        <x:v>AmountIncludingTax缺失</x:v>
      </x:c>
      <x:c r="F154" s="19" t="str">
        <x:v>approved</x:v>
      </x:c>
      <x:c r="G154" s="19" t="str">
        <x:v>Sales Order Approved</x:v>
      </x:c>
      <x:c r="H154" s="19" t="str">
        <x:v>In Field</x:v>
      </x:c>
      <x:c r="I154" s="37" t="n">
        <x:v>46205</x:v>
      </x:c>
      <x:c r="J154" s="37" t="n">
        <x:v>46205</x:v>
      </x:c>
      <x:c r="K154" s="19" t="str">
        <x:v>Auswide Caravans - South Nowra</x:v>
      </x:c>
      <x:c r="L154" s="19" t="str">
        <x:v>Z006</x:v>
      </x:c>
      <x:c r="M154" s="19" t="str">
        <x:v>In Field Warranty Claims</x:v>
      </x:c>
      <x:c r="N154" s="37" t="n">
        <x:v>46204</x:v>
      </x:c>
      <x:c r="O154" s="37"/>
      <x:c r="P154" s="34" t="n">
        <x:v>0</x:v>
      </x:c>
      <x:c r="Q154" s="37" t="n">
        <x:v>46205.25184027778</x:v>
      </x:c>
    </x:row>
    <x:row r="155">
      <x:c r="A155" s="22" t="n">
        <x:v>37204</x:v>
      </x:c>
      <x:c r="B155" s="28" t="n">
        <x:v>897.5</x:v>
      </x:c>
      <x:c r="C155" s="28"/>
      <x:c r="D155" s="31" t="str">
        <x:f>IF(OR(ISBLANK(B155),ISBLANK(C155),B155=0),"",(C155-B155)/B155)</x:f>
      </x:c>
      <x:c r="E155" s="22" t="str">
        <x:f>IF(ISBLANK(C155),"AmountIncludingTax缺失",IF(ABS(B155-C155)&lt;0.005,"一致","不一致"))</x:f>
        <x:v>AmountIncludingTax缺失</x:v>
      </x:c>
      <x:c r="F155" s="19" t="str">
        <x:v>approved</x:v>
      </x:c>
      <x:c r="G155" s="19" t="str">
        <x:v>Sales Order Approved</x:v>
      </x:c>
      <x:c r="H155" s="19" t="str">
        <x:v>In Field</x:v>
      </x:c>
      <x:c r="I155" s="37" t="n">
        <x:v>46205</x:v>
      </x:c>
      <x:c r="J155" s="37" t="n">
        <x:v>46205</x:v>
      </x:c>
      <x:c r="K155" s="19" t="str">
        <x:v>Newcastle RV Super Centre - Beresfield</x:v>
      </x:c>
      <x:c r="L155" s="19" t="str">
        <x:v>Z006</x:v>
      </x:c>
      <x:c r="M155" s="19" t="str">
        <x:v>In Field Warranty Claims</x:v>
      </x:c>
      <x:c r="N155" s="37" t="n">
        <x:v>46204</x:v>
      </x:c>
      <x:c r="O155" s="37"/>
      <x:c r="P155" s="34" t="n">
        <x:v>0</x:v>
      </x:c>
      <x:c r="Q155" s="37" t="n">
        <x:v>46204.983298611114</x:v>
      </x:c>
    </x:row>
    <x:row r="156">
      <x:c r="A156" s="22" t="n">
        <x:v>37201</x:v>
      </x:c>
      <x:c r="B156" s="28" t="n">
        <x:v>1322.5</x:v>
      </x:c>
      <x:c r="C156" s="28"/>
      <x:c r="D156" s="31" t="str">
        <x:f>IF(OR(ISBLANK(B156),ISBLANK(C156),B156=0),"",(C156-B156)/B156)</x:f>
      </x:c>
      <x:c r="E156" s="22" t="str">
        <x:f>IF(ISBLANK(C156),"AmountIncludingTax缺失",IF(ABS(B156-C156)&lt;0.005,"一致","不一致"))</x:f>
        <x:v>AmountIncludingTax缺失</x:v>
      </x:c>
      <x:c r="F156" s="19" t="str">
        <x:v>approved</x:v>
      </x:c>
      <x:c r="G156" s="19" t="str">
        <x:v>Repairer Invoiced Processed</x:v>
      </x:c>
      <x:c r="H156" s="19" t="str">
        <x:v>In Field</x:v>
      </x:c>
      <x:c r="I156" s="37" t="n">
        <x:v>46204</x:v>
      </x:c>
      <x:c r="J156" s="37" t="n">
        <x:v>46204</x:v>
      </x:c>
      <x:c r="K156" s="19" t="str">
        <x:v>Green RV - Slacks Creek</x:v>
      </x:c>
      <x:c r="L156" s="19" t="str">
        <x:v>Z006</x:v>
      </x:c>
      <x:c r="M156" s="19" t="str">
        <x:v>In Field Warranty Claims</x:v>
      </x:c>
      <x:c r="N156" s="37" t="n">
        <x:v>46204</x:v>
      </x:c>
      <x:c r="O156" s="37"/>
      <x:c r="P156" s="34" t="n">
        <x:v>0</x:v>
      </x:c>
      <x:c r="Q156" s="37" t="n">
        <x:v>46204.20936342593</x:v>
      </x:c>
    </x:row>
    <x:row r="157">
      <x:c r="A157" s="22" t="n">
        <x:v>37199</x:v>
      </x:c>
      <x:c r="B157" s="28" t="n">
        <x:v>540</x:v>
      </x:c>
      <x:c r="C157" s="28"/>
      <x:c r="D157" s="31" t="str">
        <x:f>IF(OR(ISBLANK(B157),ISBLANK(C157),B157=0),"",(C157-B157)/B157)</x:f>
      </x:c>
      <x:c r="E157" s="22" t="str">
        <x:f>IF(ISBLANK(C157),"AmountIncludingTax缺失",IF(ABS(B157-C157)&lt;0.005,"一致","不一致"))</x:f>
        <x:v>AmountIncludingTax缺失</x:v>
      </x:c>
      <x:c r="F157" s="19" t="str">
        <x:v>approved</x:v>
      </x:c>
      <x:c r="G157" s="19" t="str">
        <x:v>Sales Order Approved</x:v>
      </x:c>
      <x:c r="H157" s="19" t="str">
        <x:v>In Field</x:v>
      </x:c>
      <x:c r="I157" s="37" t="n">
        <x:v>46210</x:v>
      </x:c>
      <x:c r="J157" s="37" t="n">
        <x:v>46210</x:v>
      </x:c>
      <x:c r="K157" s="19" t="str">
        <x:v>Regent RV - Frankston</x:v>
      </x:c>
      <x:c r="L157" s="19" t="str">
        <x:v>Z006</x:v>
      </x:c>
      <x:c r="M157" s="19" t="str">
        <x:v>In Field Warranty Claims</x:v>
      </x:c>
      <x:c r="N157" s="37" t="n">
        <x:v>46204</x:v>
      </x:c>
      <x:c r="O157" s="37"/>
      <x:c r="P157" s="34" t="n">
        <x:v>0</x:v>
      </x:c>
      <x:c r="Q157" s="37" t="n">
        <x:v>46210.0778125</x:v>
      </x:c>
    </x:row>
    <x:row r="158">
      <x:c r="A158" s="22" t="n">
        <x:v>37198</x:v>
      </x:c>
      <x:c r="B158" s="28" t="n">
        <x:v>222.5</x:v>
      </x:c>
      <x:c r="C158" s="28"/>
      <x:c r="D158" s="31" t="str">
        <x:f>IF(OR(ISBLANK(B158),ISBLANK(C158),B158=0),"",(C158-B158)/B158)</x:f>
      </x:c>
      <x:c r="E158" s="22" t="str">
        <x:f>IF(ISBLANK(C158),"AmountIncludingTax缺失",IF(ABS(B158-C158)&lt;0.005,"一致","不一致"))</x:f>
        <x:v>AmountIncludingTax缺失</x:v>
      </x:c>
      <x:c r="F158" s="19" t="str">
        <x:v>approved</x:v>
      </x:c>
      <x:c r="G158" s="19" t="str">
        <x:v>Sales Order Approved</x:v>
      </x:c>
      <x:c r="H158" s="19" t="str">
        <x:v>In Field</x:v>
      </x:c>
      <x:c r="I158" s="37" t="n">
        <x:v>46205</x:v>
      </x:c>
      <x:c r="J158" s="37" t="n">
        <x:v>46205</x:v>
      </x:c>
      <x:c r="K158" s="19" t="str">
        <x:v>The Caravan Hub - Townsville</x:v>
      </x:c>
      <x:c r="L158" s="19" t="str">
        <x:v>Z006</x:v>
      </x:c>
      <x:c r="M158" s="19" t="str">
        <x:v>In Field Warranty Claims</x:v>
      </x:c>
      <x:c r="N158" s="37" t="n">
        <x:v>46204</x:v>
      </x:c>
      <x:c r="O158" s="37"/>
      <x:c r="P158" s="34" t="n">
        <x:v>0</x:v>
      </x:c>
      <x:c r="Q158" s="37" t="n">
        <x:v>46204.990335648145</x:v>
      </x:c>
    </x:row>
    <x:row r="159">
      <x:c r="A159" s="22" t="n">
        <x:v>37196</x:v>
      </x:c>
      <x:c r="B159" s="28" t="n">
        <x:v>425</x:v>
      </x:c>
      <x:c r="C159" s="28"/>
      <x:c r="D159" s="31" t="str">
        <x:f>IF(OR(ISBLANK(B159),ISBLANK(C159),B159=0),"",(C159-B159)/B159)</x:f>
      </x:c>
      <x:c r="E159" s="22" t="str">
        <x:f>IF(ISBLANK(C159),"AmountIncludingTax缺失",IF(ABS(B159-C159)&lt;0.005,"一致","不一致"))</x:f>
        <x:v>AmountIncludingTax缺失</x:v>
      </x:c>
      <x:c r="F159" s="19" t="str">
        <x:v>approved</x:v>
      </x:c>
      <x:c r="G159" s="19" t="str">
        <x:v>Sales Order Approved</x:v>
      </x:c>
      <x:c r="H159" s="19" t="str">
        <x:v>In Field</x:v>
      </x:c>
      <x:c r="I159" s="37" t="n">
        <x:v>46209</x:v>
      </x:c>
      <x:c r="J159" s="37" t="n">
        <x:v>46209</x:v>
      </x:c>
      <x:c r="K159" s="19" t="str">
        <x:v>Regent RV - Frankston</x:v>
      </x:c>
      <x:c r="L159" s="19" t="str">
        <x:v>Z006</x:v>
      </x:c>
      <x:c r="M159" s="19" t="str">
        <x:v>In Field Warranty Claims</x:v>
      </x:c>
      <x:c r="N159" s="37" t="n">
        <x:v>46204</x:v>
      </x:c>
      <x:c r="O159" s="37"/>
      <x:c r="P159" s="34" t="n">
        <x:v>0</x:v>
      </x:c>
      <x:c r="Q159" s="37" t="n">
        <x:v>46208.914722222224</x:v>
      </x:c>
    </x:row>
    <x:row r="160">
      <x:c r="A160" s="22" t="n">
        <x:v>37191</x:v>
      </x:c>
      <x:c r="B160" s="28" t="n">
        <x:v>270</x:v>
      </x:c>
      <x:c r="C160" s="28"/>
      <x:c r="D160" s="31" t="str">
        <x:f>IF(OR(ISBLANK(B160),ISBLANK(C160),B160=0),"",(C160-B160)/B160)</x:f>
      </x:c>
      <x:c r="E160" s="22" t="str">
        <x:f>IF(ISBLANK(C160),"AmountIncludingTax缺失",IF(ABS(B160-C160)&lt;0.005,"一致","不一致"))</x:f>
        <x:v>AmountIncludingTax缺失</x:v>
      </x:c>
      <x:c r="F160" s="19" t="str">
        <x:v>approved</x:v>
      </x:c>
      <x:c r="G160" s="19" t="str">
        <x:v>Sales Order Approved</x:v>
      </x:c>
      <x:c r="H160" s="19" t="str">
        <x:v>In Field</x:v>
      </x:c>
      <x:c r="I160" s="37" t="n">
        <x:v>46205</x:v>
      </x:c>
      <x:c r="J160" s="37" t="n">
        <x:v>46205</x:v>
      </x:c>
      <x:c r="K160" s="19" t="str">
        <x:v>NEWCASTLE CARAVANS &amp; RVS</x:v>
      </x:c>
      <x:c r="L160" s="19" t="str">
        <x:v>Z006</x:v>
      </x:c>
      <x:c r="M160" s="19" t="str">
        <x:v>In Field Warranty Claims</x:v>
      </x:c>
      <x:c r="N160" s="37" t="n">
        <x:v>46203</x:v>
      </x:c>
      <x:c r="O160" s="37"/>
      <x:c r="P160" s="34" t="n">
        <x:v>0</x:v>
      </x:c>
      <x:c r="Q160" s="37" t="n">
        <x:v>46204.98615740741</x:v>
      </x:c>
    </x:row>
    <x:row r="161">
      <x:c r="A161" s="22" t="n">
        <x:v>37189</x:v>
      </x:c>
      <x:c r="B161" s="28" t="n">
        <x:v>850</x:v>
      </x:c>
      <x:c r="C161" s="28"/>
      <x:c r="D161" s="31" t="str">
        <x:f>IF(OR(ISBLANK(B161),ISBLANK(C161),B161=0),"",(C161-B161)/B161)</x:f>
      </x:c>
      <x:c r="E161" s="22" t="str">
        <x:f>IF(ISBLANK(C161),"AmountIncludingTax缺失",IF(ABS(B161-C161)&lt;0.005,"一致","不一致"))</x:f>
        <x:v>AmountIncludingTax缺失</x:v>
      </x:c>
      <x:c r="F161" s="19" t="str">
        <x:v>approved</x:v>
      </x:c>
      <x:c r="G161" s="19" t="str">
        <x:v>Sales Order Approved</x:v>
      </x:c>
      <x:c r="H161" s="19" t="str">
        <x:v>In Field</x:v>
      </x:c>
      <x:c r="I161" s="37" t="n">
        <x:v>46204</x:v>
      </x:c>
      <x:c r="J161" s="37" t="n">
        <x:v>46204</x:v>
      </x:c>
      <x:c r="K161" s="19" t="str">
        <x:v>Green RV - Forest Glen</x:v>
      </x:c>
      <x:c r="L161" s="19" t="str">
        <x:v>Z006</x:v>
      </x:c>
      <x:c r="M161" s="19" t="str">
        <x:v>In Field Warranty Claims</x:v>
      </x:c>
      <x:c r="N161" s="37" t="n">
        <x:v>46204</x:v>
      </x:c>
      <x:c r="O161" s="37"/>
      <x:c r="P161" s="34" t="n">
        <x:v>0</x:v>
      </x:c>
      <x:c r="Q161" s="37" t="n">
        <x:v>46204.20877314815</x:v>
      </x:c>
    </x:row>
    <x:row r="162">
      <x:c r="A162" s="22" t="n">
        <x:v>37187</x:v>
      </x:c>
      <x:c r="B162" s="28" t="n">
        <x:v>937.5</x:v>
      </x:c>
      <x:c r="C162" s="28"/>
      <x:c r="D162" s="31" t="str">
        <x:f>IF(OR(ISBLANK(B162),ISBLANK(C162),B162=0),"",(C162-B162)/B162)</x:f>
      </x:c>
      <x:c r="E162" s="22" t="str">
        <x:f>IF(ISBLANK(C162),"AmountIncludingTax缺失",IF(ABS(B162-C162)&lt;0.005,"一致","不一致"))</x:f>
        <x:v>AmountIncludingTax缺失</x:v>
      </x:c>
      <x:c r="F162" s="19" t="str">
        <x:v>approved</x:v>
      </x:c>
      <x:c r="G162" s="19" t="str">
        <x:v>Sales Order Approved</x:v>
      </x:c>
      <x:c r="H162" s="19" t="str">
        <x:v>In Field</x:v>
      </x:c>
      <x:c r="I162" s="37" t="n">
        <x:v>46209</x:v>
      </x:c>
      <x:c r="J162" s="37" t="n">
        <x:v>46209</x:v>
      </x:c>
      <x:c r="K162" s="19" t="str">
        <x:v>Regent RV - Frankston</x:v>
      </x:c>
      <x:c r="L162" s="19" t="str">
        <x:v>Z006</x:v>
      </x:c>
      <x:c r="M162" s="19" t="str">
        <x:v>In Field Warranty Claims</x:v>
      </x:c>
      <x:c r="N162" s="37" t="n">
        <x:v>46204</x:v>
      </x:c>
      <x:c r="O162" s="37"/>
      <x:c r="P162" s="34" t="n">
        <x:v>0</x:v>
      </x:c>
      <x:c r="Q162" s="37" t="n">
        <x:v>46209.03675925926</x:v>
      </x:c>
    </x:row>
    <x:row r="163">
      <x:c r="A163" s="22" t="n">
        <x:v>37185</x:v>
      </x:c>
      <x:c r="B163" s="28" t="n">
        <x:v>280</x:v>
      </x:c>
      <x:c r="C163" s="28"/>
      <x:c r="D163" s="31" t="str">
        <x:f>IF(OR(ISBLANK(B163),ISBLANK(C163),B163=0),"",(C163-B163)/B163)</x:f>
      </x:c>
      <x:c r="E163" s="22" t="str">
        <x:f>IF(ISBLANK(C163),"AmountIncludingTax缺失",IF(ABS(B163-C163)&lt;0.005,"一致","不一致"))</x:f>
        <x:v>AmountIncludingTax缺失</x:v>
      </x:c>
      <x:c r="F163" s="19" t="str">
        <x:v>approved</x:v>
      </x:c>
      <x:c r="G163" s="19" t="str">
        <x:v>Sales Order Approved</x:v>
      </x:c>
      <x:c r="H163" s="19" t="str">
        <x:v>Pre Delivery</x:v>
      </x:c>
      <x:c r="I163" s="37" t="n">
        <x:v>46206</x:v>
      </x:c>
      <x:c r="J163" s="37" t="n">
        <x:v>46206</x:v>
      </x:c>
      <x:c r="K163" s="19" t="str">
        <x:v>Regent RV - Frankston</x:v>
      </x:c>
      <x:c r="L163" s="19" t="str">
        <x:v>Z005</x:v>
      </x:c>
      <x:c r="M163" s="19" t="str">
        <x:v>Pre Delivery Warranty Claims</x:v>
      </x:c>
      <x:c r="N163" s="37" t="n">
        <x:v>46204</x:v>
      </x:c>
      <x:c r="O163" s="37"/>
      <x:c r="P163" s="34" t="n">
        <x:v>0</x:v>
      </x:c>
      <x:c r="Q163" s="37" t="n">
        <x:v>46206.14341435185</x:v>
      </x:c>
    </x:row>
    <x:row r="164">
      <x:c r="A164" s="22" t="n">
        <x:v>37184</x:v>
      </x:c>
      <x:c r="B164" s="28" t="n">
        <x:v>202.5</x:v>
      </x:c>
      <x:c r="C164" s="28"/>
      <x:c r="D164" s="31" t="str">
        <x:f>IF(OR(ISBLANK(B164),ISBLANK(C164),B164=0),"",(C164-B164)/B164)</x:f>
      </x:c>
      <x:c r="E164" s="22" t="str">
        <x:f>IF(ISBLANK(C164),"AmountIncludingTax缺失",IF(ABS(B164-C164)&lt;0.005,"一致","不一致"))</x:f>
        <x:v>AmountIncludingTax缺失</x:v>
      </x:c>
      <x:c r="F164" s="19" t="str">
        <x:v>approved</x:v>
      </x:c>
      <x:c r="G164" s="19" t="str">
        <x:v>Sales Order Approved</x:v>
      </x:c>
      <x:c r="H164" s="19" t="str">
        <x:v>In Field</x:v>
      </x:c>
      <x:c r="I164" s="37" t="n">
        <x:v>46206</x:v>
      </x:c>
      <x:c r="J164" s="37" t="n">
        <x:v>46206</x:v>
      </x:c>
      <x:c r="K164" s="19" t="str">
        <x:v>Newcastle RV Super Centre - Beresfield</x:v>
      </x:c>
      <x:c r="L164" s="19" t="str">
        <x:v>Z006</x:v>
      </x:c>
      <x:c r="M164" s="19" t="str">
        <x:v>In Field Warranty Claims</x:v>
      </x:c>
      <x:c r="N164" s="37" t="n">
        <x:v>46203</x:v>
      </x:c>
      <x:c r="O164" s="37"/>
      <x:c r="P164" s="34" t="n">
        <x:v>0</x:v>
      </x:c>
      <x:c r="Q164" s="37" t="n">
        <x:v>46206.20990740741</x:v>
      </x:c>
    </x:row>
    <x:row r="165">
      <x:c r="A165" s="22" t="n">
        <x:v>37183</x:v>
      </x:c>
      <x:c r="B165" s="28" t="n">
        <x:v>434.7</x:v>
      </x:c>
      <x:c r="C165" s="28" t="n">
        <x:v>432.94</x:v>
      </x:c>
      <x:c r="D165" s="31" t="n">
        <x:f>IF(OR(ISBLANK(B165),ISBLANK(C165),B165=0),"",(C165-B165)/B165)</x:f>
        <x:v>-0.00404876926616055</x:v>
      </x:c>
      <x:c r="E165" s="22" t="str">
        <x:f>IF(ISBLANK(C165),"AmountIncludingTax缺失",IF(ABS(B165-C165)&lt;0.005,"一致","不一致"))</x:f>
        <x:v>不一致</x:v>
      </x:c>
      <x:c r="F165" s="19" t="str">
        <x:v>approved</x:v>
      </x:c>
      <x:c r="G165" s="19" t="str">
        <x:v>Repair in Progress</x:v>
      </x:c>
      <x:c r="H165" s="19" t="str">
        <x:v>In Field</x:v>
      </x:c>
      <x:c r="I165" s="37" t="n">
        <x:v>46205</x:v>
      </x:c>
      <x:c r="J165" s="37" t="n">
        <x:v>46205</x:v>
      </x:c>
      <x:c r="K165" s="19" t="str">
        <x:v>CMG Campers - Christchurch</x:v>
      </x:c>
      <x:c r="L165" s="19" t="str">
        <x:v>Z006</x:v>
      </x:c>
      <x:c r="M165" s="19" t="str">
        <x:v>In Field Warranty Claims</x:v>
      </x:c>
      <x:c r="N165" s="37" t="n">
        <x:v>46203</x:v>
      </x:c>
      <x:c r="O165" s="37"/>
      <x:c r="P165" s="34" t="n">
        <x:v>432.94</x:v>
      </x:c>
      <x:c r="Q165" s="37" t="n">
        <x:v>46204.949641203704</x:v>
      </x:c>
    </x:row>
    <x:row r="166">
      <x:c r="A166" s="22" t="n">
        <x:v>37182</x:v>
      </x:c>
      <x:c r="B166" s="28" t="n">
        <x:v>667.5</x:v>
      </x:c>
      <x:c r="C166" s="28"/>
      <x:c r="D166" s="31" t="str">
        <x:f>IF(OR(ISBLANK(B166),ISBLANK(C166),B166=0),"",(C166-B166)/B166)</x:f>
      </x:c>
      <x:c r="E166" s="22" t="str">
        <x:f>IF(ISBLANK(C166),"AmountIncludingTax缺失",IF(ABS(B166-C166)&lt;0.005,"一致","不一致"))</x:f>
        <x:v>AmountIncludingTax缺失</x:v>
      </x:c>
      <x:c r="F166" s="19" t="str">
        <x:v>approved</x:v>
      </x:c>
      <x:c r="G166" s="19" t="str">
        <x:v>Sales Order Approved</x:v>
      </x:c>
      <x:c r="H166" s="19" t="str">
        <x:v>In Field</x:v>
      </x:c>
      <x:c r="I166" s="37" t="n">
        <x:v>46204</x:v>
      </x:c>
      <x:c r="J166" s="37" t="n">
        <x:v>46204</x:v>
      </x:c>
      <x:c r="K166" s="19" t="str">
        <x:v>Green RV - Slacks Creek</x:v>
      </x:c>
      <x:c r="L166" s="19" t="str">
        <x:v>Z006</x:v>
      </x:c>
      <x:c r="M166" s="19" t="str">
        <x:v>In Field Warranty Claims</x:v>
      </x:c>
      <x:c r="N166" s="37" t="n">
        <x:v>46203</x:v>
      </x:c>
      <x:c r="O166" s="37"/>
      <x:c r="P166" s="34" t="n">
        <x:v>0</x:v>
      </x:c>
      <x:c r="Q166" s="37" t="n">
        <x:v>46204.23876157407</x:v>
      </x:c>
    </x:row>
    <x:row r="167">
      <x:c r="A167" s="22" t="n">
        <x:v>37169</x:v>
      </x:c>
      <x:c r="B167" s="28" t="n">
        <x:v>77.5</x:v>
      </x:c>
      <x:c r="C167" s="28"/>
      <x:c r="D167" s="31" t="str">
        <x:f>IF(OR(ISBLANK(B167),ISBLANK(C167),B167=0),"",(C167-B167)/B167)</x:f>
      </x:c>
      <x:c r="E167" s="22" t="str">
        <x:f>IF(ISBLANK(C167),"AmountIncludingTax缺失",IF(ABS(B167-C167)&lt;0.005,"一致","不一致"))</x:f>
        <x:v>AmountIncludingTax缺失</x:v>
      </x:c>
      <x:c r="F167" s="19" t="str">
        <x:v>approved</x:v>
      </x:c>
      <x:c r="G167" s="19" t="str">
        <x:v>Sales Order Approved</x:v>
      </x:c>
      <x:c r="H167" s="19" t="str">
        <x:v>In Field</x:v>
      </x:c>
      <x:c r="I167" s="37" t="n">
        <x:v>46204</x:v>
      </x:c>
      <x:c r="J167" s="37" t="n">
        <x:v>46204</x:v>
      </x:c>
      <x:c r="K167" s="19" t="str">
        <x:v>Dario Caravans -St.Marys</x:v>
      </x:c>
      <x:c r="L167" s="19" t="str">
        <x:v>Z006</x:v>
      </x:c>
      <x:c r="M167" s="19" t="str">
        <x:v>In Field Warranty Claims</x:v>
      </x:c>
      <x:c r="N167" s="37" t="n">
        <x:v>46203</x:v>
      </x:c>
      <x:c r="O167" s="37"/>
      <x:c r="P167" s="34" t="n">
        <x:v>0</x:v>
      </x:c>
      <x:c r="Q167" s="37" t="n">
        <x:v>46204.23769675926</x:v>
      </x:c>
    </x:row>
    <x:row r="168">
      <x:c r="A168" s="22" t="n">
        <x:v>37161</x:v>
      </x:c>
      <x:c r="B168" s="28" t="n">
        <x:v>1100</x:v>
      </x:c>
      <x:c r="C168" s="28"/>
      <x:c r="D168" s="31" t="str">
        <x:f>IF(OR(ISBLANK(B168),ISBLANK(C168),B168=0),"",(C168-B168)/B168)</x:f>
      </x:c>
      <x:c r="E168" s="22" t="str">
        <x:f>IF(ISBLANK(C168),"AmountIncludingTax缺失",IF(ABS(B168-C168)&lt;0.005,"一致","不一致"))</x:f>
        <x:v>AmountIncludingTax缺失</x:v>
      </x:c>
      <x:c r="F168" s="19" t="str">
        <x:v>approved</x:v>
      </x:c>
      <x:c r="G168" s="19" t="str">
        <x:v>Sales Order Approved</x:v>
      </x:c>
      <x:c r="H168" s="19" t="str">
        <x:v>Pre Delivery</x:v>
      </x:c>
      <x:c r="I168" s="37" t="n">
        <x:v>46206</x:v>
      </x:c>
      <x:c r="J168" s="37" t="n">
        <x:v>46206</x:v>
      </x:c>
      <x:c r="K168" s="19" t="str">
        <x:v>Regent RV Pty Ltd</x:v>
      </x:c>
      <x:c r="L168" s="19" t="str">
        <x:v>Z005</x:v>
      </x:c>
      <x:c r="M168" s="19" t="str">
        <x:v>Pre Delivery Warranty Claims</x:v>
      </x:c>
      <x:c r="N168" s="37" t="n">
        <x:v>46203</x:v>
      </x:c>
      <x:c r="O168" s="37"/>
      <x:c r="P168" s="34" t="n">
        <x:v>0</x:v>
      </x:c>
      <x:c r="Q168" s="37" t="n">
        <x:v>46206.14803240741</x:v>
      </x:c>
    </x:row>
    <x:row r="169">
      <x:c r="A169" s="22" t="n">
        <x:v>37153</x:v>
      </x:c>
      <x:c r="B169" s="28" t="n">
        <x:v>1080</x:v>
      </x:c>
      <x:c r="C169" s="28"/>
      <x:c r="D169" s="31" t="str">
        <x:f>IF(OR(ISBLANK(B169),ISBLANK(C169),B169=0),"",(C169-B169)/B169)</x:f>
      </x:c>
      <x:c r="E169" s="22" t="str">
        <x:f>IF(ISBLANK(C169),"AmountIncludingTax缺失",IF(ABS(B169-C169)&lt;0.005,"一致","不一致"))</x:f>
        <x:v>AmountIncludingTax缺失</x:v>
      </x:c>
      <x:c r="F169" s="19" t="str">
        <x:v>approved</x:v>
      </x:c>
      <x:c r="G169" s="19" t="str">
        <x:v>Repair in Progress</x:v>
      </x:c>
      <x:c r="H169" s="19" t="str">
        <x:v>In Field</x:v>
      </x:c>
      <x:c r="I169" s="37" t="n">
        <x:v>46209</x:v>
      </x:c>
      <x:c r="J169" s="37" t="n">
        <x:v>46209</x:v>
      </x:c>
      <x:c r="K169" s="19" t="str">
        <x:v>Snowy River Geelong</x:v>
      </x:c>
      <x:c r="L169" s="19" t="str">
        <x:v>Z006</x:v>
      </x:c>
      <x:c r="M169" s="19" t="str">
        <x:v>In Field Warranty Claims</x:v>
      </x:c>
      <x:c r="N169" s="37" t="n">
        <x:v>46203</x:v>
      </x:c>
      <x:c r="O169" s="37"/>
      <x:c r="P169" s="34" t="n">
        <x:v>1188</x:v>
      </x:c>
      <x:c r="Q169" s="37" t="n">
        <x:v>46209.21564814815</x:v>
      </x:c>
    </x:row>
    <x:row r="170">
      <x:c r="A170" s="22" t="n">
        <x:v>37136</x:v>
      </x:c>
      <x:c r="B170" s="28" t="n">
        <x:v>168.75</x:v>
      </x:c>
      <x:c r="C170" s="28"/>
      <x:c r="D170" s="31" t="str">
        <x:f>IF(OR(ISBLANK(B170),ISBLANK(C170),B170=0),"",(C170-B170)/B170)</x:f>
      </x:c>
      <x:c r="E170" s="22" t="str">
        <x:f>IF(ISBLANK(C170),"AmountIncludingTax缺失",IF(ABS(B170-C170)&lt;0.005,"一致","不一致"))</x:f>
        <x:v>AmountIncludingTax缺失</x:v>
      </x:c>
      <x:c r="F170" s="19" t="str">
        <x:v>approved</x:v>
      </x:c>
      <x:c r="G170" s="19" t="str">
        <x:v>Sales Order Approved</x:v>
      </x:c>
      <x:c r="H170" s="19" t="str">
        <x:v>Pre Delivery</x:v>
      </x:c>
      <x:c r="I170" s="37" t="n">
        <x:v>46205</x:v>
      </x:c>
      <x:c r="J170" s="37" t="n">
        <x:v>46205</x:v>
      </x:c>
      <x:c r="K170" s="19" t="str">
        <x:v>Green RV - Slacks Creek</x:v>
      </x:c>
      <x:c r="L170" s="19" t="str">
        <x:v>Z005</x:v>
      </x:c>
      <x:c r="M170" s="19" t="str">
        <x:v>Pre Delivery Warranty Claims</x:v>
      </x:c>
      <x:c r="N170" s="37" t="n">
        <x:v>46203</x:v>
      </x:c>
      <x:c r="O170" s="37"/>
      <x:c r="P170" s="34" t="n">
        <x:v>0</x:v>
      </x:c>
      <x:c r="Q170" s="37" t="n">
        <x:v>46205.13625</x:v>
      </x:c>
    </x:row>
    <x:row r="171">
      <x:c r="A171" s="22" t="n">
        <x:v>37132</x:v>
      </x:c>
      <x:c r="B171" s="28" t="n">
        <x:v>135</x:v>
      </x:c>
      <x:c r="C171" s="28"/>
      <x:c r="D171" s="31" t="str">
        <x:f>IF(OR(ISBLANK(B171),ISBLANK(C171),B171=0),"",(C171-B171)/B171)</x:f>
      </x:c>
      <x:c r="E171" s="22" t="str">
        <x:f>IF(ISBLANK(C171),"AmountIncludingTax缺失",IF(ABS(B171-C171)&lt;0.005,"一致","不一致"))</x:f>
        <x:v>AmountIncludingTax缺失</x:v>
      </x:c>
      <x:c r="F171" s="19" t="str">
        <x:v>approved</x:v>
      </x:c>
      <x:c r="G171" s="19" t="str">
        <x:v>Repairer Invoiced Processed</x:v>
      </x:c>
      <x:c r="H171" s="19" t="str">
        <x:v>Pre Delivery</x:v>
      </x:c>
      <x:c r="I171" s="37" t="n">
        <x:v>46205</x:v>
      </x:c>
      <x:c r="J171" s="37" t="n">
        <x:v>46205</x:v>
      </x:c>
      <x:c r="K171" s="19" t="str">
        <x:v>Green RV - Slacks Creek</x:v>
      </x:c>
      <x:c r="L171" s="19" t="str">
        <x:v>Z005</x:v>
      </x:c>
      <x:c r="M171" s="19" t="str">
        <x:v>Pre Delivery Warranty Claims</x:v>
      </x:c>
      <x:c r="N171" s="37" t="n">
        <x:v>46203</x:v>
      </x:c>
      <x:c r="O171" s="37"/>
      <x:c r="P171" s="34" t="n">
        <x:v>0</x:v>
      </x:c>
      <x:c r="Q171" s="37" t="n">
        <x:v>46205.11571759259</x:v>
      </x:c>
    </x:row>
    <x:row r="172">
      <x:c r="A172" s="22" t="n">
        <x:v>37131</x:v>
      </x:c>
      <x:c r="B172" s="28" t="n">
        <x:v>863.75</x:v>
      </x:c>
      <x:c r="C172" s="28"/>
      <x:c r="D172" s="31" t="str">
        <x:f>IF(OR(ISBLANK(B172),ISBLANK(C172),B172=0),"",(C172-B172)/B172)</x:f>
      </x:c>
      <x:c r="E172" s="22" t="str">
        <x:f>IF(ISBLANK(C172),"AmountIncludingTax缺失",IF(ABS(B172-C172)&lt;0.005,"一致","不一致"))</x:f>
        <x:v>AmountIncludingTax缺失</x:v>
      </x:c>
      <x:c r="F172" s="19" t="str">
        <x:v>approved</x:v>
      </x:c>
      <x:c r="G172" s="19" t="str">
        <x:v>Sales Order Approved</x:v>
      </x:c>
      <x:c r="H172" s="19" t="str">
        <x:v>In Field</x:v>
      </x:c>
      <x:c r="I172" s="37" t="n">
        <x:v>46204</x:v>
      </x:c>
      <x:c r="J172" s="37" t="n">
        <x:v>46204</x:v>
      </x:c>
      <x:c r="K172" s="19" t="str">
        <x:v>Green RV - Forest Glen</x:v>
      </x:c>
      <x:c r="L172" s="19" t="str">
        <x:v>Z006</x:v>
      </x:c>
      <x:c r="M172" s="19" t="str">
        <x:v>In Field Warranty Claims</x:v>
      </x:c>
      <x:c r="N172" s="37" t="n">
        <x:v>46203</x:v>
      </x:c>
      <x:c r="O172" s="37"/>
      <x:c r="P172" s="34" t="n">
        <x:v>0</x:v>
      </x:c>
      <x:c r="Q172" s="37" t="n">
        <x:v>46204.215729166666</x:v>
      </x:c>
    </x:row>
    <x:row r="173">
      <x:c r="A173" s="22" t="n">
        <x:v>37127</x:v>
      </x:c>
      <x:c r="B173" s="28" t="n">
        <x:v>1333.75</x:v>
      </x:c>
      <x:c r="C173" s="28"/>
      <x:c r="D173" s="31" t="str">
        <x:f>IF(OR(ISBLANK(B173),ISBLANK(C173),B173=0),"",(C173-B173)/B173)</x:f>
      </x:c>
      <x:c r="E173" s="22" t="str">
        <x:f>IF(ISBLANK(C173),"AmountIncludingTax缺失",IF(ABS(B173-C173)&lt;0.005,"一致","不一致"))</x:f>
        <x:v>AmountIncludingTax缺失</x:v>
      </x:c>
      <x:c r="F173" s="19" t="str">
        <x:v>approved</x:v>
      </x:c>
      <x:c r="G173" s="19" t="str">
        <x:v>Sales Order Approved</x:v>
      </x:c>
      <x:c r="H173" s="19" t="str">
        <x:v>In Field</x:v>
      </x:c>
      <x:c r="I173" s="37" t="n">
        <x:v>46204</x:v>
      </x:c>
      <x:c r="J173" s="37" t="n">
        <x:v>46204</x:v>
      </x:c>
      <x:c r="K173" s="19" t="str">
        <x:v>Regent RV - Perth</x:v>
      </x:c>
      <x:c r="L173" s="19" t="str">
        <x:v>Z006</x:v>
      </x:c>
      <x:c r="M173" s="19" t="str">
        <x:v>In Field Warranty Claims</x:v>
      </x:c>
      <x:c r="N173" s="37" t="n">
        <x:v>46203</x:v>
      </x:c>
      <x:c r="O173" s="37"/>
      <x:c r="P173" s="34" t="n">
        <x:v>0</x:v>
      </x:c>
      <x:c r="Q173" s="37" t="n">
        <x:v>46204.249340277776</x:v>
      </x:c>
    </x:row>
    <x:row r="174">
      <x:c r="A174" s="22" t="n">
        <x:v>37126</x:v>
      </x:c>
      <x:c r="B174" s="28" t="n">
        <x:v>1189.5</x:v>
      </x:c>
      <x:c r="C174" s="28"/>
      <x:c r="D174" s="31" t="str">
        <x:f>IF(OR(ISBLANK(B174),ISBLANK(C174),B174=0),"",(C174-B174)/B174)</x:f>
      </x:c>
      <x:c r="E174" s="22" t="str">
        <x:f>IF(ISBLANK(C174),"AmountIncludingTax缺失",IF(ABS(B174-C174)&lt;0.005,"一致","不一致"))</x:f>
        <x:v>AmountIncludingTax缺失</x:v>
      </x:c>
      <x:c r="F174" s="19" t="str">
        <x:v>approved</x:v>
      </x:c>
      <x:c r="G174" s="19" t="str">
        <x:v>Sales Order Approved</x:v>
      </x:c>
      <x:c r="H174" s="19" t="str">
        <x:v>In Field</x:v>
      </x:c>
      <x:c r="I174" s="37" t="n">
        <x:v>46205</x:v>
      </x:c>
      <x:c r="J174" s="37" t="n">
        <x:v>46205</x:v>
      </x:c>
      <x:c r="K174" s="19" t="str">
        <x:v>Newcastle RV Super Centre - Beresfield</x:v>
      </x:c>
      <x:c r="L174" s="19" t="str">
        <x:v>Z006</x:v>
      </x:c>
      <x:c r="M174" s="19" t="str">
        <x:v>In Field Warranty Claims</x:v>
      </x:c>
      <x:c r="N174" s="37" t="n">
        <x:v>46203</x:v>
      </x:c>
      <x:c r="O174" s="37"/>
      <x:c r="P174" s="34" t="n">
        <x:v>0</x:v>
      </x:c>
      <x:c r="Q174" s="37" t="n">
        <x:v>46205.22287037037</x:v>
      </x:c>
    </x:row>
    <x:row r="175">
      <x:c r="A175" s="22" t="n">
        <x:v>37125</x:v>
      </x:c>
      <x:c r="B175" s="28" t="n">
        <x:v>33.75</x:v>
      </x:c>
      <x:c r="C175" s="28"/>
      <x:c r="D175" s="31" t="str">
        <x:f>IF(OR(ISBLANK(B175),ISBLANK(C175),B175=0),"",(C175-B175)/B175)</x:f>
      </x:c>
      <x:c r="E175" s="22" t="str">
        <x:f>IF(ISBLANK(C175),"AmountIncludingTax缺失",IF(ABS(B175-C175)&lt;0.005,"一致","不一致"))</x:f>
        <x:v>AmountIncludingTax缺失</x:v>
      </x:c>
      <x:c r="F175" s="19" t="str">
        <x:v>approved</x:v>
      </x:c>
      <x:c r="G175" s="19" t="str">
        <x:v>Sales Order Approved</x:v>
      </x:c>
      <x:c r="H175" s="19" t="str">
        <x:v>Pre Delivery</x:v>
      </x:c>
      <x:c r="I175" s="37" t="n">
        <x:v>46206</x:v>
      </x:c>
      <x:c r="J175" s="37" t="n">
        <x:v>46206</x:v>
      </x:c>
      <x:c r="K175" s="19" t="str">
        <x:v>NEWCASTLE CARAVANS &amp; RVS</x:v>
      </x:c>
      <x:c r="L175" s="19" t="str">
        <x:v>Z005</x:v>
      </x:c>
      <x:c r="M175" s="19" t="str">
        <x:v>Pre Delivery Warranty Claims</x:v>
      </x:c>
      <x:c r="N175" s="37" t="n">
        <x:v>46203</x:v>
      </x:c>
      <x:c r="O175" s="37"/>
      <x:c r="P175" s="34" t="n">
        <x:v>0</x:v>
      </x:c>
      <x:c r="Q175" s="37" t="n">
        <x:v>46206.143912037034</x:v>
      </x:c>
    </x:row>
    <x:row r="176">
      <x:c r="A176" s="22" t="n">
        <x:v>37124</x:v>
      </x:c>
      <x:c r="B176" s="28" t="n">
        <x:v>1106.25</x:v>
      </x:c>
      <x:c r="C176" s="28"/>
      <x:c r="D176" s="31" t="str">
        <x:f>IF(OR(ISBLANK(B176),ISBLANK(C176),B176=0),"",(C176-B176)/B176)</x:f>
      </x:c>
      <x:c r="E176" s="22" t="str">
        <x:f>IF(ISBLANK(C176),"AmountIncludingTax缺失",IF(ABS(B176-C176)&lt;0.005,"一致","不一致"))</x:f>
        <x:v>AmountIncludingTax缺失</x:v>
      </x:c>
      <x:c r="F176" s="19" t="str">
        <x:v>approved</x:v>
      </x:c>
      <x:c r="G176" s="19" t="str">
        <x:v>Sales Order Approved</x:v>
      </x:c>
      <x:c r="H176" s="19" t="str">
        <x:v>In Field</x:v>
      </x:c>
      <x:c r="I176" s="37" t="n">
        <x:v>46204</x:v>
      </x:c>
      <x:c r="J176" s="37" t="n">
        <x:v>46204</x:v>
      </x:c>
      <x:c r="K176" s="19" t="str">
        <x:v>Dario Caravans -St.Marys</x:v>
      </x:c>
      <x:c r="L176" s="19" t="str">
        <x:v>Z006</x:v>
      </x:c>
      <x:c r="M176" s="19" t="str">
        <x:v>In Field Warranty Claims</x:v>
      </x:c>
      <x:c r="N176" s="37" t="n">
        <x:v>46203</x:v>
      </x:c>
      <x:c r="O176" s="37"/>
      <x:c r="P176" s="34" t="n">
        <x:v>0</x:v>
      </x:c>
      <x:c r="Q176" s="37" t="n">
        <x:v>46204.25019675926</x:v>
      </x:c>
    </x:row>
    <x:row r="177">
      <x:c r="A177" s="22" t="n">
        <x:v>37122</x:v>
      </x:c>
      <x:c r="B177" s="28" t="n">
        <x:v>33.75</x:v>
      </x:c>
      <x:c r="C177" s="28"/>
      <x:c r="D177" s="31" t="str">
        <x:f>IF(OR(ISBLANK(B177),ISBLANK(C177),B177=0),"",(C177-B177)/B177)</x:f>
      </x:c>
      <x:c r="E177" s="22" t="str">
        <x:f>IF(ISBLANK(C177),"AmountIncludingTax缺失",IF(ABS(B177-C177)&lt;0.005,"一致","不一致"))</x:f>
        <x:v>AmountIncludingTax缺失</x:v>
      </x:c>
      <x:c r="F177" s="19" t="str">
        <x:v>approved</x:v>
      </x:c>
      <x:c r="G177" s="19" t="str">
        <x:v>Sales Order Approved</x:v>
      </x:c>
      <x:c r="H177" s="19" t="str">
        <x:v>In Field</x:v>
      </x:c>
      <x:c r="I177" s="37" t="n">
        <x:v>46205</x:v>
      </x:c>
      <x:c r="J177" s="37" t="n">
        <x:v>46205</x:v>
      </x:c>
      <x:c r="K177" s="19" t="str">
        <x:v>Sherrif Caravans &amp; Traliers - Prospect Vale</x:v>
      </x:c>
      <x:c r="L177" s="19" t="str">
        <x:v>Z006</x:v>
      </x:c>
      <x:c r="M177" s="19" t="str">
        <x:v>In Field Warranty Claims</x:v>
      </x:c>
      <x:c r="N177" s="37" t="n">
        <x:v>46203</x:v>
      </x:c>
      <x:c r="O177" s="37"/>
      <x:c r="P177" s="34" t="n">
        <x:v>0</x:v>
      </x:c>
      <x:c r="Q177" s="37" t="n">
        <x:v>46205.16275462963</x:v>
      </x:c>
    </x:row>
    <x:row r="178">
      <x:c r="A178" s="22" t="n">
        <x:v>37121</x:v>
      </x:c>
      <x:c r="B178" s="28" t="n">
        <x:v>300</x:v>
      </x:c>
      <x:c r="C178" s="28" t="n">
        <x:v>330</x:v>
      </x:c>
      <x:c r="D178" s="31" t="n">
        <x:f>IF(OR(ISBLANK(B178),ISBLANK(C178),B178=0),"",(C178-B178)/B178)</x:f>
        <x:v>0.1</x:v>
      </x:c>
      <x:c r="E178" s="22" t="str">
        <x:f>IF(ISBLANK(C178),"AmountIncludingTax缺失",IF(ABS(B178-C178)&lt;0.005,"一致","不一致"))</x:f>
        <x:v>不一致</x:v>
      </x:c>
      <x:c r="F178" s="19" t="str">
        <x:v>approved</x:v>
      </x:c>
      <x:c r="G178" s="19" t="str">
        <x:v>Repair in Progress</x:v>
      </x:c>
      <x:c r="H178" s="19" t="str">
        <x:v>In Field</x:v>
      </x:c>
      <x:c r="I178" s="37" t="n">
        <x:v>46212</x:v>
      </x:c>
      <x:c r="J178" s="37" t="n">
        <x:v>46212</x:v>
      </x:c>
      <x:c r="K178" s="19" t="str">
        <x:v>Snowy River Wangaratta</x:v>
      </x:c>
      <x:c r="L178" s="19" t="str">
        <x:v>Z006</x:v>
      </x:c>
      <x:c r="M178" s="19" t="str">
        <x:v>In Field Warranty Claims</x:v>
      </x:c>
      <x:c r="N178" s="37" t="n">
        <x:v>46203</x:v>
      </x:c>
      <x:c r="O178" s="37"/>
      <x:c r="P178" s="34" t="n">
        <x:v>330</x:v>
      </x:c>
      <x:c r="Q178" s="37" t="n">
        <x:v>46212.017013888886</x:v>
      </x:c>
    </x:row>
    <x:row r="179">
      <x:c r="A179" s="22" t="n">
        <x:v>37119</x:v>
      </x:c>
      <x:c r="B179" s="28" t="n">
        <x:v>560</x:v>
      </x:c>
      <x:c r="C179" s="28"/>
      <x:c r="D179" s="31" t="str">
        <x:f>IF(OR(ISBLANK(B179),ISBLANK(C179),B179=0),"",(C179-B179)/B179)</x:f>
      </x:c>
      <x:c r="E179" s="22" t="str">
        <x:f>IF(ISBLANK(C179),"AmountIncludingTax缺失",IF(ABS(B179-C179)&lt;0.005,"一致","不一致"))</x:f>
        <x:v>AmountIncludingTax缺失</x:v>
      </x:c>
      <x:c r="F179" s="19" t="str">
        <x:v>approved</x:v>
      </x:c>
      <x:c r="G179" s="19" t="str">
        <x:v>Sales Order Approved</x:v>
      </x:c>
      <x:c r="H179" s="19" t="str">
        <x:v>Pre Delivery</x:v>
      </x:c>
      <x:c r="I179" s="37" t="n">
        <x:v>46210</x:v>
      </x:c>
      <x:c r="J179" s="37" t="n">
        <x:v>46210</x:v>
      </x:c>
      <x:c r="K179" s="19" t="str">
        <x:v>Leisure Lion - Bundaberg</x:v>
      </x:c>
      <x:c r="L179" s="19" t="str">
        <x:v>Z005</x:v>
      </x:c>
      <x:c r="M179" s="19" t="str">
        <x:v>Pre Delivery Warranty Claims</x:v>
      </x:c>
      <x:c r="N179" s="37" t="n">
        <x:v>46202</x:v>
      </x:c>
      <x:c r="O179" s="37"/>
      <x:c r="P179" s="34" t="n">
        <x:v>0</x:v>
      </x:c>
      <x:c r="Q179" s="37" t="n">
        <x:v>46210.23488425926</x:v>
      </x:c>
    </x:row>
    <x:row r="180">
      <x:c r="A180" s="22" t="n">
        <x:v>37117</x:v>
      </x:c>
      <x:c r="B180" s="28" t="n">
        <x:v>236.25</x:v>
      </x:c>
      <x:c r="C180" s="28"/>
      <x:c r="D180" s="31" t="str">
        <x:f>IF(OR(ISBLANK(B180),ISBLANK(C180),B180=0),"",(C180-B180)/B180)</x:f>
      </x:c>
      <x:c r="E180" s="22" t="str">
        <x:f>IF(ISBLANK(C180),"AmountIncludingTax缺失",IF(ABS(B180-C180)&lt;0.005,"一致","不一致"))</x:f>
        <x:v>AmountIncludingTax缺失</x:v>
      </x:c>
      <x:c r="F180" s="19" t="str">
        <x:v>approved</x:v>
      </x:c>
      <x:c r="G180" s="19" t="str">
        <x:v>Sales Order Approved</x:v>
      </x:c>
      <x:c r="H180" s="19" t="str">
        <x:v>In Field</x:v>
      </x:c>
      <x:c r="I180" s="37" t="n">
        <x:v>46205</x:v>
      </x:c>
      <x:c r="J180" s="37" t="n">
        <x:v>46205</x:v>
      </x:c>
      <x:c r="K180" s="19" t="str">
        <x:v>Regent RV - Perth</x:v>
      </x:c>
      <x:c r="L180" s="19" t="str">
        <x:v>Z006</x:v>
      </x:c>
      <x:c r="M180" s="19" t="str">
        <x:v>In Field Warranty Claims</x:v>
      </x:c>
      <x:c r="N180" s="37" t="n">
        <x:v>46202</x:v>
      </x:c>
      <x:c r="O180" s="37"/>
      <x:c r="P180" s="34" t="n">
        <x:v>0</x:v>
      </x:c>
      <x:c r="Q180" s="37" t="n">
        <x:v>46205.25262731482</x:v>
      </x:c>
    </x:row>
    <x:row r="181">
      <x:c r="A181" s="22" t="n">
        <x:v>37116</x:v>
      </x:c>
      <x:c r="B181" s="28" t="n">
        <x:v>135</x:v>
      </x:c>
      <x:c r="C181" s="28" t="n">
        <x:v>148.5</x:v>
      </x:c>
      <x:c r="D181" s="31" t="n">
        <x:f>IF(OR(ISBLANK(B181),ISBLANK(C181),B181=0),"",(C181-B181)/B181)</x:f>
        <x:v>0.1</x:v>
      </x:c>
      <x:c r="E181" s="22" t="str">
        <x:f>IF(ISBLANK(C181),"AmountIncludingTax缺失",IF(ABS(B181-C181)&lt;0.005,"一致","不一致"))</x:f>
        <x:v>不一致</x:v>
      </x:c>
      <x:c r="F181" s="19" t="str">
        <x:v>approved</x:v>
      </x:c>
      <x:c r="G181" s="19" t="str">
        <x:v>Repair in Progress</x:v>
      </x:c>
      <x:c r="H181" s="19" t="str">
        <x:v>Pre Delivery</x:v>
      </x:c>
      <x:c r="I181" s="37" t="n">
        <x:v>46212</x:v>
      </x:c>
      <x:c r="J181" s="37" t="n">
        <x:v>46212</x:v>
      </x:c>
      <x:c r="K181" s="19" t="str">
        <x:v>Auswide Caravans - South Nowra</x:v>
      </x:c>
      <x:c r="L181" s="19" t="str">
        <x:v>Z005</x:v>
      </x:c>
      <x:c r="M181" s="19" t="str">
        <x:v>Pre Delivery Warranty Claims</x:v>
      </x:c>
      <x:c r="N181" s="37" t="n">
        <x:v>46202</x:v>
      </x:c>
      <x:c r="O181" s="37" t="n">
        <x:v>46209</x:v>
      </x:c>
      <x:c r="P181" s="34" t="n">
        <x:v>148.5</x:v>
      </x:c>
      <x:c r="Q181" s="37" t="n">
        <x:v>46211.943194444444</x:v>
      </x:c>
    </x:row>
    <x:row r="182">
      <x:c r="A182" s="22" t="n">
        <x:v>37115</x:v>
      </x:c>
      <x:c r="B182" s="28" t="n">
        <x:v>101.25</x:v>
      </x:c>
      <x:c r="C182" s="28" t="n">
        <x:v>111.38</x:v>
      </x:c>
      <x:c r="D182" s="31" t="n">
        <x:f>IF(OR(ISBLANK(B182),ISBLANK(C182),B182=0),"",(C182-B182)/B182)</x:f>
        <x:v>0.10004938271604934</x:v>
      </x:c>
      <x:c r="E182" s="22" t="str">
        <x:f>IF(ISBLANK(C182),"AmountIncludingTax缺失",IF(ABS(B182-C182)&lt;0.005,"一致","不一致"))</x:f>
        <x:v>不一致</x:v>
      </x:c>
      <x:c r="F182" s="19" t="str">
        <x:v>approved</x:v>
      </x:c>
      <x:c r="G182" s="19" t="str">
        <x:v>Repair in Progress</x:v>
      </x:c>
      <x:c r="H182" s="19" t="str">
        <x:v>In Field</x:v>
      </x:c>
      <x:c r="I182" s="37" t="n">
        <x:v>46205</x:v>
      </x:c>
      <x:c r="J182" s="37" t="n">
        <x:v>46205</x:v>
      </x:c>
      <x:c r="K182" s="19" t="str">
        <x:v>Regent RV - Perth</x:v>
      </x:c>
      <x:c r="L182" s="19" t="str">
        <x:v>Z006</x:v>
      </x:c>
      <x:c r="M182" s="19" t="str">
        <x:v>In Field Warranty Claims</x:v>
      </x:c>
      <x:c r="N182" s="37" t="n">
        <x:v>46202</x:v>
      </x:c>
      <x:c r="O182" s="37"/>
      <x:c r="P182" s="34" t="n">
        <x:v>111.38</x:v>
      </x:c>
      <x:c r="Q182" s="37" t="n">
        <x:v>46205.25357638889</x:v>
      </x:c>
    </x:row>
    <x:row r="183">
      <x:c r="A183" s="22" t="n">
        <x:v>37111</x:v>
      </x:c>
      <x:c r="B183" s="28" t="n">
        <x:v>352.5</x:v>
      </x:c>
      <x:c r="C183" s="28"/>
      <x:c r="D183" s="31" t="str">
        <x:f>IF(OR(ISBLANK(B183),ISBLANK(C183),B183=0),"",(C183-B183)/B183)</x:f>
      </x:c>
      <x:c r="E183" s="22" t="str">
        <x:f>IF(ISBLANK(C183),"AmountIncludingTax缺失",IF(ABS(B183-C183)&lt;0.005,"一致","不一致"))</x:f>
        <x:v>AmountIncludingTax缺失</x:v>
      </x:c>
      <x:c r="F183" s="19" t="str">
        <x:v>approved</x:v>
      </x:c>
      <x:c r="G183" s="19" t="str">
        <x:v>Sales Order Approved</x:v>
      </x:c>
      <x:c r="H183" s="19" t="str">
        <x:v>In Field</x:v>
      </x:c>
      <x:c r="I183" s="37" t="n">
        <x:v>46204</x:v>
      </x:c>
      <x:c r="J183" s="37" t="n">
        <x:v>46204</x:v>
      </x:c>
      <x:c r="K183" s="19" t="str">
        <x:v>Snowy River Frankston</x:v>
      </x:c>
      <x:c r="L183" s="19" t="str">
        <x:v>Z006</x:v>
      </x:c>
      <x:c r="M183" s="19" t="str">
        <x:v>In Field Warranty Claims</x:v>
      </x:c>
      <x:c r="N183" s="37" t="n">
        <x:v>46202</x:v>
      </x:c>
      <x:c r="O183" s="37"/>
      <x:c r="P183" s="34" t="n">
        <x:v>0</x:v>
      </x:c>
      <x:c r="Q183" s="37" t="n">
        <x:v>46204.18378472222</x:v>
      </x:c>
    </x:row>
    <x:row r="184">
      <x:c r="A184" s="22" t="n">
        <x:v>37110</x:v>
      </x:c>
      <x:c r="B184" s="28" t="n">
        <x:v>715</x:v>
      </x:c>
      <x:c r="C184" s="28"/>
      <x:c r="D184" s="31" t="str">
        <x:f>IF(OR(ISBLANK(B184),ISBLANK(C184),B184=0),"",(C184-B184)/B184)</x:f>
      </x:c>
      <x:c r="E184" s="22" t="str">
        <x:f>IF(ISBLANK(C184),"AmountIncludingTax缺失",IF(ABS(B184-C184)&lt;0.005,"一致","不一致"))</x:f>
        <x:v>AmountIncludingTax缺失</x:v>
      </x:c>
      <x:c r="F184" s="19" t="str">
        <x:v>approved</x:v>
      </x:c>
      <x:c r="G184" s="19" t="str">
        <x:v>Sales Order Approved</x:v>
      </x:c>
      <x:c r="H184" s="19" t="str">
        <x:v>In Field</x:v>
      </x:c>
      <x:c r="I184" s="37" t="n">
        <x:v>46206</x:v>
      </x:c>
      <x:c r="J184" s="37" t="n">
        <x:v>46206</x:v>
      </x:c>
      <x:c r="K184" s="19" t="str">
        <x:v>Snowy River Launceston</x:v>
      </x:c>
      <x:c r="L184" s="19" t="str">
        <x:v>Z006</x:v>
      </x:c>
      <x:c r="M184" s="19" t="str">
        <x:v>In Field Warranty Claims</x:v>
      </x:c>
      <x:c r="N184" s="37" t="n">
        <x:v>46203</x:v>
      </x:c>
      <x:c r="O184" s="37"/>
      <x:c r="P184" s="34" t="n">
        <x:v>0</x:v>
      </x:c>
      <x:c r="Q184" s="37" t="n">
        <x:v>46205.94875</x:v>
      </x:c>
    </x:row>
    <x:row r="185">
      <x:c r="A185" s="22" t="n">
        <x:v>37109</x:v>
      </x:c>
      <x:c r="B185" s="28" t="n">
        <x:v>105.91</x:v>
      </x:c>
      <x:c r="C185" s="28" t="n">
        <x:v>116.5</x:v>
      </x:c>
      <x:c r="D185" s="31" t="n">
        <x:f>IF(OR(ISBLANK(B185),ISBLANK(C185),B185=0),"",(C185-B185)/B185)</x:f>
        <x:v>0.09999055802096123</x:v>
      </x:c>
      <x:c r="E185" s="22" t="str">
        <x:f>IF(ISBLANK(C185),"AmountIncludingTax缺失",IF(ABS(B185-C185)&lt;0.005,"一致","不一致"))</x:f>
        <x:v>不一致</x:v>
      </x:c>
      <x:c r="F185" s="19" t="str">
        <x:v>approved</x:v>
      </x:c>
      <x:c r="G185" s="19" t="str">
        <x:v>Repair in Progress</x:v>
      </x:c>
      <x:c r="H185" s="19" t="str">
        <x:v>In Field</x:v>
      </x:c>
      <x:c r="I185" s="37" t="n">
        <x:v>46212</x:v>
      </x:c>
      <x:c r="J185" s="37" t="n">
        <x:v>46212</x:v>
      </x:c>
      <x:c r="K185" s="19" t="str">
        <x:v>Regent RV - Traralgon</x:v>
      </x:c>
      <x:c r="L185" s="19" t="str">
        <x:v>Z006</x:v>
      </x:c>
      <x:c r="M185" s="19" t="str">
        <x:v>In Field Warranty Claims</x:v>
      </x:c>
      <x:c r="N185" s="37" t="n">
        <x:v>46203</x:v>
      </x:c>
      <x:c r="O185" s="37"/>
      <x:c r="P185" s="34" t="n">
        <x:v>116.5</x:v>
      </x:c>
      <x:c r="Q185" s="37" t="n">
        <x:v>46212.029131944444</x:v>
      </x:c>
    </x:row>
    <x:row r="186">
      <x:c r="A186" s="22" t="n">
        <x:v>37107</x:v>
      </x:c>
      <x:c r="B186" s="28" t="n">
        <x:v>150</x:v>
      </x:c>
      <x:c r="C186" s="28"/>
      <x:c r="D186" s="31" t="str">
        <x:f>IF(OR(ISBLANK(B186),ISBLANK(C186),B186=0),"",(C186-B186)/B186)</x:f>
      </x:c>
      <x:c r="E186" s="22" t="str">
        <x:f>IF(ISBLANK(C186),"AmountIncludingTax缺失",IF(ABS(B186-C186)&lt;0.005,"一致","不一致"))</x:f>
        <x:v>AmountIncludingTax缺失</x:v>
      </x:c>
      <x:c r="F186" s="19" t="str">
        <x:v>approved</x:v>
      </x:c>
      <x:c r="G186" s="19" t="str">
        <x:v>Sales Order Approved</x:v>
      </x:c>
      <x:c r="H186" s="19" t="str">
        <x:v>In Field</x:v>
      </x:c>
      <x:c r="I186" s="37" t="n">
        <x:v>46204</x:v>
      </x:c>
      <x:c r="J186" s="37" t="n">
        <x:v>46204</x:v>
      </x:c>
      <x:c r="K186" s="19" t="str">
        <x:v>The Caravan Hub - Townsville</x:v>
      </x:c>
      <x:c r="L186" s="19" t="str">
        <x:v>Z006</x:v>
      </x:c>
      <x:c r="M186" s="19" t="str">
        <x:v>In Field Warranty Claims</x:v>
      </x:c>
      <x:c r="N186" s="37" t="n">
        <x:v>46202</x:v>
      </x:c>
      <x:c r="O186" s="37"/>
      <x:c r="P186" s="34" t="n">
        <x:v>0</x:v>
      </x:c>
      <x:c r="Q186" s="37" t="n">
        <x:v>46204.23451388889</x:v>
      </x:c>
    </x:row>
    <x:row r="187">
      <x:c r="A187" s="22" t="n">
        <x:v>37106</x:v>
      </x:c>
      <x:c r="B187" s="28" t="n">
        <x:v>1255</x:v>
      </x:c>
      <x:c r="C187" s="28"/>
      <x:c r="D187" s="31" t="str">
        <x:f>IF(OR(ISBLANK(B187),ISBLANK(C187),B187=0),"",(C187-B187)/B187)</x:f>
      </x:c>
      <x:c r="E187" s="22" t="str">
        <x:f>IF(ISBLANK(C187),"AmountIncludingTax缺失",IF(ABS(B187-C187)&lt;0.005,"一致","不一致"))</x:f>
        <x:v>AmountIncludingTax缺失</x:v>
      </x:c>
      <x:c r="F187" s="19" t="str">
        <x:v>approved</x:v>
      </x:c>
      <x:c r="G187" s="19" t="str">
        <x:v>Sales Order Approved</x:v>
      </x:c>
      <x:c r="H187" s="19" t="str">
        <x:v>In Field</x:v>
      </x:c>
      <x:c r="I187" s="37" t="n">
        <x:v>46206</x:v>
      </x:c>
      <x:c r="J187" s="37" t="n">
        <x:v>46206</x:v>
      </x:c>
      <x:c r="K187" s="19" t="str">
        <x:v>Lesiure Lion-New Castle</x:v>
      </x:c>
      <x:c r="L187" s="19" t="str">
        <x:v>Z006</x:v>
      </x:c>
      <x:c r="M187" s="19" t="str">
        <x:v>In Field Warranty Claims</x:v>
      </x:c>
      <x:c r="N187" s="37" t="n">
        <x:v>46202</x:v>
      </x:c>
      <x:c r="O187" s="37"/>
      <x:c r="P187" s="34" t="n">
        <x:v>0</x:v>
      </x:c>
      <x:c r="Q187" s="37" t="n">
        <x:v>46206.14959490741</x:v>
      </x:c>
    </x:row>
    <x:row r="188">
      <x:c r="A188" s="22" t="n">
        <x:v>37104</x:v>
      </x:c>
      <x:c r="B188" s="28" t="n">
        <x:v>360</x:v>
      </x:c>
      <x:c r="C188" s="28" t="n">
        <x:v>396</x:v>
      </x:c>
      <x:c r="D188" s="31" t="n">
        <x:f>IF(OR(ISBLANK(B188),ISBLANK(C188),B188=0),"",(C188-B188)/B188)</x:f>
        <x:v>0.1</x:v>
      </x:c>
      <x:c r="E188" s="22" t="str">
        <x:f>IF(ISBLANK(C188),"AmountIncludingTax缺失",IF(ABS(B188-C188)&lt;0.005,"一致","不一致"))</x:f>
        <x:v>不一致</x:v>
      </x:c>
      <x:c r="F188" s="19" t="str">
        <x:v>approved</x:v>
      </x:c>
      <x:c r="G188" s="19" t="str">
        <x:v>Repairer Invoiced Processed</x:v>
      </x:c>
      <x:c r="H188" s="19" t="str">
        <x:v>In Field</x:v>
      </x:c>
      <x:c r="I188" s="37" t="n">
        <x:v>46206</x:v>
      </x:c>
      <x:c r="J188" s="37" t="n">
        <x:v>46206</x:v>
      </x:c>
      <x:c r="K188" s="19" t="str">
        <x:v>Lesiure Lion-New Castle</x:v>
      </x:c>
      <x:c r="L188" s="19" t="str">
        <x:v>Z006</x:v>
      </x:c>
      <x:c r="M188" s="19" t="str">
        <x:v>In Field Warranty Claims</x:v>
      </x:c>
      <x:c r="N188" s="37" t="n">
        <x:v>46202</x:v>
      </x:c>
      <x:c r="O188" s="37"/>
      <x:c r="P188" s="34" t="n">
        <x:v>396</x:v>
      </x:c>
      <x:c r="Q188" s="37" t="n">
        <x:v>46206.1737037037</x:v>
      </x:c>
    </x:row>
    <x:row r="189">
      <x:c r="A189" s="22" t="n">
        <x:v>37097</x:v>
      </x:c>
      <x:c r="B189" s="28" t="n">
        <x:v>290</x:v>
      </x:c>
      <x:c r="C189" s="28"/>
      <x:c r="D189" s="31" t="str">
        <x:f>IF(OR(ISBLANK(B189),ISBLANK(C189),B189=0),"",(C189-B189)/B189)</x:f>
      </x:c>
      <x:c r="E189" s="22" t="str">
        <x:f>IF(ISBLANK(C189),"AmountIncludingTax缺失",IF(ABS(B189-C189)&lt;0.005,"一致","不一致"))</x:f>
        <x:v>AmountIncludingTax缺失</x:v>
      </x:c>
      <x:c r="F189" s="19" t="str">
        <x:v>approved</x:v>
      </x:c>
      <x:c r="G189" s="19" t="str">
        <x:v>Sales Order Approved</x:v>
      </x:c>
      <x:c r="H189" s="19" t="str">
        <x:v>In Field</x:v>
      </x:c>
      <x:c r="I189" s="37" t="n">
        <x:v>46204</x:v>
      </x:c>
      <x:c r="J189" s="37" t="n">
        <x:v>46204</x:v>
      </x:c>
      <x:c r="K189" s="19" t="str">
        <x:v>Green RV - Forest Glen</x:v>
      </x:c>
      <x:c r="L189" s="19" t="str">
        <x:v>Z006</x:v>
      </x:c>
      <x:c r="M189" s="19" t="str">
        <x:v>In Field Warranty Claims</x:v>
      </x:c>
      <x:c r="N189" s="37" t="n">
        <x:v>46202</x:v>
      </x:c>
      <x:c r="O189" s="37"/>
      <x:c r="P189" s="34" t="n">
        <x:v>0</x:v>
      </x:c>
      <x:c r="Q189" s="37" t="n">
        <x:v>46203.8571875</x:v>
      </x:c>
    </x:row>
    <x:row r="190">
      <x:c r="A190" s="22" t="n">
        <x:v>37089</x:v>
      </x:c>
      <x:c r="B190" s="28" t="n">
        <x:v>67.5</x:v>
      </x:c>
      <x:c r="C190" s="28"/>
      <x:c r="D190" s="31" t="str">
        <x:f>IF(OR(ISBLANK(B190),ISBLANK(C190),B190=0),"",(C190-B190)/B190)</x:f>
      </x:c>
      <x:c r="E190" s="22" t="str">
        <x:f>IF(ISBLANK(C190),"AmountIncludingTax缺失",IF(ABS(B190-C190)&lt;0.005,"一致","不一致"))</x:f>
        <x:v>AmountIncludingTax缺失</x:v>
      </x:c>
      <x:c r="F190" s="19" t="str">
        <x:v>approved</x:v>
      </x:c>
      <x:c r="G190" s="19" t="str">
        <x:v>Repair in Progress</x:v>
      </x:c>
      <x:c r="H190" s="19" t="str">
        <x:v>In Field</x:v>
      </x:c>
      <x:c r="I190" s="37" t="n">
        <x:v>46204</x:v>
      </x:c>
      <x:c r="J190" s="37" t="n">
        <x:v>46204</x:v>
      </x:c>
      <x:c r="K190" s="19" t="str">
        <x:v>Green RV - Forest Glen</x:v>
      </x:c>
      <x:c r="L190" s="19" t="str">
        <x:v>Z006</x:v>
      </x:c>
      <x:c r="M190" s="19" t="str">
        <x:v>In Field Warranty Claims</x:v>
      </x:c>
      <x:c r="N190" s="37" t="n">
        <x:v>46203</x:v>
      </x:c>
      <x:c r="O190" s="37"/>
      <x:c r="P190" s="34" t="n">
        <x:v>0</x:v>
      </x:c>
      <x:c r="Q190" s="37" t="n">
        <x:v>46203.974953703706</x:v>
      </x:c>
    </x:row>
    <x:row r="191">
      <x:c r="A191" s="22" t="n">
        <x:v>37079</x:v>
      </x:c>
      <x:c r="B191" s="28" t="n">
        <x:v>1471.25</x:v>
      </x:c>
      <x:c r="C191" s="28"/>
      <x:c r="D191" s="31" t="str">
        <x:f>IF(OR(ISBLANK(B191),ISBLANK(C191),B191=0),"",(C191-B191)/B191)</x:f>
      </x:c>
      <x:c r="E191" s="22" t="str">
        <x:f>IF(ISBLANK(C191),"AmountIncludingTax缺失",IF(ABS(B191-C191)&lt;0.005,"一致","不一致"))</x:f>
        <x:v>AmountIncludingTax缺失</x:v>
      </x:c>
      <x:c r="F191" s="19" t="str">
        <x:v>approved</x:v>
      </x:c>
      <x:c r="G191" s="19" t="str">
        <x:v>Sales Order Approved</x:v>
      </x:c>
      <x:c r="H191" s="19" t="str">
        <x:v>In Field</x:v>
      </x:c>
      <x:c r="I191" s="37" t="n">
        <x:v>46203</x:v>
      </x:c>
      <x:c r="J191" s="37" t="n">
        <x:v>46203</x:v>
      </x:c>
      <x:c r="K191" s="19" t="str">
        <x:v>Regent RV - Perth</x:v>
      </x:c>
      <x:c r="L191" s="19" t="str">
        <x:v>Z006</x:v>
      </x:c>
      <x:c r="M191" s="19" t="str">
        <x:v>In Field Warranty Claims</x:v>
      </x:c>
      <x:c r="N191" s="37" t="n">
        <x:v>46202</x:v>
      </x:c>
      <x:c r="O191" s="37"/>
      <x:c r="P191" s="34" t="n">
        <x:v>0</x:v>
      </x:c>
      <x:c r="Q191" s="37" t="n">
        <x:v>46203.0231712963</x:v>
      </x:c>
    </x:row>
    <x:row r="192">
      <x:c r="A192" s="22" t="n">
        <x:v>37078</x:v>
      </x:c>
      <x:c r="B192" s="28" t="n">
        <x:v>77.5</x:v>
      </x:c>
      <x:c r="C192" s="28" t="n">
        <x:v>85.25</x:v>
      </x:c>
      <x:c r="D192" s="31" t="n">
        <x:f>IF(OR(ISBLANK(B192),ISBLANK(C192),B192=0),"",(C192-B192)/B192)</x:f>
        <x:v>0.1</x:v>
      </x:c>
      <x:c r="E192" s="22" t="str">
        <x:f>IF(ISBLANK(C192),"AmountIncludingTax缺失",IF(ABS(B192-C192)&lt;0.005,"一致","不一致"))</x:f>
        <x:v>不一致</x:v>
      </x:c>
      <x:c r="F192" s="19" t="str">
        <x:v>approved</x:v>
      </x:c>
      <x:c r="G192" s="19" t="str">
        <x:v>Repair in Progress</x:v>
      </x:c>
      <x:c r="H192" s="19" t="str">
        <x:v>In Field</x:v>
      </x:c>
      <x:c r="I192" s="37" t="n">
        <x:v>46203</x:v>
      </x:c>
      <x:c r="J192" s="37" t="n">
        <x:v>46203</x:v>
      </x:c>
      <x:c r="K192" s="19" t="str">
        <x:v>Snowy River Wangaratta</x:v>
      </x:c>
      <x:c r="L192" s="19" t="str">
        <x:v>Z006</x:v>
      </x:c>
      <x:c r="M192" s="19" t="str">
        <x:v>In Field Warranty Claims</x:v>
      </x:c>
      <x:c r="N192" s="37" t="n">
        <x:v>46202</x:v>
      </x:c>
      <x:c r="O192" s="37"/>
      <x:c r="P192" s="34" t="n">
        <x:v>85.25</x:v>
      </x:c>
      <x:c r="Q192" s="37" t="n">
        <x:v>46202.95898148148</x:v>
      </x:c>
    </x:row>
    <x:row r="193">
      <x:c r="A193" s="22" t="n">
        <x:v>37077</x:v>
      </x:c>
      <x:c r="B193" s="28" t="n">
        <x:v>830</x:v>
      </x:c>
      <x:c r="C193" s="28"/>
      <x:c r="D193" s="31" t="str">
        <x:f>IF(OR(ISBLANK(B193),ISBLANK(C193),B193=0),"",(C193-B193)/B193)</x:f>
      </x:c>
      <x:c r="E193" s="22" t="str">
        <x:f>IF(ISBLANK(C193),"AmountIncludingTax缺失",IF(ABS(B193-C193)&lt;0.005,"一致","不一致"))</x:f>
        <x:v>AmountIncludingTax缺失</x:v>
      </x:c>
      <x:c r="F193" s="19" t="str">
        <x:v>approved</x:v>
      </x:c>
      <x:c r="G193" s="19" t="str">
        <x:v>Repairer Invoiced Processed</x:v>
      </x:c>
      <x:c r="H193" s="19" t="str">
        <x:v>In Field</x:v>
      </x:c>
      <x:c r="I193" s="37" t="n">
        <x:v>46202</x:v>
      </x:c>
      <x:c r="J193" s="37" t="n">
        <x:v>46202</x:v>
      </x:c>
      <x:c r="K193" s="19" t="str">
        <x:v>Green RV - Forest Glen</x:v>
      </x:c>
      <x:c r="L193" s="19" t="str">
        <x:v>Z006</x:v>
      </x:c>
      <x:c r="M193" s="19" t="str">
        <x:v>In Field Warranty Claims</x:v>
      </x:c>
      <x:c r="N193" s="37" t="n">
        <x:v>46202</x:v>
      </x:c>
      <x:c r="O193" s="37"/>
      <x:c r="P193" s="34" t="n">
        <x:v>0</x:v>
      </x:c>
      <x:c r="Q193" s="37" t="n">
        <x:v>46202.293217592596</x:v>
      </x:c>
    </x:row>
    <x:row r="194">
      <x:c r="A194" s="22" t="n">
        <x:v>37075</x:v>
      </x:c>
      <x:c r="B194" s="28" t="n">
        <x:v>357.5</x:v>
      </x:c>
      <x:c r="C194" s="28"/>
      <x:c r="D194" s="31" t="str">
        <x:f>IF(OR(ISBLANK(B194),ISBLANK(C194),B194=0),"",(C194-B194)/B194)</x:f>
      </x:c>
      <x:c r="E194" s="22" t="str">
        <x:f>IF(ISBLANK(C194),"AmountIncludingTax缺失",IF(ABS(B194-C194)&lt;0.005,"一致","不一致"))</x:f>
        <x:v>AmountIncludingTax缺失</x:v>
      </x:c>
      <x:c r="F194" s="19" t="str">
        <x:v>approved</x:v>
      </x:c>
      <x:c r="G194" s="19" t="str">
        <x:v>Repairer Invoiced Processed</x:v>
      </x:c>
      <x:c r="H194" s="19" t="str">
        <x:v>In Field</x:v>
      </x:c>
      <x:c r="I194" s="37" t="n">
        <x:v>46202</x:v>
      </x:c>
      <x:c r="J194" s="37" t="n">
        <x:v>46202</x:v>
      </x:c>
      <x:c r="K194" s="19" t="str">
        <x:v>Green RV - Slacks Creek</x:v>
      </x:c>
      <x:c r="L194" s="19" t="str">
        <x:v>Z006</x:v>
      </x:c>
      <x:c r="M194" s="19" t="str">
        <x:v>In Field Warranty Claims</x:v>
      </x:c>
      <x:c r="N194" s="37" t="n">
        <x:v>46202</x:v>
      </x:c>
      <x:c r="O194" s="37"/>
      <x:c r="P194" s="34" t="n">
        <x:v>0</x:v>
      </x:c>
      <x:c r="Q194" s="37" t="n">
        <x:v>46202.22141203703</x:v>
      </x:c>
    </x:row>
    <x:row r="195">
      <x:c r="A195" s="22" t="n">
        <x:v>37072</x:v>
      </x:c>
      <x:c r="B195" s="28" t="n">
        <x:v>1413.75</x:v>
      </x:c>
      <x:c r="C195" s="28"/>
      <x:c r="D195" s="31" t="str">
        <x:f>IF(OR(ISBLANK(B195),ISBLANK(C195),B195=0),"",(C195-B195)/B195)</x:f>
      </x:c>
      <x:c r="E195" s="22" t="str">
        <x:f>IF(ISBLANK(C195),"AmountIncludingTax缺失",IF(ABS(B195-C195)&lt;0.005,"一致","不一致"))</x:f>
        <x:v>AmountIncludingTax缺失</x:v>
      </x:c>
      <x:c r="F195" s="19" t="str">
        <x:v>approved</x:v>
      </x:c>
      <x:c r="G195" s="19" t="str">
        <x:v>Sales Order Approved</x:v>
      </x:c>
      <x:c r="H195" s="19" t="str">
        <x:v>Pre Delivery</x:v>
      </x:c>
      <x:c r="I195" s="37" t="n">
        <x:v>46206</x:v>
      </x:c>
      <x:c r="J195" s="37" t="n">
        <x:v>46206</x:v>
      </x:c>
      <x:c r="K195" s="19" t="str">
        <x:v>Regent RV - Townsville</x:v>
      </x:c>
      <x:c r="L195" s="19" t="str">
        <x:v>Z005</x:v>
      </x:c>
      <x:c r="M195" s="19" t="str">
        <x:v>Pre Delivery Warranty Claims</x:v>
      </x:c>
      <x:c r="N195" s="37" t="n">
        <x:v>46202</x:v>
      </x:c>
      <x:c r="O195" s="37"/>
      <x:c r="P195" s="34" t="n">
        <x:v>0</x:v>
      </x:c>
      <x:c r="Q195" s="37" t="n">
        <x:v>46206.14876157408</x:v>
      </x:c>
    </x:row>
    <x:row r="196">
      <x:c r="A196" s="22" t="n">
        <x:v>37071</x:v>
      </x:c>
      <x:c r="B196" s="28" t="n">
        <x:v>830</x:v>
      </x:c>
      <x:c r="C196" s="28"/>
      <x:c r="D196" s="31" t="str">
        <x:f>IF(OR(ISBLANK(B196),ISBLANK(C196),B196=0),"",(C196-B196)/B196)</x:f>
      </x:c>
      <x:c r="E196" s="22" t="str">
        <x:f>IF(ISBLANK(C196),"AmountIncludingTax缺失",IF(ABS(B196-C196)&lt;0.005,"一致","不一致"))</x:f>
        <x:v>AmountIncludingTax缺失</x:v>
      </x:c>
      <x:c r="F196" s="19" t="str">
        <x:v>approved</x:v>
      </x:c>
      <x:c r="G196" s="19" t="str">
        <x:v>Sales Order Approved</x:v>
      </x:c>
      <x:c r="H196" s="19" t="str">
        <x:v>In Field</x:v>
      </x:c>
      <x:c r="I196" s="37" t="n">
        <x:v>46204</x:v>
      </x:c>
      <x:c r="J196" s="37" t="n">
        <x:v>46204</x:v>
      </x:c>
      <x:c r="K196" s="19" t="str">
        <x:v>Green RV - Slacks Creek</x:v>
      </x:c>
      <x:c r="L196" s="19" t="str">
        <x:v>Z006</x:v>
      </x:c>
      <x:c r="M196" s="19" t="str">
        <x:v>In Field Warranty Claims</x:v>
      </x:c>
      <x:c r="N196" s="37" t="n">
        <x:v>46202</x:v>
      </x:c>
      <x:c r="O196" s="37"/>
      <x:c r="P196" s="34" t="n">
        <x:v>0</x:v>
      </x:c>
      <x:c r="Q196" s="37" t="n">
        <x:v>46204.1456712963</x:v>
      </x:c>
    </x:row>
    <x:row r="197">
      <x:c r="A197" s="22" t="n">
        <x:v>37070</x:v>
      </x:c>
      <x:c r="B197" s="28" t="n">
        <x:v>762.5</x:v>
      </x:c>
      <x:c r="C197" s="28"/>
      <x:c r="D197" s="31" t="str">
        <x:f>IF(OR(ISBLANK(B197),ISBLANK(C197),B197=0),"",(C197-B197)/B197)</x:f>
      </x:c>
      <x:c r="E197" s="22" t="str">
        <x:f>IF(ISBLANK(C197),"AmountIncludingTax缺失",IF(ABS(B197-C197)&lt;0.005,"一致","不一致"))</x:f>
        <x:v>AmountIncludingTax缺失</x:v>
      </x:c>
      <x:c r="F197" s="19" t="str">
        <x:v>approved</x:v>
      </x:c>
      <x:c r="G197" s="19" t="str">
        <x:v>Sales Order Approved</x:v>
      </x:c>
      <x:c r="H197" s="19" t="str">
        <x:v>Pre Delivery</x:v>
      </x:c>
      <x:c r="I197" s="37" t="n">
        <x:v>46206</x:v>
      </x:c>
      <x:c r="J197" s="37" t="n">
        <x:v>46206</x:v>
      </x:c>
      <x:c r="K197" s="19" t="str">
        <x:v>Green RV - Forest Glen</x:v>
      </x:c>
      <x:c r="L197" s="19" t="str">
        <x:v>Z005</x:v>
      </x:c>
      <x:c r="M197" s="19" t="str">
        <x:v>Pre Delivery Warranty Claims</x:v>
      </x:c>
      <x:c r="N197" s="37" t="n">
        <x:v>46202</x:v>
      </x:c>
      <x:c r="O197" s="37"/>
      <x:c r="P197" s="34" t="n">
        <x:v>0</x:v>
      </x:c>
      <x:c r="Q197" s="37" t="n">
        <x:v>46205.944548611114</x:v>
      </x:c>
    </x:row>
    <x:row r="198">
      <x:c r="A198" s="22" t="n">
        <x:v>37069</x:v>
      </x:c>
      <x:c r="B198" s="28" t="n">
        <x:v>67.5</x:v>
      </x:c>
      <x:c r="C198" s="28"/>
      <x:c r="D198" s="31" t="str">
        <x:f>IF(OR(ISBLANK(B198),ISBLANK(C198),B198=0),"",(C198-B198)/B198)</x:f>
      </x:c>
      <x:c r="E198" s="22" t="str">
        <x:f>IF(ISBLANK(C198),"AmountIncludingTax缺失",IF(ABS(B198-C198)&lt;0.005,"一致","不一致"))</x:f>
        <x:v>AmountIncludingTax缺失</x:v>
      </x:c>
      <x:c r="F198" s="19" t="str">
        <x:v>approved</x:v>
      </x:c>
      <x:c r="G198" s="19" t="str">
        <x:v>Sales Order Approved</x:v>
      </x:c>
      <x:c r="H198" s="19" t="str">
        <x:v>In Field</x:v>
      </x:c>
      <x:c r="I198" s="37" t="n">
        <x:v>46204</x:v>
      </x:c>
      <x:c r="J198" s="37" t="n">
        <x:v>46204</x:v>
      </x:c>
      <x:c r="K198" s="19" t="str">
        <x:v>Green RV - Slacks Creek</x:v>
      </x:c>
      <x:c r="L198" s="19" t="str">
        <x:v>Z006</x:v>
      </x:c>
      <x:c r="M198" s="19" t="str">
        <x:v>In Field Warranty Claims</x:v>
      </x:c>
      <x:c r="N198" s="37" t="n">
        <x:v>46202</x:v>
      </x:c>
      <x:c r="O198" s="37"/>
      <x:c r="P198" s="34" t="n">
        <x:v>0</x:v>
      </x:c>
      <x:c r="Q198" s="37" t="n">
        <x:v>46204.229050925926</x:v>
      </x:c>
    </x:row>
    <x:row r="199">
      <x:c r="A199" s="22" t="n">
        <x:v>37066</x:v>
      </x:c>
      <x:c r="B199" s="28" t="n">
        <x:v>135</x:v>
      </x:c>
      <x:c r="C199" s="28"/>
      <x:c r="D199" s="31" t="str">
        <x:f>IF(OR(ISBLANK(B199),ISBLANK(C199),B199=0),"",(C199-B199)/B199)</x:f>
      </x:c>
      <x:c r="E199" s="22" t="str">
        <x:f>IF(ISBLANK(C199),"AmountIncludingTax缺失",IF(ABS(B199-C199)&lt;0.005,"一致","不一致"))</x:f>
        <x:v>AmountIncludingTax缺失</x:v>
      </x:c>
      <x:c r="F199" s="19" t="str">
        <x:v>approved</x:v>
      </x:c>
      <x:c r="G199" s="19" t="str">
        <x:v>Sales Order Approved</x:v>
      </x:c>
      <x:c r="H199" s="19" t="str">
        <x:v>In Field</x:v>
      </x:c>
      <x:c r="I199" s="37" t="n">
        <x:v>46205</x:v>
      </x:c>
      <x:c r="J199" s="37" t="n">
        <x:v>46205</x:v>
      </x:c>
      <x:c r="K199" s="19" t="str">
        <x:v>Regent RV - Frankston</x:v>
      </x:c>
      <x:c r="L199" s="19" t="str">
        <x:v>Z006</x:v>
      </x:c>
      <x:c r="M199" s="19" t="str">
        <x:v>In Field Warranty Claims</x:v>
      </x:c>
      <x:c r="N199" s="37" t="n">
        <x:v>46202</x:v>
      </x:c>
      <x:c r="O199" s="37"/>
      <x:c r="P199" s="34" t="n">
        <x:v>0</x:v>
      </x:c>
      <x:c r="Q199" s="37" t="n">
        <x:v>46204.98133101852</x:v>
      </x:c>
    </x:row>
    <x:row r="200">
      <x:c r="A200" s="22" t="n">
        <x:v>37065</x:v>
      </x:c>
      <x:c r="B200" s="28" t="n">
        <x:v>1275</x:v>
      </x:c>
      <x:c r="C200" s="28"/>
      <x:c r="D200" s="31" t="str">
        <x:f>IF(OR(ISBLANK(B200),ISBLANK(C200),B200=0),"",(C200-B200)/B200)</x:f>
      </x:c>
      <x:c r="E200" s="22" t="str">
        <x:f>IF(ISBLANK(C200),"AmountIncludingTax缺失",IF(ABS(B200-C200)&lt;0.005,"一致","不一致"))</x:f>
        <x:v>AmountIncludingTax缺失</x:v>
      </x:c>
      <x:c r="F200" s="19" t="str">
        <x:v>approved</x:v>
      </x:c>
      <x:c r="G200" s="19" t="str">
        <x:v>Sales Order Approved</x:v>
      </x:c>
      <x:c r="H200" s="19" t="str">
        <x:v>In Field</x:v>
      </x:c>
      <x:c r="I200" s="37" t="n">
        <x:v>46204</x:v>
      </x:c>
      <x:c r="J200" s="37" t="n">
        <x:v>46204</x:v>
      </x:c>
      <x:c r="K200" s="19" t="str">
        <x:v>Green RV - Forest Glen</x:v>
      </x:c>
      <x:c r="L200" s="19" t="str">
        <x:v>Z006</x:v>
      </x:c>
      <x:c r="M200" s="19" t="str">
        <x:v>In Field Warranty Claims</x:v>
      </x:c>
      <x:c r="N200" s="37" t="n">
        <x:v>46202</x:v>
      </x:c>
      <x:c r="O200" s="37"/>
      <x:c r="P200" s="34" t="n">
        <x:v>0</x:v>
      </x:c>
      <x:c r="Q200" s="37" t="n">
        <x:v>46204.22804398148</x:v>
      </x:c>
    </x:row>
    <x:row r="201">
      <x:c r="A201" s="22" t="n">
        <x:v>37064</x:v>
      </x:c>
      <x:c r="B201" s="28" t="n">
        <x:v>1660</x:v>
      </x:c>
      <x:c r="C201" s="28"/>
      <x:c r="D201" s="31" t="str">
        <x:f>IF(OR(ISBLANK(B201),ISBLANK(C201),B201=0),"",(C201-B201)/B201)</x:f>
      </x:c>
      <x:c r="E201" s="22" t="str">
        <x:f>IF(ISBLANK(C201),"AmountIncludingTax缺失",IF(ABS(B201-C201)&lt;0.005,"一致","不一致"))</x:f>
        <x:v>AmountIncludingTax缺失</x:v>
      </x:c>
      <x:c r="F201" s="19" t="str">
        <x:v>approved</x:v>
      </x:c>
      <x:c r="G201" s="19" t="str">
        <x:v>Sales Order Approved</x:v>
      </x:c>
      <x:c r="H201" s="19" t="str">
        <x:v>In Field</x:v>
      </x:c>
      <x:c r="I201" s="37" t="n">
        <x:v>46203</x:v>
      </x:c>
      <x:c r="J201" s="37" t="n">
        <x:v>46203</x:v>
      </x:c>
      <x:c r="K201" s="19" t="str">
        <x:v>Destiny RV - South Australia</x:v>
      </x:c>
      <x:c r="L201" s="19" t="str">
        <x:v>Z006</x:v>
      </x:c>
      <x:c r="M201" s="19" t="str">
        <x:v>In Field Warranty Claims</x:v>
      </x:c>
      <x:c r="N201" s="37" t="n">
        <x:v>46202</x:v>
      </x:c>
      <x:c r="O201" s="37"/>
      <x:c r="P201" s="34" t="n">
        <x:v>0</x:v>
      </x:c>
      <x:c r="Q201" s="37" t="n">
        <x:v>46202.93457175926</x:v>
      </x:c>
    </x:row>
    <x:row r="202">
      <x:c r="A202" s="22" t="n">
        <x:v>37063</x:v>
      </x:c>
      <x:c r="B202" s="28" t="n">
        <x:v>1342.5</x:v>
      </x:c>
      <x:c r="C202" s="28"/>
      <x:c r="D202" s="31" t="str">
        <x:f>IF(OR(ISBLANK(B202),ISBLANK(C202),B202=0),"",(C202-B202)/B202)</x:f>
      </x:c>
      <x:c r="E202" s="22" t="str">
        <x:f>IF(ISBLANK(C202),"AmountIncludingTax缺失",IF(ABS(B202-C202)&lt;0.005,"一致","不一致"))</x:f>
        <x:v>AmountIncludingTax缺失</x:v>
      </x:c>
      <x:c r="F202" s="19" t="str">
        <x:v>approved</x:v>
      </x:c>
      <x:c r="G202" s="19" t="str">
        <x:v>Repairer Invoiced Processed</x:v>
      </x:c>
      <x:c r="H202" s="19" t="str">
        <x:v>In Field</x:v>
      </x:c>
      <x:c r="I202" s="37" t="n">
        <x:v>46209</x:v>
      </x:c>
      <x:c r="J202" s="37" t="n">
        <x:v>46209</x:v>
      </x:c>
      <x:c r="K202" s="19" t="str">
        <x:v>Green RV - Slacks Creek</x:v>
      </x:c>
      <x:c r="L202" s="19" t="str">
        <x:v>Z006</x:v>
      </x:c>
      <x:c r="M202" s="19" t="str">
        <x:v>In Field Warranty Claims</x:v>
      </x:c>
      <x:c r="N202" s="37" t="n">
        <x:v>46202</x:v>
      </x:c>
      <x:c r="O202" s="37"/>
      <x:c r="P202" s="34" t="n">
        <x:v>1476.75</x:v>
      </x:c>
      <x:c r="Q202" s="37" t="n">
        <x:v>46208.87422453704</x:v>
      </x:c>
    </x:row>
    <x:row r="203">
      <x:c r="A203" s="22" t="n">
        <x:v>37062</x:v>
      </x:c>
      <x:c r="B203" s="28" t="n">
        <x:v>145</x:v>
      </x:c>
      <x:c r="C203" s="28"/>
      <x:c r="D203" s="31" t="str">
        <x:f>IF(OR(ISBLANK(B203),ISBLANK(C203),B203=0),"",(C203-B203)/B203)</x:f>
      </x:c>
      <x:c r="E203" s="22" t="str">
        <x:f>IF(ISBLANK(C203),"AmountIncludingTax缺失",IF(ABS(B203-C203)&lt;0.005,"一致","不一致"))</x:f>
        <x:v>AmountIncludingTax缺失</x:v>
      </x:c>
      <x:c r="F203" s="19" t="str">
        <x:v>approved</x:v>
      </x:c>
      <x:c r="G203" s="19" t="str">
        <x:v>Repairer Invoiced Processed</x:v>
      </x:c>
      <x:c r="H203" s="19" t="str">
        <x:v>In Field</x:v>
      </x:c>
      <x:c r="I203" s="37" t="n">
        <x:v>46204</x:v>
      </x:c>
      <x:c r="J203" s="37" t="n">
        <x:v>46204</x:v>
      </x:c>
      <x:c r="K203" s="19" t="str">
        <x:v>The Caravan Hub - Townsville</x:v>
      </x:c>
      <x:c r="L203" s="19" t="str">
        <x:v>Z006</x:v>
      </x:c>
      <x:c r="M203" s="19" t="str">
        <x:v>In Field Warranty Claims</x:v>
      </x:c>
      <x:c r="N203" s="37" t="n">
        <x:v>46202</x:v>
      </x:c>
      <x:c r="O203" s="37"/>
      <x:c r="P203" s="34" t="n">
        <x:v>0</x:v>
      </x:c>
      <x:c r="Q203" s="37" t="n">
        <x:v>46204.23535879629</x:v>
      </x:c>
    </x:row>
    <x:row r="204">
      <x:c r="A204" s="22" t="n">
        <x:v>37056</x:v>
      </x:c>
      <x:c r="B204" s="28" t="n">
        <x:v>1585</x:v>
      </x:c>
      <x:c r="C204" s="28"/>
      <x:c r="D204" s="31" t="str">
        <x:f>IF(OR(ISBLANK(B204),ISBLANK(C204),B204=0),"",(C204-B204)/B204)</x:f>
      </x:c>
      <x:c r="E204" s="22" t="str">
        <x:f>IF(ISBLANK(C204),"AmountIncludingTax缺失",IF(ABS(B204-C204)&lt;0.005,"一致","不一致"))</x:f>
        <x:v>AmountIncludingTax缺失</x:v>
      </x:c>
      <x:c r="F204" s="19" t="str">
        <x:v>approved</x:v>
      </x:c>
      <x:c r="G204" s="19" t="str">
        <x:v>Sales Order Approved</x:v>
      </x:c>
      <x:c r="H204" s="19" t="str">
        <x:v>In Field</x:v>
      </x:c>
      <x:c r="I204" s="37" t="n">
        <x:v>46202</x:v>
      </x:c>
      <x:c r="J204" s="37" t="n">
        <x:v>46202</x:v>
      </x:c>
      <x:c r="K204" s="19" t="str">
        <x:v>Destiny RV - South Australia</x:v>
      </x:c>
      <x:c r="L204" s="19" t="str">
        <x:v>Z006</x:v>
      </x:c>
      <x:c r="M204" s="19" t="str">
        <x:v>In Field Warranty Claims</x:v>
      </x:c>
      <x:c r="N204" s="37" t="n">
        <x:v>46202</x:v>
      </x:c>
      <x:c r="O204" s="37"/>
      <x:c r="P204" s="34" t="n">
        <x:v>0</x:v>
      </x:c>
      <x:c r="Q204" s="37" t="n">
        <x:v>46202.18561342593</x:v>
      </x:c>
    </x:row>
    <x:row r="205">
      <x:c r="A205" s="22" t="n">
        <x:v>37052</x:v>
      </x:c>
      <x:c r="B205" s="28" t="n">
        <x:v>212.5</x:v>
      </x:c>
      <x:c r="C205" s="28"/>
      <x:c r="D205" s="31" t="str">
        <x:f>IF(OR(ISBLANK(B205),ISBLANK(C205),B205=0),"",(C205-B205)/B205)</x:f>
      </x:c>
      <x:c r="E205" s="22" t="str">
        <x:f>IF(ISBLANK(C205),"AmountIncludingTax缺失",IF(ABS(B205-C205)&lt;0.005,"一致","不一致"))</x:f>
        <x:v>AmountIncludingTax缺失</x:v>
      </x:c>
      <x:c r="F205" s="19" t="str">
        <x:v>approved</x:v>
      </x:c>
      <x:c r="G205" s="19" t="str">
        <x:v>Sales Order Approved</x:v>
      </x:c>
      <x:c r="H205" s="19" t="str">
        <x:v>In Field</x:v>
      </x:c>
      <x:c r="I205" s="37" t="n">
        <x:v>46202</x:v>
      </x:c>
      <x:c r="J205" s="37" t="n">
        <x:v>46202</x:v>
      </x:c>
      <x:c r="K205" s="19" t="str">
        <x:v>Dario Caravans -St.Marys</x:v>
      </x:c>
      <x:c r="L205" s="19" t="str">
        <x:v>Z006</x:v>
      </x:c>
      <x:c r="M205" s="19" t="str">
        <x:v>In Field Warranty Claims</x:v>
      </x:c>
      <x:c r="N205" s="37" t="n">
        <x:v>46201</x:v>
      </x:c>
      <x:c r="O205" s="37"/>
      <x:c r="P205" s="34" t="n">
        <x:v>0</x:v>
      </x:c>
      <x:c r="Q205" s="37" t="n">
        <x:v>46201.98681712963</x:v>
      </x:c>
    </x:row>
    <x:row r="206">
      <x:c r="A206" s="22" t="n">
        <x:v>37049</x:v>
      </x:c>
      <x:c r="B206" s="28" t="n">
        <x:v>1410</x:v>
      </x:c>
      <x:c r="C206" s="28"/>
      <x:c r="D206" s="31" t="str">
        <x:f>IF(OR(ISBLANK(B206),ISBLANK(C206),B206=0),"",(C206-B206)/B206)</x:f>
      </x:c>
      <x:c r="E206" s="22" t="str">
        <x:f>IF(ISBLANK(C206),"AmountIncludingTax缺失",IF(ABS(B206-C206)&lt;0.005,"一致","不一致"))</x:f>
        <x:v>AmountIncludingTax缺失</x:v>
      </x:c>
      <x:c r="F206" s="19" t="str">
        <x:v>approved</x:v>
      </x:c>
      <x:c r="G206" s="19" t="str">
        <x:v>Sales Order Approved</x:v>
      </x:c>
      <x:c r="H206" s="19" t="str">
        <x:v>In Field</x:v>
      </x:c>
      <x:c r="I206" s="37" t="n">
        <x:v>46204</x:v>
      </x:c>
      <x:c r="J206" s="37" t="n">
        <x:v>46204</x:v>
      </x:c>
      <x:c r="K206" s="19" t="str">
        <x:v>Green RV - Forest Glen</x:v>
      </x:c>
      <x:c r="L206" s="19" t="str">
        <x:v>Z006</x:v>
      </x:c>
      <x:c r="M206" s="19" t="str">
        <x:v>In Field Warranty Claims</x:v>
      </x:c>
      <x:c r="N206" s="37" t="n">
        <x:v>46202</x:v>
      </x:c>
      <x:c r="O206" s="37"/>
      <x:c r="P206" s="34" t="n">
        <x:v>0</x:v>
      </x:c>
      <x:c r="Q206" s="37" t="n">
        <x:v>46204.24753472222</x:v>
      </x:c>
    </x:row>
    <x:row r="207">
      <x:c r="A207" s="22" t="n">
        <x:v>37047</x:v>
      </x:c>
      <x:c r="B207" s="28" t="n">
        <x:v>1801.25</x:v>
      </x:c>
      <x:c r="C207" s="28"/>
      <x:c r="D207" s="31" t="str">
        <x:f>IF(OR(ISBLANK(B207),ISBLANK(C207),B207=0),"",(C207-B207)/B207)</x:f>
      </x:c>
      <x:c r="E207" s="22" t="str">
        <x:f>IF(ISBLANK(C207),"AmountIncludingTax缺失",IF(ABS(B207-C207)&lt;0.005,"一致","不一致"))</x:f>
        <x:v>AmountIncludingTax缺失</x:v>
      </x:c>
      <x:c r="F207" s="19" t="str">
        <x:v>approved</x:v>
      </x:c>
      <x:c r="G207" s="19" t="str">
        <x:v>Repairer Invoiced Processed</x:v>
      </x:c>
      <x:c r="H207" s="19" t="str">
        <x:v>Pre Delivery</x:v>
      </x:c>
      <x:c r="I207" s="37" t="n">
        <x:v>46209</x:v>
      </x:c>
      <x:c r="J207" s="37" t="n">
        <x:v>46209</x:v>
      </x:c>
      <x:c r="K207" s="19" t="str">
        <x:v>Leisure Lion - Bundaberg</x:v>
      </x:c>
      <x:c r="L207" s="19" t="str">
        <x:v>Z005</x:v>
      </x:c>
      <x:c r="M207" s="19" t="str">
        <x:v>Pre Delivery Warranty Claims</x:v>
      </x:c>
      <x:c r="N207" s="37" t="n">
        <x:v>46202</x:v>
      </x:c>
      <x:c r="O207" s="37"/>
      <x:c r="P207" s="34" t="n">
        <x:v>0</x:v>
      </x:c>
      <x:c r="Q207" s="37" t="n">
        <x:v>46209.03590277778</x:v>
      </x:c>
    </x:row>
    <x:row r="208">
      <x:c r="A208" s="22" t="n">
        <x:v>37046</x:v>
      </x:c>
      <x:c r="B208" s="28" t="n">
        <x:v>2522.73</x:v>
      </x:c>
      <x:c r="C208" s="28"/>
      <x:c r="D208" s="31" t="str">
        <x:f>IF(OR(ISBLANK(B208),ISBLANK(C208),B208=0),"",(C208-B208)/B208)</x:f>
      </x:c>
      <x:c r="E208" s="22" t="str">
        <x:f>IF(ISBLANK(C208),"AmountIncludingTax缺失",IF(ABS(B208-C208)&lt;0.005,"一致","不一致"))</x:f>
        <x:v>AmountIncludingTax缺失</x:v>
      </x:c>
      <x:c r="F208" s="19" t="str">
        <x:v>approved</x:v>
      </x:c>
      <x:c r="G208" s="19" t="str">
        <x:v>Repair in Progress</x:v>
      </x:c>
      <x:c r="H208" s="19" t="str">
        <x:v>In Field</x:v>
      </x:c>
      <x:c r="I208" s="37" t="n">
        <x:v>46202</x:v>
      </x:c>
      <x:c r="J208" s="37" t="n">
        <x:v>46202</x:v>
      </x:c>
      <x:c r="K208" s="19" t="str">
        <x:v>The Caravan Hub - Townsville</x:v>
      </x:c>
      <x:c r="L208" s="19" t="str">
        <x:v>Z006</x:v>
      </x:c>
      <x:c r="M208" s="19" t="str">
        <x:v>In Field Warranty Claims</x:v>
      </x:c>
      <x:c r="N208" s="37" t="n">
        <x:v>46202</x:v>
      </x:c>
      <x:c r="O208" s="37"/>
      <x:c r="P208" s="34" t="n">
        <x:v>2775</x:v>
      </x:c>
      <x:c r="Q208" s="37" t="n">
        <x:v>46202.295810185184</x:v>
      </x:c>
    </x:row>
    <x:row r="209">
      <x:c r="A209" s="22" t="n">
        <x:v>37045</x:v>
      </x:c>
      <x:c r="B209" s="28" t="n">
        <x:v>2152.5</x:v>
      </x:c>
      <x:c r="C209" s="28"/>
      <x:c r="D209" s="31" t="str">
        <x:f>IF(OR(ISBLANK(B209),ISBLANK(C209),B209=0),"",(C209-B209)/B209)</x:f>
      </x:c>
      <x:c r="E209" s="22" t="str">
        <x:f>IF(ISBLANK(C209),"AmountIncludingTax缺失",IF(ABS(B209-C209)&lt;0.005,"一致","不一致"))</x:f>
        <x:v>AmountIncludingTax缺失</x:v>
      </x:c>
      <x:c r="F209" s="19" t="str">
        <x:v>approved</x:v>
      </x:c>
      <x:c r="G209" s="19" t="str">
        <x:v>Sales Order Approved</x:v>
      </x:c>
      <x:c r="H209" s="19" t="str">
        <x:v>Pre Delivery</x:v>
      </x:c>
      <x:c r="I209" s="37" t="n">
        <x:v>46211</x:v>
      </x:c>
      <x:c r="J209" s="37" t="n">
        <x:v>46211</x:v>
      </x:c>
      <x:c r="K209" s="19" t="str">
        <x:v>Green RV - Forest Glen</x:v>
      </x:c>
      <x:c r="L209" s="19" t="str">
        <x:v>Z005</x:v>
      </x:c>
      <x:c r="M209" s="19" t="str">
        <x:v>Pre Delivery Warranty Claims</x:v>
      </x:c>
      <x:c r="N209" s="37" t="n">
        <x:v>46201</x:v>
      </x:c>
      <x:c r="O209" s="37"/>
      <x:c r="P209" s="34" t="n">
        <x:v>0</x:v>
      </x:c>
      <x:c r="Q209" s="37" t="n">
        <x:v>46211.073125</x:v>
      </x:c>
    </x:row>
    <x:row r="210">
      <x:c r="A210" s="22" t="n">
        <x:v>37044</x:v>
      </x:c>
      <x:c r="B210" s="28" t="n">
        <x:v>212.5</x:v>
      </x:c>
      <x:c r="C210" s="28"/>
      <x:c r="D210" s="31" t="str">
        <x:f>IF(OR(ISBLANK(B210),ISBLANK(C210),B210=0),"",(C210-B210)/B210)</x:f>
      </x:c>
      <x:c r="E210" s="22" t="str">
        <x:f>IF(ISBLANK(C210),"AmountIncludingTax缺失",IF(ABS(B210-C210)&lt;0.005,"一致","不一致"))</x:f>
        <x:v>AmountIncludingTax缺失</x:v>
      </x:c>
      <x:c r="F210" s="19" t="str">
        <x:v>approved</x:v>
      </x:c>
      <x:c r="G210" s="19" t="str">
        <x:v>Repairer Invoiced Processed</x:v>
      </x:c>
      <x:c r="H210" s="19" t="str">
        <x:v>Pre Delivery</x:v>
      </x:c>
      <x:c r="I210" s="37" t="n">
        <x:v>46202</x:v>
      </x:c>
      <x:c r="J210" s="37" t="n">
        <x:v>46202</x:v>
      </x:c>
      <x:c r="K210" s="19" t="str">
        <x:v>Green RV - Slacks Creek</x:v>
      </x:c>
      <x:c r="L210" s="19" t="str">
        <x:v>Z005</x:v>
      </x:c>
      <x:c r="M210" s="19" t="str">
        <x:v>Pre Delivery Warranty Claims</x:v>
      </x:c>
      <x:c r="N210" s="37" t="n">
        <x:v>46201</x:v>
      </x:c>
      <x:c r="O210" s="37"/>
      <x:c r="P210" s="34" t="n">
        <x:v>0</x:v>
      </x:c>
      <x:c r="Q210" s="37" t="n">
        <x:v>46202.034479166665</x:v>
      </x:c>
    </x:row>
    <x:row r="211">
      <x:c r="A211" s="22" t="n">
        <x:v>37040</x:v>
      </x:c>
      <x:c r="B211" s="28" t="n">
        <x:v>2206.25</x:v>
      </x:c>
      <x:c r="C211" s="28"/>
      <x:c r="D211" s="31" t="str">
        <x:f>IF(OR(ISBLANK(B211),ISBLANK(C211),B211=0),"",(C211-B211)/B211)</x:f>
      </x:c>
      <x:c r="E211" s="22" t="str">
        <x:f>IF(ISBLANK(C211),"AmountIncludingTax缺失",IF(ABS(B211-C211)&lt;0.005,"一致","不一致"))</x:f>
        <x:v>AmountIncludingTax缺失</x:v>
      </x:c>
      <x:c r="F211" s="19" t="str">
        <x:v>approved</x:v>
      </x:c>
      <x:c r="G211" s="19" t="str">
        <x:v>Repairer Invoiced Processed</x:v>
      </x:c>
      <x:c r="H211" s="19" t="str">
        <x:v>In Field</x:v>
      </x:c>
      <x:c r="I211" s="37" t="n">
        <x:v>46202</x:v>
      </x:c>
      <x:c r="J211" s="37" t="n">
        <x:v>46202</x:v>
      </x:c>
      <x:c r="K211" s="19" t="str">
        <x:v>Green RV - Slacks Creek</x:v>
      </x:c>
      <x:c r="L211" s="19" t="str">
        <x:v>Z006</x:v>
      </x:c>
      <x:c r="M211" s="19" t="str">
        <x:v>In Field Warranty Claims</x:v>
      </x:c>
      <x:c r="N211" s="37" t="n">
        <x:v>46202</x:v>
      </x:c>
      <x:c r="O211" s="37"/>
      <x:c r="P211" s="34" t="n">
        <x:v>0</x:v>
      </x:c>
      <x:c r="Q211" s="37" t="n">
        <x:v>46202.184895833336</x:v>
      </x:c>
    </x:row>
    <x:row r="212">
      <x:c r="A212" s="22" t="n">
        <x:v>37038</x:v>
      </x:c>
      <x:c r="B212" s="28" t="n">
        <x:v>67.5</x:v>
      </x:c>
      <x:c r="C212" s="28"/>
      <x:c r="D212" s="31" t="str">
        <x:f>IF(OR(ISBLANK(B212),ISBLANK(C212),B212=0),"",(C212-B212)/B212)</x:f>
      </x:c>
      <x:c r="E212" s="22" t="str">
        <x:f>IF(ISBLANK(C212),"AmountIncludingTax缺失",IF(ABS(B212-C212)&lt;0.005,"一致","不一致"))</x:f>
        <x:v>AmountIncludingTax缺失</x:v>
      </x:c>
      <x:c r="F212" s="19" t="str">
        <x:v>approved</x:v>
      </x:c>
      <x:c r="G212" s="19" t="str">
        <x:v>Sales Order Approved</x:v>
      </x:c>
      <x:c r="H212" s="19" t="str">
        <x:v>In Field</x:v>
      </x:c>
      <x:c r="I212" s="37" t="n">
        <x:v>46205</x:v>
      </x:c>
      <x:c r="J212" s="37" t="n">
        <x:v>46205</x:v>
      </x:c>
      <x:c r="K212" s="19" t="str">
        <x:v>Regent RV Pty Ltd</x:v>
      </x:c>
      <x:c r="L212" s="19" t="str">
        <x:v>Z006</x:v>
      </x:c>
      <x:c r="M212" s="19" t="str">
        <x:v>In Field Warranty Claims</x:v>
      </x:c>
      <x:c r="N212" s="37" t="n">
        <x:v>46202</x:v>
      </x:c>
      <x:c r="O212" s="37"/>
      <x:c r="P212" s="34" t="n">
        <x:v>0</x:v>
      </x:c>
      <x:c r="Q212" s="37" t="n">
        <x:v>46204.970659722225</x:v>
      </x:c>
    </x:row>
    <x:row r="213">
      <x:c r="A213" s="22" t="n">
        <x:v>37037</x:v>
      </x:c>
      <x:c r="B213" s="28" t="n">
        <x:v>1443.75</x:v>
      </x:c>
      <x:c r="C213" s="28"/>
      <x:c r="D213" s="31" t="str">
        <x:f>IF(OR(ISBLANK(B213),ISBLANK(C213),B213=0),"",(C213-B213)/B213)</x:f>
      </x:c>
      <x:c r="E213" s="22" t="str">
        <x:f>IF(ISBLANK(C213),"AmountIncludingTax缺失",IF(ABS(B213-C213)&lt;0.005,"一致","不一致"))</x:f>
        <x:v>AmountIncludingTax缺失</x:v>
      </x:c>
      <x:c r="F213" s="19" t="str">
        <x:v>approved</x:v>
      </x:c>
      <x:c r="G213" s="19" t="str">
        <x:v>Sales Order Approved</x:v>
      </x:c>
      <x:c r="H213" s="19" t="str">
        <x:v>In Field</x:v>
      </x:c>
      <x:c r="I213" s="37" t="n">
        <x:v>46205</x:v>
      </x:c>
      <x:c r="J213" s="37" t="n">
        <x:v>46205</x:v>
      </x:c>
      <x:c r="K213" s="19" t="str">
        <x:v>Regent RV - Frankston</x:v>
      </x:c>
      <x:c r="L213" s="19" t="str">
        <x:v>Z006</x:v>
      </x:c>
      <x:c r="M213" s="19" t="str">
        <x:v>In Field Warranty Claims</x:v>
      </x:c>
      <x:c r="N213" s="37" t="n">
        <x:v>46202</x:v>
      </x:c>
      <x:c r="O213" s="37"/>
      <x:c r="P213" s="34" t="n">
        <x:v>0</x:v>
      </x:c>
      <x:c r="Q213" s="37" t="n">
        <x:v>46204.98032407407</x:v>
      </x:c>
    </x:row>
    <x:row r="214">
      <x:c r="A214" s="22" t="n">
        <x:v>37036</x:v>
      </x:c>
      <x:c r="B214" s="28" t="n">
        <x:v>202.5</x:v>
      </x:c>
      <x:c r="C214" s="28"/>
      <x:c r="D214" s="31" t="str">
        <x:f>IF(OR(ISBLANK(B214),ISBLANK(C214),B214=0),"",(C214-B214)/B214)</x:f>
      </x:c>
      <x:c r="E214" s="22" t="str">
        <x:f>IF(ISBLANK(C214),"AmountIncludingTax缺失",IF(ABS(B214-C214)&lt;0.005,"一致","不一致"))</x:f>
        <x:v>AmountIncludingTax缺失</x:v>
      </x:c>
      <x:c r="F214" s="19" t="str">
        <x:v>approved</x:v>
      </x:c>
      <x:c r="G214" s="19" t="str">
        <x:v>Sales Order Approved</x:v>
      </x:c>
      <x:c r="H214" s="19" t="str">
        <x:v>In Field</x:v>
      </x:c>
      <x:c r="I214" s="37" t="n">
        <x:v>46204</x:v>
      </x:c>
      <x:c r="J214" s="37" t="n">
        <x:v>46204</x:v>
      </x:c>
      <x:c r="K214" s="19" t="str">
        <x:v>Green RV - Forest Glen</x:v>
      </x:c>
      <x:c r="L214" s="19" t="str">
        <x:v>Z006</x:v>
      </x:c>
      <x:c r="M214" s="19" t="str">
        <x:v>In Field Warranty Claims</x:v>
      </x:c>
      <x:c r="N214" s="37" t="n">
        <x:v>46202</x:v>
      </x:c>
      <x:c r="O214" s="37"/>
      <x:c r="P214" s="34" t="n">
        <x:v>0</x:v>
      </x:c>
      <x:c r="Q214" s="37" t="n">
        <x:v>46204.14975694445</x:v>
      </x:c>
    </x:row>
    <x:row r="215">
      <x:c r="A215" s="22" t="n">
        <x:v>37034</x:v>
      </x:c>
      <x:c r="B215" s="28" t="n">
        <x:v>1597.95</x:v>
      </x:c>
      <x:c r="C215" s="28"/>
      <x:c r="D215" s="31" t="str">
        <x:f>IF(OR(ISBLANK(B215),ISBLANK(C215),B215=0),"",(C215-B215)/B215)</x:f>
      </x:c>
      <x:c r="E215" s="22" t="str">
        <x:f>IF(ISBLANK(C215),"AmountIncludingTax缺失",IF(ABS(B215-C215)&lt;0.005,"一致","不一致"))</x:f>
        <x:v>AmountIncludingTax缺失</x:v>
      </x:c>
      <x:c r="F215" s="19" t="str">
        <x:v>approved</x:v>
      </x:c>
      <x:c r="G215" s="19" t="str">
        <x:v>Repair in Progress</x:v>
      </x:c>
      <x:c r="H215" s="19" t="str">
        <x:v>In Field</x:v>
      </x:c>
      <x:c r="I215" s="37" t="n">
        <x:v>46202</x:v>
      </x:c>
      <x:c r="J215" s="37" t="n">
        <x:v>46202</x:v>
      </x:c>
      <x:c r="K215" s="19" t="str">
        <x:v>CMG Campers - Christchurch</x:v>
      </x:c>
      <x:c r="L215" s="19" t="str">
        <x:v>Z006</x:v>
      </x:c>
      <x:c r="M215" s="19" t="str">
        <x:v>In Field Warranty Claims</x:v>
      </x:c>
      <x:c r="N215" s="37" t="n">
        <x:v>46201</x:v>
      </x:c>
      <x:c r="O215" s="37"/>
      <x:c r="P215" s="34" t="n">
        <x:v>1446.78</x:v>
      </x:c>
      <x:c r="Q215" s="37" t="n">
        <x:v>46202.29516203704</x:v>
      </x:c>
    </x:row>
    <x:row r="216">
      <x:c r="A216" s="22" t="n">
        <x:v>37031</x:v>
      </x:c>
      <x:c r="B216" s="28" t="n">
        <x:v>1996.5</x:v>
      </x:c>
      <x:c r="C216" s="28"/>
      <x:c r="D216" s="31" t="str">
        <x:f>IF(OR(ISBLANK(B216),ISBLANK(C216),B216=0),"",(C216-B216)/B216)</x:f>
      </x:c>
      <x:c r="E216" s="22" t="str">
        <x:f>IF(ISBLANK(C216),"AmountIncludingTax缺失",IF(ABS(B216-C216)&lt;0.005,"一致","不一致"))</x:f>
        <x:v>AmountIncludingTax缺失</x:v>
      </x:c>
      <x:c r="F216" s="19" t="str">
        <x:v>approved</x:v>
      </x:c>
      <x:c r="G216" s="19" t="str">
        <x:v>Sales Order Approved</x:v>
      </x:c>
      <x:c r="H216" s="19" t="str">
        <x:v>In Field</x:v>
      </x:c>
      <x:c r="I216" s="37" t="n">
        <x:v>46209</x:v>
      </x:c>
      <x:c r="J216" s="37" t="n">
        <x:v>46209</x:v>
      </x:c>
      <x:c r="K216" s="19" t="str">
        <x:v>Green RV - Forest Glen</x:v>
      </x:c>
      <x:c r="L216" s="19" t="str">
        <x:v>Z006</x:v>
      </x:c>
      <x:c r="M216" s="19" t="str">
        <x:v>In Field Warranty Claims</x:v>
      </x:c>
      <x:c r="N216" s="37" t="n">
        <x:v>46200</x:v>
      </x:c>
      <x:c r="O216" s="37"/>
      <x:c r="P216" s="34" t="n">
        <x:v>0</x:v>
      </x:c>
      <x:c r="Q216" s="37" t="n">
        <x:v>46209.21666666667</x:v>
      </x:c>
    </x:row>
    <x:row r="217">
      <x:c r="A217" s="22" t="n">
        <x:v>37029</x:v>
      </x:c>
      <x:c r="B217" s="28" t="n">
        <x:v>222.5</x:v>
      </x:c>
      <x:c r="C217" s="28"/>
      <x:c r="D217" s="31" t="str">
        <x:f>IF(OR(ISBLANK(B217),ISBLANK(C217),B217=0),"",(C217-B217)/B217)</x:f>
      </x:c>
      <x:c r="E217" s="22" t="str">
        <x:f>IF(ISBLANK(C217),"AmountIncludingTax缺失",IF(ABS(B217-C217)&lt;0.005,"一致","不一致"))</x:f>
        <x:v>AmountIncludingTax缺失</x:v>
      </x:c>
      <x:c r="F217" s="19" t="str">
        <x:v>approved</x:v>
      </x:c>
      <x:c r="G217" s="19" t="str">
        <x:v>Sales Order Approved</x:v>
      </x:c>
      <x:c r="H217" s="19" t="str">
        <x:v>In Field</x:v>
      </x:c>
      <x:c r="I217" s="37" t="n">
        <x:v>46202</x:v>
      </x:c>
      <x:c r="J217" s="37" t="n">
        <x:v>46202</x:v>
      </x:c>
      <x:c r="K217" s="19" t="str">
        <x:v>Destiny RV - South Australia</x:v>
      </x:c>
      <x:c r="L217" s="19" t="str">
        <x:v>Z006</x:v>
      </x:c>
      <x:c r="M217" s="19" t="str">
        <x:v>In Field Warranty Claims</x:v>
      </x:c>
      <x:c r="N217" s="37" t="n">
        <x:v>46200</x:v>
      </x:c>
      <x:c r="O217" s="37"/>
      <x:c r="P217" s="34" t="n">
        <x:v>0</x:v>
      </x:c>
      <x:c r="Q217" s="37" t="n">
        <x:v>46202.178402777776</x:v>
      </x:c>
    </x:row>
    <x:row r="218">
      <x:c r="A218" s="22" t="n">
        <x:v>37027</x:v>
      </x:c>
      <x:c r="B218" s="28" t="n">
        <x:v>1215</x:v>
      </x:c>
      <x:c r="C218" s="28"/>
      <x:c r="D218" s="31" t="str">
        <x:f>IF(OR(ISBLANK(B218),ISBLANK(C218),B218=0),"",(C218-B218)/B218)</x:f>
      </x:c>
      <x:c r="E218" s="22" t="str">
        <x:f>IF(ISBLANK(C218),"AmountIncludingTax缺失",IF(ABS(B218-C218)&lt;0.005,"一致","不一致"))</x:f>
        <x:v>AmountIncludingTax缺失</x:v>
      </x:c>
      <x:c r="F218" s="19" t="str">
        <x:v>approved</x:v>
      </x:c>
      <x:c r="G218" s="19" t="str">
        <x:v>Sales Order Approved</x:v>
      </x:c>
      <x:c r="H218" s="19" t="str">
        <x:v>In Field</x:v>
      </x:c>
      <x:c r="I218" s="37" t="n">
        <x:v>46204</x:v>
      </x:c>
      <x:c r="J218" s="37" t="n">
        <x:v>46204</x:v>
      </x:c>
      <x:c r="K218" s="19" t="str">
        <x:v>Regent RV - Perth</x:v>
      </x:c>
      <x:c r="L218" s="19" t="str">
        <x:v>Z006</x:v>
      </x:c>
      <x:c r="M218" s="19" t="str">
        <x:v>In Field Warranty Claims</x:v>
      </x:c>
      <x:c r="N218" s="37" t="n">
        <x:v>46199</x:v>
      </x:c>
      <x:c r="O218" s="37" t="n">
        <x:v>46202</x:v>
      </x:c>
      <x:c r="P218" s="34" t="n">
        <x:v>0</x:v>
      </x:c>
      <x:c r="Q218" s="37" t="n">
        <x:v>46204.15678240741</x:v>
      </x:c>
    </x:row>
    <x:row r="219">
      <x:c r="A219" s="22" t="n">
        <x:v>37025</x:v>
      </x:c>
      <x:c r="B219" s="28" t="n">
        <x:v>1100</x:v>
      </x:c>
      <x:c r="C219" s="28"/>
      <x:c r="D219" s="31" t="str">
        <x:f>IF(OR(ISBLANK(B219),ISBLANK(C219),B219=0),"",(C219-B219)/B219)</x:f>
      </x:c>
      <x:c r="E219" s="22" t="str">
        <x:f>IF(ISBLANK(C219),"AmountIncludingTax缺失",IF(ABS(B219-C219)&lt;0.005,"一致","不一致"))</x:f>
        <x:v>AmountIncludingTax缺失</x:v>
      </x:c>
      <x:c r="F219" s="19" t="str">
        <x:v>approved</x:v>
      </x:c>
      <x:c r="G219" s="19" t="str">
        <x:v>Sales Order Approved</x:v>
      </x:c>
      <x:c r="H219" s="19" t="str">
        <x:v>Pre Delivery</x:v>
      </x:c>
      <x:c r="I219" s="37" t="n">
        <x:v>46206</x:v>
      </x:c>
      <x:c r="J219" s="37" t="n">
        <x:v>46206</x:v>
      </x:c>
      <x:c r="K219" s="19" t="str">
        <x:v>QCCC - Gympie</x:v>
      </x:c>
      <x:c r="L219" s="19" t="str">
        <x:v>Z005</x:v>
      </x:c>
      <x:c r="M219" s="19" t="str">
        <x:v>Pre Delivery Warranty Claims</x:v>
      </x:c>
      <x:c r="N219" s="37" t="n">
        <x:v>46199</x:v>
      </x:c>
      <x:c r="O219" s="37"/>
      <x:c r="P219" s="34" t="n">
        <x:v>0</x:v>
      </x:c>
      <x:c r="Q219" s="37" t="n">
        <x:v>46205.94627314815</x:v>
      </x:c>
    </x:row>
    <x:row r="220">
      <x:c r="A220" s="22" t="n">
        <x:v>37024</x:v>
      </x:c>
      <x:c r="B220" s="28" t="n">
        <x:v>280</x:v>
      </x:c>
      <x:c r="C220" s="28"/>
      <x:c r="D220" s="31" t="str">
        <x:f>IF(OR(ISBLANK(B220),ISBLANK(C220),B220=0),"",(C220-B220)/B220)</x:f>
      </x:c>
      <x:c r="E220" s="22" t="str">
        <x:f>IF(ISBLANK(C220),"AmountIncludingTax缺失",IF(ABS(B220-C220)&lt;0.005,"一致","不一致"))</x:f>
        <x:v>AmountIncludingTax缺失</x:v>
      </x:c>
      <x:c r="F220" s="19" t="str">
        <x:v>approved</x:v>
      </x:c>
      <x:c r="G220" s="19" t="str">
        <x:v>Partially Picked</x:v>
      </x:c>
      <x:c r="H220" s="19" t="str">
        <x:v>In Field</x:v>
      </x:c>
      <x:c r="I220" s="37" t="n">
        <x:v>46204</x:v>
      </x:c>
      <x:c r="J220" s="37" t="n">
        <x:v>46204</x:v>
      </x:c>
      <x:c r="K220" s="19" t="str">
        <x:v>Green RV - Forest Glen</x:v>
      </x:c>
      <x:c r="L220" s="19" t="str">
        <x:v>Z006</x:v>
      </x:c>
      <x:c r="M220" s="19" t="str">
        <x:v>In Field Warranty Claims</x:v>
      </x:c>
      <x:c r="N220" s="37" t="n">
        <x:v>46199</x:v>
      </x:c>
      <x:c r="O220" s="37"/>
      <x:c r="P220" s="34" t="n">
        <x:v>0</x:v>
      </x:c>
      <x:c r="Q220" s="37" t="n">
        <x:v>46204.04855324074</x:v>
      </x:c>
    </x:row>
    <x:row r="221">
      <x:c r="A221" s="22" t="n">
        <x:v>37023</x:v>
      </x:c>
      <x:c r="B221" s="28" t="n">
        <x:v>135</x:v>
      </x:c>
      <x:c r="C221" s="28"/>
      <x:c r="D221" s="31" t="str">
        <x:f>IF(OR(ISBLANK(B221),ISBLANK(C221),B221=0),"",(C221-B221)/B221)</x:f>
      </x:c>
      <x:c r="E221" s="22" t="str">
        <x:f>IF(ISBLANK(C221),"AmountIncludingTax缺失",IF(ABS(B221-C221)&lt;0.005,"一致","不一致"))</x:f>
        <x:v>AmountIncludingTax缺失</x:v>
      </x:c>
      <x:c r="F221" s="19" t="str">
        <x:v>approved</x:v>
      </x:c>
      <x:c r="G221" s="19" t="str">
        <x:v>Repair in Progress</x:v>
      </x:c>
      <x:c r="H221" s="19" t="str">
        <x:v>In Field</x:v>
      </x:c>
      <x:c r="I221" s="37" t="n">
        <x:v>46202</x:v>
      </x:c>
      <x:c r="J221" s="37" t="n">
        <x:v>46202</x:v>
      </x:c>
      <x:c r="K221" s="19" t="str">
        <x:v>ABCO Caravans - Boambee Valley</x:v>
      </x:c>
      <x:c r="L221" s="19" t="str">
        <x:v>Z006</x:v>
      </x:c>
      <x:c r="M221" s="19" t="str">
        <x:v>In Field Warranty Claims</x:v>
      </x:c>
      <x:c r="N221" s="37" t="n">
        <x:v>46199</x:v>
      </x:c>
      <x:c r="O221" s="37"/>
      <x:c r="P221" s="34" t="n">
        <x:v>0</x:v>
      </x:c>
      <x:c r="Q221" s="37" t="n">
        <x:v>46202.17888888889</x:v>
      </x:c>
    </x:row>
    <x:row r="222">
      <x:c r="A222" s="22" t="n">
        <x:v>37021</x:v>
      </x:c>
      <x:c r="B222" s="28" t="n">
        <x:v>77.5</x:v>
      </x:c>
      <x:c r="C222" s="28"/>
      <x:c r="D222" s="31" t="str">
        <x:f>IF(OR(ISBLANK(B222),ISBLANK(C222),B222=0),"",(C222-B222)/B222)</x:f>
      </x:c>
      <x:c r="E222" s="22" t="str">
        <x:f>IF(ISBLANK(C222),"AmountIncludingTax缺失",IF(ABS(B222-C222)&lt;0.005,"一致","不一致"))</x:f>
        <x:v>AmountIncludingTax缺失</x:v>
      </x:c>
      <x:c r="F222" s="19" t="str">
        <x:v>approved</x:v>
      </x:c>
      <x:c r="G222" s="19" t="str">
        <x:v>Sales Order Approved</x:v>
      </x:c>
      <x:c r="H222" s="19" t="str">
        <x:v>In Field</x:v>
      </x:c>
      <x:c r="I222" s="37" t="n">
        <x:v>46202</x:v>
      </x:c>
      <x:c r="J222" s="37" t="n">
        <x:v>46202</x:v>
      </x:c>
      <x:c r="K222" s="19" t="str">
        <x:v>Green RV - Slacks Creek</x:v>
      </x:c>
      <x:c r="L222" s="19" t="str">
        <x:v>Z006</x:v>
      </x:c>
      <x:c r="M222" s="19" t="str">
        <x:v>In Field Warranty Claims</x:v>
      </x:c>
      <x:c r="N222" s="37" t="n">
        <x:v>46199</x:v>
      </x:c>
      <x:c r="O222" s="37"/>
      <x:c r="P222" s="34" t="n">
        <x:v>0</x:v>
      </x:c>
      <x:c r="Q222" s="37" t="n">
        <x:v>46202.162824074076</x:v>
      </x:c>
    </x:row>
    <x:row r="223">
      <x:c r="A223" s="22" t="n">
        <x:v>37017</x:v>
      </x:c>
      <x:c r="B223" s="28" t="n">
        <x:v>1302.5</x:v>
      </x:c>
      <x:c r="C223" s="28"/>
      <x:c r="D223" s="31" t="str">
        <x:f>IF(OR(ISBLANK(B223),ISBLANK(C223),B223=0),"",(C223-B223)/B223)</x:f>
      </x:c>
      <x:c r="E223" s="22" t="str">
        <x:f>IF(ISBLANK(C223),"AmountIncludingTax缺失",IF(ABS(B223-C223)&lt;0.005,"一致","不一致"))</x:f>
        <x:v>AmountIncludingTax缺失</x:v>
      </x:c>
      <x:c r="F223" s="19" t="str">
        <x:v>approved</x:v>
      </x:c>
      <x:c r="G223" s="19" t="str">
        <x:v>Sales Order Approved</x:v>
      </x:c>
      <x:c r="H223" s="19" t="str">
        <x:v>Pre Delivery</x:v>
      </x:c>
      <x:c r="I223" s="37" t="n">
        <x:v>46206</x:v>
      </x:c>
      <x:c r="J223" s="37" t="n">
        <x:v>46206</x:v>
      </x:c>
      <x:c r="K223" s="19" t="str">
        <x:v>Snowy River Wangaratta</x:v>
      </x:c>
      <x:c r="L223" s="19" t="str">
        <x:v>Z005</x:v>
      </x:c>
      <x:c r="M223" s="19" t="str">
        <x:v>Pre Delivery Warranty Claims</x:v>
      </x:c>
      <x:c r="N223" s="37" t="n">
        <x:v>46199</x:v>
      </x:c>
      <x:c r="O223" s="37"/>
      <x:c r="P223" s="34" t="n">
        <x:v>0</x:v>
      </x:c>
      <x:c r="Q223" s="37" t="n">
        <x:v>46206.14506944444</x:v>
      </x:c>
    </x:row>
    <x:row r="224">
      <x:c r="A224" s="22" t="n">
        <x:v>37016</x:v>
      </x:c>
      <x:c r="B224" s="28" t="n">
        <x:v>208.75</x:v>
      </x:c>
      <x:c r="C224" s="28"/>
      <x:c r="D224" s="31" t="str">
        <x:f>IF(OR(ISBLANK(B224),ISBLANK(C224),B224=0),"",(C224-B224)/B224)</x:f>
      </x:c>
      <x:c r="E224" s="22" t="str">
        <x:f>IF(ISBLANK(C224),"AmountIncludingTax缺失",IF(ABS(B224-C224)&lt;0.005,"一致","不一致"))</x:f>
        <x:v>AmountIncludingTax缺失</x:v>
      </x:c>
      <x:c r="F224" s="19" t="str">
        <x:v>approved</x:v>
      </x:c>
      <x:c r="G224" s="19" t="str">
        <x:v>Sales Order Approved</x:v>
      </x:c>
      <x:c r="H224" s="19" t="str">
        <x:v>In Field</x:v>
      </x:c>
      <x:c r="I224" s="37" t="n">
        <x:v>46202</x:v>
      </x:c>
      <x:c r="J224" s="37" t="n">
        <x:v>46202</x:v>
      </x:c>
      <x:c r="K224" s="19" t="str">
        <x:v>Destiny RV - South Australia</x:v>
      </x:c>
      <x:c r="L224" s="19" t="str">
        <x:v>Z006</x:v>
      </x:c>
      <x:c r="M224" s="19" t="str">
        <x:v>In Field Warranty Claims</x:v>
      </x:c>
      <x:c r="N224" s="37" t="n">
        <x:v>46199</x:v>
      </x:c>
      <x:c r="O224" s="37"/>
      <x:c r="P224" s="34" t="n">
        <x:v>0</x:v>
      </x:c>
      <x:c r="Q224" s="37" t="n">
        <x:v>46202.166550925926</x:v>
      </x:c>
    </x:row>
    <x:row r="225">
      <x:c r="A225" s="22" t="n">
        <x:v>37015</x:v>
      </x:c>
      <x:c r="B225" s="28" t="n">
        <x:v>135</x:v>
      </x:c>
      <x:c r="C225" s="28"/>
      <x:c r="D225" s="31" t="str">
        <x:f>IF(OR(ISBLANK(B225),ISBLANK(C225),B225=0),"",(C225-B225)/B225)</x:f>
      </x:c>
      <x:c r="E225" s="22" t="str">
        <x:f>IF(ISBLANK(C225),"AmountIncludingTax缺失",IF(ABS(B225-C225)&lt;0.005,"一致","不一致"))</x:f>
        <x:v>AmountIncludingTax缺失</x:v>
      </x:c>
      <x:c r="F225" s="19" t="str">
        <x:v>approved</x:v>
      </x:c>
      <x:c r="G225" s="19" t="str">
        <x:v>Sales Order Approved</x:v>
      </x:c>
      <x:c r="H225" s="19" t="str">
        <x:v>In Field</x:v>
      </x:c>
      <x:c r="I225" s="37" t="n">
        <x:v>46203</x:v>
      </x:c>
      <x:c r="J225" s="37" t="n">
        <x:v>46203</x:v>
      </x:c>
      <x:c r="K225" s="19" t="str">
        <x:v>Leisure Lion - Bundaberg</x:v>
      </x:c>
      <x:c r="L225" s="19" t="str">
        <x:v>Z006</x:v>
      </x:c>
      <x:c r="M225" s="19" t="str">
        <x:v>In Field Warranty Claims</x:v>
      </x:c>
      <x:c r="N225" s="37" t="n">
        <x:v>46199</x:v>
      </x:c>
      <x:c r="O225" s="37"/>
      <x:c r="P225" s="34" t="n">
        <x:v>0</x:v>
      </x:c>
      <x:c r="Q225" s="37" t="n">
        <x:v>46203.18493055556</x:v>
      </x:c>
    </x:row>
    <x:row r="226">
      <x:c r="A226" s="22" t="n">
        <x:v>37014</x:v>
      </x:c>
      <x:c r="B226" s="28" t="n">
        <x:v>1652.5</x:v>
      </x:c>
      <x:c r="C226" s="28"/>
      <x:c r="D226" s="31" t="str">
        <x:f>IF(OR(ISBLANK(B226),ISBLANK(C226),B226=0),"",(C226-B226)/B226)</x:f>
      </x:c>
      <x:c r="E226" s="22" t="str">
        <x:f>IF(ISBLANK(C226),"AmountIncludingTax缺失",IF(ABS(B226-C226)&lt;0.005,"一致","不一致"))</x:f>
        <x:v>AmountIncludingTax缺失</x:v>
      </x:c>
      <x:c r="F226" s="19" t="str">
        <x:v>approved</x:v>
      </x:c>
      <x:c r="G226" s="19" t="str">
        <x:v>Repairer Invoiced Processed</x:v>
      </x:c>
      <x:c r="H226" s="19" t="str">
        <x:v>Pre Delivery</x:v>
      </x:c>
      <x:c r="I226" s="37" t="n">
        <x:v>46204</x:v>
      </x:c>
      <x:c r="J226" s="37" t="n">
        <x:v>46204</x:v>
      </x:c>
      <x:c r="K226" s="19" t="str">
        <x:v>Leisure Lion - Bundaberg</x:v>
      </x:c>
      <x:c r="L226" s="19" t="str">
        <x:v>Z005</x:v>
      </x:c>
      <x:c r="M226" s="19" t="str">
        <x:v>Pre Delivery Warranty Claims</x:v>
      </x:c>
      <x:c r="N226" s="37" t="n">
        <x:v>46199</x:v>
      </x:c>
      <x:c r="O226" s="37"/>
      <x:c r="P226" s="34" t="n">
        <x:v>0</x:v>
      </x:c>
      <x:c r="Q226" s="37" t="n">
        <x:v>46204.25142361111</x:v>
      </x:c>
    </x:row>
    <x:row r="227">
      <x:c r="A227" s="22" t="n">
        <x:v>37013</x:v>
      </x:c>
      <x:c r="B227" s="28" t="n">
        <x:v>1918.45</x:v>
      </x:c>
      <x:c r="C227" s="28"/>
      <x:c r="D227" s="31" t="str">
        <x:f>IF(OR(ISBLANK(B227),ISBLANK(C227),B227=0),"",(C227-B227)/B227)</x:f>
      </x:c>
      <x:c r="E227" s="22" t="str">
        <x:f>IF(ISBLANK(C227),"AmountIncludingTax缺失",IF(ABS(B227-C227)&lt;0.005,"一致","不一致"))</x:f>
        <x:v>AmountIncludingTax缺失</x:v>
      </x:c>
      <x:c r="F227" s="19" t="str">
        <x:v>approved</x:v>
      </x:c>
      <x:c r="G227" s="19" t="str">
        <x:v>Repair in Progress</x:v>
      </x:c>
      <x:c r="H227" s="19" t="str">
        <x:v>In Field</x:v>
      </x:c>
      <x:c r="I227" s="37" t="n">
        <x:v>46202</x:v>
      </x:c>
      <x:c r="J227" s="37" t="n">
        <x:v>46202</x:v>
      </x:c>
      <x:c r="K227" s="19" t="str">
        <x:v>Vanari Caravans - Marden Point</x:v>
      </x:c>
      <x:c r="L227" s="19" t="str">
        <x:v>Z006</x:v>
      </x:c>
      <x:c r="M227" s="19" t="str">
        <x:v>In Field Warranty Claims</x:v>
      </x:c>
      <x:c r="N227" s="37" t="n">
        <x:v>46199</x:v>
      </x:c>
      <x:c r="O227" s="37"/>
      <x:c r="P227" s="34" t="n">
        <x:v>1736.96</x:v>
      </x:c>
      <x:c r="Q227" s="37" t="n">
        <x:v>46202.294803240744</x:v>
      </x:c>
    </x:row>
    <x:row r="228">
      <x:c r="A228" s="22" t="n">
        <x:v>37012</x:v>
      </x:c>
      <x:c r="B228" s="28" t="n">
        <x:v>1961.24</x:v>
      </x:c>
      <x:c r="C228" s="28"/>
      <x:c r="D228" s="31" t="str">
        <x:f>IF(OR(ISBLANK(B228),ISBLANK(C228),B228=0),"",(C228-B228)/B228)</x:f>
      </x:c>
      <x:c r="E228" s="22" t="str">
        <x:f>IF(ISBLANK(C228),"AmountIncludingTax缺失",IF(ABS(B228-C228)&lt;0.005,"一致","不一致"))</x:f>
        <x:v>AmountIncludingTax缺失</x:v>
      </x:c>
      <x:c r="F228" s="19" t="str">
        <x:v>approved</x:v>
      </x:c>
      <x:c r="G228" s="19" t="str">
        <x:v>Repair in Progress</x:v>
      </x:c>
      <x:c r="H228" s="19" t="str">
        <x:v>In Field</x:v>
      </x:c>
      <x:c r="I228" s="37" t="n">
        <x:v>46203</x:v>
      </x:c>
      <x:c r="J228" s="37" t="n">
        <x:v>46203</x:v>
      </x:c>
      <x:c r="K228" s="19" t="str">
        <x:v>The Caravan Hub - Townsville</x:v>
      </x:c>
      <x:c r="L228" s="19" t="str">
        <x:v>Z006</x:v>
      </x:c>
      <x:c r="M228" s="19" t="str">
        <x:v>In Field Warranty Claims</x:v>
      </x:c>
      <x:c r="N228" s="37" t="n">
        <x:v>46199</x:v>
      </x:c>
      <x:c r="O228" s="37"/>
      <x:c r="P228" s="34" t="n">
        <x:v>2157.36</x:v>
      </x:c>
      <x:c r="Q228" s="37" t="n">
        <x:v>46202.970613425925</x:v>
      </x:c>
    </x:row>
    <x:row r="229">
      <x:c r="A229" s="22" t="n">
        <x:v>37011</x:v>
      </x:c>
      <x:c r="B229" s="28" t="n">
        <x:v>270</x:v>
      </x:c>
      <x:c r="C229" s="28"/>
      <x:c r="D229" s="31" t="str">
        <x:f>IF(OR(ISBLANK(B229),ISBLANK(C229),B229=0),"",(C229-B229)/B229)</x:f>
      </x:c>
      <x:c r="E229" s="22" t="str">
        <x:f>IF(ISBLANK(C229),"AmountIncludingTax缺失",IF(ABS(B229-C229)&lt;0.005,"一致","不一致"))</x:f>
        <x:v>AmountIncludingTax缺失</x:v>
      </x:c>
      <x:c r="F229" s="19" t="str">
        <x:v>approved</x:v>
      </x:c>
      <x:c r="G229" s="19" t="str">
        <x:v>Sales Order Approved</x:v>
      </x:c>
      <x:c r="H229" s="19" t="str">
        <x:v>In Field</x:v>
      </x:c>
      <x:c r="I229" s="37" t="n">
        <x:v>46202</x:v>
      </x:c>
      <x:c r="J229" s="37" t="n">
        <x:v>46202</x:v>
      </x:c>
      <x:c r="K229" s="19" t="str">
        <x:v>Green RV - Slacks Creek</x:v>
      </x:c>
      <x:c r="L229" s="19" t="str">
        <x:v>Z006</x:v>
      </x:c>
      <x:c r="M229" s="19" t="str">
        <x:v>In Field Warranty Claims</x:v>
      </x:c>
      <x:c r="N229" s="37" t="n">
        <x:v>46199</x:v>
      </x:c>
      <x:c r="O229" s="37"/>
      <x:c r="P229" s="34" t="n">
        <x:v>0</x:v>
      </x:c>
      <x:c r="Q229" s="37" t="n">
        <x:v>46202.15488425926</x:v>
      </x:c>
    </x:row>
    <x:row r="230">
      <x:c r="A230" s="22" t="n">
        <x:v>37010</x:v>
      </x:c>
      <x:c r="B230" s="28" t="n">
        <x:v>145</x:v>
      </x:c>
      <x:c r="C230" s="28"/>
      <x:c r="D230" s="31" t="str">
        <x:f>IF(OR(ISBLANK(B230),ISBLANK(C230),B230=0),"",(C230-B230)/B230)</x:f>
      </x:c>
      <x:c r="E230" s="22" t="str">
        <x:f>IF(ISBLANK(C230),"AmountIncludingTax缺失",IF(ABS(B230-C230)&lt;0.005,"一致","不一致"))</x:f>
        <x:v>AmountIncludingTax缺失</x:v>
      </x:c>
      <x:c r="F230" s="19" t="str">
        <x:v>approved</x:v>
      </x:c>
      <x:c r="G230" s="19" t="str">
        <x:v>Repairer Invoiced Processed</x:v>
      </x:c>
      <x:c r="H230" s="19" t="str">
        <x:v>In Field</x:v>
      </x:c>
      <x:c r="I230" s="37" t="n">
        <x:v>46202</x:v>
      </x:c>
      <x:c r="J230" s="37" t="n">
        <x:v>46202</x:v>
      </x:c>
      <x:c r="K230" s="19" t="str">
        <x:v>Green RV - Forest Glen</x:v>
      </x:c>
      <x:c r="L230" s="19" t="str">
        <x:v>Z006</x:v>
      </x:c>
      <x:c r="M230" s="19" t="str">
        <x:v>In Field Warranty Claims</x:v>
      </x:c>
      <x:c r="N230" s="37" t="n">
        <x:v>46199</x:v>
      </x:c>
      <x:c r="O230" s="37"/>
      <x:c r="P230" s="34" t="n">
        <x:v>0</x:v>
      </x:c>
      <x:c r="Q230" s="37" t="n">
        <x:v>46202.22440972222</x:v>
      </x:c>
    </x:row>
    <x:row r="231">
      <x:c r="A231" s="22" t="n">
        <x:v>37009</x:v>
      </x:c>
      <x:c r="B231" s="28" t="n">
        <x:v>2940.5</x:v>
      </x:c>
      <x:c r="C231" s="28"/>
      <x:c r="D231" s="31" t="str">
        <x:f>IF(OR(ISBLANK(B231),ISBLANK(C231),B231=0),"",(C231-B231)/B231)</x:f>
      </x:c>
      <x:c r="E231" s="22" t="str">
        <x:f>IF(ISBLANK(C231),"AmountIncludingTax缺失",IF(ABS(B231-C231)&lt;0.005,"一致","不一致"))</x:f>
        <x:v>AmountIncludingTax缺失</x:v>
      </x:c>
      <x:c r="F231" s="19" t="str">
        <x:v>approved</x:v>
      </x:c>
      <x:c r="G231" s="19" t="str">
        <x:v>Repair in Progress</x:v>
      </x:c>
      <x:c r="H231" s="19" t="str">
        <x:v>In Field</x:v>
      </x:c>
      <x:c r="I231" s="37" t="n">
        <x:v>46203</x:v>
      </x:c>
      <x:c r="J231" s="37" t="n">
        <x:v>46203</x:v>
      </x:c>
      <x:c r="K231" s="19" t="str">
        <x:v>Green RV - Forest Glen</x:v>
      </x:c>
      <x:c r="L231" s="19" t="str">
        <x:v>Z006</x:v>
      </x:c>
      <x:c r="M231" s="19" t="str">
        <x:v>In Field Warranty Claims</x:v>
      </x:c>
      <x:c r="N231" s="37" t="n">
        <x:v>46199</x:v>
      </x:c>
      <x:c r="O231" s="37"/>
      <x:c r="P231" s="34" t="n">
        <x:v>3234.55</x:v>
      </x:c>
      <x:c r="Q231" s="37" t="n">
        <x:v>46203.09615740741</x:v>
      </x:c>
    </x:row>
    <x:row r="232">
      <x:c r="A232" s="22" t="n">
        <x:v>37008</x:v>
      </x:c>
      <x:c r="B232" s="28" t="n">
        <x:v>33.75</x:v>
      </x:c>
      <x:c r="C232" s="28" t="n">
        <x:v>37.13</x:v>
      </x:c>
      <x:c r="D232" s="31" t="n">
        <x:f>IF(OR(ISBLANK(B232),ISBLANK(C232),B232=0),"",(C232-B232)/B232)</x:f>
        <x:v>0.10014814814814822</x:v>
      </x:c>
      <x:c r="E232" s="22" t="str">
        <x:f>IF(ISBLANK(C232),"AmountIncludingTax缺失",IF(ABS(B232-C232)&lt;0.005,"一致","不一致"))</x:f>
        <x:v>不一致</x:v>
      </x:c>
      <x:c r="F232" s="19" t="str">
        <x:v>approved</x:v>
      </x:c>
      <x:c r="G232" s="19" t="str">
        <x:v>Repair in Progress</x:v>
      </x:c>
      <x:c r="H232" s="19" t="str">
        <x:v>Pre Delivery</x:v>
      </x:c>
      <x:c r="I232" s="37" t="n">
        <x:v>46206</x:v>
      </x:c>
      <x:c r="J232" s="37" t="n">
        <x:v>46206</x:v>
      </x:c>
      <x:c r="K232" s="19" t="str">
        <x:v>Snowy River Launceston</x:v>
      </x:c>
      <x:c r="L232" s="19" t="str">
        <x:v>Z005</x:v>
      </x:c>
      <x:c r="M232" s="19" t="str">
        <x:v>Pre Delivery Warranty Claims</x:v>
      </x:c>
      <x:c r="N232" s="37" t="n">
        <x:v>46199</x:v>
      </x:c>
      <x:c r="O232" s="37"/>
      <x:c r="P232" s="34" t="n">
        <x:v>37.13</x:v>
      </x:c>
      <x:c r="Q232" s="37" t="n">
        <x:v>46206.01938657407</x:v>
      </x:c>
    </x:row>
    <x:row r="233">
      <x:c r="A233" s="22" t="n">
        <x:v>37006</x:v>
      </x:c>
      <x:c r="B233" s="28" t="n">
        <x:v>202.5</x:v>
      </x:c>
      <x:c r="C233" s="28"/>
      <x:c r="D233" s="31" t="str">
        <x:f>IF(OR(ISBLANK(B233),ISBLANK(C233),B233=0),"",(C233-B233)/B233)</x:f>
      </x:c>
      <x:c r="E233" s="22" t="str">
        <x:f>IF(ISBLANK(C233),"AmountIncludingTax缺失",IF(ABS(B233-C233)&lt;0.005,"一致","不一致"))</x:f>
        <x:v>AmountIncludingTax缺失</x:v>
      </x:c>
      <x:c r="F233" s="19" t="str">
        <x:v>approved</x:v>
      </x:c>
      <x:c r="G233" s="19" t="str">
        <x:v>Sales Order Approved</x:v>
      </x:c>
      <x:c r="H233" s="19" t="str">
        <x:v>Pre Delivery</x:v>
      </x:c>
      <x:c r="I233" s="37" t="n">
        <x:v>46205</x:v>
      </x:c>
      <x:c r="J233" s="37" t="n">
        <x:v>46205</x:v>
      </x:c>
      <x:c r="K233" s="19" t="str">
        <x:v>Green RV - Slacks Creek</x:v>
      </x:c>
      <x:c r="L233" s="19" t="str">
        <x:v>Z005</x:v>
      </x:c>
      <x:c r="M233" s="19" t="str">
        <x:v>Pre Delivery Warranty Claims</x:v>
      </x:c>
      <x:c r="N233" s="37" t="n">
        <x:v>46199</x:v>
      </x:c>
      <x:c r="O233" s="37"/>
      <x:c r="P233" s="34" t="n">
        <x:v>0</x:v>
      </x:c>
      <x:c r="Q233" s="37" t="n">
        <x:v>46205.11875</x:v>
      </x:c>
    </x:row>
    <x:row r="234">
      <x:c r="A234" s="22" t="n">
        <x:v>37003</x:v>
      </x:c>
      <x:c r="B234" s="28" t="n">
        <x:v>38.75</x:v>
      </x:c>
      <x:c r="C234" s="28"/>
      <x:c r="D234" s="31" t="str">
        <x:f>IF(OR(ISBLANK(B234),ISBLANK(C234),B234=0),"",(C234-B234)/B234)</x:f>
      </x:c>
      <x:c r="E234" s="22" t="str">
        <x:f>IF(ISBLANK(C234),"AmountIncludingTax缺失",IF(ABS(B234-C234)&lt;0.005,"一致","不一致"))</x:f>
        <x:v>AmountIncludingTax缺失</x:v>
      </x:c>
      <x:c r="F234" s="19" t="str">
        <x:v>approved</x:v>
      </x:c>
      <x:c r="G234" s="19" t="str">
        <x:v>Sales Order Approved</x:v>
      </x:c>
      <x:c r="H234" s="19" t="str">
        <x:v>Pre Delivery</x:v>
      </x:c>
      <x:c r="I234" s="37" t="n">
        <x:v>46204</x:v>
      </x:c>
      <x:c r="J234" s="37" t="n">
        <x:v>46204</x:v>
      </x:c>
      <x:c r="K234" s="19" t="str">
        <x:v>Regent RV - Perth</x:v>
      </x:c>
      <x:c r="L234" s="19" t="str">
        <x:v>Z005</x:v>
      </x:c>
      <x:c r="M234" s="19" t="str">
        <x:v>Pre Delivery Warranty Claims</x:v>
      </x:c>
      <x:c r="N234" s="37" t="n">
        <x:v>46199</x:v>
      </x:c>
      <x:c r="O234" s="37"/>
      <x:c r="P234" s="34" t="n">
        <x:v>0</x:v>
      </x:c>
      <x:c r="Q234" s="37" t="n">
        <x:v>46204.236712962964</x:v>
      </x:c>
    </x:row>
    <x:row r="235">
      <x:c r="A235" s="22" t="n">
        <x:v>37001</x:v>
      </x:c>
      <x:c r="B235" s="28" t="n">
        <x:v>38.75</x:v>
      </x:c>
      <x:c r="C235" s="28"/>
      <x:c r="D235" s="31" t="str">
        <x:f>IF(OR(ISBLANK(B235),ISBLANK(C235),B235=0),"",(C235-B235)/B235)</x:f>
      </x:c>
      <x:c r="E235" s="22" t="str">
        <x:f>IF(ISBLANK(C235),"AmountIncludingTax缺失",IF(ABS(B235-C235)&lt;0.005,"一致","不一致"))</x:f>
        <x:v>AmountIncludingTax缺失</x:v>
      </x:c>
      <x:c r="F235" s="19" t="str">
        <x:v>approved</x:v>
      </x:c>
      <x:c r="G235" s="19" t="str">
        <x:v>Sales Order Approved</x:v>
      </x:c>
      <x:c r="H235" s="19" t="str">
        <x:v>Pre Delivery</x:v>
      </x:c>
      <x:c r="I235" s="37" t="n">
        <x:v>46204</x:v>
      </x:c>
      <x:c r="J235" s="37" t="n">
        <x:v>46204</x:v>
      </x:c>
      <x:c r="K235" s="19" t="str">
        <x:v>Regent RV - Perth</x:v>
      </x:c>
      <x:c r="L235" s="19" t="str">
        <x:v>Z005</x:v>
      </x:c>
      <x:c r="M235" s="19" t="str">
        <x:v>Pre Delivery Warranty Claims</x:v>
      </x:c>
      <x:c r="N235" s="37" t="n">
        <x:v>46199</x:v>
      </x:c>
      <x:c r="O235" s="37"/>
      <x:c r="P235" s="34" t="n">
        <x:v>0</x:v>
      </x:c>
      <x:c r="Q235" s="37" t="n">
        <x:v>46204.234502314815</x:v>
      </x:c>
    </x:row>
    <x:row r="236">
      <x:c r="A236" s="22" t="n">
        <x:v>36997</x:v>
      </x:c>
      <x:c r="B236" s="28" t="n">
        <x:v>320</x:v>
      </x:c>
      <x:c r="C236" s="28" t="n">
        <x:v>352</x:v>
      </x:c>
      <x:c r="D236" s="31" t="n">
        <x:f>IF(OR(ISBLANK(B236),ISBLANK(C236),B236=0),"",(C236-B236)/B236)</x:f>
        <x:v>0.1</x:v>
      </x:c>
      <x:c r="E236" s="22" t="str">
        <x:f>IF(ISBLANK(C236),"AmountIncludingTax缺失",IF(ABS(B236-C236)&lt;0.005,"一致","不一致"))</x:f>
        <x:v>不一致</x:v>
      </x:c>
      <x:c r="F236" s="19" t="str">
        <x:v>approved</x:v>
      </x:c>
      <x:c r="G236" s="19" t="str">
        <x:v>Repairer Invoiced Processed</x:v>
      </x:c>
      <x:c r="H236" s="19" t="str">
        <x:v>In Field</x:v>
      </x:c>
      <x:c r="I236" s="37" t="n">
        <x:v>46204</x:v>
      </x:c>
      <x:c r="J236" s="37" t="n">
        <x:v>46204</x:v>
      </x:c>
      <x:c r="K236" s="19" t="str">
        <x:v>Green RV - Slacks Creek</x:v>
      </x:c>
      <x:c r="L236" s="19" t="str">
        <x:v>Z006</x:v>
      </x:c>
      <x:c r="M236" s="19" t="str">
        <x:v>In Field Warranty Claims</x:v>
      </x:c>
      <x:c r="N236" s="37" t="n">
        <x:v>46201</x:v>
      </x:c>
      <x:c r="O236" s="37"/>
      <x:c r="P236" s="34" t="n">
        <x:v>352</x:v>
      </x:c>
      <x:c r="Q236" s="37" t="n">
        <x:v>46203.891122685185</x:v>
      </x:c>
    </x:row>
    <x:row r="237">
      <x:c r="A237" s="22" t="n">
        <x:v>36991</x:v>
      </x:c>
      <x:c r="B237" s="28" t="n">
        <x:v>3333</x:v>
      </x:c>
      <x:c r="C237" s="28"/>
      <x:c r="D237" s="31" t="str">
        <x:f>IF(OR(ISBLANK(B237),ISBLANK(C237),B237=0),"",(C237-B237)/B237)</x:f>
      </x:c>
      <x:c r="E237" s="22" t="str">
        <x:f>IF(ISBLANK(C237),"AmountIncludingTax缺失",IF(ABS(B237-C237)&lt;0.005,"一致","不一致"))</x:f>
        <x:v>AmountIncludingTax缺失</x:v>
      </x:c>
      <x:c r="F237" s="19" t="str">
        <x:v>approved</x:v>
      </x:c>
      <x:c r="G237" s="19" t="str">
        <x:v>Repair in Progress</x:v>
      </x:c>
      <x:c r="H237" s="19" t="str">
        <x:v>In Field</x:v>
      </x:c>
      <x:c r="I237" s="37" t="n">
        <x:v>46206</x:v>
      </x:c>
      <x:c r="J237" s="37" t="n">
        <x:v>46206</x:v>
      </x:c>
      <x:c r="K237" s="19" t="str">
        <x:v>Regent RV - Perth</x:v>
      </x:c>
      <x:c r="L237" s="19" t="str">
        <x:v>Z006</x:v>
      </x:c>
      <x:c r="M237" s="19" t="str">
        <x:v>In Field Warranty Claims</x:v>
      </x:c>
      <x:c r="N237" s="37" t="n">
        <x:v>46199</x:v>
      </x:c>
      <x:c r="O237" s="37"/>
      <x:c r="P237" s="34" t="n">
        <x:v>3666.3</x:v>
      </x:c>
      <x:c r="Q237" s="37" t="n">
        <x:v>46206.24880787037</x:v>
      </x:c>
    </x:row>
    <x:row r="238">
      <x:c r="A238" s="22" t="n">
        <x:v>36988</x:v>
      </x:c>
      <x:c r="B238" s="28" t="n">
        <x:v>890</x:v>
      </x:c>
      <x:c r="C238" s="28"/>
      <x:c r="D238" s="31" t="str">
        <x:f>IF(OR(ISBLANK(B238),ISBLANK(C238),B238=0),"",(C238-B238)/B238)</x:f>
      </x:c>
      <x:c r="E238" s="22" t="str">
        <x:f>IF(ISBLANK(C238),"AmountIncludingTax缺失",IF(ABS(B238-C238)&lt;0.005,"一致","不一致"))</x:f>
        <x:v>AmountIncludingTax缺失</x:v>
      </x:c>
      <x:c r="F238" s="19" t="str">
        <x:v>approved</x:v>
      </x:c>
      <x:c r="G238" s="19" t="str">
        <x:v>Sales Order Approved</x:v>
      </x:c>
      <x:c r="H238" s="19" t="str">
        <x:v>In Field</x:v>
      </x:c>
      <x:c r="I238" s="37" t="n">
        <x:v>46202</x:v>
      </x:c>
      <x:c r="J238" s="37" t="n">
        <x:v>46202</x:v>
      </x:c>
      <x:c r="K238" s="19" t="str">
        <x:v>Regent RV - Townsville</x:v>
      </x:c>
      <x:c r="L238" s="19" t="str">
        <x:v>Z006</x:v>
      </x:c>
      <x:c r="M238" s="19" t="str">
        <x:v>In Field Warranty Claims</x:v>
      </x:c>
      <x:c r="N238" s="37" t="n">
        <x:v>46199</x:v>
      </x:c>
      <x:c r="O238" s="37"/>
      <x:c r="P238" s="34" t="n">
        <x:v>0</x:v>
      </x:c>
      <x:c r="Q238" s="37" t="n">
        <x:v>46202.28822916667</x:v>
      </x:c>
    </x:row>
    <x:row r="239">
      <x:c r="A239" s="22" t="n">
        <x:v>36987</x:v>
      </x:c>
      <x:c r="B239" s="28" t="n">
        <x:v>591.1</x:v>
      </x:c>
      <x:c r="C239" s="28" t="n">
        <x:v>535.18</x:v>
      </x:c>
      <x:c r="D239" s="31" t="n">
        <x:f>IF(OR(ISBLANK(B239),ISBLANK(C239),B239=0),"",(C239-B239)/B239)</x:f>
        <x:v>-0.09460328201657937</x:v>
      </x:c>
      <x:c r="E239" s="22" t="str">
        <x:f>IF(ISBLANK(C239),"AmountIncludingTax缺失",IF(ABS(B239-C239)&lt;0.005,"一致","不一致"))</x:f>
        <x:v>不一致</x:v>
      </x:c>
      <x:c r="F239" s="19" t="str">
        <x:v>approved</x:v>
      </x:c>
      <x:c r="G239" s="19" t="str">
        <x:v>Repairer Invoiced Processed</x:v>
      </x:c>
      <x:c r="H239" s="19" t="str">
        <x:v>In Field</x:v>
      </x:c>
      <x:c r="I239" s="37" t="n">
        <x:v>46202</x:v>
      </x:c>
      <x:c r="J239" s="37" t="n">
        <x:v>46202</x:v>
      </x:c>
      <x:c r="K239" s="19" t="str">
        <x:v>Vanari Caravans - Marden Point</x:v>
      </x:c>
      <x:c r="L239" s="19" t="str">
        <x:v>Z006</x:v>
      </x:c>
      <x:c r="M239" s="19" t="str">
        <x:v>In Field Warranty Claims</x:v>
      </x:c>
      <x:c r="N239" s="37" t="n">
        <x:v>46199</x:v>
      </x:c>
      <x:c r="O239" s="37"/>
      <x:c r="P239" s="34" t="n">
        <x:v>535.18</x:v>
      </x:c>
      <x:c r="Q239" s="37" t="n">
        <x:v>46202.19217592593</x:v>
      </x:c>
    </x:row>
    <x:row r="240">
      <x:c r="A240" s="22" t="n">
        <x:v>36986</x:v>
      </x:c>
      <x:c r="B240" s="28" t="n">
        <x:v>222.5</x:v>
      </x:c>
      <x:c r="C240" s="28"/>
      <x:c r="D240" s="31" t="str">
        <x:f>IF(OR(ISBLANK(B240),ISBLANK(C240),B240=0),"",(C240-B240)/B240)</x:f>
      </x:c>
      <x:c r="E240" s="22" t="str">
        <x:f>IF(ISBLANK(C240),"AmountIncludingTax缺失",IF(ABS(B240-C240)&lt;0.005,"一致","不一致"))</x:f>
        <x:v>AmountIncludingTax缺失</x:v>
      </x:c>
      <x:c r="F240" s="19" t="str">
        <x:v>approved</x:v>
      </x:c>
      <x:c r="G240" s="19" t="str">
        <x:v>Sales Order Approved</x:v>
      </x:c>
      <x:c r="H240" s="19" t="str">
        <x:v>In Field</x:v>
      </x:c>
      <x:c r="I240" s="37" t="n">
        <x:v>46202</x:v>
      </x:c>
      <x:c r="J240" s="37" t="n">
        <x:v>46202</x:v>
      </x:c>
      <x:c r="K240" s="19" t="str">
        <x:v>Regent RV - Townsville</x:v>
      </x:c>
      <x:c r="L240" s="19" t="str">
        <x:v>Z006</x:v>
      </x:c>
      <x:c r="M240" s="19" t="str">
        <x:v>In Field Warranty Claims</x:v>
      </x:c>
      <x:c r="N240" s="37" t="n">
        <x:v>46199</x:v>
      </x:c>
      <x:c r="O240" s="37"/>
      <x:c r="P240" s="34" t="n">
        <x:v>0</x:v>
      </x:c>
      <x:c r="Q240" s="37" t="n">
        <x:v>46202.28755787037</x:v>
      </x:c>
    </x:row>
    <x:row r="241">
      <x:c r="A241" s="22" t="n">
        <x:v>36984</x:v>
      </x:c>
      <x:c r="B241" s="28" t="n">
        <x:v>2405.25</x:v>
      </x:c>
      <x:c r="C241" s="28"/>
      <x:c r="D241" s="31" t="str">
        <x:f>IF(OR(ISBLANK(B241),ISBLANK(C241),B241=0),"",(C241-B241)/B241)</x:f>
      </x:c>
      <x:c r="E241" s="22" t="str">
        <x:f>IF(ISBLANK(C241),"AmountIncludingTax缺失",IF(ABS(B241-C241)&lt;0.005,"一致","不一致"))</x:f>
        <x:v>AmountIncludingTax缺失</x:v>
      </x:c>
      <x:c r="F241" s="19" t="str">
        <x:v>approved</x:v>
      </x:c>
      <x:c r="G241" s="19" t="str">
        <x:v>Repairer Invoiced Processed</x:v>
      </x:c>
      <x:c r="H241" s="19" t="str">
        <x:v>In Field</x:v>
      </x:c>
      <x:c r="I241" s="37" t="n">
        <x:v>46202</x:v>
      </x:c>
      <x:c r="J241" s="37" t="n">
        <x:v>46202</x:v>
      </x:c>
      <x:c r="K241" s="19" t="str">
        <x:v>Vanari Caravans - Marden Point</x:v>
      </x:c>
      <x:c r="L241" s="19" t="str">
        <x:v>Z006</x:v>
      </x:c>
      <x:c r="M241" s="19" t="str">
        <x:v>In Field Warranty Claims</x:v>
      </x:c>
      <x:c r="N241" s="37" t="n">
        <x:v>46198</x:v>
      </x:c>
      <x:c r="O241" s="37"/>
      <x:c r="P241" s="34" t="n">
        <x:v>2177.71</x:v>
      </x:c>
      <x:c r="Q241" s="37" t="n">
        <x:v>46202.18375</x:v>
      </x:c>
    </x:row>
    <x:row r="242">
      <x:c r="A242" s="22" t="n">
        <x:v>36983</x:v>
      </x:c>
      <x:c r="B242" s="28" t="n">
        <x:v>671.4</x:v>
      </x:c>
      <x:c r="C242" s="28" t="n">
        <x:v>607.89</x:v>
      </x:c>
      <x:c r="D242" s="31" t="n">
        <x:f>IF(OR(ISBLANK(B242),ISBLANK(C242),B242=0),"",(C242-B242)/B242)</x:f>
        <x:v>-0.09459338695263628</x:v>
      </x:c>
      <x:c r="E242" s="22" t="str">
        <x:f>IF(ISBLANK(C242),"AmountIncludingTax缺失",IF(ABS(B242-C242)&lt;0.005,"一致","不一致"))</x:f>
        <x:v>不一致</x:v>
      </x:c>
      <x:c r="F242" s="19" t="str">
        <x:v>approved</x:v>
      </x:c>
      <x:c r="G242" s="19" t="str">
        <x:v>Repairer Invoiced Processed</x:v>
      </x:c>
      <x:c r="H242" s="19" t="str">
        <x:v>In Field</x:v>
      </x:c>
      <x:c r="I242" s="37" t="n">
        <x:v>46203</x:v>
      </x:c>
      <x:c r="J242" s="37" t="n">
        <x:v>46203</x:v>
      </x:c>
      <x:c r="K242" s="19" t="str">
        <x:v>Vanari Caravans - Marden Point</x:v>
      </x:c>
      <x:c r="L242" s="19" t="str">
        <x:v>Z006</x:v>
      </x:c>
      <x:c r="M242" s="19" t="str">
        <x:v>In Field Warranty Claims</x:v>
      </x:c>
      <x:c r="N242" s="37" t="n">
        <x:v>46198</x:v>
      </x:c>
      <x:c r="O242" s="37"/>
      <x:c r="P242" s="34" t="n">
        <x:v>607.89</x:v>
      </x:c>
      <x:c r="Q242" s="37" t="n">
        <x:v>46203.07313657407</x:v>
      </x:c>
    </x:row>
    <x:row r="243">
      <x:c r="A243" s="22" t="n">
        <x:v>36982</x:v>
      </x:c>
      <x:c r="B243" s="28" t="n">
        <x:v>123.75</x:v>
      </x:c>
      <x:c r="C243" s="28" t="n">
        <x:v>112.04</x:v>
      </x:c>
      <x:c r="D243" s="31" t="n">
        <x:f>IF(OR(ISBLANK(B243),ISBLANK(C243),B243=0),"",(C243-B243)/B243)</x:f>
        <x:v>-0.09462626262626257</x:v>
      </x:c>
      <x:c r="E243" s="22" t="str">
        <x:f>IF(ISBLANK(C243),"AmountIncludingTax缺失",IF(ABS(B243-C243)&lt;0.005,"一致","不一致"))</x:f>
        <x:v>不一致</x:v>
      </x:c>
      <x:c r="F243" s="19" t="str">
        <x:v>approved</x:v>
      </x:c>
      <x:c r="G243" s="19" t="str">
        <x:v>Repairer Invoiced Processed</x:v>
      </x:c>
      <x:c r="H243" s="19" t="str">
        <x:v>In Field</x:v>
      </x:c>
      <x:c r="I243" s="37" t="n">
        <x:v>46202</x:v>
      </x:c>
      <x:c r="J243" s="37" t="n">
        <x:v>46202</x:v>
      </x:c>
      <x:c r="K243" s="19" t="str">
        <x:v>Vanari Caravans - Marden Point</x:v>
      </x:c>
      <x:c r="L243" s="19" t="str">
        <x:v>Z006</x:v>
      </x:c>
      <x:c r="M243" s="19" t="str">
        <x:v>In Field Warranty Claims</x:v>
      </x:c>
      <x:c r="N243" s="37" t="n">
        <x:v>46198</x:v>
      </x:c>
      <x:c r="O243" s="37"/>
      <x:c r="P243" s="34" t="n">
        <x:v>112.04</x:v>
      </x:c>
      <x:c r="Q243" s="37" t="n">
        <x:v>46202.13263888889</x:v>
      </x:c>
    </x:row>
    <x:row r="244">
      <x:c r="A244" s="22" t="n">
        <x:v>36981</x:v>
      </x:c>
      <x:c r="B244" s="28" t="n">
        <x:v>249.75</x:v>
      </x:c>
      <x:c r="C244" s="28" t="n">
        <x:v>226.12</x:v>
      </x:c>
      <x:c r="D244" s="31" t="n">
        <x:f>IF(OR(ISBLANK(B244),ISBLANK(C244),B244=0),"",(C244-B244)/B244)</x:f>
        <x:v>-0.0946146146146146</x:v>
      </x:c>
      <x:c r="E244" s="22" t="str">
        <x:f>IF(ISBLANK(C244),"AmountIncludingTax缺失",IF(ABS(B244-C244)&lt;0.005,"一致","不一致"))</x:f>
        <x:v>不一致</x:v>
      </x:c>
      <x:c r="F244" s="19" t="str">
        <x:v>approved</x:v>
      </x:c>
      <x:c r="G244" s="19" t="str">
        <x:v>Repairer Invoiced Processed</x:v>
      </x:c>
      <x:c r="H244" s="19" t="str">
        <x:v>In Field</x:v>
      </x:c>
      <x:c r="I244" s="37" t="n">
        <x:v>46202</x:v>
      </x:c>
      <x:c r="J244" s="37" t="n">
        <x:v>46202</x:v>
      </x:c>
      <x:c r="K244" s="19" t="str">
        <x:v>Vanari Caravans - Marden Point</x:v>
      </x:c>
      <x:c r="L244" s="19" t="str">
        <x:v>Z006</x:v>
      </x:c>
      <x:c r="M244" s="19" t="str">
        <x:v>In Field Warranty Claims</x:v>
      </x:c>
      <x:c r="N244" s="37" t="n">
        <x:v>46198</x:v>
      </x:c>
      <x:c r="O244" s="37"/>
      <x:c r="P244" s="34" t="n">
        <x:v>226.12</x:v>
      </x:c>
      <x:c r="Q244" s="37" t="n">
        <x:v>46202.12681712963</x:v>
      </x:c>
    </x:row>
    <x:row r="245">
      <x:c r="A245" s="22" t="n">
        <x:v>36980</x:v>
      </x:c>
      <x:c r="B245" s="28" t="n">
        <x:v>290.6</x:v>
      </x:c>
      <x:c r="C245" s="28" t="n">
        <x:v>263.11</x:v>
      </x:c>
      <x:c r="D245" s="31" t="n">
        <x:f>IF(OR(ISBLANK(B245),ISBLANK(C245),B245=0),"",(C245-B245)/B245)</x:f>
        <x:v>-0.09459738472126637</x:v>
      </x:c>
      <x:c r="E245" s="22" t="str">
        <x:f>IF(ISBLANK(C245),"AmountIncludingTax缺失",IF(ABS(B245-C245)&lt;0.005,"一致","不一致"))</x:f>
        <x:v>不一致</x:v>
      </x:c>
      <x:c r="F245" s="19" t="str">
        <x:v>approved</x:v>
      </x:c>
      <x:c r="G245" s="19" t="str">
        <x:v>Repairer Invoiced Processed</x:v>
      </x:c>
      <x:c r="H245" s="19" t="str">
        <x:v>In Field</x:v>
      </x:c>
      <x:c r="I245" s="37" t="n">
        <x:v>46202</x:v>
      </x:c>
      <x:c r="J245" s="37" t="n">
        <x:v>46202</x:v>
      </x:c>
      <x:c r="K245" s="19" t="str">
        <x:v>Vanari Caravans - Marden Point</x:v>
      </x:c>
      <x:c r="L245" s="19" t="str">
        <x:v>Z006</x:v>
      </x:c>
      <x:c r="M245" s="19" t="str">
        <x:v>In Field Warranty Claims</x:v>
      </x:c>
      <x:c r="N245" s="37" t="n">
        <x:v>46199</x:v>
      </x:c>
      <x:c r="O245" s="37"/>
      <x:c r="P245" s="34" t="n">
        <x:v>263.11</x:v>
      </x:c>
      <x:c r="Q245" s="37" t="n">
        <x:v>46202.158541666664</x:v>
      </x:c>
    </x:row>
    <x:row r="246">
      <x:c r="A246" s="22" t="n">
        <x:v>36979</x:v>
      </x:c>
      <x:c r="B246" s="28" t="n">
        <x:v>725</x:v>
      </x:c>
      <x:c r="C246" s="28"/>
      <x:c r="D246" s="31" t="str">
        <x:f>IF(OR(ISBLANK(B246),ISBLANK(C246),B246=0),"",(C246-B246)/B246)</x:f>
      </x:c>
      <x:c r="E246" s="22" t="str">
        <x:f>IF(ISBLANK(C246),"AmountIncludingTax缺失",IF(ABS(B246-C246)&lt;0.005,"一致","不一致"))</x:f>
        <x:v>AmountIncludingTax缺失</x:v>
      </x:c>
      <x:c r="F246" s="19" t="str">
        <x:v>approved</x:v>
      </x:c>
      <x:c r="G246" s="19" t="str">
        <x:v>Sales Order Approved</x:v>
      </x:c>
      <x:c r="H246" s="19" t="str">
        <x:v>In Field</x:v>
      </x:c>
      <x:c r="I246" s="37" t="n">
        <x:v>46202</x:v>
      </x:c>
      <x:c r="J246" s="37" t="n">
        <x:v>46202</x:v>
      </x:c>
      <x:c r="K246" s="19" t="str">
        <x:v>Regent RV - Perth</x:v>
      </x:c>
      <x:c r="L246" s="19" t="str">
        <x:v>Z006</x:v>
      </x:c>
      <x:c r="M246" s="19" t="str">
        <x:v>In Field Warranty Claims</x:v>
      </x:c>
      <x:c r="N246" s="37" t="n">
        <x:v>46199</x:v>
      </x:c>
      <x:c r="O246" s="37"/>
      <x:c r="P246" s="34" t="n">
        <x:v>0</x:v>
      </x:c>
      <x:c r="Q246" s="37" t="n">
        <x:v>46202.167175925926</x:v>
      </x:c>
    </x:row>
    <x:row r="247">
      <x:c r="A247" s="22" t="n">
        <x:v>36977</x:v>
      </x:c>
      <x:c r="B247" s="28" t="n">
        <x:v>202.5</x:v>
      </x:c>
      <x:c r="C247" s="28"/>
      <x:c r="D247" s="31" t="str">
        <x:f>IF(OR(ISBLANK(B247),ISBLANK(C247),B247=0),"",(C247-B247)/B247)</x:f>
      </x:c>
      <x:c r="E247" s="22" t="str">
        <x:f>IF(ISBLANK(C247),"AmountIncludingTax缺失",IF(ABS(B247-C247)&lt;0.005,"一致","不一致"))</x:f>
        <x:v>AmountIncludingTax缺失</x:v>
      </x:c>
      <x:c r="F247" s="19" t="str">
        <x:v>approved</x:v>
      </x:c>
      <x:c r="G247" s="19" t="str">
        <x:v>Sales Order Approved</x:v>
      </x:c>
      <x:c r="H247" s="19" t="str">
        <x:v>In Field</x:v>
      </x:c>
      <x:c r="I247" s="37" t="n">
        <x:v>46202</x:v>
      </x:c>
      <x:c r="J247" s="37" t="n">
        <x:v>46202</x:v>
      </x:c>
      <x:c r="K247" s="19" t="str">
        <x:v>Lesiure Lion-New Castle</x:v>
      </x:c>
      <x:c r="L247" s="19" t="str">
        <x:v>Z006</x:v>
      </x:c>
      <x:c r="M247" s="19" t="str">
        <x:v>In Field Warranty Claims</x:v>
      </x:c>
      <x:c r="N247" s="37" t="n">
        <x:v>46198</x:v>
      </x:c>
      <x:c r="O247" s="37"/>
      <x:c r="P247" s="34" t="n">
        <x:v>0</x:v>
      </x:c>
      <x:c r="Q247" s="37" t="n">
        <x:v>46202.203101851854</x:v>
      </x:c>
    </x:row>
    <x:row r="248">
      <x:c r="A248" s="22" t="n">
        <x:v>36973</x:v>
      </x:c>
      <x:c r="B248" s="28" t="n">
        <x:v>1207.5</x:v>
      </x:c>
      <x:c r="C248" s="28"/>
      <x:c r="D248" s="31" t="str">
        <x:f>IF(OR(ISBLANK(B248),ISBLANK(C248),B248=0),"",(C248-B248)/B248)</x:f>
      </x:c>
      <x:c r="E248" s="22" t="str">
        <x:f>IF(ISBLANK(C248),"AmountIncludingTax缺失",IF(ABS(B248-C248)&lt;0.005,"一致","不一致"))</x:f>
        <x:v>AmountIncludingTax缺失</x:v>
      </x:c>
      <x:c r="F248" s="19" t="str">
        <x:v>approved</x:v>
      </x:c>
      <x:c r="G248" s="19" t="str">
        <x:v>Sales Order Approved</x:v>
      </x:c>
      <x:c r="H248" s="19" t="str">
        <x:v>In Field</x:v>
      </x:c>
      <x:c r="I248" s="37" t="n">
        <x:v>46202</x:v>
      </x:c>
      <x:c r="J248" s="37" t="n">
        <x:v>46202</x:v>
      </x:c>
      <x:c r="K248" s="19" t="str">
        <x:v>Regent RV - Townsville</x:v>
      </x:c>
      <x:c r="L248" s="19" t="str">
        <x:v>Z006</x:v>
      </x:c>
      <x:c r="M248" s="19" t="str">
        <x:v>In Field Warranty Claims</x:v>
      </x:c>
      <x:c r="N248" s="37" t="n">
        <x:v>46198</x:v>
      </x:c>
      <x:c r="O248" s="37"/>
      <x:c r="P248" s="34" t="n">
        <x:v>0</x:v>
      </x:c>
      <x:c r="Q248" s="37" t="n">
        <x:v>46202.184282407405</x:v>
      </x:c>
    </x:row>
    <x:row r="249">
      <x:c r="A249" s="22" t="n">
        <x:v>36971</x:v>
      </x:c>
      <x:c r="B249" s="28" t="n">
        <x:v>540</x:v>
      </x:c>
      <x:c r="C249" s="28" t="n">
        <x:v>594</x:v>
      </x:c>
      <x:c r="D249" s="31" t="n">
        <x:f>IF(OR(ISBLANK(B249),ISBLANK(C249),B249=0),"",(C249-B249)/B249)</x:f>
        <x:v>0.1</x:v>
      </x:c>
      <x:c r="E249" s="22" t="str">
        <x:f>IF(ISBLANK(C249),"AmountIncludingTax缺失",IF(ABS(B249-C249)&lt;0.005,"一致","不一致"))</x:f>
        <x:v>不一致</x:v>
      </x:c>
      <x:c r="F249" s="19" t="str">
        <x:v>approved</x:v>
      </x:c>
      <x:c r="G249" s="19" t="str">
        <x:v>Repair in Progress</x:v>
      </x:c>
      <x:c r="H249" s="19" t="str">
        <x:v>In Field</x:v>
      </x:c>
      <x:c r="I249" s="37" t="n">
        <x:v>46205</x:v>
      </x:c>
      <x:c r="J249" s="37" t="n">
        <x:v>46205</x:v>
      </x:c>
      <x:c r="K249" s="19" t="str">
        <x:v>Green RV - Forest Glen</x:v>
      </x:c>
      <x:c r="L249" s="19" t="str">
        <x:v>Z006</x:v>
      </x:c>
      <x:c r="M249" s="19" t="str">
        <x:v>In Field Warranty Claims</x:v>
      </x:c>
      <x:c r="N249" s="37" t="n">
        <x:v>46198</x:v>
      </x:c>
      <x:c r="O249" s="37"/>
      <x:c r="P249" s="34" t="n">
        <x:v>594</x:v>
      </x:c>
      <x:c r="Q249" s="37" t="n">
        <x:v>46204.9621412037</x:v>
      </x:c>
    </x:row>
    <x:row r="250">
      <x:c r="A250" s="22" t="n">
        <x:v>36964</x:v>
      </x:c>
      <x:c r="B250" s="28" t="n">
        <x:v>145</x:v>
      </x:c>
      <x:c r="C250" s="28" t="n">
        <x:v>159.5</x:v>
      </x:c>
      <x:c r="D250" s="31" t="n">
        <x:f>IF(OR(ISBLANK(B250),ISBLANK(C250),B250=0),"",(C250-B250)/B250)</x:f>
        <x:v>0.1</x:v>
      </x:c>
      <x:c r="E250" s="22" t="str">
        <x:f>IF(ISBLANK(C250),"AmountIncludingTax缺失",IF(ABS(B250-C250)&lt;0.005,"一致","不一致"))</x:f>
        <x:v>不一致</x:v>
      </x:c>
      <x:c r="F250" s="19" t="str">
        <x:v>approved</x:v>
      </x:c>
      <x:c r="G250" s="19" t="str">
        <x:v>Repair in Progress</x:v>
      </x:c>
      <x:c r="H250" s="19" t="str">
        <x:v>In Field</x:v>
      </x:c>
      <x:c r="I250" s="37" t="n">
        <x:v>46199</x:v>
      </x:c>
      <x:c r="J250" s="37" t="n">
        <x:v>46199</x:v>
      </x:c>
      <x:c r="K250" s="19" t="str">
        <x:v>Leisure Lion - Bundaberg</x:v>
      </x:c>
      <x:c r="L250" s="19" t="str">
        <x:v>Z006</x:v>
      </x:c>
      <x:c r="M250" s="19" t="str">
        <x:v>In Field Warranty Claims</x:v>
      </x:c>
      <x:c r="N250" s="37" t="n">
        <x:v>46198</x:v>
      </x:c>
      <x:c r="O250" s="37"/>
      <x:c r="P250" s="34" t="n">
        <x:v>159.5</x:v>
      </x:c>
      <x:c r="Q250" s="37" t="n">
        <x:v>46199.268541666665</x:v>
      </x:c>
    </x:row>
    <x:row r="251">
      <x:c r="A251" s="22" t="n">
        <x:v>36962</x:v>
      </x:c>
      <x:c r="B251" s="28" t="n">
        <x:v>1688.36</x:v>
      </x:c>
      <x:c r="C251" s="28"/>
      <x:c r="D251" s="31" t="str">
        <x:f>IF(OR(ISBLANK(B251),ISBLANK(C251),B251=0),"",(C251-B251)/B251)</x:f>
      </x:c>
      <x:c r="E251" s="22" t="str">
        <x:f>IF(ISBLANK(C251),"AmountIncludingTax缺失",IF(ABS(B251-C251)&lt;0.005,"一致","不一致"))</x:f>
        <x:v>AmountIncludingTax缺失</x:v>
      </x:c>
      <x:c r="F251" s="19" t="str">
        <x:v>approved</x:v>
      </x:c>
      <x:c r="G251" s="19" t="str">
        <x:v>Sales Order Approved</x:v>
      </x:c>
      <x:c r="H251" s="19" t="str">
        <x:v>In Field</x:v>
      </x:c>
      <x:c r="I251" s="37" t="n">
        <x:v>46202</x:v>
      </x:c>
      <x:c r="J251" s="37" t="n">
        <x:v>46202</x:v>
      </x:c>
      <x:c r="K251" s="19" t="str">
        <x:v>Regent RV - Traralgon</x:v>
      </x:c>
      <x:c r="L251" s="19" t="str">
        <x:v>Z006</x:v>
      </x:c>
      <x:c r="M251" s="19" t="str">
        <x:v>In Field Warranty Claims</x:v>
      </x:c>
      <x:c r="N251" s="37" t="n">
        <x:v>46198</x:v>
      </x:c>
      <x:c r="O251" s="37"/>
      <x:c r="P251" s="34" t="n">
        <x:v>0</x:v>
      </x:c>
      <x:c r="Q251" s="37" t="n">
        <x:v>46202.182962962965</x:v>
      </x:c>
    </x:row>
    <x:row r="252">
      <x:c r="A252" s="22" t="n">
        <x:v>36958</x:v>
      </x:c>
      <x:c r="B252" s="28" t="n">
        <x:v>607.5</x:v>
      </x:c>
      <x:c r="C252" s="28"/>
      <x:c r="D252" s="31" t="str">
        <x:f>IF(OR(ISBLANK(B252),ISBLANK(C252),B252=0),"",(C252-B252)/B252)</x:f>
      </x:c>
      <x:c r="E252" s="22" t="str">
        <x:f>IF(ISBLANK(C252),"AmountIncludingTax缺失",IF(ABS(B252-C252)&lt;0.005,"一致","不一致"))</x:f>
        <x:v>AmountIncludingTax缺失</x:v>
      </x:c>
      <x:c r="F252" s="19" t="str">
        <x:v>approved</x:v>
      </x:c>
      <x:c r="G252" s="19" t="str">
        <x:v>Sales Order Approved</x:v>
      </x:c>
      <x:c r="H252" s="19" t="str">
        <x:v>Pre Delivery</x:v>
      </x:c>
      <x:c r="I252" s="37" t="n">
        <x:v>46206</x:v>
      </x:c>
      <x:c r="J252" s="37" t="n">
        <x:v>46206</x:v>
      </x:c>
      <x:c r="K252" s="19" t="str">
        <x:v>Snowy River Wangaratta</x:v>
      </x:c>
      <x:c r="L252" s="19" t="str">
        <x:v>Z005</x:v>
      </x:c>
      <x:c r="M252" s="19" t="str">
        <x:v>Pre Delivery Warranty Claims</x:v>
      </x:c>
      <x:c r="N252" s="37" t="n">
        <x:v>46198</x:v>
      </x:c>
      <x:c r="O252" s="37"/>
      <x:c r="P252" s="34" t="n">
        <x:v>0</x:v>
      </x:c>
      <x:c r="Q252" s="37" t="n">
        <x:v>46205.947546296295</x:v>
      </x:c>
    </x:row>
    <x:row r="253">
      <x:c r="A253" s="22" t="n">
        <x:v>36957</x:v>
      </x:c>
      <x:c r="B253" s="28" t="n">
        <x:v>168.75</x:v>
      </x:c>
      <x:c r="C253" s="28"/>
      <x:c r="D253" s="31" t="str">
        <x:f>IF(OR(ISBLANK(B253),ISBLANK(C253),B253=0),"",(C253-B253)/B253)</x:f>
      </x:c>
      <x:c r="E253" s="22" t="str">
        <x:f>IF(ISBLANK(C253),"AmountIncludingTax缺失",IF(ABS(B253-C253)&lt;0.005,"一致","不一致"))</x:f>
        <x:v>AmountIncludingTax缺失</x:v>
      </x:c>
      <x:c r="F253" s="19" t="str">
        <x:v>approved</x:v>
      </x:c>
      <x:c r="G253" s="19" t="str">
        <x:v>Sales Order Approved</x:v>
      </x:c>
      <x:c r="H253" s="19" t="str">
        <x:v>In Field</x:v>
      </x:c>
      <x:c r="I253" s="37" t="n">
        <x:v>46203</x:v>
      </x:c>
      <x:c r="J253" s="37" t="n">
        <x:v>46203</x:v>
      </x:c>
      <x:c r="K253" s="19" t="str">
        <x:v>QCCC - Gympie</x:v>
      </x:c>
      <x:c r="L253" s="19" t="str">
        <x:v>Z006</x:v>
      </x:c>
      <x:c r="M253" s="19" t="str">
        <x:v>In Field Warranty Claims</x:v>
      </x:c>
      <x:c r="N253" s="37" t="n">
        <x:v>46198</x:v>
      </x:c>
      <x:c r="O253" s="37"/>
      <x:c r="P253" s="34" t="n">
        <x:v>0</x:v>
      </x:c>
      <x:c r="Q253" s="37" t="n">
        <x:v>46203.18884259259</x:v>
      </x:c>
    </x:row>
    <x:row r="254">
      <x:c r="A254" s="22" t="n">
        <x:v>36955</x:v>
      </x:c>
      <x:c r="B254" s="28" t="n">
        <x:v>567.66</x:v>
      </x:c>
      <x:c r="C254" s="28" t="n">
        <x:v>624.43</x:v>
      </x:c>
      <x:c r="D254" s="31" t="n">
        <x:f>IF(OR(ISBLANK(B254),ISBLANK(C254),B254=0),"",(C254-B254)/B254)</x:f>
        <x:v>0.10000704647147939</x:v>
      </x:c>
      <x:c r="E254" s="22" t="str">
        <x:f>IF(ISBLANK(C254),"AmountIncludingTax缺失",IF(ABS(B254-C254)&lt;0.005,"一致","不一致"))</x:f>
        <x:v>不一致</x:v>
      </x:c>
      <x:c r="F254" s="19" t="str">
        <x:v>approved</x:v>
      </x:c>
      <x:c r="G254" s="19" t="str">
        <x:v>Repair in Progress</x:v>
      </x:c>
      <x:c r="H254" s="19" t="str">
        <x:v>In Field</x:v>
      </x:c>
      <x:c r="I254" s="37" t="n">
        <x:v>46199</x:v>
      </x:c>
      <x:c r="J254" s="37" t="n">
        <x:v>46199</x:v>
      </x:c>
      <x:c r="K254" s="19" t="str">
        <x:v>Regent RV - Perth</x:v>
      </x:c>
      <x:c r="L254" s="19" t="str">
        <x:v>Z006</x:v>
      </x:c>
      <x:c r="M254" s="19" t="str">
        <x:v>In Field Warranty Claims</x:v>
      </x:c>
      <x:c r="N254" s="37" t="n">
        <x:v>46198</x:v>
      </x:c>
      <x:c r="O254" s="37"/>
      <x:c r="P254" s="34" t="n">
        <x:v>624.43</x:v>
      </x:c>
      <x:c r="Q254" s="37" t="n">
        <x:v>46199.031851851854</x:v>
      </x:c>
    </x:row>
    <x:row r="255">
      <x:c r="A255" s="22" t="n">
        <x:v>36953</x:v>
      </x:c>
      <x:c r="B255" s="28" t="n">
        <x:v>580</x:v>
      </x:c>
      <x:c r="C255" s="28" t="n">
        <x:v>638</x:v>
      </x:c>
      <x:c r="D255" s="31" t="n">
        <x:f>IF(OR(ISBLANK(B255),ISBLANK(C255),B255=0),"",(C255-B255)/B255)</x:f>
        <x:v>0.1</x:v>
      </x:c>
      <x:c r="E255" s="22" t="str">
        <x:f>IF(ISBLANK(C255),"AmountIncludingTax缺失",IF(ABS(B255-C255)&lt;0.005,"一致","不一致"))</x:f>
        <x:v>不一致</x:v>
      </x:c>
      <x:c r="F255" s="19" t="str">
        <x:v>approved</x:v>
      </x:c>
      <x:c r="G255" s="19" t="str">
        <x:v>Repair in Progress</x:v>
      </x:c>
      <x:c r="H255" s="19" t="str">
        <x:v>In Field</x:v>
      </x:c>
      <x:c r="I255" s="37" t="n">
        <x:v>46202</x:v>
      </x:c>
      <x:c r="J255" s="37" t="n">
        <x:v>46202</x:v>
      </x:c>
      <x:c r="K255" s="19" t="str">
        <x:v>QCCC - Gympie</x:v>
      </x:c>
      <x:c r="L255" s="19" t="str">
        <x:v>Z006</x:v>
      </x:c>
      <x:c r="M255" s="19" t="str">
        <x:v>In Field Warranty Claims</x:v>
      </x:c>
      <x:c r="N255" s="37" t="n">
        <x:v>46198</x:v>
      </x:c>
      <x:c r="O255" s="37"/>
      <x:c r="P255" s="34" t="n">
        <x:v>638</x:v>
      </x:c>
      <x:c r="Q255" s="37" t="n">
        <x:v>46202.014016203706</x:v>
      </x:c>
    </x:row>
    <x:row r="256">
      <x:c r="A256" s="22" t="n">
        <x:v>36940</x:v>
      </x:c>
      <x:c r="B256" s="28" t="n">
        <x:v>630.94</x:v>
      </x:c>
      <x:c r="C256" s="28"/>
      <x:c r="D256" s="31" t="str">
        <x:f>IF(OR(ISBLANK(B256),ISBLANK(C256),B256=0),"",(C256-B256)/B256)</x:f>
      </x:c>
      <x:c r="E256" s="22" t="str">
        <x:f>IF(ISBLANK(C256),"AmountIncludingTax缺失",IF(ABS(B256-C256)&lt;0.005,"一致","不一致"))</x:f>
        <x:v>AmountIncludingTax缺失</x:v>
      </x:c>
      <x:c r="F256" s="19" t="str">
        <x:v>approved</x:v>
      </x:c>
      <x:c r="G256" s="19" t="str">
        <x:v>Sales Order Approved</x:v>
      </x:c>
      <x:c r="H256" s="19" t="str">
        <x:v>In Field</x:v>
      </x:c>
      <x:c r="I256" s="37" t="n">
        <x:v>46204</x:v>
      </x:c>
      <x:c r="J256" s="37" t="n">
        <x:v>46204</x:v>
      </x:c>
      <x:c r="K256" s="19" t="str">
        <x:v>Snowy River Launceston</x:v>
      </x:c>
      <x:c r="L256" s="19" t="str">
        <x:v>Z006</x:v>
      </x:c>
      <x:c r="M256" s="19" t="str">
        <x:v>In Field Warranty Claims</x:v>
      </x:c>
      <x:c r="N256" s="37" t="n">
        <x:v>46198</x:v>
      </x:c>
      <x:c r="O256" s="37"/>
      <x:c r="P256" s="34" t="n">
        <x:v>0</x:v>
      </x:c>
      <x:c r="Q256" s="37" t="n">
        <x:v>46204.246886574074</x:v>
      </x:c>
    </x:row>
    <x:row r="257">
      <x:c r="A257" s="22" t="n">
        <x:v>36937</x:v>
      </x:c>
      <x:c r="B257" s="28" t="n">
        <x:v>122.5</x:v>
      </x:c>
      <x:c r="C257" s="28"/>
      <x:c r="D257" s="31" t="str">
        <x:f>IF(OR(ISBLANK(B257),ISBLANK(C257),B257=0),"",(C257-B257)/B257)</x:f>
      </x:c>
      <x:c r="E257" s="22" t="str">
        <x:f>IF(ISBLANK(C257),"AmountIncludingTax缺失",IF(ABS(B257-C257)&lt;0.005,"一致","不一致"))</x:f>
        <x:v>AmountIncludingTax缺失</x:v>
      </x:c>
      <x:c r="F257" s="19" t="str">
        <x:v>approved</x:v>
      </x:c>
      <x:c r="G257" s="19" t="str">
        <x:v>Sales Order Approved</x:v>
      </x:c>
      <x:c r="H257" s="19" t="str">
        <x:v>In Field</x:v>
      </x:c>
      <x:c r="I257" s="37" t="n">
        <x:v>46204</x:v>
      </x:c>
      <x:c r="J257" s="37" t="n">
        <x:v>46204</x:v>
      </x:c>
      <x:c r="K257" s="19" t="str">
        <x:v>Regent RV - Frankston</x:v>
      </x:c>
      <x:c r="L257" s="19" t="str">
        <x:v>Z006</x:v>
      </x:c>
      <x:c r="M257" s="19" t="str">
        <x:v>In Field Warranty Claims</x:v>
      </x:c>
      <x:c r="N257" s="37" t="n">
        <x:v>46198</x:v>
      </x:c>
      <x:c r="O257" s="37"/>
      <x:c r="P257" s="34" t="n">
        <x:v>0</x:v>
      </x:c>
      <x:c r="Q257" s="37" t="n">
        <x:v>46204.192349537036</x:v>
      </x:c>
    </x:row>
    <x:row r="258">
      <x:c r="A258" s="22" t="n">
        <x:v>36936</x:v>
      </x:c>
      <x:c r="B258" s="28" t="n">
        <x:v>135</x:v>
      </x:c>
      <x:c r="C258" s="28"/>
      <x:c r="D258" s="31" t="str">
        <x:f>IF(OR(ISBLANK(B258),ISBLANK(C258),B258=0),"",(C258-B258)/B258)</x:f>
      </x:c>
      <x:c r="E258" s="22" t="str">
        <x:f>IF(ISBLANK(C258),"AmountIncludingTax缺失",IF(ABS(B258-C258)&lt;0.005,"一致","不一致"))</x:f>
        <x:v>AmountIncludingTax缺失</x:v>
      </x:c>
      <x:c r="F258" s="19" t="str">
        <x:v>approved</x:v>
      </x:c>
      <x:c r="G258" s="19" t="str">
        <x:v>Repair in Progress</x:v>
      </x:c>
      <x:c r="H258" s="19" t="str">
        <x:v>In Field</x:v>
      </x:c>
      <x:c r="I258" s="37" t="n">
        <x:v>46202</x:v>
      </x:c>
      <x:c r="J258" s="37" t="n">
        <x:v>46202</x:v>
      </x:c>
      <x:c r="K258" s="19" t="str">
        <x:v>Snowy River Launceston</x:v>
      </x:c>
      <x:c r="L258" s="19" t="str">
        <x:v>Z006</x:v>
      </x:c>
      <x:c r="M258" s="19" t="str">
        <x:v>In Field Warranty Claims</x:v>
      </x:c>
      <x:c r="N258" s="37" t="n">
        <x:v>46198</x:v>
      </x:c>
      <x:c r="O258" s="37"/>
      <x:c r="P258" s="34" t="n">
        <x:v>0</x:v>
      </x:c>
      <x:c r="Q258" s="37" t="n">
        <x:v>46201.881585648145</x:v>
      </x:c>
    </x:row>
    <x:row r="259">
      <x:c r="A259" s="22" t="n">
        <x:v>36933</x:v>
      </x:c>
      <x:c r="B259" s="28" t="n">
        <x:v>1390</x:v>
      </x:c>
      <x:c r="C259" s="28"/>
      <x:c r="D259" s="31" t="str">
        <x:f>IF(OR(ISBLANK(B259),ISBLANK(C259),B259=0),"",(C259-B259)/B259)</x:f>
      </x:c>
      <x:c r="E259" s="22" t="str">
        <x:f>IF(ISBLANK(C259),"AmountIncludingTax缺失",IF(ABS(B259-C259)&lt;0.005,"一致","不一致"))</x:f>
        <x:v>AmountIncludingTax缺失</x:v>
      </x:c>
      <x:c r="F259" s="19" t="str">
        <x:v>approved</x:v>
      </x:c>
      <x:c r="G259" s="19" t="str">
        <x:v>Sales Order Approved</x:v>
      </x:c>
      <x:c r="H259" s="19" t="str">
        <x:v>In Field</x:v>
      </x:c>
      <x:c r="I259" s="37" t="n">
        <x:v>46209</x:v>
      </x:c>
      <x:c r="J259" s="37" t="n">
        <x:v>46209</x:v>
      </x:c>
      <x:c r="K259" s="19" t="str">
        <x:v>Snowy River Geelong</x:v>
      </x:c>
      <x:c r="L259" s="19" t="str">
        <x:v>Z006</x:v>
      </x:c>
      <x:c r="M259" s="19" t="str">
        <x:v>In Field Warranty Claims</x:v>
      </x:c>
      <x:c r="N259" s="37" t="n">
        <x:v>46198</x:v>
      </x:c>
      <x:c r="O259" s="37"/>
      <x:c r="P259" s="34" t="n">
        <x:v>0</x:v>
      </x:c>
      <x:c r="Q259" s="37" t="n">
        <x:v>46209.034583333334</x:v>
      </x:c>
    </x:row>
    <x:row r="260">
      <x:c r="A260" s="22" t="n">
        <x:v>36931</x:v>
      </x:c>
      <x:c r="B260" s="28" t="n">
        <x:v>202.5</x:v>
      </x:c>
      <x:c r="C260" s="28"/>
      <x:c r="D260" s="31" t="str">
        <x:f>IF(OR(ISBLANK(B260),ISBLANK(C260),B260=0),"",(C260-B260)/B260)</x:f>
      </x:c>
      <x:c r="E260" s="22" t="str">
        <x:f>IF(ISBLANK(C260),"AmountIncludingTax缺失",IF(ABS(B260-C260)&lt;0.005,"一致","不一致"))</x:f>
        <x:v>AmountIncludingTax缺失</x:v>
      </x:c>
      <x:c r="F260" s="19" t="str">
        <x:v>approved</x:v>
      </x:c>
      <x:c r="G260" s="19" t="str">
        <x:v>Sales Order Approved</x:v>
      </x:c>
      <x:c r="H260" s="19" t="str">
        <x:v>Pre Delivery</x:v>
      </x:c>
      <x:c r="I260" s="37" t="n">
        <x:v>46206</x:v>
      </x:c>
      <x:c r="J260" s="37" t="n">
        <x:v>46206</x:v>
      </x:c>
      <x:c r="K260" s="19" t="str">
        <x:v>Green RV - Forest Glen</x:v>
      </x:c>
      <x:c r="L260" s="19" t="str">
        <x:v>Z005</x:v>
      </x:c>
      <x:c r="M260" s="19" t="str">
        <x:v>Pre Delivery Warranty Claims</x:v>
      </x:c>
      <x:c r="N260" s="37" t="n">
        <x:v>46198</x:v>
      </x:c>
      <x:c r="O260" s="37"/>
      <x:c r="P260" s="34" t="n">
        <x:v>0</x:v>
      </x:c>
      <x:c r="Q260" s="37" t="n">
        <x:v>46205.94296296296</x:v>
      </x:c>
    </x:row>
    <x:row r="261">
      <x:c r="A261" s="22" t="n">
        <x:v>36920</x:v>
      </x:c>
      <x:c r="B261" s="28" t="n">
        <x:v>715</x:v>
      </x:c>
      <x:c r="C261" s="28"/>
      <x:c r="D261" s="31" t="str">
        <x:f>IF(OR(ISBLANK(B261),ISBLANK(C261),B261=0),"",(C261-B261)/B261)</x:f>
      </x:c>
      <x:c r="E261" s="22" t="str">
        <x:f>IF(ISBLANK(C261),"AmountIncludingTax缺失",IF(ABS(B261-C261)&lt;0.005,"一致","不一致"))</x:f>
        <x:v>AmountIncludingTax缺失</x:v>
      </x:c>
      <x:c r="F261" s="19" t="str">
        <x:v>approved</x:v>
      </x:c>
      <x:c r="G261" s="19" t="str">
        <x:v>Sales Order Approved</x:v>
      </x:c>
      <x:c r="H261" s="19" t="str">
        <x:v>In Field</x:v>
      </x:c>
      <x:c r="I261" s="37" t="n">
        <x:v>46203</x:v>
      </x:c>
      <x:c r="J261" s="37" t="n">
        <x:v>46203</x:v>
      </x:c>
      <x:c r="K261" s="19" t="str">
        <x:v>Snowy River Launceston</x:v>
      </x:c>
      <x:c r="L261" s="19" t="str">
        <x:v>Z006</x:v>
      </x:c>
      <x:c r="M261" s="19" t="str">
        <x:v>In Field Warranty Claims</x:v>
      </x:c>
      <x:c r="N261" s="37" t="n">
        <x:v>46198</x:v>
      </x:c>
      <x:c r="O261" s="37"/>
      <x:c r="P261" s="34" t="n">
        <x:v>0</x:v>
      </x:c>
      <x:c r="Q261" s="37" t="n">
        <x:v>46203.07351851852</x:v>
      </x:c>
    </x:row>
    <x:row r="262">
      <x:c r="A262" s="22" t="n">
        <x:v>36919</x:v>
      </x:c>
      <x:c r="B262" s="28" t="n">
        <x:v>592.07</x:v>
      </x:c>
      <x:c r="C262" s="28" t="n">
        <x:v>651.28</x:v>
      </x:c>
      <x:c r="D262" s="31" t="n">
        <x:f>IF(OR(ISBLANK(B262),ISBLANK(C262),B262=0),"",(C262-B262)/B262)</x:f>
        <x:v>0.10000506696843264</x:v>
      </x:c>
      <x:c r="E262" s="22" t="str">
        <x:f>IF(ISBLANK(C262),"AmountIncludingTax缺失",IF(ABS(B262-C262)&lt;0.005,"一致","不一致"))</x:f>
        <x:v>不一致</x:v>
      </x:c>
      <x:c r="F262" s="19" t="str">
        <x:v>approved</x:v>
      </x:c>
      <x:c r="G262" s="19" t="str">
        <x:v>Repair in Progress</x:v>
      </x:c>
      <x:c r="H262" s="19" t="str">
        <x:v>In Field</x:v>
      </x:c>
      <x:c r="I262" s="37" t="n">
        <x:v>46202</x:v>
      </x:c>
      <x:c r="J262" s="37" t="n">
        <x:v>46202</x:v>
      </x:c>
      <x:c r="K262" s="19" t="str">
        <x:v>Regent RV - Perth</x:v>
      </x:c>
      <x:c r="L262" s="19" t="str">
        <x:v>Z006</x:v>
      </x:c>
      <x:c r="M262" s="19" t="str">
        <x:v>In Field Warranty Claims</x:v>
      </x:c>
      <x:c r="N262" s="37" t="n">
        <x:v>46198</x:v>
      </x:c>
      <x:c r="O262" s="37"/>
      <x:c r="P262" s="34" t="n">
        <x:v>651.28</x:v>
      </x:c>
      <x:c r="Q262" s="37" t="n">
        <x:v>46202.177777777775</x:v>
      </x:c>
    </x:row>
    <x:row r="263">
      <x:c r="A263" s="22" t="n">
        <x:v>36918</x:v>
      </x:c>
      <x:c r="B263" s="28" t="n">
        <x:v>1100</x:v>
      </x:c>
      <x:c r="C263" s="28"/>
      <x:c r="D263" s="31" t="str">
        <x:f>IF(OR(ISBLANK(B263),ISBLANK(C263),B263=0),"",(C263-B263)/B263)</x:f>
      </x:c>
      <x:c r="E263" s="22" t="str">
        <x:f>IF(ISBLANK(C263),"AmountIncludingTax缺失",IF(ABS(B263-C263)&lt;0.005,"一致","不一致"))</x:f>
        <x:v>AmountIncludingTax缺失</x:v>
      </x:c>
      <x:c r="F263" s="19" t="str">
        <x:v>approved</x:v>
      </x:c>
      <x:c r="G263" s="19" t="str">
        <x:v>Sales Order Approved</x:v>
      </x:c>
      <x:c r="H263" s="19" t="str">
        <x:v>In Field</x:v>
      </x:c>
      <x:c r="I263" s="37" t="n">
        <x:v>46203</x:v>
      </x:c>
      <x:c r="J263" s="37" t="n">
        <x:v>46203</x:v>
      </x:c>
      <x:c r="K263" s="19" t="str">
        <x:v>Regent RV - Toowoomba</x:v>
      </x:c>
      <x:c r="L263" s="19" t="str">
        <x:v>Z006</x:v>
      </x:c>
      <x:c r="M263" s="19" t="str">
        <x:v>In Field Warranty Claims</x:v>
      </x:c>
      <x:c r="N263" s="37" t="n">
        <x:v>46198</x:v>
      </x:c>
      <x:c r="O263" s="37"/>
      <x:c r="P263" s="34" t="n">
        <x:v>0</x:v>
      </x:c>
      <x:c r="Q263" s="37" t="n">
        <x:v>46203.21026620371</x:v>
      </x:c>
    </x:row>
    <x:row r="264">
      <x:c r="A264" s="22" t="n">
        <x:v>36917</x:v>
      </x:c>
      <x:c r="B264" s="28" t="n">
        <x:v>337.5</x:v>
      </x:c>
      <x:c r="C264" s="28" t="n">
        <x:v>371.25</x:v>
      </x:c>
      <x:c r="D264" s="31" t="n">
        <x:f>IF(OR(ISBLANK(B264),ISBLANK(C264),B264=0),"",(C264-B264)/B264)</x:f>
        <x:v>0.1</x:v>
      </x:c>
      <x:c r="E264" s="22" t="str">
        <x:f>IF(ISBLANK(C264),"AmountIncludingTax缺失",IF(ABS(B264-C264)&lt;0.005,"一致","不一致"))</x:f>
        <x:v>不一致</x:v>
      </x:c>
      <x:c r="F264" s="19" t="str">
        <x:v>approved</x:v>
      </x:c>
      <x:c r="G264" s="19" t="str">
        <x:v>Repair in Progress</x:v>
      </x:c>
      <x:c r="H264" s="19" t="str">
        <x:v>In Field</x:v>
      </x:c>
      <x:c r="I264" s="37" t="n">
        <x:v>46203</x:v>
      </x:c>
      <x:c r="J264" s="37" t="n">
        <x:v>46203</x:v>
      </x:c>
      <x:c r="K264" s="19" t="str">
        <x:v>Regent RV - Toowoomba</x:v>
      </x:c>
      <x:c r="L264" s="19" t="str">
        <x:v>Z006</x:v>
      </x:c>
      <x:c r="M264" s="19" t="str">
        <x:v>In Field Warranty Claims</x:v>
      </x:c>
      <x:c r="N264" s="37" t="n">
        <x:v>46198</x:v>
      </x:c>
      <x:c r="O264" s="37"/>
      <x:c r="P264" s="34" t="n">
        <x:v>371.25</x:v>
      </x:c>
      <x:c r="Q264" s="37" t="n">
        <x:v>46202.96732638889</x:v>
      </x:c>
    </x:row>
    <x:row r="265">
      <x:c r="A265" s="22" t="n">
        <x:v>36916</x:v>
      </x:c>
      <x:c r="B265" s="28" t="n">
        <x:v>1336.25</x:v>
      </x:c>
      <x:c r="C265" s="28"/>
      <x:c r="D265" s="31" t="str">
        <x:f>IF(OR(ISBLANK(B265),ISBLANK(C265),B265=0),"",(C265-B265)/B265)</x:f>
      </x:c>
      <x:c r="E265" s="22" t="str">
        <x:f>IF(ISBLANK(C265),"AmountIncludingTax缺失",IF(ABS(B265-C265)&lt;0.005,"一致","不一致"))</x:f>
        <x:v>AmountIncludingTax缺失</x:v>
      </x:c>
      <x:c r="F265" s="19" t="str">
        <x:v>approved</x:v>
      </x:c>
      <x:c r="G265" s="19" t="str">
        <x:v>Sales Order Approved</x:v>
      </x:c>
      <x:c r="H265" s="19" t="str">
        <x:v>In Field</x:v>
      </x:c>
      <x:c r="I265" s="37" t="n">
        <x:v>46203</x:v>
      </x:c>
      <x:c r="J265" s="37" t="n">
        <x:v>46203</x:v>
      </x:c>
      <x:c r="K265" s="19" t="str">
        <x:v>Green RV - Slacks Creek</x:v>
      </x:c>
      <x:c r="L265" s="19" t="str">
        <x:v>Z006</x:v>
      </x:c>
      <x:c r="M265" s="19" t="str">
        <x:v>In Field Warranty Claims</x:v>
      </x:c>
      <x:c r="N265" s="37" t="n">
        <x:v>46198</x:v>
      </x:c>
      <x:c r="O265" s="37"/>
      <x:c r="P265" s="34" t="n">
        <x:v>0</x:v>
      </x:c>
      <x:c r="Q265" s="37" t="n">
        <x:v>46202.97149305556</x:v>
      </x:c>
    </x:row>
    <x:row r="266">
      <x:c r="A266" s="22" t="n">
        <x:v>36915</x:v>
      </x:c>
      <x:c r="B266" s="28" t="n">
        <x:v>67.5</x:v>
      </x:c>
      <x:c r="C266" s="28"/>
      <x:c r="D266" s="31" t="str">
        <x:f>IF(OR(ISBLANK(B266),ISBLANK(C266),B266=0),"",(C266-B266)/B266)</x:f>
      </x:c>
      <x:c r="E266" s="22" t="str">
        <x:f>IF(ISBLANK(C266),"AmountIncludingTax缺失",IF(ABS(B266-C266)&lt;0.005,"一致","不一致"))</x:f>
        <x:v>AmountIncludingTax缺失</x:v>
      </x:c>
      <x:c r="F266" s="19" t="str">
        <x:v>approved</x:v>
      </x:c>
      <x:c r="G266" s="19" t="str">
        <x:v>Repair in Progress</x:v>
      </x:c>
      <x:c r="H266" s="19" t="str">
        <x:v>In Field</x:v>
      </x:c>
      <x:c r="I266" s="37" t="n">
        <x:v>46199</x:v>
      </x:c>
      <x:c r="J266" s="37" t="n">
        <x:v>46199</x:v>
      </x:c>
      <x:c r="K266" s="19" t="str">
        <x:v>Regent RV - Perth</x:v>
      </x:c>
      <x:c r="L266" s="19" t="str">
        <x:v>Z006</x:v>
      </x:c>
      <x:c r="M266" s="19" t="str">
        <x:v>In Field Warranty Claims</x:v>
      </x:c>
      <x:c r="N266" s="37" t="n">
        <x:v>46198</x:v>
      </x:c>
      <x:c r="O266" s="37"/>
      <x:c r="P266" s="34" t="n">
        <x:v>0</x:v>
      </x:c>
      <x:c r="Q266" s="37" t="n">
        <x:v>46198.90329861111</x:v>
      </x:c>
    </x:row>
    <x:row r="267">
      <x:c r="A267" s="22" t="n">
        <x:v>36914</x:v>
      </x:c>
      <x:c r="B267" s="28" t="n">
        <x:v>145</x:v>
      </x:c>
      <x:c r="C267" s="28" t="n">
        <x:v>159.5</x:v>
      </x:c>
      <x:c r="D267" s="31" t="n">
        <x:f>IF(OR(ISBLANK(B267),ISBLANK(C267),B267=0),"",(C267-B267)/B267)</x:f>
        <x:v>0.1</x:v>
      </x:c>
      <x:c r="E267" s="22" t="str">
        <x:f>IF(ISBLANK(C267),"AmountIncludingTax缺失",IF(ABS(B267-C267)&lt;0.005,"一致","不一致"))</x:f>
        <x:v>不一致</x:v>
      </x:c>
      <x:c r="F267" s="19" t="str">
        <x:v>approved</x:v>
      </x:c>
      <x:c r="G267" s="19" t="str">
        <x:v>Repairer Invoiced Processed</x:v>
      </x:c>
      <x:c r="H267" s="19" t="str">
        <x:v>In Field</x:v>
      </x:c>
      <x:c r="I267" s="37" t="n">
        <x:v>46198</x:v>
      </x:c>
      <x:c r="J267" s="37" t="n">
        <x:v>46198</x:v>
      </x:c>
      <x:c r="K267" s="19" t="str">
        <x:v>Green RV - Slacks Creek</x:v>
      </x:c>
      <x:c r="L267" s="19" t="str">
        <x:v>Z006</x:v>
      </x:c>
      <x:c r="M267" s="19" t="str">
        <x:v>In Field Warranty Claims</x:v>
      </x:c>
      <x:c r="N267" s="37" t="n">
        <x:v>46197</x:v>
      </x:c>
      <x:c r="O267" s="37"/>
      <x:c r="P267" s="34" t="n">
        <x:v>159.5</x:v>
      </x:c>
      <x:c r="Q267" s="37" t="n">
        <x:v>46198.14297453704</x:v>
      </x:c>
    </x:row>
    <x:row r="268">
      <x:c r="A268" s="22" t="n">
        <x:v>36913</x:v>
      </x:c>
      <x:c r="B268" s="28" t="n">
        <x:v>314.4</x:v>
      </x:c>
      <x:c r="C268" s="28" t="n">
        <x:v>284.66</x:v>
      </x:c>
      <x:c r="D268" s="31" t="n">
        <x:f>IF(OR(ISBLANK(B268),ISBLANK(C268),B268=0),"",(C268-B268)/B268)</x:f>
        <x:v>-0.09459287531806601</x:v>
      </x:c>
      <x:c r="E268" s="22" t="str">
        <x:f>IF(ISBLANK(C268),"AmountIncludingTax缺失",IF(ABS(B268-C268)&lt;0.005,"一致","不一致"))</x:f>
        <x:v>不一致</x:v>
      </x:c>
      <x:c r="F268" s="19" t="str">
        <x:v>approved</x:v>
      </x:c>
      <x:c r="G268" s="19" t="str">
        <x:v>Repairer Invoiced Processed</x:v>
      </x:c>
      <x:c r="H268" s="19" t="str">
        <x:v>In Field</x:v>
      </x:c>
      <x:c r="I268" s="37" t="n">
        <x:v>46198</x:v>
      </x:c>
      <x:c r="J268" s="37" t="n">
        <x:v>46198</x:v>
      </x:c>
      <x:c r="K268" s="19" t="str">
        <x:v>Vanari Caravans - Marden Point</x:v>
      </x:c>
      <x:c r="L268" s="19" t="str">
        <x:v>Z006</x:v>
      </x:c>
      <x:c r="M268" s="19" t="str">
        <x:v>In Field Warranty Claims</x:v>
      </x:c>
      <x:c r="N268" s="37" t="n">
        <x:v>46197</x:v>
      </x:c>
      <x:c r="O268" s="37"/>
      <x:c r="P268" s="34" t="n">
        <x:v>284.66</x:v>
      </x:c>
      <x:c r="Q268" s="37" t="n">
        <x:v>46198.159050925926</x:v>
      </x:c>
    </x:row>
    <x:row r="269">
      <x:c r="A269" s="22" t="n">
        <x:v>36910</x:v>
      </x:c>
      <x:c r="B269" s="28" t="n">
        <x:v>408.18</x:v>
      </x:c>
      <x:c r="C269" s="28" t="n">
        <x:v>449</x:v>
      </x:c>
      <x:c r="D269" s="31" t="n">
        <x:f>IF(OR(ISBLANK(B269),ISBLANK(C269),B269=0),"",(C269-B269)/B269)</x:f>
        <x:v>0.10000489979910822</x:v>
      </x:c>
      <x:c r="E269" s="22" t="str">
        <x:f>IF(ISBLANK(C269),"AmountIncludingTax缺失",IF(ABS(B269-C269)&lt;0.005,"一致","不一致"))</x:f>
        <x:v>不一致</x:v>
      </x:c>
      <x:c r="F269" s="19" t="str">
        <x:v>approved</x:v>
      </x:c>
      <x:c r="G269" s="19" t="str">
        <x:v>Repair in Progress</x:v>
      </x:c>
      <x:c r="H269" s="19" t="str">
        <x:v>In Field</x:v>
      </x:c>
      <x:c r="I269" s="37" t="n">
        <x:v>46210</x:v>
      </x:c>
      <x:c r="J269" s="37" t="n">
        <x:v>46210</x:v>
      </x:c>
      <x:c r="K269" s="19" t="str">
        <x:v>Regent RV - Perth</x:v>
      </x:c>
      <x:c r="L269" s="19" t="str">
        <x:v>Z006</x:v>
      </x:c>
      <x:c r="M269" s="19" t="str">
        <x:v>In Field Warranty Claims</x:v>
      </x:c>
      <x:c r="N269" s="37" t="n">
        <x:v>46198</x:v>
      </x:c>
      <x:c r="O269" s="37"/>
      <x:c r="P269" s="34" t="n">
        <x:v>449</x:v>
      </x:c>
      <x:c r="Q269" s="37" t="n">
        <x:v>46210.21141203704</x:v>
      </x:c>
    </x:row>
    <x:row r="270">
      <x:c r="A270" s="22" t="n">
        <x:v>36909</x:v>
      </x:c>
      <x:c r="B270" s="28" t="n">
        <x:v>661.25</x:v>
      </x:c>
      <x:c r="C270" s="28"/>
      <x:c r="D270" s="31" t="str">
        <x:f>IF(OR(ISBLANK(B270),ISBLANK(C270),B270=0),"",(C270-B270)/B270)</x:f>
      </x:c>
      <x:c r="E270" s="22" t="str">
        <x:f>IF(ISBLANK(C270),"AmountIncludingTax缺失",IF(ABS(B270-C270)&lt;0.005,"一致","不一致"))</x:f>
        <x:v>AmountIncludingTax缺失</x:v>
      </x:c>
      <x:c r="F270" s="19" t="str">
        <x:v>approved</x:v>
      </x:c>
      <x:c r="G270" s="19" t="str">
        <x:v>Sales Order Approved</x:v>
      </x:c>
      <x:c r="H270" s="19" t="str">
        <x:v>Pre Delivery</x:v>
      </x:c>
      <x:c r="I270" s="37" t="n">
        <x:v>46210</x:v>
      </x:c>
      <x:c r="J270" s="37" t="n">
        <x:v>46210</x:v>
      </x:c>
      <x:c r="K270" s="19" t="str">
        <x:v>Leisure Lion - Bundaberg</x:v>
      </x:c>
      <x:c r="L270" s="19" t="str">
        <x:v>Z005</x:v>
      </x:c>
      <x:c r="M270" s="19" t="str">
        <x:v>Pre Delivery Warranty Claims</x:v>
      </x:c>
      <x:c r="N270" s="37" t="n">
        <x:v>46198</x:v>
      </x:c>
      <x:c r="O270" s="37"/>
      <x:c r="P270" s="34" t="n">
        <x:v>0</x:v>
      </x:c>
      <x:c r="Q270" s="37" t="n">
        <x:v>46210.232881944445</x:v>
      </x:c>
    </x:row>
    <x:row r="271">
      <x:c r="A271" s="22" t="n">
        <x:v>36908</x:v>
      </x:c>
      <x:c r="B271" s="28" t="n">
        <x:v>175</x:v>
      </x:c>
      <x:c r="C271" s="28"/>
      <x:c r="D271" s="31" t="str">
        <x:f>IF(OR(ISBLANK(B271),ISBLANK(C271),B271=0),"",(C271-B271)/B271)</x:f>
      </x:c>
      <x:c r="E271" s="22" t="str">
        <x:f>IF(ISBLANK(C271),"AmountIncludingTax缺失",IF(ABS(B271-C271)&lt;0.005,"一致","不一致"))</x:f>
        <x:v>AmountIncludingTax缺失</x:v>
      </x:c>
      <x:c r="F271" s="19" t="str">
        <x:v>approved</x:v>
      </x:c>
      <x:c r="G271" s="19" t="str">
        <x:v>Sales Order Approved</x:v>
      </x:c>
      <x:c r="H271" s="19" t="str">
        <x:v>In Field</x:v>
      </x:c>
      <x:c r="I271" s="37" t="n">
        <x:v>46199</x:v>
      </x:c>
      <x:c r="J271" s="37" t="n">
        <x:v>46199</x:v>
      </x:c>
      <x:c r="K271" s="19" t="str">
        <x:v>Destiny RV - South Australia</x:v>
      </x:c>
      <x:c r="L271" s="19" t="str">
        <x:v>Z006</x:v>
      </x:c>
      <x:c r="M271" s="19" t="str">
        <x:v>In Field Warranty Claims</x:v>
      </x:c>
      <x:c r="N271" s="37" t="n">
        <x:v>46198</x:v>
      </x:c>
      <x:c r="O271" s="37"/>
      <x:c r="P271" s="34" t="n">
        <x:v>0</x:v>
      </x:c>
      <x:c r="Q271" s="37" t="n">
        <x:v>46198.900671296295</x:v>
      </x:c>
    </x:row>
    <x:row r="272">
      <x:c r="A272" s="22" t="n">
        <x:v>36907</x:v>
      </x:c>
      <x:c r="B272" s="28" t="n">
        <x:v>308.95</x:v>
      </x:c>
      <x:c r="C272" s="28" t="n">
        <x:v>339.85</x:v>
      </x:c>
      <x:c r="D272" s="31" t="n">
        <x:f>IF(OR(ISBLANK(B272),ISBLANK(C272),B272=0),"",(C272-B272)/B272)</x:f>
        <x:v>0.10001618384851929</x:v>
      </x:c>
      <x:c r="E272" s="22" t="str">
        <x:f>IF(ISBLANK(C272),"AmountIncludingTax缺失",IF(ABS(B272-C272)&lt;0.005,"一致","不一致"))</x:f>
        <x:v>不一致</x:v>
      </x:c>
      <x:c r="F272" s="19" t="str">
        <x:v>approved</x:v>
      </x:c>
      <x:c r="G272" s="19" t="str">
        <x:v>Repair in Progress</x:v>
      </x:c>
      <x:c r="H272" s="19" t="str">
        <x:v>In Field</x:v>
      </x:c>
      <x:c r="I272" s="37" t="n">
        <x:v>46203</x:v>
      </x:c>
      <x:c r="J272" s="37" t="n">
        <x:v>46203</x:v>
      </x:c>
      <x:c r="K272" s="19" t="str">
        <x:v>Regent RV - Toowoomba</x:v>
      </x:c>
      <x:c r="L272" s="19" t="str">
        <x:v>Z006</x:v>
      </x:c>
      <x:c r="M272" s="19" t="str">
        <x:v>In Field Warranty Claims</x:v>
      </x:c>
      <x:c r="N272" s="37" t="n">
        <x:v>46198</x:v>
      </x:c>
      <x:c r="O272" s="37"/>
      <x:c r="P272" s="34" t="n">
        <x:v>339.85</x:v>
      </x:c>
      <x:c r="Q272" s="37" t="n">
        <x:v>46203.05306712963</x:v>
      </x:c>
    </x:row>
    <x:row r="273">
      <x:c r="A273" s="22" t="n">
        <x:v>36903</x:v>
      </x:c>
      <x:c r="B273" s="28" t="n">
        <x:v>415</x:v>
      </x:c>
      <x:c r="C273" s="28"/>
      <x:c r="D273" s="31" t="str">
        <x:f>IF(OR(ISBLANK(B273),ISBLANK(C273),B273=0),"",(C273-B273)/B273)</x:f>
      </x:c>
      <x:c r="E273" s="22" t="str">
        <x:f>IF(ISBLANK(C273),"AmountIncludingTax缺失",IF(ABS(B273-C273)&lt;0.005,"一致","不一致"))</x:f>
        <x:v>AmountIncludingTax缺失</x:v>
      </x:c>
      <x:c r="F273" s="19" t="str">
        <x:v>approved</x:v>
      </x:c>
      <x:c r="G273" s="19" t="str">
        <x:v>Repair in Progress</x:v>
      </x:c>
      <x:c r="H273" s="19" t="str">
        <x:v>In Field</x:v>
      </x:c>
      <x:c r="I273" s="37" t="n">
        <x:v>46202</x:v>
      </x:c>
      <x:c r="J273" s="37" t="n">
        <x:v>46202</x:v>
      </x:c>
      <x:c r="K273" s="19" t="str">
        <x:v>Newcastle RV Super Centre - Beresfield</x:v>
      </x:c>
      <x:c r="L273" s="19" t="str">
        <x:v>Z006</x:v>
      </x:c>
      <x:c r="M273" s="19" t="str">
        <x:v>In Field Warranty Claims</x:v>
      </x:c>
      <x:c r="N273" s="37" t="n">
        <x:v>46197</x:v>
      </x:c>
      <x:c r="O273" s="37"/>
      <x:c r="P273" s="34" t="n">
        <x:v>0</x:v>
      </x:c>
      <x:c r="Q273" s="37" t="n">
        <x:v>46201.892534722225</x:v>
      </x:c>
    </x:row>
    <x:row r="274">
      <x:c r="A274" s="22" t="n">
        <x:v>36902</x:v>
      </x:c>
      <x:c r="B274" s="28" t="n">
        <x:v>870</x:v>
      </x:c>
      <x:c r="C274" s="28"/>
      <x:c r="D274" s="31" t="str">
        <x:f>IF(OR(ISBLANK(B274),ISBLANK(C274),B274=0),"",(C274-B274)/B274)</x:f>
      </x:c>
      <x:c r="E274" s="22" t="str">
        <x:f>IF(ISBLANK(C274),"AmountIncludingTax缺失",IF(ABS(B274-C274)&lt;0.005,"一致","不一致"))</x:f>
        <x:v>AmountIncludingTax缺失</x:v>
      </x:c>
      <x:c r="F274" s="19" t="str">
        <x:v>approved</x:v>
      </x:c>
      <x:c r="G274" s="19" t="str">
        <x:v>Partially Picked</x:v>
      </x:c>
      <x:c r="H274" s="19" t="str">
        <x:v>In Field</x:v>
      </x:c>
      <x:c r="I274" s="37" t="n">
        <x:v>46199</x:v>
      </x:c>
      <x:c r="J274" s="37" t="n">
        <x:v>46199</x:v>
      </x:c>
      <x:c r="K274" s="19" t="str">
        <x:v>Newcastle RV Super Centre - Beresfield</x:v>
      </x:c>
      <x:c r="L274" s="19" t="str">
        <x:v>Z006</x:v>
      </x:c>
      <x:c r="M274" s="19" t="str">
        <x:v>In Field Warranty Claims</x:v>
      </x:c>
      <x:c r="N274" s="37" t="n">
        <x:v>46197</x:v>
      </x:c>
      <x:c r="O274" s="37"/>
      <x:c r="P274" s="34" t="n">
        <x:v>0</x:v>
      </x:c>
      <x:c r="Q274" s="37" t="n">
        <x:v>46199.10402777778</x:v>
      </x:c>
    </x:row>
    <x:row r="275">
      <x:c r="A275" s="22" t="n">
        <x:v>36901</x:v>
      </x:c>
      <x:c r="B275" s="28" t="n">
        <x:v>1098</x:v>
      </x:c>
      <x:c r="C275" s="28"/>
      <x:c r="D275" s="31" t="str">
        <x:f>IF(OR(ISBLANK(B275),ISBLANK(C275),B275=0),"",(C275-B275)/B275)</x:f>
      </x:c>
      <x:c r="E275" s="22" t="str">
        <x:f>IF(ISBLANK(C275),"AmountIncludingTax缺失",IF(ABS(B275-C275)&lt;0.005,"一致","不一致"))</x:f>
        <x:v>AmountIncludingTax缺失</x:v>
      </x:c>
      <x:c r="F275" s="19" t="str">
        <x:v>approved</x:v>
      </x:c>
      <x:c r="G275" s="19" t="str">
        <x:v>Sales Order Approved</x:v>
      </x:c>
      <x:c r="H275" s="19" t="str">
        <x:v>In Field</x:v>
      </x:c>
      <x:c r="I275" s="37" t="n">
        <x:v>46198</x:v>
      </x:c>
      <x:c r="J275" s="37" t="n">
        <x:v>46198</x:v>
      </x:c>
      <x:c r="K275" s="19" t="str">
        <x:v>Green RV - Forest Glen</x:v>
      </x:c>
      <x:c r="L275" s="19" t="str">
        <x:v>Z006</x:v>
      </x:c>
      <x:c r="M275" s="19" t="str">
        <x:v>In Field Warranty Claims</x:v>
      </x:c>
      <x:c r="N275" s="37" t="n">
        <x:v>46197</x:v>
      </x:c>
      <x:c r="O275" s="37"/>
      <x:c r="P275" s="34" t="n">
        <x:v>0</x:v>
      </x:c>
      <x:c r="Q275" s="37" t="n">
        <x:v>46198.14776620371</x:v>
      </x:c>
    </x:row>
    <x:row r="276">
      <x:c r="A276" s="22" t="n">
        <x:v>36897</x:v>
      </x:c>
      <x:c r="B276" s="28" t="n">
        <x:v>555.79</x:v>
      </x:c>
      <x:c r="C276" s="28" t="n">
        <x:v>611.37</x:v>
      </x:c>
      <x:c r="D276" s="31" t="n">
        <x:f>IF(OR(ISBLANK(B276),ISBLANK(C276),B276=0),"",(C276-B276)/B276)</x:f>
        <x:v>0.1000017992407205</x:v>
      </x:c>
      <x:c r="E276" s="22" t="str">
        <x:f>IF(ISBLANK(C276),"AmountIncludingTax缺失",IF(ABS(B276-C276)&lt;0.005,"一致","不一致"))</x:f>
        <x:v>不一致</x:v>
      </x:c>
      <x:c r="F276" s="19" t="str">
        <x:v>approved</x:v>
      </x:c>
      <x:c r="G276" s="19" t="str">
        <x:v>Repair in Progress</x:v>
      </x:c>
      <x:c r="H276" s="19" t="str">
        <x:v>Pre Delivery</x:v>
      </x:c>
      <x:c r="I276" s="37" t="n">
        <x:v>46202</x:v>
      </x:c>
      <x:c r="J276" s="37" t="n">
        <x:v>46202</x:v>
      </x:c>
      <x:c r="K276" s="19" t="str">
        <x:v>Destiny RV - South Australia</x:v>
      </x:c>
      <x:c r="L276" s="19" t="str">
        <x:v>Z005</x:v>
      </x:c>
      <x:c r="M276" s="19" t="str">
        <x:v>Pre Delivery Warranty Claims</x:v>
      </x:c>
      <x:c r="N276" s="37" t="n">
        <x:v>46198</x:v>
      </x:c>
      <x:c r="O276" s="37"/>
      <x:c r="P276" s="34" t="n">
        <x:v>611.37</x:v>
      </x:c>
      <x:c r="Q276" s="37" t="n">
        <x:v>46202.26013888889</x:v>
      </x:c>
    </x:row>
    <x:row r="277">
      <x:c r="A277" s="22" t="n">
        <x:v>36890</x:v>
      </x:c>
      <x:c r="B277" s="28" t="n">
        <x:v>135</x:v>
      </x:c>
      <x:c r="C277" s="28"/>
      <x:c r="D277" s="31" t="str">
        <x:f>IF(OR(ISBLANK(B277),ISBLANK(C277),B277=0),"",(C277-B277)/B277)</x:f>
      </x:c>
      <x:c r="E277" s="22" t="str">
        <x:f>IF(ISBLANK(C277),"AmountIncludingTax缺失",IF(ABS(B277-C277)&lt;0.005,"一致","不一致"))</x:f>
        <x:v>AmountIncludingTax缺失</x:v>
      </x:c>
      <x:c r="F277" s="19" t="str">
        <x:v>approved</x:v>
      </x:c>
      <x:c r="G277" s="19" t="str">
        <x:v>Sales Order Approved</x:v>
      </x:c>
      <x:c r="H277" s="19" t="str">
        <x:v>In Field</x:v>
      </x:c>
      <x:c r="I277" s="37" t="n">
        <x:v>46202</x:v>
      </x:c>
      <x:c r="J277" s="37" t="n">
        <x:v>46202</x:v>
      </x:c>
      <x:c r="K277" s="19" t="str">
        <x:v>Leisure Lion - Bundaberg</x:v>
      </x:c>
      <x:c r="L277" s="19" t="str">
        <x:v>Z006</x:v>
      </x:c>
      <x:c r="M277" s="19" t="str">
        <x:v>In Field Warranty Claims</x:v>
      </x:c>
      <x:c r="N277" s="37" t="n">
        <x:v>46197</x:v>
      </x:c>
      <x:c r="O277" s="37"/>
      <x:c r="P277" s="34" t="n">
        <x:v>0</x:v>
      </x:c>
      <x:c r="Q277" s="37" t="n">
        <x:v>46202.17670138889</x:v>
      </x:c>
    </x:row>
    <x:row r="278">
      <x:c r="A278" s="22" t="n">
        <x:v>36888</x:v>
      </x:c>
      <x:c r="B278" s="28" t="n">
        <x:v>637.5</x:v>
      </x:c>
      <x:c r="C278" s="28"/>
      <x:c r="D278" s="31" t="str">
        <x:f>IF(OR(ISBLANK(B278),ISBLANK(C278),B278=0),"",(C278-B278)/B278)</x:f>
      </x:c>
      <x:c r="E278" s="22" t="str">
        <x:f>IF(ISBLANK(C278),"AmountIncludingTax缺失",IF(ABS(B278-C278)&lt;0.005,"一致","不一致"))</x:f>
        <x:v>AmountIncludingTax缺失</x:v>
      </x:c>
      <x:c r="F278" s="19" t="str">
        <x:v>approved</x:v>
      </x:c>
      <x:c r="G278" s="19" t="str">
        <x:v>Partially Picked</x:v>
      </x:c>
      <x:c r="H278" s="19" t="str">
        <x:v>In Field</x:v>
      </x:c>
      <x:c r="I278" s="37" t="n">
        <x:v>46199</x:v>
      </x:c>
      <x:c r="J278" s="37" t="n">
        <x:v>46199</x:v>
      </x:c>
      <x:c r="K278" s="19" t="str">
        <x:v>Regent RV - Frankston</x:v>
      </x:c>
      <x:c r="L278" s="19" t="str">
        <x:v>Z006</x:v>
      </x:c>
      <x:c r="M278" s="19" t="str">
        <x:v>In Field Warranty Claims</x:v>
      </x:c>
      <x:c r="N278" s="37" t="n">
        <x:v>46197</x:v>
      </x:c>
      <x:c r="O278" s="37"/>
      <x:c r="P278" s="34" t="n">
        <x:v>0</x:v>
      </x:c>
      <x:c r="Q278" s="37" t="n">
        <x:v>46199.158472222225</x:v>
      </x:c>
    </x:row>
    <x:row r="279">
      <x:c r="A279" s="22" t="n">
        <x:v>36887</x:v>
      </x:c>
      <x:c r="B279" s="28" t="n">
        <x:v>580</x:v>
      </x:c>
      <x:c r="C279" s="28"/>
      <x:c r="D279" s="31" t="str">
        <x:f>IF(OR(ISBLANK(B279),ISBLANK(C279),B279=0),"",(C279-B279)/B279)</x:f>
      </x:c>
      <x:c r="E279" s="22" t="str">
        <x:f>IF(ISBLANK(C279),"AmountIncludingTax缺失",IF(ABS(B279-C279)&lt;0.005,"一致","不一致"))</x:f>
        <x:v>AmountIncludingTax缺失</x:v>
      </x:c>
      <x:c r="F279" s="19" t="str">
        <x:v>approved</x:v>
      </x:c>
      <x:c r="G279" s="19" t="str">
        <x:v>Repair in Progress</x:v>
      </x:c>
      <x:c r="H279" s="19" t="str">
        <x:v>In Field</x:v>
      </x:c>
      <x:c r="I279" s="37" t="n">
        <x:v>46198</x:v>
      </x:c>
      <x:c r="J279" s="37" t="n">
        <x:v>46198</x:v>
      </x:c>
      <x:c r="K279" s="19" t="str">
        <x:v>Green RV - Forest Glen</x:v>
      </x:c>
      <x:c r="L279" s="19" t="str">
        <x:v>Z006</x:v>
      </x:c>
      <x:c r="M279" s="19" t="str">
        <x:v>In Field Warranty Claims</x:v>
      </x:c>
      <x:c r="N279" s="37" t="n">
        <x:v>46197</x:v>
      </x:c>
      <x:c r="O279" s="37"/>
      <x:c r="P279" s="34" t="n">
        <x:v>0</x:v>
      </x:c>
      <x:c r="Q279" s="37" t="n">
        <x:v>46198.16994212963</x:v>
      </x:c>
    </x:row>
    <x:row r="280">
      <x:c r="A280" s="22" t="n">
        <x:v>36886</x:v>
      </x:c>
      <x:c r="B280" s="28" t="n">
        <x:v>782.5</x:v>
      </x:c>
      <x:c r="C280" s="28"/>
      <x:c r="D280" s="31" t="str">
        <x:f>IF(OR(ISBLANK(B280),ISBLANK(C280),B280=0),"",(C280-B280)/B280)</x:f>
      </x:c>
      <x:c r="E280" s="22" t="str">
        <x:f>IF(ISBLANK(C280),"AmountIncludingTax缺失",IF(ABS(B280-C280)&lt;0.005,"一致","不一致"))</x:f>
        <x:v>AmountIncludingTax缺失</x:v>
      </x:c>
      <x:c r="F280" s="19" t="str">
        <x:v>approved</x:v>
      </x:c>
      <x:c r="G280" s="19" t="str">
        <x:v>Partially Picked</x:v>
      </x:c>
      <x:c r="H280" s="19" t="str">
        <x:v>In Field</x:v>
      </x:c>
      <x:c r="I280" s="37" t="n">
        <x:v>46201</x:v>
      </x:c>
      <x:c r="J280" s="37" t="n">
        <x:v>46201</x:v>
      </x:c>
      <x:c r="K280" s="19" t="str">
        <x:v>Regent RV - Frankston</x:v>
      </x:c>
      <x:c r="L280" s="19" t="str">
        <x:v>Z006</x:v>
      </x:c>
      <x:c r="M280" s="19" t="str">
        <x:v>In Field Warranty Claims</x:v>
      </x:c>
      <x:c r="N280" s="37" t="n">
        <x:v>46197</x:v>
      </x:c>
      <x:c r="O280" s="37"/>
      <x:c r="P280" s="34" t="n">
        <x:v>0</x:v>
      </x:c>
      <x:c r="Q280" s="37" t="n">
        <x:v>46200.98087962963</x:v>
      </x:c>
    </x:row>
    <x:row r="281">
      <x:c r="A281" s="22" t="n">
        <x:v>36885</x:v>
      </x:c>
      <x:c r="B281" s="28" t="n">
        <x:v>550</x:v>
      </x:c>
      <x:c r="C281" s="28"/>
      <x:c r="D281" s="31" t="str">
        <x:f>IF(OR(ISBLANK(B281),ISBLANK(C281),B281=0),"",(C281-B281)/B281)</x:f>
      </x:c>
      <x:c r="E281" s="22" t="str">
        <x:f>IF(ISBLANK(C281),"AmountIncludingTax缺失",IF(ABS(B281-C281)&lt;0.005,"一致","不一致"))</x:f>
        <x:v>AmountIncludingTax缺失</x:v>
      </x:c>
      <x:c r="F281" s="19" t="str">
        <x:v>approved</x:v>
      </x:c>
      <x:c r="G281" s="19" t="str">
        <x:v>Sales Order Approved</x:v>
      </x:c>
      <x:c r="H281" s="19" t="str">
        <x:v>In Field</x:v>
      </x:c>
      <x:c r="I281" s="37" t="n">
        <x:v>46202</x:v>
      </x:c>
      <x:c r="J281" s="37" t="n">
        <x:v>46202</x:v>
      </x:c>
      <x:c r="K281" s="19" t="str">
        <x:v>Leisure Lion - Bundaberg</x:v>
      </x:c>
      <x:c r="L281" s="19" t="str">
        <x:v>Z006</x:v>
      </x:c>
      <x:c r="M281" s="19" t="str">
        <x:v>In Field Warranty Claims</x:v>
      </x:c>
      <x:c r="N281" s="37" t="n">
        <x:v>46197</x:v>
      </x:c>
      <x:c r="O281" s="37"/>
      <x:c r="P281" s="34" t="n">
        <x:v>0</x:v>
      </x:c>
      <x:c r="Q281" s="37" t="n">
        <x:v>46202.17542824074</x:v>
      </x:c>
    </x:row>
    <x:row r="282">
      <x:c r="A282" s="22" t="n">
        <x:v>36883</x:v>
      </x:c>
      <x:c r="B282" s="28" t="n">
        <x:v>202.5</x:v>
      </x:c>
      <x:c r="C282" s="28"/>
      <x:c r="D282" s="31" t="str">
        <x:f>IF(OR(ISBLANK(B282),ISBLANK(C282),B282=0),"",(C282-B282)/B282)</x:f>
      </x:c>
      <x:c r="E282" s="22" t="str">
        <x:f>IF(ISBLANK(C282),"AmountIncludingTax缺失",IF(ABS(B282-C282)&lt;0.005,"一致","不一致"))</x:f>
        <x:v>AmountIncludingTax缺失</x:v>
      </x:c>
      <x:c r="F282" s="19" t="str">
        <x:v>approved</x:v>
      </x:c>
      <x:c r="G282" s="19" t="str">
        <x:v>Sales Order Approved</x:v>
      </x:c>
      <x:c r="H282" s="19" t="str">
        <x:v>Pre Delivery</x:v>
      </x:c>
      <x:c r="I282" s="37" t="n">
        <x:v>46206</x:v>
      </x:c>
      <x:c r="J282" s="37" t="n">
        <x:v>46206</x:v>
      </x:c>
      <x:c r="K282" s="19" t="str">
        <x:v>Green RV - Slacks Creek</x:v>
      </x:c>
      <x:c r="L282" s="19" t="str">
        <x:v>Z005</x:v>
      </x:c>
      <x:c r="M282" s="19" t="str">
        <x:v>Pre Delivery Warranty Claims</x:v>
      </x:c>
      <x:c r="N282" s="37" t="n">
        <x:v>46197</x:v>
      </x:c>
      <x:c r="O282" s="37"/>
      <x:c r="P282" s="34" t="n">
        <x:v>0</x:v>
      </x:c>
      <x:c r="Q282" s="37" t="n">
        <x:v>46205.943877314814</x:v>
      </x:c>
    </x:row>
    <x:row r="283">
      <x:c r="A283" s="22" t="n">
        <x:v>36882</x:v>
      </x:c>
      <x:c r="B283" s="28" t="n">
        <x:v>1545</x:v>
      </x:c>
      <x:c r="C283" s="28"/>
      <x:c r="D283" s="31" t="str">
        <x:f>IF(OR(ISBLANK(B283),ISBLANK(C283),B283=0),"",(C283-B283)/B283)</x:f>
      </x:c>
      <x:c r="E283" s="22" t="str">
        <x:f>IF(ISBLANK(C283),"AmountIncludingTax缺失",IF(ABS(B283-C283)&lt;0.005,"一致","不一致"))</x:f>
        <x:v>AmountIncludingTax缺失</x:v>
      </x:c>
      <x:c r="F283" s="19" t="str">
        <x:v>approved</x:v>
      </x:c>
      <x:c r="G283" s="19" t="str">
        <x:v>Sales Order Approved</x:v>
      </x:c>
      <x:c r="H283" s="19" t="str">
        <x:v>In Field</x:v>
      </x:c>
      <x:c r="I283" s="37" t="n">
        <x:v>46205</x:v>
      </x:c>
      <x:c r="J283" s="37" t="n">
        <x:v>46205</x:v>
      </x:c>
      <x:c r="K283" s="19" t="str">
        <x:v>Green RV - Forest Glen</x:v>
      </x:c>
      <x:c r="L283" s="19" t="str">
        <x:v>Z006</x:v>
      </x:c>
      <x:c r="M283" s="19" t="str">
        <x:v>In Field Warranty Claims</x:v>
      </x:c>
      <x:c r="N283" s="37" t="n">
        <x:v>46197</x:v>
      </x:c>
      <x:c r="O283" s="37"/>
      <x:c r="P283" s="34" t="n">
        <x:v>0</x:v>
      </x:c>
      <x:c r="Q283" s="37" t="n">
        <x:v>46205.17729166667</x:v>
      </x:c>
    </x:row>
    <x:row r="284">
      <x:c r="A284" s="22" t="n">
        <x:v>36872</x:v>
      </x:c>
      <x:c r="B284" s="28" t="n">
        <x:v>258.64</x:v>
      </x:c>
      <x:c r="C284" s="28" t="n">
        <x:v>284.5</x:v>
      </x:c>
      <x:c r="D284" s="31" t="n">
        <x:f>IF(OR(ISBLANK(B284),ISBLANK(C284),B284=0),"",(C284-B284)/B284)</x:f>
        <x:v>0.09998453448809161</x:v>
      </x:c>
      <x:c r="E284" s="22" t="str">
        <x:f>IF(ISBLANK(C284),"AmountIncludingTax缺失",IF(ABS(B284-C284)&lt;0.005,"一致","不一致"))</x:f>
        <x:v>不一致</x:v>
      </x:c>
      <x:c r="F284" s="19" t="str">
        <x:v>approved</x:v>
      </x:c>
      <x:c r="G284" s="19" t="str">
        <x:v>Repairer Invoiced Processed</x:v>
      </x:c>
      <x:c r="H284" s="19" t="str">
        <x:v>In Field</x:v>
      </x:c>
      <x:c r="I284" s="37" t="n">
        <x:v>46204</x:v>
      </x:c>
      <x:c r="J284" s="37" t="n">
        <x:v>46204</x:v>
      </x:c>
      <x:c r="K284" s="19" t="str">
        <x:v>Green RV - Slacks Creek</x:v>
      </x:c>
      <x:c r="L284" s="19" t="str">
        <x:v>Z006</x:v>
      </x:c>
      <x:c r="M284" s="19" t="str">
        <x:v>In Field Warranty Claims</x:v>
      </x:c>
      <x:c r="N284" s="37" t="n">
        <x:v>46197</x:v>
      </x:c>
      <x:c r="O284" s="37"/>
      <x:c r="P284" s="34" t="n">
        <x:v>284.5</x:v>
      </x:c>
      <x:c r="Q284" s="37" t="n">
        <x:v>46203.87893518519</x:v>
      </x:c>
    </x:row>
    <x:row r="285">
      <x:c r="A285" s="22" t="n">
        <x:v>36871</x:v>
      </x:c>
      <x:c r="B285" s="28" t="n">
        <x:v>762.5</x:v>
      </x:c>
      <x:c r="C285" s="28"/>
      <x:c r="D285" s="31" t="str">
        <x:f>IF(OR(ISBLANK(B285),ISBLANK(C285),B285=0),"",(C285-B285)/B285)</x:f>
      </x:c>
      <x:c r="E285" s="22" t="str">
        <x:f>IF(ISBLANK(C285),"AmountIncludingTax缺失",IF(ABS(B285-C285)&lt;0.005,"一致","不一致"))</x:f>
        <x:v>AmountIncludingTax缺失</x:v>
      </x:c>
      <x:c r="F285" s="19" t="str">
        <x:v>approved</x:v>
      </x:c>
      <x:c r="G285" s="19" t="str">
        <x:v>Sales Order Approved</x:v>
      </x:c>
      <x:c r="H285" s="19" t="str">
        <x:v>Pre Delivery</x:v>
      </x:c>
      <x:c r="I285" s="37" t="n">
        <x:v>46205</x:v>
      </x:c>
      <x:c r="J285" s="37" t="n">
        <x:v>46205</x:v>
      </x:c>
      <x:c r="K285" s="19" t="str">
        <x:v>Green RV - Forest Glen</x:v>
      </x:c>
      <x:c r="L285" s="19" t="str">
        <x:v>Z005</x:v>
      </x:c>
      <x:c r="M285" s="19" t="str">
        <x:v>Pre Delivery Warranty Claims</x:v>
      </x:c>
      <x:c r="N285" s="37" t="n">
        <x:v>46197</x:v>
      </x:c>
      <x:c r="O285" s="37"/>
      <x:c r="P285" s="34" t="n">
        <x:v>0</x:v>
      </x:c>
      <x:c r="Q285" s="37" t="n">
        <x:v>46205.182708333334</x:v>
      </x:c>
    </x:row>
    <x:row r="286">
      <x:c r="A286" s="22" t="n">
        <x:v>36870</x:v>
      </x:c>
      <x:c r="B286" s="28" t="n">
        <x:v>460</x:v>
      </x:c>
      <x:c r="C286" s="28"/>
      <x:c r="D286" s="31" t="str">
        <x:f>IF(OR(ISBLANK(B286),ISBLANK(C286),B286=0),"",(C286-B286)/B286)</x:f>
      </x:c>
      <x:c r="E286" s="22" t="str">
        <x:f>IF(ISBLANK(C286),"AmountIncludingTax缺失",IF(ABS(B286-C286)&lt;0.005,"一致","不一致"))</x:f>
        <x:v>AmountIncludingTax缺失</x:v>
      </x:c>
      <x:c r="F286" s="19" t="str">
        <x:v>approved</x:v>
      </x:c>
      <x:c r="G286" s="19" t="str">
        <x:v>Sales Order Approved</x:v>
      </x:c>
      <x:c r="H286" s="19" t="str">
        <x:v>In Field</x:v>
      </x:c>
      <x:c r="I286" s="37" t="n">
        <x:v>46198</x:v>
      </x:c>
      <x:c r="J286" s="37" t="n">
        <x:v>46198</x:v>
      </x:c>
      <x:c r="K286" s="19" t="str">
        <x:v>Green RV - Forest Glen</x:v>
      </x:c>
      <x:c r="L286" s="19" t="str">
        <x:v>Z006</x:v>
      </x:c>
      <x:c r="M286" s="19" t="str">
        <x:v>In Field Warranty Claims</x:v>
      </x:c>
      <x:c r="N286" s="37" t="n">
        <x:v>46197</x:v>
      </x:c>
      <x:c r="O286" s="37"/>
      <x:c r="P286" s="34" t="n">
        <x:v>0</x:v>
      </x:c>
      <x:c r="Q286" s="37" t="n">
        <x:v>46198.06275462963</x:v>
      </x:c>
    </x:row>
    <x:row r="287">
      <x:c r="A287" s="22" t="n">
        <x:v>36869</x:v>
      </x:c>
      <x:c r="B287" s="28" t="n">
        <x:v>435</x:v>
      </x:c>
      <x:c r="C287" s="28"/>
      <x:c r="D287" s="31" t="str">
        <x:f>IF(OR(ISBLANK(B287),ISBLANK(C287),B287=0),"",(C287-B287)/B287)</x:f>
      </x:c>
      <x:c r="E287" s="22" t="str">
        <x:f>IF(ISBLANK(C287),"AmountIncludingTax缺失",IF(ABS(B287-C287)&lt;0.005,"一致","不一致"))</x:f>
        <x:v>AmountIncludingTax缺失</x:v>
      </x:c>
      <x:c r="F287" s="19" t="str">
        <x:v>approved</x:v>
      </x:c>
      <x:c r="G287" s="19" t="str">
        <x:v>Partially Picked</x:v>
      </x:c>
      <x:c r="H287" s="19" t="str">
        <x:v>In Field</x:v>
      </x:c>
      <x:c r="I287" s="37" t="n">
        <x:v>46202</x:v>
      </x:c>
      <x:c r="J287" s="37" t="n">
        <x:v>46202</x:v>
      </x:c>
      <x:c r="K287" s="19" t="str">
        <x:v>The Caravan Hub - Townsville</x:v>
      </x:c>
      <x:c r="L287" s="19" t="str">
        <x:v>Z006</x:v>
      </x:c>
      <x:c r="M287" s="19" t="str">
        <x:v>In Field Warranty Claims</x:v>
      </x:c>
      <x:c r="N287" s="37" t="n">
        <x:v>46197</x:v>
      </x:c>
      <x:c r="O287" s="37"/>
      <x:c r="P287" s="34" t="n">
        <x:v>0</x:v>
      </x:c>
      <x:c r="Q287" s="37" t="n">
        <x:v>46201.89040509259</x:v>
      </x:c>
    </x:row>
    <x:row r="288">
      <x:c r="A288" s="22" t="n">
        <x:v>36868</x:v>
      </x:c>
      <x:c r="B288" s="28" t="n">
        <x:v>135</x:v>
      </x:c>
      <x:c r="C288" s="28"/>
      <x:c r="D288" s="31" t="str">
        <x:f>IF(OR(ISBLANK(B288),ISBLANK(C288),B288=0),"",(C288-B288)/B288)</x:f>
      </x:c>
      <x:c r="E288" s="22" t="str">
        <x:f>IF(ISBLANK(C288),"AmountIncludingTax缺失",IF(ABS(B288-C288)&lt;0.005,"一致","不一致"))</x:f>
        <x:v>AmountIncludingTax缺失</x:v>
      </x:c>
      <x:c r="F288" s="19" t="str">
        <x:v>approved</x:v>
      </x:c>
      <x:c r="G288" s="19" t="str">
        <x:v>Repair in Progress</x:v>
      </x:c>
      <x:c r="H288" s="19" t="str">
        <x:v>In Field</x:v>
      </x:c>
      <x:c r="I288" s="37" t="n">
        <x:v>46198</x:v>
      </x:c>
      <x:c r="J288" s="37" t="n">
        <x:v>46198</x:v>
      </x:c>
      <x:c r="K288" s="19" t="str">
        <x:v>Green RV - Forest Glen</x:v>
      </x:c>
      <x:c r="L288" s="19" t="str">
        <x:v>Z006</x:v>
      </x:c>
      <x:c r="M288" s="19" t="str">
        <x:v>In Field Warranty Claims</x:v>
      </x:c>
      <x:c r="N288" s="37" t="n">
        <x:v>46197</x:v>
      </x:c>
      <x:c r="O288" s="37"/>
      <x:c r="P288" s="34" t="n">
        <x:v>0</x:v>
      </x:c>
      <x:c r="Q288" s="37" t="n">
        <x:v>46197.92607638889</x:v>
      </x:c>
    </x:row>
    <x:row r="289">
      <x:c r="A289" s="22" t="n">
        <x:v>36866</x:v>
      </x:c>
      <x:c r="B289" s="28" t="n">
        <x:v>917.5</x:v>
      </x:c>
      <x:c r="C289" s="28"/>
      <x:c r="D289" s="31" t="str">
        <x:f>IF(OR(ISBLANK(B289),ISBLANK(C289),B289=0),"",(C289-B289)/B289)</x:f>
      </x:c>
      <x:c r="E289" s="22" t="str">
        <x:f>IF(ISBLANK(C289),"AmountIncludingTax缺失",IF(ABS(B289-C289)&lt;0.005,"一致","不一致"))</x:f>
        <x:v>AmountIncludingTax缺失</x:v>
      </x:c>
      <x:c r="F289" s="19" t="str">
        <x:v>approved</x:v>
      </x:c>
      <x:c r="G289" s="19" t="str">
        <x:v>Partially Picked</x:v>
      </x:c>
      <x:c r="H289" s="19" t="str">
        <x:v>In Field</x:v>
      </x:c>
      <x:c r="I289" s="37" t="n">
        <x:v>46199</x:v>
      </x:c>
      <x:c r="J289" s="37" t="n">
        <x:v>46199</x:v>
      </x:c>
      <x:c r="K289" s="19" t="str">
        <x:v>Regent RV - Frankston</x:v>
      </x:c>
      <x:c r="L289" s="19" t="str">
        <x:v>Z006</x:v>
      </x:c>
      <x:c r="M289" s="19" t="str">
        <x:v>In Field Warranty Claims</x:v>
      </x:c>
      <x:c r="N289" s="37" t="n">
        <x:v>46197</x:v>
      </x:c>
      <x:c r="O289" s="37"/>
      <x:c r="P289" s="34" t="n">
        <x:v>0</x:v>
      </x:c>
      <x:c r="Q289" s="37" t="n">
        <x:v>46199.02789351852</x:v>
      </x:c>
    </x:row>
    <x:row r="290">
      <x:c r="A290" s="22" t="n">
        <x:v>36865</x:v>
      </x:c>
      <x:c r="B290" s="28" t="n">
        <x:v>145</x:v>
      </x:c>
      <x:c r="C290" s="28"/>
      <x:c r="D290" s="31" t="str">
        <x:f>IF(OR(ISBLANK(B290),ISBLANK(C290),B290=0),"",(C290-B290)/B290)</x:f>
      </x:c>
      <x:c r="E290" s="22" t="str">
        <x:f>IF(ISBLANK(C290),"AmountIncludingTax缺失",IF(ABS(B290-C290)&lt;0.005,"一致","不一致"))</x:f>
        <x:v>AmountIncludingTax缺失</x:v>
      </x:c>
      <x:c r="F290" s="19" t="str">
        <x:v>approved</x:v>
      </x:c>
      <x:c r="G290" s="19" t="str">
        <x:v>Repairer Invoiced Processed</x:v>
      </x:c>
      <x:c r="H290" s="19" t="str">
        <x:v>In Field</x:v>
      </x:c>
      <x:c r="I290" s="37" t="n">
        <x:v>46198</x:v>
      </x:c>
      <x:c r="J290" s="37" t="n">
        <x:v>46198</x:v>
      </x:c>
      <x:c r="K290" s="19" t="str">
        <x:v>Green RV - Forest Glen</x:v>
      </x:c>
      <x:c r="L290" s="19" t="str">
        <x:v>Z006</x:v>
      </x:c>
      <x:c r="M290" s="19" t="str">
        <x:v>In Field Warranty Claims</x:v>
      </x:c>
      <x:c r="N290" s="37" t="n">
        <x:v>46197</x:v>
      </x:c>
      <x:c r="O290" s="37"/>
      <x:c r="P290" s="34" t="n">
        <x:v>0</x:v>
      </x:c>
      <x:c r="Q290" s="37" t="n">
        <x:v>46198.06760416667</x:v>
      </x:c>
    </x:row>
    <x:row r="291">
      <x:c r="A291" s="22" t="n">
        <x:v>36864</x:v>
      </x:c>
      <x:c r="B291" s="28" t="n">
        <x:v>222.5</x:v>
      </x:c>
      <x:c r="C291" s="28"/>
      <x:c r="D291" s="31" t="str">
        <x:f>IF(OR(ISBLANK(B291),ISBLANK(C291),B291=0),"",(C291-B291)/B291)</x:f>
      </x:c>
      <x:c r="E291" s="22" t="str">
        <x:f>IF(ISBLANK(C291),"AmountIncludingTax缺失",IF(ABS(B291-C291)&lt;0.005,"一致","不一致"))</x:f>
        <x:v>AmountIncludingTax缺失</x:v>
      </x:c>
      <x:c r="F291" s="19" t="str">
        <x:v>approved</x:v>
      </x:c>
      <x:c r="G291" s="19" t="str">
        <x:v>Repair in Progress</x:v>
      </x:c>
      <x:c r="H291" s="19" t="str">
        <x:v>In Field</x:v>
      </x:c>
      <x:c r="I291" s="37" t="n">
        <x:v>46199</x:v>
      </x:c>
      <x:c r="J291" s="37" t="n">
        <x:v>46199</x:v>
      </x:c>
      <x:c r="K291" s="19" t="str">
        <x:v>Regent RV - Frankston</x:v>
      </x:c>
      <x:c r="L291" s="19" t="str">
        <x:v>Z006</x:v>
      </x:c>
      <x:c r="M291" s="19" t="str">
        <x:v>In Field Warranty Claims</x:v>
      </x:c>
      <x:c r="N291" s="37" t="n">
        <x:v>46197</x:v>
      </x:c>
      <x:c r="O291" s="37"/>
      <x:c r="P291" s="34" t="n">
        <x:v>0</x:v>
      </x:c>
      <x:c r="Q291" s="37" t="n">
        <x:v>46199.079050925924</x:v>
      </x:c>
    </x:row>
    <x:row r="292">
      <x:c r="A292" s="22" t="n">
        <x:v>36863</x:v>
      </x:c>
      <x:c r="B292" s="28" t="n">
        <x:v>67.5</x:v>
      </x:c>
      <x:c r="C292" s="28"/>
      <x:c r="D292" s="31" t="str">
        <x:f>IF(OR(ISBLANK(B292),ISBLANK(C292),B292=0),"",(C292-B292)/B292)</x:f>
      </x:c>
      <x:c r="E292" s="22" t="str">
        <x:f>IF(ISBLANK(C292),"AmountIncludingTax缺失",IF(ABS(B292-C292)&lt;0.005,"一致","不一致"))</x:f>
        <x:v>AmountIncludingTax缺失</x:v>
      </x:c>
      <x:c r="F292" s="19" t="str">
        <x:v>approved</x:v>
      </x:c>
      <x:c r="G292" s="19" t="str">
        <x:v>Sales Order Approved</x:v>
      </x:c>
      <x:c r="H292" s="19" t="str">
        <x:v>Pre Delivery</x:v>
      </x:c>
      <x:c r="I292" s="37" t="n">
        <x:v>46206</x:v>
      </x:c>
      <x:c r="J292" s="37" t="n">
        <x:v>46206</x:v>
      </x:c>
      <x:c r="K292" s="19" t="str">
        <x:v>Regent RV Pty Ltd</x:v>
      </x:c>
      <x:c r="L292" s="19" t="str">
        <x:v>Z005</x:v>
      </x:c>
      <x:c r="M292" s="19" t="str">
        <x:v>Pre Delivery Warranty Claims</x:v>
      </x:c>
      <x:c r="N292" s="37" t="n">
        <x:v>46197</x:v>
      </x:c>
      <x:c r="O292" s="37"/>
      <x:c r="P292" s="34" t="n">
        <x:v>0</x:v>
      </x:c>
      <x:c r="Q292" s="37" t="n">
        <x:v>46205.93796296296</x:v>
      </x:c>
    </x:row>
    <x:row r="293">
      <x:c r="A293" s="22" t="n">
        <x:v>36861</x:v>
      </x:c>
      <x:c r="B293" s="28" t="n">
        <x:v>288</x:v>
      </x:c>
      <x:c r="C293" s="28"/>
      <x:c r="D293" s="31" t="str">
        <x:f>IF(OR(ISBLANK(B293),ISBLANK(C293),B293=0),"",(C293-B293)/B293)</x:f>
      </x:c>
      <x:c r="E293" s="22" t="str">
        <x:f>IF(ISBLANK(C293),"AmountIncludingTax缺失",IF(ABS(B293-C293)&lt;0.005,"一致","不一致"))</x:f>
        <x:v>AmountIncludingTax缺失</x:v>
      </x:c>
      <x:c r="F293" s="19" t="str">
        <x:v>approved</x:v>
      </x:c>
      <x:c r="G293" s="19" t="str">
        <x:v>Sales Order Approved</x:v>
      </x:c>
      <x:c r="H293" s="19" t="str">
        <x:v>In Field</x:v>
      </x:c>
      <x:c r="I293" s="37" t="n">
        <x:v>46198</x:v>
      </x:c>
      <x:c r="J293" s="37" t="n">
        <x:v>46198</x:v>
      </x:c>
      <x:c r="K293" s="19" t="str">
        <x:v>Green RV - Forest Glen</x:v>
      </x:c>
      <x:c r="L293" s="19" t="str">
        <x:v>Z006</x:v>
      </x:c>
      <x:c r="M293" s="19" t="str">
        <x:v>In Field Warranty Claims</x:v>
      </x:c>
      <x:c r="N293" s="37" t="n">
        <x:v>46197</x:v>
      </x:c>
      <x:c r="O293" s="37"/>
      <x:c r="P293" s="34" t="n">
        <x:v>0</x:v>
      </x:c>
      <x:c r="Q293" s="37" t="n">
        <x:v>46198.07266203704</x:v>
      </x:c>
    </x:row>
    <x:row r="294">
      <x:c r="A294" s="22" t="n">
        <x:v>36858</x:v>
      </x:c>
      <x:c r="B294" s="28" t="n">
        <x:v>38.75</x:v>
      </x:c>
      <x:c r="C294" s="28"/>
      <x:c r="D294" s="31" t="str">
        <x:f>IF(OR(ISBLANK(B294),ISBLANK(C294),B294=0),"",(C294-B294)/B294)</x:f>
      </x:c>
      <x:c r="E294" s="22" t="str">
        <x:f>IF(ISBLANK(C294),"AmountIncludingTax缺失",IF(ABS(B294-C294)&lt;0.005,"一致","不一致"))</x:f>
        <x:v>AmountIncludingTax缺失</x:v>
      </x:c>
      <x:c r="F294" s="19" t="str">
        <x:v>approved</x:v>
      </x:c>
      <x:c r="G294" s="19" t="str">
        <x:v>Sales Order Approved</x:v>
      </x:c>
      <x:c r="H294" s="19" t="str">
        <x:v>Pre Delivery</x:v>
      </x:c>
      <x:c r="I294" s="37" t="n">
        <x:v>46205</x:v>
      </x:c>
      <x:c r="J294" s="37" t="n">
        <x:v>46205</x:v>
      </x:c>
      <x:c r="K294" s="19" t="str">
        <x:v>Green RV - Forest Glen</x:v>
      </x:c>
      <x:c r="L294" s="19" t="str">
        <x:v>Z005</x:v>
      </x:c>
      <x:c r="M294" s="19" t="str">
        <x:v>Pre Delivery Warranty Claims</x:v>
      </x:c>
      <x:c r="N294" s="37" t="n">
        <x:v>46197</x:v>
      </x:c>
      <x:c r="O294" s="37"/>
      <x:c r="P294" s="34" t="n">
        <x:v>0</x:v>
      </x:c>
      <x:c r="Q294" s="37" t="n">
        <x:v>46205.17377314815</x:v>
      </x:c>
    </x:row>
    <x:row r="295">
      <x:c r="A295" s="22" t="n">
        <x:v>36855</x:v>
      </x:c>
      <x:c r="B295" s="28" t="n">
        <x:v>437.18</x:v>
      </x:c>
      <x:c r="C295" s="28" t="n">
        <x:v>480.9</x:v>
      </x:c>
      <x:c r="D295" s="31" t="n">
        <x:f>IF(OR(ISBLANK(B295),ISBLANK(C295),B295=0),"",(C295-B295)/B295)</x:f>
        <x:v>0.10000457477469228</x:v>
      </x:c>
      <x:c r="E295" s="22" t="str">
        <x:f>IF(ISBLANK(C295),"AmountIncludingTax缺失",IF(ABS(B295-C295)&lt;0.005,"一致","不一致"))</x:f>
        <x:v>不一致</x:v>
      </x:c>
      <x:c r="F295" s="19" t="str">
        <x:v>approved</x:v>
      </x:c>
      <x:c r="G295" s="19" t="str">
        <x:v>Repairer Invoiced Processed</x:v>
      </x:c>
      <x:c r="H295" s="19" t="str">
        <x:v>In Field</x:v>
      </x:c>
      <x:c r="I295" s="37" t="n">
        <x:v>46202</x:v>
      </x:c>
      <x:c r="J295" s="37" t="n">
        <x:v>46202</x:v>
      </x:c>
      <x:c r="K295" s="19" t="str">
        <x:v>Regent RV - Perth</x:v>
      </x:c>
      <x:c r="L295" s="19" t="str">
        <x:v>Z006</x:v>
      </x:c>
      <x:c r="M295" s="19" t="str">
        <x:v>In Field Warranty Claims</x:v>
      </x:c>
      <x:c r="N295" s="37" t="n">
        <x:v>46197</x:v>
      </x:c>
      <x:c r="O295" s="37"/>
      <x:c r="P295" s="34" t="n">
        <x:v>480.9</x:v>
      </x:c>
      <x:c r="Q295" s="37" t="n">
        <x:v>46201.98960648148</x:v>
      </x:c>
    </x:row>
    <x:row r="296">
      <x:c r="A296" s="22" t="n">
        <x:v>36854</x:v>
      </x:c>
      <x:c r="B296" s="28" t="n">
        <x:v>230.86</x:v>
      </x:c>
      <x:c r="C296" s="28" t="n">
        <x:v>253.95</x:v>
      </x:c>
      <x:c r="D296" s="31" t="n">
        <x:f>IF(OR(ISBLANK(B296),ISBLANK(C296),B296=0),"",(C296-B296)/B296)</x:f>
        <x:v>0.10001732651823604</x:v>
      </x:c>
      <x:c r="E296" s="22" t="str">
        <x:f>IF(ISBLANK(C296),"AmountIncludingTax缺失",IF(ABS(B296-C296)&lt;0.005,"一致","不一致"))</x:f>
        <x:v>不一致</x:v>
      </x:c>
      <x:c r="F296" s="19" t="str">
        <x:v>approved</x:v>
      </x:c>
      <x:c r="G296" s="19" t="str">
        <x:v>Repairer Invoiced Processed</x:v>
      </x:c>
      <x:c r="H296" s="19" t="str">
        <x:v>In Field</x:v>
      </x:c>
      <x:c r="I296" s="37" t="n">
        <x:v>46199</x:v>
      </x:c>
      <x:c r="J296" s="37" t="n">
        <x:v>46199</x:v>
      </x:c>
      <x:c r="K296" s="19" t="str">
        <x:v>Lesiure Lion-New Castle</x:v>
      </x:c>
      <x:c r="L296" s="19" t="str">
        <x:v>Z006</x:v>
      </x:c>
      <x:c r="M296" s="19" t="str">
        <x:v>In Field Warranty Claims</x:v>
      </x:c>
      <x:c r="N296" s="37" t="n">
        <x:v>46197</x:v>
      </x:c>
      <x:c r="O296" s="37"/>
      <x:c r="P296" s="34" t="n">
        <x:v>253.95</x:v>
      </x:c>
      <x:c r="Q296" s="37" t="n">
        <x:v>46198.99390046296</x:v>
      </x:c>
    </x:row>
    <x:row r="297">
      <x:c r="A297" s="22" t="n">
        <x:v>36852</x:v>
      </x:c>
      <x:c r="B297" s="28" t="n">
        <x:v>1918.44</x:v>
      </x:c>
      <x:c r="C297" s="28"/>
      <x:c r="D297" s="31" t="str">
        <x:f>IF(OR(ISBLANK(B297),ISBLANK(C297),B297=0),"",(C297-B297)/B297)</x:f>
      </x:c>
      <x:c r="E297" s="22" t="str">
        <x:f>IF(ISBLANK(C297),"AmountIncludingTax缺失",IF(ABS(B297-C297)&lt;0.005,"一致","不一致"))</x:f>
        <x:v>AmountIncludingTax缺失</x:v>
      </x:c>
      <x:c r="F297" s="19" t="str">
        <x:v>approved</x:v>
      </x:c>
      <x:c r="G297" s="19" t="str">
        <x:v>Repair in Progress</x:v>
      </x:c>
      <x:c r="H297" s="19" t="str">
        <x:v>In Field</x:v>
      </x:c>
      <x:c r="I297" s="37" t="n">
        <x:v>46201</x:v>
      </x:c>
      <x:c r="J297" s="37" t="n">
        <x:v>46201</x:v>
      </x:c>
      <x:c r="K297" s="19" t="str">
        <x:v>CMG Campers - Christchurch</x:v>
      </x:c>
      <x:c r="L297" s="19" t="str">
        <x:v>Z006</x:v>
      </x:c>
      <x:c r="M297" s="19" t="str">
        <x:v>In Field Warranty Claims</x:v>
      </x:c>
      <x:c r="N297" s="37" t="n">
        <x:v>46197</x:v>
      </x:c>
      <x:c r="O297" s="37"/>
      <x:c r="P297" s="34" t="n">
        <x:v>1736.96</x:v>
      </x:c>
      <x:c r="Q297" s="37" t="n">
        <x:v>46200.97670138889</x:v>
      </x:c>
    </x:row>
    <x:row r="298">
      <x:c r="A298" s="22" t="n">
        <x:v>36851</x:v>
      </x:c>
      <x:c r="B298" s="28" t="n">
        <x:v>67.5</x:v>
      </x:c>
      <x:c r="C298" s="28"/>
      <x:c r="D298" s="31" t="str">
        <x:f>IF(OR(ISBLANK(B298),ISBLANK(C298),B298=0),"",(C298-B298)/B298)</x:f>
      </x:c>
      <x:c r="E298" s="22" t="str">
        <x:f>IF(ISBLANK(C298),"AmountIncludingTax缺失",IF(ABS(B298-C298)&lt;0.005,"一致","不一致"))</x:f>
        <x:v>AmountIncludingTax缺失</x:v>
      </x:c>
      <x:c r="F298" s="19" t="str">
        <x:v>approved</x:v>
      </x:c>
      <x:c r="G298" s="19" t="str">
        <x:v>Repair in Progress</x:v>
      </x:c>
      <x:c r="H298" s="19" t="str">
        <x:v>In Field</x:v>
      </x:c>
      <x:c r="I298" s="37" t="n">
        <x:v>46199</x:v>
      </x:c>
      <x:c r="J298" s="37" t="n">
        <x:v>46199</x:v>
      </x:c>
      <x:c r="K298" s="19" t="str">
        <x:v>Snowy River Wangaratta</x:v>
      </x:c>
      <x:c r="L298" s="19" t="str">
        <x:v>Z006</x:v>
      </x:c>
      <x:c r="M298" s="19" t="str">
        <x:v>In Field Warranty Claims</x:v>
      </x:c>
      <x:c r="N298" s="37" t="n">
        <x:v>46197</x:v>
      </x:c>
      <x:c r="O298" s="37"/>
      <x:c r="P298" s="34" t="n">
        <x:v>0</x:v>
      </x:c>
      <x:c r="Q298" s="37" t="n">
        <x:v>46199.01482638889</x:v>
      </x:c>
    </x:row>
    <x:row r="299">
      <x:c r="A299" s="22" t="n">
        <x:v>36840</x:v>
      </x:c>
      <x:c r="B299" s="28" t="n">
        <x:v>101.25</x:v>
      </x:c>
      <x:c r="C299" s="28"/>
      <x:c r="D299" s="31" t="str">
        <x:f>IF(OR(ISBLANK(B299),ISBLANK(C299),B299=0),"",(C299-B299)/B299)</x:f>
      </x:c>
      <x:c r="E299" s="22" t="str">
        <x:f>IF(ISBLANK(C299),"AmountIncludingTax缺失",IF(ABS(B299-C299)&lt;0.005,"一致","不一致"))</x:f>
        <x:v>AmountIncludingTax缺失</x:v>
      </x:c>
      <x:c r="F299" s="19" t="str">
        <x:v>approved</x:v>
      </x:c>
      <x:c r="G299" s="19" t="str">
        <x:v>Repair in Progress</x:v>
      </x:c>
      <x:c r="H299" s="19" t="str">
        <x:v>In Field</x:v>
      </x:c>
      <x:c r="I299" s="37" t="n">
        <x:v>46202</x:v>
      </x:c>
      <x:c r="J299" s="37" t="n">
        <x:v>46202</x:v>
      </x:c>
      <x:c r="K299" s="19" t="str">
        <x:v>Lesiure Lion-New Castle</x:v>
      </x:c>
      <x:c r="L299" s="19" t="str">
        <x:v>Z006</x:v>
      </x:c>
      <x:c r="M299" s="19" t="str">
        <x:v>In Field Warranty Claims</x:v>
      </x:c>
      <x:c r="N299" s="37" t="n">
        <x:v>46197</x:v>
      </x:c>
      <x:c r="O299" s="37"/>
      <x:c r="P299" s="34" t="n">
        <x:v>0</x:v>
      </x:c>
      <x:c r="Q299" s="37" t="n">
        <x:v>46201.891689814816</x:v>
      </x:c>
    </x:row>
    <x:row r="300">
      <x:c r="A300" s="22" t="n">
        <x:v>36839</x:v>
      </x:c>
      <x:c r="B300" s="28" t="n">
        <x:v>1775</x:v>
      </x:c>
      <x:c r="C300" s="28"/>
      <x:c r="D300" s="31" t="str">
        <x:f>IF(OR(ISBLANK(B300),ISBLANK(C300),B300=0),"",(C300-B300)/B300)</x:f>
      </x:c>
      <x:c r="E300" s="22" t="str">
        <x:f>IF(ISBLANK(C300),"AmountIncludingTax缺失",IF(ABS(B300-C300)&lt;0.005,"一致","不一致"))</x:f>
        <x:v>AmountIncludingTax缺失</x:v>
      </x:c>
      <x:c r="F300" s="19" t="str">
        <x:v>approved</x:v>
      </x:c>
      <x:c r="G300" s="19" t="str">
        <x:v>Sales Order Approved</x:v>
      </x:c>
      <x:c r="H300" s="19" t="str">
        <x:v>In Field</x:v>
      </x:c>
      <x:c r="I300" s="37" t="n">
        <x:v>46202</x:v>
      </x:c>
      <x:c r="J300" s="37" t="n">
        <x:v>46202</x:v>
      </x:c>
      <x:c r="K300" s="19" t="str">
        <x:v>QCCC - Gympie</x:v>
      </x:c>
      <x:c r="L300" s="19" t="str">
        <x:v>Z006</x:v>
      </x:c>
      <x:c r="M300" s="19" t="str">
        <x:v>In Field Warranty Claims</x:v>
      </x:c>
      <x:c r="N300" s="37" t="n">
        <x:v>46197</x:v>
      </x:c>
      <x:c r="O300" s="37"/>
      <x:c r="P300" s="34" t="n">
        <x:v>0</x:v>
      </x:c>
      <x:c r="Q300" s="37" t="n">
        <x:v>46202.29413194444</x:v>
      </x:c>
    </x:row>
    <x:row r="301">
      <x:c r="A301" s="22" t="n">
        <x:v>36838</x:v>
      </x:c>
      <x:c r="B301" s="28" t="n">
        <x:v>101.25</x:v>
      </x:c>
      <x:c r="C301" s="28"/>
      <x:c r="D301" s="31" t="str">
        <x:f>IF(OR(ISBLANK(B301),ISBLANK(C301),B301=0),"",(C301-B301)/B301)</x:f>
      </x:c>
      <x:c r="E301" s="22" t="str">
        <x:f>IF(ISBLANK(C301),"AmountIncludingTax缺失",IF(ABS(B301-C301)&lt;0.005,"一致","不一致"))</x:f>
        <x:v>AmountIncludingTax缺失</x:v>
      </x:c>
      <x:c r="F301" s="19" t="str">
        <x:v>approved</x:v>
      </x:c>
      <x:c r="G301" s="19" t="str">
        <x:v>Sales Order Approved</x:v>
      </x:c>
      <x:c r="H301" s="19" t="str">
        <x:v>In Field</x:v>
      </x:c>
      <x:c r="I301" s="37" t="n">
        <x:v>46202</x:v>
      </x:c>
      <x:c r="J301" s="37" t="n">
        <x:v>46202</x:v>
      </x:c>
      <x:c r="K301" s="19" t="str">
        <x:v>Lesiure Lion-New Castle</x:v>
      </x:c>
      <x:c r="L301" s="19" t="str">
        <x:v>Z006</x:v>
      </x:c>
      <x:c r="M301" s="19" t="str">
        <x:v>In Field Warranty Claims</x:v>
      </x:c>
      <x:c r="N301" s="37" t="n">
        <x:v>46197</x:v>
      </x:c>
      <x:c r="O301" s="37"/>
      <x:c r="P301" s="34" t="n">
        <x:v>0</x:v>
      </x:c>
      <x:c r="Q301" s="37" t="n">
        <x:v>46201.891018518516</x:v>
      </x:c>
    </x:row>
    <x:row r="302">
      <x:c r="A302" s="22" t="n">
        <x:v>36837</x:v>
      </x:c>
      <x:c r="B302" s="28" t="n">
        <x:v>281.82</x:v>
      </x:c>
      <x:c r="C302" s="28" t="n">
        <x:v>310</x:v>
      </x:c>
      <x:c r="D302" s="31" t="n">
        <x:f>IF(OR(ISBLANK(B302),ISBLANK(C302),B302=0),"",(C302-B302)/B302)</x:f>
        <x:v>0.09999290327159183</x:v>
      </x:c>
      <x:c r="E302" s="22" t="str">
        <x:f>IF(ISBLANK(C302),"AmountIncludingTax缺失",IF(ABS(B302-C302)&lt;0.005,"一致","不一致"))</x:f>
        <x:v>不一致</x:v>
      </x:c>
      <x:c r="F302" s="19" t="str">
        <x:v>approved</x:v>
      </x:c>
      <x:c r="G302" s="19" t="str">
        <x:v>Repair in Progress</x:v>
      </x:c>
      <x:c r="H302" s="19" t="str">
        <x:v>In Field</x:v>
      </x:c>
      <x:c r="I302" s="37" t="n">
        <x:v>46204</x:v>
      </x:c>
      <x:c r="J302" s="37" t="n">
        <x:v>46204</x:v>
      </x:c>
      <x:c r="K302" s="19" t="str">
        <x:v>Regent RV - Perth</x:v>
      </x:c>
      <x:c r="L302" s="19" t="str">
        <x:v>Z006</x:v>
      </x:c>
      <x:c r="M302" s="19" t="str">
        <x:v>In Field Warranty Claims</x:v>
      </x:c>
      <x:c r="N302" s="37" t="n">
        <x:v>46197</x:v>
      </x:c>
      <x:c r="O302" s="37"/>
      <x:c r="P302" s="34" t="n">
        <x:v>310</x:v>
      </x:c>
      <x:c r="Q302" s="37" t="n">
        <x:v>46204.149409722224</x:v>
      </x:c>
    </x:row>
    <x:row r="303">
      <x:c r="A303" s="22" t="n">
        <x:v>36836</x:v>
      </x:c>
      <x:c r="B303" s="28" t="n">
        <x:v>1275</x:v>
      </x:c>
      <x:c r="C303" s="28"/>
      <x:c r="D303" s="31" t="str">
        <x:f>IF(OR(ISBLANK(B303),ISBLANK(C303),B303=0),"",(C303-B303)/B303)</x:f>
      </x:c>
      <x:c r="E303" s="22" t="str">
        <x:f>IF(ISBLANK(C303),"AmountIncludingTax缺失",IF(ABS(B303-C303)&lt;0.005,"一致","不一致"))</x:f>
        <x:v>AmountIncludingTax缺失</x:v>
      </x:c>
      <x:c r="F303" s="19" t="str">
        <x:v>approved</x:v>
      </x:c>
      <x:c r="G303" s="19" t="str">
        <x:v>Repair in Progress</x:v>
      </x:c>
      <x:c r="H303" s="19" t="str">
        <x:v>In Field</x:v>
      </x:c>
      <x:c r="I303" s="37" t="n">
        <x:v>46198</x:v>
      </x:c>
      <x:c r="J303" s="37" t="n">
        <x:v>46198</x:v>
      </x:c>
      <x:c r="K303" s="19" t="str">
        <x:v>Regent RV - Frankston</x:v>
      </x:c>
      <x:c r="L303" s="19" t="str">
        <x:v>Z006</x:v>
      </x:c>
      <x:c r="M303" s="19" t="str">
        <x:v>In Field Warranty Claims</x:v>
      </x:c>
      <x:c r="N303" s="37" t="n">
        <x:v>46197</x:v>
      </x:c>
      <x:c r="O303" s="37"/>
      <x:c r="P303" s="34" t="n">
        <x:v>0</x:v>
      </x:c>
      <x:c r="Q303" s="37" t="n">
        <x:v>46197.92674768518</x:v>
      </x:c>
    </x:row>
    <x:row r="304">
      <x:c r="A304" s="22" t="n">
        <x:v>36835</x:v>
      </x:c>
      <x:c r="B304" s="28" t="n">
        <x:v>965</x:v>
      </x:c>
      <x:c r="C304" s="28"/>
      <x:c r="D304" s="31" t="str">
        <x:f>IF(OR(ISBLANK(B304),ISBLANK(C304),B304=0),"",(C304-B304)/B304)</x:f>
      </x:c>
      <x:c r="E304" s="22" t="str">
        <x:f>IF(ISBLANK(C304),"AmountIncludingTax缺失",IF(ABS(B304-C304)&lt;0.005,"一致","不一致"))</x:f>
        <x:v>AmountIncludingTax缺失</x:v>
      </x:c>
      <x:c r="F304" s="19" t="str">
        <x:v>approved</x:v>
      </x:c>
      <x:c r="G304" s="19" t="str">
        <x:v>Sales Order Approved</x:v>
      </x:c>
      <x:c r="H304" s="19" t="str">
        <x:v>Pre Delivery</x:v>
      </x:c>
      <x:c r="I304" s="37" t="n">
        <x:v>46206</x:v>
      </x:c>
      <x:c r="J304" s="37" t="n">
        <x:v>46206</x:v>
      </x:c>
      <x:c r="K304" s="19" t="str">
        <x:v>Regent RV Pty Ltd</x:v>
      </x:c>
      <x:c r="L304" s="19" t="str">
        <x:v>Z005</x:v>
      </x:c>
      <x:c r="M304" s="19" t="str">
        <x:v>Pre Delivery Warranty Claims</x:v>
      </x:c>
      <x:c r="N304" s="37" t="n">
        <x:v>46197</x:v>
      </x:c>
      <x:c r="O304" s="37"/>
      <x:c r="P304" s="34" t="n">
        <x:v>0</x:v>
      </x:c>
      <x:c r="Q304" s="37" t="n">
        <x:v>46205.94819444444</x:v>
      </x:c>
    </x:row>
    <x:row r="305">
      <x:c r="A305" s="22" t="n">
        <x:v>36834</x:v>
      </x:c>
      <x:c r="B305" s="28" t="n">
        <x:v>2427.35</x:v>
      </x:c>
      <x:c r="C305" s="28"/>
      <x:c r="D305" s="31" t="str">
        <x:f>IF(OR(ISBLANK(B305),ISBLANK(C305),B305=0),"",(C305-B305)/B305)</x:f>
      </x:c>
      <x:c r="E305" s="22" t="str">
        <x:f>IF(ISBLANK(C305),"AmountIncludingTax缺失",IF(ABS(B305-C305)&lt;0.005,"一致","不一致"))</x:f>
        <x:v>AmountIncludingTax缺失</x:v>
      </x:c>
      <x:c r="F305" s="19" t="str">
        <x:v>approved</x:v>
      </x:c>
      <x:c r="G305" s="19" t="str">
        <x:v>Repair in Progress</x:v>
      </x:c>
      <x:c r="H305" s="19" t="str">
        <x:v>In Field</x:v>
      </x:c>
      <x:c r="I305" s="37" t="n">
        <x:v>46202</x:v>
      </x:c>
      <x:c r="J305" s="37" t="n">
        <x:v>46202</x:v>
      </x:c>
      <x:c r="K305" s="19" t="str">
        <x:v>Vanari Caravans - Marden Point</x:v>
      </x:c>
      <x:c r="L305" s="19" t="str">
        <x:v>Z006</x:v>
      </x:c>
      <x:c r="M305" s="19" t="str">
        <x:v>In Field Warranty Claims</x:v>
      </x:c>
      <x:c r="N305" s="37" t="n">
        <x:v>46197</x:v>
      </x:c>
      <x:c r="O305" s="37"/>
      <x:c r="P305" s="34" t="n">
        <x:v>2197.72</x:v>
      </x:c>
      <x:c r="Q305" s="37" t="n">
        <x:v>46202.18188657407</x:v>
      </x:c>
    </x:row>
    <x:row r="306">
      <x:c r="A306" s="22" t="n">
        <x:v>36831</x:v>
      </x:c>
      <x:c r="B306" s="28" t="n">
        <x:v>135</x:v>
      </x:c>
      <x:c r="C306" s="28"/>
      <x:c r="D306" s="31" t="str">
        <x:f>IF(OR(ISBLANK(B306),ISBLANK(C306),B306=0),"",(C306-B306)/B306)</x:f>
      </x:c>
      <x:c r="E306" s="22" t="str">
        <x:f>IF(ISBLANK(C306),"AmountIncludingTax缺失",IF(ABS(B306-C306)&lt;0.005,"一致","不一致"))</x:f>
        <x:v>AmountIncludingTax缺失</x:v>
      </x:c>
      <x:c r="F306" s="19" t="str">
        <x:v>approved</x:v>
      </x:c>
      <x:c r="G306" s="19" t="str">
        <x:v>Repair in Progress</x:v>
      </x:c>
      <x:c r="H306" s="19" t="str">
        <x:v>In Field</x:v>
      </x:c>
      <x:c r="I306" s="37" t="n">
        <x:v>46197</x:v>
      </x:c>
      <x:c r="J306" s="37" t="n">
        <x:v>46197</x:v>
      </x:c>
      <x:c r="K306" s="19" t="str">
        <x:v>Regent RV - Frankston</x:v>
      </x:c>
      <x:c r="L306" s="19" t="str">
        <x:v>Z006</x:v>
      </x:c>
      <x:c r="M306" s="19" t="str">
        <x:v>In Field Warranty Claims</x:v>
      </x:c>
      <x:c r="N306" s="37" t="n">
        <x:v>46197</x:v>
      </x:c>
      <x:c r="O306" s="37"/>
      <x:c r="P306" s="34" t="n">
        <x:v>0</x:v>
      </x:c>
      <x:c r="Q306" s="37" t="n">
        <x:v>46197.20920138889</x:v>
      </x:c>
    </x:row>
    <x:row r="307">
      <x:c r="A307" s="22" t="n">
        <x:v>36830</x:v>
      </x:c>
      <x:c r="B307" s="28" t="n">
        <x:v>280</x:v>
      </x:c>
      <x:c r="C307" s="28"/>
      <x:c r="D307" s="31" t="str">
        <x:f>IF(OR(ISBLANK(B307),ISBLANK(C307),B307=0),"",(C307-B307)/B307)</x:f>
      </x:c>
      <x:c r="E307" s="22" t="str">
        <x:f>IF(ISBLANK(C307),"AmountIncludingTax缺失",IF(ABS(B307-C307)&lt;0.005,"一致","不一致"))</x:f>
        <x:v>AmountIncludingTax缺失</x:v>
      </x:c>
      <x:c r="F307" s="19" t="str">
        <x:v>approved</x:v>
      </x:c>
      <x:c r="G307" s="19" t="str">
        <x:v>Sales Order Approved</x:v>
      </x:c>
      <x:c r="H307" s="19" t="str">
        <x:v>Pre Delivery</x:v>
      </x:c>
      <x:c r="I307" s="37" t="n">
        <x:v>46206</x:v>
      </x:c>
      <x:c r="J307" s="37" t="n">
        <x:v>46206</x:v>
      </x:c>
      <x:c r="K307" s="19" t="str">
        <x:v>Snowy River Wangaratta</x:v>
      </x:c>
      <x:c r="L307" s="19" t="str">
        <x:v>Z005</x:v>
      </x:c>
      <x:c r="M307" s="19" t="str">
        <x:v>Pre Delivery Warranty Claims</x:v>
      </x:c>
      <x:c r="N307" s="37" t="n">
        <x:v>46197</x:v>
      </x:c>
      <x:c r="O307" s="37"/>
      <x:c r="P307" s="34" t="n">
        <x:v>0</x:v>
      </x:c>
      <x:c r="Q307" s="37" t="n">
        <x:v>46205.93407407407</x:v>
      </x:c>
    </x:row>
    <x:row r="308">
      <x:c r="A308" s="22" t="n">
        <x:v>36829</x:v>
      </x:c>
      <x:c r="B308" s="28" t="n">
        <x:v>202.5</x:v>
      </x:c>
      <x:c r="C308" s="28" t="n">
        <x:v>222.75</x:v>
      </x:c>
      <x:c r="D308" s="31" t="n">
        <x:f>IF(OR(ISBLANK(B308),ISBLANK(C308),B308=0),"",(C308-B308)/B308)</x:f>
        <x:v>0.1</x:v>
      </x:c>
      <x:c r="E308" s="22" t="str">
        <x:f>IF(ISBLANK(C308),"AmountIncludingTax缺失",IF(ABS(B308-C308)&lt;0.005,"一致","不一致"))</x:f>
        <x:v>不一致</x:v>
      </x:c>
      <x:c r="F308" s="19" t="str">
        <x:v>approved</x:v>
      </x:c>
      <x:c r="G308" s="19" t="str">
        <x:v>Repair in Progress</x:v>
      </x:c>
      <x:c r="H308" s="19" t="str">
        <x:v>In Field</x:v>
      </x:c>
      <x:c r="I308" s="37" t="n">
        <x:v>46205</x:v>
      </x:c>
      <x:c r="J308" s="37" t="n">
        <x:v>46205</x:v>
      </x:c>
      <x:c r="K308" s="19" t="str">
        <x:v>Regent RV - Perth</x:v>
      </x:c>
      <x:c r="L308" s="19" t="str">
        <x:v>Z006</x:v>
      </x:c>
      <x:c r="M308" s="19" t="str">
        <x:v>In Field Warranty Claims</x:v>
      </x:c>
      <x:c r="N308" s="37" t="n">
        <x:v>46197</x:v>
      </x:c>
      <x:c r="O308" s="37"/>
      <x:c r="P308" s="34" t="n">
        <x:v>222.75</x:v>
      </x:c>
      <x:c r="Q308" s="37" t="n">
        <x:v>46205.244409722225</x:v>
      </x:c>
    </x:row>
    <x:row r="309">
      <x:c r="A309" s="22" t="n">
        <x:v>36828</x:v>
      </x:c>
      <x:c r="B309" s="28" t="n">
        <x:v>435</x:v>
      </x:c>
      <x:c r="C309" s="28"/>
      <x:c r="D309" s="31" t="str">
        <x:f>IF(OR(ISBLANK(B309),ISBLANK(C309),B309=0),"",(C309-B309)/B309)</x:f>
      </x:c>
      <x:c r="E309" s="22" t="str">
        <x:f>IF(ISBLANK(C309),"AmountIncludingTax缺失",IF(ABS(B309-C309)&lt;0.005,"一致","不一致"))</x:f>
        <x:v>AmountIncludingTax缺失</x:v>
      </x:c>
      <x:c r="F309" s="19" t="str">
        <x:v>approved</x:v>
      </x:c>
      <x:c r="G309" s="19" t="str">
        <x:v>Sales Order Approved</x:v>
      </x:c>
      <x:c r="H309" s="19" t="str">
        <x:v>In Field</x:v>
      </x:c>
      <x:c r="I309" s="37" t="n">
        <x:v>46202</x:v>
      </x:c>
      <x:c r="J309" s="37" t="n">
        <x:v>46202</x:v>
      </x:c>
      <x:c r="K309" s="19" t="str">
        <x:v>Green RV - Forest Glen</x:v>
      </x:c>
      <x:c r="L309" s="19" t="str">
        <x:v>Z006</x:v>
      </x:c>
      <x:c r="M309" s="19" t="str">
        <x:v>In Field Warranty Claims</x:v>
      </x:c>
      <x:c r="N309" s="37" t="n">
        <x:v>46197</x:v>
      </x:c>
      <x:c r="O309" s="37"/>
      <x:c r="P309" s="34" t="n">
        <x:v>0</x:v>
      </x:c>
      <x:c r="Q309" s="37" t="n">
        <x:v>46201.94994212963</x:v>
      </x:c>
    </x:row>
    <x:row r="310">
      <x:c r="A310" s="22" t="n">
        <x:v>36825</x:v>
      </x:c>
      <x:c r="B310" s="28" t="n">
        <x:v>1120</x:v>
      </x:c>
      <x:c r="C310" s="28"/>
      <x:c r="D310" s="31" t="str">
        <x:f>IF(OR(ISBLANK(B310),ISBLANK(C310),B310=0),"",(C310-B310)/B310)</x:f>
      </x:c>
      <x:c r="E310" s="22" t="str">
        <x:f>IF(ISBLANK(C310),"AmountIncludingTax缺失",IF(ABS(B310-C310)&lt;0.005,"一致","不一致"))</x:f>
        <x:v>AmountIncludingTax缺失</x:v>
      </x:c>
      <x:c r="F310" s="19" t="str">
        <x:v>approved</x:v>
      </x:c>
      <x:c r="G310" s="19" t="str">
        <x:v>Sales Order Approved</x:v>
      </x:c>
      <x:c r="H310" s="19" t="str">
        <x:v>In Field</x:v>
      </x:c>
      <x:c r="I310" s="37" t="n">
        <x:v>46198</x:v>
      </x:c>
      <x:c r="J310" s="37" t="n">
        <x:v>46198</x:v>
      </x:c>
      <x:c r="K310" s="19" t="str">
        <x:v>Green RV - Forest Glen</x:v>
      </x:c>
      <x:c r="L310" s="19" t="str">
        <x:v>Z006</x:v>
      </x:c>
      <x:c r="M310" s="19" t="str">
        <x:v>In Field Warranty Claims</x:v>
      </x:c>
      <x:c r="N310" s="37" t="n">
        <x:v>46197</x:v>
      </x:c>
      <x:c r="O310" s="37"/>
      <x:c r="P310" s="34" t="n">
        <x:v>0</x:v>
      </x:c>
      <x:c r="Q310" s="37" t="n">
        <x:v>46197.94844907407</x:v>
      </x:c>
    </x:row>
    <x:row r="311">
      <x:c r="A311" s="22" t="n">
        <x:v>36823</x:v>
      </x:c>
      <x:c r="B311" s="28" t="n">
        <x:v>863.75</x:v>
      </x:c>
      <x:c r="C311" s="28"/>
      <x:c r="D311" s="31" t="str">
        <x:f>IF(OR(ISBLANK(B311),ISBLANK(C311),B311=0),"",(C311-B311)/B311)</x:f>
      </x:c>
      <x:c r="E311" s="22" t="str">
        <x:f>IF(ISBLANK(C311),"AmountIncludingTax缺失",IF(ABS(B311-C311)&lt;0.005,"一致","不一致"))</x:f>
        <x:v>AmountIncludingTax缺失</x:v>
      </x:c>
      <x:c r="F311" s="19" t="str">
        <x:v>approved</x:v>
      </x:c>
      <x:c r="G311" s="19" t="str">
        <x:v>Sales Order Approved</x:v>
      </x:c>
      <x:c r="H311" s="19" t="str">
        <x:v>Pre Delivery</x:v>
      </x:c>
      <x:c r="I311" s="37" t="n">
        <x:v>46206</x:v>
      </x:c>
      <x:c r="J311" s="37" t="n">
        <x:v>46206</x:v>
      </x:c>
      <x:c r="K311" s="19" t="str">
        <x:v>Regent RV - Frankston</x:v>
      </x:c>
      <x:c r="L311" s="19" t="str">
        <x:v>Z005</x:v>
      </x:c>
      <x:c r="M311" s="19" t="str">
        <x:v>Pre Delivery Warranty Claims</x:v>
      </x:c>
      <x:c r="N311" s="37" t="n">
        <x:v>46197</x:v>
      </x:c>
      <x:c r="O311" s="37"/>
      <x:c r="P311" s="34" t="n">
        <x:v>0</x:v>
      </x:c>
      <x:c r="Q311" s="37" t="n">
        <x:v>46205.946909722225</x:v>
      </x:c>
    </x:row>
    <x:row r="312">
      <x:c r="A312" s="22" t="n">
        <x:v>36821</x:v>
      </x:c>
      <x:c r="B312" s="28" t="n">
        <x:v>762.5</x:v>
      </x:c>
      <x:c r="C312" s="28"/>
      <x:c r="D312" s="31" t="str">
        <x:f>IF(OR(ISBLANK(B312),ISBLANK(C312),B312=0),"",(C312-B312)/B312)</x:f>
      </x:c>
      <x:c r="E312" s="22" t="str">
        <x:f>IF(ISBLANK(C312),"AmountIncludingTax缺失",IF(ABS(B312-C312)&lt;0.005,"一致","不一致"))</x:f>
        <x:v>AmountIncludingTax缺失</x:v>
      </x:c>
      <x:c r="F312" s="19" t="str">
        <x:v>approved</x:v>
      </x:c>
      <x:c r="G312" s="19" t="str">
        <x:v>Repair in Progress</x:v>
      </x:c>
      <x:c r="H312" s="19" t="str">
        <x:v>In Field</x:v>
      </x:c>
      <x:c r="I312" s="37" t="n">
        <x:v>46202</x:v>
      </x:c>
      <x:c r="J312" s="37" t="n">
        <x:v>46202</x:v>
      </x:c>
      <x:c r="K312" s="19" t="str">
        <x:v>Green RV - Forest Glen</x:v>
      </x:c>
      <x:c r="L312" s="19" t="str">
        <x:v>Z006</x:v>
      </x:c>
      <x:c r="M312" s="19" t="str">
        <x:v>In Field Warranty Claims</x:v>
      </x:c>
      <x:c r="N312" s="37" t="n">
        <x:v>46197</x:v>
      </x:c>
      <x:c r="O312" s="37"/>
      <x:c r="P312" s="34" t="n">
        <x:v>0</x:v>
      </x:c>
      <x:c r="Q312" s="37" t="n">
        <x:v>46202.17240740741</x:v>
      </x:c>
    </x:row>
    <x:row r="313">
      <x:c r="A313" s="22" t="n">
        <x:v>36820</x:v>
      </x:c>
      <x:c r="B313" s="28" t="n">
        <x:v>212.5</x:v>
      </x:c>
      <x:c r="C313" s="28"/>
      <x:c r="D313" s="31" t="str">
        <x:f>IF(OR(ISBLANK(B313),ISBLANK(C313),B313=0),"",(C313-B313)/B313)</x:f>
      </x:c>
      <x:c r="E313" s="22" t="str">
        <x:f>IF(ISBLANK(C313),"AmountIncludingTax缺失",IF(ABS(B313-C313)&lt;0.005,"一致","不一致"))</x:f>
        <x:v>AmountIncludingTax缺失</x:v>
      </x:c>
      <x:c r="F313" s="19" t="str">
        <x:v>approved</x:v>
      </x:c>
      <x:c r="G313" s="19" t="str">
        <x:v>Sales Order Approved</x:v>
      </x:c>
      <x:c r="H313" s="19" t="str">
        <x:v>In Field</x:v>
      </x:c>
      <x:c r="I313" s="37" t="n">
        <x:v>46198</x:v>
      </x:c>
      <x:c r="J313" s="37" t="n">
        <x:v>46198</x:v>
      </x:c>
      <x:c r="K313" s="19" t="str">
        <x:v>Green RV - Forest Glen</x:v>
      </x:c>
      <x:c r="L313" s="19" t="str">
        <x:v>Z006</x:v>
      </x:c>
      <x:c r="M313" s="19" t="str">
        <x:v>In Field Warranty Claims</x:v>
      </x:c>
      <x:c r="N313" s="37" t="n">
        <x:v>46197</x:v>
      </x:c>
      <x:c r="O313" s="37"/>
      <x:c r="P313" s="34" t="n">
        <x:v>0</x:v>
      </x:c>
      <x:c r="Q313" s="37" t="n">
        <x:v>46197.96408564815</x:v>
      </x:c>
    </x:row>
    <x:row r="314">
      <x:c r="A314" s="22" t="n">
        <x:v>36819</x:v>
      </x:c>
      <x:c r="B314" s="28" t="n">
        <x:v>488.8</x:v>
      </x:c>
      <x:c r="C314" s="28" t="n">
        <x:v>442.56</x:v>
      </x:c>
      <x:c r="D314" s="31" t="n">
        <x:f>IF(OR(ISBLANK(B314),ISBLANK(C314),B314=0),"",(C314-B314)/B314)</x:f>
        <x:v>-0.09459901800327333</x:v>
      </x:c>
      <x:c r="E314" s="22" t="str">
        <x:f>IF(ISBLANK(C314),"AmountIncludingTax缺失",IF(ABS(B314-C314)&lt;0.005,"一致","不一致"))</x:f>
        <x:v>不一致</x:v>
      </x:c>
      <x:c r="F314" s="19" t="str">
        <x:v>approved</x:v>
      </x:c>
      <x:c r="G314" s="19" t="str">
        <x:v>Repair in Progress</x:v>
      </x:c>
      <x:c r="H314" s="19" t="str">
        <x:v>In Field</x:v>
      </x:c>
      <x:c r="I314" s="37" t="n">
        <x:v>46203</x:v>
      </x:c>
      <x:c r="J314" s="37" t="n">
        <x:v>46203</x:v>
      </x:c>
      <x:c r="K314" s="19" t="str">
        <x:v>Vanari Caravans - Marden Point</x:v>
      </x:c>
      <x:c r="L314" s="19" t="str">
        <x:v>Z006</x:v>
      </x:c>
      <x:c r="M314" s="19" t="str">
        <x:v>In Field Warranty Claims</x:v>
      </x:c>
      <x:c r="N314" s="37" t="n">
        <x:v>46197</x:v>
      </x:c>
      <x:c r="O314" s="37"/>
      <x:c r="P314" s="34" t="n">
        <x:v>442.56</x:v>
      </x:c>
      <x:c r="Q314" s="37" t="n">
        <x:v>46203.061898148146</x:v>
      </x:c>
    </x:row>
    <x:row r="315">
      <x:c r="A315" s="22" t="n">
        <x:v>36818</x:v>
      </x:c>
      <x:c r="B315" s="28" t="n">
        <x:v>847.5</x:v>
      </x:c>
      <x:c r="C315" s="28"/>
      <x:c r="D315" s="31" t="str">
        <x:f>IF(OR(ISBLANK(B315),ISBLANK(C315),B315=0),"",(C315-B315)/B315)</x:f>
      </x:c>
      <x:c r="E315" s="22" t="str">
        <x:f>IF(ISBLANK(C315),"AmountIncludingTax缺失",IF(ABS(B315-C315)&lt;0.005,"一致","不一致"))</x:f>
        <x:v>AmountIncludingTax缺失</x:v>
      </x:c>
      <x:c r="F315" s="19" t="str">
        <x:v>approved</x:v>
      </x:c>
      <x:c r="G315" s="19" t="str">
        <x:v>Sales Order Approved</x:v>
      </x:c>
      <x:c r="H315" s="19" t="str">
        <x:v>In Field</x:v>
      </x:c>
      <x:c r="I315" s="37" t="n">
        <x:v>46199</x:v>
      </x:c>
      <x:c r="J315" s="37" t="n">
        <x:v>46199</x:v>
      </x:c>
      <x:c r="K315" s="19" t="str">
        <x:v>Destiny RV - South Australia</x:v>
      </x:c>
      <x:c r="L315" s="19" t="str">
        <x:v>Z006</x:v>
      </x:c>
      <x:c r="M315" s="19" t="str">
        <x:v>In Field Warranty Claims</x:v>
      </x:c>
      <x:c r="N315" s="37" t="n">
        <x:v>46197</x:v>
      </x:c>
      <x:c r="O315" s="37"/>
      <x:c r="P315" s="34" t="n">
        <x:v>0</x:v>
      </x:c>
      <x:c r="Q315" s="37" t="n">
        <x:v>46198.90896990741</x:v>
      </x:c>
    </x:row>
    <x:row r="316">
      <x:c r="A316" s="22" t="n">
        <x:v>36816</x:v>
      </x:c>
      <x:c r="B316" s="28" t="n">
        <x:v>135</x:v>
      </x:c>
      <x:c r="C316" s="28"/>
      <x:c r="D316" s="31" t="str">
        <x:f>IF(OR(ISBLANK(B316),ISBLANK(C316),B316=0),"",(C316-B316)/B316)</x:f>
      </x:c>
      <x:c r="E316" s="22" t="str">
        <x:f>IF(ISBLANK(C316),"AmountIncludingTax缺失",IF(ABS(B316-C316)&lt;0.005,"一致","不一致"))</x:f>
        <x:v>AmountIncludingTax缺失</x:v>
      </x:c>
      <x:c r="F316" s="19" t="str">
        <x:v>approved</x:v>
      </x:c>
      <x:c r="G316" s="19" t="str">
        <x:v>Sales Order Approved</x:v>
      </x:c>
      <x:c r="H316" s="19" t="str">
        <x:v>Pre Delivery</x:v>
      </x:c>
      <x:c r="I316" s="37" t="n">
        <x:v>46199</x:v>
      </x:c>
      <x:c r="J316" s="37" t="n">
        <x:v>46199</x:v>
      </x:c>
      <x:c r="K316" s="19" t="str">
        <x:v>Destiny RV - South Australia</x:v>
      </x:c>
      <x:c r="L316" s="19" t="str">
        <x:v>Z005</x:v>
      </x:c>
      <x:c r="M316" s="19" t="str">
        <x:v>Pre Delivery Warranty Claims</x:v>
      </x:c>
      <x:c r="N316" s="37" t="n">
        <x:v>46197</x:v>
      </x:c>
      <x:c r="O316" s="37"/>
      <x:c r="P316" s="34" t="n">
        <x:v>0</x:v>
      </x:c>
      <x:c r="Q316" s="37" t="n">
        <x:v>46199.245671296296</x:v>
      </x:c>
    </x:row>
    <x:row r="317">
      <x:c r="A317" s="22" t="n">
        <x:v>36815</x:v>
      </x:c>
      <x:c r="B317" s="28" t="n">
        <x:v>516.25</x:v>
      </x:c>
      <x:c r="C317" s="28"/>
      <x:c r="D317" s="31" t="str">
        <x:f>IF(OR(ISBLANK(B317),ISBLANK(C317),B317=0),"",(C317-B317)/B317)</x:f>
      </x:c>
      <x:c r="E317" s="22" t="str">
        <x:f>IF(ISBLANK(C317),"AmountIncludingTax缺失",IF(ABS(B317-C317)&lt;0.005,"一致","不一致"))</x:f>
        <x:v>AmountIncludingTax缺失</x:v>
      </x:c>
      <x:c r="F317" s="19" t="str">
        <x:v>approved</x:v>
      </x:c>
      <x:c r="G317" s="19" t="str">
        <x:v>Sales Order Approved</x:v>
      </x:c>
      <x:c r="H317" s="19" t="str">
        <x:v>In Field</x:v>
      </x:c>
      <x:c r="I317" s="37" t="n">
        <x:v>46197</x:v>
      </x:c>
      <x:c r="J317" s="37" t="n">
        <x:v>46197</x:v>
      </x:c>
      <x:c r="K317" s="19" t="str">
        <x:v>Green RV - Forest Glen</x:v>
      </x:c>
      <x:c r="L317" s="19" t="str">
        <x:v>Z006</x:v>
      </x:c>
      <x:c r="M317" s="19" t="str">
        <x:v>In Field Warranty Claims</x:v>
      </x:c>
      <x:c r="N317" s="37" t="n">
        <x:v>46196</x:v>
      </x:c>
      <x:c r="O317" s="37"/>
      <x:c r="P317" s="34" t="n">
        <x:v>0</x:v>
      </x:c>
      <x:c r="Q317" s="37" t="n">
        <x:v>46197.184212962966</x:v>
      </x:c>
    </x:row>
    <x:row r="318">
      <x:c r="A318" s="22" t="n">
        <x:v>36814</x:v>
      </x:c>
      <x:c r="B318" s="28" t="n">
        <x:v>290</x:v>
      </x:c>
      <x:c r="C318" s="28"/>
      <x:c r="D318" s="31" t="str">
        <x:f>IF(OR(ISBLANK(B318),ISBLANK(C318),B318=0),"",(C318-B318)/B318)</x:f>
      </x:c>
      <x:c r="E318" s="22" t="str">
        <x:f>IF(ISBLANK(C318),"AmountIncludingTax缺失",IF(ABS(B318-C318)&lt;0.005,"一致","不一致"))</x:f>
        <x:v>AmountIncludingTax缺失</x:v>
      </x:c>
      <x:c r="F318" s="19" t="str">
        <x:v>approved</x:v>
      </x:c>
      <x:c r="G318" s="19" t="str">
        <x:v>Repair in Progress</x:v>
      </x:c>
      <x:c r="H318" s="19" t="str">
        <x:v>In Field</x:v>
      </x:c>
      <x:c r="I318" s="37" t="n">
        <x:v>46197</x:v>
      </x:c>
      <x:c r="J318" s="37" t="n">
        <x:v>46197</x:v>
      </x:c>
      <x:c r="K318" s="19" t="str">
        <x:v>Green RV - Slacks Creek</x:v>
      </x:c>
      <x:c r="L318" s="19" t="str">
        <x:v>Z006</x:v>
      </x:c>
      <x:c r="M318" s="19" t="str">
        <x:v>In Field Warranty Claims</x:v>
      </x:c>
      <x:c r="N318" s="37" t="n">
        <x:v>46196</x:v>
      </x:c>
      <x:c r="O318" s="37"/>
      <x:c r="P318" s="34" t="n">
        <x:v>0</x:v>
      </x:c>
      <x:c r="Q318" s="37" t="n">
        <x:v>46197.05803240741</x:v>
      </x:c>
    </x:row>
    <x:row r="319">
      <x:c r="A319" s="22" t="n">
        <x:v>36813</x:v>
      </x:c>
      <x:c r="B319" s="28" t="n">
        <x:v>145</x:v>
      </x:c>
      <x:c r="C319" s="28"/>
      <x:c r="D319" s="31" t="str">
        <x:f>IF(OR(ISBLANK(B319),ISBLANK(C319),B319=0),"",(C319-B319)/B319)</x:f>
      </x:c>
      <x:c r="E319" s="22" t="str">
        <x:f>IF(ISBLANK(C319),"AmountIncludingTax缺失",IF(ABS(B319-C319)&lt;0.005,"一致","不一致"))</x:f>
        <x:v>AmountIncludingTax缺失</x:v>
      </x:c>
      <x:c r="F319" s="19" t="str">
        <x:v>approved</x:v>
      </x:c>
      <x:c r="G319" s="19" t="str">
        <x:v>Sales Order Approved</x:v>
      </x:c>
      <x:c r="H319" s="19" t="str">
        <x:v>Pre Delivery</x:v>
      </x:c>
      <x:c r="I319" s="37" t="n">
        <x:v>46206</x:v>
      </x:c>
      <x:c r="J319" s="37" t="n">
        <x:v>46206</x:v>
      </x:c>
      <x:c r="K319" s="19" t="str">
        <x:v>Snowy River Wangaratta</x:v>
      </x:c>
      <x:c r="L319" s="19" t="str">
        <x:v>Z005</x:v>
      </x:c>
      <x:c r="M319" s="19" t="str">
        <x:v>Pre Delivery Warranty Claims</x:v>
      </x:c>
      <x:c r="N319" s="37" t="n">
        <x:v>46196</x:v>
      </x:c>
      <x:c r="O319" s="37"/>
      <x:c r="P319" s="34" t="n">
        <x:v>0</x:v>
      </x:c>
      <x:c r="Q319" s="37" t="n">
        <x:v>46205.93326388889</x:v>
      </x:c>
    </x:row>
    <x:row r="320">
      <x:c r="A320" s="22" t="n">
        <x:v>36812</x:v>
      </x:c>
      <x:c r="B320" s="28" t="n">
        <x:v>415</x:v>
      </x:c>
      <x:c r="C320" s="28"/>
      <x:c r="D320" s="31" t="str">
        <x:f>IF(OR(ISBLANK(B320),ISBLANK(C320),B320=0),"",(C320-B320)/B320)</x:f>
      </x:c>
      <x:c r="E320" s="22" t="str">
        <x:f>IF(ISBLANK(C320),"AmountIncludingTax缺失",IF(ABS(B320-C320)&lt;0.005,"一致","不一致"))</x:f>
        <x:v>AmountIncludingTax缺失</x:v>
      </x:c>
      <x:c r="F320" s="19" t="str">
        <x:v>approved</x:v>
      </x:c>
      <x:c r="G320" s="19" t="str">
        <x:v>Sales Order Approved</x:v>
      </x:c>
      <x:c r="H320" s="19" t="str">
        <x:v>In Field</x:v>
      </x:c>
      <x:c r="I320" s="37" t="n">
        <x:v>46197</x:v>
      </x:c>
      <x:c r="J320" s="37" t="n">
        <x:v>46197</x:v>
      </x:c>
      <x:c r="K320" s="19" t="str">
        <x:v>Green RV - Forest Glen</x:v>
      </x:c>
      <x:c r="L320" s="19" t="str">
        <x:v>Z006</x:v>
      </x:c>
      <x:c r="M320" s="19" t="str">
        <x:v>In Field Warranty Claims</x:v>
      </x:c>
      <x:c r="N320" s="37" t="n">
        <x:v>46196</x:v>
      </x:c>
      <x:c r="O320" s="37"/>
      <x:c r="P320" s="34" t="n">
        <x:v>0</x:v>
      </x:c>
      <x:c r="Q320" s="37" t="n">
        <x:v>46197.05710648148</x:v>
      </x:c>
    </x:row>
    <x:row r="321">
      <x:c r="A321" s="22" t="n">
        <x:v>36810</x:v>
      </x:c>
      <x:c r="B321" s="28" t="n">
        <x:v>512.5</x:v>
      </x:c>
      <x:c r="C321" s="28"/>
      <x:c r="D321" s="31" t="str">
        <x:f>IF(OR(ISBLANK(B321),ISBLANK(C321),B321=0),"",(C321-B321)/B321)</x:f>
      </x:c>
      <x:c r="E321" s="22" t="str">
        <x:f>IF(ISBLANK(C321),"AmountIncludingTax缺失",IF(ABS(B321-C321)&lt;0.005,"一致","不一致"))</x:f>
        <x:v>AmountIncludingTax缺失</x:v>
      </x:c>
      <x:c r="F321" s="19" t="str">
        <x:v>approved</x:v>
      </x:c>
      <x:c r="G321" s="19" t="str">
        <x:v>Repair in Progress</x:v>
      </x:c>
      <x:c r="H321" s="19" t="str">
        <x:v>In Field</x:v>
      </x:c>
      <x:c r="I321" s="37" t="n">
        <x:v>46197</x:v>
      </x:c>
      <x:c r="J321" s="37" t="n">
        <x:v>46197</x:v>
      </x:c>
      <x:c r="K321" s="19" t="str">
        <x:v>Regent RV - Frankston</x:v>
      </x:c>
      <x:c r="L321" s="19" t="str">
        <x:v>Z006</x:v>
      </x:c>
      <x:c r="M321" s="19" t="str">
        <x:v>In Field Warranty Claims</x:v>
      </x:c>
      <x:c r="N321" s="37" t="n">
        <x:v>46197</x:v>
      </x:c>
      <x:c r="O321" s="37"/>
      <x:c r="P321" s="34" t="n">
        <x:v>0</x:v>
      </x:c>
      <x:c r="Q321" s="37" t="n">
        <x:v>46197.14611111111</x:v>
      </x:c>
    </x:row>
    <x:row r="322">
      <x:c r="A322" s="22" t="n">
        <x:v>36809</x:v>
      </x:c>
      <x:c r="B322" s="28" t="n">
        <x:v>217.5</x:v>
      </x:c>
      <x:c r="C322" s="28"/>
      <x:c r="D322" s="31" t="str">
        <x:f>IF(OR(ISBLANK(B322),ISBLANK(C322),B322=0),"",(C322-B322)/B322)</x:f>
      </x:c>
      <x:c r="E322" s="22" t="str">
        <x:f>IF(ISBLANK(C322),"AmountIncludingTax缺失",IF(ABS(B322-C322)&lt;0.005,"一致","不一致"))</x:f>
        <x:v>AmountIncludingTax缺失</x:v>
      </x:c>
      <x:c r="F322" s="19" t="str">
        <x:v>approved</x:v>
      </x:c>
      <x:c r="G322" s="19" t="str">
        <x:v>Sales Order Approved</x:v>
      </x:c>
      <x:c r="H322" s="19" t="str">
        <x:v>In Field</x:v>
      </x:c>
      <x:c r="I322" s="37" t="n">
        <x:v>46210</x:v>
      </x:c>
      <x:c r="J322" s="37" t="n">
        <x:v>46210</x:v>
      </x:c>
      <x:c r="K322" s="19" t="str">
        <x:v>The Caravan Hub - Townsville</x:v>
      </x:c>
      <x:c r="L322" s="19" t="str">
        <x:v>Z006</x:v>
      </x:c>
      <x:c r="M322" s="19" t="str">
        <x:v>In Field Warranty Claims</x:v>
      </x:c>
      <x:c r="N322" s="37" t="n">
        <x:v>46197</x:v>
      </x:c>
      <x:c r="O322" s="37" t="n">
        <x:v>46202</x:v>
      </x:c>
      <x:c r="P322" s="34" t="n">
        <x:v>0</x:v>
      </x:c>
      <x:c r="Q322" s="37" t="n">
        <x:v>46210.072650462964</x:v>
      </x:c>
    </x:row>
    <x:row r="323">
      <x:c r="A323" s="22" t="n">
        <x:v>36808</x:v>
      </x:c>
      <x:c r="B323" s="28" t="n">
        <x:v>850</x:v>
      </x:c>
      <x:c r="C323" s="28"/>
      <x:c r="D323" s="31" t="str">
        <x:f>IF(OR(ISBLANK(B323),ISBLANK(C323),B323=0),"",(C323-B323)/B323)</x:f>
      </x:c>
      <x:c r="E323" s="22" t="str">
        <x:f>IF(ISBLANK(C323),"AmountIncludingTax缺失",IF(ABS(B323-C323)&lt;0.005,"一致","不一致"))</x:f>
        <x:v>AmountIncludingTax缺失</x:v>
      </x:c>
      <x:c r="F323" s="19" t="str">
        <x:v>approved</x:v>
      </x:c>
      <x:c r="G323" s="19" t="str">
        <x:v>Repair in Progress</x:v>
      </x:c>
      <x:c r="H323" s="19" t="str">
        <x:v>In Field</x:v>
      </x:c>
      <x:c r="I323" s="37" t="n">
        <x:v>46199</x:v>
      </x:c>
      <x:c r="J323" s="37" t="n">
        <x:v>46199</x:v>
      </x:c>
      <x:c r="K323" s="19" t="str">
        <x:v>Lesiure Lion-New Castle</x:v>
      </x:c>
      <x:c r="L323" s="19" t="str">
        <x:v>Z006</x:v>
      </x:c>
      <x:c r="M323" s="19" t="str">
        <x:v>In Field Warranty Claims</x:v>
      </x:c>
      <x:c r="N323" s="37" t="n">
        <x:v>46196</x:v>
      </x:c>
      <x:c r="O323" s="37"/>
      <x:c r="P323" s="34" t="n">
        <x:v>0</x:v>
      </x:c>
      <x:c r="Q323" s="37" t="n">
        <x:v>46199.0303125</x:v>
      </x:c>
    </x:row>
    <x:row r="324">
      <x:c r="A324" s="22" t="n">
        <x:v>36807</x:v>
      </x:c>
      <x:c r="B324" s="28" t="n">
        <x:v>135</x:v>
      </x:c>
      <x:c r="C324" s="28" t="n">
        <x:v>148.5</x:v>
      </x:c>
      <x:c r="D324" s="31" t="n">
        <x:f>IF(OR(ISBLANK(B324),ISBLANK(C324),B324=0),"",(C324-B324)/B324)</x:f>
        <x:v>0.1</x:v>
      </x:c>
      <x:c r="E324" s="22" t="str">
        <x:f>IF(ISBLANK(C324),"AmountIncludingTax缺失",IF(ABS(B324-C324)&lt;0.005,"一致","不一致"))</x:f>
        <x:v>不一致</x:v>
      </x:c>
      <x:c r="F324" s="19" t="str">
        <x:v>approved</x:v>
      </x:c>
      <x:c r="G324" s="19" t="str">
        <x:v>Repair in Progress</x:v>
      </x:c>
      <x:c r="H324" s="19" t="str">
        <x:v>In Field</x:v>
      </x:c>
      <x:c r="I324" s="37" t="n">
        <x:v>46197</x:v>
      </x:c>
      <x:c r="J324" s="37" t="n">
        <x:v>46197</x:v>
      </x:c>
      <x:c r="K324" s="19" t="str">
        <x:v>Green RV - Slacks Creek</x:v>
      </x:c>
      <x:c r="L324" s="19" t="str">
        <x:v>Z006</x:v>
      </x:c>
      <x:c r="M324" s="19" t="str">
        <x:v>In Field Warranty Claims</x:v>
      </x:c>
      <x:c r="N324" s="37" t="n">
        <x:v>46196</x:v>
      </x:c>
      <x:c r="O324" s="37"/>
      <x:c r="P324" s="34" t="n">
        <x:v>148.5</x:v>
      </x:c>
      <x:c r="Q324" s="37" t="n">
        <x:v>46197.17040509259</x:v>
      </x:c>
    </x:row>
    <x:row r="325">
      <x:c r="A325" s="22" t="n">
        <x:v>36806</x:v>
      </x:c>
      <x:c r="B325" s="28" t="n">
        <x:v>212.5</x:v>
      </x:c>
      <x:c r="C325" s="28"/>
      <x:c r="D325" s="31" t="str">
        <x:f>IF(OR(ISBLANK(B325),ISBLANK(C325),B325=0),"",(C325-B325)/B325)</x:f>
      </x:c>
      <x:c r="E325" s="22" t="str">
        <x:f>IF(ISBLANK(C325),"AmountIncludingTax缺失",IF(ABS(B325-C325)&lt;0.005,"一致","不一致"))</x:f>
        <x:v>AmountIncludingTax缺失</x:v>
      </x:c>
      <x:c r="F325" s="19" t="str">
        <x:v>approved</x:v>
      </x:c>
      <x:c r="G325" s="19" t="str">
        <x:v>Sales Order Approved</x:v>
      </x:c>
      <x:c r="H325" s="19" t="str">
        <x:v>Pre Delivery</x:v>
      </x:c>
      <x:c r="I325" s="37" t="n">
        <x:v>46205</x:v>
      </x:c>
      <x:c r="J325" s="37" t="n">
        <x:v>46205</x:v>
      </x:c>
      <x:c r="K325" s="19" t="str">
        <x:v>Green RV - Forest Glen</x:v>
      </x:c>
      <x:c r="L325" s="19" t="str">
        <x:v>Z005</x:v>
      </x:c>
      <x:c r="M325" s="19" t="str">
        <x:v>Pre Delivery Warranty Claims</x:v>
      </x:c>
      <x:c r="N325" s="37" t="n">
        <x:v>46196</x:v>
      </x:c>
      <x:c r="O325" s="37"/>
      <x:c r="P325" s="34" t="n">
        <x:v>0</x:v>
      </x:c>
      <x:c r="Q325" s="37" t="n">
        <x:v>46205.16023148148</x:v>
      </x:c>
    </x:row>
    <x:row r="326">
      <x:c r="A326" s="22" t="n">
        <x:v>36805</x:v>
      </x:c>
      <x:c r="B326" s="28" t="n">
        <x:v>2015.9</x:v>
      </x:c>
      <x:c r="C326" s="28"/>
      <x:c r="D326" s="31" t="str">
        <x:f>IF(OR(ISBLANK(B326),ISBLANK(C326),B326=0),"",(C326-B326)/B326)</x:f>
      </x:c>
      <x:c r="E326" s="22" t="str">
        <x:f>IF(ISBLANK(C326),"AmountIncludingTax缺失",IF(ABS(B326-C326)&lt;0.005,"一致","不一致"))</x:f>
        <x:v>AmountIncludingTax缺失</x:v>
      </x:c>
      <x:c r="F326" s="19" t="str">
        <x:v>approved</x:v>
      </x:c>
      <x:c r="G326" s="19" t="str">
        <x:v>Repairer Invoiced Processed</x:v>
      </x:c>
      <x:c r="H326" s="19" t="str">
        <x:v>In Field</x:v>
      </x:c>
      <x:c r="I326" s="37" t="n">
        <x:v>46203</x:v>
      </x:c>
      <x:c r="J326" s="37" t="n">
        <x:v>46203</x:v>
      </x:c>
      <x:c r="K326" s="19" t="str">
        <x:v>Vanari Caravans - Marden Point</x:v>
      </x:c>
      <x:c r="L326" s="19" t="str">
        <x:v>Z006</x:v>
      </x:c>
      <x:c r="M326" s="19" t="str">
        <x:v>In Field Warranty Claims</x:v>
      </x:c>
      <x:c r="N326" s="37" t="n">
        <x:v>46196</x:v>
      </x:c>
      <x:c r="O326" s="37"/>
      <x:c r="P326" s="34" t="n">
        <x:v>1825.2</x:v>
      </x:c>
      <x:c r="Q326" s="37" t="n">
        <x:v>46203.21989583333</x:v>
      </x:c>
    </x:row>
    <x:row r="327">
      <x:c r="A327" s="22" t="n">
        <x:v>36804</x:v>
      </x:c>
      <x:c r="B327" s="28" t="n">
        <x:v>1134.3</x:v>
      </x:c>
      <x:c r="C327" s="28"/>
      <x:c r="D327" s="31" t="str">
        <x:f>IF(OR(ISBLANK(B327),ISBLANK(C327),B327=0),"",(C327-B327)/B327)</x:f>
      </x:c>
      <x:c r="E327" s="22" t="str">
        <x:f>IF(ISBLANK(C327),"AmountIncludingTax缺失",IF(ABS(B327-C327)&lt;0.005,"一致","不一致"))</x:f>
        <x:v>AmountIncludingTax缺失</x:v>
      </x:c>
      <x:c r="F327" s="19" t="str">
        <x:v>approved</x:v>
      </x:c>
      <x:c r="G327" s="19" t="str">
        <x:v>Repairer Invoiced Processed</x:v>
      </x:c>
      <x:c r="H327" s="19" t="str">
        <x:v>In Field</x:v>
      </x:c>
      <x:c r="I327" s="37" t="n">
        <x:v>46199</x:v>
      </x:c>
      <x:c r="J327" s="37" t="n">
        <x:v>46199</x:v>
      </x:c>
      <x:c r="K327" s="19" t="str">
        <x:v>Vanari Caravans - Marden Point</x:v>
      </x:c>
      <x:c r="L327" s="19" t="str">
        <x:v>Z006</x:v>
      </x:c>
      <x:c r="M327" s="19" t="str">
        <x:v>In Field Warranty Claims</x:v>
      </x:c>
      <x:c r="N327" s="37" t="n">
        <x:v>46196</x:v>
      </x:c>
      <x:c r="O327" s="37"/>
      <x:c r="P327" s="34" t="n">
        <x:v>1027</x:v>
      </x:c>
      <x:c r="Q327" s="37" t="n">
        <x:v>46198.91332175926</x:v>
      </x:c>
    </x:row>
    <x:row r="328">
      <x:c r="A328" s="22" t="n">
        <x:v>36803</x:v>
      </x:c>
      <x:c r="B328" s="28" t="n">
        <x:v>1455</x:v>
      </x:c>
      <x:c r="C328" s="28"/>
      <x:c r="D328" s="31" t="str">
        <x:f>IF(OR(ISBLANK(B328),ISBLANK(C328),B328=0),"",(C328-B328)/B328)</x:f>
      </x:c>
      <x:c r="E328" s="22" t="str">
        <x:f>IF(ISBLANK(C328),"AmountIncludingTax缺失",IF(ABS(B328-C328)&lt;0.005,"一致","不一致"))</x:f>
        <x:v>AmountIncludingTax缺失</x:v>
      </x:c>
      <x:c r="F328" s="19" t="str">
        <x:v>approved</x:v>
      </x:c>
      <x:c r="G328" s="19" t="str">
        <x:v>Sales Order Approved</x:v>
      </x:c>
      <x:c r="H328" s="19" t="str">
        <x:v>In Field</x:v>
      </x:c>
      <x:c r="I328" s="37" t="n">
        <x:v>46204</x:v>
      </x:c>
      <x:c r="J328" s="37" t="n">
        <x:v>46204</x:v>
      </x:c>
      <x:c r="K328" s="19" t="str">
        <x:v>Green RV - Slacks Creek</x:v>
      </x:c>
      <x:c r="L328" s="19" t="str">
        <x:v>Z006</x:v>
      </x:c>
      <x:c r="M328" s="19" t="str">
        <x:v>In Field Warranty Claims</x:v>
      </x:c>
      <x:c r="N328" s="37" t="n">
        <x:v>46196</x:v>
      </x:c>
      <x:c r="O328" s="37"/>
      <x:c r="P328" s="34" t="n">
        <x:v>0</x:v>
      </x:c>
      <x:c r="Q328" s="37" t="n">
        <x:v>46204.25087962963</x:v>
      </x:c>
    </x:row>
    <x:row r="329">
      <x:c r="A329" s="22" t="n">
        <x:v>36802</x:v>
      </x:c>
      <x:c r="B329" s="28" t="n">
        <x:v>917.5</x:v>
      </x:c>
      <x:c r="C329" s="28"/>
      <x:c r="D329" s="31" t="str">
        <x:f>IF(OR(ISBLANK(B329),ISBLANK(C329),B329=0),"",(C329-B329)/B329)</x:f>
      </x:c>
      <x:c r="E329" s="22" t="str">
        <x:f>IF(ISBLANK(C329),"AmountIncludingTax缺失",IF(ABS(B329-C329)&lt;0.005,"一致","不一致"))</x:f>
        <x:v>AmountIncludingTax缺失</x:v>
      </x:c>
      <x:c r="F329" s="19" t="str">
        <x:v>approved</x:v>
      </x:c>
      <x:c r="G329" s="19" t="str">
        <x:v>Sales Order Approved</x:v>
      </x:c>
      <x:c r="H329" s="19" t="str">
        <x:v>In Field</x:v>
      </x:c>
      <x:c r="I329" s="37" t="n">
        <x:v>46197</x:v>
      </x:c>
      <x:c r="J329" s="37" t="n">
        <x:v>46197</x:v>
      </x:c>
      <x:c r="K329" s="19" t="str">
        <x:v>Green RV - Forest Glen</x:v>
      </x:c>
      <x:c r="L329" s="19" t="str">
        <x:v>Z006</x:v>
      </x:c>
      <x:c r="M329" s="19" t="str">
        <x:v>In Field Warranty Claims</x:v>
      </x:c>
      <x:c r="N329" s="37" t="n">
        <x:v>46196</x:v>
      </x:c>
      <x:c r="O329" s="37"/>
      <x:c r="P329" s="34" t="n">
        <x:v>0</x:v>
      </x:c>
      <x:c r="Q329" s="37" t="n">
        <x:v>46197.06172453704</x:v>
      </x:c>
    </x:row>
    <x:row r="330">
      <x:c r="A330" s="22" t="n">
        <x:v>36801</x:v>
      </x:c>
      <x:c r="B330" s="28" t="n">
        <x:v>1328.75</x:v>
      </x:c>
      <x:c r="C330" s="28"/>
      <x:c r="D330" s="31" t="str">
        <x:f>IF(OR(ISBLANK(B330),ISBLANK(C330),B330=0),"",(C330-B330)/B330)</x:f>
      </x:c>
      <x:c r="E330" s="22" t="str">
        <x:f>IF(ISBLANK(C330),"AmountIncludingTax缺失",IF(ABS(B330-C330)&lt;0.005,"一致","不一致"))</x:f>
        <x:v>AmountIncludingTax缺失</x:v>
      </x:c>
      <x:c r="F330" s="19" t="str">
        <x:v>approved</x:v>
      </x:c>
      <x:c r="G330" s="19" t="str">
        <x:v>Sales Order Approved</x:v>
      </x:c>
      <x:c r="H330" s="19" t="str">
        <x:v>In Field</x:v>
      </x:c>
      <x:c r="I330" s="37" t="n">
        <x:v>46199</x:v>
      </x:c>
      <x:c r="J330" s="37" t="n">
        <x:v>46199</x:v>
      </x:c>
      <x:c r="K330" s="19" t="str">
        <x:v>Destiny RV - South Australia</x:v>
      </x:c>
      <x:c r="L330" s="19" t="str">
        <x:v>Z006</x:v>
      </x:c>
      <x:c r="M330" s="19" t="str">
        <x:v>In Field Warranty Claims</x:v>
      </x:c>
      <x:c r="N330" s="37" t="n">
        <x:v>46196</x:v>
      </x:c>
      <x:c r="O330" s="37"/>
      <x:c r="P330" s="34" t="n">
        <x:v>0</x:v>
      </x:c>
      <x:c r="Q330" s="37" t="n">
        <x:v>46198.910844907405</x:v>
      </x:c>
    </x:row>
    <x:row r="331">
      <x:c r="A331" s="22" t="n">
        <x:v>36799</x:v>
      </x:c>
      <x:c r="B331" s="28" t="n">
        <x:v>3657</x:v>
      </x:c>
      <x:c r="C331" s="28"/>
      <x:c r="D331" s="31" t="str">
        <x:f>IF(OR(ISBLANK(B331),ISBLANK(C331),B331=0),"",(C331-B331)/B331)</x:f>
      </x:c>
      <x:c r="E331" s="22" t="str">
        <x:f>IF(ISBLANK(C331),"AmountIncludingTax缺失",IF(ABS(B331-C331)&lt;0.005,"一致","不一致"))</x:f>
        <x:v>AmountIncludingTax缺失</x:v>
      </x:c>
      <x:c r="F331" s="19" t="str">
        <x:v>approved</x:v>
      </x:c>
      <x:c r="G331" s="19" t="str">
        <x:v>Repair in Progress</x:v>
      </x:c>
      <x:c r="H331" s="19" t="str">
        <x:v>In Field</x:v>
      </x:c>
      <x:c r="I331" s="37" t="n">
        <x:v>46203</x:v>
      </x:c>
      <x:c r="J331" s="37" t="n">
        <x:v>46203</x:v>
      </x:c>
      <x:c r="K331" s="19" t="str">
        <x:v>Regent RV - Perth</x:v>
      </x:c>
      <x:c r="L331" s="19" t="str">
        <x:v>Z006</x:v>
      </x:c>
      <x:c r="M331" s="19" t="str">
        <x:v>In Field Warranty Claims</x:v>
      </x:c>
      <x:c r="N331" s="37" t="n">
        <x:v>46197</x:v>
      </x:c>
      <x:c r="O331" s="37"/>
      <x:c r="P331" s="34" t="n">
        <x:v>4022.7</x:v>
      </x:c>
      <x:c r="Q331" s="37" t="n">
        <x:v>46203.09675925926</x:v>
      </x:c>
    </x:row>
    <x:row r="332">
      <x:c r="A332" s="22" t="n">
        <x:v>36797</x:v>
      </x:c>
      <x:c r="B332" s="28" t="n">
        <x:v>421.05</x:v>
      </x:c>
      <x:c r="C332" s="28" t="n">
        <x:v>463.16</x:v>
      </x:c>
      <x:c r="D332" s="31" t="n">
        <x:f>IF(OR(ISBLANK(B332),ISBLANK(C332),B332=0),"",(C332-B332)/B332)</x:f>
        <x:v>0.10001187507421924</x:v>
      </x:c>
      <x:c r="E332" s="22" t="str">
        <x:f>IF(ISBLANK(C332),"AmountIncludingTax缺失",IF(ABS(B332-C332)&lt;0.005,"一致","不一致"))</x:f>
        <x:v>不一致</x:v>
      </x:c>
      <x:c r="F332" s="19" t="str">
        <x:v>approved</x:v>
      </x:c>
      <x:c r="G332" s="19" t="str">
        <x:v>Repairer Invoiced Processed</x:v>
      </x:c>
      <x:c r="H332" s="19" t="str">
        <x:v>In Field</x:v>
      </x:c>
      <x:c r="I332" s="37" t="n">
        <x:v>46199</x:v>
      </x:c>
      <x:c r="J332" s="37" t="n">
        <x:v>46199</x:v>
      </x:c>
      <x:c r="K332" s="19" t="str">
        <x:v>Destiny RV - South Australia</x:v>
      </x:c>
      <x:c r="L332" s="19" t="str">
        <x:v>Z006</x:v>
      </x:c>
      <x:c r="M332" s="19" t="str">
        <x:v>In Field Warranty Claims</x:v>
      </x:c>
      <x:c r="N332" s="37" t="n">
        <x:v>46197</x:v>
      </x:c>
      <x:c r="O332" s="37"/>
      <x:c r="P332" s="34" t="n">
        <x:v>463.16</x:v>
      </x:c>
      <x:c r="Q332" s="37" t="n">
        <x:v>46199.14664351852</x:v>
      </x:c>
    </x:row>
    <x:row r="333">
      <x:c r="A333" s="22" t="n">
        <x:v>36790</x:v>
      </x:c>
      <x:c r="B333" s="28" t="n">
        <x:v>1038.8</x:v>
      </x:c>
      <x:c r="C333" s="28"/>
      <x:c r="D333" s="31" t="str">
        <x:f>IF(OR(ISBLANK(B333),ISBLANK(C333),B333=0),"",(C333-B333)/B333)</x:f>
      </x:c>
      <x:c r="E333" s="22" t="str">
        <x:f>IF(ISBLANK(C333),"AmountIncludingTax缺失",IF(ABS(B333-C333)&lt;0.005,"一致","不一致"))</x:f>
        <x:v>AmountIncludingTax缺失</x:v>
      </x:c>
      <x:c r="F333" s="19" t="str">
        <x:v>approved</x:v>
      </x:c>
      <x:c r="G333" s="19" t="str">
        <x:v>Repair in Progress</x:v>
      </x:c>
      <x:c r="H333" s="19" t="str">
        <x:v>In Field</x:v>
      </x:c>
      <x:c r="I333" s="37" t="n">
        <x:v>46198</x:v>
      </x:c>
      <x:c r="J333" s="37" t="n">
        <x:v>46198</x:v>
      </x:c>
      <x:c r="K333" s="19" t="str">
        <x:v>Auswide Caravans - South Nowra</x:v>
      </x:c>
      <x:c r="L333" s="19" t="str">
        <x:v>Z006</x:v>
      </x:c>
      <x:c r="M333" s="19" t="str">
        <x:v>In Field Warranty Claims</x:v>
      </x:c>
      <x:c r="N333" s="37" t="n">
        <x:v>46197</x:v>
      </x:c>
      <x:c r="O333" s="37"/>
      <x:c r="P333" s="34" t="n">
        <x:v>1142.68</x:v>
      </x:c>
      <x:c r="Q333" s="37" t="n">
        <x:v>46197.92534722222</x:v>
      </x:c>
    </x:row>
    <x:row r="334">
      <x:c r="A334" s="22" t="n">
        <x:v>36778</x:v>
      </x:c>
      <x:c r="B334" s="28" t="n">
        <x:v>145</x:v>
      </x:c>
      <x:c r="C334" s="28"/>
      <x:c r="D334" s="31" t="str">
        <x:f>IF(OR(ISBLANK(B334),ISBLANK(C334),B334=0),"",(C334-B334)/B334)</x:f>
      </x:c>
      <x:c r="E334" s="22" t="str">
        <x:f>IF(ISBLANK(C334),"AmountIncludingTax缺失",IF(ABS(B334-C334)&lt;0.005,"一致","不一致"))</x:f>
        <x:v>AmountIncludingTax缺失</x:v>
      </x:c>
      <x:c r="F334" s="19" t="str">
        <x:v>approved</x:v>
      </x:c>
      <x:c r="G334" s="19" t="str">
        <x:v>Sales Order Approved</x:v>
      </x:c>
      <x:c r="H334" s="19" t="str">
        <x:v>In Field</x:v>
      </x:c>
      <x:c r="I334" s="37" t="n">
        <x:v>46197</x:v>
      </x:c>
      <x:c r="J334" s="37" t="n">
        <x:v>46197</x:v>
      </x:c>
      <x:c r="K334" s="19" t="str">
        <x:v>Green RV - Slacks Creek</x:v>
      </x:c>
      <x:c r="L334" s="19" t="str">
        <x:v>Z006</x:v>
      </x:c>
      <x:c r="M334" s="19" t="str">
        <x:v>In Field Warranty Claims</x:v>
      </x:c>
      <x:c r="N334" s="37" t="n">
        <x:v>46196</x:v>
      </x:c>
      <x:c r="O334" s="37"/>
      <x:c r="P334" s="34" t="n">
        <x:v>0</x:v>
      </x:c>
      <x:c r="Q334" s="37" t="n">
        <x:v>46197.058900462966</x:v>
      </x:c>
    </x:row>
    <x:row r="335">
      <x:c r="A335" s="22" t="n">
        <x:v>36775</x:v>
      </x:c>
      <x:c r="B335" s="28" t="n">
        <x:v>492.5</x:v>
      </x:c>
      <x:c r="C335" s="28"/>
      <x:c r="D335" s="31" t="str">
        <x:f>IF(OR(ISBLANK(B335),ISBLANK(C335),B335=0),"",(C335-B335)/B335)</x:f>
      </x:c>
      <x:c r="E335" s="22" t="str">
        <x:f>IF(ISBLANK(C335),"AmountIncludingTax缺失",IF(ABS(B335-C335)&lt;0.005,"一致","不一致"))</x:f>
        <x:v>AmountIncludingTax缺失</x:v>
      </x:c>
      <x:c r="F335" s="19" t="str">
        <x:v>approved</x:v>
      </x:c>
      <x:c r="G335" s="19" t="str">
        <x:v>Sales Order Approved</x:v>
      </x:c>
      <x:c r="H335" s="19" t="str">
        <x:v>In Field</x:v>
      </x:c>
      <x:c r="I335" s="37" t="n">
        <x:v>46197</x:v>
      </x:c>
      <x:c r="J335" s="37" t="n">
        <x:v>46197</x:v>
      </x:c>
      <x:c r="K335" s="19" t="str">
        <x:v>Snowy River Launceston</x:v>
      </x:c>
      <x:c r="L335" s="19" t="str">
        <x:v>Z006</x:v>
      </x:c>
      <x:c r="M335" s="19" t="str">
        <x:v>In Field Warranty Claims</x:v>
      </x:c>
      <x:c r="N335" s="37" t="n">
        <x:v>46196</x:v>
      </x:c>
      <x:c r="O335" s="37"/>
      <x:c r="P335" s="34" t="n">
        <x:v>0</x:v>
      </x:c>
      <x:c r="Q335" s="37" t="n">
        <x:v>46197.05201388889</x:v>
      </x:c>
    </x:row>
    <x:row r="336">
      <x:c r="A336" s="22" t="n">
        <x:v>36773</x:v>
      </x:c>
      <x:c r="B336" s="28" t="n">
        <x:v>101.25</x:v>
      </x:c>
      <x:c r="C336" s="28"/>
      <x:c r="D336" s="31" t="str">
        <x:f>IF(OR(ISBLANK(B336),ISBLANK(C336),B336=0),"",(C336-B336)/B336)</x:f>
      </x:c>
      <x:c r="E336" s="22" t="str">
        <x:f>IF(ISBLANK(C336),"AmountIncludingTax缺失",IF(ABS(B336-C336)&lt;0.005,"一致","不一致"))</x:f>
        <x:v>AmountIncludingTax缺失</x:v>
      </x:c>
      <x:c r="F336" s="19" t="str">
        <x:v>approved</x:v>
      </x:c>
      <x:c r="G336" s="19" t="str">
        <x:v>Repair in Progress</x:v>
      </x:c>
      <x:c r="H336" s="19" t="str">
        <x:v>In Field</x:v>
      </x:c>
      <x:c r="I336" s="37" t="n">
        <x:v>46199</x:v>
      </x:c>
      <x:c r="J336" s="37" t="n">
        <x:v>46199</x:v>
      </x:c>
      <x:c r="K336" s="19" t="str">
        <x:v>Snowy River Launceston</x:v>
      </x:c>
      <x:c r="L336" s="19" t="str">
        <x:v>Z006</x:v>
      </x:c>
      <x:c r="M336" s="19" t="str">
        <x:v>In Field Warranty Claims</x:v>
      </x:c>
      <x:c r="N336" s="37" t="n">
        <x:v>46196</x:v>
      </x:c>
      <x:c r="O336" s="37"/>
      <x:c r="P336" s="34" t="n">
        <x:v>0</x:v>
      </x:c>
      <x:c r="Q336" s="37" t="n">
        <x:v>46199.17605324074</x:v>
      </x:c>
    </x:row>
    <x:row r="337">
      <x:c r="A337" s="22" t="n">
        <x:v>36772</x:v>
      </x:c>
      <x:c r="B337" s="28" t="n">
        <x:v>372.5</x:v>
      </x:c>
      <x:c r="C337" s="28"/>
      <x:c r="D337" s="31" t="str">
        <x:f>IF(OR(ISBLANK(B337),ISBLANK(C337),B337=0),"",(C337-B337)/B337)</x:f>
      </x:c>
      <x:c r="E337" s="22" t="str">
        <x:f>IF(ISBLANK(C337),"AmountIncludingTax缺失",IF(ABS(B337-C337)&lt;0.005,"一致","不一致"))</x:f>
        <x:v>AmountIncludingTax缺失</x:v>
      </x:c>
      <x:c r="F337" s="19" t="str">
        <x:v>approved</x:v>
      </x:c>
      <x:c r="G337" s="19" t="str">
        <x:v>Repairer Invoiced Processed</x:v>
      </x:c>
      <x:c r="H337" s="19" t="str">
        <x:v>Pre Delivery</x:v>
      </x:c>
      <x:c r="I337" s="37" t="n">
        <x:v>46206</x:v>
      </x:c>
      <x:c r="J337" s="37" t="n">
        <x:v>46206</x:v>
      </x:c>
      <x:c r="K337" s="19" t="str">
        <x:v>The Caravan Hub - Townsville</x:v>
      </x:c>
      <x:c r="L337" s="19" t="str">
        <x:v>Z005</x:v>
      </x:c>
      <x:c r="M337" s="19" t="str">
        <x:v>Pre Delivery Warranty Claims</x:v>
      </x:c>
      <x:c r="N337" s="37" t="n">
        <x:v>46196</x:v>
      </x:c>
      <x:c r="O337" s="37"/>
      <x:c r="P337" s="34" t="n">
        <x:v>0</x:v>
      </x:c>
      <x:c r="Q337" s="37" t="n">
        <x:v>46206.14275462963</x:v>
      </x:c>
    </x:row>
    <x:row r="338">
      <x:c r="A338" s="22" t="n">
        <x:v>36771</x:v>
      </x:c>
      <x:c r="B338" s="28" t="n">
        <x:v>277.5</x:v>
      </x:c>
      <x:c r="C338" s="28" t="n">
        <x:v>251.25</x:v>
      </x:c>
      <x:c r="D338" s="31" t="n">
        <x:f>IF(OR(ISBLANK(B338),ISBLANK(C338),B338=0),"",(C338-B338)/B338)</x:f>
        <x:v>-0.0945945945945946</x:v>
      </x:c>
      <x:c r="E338" s="22" t="str">
        <x:f>IF(ISBLANK(C338),"AmountIncludingTax缺失",IF(ABS(B338-C338)&lt;0.005,"一致","不一致"))</x:f>
        <x:v>不一致</x:v>
      </x:c>
      <x:c r="F338" s="19" t="str">
        <x:v>approved</x:v>
      </x:c>
      <x:c r="G338" s="19" t="str">
        <x:v>Repairer Invoiced Processed</x:v>
      </x:c>
      <x:c r="H338" s="19" t="str">
        <x:v>In Field</x:v>
      </x:c>
      <x:c r="I338" s="37" t="n">
        <x:v>46197</x:v>
      </x:c>
      <x:c r="J338" s="37" t="n">
        <x:v>46197</x:v>
      </x:c>
      <x:c r="K338" s="19" t="str">
        <x:v>Vanari Caravans - Marden Point</x:v>
      </x:c>
      <x:c r="L338" s="19" t="str">
        <x:v>Z006</x:v>
      </x:c>
      <x:c r="M338" s="19" t="str">
        <x:v>In Field Warranty Claims</x:v>
      </x:c>
      <x:c r="N338" s="37" t="n">
        <x:v>46196</x:v>
      </x:c>
      <x:c r="O338" s="37"/>
      <x:c r="P338" s="34" t="n">
        <x:v>251.25</x:v>
      </x:c>
      <x:c r="Q338" s="37" t="n">
        <x:v>46197.187523148146</x:v>
      </x:c>
    </x:row>
    <x:row r="339">
      <x:c r="A339" s="22" t="n">
        <x:v>36769</x:v>
      </x:c>
      <x:c r="B339" s="28" t="n">
        <x:v>2248.41</x:v>
      </x:c>
      <x:c r="C339" s="28"/>
      <x:c r="D339" s="31" t="str">
        <x:f>IF(OR(ISBLANK(B339),ISBLANK(C339),B339=0),"",(C339-B339)/B339)</x:f>
      </x:c>
      <x:c r="E339" s="22" t="str">
        <x:f>IF(ISBLANK(C339),"AmountIncludingTax缺失",IF(ABS(B339-C339)&lt;0.005,"一致","不一致"))</x:f>
        <x:v>AmountIncludingTax缺失</x:v>
      </x:c>
      <x:c r="F339" s="19" t="str">
        <x:v>approved</x:v>
      </x:c>
      <x:c r="G339" s="19" t="str">
        <x:v>Sales Order Approved</x:v>
      </x:c>
      <x:c r="H339" s="19" t="str">
        <x:v>In Field</x:v>
      </x:c>
      <x:c r="I339" s="37" t="n">
        <x:v>46210</x:v>
      </x:c>
      <x:c r="J339" s="37" t="n">
        <x:v>46210</x:v>
      </x:c>
      <x:c r="K339" s="19" t="str">
        <x:v>Lesiure Lion-New Castle</x:v>
      </x:c>
      <x:c r="L339" s="19" t="str">
        <x:v>Z006</x:v>
      </x:c>
      <x:c r="M339" s="19" t="str">
        <x:v>In Field Warranty Claims</x:v>
      </x:c>
      <x:c r="N339" s="37" t="n">
        <x:v>46196</x:v>
      </x:c>
      <x:c r="O339" s="37"/>
      <x:c r="P339" s="34" t="n">
        <x:v>0</x:v>
      </x:c>
      <x:c r="Q339" s="37" t="n">
        <x:v>46210.215219907404</x:v>
      </x:c>
    </x:row>
    <x:row r="340">
      <x:c r="A340" s="22" t="n">
        <x:v>36768</x:v>
      </x:c>
      <x:c r="B340" s="28" t="n">
        <x:v>1510</x:v>
      </x:c>
      <x:c r="C340" s="28"/>
      <x:c r="D340" s="31" t="str">
        <x:f>IF(OR(ISBLANK(B340),ISBLANK(C340),B340=0),"",(C340-B340)/B340)</x:f>
      </x:c>
      <x:c r="E340" s="22" t="str">
        <x:f>IF(ISBLANK(C340),"AmountIncludingTax缺失",IF(ABS(B340-C340)&lt;0.005,"一致","不一致"))</x:f>
        <x:v>AmountIncludingTax缺失</x:v>
      </x:c>
      <x:c r="F340" s="19" t="str">
        <x:v>approved</x:v>
      </x:c>
      <x:c r="G340" s="19" t="str">
        <x:v>Partially Picked</x:v>
      </x:c>
      <x:c r="H340" s="19" t="str">
        <x:v>Pre Delivery</x:v>
      </x:c>
      <x:c r="I340" s="37" t="n">
        <x:v>46198</x:v>
      </x:c>
      <x:c r="J340" s="37" t="n">
        <x:v>46198</x:v>
      </x:c>
      <x:c r="K340" s="19" t="str">
        <x:v>Snowy River Geelong</x:v>
      </x:c>
      <x:c r="L340" s="19" t="str">
        <x:v>Z005</x:v>
      </x:c>
      <x:c r="M340" s="19" t="str">
        <x:v>Pre Delivery Warranty Claims</x:v>
      </x:c>
      <x:c r="N340" s="37" t="n">
        <x:v>46196</x:v>
      </x:c>
      <x:c r="O340" s="37"/>
      <x:c r="P340" s="34" t="n">
        <x:v>0</x:v>
      </x:c>
      <x:c r="Q340" s="37" t="n">
        <x:v>46197.928194444445</x:v>
      </x:c>
    </x:row>
    <x:row r="341">
      <x:c r="A341" s="22" t="n">
        <x:v>36767</x:v>
      </x:c>
      <x:c r="B341" s="28" t="n">
        <x:v>1525</x:v>
      </x:c>
      <x:c r="C341" s="28"/>
      <x:c r="D341" s="31" t="str">
        <x:f>IF(OR(ISBLANK(B341),ISBLANK(C341),B341=0),"",(C341-B341)/B341)</x:f>
      </x:c>
      <x:c r="E341" s="22" t="str">
        <x:f>IF(ISBLANK(C341),"AmountIncludingTax缺失",IF(ABS(B341-C341)&lt;0.005,"一致","不一致"))</x:f>
        <x:v>AmountIncludingTax缺失</x:v>
      </x:c>
      <x:c r="F341" s="19" t="str">
        <x:v>approved</x:v>
      </x:c>
      <x:c r="G341" s="19" t="str">
        <x:v>Sales Order Approved</x:v>
      </x:c>
      <x:c r="H341" s="19" t="str">
        <x:v>In Field</x:v>
      </x:c>
      <x:c r="I341" s="37" t="n">
        <x:v>46199</x:v>
      </x:c>
      <x:c r="J341" s="37" t="n">
        <x:v>46199</x:v>
      </x:c>
      <x:c r="K341" s="19" t="str">
        <x:v>Lesiure Lion-New Castle</x:v>
      </x:c>
      <x:c r="L341" s="19" t="str">
        <x:v>Z006</x:v>
      </x:c>
      <x:c r="M341" s="19" t="str">
        <x:v>In Field Warranty Claims</x:v>
      </x:c>
      <x:c r="N341" s="37" t="n">
        <x:v>46196</x:v>
      </x:c>
      <x:c r="O341" s="37"/>
      <x:c r="P341" s="34" t="n">
        <x:v>2141.51</x:v>
      </x:c>
      <x:c r="Q341" s="37" t="n">
        <x:v>46199.02958333334</x:v>
      </x:c>
    </x:row>
    <x:row r="342">
      <x:c r="A342" s="22" t="n">
        <x:v>36766</x:v>
      </x:c>
      <x:c r="B342" s="28" t="n">
        <x:v>318.75</x:v>
      </x:c>
      <x:c r="C342" s="28" t="n">
        <x:v>350.63</x:v>
      </x:c>
      <x:c r="D342" s="31" t="n">
        <x:f>IF(OR(ISBLANK(B342),ISBLANK(C342),B342=0),"",(C342-B342)/B342)</x:f>
        <x:v>0.1000156862745098</x:v>
      </x:c>
      <x:c r="E342" s="22" t="str">
        <x:f>IF(ISBLANK(C342),"AmountIncludingTax缺失",IF(ABS(B342-C342)&lt;0.005,"一致","不一致"))</x:f>
        <x:v>不一致</x:v>
      </x:c>
      <x:c r="F342" s="19" t="str">
        <x:v>approved</x:v>
      </x:c>
      <x:c r="G342" s="19" t="str">
        <x:v>Repair in Progress</x:v>
      </x:c>
      <x:c r="H342" s="19" t="str">
        <x:v>Pre Delivery</x:v>
      </x:c>
      <x:c r="I342" s="37" t="n">
        <x:v>46206</x:v>
      </x:c>
      <x:c r="J342" s="37" t="n">
        <x:v>46206</x:v>
      </x:c>
      <x:c r="K342" s="19" t="str">
        <x:v>Snowy River Wangaratta</x:v>
      </x:c>
      <x:c r="L342" s="19" t="str">
        <x:v>Z005</x:v>
      </x:c>
      <x:c r="M342" s="19" t="str">
        <x:v>Pre Delivery Warranty Claims</x:v>
      </x:c>
      <x:c r="N342" s="37" t="n">
        <x:v>46196</x:v>
      </x:c>
      <x:c r="O342" s="37"/>
      <x:c r="P342" s="34" t="n">
        <x:v>350.63</x:v>
      </x:c>
      <x:c r="Q342" s="37" t="n">
        <x:v>46206.001851851855</x:v>
      </x:c>
    </x:row>
    <x:row r="343">
      <x:c r="A343" s="22" t="n">
        <x:v>36764</x:v>
      </x:c>
      <x:c r="B343" s="28" t="n">
        <x:v>782.5</x:v>
      </x:c>
      <x:c r="C343" s="28"/>
      <x:c r="D343" s="31" t="str">
        <x:f>IF(OR(ISBLANK(B343),ISBLANK(C343),B343=0),"",(C343-B343)/B343)</x:f>
      </x:c>
      <x:c r="E343" s="22" t="str">
        <x:f>IF(ISBLANK(C343),"AmountIncludingTax缺失",IF(ABS(B343-C343)&lt;0.005,"一致","不一致"))</x:f>
        <x:v>AmountIncludingTax缺失</x:v>
      </x:c>
      <x:c r="F343" s="19" t="str">
        <x:v>approved</x:v>
      </x:c>
      <x:c r="G343" s="19" t="str">
        <x:v>Sales Order Approved</x:v>
      </x:c>
      <x:c r="H343" s="19" t="str">
        <x:v>In Field</x:v>
      </x:c>
      <x:c r="I343" s="37" t="n">
        <x:v>46204</x:v>
      </x:c>
      <x:c r="J343" s="37" t="n">
        <x:v>46204</x:v>
      </x:c>
      <x:c r="K343" s="19" t="str">
        <x:v>Regent RV - Perth</x:v>
      </x:c>
      <x:c r="L343" s="19" t="str">
        <x:v>Z006</x:v>
      </x:c>
      <x:c r="M343" s="19" t="str">
        <x:v>In Field Warranty Claims</x:v>
      </x:c>
      <x:c r="N343" s="37" t="n">
        <x:v>46196</x:v>
      </x:c>
      <x:c r="O343" s="37"/>
      <x:c r="P343" s="34" t="n">
        <x:v>0</x:v>
      </x:c>
      <x:c r="Q343" s="37" t="n">
        <x:v>46204.24561342593</x:v>
      </x:c>
    </x:row>
    <x:row r="344">
      <x:c r="A344" s="22" t="n">
        <x:v>36763</x:v>
      </x:c>
      <x:c r="B344" s="28" t="n">
        <x:v>580</x:v>
      </x:c>
      <x:c r="C344" s="28"/>
      <x:c r="D344" s="31" t="str">
        <x:f>IF(OR(ISBLANK(B344),ISBLANK(C344),B344=0),"",(C344-B344)/B344)</x:f>
      </x:c>
      <x:c r="E344" s="22" t="str">
        <x:f>IF(ISBLANK(C344),"AmountIncludingTax缺失",IF(ABS(B344-C344)&lt;0.005,"一致","不一致"))</x:f>
        <x:v>AmountIncludingTax缺失</x:v>
      </x:c>
      <x:c r="F344" s="19" t="str">
        <x:v>approved</x:v>
      </x:c>
      <x:c r="G344" s="19" t="str">
        <x:v>Repair in Progress</x:v>
      </x:c>
      <x:c r="H344" s="19" t="str">
        <x:v>In Field</x:v>
      </x:c>
      <x:c r="I344" s="37" t="n">
        <x:v>46197</x:v>
      </x:c>
      <x:c r="J344" s="37" t="n">
        <x:v>46197</x:v>
      </x:c>
      <x:c r="K344" s="19" t="str">
        <x:v>Snowy River Launceston</x:v>
      </x:c>
      <x:c r="L344" s="19" t="str">
        <x:v>Z006</x:v>
      </x:c>
      <x:c r="M344" s="19" t="str">
        <x:v>In Field Warranty Claims</x:v>
      </x:c>
      <x:c r="N344" s="37" t="n">
        <x:v>46196</x:v>
      </x:c>
      <x:c r="O344" s="37"/>
      <x:c r="P344" s="34" t="n">
        <x:v>0</x:v>
      </x:c>
      <x:c r="Q344" s="37" t="n">
        <x:v>46197.04481481481</x:v>
      </x:c>
    </x:row>
    <x:row r="345">
      <x:c r="A345" s="22" t="n">
        <x:v>36762</x:v>
      </x:c>
      <x:c r="B345" s="28" t="n">
        <x:v>1584.55</x:v>
      </x:c>
      <x:c r="C345" s="28"/>
      <x:c r="D345" s="31" t="str">
        <x:f>IF(OR(ISBLANK(B345),ISBLANK(C345),B345=0),"",(C345-B345)/B345)</x:f>
      </x:c>
      <x:c r="E345" s="22" t="str">
        <x:f>IF(ISBLANK(C345),"AmountIncludingTax缺失",IF(ABS(B345-C345)&lt;0.005,"一致","不一致"))</x:f>
        <x:v>AmountIncludingTax缺失</x:v>
      </x:c>
      <x:c r="F345" s="19" t="str">
        <x:v>approved</x:v>
      </x:c>
      <x:c r="G345" s="19" t="str">
        <x:v>Repairer Invoiced Processed</x:v>
      </x:c>
      <x:c r="H345" s="19" t="str">
        <x:v>Pre Delivery</x:v>
      </x:c>
      <x:c r="I345" s="37" t="n">
        <x:v>46199</x:v>
      </x:c>
      <x:c r="J345" s="37" t="n">
        <x:v>46199</x:v>
      </x:c>
      <x:c r="K345" s="19" t="str">
        <x:v>The Caravan Hub - Townsville</x:v>
      </x:c>
      <x:c r="L345" s="19" t="str">
        <x:v>Z005</x:v>
      </x:c>
      <x:c r="M345" s="19" t="str">
        <x:v>Pre Delivery Warranty Claims</x:v>
      </x:c>
      <x:c r="N345" s="37" t="n">
        <x:v>46196</x:v>
      </x:c>
      <x:c r="O345" s="37"/>
      <x:c r="P345" s="34" t="n">
        <x:v>0</x:v>
      </x:c>
      <x:c r="Q345" s="37" t="n">
        <x:v>46198.913877314815</x:v>
      </x:c>
    </x:row>
    <x:row r="346">
      <x:c r="A346" s="22" t="n">
        <x:v>36760</x:v>
      </x:c>
      <x:c r="B346" s="28" t="n">
        <x:v>135</x:v>
      </x:c>
      <x:c r="C346" s="28"/>
      <x:c r="D346" s="31" t="str">
        <x:f>IF(OR(ISBLANK(B346),ISBLANK(C346),B346=0),"",(C346-B346)/B346)</x:f>
      </x:c>
      <x:c r="E346" s="22" t="str">
        <x:f>IF(ISBLANK(C346),"AmountIncludingTax缺失",IF(ABS(B346-C346)&lt;0.005,"一致","不一致"))</x:f>
        <x:v>AmountIncludingTax缺失</x:v>
      </x:c>
      <x:c r="F346" s="19" t="str">
        <x:v>approved</x:v>
      </x:c>
      <x:c r="G346" s="19" t="str">
        <x:v>Sales Order Approved</x:v>
      </x:c>
      <x:c r="H346" s="19" t="str">
        <x:v>Pre Delivery</x:v>
      </x:c>
      <x:c r="I346" s="37" t="n">
        <x:v>46197</x:v>
      </x:c>
      <x:c r="J346" s="37" t="n">
        <x:v>46197</x:v>
      </x:c>
      <x:c r="K346" s="19" t="str">
        <x:v>Green RV - Slacks Creek</x:v>
      </x:c>
      <x:c r="L346" s="19" t="str">
        <x:v>Z005</x:v>
      </x:c>
      <x:c r="M346" s="19" t="str">
        <x:v>Pre Delivery Warranty Claims</x:v>
      </x:c>
      <x:c r="N346" s="37" t="n">
        <x:v>46196</x:v>
      </x:c>
      <x:c r="O346" s="37"/>
      <x:c r="P346" s="34" t="n">
        <x:v>0</x:v>
      </x:c>
      <x:c r="Q346" s="37" t="n">
        <x:v>46196.90454861111</x:v>
      </x:c>
    </x:row>
    <x:row r="347">
      <x:c r="A347" s="22" t="n">
        <x:v>36759</x:v>
      </x:c>
      <x:c r="B347" s="28" t="n">
        <x:v>517.5</x:v>
      </x:c>
      <x:c r="C347" s="28"/>
      <x:c r="D347" s="31" t="str">
        <x:f>IF(OR(ISBLANK(B347),ISBLANK(C347),B347=0),"",(C347-B347)/B347)</x:f>
      </x:c>
      <x:c r="E347" s="22" t="str">
        <x:f>IF(ISBLANK(C347),"AmountIncludingTax缺失",IF(ABS(B347-C347)&lt;0.005,"一致","不一致"))</x:f>
        <x:v>AmountIncludingTax缺失</x:v>
      </x:c>
      <x:c r="F347" s="19" t="str">
        <x:v>approved</x:v>
      </x:c>
      <x:c r="G347" s="19" t="str">
        <x:v>Sales Order Approved</x:v>
      </x:c>
      <x:c r="H347" s="19" t="str">
        <x:v>Pre Delivery</x:v>
      </x:c>
      <x:c r="I347" s="37" t="n">
        <x:v>46212</x:v>
      </x:c>
      <x:c r="J347" s="37" t="n">
        <x:v>46212</x:v>
      </x:c>
      <x:c r="K347" s="19" t="str">
        <x:v>The Caravan Hub - Townsville</x:v>
      </x:c>
      <x:c r="L347" s="19" t="str">
        <x:v>Z005</x:v>
      </x:c>
      <x:c r="M347" s="19" t="str">
        <x:v>Pre Delivery Warranty Claims</x:v>
      </x:c>
      <x:c r="N347" s="37" t="n">
        <x:v>46196</x:v>
      </x:c>
      <x:c r="O347" s="37"/>
      <x:c r="P347" s="34" t="n">
        <x:v>0</x:v>
      </x:c>
      <x:c r="Q347" s="37" t="n">
        <x:v>46212.06480324074</x:v>
      </x:c>
    </x:row>
    <x:row r="348">
      <x:c r="A348" s="22" t="n">
        <x:v>36758</x:v>
      </x:c>
      <x:c r="B348" s="28" t="n">
        <x:v>540</x:v>
      </x:c>
      <x:c r="C348" s="28"/>
      <x:c r="D348" s="31" t="str">
        <x:f>IF(OR(ISBLANK(B348),ISBLANK(C348),B348=0),"",(C348-B348)/B348)</x:f>
      </x:c>
      <x:c r="E348" s="22" t="str">
        <x:f>IF(ISBLANK(C348),"AmountIncludingTax缺失",IF(ABS(B348-C348)&lt;0.005,"一致","不一致"))</x:f>
        <x:v>AmountIncludingTax缺失</x:v>
      </x:c>
      <x:c r="F348" s="19" t="str">
        <x:v>approved</x:v>
      </x:c>
      <x:c r="G348" s="19" t="str">
        <x:v>Repair in Progress</x:v>
      </x:c>
      <x:c r="H348" s="19" t="str">
        <x:v>In Field</x:v>
      </x:c>
      <x:c r="I348" s="37" t="n">
        <x:v>46196</x:v>
      </x:c>
      <x:c r="J348" s="37" t="n">
        <x:v>46196</x:v>
      </x:c>
      <x:c r="K348" s="19" t="str">
        <x:v>Regent RV - Perth</x:v>
      </x:c>
      <x:c r="L348" s="19" t="str">
        <x:v>Z006</x:v>
      </x:c>
      <x:c r="M348" s="19" t="str">
        <x:v>In Field Warranty Claims</x:v>
      </x:c>
      <x:c r="N348" s="37" t="n">
        <x:v>46196</x:v>
      </x:c>
      <x:c r="O348" s="37"/>
      <x:c r="P348" s="34" t="n">
        <x:v>0</x:v>
      </x:c>
      <x:c r="Q348" s="37" t="n">
        <x:v>46196.126493055555</x:v>
      </x:c>
    </x:row>
    <x:row r="349">
      <x:c r="A349" s="22" t="n">
        <x:v>36755</x:v>
      </x:c>
      <x:c r="B349" s="28" t="n">
        <x:v>1302.5</x:v>
      </x:c>
      <x:c r="C349" s="28"/>
      <x:c r="D349" s="31" t="str">
        <x:f>IF(OR(ISBLANK(B349),ISBLANK(C349),B349=0),"",(C349-B349)/B349)</x:f>
      </x:c>
      <x:c r="E349" s="22" t="str">
        <x:f>IF(ISBLANK(C349),"AmountIncludingTax缺失",IF(ABS(B349-C349)&lt;0.005,"一致","不一致"))</x:f>
        <x:v>AmountIncludingTax缺失</x:v>
      </x:c>
      <x:c r="F349" s="19" t="str">
        <x:v>approved</x:v>
      </x:c>
      <x:c r="G349" s="19" t="str">
        <x:v>Repairer Invoiced Processed</x:v>
      </x:c>
      <x:c r="H349" s="19" t="str">
        <x:v>Pre Delivery</x:v>
      </x:c>
      <x:c r="I349" s="37" t="n">
        <x:v>46205</x:v>
      </x:c>
      <x:c r="J349" s="37" t="n">
        <x:v>46205</x:v>
      </x:c>
      <x:c r="K349" s="19" t="str">
        <x:v>Leisure Lion - Bundaberg</x:v>
      </x:c>
      <x:c r="L349" s="19" t="str">
        <x:v>Z005</x:v>
      </x:c>
      <x:c r="M349" s="19" t="str">
        <x:v>Pre Delivery Warranty Claims</x:v>
      </x:c>
      <x:c r="N349" s="37" t="n">
        <x:v>46195</x:v>
      </x:c>
      <x:c r="O349" s="37"/>
      <x:c r="P349" s="34" t="n">
        <x:v>0</x:v>
      </x:c>
      <x:c r="Q349" s="37" t="n">
        <x:v>46205.24725694444</x:v>
      </x:c>
    </x:row>
    <x:row r="350">
      <x:c r="A350" s="22" t="n">
        <x:v>36754</x:v>
      </x:c>
      <x:c r="B350" s="28" t="n">
        <x:v>334.16</x:v>
      </x:c>
      <x:c r="C350" s="28" t="n">
        <x:v>367.58</x:v>
      </x:c>
      <x:c r="D350" s="31" t="n">
        <x:f>IF(OR(ISBLANK(B350),ISBLANK(C350),B350=0),"",(C350-B350)/B350)</x:f>
        <x:v>0.10001197031362209</x:v>
      </x:c>
      <x:c r="E350" s="22" t="str">
        <x:f>IF(ISBLANK(C350),"AmountIncludingTax缺失",IF(ABS(B350-C350)&lt;0.005,"一致","不一致"))</x:f>
        <x:v>不一致</x:v>
      </x:c>
      <x:c r="F350" s="19" t="str">
        <x:v>approved</x:v>
      </x:c>
      <x:c r="G350" s="19" t="str">
        <x:v>Repairer Invoiced Processed</x:v>
      </x:c>
      <x:c r="H350" s="19" t="str">
        <x:v>Pre Delivery</x:v>
      </x:c>
      <x:c r="I350" s="37" t="n">
        <x:v>46206</x:v>
      </x:c>
      <x:c r="J350" s="37" t="n">
        <x:v>46206</x:v>
      </x:c>
      <x:c r="K350" s="19" t="str">
        <x:v>The Caravan Hub - Townsville</x:v>
      </x:c>
      <x:c r="L350" s="19" t="str">
        <x:v>Z005</x:v>
      </x:c>
      <x:c r="M350" s="19" t="str">
        <x:v>Pre Delivery Warranty Claims</x:v>
      </x:c>
      <x:c r="N350" s="37" t="n">
        <x:v>46195</x:v>
      </x:c>
      <x:c r="O350" s="37"/>
      <x:c r="P350" s="34" t="n">
        <x:v>367.58</x:v>
      </x:c>
      <x:c r="Q350" s="37" t="n">
        <x:v>46206.015625</x:v>
      </x:c>
    </x:row>
    <x:row r="351">
      <x:c r="A351" s="22" t="n">
        <x:v>36753</x:v>
      </x:c>
      <x:c r="B351" s="28" t="n">
        <x:v>309.12</x:v>
      </x:c>
      <x:c r="C351" s="28" t="n">
        <x:v>340.03</x:v>
      </x:c>
      <x:c r="D351" s="31" t="n">
        <x:f>IF(OR(ISBLANK(B351),ISBLANK(C351),B351=0),"",(C351-B351)/B351)</x:f>
        <x:v>0.09999353002070382</x:v>
      </x:c>
      <x:c r="E351" s="22" t="str">
        <x:f>IF(ISBLANK(C351),"AmountIncludingTax缺失",IF(ABS(B351-C351)&lt;0.005,"一致","不一致"))</x:f>
        <x:v>不一致</x:v>
      </x:c>
      <x:c r="F351" s="19" t="str">
        <x:v>approved</x:v>
      </x:c>
      <x:c r="G351" s="19" t="str">
        <x:v>Repairer Invoiced Processed</x:v>
      </x:c>
      <x:c r="H351" s="19" t="str">
        <x:v>In Field</x:v>
      </x:c>
      <x:c r="I351" s="37" t="n">
        <x:v>46204</x:v>
      </x:c>
      <x:c r="J351" s="37" t="n">
        <x:v>46204</x:v>
      </x:c>
      <x:c r="K351" s="19" t="str">
        <x:v>Green RV - Forest Glen</x:v>
      </x:c>
      <x:c r="L351" s="19" t="str">
        <x:v>Z006</x:v>
      </x:c>
      <x:c r="M351" s="19" t="str">
        <x:v>In Field Warranty Claims</x:v>
      </x:c>
      <x:c r="N351" s="37" t="n">
        <x:v>46195</x:v>
      </x:c>
      <x:c r="O351" s="37"/>
      <x:c r="P351" s="34" t="n">
        <x:v>340.03</x:v>
      </x:c>
      <x:c r="Q351" s="37" t="n">
        <x:v>46203.87328703704</x:v>
      </x:c>
    </x:row>
    <x:row r="352">
      <x:c r="A352" s="22" t="n">
        <x:v>36752</x:v>
      </x:c>
      <x:c r="B352" s="28" t="n">
        <x:v>206.25</x:v>
      </x:c>
      <x:c r="C352" s="28" t="n">
        <x:v>186.74</x:v>
      </x:c>
      <x:c r="D352" s="31" t="n">
        <x:f>IF(OR(ISBLANK(B352),ISBLANK(C352),B352=0),"",(C352-B352)/B352)</x:f>
        <x:v>-0.09459393939393936</x:v>
      </x:c>
      <x:c r="E352" s="22" t="str">
        <x:f>IF(ISBLANK(C352),"AmountIncludingTax缺失",IF(ABS(B352-C352)&lt;0.005,"一致","不一致"))</x:f>
        <x:v>不一致</x:v>
      </x:c>
      <x:c r="F352" s="19" t="str">
        <x:v>approved</x:v>
      </x:c>
      <x:c r="G352" s="19" t="str">
        <x:v>Repairer Invoiced Processed</x:v>
      </x:c>
      <x:c r="H352" s="19" t="str">
        <x:v>In Field</x:v>
      </x:c>
      <x:c r="I352" s="37" t="n">
        <x:v>46196</x:v>
      </x:c>
      <x:c r="J352" s="37" t="n">
        <x:v>46196</x:v>
      </x:c>
      <x:c r="K352" s="19" t="str">
        <x:v>Vanari Caravans - Marden Point</x:v>
      </x:c>
      <x:c r="L352" s="19" t="str">
        <x:v>Z006</x:v>
      </x:c>
      <x:c r="M352" s="19" t="str">
        <x:v>In Field Warranty Claims</x:v>
      </x:c>
      <x:c r="N352" s="37" t="n">
        <x:v>46195</x:v>
      </x:c>
      <x:c r="O352" s="37"/>
      <x:c r="P352" s="34" t="n">
        <x:v>186.74</x:v>
      </x:c>
      <x:c r="Q352" s="37" t="n">
        <x:v>46195.928715277776</x:v>
      </x:c>
    </x:row>
    <x:row r="353">
      <x:c r="A353" s="22" t="n">
        <x:v>36751</x:v>
      </x:c>
      <x:c r="B353" s="28" t="n">
        <x:v>82.5</x:v>
      </x:c>
      <x:c r="C353" s="28" t="n">
        <x:v>74.7</x:v>
      </x:c>
      <x:c r="D353" s="31" t="n">
        <x:f>IF(OR(ISBLANK(B353),ISBLANK(C353),B353=0),"",(C353-B353)/B353)</x:f>
        <x:v>-0.09454545454545452</x:v>
      </x:c>
      <x:c r="E353" s="22" t="str">
        <x:f>IF(ISBLANK(C353),"AmountIncludingTax缺失",IF(ABS(B353-C353)&lt;0.005,"一致","不一致"))</x:f>
        <x:v>不一致</x:v>
      </x:c>
      <x:c r="F353" s="19" t="str">
        <x:v>approved</x:v>
      </x:c>
      <x:c r="G353" s="19" t="str">
        <x:v>Repairer Invoiced Processed</x:v>
      </x:c>
      <x:c r="H353" s="19" t="str">
        <x:v>In Field</x:v>
      </x:c>
      <x:c r="I353" s="37" t="n">
        <x:v>46196</x:v>
      </x:c>
      <x:c r="J353" s="37" t="n">
        <x:v>46196</x:v>
      </x:c>
      <x:c r="K353" s="19" t="str">
        <x:v>Vanari Caravans - Marden Point</x:v>
      </x:c>
      <x:c r="L353" s="19" t="str">
        <x:v>Z006</x:v>
      </x:c>
      <x:c r="M353" s="19" t="str">
        <x:v>In Field Warranty Claims</x:v>
      </x:c>
      <x:c r="N353" s="37" t="n">
        <x:v>46195</x:v>
      </x:c>
      <x:c r="O353" s="37"/>
      <x:c r="P353" s="34" t="n">
        <x:v>74.7</x:v>
      </x:c>
      <x:c r="Q353" s="37" t="n">
        <x:v>46195.907743055555</x:v>
      </x:c>
    </x:row>
    <x:row r="354">
      <x:c r="A354" s="22" t="n">
        <x:v>36750</x:v>
      </x:c>
      <x:c r="B354" s="28" t="n">
        <x:v>303.75</x:v>
      </x:c>
      <x:c r="C354" s="28" t="n">
        <x:v>334.13</x:v>
      </x:c>
      <x:c r="D354" s="31" t="n">
        <x:f>IF(OR(ISBLANK(B354),ISBLANK(C354),B354=0),"",(C354-B354)/B354)</x:f>
        <x:v>0.10001646090534978</x:v>
      </x:c>
      <x:c r="E354" s="22" t="str">
        <x:f>IF(ISBLANK(C354),"AmountIncludingTax缺失",IF(ABS(B354-C354)&lt;0.005,"一致","不一致"))</x:f>
        <x:v>不一致</x:v>
      </x:c>
      <x:c r="F354" s="19" t="str">
        <x:v>approved</x:v>
      </x:c>
      <x:c r="G354" s="19" t="str">
        <x:v>Repair in Progress</x:v>
      </x:c>
      <x:c r="H354" s="19" t="str">
        <x:v>Pre Delivery</x:v>
      </x:c>
      <x:c r="I354" s="37" t="n">
        <x:v>46205</x:v>
      </x:c>
      <x:c r="J354" s="37" t="n">
        <x:v>46205</x:v>
      </x:c>
      <x:c r="K354" s="19" t="str">
        <x:v>Snowy River Wangaratta</x:v>
      </x:c>
      <x:c r="L354" s="19" t="str">
        <x:v>Z005</x:v>
      </x:c>
      <x:c r="M354" s="19" t="str">
        <x:v>Pre Delivery Warranty Claims</x:v>
      </x:c>
      <x:c r="N354" s="37" t="n">
        <x:v>46196</x:v>
      </x:c>
      <x:c r="O354" s="37"/>
      <x:c r="P354" s="34" t="n">
        <x:v>334.13</x:v>
      </x:c>
      <x:c r="Q354" s="37" t="n">
        <x:v>46205.26310185185</x:v>
      </x:c>
    </x:row>
    <x:row r="355">
      <x:c r="A355" s="22" t="n">
        <x:v>36749</x:v>
      </x:c>
      <x:c r="B355" s="28" t="n">
        <x:v>1074.5</x:v>
      </x:c>
      <x:c r="C355" s="28" t="n">
        <x:v>972.85</x:v>
      </x:c>
      <x:c r="D355" s="31" t="n">
        <x:f>IF(OR(ISBLANK(B355),ISBLANK(C355),B355=0),"",(C355-B355)/B355)</x:f>
        <x:v>-0.09460214053047927</x:v>
      </x:c>
      <x:c r="E355" s="22" t="str">
        <x:f>IF(ISBLANK(C355),"AmountIncludingTax缺失",IF(ABS(B355-C355)&lt;0.005,"一致","不一致"))</x:f>
        <x:v>不一致</x:v>
      </x:c>
      <x:c r="F355" s="19" t="str">
        <x:v>approved</x:v>
      </x:c>
      <x:c r="G355" s="19" t="str">
        <x:v>Repair in Progress</x:v>
      </x:c>
      <x:c r="H355" s="19" t="str">
        <x:v>In Field</x:v>
      </x:c>
      <x:c r="I355" s="37" t="n">
        <x:v>46211</x:v>
      </x:c>
      <x:c r="J355" s="37" t="n">
        <x:v>46211</x:v>
      </x:c>
      <x:c r="K355" s="19" t="str">
        <x:v>Vanari Caravans - Marden Point</x:v>
      </x:c>
      <x:c r="L355" s="19" t="str">
        <x:v>Z006</x:v>
      </x:c>
      <x:c r="M355" s="19" t="str">
        <x:v>In Field Warranty Claims</x:v>
      </x:c>
      <x:c r="N355" s="37" t="n">
        <x:v>46196</x:v>
      </x:c>
      <x:c r="O355" s="37"/>
      <x:c r="P355" s="34" t="n">
        <x:v>972.85</x:v>
      </x:c>
      <x:c r="Q355" s="37" t="n">
        <x:v>46211.2049537037</x:v>
      </x:c>
    </x:row>
    <x:row r="356">
      <x:c r="A356" s="22" t="n">
        <x:v>36748</x:v>
      </x:c>
      <x:c r="B356" s="28" t="n">
        <x:v>326.25</x:v>
      </x:c>
      <x:c r="C356" s="28"/>
      <x:c r="D356" s="31" t="str">
        <x:f>IF(OR(ISBLANK(B356),ISBLANK(C356),B356=0),"",(C356-B356)/B356)</x:f>
      </x:c>
      <x:c r="E356" s="22" t="str">
        <x:f>IF(ISBLANK(C356),"AmountIncludingTax缺失",IF(ABS(B356-C356)&lt;0.005,"一致","不一致"))</x:f>
        <x:v>AmountIncludingTax缺失</x:v>
      </x:c>
      <x:c r="F356" s="19" t="str">
        <x:v>approved</x:v>
      </x:c>
      <x:c r="G356" s="19" t="str">
        <x:v>Sales Order Approved</x:v>
      </x:c>
      <x:c r="H356" s="19" t="str">
        <x:v>Pre Delivery</x:v>
      </x:c>
      <x:c r="I356" s="37" t="n">
        <x:v>46209</x:v>
      </x:c>
      <x:c r="J356" s="37" t="n">
        <x:v>46209</x:v>
      </x:c>
      <x:c r="K356" s="19" t="str">
        <x:v>The Caravan Hub - Townsville</x:v>
      </x:c>
      <x:c r="L356" s="19" t="str">
        <x:v>Z005</x:v>
      </x:c>
      <x:c r="M356" s="19" t="str">
        <x:v>Pre Delivery Warranty Claims</x:v>
      </x:c>
      <x:c r="N356" s="37" t="n">
        <x:v>46196</x:v>
      </x:c>
      <x:c r="O356" s="37"/>
      <x:c r="P356" s="34" t="n">
        <x:v>0</x:v>
      </x:c>
      <x:c r="Q356" s="37" t="n">
        <x:v>46209.23899305556</x:v>
      </x:c>
    </x:row>
    <x:row r="357">
      <x:c r="A357" s="22" t="n">
        <x:v>36747</x:v>
      </x:c>
      <x:c r="B357" s="28" t="n">
        <x:v>135</x:v>
      </x:c>
      <x:c r="C357" s="28" t="n">
        <x:v>148.5</x:v>
      </x:c>
      <x:c r="D357" s="31" t="n">
        <x:f>IF(OR(ISBLANK(B357),ISBLANK(C357),B357=0),"",(C357-B357)/B357)</x:f>
        <x:v>0.1</x:v>
      </x:c>
      <x:c r="E357" s="22" t="str">
        <x:f>IF(ISBLANK(C357),"AmountIncludingTax缺失",IF(ABS(B357-C357)&lt;0.005,"一致","不一致"))</x:f>
        <x:v>不一致</x:v>
      </x:c>
      <x:c r="F357" s="19" t="str">
        <x:v>approved</x:v>
      </x:c>
      <x:c r="G357" s="19" t="str">
        <x:v>Repair in Progress</x:v>
      </x:c>
      <x:c r="H357" s="19" t="str">
        <x:v>In Field</x:v>
      </x:c>
      <x:c r="I357" s="37" t="n">
        <x:v>46202</x:v>
      </x:c>
      <x:c r="J357" s="37" t="n">
        <x:v>46202</x:v>
      </x:c>
      <x:c r="K357" s="19" t="str">
        <x:v>Leisure Lion - Bundaberg</x:v>
      </x:c>
      <x:c r="L357" s="19" t="str">
        <x:v>Z006</x:v>
      </x:c>
      <x:c r="M357" s="19" t="str">
        <x:v>In Field Warranty Claims</x:v>
      </x:c>
      <x:c r="N357" s="37" t="n">
        <x:v>46196</x:v>
      </x:c>
      <x:c r="O357" s="37"/>
      <x:c r="P357" s="34" t="n">
        <x:v>148.5</x:v>
      </x:c>
      <x:c r="Q357" s="37" t="n">
        <x:v>46202.04114583333</x:v>
      </x:c>
    </x:row>
    <x:row r="358">
      <x:c r="A358" s="22" t="n">
        <x:v>36745</x:v>
      </x:c>
      <x:c r="B358" s="28" t="n">
        <x:v>2817.27</x:v>
      </x:c>
      <x:c r="C358" s="28"/>
      <x:c r="D358" s="31" t="str">
        <x:f>IF(OR(ISBLANK(B358),ISBLANK(C358),B358=0),"",(C358-B358)/B358)</x:f>
      </x:c>
      <x:c r="E358" s="22" t="str">
        <x:f>IF(ISBLANK(C358),"AmountIncludingTax缺失",IF(ABS(B358-C358)&lt;0.005,"一致","不一致"))</x:f>
        <x:v>AmountIncludingTax缺失</x:v>
      </x:c>
      <x:c r="F358" s="19" t="str">
        <x:v>approved</x:v>
      </x:c>
      <x:c r="G358" s="19" t="str">
        <x:v>Sales Order Approved</x:v>
      </x:c>
      <x:c r="H358" s="19" t="str">
        <x:v>In Field</x:v>
      </x:c>
      <x:c r="I358" s="37" t="n">
        <x:v>46205</x:v>
      </x:c>
      <x:c r="J358" s="37" t="n">
        <x:v>46205</x:v>
      </x:c>
      <x:c r="K358" s="19" t="str">
        <x:v>ABCO Caravans - Boambee Valley</x:v>
      </x:c>
      <x:c r="L358" s="19" t="str">
        <x:v>Z006</x:v>
      </x:c>
      <x:c r="M358" s="19" t="str">
        <x:v>In Field Warranty Claims</x:v>
      </x:c>
      <x:c r="N358" s="37" t="n">
        <x:v>46195</x:v>
      </x:c>
      <x:c r="O358" s="37"/>
      <x:c r="P358" s="34" t="n">
        <x:v>0</x:v>
      </x:c>
      <x:c r="Q358" s="37" t="n">
        <x:v>46204.969375</x:v>
      </x:c>
    </x:row>
    <x:row r="359">
      <x:c r="A359" s="22" t="n">
        <x:v>36744</x:v>
      </x:c>
      <x:c r="B359" s="28" t="n">
        <x:v>818.18</x:v>
      </x:c>
      <x:c r="C359" s="28" t="n">
        <x:v>900</x:v>
      </x:c>
      <x:c r="D359" s="31" t="n">
        <x:f>IF(OR(ISBLANK(B359),ISBLANK(C359),B359=0),"",(C359-B359)/B359)</x:f>
        <x:v>0.10000244444987662</x:v>
      </x:c>
      <x:c r="E359" s="22" t="str">
        <x:f>IF(ISBLANK(C359),"AmountIncludingTax缺失",IF(ABS(B359-C359)&lt;0.005,"一致","不一致"))</x:f>
        <x:v>不一致</x:v>
      </x:c>
      <x:c r="F359" s="19" t="str">
        <x:v>approved</x:v>
      </x:c>
      <x:c r="G359" s="19" t="str">
        <x:v>Repair in Progress</x:v>
      </x:c>
      <x:c r="H359" s="19" t="str">
        <x:v>In Field</x:v>
      </x:c>
      <x:c r="I359" s="37" t="n">
        <x:v>46212</x:v>
      </x:c>
      <x:c r="J359" s="37" t="n">
        <x:v>46212</x:v>
      </x:c>
      <x:c r="K359" s="19" t="str">
        <x:v>Auswide Caravans - South Nowra</x:v>
      </x:c>
      <x:c r="L359" s="19" t="str">
        <x:v>Z006</x:v>
      </x:c>
      <x:c r="M359" s="19" t="str">
        <x:v>In Field Warranty Claims</x:v>
      </x:c>
      <x:c r="N359" s="37" t="n">
        <x:v>46195</x:v>
      </x:c>
      <x:c r="O359" s="37"/>
      <x:c r="P359" s="34" t="n">
        <x:v>900</x:v>
      </x:c>
      <x:c r="Q359" s="37" t="n">
        <x:v>46211.94547453704</x:v>
      </x:c>
    </x:row>
    <x:row r="360">
      <x:c r="A360" s="22" t="n">
        <x:v>36737</x:v>
      </x:c>
      <x:c r="B360" s="28" t="n">
        <x:v>2430</x:v>
      </x:c>
      <x:c r="C360" s="28"/>
      <x:c r="D360" s="31" t="str">
        <x:f>IF(OR(ISBLANK(B360),ISBLANK(C360),B360=0),"",(C360-B360)/B360)</x:f>
      </x:c>
      <x:c r="E360" s="22" t="str">
        <x:f>IF(ISBLANK(C360),"AmountIncludingTax缺失",IF(ABS(B360-C360)&lt;0.005,"一致","不一致"))</x:f>
        <x:v>AmountIncludingTax缺失</x:v>
      </x:c>
      <x:c r="F360" s="19" t="str">
        <x:v>approved</x:v>
      </x:c>
      <x:c r="G360" s="19" t="str">
        <x:v>Sales Order Approved</x:v>
      </x:c>
      <x:c r="H360" s="19" t="str">
        <x:v>In Field</x:v>
      </x:c>
      <x:c r="I360" s="37" t="n">
        <x:v>46204</x:v>
      </x:c>
      <x:c r="J360" s="37" t="n">
        <x:v>46204</x:v>
      </x:c>
      <x:c r="K360" s="19" t="str">
        <x:v>QCCC - Gympie</x:v>
      </x:c>
      <x:c r="L360" s="19" t="str">
        <x:v>Z006</x:v>
      </x:c>
      <x:c r="M360" s="19" t="str">
        <x:v>In Field Warranty Claims</x:v>
      </x:c>
      <x:c r="N360" s="37" t="n">
        <x:v>46195</x:v>
      </x:c>
      <x:c r="O360" s="37"/>
      <x:c r="P360" s="34" t="n">
        <x:v>0</x:v>
      </x:c>
      <x:c r="Q360" s="37" t="n">
        <x:v>46204.21523148148</x:v>
      </x:c>
    </x:row>
    <x:row r="361">
      <x:c r="A361" s="22" t="n">
        <x:v>36736</x:v>
      </x:c>
      <x:c r="B361" s="28" t="n">
        <x:v>135</x:v>
      </x:c>
      <x:c r="C361" s="28"/>
      <x:c r="D361" s="31" t="str">
        <x:f>IF(OR(ISBLANK(B361),ISBLANK(C361),B361=0),"",(C361-B361)/B361)</x:f>
      </x:c>
      <x:c r="E361" s="22" t="str">
        <x:f>IF(ISBLANK(C361),"AmountIncludingTax缺失",IF(ABS(B361-C361)&lt;0.005,"一致","不一致"))</x:f>
        <x:v>AmountIncludingTax缺失</x:v>
      </x:c>
      <x:c r="F361" s="19" t="str">
        <x:v>approved</x:v>
      </x:c>
      <x:c r="G361" s="19" t="str">
        <x:v>Sales Order Approved</x:v>
      </x:c>
      <x:c r="H361" s="19" t="str">
        <x:v>In Field</x:v>
      </x:c>
      <x:c r="I361" s="37" t="n">
        <x:v>46204</x:v>
      </x:c>
      <x:c r="J361" s="37" t="n">
        <x:v>46204</x:v>
      </x:c>
      <x:c r="K361" s="19" t="str">
        <x:v>Regent RV - Perth</x:v>
      </x:c>
      <x:c r="L361" s="19" t="str">
        <x:v>Z006</x:v>
      </x:c>
      <x:c r="M361" s="19" t="str">
        <x:v>In Field Warranty Claims</x:v>
      </x:c>
      <x:c r="N361" s="37" t="n">
        <x:v>46195</x:v>
      </x:c>
      <x:c r="O361" s="37"/>
      <x:c r="P361" s="34" t="n">
        <x:v>0</x:v>
      </x:c>
      <x:c r="Q361" s="37" t="n">
        <x:v>46203.89523148148</x:v>
      </x:c>
    </x:row>
    <x:row r="362">
      <x:c r="A362" s="22" t="n">
        <x:v>36735</x:v>
      </x:c>
      <x:c r="B362" s="28" t="n">
        <x:v>135</x:v>
      </x:c>
      <x:c r="C362" s="28" t="n">
        <x:v>148.5</x:v>
      </x:c>
      <x:c r="D362" s="31" t="n">
        <x:f>IF(OR(ISBLANK(B362),ISBLANK(C362),B362=0),"",(C362-B362)/B362)</x:f>
        <x:v>0.1</x:v>
      </x:c>
      <x:c r="E362" s="22" t="str">
        <x:f>IF(ISBLANK(C362),"AmountIncludingTax缺失",IF(ABS(B362-C362)&lt;0.005,"一致","不一致"))</x:f>
        <x:v>不一致</x:v>
      </x:c>
      <x:c r="F362" s="19" t="str">
        <x:v>approved</x:v>
      </x:c>
      <x:c r="G362" s="19" t="str">
        <x:v>Repair in Progress</x:v>
      </x:c>
      <x:c r="H362" s="19" t="str">
        <x:v>In Field</x:v>
      </x:c>
      <x:c r="I362" s="37" t="n">
        <x:v>46196</x:v>
      </x:c>
      <x:c r="J362" s="37" t="n">
        <x:v>46196</x:v>
      </x:c>
      <x:c r="K362" s="19" t="str">
        <x:v>Green RV - Slacks Creek</x:v>
      </x:c>
      <x:c r="L362" s="19" t="str">
        <x:v>Z006</x:v>
      </x:c>
      <x:c r="M362" s="19" t="str">
        <x:v>In Field Warranty Claims</x:v>
      </x:c>
      <x:c r="N362" s="37" t="n">
        <x:v>46195</x:v>
      </x:c>
      <x:c r="O362" s="37"/>
      <x:c r="P362" s="34" t="n">
        <x:v>148.5</x:v>
      </x:c>
      <x:c r="Q362" s="37" t="n">
        <x:v>46196.07365740741</x:v>
      </x:c>
    </x:row>
    <x:row r="363">
      <x:c r="A363" s="22" t="n">
        <x:v>36733</x:v>
      </x:c>
      <x:c r="B363" s="28" t="n">
        <x:v>67.5</x:v>
      </x:c>
      <x:c r="C363" s="28"/>
      <x:c r="D363" s="31" t="str">
        <x:f>IF(OR(ISBLANK(B363),ISBLANK(C363),B363=0),"",(C363-B363)/B363)</x:f>
      </x:c>
      <x:c r="E363" s="22" t="str">
        <x:f>IF(ISBLANK(C363),"AmountIncludingTax缺失",IF(ABS(B363-C363)&lt;0.005,"一致","不一致"))</x:f>
        <x:v>AmountIncludingTax缺失</x:v>
      </x:c>
      <x:c r="F363" s="19" t="str">
        <x:v>approved</x:v>
      </x:c>
      <x:c r="G363" s="19" t="str">
        <x:v>Sales Order Approved</x:v>
      </x:c>
      <x:c r="H363" s="19" t="str">
        <x:v>Pre Delivery</x:v>
      </x:c>
      <x:c r="I363" s="37" t="n">
        <x:v>46197</x:v>
      </x:c>
      <x:c r="J363" s="37" t="n">
        <x:v>46197</x:v>
      </x:c>
      <x:c r="K363" s="19" t="str">
        <x:v>Green RV - Slacks Creek</x:v>
      </x:c>
      <x:c r="L363" s="19" t="str">
        <x:v>Z005</x:v>
      </x:c>
      <x:c r="M363" s="19" t="str">
        <x:v>Pre Delivery Warranty Claims</x:v>
      </x:c>
      <x:c r="N363" s="37" t="n">
        <x:v>46195</x:v>
      </x:c>
      <x:c r="O363" s="37"/>
      <x:c r="P363" s="34" t="n">
        <x:v>0</x:v>
      </x:c>
      <x:c r="Q363" s="37" t="n">
        <x:v>46196.90319444444</x:v>
      </x:c>
    </x:row>
    <x:row r="364">
      <x:c r="A364" s="22" t="n">
        <x:v>36732</x:v>
      </x:c>
      <x:c r="B364" s="28" t="n">
        <x:v>202.5</x:v>
      </x:c>
      <x:c r="C364" s="28" t="n">
        <x:v>222.75</x:v>
      </x:c>
      <x:c r="D364" s="31" t="n">
        <x:f>IF(OR(ISBLANK(B364),ISBLANK(C364),B364=0),"",(C364-B364)/B364)</x:f>
        <x:v>0.1</x:v>
      </x:c>
      <x:c r="E364" s="22" t="str">
        <x:f>IF(ISBLANK(C364),"AmountIncludingTax缺失",IF(ABS(B364-C364)&lt;0.005,"一致","不一致"))</x:f>
        <x:v>不一致</x:v>
      </x:c>
      <x:c r="F364" s="19" t="str">
        <x:v>approved</x:v>
      </x:c>
      <x:c r="G364" s="19" t="str">
        <x:v>Repair in Progress</x:v>
      </x:c>
      <x:c r="H364" s="19" t="str">
        <x:v>In Field</x:v>
      </x:c>
      <x:c r="I364" s="37" t="n">
        <x:v>46196</x:v>
      </x:c>
      <x:c r="J364" s="37" t="n">
        <x:v>46196</x:v>
      </x:c>
      <x:c r="K364" s="19" t="str">
        <x:v>Green RV - Forest Glen</x:v>
      </x:c>
      <x:c r="L364" s="19" t="str">
        <x:v>Z006</x:v>
      </x:c>
      <x:c r="M364" s="19" t="str">
        <x:v>In Field Warranty Claims</x:v>
      </x:c>
      <x:c r="N364" s="37" t="n">
        <x:v>46195</x:v>
      </x:c>
      <x:c r="O364" s="37"/>
      <x:c r="P364" s="34" t="n">
        <x:v>222.75</x:v>
      </x:c>
      <x:c r="Q364" s="37" t="n">
        <x:v>46196.1928587963</x:v>
      </x:c>
    </x:row>
    <x:row r="365">
      <x:c r="A365" s="22" t="n">
        <x:v>36731</x:v>
      </x:c>
      <x:c r="B365" s="28" t="n">
        <x:v>101.25</x:v>
      </x:c>
      <x:c r="C365" s="28"/>
      <x:c r="D365" s="31" t="str">
        <x:f>IF(OR(ISBLANK(B365),ISBLANK(C365),B365=0),"",(C365-B365)/B365)</x:f>
      </x:c>
      <x:c r="E365" s="22" t="str">
        <x:f>IF(ISBLANK(C365),"AmountIncludingTax缺失",IF(ABS(B365-C365)&lt;0.005,"一致","不一致"))</x:f>
        <x:v>AmountIncludingTax缺失</x:v>
      </x:c>
      <x:c r="F365" s="19" t="str">
        <x:v>approved</x:v>
      </x:c>
      <x:c r="G365" s="19" t="str">
        <x:v>Sales Order Approved</x:v>
      </x:c>
      <x:c r="H365" s="19" t="str">
        <x:v>In Field</x:v>
      </x:c>
      <x:c r="I365" s="37" t="n">
        <x:v>46196</x:v>
      </x:c>
      <x:c r="J365" s="37" t="n">
        <x:v>46196</x:v>
      </x:c>
      <x:c r="K365" s="19" t="str">
        <x:v>Lesiure Lion-New Castle</x:v>
      </x:c>
      <x:c r="L365" s="19" t="str">
        <x:v>Z006</x:v>
      </x:c>
      <x:c r="M365" s="19" t="str">
        <x:v>In Field Warranty Claims</x:v>
      </x:c>
      <x:c r="N365" s="37" t="n">
        <x:v>46195</x:v>
      </x:c>
      <x:c r="O365" s="37"/>
      <x:c r="P365" s="34" t="n">
        <x:v>0</x:v>
      </x:c>
      <x:c r="Q365" s="37" t="n">
        <x:v>46196.22440972222</x:v>
      </x:c>
    </x:row>
    <x:row r="366">
      <x:c r="A366" s="22" t="n">
        <x:v>36716</x:v>
      </x:c>
      <x:c r="B366" s="28" t="n">
        <x:v>1971.38</x:v>
      </x:c>
      <x:c r="C366" s="28"/>
      <x:c r="D366" s="31" t="str">
        <x:f>IF(OR(ISBLANK(B366),ISBLANK(C366),B366=0),"",(C366-B366)/B366)</x:f>
      </x:c>
      <x:c r="E366" s="22" t="str">
        <x:f>IF(ISBLANK(C366),"AmountIncludingTax缺失",IF(ABS(B366-C366)&lt;0.005,"一致","不一致"))</x:f>
        <x:v>AmountIncludingTax缺失</x:v>
      </x:c>
      <x:c r="F366" s="19" t="str">
        <x:v>approved</x:v>
      </x:c>
      <x:c r="G366" s="19" t="str">
        <x:v>Repair in Progress</x:v>
      </x:c>
      <x:c r="H366" s="19" t="str">
        <x:v>In Field</x:v>
      </x:c>
      <x:c r="I366" s="37" t="n">
        <x:v>46196</x:v>
      </x:c>
      <x:c r="J366" s="37" t="n">
        <x:v>46196</x:v>
      </x:c>
      <x:c r="K366" s="19" t="str">
        <x:v>Green RV - Forest Glen</x:v>
      </x:c>
      <x:c r="L366" s="19" t="str">
        <x:v>Z006</x:v>
      </x:c>
      <x:c r="M366" s="19" t="str">
        <x:v>In Field Warranty Claims</x:v>
      </x:c>
      <x:c r="N366" s="37" t="n">
        <x:v>46196</x:v>
      </x:c>
      <x:c r="O366" s="37"/>
      <x:c r="P366" s="34" t="n">
        <x:v>2168.52</x:v>
      </x:c>
      <x:c r="Q366" s="37" t="n">
        <x:v>46196.12553240741</x:v>
      </x:c>
    </x:row>
    <x:row r="367">
      <x:c r="A367" s="22" t="n">
        <x:v>36703</x:v>
      </x:c>
      <x:c r="B367" s="28" t="n">
        <x:v>135</x:v>
      </x:c>
      <x:c r="C367" s="28" t="n">
        <x:v>148.5</x:v>
      </x:c>
      <x:c r="D367" s="31" t="n">
        <x:f>IF(OR(ISBLANK(B367),ISBLANK(C367),B367=0),"",(C367-B367)/B367)</x:f>
        <x:v>0.1</x:v>
      </x:c>
      <x:c r="E367" s="22" t="str">
        <x:f>IF(ISBLANK(C367),"AmountIncludingTax缺失",IF(ABS(B367-C367)&lt;0.005,"一致","不一致"))</x:f>
        <x:v>不一致</x:v>
      </x:c>
      <x:c r="F367" s="19" t="str">
        <x:v>approved</x:v>
      </x:c>
      <x:c r="G367" s="19" t="str">
        <x:v>Repair in Progress</x:v>
      </x:c>
      <x:c r="H367" s="19" t="str">
        <x:v>In Field</x:v>
      </x:c>
      <x:c r="I367" s="37" t="n">
        <x:v>46195</x:v>
      </x:c>
      <x:c r="J367" s="37" t="n">
        <x:v>46195</x:v>
      </x:c>
      <x:c r="K367" s="19" t="str">
        <x:v>Regent RV - Perth</x:v>
      </x:c>
      <x:c r="L367" s="19" t="str">
        <x:v>Z006</x:v>
      </x:c>
      <x:c r="M367" s="19" t="str">
        <x:v>In Field Warranty Claims</x:v>
      </x:c>
      <x:c r="N367" s="37" t="n">
        <x:v>46195</x:v>
      </x:c>
      <x:c r="O367" s="37"/>
      <x:c r="P367" s="34" t="n">
        <x:v>148.5</x:v>
      </x:c>
      <x:c r="Q367" s="37" t="n">
        <x:v>46195.11457175926</x:v>
      </x:c>
    </x:row>
    <x:row r="368">
      <x:c r="A368" s="22" t="n">
        <x:v>36700</x:v>
      </x:c>
      <x:c r="B368" s="28" t="n">
        <x:v>810</x:v>
      </x:c>
      <x:c r="C368" s="28"/>
      <x:c r="D368" s="31" t="str">
        <x:f>IF(OR(ISBLANK(B368),ISBLANK(C368),B368=0),"",(C368-B368)/B368)</x:f>
      </x:c>
      <x:c r="E368" s="22" t="str">
        <x:f>IF(ISBLANK(C368),"AmountIncludingTax缺失",IF(ABS(B368-C368)&lt;0.005,"一致","不一致"))</x:f>
        <x:v>AmountIncludingTax缺失</x:v>
      </x:c>
      <x:c r="F368" s="19" t="str">
        <x:v>approved</x:v>
      </x:c>
      <x:c r="G368" s="19" t="str">
        <x:v>Sales Order Approved</x:v>
      </x:c>
      <x:c r="H368" s="19" t="str">
        <x:v>In Field</x:v>
      </x:c>
      <x:c r="I368" s="37" t="n">
        <x:v>46198</x:v>
      </x:c>
      <x:c r="J368" s="37" t="n">
        <x:v>46198</x:v>
      </x:c>
      <x:c r="K368" s="19" t="str">
        <x:v>Green RV - Slacks Creek</x:v>
      </x:c>
      <x:c r="L368" s="19" t="str">
        <x:v>Z006</x:v>
      </x:c>
      <x:c r="M368" s="19" t="str">
        <x:v>In Field Warranty Claims</x:v>
      </x:c>
      <x:c r="N368" s="37" t="n">
        <x:v>46195</x:v>
      </x:c>
      <x:c r="O368" s="37"/>
      <x:c r="P368" s="34" t="n">
        <x:v>0</x:v>
      </x:c>
      <x:c r="Q368" s="37" t="n">
        <x:v>46197.93400462963</x:v>
      </x:c>
    </x:row>
    <x:row r="369">
      <x:c r="A369" s="22" t="n">
        <x:v>36699</x:v>
      </x:c>
      <x:c r="B369" s="28" t="n">
        <x:v>145</x:v>
      </x:c>
      <x:c r="C369" s="28"/>
      <x:c r="D369" s="31" t="str">
        <x:f>IF(OR(ISBLANK(B369),ISBLANK(C369),B369=0),"",(C369-B369)/B369)</x:f>
      </x:c>
      <x:c r="E369" s="22" t="str">
        <x:f>IF(ISBLANK(C369),"AmountIncludingTax缺失",IF(ABS(B369-C369)&lt;0.005,"一致","不一致"))</x:f>
        <x:v>AmountIncludingTax缺失</x:v>
      </x:c>
      <x:c r="F369" s="19" t="str">
        <x:v>approved</x:v>
      </x:c>
      <x:c r="G369" s="19" t="str">
        <x:v>Repair in Progress</x:v>
      </x:c>
      <x:c r="H369" s="19" t="str">
        <x:v>In Field</x:v>
      </x:c>
      <x:c r="I369" s="37" t="n">
        <x:v>46196</x:v>
      </x:c>
      <x:c r="J369" s="37" t="n">
        <x:v>46196</x:v>
      </x:c>
      <x:c r="K369" s="19" t="str">
        <x:v>Green RV - Slacks Creek</x:v>
      </x:c>
      <x:c r="L369" s="19" t="str">
        <x:v>Z006</x:v>
      </x:c>
      <x:c r="M369" s="19" t="str">
        <x:v>In Field Warranty Claims</x:v>
      </x:c>
      <x:c r="N369" s="37" t="n">
        <x:v>46195</x:v>
      </x:c>
      <x:c r="O369" s="37"/>
      <x:c r="P369" s="34" t="n">
        <x:v>0</x:v>
      </x:c>
      <x:c r="Q369" s="37" t="n">
        <x:v>46196.133472222224</x:v>
      </x:c>
    </x:row>
    <x:row r="370">
      <x:c r="A370" s="22" t="n">
        <x:v>36698</x:v>
      </x:c>
      <x:c r="B370" s="28" t="n">
        <x:v>2295</x:v>
      </x:c>
      <x:c r="C370" s="28"/>
      <x:c r="D370" s="31" t="str">
        <x:f>IF(OR(ISBLANK(B370),ISBLANK(C370),B370=0),"",(C370-B370)/B370)</x:f>
      </x:c>
      <x:c r="E370" s="22" t="str">
        <x:f>IF(ISBLANK(C370),"AmountIncludingTax缺失",IF(ABS(B370-C370)&lt;0.005,"一致","不一致"))</x:f>
        <x:v>AmountIncludingTax缺失</x:v>
      </x:c>
      <x:c r="F370" s="19" t="str">
        <x:v>approved</x:v>
      </x:c>
      <x:c r="G370" s="19" t="str">
        <x:v>Partially Picked</x:v>
      </x:c>
      <x:c r="H370" s="19" t="str">
        <x:v>In Field</x:v>
      </x:c>
      <x:c r="I370" s="37" t="n">
        <x:v>46199</x:v>
      </x:c>
      <x:c r="J370" s="37" t="n">
        <x:v>46199</x:v>
      </x:c>
      <x:c r="K370" s="19" t="str">
        <x:v>Regent RV - Perth</x:v>
      </x:c>
      <x:c r="L370" s="19" t="str">
        <x:v>Z006</x:v>
      </x:c>
      <x:c r="M370" s="19" t="str">
        <x:v>In Field Warranty Claims</x:v>
      </x:c>
      <x:c r="N370" s="37" t="n">
        <x:v>46195</x:v>
      </x:c>
      <x:c r="O370" s="37"/>
      <x:c r="P370" s="34" t="n">
        <x:v>0</x:v>
      </x:c>
      <x:c r="Q370" s="37" t="n">
        <x:v>46198.91501157408</x:v>
      </x:c>
    </x:row>
    <x:row r="371">
      <x:c r="A371" s="22" t="n">
        <x:v>36696</x:v>
      </x:c>
      <x:c r="B371" s="28" t="n">
        <x:v>554.55</x:v>
      </x:c>
      <x:c r="C371" s="28"/>
      <x:c r="D371" s="31" t="str">
        <x:f>IF(OR(ISBLANK(B371),ISBLANK(C371),B371=0),"",(C371-B371)/B371)</x:f>
      </x:c>
      <x:c r="E371" s="22" t="str">
        <x:f>IF(ISBLANK(C371),"AmountIncludingTax缺失",IF(ABS(B371-C371)&lt;0.005,"一致","不一致"))</x:f>
        <x:v>AmountIncludingTax缺失</x:v>
      </x:c>
      <x:c r="F371" s="19" t="str">
        <x:v>approved</x:v>
      </x:c>
      <x:c r="G371" s="19" t="str">
        <x:v>Sales Order Approved</x:v>
      </x:c>
      <x:c r="H371" s="19" t="str">
        <x:v>In Field</x:v>
      </x:c>
      <x:c r="I371" s="37" t="n">
        <x:v>46212</x:v>
      </x:c>
      <x:c r="J371" s="37" t="n">
        <x:v>46212</x:v>
      </x:c>
      <x:c r="K371" s="19" t="str">
        <x:v>Snowy River Frankston</x:v>
      </x:c>
      <x:c r="L371" s="19" t="str">
        <x:v>Z006</x:v>
      </x:c>
      <x:c r="M371" s="19" t="str">
        <x:v>In Field Warranty Claims</x:v>
      </x:c>
      <x:c r="N371" s="37" t="n">
        <x:v>46195</x:v>
      </x:c>
      <x:c r="O371" s="37"/>
      <x:c r="P371" s="34" t="n">
        <x:v>0</x:v>
      </x:c>
      <x:c r="Q371" s="37" t="n">
        <x:v>46211.94032407407</x:v>
      </x:c>
    </x:row>
    <x:row r="372">
      <x:c r="A372" s="22" t="n">
        <x:v>36695</x:v>
      </x:c>
      <x:c r="B372" s="28" t="n">
        <x:v>2071.2</x:v>
      </x:c>
      <x:c r="C372" s="28"/>
      <x:c r="D372" s="31" t="str">
        <x:f>IF(OR(ISBLANK(B372),ISBLANK(C372),B372=0),"",(C372-B372)/B372)</x:f>
      </x:c>
      <x:c r="E372" s="22" t="str">
        <x:f>IF(ISBLANK(C372),"AmountIncludingTax缺失",IF(ABS(B372-C372)&lt;0.005,"一致","不一致"))</x:f>
        <x:v>AmountIncludingTax缺失</x:v>
      </x:c>
      <x:c r="F372" s="19" t="str">
        <x:v>approved</x:v>
      </x:c>
      <x:c r="G372" s="19" t="str">
        <x:v>Repairer Invoiced Processed</x:v>
      </x:c>
      <x:c r="H372" s="19" t="str">
        <x:v>In Field</x:v>
      </x:c>
      <x:c r="I372" s="37" t="n">
        <x:v>46199</x:v>
      </x:c>
      <x:c r="J372" s="37" t="n">
        <x:v>46199</x:v>
      </x:c>
      <x:c r="K372" s="19" t="str">
        <x:v>Green RV - Slacks Creek</x:v>
      </x:c>
      <x:c r="L372" s="19" t="str">
        <x:v>Z006</x:v>
      </x:c>
      <x:c r="M372" s="19" t="str">
        <x:v>In Field Warranty Claims</x:v>
      </x:c>
      <x:c r="N372" s="37" t="n">
        <x:v>46195</x:v>
      </x:c>
      <x:c r="O372" s="37"/>
      <x:c r="P372" s="34" t="n">
        <x:v>2278.32</x:v>
      </x:c>
      <x:c r="Q372" s="37" t="n">
        <x:v>46198.96013888889</x:v>
      </x:c>
    </x:row>
    <x:row r="373">
      <x:c r="A373" s="22" t="n">
        <x:v>36694</x:v>
      </x:c>
      <x:c r="B373" s="28" t="n">
        <x:v>438.75</x:v>
      </x:c>
      <x:c r="C373" s="28"/>
      <x:c r="D373" s="31" t="str">
        <x:f>IF(OR(ISBLANK(B373),ISBLANK(C373),B373=0),"",(C373-B373)/B373)</x:f>
      </x:c>
      <x:c r="E373" s="22" t="str">
        <x:f>IF(ISBLANK(C373),"AmountIncludingTax缺失",IF(ABS(B373-C373)&lt;0.005,"一致","不一致"))</x:f>
        <x:v>AmountIncludingTax缺失</x:v>
      </x:c>
      <x:c r="F373" s="19" t="str">
        <x:v>approved</x:v>
      </x:c>
      <x:c r="G373" s="19" t="str">
        <x:v>Repair in Progress</x:v>
      </x:c>
      <x:c r="H373" s="19" t="str">
        <x:v>In Field</x:v>
      </x:c>
      <x:c r="I373" s="37" t="n">
        <x:v>46197</x:v>
      </x:c>
      <x:c r="J373" s="37" t="n">
        <x:v>46196</x:v>
      </x:c>
      <x:c r="K373" s="19" t="str">
        <x:v>Lesiure Lion-New Castle</x:v>
      </x:c>
      <x:c r="L373" s="19" t="str">
        <x:v>Z006</x:v>
      </x:c>
      <x:c r="M373" s="19" t="str">
        <x:v>In Field Warranty Claims</x:v>
      </x:c>
      <x:c r="N373" s="37" t="n">
        <x:v>46195</x:v>
      </x:c>
      <x:c r="O373" s="37"/>
      <x:c r="P373" s="34" t="n">
        <x:v>0</x:v>
      </x:c>
      <x:c r="Q373" s="37" t="n">
        <x:v>46197.01954861111</x:v>
      </x:c>
    </x:row>
    <x:row r="374">
      <x:c r="A374" s="22" t="n">
        <x:v>36693</x:v>
      </x:c>
      <x:c r="B374" s="28" t="n">
        <x:v>323.75</x:v>
      </x:c>
      <x:c r="C374" s="28"/>
      <x:c r="D374" s="31" t="str">
        <x:f>IF(OR(ISBLANK(B374),ISBLANK(C374),B374=0),"",(C374-B374)/B374)</x:f>
      </x:c>
      <x:c r="E374" s="22" t="str">
        <x:f>IF(ISBLANK(C374),"AmountIncludingTax缺失",IF(ABS(B374-C374)&lt;0.005,"一致","不一致"))</x:f>
        <x:v>AmountIncludingTax缺失</x:v>
      </x:c>
      <x:c r="F374" s="19" t="str">
        <x:v>approved</x:v>
      </x:c>
      <x:c r="G374" s="19" t="str">
        <x:v>Partially Picked</x:v>
      </x:c>
      <x:c r="H374" s="19" t="str">
        <x:v>In Field</x:v>
      </x:c>
      <x:c r="I374" s="37" t="n">
        <x:v>46197</x:v>
      </x:c>
      <x:c r="J374" s="37" t="n">
        <x:v>46197</x:v>
      </x:c>
      <x:c r="K374" s="19" t="str">
        <x:v>Dario Caravans -St.Marys</x:v>
      </x:c>
      <x:c r="L374" s="19" t="str">
        <x:v>Z006</x:v>
      </x:c>
      <x:c r="M374" s="19" t="str">
        <x:v>In Field Warranty Claims</x:v>
      </x:c>
      <x:c r="N374" s="37" t="n">
        <x:v>46195</x:v>
      </x:c>
      <x:c r="O374" s="37"/>
      <x:c r="P374" s="34" t="n">
        <x:v>0</x:v>
      </x:c>
      <x:c r="Q374" s="37" t="n">
        <x:v>46196.90136574074</x:v>
      </x:c>
    </x:row>
    <x:row r="375">
      <x:c r="A375" s="22" t="n">
        <x:v>36692</x:v>
      </x:c>
      <x:c r="B375" s="28" t="n">
        <x:v>290</x:v>
      </x:c>
      <x:c r="C375" s="28"/>
      <x:c r="D375" s="31" t="str">
        <x:f>IF(OR(ISBLANK(B375),ISBLANK(C375),B375=0),"",(C375-B375)/B375)</x:f>
      </x:c>
      <x:c r="E375" s="22" t="str">
        <x:f>IF(ISBLANK(C375),"AmountIncludingTax缺失",IF(ABS(B375-C375)&lt;0.005,"一致","不一致"))</x:f>
        <x:v>AmountIncludingTax缺失</x:v>
      </x:c>
      <x:c r="F375" s="19" t="str">
        <x:v>approved</x:v>
      </x:c>
      <x:c r="G375" s="19" t="str">
        <x:v>Repair in Progress</x:v>
      </x:c>
      <x:c r="H375" s="19" t="str">
        <x:v>In Field</x:v>
      </x:c>
      <x:c r="I375" s="37" t="n">
        <x:v>46196</x:v>
      </x:c>
      <x:c r="J375" s="37" t="n">
        <x:v>46196</x:v>
      </x:c>
      <x:c r="K375" s="19" t="str">
        <x:v>Sherrif Caravans &amp; Traliers - Prospect Vale</x:v>
      </x:c>
      <x:c r="L375" s="19" t="str">
        <x:v>Z006</x:v>
      </x:c>
      <x:c r="M375" s="19" t="str">
        <x:v>In Field Warranty Claims</x:v>
      </x:c>
      <x:c r="N375" s="37" t="n">
        <x:v>46195</x:v>
      </x:c>
      <x:c r="O375" s="37"/>
      <x:c r="P375" s="34" t="n">
        <x:v>0</x:v>
      </x:c>
      <x:c r="Q375" s="37" t="n">
        <x:v>46195.9284837963</x:v>
      </x:c>
    </x:row>
    <x:row r="376">
      <x:c r="A376" s="22" t="n">
        <x:v>36690</x:v>
      </x:c>
      <x:c r="B376" s="28" t="n">
        <x:v>135</x:v>
      </x:c>
      <x:c r="C376" s="28" t="n">
        <x:v>148.5</x:v>
      </x:c>
      <x:c r="D376" s="31" t="n">
        <x:f>IF(OR(ISBLANK(B376),ISBLANK(C376),B376=0),"",(C376-B376)/B376)</x:f>
        <x:v>0.1</x:v>
      </x:c>
      <x:c r="E376" s="22" t="str">
        <x:f>IF(ISBLANK(C376),"AmountIncludingTax缺失",IF(ABS(B376-C376)&lt;0.005,"一致","不一致"))</x:f>
        <x:v>不一致</x:v>
      </x:c>
      <x:c r="F376" s="19" t="str">
        <x:v>approved</x:v>
      </x:c>
      <x:c r="G376" s="19" t="str">
        <x:v>Repair in Progress</x:v>
      </x:c>
      <x:c r="H376" s="19" t="str">
        <x:v>In Field</x:v>
      </x:c>
      <x:c r="I376" s="37" t="n">
        <x:v>46196</x:v>
      </x:c>
      <x:c r="J376" s="37" t="n">
        <x:v>46196</x:v>
      </x:c>
      <x:c r="K376" s="19" t="str">
        <x:v>Auswide Caravans - South Nowra</x:v>
      </x:c>
      <x:c r="L376" s="19" t="str">
        <x:v>Z006</x:v>
      </x:c>
      <x:c r="M376" s="19" t="str">
        <x:v>In Field Warranty Claims</x:v>
      </x:c>
      <x:c r="N376" s="37" t="n">
        <x:v>46195</x:v>
      </x:c>
      <x:c r="O376" s="37"/>
      <x:c r="P376" s="34" t="n">
        <x:v>148.5</x:v>
      </x:c>
      <x:c r="Q376" s="37" t="n">
        <x:v>46196.166493055556</x:v>
      </x:c>
    </x:row>
    <x:row r="377">
      <x:c r="A377" s="22" t="n">
        <x:v>36689</x:v>
      </x:c>
      <x:c r="B377" s="28" t="n">
        <x:v>3230</x:v>
      </x:c>
      <x:c r="C377" s="28"/>
      <x:c r="D377" s="31" t="str">
        <x:f>IF(OR(ISBLANK(B377),ISBLANK(C377),B377=0),"",(C377-B377)/B377)</x:f>
      </x:c>
      <x:c r="E377" s="22" t="str">
        <x:f>IF(ISBLANK(C377),"AmountIncludingTax缺失",IF(ABS(B377-C377)&lt;0.005,"一致","不一致"))</x:f>
        <x:v>AmountIncludingTax缺失</x:v>
      </x:c>
      <x:c r="F377" s="19" t="str">
        <x:v>approved</x:v>
      </x:c>
      <x:c r="G377" s="19" t="str">
        <x:v>Sales Order Approved</x:v>
      </x:c>
      <x:c r="H377" s="19" t="str">
        <x:v>In Field</x:v>
      </x:c>
      <x:c r="I377" s="37" t="n">
        <x:v>46203</x:v>
      </x:c>
      <x:c r="J377" s="37" t="n">
        <x:v>46203</x:v>
      </x:c>
      <x:c r="K377" s="19" t="str">
        <x:v>Regent RV - Perth</x:v>
      </x:c>
      <x:c r="L377" s="19" t="str">
        <x:v>Z006</x:v>
      </x:c>
      <x:c r="M377" s="19" t="str">
        <x:v>In Field Warranty Claims</x:v>
      </x:c>
      <x:c r="N377" s="37" t="n">
        <x:v>46195</x:v>
      </x:c>
      <x:c r="O377" s="37"/>
      <x:c r="P377" s="34" t="n">
        <x:v>0</x:v>
      </x:c>
      <x:c r="Q377" s="37" t="n">
        <x:v>46203.11467592593</x:v>
      </x:c>
    </x:row>
    <x:row r="378">
      <x:c r="A378" s="22" t="n">
        <x:v>36688</x:v>
      </x:c>
      <x:c r="B378" s="28" t="n">
        <x:v>850</x:v>
      </x:c>
      <x:c r="C378" s="28"/>
      <x:c r="D378" s="31" t="str">
        <x:f>IF(OR(ISBLANK(B378),ISBLANK(C378),B378=0),"",(C378-B378)/B378)</x:f>
      </x:c>
      <x:c r="E378" s="22" t="str">
        <x:f>IF(ISBLANK(C378),"AmountIncludingTax缺失",IF(ABS(B378-C378)&lt;0.005,"一致","不一致"))</x:f>
        <x:v>AmountIncludingTax缺失</x:v>
      </x:c>
      <x:c r="F378" s="19" t="str">
        <x:v>approved</x:v>
      </x:c>
      <x:c r="G378" s="19" t="str">
        <x:v>Partially Picked</x:v>
      </x:c>
      <x:c r="H378" s="19" t="str">
        <x:v>In Field</x:v>
      </x:c>
      <x:c r="I378" s="37" t="n">
        <x:v>46196</x:v>
      </x:c>
      <x:c r="J378" s="37" t="n">
        <x:v>46196</x:v>
      </x:c>
      <x:c r="K378" s="19" t="str">
        <x:v>Green RV - Slacks Creek</x:v>
      </x:c>
      <x:c r="L378" s="19" t="str">
        <x:v>Z006</x:v>
      </x:c>
      <x:c r="M378" s="19" t="str">
        <x:v>In Field Warranty Claims</x:v>
      </x:c>
      <x:c r="N378" s="37" t="n">
        <x:v>46195</x:v>
      </x:c>
      <x:c r="O378" s="37"/>
      <x:c r="P378" s="34" t="n">
        <x:v>0</x:v>
      </x:c>
      <x:c r="Q378" s="37" t="n">
        <x:v>46196.130057870374</x:v>
      </x:c>
    </x:row>
    <x:row r="379">
      <x:c r="A379" s="22" t="n">
        <x:v>36686</x:v>
      </x:c>
      <x:c r="B379" s="28" t="n">
        <x:v>135</x:v>
      </x:c>
      <x:c r="C379" s="28" t="n">
        <x:v>148.5</x:v>
      </x:c>
      <x:c r="D379" s="31" t="n">
        <x:f>IF(OR(ISBLANK(B379),ISBLANK(C379),B379=0),"",(C379-B379)/B379)</x:f>
        <x:v>0.1</x:v>
      </x:c>
      <x:c r="E379" s="22" t="str">
        <x:f>IF(ISBLANK(C379),"AmountIncludingTax缺失",IF(ABS(B379-C379)&lt;0.005,"一致","不一致"))</x:f>
        <x:v>不一致</x:v>
      </x:c>
      <x:c r="F379" s="19" t="str">
        <x:v>approved</x:v>
      </x:c>
      <x:c r="G379" s="19" t="str">
        <x:v>Repair in Progress</x:v>
      </x:c>
      <x:c r="H379" s="19" t="str">
        <x:v>In Field</x:v>
      </x:c>
      <x:c r="I379" s="37" t="n">
        <x:v>46197</x:v>
      </x:c>
      <x:c r="J379" s="37" t="n">
        <x:v>46197</x:v>
      </x:c>
      <x:c r="K379" s="19" t="str">
        <x:v>Regent RV - Toowoomba</x:v>
      </x:c>
      <x:c r="L379" s="19" t="str">
        <x:v>Z006</x:v>
      </x:c>
      <x:c r="M379" s="19" t="str">
        <x:v>In Field Warranty Claims</x:v>
      </x:c>
      <x:c r="N379" s="37" t="n">
        <x:v>46195</x:v>
      </x:c>
      <x:c r="O379" s="37"/>
      <x:c r="P379" s="34" t="n">
        <x:v>148.5</x:v>
      </x:c>
      <x:c r="Q379" s="37" t="n">
        <x:v>46197.12547453704</x:v>
      </x:c>
    </x:row>
    <x:row r="380">
      <x:c r="A380" s="22" t="n">
        <x:v>36685</x:v>
      </x:c>
      <x:c r="B380" s="28" t="n">
        <x:v>1275</x:v>
      </x:c>
      <x:c r="C380" s="28"/>
      <x:c r="D380" s="31" t="str">
        <x:f>IF(OR(ISBLANK(B380),ISBLANK(C380),B380=0),"",(C380-B380)/B380)</x:f>
      </x:c>
      <x:c r="E380" s="22" t="str">
        <x:f>IF(ISBLANK(C380),"AmountIncludingTax缺失",IF(ABS(B380-C380)&lt;0.005,"一致","不一致"))</x:f>
        <x:v>AmountIncludingTax缺失</x:v>
      </x:c>
      <x:c r="F380" s="19" t="str">
        <x:v>approved</x:v>
      </x:c>
      <x:c r="G380" s="19" t="str">
        <x:v>Partially Picked</x:v>
      </x:c>
      <x:c r="H380" s="19" t="str">
        <x:v>In Field</x:v>
      </x:c>
      <x:c r="I380" s="37" t="n">
        <x:v>46195</x:v>
      </x:c>
      <x:c r="J380" s="37" t="n">
        <x:v>46195</x:v>
      </x:c>
      <x:c r="K380" s="19" t="str">
        <x:v>Green RV - Forest Glen</x:v>
      </x:c>
      <x:c r="L380" s="19" t="str">
        <x:v>Z006</x:v>
      </x:c>
      <x:c r="M380" s="19" t="str">
        <x:v>In Field Warranty Claims</x:v>
      </x:c>
      <x:c r="N380" s="37" t="n">
        <x:v>46194</x:v>
      </x:c>
      <x:c r="O380" s="37"/>
      <x:c r="P380" s="34" t="n">
        <x:v>0</x:v>
      </x:c>
      <x:c r="Q380" s="37" t="n">
        <x:v>46195.06002314815</x:v>
      </x:c>
    </x:row>
    <x:row r="381">
      <x:c r="A381" s="22" t="n">
        <x:v>36682</x:v>
      </x:c>
      <x:c r="B381" s="28" t="n">
        <x:v>101.25</x:v>
      </x:c>
      <x:c r="C381" s="28"/>
      <x:c r="D381" s="31" t="str">
        <x:f>IF(OR(ISBLANK(B381),ISBLANK(C381),B381=0),"",(C381-B381)/B381)</x:f>
      </x:c>
      <x:c r="E381" s="22" t="str">
        <x:f>IF(ISBLANK(C381),"AmountIncludingTax缺失",IF(ABS(B381-C381)&lt;0.005,"一致","不一致"))</x:f>
        <x:v>AmountIncludingTax缺失</x:v>
      </x:c>
      <x:c r="F381" s="19" t="str">
        <x:v>approved</x:v>
      </x:c>
      <x:c r="G381" s="19" t="str">
        <x:v>Sales Order Approved</x:v>
      </x:c>
      <x:c r="H381" s="19" t="str">
        <x:v>In Field</x:v>
      </x:c>
      <x:c r="I381" s="37" t="n">
        <x:v>46196</x:v>
      </x:c>
      <x:c r="J381" s="37" t="n">
        <x:v>46196</x:v>
      </x:c>
      <x:c r="K381" s="19" t="str">
        <x:v>Green RV - Forest Glen</x:v>
      </x:c>
      <x:c r="L381" s="19" t="str">
        <x:v>Z006</x:v>
      </x:c>
      <x:c r="M381" s="19" t="str">
        <x:v>In Field Warranty Claims</x:v>
      </x:c>
      <x:c r="N381" s="37" t="n">
        <x:v>46192</x:v>
      </x:c>
      <x:c r="O381" s="37"/>
      <x:c r="P381" s="34" t="n">
        <x:v>0</x:v>
      </x:c>
      <x:c r="Q381" s="37" t="n">
        <x:v>46196.02261574074</x:v>
      </x:c>
    </x:row>
    <x:row r="382">
      <x:c r="A382" s="22" t="n">
        <x:v>36681</x:v>
      </x:c>
      <x:c r="B382" s="28" t="n">
        <x:v>3037.5</x:v>
      </x:c>
      <x:c r="C382" s="28"/>
      <x:c r="D382" s="31" t="str">
        <x:f>IF(OR(ISBLANK(B382),ISBLANK(C382),B382=0),"",(C382-B382)/B382)</x:f>
      </x:c>
      <x:c r="E382" s="22" t="str">
        <x:f>IF(ISBLANK(C382),"AmountIncludingTax缺失",IF(ABS(B382-C382)&lt;0.005,"一致","不一致"))</x:f>
        <x:v>AmountIncludingTax缺失</x:v>
      </x:c>
      <x:c r="F382" s="19" t="str">
        <x:v>approved</x:v>
      </x:c>
      <x:c r="G382" s="19" t="str">
        <x:v>Sales Order Approved</x:v>
      </x:c>
      <x:c r="H382" s="19" t="str">
        <x:v>In Field</x:v>
      </x:c>
      <x:c r="I382" s="37" t="n">
        <x:v>46211</x:v>
      </x:c>
      <x:c r="J382" s="37" t="n">
        <x:v>46211</x:v>
      </x:c>
      <x:c r="K382" s="19" t="str">
        <x:v>Green RV - Forest Glen</x:v>
      </x:c>
      <x:c r="L382" s="19" t="str">
        <x:v>Z006</x:v>
      </x:c>
      <x:c r="M382" s="19" t="str">
        <x:v>In Field Warranty Claims</x:v>
      </x:c>
      <x:c r="N382" s="37" t="n">
        <x:v>46192</x:v>
      </x:c>
      <x:c r="O382" s="37"/>
      <x:c r="P382" s="34" t="n">
        <x:v>0</x:v>
      </x:c>
      <x:c r="Q382" s="37" t="n">
        <x:v>46211.07959490741</x:v>
      </x:c>
    </x:row>
    <x:row r="383">
      <x:c r="A383" s="22" t="n">
        <x:v>36667</x:v>
      </x:c>
      <x:c r="B383" s="28" t="n">
        <x:v>526.25</x:v>
      </x:c>
      <x:c r="C383" s="28"/>
      <x:c r="D383" s="31" t="str">
        <x:f>IF(OR(ISBLANK(B383),ISBLANK(C383),B383=0),"",(C383-B383)/B383)</x:f>
      </x:c>
      <x:c r="E383" s="22" t="str">
        <x:f>IF(ISBLANK(C383),"AmountIncludingTax缺失",IF(ABS(B383-C383)&lt;0.005,"一致","不一致"))</x:f>
        <x:v>AmountIncludingTax缺失</x:v>
      </x:c>
      <x:c r="F383" s="19" t="str">
        <x:v>approved</x:v>
      </x:c>
      <x:c r="G383" s="19" t="str">
        <x:v>Sales Order Approved</x:v>
      </x:c>
      <x:c r="H383" s="19" t="str">
        <x:v>In Field</x:v>
      </x:c>
      <x:c r="I383" s="37" t="n">
        <x:v>46210</x:v>
      </x:c>
      <x:c r="J383" s="37" t="n">
        <x:v>46210</x:v>
      </x:c>
      <x:c r="K383" s="19" t="str">
        <x:v>Newcastle RV Super Centre - Beresfield</x:v>
      </x:c>
      <x:c r="L383" s="19" t="str">
        <x:v>Z006</x:v>
      </x:c>
      <x:c r="M383" s="19" t="str">
        <x:v>In Field Warranty Claims</x:v>
      </x:c>
      <x:c r="N383" s="37" t="n">
        <x:v>46194</x:v>
      </x:c>
      <x:c r="O383" s="37"/>
      <x:c r="P383" s="34" t="n">
        <x:v>0</x:v>
      </x:c>
      <x:c r="Q383" s="37" t="n">
        <x:v>46210.07079861111</x:v>
      </x:c>
    </x:row>
    <x:row r="384">
      <x:c r="A384" s="22" t="n">
        <x:v>36663</x:v>
      </x:c>
      <x:c r="B384" s="28" t="n">
        <x:v>2180</x:v>
      </x:c>
      <x:c r="C384" s="28"/>
      <x:c r="D384" s="31" t="str">
        <x:f>IF(OR(ISBLANK(B384),ISBLANK(C384),B384=0),"",(C384-B384)/B384)</x:f>
      </x:c>
      <x:c r="E384" s="22" t="str">
        <x:f>IF(ISBLANK(C384),"AmountIncludingTax缺失",IF(ABS(B384-C384)&lt;0.005,"一致","不一致"))</x:f>
        <x:v>AmountIncludingTax缺失</x:v>
      </x:c>
      <x:c r="F384" s="19" t="str">
        <x:v>approved</x:v>
      </x:c>
      <x:c r="G384" s="19" t="str">
        <x:v>Repair in Progress</x:v>
      </x:c>
      <x:c r="H384" s="19" t="str">
        <x:v>In Field</x:v>
      </x:c>
      <x:c r="I384" s="37" t="n">
        <x:v>46195</x:v>
      </x:c>
      <x:c r="J384" s="37" t="n">
        <x:v>46195</x:v>
      </x:c>
      <x:c r="K384" s="19" t="str">
        <x:v>Green RV - Forest Glen</x:v>
      </x:c>
      <x:c r="L384" s="19" t="str">
        <x:v>Z006</x:v>
      </x:c>
      <x:c r="M384" s="19" t="str">
        <x:v>In Field Warranty Claims</x:v>
      </x:c>
      <x:c r="N384" s="37" t="n">
        <x:v>46192</x:v>
      </x:c>
      <x:c r="O384" s="37"/>
      <x:c r="P384" s="34" t="n">
        <x:v>0</x:v>
      </x:c>
      <x:c r="Q384" s="37" t="n">
        <x:v>46195.0778587963</x:v>
      </x:c>
    </x:row>
    <x:row r="385">
      <x:c r="A385" s="22" t="n">
        <x:v>36662</x:v>
      </x:c>
      <x:c r="B385" s="28" t="n">
        <x:v>492.5</x:v>
      </x:c>
      <x:c r="C385" s="28"/>
      <x:c r="D385" s="31" t="str">
        <x:f>IF(OR(ISBLANK(B385),ISBLANK(C385),B385=0),"",(C385-B385)/B385)</x:f>
      </x:c>
      <x:c r="E385" s="22" t="str">
        <x:f>IF(ISBLANK(C385),"AmountIncludingTax缺失",IF(ABS(B385-C385)&lt;0.005,"一致","不一致"))</x:f>
        <x:v>AmountIncludingTax缺失</x:v>
      </x:c>
      <x:c r="F385" s="19" t="str">
        <x:v>approved</x:v>
      </x:c>
      <x:c r="G385" s="19" t="str">
        <x:v>Sales Order Approved</x:v>
      </x:c>
      <x:c r="H385" s="19" t="str">
        <x:v>In Field</x:v>
      </x:c>
      <x:c r="I385" s="37" t="n">
        <x:v>46199</x:v>
      </x:c>
      <x:c r="J385" s="37" t="n">
        <x:v>46199</x:v>
      </x:c>
      <x:c r="K385" s="19" t="str">
        <x:v>Destiny RV - South Australia</x:v>
      </x:c>
      <x:c r="L385" s="19" t="str">
        <x:v>Z006</x:v>
      </x:c>
      <x:c r="M385" s="19" t="str">
        <x:v>In Field Warranty Claims</x:v>
      </x:c>
      <x:c r="N385" s="37" t="n">
        <x:v>46192</x:v>
      </x:c>
      <x:c r="O385" s="37"/>
      <x:c r="P385" s="34" t="n">
        <x:v>0</x:v>
      </x:c>
      <x:c r="Q385" s="37" t="n">
        <x:v>46198.90398148148</x:v>
      </x:c>
    </x:row>
    <x:row r="386">
      <x:c r="A386" s="22" t="n">
        <x:v>36661</x:v>
      </x:c>
      <x:c r="B386" s="28" t="n">
        <x:v>1930</x:v>
      </x:c>
      <x:c r="C386" s="28"/>
      <x:c r="D386" s="31" t="str">
        <x:f>IF(OR(ISBLANK(B386),ISBLANK(C386),B386=0),"",(C386-B386)/B386)</x:f>
      </x:c>
      <x:c r="E386" s="22" t="str">
        <x:f>IF(ISBLANK(C386),"AmountIncludingTax缺失",IF(ABS(B386-C386)&lt;0.005,"一致","不一致"))</x:f>
        <x:v>AmountIncludingTax缺失</x:v>
      </x:c>
      <x:c r="F386" s="19" t="str">
        <x:v>approved</x:v>
      </x:c>
      <x:c r="G386" s="19" t="str">
        <x:v>Repair in Progress</x:v>
      </x:c>
      <x:c r="H386" s="19" t="str">
        <x:v>In Field</x:v>
      </x:c>
      <x:c r="I386" s="37" t="n">
        <x:v>46195</x:v>
      </x:c>
      <x:c r="J386" s="37" t="n">
        <x:v>46195</x:v>
      </x:c>
      <x:c r="K386" s="19" t="str">
        <x:v>Green RV - Forest Glen</x:v>
      </x:c>
      <x:c r="L386" s="19" t="str">
        <x:v>Z006</x:v>
      </x:c>
      <x:c r="M386" s="19" t="str">
        <x:v>In Field Warranty Claims</x:v>
      </x:c>
      <x:c r="N386" s="37" t="n">
        <x:v>46192</x:v>
      </x:c>
      <x:c r="O386" s="37"/>
      <x:c r="P386" s="34" t="n">
        <x:v>0</x:v>
      </x:c>
      <x:c r="Q386" s="37" t="n">
        <x:v>46195.12152777778</x:v>
      </x:c>
    </x:row>
    <x:row r="387">
      <x:c r="A387" s="22" t="n">
        <x:v>36659</x:v>
      </x:c>
      <x:c r="B387" s="28" t="n">
        <x:v>917.5</x:v>
      </x:c>
      <x:c r="C387" s="28"/>
      <x:c r="D387" s="31" t="str">
        <x:f>IF(OR(ISBLANK(B387),ISBLANK(C387),B387=0),"",(C387-B387)/B387)</x:f>
      </x:c>
      <x:c r="E387" s="22" t="str">
        <x:f>IF(ISBLANK(C387),"AmountIncludingTax缺失",IF(ABS(B387-C387)&lt;0.005,"一致","不一致"))</x:f>
        <x:v>AmountIncludingTax缺失</x:v>
      </x:c>
      <x:c r="F387" s="19" t="str">
        <x:v>approved</x:v>
      </x:c>
      <x:c r="G387" s="19" t="str">
        <x:v>Partially Picked</x:v>
      </x:c>
      <x:c r="H387" s="19" t="str">
        <x:v>In Field</x:v>
      </x:c>
      <x:c r="I387" s="37" t="n">
        <x:v>46195</x:v>
      </x:c>
      <x:c r="J387" s="37" t="n">
        <x:v>46195</x:v>
      </x:c>
      <x:c r="K387" s="19" t="str">
        <x:v>Green RV - Forest Glen</x:v>
      </x:c>
      <x:c r="L387" s="19" t="str">
        <x:v>Z006</x:v>
      </x:c>
      <x:c r="M387" s="19" t="str">
        <x:v>In Field Warranty Claims</x:v>
      </x:c>
      <x:c r="N387" s="37" t="n">
        <x:v>46192</x:v>
      </x:c>
      <x:c r="O387" s="37"/>
      <x:c r="P387" s="34" t="n">
        <x:v>0</x:v>
      </x:c>
      <x:c r="Q387" s="37" t="n">
        <x:v>46195.082395833335</x:v>
      </x:c>
    </x:row>
    <x:row r="388">
      <x:c r="A388" s="22" t="n">
        <x:v>36656</x:v>
      </x:c>
      <x:c r="B388" s="28" t="n">
        <x:v>3240</x:v>
      </x:c>
      <x:c r="C388" s="28"/>
      <x:c r="D388" s="31" t="str">
        <x:f>IF(OR(ISBLANK(B388),ISBLANK(C388),B388=0),"",(C388-B388)/B388)</x:f>
      </x:c>
      <x:c r="E388" s="22" t="str">
        <x:f>IF(ISBLANK(C388),"AmountIncludingTax缺失",IF(ABS(B388-C388)&lt;0.005,"一致","不一致"))</x:f>
        <x:v>AmountIncludingTax缺失</x:v>
      </x:c>
      <x:c r="F388" s="19" t="str">
        <x:v>approved</x:v>
      </x:c>
      <x:c r="G388" s="19" t="str">
        <x:v>Repair in Progress</x:v>
      </x:c>
      <x:c r="H388" s="19" t="str">
        <x:v>In Field</x:v>
      </x:c>
      <x:c r="I388" s="37" t="n">
        <x:v>46196</x:v>
      </x:c>
      <x:c r="J388" s="37" t="n">
        <x:v>46196</x:v>
      </x:c>
      <x:c r="K388" s="19" t="str">
        <x:v>Green RV - Forest Glen</x:v>
      </x:c>
      <x:c r="L388" s="19" t="str">
        <x:v>Z006</x:v>
      </x:c>
      <x:c r="M388" s="19" t="str">
        <x:v>In Field Warranty Claims</x:v>
      </x:c>
      <x:c r="N388" s="37" t="n">
        <x:v>46192</x:v>
      </x:c>
      <x:c r="O388" s="37"/>
      <x:c r="P388" s="34" t="n">
        <x:v>3564</x:v>
      </x:c>
      <x:c r="Q388" s="37" t="n">
        <x:v>46195.97483796296</x:v>
      </x:c>
    </x:row>
    <x:row r="389">
      <x:c r="A389" s="22" t="n">
        <x:v>36655</x:v>
      </x:c>
      <x:c r="B389" s="28" t="n">
        <x:v>135</x:v>
      </x:c>
      <x:c r="C389" s="28"/>
      <x:c r="D389" s="31" t="str">
        <x:f>IF(OR(ISBLANK(B389),ISBLANK(C389),B389=0),"",(C389-B389)/B389)</x:f>
      </x:c>
      <x:c r="E389" s="22" t="str">
        <x:f>IF(ISBLANK(C389),"AmountIncludingTax缺失",IF(ABS(B389-C389)&lt;0.005,"一致","不一致"))</x:f>
        <x:v>AmountIncludingTax缺失</x:v>
      </x:c>
      <x:c r="F389" s="19" t="str">
        <x:v>approved</x:v>
      </x:c>
      <x:c r="G389" s="19" t="str">
        <x:v>Partially Picked</x:v>
      </x:c>
      <x:c r="H389" s="19" t="str">
        <x:v>Pre Delivery</x:v>
      </x:c>
      <x:c r="I389" s="37" t="n">
        <x:v>46199</x:v>
      </x:c>
      <x:c r="J389" s="37" t="n">
        <x:v>46199</x:v>
      </x:c>
      <x:c r="K389" s="19" t="str">
        <x:v>Snowy River Wangaratta</x:v>
      </x:c>
      <x:c r="L389" s="19" t="str">
        <x:v>Z005</x:v>
      </x:c>
      <x:c r="M389" s="19" t="str">
        <x:v>Pre Delivery Warranty Claims</x:v>
      </x:c>
      <x:c r="N389" s="37" t="n">
        <x:v>46192</x:v>
      </x:c>
      <x:c r="O389" s="37" t="n">
        <x:v>46198</x:v>
      </x:c>
      <x:c r="P389" s="34" t="n">
        <x:v>0</x:v>
      </x:c>
      <x:c r="Q389" s="37" t="n">
        <x:v>46199.235243055555</x:v>
      </x:c>
    </x:row>
    <x:row r="390">
      <x:c r="A390" s="22" t="n">
        <x:v>36654</x:v>
      </x:c>
      <x:c r="B390" s="28" t="n">
        <x:v>135</x:v>
      </x:c>
      <x:c r="C390" s="28" t="n">
        <x:v>148.5</x:v>
      </x:c>
      <x:c r="D390" s="31" t="n">
        <x:f>IF(OR(ISBLANK(B390),ISBLANK(C390),B390=0),"",(C390-B390)/B390)</x:f>
        <x:v>0.1</x:v>
      </x:c>
      <x:c r="E390" s="22" t="str">
        <x:f>IF(ISBLANK(C390),"AmountIncludingTax缺失",IF(ABS(B390-C390)&lt;0.005,"一致","不一致"))</x:f>
        <x:v>不一致</x:v>
      </x:c>
      <x:c r="F390" s="19" t="str">
        <x:v>approved</x:v>
      </x:c>
      <x:c r="G390" s="19" t="str">
        <x:v>Repair in Progress</x:v>
      </x:c>
      <x:c r="H390" s="19" t="str">
        <x:v>In Field</x:v>
      </x:c>
      <x:c r="I390" s="37" t="n">
        <x:v>46195</x:v>
      </x:c>
      <x:c r="J390" s="37" t="n">
        <x:v>46195</x:v>
      </x:c>
      <x:c r="K390" s="19" t="str">
        <x:v>Green RV - Forest Glen</x:v>
      </x:c>
      <x:c r="L390" s="19" t="str">
        <x:v>Z006</x:v>
      </x:c>
      <x:c r="M390" s="19" t="str">
        <x:v>In Field Warranty Claims</x:v>
      </x:c>
      <x:c r="N390" s="37" t="n">
        <x:v>46192</x:v>
      </x:c>
      <x:c r="O390" s="37"/>
      <x:c r="P390" s="34" t="n">
        <x:v>148.5</x:v>
      </x:c>
      <x:c r="Q390" s="37" t="n">
        <x:v>46195.161990740744</x:v>
      </x:c>
    </x:row>
    <x:row r="391">
      <x:c r="A391" s="22" t="n">
        <x:v>36653</x:v>
      </x:c>
      <x:c r="B391" s="28" t="n">
        <x:v>390</x:v>
      </x:c>
      <x:c r="C391" s="28" t="n">
        <x:v>353.11</x:v>
      </x:c>
      <x:c r="D391" s="31" t="n">
        <x:f>IF(OR(ISBLANK(B391),ISBLANK(C391),B391=0),"",(C391-B391)/B391)</x:f>
        <x:v>-0.09458974358974355</x:v>
      </x:c>
      <x:c r="E391" s="22" t="str">
        <x:f>IF(ISBLANK(C391),"AmountIncludingTax缺失",IF(ABS(B391-C391)&lt;0.005,"一致","不一致"))</x:f>
        <x:v>不一致</x:v>
      </x:c>
      <x:c r="F391" s="19" t="str">
        <x:v>approved</x:v>
      </x:c>
      <x:c r="G391" s="19" t="str">
        <x:v>Repair in Progress</x:v>
      </x:c>
      <x:c r="H391" s="19" t="str">
        <x:v>In Field</x:v>
      </x:c>
      <x:c r="I391" s="37" t="n">
        <x:v>46192</x:v>
      </x:c>
      <x:c r="J391" s="37" t="n">
        <x:v>46192</x:v>
      </x:c>
      <x:c r="K391" s="19" t="str">
        <x:v>Vanari Caravans - Marden Point</x:v>
      </x:c>
      <x:c r="L391" s="19" t="str">
        <x:v>Z006</x:v>
      </x:c>
      <x:c r="M391" s="19" t="str">
        <x:v>In Field Warranty Claims</x:v>
      </x:c>
      <x:c r="N391" s="37" t="n">
        <x:v>46192</x:v>
      </x:c>
      <x:c r="O391" s="37"/>
      <x:c r="P391" s="34" t="n">
        <x:v>353.11</x:v>
      </x:c>
      <x:c r="Q391" s="37" t="n">
        <x:v>46192.270324074074</x:v>
      </x:c>
    </x:row>
    <x:row r="392">
      <x:c r="A392" s="22" t="n">
        <x:v>36650</x:v>
      </x:c>
      <x:c r="B392" s="28" t="n">
        <x:v>33.75</x:v>
      </x:c>
      <x:c r="C392" s="28"/>
      <x:c r="D392" s="31" t="str">
        <x:f>IF(OR(ISBLANK(B392),ISBLANK(C392),B392=0),"",(C392-B392)/B392)</x:f>
      </x:c>
      <x:c r="E392" s="22" t="str">
        <x:f>IF(ISBLANK(C392),"AmountIncludingTax缺失",IF(ABS(B392-C392)&lt;0.005,"一致","不一致"))</x:f>
        <x:v>AmountIncludingTax缺失</x:v>
      </x:c>
      <x:c r="F392" s="19" t="str">
        <x:v>approved</x:v>
      </x:c>
      <x:c r="G392" s="19" t="str">
        <x:v>Repair in Progress</x:v>
      </x:c>
      <x:c r="H392" s="19" t="str">
        <x:v>In Field</x:v>
      </x:c>
      <x:c r="I392" s="37" t="n">
        <x:v>46196</x:v>
      </x:c>
      <x:c r="J392" s="37" t="n">
        <x:v>46196</x:v>
      </x:c>
      <x:c r="K392" s="19" t="str">
        <x:v>Green RV - Slacks Creek</x:v>
      </x:c>
      <x:c r="L392" s="19" t="str">
        <x:v>Z006</x:v>
      </x:c>
      <x:c r="M392" s="19" t="str">
        <x:v>In Field Warranty Claims</x:v>
      </x:c>
      <x:c r="N392" s="37" t="n">
        <x:v>46192</x:v>
      </x:c>
      <x:c r="O392" s="37"/>
      <x:c r="P392" s="34" t="n">
        <x:v>0</x:v>
      </x:c>
      <x:c r="Q392" s="37" t="n">
        <x:v>46195.96015046296</x:v>
      </x:c>
    </x:row>
    <x:row r="393">
      <x:c r="A393" s="22" t="n">
        <x:v>36649</x:v>
      </x:c>
      <x:c r="B393" s="28" t="n">
        <x:v>288</x:v>
      </x:c>
      <x:c r="C393" s="28"/>
      <x:c r="D393" s="31" t="str">
        <x:f>IF(OR(ISBLANK(B393),ISBLANK(C393),B393=0),"",(C393-B393)/B393)</x:f>
      </x:c>
      <x:c r="E393" s="22" t="str">
        <x:f>IF(ISBLANK(C393),"AmountIncludingTax缺失",IF(ABS(B393-C393)&lt;0.005,"一致","不一致"))</x:f>
        <x:v>AmountIncludingTax缺失</x:v>
      </x:c>
      <x:c r="F393" s="19" t="str">
        <x:v>approved</x:v>
      </x:c>
      <x:c r="G393" s="19" t="str">
        <x:v>Repair in Progress</x:v>
      </x:c>
      <x:c r="H393" s="19" t="str">
        <x:v>In Field</x:v>
      </x:c>
      <x:c r="I393" s="37" t="n">
        <x:v>46195</x:v>
      </x:c>
      <x:c r="J393" s="37" t="n">
        <x:v>46195</x:v>
      </x:c>
      <x:c r="K393" s="19" t="str">
        <x:v>Green RV - Forest Glen</x:v>
      </x:c>
      <x:c r="L393" s="19" t="str">
        <x:v>Z006</x:v>
      </x:c>
      <x:c r="M393" s="19" t="str">
        <x:v>In Field Warranty Claims</x:v>
      </x:c>
      <x:c r="N393" s="37" t="n">
        <x:v>46192</x:v>
      </x:c>
      <x:c r="O393" s="37"/>
      <x:c r="P393" s="34" t="n">
        <x:v>0</x:v>
      </x:c>
      <x:c r="Q393" s="37" t="n">
        <x:v>46195.19451388889</x:v>
      </x:c>
    </x:row>
    <x:row r="394">
      <x:c r="A394" s="22" t="n">
        <x:v>36647</x:v>
      </x:c>
      <x:c r="B394" s="28" t="n">
        <x:v>405</x:v>
      </x:c>
      <x:c r="C394" s="28" t="n">
        <x:v>445.5</x:v>
      </x:c>
      <x:c r="D394" s="31" t="n">
        <x:f>IF(OR(ISBLANK(B394),ISBLANK(C394),B394=0),"",(C394-B394)/B394)</x:f>
        <x:v>0.1</x:v>
      </x:c>
      <x:c r="E394" s="22" t="str">
        <x:f>IF(ISBLANK(C394),"AmountIncludingTax缺失",IF(ABS(B394-C394)&lt;0.005,"一致","不一致"))</x:f>
        <x:v>不一致</x:v>
      </x:c>
      <x:c r="F394" s="19" t="str">
        <x:v>approved</x:v>
      </x:c>
      <x:c r="G394" s="19" t="str">
        <x:v>Repair in Progress</x:v>
      </x:c>
      <x:c r="H394" s="19" t="str">
        <x:v>In Field</x:v>
      </x:c>
      <x:c r="I394" s="37" t="n">
        <x:v>46197</x:v>
      </x:c>
      <x:c r="J394" s="37" t="n">
        <x:v>46197</x:v>
      </x:c>
      <x:c r="K394" s="19" t="str">
        <x:v>Green RV - Forest Glen</x:v>
      </x:c>
      <x:c r="L394" s="19" t="str">
        <x:v>Z006</x:v>
      </x:c>
      <x:c r="M394" s="19" t="str">
        <x:v>In Field Warranty Claims</x:v>
      </x:c>
      <x:c r="N394" s="37" t="n">
        <x:v>46192</x:v>
      </x:c>
      <x:c r="O394" s="37"/>
      <x:c r="P394" s="34" t="n">
        <x:v>445.5</x:v>
      </x:c>
      <x:c r="Q394" s="37" t="n">
        <x:v>46197.07790509259</x:v>
      </x:c>
    </x:row>
    <x:row r="395">
      <x:c r="A395" s="22" t="n">
        <x:v>36646</x:v>
      </x:c>
      <x:c r="B395" s="28" t="n">
        <x:v>1154.32</x:v>
      </x:c>
      <x:c r="C395" s="28"/>
      <x:c r="D395" s="31" t="str">
        <x:f>IF(OR(ISBLANK(B395),ISBLANK(C395),B395=0),"",(C395-B395)/B395)</x:f>
      </x:c>
      <x:c r="E395" s="22" t="str">
        <x:f>IF(ISBLANK(C395),"AmountIncludingTax缺失",IF(ABS(B395-C395)&lt;0.005,"一致","不一致"))</x:f>
        <x:v>AmountIncludingTax缺失</x:v>
      </x:c>
      <x:c r="F395" s="19" t="str">
        <x:v>approved</x:v>
      </x:c>
      <x:c r="G395" s="19" t="str">
        <x:v>Sales Order Approved</x:v>
      </x:c>
      <x:c r="H395" s="19" t="str">
        <x:v>In Field</x:v>
      </x:c>
      <x:c r="I395" s="37" t="n">
        <x:v>46205</x:v>
      </x:c>
      <x:c r="J395" s="37" t="n">
        <x:v>46205</x:v>
      </x:c>
      <x:c r="K395" s="19" t="str">
        <x:v>Green RV - Forest Glen</x:v>
      </x:c>
      <x:c r="L395" s="19" t="str">
        <x:v>Z006</x:v>
      </x:c>
      <x:c r="M395" s="19" t="str">
        <x:v>In Field Warranty Claims</x:v>
      </x:c>
      <x:c r="N395" s="37" t="n">
        <x:v>46192</x:v>
      </x:c>
      <x:c r="O395" s="37"/>
      <x:c r="P395" s="34" t="n">
        <x:v>0</x:v>
      </x:c>
      <x:c r="Q395" s="37" t="n">
        <x:v>46205.25085648148</x:v>
      </x:c>
    </x:row>
    <x:row r="396">
      <x:c r="A396" s="22" t="n">
        <x:v>36644</x:v>
      </x:c>
      <x:c r="B396" s="28" t="n">
        <x:v>2017.5</x:v>
      </x:c>
      <x:c r="C396" s="28"/>
      <x:c r="D396" s="31" t="str">
        <x:f>IF(OR(ISBLANK(B396),ISBLANK(C396),B396=0),"",(C396-B396)/B396)</x:f>
      </x:c>
      <x:c r="E396" s="22" t="str">
        <x:f>IF(ISBLANK(C396),"AmountIncludingTax缺失",IF(ABS(B396-C396)&lt;0.005,"一致","不一致"))</x:f>
        <x:v>AmountIncludingTax缺失</x:v>
      </x:c>
      <x:c r="F396" s="19" t="str">
        <x:v>approved</x:v>
      </x:c>
      <x:c r="G396" s="19" t="str">
        <x:v>Sales Order Approved</x:v>
      </x:c>
      <x:c r="H396" s="19" t="str">
        <x:v>In Field</x:v>
      </x:c>
      <x:c r="I396" s="37" t="n">
        <x:v>46205</x:v>
      </x:c>
      <x:c r="J396" s="37" t="n">
        <x:v>46205</x:v>
      </x:c>
      <x:c r="K396" s="19" t="str">
        <x:v>Snowy River Geelong</x:v>
      </x:c>
      <x:c r="L396" s="19" t="str">
        <x:v>Z006</x:v>
      </x:c>
      <x:c r="M396" s="19" t="str">
        <x:v>In Field Warranty Claims</x:v>
      </x:c>
      <x:c r="N396" s="37" t="n">
        <x:v>46192</x:v>
      </x:c>
      <x:c r="O396" s="37"/>
      <x:c r="P396" s="34" t="n">
        <x:v>0</x:v>
      </x:c>
      <x:c r="Q396" s="37" t="n">
        <x:v>46204.97972222222</x:v>
      </x:c>
    </x:row>
    <x:row r="397">
      <x:c r="A397" s="22" t="n">
        <x:v>36640</x:v>
      </x:c>
      <x:c r="B397" s="28" t="n">
        <x:v>810</x:v>
      </x:c>
      <x:c r="C397" s="28"/>
      <x:c r="D397" s="31" t="str">
        <x:f>IF(OR(ISBLANK(B397),ISBLANK(C397),B397=0),"",(C397-B397)/B397)</x:f>
      </x:c>
      <x:c r="E397" s="22" t="str">
        <x:f>IF(ISBLANK(C397),"AmountIncludingTax缺失",IF(ABS(B397-C397)&lt;0.005,"一致","不一致"))</x:f>
        <x:v>AmountIncludingTax缺失</x:v>
      </x:c>
      <x:c r="F397" s="19" t="str">
        <x:v>approved</x:v>
      </x:c>
      <x:c r="G397" s="19" t="str">
        <x:v>Partially Picked</x:v>
      </x:c>
      <x:c r="H397" s="19" t="str">
        <x:v>In Field</x:v>
      </x:c>
      <x:c r="I397" s="37" t="n">
        <x:v>46199</x:v>
      </x:c>
      <x:c r="J397" s="37" t="n">
        <x:v>46199</x:v>
      </x:c>
      <x:c r="K397" s="19" t="str">
        <x:v>Regent RV - Perth</x:v>
      </x:c>
      <x:c r="L397" s="19" t="str">
        <x:v>Z006</x:v>
      </x:c>
      <x:c r="M397" s="19" t="str">
        <x:v>In Field Warranty Claims</x:v>
      </x:c>
      <x:c r="N397" s="37" t="n">
        <x:v>46192</x:v>
      </x:c>
      <x:c r="O397" s="37"/>
      <x:c r="P397" s="34" t="n">
        <x:v>0</x:v>
      </x:c>
      <x:c r="Q397" s="37" t="n">
        <x:v>46198.91444444445</x:v>
      </x:c>
    </x:row>
    <x:row r="398">
      <x:c r="A398" s="22" t="n">
        <x:v>36639</x:v>
      </x:c>
      <x:c r="B398" s="28" t="n">
        <x:v>728.75</x:v>
      </x:c>
      <x:c r="C398" s="28"/>
      <x:c r="D398" s="31" t="str">
        <x:f>IF(OR(ISBLANK(B398),ISBLANK(C398),B398=0),"",(C398-B398)/B398)</x:f>
      </x:c>
      <x:c r="E398" s="22" t="str">
        <x:f>IF(ISBLANK(C398),"AmountIncludingTax缺失",IF(ABS(B398-C398)&lt;0.005,"一致","不一致"))</x:f>
        <x:v>AmountIncludingTax缺失</x:v>
      </x:c>
      <x:c r="F398" s="19" t="str">
        <x:v>approved</x:v>
      </x:c>
      <x:c r="G398" s="19" t="str">
        <x:v>Sales Order Approved</x:v>
      </x:c>
      <x:c r="H398" s="19" t="str">
        <x:v>Pre Delivery</x:v>
      </x:c>
      <x:c r="I398" s="37" t="n">
        <x:v>46195</x:v>
      </x:c>
      <x:c r="J398" s="37" t="n">
        <x:v>46195</x:v>
      </x:c>
      <x:c r="K398" s="19" t="str">
        <x:v>Green RV - Slacks Creek</x:v>
      </x:c>
      <x:c r="L398" s="19" t="str">
        <x:v>Z005</x:v>
      </x:c>
      <x:c r="M398" s="19" t="str">
        <x:v>Pre Delivery Warranty Claims</x:v>
      </x:c>
      <x:c r="N398" s="37" t="n">
        <x:v>46192</x:v>
      </x:c>
      <x:c r="O398" s="37"/>
      <x:c r="P398" s="34" t="n">
        <x:v>0</x:v>
      </x:c>
      <x:c r="Q398" s="37" t="n">
        <x:v>46195.21365740741</x:v>
      </x:c>
    </x:row>
    <x:row r="399">
      <x:c r="A399" s="22" t="n">
        <x:v>36635</x:v>
      </x:c>
      <x:c r="B399" s="28" t="n">
        <x:v>202.5</x:v>
      </x:c>
      <x:c r="C399" s="28"/>
      <x:c r="D399" s="31" t="str">
        <x:f>IF(OR(ISBLANK(B399),ISBLANK(C399),B399=0),"",(C399-B399)/B399)</x:f>
      </x:c>
      <x:c r="E399" s="22" t="str">
        <x:f>IF(ISBLANK(C399),"AmountIncludingTax缺失",IF(ABS(B399-C399)&lt;0.005,"一致","不一致"))</x:f>
        <x:v>AmountIncludingTax缺失</x:v>
      </x:c>
      <x:c r="F399" s="19" t="str">
        <x:v>approved</x:v>
      </x:c>
      <x:c r="G399" s="19" t="str">
        <x:v>Sales Order Approved</x:v>
      </x:c>
      <x:c r="H399" s="19" t="str">
        <x:v>In Field</x:v>
      </x:c>
      <x:c r="I399" s="37" t="n">
        <x:v>46192</x:v>
      </x:c>
      <x:c r="J399" s="37" t="n">
        <x:v>46192</x:v>
      </x:c>
      <x:c r="K399" s="19" t="str">
        <x:v>Lesiure Lion-New Castle</x:v>
      </x:c>
      <x:c r="L399" s="19" t="str">
        <x:v>Z006</x:v>
      </x:c>
      <x:c r="M399" s="19" t="str">
        <x:v>In Field Warranty Claims</x:v>
      </x:c>
      <x:c r="N399" s="37" t="n">
        <x:v>46192</x:v>
      </x:c>
      <x:c r="O399" s="37"/>
      <x:c r="P399" s="34" t="n">
        <x:v>0</x:v>
      </x:c>
      <x:c r="Q399" s="37" t="n">
        <x:v>46192.22740740741</x:v>
      </x:c>
    </x:row>
    <x:row r="400">
      <x:c r="A400" s="22" t="n">
        <x:v>36634</x:v>
      </x:c>
      <x:c r="B400" s="28" t="n">
        <x:v>242.5</x:v>
      </x:c>
      <x:c r="C400" s="28"/>
      <x:c r="D400" s="31" t="str">
        <x:f>IF(OR(ISBLANK(B400),ISBLANK(C400),B400=0),"",(C400-B400)/B400)</x:f>
      </x:c>
      <x:c r="E400" s="22" t="str">
        <x:f>IF(ISBLANK(C400),"AmountIncludingTax缺失",IF(ABS(B400-C400)&lt;0.005,"一致","不一致"))</x:f>
        <x:v>AmountIncludingTax缺失</x:v>
      </x:c>
      <x:c r="F400" s="19" t="str">
        <x:v>approved</x:v>
      </x:c>
      <x:c r="G400" s="19" t="str">
        <x:v>Repairer Invoiced Processed</x:v>
      </x:c>
      <x:c r="H400" s="19" t="str">
        <x:v>In Field</x:v>
      </x:c>
      <x:c r="I400" s="37" t="n">
        <x:v>46196</x:v>
      </x:c>
      <x:c r="J400" s="37" t="n">
        <x:v>46196</x:v>
      </x:c>
      <x:c r="K400" s="19" t="str">
        <x:v>Lesiure Lion-New Castle</x:v>
      </x:c>
      <x:c r="L400" s="19" t="str">
        <x:v>Z006</x:v>
      </x:c>
      <x:c r="M400" s="19" t="str">
        <x:v>In Field Warranty Claims</x:v>
      </x:c>
      <x:c r="N400" s="37" t="n">
        <x:v>46192</x:v>
      </x:c>
      <x:c r="O400" s="37"/>
      <x:c r="P400" s="34" t="n">
        <x:v>0</x:v>
      </x:c>
      <x:c r="Q400" s="37" t="n">
        <x:v>46196.24136574074</x:v>
      </x:c>
    </x:row>
    <x:row r="401">
      <x:c r="A401" s="22" t="n">
        <x:v>36632</x:v>
      </x:c>
      <x:c r="B401" s="28" t="n">
        <x:v>830</x:v>
      </x:c>
      <x:c r="C401" s="28"/>
      <x:c r="D401" s="31" t="str">
        <x:f>IF(OR(ISBLANK(B401),ISBLANK(C401),B401=0),"",(C401-B401)/B401)</x:f>
      </x:c>
      <x:c r="E401" s="22" t="str">
        <x:f>IF(ISBLANK(C401),"AmountIncludingTax缺失",IF(ABS(B401-C401)&lt;0.005,"一致","不一致"))</x:f>
        <x:v>AmountIncludingTax缺失</x:v>
      </x:c>
      <x:c r="F401" s="19" t="str">
        <x:v>approved</x:v>
      </x:c>
      <x:c r="G401" s="19" t="str">
        <x:v>Sales Order Approved</x:v>
      </x:c>
      <x:c r="H401" s="19" t="str">
        <x:v>Pre Delivery</x:v>
      </x:c>
      <x:c r="I401" s="37" t="n">
        <x:v>46192</x:v>
      </x:c>
      <x:c r="J401" s="37" t="n">
        <x:v>46192</x:v>
      </x:c>
      <x:c r="K401" s="19" t="str">
        <x:v>Green RV - Slacks Creek</x:v>
      </x:c>
      <x:c r="L401" s="19" t="str">
        <x:v>Z005</x:v>
      </x:c>
      <x:c r="M401" s="19" t="str">
        <x:v>Pre Delivery Warranty Claims</x:v>
      </x:c>
      <x:c r="N401" s="37" t="n">
        <x:v>46192</x:v>
      </x:c>
      <x:c r="O401" s="37"/>
      <x:c r="P401" s="34" t="n">
        <x:v>0</x:v>
      </x:c>
      <x:c r="Q401" s="37" t="n">
        <x:v>46192.25886574074</x:v>
      </x:c>
    </x:row>
    <x:row r="402">
      <x:c r="A402" s="22" t="n">
        <x:v>36631</x:v>
      </x:c>
      <x:c r="B402" s="28" t="n">
        <x:v>313.75</x:v>
      </x:c>
      <x:c r="C402" s="28"/>
      <x:c r="D402" s="31" t="str">
        <x:f>IF(OR(ISBLANK(B402),ISBLANK(C402),B402=0),"",(C402-B402)/B402)</x:f>
      </x:c>
      <x:c r="E402" s="22" t="str">
        <x:f>IF(ISBLANK(C402),"AmountIncludingTax缺失",IF(ABS(B402-C402)&lt;0.005,"一致","不一致"))</x:f>
        <x:v>AmountIncludingTax缺失</x:v>
      </x:c>
      <x:c r="F402" s="19" t="str">
        <x:v>approved</x:v>
      </x:c>
      <x:c r="G402" s="19" t="str">
        <x:v>Repair in Progress</x:v>
      </x:c>
      <x:c r="H402" s="19" t="str">
        <x:v>Pre Delivery</x:v>
      </x:c>
      <x:c r="I402" s="37" t="n">
        <x:v>46192</x:v>
      </x:c>
      <x:c r="J402" s="37" t="n">
        <x:v>46192</x:v>
      </x:c>
      <x:c r="K402" s="19" t="str">
        <x:v>Lesiure Lion-New Castle</x:v>
      </x:c>
      <x:c r="L402" s="19" t="str">
        <x:v>Z005</x:v>
      </x:c>
      <x:c r="M402" s="19" t="str">
        <x:v>Pre Delivery Warranty Claims</x:v>
      </x:c>
      <x:c r="N402" s="37" t="n">
        <x:v>46192</x:v>
      </x:c>
      <x:c r="O402" s="37"/>
      <x:c r="P402" s="34" t="n">
        <x:v>0</x:v>
      </x:c>
      <x:c r="Q402" s="37" t="n">
        <x:v>46192.258125</x:v>
      </x:c>
    </x:row>
    <x:row r="403">
      <x:c r="A403" s="22" t="n">
        <x:v>36630</x:v>
      </x:c>
      <x:c r="B403" s="28" t="n">
        <x:v>445</x:v>
      </x:c>
      <x:c r="C403" s="28"/>
      <x:c r="D403" s="31" t="str">
        <x:f>IF(OR(ISBLANK(B403),ISBLANK(C403),B403=0),"",(C403-B403)/B403)</x:f>
      </x:c>
      <x:c r="E403" s="22" t="str">
        <x:f>IF(ISBLANK(C403),"AmountIncludingTax缺失",IF(ABS(B403-C403)&lt;0.005,"一致","不一致"))</x:f>
        <x:v>AmountIncludingTax缺失</x:v>
      </x:c>
      <x:c r="F403" s="19" t="str">
        <x:v>approved</x:v>
      </x:c>
      <x:c r="G403" s="19" t="str">
        <x:v>Partially Picked</x:v>
      </x:c>
      <x:c r="H403" s="19" t="str">
        <x:v>In Field</x:v>
      </x:c>
      <x:c r="I403" s="37" t="n">
        <x:v>46197</x:v>
      </x:c>
      <x:c r="J403" s="37" t="n">
        <x:v>46197</x:v>
      </x:c>
      <x:c r="K403" s="19" t="str">
        <x:v>Regent RV Pty Ltd</x:v>
      </x:c>
      <x:c r="L403" s="19" t="str">
        <x:v>Z006</x:v>
      </x:c>
      <x:c r="M403" s="19" t="str">
        <x:v>In Field Warranty Claims</x:v>
      </x:c>
      <x:c r="N403" s="37" t="n">
        <x:v>46192</x:v>
      </x:c>
      <x:c r="O403" s="37"/>
      <x:c r="P403" s="34" t="n">
        <x:v>0</x:v>
      </x:c>
      <x:c r="Q403" s="37" t="n">
        <x:v>46196.90084490741</x:v>
      </x:c>
    </x:row>
    <x:row r="404">
      <x:c r="A404" s="22" t="n">
        <x:v>36628</x:v>
      </x:c>
      <x:c r="B404" s="28" t="n">
        <x:v>337.5</x:v>
      </x:c>
      <x:c r="C404" s="28"/>
      <x:c r="D404" s="31" t="str">
        <x:f>IF(OR(ISBLANK(B404),ISBLANK(C404),B404=0),"",(C404-B404)/B404)</x:f>
      </x:c>
      <x:c r="E404" s="22" t="str">
        <x:f>IF(ISBLANK(C404),"AmountIncludingTax缺失",IF(ABS(B404-C404)&lt;0.005,"一致","不一致"))</x:f>
        <x:v>AmountIncludingTax缺失</x:v>
      </x:c>
      <x:c r="F404" s="19" t="str">
        <x:v>approved</x:v>
      </x:c>
      <x:c r="G404" s="19" t="str">
        <x:v>Sales Order Approved</x:v>
      </x:c>
      <x:c r="H404" s="19" t="str">
        <x:v>In Field</x:v>
      </x:c>
      <x:c r="I404" s="37" t="n">
        <x:v>46199</x:v>
      </x:c>
      <x:c r="J404" s="37" t="n">
        <x:v>46199</x:v>
      </x:c>
      <x:c r="K404" s="19" t="str">
        <x:v>Dario Caravans -St.Marys</x:v>
      </x:c>
      <x:c r="L404" s="19" t="str">
        <x:v>Z006</x:v>
      </x:c>
      <x:c r="M404" s="19" t="str">
        <x:v>In Field Warranty Claims</x:v>
      </x:c>
      <x:c r="N404" s="37" t="n">
        <x:v>46192</x:v>
      </x:c>
      <x:c r="O404" s="37"/>
      <x:c r="P404" s="34" t="n">
        <x:v>0</x:v>
      </x:c>
      <x:c r="Q404" s="37" t="n">
        <x:v>46198.90269675926</x:v>
      </x:c>
    </x:row>
    <x:row r="405">
      <x:c r="A405" s="22" t="n">
        <x:v>36626</x:v>
      </x:c>
      <x:c r="B405" s="28" t="n">
        <x:v>2221.2</x:v>
      </x:c>
      <x:c r="C405" s="28"/>
      <x:c r="D405" s="31" t="str">
        <x:f>IF(OR(ISBLANK(B405),ISBLANK(C405),B405=0),"",(C405-B405)/B405)</x:f>
      </x:c>
      <x:c r="E405" s="22" t="str">
        <x:f>IF(ISBLANK(C405),"AmountIncludingTax缺失",IF(ABS(B405-C405)&lt;0.005,"一致","不一致"))</x:f>
        <x:v>AmountIncludingTax缺失</x:v>
      </x:c>
      <x:c r="F405" s="19" t="str">
        <x:v>approved</x:v>
      </x:c>
      <x:c r="G405" s="19" t="str">
        <x:v>Repair in Progress</x:v>
      </x:c>
      <x:c r="H405" s="19" t="str">
        <x:v>In Field</x:v>
      </x:c>
      <x:c r="I405" s="37" t="n">
        <x:v>46199</x:v>
      </x:c>
      <x:c r="J405" s="37" t="n">
        <x:v>46199</x:v>
      </x:c>
      <x:c r="K405" s="19" t="str">
        <x:v>Green RV - Slacks Creek</x:v>
      </x:c>
      <x:c r="L405" s="19" t="str">
        <x:v>Z006</x:v>
      </x:c>
      <x:c r="M405" s="19" t="str">
        <x:v>In Field Warranty Claims</x:v>
      </x:c>
      <x:c r="N405" s="37" t="n">
        <x:v>46192</x:v>
      </x:c>
      <x:c r="O405" s="37"/>
      <x:c r="P405" s="34" t="n">
        <x:v>2443.32</x:v>
      </x:c>
      <x:c r="Q405" s="37" t="n">
        <x:v>46198.95935185185</x:v>
      </x:c>
    </x:row>
    <x:row r="406">
      <x:c r="A406" s="22" t="n">
        <x:v>36624</x:v>
      </x:c>
      <x:c r="B406" s="28" t="n">
        <x:v>762.5</x:v>
      </x:c>
      <x:c r="C406" s="28"/>
      <x:c r="D406" s="31" t="str">
        <x:f>IF(OR(ISBLANK(B406),ISBLANK(C406),B406=0),"",(C406-B406)/B406)</x:f>
      </x:c>
      <x:c r="E406" s="22" t="str">
        <x:f>IF(ISBLANK(C406),"AmountIncludingTax缺失",IF(ABS(B406-C406)&lt;0.005,"一致","不一致"))</x:f>
        <x:v>AmountIncludingTax缺失</x:v>
      </x:c>
      <x:c r="F406" s="19" t="str">
        <x:v>approved</x:v>
      </x:c>
      <x:c r="G406" s="19" t="str">
        <x:v>Sales Order Approved</x:v>
      </x:c>
      <x:c r="H406" s="19" t="str">
        <x:v>Pre Delivery</x:v>
      </x:c>
      <x:c r="I406" s="37" t="n">
        <x:v>46192</x:v>
      </x:c>
      <x:c r="J406" s="37" t="n">
        <x:v>46192</x:v>
      </x:c>
      <x:c r="K406" s="19" t="str">
        <x:v>Green RV - Slacks Creek</x:v>
      </x:c>
      <x:c r="L406" s="19" t="str">
        <x:v>Z005</x:v>
      </x:c>
      <x:c r="M406" s="19" t="str">
        <x:v>Pre Delivery Warranty Claims</x:v>
      </x:c>
      <x:c r="N406" s="37" t="n">
        <x:v>46192</x:v>
      </x:c>
      <x:c r="O406" s="37"/>
      <x:c r="P406" s="34" t="n">
        <x:v>0</x:v>
      </x:c>
      <x:c r="Q406" s="37" t="n">
        <x:v>46192.25766203704</x:v>
      </x:c>
    </x:row>
    <x:row r="407">
      <x:c r="A407" s="22" t="n">
        <x:v>36621</x:v>
      </x:c>
      <x:c r="B407" s="28" t="n">
        <x:v>728.75</x:v>
      </x:c>
      <x:c r="C407" s="28"/>
      <x:c r="D407" s="31" t="str">
        <x:f>IF(OR(ISBLANK(B407),ISBLANK(C407),B407=0),"",(C407-B407)/B407)</x:f>
      </x:c>
      <x:c r="E407" s="22" t="str">
        <x:f>IF(ISBLANK(C407),"AmountIncludingTax缺失",IF(ABS(B407-C407)&lt;0.005,"一致","不一致"))</x:f>
        <x:v>AmountIncludingTax缺失</x:v>
      </x:c>
      <x:c r="F407" s="19" t="str">
        <x:v>approved</x:v>
      </x:c>
      <x:c r="G407" s="19" t="str">
        <x:v>Sales Order Approved</x:v>
      </x:c>
      <x:c r="H407" s="19" t="str">
        <x:v>Pre Delivery</x:v>
      </x:c>
      <x:c r="I407" s="37" t="n">
        <x:v>46192</x:v>
      </x:c>
      <x:c r="J407" s="37" t="n">
        <x:v>46192</x:v>
      </x:c>
      <x:c r="K407" s="19" t="str">
        <x:v>Green RV - Slacks Creek</x:v>
      </x:c>
      <x:c r="L407" s="19" t="str">
        <x:v>Z005</x:v>
      </x:c>
      <x:c r="M407" s="19" t="str">
        <x:v>Pre Delivery Warranty Claims</x:v>
      </x:c>
      <x:c r="N407" s="37" t="n">
        <x:v>46192</x:v>
      </x:c>
      <x:c r="O407" s="37"/>
      <x:c r="P407" s="34" t="n">
        <x:v>0</x:v>
      </x:c>
      <x:c r="Q407" s="37" t="n">
        <x:v>46192.256736111114</x:v>
      </x:c>
    </x:row>
    <x:row r="408">
      <x:c r="A408" s="22" t="n">
        <x:v>36615</x:v>
      </x:c>
      <x:c r="B408" s="28" t="n">
        <x:v>540</x:v>
      </x:c>
      <x:c r="C408" s="28"/>
      <x:c r="D408" s="31" t="str">
        <x:f>IF(OR(ISBLANK(B408),ISBLANK(C408),B408=0),"",(C408-B408)/B408)</x:f>
      </x:c>
      <x:c r="E408" s="22" t="str">
        <x:f>IF(ISBLANK(C408),"AmountIncludingTax缺失",IF(ABS(B408-C408)&lt;0.005,"一致","不一致"))</x:f>
        <x:v>AmountIncludingTax缺失</x:v>
      </x:c>
      <x:c r="F408" s="19" t="str">
        <x:v>approved</x:v>
      </x:c>
      <x:c r="G408" s="19" t="str">
        <x:v>Sales Order Approved</x:v>
      </x:c>
      <x:c r="H408" s="19" t="str">
        <x:v>Pre Delivery</x:v>
      </x:c>
      <x:c r="I408" s="37" t="n">
        <x:v>46196</x:v>
      </x:c>
      <x:c r="J408" s="37" t="n">
        <x:v>46196</x:v>
      </x:c>
      <x:c r="K408" s="19" t="str">
        <x:v>Destiny RV - South Australia</x:v>
      </x:c>
      <x:c r="L408" s="19" t="str">
        <x:v>Z005</x:v>
      </x:c>
      <x:c r="M408" s="19" t="str">
        <x:v>Pre Delivery Warranty Claims</x:v>
      </x:c>
      <x:c r="N408" s="37" t="n">
        <x:v>46192</x:v>
      </x:c>
      <x:c r="O408" s="37"/>
      <x:c r="P408" s="34" t="n">
        <x:v>0</x:v>
      </x:c>
      <x:c r="Q408" s="37" t="n">
        <x:v>46196.00537037037</x:v>
      </x:c>
    </x:row>
    <x:row r="409">
      <x:c r="A409" s="22" t="n">
        <x:v>36610</x:v>
      </x:c>
      <x:c r="B409" s="28" t="n">
        <x:v>728.75</x:v>
      </x:c>
      <x:c r="C409" s="28"/>
      <x:c r="D409" s="31" t="str">
        <x:f>IF(OR(ISBLANK(B409),ISBLANK(C409),B409=0),"",(C409-B409)/B409)</x:f>
      </x:c>
      <x:c r="E409" s="22" t="str">
        <x:f>IF(ISBLANK(C409),"AmountIncludingTax缺失",IF(ABS(B409-C409)&lt;0.005,"一致","不一致"))</x:f>
        <x:v>AmountIncludingTax缺失</x:v>
      </x:c>
      <x:c r="F409" s="19" t="str">
        <x:v>approved</x:v>
      </x:c>
      <x:c r="G409" s="19" t="str">
        <x:v>Sales Order Approved</x:v>
      </x:c>
      <x:c r="H409" s="19" t="str">
        <x:v>Pre Delivery</x:v>
      </x:c>
      <x:c r="I409" s="37" t="n">
        <x:v>46192</x:v>
      </x:c>
      <x:c r="J409" s="37" t="n">
        <x:v>46192</x:v>
      </x:c>
      <x:c r="K409" s="19" t="str">
        <x:v>Green RV - Slacks Creek</x:v>
      </x:c>
      <x:c r="L409" s="19" t="str">
        <x:v>Z005</x:v>
      </x:c>
      <x:c r="M409" s="19" t="str">
        <x:v>Pre Delivery Warranty Claims</x:v>
      </x:c>
      <x:c r="N409" s="37" t="n">
        <x:v>46192</x:v>
      </x:c>
      <x:c r="O409" s="37"/>
      <x:c r="P409" s="34" t="n">
        <x:v>0</x:v>
      </x:c>
      <x:c r="Q409" s="37" t="n">
        <x:v>46192.25655092593</x:v>
      </x:c>
    </x:row>
    <x:row r="410">
      <x:c r="A410" s="22" t="n">
        <x:v>36609</x:v>
      </x:c>
      <x:c r="B410" s="28" t="n">
        <x:v>927.27</x:v>
      </x:c>
      <x:c r="C410" s="28"/>
      <x:c r="D410" s="31" t="str">
        <x:f>IF(OR(ISBLANK(B410),ISBLANK(C410),B410=0),"",(C410-B410)/B410)</x:f>
      </x:c>
      <x:c r="E410" s="22" t="str">
        <x:f>IF(ISBLANK(C410),"AmountIncludingTax缺失",IF(ABS(B410-C410)&lt;0.005,"一致","不一致"))</x:f>
        <x:v>AmountIncludingTax缺失</x:v>
      </x:c>
      <x:c r="F410" s="19" t="str">
        <x:v>approved</x:v>
      </x:c>
      <x:c r="G410" s="19" t="str">
        <x:v>Repairer Invoiced Processed</x:v>
      </x:c>
      <x:c r="H410" s="19" t="str">
        <x:v>In Field</x:v>
      </x:c>
      <x:c r="I410" s="37" t="n">
        <x:v>46204</x:v>
      </x:c>
      <x:c r="J410" s="37" t="n">
        <x:v>46204</x:v>
      </x:c>
      <x:c r="K410" s="19" t="str">
        <x:v>Green RV - Forest Glen</x:v>
      </x:c>
      <x:c r="L410" s="19" t="str">
        <x:v>Z006</x:v>
      </x:c>
      <x:c r="M410" s="19" t="str">
        <x:v>In Field Warranty Claims</x:v>
      </x:c>
      <x:c r="N410" s="37" t="n">
        <x:v>46192</x:v>
      </x:c>
      <x:c r="O410" s="37"/>
      <x:c r="P410" s="34" t="n">
        <x:v>1020</x:v>
      </x:c>
      <x:c r="Q410" s="37" t="n">
        <x:v>46203.884201388886</x:v>
      </x:c>
    </x:row>
    <x:row r="411">
      <x:c r="A411" s="22" t="n">
        <x:v>36608</x:v>
      </x:c>
      <x:c r="B411" s="28" t="n">
        <x:v>877.5</x:v>
      </x:c>
      <x:c r="C411" s="28"/>
      <x:c r="D411" s="31" t="str">
        <x:f>IF(OR(ISBLANK(B411),ISBLANK(C411),B411=0),"",(C411-B411)/B411)</x:f>
      </x:c>
      <x:c r="E411" s="22" t="str">
        <x:f>IF(ISBLANK(C411),"AmountIncludingTax缺失",IF(ABS(B411-C411)&lt;0.005,"一致","不一致"))</x:f>
        <x:v>AmountIncludingTax缺失</x:v>
      </x:c>
      <x:c r="F411" s="19" t="str">
        <x:v>approved</x:v>
      </x:c>
      <x:c r="G411" s="19" t="str">
        <x:v>Repairer Invoiced Processed</x:v>
      </x:c>
      <x:c r="H411" s="19" t="str">
        <x:v>Pre Delivery</x:v>
      </x:c>
      <x:c r="I411" s="37" t="n">
        <x:v>46195</x:v>
      </x:c>
      <x:c r="J411" s="37" t="n">
        <x:v>46195</x:v>
      </x:c>
      <x:c r="K411" s="19" t="str">
        <x:v>Green RV - Slacks Creek</x:v>
      </x:c>
      <x:c r="L411" s="19" t="str">
        <x:v>Z005</x:v>
      </x:c>
      <x:c r="M411" s="19" t="str">
        <x:v>Pre Delivery Warranty Claims</x:v>
      </x:c>
      <x:c r="N411" s="37" t="n">
        <x:v>46192</x:v>
      </x:c>
      <x:c r="O411" s="37"/>
      <x:c r="P411" s="34" t="n">
        <x:v>0</x:v>
      </x:c>
      <x:c r="Q411" s="37" t="n">
        <x:v>46195.21431712963</x:v>
      </x:c>
    </x:row>
    <x:row r="412">
      <x:c r="A412" s="22" t="n">
        <x:v>36606</x:v>
      </x:c>
      <x:c r="B412" s="28" t="n">
        <x:v>810</x:v>
      </x:c>
      <x:c r="C412" s="28"/>
      <x:c r="D412" s="31" t="str">
        <x:f>IF(OR(ISBLANK(B412),ISBLANK(C412),B412=0),"",(C412-B412)/B412)</x:f>
      </x:c>
      <x:c r="E412" s="22" t="str">
        <x:f>IF(ISBLANK(C412),"AmountIncludingTax缺失",IF(ABS(B412-C412)&lt;0.005,"一致","不一致"))</x:f>
        <x:v>AmountIncludingTax缺失</x:v>
      </x:c>
      <x:c r="F412" s="19" t="str">
        <x:v>approved</x:v>
      </x:c>
      <x:c r="G412" s="19" t="str">
        <x:v>Partially Picked</x:v>
      </x:c>
      <x:c r="H412" s="19" t="str">
        <x:v>Pre Delivery</x:v>
      </x:c>
      <x:c r="I412" s="37" t="n">
        <x:v>46202</x:v>
      </x:c>
      <x:c r="J412" s="37" t="n">
        <x:v>46202</x:v>
      </x:c>
      <x:c r="K412" s="19" t="str">
        <x:v>QCCC - Gympie</x:v>
      </x:c>
      <x:c r="L412" s="19" t="str">
        <x:v>Z005</x:v>
      </x:c>
      <x:c r="M412" s="19" t="str">
        <x:v>Pre Delivery Warranty Claims</x:v>
      </x:c>
      <x:c r="N412" s="37" t="n">
        <x:v>46192</x:v>
      </x:c>
      <x:c r="O412" s="37"/>
      <x:c r="P412" s="34" t="n">
        <x:v>0</x:v>
      </x:c>
      <x:c r="Q412" s="37" t="n">
        <x:v>46202.182442129626</x:v>
      </x:c>
    </x:row>
    <x:row r="413">
      <x:c r="A413" s="22" t="n">
        <x:v>36604</x:v>
      </x:c>
      <x:c r="B413" s="28" t="n">
        <x:v>1066.25</x:v>
      </x:c>
      <x:c r="C413" s="28"/>
      <x:c r="D413" s="31" t="str">
        <x:f>IF(OR(ISBLANK(B413),ISBLANK(C413),B413=0),"",(C413-B413)/B413)</x:f>
      </x:c>
      <x:c r="E413" s="22" t="str">
        <x:f>IF(ISBLANK(C413),"AmountIncludingTax缺失",IF(ABS(B413-C413)&lt;0.005,"一致","不一致"))</x:f>
        <x:v>AmountIncludingTax缺失</x:v>
      </x:c>
      <x:c r="F413" s="19" t="str">
        <x:v>approved</x:v>
      </x:c>
      <x:c r="G413" s="19" t="str">
        <x:v>Sales Order Approved</x:v>
      </x:c>
      <x:c r="H413" s="19" t="str">
        <x:v>Pre Delivery</x:v>
      </x:c>
      <x:c r="I413" s="37" t="n">
        <x:v>46195</x:v>
      </x:c>
      <x:c r="J413" s="37" t="n">
        <x:v>46195</x:v>
      </x:c>
      <x:c r="K413" s="19" t="str">
        <x:v>Green RV - Slacks Creek</x:v>
      </x:c>
      <x:c r="L413" s="19" t="str">
        <x:v>Z005</x:v>
      </x:c>
      <x:c r="M413" s="19" t="str">
        <x:v>Pre Delivery Warranty Claims</x:v>
      </x:c>
      <x:c r="N413" s="37" t="n">
        <x:v>46191</x:v>
      </x:c>
      <x:c r="O413" s="37"/>
      <x:c r="P413" s="34" t="n">
        <x:v>0</x:v>
      </x:c>
      <x:c r="Q413" s="37" t="n">
        <x:v>46195.21493055556</x:v>
      </x:c>
    </x:row>
    <x:row r="414">
      <x:c r="A414" s="22" t="n">
        <x:v>36603</x:v>
      </x:c>
      <x:c r="B414" s="28" t="n">
        <x:v>145</x:v>
      </x:c>
      <x:c r="C414" s="28" t="n">
        <x:v>159.5</x:v>
      </x:c>
      <x:c r="D414" s="31" t="n">
        <x:f>IF(OR(ISBLANK(B414),ISBLANK(C414),B414=0),"",(C414-B414)/B414)</x:f>
        <x:v>0.1</x:v>
      </x:c>
      <x:c r="E414" s="22" t="str">
        <x:f>IF(ISBLANK(C414),"AmountIncludingTax缺失",IF(ABS(B414-C414)&lt;0.005,"一致","不一致"))</x:f>
        <x:v>不一致</x:v>
      </x:c>
      <x:c r="F414" s="19" t="str">
        <x:v>approved</x:v>
      </x:c>
      <x:c r="G414" s="19" t="str">
        <x:v>Repairer Invoiced Processed</x:v>
      </x:c>
      <x:c r="H414" s="19" t="str">
        <x:v>In Field</x:v>
      </x:c>
      <x:c r="I414" s="37" t="n">
        <x:v>46192</x:v>
      </x:c>
      <x:c r="J414" s="37" t="n">
        <x:v>46192</x:v>
      </x:c>
      <x:c r="K414" s="19" t="str">
        <x:v>Regent RV - Townsville</x:v>
      </x:c>
      <x:c r="L414" s="19" t="str">
        <x:v>Z006</x:v>
      </x:c>
      <x:c r="M414" s="19" t="str">
        <x:v>In Field Warranty Claims</x:v>
      </x:c>
      <x:c r="N414" s="37" t="n">
        <x:v>46191</x:v>
      </x:c>
      <x:c r="O414" s="37"/>
      <x:c r="P414" s="34" t="n">
        <x:v>159.5</x:v>
      </x:c>
      <x:c r="Q414" s="37" t="n">
        <x:v>46192.018379629626</x:v>
      </x:c>
    </x:row>
    <x:row r="415">
      <x:c r="A415" s="22" t="n">
        <x:v>36602</x:v>
      </x:c>
      <x:c r="B415" s="28" t="n">
        <x:v>661.25</x:v>
      </x:c>
      <x:c r="C415" s="28"/>
      <x:c r="D415" s="31" t="str">
        <x:f>IF(OR(ISBLANK(B415),ISBLANK(C415),B415=0),"",(C415-B415)/B415)</x:f>
      </x:c>
      <x:c r="E415" s="22" t="str">
        <x:f>IF(ISBLANK(C415),"AmountIncludingTax缺失",IF(ABS(B415-C415)&lt;0.005,"一致","不一致"))</x:f>
        <x:v>AmountIncludingTax缺失</x:v>
      </x:c>
      <x:c r="F415" s="19" t="str">
        <x:v>approved</x:v>
      </x:c>
      <x:c r="G415" s="19" t="str">
        <x:v>Repairer Invoiced Processed</x:v>
      </x:c>
      <x:c r="H415" s="19" t="str">
        <x:v>Pre Delivery</x:v>
      </x:c>
      <x:c r="I415" s="37" t="n">
        <x:v>46195</x:v>
      </x:c>
      <x:c r="J415" s="37" t="n">
        <x:v>46195</x:v>
      </x:c>
      <x:c r="K415" s="19" t="str">
        <x:v>Green RV - Slacks Creek</x:v>
      </x:c>
      <x:c r="L415" s="19" t="str">
        <x:v>Z005</x:v>
      </x:c>
      <x:c r="M415" s="19" t="str">
        <x:v>Pre Delivery Warranty Claims</x:v>
      </x:c>
      <x:c r="N415" s="37" t="n">
        <x:v>46191</x:v>
      </x:c>
      <x:c r="O415" s="37"/>
      <x:c r="P415" s="34" t="n">
        <x:v>0</x:v>
      </x:c>
      <x:c r="Q415" s="37" t="n">
        <x:v>46195.215833333335</x:v>
      </x:c>
    </x:row>
    <x:row r="416">
      <x:c r="A416" s="22" t="n">
        <x:v>36593</x:v>
      </x:c>
      <x:c r="B416" s="28" t="n">
        <x:v>1433.75</x:v>
      </x:c>
      <x:c r="C416" s="28"/>
      <x:c r="D416" s="31" t="str">
        <x:f>IF(OR(ISBLANK(B416),ISBLANK(C416),B416=0),"",(C416-B416)/B416)</x:f>
      </x:c>
      <x:c r="E416" s="22" t="str">
        <x:f>IF(ISBLANK(C416),"AmountIncludingTax缺失",IF(ABS(B416-C416)&lt;0.005,"一致","不一致"))</x:f>
        <x:v>AmountIncludingTax缺失</x:v>
      </x:c>
      <x:c r="F416" s="19" t="str">
        <x:v>approved</x:v>
      </x:c>
      <x:c r="G416" s="19" t="str">
        <x:v>Partially Picked</x:v>
      </x:c>
      <x:c r="H416" s="19" t="str">
        <x:v>In Field</x:v>
      </x:c>
      <x:c r="I416" s="37" t="n">
        <x:v>46192</x:v>
      </x:c>
      <x:c r="J416" s="37" t="n">
        <x:v>46192</x:v>
      </x:c>
      <x:c r="K416" s="19" t="str">
        <x:v>ABCO Caravans - Boambee Valley</x:v>
      </x:c>
      <x:c r="L416" s="19" t="str">
        <x:v>Z006</x:v>
      </x:c>
      <x:c r="M416" s="19" t="str">
        <x:v>In Field Warranty Claims</x:v>
      </x:c>
      <x:c r="N416" s="37" t="n">
        <x:v>46191</x:v>
      </x:c>
      <x:c r="O416" s="37"/>
      <x:c r="P416" s="34" t="n">
        <x:v>0</x:v>
      </x:c>
      <x:c r="Q416" s="37" t="n">
        <x:v>46192.11347222222</x:v>
      </x:c>
    </x:row>
    <x:row r="417">
      <x:c r="A417" s="22" t="n">
        <x:v>36592</x:v>
      </x:c>
      <x:c r="B417" s="28" t="n">
        <x:v>173.75</x:v>
      </x:c>
      <x:c r="C417" s="28"/>
      <x:c r="D417" s="31" t="str">
        <x:f>IF(OR(ISBLANK(B417),ISBLANK(C417),B417=0),"",(C417-B417)/B417)</x:f>
      </x:c>
      <x:c r="E417" s="22" t="str">
        <x:f>IF(ISBLANK(C417),"AmountIncludingTax缺失",IF(ABS(B417-C417)&lt;0.005,"一致","不一致"))</x:f>
        <x:v>AmountIncludingTax缺失</x:v>
      </x:c>
      <x:c r="F417" s="19" t="str">
        <x:v>approved</x:v>
      </x:c>
      <x:c r="G417" s="19" t="str">
        <x:v>Partially Picked</x:v>
      </x:c>
      <x:c r="H417" s="19" t="str">
        <x:v>In Field</x:v>
      </x:c>
      <x:c r="I417" s="37" t="n">
        <x:v>46192</x:v>
      </x:c>
      <x:c r="J417" s="37" t="n">
        <x:v>46192</x:v>
      </x:c>
      <x:c r="K417" s="19" t="str">
        <x:v>Destiny RV - South Australia</x:v>
      </x:c>
      <x:c r="L417" s="19" t="str">
        <x:v>Z006</x:v>
      </x:c>
      <x:c r="M417" s="19" t="str">
        <x:v>In Field Warranty Claims</x:v>
      </x:c>
      <x:c r="N417" s="37" t="n">
        <x:v>46191</x:v>
      </x:c>
      <x:c r="O417" s="37"/>
      <x:c r="P417" s="34" t="n">
        <x:v>0</x:v>
      </x:c>
      <x:c r="Q417" s="37" t="n">
        <x:v>46192.07850694445</x:v>
      </x:c>
    </x:row>
    <x:row r="418">
      <x:c r="A418" s="22" t="n">
        <x:v>36591</x:v>
      </x:c>
      <x:c r="B418" s="28" t="n">
        <x:v>72.5</x:v>
      </x:c>
      <x:c r="C418" s="28"/>
      <x:c r="D418" s="31" t="str">
        <x:f>IF(OR(ISBLANK(B418),ISBLANK(C418),B418=0),"",(C418-B418)/B418)</x:f>
      </x:c>
      <x:c r="E418" s="22" t="str">
        <x:f>IF(ISBLANK(C418),"AmountIncludingTax缺失",IF(ABS(B418-C418)&lt;0.005,"一致","不一致"))</x:f>
        <x:v>AmountIncludingTax缺失</x:v>
      </x:c>
      <x:c r="F418" s="19" t="str">
        <x:v>approved</x:v>
      </x:c>
      <x:c r="G418" s="19" t="str">
        <x:v>Sales Order Approved</x:v>
      </x:c>
      <x:c r="H418" s="19" t="str">
        <x:v>In Field</x:v>
      </x:c>
      <x:c r="I418" s="37" t="n">
        <x:v>46192</x:v>
      </x:c>
      <x:c r="J418" s="37" t="n">
        <x:v>46192</x:v>
      </x:c>
      <x:c r="K418" s="19" t="str">
        <x:v>Regent RV - Perth</x:v>
      </x:c>
      <x:c r="L418" s="19" t="str">
        <x:v>Z006</x:v>
      </x:c>
      <x:c r="M418" s="19" t="str">
        <x:v>In Field Warranty Claims</x:v>
      </x:c>
      <x:c r="N418" s="37" t="n">
        <x:v>46191</x:v>
      </x:c>
      <x:c r="O418" s="37"/>
      <x:c r="P418" s="34" t="n">
        <x:v>0</x:v>
      </x:c>
      <x:c r="Q418" s="37" t="n">
        <x:v>46192.06675925926</x:v>
      </x:c>
    </x:row>
    <x:row r="419">
      <x:c r="A419" s="22" t="n">
        <x:v>36588</x:v>
      </x:c>
      <x:c r="B419" s="28" t="n">
        <x:v>1502.5</x:v>
      </x:c>
      <x:c r="C419" s="28"/>
      <x:c r="D419" s="31" t="str">
        <x:f>IF(OR(ISBLANK(B419),ISBLANK(C419),B419=0),"",(C419-B419)/B419)</x:f>
      </x:c>
      <x:c r="E419" s="22" t="str">
        <x:f>IF(ISBLANK(C419),"AmountIncludingTax缺失",IF(ABS(B419-C419)&lt;0.005,"一致","不一致"))</x:f>
        <x:v>AmountIncludingTax缺失</x:v>
      </x:c>
      <x:c r="F419" s="19" t="str">
        <x:v>approved</x:v>
      </x:c>
      <x:c r="G419" s="19" t="str">
        <x:v>Sales Order Approved</x:v>
      </x:c>
      <x:c r="H419" s="19" t="str">
        <x:v>In Field</x:v>
      </x:c>
      <x:c r="I419" s="37" t="n">
        <x:v>46204</x:v>
      </x:c>
      <x:c r="J419" s="37" t="n">
        <x:v>46204</x:v>
      </x:c>
      <x:c r="K419" s="19" t="str">
        <x:v>Regent RV - Perth</x:v>
      </x:c>
      <x:c r="L419" s="19" t="str">
        <x:v>Z006</x:v>
      </x:c>
      <x:c r="M419" s="19" t="str">
        <x:v>In Field Warranty Claims</x:v>
      </x:c>
      <x:c r="N419" s="37" t="n">
        <x:v>46195</x:v>
      </x:c>
      <x:c r="O419" s="37"/>
      <x:c r="P419" s="34" t="n">
        <x:v>0</x:v>
      </x:c>
      <x:c r="Q419" s="37" t="n">
        <x:v>46204.244108796294</x:v>
      </x:c>
    </x:row>
    <x:row r="420">
      <x:c r="A420" s="22" t="n">
        <x:v>36587</x:v>
      </x:c>
      <x:c r="B420" s="28" t="n">
        <x:v>45.45</x:v>
      </x:c>
      <x:c r="C420" s="28" t="n">
        <x:v>50</x:v>
      </x:c>
      <x:c r="D420" s="31" t="n">
        <x:f>IF(OR(ISBLANK(B420),ISBLANK(C420),B420=0),"",(C420-B420)/B420)</x:f>
        <x:v>0.10011001100110004</x:v>
      </x:c>
      <x:c r="E420" s="22" t="str">
        <x:f>IF(ISBLANK(C420),"AmountIncludingTax缺失",IF(ABS(B420-C420)&lt;0.005,"一致","不一致"))</x:f>
        <x:v>不一致</x:v>
      </x:c>
      <x:c r="F420" s="19" t="str">
        <x:v>approved</x:v>
      </x:c>
      <x:c r="G420" s="19" t="str">
        <x:v>Repairer Invoiced Processed</x:v>
      </x:c>
      <x:c r="H420" s="19" t="str">
        <x:v>In Field</x:v>
      </x:c>
      <x:c r="I420" s="37" t="n">
        <x:v>46197</x:v>
      </x:c>
      <x:c r="J420" s="37" t="n">
        <x:v>46197</x:v>
      </x:c>
      <x:c r="K420" s="19" t="str">
        <x:v>Newcastle RV Super Centre - Beresfield</x:v>
      </x:c>
      <x:c r="L420" s="19" t="str">
        <x:v>Z006</x:v>
      </x:c>
      <x:c r="M420" s="19" t="str">
        <x:v>In Field Warranty Claims</x:v>
      </x:c>
      <x:c r="N420" s="37" t="n">
        <x:v>46194</x:v>
      </x:c>
      <x:c r="O420" s="37"/>
      <x:c r="P420" s="34" t="n">
        <x:v>50</x:v>
      </x:c>
      <x:c r="Q420" s="37" t="n">
        <x:v>46197.08721064815</x:v>
      </x:c>
    </x:row>
    <x:row r="421">
      <x:c r="A421" s="22" t="n">
        <x:v>36584</x:v>
      </x:c>
      <x:c r="B421" s="28" t="n">
        <x:v>700</x:v>
      </x:c>
      <x:c r="C421" s="28" t="n">
        <x:v>770</x:v>
      </x:c>
      <x:c r="D421" s="31" t="n">
        <x:f>IF(OR(ISBLANK(B421),ISBLANK(C421),B421=0),"",(C421-B421)/B421)</x:f>
        <x:v>0.1</x:v>
      </x:c>
      <x:c r="E421" s="22" t="str">
        <x:f>IF(ISBLANK(C421),"AmountIncludingTax缺失",IF(ABS(B421-C421)&lt;0.005,"一致","不一致"))</x:f>
        <x:v>不一致</x:v>
      </x:c>
      <x:c r="F421" s="19" t="str">
        <x:v>approved</x:v>
      </x:c>
      <x:c r="G421" s="19" t="str">
        <x:v>Repairer Invoiced Processed</x:v>
      </x:c>
      <x:c r="H421" s="19" t="str">
        <x:v>In Field</x:v>
      </x:c>
      <x:c r="I421" s="37" t="n">
        <x:v>46197</x:v>
      </x:c>
      <x:c r="J421" s="37" t="n">
        <x:v>46197</x:v>
      </x:c>
      <x:c r="K421" s="19" t="str">
        <x:v>Regent RV - Frankston</x:v>
      </x:c>
      <x:c r="L421" s="19" t="str">
        <x:v>Z006</x:v>
      </x:c>
      <x:c r="M421" s="19" t="str">
        <x:v>In Field Warranty Claims</x:v>
      </x:c>
      <x:c r="N421" s="37" t="n">
        <x:v>46192</x:v>
      </x:c>
      <x:c r="O421" s="37"/>
      <x:c r="P421" s="34" t="n">
        <x:v>770</x:v>
      </x:c>
      <x:c r="Q421" s="37" t="n">
        <x:v>46197.25042824074</x:v>
      </x:c>
    </x:row>
    <x:row r="422">
      <x:c r="A422" s="22" t="n">
        <x:v>36583</x:v>
      </x:c>
      <x:c r="B422" s="28" t="n">
        <x:v>270</x:v>
      </x:c>
      <x:c r="C422" s="28" t="n">
        <x:v>297</x:v>
      </x:c>
      <x:c r="D422" s="31" t="n">
        <x:f>IF(OR(ISBLANK(B422),ISBLANK(C422),B422=0),"",(C422-B422)/B422)</x:f>
        <x:v>0.1</x:v>
      </x:c>
      <x:c r="E422" s="22" t="str">
        <x:f>IF(ISBLANK(C422),"AmountIncludingTax缺失",IF(ABS(B422-C422)&lt;0.005,"一致","不一致"))</x:f>
        <x:v>不一致</x:v>
      </x:c>
      <x:c r="F422" s="19" t="str">
        <x:v>approved</x:v>
      </x:c>
      <x:c r="G422" s="19" t="str">
        <x:v>Repair in Progress</x:v>
      </x:c>
      <x:c r="H422" s="19" t="str">
        <x:v>In Field</x:v>
      </x:c>
      <x:c r="I422" s="37" t="n">
        <x:v>46203</x:v>
      </x:c>
      <x:c r="J422" s="37" t="n">
        <x:v>46203</x:v>
      </x:c>
      <x:c r="K422" s="19" t="str">
        <x:v>Snowy River Wangaratta</x:v>
      </x:c>
      <x:c r="L422" s="19" t="str">
        <x:v>Z006</x:v>
      </x:c>
      <x:c r="M422" s="19" t="str">
        <x:v>In Field Warranty Claims</x:v>
      </x:c>
      <x:c r="N422" s="37" t="n">
        <x:v>46192</x:v>
      </x:c>
      <x:c r="O422" s="37"/>
      <x:c r="P422" s="34" t="n">
        <x:v>297</x:v>
      </x:c>
      <x:c r="Q422" s="37" t="n">
        <x:v>46203.06798611111</x:v>
      </x:c>
    </x:row>
    <x:row r="423">
      <x:c r="A423" s="22" t="n">
        <x:v>36579</x:v>
      </x:c>
      <x:c r="B423" s="28" t="n">
        <x:v>675</x:v>
      </x:c>
      <x:c r="C423" s="28" t="n">
        <x:v>742.5</x:v>
      </x:c>
      <x:c r="D423" s="31" t="n">
        <x:f>IF(OR(ISBLANK(B423),ISBLANK(C423),B423=0),"",(C423-B423)/B423)</x:f>
        <x:v>0.1</x:v>
      </x:c>
      <x:c r="E423" s="22" t="str">
        <x:f>IF(ISBLANK(C423),"AmountIncludingTax缺失",IF(ABS(B423-C423)&lt;0.005,"一致","不一致"))</x:f>
        <x:v>不一致</x:v>
      </x:c>
      <x:c r="F423" s="19" t="str">
        <x:v>approved</x:v>
      </x:c>
      <x:c r="G423" s="19" t="str">
        <x:v>Repair in Progress</x:v>
      </x:c>
      <x:c r="H423" s="19" t="str">
        <x:v>In Field</x:v>
      </x:c>
      <x:c r="I423" s="37" t="n">
        <x:v>46191</x:v>
      </x:c>
      <x:c r="J423" s="37" t="n">
        <x:v>46191</x:v>
      </x:c>
      <x:c r="K423" s="19" t="str">
        <x:v>Regent RV - Toowoomba</x:v>
      </x:c>
      <x:c r="L423" s="19" t="str">
        <x:v>Z006</x:v>
      </x:c>
      <x:c r="M423" s="19" t="str">
        <x:v>In Field Warranty Claims</x:v>
      </x:c>
      <x:c r="N423" s="37" t="n">
        <x:v>46191</x:v>
      </x:c>
      <x:c r="O423" s="37"/>
      <x:c r="P423" s="34" t="n">
        <x:v>742.5</x:v>
      </x:c>
      <x:c r="Q423" s="37" t="n">
        <x:v>46191.21744212963</x:v>
      </x:c>
    </x:row>
    <x:row r="424">
      <x:c r="A424" s="22" t="n">
        <x:v>36578</x:v>
      </x:c>
      <x:c r="B424" s="28" t="n">
        <x:v>227.5</x:v>
      </x:c>
      <x:c r="C424" s="28"/>
      <x:c r="D424" s="31" t="str">
        <x:f>IF(OR(ISBLANK(B424),ISBLANK(C424),B424=0),"",(C424-B424)/B424)</x:f>
      </x:c>
      <x:c r="E424" s="22" t="str">
        <x:f>IF(ISBLANK(C424),"AmountIncludingTax缺失",IF(ABS(B424-C424)&lt;0.005,"一致","不一致"))</x:f>
        <x:v>AmountIncludingTax缺失</x:v>
      </x:c>
      <x:c r="F424" s="19" t="str">
        <x:v>approved</x:v>
      </x:c>
      <x:c r="G424" s="19" t="str">
        <x:v>Sales Order Approved</x:v>
      </x:c>
      <x:c r="H424" s="19" t="str">
        <x:v>Pre Delivery</x:v>
      </x:c>
      <x:c r="I424" s="37" t="n">
        <x:v>46192</x:v>
      </x:c>
      <x:c r="J424" s="37" t="n">
        <x:v>46192</x:v>
      </x:c>
      <x:c r="K424" s="19" t="str">
        <x:v>Regent RV - Townsville</x:v>
      </x:c>
      <x:c r="L424" s="19" t="str">
        <x:v>Z005</x:v>
      </x:c>
      <x:c r="M424" s="19" t="str">
        <x:v>Pre Delivery Warranty Claims</x:v>
      </x:c>
      <x:c r="N424" s="37" t="n">
        <x:v>46191</x:v>
      </x:c>
      <x:c r="O424" s="37"/>
      <x:c r="P424" s="34" t="n">
        <x:v>0</x:v>
      </x:c>
      <x:c r="Q424" s="37" t="n">
        <x:v>46192.11425925926</x:v>
      </x:c>
    </x:row>
    <x:row r="425">
      <x:c r="A425" s="22" t="n">
        <x:v>36577</x:v>
      </x:c>
      <x:c r="B425" s="28" t="n">
        <x:v>270</x:v>
      </x:c>
      <x:c r="C425" s="28"/>
      <x:c r="D425" s="31" t="str">
        <x:f>IF(OR(ISBLANK(B425),ISBLANK(C425),B425=0),"",(C425-B425)/B425)</x:f>
      </x:c>
      <x:c r="E425" s="22" t="str">
        <x:f>IF(ISBLANK(C425),"AmountIncludingTax缺失",IF(ABS(B425-C425)&lt;0.005,"一致","不一致"))</x:f>
        <x:v>AmountIncludingTax缺失</x:v>
      </x:c>
      <x:c r="F425" s="19" t="str">
        <x:v>approved</x:v>
      </x:c>
      <x:c r="G425" s="19" t="str">
        <x:v>Sales Order Approved</x:v>
      </x:c>
      <x:c r="H425" s="19" t="str">
        <x:v>Pre Delivery</x:v>
      </x:c>
      <x:c r="I425" s="37" t="n">
        <x:v>46206</x:v>
      </x:c>
      <x:c r="J425" s="37" t="n">
        <x:v>46206</x:v>
      </x:c>
      <x:c r="K425" s="19" t="str">
        <x:v>Regent RV Pty Ltd</x:v>
      </x:c>
      <x:c r="L425" s="19" t="str">
        <x:v>Z005</x:v>
      </x:c>
      <x:c r="M425" s="19" t="str">
        <x:v>Pre Delivery Warranty Claims</x:v>
      </x:c>
      <x:c r="N425" s="37" t="n">
        <x:v>46191</x:v>
      </x:c>
      <x:c r="O425" s="37"/>
      <x:c r="P425" s="34" t="n">
        <x:v>0</x:v>
      </x:c>
      <x:c r="Q425" s="37" t="n">
        <x:v>46205.9315162037</x:v>
      </x:c>
    </x:row>
    <x:row r="426">
      <x:c r="A426" s="22" t="n">
        <x:v>36576</x:v>
      </x:c>
      <x:c r="B426" s="28" t="n">
        <x:v>101.25</x:v>
      </x:c>
      <x:c r="C426" s="28"/>
      <x:c r="D426" s="31" t="str">
        <x:f>IF(OR(ISBLANK(B426),ISBLANK(C426),B426=0),"",(C426-B426)/B426)</x:f>
      </x:c>
      <x:c r="E426" s="22" t="str">
        <x:f>IF(ISBLANK(C426),"AmountIncludingTax缺失",IF(ABS(B426-C426)&lt;0.005,"一致","不一致"))</x:f>
        <x:v>AmountIncludingTax缺失</x:v>
      </x:c>
      <x:c r="F426" s="19" t="str">
        <x:v>approved</x:v>
      </x:c>
      <x:c r="G426" s="19" t="str">
        <x:v>Sales Order Approved</x:v>
      </x:c>
      <x:c r="H426" s="19" t="str">
        <x:v>Pre Delivery</x:v>
      </x:c>
      <x:c r="I426" s="37" t="n">
        <x:v>46195</x:v>
      </x:c>
      <x:c r="J426" s="37" t="n">
        <x:v>46195</x:v>
      </x:c>
      <x:c r="K426" s="19" t="str">
        <x:v>Green RV - Slacks Creek</x:v>
      </x:c>
      <x:c r="L426" s="19" t="str">
        <x:v>Z005</x:v>
      </x:c>
      <x:c r="M426" s="19" t="str">
        <x:v>Pre Delivery Warranty Claims</x:v>
      </x:c>
      <x:c r="N426" s="37" t="n">
        <x:v>46191</x:v>
      </x:c>
      <x:c r="O426" s="37"/>
      <x:c r="P426" s="34" t="n">
        <x:v>0</x:v>
      </x:c>
      <x:c r="Q426" s="37" t="n">
        <x:v>46195.21666666667</x:v>
      </x:c>
    </x:row>
    <x:row r="427">
      <x:c r="A427" s="22" t="n">
        <x:v>36573</x:v>
      </x:c>
      <x:c r="B427" s="28" t="n">
        <x:v>222.5</x:v>
      </x:c>
      <x:c r="C427" s="28"/>
      <x:c r="D427" s="31" t="str">
        <x:f>IF(OR(ISBLANK(B427),ISBLANK(C427),B427=0),"",(C427-B427)/B427)</x:f>
      </x:c>
      <x:c r="E427" s="22" t="str">
        <x:f>IF(ISBLANK(C427),"AmountIncludingTax缺失",IF(ABS(B427-C427)&lt;0.005,"一致","不一致"))</x:f>
        <x:v>AmountIncludingTax缺失</x:v>
      </x:c>
      <x:c r="F427" s="19" t="str">
        <x:v>approved</x:v>
      </x:c>
      <x:c r="G427" s="19" t="str">
        <x:v>Sales Order Approved</x:v>
      </x:c>
      <x:c r="H427" s="19" t="str">
        <x:v>Pre Delivery</x:v>
      </x:c>
      <x:c r="I427" s="37" t="n">
        <x:v>46197</x:v>
      </x:c>
      <x:c r="J427" s="37" t="n">
        <x:v>46197</x:v>
      </x:c>
      <x:c r="K427" s="19" t="str">
        <x:v>Leisure Lion - Bundaberg</x:v>
      </x:c>
      <x:c r="L427" s="19" t="str">
        <x:v>Z005</x:v>
      </x:c>
      <x:c r="M427" s="19" t="str">
        <x:v>Pre Delivery Warranty Claims</x:v>
      </x:c>
      <x:c r="N427" s="37" t="n">
        <x:v>46191</x:v>
      </x:c>
      <x:c r="O427" s="37"/>
      <x:c r="P427" s="34" t="n">
        <x:v>0</x:v>
      </x:c>
      <x:c r="Q427" s="37" t="n">
        <x:v>46196.89969907407</x:v>
      </x:c>
    </x:row>
    <x:row r="428">
      <x:c r="A428" s="22" t="n">
        <x:v>36572</x:v>
      </x:c>
      <x:c r="B428" s="28" t="n">
        <x:v>265.91</x:v>
      </x:c>
      <x:c r="C428" s="28"/>
      <x:c r="D428" s="31" t="str">
        <x:f>IF(OR(ISBLANK(B428),ISBLANK(C428),B428=0),"",(C428-B428)/B428)</x:f>
      </x:c>
      <x:c r="E428" s="22" t="str">
        <x:f>IF(ISBLANK(C428),"AmountIncludingTax缺失",IF(ABS(B428-C428)&lt;0.005,"一致","不一致"))</x:f>
        <x:v>AmountIncludingTax缺失</x:v>
      </x:c>
      <x:c r="F428" s="19" t="str">
        <x:v>approved</x:v>
      </x:c>
      <x:c r="G428" s="19" t="str">
        <x:v>Sales Order Approved</x:v>
      </x:c>
      <x:c r="H428" s="19" t="str">
        <x:v>In Field</x:v>
      </x:c>
      <x:c r="I428" s="37" t="n">
        <x:v>46197</x:v>
      </x:c>
      <x:c r="J428" s="37" t="n">
        <x:v>46197</x:v>
      </x:c>
      <x:c r="K428" s="19" t="str">
        <x:v>Destiny RV - South Australia</x:v>
      </x:c>
      <x:c r="L428" s="19" t="str">
        <x:v>Z006</x:v>
      </x:c>
      <x:c r="M428" s="19" t="str">
        <x:v>In Field Warranty Claims</x:v>
      </x:c>
      <x:c r="N428" s="37" t="n">
        <x:v>46191</x:v>
      </x:c>
      <x:c r="O428" s="37"/>
      <x:c r="P428" s="34" t="n">
        <x:v>0</x:v>
      </x:c>
      <x:c r="Q428" s="37" t="n">
        <x:v>46196.93508101852</x:v>
      </x:c>
    </x:row>
    <x:row r="429">
      <x:c r="A429" s="22" t="n">
        <x:v>36571</x:v>
      </x:c>
      <x:c r="B429" s="28" t="n">
        <x:v>56.73</x:v>
      </x:c>
      <x:c r="C429" s="28"/>
      <x:c r="D429" s="31" t="str">
        <x:f>IF(OR(ISBLANK(B429),ISBLANK(C429),B429=0),"",(C429-B429)/B429)</x:f>
      </x:c>
      <x:c r="E429" s="22" t="str">
        <x:f>IF(ISBLANK(C429),"AmountIncludingTax缺失",IF(ABS(B429-C429)&lt;0.005,"一致","不一致"))</x:f>
        <x:v>AmountIncludingTax缺失</x:v>
      </x:c>
      <x:c r="F429" s="19" t="str">
        <x:v>approved</x:v>
      </x:c>
      <x:c r="G429" s="19" t="str">
        <x:v>Sales Order Approved</x:v>
      </x:c>
      <x:c r="H429" s="19" t="str">
        <x:v>Pre Delivery</x:v>
      </x:c>
      <x:c r="I429" s="37" t="n">
        <x:v>46206</x:v>
      </x:c>
      <x:c r="J429" s="37" t="n">
        <x:v>46206</x:v>
      </x:c>
      <x:c r="K429" s="19" t="str">
        <x:v>Regent RV Pty Ltd</x:v>
      </x:c>
      <x:c r="L429" s="19" t="str">
        <x:v>Z005</x:v>
      </x:c>
      <x:c r="M429" s="19" t="str">
        <x:v>Pre Delivery Warranty Claims</x:v>
      </x:c>
      <x:c r="N429" s="37" t="n">
        <x:v>46191</x:v>
      </x:c>
      <x:c r="O429" s="37"/>
      <x:c r="P429" s="34" t="n">
        <x:v>0</x:v>
      </x:c>
      <x:c r="Q429" s="37" t="n">
        <x:v>46205.93703703704</x:v>
      </x:c>
    </x:row>
    <x:row r="430">
      <x:c r="A430" s="22" t="n">
        <x:v>36570</x:v>
      </x:c>
      <x:c r="B430" s="28" t="n">
        <x:v>1580</x:v>
      </x:c>
      <x:c r="C430" s="28"/>
      <x:c r="D430" s="31" t="str">
        <x:f>IF(OR(ISBLANK(B430),ISBLANK(C430),B430=0),"",(C430-B430)/B430)</x:f>
      </x:c>
      <x:c r="E430" s="22" t="str">
        <x:f>IF(ISBLANK(C430),"AmountIncludingTax缺失",IF(ABS(B430-C430)&lt;0.005,"一致","不一致"))</x:f>
        <x:v>AmountIncludingTax缺失</x:v>
      </x:c>
      <x:c r="F430" s="19" t="str">
        <x:v>approved</x:v>
      </x:c>
      <x:c r="G430" s="19" t="str">
        <x:v>Repairer Invoiced Processed</x:v>
      </x:c>
      <x:c r="H430" s="19" t="str">
        <x:v>In Field</x:v>
      </x:c>
      <x:c r="I430" s="37" t="n">
        <x:v>46198</x:v>
      </x:c>
      <x:c r="J430" s="37" t="n">
        <x:v>46198</x:v>
      </x:c>
      <x:c r="K430" s="19" t="str">
        <x:v>Newcastle RV Super Centre - Beresfield</x:v>
      </x:c>
      <x:c r="L430" s="19" t="str">
        <x:v>Z006</x:v>
      </x:c>
      <x:c r="M430" s="19" t="str">
        <x:v>In Field Warranty Claims</x:v>
      </x:c>
      <x:c r="N430" s="37" t="n">
        <x:v>46191</x:v>
      </x:c>
      <x:c r="O430" s="37"/>
      <x:c r="P430" s="34" t="n">
        <x:v>1738</x:v>
      </x:c>
      <x:c r="Q430" s="37" t="n">
        <x:v>46197.93635416667</x:v>
      </x:c>
    </x:row>
    <x:row r="431">
      <x:c r="A431" s="22" t="n">
        <x:v>36565</x:v>
      </x:c>
      <x:c r="B431" s="28" t="n">
        <x:v>67.5</x:v>
      </x:c>
      <x:c r="C431" s="28"/>
      <x:c r="D431" s="31" t="str">
        <x:f>IF(OR(ISBLANK(B431),ISBLANK(C431),B431=0),"",(C431-B431)/B431)</x:f>
      </x:c>
      <x:c r="E431" s="22" t="str">
        <x:f>IF(ISBLANK(C431),"AmountIncludingTax缺失",IF(ABS(B431-C431)&lt;0.005,"一致","不一致"))</x:f>
        <x:v>AmountIncludingTax缺失</x:v>
      </x:c>
      <x:c r="F431" s="19" t="str">
        <x:v>approved</x:v>
      </x:c>
      <x:c r="G431" s="19" t="str">
        <x:v>Sales Order Approved</x:v>
      </x:c>
      <x:c r="H431" s="19" t="str">
        <x:v>Pre Delivery</x:v>
      </x:c>
      <x:c r="I431" s="37" t="n">
        <x:v>46195</x:v>
      </x:c>
      <x:c r="J431" s="37" t="n">
        <x:v>46195</x:v>
      </x:c>
      <x:c r="K431" s="19" t="str">
        <x:v>Green RV - Slacks Creek</x:v>
      </x:c>
      <x:c r="L431" s="19" t="str">
        <x:v>Z005</x:v>
      </x:c>
      <x:c r="M431" s="19" t="str">
        <x:v>Pre Delivery Warranty Claims</x:v>
      </x:c>
      <x:c r="N431" s="37" t="n">
        <x:v>46191</x:v>
      </x:c>
      <x:c r="O431" s="37"/>
      <x:c r="P431" s="34" t="n">
        <x:v>0</x:v>
      </x:c>
      <x:c r="Q431" s="37" t="n">
        <x:v>46195.21732638889</x:v>
      </x:c>
    </x:row>
    <x:row r="432">
      <x:c r="A432" s="22" t="n">
        <x:v>36564</x:v>
      </x:c>
      <x:c r="B432" s="28" t="n">
        <x:v>135</x:v>
      </x:c>
      <x:c r="C432" s="28"/>
      <x:c r="D432" s="31" t="str">
        <x:f>IF(OR(ISBLANK(B432),ISBLANK(C432),B432=0),"",(C432-B432)/B432)</x:f>
      </x:c>
      <x:c r="E432" s="22" t="str">
        <x:f>IF(ISBLANK(C432),"AmountIncludingTax缺失",IF(ABS(B432-C432)&lt;0.005,"一致","不一致"))</x:f>
        <x:v>AmountIncludingTax缺失</x:v>
      </x:c>
      <x:c r="F432" s="19" t="str">
        <x:v>approved</x:v>
      </x:c>
      <x:c r="G432" s="19" t="str">
        <x:v>Sales Order Approved</x:v>
      </x:c>
      <x:c r="H432" s="19" t="str">
        <x:v>In Field</x:v>
      </x:c>
      <x:c r="I432" s="37" t="n">
        <x:v>46197</x:v>
      </x:c>
      <x:c r="J432" s="37" t="n">
        <x:v>46196</x:v>
      </x:c>
      <x:c r="K432" s="19" t="str">
        <x:v>NEWCASTLE CARAVANS &amp; RVS</x:v>
      </x:c>
      <x:c r="L432" s="19" t="str">
        <x:v>Z006</x:v>
      </x:c>
      <x:c r="M432" s="19" t="str">
        <x:v>In Field Warranty Claims</x:v>
      </x:c>
      <x:c r="N432" s="37" t="n">
        <x:v>46191</x:v>
      </x:c>
      <x:c r="O432" s="37"/>
      <x:c r="P432" s="34" t="n">
        <x:v>0</x:v>
      </x:c>
      <x:c r="Q432" s="37" t="n">
        <x:v>46197.26427083334</x:v>
      </x:c>
    </x:row>
    <x:row r="433">
      <x:c r="A433" s="22" t="n">
        <x:v>36563</x:v>
      </x:c>
      <x:c r="B433" s="28" t="n">
        <x:v>695</x:v>
      </x:c>
      <x:c r="C433" s="28"/>
      <x:c r="D433" s="31" t="str">
        <x:f>IF(OR(ISBLANK(B433),ISBLANK(C433),B433=0),"",(C433-B433)/B433)</x:f>
      </x:c>
      <x:c r="E433" s="22" t="str">
        <x:f>IF(ISBLANK(C433),"AmountIncludingTax缺失",IF(ABS(B433-C433)&lt;0.005,"一致","不一致"))</x:f>
        <x:v>AmountIncludingTax缺失</x:v>
      </x:c>
      <x:c r="F433" s="19" t="str">
        <x:v>approved</x:v>
      </x:c>
      <x:c r="G433" s="19" t="str">
        <x:v>Partially Picked</x:v>
      </x:c>
      <x:c r="H433" s="19" t="str">
        <x:v>In Field</x:v>
      </x:c>
      <x:c r="I433" s="37" t="n">
        <x:v>46191</x:v>
      </x:c>
      <x:c r="J433" s="37" t="n">
        <x:v>46191</x:v>
      </x:c>
      <x:c r="K433" s="19" t="str">
        <x:v>Regent RV - Toowoomba</x:v>
      </x:c>
      <x:c r="L433" s="19" t="str">
        <x:v>Z006</x:v>
      </x:c>
      <x:c r="M433" s="19" t="str">
        <x:v>In Field Warranty Claims</x:v>
      </x:c>
      <x:c r="N433" s="37" t="n">
        <x:v>46191</x:v>
      </x:c>
      <x:c r="O433" s="37"/>
      <x:c r="P433" s="34" t="n">
        <x:v>0</x:v>
      </x:c>
      <x:c r="Q433" s="37" t="n">
        <x:v>46191.22311342593</x:v>
      </x:c>
    </x:row>
    <x:row r="434">
      <x:c r="A434" s="22" t="n">
        <x:v>36562</x:v>
      </x:c>
      <x:c r="B434" s="28" t="n">
        <x:v>135</x:v>
      </x:c>
      <x:c r="C434" s="28"/>
      <x:c r="D434" s="31" t="str">
        <x:f>IF(OR(ISBLANK(B434),ISBLANK(C434),B434=0),"",(C434-B434)/B434)</x:f>
      </x:c>
      <x:c r="E434" s="22" t="str">
        <x:f>IF(ISBLANK(C434),"AmountIncludingTax缺失",IF(ABS(B434-C434)&lt;0.005,"一致","不一致"))</x:f>
        <x:v>AmountIncludingTax缺失</x:v>
      </x:c>
      <x:c r="F434" s="19" t="str">
        <x:v>approved</x:v>
      </x:c>
      <x:c r="G434" s="19" t="str">
        <x:v>Repairer Invoiced Processed</x:v>
      </x:c>
      <x:c r="H434" s="19" t="str">
        <x:v>In Field</x:v>
      </x:c>
      <x:c r="I434" s="37" t="n">
        <x:v>46202</x:v>
      </x:c>
      <x:c r="J434" s="37" t="n">
        <x:v>46202</x:v>
      </x:c>
      <x:c r="K434" s="19" t="str">
        <x:v>Leisure Lion - Bundaberg</x:v>
      </x:c>
      <x:c r="L434" s="19" t="str">
        <x:v>Z006</x:v>
      </x:c>
      <x:c r="M434" s="19" t="str">
        <x:v>In Field Warranty Claims</x:v>
      </x:c>
      <x:c r="N434" s="37" t="n">
        <x:v>46191</x:v>
      </x:c>
      <x:c r="O434" s="37"/>
      <x:c r="P434" s="34" t="n">
        <x:v>0</x:v>
      </x:c>
      <x:c r="Q434" s="37" t="n">
        <x:v>46202.28686342593</x:v>
      </x:c>
    </x:row>
    <x:row r="435">
      <x:c r="A435" s="22" t="n">
        <x:v>36561</x:v>
      </x:c>
      <x:c r="B435" s="28" t="n">
        <x:v>352.5</x:v>
      </x:c>
      <x:c r="C435" s="28"/>
      <x:c r="D435" s="31" t="str">
        <x:f>IF(OR(ISBLANK(B435),ISBLANK(C435),B435=0),"",(C435-B435)/B435)</x:f>
      </x:c>
      <x:c r="E435" s="22" t="str">
        <x:f>IF(ISBLANK(C435),"AmountIncludingTax缺失",IF(ABS(B435-C435)&lt;0.005,"一致","不一致"))</x:f>
        <x:v>AmountIncludingTax缺失</x:v>
      </x:c>
      <x:c r="F435" s="19" t="str">
        <x:v>approved</x:v>
      </x:c>
      <x:c r="G435" s="19" t="str">
        <x:v>Repair in Progress</x:v>
      </x:c>
      <x:c r="H435" s="19" t="str">
        <x:v>In Field</x:v>
      </x:c>
      <x:c r="I435" s="37" t="n">
        <x:v>46195</x:v>
      </x:c>
      <x:c r="J435" s="37" t="n">
        <x:v>46195</x:v>
      </x:c>
      <x:c r="K435" s="19" t="str">
        <x:v>Regent RV - Perth</x:v>
      </x:c>
      <x:c r="L435" s="19" t="str">
        <x:v>Z006</x:v>
      </x:c>
      <x:c r="M435" s="19" t="str">
        <x:v>In Field Warranty Claims</x:v>
      </x:c>
      <x:c r="N435" s="37" t="n">
        <x:v>46191</x:v>
      </x:c>
      <x:c r="O435" s="37"/>
      <x:c r="P435" s="34" t="n">
        <x:v>0</x:v>
      </x:c>
      <x:c r="Q435" s="37" t="n">
        <x:v>46195.00381944444</x:v>
      </x:c>
    </x:row>
    <x:row r="436">
      <x:c r="A436" s="22" t="n">
        <x:v>36558</x:v>
      </x:c>
      <x:c r="B436" s="28" t="n">
        <x:v>1050</x:v>
      </x:c>
      <x:c r="C436" s="28"/>
      <x:c r="D436" s="31" t="str">
        <x:f>IF(OR(ISBLANK(B436),ISBLANK(C436),B436=0),"",(C436-B436)/B436)</x:f>
      </x:c>
      <x:c r="E436" s="22" t="str">
        <x:f>IF(ISBLANK(C436),"AmountIncludingTax缺失",IF(ABS(B436-C436)&lt;0.005,"一致","不一致"))</x:f>
        <x:v>AmountIncludingTax缺失</x:v>
      </x:c>
      <x:c r="F436" s="19" t="str">
        <x:v>approved</x:v>
      </x:c>
      <x:c r="G436" s="19" t="str">
        <x:v>Partially Picked</x:v>
      </x:c>
      <x:c r="H436" s="19" t="str">
        <x:v>In Field</x:v>
      </x:c>
      <x:c r="I436" s="37" t="n">
        <x:v>46191</x:v>
      </x:c>
      <x:c r="J436" s="37" t="n">
        <x:v>46191</x:v>
      </x:c>
      <x:c r="K436" s="19" t="str">
        <x:v>Green RV - Slacks Creek</x:v>
      </x:c>
      <x:c r="L436" s="19" t="str">
        <x:v>Z006</x:v>
      </x:c>
      <x:c r="M436" s="19" t="str">
        <x:v>In Field Warranty Claims</x:v>
      </x:c>
      <x:c r="N436" s="37" t="n">
        <x:v>46191</x:v>
      </x:c>
      <x:c r="O436" s="37"/>
      <x:c r="P436" s="34" t="n">
        <x:v>0</x:v>
      </x:c>
      <x:c r="Q436" s="37" t="n">
        <x:v>46191.24317129629</x:v>
      </x:c>
    </x:row>
    <x:row r="437">
      <x:c r="A437" s="22" t="n">
        <x:v>36557</x:v>
      </x:c>
      <x:c r="B437" s="28" t="n">
        <x:v>135</x:v>
      </x:c>
      <x:c r="C437" s="28"/>
      <x:c r="D437" s="31" t="str">
        <x:f>IF(OR(ISBLANK(B437),ISBLANK(C437),B437=0),"",(C437-B437)/B437)</x:f>
      </x:c>
      <x:c r="E437" s="22" t="str">
        <x:f>IF(ISBLANK(C437),"AmountIncludingTax缺失",IF(ABS(B437-C437)&lt;0.005,"一致","不一致"))</x:f>
        <x:v>AmountIncludingTax缺失</x:v>
      </x:c>
      <x:c r="F437" s="19" t="str">
        <x:v>approved</x:v>
      </x:c>
      <x:c r="G437" s="19" t="str">
        <x:v>Sales Order Approved</x:v>
      </x:c>
      <x:c r="H437" s="19" t="str">
        <x:v>Pre Delivery</x:v>
      </x:c>
      <x:c r="I437" s="37" t="n">
        <x:v>46206</x:v>
      </x:c>
      <x:c r="J437" s="37" t="n">
        <x:v>46206</x:v>
      </x:c>
      <x:c r="K437" s="19" t="str">
        <x:v>Regent RV Pty Ltd</x:v>
      </x:c>
      <x:c r="L437" s="19" t="str">
        <x:v>Z005</x:v>
      </x:c>
      <x:c r="M437" s="19" t="str">
        <x:v>Pre Delivery Warranty Claims</x:v>
      </x:c>
      <x:c r="N437" s="37" t="n">
        <x:v>46191</x:v>
      </x:c>
      <x:c r="O437" s="37"/>
      <x:c r="P437" s="34" t="n">
        <x:v>0</x:v>
      </x:c>
      <x:c r="Q437" s="37" t="n">
        <x:v>46205.93006944445</x:v>
      </x:c>
    </x:row>
    <x:row r="438">
      <x:c r="A438" s="22" t="n">
        <x:v>36556</x:v>
      </x:c>
      <x:c r="B438" s="28" t="n">
        <x:v>337.5</x:v>
      </x:c>
      <x:c r="C438" s="28"/>
      <x:c r="D438" s="31" t="str">
        <x:f>IF(OR(ISBLANK(B438),ISBLANK(C438),B438=0),"",(C438-B438)/B438)</x:f>
      </x:c>
      <x:c r="E438" s="22" t="str">
        <x:f>IF(ISBLANK(C438),"AmountIncludingTax缺失",IF(ABS(B438-C438)&lt;0.005,"一致","不一致"))</x:f>
        <x:v>AmountIncludingTax缺失</x:v>
      </x:c>
      <x:c r="F438" s="19" t="str">
        <x:v>approved</x:v>
      </x:c>
      <x:c r="G438" s="19" t="str">
        <x:v>Sales Order Approved</x:v>
      </x:c>
      <x:c r="H438" s="19" t="str">
        <x:v>In Field</x:v>
      </x:c>
      <x:c r="I438" s="37" t="n">
        <x:v>46209</x:v>
      </x:c>
      <x:c r="J438" s="37" t="n">
        <x:v>46209</x:v>
      </x:c>
      <x:c r="K438" s="19" t="str">
        <x:v>Regent RV Pty Ltd</x:v>
      </x:c>
      <x:c r="L438" s="19" t="str">
        <x:v>Z006</x:v>
      </x:c>
      <x:c r="M438" s="19" t="str">
        <x:v>In Field Warranty Claims</x:v>
      </x:c>
      <x:c r="N438" s="37" t="n">
        <x:v>46191</x:v>
      </x:c>
      <x:c r="O438" s="37"/>
      <x:c r="P438" s="34" t="n">
        <x:v>0</x:v>
      </x:c>
      <x:c r="Q438" s="37" t="n">
        <x:v>46209.10888888889</x:v>
      </x:c>
    </x:row>
    <x:row r="439">
      <x:c r="A439" s="22" t="n">
        <x:v>36554</x:v>
      </x:c>
      <x:c r="B439" s="28" t="n">
        <x:v>850</x:v>
      </x:c>
      <x:c r="C439" s="28"/>
      <x:c r="D439" s="31" t="str">
        <x:f>IF(OR(ISBLANK(B439),ISBLANK(C439),B439=0),"",(C439-B439)/B439)</x:f>
      </x:c>
      <x:c r="E439" s="22" t="str">
        <x:f>IF(ISBLANK(C439),"AmountIncludingTax缺失",IF(ABS(B439-C439)&lt;0.005,"一致","不一致"))</x:f>
        <x:v>AmountIncludingTax缺失</x:v>
      </x:c>
      <x:c r="F439" s="19" t="str">
        <x:v>approved</x:v>
      </x:c>
      <x:c r="G439" s="19" t="str">
        <x:v>Partially Picked</x:v>
      </x:c>
      <x:c r="H439" s="19" t="str">
        <x:v>In Field</x:v>
      </x:c>
      <x:c r="I439" s="37" t="n">
        <x:v>46192</x:v>
      </x:c>
      <x:c r="J439" s="37" t="n">
        <x:v>46192</x:v>
      </x:c>
      <x:c r="K439" s="19" t="str">
        <x:v>Green RV - Forest Glen</x:v>
      </x:c>
      <x:c r="L439" s="19" t="str">
        <x:v>Z006</x:v>
      </x:c>
      <x:c r="M439" s="19" t="str">
        <x:v>In Field Warranty Claims</x:v>
      </x:c>
      <x:c r="N439" s="37" t="n">
        <x:v>46191</x:v>
      </x:c>
      <x:c r="O439" s="37"/>
      <x:c r="P439" s="34" t="n">
        <x:v>0</x:v>
      </x:c>
      <x:c r="Q439" s="37" t="n">
        <x:v>46191.888657407406</x:v>
      </x:c>
    </x:row>
    <x:row r="440">
      <x:c r="A440" s="22" t="n">
        <x:v>36552</x:v>
      </x:c>
      <x:c r="B440" s="28" t="n">
        <x:v>77.5</x:v>
      </x:c>
      <x:c r="C440" s="28"/>
      <x:c r="D440" s="31" t="str">
        <x:f>IF(OR(ISBLANK(B440),ISBLANK(C440),B440=0),"",(C440-B440)/B440)</x:f>
      </x:c>
      <x:c r="E440" s="22" t="str">
        <x:f>IF(ISBLANK(C440),"AmountIncludingTax缺失",IF(ABS(B440-C440)&lt;0.005,"一致","不一致"))</x:f>
        <x:v>AmountIncludingTax缺失</x:v>
      </x:c>
      <x:c r="F440" s="19" t="str">
        <x:v>approved</x:v>
      </x:c>
      <x:c r="G440" s="19" t="str">
        <x:v>Repair in Progress</x:v>
      </x:c>
      <x:c r="H440" s="19" t="str">
        <x:v>In Field</x:v>
      </x:c>
      <x:c r="I440" s="37" t="n">
        <x:v>46191</x:v>
      </x:c>
      <x:c r="J440" s="37" t="n">
        <x:v>46191</x:v>
      </x:c>
      <x:c r="K440" s="19" t="str">
        <x:v>Regent RV - Frankston</x:v>
      </x:c>
      <x:c r="L440" s="19" t="str">
        <x:v>Z006</x:v>
      </x:c>
      <x:c r="M440" s="19" t="str">
        <x:v>In Field Warranty Claims</x:v>
      </x:c>
      <x:c r="N440" s="37" t="n">
        <x:v>46191</x:v>
      </x:c>
      <x:c r="O440" s="37"/>
      <x:c r="P440" s="34" t="n">
        <x:v>0</x:v>
      </x:c>
      <x:c r="Q440" s="37" t="n">
        <x:v>46191.23670138889</x:v>
      </x:c>
    </x:row>
    <x:row r="441">
      <x:c r="A441" s="22" t="n">
        <x:v>36550</x:v>
      </x:c>
      <x:c r="B441" s="28" t="n">
        <x:v>67.5</x:v>
      </x:c>
      <x:c r="C441" s="28" t="n">
        <x:v>74.25</x:v>
      </x:c>
      <x:c r="D441" s="31" t="n">
        <x:f>IF(OR(ISBLANK(B441),ISBLANK(C441),B441=0),"",(C441-B441)/B441)</x:f>
        <x:v>0.1</x:v>
      </x:c>
      <x:c r="E441" s="22" t="str">
        <x:f>IF(ISBLANK(C441),"AmountIncludingTax缺失",IF(ABS(B441-C441)&lt;0.005,"一致","不一致"))</x:f>
        <x:v>不一致</x:v>
      </x:c>
      <x:c r="F441" s="19" t="str">
        <x:v>approved</x:v>
      </x:c>
      <x:c r="G441" s="19" t="str">
        <x:v>Repair in Progress</x:v>
      </x:c>
      <x:c r="H441" s="19" t="str">
        <x:v>In Field</x:v>
      </x:c>
      <x:c r="I441" s="37" t="n">
        <x:v>46195</x:v>
      </x:c>
      <x:c r="J441" s="37" t="n">
        <x:v>46195</x:v>
      </x:c>
      <x:c r="K441" s="19" t="str">
        <x:v>Green RV - Forest Glen</x:v>
      </x:c>
      <x:c r="L441" s="19" t="str">
        <x:v>Z006</x:v>
      </x:c>
      <x:c r="M441" s="19" t="str">
        <x:v>In Field Warranty Claims</x:v>
      </x:c>
      <x:c r="N441" s="37" t="n">
        <x:v>46191</x:v>
      </x:c>
      <x:c r="O441" s="37"/>
      <x:c r="P441" s="34" t="n">
        <x:v>74.25</x:v>
      </x:c>
      <x:c r="Q441" s="37" t="n">
        <x:v>46194.88384259259</x:v>
      </x:c>
    </x:row>
    <x:row r="442">
      <x:c r="A442" s="22" t="n">
        <x:v>36549</x:v>
      </x:c>
      <x:c r="B442" s="28" t="n">
        <x:v>290</x:v>
      </x:c>
      <x:c r="C442" s="28"/>
      <x:c r="D442" s="31" t="str">
        <x:f>IF(OR(ISBLANK(B442),ISBLANK(C442),B442=0),"",(C442-B442)/B442)</x:f>
      </x:c>
      <x:c r="E442" s="22" t="str">
        <x:f>IF(ISBLANK(C442),"AmountIncludingTax缺失",IF(ABS(B442-C442)&lt;0.005,"一致","不一致"))</x:f>
        <x:v>AmountIncludingTax缺失</x:v>
      </x:c>
      <x:c r="F442" s="19" t="str">
        <x:v>approved</x:v>
      </x:c>
      <x:c r="G442" s="19" t="str">
        <x:v>Repair in Progress</x:v>
      </x:c>
      <x:c r="H442" s="19" t="str">
        <x:v>In Field</x:v>
      </x:c>
      <x:c r="I442" s="37" t="n">
        <x:v>46195</x:v>
      </x:c>
      <x:c r="J442" s="37" t="n">
        <x:v>46195</x:v>
      </x:c>
      <x:c r="K442" s="19" t="str">
        <x:v>Green RV - Forest Glen</x:v>
      </x:c>
      <x:c r="L442" s="19" t="str">
        <x:v>Z006</x:v>
      </x:c>
      <x:c r="M442" s="19" t="str">
        <x:v>In Field Warranty Claims</x:v>
      </x:c>
      <x:c r="N442" s="37" t="n">
        <x:v>46191</x:v>
      </x:c>
      <x:c r="O442" s="37"/>
      <x:c r="P442" s="34" t="n">
        <x:v>0</x:v>
      </x:c>
      <x:c r="Q442" s="37" t="n">
        <x:v>46194.91700231482</x:v>
      </x:c>
    </x:row>
    <x:row r="443">
      <x:c r="A443" s="22" t="n">
        <x:v>36548</x:v>
      </x:c>
      <x:c r="B443" s="28" t="n">
        <x:v>344.82</x:v>
      </x:c>
      <x:c r="C443" s="28" t="n">
        <x:v>379.3</x:v>
      </x:c>
      <x:c r="D443" s="31" t="n">
        <x:f>IF(OR(ISBLANK(B443),ISBLANK(C443),B443=0),"",(C443-B443)/B443)</x:f>
        <x:v>0.09999419987239724</x:v>
      </x:c>
      <x:c r="E443" s="22" t="str">
        <x:f>IF(ISBLANK(C443),"AmountIncludingTax缺失",IF(ABS(B443-C443)&lt;0.005,"一致","不一致"))</x:f>
        <x:v>不一致</x:v>
      </x:c>
      <x:c r="F443" s="19" t="str">
        <x:v>approved</x:v>
      </x:c>
      <x:c r="G443" s="19" t="str">
        <x:v>Repairer Invoiced Processed</x:v>
      </x:c>
      <x:c r="H443" s="19" t="str">
        <x:v>In Field</x:v>
      </x:c>
      <x:c r="I443" s="37" t="n">
        <x:v>46204</x:v>
      </x:c>
      <x:c r="J443" s="37" t="n">
        <x:v>46204</x:v>
      </x:c>
      <x:c r="K443" s="19" t="str">
        <x:v>Regent RV - Perth</x:v>
      </x:c>
      <x:c r="L443" s="19" t="str">
        <x:v>Z006</x:v>
      </x:c>
      <x:c r="M443" s="19" t="str">
        <x:v>In Field Warranty Claims</x:v>
      </x:c>
      <x:c r="N443" s="37" t="n">
        <x:v>46191</x:v>
      </x:c>
      <x:c r="O443" s="37"/>
      <x:c r="P443" s="34" t="n">
        <x:v>379.3</x:v>
      </x:c>
      <x:c r="Q443" s="37" t="n">
        <x:v>46204.20795138889</x:v>
      </x:c>
    </x:row>
    <x:row r="444">
      <x:c r="A444" s="22" t="n">
        <x:v>36546</x:v>
      </x:c>
      <x:c r="B444" s="28" t="n">
        <x:v>202.5</x:v>
      </x:c>
      <x:c r="C444" s="28"/>
      <x:c r="D444" s="31" t="str">
        <x:f>IF(OR(ISBLANK(B444),ISBLANK(C444),B444=0),"",(C444-B444)/B444)</x:f>
      </x:c>
      <x:c r="E444" s="22" t="str">
        <x:f>IF(ISBLANK(C444),"AmountIncludingTax缺失",IF(ABS(B444-C444)&lt;0.005,"一致","不一致"))</x:f>
        <x:v>AmountIncludingTax缺失</x:v>
      </x:c>
      <x:c r="F444" s="19" t="str">
        <x:v>approved</x:v>
      </x:c>
      <x:c r="G444" s="19" t="str">
        <x:v>Repairer Invoiced Processed</x:v>
      </x:c>
      <x:c r="H444" s="19" t="str">
        <x:v>In Field</x:v>
      </x:c>
      <x:c r="I444" s="37" t="n">
        <x:v>46195</x:v>
      </x:c>
      <x:c r="J444" s="37" t="n">
        <x:v>46195</x:v>
      </x:c>
      <x:c r="K444" s="19" t="str">
        <x:v>Green RV - Slacks Creek</x:v>
      </x:c>
      <x:c r="L444" s="19" t="str">
        <x:v>Z006</x:v>
      </x:c>
      <x:c r="M444" s="19" t="str">
        <x:v>In Field Warranty Claims</x:v>
      </x:c>
      <x:c r="N444" s="37" t="n">
        <x:v>46191</x:v>
      </x:c>
      <x:c r="O444" s="37"/>
      <x:c r="P444" s="34" t="n">
        <x:v>0</x:v>
      </x:c>
      <x:c r="Q444" s="37" t="n">
        <x:v>46195.11549768518</x:v>
      </x:c>
    </x:row>
    <x:row r="445">
      <x:c r="A445" s="22" t="n">
        <x:v>36543</x:v>
      </x:c>
      <x:c r="B445" s="28" t="n">
        <x:v>675</x:v>
      </x:c>
      <x:c r="C445" s="28"/>
      <x:c r="D445" s="31" t="str">
        <x:f>IF(OR(ISBLANK(B445),ISBLANK(C445),B445=0),"",(C445-B445)/B445)</x:f>
      </x:c>
      <x:c r="E445" s="22" t="str">
        <x:f>IF(ISBLANK(C445),"AmountIncludingTax缺失",IF(ABS(B445-C445)&lt;0.005,"一致","不一致"))</x:f>
        <x:v>AmountIncludingTax缺失</x:v>
      </x:c>
      <x:c r="F445" s="19" t="str">
        <x:v>approved</x:v>
      </x:c>
      <x:c r="G445" s="19" t="str">
        <x:v>Repair in Progress</x:v>
      </x:c>
      <x:c r="H445" s="19" t="str">
        <x:v>In Field</x:v>
      </x:c>
      <x:c r="I445" s="37" t="n">
        <x:v>46201</x:v>
      </x:c>
      <x:c r="J445" s="37" t="n">
        <x:v>46201</x:v>
      </x:c>
      <x:c r="K445" s="19" t="str">
        <x:v>Regent RV - Perth</x:v>
      </x:c>
      <x:c r="L445" s="19" t="str">
        <x:v>Z006</x:v>
      </x:c>
      <x:c r="M445" s="19" t="str">
        <x:v>In Field Warranty Claims</x:v>
      </x:c>
      <x:c r="N445" s="37" t="n">
        <x:v>46191</x:v>
      </x:c>
      <x:c r="O445" s="37"/>
      <x:c r="P445" s="34" t="n">
        <x:v>0</x:v>
      </x:c>
      <x:c r="Q445" s="37" t="n">
        <x:v>46200.984398148146</x:v>
      </x:c>
    </x:row>
    <x:row r="446">
      <x:c r="A446" s="22" t="n">
        <x:v>36541</x:v>
      </x:c>
      <x:c r="B446" s="28" t="n">
        <x:v>1250</x:v>
      </x:c>
      <x:c r="C446" s="28"/>
      <x:c r="D446" s="31" t="str">
        <x:f>IF(OR(ISBLANK(B446),ISBLANK(C446),B446=0),"",(C446-B446)/B446)</x:f>
      </x:c>
      <x:c r="E446" s="22" t="str">
        <x:f>IF(ISBLANK(C446),"AmountIncludingTax缺失",IF(ABS(B446-C446)&lt;0.005,"一致","不一致"))</x:f>
        <x:v>AmountIncludingTax缺失</x:v>
      </x:c>
      <x:c r="F446" s="19" t="str">
        <x:v>approved</x:v>
      </x:c>
      <x:c r="G446" s="19" t="str">
        <x:v>Repair in Progress</x:v>
      </x:c>
      <x:c r="H446" s="19" t="str">
        <x:v>In Field</x:v>
      </x:c>
      <x:c r="I446" s="37" t="n">
        <x:v>46205</x:v>
      </x:c>
      <x:c r="J446" s="37" t="n">
        <x:v>46205</x:v>
      </x:c>
      <x:c r="K446" s="19" t="str">
        <x:v>Sherrif Caravans &amp; Traliers - Prospect Vale</x:v>
      </x:c>
      <x:c r="L446" s="19" t="str">
        <x:v>Z006</x:v>
      </x:c>
      <x:c r="M446" s="19" t="str">
        <x:v>In Field Warranty Claims</x:v>
      </x:c>
      <x:c r="N446" s="37" t="n">
        <x:v>46191</x:v>
      </x:c>
      <x:c r="O446" s="37"/>
      <x:c r="P446" s="34" t="n">
        <x:v>1375</x:v>
      </x:c>
      <x:c r="Q446" s="37" t="n">
        <x:v>46205.08931712963</x:v>
      </x:c>
    </x:row>
    <x:row r="447">
      <x:c r="A447" s="22" t="n">
        <x:v>36540</x:v>
      </x:c>
      <x:c r="B447" s="28" t="n">
        <x:v>281.25</x:v>
      </x:c>
      <x:c r="C447" s="28"/>
      <x:c r="D447" s="31" t="str">
        <x:f>IF(OR(ISBLANK(B447),ISBLANK(C447),B447=0),"",(C447-B447)/B447)</x:f>
      </x:c>
      <x:c r="E447" s="22" t="str">
        <x:f>IF(ISBLANK(C447),"AmountIncludingTax缺失",IF(ABS(B447-C447)&lt;0.005,"一致","不一致"))</x:f>
        <x:v>AmountIncludingTax缺失</x:v>
      </x:c>
      <x:c r="F447" s="19" t="str">
        <x:v>approved</x:v>
      </x:c>
      <x:c r="G447" s="19" t="str">
        <x:v>Partially Picked</x:v>
      </x:c>
      <x:c r="H447" s="19" t="str">
        <x:v>In Field</x:v>
      </x:c>
      <x:c r="I447" s="37" t="n">
        <x:v>46191</x:v>
      </x:c>
      <x:c r="J447" s="37" t="n">
        <x:v>46191</x:v>
      </x:c>
      <x:c r="K447" s="19" t="str">
        <x:v>Green RV - Slacks Creek</x:v>
      </x:c>
      <x:c r="L447" s="19" t="str">
        <x:v>Z006</x:v>
      </x:c>
      <x:c r="M447" s="19" t="str">
        <x:v>In Field Warranty Claims</x:v>
      </x:c>
      <x:c r="N447" s="37" t="n">
        <x:v>46191</x:v>
      </x:c>
      <x:c r="O447" s="37"/>
      <x:c r="P447" s="34" t="n">
        <x:v>0</x:v>
      </x:c>
      <x:c r="Q447" s="37" t="n">
        <x:v>46191.164085648146</x:v>
      </x:c>
    </x:row>
    <x:row r="448">
      <x:c r="A448" s="22" t="n">
        <x:v>36539</x:v>
      </x:c>
      <x:c r="B448" s="28" t="n">
        <x:v>1287.5</x:v>
      </x:c>
      <x:c r="C448" s="28"/>
      <x:c r="D448" s="31" t="str">
        <x:f>IF(OR(ISBLANK(B448),ISBLANK(C448),B448=0),"",(C448-B448)/B448)</x:f>
      </x:c>
      <x:c r="E448" s="22" t="str">
        <x:f>IF(ISBLANK(C448),"AmountIncludingTax缺失",IF(ABS(B448-C448)&lt;0.005,"一致","不一致"))</x:f>
        <x:v>AmountIncludingTax缺失</x:v>
      </x:c>
      <x:c r="F448" s="19" t="str">
        <x:v>approved</x:v>
      </x:c>
      <x:c r="G448" s="19" t="str">
        <x:v>Partially Picked</x:v>
      </x:c>
      <x:c r="H448" s="19" t="str">
        <x:v>In Field</x:v>
      </x:c>
      <x:c r="I448" s="37" t="n">
        <x:v>46192</x:v>
      </x:c>
      <x:c r="J448" s="37" t="n">
        <x:v>46192</x:v>
      </x:c>
      <x:c r="K448" s="19" t="str">
        <x:v>Green RV - Forest Glen</x:v>
      </x:c>
      <x:c r="L448" s="19" t="str">
        <x:v>Z006</x:v>
      </x:c>
      <x:c r="M448" s="19" t="str">
        <x:v>In Field Warranty Claims</x:v>
      </x:c>
      <x:c r="N448" s="37" t="n">
        <x:v>46191</x:v>
      </x:c>
      <x:c r="O448" s="37"/>
      <x:c r="P448" s="34" t="n">
        <x:v>0</x:v>
      </x:c>
      <x:c r="Q448" s="37" t="n">
        <x:v>46192.16820601852</x:v>
      </x:c>
    </x:row>
    <x:row r="449">
      <x:c r="A449" s="22" t="n">
        <x:v>36538</x:v>
      </x:c>
      <x:c r="B449" s="28" t="n">
        <x:v>986.36</x:v>
      </x:c>
      <x:c r="C449" s="28"/>
      <x:c r="D449" s="31" t="str">
        <x:f>IF(OR(ISBLANK(B449),ISBLANK(C449),B449=0),"",(C449-B449)/B449)</x:f>
      </x:c>
      <x:c r="E449" s="22" t="str">
        <x:f>IF(ISBLANK(C449),"AmountIncludingTax缺失",IF(ABS(B449-C449)&lt;0.005,"一致","不一致"))</x:f>
        <x:v>AmountIncludingTax缺失</x:v>
      </x:c>
      <x:c r="F449" s="19" t="str">
        <x:v>approved</x:v>
      </x:c>
      <x:c r="G449" s="19" t="str">
        <x:v>Repairer Invoiced Processed</x:v>
      </x:c>
      <x:c r="H449" s="19" t="str">
        <x:v>In Field</x:v>
      </x:c>
      <x:c r="I449" s="37" t="n">
        <x:v>46192</x:v>
      </x:c>
      <x:c r="J449" s="37" t="n">
        <x:v>46192</x:v>
      </x:c>
      <x:c r="K449" s="19" t="str">
        <x:v>Green RV - Forest Glen</x:v>
      </x:c>
      <x:c r="L449" s="19" t="str">
        <x:v>Z006</x:v>
      </x:c>
      <x:c r="M449" s="19" t="str">
        <x:v>In Field Warranty Claims</x:v>
      </x:c>
      <x:c r="N449" s="37" t="n">
        <x:v>46191</x:v>
      </x:c>
      <x:c r="O449" s="37"/>
      <x:c r="P449" s="34" t="n">
        <x:v>1085</x:v>
      </x:c>
      <x:c r="Q449" s="37" t="n">
        <x:v>46192.112974537034</x:v>
      </x:c>
    </x:row>
    <x:row r="450">
      <x:c r="A450" s="22" t="n">
        <x:v>36537</x:v>
      </x:c>
      <x:c r="B450" s="28" t="n">
        <x:v>246.25</x:v>
      </x:c>
      <x:c r="C450" s="28"/>
      <x:c r="D450" s="31" t="str">
        <x:f>IF(OR(ISBLANK(B450),ISBLANK(C450),B450=0),"",(C450-B450)/B450)</x:f>
      </x:c>
      <x:c r="E450" s="22" t="str">
        <x:f>IF(ISBLANK(C450),"AmountIncludingTax缺失",IF(ABS(B450-C450)&lt;0.005,"一致","不一致"))</x:f>
        <x:v>AmountIncludingTax缺失</x:v>
      </x:c>
      <x:c r="F450" s="19" t="str">
        <x:v>approved</x:v>
      </x:c>
      <x:c r="G450" s="19" t="str">
        <x:v>Partially Picked</x:v>
      </x:c>
      <x:c r="H450" s="19" t="str">
        <x:v>In Field</x:v>
      </x:c>
      <x:c r="I450" s="37" t="n">
        <x:v>46191</x:v>
      </x:c>
      <x:c r="J450" s="37" t="n">
        <x:v>46191</x:v>
      </x:c>
      <x:c r="K450" s="19" t="str">
        <x:v>Regent RV - Toowoomba</x:v>
      </x:c>
      <x:c r="L450" s="19" t="str">
        <x:v>Z006</x:v>
      </x:c>
      <x:c r="M450" s="19" t="str">
        <x:v>In Field Warranty Claims</x:v>
      </x:c>
      <x:c r="N450" s="37" t="n">
        <x:v>46191</x:v>
      </x:c>
      <x:c r="O450" s="37"/>
      <x:c r="P450" s="34" t="n">
        <x:v>0</x:v>
      </x:c>
      <x:c r="Q450" s="37" t="n">
        <x:v>46191.194918981484</x:v>
      </x:c>
    </x:row>
    <x:row r="451">
      <x:c r="A451" s="22" t="n">
        <x:v>36536</x:v>
      </x:c>
      <x:c r="B451" s="28" t="n">
        <x:v>3110</x:v>
      </x:c>
      <x:c r="C451" s="28"/>
      <x:c r="D451" s="31" t="str">
        <x:f>IF(OR(ISBLANK(B451),ISBLANK(C451),B451=0),"",(C451-B451)/B451)</x:f>
      </x:c>
      <x:c r="E451" s="22" t="str">
        <x:f>IF(ISBLANK(C451),"AmountIncludingTax缺失",IF(ABS(B451-C451)&lt;0.005,"一致","不一致"))</x:f>
        <x:v>AmountIncludingTax缺失</x:v>
      </x:c>
      <x:c r="F451" s="19" t="str">
        <x:v>approved</x:v>
      </x:c>
      <x:c r="G451" s="19" t="str">
        <x:v>Repair in Progress</x:v>
      </x:c>
      <x:c r="H451" s="19" t="str">
        <x:v>In Field</x:v>
      </x:c>
      <x:c r="I451" s="37" t="n">
        <x:v>46199</x:v>
      </x:c>
      <x:c r="J451" s="37" t="n">
        <x:v>46199</x:v>
      </x:c>
      <x:c r="K451" s="19" t="str">
        <x:v>Green RV - Forest Glen</x:v>
      </x:c>
      <x:c r="L451" s="19" t="str">
        <x:v>Z006</x:v>
      </x:c>
      <x:c r="M451" s="19" t="str">
        <x:v>In Field Warranty Claims</x:v>
      </x:c>
      <x:c r="N451" s="37" t="n">
        <x:v>46190</x:v>
      </x:c>
      <x:c r="O451" s="37"/>
      <x:c r="P451" s="34" t="n">
        <x:v>3421</x:v>
      </x:c>
      <x:c r="Q451" s="37" t="n">
        <x:v>46198.906875</x:v>
      </x:c>
    </x:row>
    <x:row r="452">
      <x:c r="A452" s="22" t="n">
        <x:v>36535</x:v>
      </x:c>
      <x:c r="B452" s="28" t="n">
        <x:v>222.5</x:v>
      </x:c>
      <x:c r="C452" s="28"/>
      <x:c r="D452" s="31" t="str">
        <x:f>IF(OR(ISBLANK(B452),ISBLANK(C452),B452=0),"",(C452-B452)/B452)</x:f>
      </x:c>
      <x:c r="E452" s="22" t="str">
        <x:f>IF(ISBLANK(C452),"AmountIncludingTax缺失",IF(ABS(B452-C452)&lt;0.005,"一致","不一致"))</x:f>
        <x:v>AmountIncludingTax缺失</x:v>
      </x:c>
      <x:c r="F452" s="19" t="str">
        <x:v>approved</x:v>
      </x:c>
      <x:c r="G452" s="19" t="str">
        <x:v>Partially Picked</x:v>
      </x:c>
      <x:c r="H452" s="19" t="str">
        <x:v>In Field</x:v>
      </x:c>
      <x:c r="I452" s="37" t="n">
        <x:v>46191</x:v>
      </x:c>
      <x:c r="J452" s="37" t="n">
        <x:v>46191</x:v>
      </x:c>
      <x:c r="K452" s="19" t="str">
        <x:v>Regent RV - Townsville</x:v>
      </x:c>
      <x:c r="L452" s="19" t="str">
        <x:v>Z006</x:v>
      </x:c>
      <x:c r="M452" s="19" t="str">
        <x:v>In Field Warranty Claims</x:v>
      </x:c>
      <x:c r="N452" s="37" t="n">
        <x:v>46190</x:v>
      </x:c>
      <x:c r="O452" s="37"/>
      <x:c r="P452" s="34" t="n">
        <x:v>0</x:v>
      </x:c>
      <x:c r="Q452" s="37" t="n">
        <x:v>46191.192453703705</x:v>
      </x:c>
    </x:row>
    <x:row r="453">
      <x:c r="A453" s="22" t="n">
        <x:v>36534</x:v>
      </x:c>
      <x:c r="B453" s="28" t="n">
        <x:v>190</x:v>
      </x:c>
      <x:c r="C453" s="28"/>
      <x:c r="D453" s="31" t="str">
        <x:f>IF(OR(ISBLANK(B453),ISBLANK(C453),B453=0),"",(C453-B453)/B453)</x:f>
      </x:c>
      <x:c r="E453" s="22" t="str">
        <x:f>IF(ISBLANK(C453),"AmountIncludingTax缺失",IF(ABS(B453-C453)&lt;0.005,"一致","不一致"))</x:f>
        <x:v>AmountIncludingTax缺失</x:v>
      </x:c>
      <x:c r="F453" s="19" t="str">
        <x:v>approved</x:v>
      </x:c>
      <x:c r="G453" s="19" t="str">
        <x:v>Sales Order Approved</x:v>
      </x:c>
      <x:c r="H453" s="19" t="str">
        <x:v>Pre Delivery</x:v>
      </x:c>
      <x:c r="I453" s="37" t="n">
        <x:v>46205</x:v>
      </x:c>
      <x:c r="J453" s="37" t="n">
        <x:v>46205</x:v>
      </x:c>
      <x:c r="K453" s="19" t="str">
        <x:v>Regent RV Pty Ltd</x:v>
      </x:c>
      <x:c r="L453" s="19" t="str">
        <x:v>Z005</x:v>
      </x:c>
      <x:c r="M453" s="19" t="str">
        <x:v>Pre Delivery Warranty Claims</x:v>
      </x:c>
      <x:c r="N453" s="37" t="n">
        <x:v>46190</x:v>
      </x:c>
      <x:c r="O453" s="37"/>
      <x:c r="P453" s="34" t="n">
        <x:v>0</x:v>
      </x:c>
      <x:c r="Q453" s="37" t="n">
        <x:v>46205.13528935185</x:v>
      </x:c>
    </x:row>
    <x:row r="454">
      <x:c r="A454" s="22" t="n">
        <x:v>36533</x:v>
      </x:c>
      <x:c r="B454" s="28" t="n">
        <x:v>372.5</x:v>
      </x:c>
      <x:c r="C454" s="28" t="n">
        <x:v>337.26</x:v>
      </x:c>
      <x:c r="D454" s="31" t="n">
        <x:f>IF(OR(ISBLANK(B454),ISBLANK(C454),B454=0),"",(C454-B454)/B454)</x:f>
        <x:v>-0.09460402684563761</x:v>
      </x:c>
      <x:c r="E454" s="22" t="str">
        <x:f>IF(ISBLANK(C454),"AmountIncludingTax缺失",IF(ABS(B454-C454)&lt;0.005,"一致","不一致"))</x:f>
        <x:v>不一致</x:v>
      </x:c>
      <x:c r="F454" s="19" t="str">
        <x:v>approved</x:v>
      </x:c>
      <x:c r="G454" s="19" t="str">
        <x:v>Repairer Invoiced Processed</x:v>
      </x:c>
      <x:c r="H454" s="19" t="str">
        <x:v>In Field</x:v>
      </x:c>
      <x:c r="I454" s="37" t="n">
        <x:v>46191</x:v>
      </x:c>
      <x:c r="J454" s="37" t="n">
        <x:v>46191</x:v>
      </x:c>
      <x:c r="K454" s="19" t="str">
        <x:v>Vanari Caravans - Marden Point</x:v>
      </x:c>
      <x:c r="L454" s="19" t="str">
        <x:v>Z006</x:v>
      </x:c>
      <x:c r="M454" s="19" t="str">
        <x:v>In Field Warranty Claims</x:v>
      </x:c>
      <x:c r="N454" s="37" t="n">
        <x:v>46190</x:v>
      </x:c>
      <x:c r="O454" s="37"/>
      <x:c r="P454" s="34" t="n">
        <x:v>337.26</x:v>
      </x:c>
      <x:c r="Q454" s="37" t="n">
        <x:v>46190.96943287037</x:v>
      </x:c>
    </x:row>
    <x:row r="455">
      <x:c r="A455" s="22" t="n">
        <x:v>36532</x:v>
      </x:c>
      <x:c r="B455" s="28" t="n">
        <x:v>305.3</x:v>
      </x:c>
      <x:c r="C455" s="28" t="n">
        <x:v>276.42</x:v>
      </x:c>
      <x:c r="D455" s="31" t="n">
        <x:f>IF(OR(ISBLANK(B455),ISBLANK(C455),B455=0),"",(C455-B455)/B455)</x:f>
        <x:v>-0.09459547985587945</x:v>
      </x:c>
      <x:c r="E455" s="22" t="str">
        <x:f>IF(ISBLANK(C455),"AmountIncludingTax缺失",IF(ABS(B455-C455)&lt;0.005,"一致","不一致"))</x:f>
        <x:v>不一致</x:v>
      </x:c>
      <x:c r="F455" s="19" t="str">
        <x:v>approved</x:v>
      </x:c>
      <x:c r="G455" s="19" t="str">
        <x:v>Repairer Invoiced Processed</x:v>
      </x:c>
      <x:c r="H455" s="19" t="str">
        <x:v>In Field</x:v>
      </x:c>
      <x:c r="I455" s="37" t="n">
        <x:v>46191</x:v>
      </x:c>
      <x:c r="J455" s="37" t="n">
        <x:v>46191</x:v>
      </x:c>
      <x:c r="K455" s="19" t="str">
        <x:v>Vanari Caravans - Marden Point</x:v>
      </x:c>
      <x:c r="L455" s="19" t="str">
        <x:v>Z006</x:v>
      </x:c>
      <x:c r="M455" s="19" t="str">
        <x:v>In Field Warranty Claims</x:v>
      </x:c>
      <x:c r="N455" s="37" t="n">
        <x:v>46190</x:v>
      </x:c>
      <x:c r="O455" s="37"/>
      <x:c r="P455" s="34" t="n">
        <x:v>276.42</x:v>
      </x:c>
      <x:c r="Q455" s="37" t="n">
        <x:v>46191.0228125</x:v>
      </x:c>
    </x:row>
    <x:row r="456">
      <x:c r="A456" s="22" t="n">
        <x:v>36528</x:v>
      </x:c>
      <x:c r="B456" s="28" t="n">
        <x:v>1553.27</x:v>
      </x:c>
      <x:c r="C456" s="28"/>
      <x:c r="D456" s="31" t="str">
        <x:f>IF(OR(ISBLANK(B456),ISBLANK(C456),B456=0),"",(C456-B456)/B456)</x:f>
      </x:c>
      <x:c r="E456" s="22" t="str">
        <x:f>IF(ISBLANK(C456),"AmountIncludingTax缺失",IF(ABS(B456-C456)&lt;0.005,"一致","不一致"))</x:f>
        <x:v>AmountIncludingTax缺失</x:v>
      </x:c>
      <x:c r="F456" s="19" t="str">
        <x:v>approved</x:v>
      </x:c>
      <x:c r="G456" s="19" t="str">
        <x:v>Repair in Progress</x:v>
      </x:c>
      <x:c r="H456" s="19" t="str">
        <x:v>In Field</x:v>
      </x:c>
      <x:c r="I456" s="37" t="n">
        <x:v>46195</x:v>
      </x:c>
      <x:c r="J456" s="37" t="n">
        <x:v>46195</x:v>
      </x:c>
      <x:c r="K456" s="19" t="str">
        <x:v>Green RV - Slacks Creek</x:v>
      </x:c>
      <x:c r="L456" s="19" t="str">
        <x:v>Z006</x:v>
      </x:c>
      <x:c r="M456" s="19" t="str">
        <x:v>In Field Warranty Claims</x:v>
      </x:c>
      <x:c r="N456" s="37" t="n">
        <x:v>46191</x:v>
      </x:c>
      <x:c r="O456" s="37"/>
      <x:c r="P456" s="34" t="n">
        <x:v>1708.6</x:v>
      </x:c>
      <x:c r="Q456" s="37" t="n">
        <x:v>46194.86337962963</x:v>
      </x:c>
    </x:row>
    <x:row r="457">
      <x:c r="A457" s="22" t="n">
        <x:v>36527</x:v>
      </x:c>
      <x:c r="B457" s="28" t="n">
        <x:v>832.5</x:v>
      </x:c>
      <x:c r="C457" s="28"/>
      <x:c r="D457" s="31" t="str">
        <x:f>IF(OR(ISBLANK(B457),ISBLANK(C457),B457=0),"",(C457-B457)/B457)</x:f>
      </x:c>
      <x:c r="E457" s="22" t="str">
        <x:f>IF(ISBLANK(C457),"AmountIncludingTax缺失",IF(ABS(B457-C457)&lt;0.005,"一致","不一致"))</x:f>
        <x:v>AmountIncludingTax缺失</x:v>
      </x:c>
      <x:c r="F457" s="19" t="str">
        <x:v>approved</x:v>
      </x:c>
      <x:c r="G457" s="19" t="str">
        <x:v>Repair in Progress</x:v>
      </x:c>
      <x:c r="H457" s="19" t="str">
        <x:v>In Field</x:v>
      </x:c>
      <x:c r="I457" s="37" t="n">
        <x:v>46191</x:v>
      </x:c>
      <x:c r="J457" s="37" t="n">
        <x:v>46191</x:v>
      </x:c>
      <x:c r="K457" s="19" t="str">
        <x:v>Regent RV - Townsville</x:v>
      </x:c>
      <x:c r="L457" s="19" t="str">
        <x:v>Z006</x:v>
      </x:c>
      <x:c r="M457" s="19" t="str">
        <x:v>In Field Warranty Claims</x:v>
      </x:c>
      <x:c r="N457" s="37" t="n">
        <x:v>46191</x:v>
      </x:c>
      <x:c r="O457" s="37"/>
      <x:c r="P457" s="34" t="n">
        <x:v>0</x:v>
      </x:c>
      <x:c r="Q457" s="37" t="n">
        <x:v>46191.19226851852</x:v>
      </x:c>
    </x:row>
    <x:row r="458">
      <x:c r="A458" s="22" t="n">
        <x:v>36526</x:v>
      </x:c>
      <x:c r="B458" s="28" t="n">
        <x:v>145</x:v>
      </x:c>
      <x:c r="C458" s="28"/>
      <x:c r="D458" s="31" t="str">
        <x:f>IF(OR(ISBLANK(B458),ISBLANK(C458),B458=0),"",(C458-B458)/B458)</x:f>
      </x:c>
      <x:c r="E458" s="22" t="str">
        <x:f>IF(ISBLANK(C458),"AmountIncludingTax缺失",IF(ABS(B458-C458)&lt;0.005,"一致","不一致"))</x:f>
        <x:v>AmountIncludingTax缺失</x:v>
      </x:c>
      <x:c r="F458" s="19" t="str">
        <x:v>approved</x:v>
      </x:c>
      <x:c r="G458" s="19" t="str">
        <x:v>Sales Order Approved</x:v>
      </x:c>
      <x:c r="H458" s="19" t="str">
        <x:v>Pre Delivery</x:v>
      </x:c>
      <x:c r="I458" s="37" t="n">
        <x:v>46209</x:v>
      </x:c>
      <x:c r="J458" s="37" t="n">
        <x:v>46209</x:v>
      </x:c>
      <x:c r="K458" s="19" t="str">
        <x:v>Lesiure Lion-New Castle</x:v>
      </x:c>
      <x:c r="L458" s="19" t="str">
        <x:v>Z005</x:v>
      </x:c>
      <x:c r="M458" s="19" t="str">
        <x:v>Pre Delivery Warranty Claims</x:v>
      </x:c>
      <x:c r="N458" s="37" t="n">
        <x:v>46191</x:v>
      </x:c>
      <x:c r="O458" s="37"/>
      <x:c r="P458" s="34" t="n">
        <x:v>0</x:v>
      </x:c>
      <x:c r="Q458" s="37" t="n">
        <x:v>46208.915347222224</x:v>
      </x:c>
    </x:row>
    <x:row r="459">
      <x:c r="A459" s="22" t="n">
        <x:v>36525</x:v>
      </x:c>
      <x:c r="B459" s="28" t="n">
        <x:v>67.5</x:v>
      </x:c>
      <x:c r="C459" s="28"/>
      <x:c r="D459" s="31" t="str">
        <x:f>IF(OR(ISBLANK(B459),ISBLANK(C459),B459=0),"",(C459-B459)/B459)</x:f>
      </x:c>
      <x:c r="E459" s="22" t="str">
        <x:f>IF(ISBLANK(C459),"AmountIncludingTax缺失",IF(ABS(B459-C459)&lt;0.005,"一致","不一致"))</x:f>
        <x:v>AmountIncludingTax缺失</x:v>
      </x:c>
      <x:c r="F459" s="19" t="str">
        <x:v>approved</x:v>
      </x:c>
      <x:c r="G459" s="19" t="str">
        <x:v>Partially Picked</x:v>
      </x:c>
      <x:c r="H459" s="19" t="str">
        <x:v>Pre Delivery</x:v>
      </x:c>
      <x:c r="I459" s="37" t="n">
        <x:v>46197</x:v>
      </x:c>
      <x:c r="J459" s="37" t="n">
        <x:v>46197</x:v>
      </x:c>
      <x:c r="K459" s="19" t="str">
        <x:v>Green RV - Slacks Creek</x:v>
      </x:c>
      <x:c r="L459" s="19" t="str">
        <x:v>Z005</x:v>
      </x:c>
      <x:c r="M459" s="19" t="str">
        <x:v>Pre Delivery Warranty Claims</x:v>
      </x:c>
      <x:c r="N459" s="37" t="n">
        <x:v>46190</x:v>
      </x:c>
      <x:c r="O459" s="37" t="n">
        <x:v>46192</x:v>
      </x:c>
      <x:c r="P459" s="34" t="n">
        <x:v>0</x:v>
      </x:c>
      <x:c r="Q459" s="37" t="n">
        <x:v>46196.981041666666</x:v>
      </x:c>
    </x:row>
    <x:row r="460">
      <x:c r="A460" s="22" t="n">
        <x:v>36524</x:v>
      </x:c>
      <x:c r="B460" s="28" t="n">
        <x:v>965</x:v>
      </x:c>
      <x:c r="C460" s="28"/>
      <x:c r="D460" s="31" t="str">
        <x:f>IF(OR(ISBLANK(B460),ISBLANK(C460),B460=0),"",(C460-B460)/B460)</x:f>
      </x:c>
      <x:c r="E460" s="22" t="str">
        <x:f>IF(ISBLANK(C460),"AmountIncludingTax缺失",IF(ABS(B460-C460)&lt;0.005,"一致","不一致"))</x:f>
        <x:v>AmountIncludingTax缺失</x:v>
      </x:c>
      <x:c r="F460" s="19" t="str">
        <x:v>approved</x:v>
      </x:c>
      <x:c r="G460" s="19" t="str">
        <x:v>Repair in Progress</x:v>
      </x:c>
      <x:c r="H460" s="19" t="str">
        <x:v>In Field</x:v>
      </x:c>
      <x:c r="I460" s="37" t="n">
        <x:v>46196</x:v>
      </x:c>
      <x:c r="J460" s="37" t="n">
        <x:v>46196</x:v>
      </x:c>
      <x:c r="K460" s="19" t="str">
        <x:v>Green RV - Forest Glen</x:v>
      </x:c>
      <x:c r="L460" s="19" t="str">
        <x:v>Z006</x:v>
      </x:c>
      <x:c r="M460" s="19" t="str">
        <x:v>In Field Warranty Claims</x:v>
      </x:c>
      <x:c r="N460" s="37" t="n">
        <x:v>46190</x:v>
      </x:c>
      <x:c r="O460" s="37"/>
      <x:c r="P460" s="34" t="n">
        <x:v>0</x:v>
      </x:c>
      <x:c r="Q460" s="37" t="n">
        <x:v>46196.15945601852</x:v>
      </x:c>
    </x:row>
    <x:row r="461">
      <x:c r="A461" s="22" t="n">
        <x:v>36522</x:v>
      </x:c>
      <x:c r="B461" s="28" t="n">
        <x:v>1246.36</x:v>
      </x:c>
      <x:c r="C461" s="28"/>
      <x:c r="D461" s="31" t="str">
        <x:f>IF(OR(ISBLANK(B461),ISBLANK(C461),B461=0),"",(C461-B461)/B461)</x:f>
      </x:c>
      <x:c r="E461" s="22" t="str">
        <x:f>IF(ISBLANK(C461),"AmountIncludingTax缺失",IF(ABS(B461-C461)&lt;0.005,"一致","不一致"))</x:f>
        <x:v>AmountIncludingTax缺失</x:v>
      </x:c>
      <x:c r="F461" s="19" t="str">
        <x:v>approved</x:v>
      </x:c>
      <x:c r="G461" s="19" t="str">
        <x:v>Repair in Progress</x:v>
      </x:c>
      <x:c r="H461" s="19" t="str">
        <x:v>In Field</x:v>
      </x:c>
      <x:c r="I461" s="37" t="n">
        <x:v>46191</x:v>
      </x:c>
      <x:c r="J461" s="37" t="n">
        <x:v>46191</x:v>
      </x:c>
      <x:c r="K461" s="19" t="str">
        <x:v>Snowy River Wangaratta</x:v>
      </x:c>
      <x:c r="L461" s="19" t="str">
        <x:v>Z006</x:v>
      </x:c>
      <x:c r="M461" s="19" t="str">
        <x:v>In Field Warranty Claims</x:v>
      </x:c>
      <x:c r="N461" s="37" t="n">
        <x:v>46190</x:v>
      </x:c>
      <x:c r="O461" s="37"/>
      <x:c r="P461" s="34" t="n">
        <x:v>1371</x:v>
      </x:c>
      <x:c r="Q461" s="37" t="n">
        <x:v>46191.14292824074</x:v>
      </x:c>
    </x:row>
    <x:row r="462">
      <x:c r="A462" s="22" t="n">
        <x:v>36521</x:v>
      </x:c>
      <x:c r="B462" s="28" t="n">
        <x:v>188.75</x:v>
      </x:c>
      <x:c r="C462" s="28"/>
      <x:c r="D462" s="31" t="str">
        <x:f>IF(OR(ISBLANK(B462),ISBLANK(C462),B462=0),"",(C462-B462)/B462)</x:f>
      </x:c>
      <x:c r="E462" s="22" t="str">
        <x:f>IF(ISBLANK(C462),"AmountIncludingTax缺失",IF(ABS(B462-C462)&lt;0.005,"一致","不一致"))</x:f>
        <x:v>AmountIncludingTax缺失</x:v>
      </x:c>
      <x:c r="F462" s="19" t="str">
        <x:v>approved</x:v>
      </x:c>
      <x:c r="G462" s="19" t="str">
        <x:v>Sales Order Approved</x:v>
      </x:c>
      <x:c r="H462" s="19" t="str">
        <x:v>In Field</x:v>
      </x:c>
      <x:c r="I462" s="37" t="n">
        <x:v>46209</x:v>
      </x:c>
      <x:c r="J462" s="37" t="n">
        <x:v>46209</x:v>
      </x:c>
      <x:c r="K462" s="19" t="str">
        <x:v>Dario Caravans - Pooraka</x:v>
      </x:c>
      <x:c r="L462" s="19" t="str">
        <x:v>Z006</x:v>
      </x:c>
      <x:c r="M462" s="19" t="str">
        <x:v>In Field Warranty Claims</x:v>
      </x:c>
      <x:c r="N462" s="37" t="n">
        <x:v>46190</x:v>
      </x:c>
      <x:c r="O462" s="37"/>
      <x:c r="P462" s="34" t="n">
        <x:v>0</x:v>
      </x:c>
      <x:c r="Q462" s="37" t="n">
        <x:v>46209.23756944444</x:v>
      </x:c>
    </x:row>
    <x:row r="463">
      <x:c r="A463" s="22" t="n">
        <x:v>36520</x:v>
      </x:c>
      <x:c r="B463" s="28" t="n">
        <x:v>714.09</x:v>
      </x:c>
      <x:c r="C463" s="28"/>
      <x:c r="D463" s="31" t="str">
        <x:f>IF(OR(ISBLANK(B463),ISBLANK(C463),B463=0),"",(C463-B463)/B463)</x:f>
      </x:c>
      <x:c r="E463" s="22" t="str">
        <x:f>IF(ISBLANK(C463),"AmountIncludingTax缺失",IF(ABS(B463-C463)&lt;0.005,"一致","不一致"))</x:f>
        <x:v>AmountIncludingTax缺失</x:v>
      </x:c>
      <x:c r="F463" s="19" t="str">
        <x:v>approved</x:v>
      </x:c>
      <x:c r="G463" s="19" t="str">
        <x:v>Sales Order Approved</x:v>
      </x:c>
      <x:c r="H463" s="19" t="str">
        <x:v>In Field</x:v>
      </x:c>
      <x:c r="I463" s="37" t="n">
        <x:v>46209</x:v>
      </x:c>
      <x:c r="J463" s="37" t="n">
        <x:v>46209</x:v>
      </x:c>
      <x:c r="K463" s="19" t="str">
        <x:v>Green RV - Forest Glen</x:v>
      </x:c>
      <x:c r="L463" s="19" t="str">
        <x:v>Z006</x:v>
      </x:c>
      <x:c r="M463" s="19" t="str">
        <x:v>In Field Warranty Claims</x:v>
      </x:c>
      <x:c r="N463" s="37" t="n">
        <x:v>46190</x:v>
      </x:c>
      <x:c r="O463" s="37"/>
      <x:c r="P463" s="34" t="n">
        <x:v>0</x:v>
      </x:c>
      <x:c r="Q463" s="37" t="n">
        <x:v>46208.91405092592</x:v>
      </x:c>
    </x:row>
    <x:row r="464">
      <x:c r="A464" s="22" t="n">
        <x:v>36519</x:v>
      </x:c>
      <x:c r="B464" s="28" t="n">
        <x:v>752.5</x:v>
      </x:c>
      <x:c r="C464" s="28"/>
      <x:c r="D464" s="31" t="str">
        <x:f>IF(OR(ISBLANK(B464),ISBLANK(C464),B464=0),"",(C464-B464)/B464)</x:f>
      </x:c>
      <x:c r="E464" s="22" t="str">
        <x:f>IF(ISBLANK(C464),"AmountIncludingTax缺失",IF(ABS(B464-C464)&lt;0.005,"一致","不一致"))</x:f>
        <x:v>AmountIncludingTax缺失</x:v>
      </x:c>
      <x:c r="F464" s="19" t="str">
        <x:v>approved</x:v>
      </x:c>
      <x:c r="G464" s="19" t="str">
        <x:v>Partially Picked</x:v>
      </x:c>
      <x:c r="H464" s="19" t="str">
        <x:v>In Field</x:v>
      </x:c>
      <x:c r="I464" s="37" t="n">
        <x:v>46195</x:v>
      </x:c>
      <x:c r="J464" s="37" t="n">
        <x:v>46195</x:v>
      </x:c>
      <x:c r="K464" s="19" t="str">
        <x:v>Green RV - Forest Glen</x:v>
      </x:c>
      <x:c r="L464" s="19" t="str">
        <x:v>Z006</x:v>
      </x:c>
      <x:c r="M464" s="19" t="str">
        <x:v>In Field Warranty Claims</x:v>
      </x:c>
      <x:c r="N464" s="37" t="n">
        <x:v>46190</x:v>
      </x:c>
      <x:c r="O464" s="37"/>
      <x:c r="P464" s="34" t="n">
        <x:v>0</x:v>
      </x:c>
      <x:c r="Q464" s="37" t="n">
        <x:v>46195.052094907405</x:v>
      </x:c>
    </x:row>
    <x:row r="465">
      <x:c r="A465" s="22" t="n">
        <x:v>36517</x:v>
      </x:c>
      <x:c r="B465" s="28" t="n">
        <x:v>1498.75</x:v>
      </x:c>
      <x:c r="C465" s="28"/>
      <x:c r="D465" s="31" t="str">
        <x:f>IF(OR(ISBLANK(B465),ISBLANK(C465),B465=0),"",(C465-B465)/B465)</x:f>
      </x:c>
      <x:c r="E465" s="22" t="str">
        <x:f>IF(ISBLANK(C465),"AmountIncludingTax缺失",IF(ABS(B465-C465)&lt;0.005,"一致","不一致"))</x:f>
        <x:v>AmountIncludingTax缺失</x:v>
      </x:c>
      <x:c r="F465" s="19" t="str">
        <x:v>approved</x:v>
      </x:c>
      <x:c r="G465" s="19" t="str">
        <x:v>Repairer Invoiced Processed</x:v>
      </x:c>
      <x:c r="H465" s="19" t="str">
        <x:v>Pre Delivery</x:v>
      </x:c>
      <x:c r="I465" s="37" t="n">
        <x:v>46198</x:v>
      </x:c>
      <x:c r="J465" s="37" t="n">
        <x:v>46198</x:v>
      </x:c>
      <x:c r="K465" s="19" t="str">
        <x:v>Leisure Lion - Bundaberg</x:v>
      </x:c>
      <x:c r="L465" s="19" t="str">
        <x:v>Z005</x:v>
      </x:c>
      <x:c r="M465" s="19" t="str">
        <x:v>Pre Delivery Warranty Claims</x:v>
      </x:c>
      <x:c r="N465" s="37" t="n">
        <x:v>46190</x:v>
      </x:c>
      <x:c r="O465" s="37"/>
      <x:c r="P465" s="34" t="n">
        <x:v>0</x:v>
      </x:c>
      <x:c r="Q465" s="37" t="n">
        <x:v>46197.93900462963</x:v>
      </x:c>
    </x:row>
    <x:row r="466">
      <x:c r="A466" s="22" t="n">
        <x:v>36516</x:v>
      </x:c>
      <x:c r="B466" s="28" t="n">
        <x:v>5265.46</x:v>
      </x:c>
      <x:c r="C466" s="28"/>
      <x:c r="D466" s="31" t="str">
        <x:f>IF(OR(ISBLANK(B466),ISBLANK(C466),B466=0),"",(C466-B466)/B466)</x:f>
      </x:c>
      <x:c r="E466" s="22" t="str">
        <x:f>IF(ISBLANK(C466),"AmountIncludingTax缺失",IF(ABS(B466-C466)&lt;0.005,"一致","不一致"))</x:f>
        <x:v>AmountIncludingTax缺失</x:v>
      </x:c>
      <x:c r="F466" s="19" t="str">
        <x:v>approved</x:v>
      </x:c>
      <x:c r="G466" s="19" t="str">
        <x:v>Repair in Progress</x:v>
      </x:c>
      <x:c r="H466" s="19" t="str">
        <x:v>In Field</x:v>
      </x:c>
      <x:c r="I466" s="37" t="n">
        <x:v>46211</x:v>
      </x:c>
      <x:c r="J466" s="37" t="n">
        <x:v>46211</x:v>
      </x:c>
      <x:c r="K466" s="19" t="str">
        <x:v>Regent RV Pty Ltd</x:v>
      </x:c>
      <x:c r="L466" s="19" t="str">
        <x:v>Z006</x:v>
      </x:c>
      <x:c r="M466" s="19" t="str">
        <x:v>In Field Warranty Claims</x:v>
      </x:c>
      <x:c r="N466" s="37" t="n">
        <x:v>46190</x:v>
      </x:c>
      <x:c r="O466" s="37"/>
      <x:c r="P466" s="34" t="n">
        <x:v>5792.01</x:v>
      </x:c>
      <x:c r="Q466" s="37" t="n">
        <x:v>46211.079201388886</x:v>
      </x:c>
    </x:row>
    <x:row r="467">
      <x:c r="A467" s="22" t="n">
        <x:v>36512</x:v>
      </x:c>
      <x:c r="B467" s="28" t="n">
        <x:v>290</x:v>
      </x:c>
      <x:c r="C467" s="28"/>
      <x:c r="D467" s="31" t="str">
        <x:f>IF(OR(ISBLANK(B467),ISBLANK(C467),B467=0),"",(C467-B467)/B467)</x:f>
      </x:c>
      <x:c r="E467" s="22" t="str">
        <x:f>IF(ISBLANK(C467),"AmountIncludingTax缺失",IF(ABS(B467-C467)&lt;0.005,"一致","不一致"))</x:f>
        <x:v>AmountIncludingTax缺失</x:v>
      </x:c>
      <x:c r="F467" s="19" t="str">
        <x:v>approved</x:v>
      </x:c>
      <x:c r="G467" s="19" t="str">
        <x:v>Sales Order Approved</x:v>
      </x:c>
      <x:c r="H467" s="19" t="str">
        <x:v>In Field</x:v>
      </x:c>
      <x:c r="I467" s="37" t="n">
        <x:v>46210</x:v>
      </x:c>
      <x:c r="J467" s="37" t="n">
        <x:v>46210</x:v>
      </x:c>
      <x:c r="K467" s="19" t="str">
        <x:v>Green RV - Forest Glen</x:v>
      </x:c>
      <x:c r="L467" s="19" t="str">
        <x:v>Z006</x:v>
      </x:c>
      <x:c r="M467" s="19" t="str">
        <x:v>In Field Warranty Claims</x:v>
      </x:c>
      <x:c r="N467" s="37" t="n">
        <x:v>46190</x:v>
      </x:c>
      <x:c r="O467" s="37"/>
      <x:c r="P467" s="34" t="n">
        <x:v>0</x:v>
      </x:c>
      <x:c r="Q467" s="37" t="n">
        <x:v>46210.002291666664</x:v>
      </x:c>
    </x:row>
    <x:row r="468">
      <x:c r="A468" s="22" t="n">
        <x:v>36510</x:v>
      </x:c>
      <x:c r="B468" s="28" t="n">
        <x:v>863.75</x:v>
      </x:c>
      <x:c r="C468" s="28"/>
      <x:c r="D468" s="31" t="str">
        <x:f>IF(OR(ISBLANK(B468),ISBLANK(C468),B468=0),"",(C468-B468)/B468)</x:f>
      </x:c>
      <x:c r="E468" s="22" t="str">
        <x:f>IF(ISBLANK(C468),"AmountIncludingTax缺失",IF(ABS(B468-C468)&lt;0.005,"一致","不一致"))</x:f>
        <x:v>AmountIncludingTax缺失</x:v>
      </x:c>
      <x:c r="F468" s="19" t="str">
        <x:v>approved</x:v>
      </x:c>
      <x:c r="G468" s="19" t="str">
        <x:v>Repair in Progress</x:v>
      </x:c>
      <x:c r="H468" s="19" t="str">
        <x:v>In Field</x:v>
      </x:c>
      <x:c r="I468" s="37" t="n">
        <x:v>46192</x:v>
      </x:c>
      <x:c r="J468" s="37" t="n">
        <x:v>46192</x:v>
      </x:c>
      <x:c r="K468" s="19" t="str">
        <x:v>The Caravan Hub - Townsville</x:v>
      </x:c>
      <x:c r="L468" s="19" t="str">
        <x:v>Z006</x:v>
      </x:c>
      <x:c r="M468" s="19" t="str">
        <x:v>In Field Warranty Claims</x:v>
      </x:c>
      <x:c r="N468" s="37" t="n">
        <x:v>46190</x:v>
      </x:c>
      <x:c r="O468" s="37"/>
      <x:c r="P468" s="34" t="n">
        <x:v>0</x:v>
      </x:c>
      <x:c r="Q468" s="37" t="n">
        <x:v>46192.067881944444</x:v>
      </x:c>
    </x:row>
    <x:row r="469">
      <x:c r="A469" s="22" t="n">
        <x:v>36506</x:v>
      </x:c>
      <x:c r="B469" s="28" t="n">
        <x:v>270</x:v>
      </x:c>
      <x:c r="C469" s="28"/>
      <x:c r="D469" s="31" t="str">
        <x:f>IF(OR(ISBLANK(B469),ISBLANK(C469),B469=0),"",(C469-B469)/B469)</x:f>
      </x:c>
      <x:c r="E469" s="22" t="str">
        <x:f>IF(ISBLANK(C469),"AmountIncludingTax缺失",IF(ABS(B469-C469)&lt;0.005,"一致","不一致"))</x:f>
        <x:v>AmountIncludingTax缺失</x:v>
      </x:c>
      <x:c r="F469" s="19" t="str">
        <x:v>approved</x:v>
      </x:c>
      <x:c r="G469" s="19" t="str">
        <x:v>Partially Picked</x:v>
      </x:c>
      <x:c r="H469" s="19" t="str">
        <x:v>In Field</x:v>
      </x:c>
      <x:c r="I469" s="37" t="n">
        <x:v>46191</x:v>
      </x:c>
      <x:c r="J469" s="37" t="n">
        <x:v>46191</x:v>
      </x:c>
      <x:c r="K469" s="19" t="str">
        <x:v>Green RV - Forest Glen</x:v>
      </x:c>
      <x:c r="L469" s="19" t="str">
        <x:v>Z006</x:v>
      </x:c>
      <x:c r="M469" s="19" t="str">
        <x:v>In Field Warranty Claims</x:v>
      </x:c>
      <x:c r="N469" s="37" t="n">
        <x:v>46190</x:v>
      </x:c>
      <x:c r="O469" s="37"/>
      <x:c r="P469" s="34" t="n">
        <x:v>0</x:v>
      </x:c>
      <x:c r="Q469" s="37" t="n">
        <x:v>46191.125393518516</x:v>
      </x:c>
    </x:row>
    <x:row r="470">
      <x:c r="A470" s="22" t="n">
        <x:v>36505</x:v>
      </x:c>
      <x:c r="B470" s="28" t="n">
        <x:v>67.5</x:v>
      </x:c>
      <x:c r="C470" s="28"/>
      <x:c r="D470" s="31" t="str">
        <x:f>IF(OR(ISBLANK(B470),ISBLANK(C470),B470=0),"",(C470-B470)/B470)</x:f>
      </x:c>
      <x:c r="E470" s="22" t="str">
        <x:f>IF(ISBLANK(C470),"AmountIncludingTax缺失",IF(ABS(B470-C470)&lt;0.005,"一致","不一致"))</x:f>
        <x:v>AmountIncludingTax缺失</x:v>
      </x:c>
      <x:c r="F470" s="19" t="str">
        <x:v>approved</x:v>
      </x:c>
      <x:c r="G470" s="19" t="str">
        <x:v>Repairer Invoiced Processed</x:v>
      </x:c>
      <x:c r="H470" s="19" t="str">
        <x:v>Pre Delivery</x:v>
      </x:c>
      <x:c r="I470" s="37" t="n">
        <x:v>46191</x:v>
      </x:c>
      <x:c r="J470" s="37" t="n">
        <x:v>46191</x:v>
      </x:c>
      <x:c r="K470" s="19" t="str">
        <x:v>Green RV - Slacks Creek</x:v>
      </x:c>
      <x:c r="L470" s="19" t="str">
        <x:v>Z005</x:v>
      </x:c>
      <x:c r="M470" s="19" t="str">
        <x:v>Pre Delivery Warranty Claims</x:v>
      </x:c>
      <x:c r="N470" s="37" t="n">
        <x:v>46190</x:v>
      </x:c>
      <x:c r="O470" s="37"/>
      <x:c r="P470" s="34" t="n">
        <x:v>0</x:v>
      </x:c>
      <x:c r="Q470" s="37" t="n">
        <x:v>46190.9230787037</x:v>
      </x:c>
    </x:row>
    <x:row r="471">
      <x:c r="A471" s="22" t="n">
        <x:v>36504</x:v>
      </x:c>
      <x:c r="B471" s="28" t="n">
        <x:v>782.05</x:v>
      </x:c>
      <x:c r="C471" s="28" t="n">
        <x:v>860.26</x:v>
      </x:c>
      <x:c r="D471" s="31" t="n">
        <x:f>IF(OR(ISBLANK(B471),ISBLANK(C471),B471=0),"",(C471-B471)/B471)</x:f>
        <x:v>0.10000639345310407</x:v>
      </x:c>
      <x:c r="E471" s="22" t="str">
        <x:f>IF(ISBLANK(C471),"AmountIncludingTax缺失",IF(ABS(B471-C471)&lt;0.005,"一致","不一致"))</x:f>
        <x:v>不一致</x:v>
      </x:c>
      <x:c r="F471" s="19" t="str">
        <x:v>approved</x:v>
      </x:c>
      <x:c r="G471" s="19" t="str">
        <x:v>Repair in Progress</x:v>
      </x:c>
      <x:c r="H471" s="19" t="str">
        <x:v>In Field</x:v>
      </x:c>
      <x:c r="I471" s="37" t="n">
        <x:v>46191</x:v>
      </x:c>
      <x:c r="J471" s="37" t="n">
        <x:v>46191</x:v>
      </x:c>
      <x:c r="K471" s="19" t="str">
        <x:v>Green RV - Forest Glen</x:v>
      </x:c>
      <x:c r="L471" s="19" t="str">
        <x:v>Z006</x:v>
      </x:c>
      <x:c r="M471" s="19" t="str">
        <x:v>In Field Warranty Claims</x:v>
      </x:c>
      <x:c r="N471" s="37" t="n">
        <x:v>46190</x:v>
      </x:c>
      <x:c r="O471" s="37"/>
      <x:c r="P471" s="34" t="n">
        <x:v>860.26</x:v>
      </x:c>
      <x:c r="Q471" s="37" t="n">
        <x:v>46191.22440972222</x:v>
      </x:c>
    </x:row>
    <x:row r="472">
      <x:c r="A472" s="22" t="n">
        <x:v>36502</x:v>
      </x:c>
      <x:c r="B472" s="28" t="n">
        <x:v>213.64</x:v>
      </x:c>
      <x:c r="C472" s="28" t="n">
        <x:v>235</x:v>
      </x:c>
      <x:c r="D472" s="31" t="n">
        <x:f>IF(OR(ISBLANK(B472),ISBLANK(C472),B472=0),"",(C472-B472)/B472)</x:f>
        <x:v>0.09998127691443556</x:v>
      </x:c>
      <x:c r="E472" s="22" t="str">
        <x:f>IF(ISBLANK(C472),"AmountIncludingTax缺失",IF(ABS(B472-C472)&lt;0.005,"一致","不一致"))</x:f>
        <x:v>不一致</x:v>
      </x:c>
      <x:c r="F472" s="19" t="str">
        <x:v>approved</x:v>
      </x:c>
      <x:c r="G472" s="19" t="str">
        <x:v>Repairer Invoiced Processed</x:v>
      </x:c>
      <x:c r="H472" s="19" t="str">
        <x:v>In Field</x:v>
      </x:c>
      <x:c r="I472" s="37" t="n">
        <x:v>46191</x:v>
      </x:c>
      <x:c r="J472" s="37" t="n">
        <x:v>46191</x:v>
      </x:c>
      <x:c r="K472" s="19" t="str">
        <x:v>Green RV - Forest Glen</x:v>
      </x:c>
      <x:c r="L472" s="19" t="str">
        <x:v>Z006</x:v>
      </x:c>
      <x:c r="M472" s="19" t="str">
        <x:v>In Field Warranty Claims</x:v>
      </x:c>
      <x:c r="N472" s="37" t="n">
        <x:v>46190</x:v>
      </x:c>
      <x:c r="O472" s="37"/>
      <x:c r="P472" s="34" t="n">
        <x:v>235</x:v>
      </x:c>
      <x:c r="Q472" s="37" t="n">
        <x:v>46191.070752314816</x:v>
      </x:c>
    </x:row>
    <x:row r="473">
      <x:c r="A473" s="22" t="n">
        <x:v>36501</x:v>
      </x:c>
      <x:c r="B473" s="28" t="n">
        <x:v>135</x:v>
      </x:c>
      <x:c r="C473" s="28"/>
      <x:c r="D473" s="31" t="str">
        <x:f>IF(OR(ISBLANK(B473),ISBLANK(C473),B473=0),"",(C473-B473)/B473)</x:f>
      </x:c>
      <x:c r="E473" s="22" t="str">
        <x:f>IF(ISBLANK(C473),"AmountIncludingTax缺失",IF(ABS(B473-C473)&lt;0.005,"一致","不一致"))</x:f>
        <x:v>AmountIncludingTax缺失</x:v>
      </x:c>
      <x:c r="F473" s="19" t="str">
        <x:v>approved</x:v>
      </x:c>
      <x:c r="G473" s="19" t="str">
        <x:v>Partially Picked</x:v>
      </x:c>
      <x:c r="H473" s="19" t="str">
        <x:v>In Field</x:v>
      </x:c>
      <x:c r="I473" s="37" t="n">
        <x:v>46192</x:v>
      </x:c>
      <x:c r="J473" s="37" t="n">
        <x:v>46192</x:v>
      </x:c>
      <x:c r="K473" s="19" t="str">
        <x:v>Lesiure Lion-New Castle</x:v>
      </x:c>
      <x:c r="L473" s="19" t="str">
        <x:v>Z006</x:v>
      </x:c>
      <x:c r="M473" s="19" t="str">
        <x:v>In Field Warranty Claims</x:v>
      </x:c>
      <x:c r="N473" s="37" t="n">
        <x:v>46190</x:v>
      </x:c>
      <x:c r="O473" s="37"/>
      <x:c r="P473" s="34" t="n">
        <x:v>0</x:v>
      </x:c>
      <x:c r="Q473" s="37" t="n">
        <x:v>46192.2321875</x:v>
      </x:c>
    </x:row>
    <x:row r="474">
      <x:c r="A474" s="22" t="n">
        <x:v>36489</x:v>
      </x:c>
      <x:c r="B474" s="28" t="n">
        <x:v>817</x:v>
      </x:c>
      <x:c r="C474" s="28" t="n">
        <x:v>898.7</x:v>
      </x:c>
      <x:c r="D474" s="31" t="n">
        <x:f>IF(OR(ISBLANK(B474),ISBLANK(C474),B474=0),"",(C474-B474)/B474)</x:f>
        <x:v>0.10000000000000006</x:v>
      </x:c>
      <x:c r="E474" s="22" t="str">
        <x:f>IF(ISBLANK(C474),"AmountIncludingTax缺失",IF(ABS(B474-C474)&lt;0.005,"一致","不一致"))</x:f>
        <x:v>不一致</x:v>
      </x:c>
      <x:c r="F474" s="19" t="str">
        <x:v>approved</x:v>
      </x:c>
      <x:c r="G474" s="19" t="str">
        <x:v>Repair in Progress</x:v>
      </x:c>
      <x:c r="H474" s="19" t="str">
        <x:v>In Field</x:v>
      </x:c>
      <x:c r="I474" s="37" t="n">
        <x:v>46192</x:v>
      </x:c>
      <x:c r="J474" s="37" t="n">
        <x:v>46192</x:v>
      </x:c>
      <x:c r="K474" s="19" t="str">
        <x:v>Green RV - Forest Glen</x:v>
      </x:c>
      <x:c r="L474" s="19" t="str">
        <x:v>Z006</x:v>
      </x:c>
      <x:c r="M474" s="19" t="str">
        <x:v>In Field Warranty Claims</x:v>
      </x:c>
      <x:c r="N474" s="37" t="n">
        <x:v>46190</x:v>
      </x:c>
      <x:c r="O474" s="37"/>
      <x:c r="P474" s="34" t="n">
        <x:v>898.7</x:v>
      </x:c>
      <x:c r="Q474" s="37" t="n">
        <x:v>46192.03287037037</x:v>
      </x:c>
    </x:row>
    <x:row r="475">
      <x:c r="A475" s="22" t="n">
        <x:v>36488</x:v>
      </x:c>
      <x:c r="B475" s="28" t="n">
        <x:v>685</x:v>
      </x:c>
      <x:c r="C475" s="28"/>
      <x:c r="D475" s="31" t="str">
        <x:f>IF(OR(ISBLANK(B475),ISBLANK(C475),B475=0),"",(C475-B475)/B475)</x:f>
      </x:c>
      <x:c r="E475" s="22" t="str">
        <x:f>IF(ISBLANK(C475),"AmountIncludingTax缺失",IF(ABS(B475-C475)&lt;0.005,"一致","不一致"))</x:f>
        <x:v>AmountIncludingTax缺失</x:v>
      </x:c>
      <x:c r="F475" s="19" t="str">
        <x:v>approved</x:v>
      </x:c>
      <x:c r="G475" s="19" t="str">
        <x:v>Repair in Progress</x:v>
      </x:c>
      <x:c r="H475" s="19" t="str">
        <x:v>In Field</x:v>
      </x:c>
      <x:c r="I475" s="37" t="n">
        <x:v>46192</x:v>
      </x:c>
      <x:c r="J475" s="37" t="n">
        <x:v>46192</x:v>
      </x:c>
      <x:c r="K475" s="19" t="str">
        <x:v>Green RV - Forest Glen</x:v>
      </x:c>
      <x:c r="L475" s="19" t="str">
        <x:v>Z006</x:v>
      </x:c>
      <x:c r="M475" s="19" t="str">
        <x:v>In Field Warranty Claims</x:v>
      </x:c>
      <x:c r="N475" s="37" t="n">
        <x:v>46190</x:v>
      </x:c>
      <x:c r="O475" s="37"/>
      <x:c r="P475" s="34" t="n">
        <x:v>0</x:v>
      </x:c>
      <x:c r="Q475" s="37" t="n">
        <x:v>46191.8825462963</x:v>
      </x:c>
    </x:row>
    <x:row r="476">
      <x:c r="A476" s="22" t="n">
        <x:v>36487</x:v>
      </x:c>
      <x:c r="B476" s="28" t="n">
        <x:v>77.5</x:v>
      </x:c>
      <x:c r="C476" s="28"/>
      <x:c r="D476" s="31" t="str">
        <x:f>IF(OR(ISBLANK(B476),ISBLANK(C476),B476=0),"",(C476-B476)/B476)</x:f>
      </x:c>
      <x:c r="E476" s="22" t="str">
        <x:f>IF(ISBLANK(C476),"AmountIncludingTax缺失",IF(ABS(B476-C476)&lt;0.005,"一致","不一致"))</x:f>
        <x:v>AmountIncludingTax缺失</x:v>
      </x:c>
      <x:c r="F476" s="19" t="str">
        <x:v>approved</x:v>
      </x:c>
      <x:c r="G476" s="19" t="str">
        <x:v>Repairer Invoiced Processed</x:v>
      </x:c>
      <x:c r="H476" s="19" t="str">
        <x:v>In Field</x:v>
      </x:c>
      <x:c r="I476" s="37" t="n">
        <x:v>46191</x:v>
      </x:c>
      <x:c r="J476" s="37" t="n">
        <x:v>46191</x:v>
      </x:c>
      <x:c r="K476" s="19" t="str">
        <x:v>Dario Caravans -St.Marys</x:v>
      </x:c>
      <x:c r="L476" s="19" t="str">
        <x:v>Z006</x:v>
      </x:c>
      <x:c r="M476" s="19" t="str">
        <x:v>In Field Warranty Claims</x:v>
      </x:c>
      <x:c r="N476" s="37" t="n">
        <x:v>46190</x:v>
      </x:c>
      <x:c r="O476" s="37"/>
      <x:c r="P476" s="34" t="n">
        <x:v>0</x:v>
      </x:c>
      <x:c r="Q476" s="37" t="n">
        <x:v>46191.192141203705</x:v>
      </x:c>
    </x:row>
    <x:row r="477">
      <x:c r="A477" s="22" t="n">
        <x:v>36486</x:v>
      </x:c>
      <x:c r="B477" s="28" t="n">
        <x:v>405</x:v>
      </x:c>
      <x:c r="C477" s="28"/>
      <x:c r="D477" s="31" t="str">
        <x:f>IF(OR(ISBLANK(B477),ISBLANK(C477),B477=0),"",(C477-B477)/B477)</x:f>
      </x:c>
      <x:c r="E477" s="22" t="str">
        <x:f>IF(ISBLANK(C477),"AmountIncludingTax缺失",IF(ABS(B477-C477)&lt;0.005,"一致","不一致"))</x:f>
        <x:v>AmountIncludingTax缺失</x:v>
      </x:c>
      <x:c r="F477" s="19" t="str">
        <x:v>approved</x:v>
      </x:c>
      <x:c r="G477" s="19" t="str">
        <x:v>Repair in Progress</x:v>
      </x:c>
      <x:c r="H477" s="19" t="str">
        <x:v>In Field</x:v>
      </x:c>
      <x:c r="I477" s="37" t="n">
        <x:v>46192</x:v>
      </x:c>
      <x:c r="J477" s="37" t="n">
        <x:v>46192</x:v>
      </x:c>
      <x:c r="K477" s="19" t="str">
        <x:v>Green RV - Forest Glen</x:v>
      </x:c>
      <x:c r="L477" s="19" t="str">
        <x:v>Z006</x:v>
      </x:c>
      <x:c r="M477" s="19" t="str">
        <x:v>In Field Warranty Claims</x:v>
      </x:c>
      <x:c r="N477" s="37" t="n">
        <x:v>46190</x:v>
      </x:c>
      <x:c r="O477" s="37"/>
      <x:c r="P477" s="34" t="n">
        <x:v>0</x:v>
      </x:c>
      <x:c r="Q477" s="37" t="n">
        <x:v>46192.063414351855</x:v>
      </x:c>
    </x:row>
    <x:row r="478">
      <x:c r="A478" s="22" t="n">
        <x:v>36484</x:v>
      </x:c>
      <x:c r="B478" s="28" t="n">
        <x:v>472.5</x:v>
      </x:c>
      <x:c r="C478" s="28"/>
      <x:c r="D478" s="31" t="str">
        <x:f>IF(OR(ISBLANK(B478),ISBLANK(C478),B478=0),"",(C478-B478)/B478)</x:f>
      </x:c>
      <x:c r="E478" s="22" t="str">
        <x:f>IF(ISBLANK(C478),"AmountIncludingTax缺失",IF(ABS(B478-C478)&lt;0.005,"一致","不一致"))</x:f>
        <x:v>AmountIncludingTax缺失</x:v>
      </x:c>
      <x:c r="F478" s="19" t="str">
        <x:v>approved</x:v>
      </x:c>
      <x:c r="G478" s="19" t="str">
        <x:v>Repair in Progress</x:v>
      </x:c>
      <x:c r="H478" s="19" t="str">
        <x:v>In Field</x:v>
      </x:c>
      <x:c r="I478" s="37" t="n">
        <x:v>46191</x:v>
      </x:c>
      <x:c r="J478" s="37" t="n">
        <x:v>46191</x:v>
      </x:c>
      <x:c r="K478" s="19" t="str">
        <x:v>QCCC - Gympie</x:v>
      </x:c>
      <x:c r="L478" s="19" t="str">
        <x:v>Z006</x:v>
      </x:c>
      <x:c r="M478" s="19" t="str">
        <x:v>In Field Warranty Claims</x:v>
      </x:c>
      <x:c r="N478" s="37" t="n">
        <x:v>46190</x:v>
      </x:c>
      <x:c r="O478" s="37"/>
      <x:c r="P478" s="34" t="n">
        <x:v>0</x:v>
      </x:c>
      <x:c r="Q478" s="37" t="n">
        <x:v>46191.19138888889</x:v>
      </x:c>
    </x:row>
    <x:row r="479">
      <x:c r="A479" s="22" t="n">
        <x:v>36482</x:v>
      </x:c>
      <x:c r="B479" s="28" t="n">
        <x:v>405</x:v>
      </x:c>
      <x:c r="C479" s="28"/>
      <x:c r="D479" s="31" t="str">
        <x:f>IF(OR(ISBLANK(B479),ISBLANK(C479),B479=0),"",(C479-B479)/B479)</x:f>
      </x:c>
      <x:c r="E479" s="22" t="str">
        <x:f>IF(ISBLANK(C479),"AmountIncludingTax缺失",IF(ABS(B479-C479)&lt;0.005,"一致","不一致"))</x:f>
        <x:v>AmountIncludingTax缺失</x:v>
      </x:c>
      <x:c r="F479" s="19" t="str">
        <x:v>approved</x:v>
      </x:c>
      <x:c r="G479" s="19" t="str">
        <x:v>Repair in Progress</x:v>
      </x:c>
      <x:c r="H479" s="19" t="str">
        <x:v>In Field</x:v>
      </x:c>
      <x:c r="I479" s="37" t="n">
        <x:v>46191</x:v>
      </x:c>
      <x:c r="J479" s="37" t="n">
        <x:v>46191</x:v>
      </x:c>
      <x:c r="K479" s="19" t="str">
        <x:v>Green RV - Forest Glen</x:v>
      </x:c>
      <x:c r="L479" s="19" t="str">
        <x:v>Z006</x:v>
      </x:c>
      <x:c r="M479" s="19" t="str">
        <x:v>In Field Warranty Claims</x:v>
      </x:c>
      <x:c r="N479" s="37" t="n">
        <x:v>46190</x:v>
      </x:c>
      <x:c r="O479" s="37"/>
      <x:c r="P479" s="34" t="n">
        <x:v>0</x:v>
      </x:c>
      <x:c r="Q479" s="37" t="n">
        <x:v>46191.21971064815</x:v>
      </x:c>
    </x:row>
    <x:row r="480">
      <x:c r="A480" s="22" t="n">
        <x:v>36481</x:v>
      </x:c>
      <x:c r="B480" s="28" t="n">
        <x:v>1302.5</x:v>
      </x:c>
      <x:c r="C480" s="28"/>
      <x:c r="D480" s="31" t="str">
        <x:f>IF(OR(ISBLANK(B480),ISBLANK(C480),B480=0),"",(C480-B480)/B480)</x:f>
      </x:c>
      <x:c r="E480" s="22" t="str">
        <x:f>IF(ISBLANK(C480),"AmountIncludingTax缺失",IF(ABS(B480-C480)&lt;0.005,"一致","不一致"))</x:f>
        <x:v>AmountIncludingTax缺失</x:v>
      </x:c>
      <x:c r="F480" s="19" t="str">
        <x:v>approved</x:v>
      </x:c>
      <x:c r="G480" s="19" t="str">
        <x:v>Repairer Invoiced Processed</x:v>
      </x:c>
      <x:c r="H480" s="19" t="str">
        <x:v>Pre Delivery</x:v>
      </x:c>
      <x:c r="I480" s="37" t="n">
        <x:v>46191</x:v>
      </x:c>
      <x:c r="J480" s="37" t="n">
        <x:v>46191</x:v>
      </x:c>
      <x:c r="K480" s="19" t="str">
        <x:v>Lesiure Lion-New Castle</x:v>
      </x:c>
      <x:c r="L480" s="19" t="str">
        <x:v>Z005</x:v>
      </x:c>
      <x:c r="M480" s="19" t="str">
        <x:v>Pre Delivery Warranty Claims</x:v>
      </x:c>
      <x:c r="N480" s="37" t="n">
        <x:v>46190</x:v>
      </x:c>
      <x:c r="O480" s="37"/>
      <x:c r="P480" s="34" t="n">
        <x:v>0</x:v>
      </x:c>
      <x:c r="Q480" s="37" t="n">
        <x:v>46191.235439814816</x:v>
      </x:c>
    </x:row>
    <x:row r="481">
      <x:c r="A481" s="22" t="n">
        <x:v>36480</x:v>
      </x:c>
      <x:c r="B481" s="28" t="n">
        <x:v>189.64</x:v>
      </x:c>
      <x:c r="C481" s="28" t="n">
        <x:v>208.6</x:v>
      </x:c>
      <x:c r="D481" s="31" t="n">
        <x:f>IF(OR(ISBLANK(B481),ISBLANK(C481),B481=0),"",(C481-B481)/B481)</x:f>
        <x:v>0.09997890740350142</x:v>
      </x:c>
      <x:c r="E481" s="22" t="str">
        <x:f>IF(ISBLANK(C481),"AmountIncludingTax缺失",IF(ABS(B481-C481)&lt;0.005,"一致","不一致"))</x:f>
        <x:v>不一致</x:v>
      </x:c>
      <x:c r="F481" s="19" t="str">
        <x:v>approved</x:v>
      </x:c>
      <x:c r="G481" s="19" t="str">
        <x:v>Repairer Invoiced Processed</x:v>
      </x:c>
      <x:c r="H481" s="19" t="str">
        <x:v>Pre Delivery</x:v>
      </x:c>
      <x:c r="I481" s="37" t="n">
        <x:v>46191</x:v>
      </x:c>
      <x:c r="J481" s="37" t="n">
        <x:v>46191</x:v>
      </x:c>
      <x:c r="K481" s="19" t="str">
        <x:v>Green RV - Slacks Creek</x:v>
      </x:c>
      <x:c r="L481" s="19" t="str">
        <x:v>Z005</x:v>
      </x:c>
      <x:c r="M481" s="19" t="str">
        <x:v>Pre Delivery Warranty Claims</x:v>
      </x:c>
      <x:c r="N481" s="37" t="n">
        <x:v>46190</x:v>
      </x:c>
      <x:c r="O481" s="37"/>
      <x:c r="P481" s="34" t="n">
        <x:v>208.6</x:v>
      </x:c>
      <x:c r="Q481" s="37" t="n">
        <x:v>46191.14108796296</x:v>
      </x:c>
    </x:row>
    <x:row r="482">
      <x:c r="A482" s="22" t="n">
        <x:v>36479</x:v>
      </x:c>
      <x:c r="B482" s="28" t="n">
        <x:v>1120</x:v>
      </x:c>
      <x:c r="C482" s="28"/>
      <x:c r="D482" s="31" t="str">
        <x:f>IF(OR(ISBLANK(B482),ISBLANK(C482),B482=0),"",(C482-B482)/B482)</x:f>
      </x:c>
      <x:c r="E482" s="22" t="str">
        <x:f>IF(ISBLANK(C482),"AmountIncludingTax缺失",IF(ABS(B482-C482)&lt;0.005,"一致","不一致"))</x:f>
        <x:v>AmountIncludingTax缺失</x:v>
      </x:c>
      <x:c r="F482" s="19" t="str">
        <x:v>approved</x:v>
      </x:c>
      <x:c r="G482" s="19" t="str">
        <x:v>Repairer Invoiced Processed</x:v>
      </x:c>
      <x:c r="H482" s="19" t="str">
        <x:v>Pre Delivery</x:v>
      </x:c>
      <x:c r="I482" s="37" t="n">
        <x:v>46190</x:v>
      </x:c>
      <x:c r="J482" s="37" t="n">
        <x:v>46190</x:v>
      </x:c>
      <x:c r="K482" s="19" t="str">
        <x:v>Green RV - Slacks Creek</x:v>
      </x:c>
      <x:c r="L482" s="19" t="str">
        <x:v>Z005</x:v>
      </x:c>
      <x:c r="M482" s="19" t="str">
        <x:v>Pre Delivery Warranty Claims</x:v>
      </x:c>
      <x:c r="N482" s="37" t="n">
        <x:v>46190</x:v>
      </x:c>
      <x:c r="O482" s="37"/>
      <x:c r="P482" s="34" t="n">
        <x:v>0</x:v>
      </x:c>
      <x:c r="Q482" s="37" t="n">
        <x:v>46190.21505787037</x:v>
      </x:c>
    </x:row>
    <x:row r="483">
      <x:c r="A483" s="22" t="n">
        <x:v>36477</x:v>
      </x:c>
      <x:c r="B483" s="28" t="n">
        <x:v>720</x:v>
      </x:c>
      <x:c r="C483" s="28" t="n">
        <x:v>792</x:v>
      </x:c>
      <x:c r="D483" s="31" t="n">
        <x:f>IF(OR(ISBLANK(B483),ISBLANK(C483),B483=0),"",(C483-B483)/B483)</x:f>
        <x:v>0.1</x:v>
      </x:c>
      <x:c r="E483" s="22" t="str">
        <x:f>IF(ISBLANK(C483),"AmountIncludingTax缺失",IF(ABS(B483-C483)&lt;0.005,"一致","不一致"))</x:f>
        <x:v>不一致</x:v>
      </x:c>
      <x:c r="F483" s="19" t="str">
        <x:v>approved</x:v>
      </x:c>
      <x:c r="G483" s="19" t="str">
        <x:v>Repairer Invoiced Processed</x:v>
      </x:c>
      <x:c r="H483" s="19" t="str">
        <x:v>In Field</x:v>
      </x:c>
      <x:c r="I483" s="37" t="n">
        <x:v>46196</x:v>
      </x:c>
      <x:c r="J483" s="37" t="n">
        <x:v>46196</x:v>
      </x:c>
      <x:c r="K483" s="19" t="str">
        <x:v>Green RV - Forest Glen</x:v>
      </x:c>
      <x:c r="L483" s="19" t="str">
        <x:v>Z006</x:v>
      </x:c>
      <x:c r="M483" s="19" t="str">
        <x:v>In Field Warranty Claims</x:v>
      </x:c>
      <x:c r="N483" s="37" t="n">
        <x:v>46190</x:v>
      </x:c>
      <x:c r="O483" s="37"/>
      <x:c r="P483" s="34" t="n">
        <x:v>792</x:v>
      </x:c>
      <x:c r="Q483" s="37" t="n">
        <x:v>46196.26765046296</x:v>
      </x:c>
    </x:row>
    <x:row r="484">
      <x:c r="A484" s="22" t="n">
        <x:v>36475</x:v>
      </x:c>
      <x:c r="B484" s="28" t="n">
        <x:v>202.5</x:v>
      </x:c>
      <x:c r="C484" s="28"/>
      <x:c r="D484" s="31" t="str">
        <x:f>IF(OR(ISBLANK(B484),ISBLANK(C484),B484=0),"",(C484-B484)/B484)</x:f>
      </x:c>
      <x:c r="E484" s="22" t="str">
        <x:f>IF(ISBLANK(C484),"AmountIncludingTax缺失",IF(ABS(B484-C484)&lt;0.005,"一致","不一致"))</x:f>
        <x:v>AmountIncludingTax缺失</x:v>
      </x:c>
      <x:c r="F484" s="19" t="str">
        <x:v>approved</x:v>
      </x:c>
      <x:c r="G484" s="19" t="str">
        <x:v>Sales Order Approved</x:v>
      </x:c>
      <x:c r="H484" s="19" t="str">
        <x:v>In Field</x:v>
      </x:c>
      <x:c r="I484" s="37" t="n">
        <x:v>46190</x:v>
      </x:c>
      <x:c r="J484" s="37" t="n">
        <x:v>46190</x:v>
      </x:c>
      <x:c r="K484" s="19" t="str">
        <x:v>QCCC - Gympie</x:v>
      </x:c>
      <x:c r="L484" s="19" t="str">
        <x:v>Z006</x:v>
      </x:c>
      <x:c r="M484" s="19" t="str">
        <x:v>In Field Warranty Claims</x:v>
      </x:c>
      <x:c r="N484" s="37" t="n">
        <x:v>46190</x:v>
      </x:c>
      <x:c r="O484" s="37"/>
      <x:c r="P484" s="34" t="n">
        <x:v>0</x:v>
      </x:c>
      <x:c r="Q484" s="37" t="n">
        <x:v>46190.16806712963</x:v>
      </x:c>
    </x:row>
    <x:row r="485">
      <x:c r="A485" s="22" t="n">
        <x:v>36473</x:v>
      </x:c>
      <x:c r="B485" s="28" t="n">
        <x:v>242.5</x:v>
      </x:c>
      <x:c r="C485" s="28"/>
      <x:c r="D485" s="31" t="str">
        <x:f>IF(OR(ISBLANK(B485),ISBLANK(C485),B485=0),"",(C485-B485)/B485)</x:f>
      </x:c>
      <x:c r="E485" s="22" t="str">
        <x:f>IF(ISBLANK(C485),"AmountIncludingTax缺失",IF(ABS(B485-C485)&lt;0.005,"一致","不一致"))</x:f>
        <x:v>AmountIncludingTax缺失</x:v>
      </x:c>
      <x:c r="F485" s="19" t="str">
        <x:v>approved</x:v>
      </x:c>
      <x:c r="G485" s="19" t="str">
        <x:v>Sales Order Approved</x:v>
      </x:c>
      <x:c r="H485" s="19" t="str">
        <x:v>In Field</x:v>
      </x:c>
      <x:c r="I485" s="37" t="n">
        <x:v>46196</x:v>
      </x:c>
      <x:c r="J485" s="37" t="n">
        <x:v>46196</x:v>
      </x:c>
      <x:c r="K485" s="19" t="str">
        <x:v>Lesiure Lion-New Castle</x:v>
      </x:c>
      <x:c r="L485" s="19" t="str">
        <x:v>Z006</x:v>
      </x:c>
      <x:c r="M485" s="19" t="str">
        <x:v>In Field Warranty Claims</x:v>
      </x:c>
      <x:c r="N485" s="37" t="n">
        <x:v>46190</x:v>
      </x:c>
      <x:c r="O485" s="37"/>
      <x:c r="P485" s="34" t="n">
        <x:v>0</x:v>
      </x:c>
      <x:c r="Q485" s="37" t="n">
        <x:v>46196.26829861111</x:v>
      </x:c>
    </x:row>
    <x:row r="486">
      <x:c r="A486" s="22" t="n">
        <x:v>36472</x:v>
      </x:c>
      <x:c r="B486" s="28" t="n">
        <x:v>472.5</x:v>
      </x:c>
      <x:c r="C486" s="28"/>
      <x:c r="D486" s="31" t="str">
        <x:f>IF(OR(ISBLANK(B486),ISBLANK(C486),B486=0),"",(C486-B486)/B486)</x:f>
      </x:c>
      <x:c r="E486" s="22" t="str">
        <x:f>IF(ISBLANK(C486),"AmountIncludingTax缺失",IF(ABS(B486-C486)&lt;0.005,"一致","不一致"))</x:f>
        <x:v>AmountIncludingTax缺失</x:v>
      </x:c>
      <x:c r="F486" s="19" t="str">
        <x:v>approved</x:v>
      </x:c>
      <x:c r="G486" s="19" t="str">
        <x:v>Sales Order Approved</x:v>
      </x:c>
      <x:c r="H486" s="19" t="str">
        <x:v>In Field</x:v>
      </x:c>
      <x:c r="I486" s="37" t="n">
        <x:v>46199</x:v>
      </x:c>
      <x:c r="J486" s="37" t="n">
        <x:v>46199</x:v>
      </x:c>
      <x:c r="K486" s="19" t="str">
        <x:v>Regent RV - Toowoomba</x:v>
      </x:c>
      <x:c r="L486" s="19" t="str">
        <x:v>Z006</x:v>
      </x:c>
      <x:c r="M486" s="19" t="str">
        <x:v>In Field Warranty Claims</x:v>
      </x:c>
      <x:c r="N486" s="37" t="n">
        <x:v>46190</x:v>
      </x:c>
      <x:c r="O486" s="37"/>
      <x:c r="P486" s="34" t="n">
        <x:v>0</x:v>
      </x:c>
      <x:c r="Q486" s="37" t="n">
        <x:v>46199.06261574074</x:v>
      </x:c>
    </x:row>
    <x:row r="487">
      <x:c r="A487" s="22" t="n">
        <x:v>36471</x:v>
      </x:c>
      <x:c r="B487" s="28" t="n">
        <x:v>1207.5</x:v>
      </x:c>
      <x:c r="C487" s="28"/>
      <x:c r="D487" s="31" t="str">
        <x:f>IF(OR(ISBLANK(B487),ISBLANK(C487),B487=0),"",(C487-B487)/B487)</x:f>
      </x:c>
      <x:c r="E487" s="22" t="str">
        <x:f>IF(ISBLANK(C487),"AmountIncludingTax缺失",IF(ABS(B487-C487)&lt;0.005,"一致","不一致"))</x:f>
        <x:v>AmountIncludingTax缺失</x:v>
      </x:c>
      <x:c r="F487" s="19" t="str">
        <x:v>approved</x:v>
      </x:c>
      <x:c r="G487" s="19" t="str">
        <x:v>Partially Picked</x:v>
      </x:c>
      <x:c r="H487" s="19" t="str">
        <x:v>In Field</x:v>
      </x:c>
      <x:c r="I487" s="37" t="n">
        <x:v>46191</x:v>
      </x:c>
      <x:c r="J487" s="37" t="n">
        <x:v>46191</x:v>
      </x:c>
      <x:c r="K487" s="19" t="str">
        <x:v>Snowy River Geelong</x:v>
      </x:c>
      <x:c r="L487" s="19" t="str">
        <x:v>Z006</x:v>
      </x:c>
      <x:c r="M487" s="19" t="str">
        <x:v>In Field Warranty Claims</x:v>
      </x:c>
      <x:c r="N487" s="37" t="n">
        <x:v>46190</x:v>
      </x:c>
      <x:c r="O487" s="37"/>
      <x:c r="P487" s="34" t="n">
        <x:v>0</x:v>
      </x:c>
      <x:c r="Q487" s="37" t="n">
        <x:v>46191.144849537035</x:v>
      </x:c>
    </x:row>
    <x:row r="488">
      <x:c r="A488" s="22" t="n">
        <x:v>36469</x:v>
      </x:c>
      <x:c r="B488" s="28" t="n">
        <x:v>492.5</x:v>
      </x:c>
      <x:c r="C488" s="28"/>
      <x:c r="D488" s="31" t="str">
        <x:f>IF(OR(ISBLANK(B488),ISBLANK(C488),B488=0),"",(C488-B488)/B488)</x:f>
      </x:c>
      <x:c r="E488" s="22" t="str">
        <x:f>IF(ISBLANK(C488),"AmountIncludingTax缺失",IF(ABS(B488-C488)&lt;0.005,"一致","不一致"))</x:f>
        <x:v>AmountIncludingTax缺失</x:v>
      </x:c>
      <x:c r="F488" s="19" t="str">
        <x:v>approved</x:v>
      </x:c>
      <x:c r="G488" s="19" t="str">
        <x:v>Repair in Progress</x:v>
      </x:c>
      <x:c r="H488" s="19" t="str">
        <x:v>In Field</x:v>
      </x:c>
      <x:c r="I488" s="37" t="n">
        <x:v>46196</x:v>
      </x:c>
      <x:c r="J488" s="37" t="n">
        <x:v>46196</x:v>
      </x:c>
      <x:c r="K488" s="19" t="str">
        <x:v>Lesiure Lion-New Castle</x:v>
      </x:c>
      <x:c r="L488" s="19" t="str">
        <x:v>Z006</x:v>
      </x:c>
      <x:c r="M488" s="19" t="str">
        <x:v>In Field Warranty Claims</x:v>
      </x:c>
      <x:c r="N488" s="37" t="n">
        <x:v>46190</x:v>
      </x:c>
      <x:c r="O488" s="37"/>
      <x:c r="P488" s="34" t="n">
        <x:v>0</x:v>
      </x:c>
      <x:c r="Q488" s="37" t="n">
        <x:v>46196.267962962964</x:v>
      </x:c>
    </x:row>
    <x:row r="489">
      <x:c r="A489" s="22" t="n">
        <x:v>36468</x:v>
      </x:c>
      <x:c r="B489" s="28" t="n">
        <x:v>911.25</x:v>
      </x:c>
      <x:c r="C489" s="28"/>
      <x:c r="D489" s="31" t="str">
        <x:f>IF(OR(ISBLANK(B489),ISBLANK(C489),B489=0),"",(C489-B489)/B489)</x:f>
      </x:c>
      <x:c r="E489" s="22" t="str">
        <x:f>IF(ISBLANK(C489),"AmountIncludingTax缺失",IF(ABS(B489-C489)&lt;0.005,"一致","不一致"))</x:f>
        <x:v>AmountIncludingTax缺失</x:v>
      </x:c>
      <x:c r="F489" s="19" t="str">
        <x:v>approved</x:v>
      </x:c>
      <x:c r="G489" s="19" t="str">
        <x:v>Partially Picked</x:v>
      </x:c>
      <x:c r="H489" s="19" t="str">
        <x:v>In Field</x:v>
      </x:c>
      <x:c r="I489" s="37" t="n">
        <x:v>46190</x:v>
      </x:c>
      <x:c r="J489" s="37" t="n">
        <x:v>46190</x:v>
      </x:c>
      <x:c r="K489" s="19" t="str">
        <x:v>Newcastle RV Super Centre - Beresfield</x:v>
      </x:c>
      <x:c r="L489" s="19" t="str">
        <x:v>Z006</x:v>
      </x:c>
      <x:c r="M489" s="19" t="str">
        <x:v>In Field Warranty Claims</x:v>
      </x:c>
      <x:c r="N489" s="37" t="n">
        <x:v>46190</x:v>
      </x:c>
      <x:c r="O489" s="37"/>
      <x:c r="P489" s="34" t="n">
        <x:v>0</x:v>
      </x:c>
      <x:c r="Q489" s="37" t="n">
        <x:v>46190.2602662037</x:v>
      </x:c>
    </x:row>
    <x:row r="490">
      <x:c r="A490" s="22" t="n">
        <x:v>36467</x:v>
      </x:c>
      <x:c r="B490" s="28" t="n">
        <x:v>135</x:v>
      </x:c>
      <x:c r="C490" s="28"/>
      <x:c r="D490" s="31" t="str">
        <x:f>IF(OR(ISBLANK(B490),ISBLANK(C490),B490=0),"",(C490-B490)/B490)</x:f>
      </x:c>
      <x:c r="E490" s="22" t="str">
        <x:f>IF(ISBLANK(C490),"AmountIncludingTax缺失",IF(ABS(B490-C490)&lt;0.005,"一致","不一致"))</x:f>
        <x:v>AmountIncludingTax缺失</x:v>
      </x:c>
      <x:c r="F490" s="19" t="str">
        <x:v>approved</x:v>
      </x:c>
      <x:c r="G490" s="19" t="str">
        <x:v>Sales Order Approved</x:v>
      </x:c>
      <x:c r="H490" s="19" t="str">
        <x:v>Pre Delivery</x:v>
      </x:c>
      <x:c r="I490" s="37" t="n">
        <x:v>46191</x:v>
      </x:c>
      <x:c r="J490" s="37" t="n">
        <x:v>46191</x:v>
      </x:c>
      <x:c r="K490" s="19" t="str">
        <x:v>NEWCASTLE CARAVANS &amp; RVS</x:v>
      </x:c>
      <x:c r="L490" s="19" t="str">
        <x:v>Z005</x:v>
      </x:c>
      <x:c r="M490" s="19" t="str">
        <x:v>Pre Delivery Warranty Claims</x:v>
      </x:c>
      <x:c r="N490" s="37" t="n">
        <x:v>46190</x:v>
      </x:c>
      <x:c r="O490" s="37"/>
      <x:c r="P490" s="34" t="n">
        <x:v>0</x:v>
      </x:c>
      <x:c r="Q490" s="37" t="n">
        <x:v>46191.205613425926</x:v>
      </x:c>
    </x:row>
    <x:row r="491">
      <x:c r="A491" s="22" t="n">
        <x:v>36466</x:v>
      </x:c>
      <x:c r="B491" s="28" t="n">
        <x:v>1080</x:v>
      </x:c>
      <x:c r="C491" s="28"/>
      <x:c r="D491" s="31" t="str">
        <x:f>IF(OR(ISBLANK(B491),ISBLANK(C491),B491=0),"",(C491-B491)/B491)</x:f>
      </x:c>
      <x:c r="E491" s="22" t="str">
        <x:f>IF(ISBLANK(C491),"AmountIncludingTax缺失",IF(ABS(B491-C491)&lt;0.005,"一致","不一致"))</x:f>
        <x:v>AmountIncludingTax缺失</x:v>
      </x:c>
      <x:c r="F491" s="19" t="str">
        <x:v>approved</x:v>
      </x:c>
      <x:c r="G491" s="19" t="str">
        <x:v>Partially Picked</x:v>
      </x:c>
      <x:c r="H491" s="19" t="str">
        <x:v>In Field</x:v>
      </x:c>
      <x:c r="I491" s="37" t="n">
        <x:v>46196</x:v>
      </x:c>
      <x:c r="J491" s="37" t="n">
        <x:v>46196</x:v>
      </x:c>
      <x:c r="K491" s="19" t="str">
        <x:v>Leisure Lion Pty Ltd - Toowoomba</x:v>
      </x:c>
      <x:c r="L491" s="19" t="str">
        <x:v>Z006</x:v>
      </x:c>
      <x:c r="M491" s="19" t="str">
        <x:v>In Field Warranty Claims</x:v>
      </x:c>
      <x:c r="N491" s="37" t="n">
        <x:v>46190</x:v>
      </x:c>
      <x:c r="O491" s="37"/>
      <x:c r="P491" s="34" t="n">
        <x:v>0</x:v>
      </x:c>
      <x:c r="Q491" s="37" t="n">
        <x:v>46196.19185185185</x:v>
      </x:c>
    </x:row>
    <x:row r="492">
      <x:c r="A492" s="22" t="n">
        <x:v>36465</x:v>
      </x:c>
      <x:c r="B492" s="28" t="n">
        <x:v>782.5</x:v>
      </x:c>
      <x:c r="C492" s="28"/>
      <x:c r="D492" s="31" t="str">
        <x:f>IF(OR(ISBLANK(B492),ISBLANK(C492),B492=0),"",(C492-B492)/B492)</x:f>
      </x:c>
      <x:c r="E492" s="22" t="str">
        <x:f>IF(ISBLANK(C492),"AmountIncludingTax缺失",IF(ABS(B492-C492)&lt;0.005,"一致","不一致"))</x:f>
        <x:v>AmountIncludingTax缺失</x:v>
      </x:c>
      <x:c r="F492" s="19" t="str">
        <x:v>approved</x:v>
      </x:c>
      <x:c r="G492" s="19" t="str">
        <x:v>Sales Order Approved</x:v>
      </x:c>
      <x:c r="H492" s="19" t="str">
        <x:v>In Field</x:v>
      </x:c>
      <x:c r="I492" s="37" t="n">
        <x:v>46203</x:v>
      </x:c>
      <x:c r="J492" s="37" t="n">
        <x:v>46203</x:v>
      </x:c>
      <x:c r="K492" s="19" t="str">
        <x:v>Regent RV - Frankston</x:v>
      </x:c>
      <x:c r="L492" s="19" t="str">
        <x:v>Z006</x:v>
      </x:c>
      <x:c r="M492" s="19" t="str">
        <x:v>In Field Warranty Claims</x:v>
      </x:c>
      <x:c r="N492" s="37" t="n">
        <x:v>46190</x:v>
      </x:c>
      <x:c r="O492" s="37"/>
      <x:c r="P492" s="34" t="n">
        <x:v>0</x:v>
      </x:c>
      <x:c r="Q492" s="37" t="n">
        <x:v>46203.14549768518</x:v>
      </x:c>
    </x:row>
    <x:row r="493">
      <x:c r="A493" s="22" t="n">
        <x:v>36464</x:v>
      </x:c>
      <x:c r="B493" s="28" t="n">
        <x:v>1030</x:v>
      </x:c>
      <x:c r="C493" s="28"/>
      <x:c r="D493" s="31" t="str">
        <x:f>IF(OR(ISBLANK(B493),ISBLANK(C493),B493=0),"",(C493-B493)/B493)</x:f>
      </x:c>
      <x:c r="E493" s="22" t="str">
        <x:f>IF(ISBLANK(C493),"AmountIncludingTax缺失",IF(ABS(B493-C493)&lt;0.005,"一致","不一致"))</x:f>
        <x:v>AmountIncludingTax缺失</x:v>
      </x:c>
      <x:c r="F493" s="19" t="str">
        <x:v>approved</x:v>
      </x:c>
      <x:c r="G493" s="19" t="str">
        <x:v>Repairer Invoiced Processed</x:v>
      </x:c>
      <x:c r="H493" s="19" t="str">
        <x:v>In Field</x:v>
      </x:c>
      <x:c r="I493" s="37" t="n">
        <x:v>46190</x:v>
      </x:c>
      <x:c r="J493" s="37" t="n">
        <x:v>46190</x:v>
      </x:c>
      <x:c r="K493" s="19" t="str">
        <x:v>Green RV - Forest Glen</x:v>
      </x:c>
      <x:c r="L493" s="19" t="str">
        <x:v>Z006</x:v>
      </x:c>
      <x:c r="M493" s="19" t="str">
        <x:v>In Field Warranty Claims</x:v>
      </x:c>
      <x:c r="N493" s="37" t="n">
        <x:v>46190</x:v>
      </x:c>
      <x:c r="O493" s="37"/>
      <x:c r="P493" s="34" t="n">
        <x:v>0</x:v>
      </x:c>
      <x:c r="Q493" s="37" t="n">
        <x:v>46190.07822916667</x:v>
      </x:c>
    </x:row>
    <x:row r="494">
      <x:c r="A494" s="22" t="n">
        <x:v>36463</x:v>
      </x:c>
      <x:c r="B494" s="28" t="n">
        <x:v>270</x:v>
      </x:c>
      <x:c r="C494" s="28" t="n">
        <x:v>297</x:v>
      </x:c>
      <x:c r="D494" s="31" t="n">
        <x:f>IF(OR(ISBLANK(B494),ISBLANK(C494),B494=0),"",(C494-B494)/B494)</x:f>
        <x:v>0.1</x:v>
      </x:c>
      <x:c r="E494" s="22" t="str">
        <x:f>IF(ISBLANK(C494),"AmountIncludingTax缺失",IF(ABS(B494-C494)&lt;0.005,"一致","不一致"))</x:f>
        <x:v>不一致</x:v>
      </x:c>
      <x:c r="F494" s="19" t="str">
        <x:v>approved</x:v>
      </x:c>
      <x:c r="G494" s="19" t="str">
        <x:v>Repairer Invoiced Processed</x:v>
      </x:c>
      <x:c r="H494" s="19" t="str">
        <x:v>In Field</x:v>
      </x:c>
      <x:c r="I494" s="37" t="n">
        <x:v>46195</x:v>
      </x:c>
      <x:c r="J494" s="37" t="n">
        <x:v>46195</x:v>
      </x:c>
      <x:c r="K494" s="19" t="str">
        <x:v>Green RV - Slacks Creek</x:v>
      </x:c>
      <x:c r="L494" s="19" t="str">
        <x:v>Z006</x:v>
      </x:c>
      <x:c r="M494" s="19" t="str">
        <x:v>In Field Warranty Claims</x:v>
      </x:c>
      <x:c r="N494" s="37" t="n">
        <x:v>46190</x:v>
      </x:c>
      <x:c r="O494" s="37"/>
      <x:c r="P494" s="34" t="n">
        <x:v>297</x:v>
      </x:c>
      <x:c r="Q494" s="37" t="n">
        <x:v>46195.06748842593</x:v>
      </x:c>
    </x:row>
    <x:row r="495">
      <x:c r="A495" s="22" t="n">
        <x:v>36462</x:v>
      </x:c>
      <x:c r="B495" s="28" t="n">
        <x:v>2455</x:v>
      </x:c>
      <x:c r="C495" s="28"/>
      <x:c r="D495" s="31" t="str">
        <x:f>IF(OR(ISBLANK(B495),ISBLANK(C495),B495=0),"",(C495-B495)/B495)</x:f>
      </x:c>
      <x:c r="E495" s="22" t="str">
        <x:f>IF(ISBLANK(C495),"AmountIncludingTax缺失",IF(ABS(B495-C495)&lt;0.005,"一致","不一致"))</x:f>
        <x:v>AmountIncludingTax缺失</x:v>
      </x:c>
      <x:c r="F495" s="19" t="str">
        <x:v>approved</x:v>
      </x:c>
      <x:c r="G495" s="19" t="str">
        <x:v>Repair in Progress</x:v>
      </x:c>
      <x:c r="H495" s="19" t="str">
        <x:v>In Field</x:v>
      </x:c>
      <x:c r="I495" s="37" t="n">
        <x:v>46191</x:v>
      </x:c>
      <x:c r="J495" s="37" t="n">
        <x:v>46191</x:v>
      </x:c>
      <x:c r="K495" s="19" t="str">
        <x:v>Regent RV - Perth</x:v>
      </x:c>
      <x:c r="L495" s="19" t="str">
        <x:v>Z006</x:v>
      </x:c>
      <x:c r="M495" s="19" t="str">
        <x:v>In Field Warranty Claims</x:v>
      </x:c>
      <x:c r="N495" s="37" t="n">
        <x:v>46190</x:v>
      </x:c>
      <x:c r="O495" s="37"/>
      <x:c r="P495" s="34" t="n">
        <x:v>0</x:v>
      </x:c>
      <x:c r="Q495" s="37" t="n">
        <x:v>46191.14414351852</x:v>
      </x:c>
    </x:row>
    <x:row r="496">
      <x:c r="A496" s="22" t="n">
        <x:v>36461</x:v>
      </x:c>
      <x:c r="B496" s="28" t="n">
        <x:v>820</x:v>
      </x:c>
      <x:c r="C496" s="28"/>
      <x:c r="D496" s="31" t="str">
        <x:f>IF(OR(ISBLANK(B496),ISBLANK(C496),B496=0),"",(C496-B496)/B496)</x:f>
      </x:c>
      <x:c r="E496" s="22" t="str">
        <x:f>IF(ISBLANK(C496),"AmountIncludingTax缺失",IF(ABS(B496-C496)&lt;0.005,"一致","不一致"))</x:f>
        <x:v>AmountIncludingTax缺失</x:v>
      </x:c>
      <x:c r="F496" s="19" t="str">
        <x:v>approved</x:v>
      </x:c>
      <x:c r="G496" s="19" t="str">
        <x:v>Repair in Progress</x:v>
      </x:c>
      <x:c r="H496" s="19" t="str">
        <x:v>In Field</x:v>
      </x:c>
      <x:c r="I496" s="37" t="n">
        <x:v>46191</x:v>
      </x:c>
      <x:c r="J496" s="37" t="n">
        <x:v>46191</x:v>
      </x:c>
      <x:c r="K496" s="19" t="str">
        <x:v>Regent RV - Toowoomba</x:v>
      </x:c>
      <x:c r="L496" s="19" t="str">
        <x:v>Z006</x:v>
      </x:c>
      <x:c r="M496" s="19" t="str">
        <x:v>In Field Warranty Claims</x:v>
      </x:c>
      <x:c r="N496" s="37" t="n">
        <x:v>46189</x:v>
      </x:c>
      <x:c r="O496" s="37"/>
      <x:c r="P496" s="34" t="n">
        <x:v>0</x:v>
      </x:c>
      <x:c r="Q496" s="37" t="n">
        <x:v>46190.977372685185</x:v>
      </x:c>
    </x:row>
    <x:row r="497">
      <x:c r="A497" s="22" t="n">
        <x:v>36458</x:v>
      </x:c>
      <x:c r="B497" s="28" t="n">
        <x:v>202.5</x:v>
      </x:c>
      <x:c r="C497" s="28"/>
      <x:c r="D497" s="31" t="str">
        <x:f>IF(OR(ISBLANK(B497),ISBLANK(C497),B497=0),"",(C497-B497)/B497)</x:f>
      </x:c>
      <x:c r="E497" s="22" t="str">
        <x:f>IF(ISBLANK(C497),"AmountIncludingTax缺失",IF(ABS(B497-C497)&lt;0.005,"一致","不一致"))</x:f>
        <x:v>AmountIncludingTax缺失</x:v>
      </x:c>
      <x:c r="F497" s="19" t="str">
        <x:v>approved</x:v>
      </x:c>
      <x:c r="G497" s="19" t="str">
        <x:v>Sales Order Approved</x:v>
      </x:c>
      <x:c r="H497" s="19" t="str">
        <x:v>In Field</x:v>
      </x:c>
      <x:c r="I497" s="37" t="n">
        <x:v>46191</x:v>
      </x:c>
      <x:c r="J497" s="37" t="n">
        <x:v>46191</x:v>
      </x:c>
      <x:c r="K497" s="19" t="str">
        <x:v>Newcastle RV Super Centre - Beresfield</x:v>
      </x:c>
      <x:c r="L497" s="19" t="str">
        <x:v>Z006</x:v>
      </x:c>
      <x:c r="M497" s="19" t="str">
        <x:v>In Field Warranty Claims</x:v>
      </x:c>
      <x:c r="N497" s="37" t="n">
        <x:v>46191</x:v>
      </x:c>
      <x:c r="O497" s="37"/>
      <x:c r="P497" s="34" t="n">
        <x:v>0</x:v>
      </x:c>
      <x:c r="Q497" s="37" t="n">
        <x:v>46191.257372685184</x:v>
      </x:c>
    </x:row>
    <x:row r="498">
      <x:c r="A498" s="22" t="n">
        <x:v>36455</x:v>
      </x:c>
      <x:c r="B498" s="28" t="n">
        <x:v>72.5</x:v>
      </x:c>
      <x:c r="C498" s="28"/>
      <x:c r="D498" s="31" t="str">
        <x:f>IF(OR(ISBLANK(B498),ISBLANK(C498),B498=0),"",(C498-B498)/B498)</x:f>
      </x:c>
      <x:c r="E498" s="22" t="str">
        <x:f>IF(ISBLANK(C498),"AmountIncludingTax缺失",IF(ABS(B498-C498)&lt;0.005,"一致","不一致"))</x:f>
        <x:v>AmountIncludingTax缺失</x:v>
      </x:c>
      <x:c r="F498" s="19" t="str">
        <x:v>approved</x:v>
      </x:c>
      <x:c r="G498" s="19" t="str">
        <x:v>Sales Order Approved</x:v>
      </x:c>
      <x:c r="H498" s="19" t="str">
        <x:v>Pre Delivery</x:v>
      </x:c>
      <x:c r="I498" s="37" t="n">
        <x:v>46190</x:v>
      </x:c>
      <x:c r="J498" s="37" t="n">
        <x:v>46190</x:v>
      </x:c>
      <x:c r="K498" s="19" t="str">
        <x:v>The Caravan Hub - Townsville</x:v>
      </x:c>
      <x:c r="L498" s="19" t="str">
        <x:v>Z005</x:v>
      </x:c>
      <x:c r="M498" s="19" t="str">
        <x:v>Pre Delivery Warranty Claims</x:v>
      </x:c>
      <x:c r="N498" s="37" t="n">
        <x:v>46190</x:v>
      </x:c>
      <x:c r="O498" s="37"/>
      <x:c r="P498" s="34" t="n">
        <x:v>0</x:v>
      </x:c>
      <x:c r="Q498" s="37" t="n">
        <x:v>46190.06482638889</x:v>
      </x:c>
    </x:row>
    <x:row r="499">
      <x:c r="A499" s="22" t="n">
        <x:v>36453</x:v>
      </x:c>
      <x:c r="B499" s="28" t="n">
        <x:v>199.91</x:v>
      </x:c>
      <x:c r="C499" s="28" t="n">
        <x:v>219.9</x:v>
      </x:c>
      <x:c r="D499" s="31" t="n">
        <x:f>IF(OR(ISBLANK(B499),ISBLANK(C499),B499=0),"",(C499-B499)/B499)</x:f>
        <x:v>0.0999949977489871</x:v>
      </x:c>
      <x:c r="E499" s="22" t="str">
        <x:f>IF(ISBLANK(C499),"AmountIncludingTax缺失",IF(ABS(B499-C499)&lt;0.005,"一致","不一致"))</x:f>
        <x:v>不一致</x:v>
      </x:c>
      <x:c r="F499" s="19" t="str">
        <x:v>approved</x:v>
      </x:c>
      <x:c r="G499" s="19" t="str">
        <x:v>Repairer Invoiced Processed</x:v>
      </x:c>
      <x:c r="H499" s="19" t="str">
        <x:v>In Field</x:v>
      </x:c>
      <x:c r="I499" s="37" t="n">
        <x:v>46212</x:v>
      </x:c>
      <x:c r="J499" s="37" t="n">
        <x:v>46212</x:v>
      </x:c>
      <x:c r="K499" s="19" t="str">
        <x:v>Newcastle RV Super Centre - Beresfield</x:v>
      </x:c>
      <x:c r="L499" s="19" t="str">
        <x:v>Z006</x:v>
      </x:c>
      <x:c r="M499" s="19" t="str">
        <x:v>In Field Warranty Claims</x:v>
      </x:c>
      <x:c r="N499" s="37" t="n">
        <x:v>46189</x:v>
      </x:c>
      <x:c r="O499" s="37"/>
      <x:c r="P499" s="34" t="n">
        <x:v>219.9</x:v>
      </x:c>
      <x:c r="Q499" s="37" t="n">
        <x:v>46211.96398148148</x:v>
      </x:c>
    </x:row>
    <x:row r="500">
      <x:c r="A500" s="22" t="n">
        <x:v>36451</x:v>
      </x:c>
      <x:c r="B500" s="28" t="n">
        <x:v>600</x:v>
      </x:c>
      <x:c r="C500" s="28" t="n">
        <x:v>660</x:v>
      </x:c>
      <x:c r="D500" s="31" t="n">
        <x:f>IF(OR(ISBLANK(B500),ISBLANK(C500),B500=0),"",(C500-B500)/B500)</x:f>
        <x:v>0.1</x:v>
      </x:c>
      <x:c r="E500" s="22" t="str">
        <x:f>IF(ISBLANK(C500),"AmountIncludingTax缺失",IF(ABS(B500-C500)&lt;0.005,"一致","不一致"))</x:f>
        <x:v>不一致</x:v>
      </x:c>
      <x:c r="F500" s="19" t="str">
        <x:v>approved</x:v>
      </x:c>
      <x:c r="G500" s="19" t="str">
        <x:v>Repairer Invoiced Processed</x:v>
      </x:c>
      <x:c r="H500" s="19" t="str">
        <x:v>Pre Delivery</x:v>
      </x:c>
      <x:c r="I500" s="37" t="n">
        <x:v>46190</x:v>
      </x:c>
      <x:c r="J500" s="37" t="n">
        <x:v>46190</x:v>
      </x:c>
      <x:c r="K500" s="19" t="str">
        <x:v>Green RV - Slacks Creek</x:v>
      </x:c>
      <x:c r="L500" s="19" t="str">
        <x:v>Z005</x:v>
      </x:c>
      <x:c r="M500" s="19" t="str">
        <x:v>Pre Delivery Warranty Claims</x:v>
      </x:c>
      <x:c r="N500" s="37" t="n">
        <x:v>46189</x:v>
      </x:c>
      <x:c r="O500" s="37"/>
      <x:c r="P500" s="34" t="n">
        <x:v>660</x:v>
      </x:c>
      <x:c r="Q500" s="37" t="n">
        <x:v>46189.962789351855</x:v>
      </x:c>
    </x:row>
    <x:row r="501">
      <x:c r="A501" s="22" t="n">
        <x:v>36440</x:v>
      </x:c>
      <x:c r="B501" s="28" t="n">
        <x:v>646.25</x:v>
      </x:c>
      <x:c r="C501" s="28"/>
      <x:c r="D501" s="31" t="str">
        <x:f>IF(OR(ISBLANK(B501),ISBLANK(C501),B501=0),"",(C501-B501)/B501)</x:f>
      </x:c>
      <x:c r="E501" s="22" t="str">
        <x:f>IF(ISBLANK(C501),"AmountIncludingTax缺失",IF(ABS(B501-C501)&lt;0.005,"一致","不一致"))</x:f>
        <x:v>AmountIncludingTax缺失</x:v>
      </x:c>
      <x:c r="F501" s="19" t="str">
        <x:v>approved</x:v>
      </x:c>
      <x:c r="G501" s="19" t="str">
        <x:v>Sales Order Approved</x:v>
      </x:c>
      <x:c r="H501" s="19" t="str">
        <x:v>In Field</x:v>
      </x:c>
      <x:c r="I501" s="37" t="n">
        <x:v>46203</x:v>
      </x:c>
      <x:c r="J501" s="37" t="n">
        <x:v>46203</x:v>
      </x:c>
      <x:c r="K501" s="19" t="str">
        <x:v>Green RV - Forest Glen</x:v>
      </x:c>
      <x:c r="L501" s="19" t="str">
        <x:v>Z006</x:v>
      </x:c>
      <x:c r="M501" s="19" t="str">
        <x:v>In Field Warranty Claims</x:v>
      </x:c>
      <x:c r="N501" s="37" t="n">
        <x:v>46190</x:v>
      </x:c>
      <x:c r="O501" s="37"/>
      <x:c r="P501" s="34" t="n">
        <x:v>0</x:v>
      </x:c>
      <x:c r="Q501" s="37" t="n">
        <x:v>46203.21103009259</x:v>
      </x:c>
    </x:row>
    <x:row r="502">
      <x:c r="A502" s="22" t="n">
        <x:v>36439</x:v>
      </x:c>
      <x:c r="B502" s="28" t="n">
        <x:v>270</x:v>
      </x:c>
      <x:c r="C502" s="28"/>
      <x:c r="D502" s="31" t="str">
        <x:f>IF(OR(ISBLANK(B502),ISBLANK(C502),B502=0),"",(C502-B502)/B502)</x:f>
      </x:c>
      <x:c r="E502" s="22" t="str">
        <x:f>IF(ISBLANK(C502),"AmountIncludingTax缺失",IF(ABS(B502-C502)&lt;0.005,"一致","不一致"))</x:f>
        <x:v>AmountIncludingTax缺失</x:v>
      </x:c>
      <x:c r="F502" s="19" t="str">
        <x:v>approved</x:v>
      </x:c>
      <x:c r="G502" s="19" t="str">
        <x:v>Sales Order Approved</x:v>
      </x:c>
      <x:c r="H502" s="19" t="str">
        <x:v>In Field</x:v>
      </x:c>
      <x:c r="I502" s="37" t="n">
        <x:v>46191</x:v>
      </x:c>
      <x:c r="J502" s="37" t="n">
        <x:v>46191</x:v>
      </x:c>
      <x:c r="K502" s="19" t="str">
        <x:v>Green RV - Forest Glen</x:v>
      </x:c>
      <x:c r="L502" s="19" t="str">
        <x:v>Z006</x:v>
      </x:c>
      <x:c r="M502" s="19" t="str">
        <x:v>In Field Warranty Claims</x:v>
      </x:c>
      <x:c r="N502" s="37" t="n">
        <x:v>46190</x:v>
      </x:c>
      <x:c r="O502" s="37"/>
      <x:c r="P502" s="34" t="n">
        <x:v>0</x:v>
      </x:c>
      <x:c r="Q502" s="37" t="n">
        <x:v>46191.21381944444</x:v>
      </x:c>
    </x:row>
    <x:row r="503">
      <x:c r="A503" s="22" t="n">
        <x:v>36438</x:v>
      </x:c>
      <x:c r="B503" s="28" t="n">
        <x:v>237.5</x:v>
      </x:c>
      <x:c r="C503" s="28" t="n">
        <x:v>261.25</x:v>
      </x:c>
      <x:c r="D503" s="31" t="n">
        <x:f>IF(OR(ISBLANK(B503),ISBLANK(C503),B503=0),"",(C503-B503)/B503)</x:f>
        <x:v>0.1</x:v>
      </x:c>
      <x:c r="E503" s="22" t="str">
        <x:f>IF(ISBLANK(C503),"AmountIncludingTax缺失",IF(ABS(B503-C503)&lt;0.005,"一致","不一致"))</x:f>
        <x:v>不一致</x:v>
      </x:c>
      <x:c r="F503" s="19" t="str">
        <x:v>approved</x:v>
      </x:c>
      <x:c r="G503" s="19" t="str">
        <x:v>Repairer Invoiced Processed</x:v>
      </x:c>
      <x:c r="H503" s="19" t="str">
        <x:v>In Field</x:v>
      </x:c>
      <x:c r="I503" s="37" t="n">
        <x:v>46191</x:v>
      </x:c>
      <x:c r="J503" s="37" t="n">
        <x:v>46191</x:v>
      </x:c>
      <x:c r="K503" s="19" t="str">
        <x:v>Leisure Lion - Bundaberg</x:v>
      </x:c>
      <x:c r="L503" s="19" t="str">
        <x:v>Z006</x:v>
      </x:c>
      <x:c r="M503" s="19" t="str">
        <x:v>In Field Warranty Claims</x:v>
      </x:c>
      <x:c r="N503" s="37" t="n">
        <x:v>46189</x:v>
      </x:c>
      <x:c r="O503" s="37"/>
      <x:c r="P503" s="34" t="n">
        <x:v>261.25</x:v>
      </x:c>
      <x:c r="Q503" s="37" t="n">
        <x:v>46190.98836805556</x:v>
      </x:c>
    </x:row>
    <x:row r="504">
      <x:c r="A504" s="22" t="n">
        <x:v>36437</x:v>
      </x:c>
      <x:c r="B504" s="28" t="n">
        <x:v>202.5</x:v>
      </x:c>
      <x:c r="C504" s="28" t="n">
        <x:v>222.75</x:v>
      </x:c>
      <x:c r="D504" s="31" t="n">
        <x:f>IF(OR(ISBLANK(B504),ISBLANK(C504),B504=0),"",(C504-B504)/B504)</x:f>
        <x:v>0.1</x:v>
      </x:c>
      <x:c r="E504" s="22" t="str">
        <x:f>IF(ISBLANK(C504),"AmountIncludingTax缺失",IF(ABS(B504-C504)&lt;0.005,"一致","不一致"))</x:f>
        <x:v>不一致</x:v>
      </x:c>
      <x:c r="F504" s="19" t="str">
        <x:v>approved</x:v>
      </x:c>
      <x:c r="G504" s="19" t="str">
        <x:v>Repair in Progress</x:v>
      </x:c>
      <x:c r="H504" s="19" t="str">
        <x:v>In Field</x:v>
      </x:c>
      <x:c r="I504" s="37" t="n">
        <x:v>46196</x:v>
      </x:c>
      <x:c r="J504" s="37" t="n">
        <x:v>46196</x:v>
      </x:c>
      <x:c r="K504" s="19" t="str">
        <x:v>NEWCASTLE CARAVANS &amp; RVS</x:v>
      </x:c>
      <x:c r="L504" s="19" t="str">
        <x:v>Z006</x:v>
      </x:c>
      <x:c r="M504" s="19" t="str">
        <x:v>In Field Warranty Claims</x:v>
      </x:c>
      <x:c r="N504" s="37" t="n">
        <x:v>46189</x:v>
      </x:c>
      <x:c r="O504" s="37"/>
      <x:c r="P504" s="34" t="n">
        <x:v>222.75</x:v>
      </x:c>
      <x:c r="Q504" s="37" t="n">
        <x:v>46196.26872685185</x:v>
      </x:c>
    </x:row>
    <x:row r="505">
      <x:c r="A505" s="22" t="n">
        <x:v>36436</x:v>
      </x:c>
      <x:c r="B505" s="28" t="n">
        <x:v>1185</x:v>
      </x:c>
      <x:c r="C505" s="28"/>
      <x:c r="D505" s="31" t="str">
        <x:f>IF(OR(ISBLANK(B505),ISBLANK(C505),B505=0),"",(C505-B505)/B505)</x:f>
      </x:c>
      <x:c r="E505" s="22" t="str">
        <x:f>IF(ISBLANK(C505),"AmountIncludingTax缺失",IF(ABS(B505-C505)&lt;0.005,"一致","不一致"))</x:f>
        <x:v>AmountIncludingTax缺失</x:v>
      </x:c>
      <x:c r="F505" s="19" t="str">
        <x:v>approved</x:v>
      </x:c>
      <x:c r="G505" s="19" t="str">
        <x:v>Partially Picked</x:v>
      </x:c>
      <x:c r="H505" s="19" t="str">
        <x:v>In Field</x:v>
      </x:c>
      <x:c r="I505" s="37" t="n">
        <x:v>46190</x:v>
      </x:c>
      <x:c r="J505" s="37" t="n">
        <x:v>46190</x:v>
      </x:c>
      <x:c r="K505" s="19" t="str">
        <x:v>Green RV - Slacks Creek</x:v>
      </x:c>
      <x:c r="L505" s="19" t="str">
        <x:v>Z006</x:v>
      </x:c>
      <x:c r="M505" s="19" t="str">
        <x:v>In Field Warranty Claims</x:v>
      </x:c>
      <x:c r="N505" s="37" t="n">
        <x:v>46189</x:v>
      </x:c>
      <x:c r="O505" s="37"/>
      <x:c r="P505" s="34" t="n">
        <x:v>0</x:v>
      </x:c>
      <x:c r="Q505" s="37" t="n">
        <x:v>46190.174259259256</x:v>
      </x:c>
    </x:row>
    <x:row r="506">
      <x:c r="A506" s="22" t="n">
        <x:v>36435</x:v>
      </x:c>
      <x:c r="B506" s="28" t="n">
        <x:v>21.75</x:v>
      </x:c>
      <x:c r="C506" s="28"/>
      <x:c r="D506" s="31" t="str">
        <x:f>IF(OR(ISBLANK(B506),ISBLANK(C506),B506=0),"",(C506-B506)/B506)</x:f>
      </x:c>
      <x:c r="E506" s="22" t="str">
        <x:f>IF(ISBLANK(C506),"AmountIncludingTax缺失",IF(ABS(B506-C506)&lt;0.005,"一致","不一致"))</x:f>
        <x:v>AmountIncludingTax缺失</x:v>
      </x:c>
      <x:c r="F506" s="19" t="str">
        <x:v>approved</x:v>
      </x:c>
      <x:c r="G506" s="19" t="str">
        <x:v>Repair in Progress</x:v>
      </x:c>
      <x:c r="H506" s="19" t="str">
        <x:v>In Field</x:v>
      </x:c>
      <x:c r="I506" s="37" t="n">
        <x:v>46191</x:v>
      </x:c>
      <x:c r="J506" s="37" t="n">
        <x:v>46191</x:v>
      </x:c>
      <x:c r="K506" s="19" t="str">
        <x:v>The Caravan Hub - Townsville</x:v>
      </x:c>
      <x:c r="L506" s="19" t="str">
        <x:v>Z006</x:v>
      </x:c>
      <x:c r="M506" s="19" t="str">
        <x:v>In Field Warranty Claims</x:v>
      </x:c>
      <x:c r="N506" s="37" t="n">
        <x:v>46189</x:v>
      </x:c>
      <x:c r="O506" s="37"/>
      <x:c r="P506" s="34" t="n">
        <x:v>0</x:v>
      </x:c>
      <x:c r="Q506" s="37" t="n">
        <x:v>46190.98747685185</x:v>
      </x:c>
    </x:row>
    <x:row r="507">
      <x:c r="A507" s="22" t="n">
        <x:v>36431</x:v>
      </x:c>
      <x:c r="B507" s="28" t="n">
        <x:v>222.5</x:v>
      </x:c>
      <x:c r="C507" s="28"/>
      <x:c r="D507" s="31" t="str">
        <x:f>IF(OR(ISBLANK(B507),ISBLANK(C507),B507=0),"",(C507-B507)/B507)</x:f>
      </x:c>
      <x:c r="E507" s="22" t="str">
        <x:f>IF(ISBLANK(C507),"AmountIncludingTax缺失",IF(ABS(B507-C507)&lt;0.005,"一致","不一致"))</x:f>
        <x:v>AmountIncludingTax缺失</x:v>
      </x:c>
      <x:c r="F507" s="19" t="str">
        <x:v>approved</x:v>
      </x:c>
      <x:c r="G507" s="19" t="str">
        <x:v>Repair in Progress</x:v>
      </x:c>
      <x:c r="H507" s="19" t="str">
        <x:v>In Field</x:v>
      </x:c>
      <x:c r="I507" s="37" t="n">
        <x:v>46190</x:v>
      </x:c>
      <x:c r="J507" s="37" t="n">
        <x:v>46190</x:v>
      </x:c>
      <x:c r="K507" s="19" t="str">
        <x:v>Regent RV - Perth</x:v>
      </x:c>
      <x:c r="L507" s="19" t="str">
        <x:v>Z006</x:v>
      </x:c>
      <x:c r="M507" s="19" t="str">
        <x:v>In Field Warranty Claims</x:v>
      </x:c>
      <x:c r="N507" s="37" t="n">
        <x:v>46189</x:v>
      </x:c>
      <x:c r="O507" s="37"/>
      <x:c r="P507" s="34" t="n">
        <x:v>0</x:v>
      </x:c>
      <x:c r="Q507" s="37" t="n">
        <x:v>46190.02778935185</x:v>
      </x:c>
    </x:row>
    <x:row r="508">
      <x:c r="A508" s="22" t="n">
        <x:v>36428</x:v>
      </x:c>
      <x:c r="B508" s="28" t="n">
        <x:v>77.5</x:v>
      </x:c>
      <x:c r="C508" s="28"/>
      <x:c r="D508" s="31" t="str">
        <x:f>IF(OR(ISBLANK(B508),ISBLANK(C508),B508=0),"",(C508-B508)/B508)</x:f>
      </x:c>
      <x:c r="E508" s="22" t="str">
        <x:f>IF(ISBLANK(C508),"AmountIncludingTax缺失",IF(ABS(B508-C508)&lt;0.005,"一致","不一致"))</x:f>
        <x:v>AmountIncludingTax缺失</x:v>
      </x:c>
      <x:c r="F508" s="19" t="str">
        <x:v>approved</x:v>
      </x:c>
      <x:c r="G508" s="19" t="str">
        <x:v>Repair in Progress</x:v>
      </x:c>
      <x:c r="H508" s="19" t="str">
        <x:v>Pre Delivery</x:v>
      </x:c>
      <x:c r="I508" s="37" t="n">
        <x:v>46190</x:v>
      </x:c>
      <x:c r="J508" s="37" t="n">
        <x:v>46190</x:v>
      </x:c>
      <x:c r="K508" s="19" t="str">
        <x:v>Leisure Lion - Bundaberg</x:v>
      </x:c>
      <x:c r="L508" s="19" t="str">
        <x:v>Z005</x:v>
      </x:c>
      <x:c r="M508" s="19" t="str">
        <x:v>Pre Delivery Warranty Claims</x:v>
      </x:c>
      <x:c r="N508" s="37" t="n">
        <x:v>46189</x:v>
      </x:c>
      <x:c r="O508" s="37"/>
      <x:c r="P508" s="34" t="n">
        <x:v>0</x:v>
      </x:c>
      <x:c r="Q508" s="37" t="n">
        <x:v>46190.08248842593</x:v>
      </x:c>
    </x:row>
    <x:row r="509">
      <x:c r="A509" s="22" t="n">
        <x:v>36420</x:v>
      </x:c>
      <x:c r="B509" s="28" t="n">
        <x:v>135</x:v>
      </x:c>
      <x:c r="C509" s="28"/>
      <x:c r="D509" s="31" t="str">
        <x:f>IF(OR(ISBLANK(B509),ISBLANK(C509),B509=0),"",(C509-B509)/B509)</x:f>
      </x:c>
      <x:c r="E509" s="22" t="str">
        <x:f>IF(ISBLANK(C509),"AmountIncludingTax缺失",IF(ABS(B509-C509)&lt;0.005,"一致","不一致"))</x:f>
        <x:v>AmountIncludingTax缺失</x:v>
      </x:c>
      <x:c r="F509" s="19" t="str">
        <x:v>approved</x:v>
      </x:c>
      <x:c r="G509" s="19" t="str">
        <x:v>Sales Order Approved</x:v>
      </x:c>
      <x:c r="H509" s="19" t="str">
        <x:v>In Field</x:v>
      </x:c>
      <x:c r="I509" s="37" t="n">
        <x:v>46196</x:v>
      </x:c>
      <x:c r="J509" s="37" t="n">
        <x:v>46196</x:v>
      </x:c>
      <x:c r="K509" s="19" t="str">
        <x:v>Green RV - Forest Glen</x:v>
      </x:c>
      <x:c r="L509" s="19" t="str">
        <x:v>Z006</x:v>
      </x:c>
      <x:c r="M509" s="19" t="str">
        <x:v>In Field Warranty Claims</x:v>
      </x:c>
      <x:c r="N509" s="37" t="n">
        <x:v>46189</x:v>
      </x:c>
      <x:c r="O509" s="37"/>
      <x:c r="P509" s="34" t="n">
        <x:v>0</x:v>
      </x:c>
      <x:c r="Q509" s="37" t="n">
        <x:v>46196.17476851852</x:v>
      </x:c>
    </x:row>
    <x:row r="510">
      <x:c r="A510" s="22" t="n">
        <x:v>36418</x:v>
      </x:c>
      <x:c r="B510" s="28" t="n">
        <x:v>450</x:v>
      </x:c>
      <x:c r="C510" s="28"/>
      <x:c r="D510" s="31" t="str">
        <x:f>IF(OR(ISBLANK(B510),ISBLANK(C510),B510=0),"",(C510-B510)/B510)</x:f>
      </x:c>
      <x:c r="E510" s="22" t="str">
        <x:f>IF(ISBLANK(C510),"AmountIncludingTax缺失",IF(ABS(B510-C510)&lt;0.005,"一致","不一致"))</x:f>
        <x:v>AmountIncludingTax缺失</x:v>
      </x:c>
      <x:c r="F510" s="19" t="str">
        <x:v>approved</x:v>
      </x:c>
      <x:c r="G510" s="19" t="str">
        <x:v>Sales Order Approved</x:v>
      </x:c>
      <x:c r="H510" s="19" t="str">
        <x:v>In Field</x:v>
      </x:c>
      <x:c r="I510" s="37" t="n">
        <x:v>46209</x:v>
      </x:c>
      <x:c r="J510" s="37" t="n">
        <x:v>46209</x:v>
      </x:c>
      <x:c r="K510" s="19" t="str">
        <x:v>Regent RV - Perth</x:v>
      </x:c>
      <x:c r="L510" s="19" t="str">
        <x:v>Z006</x:v>
      </x:c>
      <x:c r="M510" s="19" t="str">
        <x:v>In Field Warranty Claims</x:v>
      </x:c>
      <x:c r="N510" s="37" t="n">
        <x:v>46189</x:v>
      </x:c>
      <x:c r="O510" s="37"/>
      <x:c r="P510" s="34" t="n">
        <x:v>0</x:v>
      </x:c>
      <x:c r="Q510" s="37" t="n">
        <x:v>46209.248344907406</x:v>
      </x:c>
    </x:row>
    <x:row r="511">
      <x:c r="A511" s="22" t="n">
        <x:v>36417</x:v>
      </x:c>
      <x:c r="B511" s="28" t="n">
        <x:v>117.05</x:v>
      </x:c>
      <x:c r="C511" s="28"/>
      <x:c r="D511" s="31" t="str">
        <x:f>IF(OR(ISBLANK(B511),ISBLANK(C511),B511=0),"",(C511-B511)/B511)</x:f>
      </x:c>
      <x:c r="E511" s="22" t="str">
        <x:f>IF(ISBLANK(C511),"AmountIncludingTax缺失",IF(ABS(B511-C511)&lt;0.005,"一致","不一致"))</x:f>
        <x:v>AmountIncludingTax缺失</x:v>
      </x:c>
      <x:c r="F511" s="19" t="str">
        <x:v>approved</x:v>
      </x:c>
      <x:c r="G511" s="19" t="str">
        <x:v>Repair in Progress</x:v>
      </x:c>
      <x:c r="H511" s="19" t="str">
        <x:v>In Field</x:v>
      </x:c>
      <x:c r="I511" s="37" t="n">
        <x:v>46192</x:v>
      </x:c>
      <x:c r="J511" s="37" t="n">
        <x:v>46192</x:v>
      </x:c>
      <x:c r="K511" s="19" t="str">
        <x:v>Great Ocean Road RV &amp; Caravans - Warrnambool</x:v>
      </x:c>
      <x:c r="L511" s="19" t="str">
        <x:v>Z006</x:v>
      </x:c>
      <x:c r="M511" s="19" t="str">
        <x:v>In Field Warranty Claims</x:v>
      </x:c>
      <x:c r="N511" s="37" t="n">
        <x:v>46189</x:v>
      </x:c>
      <x:c r="O511" s="37"/>
      <x:c r="P511" s="34" t="n">
        <x:v>0</x:v>
      </x:c>
      <x:c r="Q511" s="37" t="n">
        <x:v>46192.079409722224</x:v>
      </x:c>
    </x:row>
    <x:row r="512">
      <x:c r="A512" s="22" t="n">
        <x:v>36416</x:v>
      </x:c>
      <x:c r="B512" s="28" t="n">
        <x:v>850</x:v>
      </x:c>
      <x:c r="C512" s="28"/>
      <x:c r="D512" s="31" t="str">
        <x:f>IF(OR(ISBLANK(B512),ISBLANK(C512),B512=0),"",(C512-B512)/B512)</x:f>
      </x:c>
      <x:c r="E512" s="22" t="str">
        <x:f>IF(ISBLANK(C512),"AmountIncludingTax缺失",IF(ABS(B512-C512)&lt;0.005,"一致","不一致"))</x:f>
        <x:v>AmountIncludingTax缺失</x:v>
      </x:c>
      <x:c r="F512" s="19" t="str">
        <x:v>approved</x:v>
      </x:c>
      <x:c r="G512" s="19" t="str">
        <x:v>Repair in Progress</x:v>
      </x:c>
      <x:c r="H512" s="19" t="str">
        <x:v>In Field</x:v>
      </x:c>
      <x:c r="I512" s="37" t="n">
        <x:v>46190</x:v>
      </x:c>
      <x:c r="J512" s="37" t="n">
        <x:v>46190</x:v>
      </x:c>
      <x:c r="K512" s="19" t="str">
        <x:v>Green RV - Forest Glen</x:v>
      </x:c>
      <x:c r="L512" s="19" t="str">
        <x:v>Z006</x:v>
      </x:c>
      <x:c r="M512" s="19" t="str">
        <x:v>In Field Warranty Claims</x:v>
      </x:c>
      <x:c r="N512" s="37" t="n">
        <x:v>46189</x:v>
      </x:c>
      <x:c r="O512" s="37"/>
      <x:c r="P512" s="34" t="n">
        <x:v>0</x:v>
      </x:c>
      <x:c r="Q512" s="37" t="n">
        <x:v>46189.93409722222</x:v>
      </x:c>
    </x:row>
    <x:row r="513">
      <x:c r="A513" s="22" t="n">
        <x:v>36415</x:v>
      </x:c>
      <x:c r="B513" s="28" t="n">
        <x:v>87.5</x:v>
      </x:c>
      <x:c r="C513" s="28"/>
      <x:c r="D513" s="31" t="str">
        <x:f>IF(OR(ISBLANK(B513),ISBLANK(C513),B513=0),"",(C513-B513)/B513)</x:f>
      </x:c>
      <x:c r="E513" s="22" t="str">
        <x:f>IF(ISBLANK(C513),"AmountIncludingTax缺失",IF(ABS(B513-C513)&lt;0.005,"一致","不一致"))</x:f>
        <x:v>AmountIncludingTax缺失</x:v>
      </x:c>
      <x:c r="F513" s="19" t="str">
        <x:v>approved</x:v>
      </x:c>
      <x:c r="G513" s="19" t="str">
        <x:v>Repair in Progress</x:v>
      </x:c>
      <x:c r="H513" s="19" t="str">
        <x:v>In Field</x:v>
      </x:c>
      <x:c r="I513" s="37" t="n">
        <x:v>46190</x:v>
      </x:c>
      <x:c r="J513" s="37" t="n">
        <x:v>46190</x:v>
      </x:c>
      <x:c r="K513" s="19" t="str">
        <x:v>Snowy River Wangaratta</x:v>
      </x:c>
      <x:c r="L513" s="19" t="str">
        <x:v>Z006</x:v>
      </x:c>
      <x:c r="M513" s="19" t="str">
        <x:v>In Field Warranty Claims</x:v>
      </x:c>
      <x:c r="N513" s="37" t="n">
        <x:v>46189</x:v>
      </x:c>
      <x:c r="O513" s="37"/>
      <x:c r="P513" s="34" t="n">
        <x:v>0</x:v>
      </x:c>
      <x:c r="Q513" s="37" t="n">
        <x:v>46190.029965277776</x:v>
      </x:c>
    </x:row>
    <x:row r="514">
      <x:c r="A514" s="22" t="n">
        <x:v>36414</x:v>
      </x:c>
      <x:c r="B514" s="28" t="n">
        <x:v>211.35</x:v>
      </x:c>
      <x:c r="C514" s="28"/>
      <x:c r="D514" s="31" t="str">
        <x:f>IF(OR(ISBLANK(B514),ISBLANK(C514),B514=0),"",(C514-B514)/B514)</x:f>
      </x:c>
      <x:c r="E514" s="22" t="str">
        <x:f>IF(ISBLANK(C514),"AmountIncludingTax缺失",IF(ABS(B514-C514)&lt;0.005,"一致","不一致"))</x:f>
        <x:v>AmountIncludingTax缺失</x:v>
      </x:c>
      <x:c r="F514" s="19" t="str">
        <x:v>approved</x:v>
      </x:c>
      <x:c r="G514" s="19" t="str">
        <x:v>Repairer Invoiced Processed</x:v>
      </x:c>
      <x:c r="H514" s="19" t="str">
        <x:v>In Field</x:v>
      </x:c>
      <x:c r="I514" s="37" t="n">
        <x:v>46196</x:v>
      </x:c>
      <x:c r="J514" s="37" t="n">
        <x:v>46196</x:v>
      </x:c>
      <x:c r="K514" s="19" t="str">
        <x:v>Dario Caravans -St.Marys</x:v>
      </x:c>
      <x:c r="L514" s="19" t="str">
        <x:v>Z006</x:v>
      </x:c>
      <x:c r="M514" s="19" t="str">
        <x:v>In Field Warranty Claims</x:v>
      </x:c>
      <x:c r="N514" s="37" t="n">
        <x:v>46189</x:v>
      </x:c>
      <x:c r="O514" s="37"/>
      <x:c r="P514" s="34" t="n">
        <x:v>0</x:v>
      </x:c>
      <x:c r="Q514" s="37" t="n">
        <x:v>46196.271574074075</x:v>
      </x:c>
    </x:row>
    <x:row r="515">
      <x:c r="A515" s="22" t="n">
        <x:v>36413</x:v>
      </x:c>
      <x:c r="B515" s="28" t="n">
        <x:v>138.18</x:v>
      </x:c>
      <x:c r="C515" s="28" t="n">
        <x:v>152</x:v>
      </x:c>
      <x:c r="D515" s="31" t="n">
        <x:f>IF(OR(ISBLANK(B515),ISBLANK(C515),B515=0),"",(C515-B515)/B515)</x:f>
        <x:v>0.10001447387465619</x:v>
      </x:c>
      <x:c r="E515" s="22" t="str">
        <x:f>IF(ISBLANK(C515),"AmountIncludingTax缺失",IF(ABS(B515-C515)&lt;0.005,"一致","不一致"))</x:f>
        <x:v>不一致</x:v>
      </x:c>
      <x:c r="F515" s="19" t="str">
        <x:v>approved</x:v>
      </x:c>
      <x:c r="G515" s="19" t="str">
        <x:v>Repairer Invoiced Processed</x:v>
      </x:c>
      <x:c r="H515" s="19" t="str">
        <x:v>In Field</x:v>
      </x:c>
      <x:c r="I515" s="37" t="n">
        <x:v>46197</x:v>
      </x:c>
      <x:c r="J515" s="37" t="n">
        <x:v>46197</x:v>
      </x:c>
      <x:c r="K515" s="19" t="str">
        <x:v>Regent RV - Frankston</x:v>
      </x:c>
      <x:c r="L515" s="19" t="str">
        <x:v>Z006</x:v>
      </x:c>
      <x:c r="M515" s="19" t="str">
        <x:v>In Field Warranty Claims</x:v>
      </x:c>
      <x:c r="N515" s="37" t="n">
        <x:v>46189</x:v>
      </x:c>
      <x:c r="O515" s="37"/>
      <x:c r="P515" s="34" t="n">
        <x:v>152</x:v>
      </x:c>
      <x:c r="Q515" s="37" t="n">
        <x:v>46197.08489583333</x:v>
      </x:c>
    </x:row>
    <x:row r="516">
      <x:c r="A516" s="22" t="n">
        <x:v>36412</x:v>
      </x:c>
      <x:c r="B516" s="28" t="n">
        <x:v>72.5</x:v>
      </x:c>
      <x:c r="C516" s="28"/>
      <x:c r="D516" s="31" t="str">
        <x:f>IF(OR(ISBLANK(B516),ISBLANK(C516),B516=0),"",(C516-B516)/B516)</x:f>
      </x:c>
      <x:c r="E516" s="22" t="str">
        <x:f>IF(ISBLANK(C516),"AmountIncludingTax缺失",IF(ABS(B516-C516)&lt;0.005,"一致","不一致"))</x:f>
        <x:v>AmountIncludingTax缺失</x:v>
      </x:c>
      <x:c r="F516" s="19" t="str">
        <x:v>approved</x:v>
      </x:c>
      <x:c r="G516" s="19" t="str">
        <x:v>Repair in Progress</x:v>
      </x:c>
      <x:c r="H516" s="19" t="str">
        <x:v>In Field</x:v>
      </x:c>
      <x:c r="I516" s="37" t="n">
        <x:v>46190</x:v>
      </x:c>
      <x:c r="J516" s="37" t="n">
        <x:v>46190</x:v>
      </x:c>
      <x:c r="K516" s="19" t="str">
        <x:v>Regent RV - Frankston</x:v>
      </x:c>
      <x:c r="L516" s="19" t="str">
        <x:v>Z006</x:v>
      </x:c>
      <x:c r="M516" s="19" t="str">
        <x:v>In Field Warranty Claims</x:v>
      </x:c>
      <x:c r="N516" s="37" t="n">
        <x:v>46189</x:v>
      </x:c>
      <x:c r="O516" s="37"/>
      <x:c r="P516" s="34" t="n">
        <x:v>0</x:v>
      </x:c>
      <x:c r="Q516" s="37" t="n">
        <x:v>46190.08188657407</x:v>
      </x:c>
    </x:row>
    <x:row r="517">
      <x:c r="A517" s="22" t="n">
        <x:v>36411</x:v>
      </x:c>
      <x:c r="B517" s="28" t="n">
        <x:v>540</x:v>
      </x:c>
      <x:c r="C517" s="28"/>
      <x:c r="D517" s="31" t="str">
        <x:f>IF(OR(ISBLANK(B517),ISBLANK(C517),B517=0),"",(C517-B517)/B517)</x:f>
      </x:c>
      <x:c r="E517" s="22" t="str">
        <x:f>IF(ISBLANK(C517),"AmountIncludingTax缺失",IF(ABS(B517-C517)&lt;0.005,"一致","不一致"))</x:f>
        <x:v>AmountIncludingTax缺失</x:v>
      </x:c>
      <x:c r="F517" s="19" t="str">
        <x:v>approved</x:v>
      </x:c>
      <x:c r="G517" s="19" t="str">
        <x:v>Partially Picked</x:v>
      </x:c>
      <x:c r="H517" s="19" t="str">
        <x:v>In Field</x:v>
      </x:c>
      <x:c r="I517" s="37" t="n">
        <x:v>46190</x:v>
      </x:c>
      <x:c r="J517" s="37" t="n">
        <x:v>46190</x:v>
      </x:c>
      <x:c r="K517" s="19" t="str">
        <x:v>Green RV - Forest Glen</x:v>
      </x:c>
      <x:c r="L517" s="19" t="str">
        <x:v>Z006</x:v>
      </x:c>
      <x:c r="M517" s="19" t="str">
        <x:v>In Field Warranty Claims</x:v>
      </x:c>
      <x:c r="N517" s="37" t="n">
        <x:v>46189</x:v>
      </x:c>
      <x:c r="O517" s="37"/>
      <x:c r="P517" s="34" t="n">
        <x:v>0</x:v>
      </x:c>
      <x:c r="Q517" s="37" t="n">
        <x:v>46189.88302083333</x:v>
      </x:c>
    </x:row>
    <x:row r="518">
      <x:c r="A518" s="22" t="n">
        <x:v>36408</x:v>
      </x:c>
      <x:c r="B518" s="28" t="n">
        <x:v>580</x:v>
      </x:c>
      <x:c r="C518" s="28"/>
      <x:c r="D518" s="31" t="str">
        <x:f>IF(OR(ISBLANK(B518),ISBLANK(C518),B518=0),"",(C518-B518)/B518)</x:f>
      </x:c>
      <x:c r="E518" s="22" t="str">
        <x:f>IF(ISBLANK(C518),"AmountIncludingTax缺失",IF(ABS(B518-C518)&lt;0.005,"一致","不一致"))</x:f>
        <x:v>AmountIncludingTax缺失</x:v>
      </x:c>
      <x:c r="F518" s="19" t="str">
        <x:v>approved</x:v>
      </x:c>
      <x:c r="G518" s="19" t="str">
        <x:v>Repair in Progress</x:v>
      </x:c>
      <x:c r="H518" s="19" t="str">
        <x:v>In Field</x:v>
      </x:c>
      <x:c r="I518" s="37" t="n">
        <x:v>46190</x:v>
      </x:c>
      <x:c r="J518" s="37" t="n">
        <x:v>46190</x:v>
      </x:c>
      <x:c r="K518" s="19" t="str">
        <x:v>Regent RV - Perth</x:v>
      </x:c>
      <x:c r="L518" s="19" t="str">
        <x:v>Z006</x:v>
      </x:c>
      <x:c r="M518" s="19" t="str">
        <x:v>In Field Warranty Claims</x:v>
      </x:c>
      <x:c r="N518" s="37" t="n">
        <x:v>46189</x:v>
      </x:c>
      <x:c r="O518" s="37"/>
      <x:c r="P518" s="34" t="n">
        <x:v>0</x:v>
      </x:c>
      <x:c r="Q518" s="37" t="n">
        <x:v>46189.888553240744</x:v>
      </x:c>
    </x:row>
    <x:row r="519">
      <x:c r="A519" s="22" t="n">
        <x:v>36400</x:v>
      </x:c>
      <x:c r="B519" s="28" t="n">
        <x:v>540</x:v>
      </x:c>
      <x:c r="C519" s="28" t="n">
        <x:v>0</x:v>
      </x:c>
      <x:c r="D519" s="31" t="n">
        <x:f>IF(OR(ISBLANK(B519),ISBLANK(C519),B519=0),"",(C519-B519)/B519)</x:f>
        <x:v>-1</x:v>
      </x:c>
      <x:c r="E519" s="22" t="str">
        <x:f>IF(ISBLANK(C519),"AmountIncludingTax缺失",IF(ABS(B519-C519)&lt;0.005,"一致","不一致"))</x:f>
        <x:v>不一致</x:v>
      </x:c>
      <x:c r="F519" s="19"/>
      <x:c r="G519" s="19" t="str">
        <x:v>Quote Validation</x:v>
      </x:c>
      <x:c r="H519" s="19" t="str">
        <x:v>In Field</x:v>
      </x:c>
      <x:c r="I519" s="37"/>
      <x:c r="J519" s="37" t="n">
        <x:v>46212</x:v>
      </x:c>
      <x:c r="K519" s="19" t="str">
        <x:v>Dario Caravans -St.Marys</x:v>
      </x:c>
      <x:c r="L519" s="19" t="str">
        <x:v>Z006</x:v>
      </x:c>
      <x:c r="M519" s="19" t="str">
        <x:v>In Field Warranty Claims</x:v>
      </x:c>
      <x:c r="N519" s="37" t="n">
        <x:v>46189</x:v>
      </x:c>
      <x:c r="O519" s="37" t="n">
        <x:v>46202</x:v>
      </x:c>
      <x:c r="P519" s="34" t="n">
        <x:v>0</x:v>
      </x:c>
      <x:c r="Q519" s="37"/>
    </x:row>
    <x:row r="520">
      <x:c r="A520" s="22" t="n">
        <x:v>36398</x:v>
      </x:c>
      <x:c r="B520" s="28" t="n">
        <x:v>784</x:v>
      </x:c>
      <x:c r="C520" s="28" t="n">
        <x:v>709.83</x:v>
      </x:c>
      <x:c r="D520" s="31" t="n">
        <x:f>IF(OR(ISBLANK(B520),ISBLANK(C520),B520=0),"",(C520-B520)/B520)</x:f>
        <x:v>-0.09460459183673464</x:v>
      </x:c>
      <x:c r="E520" s="22" t="str">
        <x:f>IF(ISBLANK(C520),"AmountIncludingTax缺失",IF(ABS(B520-C520)&lt;0.005,"一致","不一致"))</x:f>
        <x:v>不一致</x:v>
      </x:c>
      <x:c r="F520" s="19" t="str">
        <x:v>approved</x:v>
      </x:c>
      <x:c r="G520" s="19" t="str">
        <x:v>Repairer Invoiced Processed</x:v>
      </x:c>
      <x:c r="H520" s="19" t="str">
        <x:v>In Field</x:v>
      </x:c>
      <x:c r="I520" s="37" t="n">
        <x:v>46190</x:v>
      </x:c>
      <x:c r="J520" s="37" t="n">
        <x:v>46190</x:v>
      </x:c>
      <x:c r="K520" s="19" t="str">
        <x:v>Vanari Caravans - Marden Point</x:v>
      </x:c>
      <x:c r="L520" s="19" t="str">
        <x:v>Z006</x:v>
      </x:c>
      <x:c r="M520" s="19" t="str">
        <x:v>In Field Warranty Claims</x:v>
      </x:c>
      <x:c r="N520" s="37" t="n">
        <x:v>46189</x:v>
      </x:c>
      <x:c r="O520" s="37"/>
      <x:c r="P520" s="34" t="n">
        <x:v>709.83</x:v>
      </x:c>
      <x:c r="Q520" s="37" t="n">
        <x:v>46190.068391203706</x:v>
      </x:c>
    </x:row>
    <x:row r="521">
      <x:c r="A521" s="22" t="n">
        <x:v>36397</x:v>
      </x:c>
      <x:c r="B521" s="28" t="n">
        <x:v>222.5</x:v>
      </x:c>
      <x:c r="C521" s="28"/>
      <x:c r="D521" s="31" t="str">
        <x:f>IF(OR(ISBLANK(B521),ISBLANK(C521),B521=0),"",(C521-B521)/B521)</x:f>
      </x:c>
      <x:c r="E521" s="22" t="str">
        <x:f>IF(ISBLANK(C521),"AmountIncludingTax缺失",IF(ABS(B521-C521)&lt;0.005,"一致","不一致"))</x:f>
        <x:v>AmountIncludingTax缺失</x:v>
      </x:c>
      <x:c r="F521" s="19" t="str">
        <x:v>approved</x:v>
      </x:c>
      <x:c r="G521" s="19" t="str">
        <x:v>Sales Order Approved</x:v>
      </x:c>
      <x:c r="H521" s="19" t="str">
        <x:v>In Field</x:v>
      </x:c>
      <x:c r="I521" s="37" t="n">
        <x:v>46206</x:v>
      </x:c>
      <x:c r="J521" s="37" t="n">
        <x:v>46206</x:v>
      </x:c>
      <x:c r="K521" s="19" t="str">
        <x:v>Snowy River Geelong</x:v>
      </x:c>
      <x:c r="L521" s="19" t="str">
        <x:v>Z006</x:v>
      </x:c>
      <x:c r="M521" s="19" t="str">
        <x:v>In Field Warranty Claims</x:v>
      </x:c>
      <x:c r="N521" s="37" t="n">
        <x:v>46189</x:v>
      </x:c>
      <x:c r="O521" s="37"/>
      <x:c r="P521" s="34" t="n">
        <x:v>0</x:v>
      </x:c>
      <x:c r="Q521" s="37" t="n">
        <x:v>46206.02923611111</x:v>
      </x:c>
    </x:row>
    <x:row r="522">
      <x:c r="A522" s="22" t="n">
        <x:v>36396</x:v>
      </x:c>
      <x:c r="B522" s="28" t="n">
        <x:v>762.5</x:v>
      </x:c>
      <x:c r="C522" s="28"/>
      <x:c r="D522" s="31" t="str">
        <x:f>IF(OR(ISBLANK(B522),ISBLANK(C522),B522=0),"",(C522-B522)/B522)</x:f>
      </x:c>
      <x:c r="E522" s="22" t="str">
        <x:f>IF(ISBLANK(C522),"AmountIncludingTax缺失",IF(ABS(B522-C522)&lt;0.005,"一致","不一致"))</x:f>
        <x:v>AmountIncludingTax缺失</x:v>
      </x:c>
      <x:c r="F522" s="19" t="str">
        <x:v>approved</x:v>
      </x:c>
      <x:c r="G522" s="19" t="str">
        <x:v>Partially Picked</x:v>
      </x:c>
      <x:c r="H522" s="19" t="str">
        <x:v>Pre Delivery</x:v>
      </x:c>
      <x:c r="I522" s="37" t="n">
        <x:v>46189</x:v>
      </x:c>
      <x:c r="J522" s="37" t="n">
        <x:v>46189</x:v>
      </x:c>
      <x:c r="K522" s="19" t="str">
        <x:v>QCCC - Gympie</x:v>
      </x:c>
      <x:c r="L522" s="19" t="str">
        <x:v>Z005</x:v>
      </x:c>
      <x:c r="M522" s="19" t="str">
        <x:v>Pre Delivery Warranty Claims</x:v>
      </x:c>
      <x:c r="N522" s="37" t="n">
        <x:v>46189</x:v>
      </x:c>
      <x:c r="O522" s="37"/>
      <x:c r="P522" s="34" t="n">
        <x:v>0</x:v>
      </x:c>
      <x:c r="Q522" s="37" t="n">
        <x:v>46189.31108796296</x:v>
      </x:c>
    </x:row>
    <x:row r="523">
      <x:c r="A523" s="22" t="n">
        <x:v>36395</x:v>
      </x:c>
      <x:c r="B523" s="28" t="n">
        <x:v>2361.97</x:v>
      </x:c>
      <x:c r="C523" s="28"/>
      <x:c r="D523" s="31" t="str">
        <x:f>IF(OR(ISBLANK(B523),ISBLANK(C523),B523=0),"",(C523-B523)/B523)</x:f>
      </x:c>
      <x:c r="E523" s="22" t="str">
        <x:f>IF(ISBLANK(C523),"AmountIncludingTax缺失",IF(ABS(B523-C523)&lt;0.005,"一致","不一致"))</x:f>
        <x:v>AmountIncludingTax缺失</x:v>
      </x:c>
      <x:c r="F523" s="19" t="str">
        <x:v>approved</x:v>
      </x:c>
      <x:c r="G523" s="19" t="str">
        <x:v>Repairer Invoiced Processed</x:v>
      </x:c>
      <x:c r="H523" s="19" t="str">
        <x:v>In Field</x:v>
      </x:c>
      <x:c r="I523" s="37" t="n">
        <x:v>46210</x:v>
      </x:c>
      <x:c r="J523" s="37" t="n">
        <x:v>46210</x:v>
      </x:c>
      <x:c r="K523" s="19" t="str">
        <x:v>Vanari Caravans - Marden Point</x:v>
      </x:c>
      <x:c r="L523" s="19" t="str">
        <x:v>Z006</x:v>
      </x:c>
      <x:c r="M523" s="19" t="str">
        <x:v>In Field Warranty Claims</x:v>
      </x:c>
      <x:c r="N523" s="37" t="n">
        <x:v>46188</x:v>
      </x:c>
      <x:c r="O523" s="37"/>
      <x:c r="P523" s="34" t="n">
        <x:v>2352.38</x:v>
      </x:c>
      <x:c r="Q523" s="37" t="n">
        <x:v>46210.016238425924</x:v>
      </x:c>
    </x:row>
    <x:row r="524">
      <x:c r="A524" s="22" t="n">
        <x:v>36394</x:v>
      </x:c>
      <x:c r="B524" s="28" t="n">
        <x:v>540</x:v>
      </x:c>
      <x:c r="C524" s="28"/>
      <x:c r="D524" s="31" t="str">
        <x:f>IF(OR(ISBLANK(B524),ISBLANK(C524),B524=0),"",(C524-B524)/B524)</x:f>
      </x:c>
      <x:c r="E524" s="22" t="str">
        <x:f>IF(ISBLANK(C524),"AmountIncludingTax缺失",IF(ABS(B524-C524)&lt;0.005,"一致","不一致"))</x:f>
        <x:v>AmountIncludingTax缺失</x:v>
      </x:c>
      <x:c r="F524" s="19" t="str">
        <x:v>approved</x:v>
      </x:c>
      <x:c r="G524" s="19" t="str">
        <x:v>Repair in Progress</x:v>
      </x:c>
      <x:c r="H524" s="19" t="str">
        <x:v>In Field</x:v>
      </x:c>
      <x:c r="I524" s="37" t="n">
        <x:v>46197</x:v>
      </x:c>
      <x:c r="J524" s="37" t="n">
        <x:v>46197</x:v>
      </x:c>
      <x:c r="K524" s="19" t="str">
        <x:v>Auswide Caravans - South Nowra</x:v>
      </x:c>
      <x:c r="L524" s="19" t="str">
        <x:v>Z006</x:v>
      </x:c>
      <x:c r="M524" s="19" t="str">
        <x:v>In Field Warranty Claims</x:v>
      </x:c>
      <x:c r="N524" s="37" t="n">
        <x:v>46188</x:v>
      </x:c>
      <x:c r="O524" s="37"/>
      <x:c r="P524" s="34" t="n">
        <x:v>0</x:v>
      </x:c>
      <x:c r="Q524" s="37" t="n">
        <x:v>46196.896944444445</x:v>
      </x:c>
    </x:row>
    <x:row r="525">
      <x:c r="A525" s="22" t="n">
        <x:v>36393</x:v>
      </x:c>
      <x:c r="B525" s="28" t="n">
        <x:v>890</x:v>
      </x:c>
      <x:c r="C525" s="28"/>
      <x:c r="D525" s="31" t="str">
        <x:f>IF(OR(ISBLANK(B525),ISBLANK(C525),B525=0),"",(C525-B525)/B525)</x:f>
      </x:c>
      <x:c r="E525" s="22" t="str">
        <x:f>IF(ISBLANK(C525),"AmountIncludingTax缺失",IF(ABS(B525-C525)&lt;0.005,"一致","不一致"))</x:f>
        <x:v>AmountIncludingTax缺失</x:v>
      </x:c>
      <x:c r="F525" s="19" t="str">
        <x:v>approved</x:v>
      </x:c>
      <x:c r="G525" s="19" t="str">
        <x:v>Partially Picked</x:v>
      </x:c>
      <x:c r="H525" s="19" t="str">
        <x:v>In Field</x:v>
      </x:c>
      <x:c r="I525" s="37" t="n">
        <x:v>46189</x:v>
      </x:c>
      <x:c r="J525" s="37" t="n">
        <x:v>46189</x:v>
      </x:c>
      <x:c r="K525" s="19" t="str">
        <x:v>Green RV - Slacks Creek</x:v>
      </x:c>
      <x:c r="L525" s="19" t="str">
        <x:v>Z006</x:v>
      </x:c>
      <x:c r="M525" s="19" t="str">
        <x:v>In Field Warranty Claims</x:v>
      </x:c>
      <x:c r="N525" s="37" t="n">
        <x:v>46188</x:v>
      </x:c>
      <x:c r="O525" s="37"/>
      <x:c r="P525" s="34" t="n">
        <x:v>0</x:v>
      </x:c>
      <x:c r="Q525" s="37" t="n">
        <x:v>46189.01892361111</x:v>
      </x:c>
    </x:row>
    <x:row r="526">
      <x:c r="A526" s="22" t="n">
        <x:v>36392</x:v>
      </x:c>
      <x:c r="B526" s="28" t="n">
        <x:v>135</x:v>
      </x:c>
      <x:c r="C526" s="28"/>
      <x:c r="D526" s="31" t="str">
        <x:f>IF(OR(ISBLANK(B526),ISBLANK(C526),B526=0),"",(C526-B526)/B526)</x:f>
      </x:c>
      <x:c r="E526" s="22" t="str">
        <x:f>IF(ISBLANK(C526),"AmountIncludingTax缺失",IF(ABS(B526-C526)&lt;0.005,"一致","不一致"))</x:f>
        <x:v>AmountIncludingTax缺失</x:v>
      </x:c>
      <x:c r="F526" s="19" t="str">
        <x:v>approved</x:v>
      </x:c>
      <x:c r="G526" s="19" t="str">
        <x:v>Sales Order Approved</x:v>
      </x:c>
      <x:c r="H526" s="19" t="str">
        <x:v>In Field</x:v>
      </x:c>
      <x:c r="I526" s="37" t="n">
        <x:v>46189</x:v>
      </x:c>
      <x:c r="J526" s="37" t="n">
        <x:v>46189</x:v>
      </x:c>
      <x:c r="K526" s="19" t="str">
        <x:v>Snowy River Launceston</x:v>
      </x:c>
      <x:c r="L526" s="19" t="str">
        <x:v>Z006</x:v>
      </x:c>
      <x:c r="M526" s="19" t="str">
        <x:v>In Field Warranty Claims</x:v>
      </x:c>
      <x:c r="N526" s="37" t="n">
        <x:v>46188</x:v>
      </x:c>
      <x:c r="O526" s="37"/>
      <x:c r="P526" s="34" t="n">
        <x:v>0</x:v>
      </x:c>
      <x:c r="Q526" s="37" t="n">
        <x:v>46189.017534722225</x:v>
      </x:c>
    </x:row>
    <x:row r="527">
      <x:c r="A527" s="22" t="n">
        <x:v>36384</x:v>
      </x:c>
      <x:c r="B527" s="28" t="n">
        <x:v>727.27</x:v>
      </x:c>
      <x:c r="C527" s="28" t="n">
        <x:v>800</x:v>
      </x:c>
      <x:c r="D527" s="31" t="n">
        <x:f>IF(OR(ISBLANK(B527),ISBLANK(C527),B527=0),"",(C527-B527)/B527)</x:f>
        <x:v>0.10000412501546883</x:v>
      </x:c>
      <x:c r="E527" s="22" t="str">
        <x:f>IF(ISBLANK(C527),"AmountIncludingTax缺失",IF(ABS(B527-C527)&lt;0.005,"一致","不一致"))</x:f>
        <x:v>不一致</x:v>
      </x:c>
      <x:c r="F527" s="19" t="str">
        <x:v>approved</x:v>
      </x:c>
      <x:c r="G527" s="19" t="str">
        <x:v>Repair in Progress</x:v>
      </x:c>
      <x:c r="H527" s="19" t="str">
        <x:v>In Field</x:v>
      </x:c>
      <x:c r="I527" s="37" t="n">
        <x:v>46189</x:v>
      </x:c>
      <x:c r="J527" s="37" t="n">
        <x:v>46189</x:v>
      </x:c>
      <x:c r="K527" s="19" t="str">
        <x:v>Green RV - Forest Glen</x:v>
      </x:c>
      <x:c r="L527" s="19" t="str">
        <x:v>Z006</x:v>
      </x:c>
      <x:c r="M527" s="19" t="str">
        <x:v>In Field Warranty Claims</x:v>
      </x:c>
      <x:c r="N527" s="37" t="n">
        <x:v>46189</x:v>
      </x:c>
      <x:c r="O527" s="37"/>
      <x:c r="P527" s="34" t="n">
        <x:v>800</x:v>
      </x:c>
      <x:c r="Q527" s="37" t="n">
        <x:v>46189.18293981482</x:v>
      </x:c>
    </x:row>
    <x:row r="528">
      <x:c r="A528" s="22" t="n">
        <x:v>36382</x:v>
      </x:c>
      <x:c r="B528" s="28" t="n">
        <x:v>145</x:v>
      </x:c>
      <x:c r="C528" s="28"/>
      <x:c r="D528" s="31" t="str">
        <x:f>IF(OR(ISBLANK(B528),ISBLANK(C528),B528=0),"",(C528-B528)/B528)</x:f>
      </x:c>
      <x:c r="E528" s="22" t="str">
        <x:f>IF(ISBLANK(C528),"AmountIncludingTax缺失",IF(ABS(B528-C528)&lt;0.005,"一致","不一致"))</x:f>
        <x:v>AmountIncludingTax缺失</x:v>
      </x:c>
      <x:c r="F528" s="19" t="str">
        <x:v>approved</x:v>
      </x:c>
      <x:c r="G528" s="19" t="str">
        <x:v>Repair in Progress</x:v>
      </x:c>
      <x:c r="H528" s="19" t="str">
        <x:v>In Field</x:v>
      </x:c>
      <x:c r="I528" s="37" t="n">
        <x:v>46188</x:v>
      </x:c>
      <x:c r="J528" s="37" t="n">
        <x:v>46188</x:v>
      </x:c>
      <x:c r="K528" s="19" t="str">
        <x:v>Dario Caravans - Pooraka</x:v>
      </x:c>
      <x:c r="L528" s="19" t="str">
        <x:v>Z006</x:v>
      </x:c>
      <x:c r="M528" s="19" t="str">
        <x:v>In Field Warranty Claims</x:v>
      </x:c>
      <x:c r="N528" s="37" t="n">
        <x:v>46188</x:v>
      </x:c>
      <x:c r="O528" s="37"/>
      <x:c r="P528" s="34" t="n">
        <x:v>0</x:v>
      </x:c>
      <x:c r="Q528" s="37" t="n">
        <x:v>46188.21436342593</x:v>
      </x:c>
    </x:row>
    <x:row r="529">
      <x:c r="A529" s="22" t="n">
        <x:v>36380</x:v>
      </x:c>
      <x:c r="B529" s="28" t="n">
        <x:v>222.5</x:v>
      </x:c>
      <x:c r="C529" s="28"/>
      <x:c r="D529" s="31" t="str">
        <x:f>IF(OR(ISBLANK(B529),ISBLANK(C529),B529=0),"",(C529-B529)/B529)</x:f>
      </x:c>
      <x:c r="E529" s="22" t="str">
        <x:f>IF(ISBLANK(C529),"AmountIncludingTax缺失",IF(ABS(B529-C529)&lt;0.005,"一致","不一致"))</x:f>
        <x:v>AmountIncludingTax缺失</x:v>
      </x:c>
      <x:c r="F529" s="19" t="str">
        <x:v>approved</x:v>
      </x:c>
      <x:c r="G529" s="19" t="str">
        <x:v>Partially Picked</x:v>
      </x:c>
      <x:c r="H529" s="19" t="str">
        <x:v>In Field</x:v>
      </x:c>
      <x:c r="I529" s="37" t="n">
        <x:v>46191</x:v>
      </x:c>
      <x:c r="J529" s="37" t="n">
        <x:v>46191</x:v>
      </x:c>
      <x:c r="K529" s="19" t="str">
        <x:v>Snowy River Geelong</x:v>
      </x:c>
      <x:c r="L529" s="19" t="str">
        <x:v>Z006</x:v>
      </x:c>
      <x:c r="M529" s="19" t="str">
        <x:v>In Field Warranty Claims</x:v>
      </x:c>
      <x:c r="N529" s="37" t="n">
        <x:v>46189</x:v>
      </x:c>
      <x:c r="O529" s="37"/>
      <x:c r="P529" s="34" t="n">
        <x:v>0</x:v>
      </x:c>
      <x:c r="Q529" s="37" t="n">
        <x:v>46191.236446759256</x:v>
      </x:c>
    </x:row>
    <x:row r="530">
      <x:c r="A530" s="22" t="n">
        <x:v>36379</x:v>
      </x:c>
      <x:c r="B530" s="28" t="n">
        <x:v>135</x:v>
      </x:c>
      <x:c r="C530" s="28"/>
      <x:c r="D530" s="31" t="str">
        <x:f>IF(OR(ISBLANK(B530),ISBLANK(C530),B530=0),"",(C530-B530)/B530)</x:f>
      </x:c>
      <x:c r="E530" s="22" t="str">
        <x:f>IF(ISBLANK(C530),"AmountIncludingTax缺失",IF(ABS(B530-C530)&lt;0.005,"一致","不一致"))</x:f>
        <x:v>AmountIncludingTax缺失</x:v>
      </x:c>
      <x:c r="F530" s="19" t="str">
        <x:v>approved</x:v>
      </x:c>
      <x:c r="G530" s="19" t="str">
        <x:v>Repair in Progress</x:v>
      </x:c>
      <x:c r="H530" s="19" t="str">
        <x:v>In Field</x:v>
      </x:c>
      <x:c r="I530" s="37" t="n">
        <x:v>46191</x:v>
      </x:c>
      <x:c r="J530" s="37" t="n">
        <x:v>46191</x:v>
      </x:c>
      <x:c r="K530" s="19" t="str">
        <x:v>Regent RV - Perth</x:v>
      </x:c>
      <x:c r="L530" s="19" t="str">
        <x:v>Z006</x:v>
      </x:c>
      <x:c r="M530" s="19" t="str">
        <x:v>In Field Warranty Claims</x:v>
      </x:c>
      <x:c r="N530" s="37" t="n">
        <x:v>46189</x:v>
      </x:c>
      <x:c r="O530" s="37"/>
      <x:c r="P530" s="34" t="n">
        <x:v>0</x:v>
      </x:c>
      <x:c r="Q530" s="37" t="n">
        <x:v>46191.24076388889</x:v>
      </x:c>
    </x:row>
    <x:row r="531">
      <x:c r="A531" s="22" t="n">
        <x:v>36377</x:v>
      </x:c>
      <x:c r="B531" s="28" t="n">
        <x:v>86.36</x:v>
      </x:c>
      <x:c r="C531" s="28" t="n">
        <x:v>95</x:v>
      </x:c>
      <x:c r="D531" s="31" t="n">
        <x:f>IF(OR(ISBLANK(B531),ISBLANK(C531),B531=0),"",(C531-B531)/B531)</x:f>
        <x:v>0.10004631773969432</x:v>
      </x:c>
      <x:c r="E531" s="22" t="str">
        <x:f>IF(ISBLANK(C531),"AmountIncludingTax缺失",IF(ABS(B531-C531)&lt;0.005,"一致","不一致"))</x:f>
        <x:v>不一致</x:v>
      </x:c>
      <x:c r="F531" s="19" t="str">
        <x:v>approved</x:v>
      </x:c>
      <x:c r="G531" s="19" t="str">
        <x:v>Repairer Invoiced Processed</x:v>
      </x:c>
      <x:c r="H531" s="19" t="str">
        <x:v>In Field</x:v>
      </x:c>
      <x:c r="I531" s="37" t="n">
        <x:v>46191</x:v>
      </x:c>
      <x:c r="J531" s="37" t="n">
        <x:v>46191</x:v>
      </x:c>
      <x:c r="K531" s="19" t="str">
        <x:v>Regent RV - Toowoomba</x:v>
      </x:c>
      <x:c r="L531" s="19" t="str">
        <x:v>Z006</x:v>
      </x:c>
      <x:c r="M531" s="19" t="str">
        <x:v>In Field Warranty Claims</x:v>
      </x:c>
      <x:c r="N531" s="37" t="n">
        <x:v>46188</x:v>
      </x:c>
      <x:c r="O531" s="37"/>
      <x:c r="P531" s="34" t="n">
        <x:v>95</x:v>
      </x:c>
      <x:c r="Q531" s="37" t="n">
        <x:v>46191.23609953704</x:v>
      </x:c>
    </x:row>
    <x:row r="532">
      <x:c r="A532" s="22" t="n">
        <x:v>36373</x:v>
      </x:c>
      <x:c r="B532" s="28" t="n">
        <x:v>885.57</x:v>
      </x:c>
      <x:c r="C532" s="28"/>
      <x:c r="D532" s="31" t="str">
        <x:f>IF(OR(ISBLANK(B532),ISBLANK(C532),B532=0),"",(C532-B532)/B532)</x:f>
      </x:c>
      <x:c r="E532" s="22" t="str">
        <x:f>IF(ISBLANK(C532),"AmountIncludingTax缺失",IF(ABS(B532-C532)&lt;0.005,"一致","不一致"))</x:f>
        <x:v>AmountIncludingTax缺失</x:v>
      </x:c>
      <x:c r="F532" s="19" t="str">
        <x:v>approved</x:v>
      </x:c>
      <x:c r="G532" s="19" t="str">
        <x:v>Repair in Progress</x:v>
      </x:c>
      <x:c r="H532" s="19" t="str">
        <x:v>In Field</x:v>
      </x:c>
      <x:c r="I532" s="37" t="n">
        <x:v>46189</x:v>
      </x:c>
      <x:c r="J532" s="37" t="n">
        <x:v>46189</x:v>
      </x:c>
      <x:c r="K532" s="19" t="str">
        <x:v>Dario Caravans - Pooraka</x:v>
      </x:c>
      <x:c r="L532" s="19" t="str">
        <x:v>Z006</x:v>
      </x:c>
      <x:c r="M532" s="19" t="str">
        <x:v>In Field Warranty Claims</x:v>
      </x:c>
      <x:c r="N532" s="37" t="n">
        <x:v>46188</x:v>
      </x:c>
      <x:c r="O532" s="37"/>
      <x:c r="P532" s="34" t="n">
        <x:v>0</x:v>
      </x:c>
      <x:c r="Q532" s="37" t="n">
        <x:v>46189.01945601852</x:v>
      </x:c>
    </x:row>
    <x:row r="533">
      <x:c r="A533" s="22" t="n">
        <x:v>36372</x:v>
      </x:c>
      <x:c r="B533" s="28" t="n">
        <x:v>135</x:v>
      </x:c>
      <x:c r="C533" s="28" t="n">
        <x:v>148.5</x:v>
      </x:c>
      <x:c r="D533" s="31" t="n">
        <x:f>IF(OR(ISBLANK(B533),ISBLANK(C533),B533=0),"",(C533-B533)/B533)</x:f>
        <x:v>0.1</x:v>
      </x:c>
      <x:c r="E533" s="22" t="str">
        <x:f>IF(ISBLANK(C533),"AmountIncludingTax缺失",IF(ABS(B533-C533)&lt;0.005,"一致","不一致"))</x:f>
        <x:v>不一致</x:v>
      </x:c>
      <x:c r="F533" s="19" t="str">
        <x:v>approved</x:v>
      </x:c>
      <x:c r="G533" s="19" t="str">
        <x:v>Repairer Invoiced Processed</x:v>
      </x:c>
      <x:c r="H533" s="19" t="str">
        <x:v>In Field</x:v>
      </x:c>
      <x:c r="I533" s="37" t="n">
        <x:v>46188</x:v>
      </x:c>
      <x:c r="J533" s="37" t="n">
        <x:v>46188</x:v>
      </x:c>
      <x:c r="K533" s="19" t="str">
        <x:v>Green RV - Forest Glen</x:v>
      </x:c>
      <x:c r="L533" s="19" t="str">
        <x:v>Z006</x:v>
      </x:c>
      <x:c r="M533" s="19" t="str">
        <x:v>In Field Warranty Claims</x:v>
      </x:c>
      <x:c r="N533" s="37" t="n">
        <x:v>46188</x:v>
      </x:c>
      <x:c r="O533" s="37"/>
      <x:c r="P533" s="34" t="n">
        <x:v>148.5</x:v>
      </x:c>
      <x:c r="Q533" s="37" t="n">
        <x:v>46188.191875</x:v>
      </x:c>
    </x:row>
    <x:row r="534">
      <x:c r="A534" s="22" t="n">
        <x:v>36361</x:v>
      </x:c>
      <x:c r="B534" s="28" t="n">
        <x:v>405</x:v>
      </x:c>
      <x:c r="C534" s="28"/>
      <x:c r="D534" s="31" t="str">
        <x:f>IF(OR(ISBLANK(B534),ISBLANK(C534),B534=0),"",(C534-B534)/B534)</x:f>
      </x:c>
      <x:c r="E534" s="22" t="str">
        <x:f>IF(ISBLANK(C534),"AmountIncludingTax缺失",IF(ABS(B534-C534)&lt;0.005,"一致","不一致"))</x:f>
        <x:v>AmountIncludingTax缺失</x:v>
      </x:c>
      <x:c r="F534" s="19" t="str">
        <x:v>approved</x:v>
      </x:c>
      <x:c r="G534" s="19" t="str">
        <x:v>Repair in Progress</x:v>
      </x:c>
      <x:c r="H534" s="19" t="str">
        <x:v>In Field</x:v>
      </x:c>
      <x:c r="I534" s="37" t="n">
        <x:v>46188</x:v>
      </x:c>
      <x:c r="J534" s="37" t="n">
        <x:v>46188</x:v>
      </x:c>
      <x:c r="K534" s="19" t="str">
        <x:v>Auswide Caravans - South Nowra</x:v>
      </x:c>
      <x:c r="L534" s="19" t="str">
        <x:v>Z006</x:v>
      </x:c>
      <x:c r="M534" s="19" t="str">
        <x:v>In Field Warranty Claims</x:v>
      </x:c>
      <x:c r="N534" s="37" t="n">
        <x:v>46187</x:v>
      </x:c>
      <x:c r="O534" s="37"/>
      <x:c r="P534" s="34" t="n">
        <x:v>0</x:v>
      </x:c>
      <x:c r="Q534" s="37" t="n">
        <x:v>46188.07947916666</x:v>
      </x:c>
    </x:row>
    <x:row r="535">
      <x:c r="A535" s="22" t="n">
        <x:v>36358</x:v>
      </x:c>
      <x:c r="B535" s="28" t="n">
        <x:v>72.5</x:v>
      </x:c>
      <x:c r="C535" s="28"/>
      <x:c r="D535" s="31" t="str">
        <x:f>IF(OR(ISBLANK(B535),ISBLANK(C535),B535=0),"",(C535-B535)/B535)</x:f>
      </x:c>
      <x:c r="E535" s="22" t="str">
        <x:f>IF(ISBLANK(C535),"AmountIncludingTax缺失",IF(ABS(B535-C535)&lt;0.005,"一致","不一致"))</x:f>
        <x:v>AmountIncludingTax缺失</x:v>
      </x:c>
      <x:c r="F535" s="19" t="str">
        <x:v>approved</x:v>
      </x:c>
      <x:c r="G535" s="19" t="str">
        <x:v>Repair in Progress</x:v>
      </x:c>
      <x:c r="H535" s="19" t="str">
        <x:v>Pre Delivery</x:v>
      </x:c>
      <x:c r="I535" s="37" t="n">
        <x:v>46188</x:v>
      </x:c>
      <x:c r="J535" s="37" t="n">
        <x:v>46188</x:v>
      </x:c>
      <x:c r="K535" s="19" t="str">
        <x:v>The Caravan Hub - Townsville</x:v>
      </x:c>
      <x:c r="L535" s="19" t="str">
        <x:v>Z005</x:v>
      </x:c>
      <x:c r="M535" s="19" t="str">
        <x:v>Pre Delivery Warranty Claims</x:v>
      </x:c>
      <x:c r="N535" s="37" t="n">
        <x:v>46188</x:v>
      </x:c>
      <x:c r="O535" s="37"/>
      <x:c r="P535" s="34" t="n">
        <x:v>0</x:v>
      </x:c>
      <x:c r="Q535" s="37" t="n">
        <x:v>46188.118472222224</x:v>
      </x:c>
    </x:row>
    <x:row r="536">
      <x:c r="A536" s="22" t="n">
        <x:v>36355</x:v>
      </x:c>
      <x:c r="B536" s="28" t="n">
        <x:v>135</x:v>
      </x:c>
      <x:c r="C536" s="28"/>
      <x:c r="D536" s="31" t="str">
        <x:f>IF(OR(ISBLANK(B536),ISBLANK(C536),B536=0),"",(C536-B536)/B536)</x:f>
      </x:c>
      <x:c r="E536" s="22" t="str">
        <x:f>IF(ISBLANK(C536),"AmountIncludingTax缺失",IF(ABS(B536-C536)&lt;0.005,"一致","不一致"))</x:f>
        <x:v>AmountIncludingTax缺失</x:v>
      </x:c>
      <x:c r="F536" s="19" t="str">
        <x:v>approved</x:v>
      </x:c>
      <x:c r="G536" s="19" t="str">
        <x:v>Partially Picked</x:v>
      </x:c>
      <x:c r="H536" s="19" t="str">
        <x:v>In Field</x:v>
      </x:c>
      <x:c r="I536" s="37" t="n">
        <x:v>46188</x:v>
      </x:c>
      <x:c r="J536" s="37" t="n">
        <x:v>46188</x:v>
      </x:c>
      <x:c r="K536" s="19" t="str">
        <x:v>Not Assigned</x:v>
      </x:c>
      <x:c r="L536" s="19" t="str">
        <x:v>Z006</x:v>
      </x:c>
      <x:c r="M536" s="19" t="str">
        <x:v>In Field Warranty Claims</x:v>
      </x:c>
      <x:c r="N536" s="37" t="n">
        <x:v>46187</x:v>
      </x:c>
      <x:c r="O536" s="37"/>
      <x:c r="P536" s="34" t="n">
        <x:v>0</x:v>
      </x:c>
      <x:c r="Q536" s="37" t="n">
        <x:v>46188.11922453704</x:v>
      </x:c>
    </x:row>
    <x:row r="537">
      <x:c r="A537" s="22" t="n">
        <x:v>36354</x:v>
      </x:c>
      <x:c r="B537" s="28" t="n">
        <x:v>202.5</x:v>
      </x:c>
      <x:c r="C537" s="28" t="n">
        <x:v>222.75</x:v>
      </x:c>
      <x:c r="D537" s="31" t="n">
        <x:f>IF(OR(ISBLANK(B537),ISBLANK(C537),B537=0),"",(C537-B537)/B537)</x:f>
        <x:v>0.1</x:v>
      </x:c>
      <x:c r="E537" s="22" t="str">
        <x:f>IF(ISBLANK(C537),"AmountIncludingTax缺失",IF(ABS(B537-C537)&lt;0.005,"一致","不一致"))</x:f>
        <x:v>不一致</x:v>
      </x:c>
      <x:c r="F537" s="19" t="str">
        <x:v>approved</x:v>
      </x:c>
      <x:c r="G537" s="19" t="str">
        <x:v>Repair in Progress</x:v>
      </x:c>
      <x:c r="H537" s="19" t="str">
        <x:v>In Field</x:v>
      </x:c>
      <x:c r="I537" s="37" t="n">
        <x:v>46188</x:v>
      </x:c>
      <x:c r="J537" s="37" t="n">
        <x:v>46188</x:v>
      </x:c>
      <x:c r="K537" s="19" t="str">
        <x:v>Green RV - Forest Glen</x:v>
      </x:c>
      <x:c r="L537" s="19" t="str">
        <x:v>Z006</x:v>
      </x:c>
      <x:c r="M537" s="19" t="str">
        <x:v>In Field Warranty Claims</x:v>
      </x:c>
      <x:c r="N537" s="37" t="n">
        <x:v>46187</x:v>
      </x:c>
      <x:c r="O537" s="37"/>
      <x:c r="P537" s="34" t="n">
        <x:v>222.75</x:v>
      </x:c>
      <x:c r="Q537" s="37" t="n">
        <x:v>46188.00119212963</x:v>
      </x:c>
    </x:row>
    <x:row r="538">
      <x:c r="A538" s="22" t="n">
        <x:v>36351</x:v>
      </x:c>
      <x:c r="B538" s="28" t="n">
        <x:v>145.45</x:v>
      </x:c>
      <x:c r="C538" s="28" t="n">
        <x:v>160</x:v>
      </x:c>
      <x:c r="D538" s="31" t="n">
        <x:f>IF(OR(ISBLANK(B538),ISBLANK(C538),B538=0),"",(C538-B538)/B538)</x:f>
        <x:v>0.1000343760742524</x:v>
      </x:c>
      <x:c r="E538" s="22" t="str">
        <x:f>IF(ISBLANK(C538),"AmountIncludingTax缺失",IF(ABS(B538-C538)&lt;0.005,"一致","不一致"))</x:f>
        <x:v>不一致</x:v>
      </x:c>
      <x:c r="F538" s="19" t="str">
        <x:v>approved</x:v>
      </x:c>
      <x:c r="G538" s="19" t="str">
        <x:v>Repairer Invoiced Processed</x:v>
      </x:c>
      <x:c r="H538" s="19" t="str">
        <x:v>In Field</x:v>
      </x:c>
      <x:c r="I538" s="37" t="n">
        <x:v>46190</x:v>
      </x:c>
      <x:c r="J538" s="37" t="n">
        <x:v>46190</x:v>
      </x:c>
      <x:c r="K538" s="19" t="str">
        <x:v>Regent RV - Toowoomba</x:v>
      </x:c>
      <x:c r="L538" s="19" t="str">
        <x:v>Z006</x:v>
      </x:c>
      <x:c r="M538" s="19" t="str">
        <x:v>In Field Warranty Claims</x:v>
      </x:c>
      <x:c r="N538" s="37" t="n">
        <x:v>46187</x:v>
      </x:c>
      <x:c r="O538" s="37"/>
      <x:c r="P538" s="34" t="n">
        <x:v>160</x:v>
      </x:c>
      <x:c r="Q538" s="37" t="n">
        <x:v>46190.03689814815</x:v>
      </x:c>
    </x:row>
    <x:row r="539">
      <x:c r="A539" s="22" t="n">
        <x:v>36350</x:v>
      </x:c>
      <x:c r="B539" s="28" t="n">
        <x:v>573.75</x:v>
      </x:c>
      <x:c r="C539" s="28"/>
      <x:c r="D539" s="31" t="str">
        <x:f>IF(OR(ISBLANK(B539),ISBLANK(C539),B539=0),"",(C539-B539)/B539)</x:f>
      </x:c>
      <x:c r="E539" s="22" t="str">
        <x:f>IF(ISBLANK(C539),"AmountIncludingTax缺失",IF(ABS(B539-C539)&lt;0.005,"一致","不一致"))</x:f>
        <x:v>AmountIncludingTax缺失</x:v>
      </x:c>
      <x:c r="F539" s="19" t="str">
        <x:v>approved</x:v>
      </x:c>
      <x:c r="G539" s="19" t="str">
        <x:v>Repair in Progress</x:v>
      </x:c>
      <x:c r="H539" s="19" t="str">
        <x:v>In Field</x:v>
      </x:c>
      <x:c r="I539" s="37" t="n">
        <x:v>46189</x:v>
      </x:c>
      <x:c r="J539" s="37" t="n">
        <x:v>46189</x:v>
      </x:c>
      <x:c r="K539" s="19" t="str">
        <x:v>Leisure Lion - Bundaberg</x:v>
      </x:c>
      <x:c r="L539" s="19" t="str">
        <x:v>Z006</x:v>
      </x:c>
      <x:c r="M539" s="19" t="str">
        <x:v>In Field Warranty Claims</x:v>
      </x:c>
      <x:c r="N539" s="37" t="n">
        <x:v>46188</x:v>
      </x:c>
      <x:c r="O539" s="37"/>
      <x:c r="P539" s="34" t="n">
        <x:v>0</x:v>
      </x:c>
      <x:c r="Q539" s="37" t="n">
        <x:v>46188.98289351852</x:v>
      </x:c>
    </x:row>
    <x:row r="540">
      <x:c r="A540" s="22" t="n">
        <x:v>36346</x:v>
      </x:c>
      <x:c r="B540" s="28" t="n">
        <x:v>540</x:v>
      </x:c>
      <x:c r="C540" s="28"/>
      <x:c r="D540" s="31" t="str">
        <x:f>IF(OR(ISBLANK(B540),ISBLANK(C540),B540=0),"",(C540-B540)/B540)</x:f>
      </x:c>
      <x:c r="E540" s="22" t="str">
        <x:f>IF(ISBLANK(C540),"AmountIncludingTax缺失",IF(ABS(B540-C540)&lt;0.005,"一致","不一致"))</x:f>
        <x:v>AmountIncludingTax缺失</x:v>
      </x:c>
      <x:c r="F540" s="19" t="str">
        <x:v>approved</x:v>
      </x:c>
      <x:c r="G540" s="19" t="str">
        <x:v>Repair in Progress</x:v>
      </x:c>
      <x:c r="H540" s="19" t="str">
        <x:v>In Field</x:v>
      </x:c>
      <x:c r="I540" s="37" t="n">
        <x:v>46192</x:v>
      </x:c>
      <x:c r="J540" s="37" t="n">
        <x:v>46192</x:v>
      </x:c>
      <x:c r="K540" s="19" t="str">
        <x:v>Regent RV - Frankston</x:v>
      </x:c>
      <x:c r="L540" s="19" t="str">
        <x:v>Z006</x:v>
      </x:c>
      <x:c r="M540" s="19" t="str">
        <x:v>In Field Warranty Claims</x:v>
      </x:c>
      <x:c r="N540" s="37" t="n">
        <x:v>46188</x:v>
      </x:c>
      <x:c r="O540" s="37"/>
      <x:c r="P540" s="34" t="n">
        <x:v>0</x:v>
      </x:c>
      <x:c r="Q540" s="37" t="n">
        <x:v>46192.16707175926</x:v>
      </x:c>
    </x:row>
    <x:row r="541">
      <x:c r="A541" s="22" t="n">
        <x:v>36345</x:v>
      </x:c>
      <x:c r="B541" s="28" t="n">
        <x:v>72.5</x:v>
      </x:c>
      <x:c r="C541" s="28"/>
      <x:c r="D541" s="31" t="str">
        <x:f>IF(OR(ISBLANK(B541),ISBLANK(C541),B541=0),"",(C541-B541)/B541)</x:f>
      </x:c>
      <x:c r="E541" s="22" t="str">
        <x:f>IF(ISBLANK(C541),"AmountIncludingTax缺失",IF(ABS(B541-C541)&lt;0.005,"一致","不一致"))</x:f>
        <x:v>AmountIncludingTax缺失</x:v>
      </x:c>
      <x:c r="F541" s="19" t="str">
        <x:v>approved</x:v>
      </x:c>
      <x:c r="G541" s="19" t="str">
        <x:v>Repair in Progress</x:v>
      </x:c>
      <x:c r="H541" s="19" t="str">
        <x:v>In Field</x:v>
      </x:c>
      <x:c r="I541" s="37" t="n">
        <x:v>46190</x:v>
      </x:c>
      <x:c r="J541" s="37" t="n">
        <x:v>46190</x:v>
      </x:c>
      <x:c r="K541" s="19" t="str">
        <x:v>Regent RV - Townsville</x:v>
      </x:c>
      <x:c r="L541" s="19" t="str">
        <x:v>Z006</x:v>
      </x:c>
      <x:c r="M541" s="19" t="str">
        <x:v>In Field Warranty Claims</x:v>
      </x:c>
      <x:c r="N541" s="37" t="n">
        <x:v>46188</x:v>
      </x:c>
      <x:c r="O541" s="37"/>
      <x:c r="P541" s="34" t="n">
        <x:v>0</x:v>
      </x:c>
      <x:c r="Q541" s="37" t="n">
        <x:v>46190.06101851852</x:v>
      </x:c>
    </x:row>
    <x:row r="542">
      <x:c r="A542" s="22" t="n">
        <x:v>36344</x:v>
      </x:c>
      <x:c r="B542" s="28" t="n">
        <x:v>1643.75</x:v>
      </x:c>
      <x:c r="C542" s="28"/>
      <x:c r="D542" s="31" t="str">
        <x:f>IF(OR(ISBLANK(B542),ISBLANK(C542),B542=0),"",(C542-B542)/B542)</x:f>
      </x:c>
      <x:c r="E542" s="22" t="str">
        <x:f>IF(ISBLANK(C542),"AmountIncludingTax缺失",IF(ABS(B542-C542)&lt;0.005,"一致","不一致"))</x:f>
        <x:v>AmountIncludingTax缺失</x:v>
      </x:c>
      <x:c r="F542" s="19" t="str">
        <x:v>approved</x:v>
      </x:c>
      <x:c r="G542" s="19" t="str">
        <x:v>Partially Picked</x:v>
      </x:c>
      <x:c r="H542" s="19" t="str">
        <x:v>In Field</x:v>
      </x:c>
      <x:c r="I542" s="37" t="n">
        <x:v>46192</x:v>
      </x:c>
      <x:c r="J542" s="37" t="n">
        <x:v>46192</x:v>
      </x:c>
      <x:c r="K542" s="19" t="str">
        <x:v>Green RV - Forest Glen</x:v>
      </x:c>
      <x:c r="L542" s="19" t="str">
        <x:v>Z006</x:v>
      </x:c>
      <x:c r="M542" s="19" t="str">
        <x:v>In Field Warranty Claims</x:v>
      </x:c>
      <x:c r="N542" s="37" t="n">
        <x:v>46188</x:v>
      </x:c>
      <x:c r="O542" s="37"/>
      <x:c r="P542" s="34" t="n">
        <x:v>0</x:v>
      </x:c>
      <x:c r="Q542" s="37" t="n">
        <x:v>46192.166446759256</x:v>
      </x:c>
    </x:row>
    <x:row r="543">
      <x:c r="A543" s="22" t="n">
        <x:v>36343</x:v>
      </x:c>
      <x:c r="B543" s="28" t="n">
        <x:v>1556.25</x:v>
      </x:c>
      <x:c r="C543" s="28"/>
      <x:c r="D543" s="31" t="str">
        <x:f>IF(OR(ISBLANK(B543),ISBLANK(C543),B543=0),"",(C543-B543)/B543)</x:f>
      </x:c>
      <x:c r="E543" s="22" t="str">
        <x:f>IF(ISBLANK(C543),"AmountIncludingTax缺失",IF(ABS(B543-C543)&lt;0.005,"一致","不一致"))</x:f>
        <x:v>AmountIncludingTax缺失</x:v>
      </x:c>
      <x:c r="F543" s="19" t="str">
        <x:v>approved</x:v>
      </x:c>
      <x:c r="G543" s="19" t="str">
        <x:v>Repair in Progress</x:v>
      </x:c>
      <x:c r="H543" s="19" t="str">
        <x:v>In Field</x:v>
      </x:c>
      <x:c r="I543" s="37" t="n">
        <x:v>46190</x:v>
      </x:c>
      <x:c r="J543" s="37" t="n">
        <x:v>46190</x:v>
      </x:c>
      <x:c r="K543" s="19" t="str">
        <x:v>Regent RV - Perth</x:v>
      </x:c>
      <x:c r="L543" s="19" t="str">
        <x:v>Z006</x:v>
      </x:c>
      <x:c r="M543" s="19" t="str">
        <x:v>In Field Warranty Claims</x:v>
      </x:c>
      <x:c r="N543" s="37" t="n">
        <x:v>46187</x:v>
      </x:c>
      <x:c r="O543" s="37"/>
      <x:c r="P543" s="34" t="n">
        <x:v>0</x:v>
      </x:c>
      <x:c r="Q543" s="37" t="n">
        <x:v>46190.08292824074</x:v>
      </x:c>
    </x:row>
    <x:row r="544">
      <x:c r="A544" s="22" t="n">
        <x:v>36340</x:v>
      </x:c>
      <x:c r="B544" s="28" t="n">
        <x:v>135</x:v>
      </x:c>
      <x:c r="C544" s="28"/>
      <x:c r="D544" s="31" t="str">
        <x:f>IF(OR(ISBLANK(B544),ISBLANK(C544),B544=0),"",(C544-B544)/B544)</x:f>
      </x:c>
      <x:c r="E544" s="22" t="str">
        <x:f>IF(ISBLANK(C544),"AmountIncludingTax缺失",IF(ABS(B544-C544)&lt;0.005,"一致","不一致"))</x:f>
        <x:v>AmountIncludingTax缺失</x:v>
      </x:c>
      <x:c r="F544" s="19" t="str">
        <x:v>approved</x:v>
      </x:c>
      <x:c r="G544" s="19" t="str">
        <x:v>Repair in Progress</x:v>
      </x:c>
      <x:c r="H544" s="19" t="str">
        <x:v>In Field</x:v>
      </x:c>
      <x:c r="I544" s="37" t="n">
        <x:v>46188</x:v>
      </x:c>
      <x:c r="J544" s="37" t="n">
        <x:v>46188</x:v>
      </x:c>
      <x:c r="K544" s="19" t="str">
        <x:v>Newcastle RV Super Centre - Beresfield</x:v>
      </x:c>
      <x:c r="L544" s="19" t="str">
        <x:v>Z006</x:v>
      </x:c>
      <x:c r="M544" s="19" t="str">
        <x:v>In Field Warranty Claims</x:v>
      </x:c>
      <x:c r="N544" s="37" t="n">
        <x:v>46188</x:v>
      </x:c>
      <x:c r="O544" s="37"/>
      <x:c r="P544" s="34" t="n">
        <x:v>0</x:v>
      </x:c>
      <x:c r="Q544" s="37" t="n">
        <x:v>46188.219872685186</x:v>
      </x:c>
    </x:row>
    <x:row r="545">
      <x:c r="A545" s="22" t="n">
        <x:v>36339</x:v>
      </x:c>
      <x:c r="B545" s="28" t="n">
        <x:v>145</x:v>
      </x:c>
      <x:c r="C545" s="28"/>
      <x:c r="D545" s="31" t="str">
        <x:f>IF(OR(ISBLANK(B545),ISBLANK(C545),B545=0),"",(C545-B545)/B545)</x:f>
      </x:c>
      <x:c r="E545" s="22" t="str">
        <x:f>IF(ISBLANK(C545),"AmountIncludingTax缺失",IF(ABS(B545-C545)&lt;0.005,"一致","不一致"))</x:f>
        <x:v>AmountIncludingTax缺失</x:v>
      </x:c>
      <x:c r="F545" s="19" t="str">
        <x:v>approved</x:v>
      </x:c>
      <x:c r="G545" s="19" t="str">
        <x:v>Repair in Progress</x:v>
      </x:c>
      <x:c r="H545" s="19" t="str">
        <x:v>In Field</x:v>
      </x:c>
      <x:c r="I545" s="37" t="n">
        <x:v>46188</x:v>
      </x:c>
      <x:c r="J545" s="37" t="n">
        <x:v>46188</x:v>
      </x:c>
      <x:c r="K545" s="19" t="str">
        <x:v>Green RV - Slacks Creek</x:v>
      </x:c>
      <x:c r="L545" s="19" t="str">
        <x:v>Z006</x:v>
      </x:c>
      <x:c r="M545" s="19" t="str">
        <x:v>In Field Warranty Claims</x:v>
      </x:c>
      <x:c r="N545" s="37" t="n">
        <x:v>46188</x:v>
      </x:c>
      <x:c r="O545" s="37"/>
      <x:c r="P545" s="34" t="n">
        <x:v>0</x:v>
      </x:c>
      <x:c r="Q545" s="37" t="n">
        <x:v>46188.11474537037</x:v>
      </x:c>
    </x:row>
    <x:row r="546">
      <x:c r="A546" s="22" t="n">
        <x:v>36338</x:v>
      </x:c>
      <x:c r="B546" s="28" t="n">
        <x:v>442.82</x:v>
      </x:c>
      <x:c r="C546" s="28" t="n">
        <x:v>487.1</x:v>
      </x:c>
      <x:c r="D546" s="31" t="n">
        <x:f>IF(OR(ISBLANK(B546),ISBLANK(C546),B546=0),"",(C546-B546)/B546)</x:f>
        <x:v>0.09999548349216393</x:v>
      </x:c>
      <x:c r="E546" s="22" t="str">
        <x:f>IF(ISBLANK(C546),"AmountIncludingTax缺失",IF(ABS(B546-C546)&lt;0.005,"一致","不一致"))</x:f>
        <x:v>不一致</x:v>
      </x:c>
      <x:c r="F546" s="19" t="str">
        <x:v>approved</x:v>
      </x:c>
      <x:c r="G546" s="19" t="str">
        <x:v>Repairer Invoiced Processed</x:v>
      </x:c>
      <x:c r="H546" s="19" t="str">
        <x:v>In Field</x:v>
      </x:c>
      <x:c r="I546" s="37" t="n">
        <x:v>46197</x:v>
      </x:c>
      <x:c r="J546" s="37" t="n">
        <x:v>46197</x:v>
      </x:c>
      <x:c r="K546" s="19" t="str">
        <x:v>Snowy River Wangaratta</x:v>
      </x:c>
      <x:c r="L546" s="19" t="str">
        <x:v>Z006</x:v>
      </x:c>
      <x:c r="M546" s="19" t="str">
        <x:v>In Field Warranty Claims</x:v>
      </x:c>
      <x:c r="N546" s="37" t="n">
        <x:v>46188</x:v>
      </x:c>
      <x:c r="O546" s="37"/>
      <x:c r="P546" s="34" t="n">
        <x:v>487.1</x:v>
      </x:c>
      <x:c r="Q546" s="37" t="n">
        <x:v>46197.26063657407</x:v>
      </x:c>
    </x:row>
    <x:row r="547">
      <x:c r="A547" s="22" t="n">
        <x:v>36337</x:v>
      </x:c>
      <x:c r="B547" s="28" t="n">
        <x:v>33.75</x:v>
      </x:c>
      <x:c r="C547" s="28"/>
      <x:c r="D547" s="31" t="str">
        <x:f>IF(OR(ISBLANK(B547),ISBLANK(C547),B547=0),"",(C547-B547)/B547)</x:f>
      </x:c>
      <x:c r="E547" s="22" t="str">
        <x:f>IF(ISBLANK(C547),"AmountIncludingTax缺失",IF(ABS(B547-C547)&lt;0.005,"一致","不一致"))</x:f>
        <x:v>AmountIncludingTax缺失</x:v>
      </x:c>
      <x:c r="F547" s="19" t="str">
        <x:v>approved</x:v>
      </x:c>
      <x:c r="G547" s="19" t="str">
        <x:v>Sales Order Approved</x:v>
      </x:c>
      <x:c r="H547" s="19" t="str">
        <x:v>Pre Delivery</x:v>
      </x:c>
      <x:c r="I547" s="37" t="n">
        <x:v>46202</x:v>
      </x:c>
      <x:c r="J547" s="37" t="n">
        <x:v>46202</x:v>
      </x:c>
      <x:c r="K547" s="19" t="str">
        <x:v>Regent RV Pty Ltd</x:v>
      </x:c>
      <x:c r="L547" s="19" t="str">
        <x:v>Z005</x:v>
      </x:c>
      <x:c r="M547" s="19" t="str">
        <x:v>Pre Delivery Warranty Claims</x:v>
      </x:c>
      <x:c r="N547" s="37" t="n">
        <x:v>46188</x:v>
      </x:c>
      <x:c r="O547" s="37"/>
      <x:c r="P547" s="34" t="n">
        <x:v>0</x:v>
      </x:c>
      <x:c r="Q547" s="37" t="n">
        <x:v>46202.16978009259</x:v>
      </x:c>
    </x:row>
    <x:row r="548">
      <x:c r="A548" s="22" t="n">
        <x:v>36335</x:v>
      </x:c>
      <x:c r="B548" s="28" t="n">
        <x:v>540</x:v>
      </x:c>
      <x:c r="C548" s="28"/>
      <x:c r="D548" s="31" t="str">
        <x:f>IF(OR(ISBLANK(B548),ISBLANK(C548),B548=0),"",(C548-B548)/B548)</x:f>
      </x:c>
      <x:c r="E548" s="22" t="str">
        <x:f>IF(ISBLANK(C548),"AmountIncludingTax缺失",IF(ABS(B548-C548)&lt;0.005,"一致","不一致"))</x:f>
        <x:v>AmountIncludingTax缺失</x:v>
      </x:c>
      <x:c r="F548" s="19" t="str">
        <x:v>approved</x:v>
      </x:c>
      <x:c r="G548" s="19" t="str">
        <x:v>Repair in Progress</x:v>
      </x:c>
      <x:c r="H548" s="19" t="str">
        <x:v>In Field</x:v>
      </x:c>
      <x:c r="I548" s="37" t="n">
        <x:v>46188</x:v>
      </x:c>
      <x:c r="J548" s="37" t="n">
        <x:v>46188</x:v>
      </x:c>
      <x:c r="K548" s="19" t="str">
        <x:v>Green RV - Forest Glen</x:v>
      </x:c>
      <x:c r="L548" s="19" t="str">
        <x:v>Z006</x:v>
      </x:c>
      <x:c r="M548" s="19" t="str">
        <x:v>In Field Warranty Claims</x:v>
      </x:c>
      <x:c r="N548" s="37" t="n">
        <x:v>46187</x:v>
      </x:c>
      <x:c r="O548" s="37"/>
      <x:c r="P548" s="34" t="n">
        <x:v>0</x:v>
      </x:c>
      <x:c r="Q548" s="37" t="n">
        <x:v>46188.123252314814</x:v>
      </x:c>
    </x:row>
    <x:row r="549">
      <x:c r="A549" s="22" t="n">
        <x:v>36333</x:v>
      </x:c>
      <x:c r="B549" s="28" t="n">
        <x:v>150.29</x:v>
      </x:c>
      <x:c r="C549" s="28" t="n">
        <x:v>165.32</x:v>
      </x:c>
      <x:c r="D549" s="31" t="n">
        <x:f>IF(OR(ISBLANK(B549),ISBLANK(C549),B549=0),"",(C549-B549)/B549)</x:f>
        <x:v>0.10000665380264823</x:v>
      </x:c>
      <x:c r="E549" s="22" t="str">
        <x:f>IF(ISBLANK(C549),"AmountIncludingTax缺失",IF(ABS(B549-C549)&lt;0.005,"一致","不一致"))</x:f>
        <x:v>不一致</x:v>
      </x:c>
      <x:c r="F549" s="19" t="str">
        <x:v>approved</x:v>
      </x:c>
      <x:c r="G549" s="19" t="str">
        <x:v>Repairer Invoiced Processed</x:v>
      </x:c>
      <x:c r="H549" s="19" t="str">
        <x:v>In Field</x:v>
      </x:c>
      <x:c r="I549" s="37" t="n">
        <x:v>46204</x:v>
      </x:c>
      <x:c r="J549" s="37" t="n">
        <x:v>46204</x:v>
      </x:c>
      <x:c r="K549" s="19" t="str">
        <x:v>Lesiure Lion-New Castle</x:v>
      </x:c>
      <x:c r="L549" s="19" t="str">
        <x:v>Z006</x:v>
      </x:c>
      <x:c r="M549" s="19" t="str">
        <x:v>In Field Warranty Claims</x:v>
      </x:c>
      <x:c r="N549" s="37" t="n">
        <x:v>46187</x:v>
      </x:c>
      <x:c r="O549" s="37"/>
      <x:c r="P549" s="34" t="n">
        <x:v>165.32</x:v>
      </x:c>
      <x:c r="Q549" s="37" t="n">
        <x:v>46203.99260416667</x:v>
      </x:c>
    </x:row>
    <x:row r="550">
      <x:c r="A550" s="22" t="n">
        <x:v>36332</x:v>
      </x:c>
      <x:c r="B550" s="28" t="n">
        <x:v>676.5</x:v>
      </x:c>
      <x:c r="C550" s="28" t="n">
        <x:v>612.5</x:v>
      </x:c>
      <x:c r="D550" s="31" t="n">
        <x:f>IF(OR(ISBLANK(B550),ISBLANK(C550),B550=0),"",(C550-B550)/B550)</x:f>
        <x:v>-0.09460458240946046</x:v>
      </x:c>
      <x:c r="E550" s="22" t="str">
        <x:f>IF(ISBLANK(C550),"AmountIncludingTax缺失",IF(ABS(B550-C550)&lt;0.005,"一致","不一致"))</x:f>
        <x:v>不一致</x:v>
      </x:c>
      <x:c r="F550" s="19" t="str">
        <x:v>approved</x:v>
      </x:c>
      <x:c r="G550" s="19" t="str">
        <x:v>Repairer Invoiced Processed</x:v>
      </x:c>
      <x:c r="H550" s="19" t="str">
        <x:v>Pre Delivery</x:v>
      </x:c>
      <x:c r="I550" s="37" t="n">
        <x:v>46196</x:v>
      </x:c>
      <x:c r="J550" s="37" t="n">
        <x:v>46196</x:v>
      </x:c>
      <x:c r="K550" s="19" t="str">
        <x:v>Vanari Caravans - Marden Point</x:v>
      </x:c>
      <x:c r="L550" s="19" t="str">
        <x:v>Z005</x:v>
      </x:c>
      <x:c r="M550" s="19" t="str">
        <x:v>Pre Delivery Warranty Claims</x:v>
      </x:c>
      <x:c r="N550" s="37" t="n">
        <x:v>46187</x:v>
      </x:c>
      <x:c r="O550" s="37"/>
      <x:c r="P550" s="34" t="n">
        <x:v>612.5</x:v>
      </x:c>
      <x:c r="Q550" s="37" t="n">
        <x:v>46195.87107638889</x:v>
      </x:c>
    </x:row>
    <x:row r="551">
      <x:c r="A551" s="22" t="n">
        <x:v>36331</x:v>
      </x:c>
      <x:c r="B551" s="28" t="n">
        <x:v>165</x:v>
      </x:c>
      <x:c r="C551" s="28" t="n">
        <x:v>181.5</x:v>
      </x:c>
      <x:c r="D551" s="31" t="n">
        <x:f>IF(OR(ISBLANK(B551),ISBLANK(C551),B551=0),"",(C551-B551)/B551)</x:f>
        <x:v>0.1</x:v>
      </x:c>
      <x:c r="E551" s="22" t="str">
        <x:f>IF(ISBLANK(C551),"AmountIncludingTax缺失",IF(ABS(B551-C551)&lt;0.005,"一致","不一致"))</x:f>
        <x:v>不一致</x:v>
      </x:c>
      <x:c r="F551" s="19" t="str">
        <x:v>approved</x:v>
      </x:c>
      <x:c r="G551" s="19" t="str">
        <x:v>Repairer Invoiced Processed</x:v>
      </x:c>
      <x:c r="H551" s="19" t="str">
        <x:v>In Field</x:v>
      </x:c>
      <x:c r="I551" s="37" t="n">
        <x:v>46191</x:v>
      </x:c>
      <x:c r="J551" s="37" t="n">
        <x:v>46191</x:v>
      </x:c>
      <x:c r="K551" s="19" t="str">
        <x:v>Regent RV - Perth</x:v>
      </x:c>
      <x:c r="L551" s="19" t="str">
        <x:v>Z006</x:v>
      </x:c>
      <x:c r="M551" s="19" t="str">
        <x:v>In Field Warranty Claims</x:v>
      </x:c>
      <x:c r="N551" s="37" t="n">
        <x:v>46186</x:v>
      </x:c>
      <x:c r="O551" s="37"/>
      <x:c r="P551" s="34" t="n">
        <x:v>181.5</x:v>
      </x:c>
      <x:c r="Q551" s="37" t="n">
        <x:v>46191.235625</x:v>
      </x:c>
    </x:row>
    <x:row r="552">
      <x:c r="A552" s="22" t="n">
        <x:v>36299</x:v>
      </x:c>
      <x:c r="B552" s="28" t="n">
        <x:v>202.5</x:v>
      </x:c>
      <x:c r="C552" s="28" t="n">
        <x:v>222.75</x:v>
      </x:c>
      <x:c r="D552" s="31" t="n">
        <x:f>IF(OR(ISBLANK(B552),ISBLANK(C552),B552=0),"",(C552-B552)/B552)</x:f>
        <x:v>0.1</x:v>
      </x:c>
      <x:c r="E552" s="22" t="str">
        <x:f>IF(ISBLANK(C552),"AmountIncludingTax缺失",IF(ABS(B552-C552)&lt;0.005,"一致","不一致"))</x:f>
        <x:v>不一致</x:v>
      </x:c>
      <x:c r="F552" s="19" t="str">
        <x:v>approved</x:v>
      </x:c>
      <x:c r="G552" s="19" t="str">
        <x:v>Repair in Progress</x:v>
      </x:c>
      <x:c r="H552" s="19" t="str">
        <x:v>In Field</x:v>
      </x:c>
      <x:c r="I552" s="37" t="n">
        <x:v>46188</x:v>
      </x:c>
      <x:c r="J552" s="37" t="n">
        <x:v>46188</x:v>
      </x:c>
      <x:c r="K552" s="19" t="str">
        <x:v>Dario Caravans -St.Marys</x:v>
      </x:c>
      <x:c r="L552" s="19" t="str">
        <x:v>Z006</x:v>
      </x:c>
      <x:c r="M552" s="19" t="str">
        <x:v>In Field Warranty Claims</x:v>
      </x:c>
      <x:c r="N552" s="37" t="n">
        <x:v>46185</x:v>
      </x:c>
      <x:c r="O552" s="37"/>
      <x:c r="P552" s="34" t="n">
        <x:v>222.75</x:v>
      </x:c>
      <x:c r="Q552" s="37" t="n">
        <x:v>46188.21349537037</x:v>
      </x:c>
    </x:row>
    <x:row r="553">
      <x:c r="A553" s="22" t="n">
        <x:v>36298</x:v>
      </x:c>
      <x:c r="B553" s="28" t="n">
        <x:v>1140</x:v>
      </x:c>
      <x:c r="C553" s="28"/>
      <x:c r="D553" s="31" t="str">
        <x:f>IF(OR(ISBLANK(B553),ISBLANK(C553),B553=0),"",(C553-B553)/B553)</x:f>
      </x:c>
      <x:c r="E553" s="22" t="str">
        <x:f>IF(ISBLANK(C553),"AmountIncludingTax缺失",IF(ABS(B553-C553)&lt;0.005,"一致","不一致"))</x:f>
        <x:v>AmountIncludingTax缺失</x:v>
      </x:c>
      <x:c r="F553" s="19" t="str">
        <x:v>approved</x:v>
      </x:c>
      <x:c r="G553" s="19" t="str">
        <x:v>Partially Picked</x:v>
      </x:c>
      <x:c r="H553" s="19" t="str">
        <x:v>In Field</x:v>
      </x:c>
      <x:c r="I553" s="37" t="n">
        <x:v>46188</x:v>
      </x:c>
      <x:c r="J553" s="37" t="n">
        <x:v>46188</x:v>
      </x:c>
      <x:c r="K553" s="19" t="str">
        <x:v>Destiny RV - South Australia</x:v>
      </x:c>
      <x:c r="L553" s="19" t="str">
        <x:v>Z006</x:v>
      </x:c>
      <x:c r="M553" s="19" t="str">
        <x:v>In Field Warranty Claims</x:v>
      </x:c>
      <x:c r="N553" s="37" t="n">
        <x:v>46185</x:v>
      </x:c>
      <x:c r="O553" s="37"/>
      <x:c r="P553" s="34" t="n">
        <x:v>0</x:v>
      </x:c>
      <x:c r="Q553" s="37" t="n">
        <x:v>46188.21811342592</x:v>
      </x:c>
    </x:row>
    <x:row r="554">
      <x:c r="A554" s="22" t="n">
        <x:v>36297</x:v>
      </x:c>
      <x:c r="B554" s="28" t="n">
        <x:v>202.5</x:v>
      </x:c>
      <x:c r="C554" s="28"/>
      <x:c r="D554" s="31" t="str">
        <x:f>IF(OR(ISBLANK(B554),ISBLANK(C554),B554=0),"",(C554-B554)/B554)</x:f>
      </x:c>
      <x:c r="E554" s="22" t="str">
        <x:f>IF(ISBLANK(C554),"AmountIncludingTax缺失",IF(ABS(B554-C554)&lt;0.005,"一致","不一致"))</x:f>
        <x:v>AmountIncludingTax缺失</x:v>
      </x:c>
      <x:c r="F554" s="19" t="str">
        <x:v>approved</x:v>
      </x:c>
      <x:c r="G554" s="19" t="str">
        <x:v>Repair in Progress</x:v>
      </x:c>
      <x:c r="H554" s="19" t="str">
        <x:v>In Field</x:v>
      </x:c>
      <x:c r="I554" s="37" t="n">
        <x:v>46204</x:v>
      </x:c>
      <x:c r="J554" s="37" t="n">
        <x:v>46204</x:v>
      </x:c>
      <x:c r="K554" s="19" t="str">
        <x:v>Regent RV - Perth</x:v>
      </x:c>
      <x:c r="L554" s="19" t="str">
        <x:v>Z006</x:v>
      </x:c>
      <x:c r="M554" s="19" t="str">
        <x:v>In Field Warranty Claims</x:v>
      </x:c>
      <x:c r="N554" s="37" t="n">
        <x:v>46185</x:v>
      </x:c>
      <x:c r="O554" s="37"/>
      <x:c r="P554" s="34" t="n">
        <x:v>0</x:v>
      </x:c>
      <x:c r="Q554" s="37" t="n">
        <x:v>46204.186840277776</x:v>
      </x:c>
    </x:row>
    <x:row r="555">
      <x:c r="A555" s="22" t="n">
        <x:v>36296</x:v>
      </x:c>
      <x:c r="B555" s="28" t="n">
        <x:v>1165</x:v>
      </x:c>
      <x:c r="C555" s="28"/>
      <x:c r="D555" s="31" t="str">
        <x:f>IF(OR(ISBLANK(B555),ISBLANK(C555),B555=0),"",(C555-B555)/B555)</x:f>
      </x:c>
      <x:c r="E555" s="22" t="str">
        <x:f>IF(ISBLANK(C555),"AmountIncludingTax缺失",IF(ABS(B555-C555)&lt;0.005,"一致","不一致"))</x:f>
        <x:v>AmountIncludingTax缺失</x:v>
      </x:c>
      <x:c r="F555" s="19" t="str">
        <x:v>approved</x:v>
      </x:c>
      <x:c r="G555" s="19" t="str">
        <x:v>Partially Picked</x:v>
      </x:c>
      <x:c r="H555" s="19" t="str">
        <x:v>In Field</x:v>
      </x:c>
      <x:c r="I555" s="37" t="n">
        <x:v>46186</x:v>
      </x:c>
      <x:c r="J555" s="37" t="n">
        <x:v>46186</x:v>
      </x:c>
      <x:c r="K555" s="19" t="str">
        <x:v>Green RV - Forest Glen</x:v>
      </x:c>
      <x:c r="L555" s="19" t="str">
        <x:v>Z006</x:v>
      </x:c>
      <x:c r="M555" s="19" t="str">
        <x:v>In Field Warranty Claims</x:v>
      </x:c>
      <x:c r="N555" s="37" t="n">
        <x:v>46185</x:v>
      </x:c>
      <x:c r="O555" s="37"/>
      <x:c r="P555" s="34" t="n">
        <x:v>0</x:v>
      </x:c>
      <x:c r="Q555" s="37" t="n">
        <x:v>46185.9134837963</x:v>
      </x:c>
    </x:row>
    <x:row r="556">
      <x:c r="A556" s="22" t="n">
        <x:v>36295</x:v>
      </x:c>
      <x:c r="B556" s="28" t="n">
        <x:v>58.34</x:v>
      </x:c>
      <x:c r="C556" s="28"/>
      <x:c r="D556" s="31" t="str">
        <x:f>IF(OR(ISBLANK(B556),ISBLANK(C556),B556=0),"",(C556-B556)/B556)</x:f>
      </x:c>
      <x:c r="E556" s="22" t="str">
        <x:f>IF(ISBLANK(C556),"AmountIncludingTax缺失",IF(ABS(B556-C556)&lt;0.005,"一致","不一致"))</x:f>
        <x:v>AmountIncludingTax缺失</x:v>
      </x:c>
      <x:c r="F556" s="19" t="str">
        <x:v>approved</x:v>
      </x:c>
      <x:c r="G556" s="19" t="str">
        <x:v>Repairer Invoiced Processed</x:v>
      </x:c>
      <x:c r="H556" s="19" t="str">
        <x:v>In Field</x:v>
      </x:c>
      <x:c r="I556" s="37" t="n">
        <x:v>46190</x:v>
      </x:c>
      <x:c r="J556" s="37" t="n">
        <x:v>46190</x:v>
      </x:c>
      <x:c r="K556" s="19" t="str">
        <x:v>The Caravan Hub - Townsville</x:v>
      </x:c>
      <x:c r="L556" s="19" t="str">
        <x:v>Z006</x:v>
      </x:c>
      <x:c r="M556" s="19" t="str">
        <x:v>In Field Warranty Claims</x:v>
      </x:c>
      <x:c r="N556" s="37" t="n">
        <x:v>46185</x:v>
      </x:c>
      <x:c r="O556" s="37"/>
      <x:c r="P556" s="34" t="n">
        <x:v>0</x:v>
      </x:c>
      <x:c r="Q556" s="37" t="n">
        <x:v>46190.03364583333</x:v>
      </x:c>
    </x:row>
    <x:row r="557">
      <x:c r="A557" s="22" t="n">
        <x:v>36293</x:v>
      </x:c>
      <x:c r="B557" s="28" t="n">
        <x:v>135</x:v>
      </x:c>
      <x:c r="C557" s="28"/>
      <x:c r="D557" s="31" t="str">
        <x:f>IF(OR(ISBLANK(B557),ISBLANK(C557),B557=0),"",(C557-B557)/B557)</x:f>
      </x:c>
      <x:c r="E557" s="22" t="str">
        <x:f>IF(ISBLANK(C557),"AmountIncludingTax缺失",IF(ABS(B557-C557)&lt;0.005,"一致","不一致"))</x:f>
        <x:v>AmountIncludingTax缺失</x:v>
      </x:c>
      <x:c r="F557" s="19" t="str">
        <x:v>approved</x:v>
      </x:c>
      <x:c r="G557" s="19" t="str">
        <x:v>Repair in Progress</x:v>
      </x:c>
      <x:c r="H557" s="19" t="str">
        <x:v>In Field</x:v>
      </x:c>
      <x:c r="I557" s="37" t="n">
        <x:v>46185</x:v>
      </x:c>
      <x:c r="J557" s="37" t="n">
        <x:v>46185</x:v>
      </x:c>
      <x:c r="K557" s="19" t="str">
        <x:v>Green RV - Forest Glen</x:v>
      </x:c>
      <x:c r="L557" s="19" t="str">
        <x:v>Z006</x:v>
      </x:c>
      <x:c r="M557" s="19" t="str">
        <x:v>In Field Warranty Claims</x:v>
      </x:c>
      <x:c r="N557" s="37" t="n">
        <x:v>46185</x:v>
      </x:c>
      <x:c r="O557" s="37"/>
      <x:c r="P557" s="34" t="n">
        <x:v>0</x:v>
      </x:c>
      <x:c r="Q557" s="37" t="n">
        <x:v>46185.156435185185</x:v>
      </x:c>
    </x:row>
    <x:row r="558">
      <x:c r="A558" s="22" t="n">
        <x:v>36292</x:v>
      </x:c>
      <x:c r="B558" s="28" t="n">
        <x:v>745</x:v>
      </x:c>
      <x:c r="C558" s="28"/>
      <x:c r="D558" s="31" t="str">
        <x:f>IF(OR(ISBLANK(B558),ISBLANK(C558),B558=0),"",(C558-B558)/B558)</x:f>
      </x:c>
      <x:c r="E558" s="22" t="str">
        <x:f>IF(ISBLANK(C558),"AmountIncludingTax缺失",IF(ABS(B558-C558)&lt;0.005,"一致","不一致"))</x:f>
        <x:v>AmountIncludingTax缺失</x:v>
      </x:c>
      <x:c r="F558" s="19" t="str">
        <x:v>approved</x:v>
      </x:c>
      <x:c r="G558" s="19" t="str">
        <x:v>Partially Picked</x:v>
      </x:c>
      <x:c r="H558" s="19" t="str">
        <x:v>In Field</x:v>
      </x:c>
      <x:c r="I558" s="37" t="n">
        <x:v>46190</x:v>
      </x:c>
      <x:c r="J558" s="37" t="n">
        <x:v>46190</x:v>
      </x:c>
      <x:c r="K558" s="19" t="str">
        <x:v>Regent RV - Townsville</x:v>
      </x:c>
      <x:c r="L558" s="19" t="str">
        <x:v>Z006</x:v>
      </x:c>
      <x:c r="M558" s="19" t="str">
        <x:v>In Field Warranty Claims</x:v>
      </x:c>
      <x:c r="N558" s="37" t="n">
        <x:v>46185</x:v>
      </x:c>
      <x:c r="O558" s="37"/>
      <x:c r="P558" s="34" t="n">
        <x:v>0</x:v>
      </x:c>
      <x:c r="Q558" s="37" t="n">
        <x:v>46190.030023148145</x:v>
      </x:c>
    </x:row>
    <x:row r="559">
      <x:c r="A559" s="22" t="n">
        <x:v>36291</x:v>
      </x:c>
      <x:c r="B559" s="28" t="n">
        <x:v>1396.25</x:v>
      </x:c>
      <x:c r="C559" s="28"/>
      <x:c r="D559" s="31" t="str">
        <x:f>IF(OR(ISBLANK(B559),ISBLANK(C559),B559=0),"",(C559-B559)/B559)</x:f>
      </x:c>
      <x:c r="E559" s="22" t="str">
        <x:f>IF(ISBLANK(C559),"AmountIncludingTax缺失",IF(ABS(B559-C559)&lt;0.005,"一致","不一致"))</x:f>
        <x:v>AmountIncludingTax缺失</x:v>
      </x:c>
      <x:c r="F559" s="19" t="str">
        <x:v>approved</x:v>
      </x:c>
      <x:c r="G559" s="19" t="str">
        <x:v>Partially Picked</x:v>
      </x:c>
      <x:c r="H559" s="19" t="str">
        <x:v>In Field</x:v>
      </x:c>
      <x:c r="I559" s="37" t="n">
        <x:v>46190</x:v>
      </x:c>
      <x:c r="J559" s="37" t="n">
        <x:v>46190</x:v>
      </x:c>
      <x:c r="K559" s="19" t="str">
        <x:v>Regent RV - Perth</x:v>
      </x:c>
      <x:c r="L559" s="19" t="str">
        <x:v>Z006</x:v>
      </x:c>
      <x:c r="M559" s="19" t="str">
        <x:v>In Field Warranty Claims</x:v>
      </x:c>
      <x:c r="N559" s="37" t="n">
        <x:v>46185</x:v>
      </x:c>
      <x:c r="O559" s="37"/>
      <x:c r="P559" s="34" t="n">
        <x:v>0</x:v>
      </x:c>
      <x:c r="Q559" s="37" t="n">
        <x:v>46190.08405092593</x:v>
      </x:c>
    </x:row>
    <x:row r="560">
      <x:c r="A560" s="22" t="n">
        <x:v>36289</x:v>
      </x:c>
      <x:c r="B560" s="28" t="n">
        <x:v>202.5</x:v>
      </x:c>
      <x:c r="C560" s="28"/>
      <x:c r="D560" s="31" t="str">
        <x:f>IF(OR(ISBLANK(B560),ISBLANK(C560),B560=0),"",(C560-B560)/B560)</x:f>
      </x:c>
      <x:c r="E560" s="22" t="str">
        <x:f>IF(ISBLANK(C560),"AmountIncludingTax缺失",IF(ABS(B560-C560)&lt;0.005,"一致","不一致"))</x:f>
        <x:v>AmountIncludingTax缺失</x:v>
      </x:c>
      <x:c r="F560" s="19" t="str">
        <x:v>approved</x:v>
      </x:c>
      <x:c r="G560" s="19" t="str">
        <x:v>Repair in Progress</x:v>
      </x:c>
      <x:c r="H560" s="19" t="str">
        <x:v>In Field</x:v>
      </x:c>
      <x:c r="I560" s="37" t="n">
        <x:v>46188</x:v>
      </x:c>
      <x:c r="J560" s="37" t="n">
        <x:v>46188</x:v>
      </x:c>
      <x:c r="K560" s="19" t="str">
        <x:v>Regent RV - Perth</x:v>
      </x:c>
      <x:c r="L560" s="19" t="str">
        <x:v>Z006</x:v>
      </x:c>
      <x:c r="M560" s="19" t="str">
        <x:v>In Field Warranty Claims</x:v>
      </x:c>
      <x:c r="N560" s="37" t="n">
        <x:v>46185</x:v>
      </x:c>
      <x:c r="O560" s="37"/>
      <x:c r="P560" s="34" t="n">
        <x:v>0</x:v>
      </x:c>
      <x:c r="Q560" s="37" t="n">
        <x:v>46187.94665509259</x:v>
      </x:c>
    </x:row>
    <x:row r="561">
      <x:c r="A561" s="22" t="n">
        <x:v>36288</x:v>
      </x:c>
      <x:c r="B561" s="28" t="n">
        <x:v>67.5</x:v>
      </x:c>
      <x:c r="C561" s="28" t="n">
        <x:v>74.25</x:v>
      </x:c>
      <x:c r="D561" s="31" t="n">
        <x:f>IF(OR(ISBLANK(B561),ISBLANK(C561),B561=0),"",(C561-B561)/B561)</x:f>
        <x:v>0.1</x:v>
      </x:c>
      <x:c r="E561" s="22" t="str">
        <x:f>IF(ISBLANK(C561),"AmountIncludingTax缺失",IF(ABS(B561-C561)&lt;0.005,"一致","不一致"))</x:f>
        <x:v>不一致</x:v>
      </x:c>
      <x:c r="F561" s="19" t="str">
        <x:v>approved</x:v>
      </x:c>
      <x:c r="G561" s="19" t="str">
        <x:v>Repairer Invoiced Processed</x:v>
      </x:c>
      <x:c r="H561" s="19" t="str">
        <x:v>In Field</x:v>
      </x:c>
      <x:c r="I561" s="37" t="n">
        <x:v>46185</x:v>
      </x:c>
      <x:c r="J561" s="37" t="n">
        <x:v>46185</x:v>
      </x:c>
      <x:c r="K561" s="19" t="str">
        <x:v>Green RV - Slacks Creek</x:v>
      </x:c>
      <x:c r="L561" s="19" t="str">
        <x:v>Z006</x:v>
      </x:c>
      <x:c r="M561" s="19" t="str">
        <x:v>In Field Warranty Claims</x:v>
      </x:c>
      <x:c r="N561" s="37" t="n">
        <x:v>46185</x:v>
      </x:c>
      <x:c r="O561" s="37"/>
      <x:c r="P561" s="34" t="n">
        <x:v>74.25</x:v>
      </x:c>
      <x:c r="Q561" s="37" t="n">
        <x:v>46185.180243055554</x:v>
      </x:c>
    </x:row>
    <x:row r="562">
      <x:c r="A562" s="22" t="n">
        <x:v>36287</x:v>
      </x:c>
      <x:c r="B562" s="28" t="n">
        <x:v>654.55</x:v>
      </x:c>
      <x:c r="C562" s="28" t="n">
        <x:v>720.01</x:v>
      </x:c>
      <x:c r="D562" s="31" t="n">
        <x:f>IF(OR(ISBLANK(B562),ISBLANK(C562),B562=0),"",(C562-B562)/B562)</x:f>
        <x:v>0.10000763883584148</x:v>
      </x:c>
      <x:c r="E562" s="22" t="str">
        <x:f>IF(ISBLANK(C562),"AmountIncludingTax缺失",IF(ABS(B562-C562)&lt;0.005,"一致","不一致"))</x:f>
        <x:v>不一致</x:v>
      </x:c>
      <x:c r="F562" s="19" t="str">
        <x:v>approved</x:v>
      </x:c>
      <x:c r="G562" s="19" t="str">
        <x:v>Repairer Invoiced Processed</x:v>
      </x:c>
      <x:c r="H562" s="19" t="str">
        <x:v>In Field</x:v>
      </x:c>
      <x:c r="I562" s="37" t="n">
        <x:v>46197</x:v>
      </x:c>
      <x:c r="J562" s="37" t="n">
        <x:v>46197</x:v>
      </x:c>
      <x:c r="K562" s="19" t="str">
        <x:v>Lesiure Lion-New Castle</x:v>
      </x:c>
      <x:c r="L562" s="19" t="str">
        <x:v>Z006</x:v>
      </x:c>
      <x:c r="M562" s="19" t="str">
        <x:v>In Field Warranty Claims</x:v>
      </x:c>
      <x:c r="N562" s="37" t="n">
        <x:v>46185</x:v>
      </x:c>
      <x:c r="O562" s="37"/>
      <x:c r="P562" s="34" t="n">
        <x:v>720.01</x:v>
      </x:c>
      <x:c r="Q562" s="37" t="n">
        <x:v>46197.08865740741</x:v>
      </x:c>
    </x:row>
    <x:row r="563">
      <x:c r="A563" s="22" t="n">
        <x:v>36284</x:v>
      </x:c>
      <x:c r="B563" s="28" t="n">
        <x:v>405</x:v>
      </x:c>
      <x:c r="C563" s="28"/>
      <x:c r="D563" s="31" t="str">
        <x:f>IF(OR(ISBLANK(B563),ISBLANK(C563),B563=0),"",(C563-B563)/B563)</x:f>
      </x:c>
      <x:c r="E563" s="22" t="str">
        <x:f>IF(ISBLANK(C563),"AmountIncludingTax缺失",IF(ABS(B563-C563)&lt;0.005,"一致","不一致"))</x:f>
        <x:v>AmountIncludingTax缺失</x:v>
      </x:c>
      <x:c r="F563" s="19" t="str">
        <x:v>approved</x:v>
      </x:c>
      <x:c r="G563" s="19" t="str">
        <x:v>Repair in Progress</x:v>
      </x:c>
      <x:c r="H563" s="19" t="str">
        <x:v>In Field</x:v>
      </x:c>
      <x:c r="I563" s="37" t="n">
        <x:v>46186</x:v>
      </x:c>
      <x:c r="J563" s="37" t="n">
        <x:v>46186</x:v>
      </x:c>
      <x:c r="K563" s="19" t="str">
        <x:v>Auswide Caravans - South Nowra</x:v>
      </x:c>
      <x:c r="L563" s="19" t="str">
        <x:v>Z006</x:v>
      </x:c>
      <x:c r="M563" s="19" t="str">
        <x:v>In Field Warranty Claims</x:v>
      </x:c>
      <x:c r="N563" s="37" t="n">
        <x:v>46185</x:v>
      </x:c>
      <x:c r="O563" s="37"/>
      <x:c r="P563" s="34" t="n">
        <x:v>0</x:v>
      </x:c>
      <x:c r="Q563" s="37" t="n">
        <x:v>46185.974814814814</x:v>
      </x:c>
    </x:row>
    <x:row r="564">
      <x:c r="A564" s="22" t="n">
        <x:v>36283</x:v>
      </x:c>
      <x:c r="B564" s="28" t="n">
        <x:v>45</x:v>
      </x:c>
      <x:c r="C564" s="28"/>
      <x:c r="D564" s="31" t="str">
        <x:f>IF(OR(ISBLANK(B564),ISBLANK(C564),B564=0),"",(C564-B564)/B564)</x:f>
      </x:c>
      <x:c r="E564" s="22" t="str">
        <x:f>IF(ISBLANK(C564),"AmountIncludingTax缺失",IF(ABS(B564-C564)&lt;0.005,"一致","不一致"))</x:f>
        <x:v>AmountIncludingTax缺失</x:v>
      </x:c>
      <x:c r="F564" s="19" t="str">
        <x:v>approved</x:v>
      </x:c>
      <x:c r="G564" s="19" t="str">
        <x:v>Repair in Progress</x:v>
      </x:c>
      <x:c r="H564" s="19" t="str">
        <x:v>In Field</x:v>
      </x:c>
      <x:c r="I564" s="37" t="n">
        <x:v>46188</x:v>
      </x:c>
      <x:c r="J564" s="37" t="n">
        <x:v>46188</x:v>
      </x:c>
      <x:c r="K564" s="19" t="str">
        <x:v>Dario Caravans -St.Marys</x:v>
      </x:c>
      <x:c r="L564" s="19" t="str">
        <x:v>Z006</x:v>
      </x:c>
      <x:c r="M564" s="19" t="str">
        <x:v>In Field Warranty Claims</x:v>
      </x:c>
      <x:c r="N564" s="37" t="n">
        <x:v>46185</x:v>
      </x:c>
      <x:c r="O564" s="37"/>
      <x:c r="P564" s="34" t="n">
        <x:v>0</x:v>
      </x:c>
      <x:c r="Q564" s="37" t="n">
        <x:v>46188.21891203704</x:v>
      </x:c>
    </x:row>
    <x:row r="565">
      <x:c r="A565" s="22" t="n">
        <x:v>36282</x:v>
      </x:c>
      <x:c r="B565" s="28" t="n">
        <x:v>290</x:v>
      </x:c>
      <x:c r="C565" s="28"/>
      <x:c r="D565" s="31" t="str">
        <x:f>IF(OR(ISBLANK(B565),ISBLANK(C565),B565=0),"",(C565-B565)/B565)</x:f>
      </x:c>
      <x:c r="E565" s="22" t="str">
        <x:f>IF(ISBLANK(C565),"AmountIncludingTax缺失",IF(ABS(B565-C565)&lt;0.005,"一致","不一致"))</x:f>
        <x:v>AmountIncludingTax缺失</x:v>
      </x:c>
      <x:c r="F565" s="19" t="str">
        <x:v>approved</x:v>
      </x:c>
      <x:c r="G565" s="19" t="str">
        <x:v>Repairer Invoiced Processed</x:v>
      </x:c>
      <x:c r="H565" s="19" t="str">
        <x:v>Pre Delivery</x:v>
      </x:c>
      <x:c r="I565" s="37" t="n">
        <x:v>46189</x:v>
      </x:c>
      <x:c r="J565" s="37" t="n">
        <x:v>46189</x:v>
      </x:c>
      <x:c r="K565" s="19" t="str">
        <x:v>Leisure Lion - Bundaberg</x:v>
      </x:c>
      <x:c r="L565" s="19" t="str">
        <x:v>Z005</x:v>
      </x:c>
      <x:c r="M565" s="19" t="str">
        <x:v>Pre Delivery Warranty Claims</x:v>
      </x:c>
      <x:c r="N565" s="37" t="n">
        <x:v>46185</x:v>
      </x:c>
      <x:c r="O565" s="37"/>
      <x:c r="P565" s="34" t="n">
        <x:v>0</x:v>
      </x:c>
      <x:c r="Q565" s="37" t="n">
        <x:v>46189.30967592593</x:v>
      </x:c>
    </x:row>
    <x:row r="566">
      <x:c r="A566" s="22" t="n">
        <x:v>36277</x:v>
      </x:c>
      <x:c r="B566" s="28" t="n">
        <x:v>2131.85</x:v>
      </x:c>
      <x:c r="C566" s="28"/>
      <x:c r="D566" s="31" t="str">
        <x:f>IF(OR(ISBLANK(B566),ISBLANK(C566),B566=0),"",(C566-B566)/B566)</x:f>
      </x:c>
      <x:c r="E566" s="22" t="str">
        <x:f>IF(ISBLANK(C566),"AmountIncludingTax缺失",IF(ABS(B566-C566)&lt;0.005,"一致","不一致"))</x:f>
        <x:v>AmountIncludingTax缺失</x:v>
      </x:c>
      <x:c r="F566" s="19" t="str">
        <x:v>approved</x:v>
      </x:c>
      <x:c r="G566" s="19" t="str">
        <x:v>Repair in Progress</x:v>
      </x:c>
      <x:c r="H566" s="19" t="str">
        <x:v>In Field</x:v>
      </x:c>
      <x:c r="I566" s="37" t="n">
        <x:v>46189</x:v>
      </x:c>
      <x:c r="J566" s="37" t="n">
        <x:v>46189</x:v>
      </x:c>
      <x:c r="K566" s="19" t="str">
        <x:v>Vanari Caravans - Marden Point</x:v>
      </x:c>
      <x:c r="L566" s="19" t="str">
        <x:v>Z006</x:v>
      </x:c>
      <x:c r="M566" s="19" t="str">
        <x:v>In Field Warranty Claims</x:v>
      </x:c>
      <x:c r="N566" s="37" t="n">
        <x:v>46184</x:v>
      </x:c>
      <x:c r="O566" s="37"/>
      <x:c r="P566" s="34" t="n">
        <x:v>1930.18</x:v>
      </x:c>
      <x:c r="Q566" s="37" t="n">
        <x:v>46189.05679398148</x:v>
      </x:c>
    </x:row>
    <x:row r="567">
      <x:c r="A567" s="22" t="n">
        <x:v>36275</x:v>
      </x:c>
      <x:c r="B567" s="28" t="n">
        <x:v>313.75</x:v>
      </x:c>
      <x:c r="C567" s="28"/>
      <x:c r="D567" s="31" t="str">
        <x:f>IF(OR(ISBLANK(B567),ISBLANK(C567),B567=0),"",(C567-B567)/B567)</x:f>
      </x:c>
      <x:c r="E567" s="22" t="str">
        <x:f>IF(ISBLANK(C567),"AmountIncludingTax缺失",IF(ABS(B567-C567)&lt;0.005,"一致","不一致"))</x:f>
        <x:v>AmountIncludingTax缺失</x:v>
      </x:c>
      <x:c r="F567" s="19" t="str">
        <x:v>approved</x:v>
      </x:c>
      <x:c r="G567" s="19" t="str">
        <x:v>Partially Picked</x:v>
      </x:c>
      <x:c r="H567" s="19" t="str">
        <x:v>In Field</x:v>
      </x:c>
      <x:c r="I567" s="37" t="n">
        <x:v>46185</x:v>
      </x:c>
      <x:c r="J567" s="37" t="n">
        <x:v>46185</x:v>
      </x:c>
      <x:c r="K567" s="19" t="str">
        <x:v>Green RV - Forest Glen</x:v>
      </x:c>
      <x:c r="L567" s="19" t="str">
        <x:v>Z006</x:v>
      </x:c>
      <x:c r="M567" s="19" t="str">
        <x:v>In Field Warranty Claims</x:v>
      </x:c>
      <x:c r="N567" s="37" t="n">
        <x:v>46184</x:v>
      </x:c>
      <x:c r="O567" s="37"/>
      <x:c r="P567" s="34" t="n">
        <x:v>0</x:v>
      </x:c>
      <x:c r="Q567" s="37" t="n">
        <x:v>46184.93056712963</x:v>
      </x:c>
    </x:row>
    <x:row r="568">
      <x:c r="A568" s="22" t="n">
        <x:v>36273</x:v>
      </x:c>
      <x:c r="B568" s="28" t="n">
        <x:v>135</x:v>
      </x:c>
      <x:c r="C568" s="28" t="n">
        <x:v>148.5</x:v>
      </x:c>
      <x:c r="D568" s="31" t="n">
        <x:f>IF(OR(ISBLANK(B568),ISBLANK(C568),B568=0),"",(C568-B568)/B568)</x:f>
        <x:v>0.1</x:v>
      </x:c>
      <x:c r="E568" s="22" t="str">
        <x:f>IF(ISBLANK(C568),"AmountIncludingTax缺失",IF(ABS(B568-C568)&lt;0.005,"一致","不一致"))</x:f>
        <x:v>不一致</x:v>
      </x:c>
      <x:c r="F568" s="19" t="str">
        <x:v>approved</x:v>
      </x:c>
      <x:c r="G568" s="19" t="str">
        <x:v>Repair in Progress</x:v>
      </x:c>
      <x:c r="H568" s="19" t="str">
        <x:v>In Field</x:v>
      </x:c>
      <x:c r="I568" s="37" t="n">
        <x:v>46185</x:v>
      </x:c>
      <x:c r="J568" s="37" t="n">
        <x:v>46185</x:v>
      </x:c>
      <x:c r="K568" s="19" t="str">
        <x:v>Green RV - Forest Glen</x:v>
      </x:c>
      <x:c r="L568" s="19" t="str">
        <x:v>Z006</x:v>
      </x:c>
      <x:c r="M568" s="19" t="str">
        <x:v>In Field Warranty Claims</x:v>
      </x:c>
      <x:c r="N568" s="37" t="n">
        <x:v>46184</x:v>
      </x:c>
      <x:c r="O568" s="37"/>
      <x:c r="P568" s="34" t="n">
        <x:v>148.5</x:v>
      </x:c>
      <x:c r="Q568" s="37" t="n">
        <x:v>46184.95943287037</x:v>
      </x:c>
    </x:row>
    <x:row r="569">
      <x:c r="A569" s="22" t="n">
        <x:v>36272</x:v>
      </x:c>
      <x:c r="B569" s="28" t="n">
        <x:v>435</x:v>
      </x:c>
      <x:c r="C569" s="28"/>
      <x:c r="D569" s="31" t="str">
        <x:f>IF(OR(ISBLANK(B569),ISBLANK(C569),B569=0),"",(C569-B569)/B569)</x:f>
      </x:c>
      <x:c r="E569" s="22" t="str">
        <x:f>IF(ISBLANK(C569),"AmountIncludingTax缺失",IF(ABS(B569-C569)&lt;0.005,"一致","不一致"))</x:f>
        <x:v>AmountIncludingTax缺失</x:v>
      </x:c>
      <x:c r="F569" s="19" t="str">
        <x:v>approved</x:v>
      </x:c>
      <x:c r="G569" s="19" t="str">
        <x:v>Sales Order Approved</x:v>
      </x:c>
      <x:c r="H569" s="19" t="str">
        <x:v>In Field</x:v>
      </x:c>
      <x:c r="I569" s="37" t="n">
        <x:v>46196</x:v>
      </x:c>
      <x:c r="J569" s="37" t="n">
        <x:v>46196</x:v>
      </x:c>
      <x:c r="K569" s="19" t="str">
        <x:v>The Caravan Hub - Townsville</x:v>
      </x:c>
      <x:c r="L569" s="19" t="str">
        <x:v>Z006</x:v>
      </x:c>
      <x:c r="M569" s="19" t="str">
        <x:v>In Field Warranty Claims</x:v>
      </x:c>
      <x:c r="N569" s="37" t="n">
        <x:v>46184</x:v>
      </x:c>
      <x:c r="O569" s="37"/>
      <x:c r="P569" s="34" t="n">
        <x:v>0</x:v>
      </x:c>
      <x:c r="Q569" s="37" t="n">
        <x:v>46196.26167824074</x:v>
      </x:c>
    </x:row>
    <x:row r="570">
      <x:c r="A570" s="22" t="n">
        <x:v>36269</x:v>
      </x:c>
      <x:c r="B570" s="28" t="n">
        <x:v>145</x:v>
      </x:c>
      <x:c r="C570" s="28"/>
      <x:c r="D570" s="31" t="str">
        <x:f>IF(OR(ISBLANK(B570),ISBLANK(C570),B570=0),"",(C570-B570)/B570)</x:f>
      </x:c>
      <x:c r="E570" s="22" t="str">
        <x:f>IF(ISBLANK(C570),"AmountIncludingTax缺失",IF(ABS(B570-C570)&lt;0.005,"一致","不一致"))</x:f>
        <x:v>AmountIncludingTax缺失</x:v>
      </x:c>
      <x:c r="F570" s="19" t="str">
        <x:v>approved</x:v>
      </x:c>
      <x:c r="G570" s="19" t="str">
        <x:v>Repairer Invoiced Processed</x:v>
      </x:c>
      <x:c r="H570" s="19" t="str">
        <x:v>Pre Delivery</x:v>
      </x:c>
      <x:c r="I570" s="37" t="n">
        <x:v>46185</x:v>
      </x:c>
      <x:c r="J570" s="37" t="n">
        <x:v>46185</x:v>
      </x:c>
      <x:c r="K570" s="19" t="str">
        <x:v>The Caravan Hub - Townsville</x:v>
      </x:c>
      <x:c r="L570" s="19" t="str">
        <x:v>Z005</x:v>
      </x:c>
      <x:c r="M570" s="19" t="str">
        <x:v>Pre Delivery Warranty Claims</x:v>
      </x:c>
      <x:c r="N570" s="37" t="n">
        <x:v>46185</x:v>
      </x:c>
      <x:c r="O570" s="37"/>
      <x:c r="P570" s="34" t="n">
        <x:v>0</x:v>
      </x:c>
      <x:c r="Q570" s="37" t="n">
        <x:v>46185.08462962963</x:v>
      </x:c>
    </x:row>
    <x:row r="571">
      <x:c r="A571" s="22" t="n">
        <x:v>36266</x:v>
      </x:c>
      <x:c r="B571" s="28" t="n">
        <x:v>168.75</x:v>
      </x:c>
      <x:c r="C571" s="28"/>
      <x:c r="D571" s="31" t="str">
        <x:f>IF(OR(ISBLANK(B571),ISBLANK(C571),B571=0),"",(C571-B571)/B571)</x:f>
      </x:c>
      <x:c r="E571" s="22" t="str">
        <x:f>IF(ISBLANK(C571),"AmountIncludingTax缺失",IF(ABS(B571-C571)&lt;0.005,"一致","不一致"))</x:f>
        <x:v>AmountIncludingTax缺失</x:v>
      </x:c>
      <x:c r="F571" s="19" t="str">
        <x:v>approved</x:v>
      </x:c>
      <x:c r="G571" s="19" t="str">
        <x:v>Partially Picked</x:v>
      </x:c>
      <x:c r="H571" s="19" t="str">
        <x:v>In Field</x:v>
      </x:c>
      <x:c r="I571" s="37" t="n">
        <x:v>46185</x:v>
      </x:c>
      <x:c r="J571" s="37" t="n">
        <x:v>46185</x:v>
      </x:c>
      <x:c r="K571" s="19" t="str">
        <x:v>Regent RV - Perth</x:v>
      </x:c>
      <x:c r="L571" s="19" t="str">
        <x:v>Z006</x:v>
      </x:c>
      <x:c r="M571" s="19" t="str">
        <x:v>In Field Warranty Claims</x:v>
      </x:c>
      <x:c r="N571" s="37" t="n">
        <x:v>46184</x:v>
      </x:c>
      <x:c r="O571" s="37"/>
      <x:c r="P571" s="34" t="n">
        <x:v>0</x:v>
      </x:c>
      <x:c r="Q571" s="37" t="n">
        <x:v>46185.07104166667</x:v>
      </x:c>
    </x:row>
    <x:row r="572">
      <x:c r="A572" s="22" t="n">
        <x:v>36246</x:v>
      </x:c>
      <x:c r="B572" s="28" t="n">
        <x:v>752.5</x:v>
      </x:c>
      <x:c r="C572" s="28"/>
      <x:c r="D572" s="31" t="str">
        <x:f>IF(OR(ISBLANK(B572),ISBLANK(C572),B572=0),"",(C572-B572)/B572)</x:f>
      </x:c>
      <x:c r="E572" s="22" t="str">
        <x:f>IF(ISBLANK(C572),"AmountIncludingTax缺失",IF(ABS(B572-C572)&lt;0.005,"一致","不一致"))</x:f>
        <x:v>AmountIncludingTax缺失</x:v>
      </x:c>
      <x:c r="F572" s="19" t="str">
        <x:v>approved</x:v>
      </x:c>
      <x:c r="G572" s="19" t="str">
        <x:v>Partially Picked</x:v>
      </x:c>
      <x:c r="H572" s="19" t="str">
        <x:v>In Field</x:v>
      </x:c>
      <x:c r="I572" s="37" t="n">
        <x:v>46191</x:v>
      </x:c>
      <x:c r="J572" s="37" t="n">
        <x:v>46191</x:v>
      </x:c>
      <x:c r="K572" s="19" t="str">
        <x:v>Leisure Lion - Bundaberg</x:v>
      </x:c>
      <x:c r="L572" s="19" t="str">
        <x:v>Z006</x:v>
      </x:c>
      <x:c r="M572" s="19" t="str">
        <x:v>In Field Warranty Claims</x:v>
      </x:c>
      <x:c r="N572" s="37" t="n">
        <x:v>46184</x:v>
      </x:c>
      <x:c r="O572" s="37"/>
      <x:c r="P572" s="34" t="n">
        <x:v>0</x:v>
      </x:c>
      <x:c r="Q572" s="37" t="n">
        <x:v>46191.11002314815</x:v>
      </x:c>
    </x:row>
    <x:row r="573">
      <x:c r="A573" s="22" t="n">
        <x:v>36245</x:v>
      </x:c>
      <x:c r="B573" s="28" t="n">
        <x:v>1676.25</x:v>
      </x:c>
      <x:c r="C573" s="28"/>
      <x:c r="D573" s="31" t="str">
        <x:f>IF(OR(ISBLANK(B573),ISBLANK(C573),B573=0),"",(C573-B573)/B573)</x:f>
      </x:c>
      <x:c r="E573" s="22" t="str">
        <x:f>IF(ISBLANK(C573),"AmountIncludingTax缺失",IF(ABS(B573-C573)&lt;0.005,"一致","不一致"))</x:f>
        <x:v>AmountIncludingTax缺失</x:v>
      </x:c>
      <x:c r="F573" s="19" t="str">
        <x:v>approved</x:v>
      </x:c>
      <x:c r="G573" s="19" t="str">
        <x:v>Partially Picked</x:v>
      </x:c>
      <x:c r="H573" s="19" t="str">
        <x:v>In Field</x:v>
      </x:c>
      <x:c r="I573" s="37" t="n">
        <x:v>46190</x:v>
      </x:c>
      <x:c r="J573" s="37" t="n">
        <x:v>46190</x:v>
      </x:c>
      <x:c r="K573" s="19" t="str">
        <x:v>The Caravan Hub - Townsville</x:v>
      </x:c>
      <x:c r="L573" s="19" t="str">
        <x:v>Z006</x:v>
      </x:c>
      <x:c r="M573" s="19" t="str">
        <x:v>In Field Warranty Claims</x:v>
      </x:c>
      <x:c r="N573" s="37" t="n">
        <x:v>46184</x:v>
      </x:c>
      <x:c r="O573" s="37"/>
      <x:c r="P573" s="34" t="n">
        <x:v>0</x:v>
      </x:c>
      <x:c r="Q573" s="37" t="n">
        <x:v>46190.085277777776</x:v>
      </x:c>
    </x:row>
    <x:row r="574">
      <x:c r="A574" s="22" t="n">
        <x:v>36244</x:v>
      </x:c>
      <x:c r="B574" s="28" t="n">
        <x:v>202.5</x:v>
      </x:c>
      <x:c r="C574" s="28"/>
      <x:c r="D574" s="31" t="str">
        <x:f>IF(OR(ISBLANK(B574),ISBLANK(C574),B574=0),"",(C574-B574)/B574)</x:f>
      </x:c>
      <x:c r="E574" s="22" t="str">
        <x:f>IF(ISBLANK(C574),"AmountIncludingTax缺失",IF(ABS(B574-C574)&lt;0.005,"一致","不一致"))</x:f>
        <x:v>AmountIncludingTax缺失</x:v>
      </x:c>
      <x:c r="F574" s="19" t="str">
        <x:v>approved</x:v>
      </x:c>
      <x:c r="G574" s="19" t="str">
        <x:v>Repair in Progress</x:v>
      </x:c>
      <x:c r="H574" s="19" t="str">
        <x:v>In Field</x:v>
      </x:c>
      <x:c r="I574" s="37" t="n">
        <x:v>46184</x:v>
      </x:c>
      <x:c r="J574" s="37" t="n">
        <x:v>46184</x:v>
      </x:c>
      <x:c r="K574" s="19" t="str">
        <x:v>Regent RV - Perth</x:v>
      </x:c>
      <x:c r="L574" s="19" t="str">
        <x:v>Z006</x:v>
      </x:c>
      <x:c r="M574" s="19" t="str">
        <x:v>In Field Warranty Claims</x:v>
      </x:c>
      <x:c r="N574" s="37" t="n">
        <x:v>46184</x:v>
      </x:c>
      <x:c r="O574" s="37"/>
      <x:c r="P574" s="34" t="n">
        <x:v>0</x:v>
      </x:c>
      <x:c r="Q574" s="37" t="n">
        <x:v>46184.1950462963</x:v>
      </x:c>
    </x:row>
    <x:row r="575">
      <x:c r="A575" s="22" t="n">
        <x:v>36243</x:v>
      </x:c>
      <x:c r="B575" s="28" t="n">
        <x:v>371.25</x:v>
      </x:c>
      <x:c r="C575" s="28"/>
      <x:c r="D575" s="31" t="str">
        <x:f>IF(OR(ISBLANK(B575),ISBLANK(C575),B575=0),"",(C575-B575)/B575)</x:f>
      </x:c>
      <x:c r="E575" s="22" t="str">
        <x:f>IF(ISBLANK(C575),"AmountIncludingTax缺失",IF(ABS(B575-C575)&lt;0.005,"一致","不一致"))</x:f>
        <x:v>AmountIncludingTax缺失</x:v>
      </x:c>
      <x:c r="F575" s="19" t="str">
        <x:v>approved</x:v>
      </x:c>
      <x:c r="G575" s="19" t="str">
        <x:v>Partially Picked</x:v>
      </x:c>
      <x:c r="H575" s="19" t="str">
        <x:v>In Field</x:v>
      </x:c>
      <x:c r="I575" s="37" t="n">
        <x:v>46192</x:v>
      </x:c>
      <x:c r="J575" s="37" t="n">
        <x:v>46192</x:v>
      </x:c>
      <x:c r="K575" s="19" t="str">
        <x:v>Regent RV - Toowoomba</x:v>
      </x:c>
      <x:c r="L575" s="19" t="str">
        <x:v>Z006</x:v>
      </x:c>
      <x:c r="M575" s="19" t="str">
        <x:v>In Field Warranty Claims</x:v>
      </x:c>
      <x:c r="N575" s="37" t="n">
        <x:v>46184</x:v>
      </x:c>
      <x:c r="O575" s="37"/>
      <x:c r="P575" s="34" t="n">
        <x:v>0</x:v>
      </x:c>
      <x:c r="Q575" s="37" t="n">
        <x:v>46192.11568287037</x:v>
      </x:c>
    </x:row>
    <x:row r="576">
      <x:c r="A576" s="22" t="n">
        <x:v>36240</x:v>
      </x:c>
      <x:c r="B576" s="28" t="n">
        <x:v>409.8</x:v>
      </x:c>
      <x:c r="C576" s="28"/>
      <x:c r="D576" s="31" t="str">
        <x:f>IF(OR(ISBLANK(B576),ISBLANK(C576),B576=0),"",(C576-B576)/B576)</x:f>
      </x:c>
      <x:c r="E576" s="22" t="str">
        <x:f>IF(ISBLANK(C576),"AmountIncludingTax缺失",IF(ABS(B576-C576)&lt;0.005,"一致","不一致"))</x:f>
        <x:v>AmountIncludingTax缺失</x:v>
      </x:c>
      <x:c r="F576" s="19" t="str">
        <x:v>approved</x:v>
      </x:c>
      <x:c r="G576" s="19" t="str">
        <x:v>Repair in Progress</x:v>
      </x:c>
      <x:c r="H576" s="19" t="str">
        <x:v>In Field</x:v>
      </x:c>
      <x:c r="I576" s="37" t="n">
        <x:v>46185</x:v>
      </x:c>
      <x:c r="J576" s="37" t="n">
        <x:v>46185</x:v>
      </x:c>
      <x:c r="K576" s="19" t="str">
        <x:v>Leisure Lion - Bundaberg</x:v>
      </x:c>
      <x:c r="L576" s="19" t="str">
        <x:v>Z006</x:v>
      </x:c>
      <x:c r="M576" s="19" t="str">
        <x:v>In Field Warranty Claims</x:v>
      </x:c>
      <x:c r="N576" s="37" t="n">
        <x:v>46184</x:v>
      </x:c>
      <x:c r="O576" s="37"/>
      <x:c r="P576" s="34" t="n">
        <x:v>0</x:v>
      </x:c>
      <x:c r="Q576" s="37" t="n">
        <x:v>46185.27038194444</x:v>
      </x:c>
    </x:row>
    <x:row r="577">
      <x:c r="A577" s="22" t="n">
        <x:v>36239</x:v>
      </x:c>
      <x:c r="B577" s="28" t="n">
        <x:v>77.5</x:v>
      </x:c>
      <x:c r="C577" s="28"/>
      <x:c r="D577" s="31" t="str">
        <x:f>IF(OR(ISBLANK(B577),ISBLANK(C577),B577=0),"",(C577-B577)/B577)</x:f>
      </x:c>
      <x:c r="E577" s="22" t="str">
        <x:f>IF(ISBLANK(C577),"AmountIncludingTax缺失",IF(ABS(B577-C577)&lt;0.005,"一致","不一致"))</x:f>
        <x:v>AmountIncludingTax缺失</x:v>
      </x:c>
      <x:c r="F577" s="19" t="str">
        <x:v>approved</x:v>
      </x:c>
      <x:c r="G577" s="19" t="str">
        <x:v>Repair in Progress</x:v>
      </x:c>
      <x:c r="H577" s="19" t="str">
        <x:v>In Field</x:v>
      </x:c>
      <x:c r="I577" s="37" t="n">
        <x:v>46185</x:v>
      </x:c>
      <x:c r="J577" s="37" t="n">
        <x:v>46185</x:v>
      </x:c>
      <x:c r="K577" s="19" t="str">
        <x:v>Regent RV - Perth</x:v>
      </x:c>
      <x:c r="L577" s="19" t="str">
        <x:v>Z006</x:v>
      </x:c>
      <x:c r="M577" s="19" t="str">
        <x:v>In Field Warranty Claims</x:v>
      </x:c>
      <x:c r="N577" s="37" t="n">
        <x:v>46184</x:v>
      </x:c>
      <x:c r="O577" s="37"/>
      <x:c r="P577" s="34" t="n">
        <x:v>0</x:v>
      </x:c>
      <x:c r="Q577" s="37" t="n">
        <x:v>46185.01819444444</x:v>
      </x:c>
    </x:row>
    <x:row r="578">
      <x:c r="A578" s="22" t="n">
        <x:v>36238</x:v>
      </x:c>
      <x:c r="B578" s="28" t="n">
        <x:v>3375</x:v>
      </x:c>
      <x:c r="C578" s="28"/>
      <x:c r="D578" s="31" t="str">
        <x:f>IF(OR(ISBLANK(B578),ISBLANK(C578),B578=0),"",(C578-B578)/B578)</x:f>
      </x:c>
      <x:c r="E578" s="22" t="str">
        <x:f>IF(ISBLANK(C578),"AmountIncludingTax缺失",IF(ABS(B578-C578)&lt;0.005,"一致","不一致"))</x:f>
        <x:v>AmountIncludingTax缺失</x:v>
      </x:c>
      <x:c r="F578" s="19" t="str">
        <x:v>approved</x:v>
      </x:c>
      <x:c r="G578" s="19" t="str">
        <x:v>Repair in Progress</x:v>
      </x:c>
      <x:c r="H578" s="19" t="str">
        <x:v>In Field</x:v>
      </x:c>
      <x:c r="I578" s="37" t="n">
        <x:v>46206</x:v>
      </x:c>
      <x:c r="J578" s="37" t="n">
        <x:v>46206</x:v>
      </x:c>
      <x:c r="K578" s="19" t="str">
        <x:v>QCCC - Gympie</x:v>
      </x:c>
      <x:c r="L578" s="19" t="str">
        <x:v>Z006</x:v>
      </x:c>
      <x:c r="M578" s="19" t="str">
        <x:v>In Field Warranty Claims</x:v>
      </x:c>
      <x:c r="N578" s="37" t="n">
        <x:v>46184</x:v>
      </x:c>
      <x:c r="O578" s="37"/>
      <x:c r="P578" s="34" t="n">
        <x:v>3712.5</x:v>
      </x:c>
      <x:c r="Q578" s="37" t="n">
        <x:v>46206.24957175926</x:v>
      </x:c>
    </x:row>
    <x:row r="579">
      <x:c r="A579" s="22" t="n">
        <x:v>36237</x:v>
      </x:c>
      <x:c r="B579" s="28" t="n">
        <x:v>3647.66</x:v>
      </x:c>
      <x:c r="C579" s="28"/>
      <x:c r="D579" s="31" t="str">
        <x:f>IF(OR(ISBLANK(B579),ISBLANK(C579),B579=0),"",(C579-B579)/B579)</x:f>
      </x:c>
      <x:c r="E579" s="22" t="str">
        <x:f>IF(ISBLANK(C579),"AmountIncludingTax缺失",IF(ABS(B579-C579)&lt;0.005,"一致","不一致"))</x:f>
        <x:v>AmountIncludingTax缺失</x:v>
      </x:c>
      <x:c r="F579" s="19" t="str">
        <x:v>approved</x:v>
      </x:c>
      <x:c r="G579" s="19" t="str">
        <x:v>Repair in Progress</x:v>
      </x:c>
      <x:c r="H579" s="19" t="str">
        <x:v>In Field</x:v>
      </x:c>
      <x:c r="I579" s="37" t="n">
        <x:v>46190</x:v>
      </x:c>
      <x:c r="J579" s="37" t="n">
        <x:v>46190</x:v>
      </x:c>
      <x:c r="K579" s="19" t="str">
        <x:v>CMG Campers - Christchurch</x:v>
      </x:c>
      <x:c r="L579" s="19" t="str">
        <x:v>Z006</x:v>
      </x:c>
      <x:c r="M579" s="19" t="str">
        <x:v>In Field Warranty Claims</x:v>
      </x:c>
      <x:c r="N579" s="37" t="n">
        <x:v>46184</x:v>
      </x:c>
      <x:c r="O579" s="37"/>
      <x:c r="P579" s="34" t="n">
        <x:v>3302.59</x:v>
      </x:c>
      <x:c r="Q579" s="37" t="n">
        <x:v>46190.10773148148</x:v>
      </x:c>
    </x:row>
    <x:row r="580">
      <x:c r="A580" s="22" t="n">
        <x:v>36235</x:v>
      </x:c>
      <x:c r="B580" s="28" t="n">
        <x:v>270</x:v>
      </x:c>
      <x:c r="C580" s="28" t="n">
        <x:v>297</x:v>
      </x:c>
      <x:c r="D580" s="31" t="n">
        <x:f>IF(OR(ISBLANK(B580),ISBLANK(C580),B580=0),"",(C580-B580)/B580)</x:f>
        <x:v>0.1</x:v>
      </x:c>
      <x:c r="E580" s="22" t="str">
        <x:f>IF(ISBLANK(C580),"AmountIncludingTax缺失",IF(ABS(B580-C580)&lt;0.005,"一致","不一致"))</x:f>
        <x:v>不一致</x:v>
      </x:c>
      <x:c r="F580" s="19" t="str">
        <x:v>approved</x:v>
      </x:c>
      <x:c r="G580" s="19" t="str">
        <x:v>Repairer Invoiced Processed</x:v>
      </x:c>
      <x:c r="H580" s="19" t="str">
        <x:v>In Field</x:v>
      </x:c>
      <x:c r="I580" s="37" t="n">
        <x:v>46184</x:v>
      </x:c>
      <x:c r="J580" s="37" t="n">
        <x:v>46184</x:v>
      </x:c>
      <x:c r="K580" s="19" t="str">
        <x:v>Regent RV - Toowoomba</x:v>
      </x:c>
      <x:c r="L580" s="19" t="str">
        <x:v>Z006</x:v>
      </x:c>
      <x:c r="M580" s="19" t="str">
        <x:v>In Field Warranty Claims</x:v>
      </x:c>
      <x:c r="N580" s="37" t="n">
        <x:v>46184</x:v>
      </x:c>
      <x:c r="O580" s="37"/>
      <x:c r="P580" s="34" t="n">
        <x:v>297</x:v>
      </x:c>
      <x:c r="Q580" s="37" t="n">
        <x:v>46184.22862268519</x:v>
      </x:c>
    </x:row>
    <x:row r="581">
      <x:c r="A581" s="22" t="n">
        <x:v>36233</x:v>
      </x:c>
      <x:c r="B581" s="28" t="n">
        <x:v>202.5</x:v>
      </x:c>
      <x:c r="C581" s="28"/>
      <x:c r="D581" s="31" t="str">
        <x:f>IF(OR(ISBLANK(B581),ISBLANK(C581),B581=0),"",(C581-B581)/B581)</x:f>
      </x:c>
      <x:c r="E581" s="22" t="str">
        <x:f>IF(ISBLANK(C581),"AmountIncludingTax缺失",IF(ABS(B581-C581)&lt;0.005,"一致","不一致"))</x:f>
        <x:v>AmountIncludingTax缺失</x:v>
      </x:c>
      <x:c r="F581" s="19" t="str">
        <x:v>approved</x:v>
      </x:c>
      <x:c r="G581" s="19" t="str">
        <x:v>Repairer Invoiced Processed</x:v>
      </x:c>
      <x:c r="H581" s="19" t="str">
        <x:v>Pre Delivery</x:v>
      </x:c>
      <x:c r="I581" s="37" t="n">
        <x:v>46188</x:v>
      </x:c>
      <x:c r="J581" s="37" t="n">
        <x:v>46188</x:v>
      </x:c>
      <x:c r="K581" s="19" t="str">
        <x:v>Snowy River Launceston</x:v>
      </x:c>
      <x:c r="L581" s="19" t="str">
        <x:v>Z005</x:v>
      </x:c>
      <x:c r="M581" s="19" t="str">
        <x:v>Pre Delivery Warranty Claims</x:v>
      </x:c>
      <x:c r="N581" s="37" t="n">
        <x:v>46184</x:v>
      </x:c>
      <x:c r="O581" s="37"/>
      <x:c r="P581" s="34" t="n">
        <x:v>0</x:v>
      </x:c>
      <x:c r="Q581" s="37" t="n">
        <x:v>46188.1740162037</x:v>
      </x:c>
    </x:row>
    <x:row r="582">
      <x:c r="A582" s="22" t="n">
        <x:v>36232</x:v>
      </x:c>
      <x:c r="B582" s="28" t="n">
        <x:v>265.45</x:v>
      </x:c>
      <x:c r="C582" s="28" t="n">
        <x:v>292</x:v>
      </x:c>
      <x:c r="D582" s="31" t="n">
        <x:f>IF(OR(ISBLANK(B582),ISBLANK(C582),B582=0),"",(C582-B582)/B582)</x:f>
        <x:v>0.10001883593897161</x:v>
      </x:c>
      <x:c r="E582" s="22" t="str">
        <x:f>IF(ISBLANK(C582),"AmountIncludingTax缺失",IF(ABS(B582-C582)&lt;0.005,"一致","不一致"))</x:f>
        <x:v>不一致</x:v>
      </x:c>
      <x:c r="F582" s="19" t="str">
        <x:v>approved</x:v>
      </x:c>
      <x:c r="G582" s="19" t="str">
        <x:v>Repairer Invoiced Processed</x:v>
      </x:c>
      <x:c r="H582" s="19" t="str">
        <x:v>In Field</x:v>
      </x:c>
      <x:c r="I582" s="37" t="n">
        <x:v>46189</x:v>
      </x:c>
      <x:c r="J582" s="37" t="n">
        <x:v>46189</x:v>
      </x:c>
      <x:c r="K582" s="19" t="str">
        <x:v>Regent RV - Townsville</x:v>
      </x:c>
      <x:c r="L582" s="19" t="str">
        <x:v>Z006</x:v>
      </x:c>
      <x:c r="M582" s="19" t="str">
        <x:v>In Field Warranty Claims</x:v>
      </x:c>
      <x:c r="N582" s="37" t="n">
        <x:v>46184</x:v>
      </x:c>
      <x:c r="O582" s="37"/>
      <x:c r="P582" s="34" t="n">
        <x:v>292</x:v>
      </x:c>
      <x:c r="Q582" s="37" t="n">
        <x:v>46188.996469907404</x:v>
      </x:c>
    </x:row>
    <x:row r="583">
      <x:c r="A583" s="22" t="n">
        <x:v>36231</x:v>
      </x:c>
      <x:c r="B583" s="28" t="n">
        <x:v>67.5</x:v>
      </x:c>
      <x:c r="C583" s="28" t="n">
        <x:v>74.25</x:v>
      </x:c>
      <x:c r="D583" s="31" t="n">
        <x:f>IF(OR(ISBLANK(B583),ISBLANK(C583),B583=0),"",(C583-B583)/B583)</x:f>
        <x:v>0.1</x:v>
      </x:c>
      <x:c r="E583" s="22" t="str">
        <x:f>IF(ISBLANK(C583),"AmountIncludingTax缺失",IF(ABS(B583-C583)&lt;0.005,"一致","不一致"))</x:f>
        <x:v>不一致</x:v>
      </x:c>
      <x:c r="F583" s="19" t="str">
        <x:v>approved</x:v>
      </x:c>
      <x:c r="G583" s="19" t="str">
        <x:v>Repairer Invoiced Processed</x:v>
      </x:c>
      <x:c r="H583" s="19" t="str">
        <x:v>Pre Delivery</x:v>
      </x:c>
      <x:c r="I583" s="37" t="n">
        <x:v>46188</x:v>
      </x:c>
      <x:c r="J583" s="37" t="n">
        <x:v>46188</x:v>
      </x:c>
      <x:c r="K583" s="19" t="str">
        <x:v>Snowy River Launceston</x:v>
      </x:c>
      <x:c r="L583" s="19" t="str">
        <x:v>Z005</x:v>
      </x:c>
      <x:c r="M583" s="19" t="str">
        <x:v>Pre Delivery Warranty Claims</x:v>
      </x:c>
      <x:c r="N583" s="37" t="n">
        <x:v>46184</x:v>
      </x:c>
      <x:c r="O583" s="37"/>
      <x:c r="P583" s="34" t="n">
        <x:v>74.25</x:v>
      </x:c>
      <x:c r="Q583" s="37" t="n">
        <x:v>46188.01414351852</x:v>
      </x:c>
    </x:row>
    <x:row r="584">
      <x:c r="A584" s="22" t="n">
        <x:v>36229</x:v>
      </x:c>
      <x:c r="B584" s="28" t="n">
        <x:v>68.27</x:v>
      </x:c>
      <x:c r="C584" s="28" t="n">
        <x:v>75.1</x:v>
      </x:c>
      <x:c r="D584" s="31" t="n">
        <x:f>IF(OR(ISBLANK(B584),ISBLANK(C584),B584=0),"",(C584-B584)/B584)</x:f>
        <x:v>0.10004394316683754</x:v>
      </x:c>
      <x:c r="E584" s="22" t="str">
        <x:f>IF(ISBLANK(C584),"AmountIncludingTax缺失",IF(ABS(B584-C584)&lt;0.005,"一致","不一致"))</x:f>
        <x:v>不一致</x:v>
      </x:c>
      <x:c r="F584" s="19" t="str">
        <x:v>approved</x:v>
      </x:c>
      <x:c r="G584" s="19" t="str">
        <x:v>Repairer Invoiced Processed</x:v>
      </x:c>
      <x:c r="H584" s="19" t="str">
        <x:v>In Field</x:v>
      </x:c>
      <x:c r="I584" s="37" t="n">
        <x:v>46188</x:v>
      </x:c>
      <x:c r="J584" s="37" t="n">
        <x:v>46188</x:v>
      </x:c>
      <x:c r="K584" s="19" t="str">
        <x:v>Regent RV - Toowoomba</x:v>
      </x:c>
      <x:c r="L584" s="19" t="str">
        <x:v>Z006</x:v>
      </x:c>
      <x:c r="M584" s="19" t="str">
        <x:v>In Field Warranty Claims</x:v>
      </x:c>
      <x:c r="N584" s="37" t="n">
        <x:v>46184</x:v>
      </x:c>
      <x:c r="O584" s="37"/>
      <x:c r="P584" s="34" t="n">
        <x:v>75.1</x:v>
      </x:c>
      <x:c r="Q584" s="37" t="n">
        <x:v>46188.2615625</x:v>
      </x:c>
    </x:row>
    <x:row r="585">
      <x:c r="A585" s="22" t="n">
        <x:v>36226</x:v>
      </x:c>
      <x:c r="B585" s="28" t="n">
        <x:v>45.57</x:v>
      </x:c>
      <x:c r="C585" s="28" t="n">
        <x:v>41.26</x:v>
      </x:c>
      <x:c r="D585" s="31" t="n">
        <x:f>IF(OR(ISBLANK(B585),ISBLANK(C585),B585=0),"",(C585-B585)/B585)</x:f>
        <x:v>-0.09457976739082735</x:v>
      </x:c>
      <x:c r="E585" s="22" t="str">
        <x:f>IF(ISBLANK(C585),"AmountIncludingTax缺失",IF(ABS(B585-C585)&lt;0.005,"一致","不一致"))</x:f>
        <x:v>不一致</x:v>
      </x:c>
      <x:c r="F585" s="19" t="str">
        <x:v>approved</x:v>
      </x:c>
      <x:c r="G585" s="19" t="str">
        <x:v>Repairer Invoiced Processed</x:v>
      </x:c>
      <x:c r="H585" s="19" t="str">
        <x:v>In Field</x:v>
      </x:c>
      <x:c r="I585" s="37" t="n">
        <x:v>46184</x:v>
      </x:c>
      <x:c r="J585" s="37" t="n">
        <x:v>46184</x:v>
      </x:c>
      <x:c r="K585" s="19" t="str">
        <x:v>Vanari Caravans - Marden Point</x:v>
      </x:c>
      <x:c r="L585" s="19" t="str">
        <x:v>Z006</x:v>
      </x:c>
      <x:c r="M585" s="19" t="str">
        <x:v>In Field Warranty Claims</x:v>
      </x:c>
      <x:c r="N585" s="37" t="n">
        <x:v>46183</x:v>
      </x:c>
      <x:c r="O585" s="37"/>
      <x:c r="P585" s="34" t="n">
        <x:v>41.26</x:v>
      </x:c>
      <x:c r="Q585" s="37" t="n">
        <x:v>46183.96561342593</x:v>
      </x:c>
    </x:row>
    <x:row r="586">
      <x:c r="A586" s="22" t="n">
        <x:v>36225</x:v>
      </x:c>
      <x:c r="B586" s="28" t="n">
        <x:v>41.73</x:v>
      </x:c>
      <x:c r="C586" s="28" t="n">
        <x:v>37.78</x:v>
      </x:c>
      <x:c r="D586" s="31" t="n">
        <x:f>IF(OR(ISBLANK(B586),ISBLANK(C586),B586=0),"",(C586-B586)/B586)</x:f>
        <x:v>-0.09465612269350578</x:v>
      </x:c>
      <x:c r="E586" s="22" t="str">
        <x:f>IF(ISBLANK(C586),"AmountIncludingTax缺失",IF(ABS(B586-C586)&lt;0.005,"一致","不一致"))</x:f>
        <x:v>不一致</x:v>
      </x:c>
      <x:c r="F586" s="19" t="str">
        <x:v>approved</x:v>
      </x:c>
      <x:c r="G586" s="19" t="str">
        <x:v>Repairer Invoiced Processed</x:v>
      </x:c>
      <x:c r="H586" s="19" t="str">
        <x:v>In Field</x:v>
      </x:c>
      <x:c r="I586" s="37" t="n">
        <x:v>46184</x:v>
      </x:c>
      <x:c r="J586" s="37" t="n">
        <x:v>46184</x:v>
      </x:c>
      <x:c r="K586" s="19" t="str">
        <x:v>Vanari Caravans - Marden Point</x:v>
      </x:c>
      <x:c r="L586" s="19" t="str">
        <x:v>Z006</x:v>
      </x:c>
      <x:c r="M586" s="19" t="str">
        <x:v>In Field Warranty Claims</x:v>
      </x:c>
      <x:c r="N586" s="37" t="n">
        <x:v>46183</x:v>
      </x:c>
      <x:c r="O586" s="37"/>
      <x:c r="P586" s="34" t="n">
        <x:v>37.78</x:v>
      </x:c>
      <x:c r="Q586" s="37" t="n">
        <x:v>46183.961331018516</x:v>
      </x:c>
    </x:row>
    <x:row r="587">
      <x:c r="A587" s="22" t="n">
        <x:v>36224</x:v>
      </x:c>
      <x:c r="B587" s="28" t="n">
        <x:v>41.73</x:v>
      </x:c>
      <x:c r="C587" s="28" t="n">
        <x:v>37.78</x:v>
      </x:c>
      <x:c r="D587" s="31" t="n">
        <x:f>IF(OR(ISBLANK(B587),ISBLANK(C587),B587=0),"",(C587-B587)/B587)</x:f>
        <x:v>-0.09465612269350578</x:v>
      </x:c>
      <x:c r="E587" s="22" t="str">
        <x:f>IF(ISBLANK(C587),"AmountIncludingTax缺失",IF(ABS(B587-C587)&lt;0.005,"一致","不一致"))</x:f>
        <x:v>不一致</x:v>
      </x:c>
      <x:c r="F587" s="19" t="str">
        <x:v>approved</x:v>
      </x:c>
      <x:c r="G587" s="19" t="str">
        <x:v>Repairer Invoiced Processed</x:v>
      </x:c>
      <x:c r="H587" s="19" t="str">
        <x:v>In Field</x:v>
      </x:c>
      <x:c r="I587" s="37" t="n">
        <x:v>46184</x:v>
      </x:c>
      <x:c r="J587" s="37" t="n">
        <x:v>46184</x:v>
      </x:c>
      <x:c r="K587" s="19" t="str">
        <x:v>Vanari Caravans - Marden Point</x:v>
      </x:c>
      <x:c r="L587" s="19" t="str">
        <x:v>Z006</x:v>
      </x:c>
      <x:c r="M587" s="19" t="str">
        <x:v>In Field Warranty Claims</x:v>
      </x:c>
      <x:c r="N587" s="37" t="n">
        <x:v>46183</x:v>
      </x:c>
      <x:c r="O587" s="37"/>
      <x:c r="P587" s="34" t="n">
        <x:v>37.78</x:v>
      </x:c>
      <x:c r="Q587" s="37" t="n">
        <x:v>46183.958958333336</x:v>
      </x:c>
    </x:row>
    <x:row r="588">
      <x:c r="A588" s="22" t="n">
        <x:v>36223</x:v>
      </x:c>
      <x:c r="B588" s="28" t="n">
        <x:v>40.21</x:v>
      </x:c>
      <x:c r="C588" s="28" t="n">
        <x:v>36.41</x:v>
      </x:c>
      <x:c r="D588" s="31" t="n">
        <x:f>IF(OR(ISBLANK(B588),ISBLANK(C588),B588=0),"",(C588-B588)/B588)</x:f>
        <x:v>-0.094503854762497</x:v>
      </x:c>
      <x:c r="E588" s="22" t="str">
        <x:f>IF(ISBLANK(C588),"AmountIncludingTax缺失",IF(ABS(B588-C588)&lt;0.005,"一致","不一致"))</x:f>
        <x:v>不一致</x:v>
      </x:c>
      <x:c r="F588" s="19" t="str">
        <x:v>approved</x:v>
      </x:c>
      <x:c r="G588" s="19" t="str">
        <x:v>Repairer Invoiced Processed</x:v>
      </x:c>
      <x:c r="H588" s="19" t="str">
        <x:v>In Field</x:v>
      </x:c>
      <x:c r="I588" s="37" t="n">
        <x:v>46184</x:v>
      </x:c>
      <x:c r="J588" s="37" t="n">
        <x:v>46184</x:v>
      </x:c>
      <x:c r="K588" s="19" t="str">
        <x:v>Vanari Caravans - Marden Point</x:v>
      </x:c>
      <x:c r="L588" s="19" t="str">
        <x:v>Z006</x:v>
      </x:c>
      <x:c r="M588" s="19" t="str">
        <x:v>In Field Warranty Claims</x:v>
      </x:c>
      <x:c r="N588" s="37" t="n">
        <x:v>46183</x:v>
      </x:c>
      <x:c r="O588" s="37"/>
      <x:c r="P588" s="34" t="n">
        <x:v>36.41</x:v>
      </x:c>
      <x:c r="Q588" s="37" t="n">
        <x:v>46183.95277777778</x:v>
      </x:c>
    </x:row>
    <x:row r="589">
      <x:c r="A589" s="22" t="n">
        <x:v>36222</x:v>
      </x:c>
      <x:c r="B589" s="28" t="n">
        <x:v>44.59</x:v>
      </x:c>
      <x:c r="C589" s="28" t="n">
        <x:v>40.37</x:v>
      </x:c>
      <x:c r="D589" s="31" t="n">
        <x:f>IF(OR(ISBLANK(B589),ISBLANK(C589),B589=0),"",(C589-B589)/B589)</x:f>
        <x:v>-0.09464005382372742</x:v>
      </x:c>
      <x:c r="E589" s="22" t="str">
        <x:f>IF(ISBLANK(C589),"AmountIncludingTax缺失",IF(ABS(B589-C589)&lt;0.005,"一致","不一致"))</x:f>
        <x:v>不一致</x:v>
      </x:c>
      <x:c r="F589" s="19" t="str">
        <x:v>approved</x:v>
      </x:c>
      <x:c r="G589" s="19" t="str">
        <x:v>Repairer Invoiced Processed</x:v>
      </x:c>
      <x:c r="H589" s="19" t="str">
        <x:v>In Field</x:v>
      </x:c>
      <x:c r="I589" s="37" t="n">
        <x:v>46184</x:v>
      </x:c>
      <x:c r="J589" s="37" t="n">
        <x:v>46184</x:v>
      </x:c>
      <x:c r="K589" s="19" t="str">
        <x:v>Vanari Caravans - Marden Point</x:v>
      </x:c>
      <x:c r="L589" s="19" t="str">
        <x:v>Z006</x:v>
      </x:c>
      <x:c r="M589" s="19" t="str">
        <x:v>In Field Warranty Claims</x:v>
      </x:c>
      <x:c r="N589" s="37" t="n">
        <x:v>46183</x:v>
      </x:c>
      <x:c r="O589" s="37"/>
      <x:c r="P589" s="34" t="n">
        <x:v>40.37</x:v>
      </x:c>
      <x:c r="Q589" s="37" t="n">
        <x:v>46183.94615740741</x:v>
      </x:c>
    </x:row>
    <x:row r="590">
      <x:c r="A590" s="22" t="n">
        <x:v>36210</x:v>
      </x:c>
      <x:c r="B590" s="28" t="n">
        <x:v>270</x:v>
      </x:c>
      <x:c r="C590" s="28"/>
      <x:c r="D590" s="31" t="str">
        <x:f>IF(OR(ISBLANK(B590),ISBLANK(C590),B590=0),"",(C590-B590)/B590)</x:f>
      </x:c>
      <x:c r="E590" s="22" t="str">
        <x:f>IF(ISBLANK(C590),"AmountIncludingTax缺失",IF(ABS(B590-C590)&lt;0.005,"一致","不一致"))</x:f>
        <x:v>AmountIncludingTax缺失</x:v>
      </x:c>
      <x:c r="F590" s="19" t="str">
        <x:v>approved</x:v>
      </x:c>
      <x:c r="G590" s="19" t="str">
        <x:v>Repair in Progress</x:v>
      </x:c>
      <x:c r="H590" s="19" t="str">
        <x:v>Pre Delivery</x:v>
      </x:c>
      <x:c r="I590" s="37" t="n">
        <x:v>46186</x:v>
      </x:c>
      <x:c r="J590" s="37" t="n">
        <x:v>46186</x:v>
      </x:c>
      <x:c r="K590" s="19" t="str">
        <x:v>Snowy River Launceston</x:v>
      </x:c>
      <x:c r="L590" s="19" t="str">
        <x:v>Z005</x:v>
      </x:c>
      <x:c r="M590" s="19" t="str">
        <x:v>Pre Delivery Warranty Claims</x:v>
      </x:c>
      <x:c r="N590" s="37" t="n">
        <x:v>46184</x:v>
      </x:c>
      <x:c r="O590" s="37"/>
      <x:c r="P590" s="34" t="n">
        <x:v>0</x:v>
      </x:c>
      <x:c r="Q590" s="37" t="n">
        <x:v>46185.97609953704</x:v>
      </x:c>
    </x:row>
    <x:row r="591">
      <x:c r="A591" s="22" t="n">
        <x:v>36209</x:v>
      </x:c>
      <x:c r="B591" s="28" t="n">
        <x:v>1523.4</x:v>
      </x:c>
      <x:c r="C591" s="28"/>
      <x:c r="D591" s="31" t="str">
        <x:f>IF(OR(ISBLANK(B591),ISBLANK(C591),B591=0),"",(C591-B591)/B591)</x:f>
      </x:c>
      <x:c r="E591" s="22" t="str">
        <x:f>IF(ISBLANK(C591),"AmountIncludingTax缺失",IF(ABS(B591-C591)&lt;0.005,"一致","不一致"))</x:f>
        <x:v>AmountIncludingTax缺失</x:v>
      </x:c>
      <x:c r="F591" s="19" t="str">
        <x:v>approved</x:v>
      </x:c>
      <x:c r="G591" s="19" t="str">
        <x:v>Repairer Invoiced Processed</x:v>
      </x:c>
      <x:c r="H591" s="19" t="str">
        <x:v>Pre Delivery</x:v>
      </x:c>
      <x:c r="I591" s="37" t="n">
        <x:v>46189</x:v>
      </x:c>
      <x:c r="J591" s="37" t="n">
        <x:v>46189</x:v>
      </x:c>
      <x:c r="K591" s="19" t="str">
        <x:v>Snowy River Launceston</x:v>
      </x:c>
      <x:c r="L591" s="19" t="str">
        <x:v>Z005</x:v>
      </x:c>
      <x:c r="M591" s="19" t="str">
        <x:v>Pre Delivery Warranty Claims</x:v>
      </x:c>
      <x:c r="N591" s="37" t="n">
        <x:v>46184</x:v>
      </x:c>
      <x:c r="O591" s="37"/>
      <x:c r="P591" s="34" t="n">
        <x:v>0</x:v>
      </x:c>
      <x:c r="Q591" s="37" t="n">
        <x:v>46189.021157407406</x:v>
      </x:c>
    </x:row>
    <x:row r="592">
      <x:c r="A592" s="22" t="n">
        <x:v>36208</x:v>
      </x:c>
      <x:c r="B592" s="28" t="n">
        <x:v>222.5</x:v>
      </x:c>
      <x:c r="C592" s="28"/>
      <x:c r="D592" s="31" t="str">
        <x:f>IF(OR(ISBLANK(B592),ISBLANK(C592),B592=0),"",(C592-B592)/B592)</x:f>
      </x:c>
      <x:c r="E592" s="22" t="str">
        <x:f>IF(ISBLANK(C592),"AmountIncludingTax缺失",IF(ABS(B592-C592)&lt;0.005,"一致","不一致"))</x:f>
        <x:v>AmountIncludingTax缺失</x:v>
      </x:c>
      <x:c r="F592" s="19" t="str">
        <x:v>approved</x:v>
      </x:c>
      <x:c r="G592" s="19" t="str">
        <x:v>Repair in Progress</x:v>
      </x:c>
      <x:c r="H592" s="19" t="str">
        <x:v>Pre Delivery</x:v>
      </x:c>
      <x:c r="I592" s="37" t="n">
        <x:v>46188</x:v>
      </x:c>
      <x:c r="J592" s="37" t="n">
        <x:v>46188</x:v>
      </x:c>
      <x:c r="K592" s="19" t="str">
        <x:v>Snowy River Launceston</x:v>
      </x:c>
      <x:c r="L592" s="19" t="str">
        <x:v>Z005</x:v>
      </x:c>
      <x:c r="M592" s="19" t="str">
        <x:v>Pre Delivery Warranty Claims</x:v>
      </x:c>
      <x:c r="N592" s="37" t="n">
        <x:v>46184</x:v>
      </x:c>
      <x:c r="O592" s="37"/>
      <x:c r="P592" s="34" t="n">
        <x:v>0</x:v>
      </x:c>
      <x:c r="Q592" s="37" t="n">
        <x:v>46188.17915509259</x:v>
      </x:c>
    </x:row>
    <x:row r="593">
      <x:c r="A593" s="22" t="n">
        <x:v>36207</x:v>
      </x:c>
      <x:c r="B593" s="28" t="n">
        <x:v>67.5</x:v>
      </x:c>
      <x:c r="C593" s="28"/>
      <x:c r="D593" s="31" t="str">
        <x:f>IF(OR(ISBLANK(B593),ISBLANK(C593),B593=0),"",(C593-B593)/B593)</x:f>
      </x:c>
      <x:c r="E593" s="22" t="str">
        <x:f>IF(ISBLANK(C593),"AmountIncludingTax缺失",IF(ABS(B593-C593)&lt;0.005,"一致","不一致"))</x:f>
        <x:v>AmountIncludingTax缺失</x:v>
      </x:c>
      <x:c r="F593" s="19" t="str">
        <x:v>approved</x:v>
      </x:c>
      <x:c r="G593" s="19" t="str">
        <x:v>Sales Order Approved</x:v>
      </x:c>
      <x:c r="H593" s="19" t="str">
        <x:v>Pre Delivery</x:v>
      </x:c>
      <x:c r="I593" s="37" t="n">
        <x:v>46190</x:v>
      </x:c>
      <x:c r="J593" s="37" t="n">
        <x:v>46190</x:v>
      </x:c>
      <x:c r="K593" s="19" t="str">
        <x:v>Regent RV Pty Ltd</x:v>
      </x:c>
      <x:c r="L593" s="19" t="str">
        <x:v>Z005</x:v>
      </x:c>
      <x:c r="M593" s="19" t="str">
        <x:v>Pre Delivery Warranty Claims</x:v>
      </x:c>
      <x:c r="N593" s="37" t="n">
        <x:v>46183</x:v>
      </x:c>
      <x:c r="O593" s="37"/>
      <x:c r="P593" s="34" t="n">
        <x:v>0</x:v>
      </x:c>
      <x:c r="Q593" s="37" t="n">
        <x:v>46190.238078703704</x:v>
      </x:c>
    </x:row>
    <x:row r="594">
      <x:c r="A594" s="22" t="n">
        <x:v>36206</x:v>
      </x:c>
      <x:c r="B594" s="28" t="n">
        <x:v>145</x:v>
      </x:c>
      <x:c r="C594" s="28"/>
      <x:c r="D594" s="31" t="str">
        <x:f>IF(OR(ISBLANK(B594),ISBLANK(C594),B594=0),"",(C594-B594)/B594)</x:f>
      </x:c>
      <x:c r="E594" s="22" t="str">
        <x:f>IF(ISBLANK(C594),"AmountIncludingTax缺失",IF(ABS(B594-C594)&lt;0.005,"一致","不一致"))</x:f>
        <x:v>AmountIncludingTax缺失</x:v>
      </x:c>
      <x:c r="F594" s="19" t="str">
        <x:v>approved</x:v>
      </x:c>
      <x:c r="G594" s="19" t="str">
        <x:v>Sales Order Approved</x:v>
      </x:c>
      <x:c r="H594" s="19" t="str">
        <x:v>Pre Delivery</x:v>
      </x:c>
      <x:c r="I594" s="37" t="n">
        <x:v>46191</x:v>
      </x:c>
      <x:c r="J594" s="37" t="n">
        <x:v>46191</x:v>
      </x:c>
      <x:c r="K594" s="19" t="str">
        <x:v>The Caravan Hub - Townsville</x:v>
      </x:c>
      <x:c r="L594" s="19" t="str">
        <x:v>Z005</x:v>
      </x:c>
      <x:c r="M594" s="19" t="str">
        <x:v>Pre Delivery Warranty Claims</x:v>
      </x:c>
      <x:c r="N594" s="37" t="n">
        <x:v>46183</x:v>
      </x:c>
      <x:c r="O594" s="37"/>
      <x:c r="P594" s="34" t="n">
        <x:v>0</x:v>
      </x:c>
      <x:c r="Q594" s="37" t="n">
        <x:v>46191.20547453704</x:v>
      </x:c>
    </x:row>
    <x:row r="595">
      <x:c r="A595" s="22" t="n">
        <x:v>36205</x:v>
      </x:c>
      <x:c r="B595" s="28" t="n">
        <x:v>806.25</x:v>
      </x:c>
      <x:c r="C595" s="28"/>
      <x:c r="D595" s="31" t="str">
        <x:f>IF(OR(ISBLANK(B595),ISBLANK(C595),B595=0),"",(C595-B595)/B595)</x:f>
      </x:c>
      <x:c r="E595" s="22" t="str">
        <x:f>IF(ISBLANK(C595),"AmountIncludingTax缺失",IF(ABS(B595-C595)&lt;0.005,"一致","不一致"))</x:f>
        <x:v>AmountIncludingTax缺失</x:v>
      </x:c>
      <x:c r="F595" s="19" t="str">
        <x:v>approved</x:v>
      </x:c>
      <x:c r="G595" s="19" t="str">
        <x:v>Sales Order Approved</x:v>
      </x:c>
      <x:c r="H595" s="19" t="str">
        <x:v>Pre Delivery</x:v>
      </x:c>
      <x:c r="I595" s="37" t="n">
        <x:v>46199</x:v>
      </x:c>
      <x:c r="J595" s="37" t="n">
        <x:v>46199</x:v>
      </x:c>
      <x:c r="K595" s="19" t="str">
        <x:v>The Caravan Hub - Townsville</x:v>
      </x:c>
      <x:c r="L595" s="19" t="str">
        <x:v>Z005</x:v>
      </x:c>
      <x:c r="M595" s="19" t="str">
        <x:v>Pre Delivery Warranty Claims</x:v>
      </x:c>
      <x:c r="N595" s="37" t="n">
        <x:v>46183</x:v>
      </x:c>
      <x:c r="O595" s="37"/>
      <x:c r="P595" s="34" t="n">
        <x:v>0</x:v>
      </x:c>
      <x:c r="Q595" s="37" t="n">
        <x:v>46199.020370370374</x:v>
      </x:c>
    </x:row>
    <x:row r="596">
      <x:c r="A596" s="22" t="n">
        <x:v>36204</x:v>
      </x:c>
      <x:c r="B596" s="28" t="n">
        <x:v>492.5</x:v>
      </x:c>
      <x:c r="C596" s="28"/>
      <x:c r="D596" s="31" t="str">
        <x:f>IF(OR(ISBLANK(B596),ISBLANK(C596),B596=0),"",(C596-B596)/B596)</x:f>
      </x:c>
      <x:c r="E596" s="22" t="str">
        <x:f>IF(ISBLANK(C596),"AmountIncludingTax缺失",IF(ABS(B596-C596)&lt;0.005,"一致","不一致"))</x:f>
        <x:v>AmountIncludingTax缺失</x:v>
      </x:c>
      <x:c r="F596" s="19" t="str">
        <x:v>approved</x:v>
      </x:c>
      <x:c r="G596" s="19" t="str">
        <x:v>Repair in Progress</x:v>
      </x:c>
      <x:c r="H596" s="19" t="str">
        <x:v>In Field</x:v>
      </x:c>
      <x:c r="I596" s="37" t="n">
        <x:v>46184</x:v>
      </x:c>
      <x:c r="J596" s="37" t="n">
        <x:v>46184</x:v>
      </x:c>
      <x:c r="K596" s="19" t="str">
        <x:v>Destiny RV - South Australia</x:v>
      </x:c>
      <x:c r="L596" s="19" t="str">
        <x:v>Z006</x:v>
      </x:c>
      <x:c r="M596" s="19" t="str">
        <x:v>In Field Warranty Claims</x:v>
      </x:c>
      <x:c r="N596" s="37" t="n">
        <x:v>46183</x:v>
      </x:c>
      <x:c r="O596" s="37"/>
      <x:c r="P596" s="34" t="n">
        <x:v>0</x:v>
      </x:c>
      <x:c r="Q596" s="37" t="n">
        <x:v>46184.22106481482</x:v>
      </x:c>
    </x:row>
    <x:row r="597">
      <x:c r="A597" s="22" t="n">
        <x:v>36202</x:v>
      </x:c>
      <x:c r="B597" s="28" t="n">
        <x:v>101.25</x:v>
      </x:c>
      <x:c r="C597" s="28"/>
      <x:c r="D597" s="31" t="str">
        <x:f>IF(OR(ISBLANK(B597),ISBLANK(C597),B597=0),"",(C597-B597)/B597)</x:f>
      </x:c>
      <x:c r="E597" s="22" t="str">
        <x:f>IF(ISBLANK(C597),"AmountIncludingTax缺失",IF(ABS(B597-C597)&lt;0.005,"一致","不一致"))</x:f>
        <x:v>AmountIncludingTax缺失</x:v>
      </x:c>
      <x:c r="F597" s="19" t="str">
        <x:v>approved</x:v>
      </x:c>
      <x:c r="G597" s="19" t="str">
        <x:v>Repair in Progress</x:v>
      </x:c>
      <x:c r="H597" s="19" t="str">
        <x:v>In Field</x:v>
      </x:c>
      <x:c r="I597" s="37" t="n">
        <x:v>46184</x:v>
      </x:c>
      <x:c r="J597" s="37" t="n">
        <x:v>46184</x:v>
      </x:c>
      <x:c r="K597" s="19" t="str">
        <x:v>Leisure Lion - Bundaberg</x:v>
      </x:c>
      <x:c r="L597" s="19" t="str">
        <x:v>Z006</x:v>
      </x:c>
      <x:c r="M597" s="19" t="str">
        <x:v>In Field Warranty Claims</x:v>
      </x:c>
      <x:c r="N597" s="37" t="n">
        <x:v>46183</x:v>
      </x:c>
      <x:c r="O597" s="37"/>
      <x:c r="P597" s="34" t="n">
        <x:v>0</x:v>
      </x:c>
      <x:c r="Q597" s="37" t="n">
        <x:v>46183.90248842593</x:v>
      </x:c>
    </x:row>
    <x:row r="598">
      <x:c r="A598" s="22" t="n">
        <x:v>36200</x:v>
      </x:c>
      <x:c r="B598" s="28" t="n">
        <x:v>33.75</x:v>
      </x:c>
      <x:c r="C598" s="28" t="n">
        <x:v>37.13</x:v>
      </x:c>
      <x:c r="D598" s="31" t="n">
        <x:f>IF(OR(ISBLANK(B598),ISBLANK(C598),B598=0),"",(C598-B598)/B598)</x:f>
        <x:v>0.10014814814814822</x:v>
      </x:c>
      <x:c r="E598" s="22" t="str">
        <x:f>IF(ISBLANK(C598),"AmountIncludingTax缺失",IF(ABS(B598-C598)&lt;0.005,"一致","不一致"))</x:f>
        <x:v>不一致</x:v>
      </x:c>
      <x:c r="F598" s="19" t="str">
        <x:v>approved</x:v>
      </x:c>
      <x:c r="G598" s="19" t="str">
        <x:v>Repairer Invoiced Processed</x:v>
      </x:c>
      <x:c r="H598" s="19" t="str">
        <x:v>Pre Delivery</x:v>
      </x:c>
      <x:c r="I598" s="37" t="n">
        <x:v>46188</x:v>
      </x:c>
      <x:c r="J598" s="37" t="n">
        <x:v>46188</x:v>
      </x:c>
      <x:c r="K598" s="19" t="str">
        <x:v>Snowy River Launceston</x:v>
      </x:c>
      <x:c r="L598" s="19" t="str">
        <x:v>Z005</x:v>
      </x:c>
      <x:c r="M598" s="19" t="str">
        <x:v>Pre Delivery Warranty Claims</x:v>
      </x:c>
      <x:c r="N598" s="37" t="n">
        <x:v>46184</x:v>
      </x:c>
      <x:c r="O598" s="37"/>
      <x:c r="P598" s="34" t="n">
        <x:v>37.13</x:v>
      </x:c>
      <x:c r="Q598" s="37" t="n">
        <x:v>46187.938125</x:v>
      </x:c>
    </x:row>
    <x:row r="599">
      <x:c r="A599" s="22" t="n">
        <x:v>36198</x:v>
      </x:c>
      <x:c r="B599" s="28" t="n">
        <x:v>135</x:v>
      </x:c>
      <x:c r="C599" s="28"/>
      <x:c r="D599" s="31" t="str">
        <x:f>IF(OR(ISBLANK(B599),ISBLANK(C599),B599=0),"",(C599-B599)/B599)</x:f>
      </x:c>
      <x:c r="E599" s="22" t="str">
        <x:f>IF(ISBLANK(C599),"AmountIncludingTax缺失",IF(ABS(B599-C599)&lt;0.005,"一致","不一致"))</x:f>
        <x:v>AmountIncludingTax缺失</x:v>
      </x:c>
      <x:c r="F599" s="19" t="str">
        <x:v>approved</x:v>
      </x:c>
      <x:c r="G599" s="19" t="str">
        <x:v>Repair in Progress</x:v>
      </x:c>
      <x:c r="H599" s="19" t="str">
        <x:v>In Field</x:v>
      </x:c>
      <x:c r="I599" s="37" t="n">
        <x:v>46185</x:v>
      </x:c>
      <x:c r="J599" s="37" t="n">
        <x:v>46185</x:v>
      </x:c>
      <x:c r="K599" s="19" t="str">
        <x:v>Regent RV - Toowoomba</x:v>
      </x:c>
      <x:c r="L599" s="19" t="str">
        <x:v>Z006</x:v>
      </x:c>
      <x:c r="M599" s="19" t="str">
        <x:v>In Field Warranty Claims</x:v>
      </x:c>
      <x:c r="N599" s="37" t="n">
        <x:v>46183</x:v>
      </x:c>
      <x:c r="O599" s="37"/>
      <x:c r="P599" s="34" t="n">
        <x:v>0</x:v>
      </x:c>
      <x:c r="Q599" s="37" t="n">
        <x:v>46185.27013888889</x:v>
      </x:c>
    </x:row>
    <x:row r="600">
      <x:c r="A600" s="22" t="n">
        <x:v>36197</x:v>
      </x:c>
      <x:c r="B600" s="28" t="n">
        <x:v>492.5</x:v>
      </x:c>
      <x:c r="C600" s="28"/>
      <x:c r="D600" s="31" t="str">
        <x:f>IF(OR(ISBLANK(B600),ISBLANK(C600),B600=0),"",(C600-B600)/B600)</x:f>
      </x:c>
      <x:c r="E600" s="22" t="str">
        <x:f>IF(ISBLANK(C600),"AmountIncludingTax缺失",IF(ABS(B600-C600)&lt;0.005,"一致","不一致"))</x:f>
        <x:v>AmountIncludingTax缺失</x:v>
      </x:c>
      <x:c r="F600" s="19" t="str">
        <x:v>approved</x:v>
      </x:c>
      <x:c r="G600" s="19" t="str">
        <x:v>Repair in Progress</x:v>
      </x:c>
      <x:c r="H600" s="19" t="str">
        <x:v>In Field</x:v>
      </x:c>
      <x:c r="I600" s="37" t="n">
        <x:v>46185</x:v>
      </x:c>
      <x:c r="J600" s="37" t="n">
        <x:v>46185</x:v>
      </x:c>
      <x:c r="K600" s="19" t="str">
        <x:v>Snowy River Launceston</x:v>
      </x:c>
      <x:c r="L600" s="19" t="str">
        <x:v>Z006</x:v>
      </x:c>
      <x:c r="M600" s="19" t="str">
        <x:v>In Field Warranty Claims</x:v>
      </x:c>
      <x:c r="N600" s="37" t="n">
        <x:v>46183</x:v>
      </x:c>
      <x:c r="O600" s="37"/>
      <x:c r="P600" s="34" t="n">
        <x:v>0</x:v>
      </x:c>
      <x:c r="Q600" s="37" t="n">
        <x:v>46185.0297337963</x:v>
      </x:c>
    </x:row>
    <x:row r="601">
      <x:c r="A601" s="22" t="n">
        <x:v>36194</x:v>
      </x:c>
      <x:c r="B601" s="28" t="n">
        <x:v>580</x:v>
      </x:c>
      <x:c r="C601" s="28"/>
      <x:c r="D601" s="31" t="str">
        <x:f>IF(OR(ISBLANK(B601),ISBLANK(C601),B601=0),"",(C601-B601)/B601)</x:f>
      </x:c>
      <x:c r="E601" s="22" t="str">
        <x:f>IF(ISBLANK(C601),"AmountIncludingTax缺失",IF(ABS(B601-C601)&lt;0.005,"一致","不一致"))</x:f>
        <x:v>AmountIncludingTax缺失</x:v>
      </x:c>
      <x:c r="F601" s="19" t="str">
        <x:v>approved</x:v>
      </x:c>
      <x:c r="G601" s="19" t="str">
        <x:v>Repair in Progress</x:v>
      </x:c>
      <x:c r="H601" s="19" t="str">
        <x:v>In Field</x:v>
      </x:c>
      <x:c r="I601" s="37" t="n">
        <x:v>46185</x:v>
      </x:c>
      <x:c r="J601" s="37" t="n">
        <x:v>46185</x:v>
      </x:c>
      <x:c r="K601" s="19" t="str">
        <x:v>Snowy River Launceston</x:v>
      </x:c>
      <x:c r="L601" s="19" t="str">
        <x:v>Z006</x:v>
      </x:c>
      <x:c r="M601" s="19" t="str">
        <x:v>In Field Warranty Claims</x:v>
      </x:c>
      <x:c r="N601" s="37" t="n">
        <x:v>46183</x:v>
      </x:c>
      <x:c r="O601" s="37"/>
      <x:c r="P601" s="34" t="n">
        <x:v>0</x:v>
      </x:c>
      <x:c r="Q601" s="37" t="n">
        <x:v>46185.03528935185</x:v>
      </x:c>
    </x:row>
    <x:row r="602">
      <x:c r="A602" s="22" t="n">
        <x:v>36193</x:v>
      </x:c>
      <x:c r="B602" s="28" t="n">
        <x:v>202.5</x:v>
      </x:c>
      <x:c r="C602" s="28"/>
      <x:c r="D602" s="31" t="str">
        <x:f>IF(OR(ISBLANK(B602),ISBLANK(C602),B602=0),"",(C602-B602)/B602)</x:f>
      </x:c>
      <x:c r="E602" s="22" t="str">
        <x:f>IF(ISBLANK(C602),"AmountIncludingTax缺失",IF(ABS(B602-C602)&lt;0.005,"一致","不一致"))</x:f>
        <x:v>AmountIncludingTax缺失</x:v>
      </x:c>
      <x:c r="F602" s="19" t="str">
        <x:v>approved</x:v>
      </x:c>
      <x:c r="G602" s="19" t="str">
        <x:v>Sales Order Approved</x:v>
      </x:c>
      <x:c r="H602" s="19" t="str">
        <x:v>Pre Delivery</x:v>
      </x:c>
      <x:c r="I602" s="37" t="n">
        <x:v>46191</x:v>
      </x:c>
      <x:c r="J602" s="37" t="n">
        <x:v>46191</x:v>
      </x:c>
      <x:c r="K602" s="19" t="str">
        <x:v>Regent RV Pty Ltd</x:v>
      </x:c>
      <x:c r="L602" s="19" t="str">
        <x:v>Z005</x:v>
      </x:c>
      <x:c r="M602" s="19" t="str">
        <x:v>Pre Delivery Warranty Claims</x:v>
      </x:c>
      <x:c r="N602" s="37" t="n">
        <x:v>46183</x:v>
      </x:c>
      <x:c r="O602" s="37"/>
      <x:c r="P602" s="34" t="n">
        <x:v>0</x:v>
      </x:c>
      <x:c r="Q602" s="37" t="n">
        <x:v>46191.20525462963</x:v>
      </x:c>
    </x:row>
    <x:row r="603">
      <x:c r="A603" s="22" t="n">
        <x:v>36192</x:v>
      </x:c>
      <x:c r="B603" s="28" t="n">
        <x:v>222.5</x:v>
      </x:c>
      <x:c r="C603" s="28"/>
      <x:c r="D603" s="31" t="str">
        <x:f>IF(OR(ISBLANK(B603),ISBLANK(C603),B603=0),"",(C603-B603)/B603)</x:f>
      </x:c>
      <x:c r="E603" s="22" t="str">
        <x:f>IF(ISBLANK(C603),"AmountIncludingTax缺失",IF(ABS(B603-C603)&lt;0.005,"一致","不一致"))</x:f>
        <x:v>AmountIncludingTax缺失</x:v>
      </x:c>
      <x:c r="F603" s="19" t="str">
        <x:v>approved</x:v>
      </x:c>
      <x:c r="G603" s="19" t="str">
        <x:v>Sales Order Approved</x:v>
      </x:c>
      <x:c r="H603" s="19" t="str">
        <x:v>In Field</x:v>
      </x:c>
      <x:c r="I603" s="37" t="n">
        <x:v>46184</x:v>
      </x:c>
      <x:c r="J603" s="37" t="n">
        <x:v>46184</x:v>
      </x:c>
      <x:c r="K603" s="19" t="str">
        <x:v>Snowy River Launceston</x:v>
      </x:c>
      <x:c r="L603" s="19" t="str">
        <x:v>Z006</x:v>
      </x:c>
      <x:c r="M603" s="19" t="str">
        <x:v>In Field Warranty Claims</x:v>
      </x:c>
      <x:c r="N603" s="37" t="n">
        <x:v>46183</x:v>
      </x:c>
      <x:c r="O603" s="37"/>
      <x:c r="P603" s="34" t="n">
        <x:v>0</x:v>
      </x:c>
      <x:c r="Q603" s="37" t="n">
        <x:v>46184.04369212963</x:v>
      </x:c>
    </x:row>
    <x:row r="604">
      <x:c r="A604" s="22" t="n">
        <x:v>36191</x:v>
      </x:c>
      <x:c r="B604" s="28" t="n">
        <x:v>140</x:v>
      </x:c>
      <x:c r="C604" s="28"/>
      <x:c r="D604" s="31" t="str">
        <x:f>IF(OR(ISBLANK(B604),ISBLANK(C604),B604=0),"",(C604-B604)/B604)</x:f>
      </x:c>
      <x:c r="E604" s="22" t="str">
        <x:f>IF(ISBLANK(C604),"AmountIncludingTax缺失",IF(ABS(B604-C604)&lt;0.005,"一致","不一致"))</x:f>
        <x:v>AmountIncludingTax缺失</x:v>
      </x:c>
      <x:c r="F604" s="19" t="str">
        <x:v>approved</x:v>
      </x:c>
      <x:c r="G604" s="19" t="str">
        <x:v>Repair in Progress</x:v>
      </x:c>
      <x:c r="H604" s="19" t="str">
        <x:v>In Field</x:v>
      </x:c>
      <x:c r="I604" s="37" t="n">
        <x:v>46185</x:v>
      </x:c>
      <x:c r="J604" s="37" t="n">
        <x:v>46185</x:v>
      </x:c>
      <x:c r="K604" s="19" t="str">
        <x:v>Regent RV - Toowoomba</x:v>
      </x:c>
      <x:c r="L604" s="19" t="str">
        <x:v>Z006</x:v>
      </x:c>
      <x:c r="M604" s="19" t="str">
        <x:v>In Field Warranty Claims</x:v>
      </x:c>
      <x:c r="N604" s="37" t="n">
        <x:v>46183</x:v>
      </x:c>
      <x:c r="O604" s="37"/>
      <x:c r="P604" s="34" t="n">
        <x:v>0</x:v>
      </x:c>
      <x:c r="Q604" s="37" t="n">
        <x:v>46185.26962962963</x:v>
      </x:c>
    </x:row>
    <x:row r="605">
      <x:c r="A605" s="22" t="n">
        <x:v>36180</x:v>
      </x:c>
      <x:c r="B605" s="28" t="n">
        <x:v>217.5</x:v>
      </x:c>
      <x:c r="C605" s="28"/>
      <x:c r="D605" s="31" t="str">
        <x:f>IF(OR(ISBLANK(B605),ISBLANK(C605),B605=0),"",(C605-B605)/B605)</x:f>
      </x:c>
      <x:c r="E605" s="22" t="str">
        <x:f>IF(ISBLANK(C605),"AmountIncludingTax缺失",IF(ABS(B605-C605)&lt;0.005,"一致","不一致"))</x:f>
        <x:v>AmountIncludingTax缺失</x:v>
      </x:c>
      <x:c r="F605" s="19" t="str">
        <x:v>approved</x:v>
      </x:c>
      <x:c r="G605" s="19" t="str">
        <x:v>Sales Order Approved</x:v>
      </x:c>
      <x:c r="H605" s="19" t="str">
        <x:v>Pre Delivery</x:v>
      </x:c>
      <x:c r="I605" s="37" t="n">
        <x:v>46196</x:v>
      </x:c>
      <x:c r="J605" s="37" t="n">
        <x:v>46196</x:v>
      </x:c>
      <x:c r="K605" s="19" t="str">
        <x:v>The Caravan Hub - Townsville</x:v>
      </x:c>
      <x:c r="L605" s="19" t="str">
        <x:v>Z005</x:v>
      </x:c>
      <x:c r="M605" s="19" t="str">
        <x:v>Pre Delivery Warranty Claims</x:v>
      </x:c>
      <x:c r="N605" s="37" t="n">
        <x:v>46183</x:v>
      </x:c>
      <x:c r="O605" s="37"/>
      <x:c r="P605" s="34" t="n">
        <x:v>0</x:v>
      </x:c>
      <x:c r="Q605" s="37" t="n">
        <x:v>46196.26756944445</x:v>
      </x:c>
    </x:row>
    <x:row r="606">
      <x:c r="A606" s="22" t="n">
        <x:v>36176</x:v>
      </x:c>
      <x:c r="B606" s="28" t="n">
        <x:v>87.5</x:v>
      </x:c>
      <x:c r="C606" s="28" t="n">
        <x:v>96.25</x:v>
      </x:c>
      <x:c r="D606" s="31" t="n">
        <x:f>IF(OR(ISBLANK(B606),ISBLANK(C606),B606=0),"",(C606-B606)/B606)</x:f>
        <x:v>0.1</x:v>
      </x:c>
      <x:c r="E606" s="22" t="str">
        <x:f>IF(ISBLANK(C606),"AmountIncludingTax缺失",IF(ABS(B606-C606)&lt;0.005,"一致","不一致"))</x:f>
        <x:v>不一致</x:v>
      </x:c>
      <x:c r="F606" s="19" t="str">
        <x:v>approved</x:v>
      </x:c>
      <x:c r="G606" s="19" t="str">
        <x:v>Repair in Progress</x:v>
      </x:c>
      <x:c r="H606" s="19" t="str">
        <x:v>Pre Delivery</x:v>
      </x:c>
      <x:c r="I606" s="37" t="n">
        <x:v>46184</x:v>
      </x:c>
      <x:c r="J606" s="37" t="n">
        <x:v>46184</x:v>
      </x:c>
      <x:c r="K606" s="19" t="str">
        <x:v>Regent RV - Frankston</x:v>
      </x:c>
      <x:c r="L606" s="19" t="str">
        <x:v>Z005</x:v>
      </x:c>
      <x:c r="M606" s="19" t="str">
        <x:v>Pre Delivery Warranty Claims</x:v>
      </x:c>
      <x:c r="N606" s="37" t="n">
        <x:v>46183</x:v>
      </x:c>
      <x:c r="O606" s="37"/>
      <x:c r="P606" s="34" t="n">
        <x:v>96.25</x:v>
      </x:c>
      <x:c r="Q606" s="37" t="n">
        <x:v>46184.25667824074</x:v>
      </x:c>
    </x:row>
    <x:row r="607">
      <x:c r="A607" s="22" t="n">
        <x:v>36175</x:v>
      </x:c>
      <x:c r="B607" s="28" t="n">
        <x:v>300</x:v>
      </x:c>
      <x:c r="C607" s="28"/>
      <x:c r="D607" s="31" t="str">
        <x:f>IF(OR(ISBLANK(B607),ISBLANK(C607),B607=0),"",(C607-B607)/B607)</x:f>
      </x:c>
      <x:c r="E607" s="22" t="str">
        <x:f>IF(ISBLANK(C607),"AmountIncludingTax缺失",IF(ABS(B607-C607)&lt;0.005,"一致","不一致"))</x:f>
        <x:v>AmountIncludingTax缺失</x:v>
      </x:c>
      <x:c r="F607" s="19" t="str">
        <x:v>approved</x:v>
      </x:c>
      <x:c r="G607" s="19" t="str">
        <x:v>Partially Picked</x:v>
      </x:c>
      <x:c r="H607" s="19" t="str">
        <x:v>In Field</x:v>
      </x:c>
      <x:c r="I607" s="37" t="n">
        <x:v>46184</x:v>
      </x:c>
      <x:c r="J607" s="37" t="n">
        <x:v>46184</x:v>
      </x:c>
      <x:c r="K607" s="19" t="str">
        <x:v>Regent RV - Perth</x:v>
      </x:c>
      <x:c r="L607" s="19" t="str">
        <x:v>Z006</x:v>
      </x:c>
      <x:c r="M607" s="19" t="str">
        <x:v>In Field Warranty Claims</x:v>
      </x:c>
      <x:c r="N607" s="37" t="n">
        <x:v>46183</x:v>
      </x:c>
      <x:c r="O607" s="37"/>
      <x:c r="P607" s="34" t="n">
        <x:v>0</x:v>
      </x:c>
      <x:c r="Q607" s="37" t="n">
        <x:v>46184.150034722225</x:v>
      </x:c>
    </x:row>
    <x:row r="608">
      <x:c r="A608" s="22" t="n">
        <x:v>36174</x:v>
      </x:c>
      <x:c r="B608" s="28" t="n">
        <x:v>985</x:v>
      </x:c>
      <x:c r="C608" s="28"/>
      <x:c r="D608" s="31" t="str">
        <x:f>IF(OR(ISBLANK(B608),ISBLANK(C608),B608=0),"",(C608-B608)/B608)</x:f>
      </x:c>
      <x:c r="E608" s="22" t="str">
        <x:f>IF(ISBLANK(C608),"AmountIncludingTax缺失",IF(ABS(B608-C608)&lt;0.005,"一致","不一致"))</x:f>
        <x:v>AmountIncludingTax缺失</x:v>
      </x:c>
      <x:c r="F608" s="19" t="str">
        <x:v>approved</x:v>
      </x:c>
      <x:c r="G608" s="19" t="str">
        <x:v>Repairer Invoiced Processed</x:v>
      </x:c>
      <x:c r="H608" s="19" t="str">
        <x:v>In Field</x:v>
      </x:c>
      <x:c r="I608" s="37" t="n">
        <x:v>46183</x:v>
      </x:c>
      <x:c r="J608" s="37" t="n">
        <x:v>46183</x:v>
      </x:c>
      <x:c r="K608" s="19" t="str">
        <x:v>Green RV - Slacks Creek</x:v>
      </x:c>
      <x:c r="L608" s="19" t="str">
        <x:v>Z006</x:v>
      </x:c>
      <x:c r="M608" s="19" t="str">
        <x:v>In Field Warranty Claims</x:v>
      </x:c>
      <x:c r="N608" s="37" t="n">
        <x:v>46183</x:v>
      </x:c>
      <x:c r="O608" s="37"/>
      <x:c r="P608" s="34" t="n">
        <x:v>0</x:v>
      </x:c>
      <x:c r="Q608" s="37" t="n">
        <x:v>46183.20337962963</x:v>
      </x:c>
    </x:row>
    <x:row r="609">
      <x:c r="A609" s="22" t="n">
        <x:v>36173</x:v>
      </x:c>
      <x:c r="B609" s="28" t="n">
        <x:v>202.5</x:v>
      </x:c>
      <x:c r="C609" s="28"/>
      <x:c r="D609" s="31" t="str">
        <x:f>IF(OR(ISBLANK(B609),ISBLANK(C609),B609=0),"",(C609-B609)/B609)</x:f>
      </x:c>
      <x:c r="E609" s="22" t="str">
        <x:f>IF(ISBLANK(C609),"AmountIncludingTax缺失",IF(ABS(B609-C609)&lt;0.005,"一致","不一致"))</x:f>
        <x:v>AmountIncludingTax缺失</x:v>
      </x:c>
      <x:c r="F609" s="19" t="str">
        <x:v>approved</x:v>
      </x:c>
      <x:c r="G609" s="19" t="str">
        <x:v>Repair in Progress</x:v>
      </x:c>
      <x:c r="H609" s="19" t="str">
        <x:v>In Field</x:v>
      </x:c>
      <x:c r="I609" s="37" t="n">
        <x:v>46185</x:v>
      </x:c>
      <x:c r="J609" s="37" t="n">
        <x:v>46185</x:v>
      </x:c>
      <x:c r="K609" s="19" t="str">
        <x:v>Green RV - Forest Glen</x:v>
      </x:c>
      <x:c r="L609" s="19" t="str">
        <x:v>Z006</x:v>
      </x:c>
      <x:c r="M609" s="19" t="str">
        <x:v>In Field Warranty Claims</x:v>
      </x:c>
      <x:c r="N609" s="37" t="n">
        <x:v>46183</x:v>
      </x:c>
      <x:c r="O609" s="37"/>
      <x:c r="P609" s="34" t="n">
        <x:v>0</x:v>
      </x:c>
      <x:c r="Q609" s="37" t="n">
        <x:v>46185.06638888889</x:v>
      </x:c>
    </x:row>
    <x:row r="610">
      <x:c r="A610" s="22" t="n">
        <x:v>36172</x:v>
      </x:c>
      <x:c r="B610" s="28" t="n">
        <x:v>675</x:v>
      </x:c>
      <x:c r="C610" s="28"/>
      <x:c r="D610" s="31" t="str">
        <x:f>IF(OR(ISBLANK(B610),ISBLANK(C610),B610=0),"",(C610-B610)/B610)</x:f>
      </x:c>
      <x:c r="E610" s="22" t="str">
        <x:f>IF(ISBLANK(C610),"AmountIncludingTax缺失",IF(ABS(B610-C610)&lt;0.005,"一致","不一致"))</x:f>
        <x:v>AmountIncludingTax缺失</x:v>
      </x:c>
      <x:c r="F610" s="19" t="str">
        <x:v>approved</x:v>
      </x:c>
      <x:c r="G610" s="19" t="str">
        <x:v>Partially Picked</x:v>
      </x:c>
      <x:c r="H610" s="19" t="str">
        <x:v>In Field</x:v>
      </x:c>
      <x:c r="I610" s="37" t="n">
        <x:v>46183</x:v>
      </x:c>
      <x:c r="J610" s="37" t="n">
        <x:v>46183</x:v>
      </x:c>
      <x:c r="K610" s="19" t="str">
        <x:v>Green RV - Slacks Creek</x:v>
      </x:c>
      <x:c r="L610" s="19" t="str">
        <x:v>Z006</x:v>
      </x:c>
      <x:c r="M610" s="19" t="str">
        <x:v>In Field Warranty Claims</x:v>
      </x:c>
      <x:c r="N610" s="37" t="n">
        <x:v>46183</x:v>
      </x:c>
      <x:c r="O610" s="37"/>
      <x:c r="P610" s="34" t="n">
        <x:v>0</x:v>
      </x:c>
      <x:c r="Q610" s="37" t="n">
        <x:v>46183.16159722222</x:v>
      </x:c>
    </x:row>
    <x:row r="611">
      <x:c r="A611" s="22" t="n">
        <x:v>36171</x:v>
      </x:c>
      <x:c r="B611" s="28" t="n">
        <x:v>67.5</x:v>
      </x:c>
      <x:c r="C611" s="28"/>
      <x:c r="D611" s="31" t="str">
        <x:f>IF(OR(ISBLANK(B611),ISBLANK(C611),B611=0),"",(C611-B611)/B611)</x:f>
      </x:c>
      <x:c r="E611" s="22" t="str">
        <x:f>IF(ISBLANK(C611),"AmountIncludingTax缺失",IF(ABS(B611-C611)&lt;0.005,"一致","不一致"))</x:f>
        <x:v>AmountIncludingTax缺失</x:v>
      </x:c>
      <x:c r="F611" s="19" t="str">
        <x:v>approved</x:v>
      </x:c>
      <x:c r="G611" s="19" t="str">
        <x:v>Sales Order Approved</x:v>
      </x:c>
      <x:c r="H611" s="19" t="str">
        <x:v>In Field</x:v>
      </x:c>
      <x:c r="I611" s="37" t="n">
        <x:v>46184</x:v>
      </x:c>
      <x:c r="J611" s="37" t="n">
        <x:v>46184</x:v>
      </x:c>
      <x:c r="K611" s="19" t="str">
        <x:v>Green RV - Slacks Creek</x:v>
      </x:c>
      <x:c r="L611" s="19" t="str">
        <x:v>Z006</x:v>
      </x:c>
      <x:c r="M611" s="19" t="str">
        <x:v>In Field Warranty Claims</x:v>
      </x:c>
      <x:c r="N611" s="37" t="n">
        <x:v>46183</x:v>
      </x:c>
      <x:c r="O611" s="37"/>
      <x:c r="P611" s="34" t="n">
        <x:v>0</x:v>
      </x:c>
      <x:c r="Q611" s="37" t="n">
        <x:v>46183.877233796295</x:v>
      </x:c>
    </x:row>
    <x:row r="612">
      <x:c r="A612" s="22" t="n">
        <x:v>36170</x:v>
      </x:c>
      <x:c r="B612" s="28" t="n">
        <x:v>1084.25</x:v>
      </x:c>
      <x:c r="C612" s="28" t="n">
        <x:v>981.68</x:v>
      </x:c>
      <x:c r="D612" s="31" t="n">
        <x:f>IF(OR(ISBLANK(B612),ISBLANK(C612),B612=0),"",(C612-B612)/B612)</x:f>
        <x:v>-0.09459995388517413</x:v>
      </x:c>
      <x:c r="E612" s="22" t="str">
        <x:f>IF(ISBLANK(C612),"AmountIncludingTax缺失",IF(ABS(B612-C612)&lt;0.005,"一致","不一致"))</x:f>
        <x:v>不一致</x:v>
      </x:c>
      <x:c r="F612" s="19" t="str">
        <x:v>approved</x:v>
      </x:c>
      <x:c r="G612" s="19" t="str">
        <x:v>Repairer Invoiced Processed</x:v>
      </x:c>
      <x:c r="H612" s="19" t="str">
        <x:v>In Field</x:v>
      </x:c>
      <x:c r="I612" s="37" t="n">
        <x:v>46186</x:v>
      </x:c>
      <x:c r="J612" s="37" t="n">
        <x:v>46186</x:v>
      </x:c>
      <x:c r="K612" s="19" t="str">
        <x:v>Vanari Caravans - Marden Point</x:v>
      </x:c>
      <x:c r="L612" s="19" t="str">
        <x:v>Z006</x:v>
      </x:c>
      <x:c r="M612" s="19" t="str">
        <x:v>In Field Warranty Claims</x:v>
      </x:c>
      <x:c r="N612" s="37" t="n">
        <x:v>46183</x:v>
      </x:c>
      <x:c r="O612" s="37"/>
      <x:c r="P612" s="34" t="n">
        <x:v>981.68</x:v>
      </x:c>
      <x:c r="Q612" s="37" t="n">
        <x:v>46185.97273148148</x:v>
      </x:c>
    </x:row>
    <x:row r="613">
      <x:c r="A613" s="22" t="n">
        <x:v>36168</x:v>
      </x:c>
      <x:c r="B613" s="28" t="n">
        <x:v>288</x:v>
      </x:c>
      <x:c r="C613" s="28" t="n">
        <x:v>316.8</x:v>
      </x:c>
      <x:c r="D613" s="31" t="n">
        <x:f>IF(OR(ISBLANK(B613),ISBLANK(C613),B613=0),"",(C613-B613)/B613)</x:f>
        <x:v>0.10000000000000003</x:v>
      </x:c>
      <x:c r="E613" s="22" t="str">
        <x:f>IF(ISBLANK(C613),"AmountIncludingTax缺失",IF(ABS(B613-C613)&lt;0.005,"一致","不一致"))</x:f>
        <x:v>不一致</x:v>
      </x:c>
      <x:c r="F613" s="19" t="str">
        <x:v>approved</x:v>
      </x:c>
      <x:c r="G613" s="19" t="str">
        <x:v>Repair in Progress</x:v>
      </x:c>
      <x:c r="H613" s="19" t="str">
        <x:v>In Field</x:v>
      </x:c>
      <x:c r="I613" s="37" t="n">
        <x:v>46198</x:v>
      </x:c>
      <x:c r="J613" s="37" t="n">
        <x:v>46198</x:v>
      </x:c>
      <x:c r="K613" s="19" t="str">
        <x:v>Green RV - Forest Glen</x:v>
      </x:c>
      <x:c r="L613" s="19" t="str">
        <x:v>Z006</x:v>
      </x:c>
      <x:c r="M613" s="19" t="str">
        <x:v>In Field Warranty Claims</x:v>
      </x:c>
      <x:c r="N613" s="37" t="n">
        <x:v>46183</x:v>
      </x:c>
      <x:c r="O613" s="37"/>
      <x:c r="P613" s="34" t="n">
        <x:v>316.8</x:v>
      </x:c>
      <x:c r="Q613" s="37" t="n">
        <x:v>46198.164976851855</x:v>
      </x:c>
    </x:row>
    <x:row r="614">
      <x:c r="A614" s="22" t="n">
        <x:v>36167</x:v>
      </x:c>
      <x:c r="B614" s="28" t="n">
        <x:v>717.75</x:v>
      </x:c>
      <x:c r="C614" s="28" t="n">
        <x:v>649.85</x:v>
      </x:c>
      <x:c r="D614" s="31" t="n">
        <x:f>IF(OR(ISBLANK(B614),ISBLANK(C614),B614=0),"",(C614-B614)/B614)</x:f>
        <x:v>-0.09460118425635664</x:v>
      </x:c>
      <x:c r="E614" s="22" t="str">
        <x:f>IF(ISBLANK(C614),"AmountIncludingTax缺失",IF(ABS(B614-C614)&lt;0.005,"一致","不一致"))</x:f>
        <x:v>不一致</x:v>
      </x:c>
      <x:c r="F614" s="19" t="str">
        <x:v>approved</x:v>
      </x:c>
      <x:c r="G614" s="19" t="str">
        <x:v>Repairer Invoiced Processed</x:v>
      </x:c>
      <x:c r="H614" s="19" t="str">
        <x:v>Pre Delivery</x:v>
      </x:c>
      <x:c r="I614" s="37" t="n">
        <x:v>46203</x:v>
      </x:c>
      <x:c r="J614" s="37" t="n">
        <x:v>46203</x:v>
      </x:c>
      <x:c r="K614" s="19" t="str">
        <x:v>Vanari Caravans - Marden Point</x:v>
      </x:c>
      <x:c r="L614" s="19" t="str">
        <x:v>Z005</x:v>
      </x:c>
      <x:c r="M614" s="19" t="str">
        <x:v>Pre Delivery Warranty Claims</x:v>
      </x:c>
      <x:c r="N614" s="37" t="n">
        <x:v>46183</x:v>
      </x:c>
      <x:c r="O614" s="37"/>
      <x:c r="P614" s="34" t="n">
        <x:v>649.85</x:v>
      </x:c>
      <x:c r="Q614" s="37" t="n">
        <x:v>46202.99505787037</x:v>
      </x:c>
    </x:row>
    <x:row r="615">
      <x:c r="A615" s="22" t="n">
        <x:v>36166</x:v>
      </x:c>
      <x:c r="B615" s="28" t="n">
        <x:v>181.25</x:v>
      </x:c>
      <x:c r="C615" s="28"/>
      <x:c r="D615" s="31" t="str">
        <x:f>IF(OR(ISBLANK(B615),ISBLANK(C615),B615=0),"",(C615-B615)/B615)</x:f>
      </x:c>
      <x:c r="E615" s="22" t="str">
        <x:f>IF(ISBLANK(C615),"AmountIncludingTax缺失",IF(ABS(B615-C615)&lt;0.005,"一致","不一致"))</x:f>
        <x:v>AmountIncludingTax缺失</x:v>
      </x:c>
      <x:c r="F615" s="19" t="str">
        <x:v>approved</x:v>
      </x:c>
      <x:c r="G615" s="19" t="str">
        <x:v>Sales Order Approved</x:v>
      </x:c>
      <x:c r="H615" s="19" t="str">
        <x:v>Pre Delivery</x:v>
      </x:c>
      <x:c r="I615" s="37" t="n">
        <x:v>46192</x:v>
      </x:c>
      <x:c r="J615" s="37" t="n">
        <x:v>46192</x:v>
      </x:c>
      <x:c r="K615" s="19" t="str">
        <x:v>The Caravan Hub - Townsville</x:v>
      </x:c>
      <x:c r="L615" s="19" t="str">
        <x:v>Z005</x:v>
      </x:c>
      <x:c r="M615" s="19" t="str">
        <x:v>Pre Delivery Warranty Claims</x:v>
      </x:c>
      <x:c r="N615" s="37" t="n">
        <x:v>46183</x:v>
      </x:c>
      <x:c r="O615" s="37"/>
      <x:c r="P615" s="34" t="n">
        <x:v>0</x:v>
      </x:c>
      <x:c r="Q615" s="37" t="n">
        <x:v>46192.16909722222</x:v>
      </x:c>
    </x:row>
    <x:row r="616">
      <x:c r="A616" s="22" t="n">
        <x:v>36165</x:v>
      </x:c>
      <x:c r="B616" s="28" t="n">
        <x:v>50.45</x:v>
      </x:c>
      <x:c r="C616" s="28"/>
      <x:c r="D616" s="31" t="str">
        <x:f>IF(OR(ISBLANK(B616),ISBLANK(C616),B616=0),"",(C616-B616)/B616)</x:f>
      </x:c>
      <x:c r="E616" s="22" t="str">
        <x:f>IF(ISBLANK(C616),"AmountIncludingTax缺失",IF(ABS(B616-C616)&lt;0.005,"一致","不一致"))</x:f>
        <x:v>AmountIncludingTax缺失</x:v>
      </x:c>
      <x:c r="F616" s="19" t="str">
        <x:v>approved</x:v>
      </x:c>
      <x:c r="G616" s="19" t="str">
        <x:v>Sales Order Approved</x:v>
      </x:c>
      <x:c r="H616" s="19" t="str">
        <x:v>In Field</x:v>
      </x:c>
      <x:c r="I616" s="37" t="n">
        <x:v>46190</x:v>
      </x:c>
      <x:c r="J616" s="37" t="n">
        <x:v>46190</x:v>
      </x:c>
      <x:c r="K616" s="19" t="str">
        <x:v>Regent RV - Toowoomba</x:v>
      </x:c>
      <x:c r="L616" s="19" t="str">
        <x:v>Z006</x:v>
      </x:c>
      <x:c r="M616" s="19" t="str">
        <x:v>In Field Warranty Claims</x:v>
      </x:c>
      <x:c r="N616" s="37" t="n">
        <x:v>46183</x:v>
      </x:c>
      <x:c r="O616" s="37"/>
      <x:c r="P616" s="34" t="n">
        <x:v>0</x:v>
      </x:c>
      <x:c r="Q616" s="37" t="n">
        <x:v>46190.08059027778</x:v>
      </x:c>
    </x:row>
    <x:row r="617">
      <x:c r="A617" s="22" t="n">
        <x:v>36164</x:v>
      </x:c>
      <x:c r="B617" s="28" t="n">
        <x:v>810</x:v>
      </x:c>
      <x:c r="C617" s="28"/>
      <x:c r="D617" s="31" t="str">
        <x:f>IF(OR(ISBLANK(B617),ISBLANK(C617),B617=0),"",(C617-B617)/B617)</x:f>
      </x:c>
      <x:c r="E617" s="22" t="str">
        <x:f>IF(ISBLANK(C617),"AmountIncludingTax缺失",IF(ABS(B617-C617)&lt;0.005,"一致","不一致"))</x:f>
        <x:v>AmountIncludingTax缺失</x:v>
      </x:c>
      <x:c r="F617" s="19" t="str">
        <x:v>approved</x:v>
      </x:c>
      <x:c r="G617" s="19" t="str">
        <x:v>Repair in Progress</x:v>
      </x:c>
      <x:c r="H617" s="19" t="str">
        <x:v>In Field</x:v>
      </x:c>
      <x:c r="I617" s="37" t="n">
        <x:v>46185</x:v>
      </x:c>
      <x:c r="J617" s="37" t="n">
        <x:v>46185</x:v>
      </x:c>
      <x:c r="K617" s="19" t="str">
        <x:v>Regent RV - Perth</x:v>
      </x:c>
      <x:c r="L617" s="19" t="str">
        <x:v>Z006</x:v>
      </x:c>
      <x:c r="M617" s="19" t="str">
        <x:v>In Field Warranty Claims</x:v>
      </x:c>
      <x:c r="N617" s="37" t="n">
        <x:v>46183</x:v>
      </x:c>
      <x:c r="O617" s="37"/>
      <x:c r="P617" s="34" t="n">
        <x:v>0</x:v>
      </x:c>
      <x:c r="Q617" s="37" t="n">
        <x:v>46185.028958333336</x:v>
      </x:c>
    </x:row>
    <x:row r="618">
      <x:c r="A618" s="22" t="n">
        <x:v>36163</x:v>
      </x:c>
      <x:c r="B618" s="28" t="n">
        <x:v>2085</x:v>
      </x:c>
      <x:c r="C618" s="28"/>
      <x:c r="D618" s="31" t="str">
        <x:f>IF(OR(ISBLANK(B618),ISBLANK(C618),B618=0),"",(C618-B618)/B618)</x:f>
      </x:c>
      <x:c r="E618" s="22" t="str">
        <x:f>IF(ISBLANK(C618),"AmountIncludingTax缺失",IF(ABS(B618-C618)&lt;0.005,"一致","不一致"))</x:f>
        <x:v>AmountIncludingTax缺失</x:v>
      </x:c>
      <x:c r="F618" s="19" t="str">
        <x:v>approved</x:v>
      </x:c>
      <x:c r="G618" s="19" t="str">
        <x:v>Partially Picked</x:v>
      </x:c>
      <x:c r="H618" s="19" t="str">
        <x:v>In Field</x:v>
      </x:c>
      <x:c r="I618" s="37" t="n">
        <x:v>46202</x:v>
      </x:c>
      <x:c r="J618" s="37" t="n">
        <x:v>46202</x:v>
      </x:c>
      <x:c r="K618" s="19" t="str">
        <x:v>Regent RV - Frankston</x:v>
      </x:c>
      <x:c r="L618" s="19" t="str">
        <x:v>Z006</x:v>
      </x:c>
      <x:c r="M618" s="19" t="str">
        <x:v>In Field Warranty Claims</x:v>
      </x:c>
      <x:c r="N618" s="37" t="n">
        <x:v>46183</x:v>
      </x:c>
      <x:c r="O618" s="37"/>
      <x:c r="P618" s="34" t="n">
        <x:v>0</x:v>
      </x:c>
      <x:c r="Q618" s="37" t="n">
        <x:v>46201.87496527778</x:v>
      </x:c>
    </x:row>
    <x:row r="619">
      <x:c r="A619" s="22" t="n">
        <x:v>36162</x:v>
      </x:c>
      <x:c r="B619" s="28" t="n">
        <x:v>222.5</x:v>
      </x:c>
      <x:c r="C619" s="28"/>
      <x:c r="D619" s="31" t="str">
        <x:f>IF(OR(ISBLANK(B619),ISBLANK(C619),B619=0),"",(C619-B619)/B619)</x:f>
      </x:c>
      <x:c r="E619" s="22" t="str">
        <x:f>IF(ISBLANK(C619),"AmountIncludingTax缺失",IF(ABS(B619-C619)&lt;0.005,"一致","不一致"))</x:f>
        <x:v>AmountIncludingTax缺失</x:v>
      </x:c>
      <x:c r="F619" s="19" t="str">
        <x:v>approved</x:v>
      </x:c>
      <x:c r="G619" s="19" t="str">
        <x:v>Partially Picked</x:v>
      </x:c>
      <x:c r="H619" s="19" t="str">
        <x:v>In Field</x:v>
      </x:c>
      <x:c r="I619" s="37" t="n">
        <x:v>46184</x:v>
      </x:c>
      <x:c r="J619" s="37" t="n">
        <x:v>46184</x:v>
      </x:c>
      <x:c r="K619" s="19" t="str">
        <x:v>Regent RV - Frankston</x:v>
      </x:c>
      <x:c r="L619" s="19" t="str">
        <x:v>Z006</x:v>
      </x:c>
      <x:c r="M619" s="19" t="str">
        <x:v>In Field Warranty Claims</x:v>
      </x:c>
      <x:c r="N619" s="37" t="n">
        <x:v>46182</x:v>
      </x:c>
      <x:c r="O619" s="37"/>
      <x:c r="P619" s="34" t="n">
        <x:v>0</x:v>
      </x:c>
      <x:c r="Q619" s="37" t="n">
        <x:v>46183.99787037037</x:v>
      </x:c>
    </x:row>
    <x:row r="620">
      <x:c r="A620" s="22" t="n">
        <x:v>36160</x:v>
      </x:c>
      <x:c r="B620" s="28" t="n">
        <x:v>145</x:v>
      </x:c>
      <x:c r="C620" s="28"/>
      <x:c r="D620" s="31" t="str">
        <x:f>IF(OR(ISBLANK(B620),ISBLANK(C620),B620=0),"",(C620-B620)/B620)</x:f>
      </x:c>
      <x:c r="E620" s="22" t="str">
        <x:f>IF(ISBLANK(C620),"AmountIncludingTax缺失",IF(ABS(B620-C620)&lt;0.005,"一致","不一致"))</x:f>
        <x:v>AmountIncludingTax缺失</x:v>
      </x:c>
      <x:c r="F620" s="19" t="str">
        <x:v>approved</x:v>
      </x:c>
      <x:c r="G620" s="19" t="str">
        <x:v>Repair in Progress</x:v>
      </x:c>
      <x:c r="H620" s="19" t="str">
        <x:v>In Field</x:v>
      </x:c>
      <x:c r="I620" s="37" t="n">
        <x:v>46185</x:v>
      </x:c>
      <x:c r="J620" s="37" t="n">
        <x:v>46184</x:v>
      </x:c>
      <x:c r="K620" s="19" t="str">
        <x:v>Regent RV - Perth</x:v>
      </x:c>
      <x:c r="L620" s="19" t="str">
        <x:v>Z006</x:v>
      </x:c>
      <x:c r="M620" s="19" t="str">
        <x:v>In Field Warranty Claims</x:v>
      </x:c>
      <x:c r="N620" s="37" t="n">
        <x:v>46183</x:v>
      </x:c>
      <x:c r="O620" s="37"/>
      <x:c r="P620" s="34" t="n">
        <x:v>0</x:v>
      </x:c>
      <x:c r="Q620" s="37" t="n">
        <x:v>46185.06891203704</x:v>
      </x:c>
    </x:row>
    <x:row r="621">
      <x:c r="A621" s="22" t="n">
        <x:v>36159</x:v>
      </x:c>
      <x:c r="B621" s="28" t="n">
        <x:v>834.9</x:v>
      </x:c>
      <x:c r="C621" s="28" t="n">
        <x:v>755.92</x:v>
      </x:c>
      <x:c r="D621" s="31" t="n">
        <x:f>IF(OR(ISBLANK(B621),ISBLANK(C621),B621=0),"",(C621-B621)/B621)</x:f>
        <x:v>-0.09459815546772071</x:v>
      </x:c>
      <x:c r="E621" s="22" t="str">
        <x:f>IF(ISBLANK(C621),"AmountIncludingTax缺失",IF(ABS(B621-C621)&lt;0.005,"一致","不一致"))</x:f>
        <x:v>不一致</x:v>
      </x:c>
      <x:c r="F621" s="19" t="str">
        <x:v>approved</x:v>
      </x:c>
      <x:c r="G621" s="19" t="str">
        <x:v>Repairer Invoiced Processed</x:v>
      </x:c>
      <x:c r="H621" s="19" t="str">
        <x:v>In Field</x:v>
      </x:c>
      <x:c r="I621" s="37" t="n">
        <x:v>46202</x:v>
      </x:c>
      <x:c r="J621" s="37" t="n">
        <x:v>46202</x:v>
      </x:c>
      <x:c r="K621" s="19" t="str">
        <x:v>Vanari Caravans - Marden Point</x:v>
      </x:c>
      <x:c r="L621" s="19" t="str">
        <x:v>Z006</x:v>
      </x:c>
      <x:c r="M621" s="19" t="str">
        <x:v>In Field Warranty Claims</x:v>
      </x:c>
      <x:c r="N621" s="37" t="n">
        <x:v>46183</x:v>
      </x:c>
      <x:c r="O621" s="37"/>
      <x:c r="P621" s="34" t="n">
        <x:v>755.92</x:v>
      </x:c>
      <x:c r="Q621" s="37" t="n">
        <x:v>46201.889814814815</x:v>
      </x:c>
    </x:row>
    <x:row r="622">
      <x:c r="A622" s="22" t="n">
        <x:v>36158</x:v>
      </x:c>
      <x:c r="B622" s="28" t="n">
        <x:v>405</x:v>
      </x:c>
      <x:c r="C622" s="28"/>
      <x:c r="D622" s="31" t="str">
        <x:f>IF(OR(ISBLANK(B622),ISBLANK(C622),B622=0),"",(C622-B622)/B622)</x:f>
      </x:c>
      <x:c r="E622" s="22" t="str">
        <x:f>IF(ISBLANK(C622),"AmountIncludingTax缺失",IF(ABS(B622-C622)&lt;0.005,"一致","不一致"))</x:f>
        <x:v>AmountIncludingTax缺失</x:v>
      </x:c>
      <x:c r="F622" s="19" t="str">
        <x:v>approved</x:v>
      </x:c>
      <x:c r="G622" s="19" t="str">
        <x:v>Repair in Progress</x:v>
      </x:c>
      <x:c r="H622" s="19" t="str">
        <x:v>In Field</x:v>
      </x:c>
      <x:c r="I622" s="37" t="n">
        <x:v>46184</x:v>
      </x:c>
      <x:c r="J622" s="37" t="n">
        <x:v>46184</x:v>
      </x:c>
      <x:c r="K622" s="19" t="str">
        <x:v>Regent RV - Frankston</x:v>
      </x:c>
      <x:c r="L622" s="19" t="str">
        <x:v>Z006</x:v>
      </x:c>
      <x:c r="M622" s="19" t="str">
        <x:v>In Field Warranty Claims</x:v>
      </x:c>
      <x:c r="N622" s="37" t="n">
        <x:v>46182</x:v>
      </x:c>
      <x:c r="O622" s="37"/>
      <x:c r="P622" s="34" t="n">
        <x:v>0</x:v>
      </x:c>
      <x:c r="Q622" s="37" t="n">
        <x:v>46184.03853009259</x:v>
      </x:c>
    </x:row>
    <x:row r="623">
      <x:c r="A623" s="22" t="n">
        <x:v>36157</x:v>
      </x:c>
      <x:c r="B623" s="28" t="n">
        <x:v>540</x:v>
      </x:c>
      <x:c r="C623" s="28"/>
      <x:c r="D623" s="31" t="str">
        <x:f>IF(OR(ISBLANK(B623),ISBLANK(C623),B623=0),"",(C623-B623)/B623)</x:f>
      </x:c>
      <x:c r="E623" s="22" t="str">
        <x:f>IF(ISBLANK(C623),"AmountIncludingTax缺失",IF(ABS(B623-C623)&lt;0.005,"一致","不一致"))</x:f>
        <x:v>AmountIncludingTax缺失</x:v>
      </x:c>
      <x:c r="F623" s="19" t="str">
        <x:v>approved</x:v>
      </x:c>
      <x:c r="G623" s="19" t="str">
        <x:v>Repair in Progress</x:v>
      </x:c>
      <x:c r="H623" s="19" t="str">
        <x:v>In Field</x:v>
      </x:c>
      <x:c r="I623" s="37" t="n">
        <x:v>46183</x:v>
      </x:c>
      <x:c r="J623" s="37" t="n">
        <x:v>46183</x:v>
      </x:c>
      <x:c r="K623" s="19" t="str">
        <x:v>Regent RV - Traralgon</x:v>
      </x:c>
      <x:c r="L623" s="19" t="str">
        <x:v>Z006</x:v>
      </x:c>
      <x:c r="M623" s="19" t="str">
        <x:v>In Field Warranty Claims</x:v>
      </x:c>
      <x:c r="N623" s="37" t="n">
        <x:v>46182</x:v>
      </x:c>
      <x:c r="O623" s="37"/>
      <x:c r="P623" s="34" t="n">
        <x:v>0</x:v>
      </x:c>
      <x:c r="Q623" s="37" t="n">
        <x:v>46183.20134259259</x:v>
      </x:c>
    </x:row>
    <x:row r="624">
      <x:c r="A624" s="22" t="n">
        <x:v>36156</x:v>
      </x:c>
      <x:c r="B624" s="28" t="n">
        <x:v>112.65</x:v>
      </x:c>
      <x:c r="C624" s="28" t="n">
        <x:v>101.99</x:v>
      </x:c>
      <x:c r="D624" s="31" t="n">
        <x:f>IF(OR(ISBLANK(B624),ISBLANK(C624),B624=0),"",(C624-B624)/B624)</x:f>
        <x:v>-0.09462938304482921</x:v>
      </x:c>
      <x:c r="E624" s="22" t="str">
        <x:f>IF(ISBLANK(C624),"AmountIncludingTax缺失",IF(ABS(B624-C624)&lt;0.005,"一致","不一致"))</x:f>
        <x:v>不一致</x:v>
      </x:c>
      <x:c r="F624" s="19" t="str">
        <x:v>approved</x:v>
      </x:c>
      <x:c r="G624" s="19" t="str">
        <x:v>Repair in Progress</x:v>
      </x:c>
      <x:c r="H624" s="19" t="str">
        <x:v>In Field</x:v>
      </x:c>
      <x:c r="I624" s="37" t="n">
        <x:v>46185</x:v>
      </x:c>
      <x:c r="J624" s="37" t="n">
        <x:v>46185</x:v>
      </x:c>
      <x:c r="K624" s="19" t="str">
        <x:v>Vanari Caravans - Marden Point</x:v>
      </x:c>
      <x:c r="L624" s="19" t="str">
        <x:v>Z006</x:v>
      </x:c>
      <x:c r="M624" s="19" t="str">
        <x:v>In Field Warranty Claims</x:v>
      </x:c>
      <x:c r="N624" s="37" t="n">
        <x:v>46182</x:v>
      </x:c>
      <x:c r="O624" s="37"/>
      <x:c r="P624" s="34" t="n">
        <x:v>101.99</x:v>
      </x:c>
      <x:c r="Q624" s="37" t="n">
        <x:v>46185.18512731481</x:v>
      </x:c>
    </x:row>
    <x:row r="625">
      <x:c r="A625" s="22" t="n">
        <x:v>36155</x:v>
      </x:c>
      <x:c r="B625" s="28" t="n">
        <x:v>2920</x:v>
      </x:c>
      <x:c r="C625" s="28"/>
      <x:c r="D625" s="31" t="str">
        <x:f>IF(OR(ISBLANK(B625),ISBLANK(C625),B625=0),"",(C625-B625)/B625)</x:f>
      </x:c>
      <x:c r="E625" s="22" t="str">
        <x:f>IF(ISBLANK(C625),"AmountIncludingTax缺失",IF(ABS(B625-C625)&lt;0.005,"一致","不一致"))</x:f>
        <x:v>AmountIncludingTax缺失</x:v>
      </x:c>
      <x:c r="F625" s="19" t="str">
        <x:v>approved</x:v>
      </x:c>
      <x:c r="G625" s="19" t="str">
        <x:v>Repair in Progress</x:v>
      </x:c>
      <x:c r="H625" s="19" t="str">
        <x:v>In Field</x:v>
      </x:c>
      <x:c r="I625" s="37" t="n">
        <x:v>46183</x:v>
      </x:c>
      <x:c r="J625" s="37" t="n">
        <x:v>46183</x:v>
      </x:c>
      <x:c r="K625" s="19" t="str">
        <x:v>Green RV - Forest Glen</x:v>
      </x:c>
      <x:c r="L625" s="19" t="str">
        <x:v>Z006</x:v>
      </x:c>
      <x:c r="M625" s="19" t="str">
        <x:v>In Field Warranty Claims</x:v>
      </x:c>
      <x:c r="N625" s="37" t="n">
        <x:v>46182</x:v>
      </x:c>
      <x:c r="O625" s="37"/>
      <x:c r="P625" s="34" t="n">
        <x:v>3212</x:v>
      </x:c>
      <x:c r="Q625" s="37" t="n">
        <x:v>46182.96696759259</x:v>
      </x:c>
    </x:row>
    <x:row r="626">
      <x:c r="A626" s="22" t="n">
        <x:v>36153</x:v>
      </x:c>
      <x:c r="B626" s="28" t="n">
        <x:v>145</x:v>
      </x:c>
      <x:c r="C626" s="28"/>
      <x:c r="D626" s="31" t="str">
        <x:f>IF(OR(ISBLANK(B626),ISBLANK(C626),B626=0),"",(C626-B626)/B626)</x:f>
      </x:c>
      <x:c r="E626" s="22" t="str">
        <x:f>IF(ISBLANK(C626),"AmountIncludingTax缺失",IF(ABS(B626-C626)&lt;0.005,"一致","不一致"))</x:f>
        <x:v>AmountIncludingTax缺失</x:v>
      </x:c>
      <x:c r="F626" s="19" t="str">
        <x:v>approved</x:v>
      </x:c>
      <x:c r="G626" s="19" t="str">
        <x:v>Repair in Progress</x:v>
      </x:c>
      <x:c r="H626" s="19" t="str">
        <x:v>In Field</x:v>
      </x:c>
      <x:c r="I626" s="37" t="n">
        <x:v>46185</x:v>
      </x:c>
      <x:c r="J626" s="37" t="n">
        <x:v>46184</x:v>
      </x:c>
      <x:c r="K626" s="19" t="str">
        <x:v>Destiny RV - South Australia</x:v>
      </x:c>
      <x:c r="L626" s="19" t="str">
        <x:v>Z006</x:v>
      </x:c>
      <x:c r="M626" s="19" t="str">
        <x:v>In Field Warranty Claims</x:v>
      </x:c>
      <x:c r="N626" s="37" t="n">
        <x:v>46182</x:v>
      </x:c>
      <x:c r="O626" s="37"/>
      <x:c r="P626" s="34" t="n">
        <x:v>0</x:v>
      </x:c>
      <x:c r="Q626" s="37" t="n">
        <x:v>46184.93252314815</x:v>
      </x:c>
    </x:row>
    <x:row r="627">
      <x:c r="A627" s="22" t="n">
        <x:v>36152</x:v>
      </x:c>
      <x:c r="B627" s="28" t="n">
        <x:v>135</x:v>
      </x:c>
      <x:c r="C627" s="28"/>
      <x:c r="D627" s="31" t="str">
        <x:f>IF(OR(ISBLANK(B627),ISBLANK(C627),B627=0),"",(C627-B627)/B627)</x:f>
      </x:c>
      <x:c r="E627" s="22" t="str">
        <x:f>IF(ISBLANK(C627),"AmountIncludingTax缺失",IF(ABS(B627-C627)&lt;0.005,"一致","不一致"))</x:f>
        <x:v>AmountIncludingTax缺失</x:v>
      </x:c>
      <x:c r="F627" s="19" t="str">
        <x:v>approved</x:v>
      </x:c>
      <x:c r="G627" s="19" t="str">
        <x:v>Repair in Progress</x:v>
      </x:c>
      <x:c r="H627" s="19" t="str">
        <x:v>In Field</x:v>
      </x:c>
      <x:c r="I627" s="37" t="n">
        <x:v>46184</x:v>
      </x:c>
      <x:c r="J627" s="37" t="n">
        <x:v>46184</x:v>
      </x:c>
      <x:c r="K627" s="19" t="str">
        <x:v>Regent RV - Frankston</x:v>
      </x:c>
      <x:c r="L627" s="19" t="str">
        <x:v>Z006</x:v>
      </x:c>
      <x:c r="M627" s="19" t="str">
        <x:v>In Field Warranty Claims</x:v>
      </x:c>
      <x:c r="N627" s="37" t="n">
        <x:v>46182</x:v>
      </x:c>
      <x:c r="O627" s="37"/>
      <x:c r="P627" s="34" t="n">
        <x:v>0</x:v>
      </x:c>
      <x:c r="Q627" s="37" t="n">
        <x:v>46183.88930555555</x:v>
      </x:c>
    </x:row>
    <x:row r="628">
      <x:c r="A628" s="22" t="n">
        <x:v>36151</x:v>
      </x:c>
      <x:c r="B628" s="28" t="n">
        <x:v>33.75</x:v>
      </x:c>
      <x:c r="C628" s="28"/>
      <x:c r="D628" s="31" t="str">
        <x:f>IF(OR(ISBLANK(B628),ISBLANK(C628),B628=0),"",(C628-B628)/B628)</x:f>
      </x:c>
      <x:c r="E628" s="22" t="str">
        <x:f>IF(ISBLANK(C628),"AmountIncludingTax缺失",IF(ABS(B628-C628)&lt;0.005,"一致","不一致"))</x:f>
        <x:v>AmountIncludingTax缺失</x:v>
      </x:c>
      <x:c r="F628" s="19" t="str">
        <x:v>approved</x:v>
      </x:c>
      <x:c r="G628" s="19" t="str">
        <x:v>Repair in Progress</x:v>
      </x:c>
      <x:c r="H628" s="19" t="str">
        <x:v>In Field</x:v>
      </x:c>
      <x:c r="I628" s="37" t="n">
        <x:v>46185</x:v>
      </x:c>
      <x:c r="J628" s="37" t="n">
        <x:v>46185</x:v>
      </x:c>
      <x:c r="K628" s="19" t="str">
        <x:v>Auswide Caravans - South Nowra</x:v>
      </x:c>
      <x:c r="L628" s="19" t="str">
        <x:v>Z006</x:v>
      </x:c>
      <x:c r="M628" s="19" t="str">
        <x:v>In Field Warranty Claims</x:v>
      </x:c>
      <x:c r="N628" s="37" t="n">
        <x:v>46182</x:v>
      </x:c>
      <x:c r="O628" s="37"/>
      <x:c r="P628" s="34" t="n">
        <x:v>0</x:v>
      </x:c>
      <x:c r="Q628" s="37" t="n">
        <x:v>46185.03755787037</x:v>
      </x:c>
    </x:row>
    <x:row r="629">
      <x:c r="A629" s="22" t="n">
        <x:v>36150</x:v>
      </x:c>
      <x:c r="B629" s="28" t="n">
        <x:v>39.11</x:v>
      </x:c>
      <x:c r="C629" s="28" t="n">
        <x:v>35.41</x:v>
      </x:c>
      <x:c r="D629" s="31" t="n">
        <x:f>IF(OR(ISBLANK(B629),ISBLANK(C629),B629=0),"",(C629-B629)/B629)</x:f>
        <x:v>-0.09460496036819235</x:v>
      </x:c>
      <x:c r="E629" s="22" t="str">
        <x:f>IF(ISBLANK(C629),"AmountIncludingTax缺失",IF(ABS(B629-C629)&lt;0.005,"一致","不一致"))</x:f>
        <x:v>不一致</x:v>
      </x:c>
      <x:c r="F629" s="19" t="str">
        <x:v>approved</x:v>
      </x:c>
      <x:c r="G629" s="19" t="str">
        <x:v>Repair in Progress</x:v>
      </x:c>
      <x:c r="H629" s="19" t="str">
        <x:v>In Field</x:v>
      </x:c>
      <x:c r="I629" s="37" t="n">
        <x:v>46184</x:v>
      </x:c>
      <x:c r="J629" s="37" t="n">
        <x:v>46184</x:v>
      </x:c>
      <x:c r="K629" s="19" t="str">
        <x:v>Vanari Caravans - Marden Point</x:v>
      </x:c>
      <x:c r="L629" s="19" t="str">
        <x:v>Z006</x:v>
      </x:c>
      <x:c r="M629" s="19" t="str">
        <x:v>In Field Warranty Claims</x:v>
      </x:c>
      <x:c r="N629" s="37" t="n">
        <x:v>46183</x:v>
      </x:c>
      <x:c r="O629" s="37"/>
      <x:c r="P629" s="34" t="n">
        <x:v>35.41</x:v>
      </x:c>
      <x:c r="Q629" s="37" t="n">
        <x:v>46183.9309375</x:v>
      </x:c>
    </x:row>
    <x:row r="630">
      <x:c r="A630" s="22" t="n">
        <x:v>36149</x:v>
      </x:c>
      <x:c r="B630" s="28" t="n">
        <x:v>56.31</x:v>
      </x:c>
      <x:c r="C630" s="28" t="n">
        <x:v>50.98</x:v>
      </x:c>
      <x:c r="D630" s="31" t="n">
        <x:f>IF(OR(ISBLANK(B630),ISBLANK(C630),B630=0),"",(C630-B630)/B630)</x:f>
        <x:v>-0.09465459065885287</x:v>
      </x:c>
      <x:c r="E630" s="22" t="str">
        <x:f>IF(ISBLANK(C630),"AmountIncludingTax缺失",IF(ABS(B630-C630)&lt;0.005,"一致","不一致"))</x:f>
        <x:v>不一致</x:v>
      </x:c>
      <x:c r="F630" s="19" t="str">
        <x:v>approved</x:v>
      </x:c>
      <x:c r="G630" s="19" t="str">
        <x:v>Repairer Invoiced Processed</x:v>
      </x:c>
      <x:c r="H630" s="19" t="str">
        <x:v>In Field</x:v>
      </x:c>
      <x:c r="I630" s="37" t="n">
        <x:v>46184</x:v>
      </x:c>
      <x:c r="J630" s="37" t="n">
        <x:v>46184</x:v>
      </x:c>
      <x:c r="K630" s="19" t="str">
        <x:v>Vanari Caravans - Marden Point</x:v>
      </x:c>
      <x:c r="L630" s="19" t="str">
        <x:v>Z006</x:v>
      </x:c>
      <x:c r="M630" s="19" t="str">
        <x:v>In Field Warranty Claims</x:v>
      </x:c>
      <x:c r="N630" s="37" t="n">
        <x:v>46183</x:v>
      </x:c>
      <x:c r="O630" s="37"/>
      <x:c r="P630" s="34" t="n">
        <x:v>50.98</x:v>
      </x:c>
      <x:c r="Q630" s="37" t="n">
        <x:v>46183.92854166667</x:v>
      </x:c>
    </x:row>
    <x:row r="631">
      <x:c r="A631" s="22" t="n">
        <x:v>36137</x:v>
      </x:c>
      <x:c r="B631" s="28" t="n">
        <x:v>145</x:v>
      </x:c>
      <x:c r="C631" s="28"/>
      <x:c r="D631" s="31" t="str">
        <x:f>IF(OR(ISBLANK(B631),ISBLANK(C631),B631=0),"",(C631-B631)/B631)</x:f>
      </x:c>
      <x:c r="E631" s="22" t="str">
        <x:f>IF(ISBLANK(C631),"AmountIncludingTax缺失",IF(ABS(B631-C631)&lt;0.005,"一致","不一致"))</x:f>
        <x:v>AmountIncludingTax缺失</x:v>
      </x:c>
      <x:c r="F631" s="19" t="str">
        <x:v>approved</x:v>
      </x:c>
      <x:c r="G631" s="19" t="str">
        <x:v>Sales Order Approved</x:v>
      </x:c>
      <x:c r="H631" s="19" t="str">
        <x:v>Pre Delivery</x:v>
      </x:c>
      <x:c r="I631" s="37" t="n">
        <x:v>46183</x:v>
      </x:c>
      <x:c r="J631" s="37" t="n">
        <x:v>46183</x:v>
      </x:c>
      <x:c r="K631" s="19" t="str">
        <x:v>The Caravan Hub - Townsville</x:v>
      </x:c>
      <x:c r="L631" s="19" t="str">
        <x:v>Z005</x:v>
      </x:c>
      <x:c r="M631" s="19" t="str">
        <x:v>Pre Delivery Warranty Claims</x:v>
      </x:c>
      <x:c r="N631" s="37" t="n">
        <x:v>46183</x:v>
      </x:c>
      <x:c r="O631" s="37"/>
      <x:c r="P631" s="34" t="n">
        <x:v>0</x:v>
      </x:c>
      <x:c r="Q631" s="37" t="n">
        <x:v>46183.20556712963</x:v>
      </x:c>
    </x:row>
    <x:row r="632">
      <x:c r="A632" s="22" t="n">
        <x:v>36128</x:v>
      </x:c>
      <x:c r="B632" s="28" t="n">
        <x:v>67.5</x:v>
      </x:c>
      <x:c r="C632" s="28"/>
      <x:c r="D632" s="31" t="str">
        <x:f>IF(OR(ISBLANK(B632),ISBLANK(C632),B632=0),"",(C632-B632)/B632)</x:f>
      </x:c>
      <x:c r="E632" s="22" t="str">
        <x:f>IF(ISBLANK(C632),"AmountIncludingTax缺失",IF(ABS(B632-C632)&lt;0.005,"一致","不一致"))</x:f>
        <x:v>AmountIncludingTax缺失</x:v>
      </x:c>
      <x:c r="F632" s="19" t="str">
        <x:v>approved</x:v>
      </x:c>
      <x:c r="G632" s="19" t="str">
        <x:v>Sales Order Approved</x:v>
      </x:c>
      <x:c r="H632" s="19" t="str">
        <x:v>In Field</x:v>
      </x:c>
      <x:c r="I632" s="37" t="n">
        <x:v>46182</x:v>
      </x:c>
      <x:c r="J632" s="37" t="n">
        <x:v>46182</x:v>
      </x:c>
      <x:c r="K632" s="19" t="str">
        <x:v>Regent RV - Perth</x:v>
      </x:c>
      <x:c r="L632" s="19" t="str">
        <x:v>Z006</x:v>
      </x:c>
      <x:c r="M632" s="19" t="str">
        <x:v>In Field Warranty Claims</x:v>
      </x:c>
      <x:c r="N632" s="37" t="n">
        <x:v>46182</x:v>
      </x:c>
      <x:c r="O632" s="37"/>
      <x:c r="P632" s="34" t="n">
        <x:v>0</x:v>
      </x:c>
      <x:c r="Q632" s="37" t="n">
        <x:v>46182.19509259259</x:v>
      </x:c>
    </x:row>
    <x:row r="633">
      <x:c r="A633" s="22" t="n">
        <x:v>36121</x:v>
      </x:c>
      <x:c r="B633" s="28" t="n">
        <x:v>1227.27</x:v>
      </x:c>
      <x:c r="C633" s="28"/>
      <x:c r="D633" s="31" t="str">
        <x:f>IF(OR(ISBLANK(B633),ISBLANK(C633),B633=0),"",(C633-B633)/B633)</x:f>
      </x:c>
      <x:c r="E633" s="22" t="str">
        <x:f>IF(ISBLANK(C633),"AmountIncludingTax缺失",IF(ABS(B633-C633)&lt;0.005,"一致","不一致"))</x:f>
        <x:v>AmountIncludingTax缺失</x:v>
      </x:c>
      <x:c r="F633" s="19" t="str">
        <x:v>approved</x:v>
      </x:c>
      <x:c r="G633" s="19" t="str">
        <x:v>Repair in Progress</x:v>
      </x:c>
      <x:c r="H633" s="19" t="str">
        <x:v>In Field</x:v>
      </x:c>
      <x:c r="I633" s="37" t="n">
        <x:v>46182</x:v>
      </x:c>
      <x:c r="J633" s="37" t="n">
        <x:v>46182</x:v>
      </x:c>
      <x:c r="K633" s="19" t="str">
        <x:v>Green RV - Forest Glen</x:v>
      </x:c>
      <x:c r="L633" s="19" t="str">
        <x:v>Z006</x:v>
      </x:c>
      <x:c r="M633" s="19" t="str">
        <x:v>In Field Warranty Claims</x:v>
      </x:c>
      <x:c r="N633" s="37" t="n">
        <x:v>46182</x:v>
      </x:c>
      <x:c r="O633" s="37"/>
      <x:c r="P633" s="34" t="n">
        <x:v>1350</x:v>
      </x:c>
      <x:c r="Q633" s="37" t="n">
        <x:v>46182.13185185185</x:v>
      </x:c>
    </x:row>
    <x:row r="634">
      <x:c r="A634" s="22" t="n">
        <x:v>36120</x:v>
      </x:c>
      <x:c r="B634" s="28" t="n">
        <x:v>917.5</x:v>
      </x:c>
      <x:c r="C634" s="28"/>
      <x:c r="D634" s="31" t="str">
        <x:f>IF(OR(ISBLANK(B634),ISBLANK(C634),B634=0),"",(C634-B634)/B634)</x:f>
      </x:c>
      <x:c r="E634" s="22" t="str">
        <x:f>IF(ISBLANK(C634),"AmountIncludingTax缺失",IF(ABS(B634-C634)&lt;0.005,"一致","不一致"))</x:f>
        <x:v>AmountIncludingTax缺失</x:v>
      </x:c>
      <x:c r="F634" s="19" t="str">
        <x:v>approved</x:v>
      </x:c>
      <x:c r="G634" s="19" t="str">
        <x:v>Repair in Progress</x:v>
      </x:c>
      <x:c r="H634" s="19" t="str">
        <x:v>In Field</x:v>
      </x:c>
      <x:c r="I634" s="37" t="n">
        <x:v>46184</x:v>
      </x:c>
      <x:c r="J634" s="37" t="n">
        <x:v>46184</x:v>
      </x:c>
      <x:c r="K634" s="19" t="str">
        <x:v>Regent RV - Frankston</x:v>
      </x:c>
      <x:c r="L634" s="19" t="str">
        <x:v>Z006</x:v>
      </x:c>
      <x:c r="M634" s="19" t="str">
        <x:v>In Field Warranty Claims</x:v>
      </x:c>
      <x:c r="N634" s="37" t="n">
        <x:v>46182</x:v>
      </x:c>
      <x:c r="O634" s="37"/>
      <x:c r="P634" s="34" t="n">
        <x:v>0</x:v>
      </x:c>
      <x:c r="Q634" s="37" t="n">
        <x:v>46184.0671875</x:v>
      </x:c>
    </x:row>
    <x:row r="635">
      <x:c r="A635" s="22" t="n">
        <x:v>36119</x:v>
      </x:c>
      <x:c r="B635" s="28" t="n">
        <x:v>357.5</x:v>
      </x:c>
      <x:c r="C635" s="28"/>
      <x:c r="D635" s="31" t="str">
        <x:f>IF(OR(ISBLANK(B635),ISBLANK(C635),B635=0),"",(C635-B635)/B635)</x:f>
      </x:c>
      <x:c r="E635" s="22" t="str">
        <x:f>IF(ISBLANK(C635),"AmountIncludingTax缺失",IF(ABS(B635-C635)&lt;0.005,"一致","不一致"))</x:f>
        <x:v>AmountIncludingTax缺失</x:v>
      </x:c>
      <x:c r="F635" s="19" t="str">
        <x:v>approved</x:v>
      </x:c>
      <x:c r="G635" s="19" t="str">
        <x:v>Repair in Progress</x:v>
      </x:c>
      <x:c r="H635" s="19" t="str">
        <x:v>In Field</x:v>
      </x:c>
      <x:c r="I635" s="37" t="n">
        <x:v>46184</x:v>
      </x:c>
      <x:c r="J635" s="37" t="n">
        <x:v>46184</x:v>
      </x:c>
      <x:c r="K635" s="19" t="str">
        <x:v>Snowy River Wangaratta</x:v>
      </x:c>
      <x:c r="L635" s="19" t="str">
        <x:v>Z006</x:v>
      </x:c>
      <x:c r="M635" s="19" t="str">
        <x:v>In Field Warranty Claims</x:v>
      </x:c>
      <x:c r="N635" s="37" t="n">
        <x:v>46182</x:v>
      </x:c>
      <x:c r="O635" s="37"/>
      <x:c r="P635" s="34" t="n">
        <x:v>0</x:v>
      </x:c>
      <x:c r="Q635" s="37" t="n">
        <x:v>46183.89802083333</x:v>
      </x:c>
    </x:row>
    <x:row r="636">
      <x:c r="A636" s="22" t="n">
        <x:v>36117</x:v>
      </x:c>
      <x:c r="B636" s="28" t="n">
        <x:v>135</x:v>
      </x:c>
      <x:c r="C636" s="28"/>
      <x:c r="D636" s="31" t="str">
        <x:f>IF(OR(ISBLANK(B636),ISBLANK(C636),B636=0),"",(C636-B636)/B636)</x:f>
      </x:c>
      <x:c r="E636" s="22" t="str">
        <x:f>IF(ISBLANK(C636),"AmountIncludingTax缺失",IF(ABS(B636-C636)&lt;0.005,"一致","不一致"))</x:f>
        <x:v>AmountIncludingTax缺失</x:v>
      </x:c>
      <x:c r="F636" s="19" t="str">
        <x:v>approved</x:v>
      </x:c>
      <x:c r="G636" s="19" t="str">
        <x:v>Sales Order Approved</x:v>
      </x:c>
      <x:c r="H636" s="19" t="str">
        <x:v>Pre Delivery</x:v>
      </x:c>
      <x:c r="I636" s="37" t="n">
        <x:v>46199</x:v>
      </x:c>
      <x:c r="J636" s="37" t="n">
        <x:v>46199</x:v>
      </x:c>
      <x:c r="K636" s="19" t="str">
        <x:v>Destiny RV - South Australia</x:v>
      </x:c>
      <x:c r="L636" s="19" t="str">
        <x:v>Z005</x:v>
      </x:c>
      <x:c r="M636" s="19" t="str">
        <x:v>Pre Delivery Warranty Claims</x:v>
      </x:c>
      <x:c r="N636" s="37" t="n">
        <x:v>46182</x:v>
      </x:c>
      <x:c r="O636" s="37"/>
      <x:c r="P636" s="34" t="n">
        <x:v>0</x:v>
      </x:c>
      <x:c r="Q636" s="37" t="n">
        <x:v>46199.07674768518</x:v>
      </x:c>
    </x:row>
    <x:row r="637">
      <x:c r="A637" s="22" t="n">
        <x:v>36113</x:v>
      </x:c>
      <x:c r="B637" s="28" t="n">
        <x:v>135</x:v>
      </x:c>
      <x:c r="C637" s="28"/>
      <x:c r="D637" s="31" t="str">
        <x:f>IF(OR(ISBLANK(B637),ISBLANK(C637),B637=0),"",(C637-B637)/B637)</x:f>
      </x:c>
      <x:c r="E637" s="22" t="str">
        <x:f>IF(ISBLANK(C637),"AmountIncludingTax缺失",IF(ABS(B637-C637)&lt;0.005,"一致","不一致"))</x:f>
        <x:v>AmountIncludingTax缺失</x:v>
      </x:c>
      <x:c r="F637" s="19" t="str">
        <x:v>approved</x:v>
      </x:c>
      <x:c r="G637" s="19" t="str">
        <x:v>Repair in Progress</x:v>
      </x:c>
      <x:c r="H637" s="19" t="str">
        <x:v>In Field</x:v>
      </x:c>
      <x:c r="I637" s="37" t="n">
        <x:v>46184</x:v>
      </x:c>
      <x:c r="J637" s="37" t="n">
        <x:v>46184</x:v>
      </x:c>
      <x:c r="K637" s="19" t="str">
        <x:v>Dario Caravans -St.Marys</x:v>
      </x:c>
      <x:c r="L637" s="19" t="str">
        <x:v>Z006</x:v>
      </x:c>
      <x:c r="M637" s="19" t="str">
        <x:v>In Field Warranty Claims</x:v>
      </x:c>
      <x:c r="N637" s="37" t="n">
        <x:v>46182</x:v>
      </x:c>
      <x:c r="O637" s="37"/>
      <x:c r="P637" s="34" t="n">
        <x:v>0</x:v>
      </x:c>
      <x:c r="Q637" s="37" t="n">
        <x:v>46184.16027777778</x:v>
      </x:c>
    </x:row>
    <x:row r="638">
      <x:c r="A638" s="22" t="n">
        <x:v>36111</x:v>
      </x:c>
      <x:c r="B638" s="28" t="n">
        <x:v>606.25</x:v>
      </x:c>
      <x:c r="C638" s="28"/>
      <x:c r="D638" s="31" t="str">
        <x:f>IF(OR(ISBLANK(B638),ISBLANK(C638),B638=0),"",(C638-B638)/B638)</x:f>
      </x:c>
      <x:c r="E638" s="22" t="str">
        <x:f>IF(ISBLANK(C638),"AmountIncludingTax缺失",IF(ABS(B638-C638)&lt;0.005,"一致","不一致"))</x:f>
        <x:v>AmountIncludingTax缺失</x:v>
      </x:c>
      <x:c r="F638" s="19" t="str">
        <x:v>approved</x:v>
      </x:c>
      <x:c r="G638" s="19" t="str">
        <x:v>Partially Picked</x:v>
      </x:c>
      <x:c r="H638" s="19" t="str">
        <x:v>In Field</x:v>
      </x:c>
      <x:c r="I638" s="37" t="n">
        <x:v>46182</x:v>
      </x:c>
      <x:c r="J638" s="37" t="n">
        <x:v>46182</x:v>
      </x:c>
      <x:c r="K638" s="19" t="str">
        <x:v>Regent RV - Perth</x:v>
      </x:c>
      <x:c r="L638" s="19" t="str">
        <x:v>Z006</x:v>
      </x:c>
      <x:c r="M638" s="19" t="str">
        <x:v>In Field Warranty Claims</x:v>
      </x:c>
      <x:c r="N638" s="37" t="n">
        <x:v>46182</x:v>
      </x:c>
      <x:c r="O638" s="37"/>
      <x:c r="P638" s="34" t="n">
        <x:v>0</x:v>
      </x:c>
      <x:c r="Q638" s="37" t="n">
        <x:v>46182.16872685185</x:v>
      </x:c>
    </x:row>
    <x:row r="639">
      <x:c r="A639" s="22" t="n">
        <x:v>36110</x:v>
      </x:c>
      <x:c r="B639" s="28" t="n">
        <x:v>323.75</x:v>
      </x:c>
      <x:c r="C639" s="28"/>
      <x:c r="D639" s="31" t="str">
        <x:f>IF(OR(ISBLANK(B639),ISBLANK(C639),B639=0),"",(C639-B639)/B639)</x:f>
      </x:c>
      <x:c r="E639" s="22" t="str">
        <x:f>IF(ISBLANK(C639),"AmountIncludingTax缺失",IF(ABS(B639-C639)&lt;0.005,"一致","不一致"))</x:f>
        <x:v>AmountIncludingTax缺失</x:v>
      </x:c>
      <x:c r="F639" s="19" t="str">
        <x:v>approved</x:v>
      </x:c>
      <x:c r="G639" s="19" t="str">
        <x:v>Repair in Progress</x:v>
      </x:c>
      <x:c r="H639" s="19" t="str">
        <x:v>In Field</x:v>
      </x:c>
      <x:c r="I639" s="37" t="n">
        <x:v>46196</x:v>
      </x:c>
      <x:c r="J639" s="37" t="n">
        <x:v>46196</x:v>
      </x:c>
      <x:c r="K639" s="19" t="str">
        <x:v>Lesiure Lion-New Castle</x:v>
      </x:c>
      <x:c r="L639" s="19" t="str">
        <x:v>Z006</x:v>
      </x:c>
      <x:c r="M639" s="19" t="str">
        <x:v>In Field Warranty Claims</x:v>
      </x:c>
      <x:c r="N639" s="37" t="n">
        <x:v>46182</x:v>
      </x:c>
      <x:c r="O639" s="37"/>
      <x:c r="P639" s="34" t="n">
        <x:v>0</x:v>
      </x:c>
      <x:c r="Q639" s="37" t="n">
        <x:v>46196.26732638889</x:v>
      </x:c>
    </x:row>
    <x:row r="640">
      <x:c r="A640" s="22" t="n">
        <x:v>36109</x:v>
      </x:c>
      <x:c r="B640" s="28" t="n">
        <x:v>101.25</x:v>
      </x:c>
      <x:c r="C640" s="28"/>
      <x:c r="D640" s="31" t="str">
        <x:f>IF(OR(ISBLANK(B640),ISBLANK(C640),B640=0),"",(C640-B640)/B640)</x:f>
      </x:c>
      <x:c r="E640" s="22" t="str">
        <x:f>IF(ISBLANK(C640),"AmountIncludingTax缺失",IF(ABS(B640-C640)&lt;0.005,"一致","不一致"))</x:f>
        <x:v>AmountIncludingTax缺失</x:v>
      </x:c>
      <x:c r="F640" s="19" t="str">
        <x:v>approved</x:v>
      </x:c>
      <x:c r="G640" s="19" t="str">
        <x:v>Sales Order Approved</x:v>
      </x:c>
      <x:c r="H640" s="19" t="str">
        <x:v>In Field</x:v>
      </x:c>
      <x:c r="I640" s="37" t="n">
        <x:v>46184</x:v>
      </x:c>
      <x:c r="J640" s="37" t="n">
        <x:v>46184</x:v>
      </x:c>
      <x:c r="K640" s="19" t="str">
        <x:v>Lesiure Lion-New Castle</x:v>
      </x:c>
      <x:c r="L640" s="19" t="str">
        <x:v>Z006</x:v>
      </x:c>
      <x:c r="M640" s="19" t="str">
        <x:v>In Field Warranty Claims</x:v>
      </x:c>
      <x:c r="N640" s="37" t="n">
        <x:v>46182</x:v>
      </x:c>
      <x:c r="O640" s="37"/>
      <x:c r="P640" s="34" t="n">
        <x:v>0</x:v>
      </x:c>
      <x:c r="Q640" s="37" t="n">
        <x:v>46183.95815972222</x:v>
      </x:c>
    </x:row>
    <x:row r="641">
      <x:c r="A641" s="22" t="n">
        <x:v>36107</x:v>
      </x:c>
      <x:c r="B641" s="28" t="n">
        <x:v>2773.25</x:v>
      </x:c>
      <x:c r="C641" s="28"/>
      <x:c r="D641" s="31" t="str">
        <x:f>IF(OR(ISBLANK(B641),ISBLANK(C641),B641=0),"",(C641-B641)/B641)</x:f>
      </x:c>
      <x:c r="E641" s="22" t="str">
        <x:f>IF(ISBLANK(C641),"AmountIncludingTax缺失",IF(ABS(B641-C641)&lt;0.005,"一致","不一致"))</x:f>
        <x:v>AmountIncludingTax缺失</x:v>
      </x:c>
      <x:c r="F641" s="19" t="str">
        <x:v>approved</x:v>
      </x:c>
      <x:c r="G641" s="19" t="str">
        <x:v>Repair in Progress</x:v>
      </x:c>
      <x:c r="H641" s="19" t="str">
        <x:v>In Field</x:v>
      </x:c>
      <x:c r="I641" s="37" t="n">
        <x:v>46190</x:v>
      </x:c>
      <x:c r="J641" s="37" t="n">
        <x:v>46190</x:v>
      </x:c>
      <x:c r="K641" s="19" t="str">
        <x:v>Regent RV - Perth</x:v>
      </x:c>
      <x:c r="L641" s="19" t="str">
        <x:v>Z006</x:v>
      </x:c>
      <x:c r="M641" s="19" t="str">
        <x:v>In Field Warranty Claims</x:v>
      </x:c>
      <x:c r="N641" s="37" t="n">
        <x:v>46182</x:v>
      </x:c>
      <x:c r="O641" s="37"/>
      <x:c r="P641" s="34" t="n">
        <x:v>0</x:v>
      </x:c>
      <x:c r="Q641" s="37" t="n">
        <x:v>46190.21319444444</x:v>
      </x:c>
    </x:row>
    <x:row r="642">
      <x:c r="A642" s="22" t="n">
        <x:v>36104</x:v>
      </x:c>
      <x:c r="B642" s="28" t="n">
        <x:v>135</x:v>
      </x:c>
      <x:c r="C642" s="28"/>
      <x:c r="D642" s="31" t="str">
        <x:f>IF(OR(ISBLANK(B642),ISBLANK(C642),B642=0),"",(C642-B642)/B642)</x:f>
      </x:c>
      <x:c r="E642" s="22" t="str">
        <x:f>IF(ISBLANK(C642),"AmountIncludingTax缺失",IF(ABS(B642-C642)&lt;0.005,"一致","不一致"))</x:f>
        <x:v>AmountIncludingTax缺失</x:v>
      </x:c>
      <x:c r="F642" s="19" t="str">
        <x:v>approved</x:v>
      </x:c>
      <x:c r="G642" s="19" t="str">
        <x:v>Repair in Progress</x:v>
      </x:c>
      <x:c r="H642" s="19" t="str">
        <x:v>In Field</x:v>
      </x:c>
      <x:c r="I642" s="37" t="n">
        <x:v>46186</x:v>
      </x:c>
      <x:c r="J642" s="37" t="n">
        <x:v>46186</x:v>
      </x:c>
      <x:c r="K642" s="19" t="str">
        <x:v>Lesiure Lion-New Castle</x:v>
      </x:c>
      <x:c r="L642" s="19" t="str">
        <x:v>Z006</x:v>
      </x:c>
      <x:c r="M642" s="19" t="str">
        <x:v>In Field Warranty Claims</x:v>
      </x:c>
      <x:c r="N642" s="37" t="n">
        <x:v>46182</x:v>
      </x:c>
      <x:c r="O642" s="37"/>
      <x:c r="P642" s="34" t="n">
        <x:v>0</x:v>
      </x:c>
      <x:c r="Q642" s="37" t="n">
        <x:v>46185.97728009259</x:v>
      </x:c>
    </x:row>
    <x:row r="643">
      <x:c r="A643" s="22" t="n">
        <x:v>36103</x:v>
      </x:c>
      <x:c r="B643" s="28" t="n">
        <x:v>378.18</x:v>
      </x:c>
      <x:c r="C643" s="28" t="n">
        <x:v>416</x:v>
      </x:c>
      <x:c r="D643" s="31" t="n">
        <x:f>IF(OR(ISBLANK(B643),ISBLANK(C643),B643=0),"",(C643-B643)/B643)</x:f>
        <x:v>0.10000528848696386</x:v>
      </x:c>
      <x:c r="E643" s="22" t="str">
        <x:f>IF(ISBLANK(C643),"AmountIncludingTax缺失",IF(ABS(B643-C643)&lt;0.005,"一致","不一致"))</x:f>
        <x:v>不一致</x:v>
      </x:c>
      <x:c r="F643" s="19" t="str">
        <x:v>approved</x:v>
      </x:c>
      <x:c r="G643" s="19" t="str">
        <x:v>Repair in Progress</x:v>
      </x:c>
      <x:c r="H643" s="19" t="str">
        <x:v>In Field</x:v>
      </x:c>
      <x:c r="I643" s="37" t="n">
        <x:v>46182</x:v>
      </x:c>
      <x:c r="J643" s="37" t="n">
        <x:v>46182</x:v>
      </x:c>
      <x:c r="K643" s="19" t="str">
        <x:v>Regent RV - Perth</x:v>
      </x:c>
      <x:c r="L643" s="19" t="str">
        <x:v>Z006</x:v>
      </x:c>
      <x:c r="M643" s="19" t="str">
        <x:v>In Field Warranty Claims</x:v>
      </x:c>
      <x:c r="N643" s="37" t="n">
        <x:v>46182</x:v>
      </x:c>
      <x:c r="O643" s="37"/>
      <x:c r="P643" s="34" t="n">
        <x:v>416</x:v>
      </x:c>
      <x:c r="Q643" s="37" t="n">
        <x:v>46182.15315972222</x:v>
      </x:c>
    </x:row>
    <x:row r="644">
      <x:c r="A644" s="22" t="n">
        <x:v>36102</x:v>
      </x:c>
      <x:c r="B644" s="28" t="n">
        <x:v>222.5</x:v>
      </x:c>
      <x:c r="C644" s="28"/>
      <x:c r="D644" s="31" t="str">
        <x:f>IF(OR(ISBLANK(B644),ISBLANK(C644),B644=0),"",(C644-B644)/B644)</x:f>
      </x:c>
      <x:c r="E644" s="22" t="str">
        <x:f>IF(ISBLANK(C644),"AmountIncludingTax缺失",IF(ABS(B644-C644)&lt;0.005,"一致","不一致"))</x:f>
        <x:v>AmountIncludingTax缺失</x:v>
      </x:c>
      <x:c r="F644" s="19" t="str">
        <x:v>approved</x:v>
      </x:c>
      <x:c r="G644" s="19" t="str">
        <x:v>Repair in Progress</x:v>
      </x:c>
      <x:c r="H644" s="19" t="str">
        <x:v>Pre Delivery</x:v>
      </x:c>
      <x:c r="I644" s="37" t="n">
        <x:v>46184</x:v>
      </x:c>
      <x:c r="J644" s="37" t="n">
        <x:v>46184</x:v>
      </x:c>
      <x:c r="K644" s="19" t="str">
        <x:v>Green RV - Slacks Creek</x:v>
      </x:c>
      <x:c r="L644" s="19" t="str">
        <x:v>Z005</x:v>
      </x:c>
      <x:c r="M644" s="19" t="str">
        <x:v>Pre Delivery Warranty Claims</x:v>
      </x:c>
      <x:c r="N644" s="37" t="n">
        <x:v>46182</x:v>
      </x:c>
      <x:c r="O644" s="37"/>
      <x:c r="P644" s="34" t="n">
        <x:v>0</x:v>
      </x:c>
      <x:c r="Q644" s="37" t="n">
        <x:v>46183.96743055555</x:v>
      </x:c>
    </x:row>
    <x:row r="645">
      <x:c r="A645" s="22" t="n">
        <x:v>36101</x:v>
      </x:c>
      <x:c r="B645" s="28" t="n">
        <x:v>504.32</x:v>
      </x:c>
      <x:c r="C645" s="28"/>
      <x:c r="D645" s="31" t="str">
        <x:f>IF(OR(ISBLANK(B645),ISBLANK(C645),B645=0),"",(C645-B645)/B645)</x:f>
      </x:c>
      <x:c r="E645" s="22" t="str">
        <x:f>IF(ISBLANK(C645),"AmountIncludingTax缺失",IF(ABS(B645-C645)&lt;0.005,"一致","不一致"))</x:f>
        <x:v>AmountIncludingTax缺失</x:v>
      </x:c>
      <x:c r="F645" s="19" t="str">
        <x:v>approved</x:v>
      </x:c>
      <x:c r="G645" s="19" t="str">
        <x:v>Repair in Progress</x:v>
      </x:c>
      <x:c r="H645" s="19" t="str">
        <x:v>In Field</x:v>
      </x:c>
      <x:c r="I645" s="37" t="n">
        <x:v>46182</x:v>
      </x:c>
      <x:c r="J645" s="37" t="n">
        <x:v>46182</x:v>
      </x:c>
      <x:c r="K645" s="19" t="str">
        <x:v>Lesiure Lion-New Castle</x:v>
      </x:c>
      <x:c r="L645" s="19" t="str">
        <x:v>Z006</x:v>
      </x:c>
      <x:c r="M645" s="19" t="str">
        <x:v>In Field Warranty Claims</x:v>
      </x:c>
      <x:c r="N645" s="37" t="n">
        <x:v>46181</x:v>
      </x:c>
      <x:c r="O645" s="37"/>
      <x:c r="P645" s="34" t="n">
        <x:v>0</x:v>
      </x:c>
      <x:c r="Q645" s="37" t="n">
        <x:v>46182.123148148145</x:v>
      </x:c>
    </x:row>
    <x:row r="646">
      <x:c r="A646" s="22" t="n">
        <x:v>36100</x:v>
      </x:c>
      <x:c r="B646" s="28" t="n">
        <x:v>565</x:v>
      </x:c>
      <x:c r="C646" s="28" t="n">
        <x:v>511.55</x:v>
      </x:c>
      <x:c r="D646" s="31" t="n">
        <x:f>IF(OR(ISBLANK(B646),ISBLANK(C646),B646=0),"",(C646-B646)/B646)</x:f>
        <x:v>-0.0946017699115044</x:v>
      </x:c>
      <x:c r="E646" s="22" t="str">
        <x:f>IF(ISBLANK(C646),"AmountIncludingTax缺失",IF(ABS(B646-C646)&lt;0.005,"一致","不一致"))</x:f>
        <x:v>不一致</x:v>
      </x:c>
      <x:c r="F646" s="19" t="str">
        <x:v>approved</x:v>
      </x:c>
      <x:c r="G646" s="19" t="str">
        <x:v>Repairer Invoiced Processed</x:v>
      </x:c>
      <x:c r="H646" s="19" t="str">
        <x:v>In Field</x:v>
      </x:c>
      <x:c r="I646" s="37" t="n">
        <x:v>46185</x:v>
      </x:c>
      <x:c r="J646" s="37" t="n">
        <x:v>46185</x:v>
      </x:c>
      <x:c r="K646" s="19" t="str">
        <x:v>Vanari Caravans - Marden Point</x:v>
      </x:c>
      <x:c r="L646" s="19" t="str">
        <x:v>Z006</x:v>
      </x:c>
      <x:c r="M646" s="19" t="str">
        <x:v>In Field Warranty Claims</x:v>
      </x:c>
      <x:c r="N646" s="37" t="n">
        <x:v>46182</x:v>
      </x:c>
      <x:c r="O646" s="37"/>
      <x:c r="P646" s="34" t="n">
        <x:v>511.55</x:v>
      </x:c>
      <x:c r="Q646" s="37" t="n">
        <x:v>46185.18261574074</x:v>
      </x:c>
    </x:row>
    <x:row r="647">
      <x:c r="A647" s="22" t="n">
        <x:v>36099</x:v>
      </x:c>
      <x:c r="B647" s="28" t="n">
        <x:v>1009.5</x:v>
      </x:c>
      <x:c r="C647" s="28" t="n">
        <x:v>914</x:v>
      </x:c>
      <x:c r="D647" s="31" t="n">
        <x:f>IF(OR(ISBLANK(B647),ISBLANK(C647),B647=0),"",(C647-B647)/B647)</x:f>
        <x:v>-0.0946012877662209</x:v>
      </x:c>
      <x:c r="E647" s="22" t="str">
        <x:f>IF(ISBLANK(C647),"AmountIncludingTax缺失",IF(ABS(B647-C647)&lt;0.005,"一致","不一致"))</x:f>
        <x:v>不一致</x:v>
      </x:c>
      <x:c r="F647" s="19" t="str">
        <x:v>approved</x:v>
      </x:c>
      <x:c r="G647" s="19" t="str">
        <x:v>Repairer Invoiced Processed</x:v>
      </x:c>
      <x:c r="H647" s="19" t="str">
        <x:v>Pre Delivery</x:v>
      </x:c>
      <x:c r="I647" s="37" t="n">
        <x:v>46196</x:v>
      </x:c>
      <x:c r="J647" s="37" t="n">
        <x:v>46196</x:v>
      </x:c>
      <x:c r="K647" s="19" t="str">
        <x:v>Vanari Caravans - Marden Point</x:v>
      </x:c>
      <x:c r="L647" s="19" t="str">
        <x:v>Z005</x:v>
      </x:c>
      <x:c r="M647" s="19" t="str">
        <x:v>Pre Delivery Warranty Claims</x:v>
      </x:c>
      <x:c r="N647" s="37" t="n">
        <x:v>46182</x:v>
      </x:c>
      <x:c r="O647" s="37"/>
      <x:c r="P647" s="34" t="n">
        <x:v>914</x:v>
      </x:c>
      <x:c r="Q647" s="37" t="n">
        <x:v>46195.97576388889</x:v>
      </x:c>
    </x:row>
    <x:row r="648">
      <x:c r="A648" s="22" t="n">
        <x:v>36098</x:v>
      </x:c>
      <x:c r="B648" s="28" t="n">
        <x:v>408.18</x:v>
      </x:c>
      <x:c r="C648" s="28" t="n">
        <x:v>449</x:v>
      </x:c>
      <x:c r="D648" s="31" t="n">
        <x:f>IF(OR(ISBLANK(B648),ISBLANK(C648),B648=0),"",(C648-B648)/B648)</x:f>
        <x:v>0.10000489979910822</x:v>
      </x:c>
      <x:c r="E648" s="22" t="str">
        <x:f>IF(ISBLANK(C648),"AmountIncludingTax缺失",IF(ABS(B648-C648)&lt;0.005,"一致","不一致"))</x:f>
        <x:v>不一致</x:v>
      </x:c>
      <x:c r="F648" s="19" t="str">
        <x:v>approved</x:v>
      </x:c>
      <x:c r="G648" s="19" t="str">
        <x:v>Repair in Progress</x:v>
      </x:c>
      <x:c r="H648" s="19" t="str">
        <x:v>In Field</x:v>
      </x:c>
      <x:c r="I648" s="37" t="n">
        <x:v>46182</x:v>
      </x:c>
      <x:c r="J648" s="37" t="n">
        <x:v>46182</x:v>
      </x:c>
      <x:c r="K648" s="19" t="str">
        <x:v>Regent RV - Perth</x:v>
      </x:c>
      <x:c r="L648" s="19" t="str">
        <x:v>Z006</x:v>
      </x:c>
      <x:c r="M648" s="19" t="str">
        <x:v>In Field Warranty Claims</x:v>
      </x:c>
      <x:c r="N648" s="37" t="n">
        <x:v>46182</x:v>
      </x:c>
      <x:c r="O648" s="37"/>
      <x:c r="P648" s="34" t="n">
        <x:v>449</x:v>
      </x:c>
      <x:c r="Q648" s="37" t="n">
        <x:v>46182.057754629626</x:v>
      </x:c>
    </x:row>
    <x:row r="649">
      <x:c r="A649" s="22" t="n">
        <x:v>36097</x:v>
      </x:c>
      <x:c r="B649" s="28" t="n">
        <x:v>1317.05</x:v>
      </x:c>
      <x:c r="C649" s="28"/>
      <x:c r="D649" s="31" t="str">
        <x:f>IF(OR(ISBLANK(B649),ISBLANK(C649),B649=0),"",(C649-B649)/B649)</x:f>
      </x:c>
      <x:c r="E649" s="22" t="str">
        <x:f>IF(ISBLANK(C649),"AmountIncludingTax缺失",IF(ABS(B649-C649)&lt;0.005,"一致","不一致"))</x:f>
        <x:v>AmountIncludingTax缺失</x:v>
      </x:c>
      <x:c r="F649" s="19" t="str">
        <x:v>approved</x:v>
      </x:c>
      <x:c r="G649" s="19" t="str">
        <x:v>Repair in Progress</x:v>
      </x:c>
      <x:c r="H649" s="19" t="str">
        <x:v>In Field</x:v>
      </x:c>
      <x:c r="I649" s="37" t="n">
        <x:v>46188</x:v>
      </x:c>
      <x:c r="J649" s="37" t="n">
        <x:v>46182</x:v>
      </x:c>
      <x:c r="K649" s="19" t="str">
        <x:v>ABCO Caravans - Boambee Valley</x:v>
      </x:c>
      <x:c r="L649" s="19" t="str">
        <x:v>Z006</x:v>
      </x:c>
      <x:c r="M649" s="19" t="str">
        <x:v>In Field Warranty Claims</x:v>
      </x:c>
      <x:c r="N649" s="37" t="n">
        <x:v>46182</x:v>
      </x:c>
      <x:c r="O649" s="37"/>
      <x:c r="P649" s="34" t="n">
        <x:v>0</x:v>
      </x:c>
      <x:c r="Q649" s="37" t="n">
        <x:v>46188.03563657407</x:v>
      </x:c>
    </x:row>
    <x:row r="650">
      <x:c r="A650" s="22" t="n">
        <x:v>36095</x:v>
      </x:c>
      <x:c r="B650" s="28" t="n">
        <x:v>222.5</x:v>
      </x:c>
      <x:c r="C650" s="28"/>
      <x:c r="D650" s="31" t="str">
        <x:f>IF(OR(ISBLANK(B650),ISBLANK(C650),B650=0),"",(C650-B650)/B650)</x:f>
      </x:c>
      <x:c r="E650" s="22" t="str">
        <x:f>IF(ISBLANK(C650),"AmountIncludingTax缺失",IF(ABS(B650-C650)&lt;0.005,"一致","不一致"))</x:f>
        <x:v>AmountIncludingTax缺失</x:v>
      </x:c>
      <x:c r="F650" s="19" t="str">
        <x:v>approved</x:v>
      </x:c>
      <x:c r="G650" s="19" t="str">
        <x:v>Repairer Invoiced Processed</x:v>
      </x:c>
      <x:c r="H650" s="19" t="str">
        <x:v>Pre Delivery</x:v>
      </x:c>
      <x:c r="I650" s="37" t="n">
        <x:v>46184</x:v>
      </x:c>
      <x:c r="J650" s="37" t="n">
        <x:v>46184</x:v>
      </x:c>
      <x:c r="K650" s="19" t="str">
        <x:v>Green RV - Slacks Creek</x:v>
      </x:c>
      <x:c r="L650" s="19" t="str">
        <x:v>Z005</x:v>
      </x:c>
      <x:c r="M650" s="19" t="str">
        <x:v>Pre Delivery Warranty Claims</x:v>
      </x:c>
      <x:c r="N650" s="37" t="n">
        <x:v>46181</x:v>
      </x:c>
      <x:c r="O650" s="37"/>
      <x:c r="P650" s="34" t="n">
        <x:v>0</x:v>
      </x:c>
      <x:c r="Q650" s="37" t="n">
        <x:v>46183.989016203705</x:v>
      </x:c>
    </x:row>
    <x:row r="651">
      <x:c r="A651" s="22" t="n">
        <x:v>36094</x:v>
      </x:c>
      <x:c r="B651" s="28" t="n">
        <x:v>135</x:v>
      </x:c>
      <x:c r="C651" s="28"/>
      <x:c r="D651" s="31" t="str">
        <x:f>IF(OR(ISBLANK(B651),ISBLANK(C651),B651=0),"",(C651-B651)/B651)</x:f>
      </x:c>
      <x:c r="E651" s="22" t="str">
        <x:f>IF(ISBLANK(C651),"AmountIncludingTax缺失",IF(ABS(B651-C651)&lt;0.005,"一致","不一致"))</x:f>
        <x:v>AmountIncludingTax缺失</x:v>
      </x:c>
      <x:c r="F651" s="19" t="str">
        <x:v>approved</x:v>
      </x:c>
      <x:c r="G651" s="19" t="str">
        <x:v>Repair in Progress</x:v>
      </x:c>
      <x:c r="H651" s="19" t="str">
        <x:v>In Field</x:v>
      </x:c>
      <x:c r="I651" s="37" t="n">
        <x:v>46183</x:v>
      </x:c>
      <x:c r="J651" s="37" t="n">
        <x:v>46183</x:v>
      </x:c>
      <x:c r="K651" s="19" t="str">
        <x:v>Green RV - Slacks Creek</x:v>
      </x:c>
      <x:c r="L651" s="19" t="str">
        <x:v>Z006</x:v>
      </x:c>
      <x:c r="M651" s="19" t="str">
        <x:v>In Field Warranty Claims</x:v>
      </x:c>
      <x:c r="N651" s="37" t="n">
        <x:v>46181</x:v>
      </x:c>
      <x:c r="O651" s="37"/>
      <x:c r="P651" s="34" t="n">
        <x:v>0</x:v>
      </x:c>
      <x:c r="Q651" s="37" t="n">
        <x:v>46182.901458333334</x:v>
      </x:c>
    </x:row>
    <x:row r="652">
      <x:c r="A652" s="22" t="n">
        <x:v>36091</x:v>
      </x:c>
      <x:c r="B652" s="28" t="n">
        <x:v>528.18</x:v>
      </x:c>
      <x:c r="C652" s="28" t="n">
        <x:v>581</x:v>
      </x:c>
      <x:c r="D652" s="31" t="n">
        <x:f>IF(OR(ISBLANK(B652),ISBLANK(C652),B652=0),"",(C652-B652)/B652)</x:f>
        <x:v>0.10000378658790575</x:v>
      </x:c>
      <x:c r="E652" s="22" t="str">
        <x:f>IF(ISBLANK(C652),"AmountIncludingTax缺失",IF(ABS(B652-C652)&lt;0.005,"一致","不一致"))</x:f>
        <x:v>不一致</x:v>
      </x:c>
      <x:c r="F652" s="19" t="str">
        <x:v>approved</x:v>
      </x:c>
      <x:c r="G652" s="19" t="str">
        <x:v>Repair in Progress</x:v>
      </x:c>
      <x:c r="H652" s="19" t="str">
        <x:v>Pre Delivery</x:v>
      </x:c>
      <x:c r="I652" s="37" t="n">
        <x:v>46191</x:v>
      </x:c>
      <x:c r="J652" s="37" t="n">
        <x:v>46191</x:v>
      </x:c>
      <x:c r="K652" s="19" t="str">
        <x:v>Regent RV - Perth</x:v>
      </x:c>
      <x:c r="L652" s="19" t="str">
        <x:v>Z005</x:v>
      </x:c>
      <x:c r="M652" s="19" t="str">
        <x:v>Pre Delivery Warranty Claims</x:v>
      </x:c>
      <x:c r="N652" s="37" t="n">
        <x:v>46181</x:v>
      </x:c>
      <x:c r="O652" s="37"/>
      <x:c r="P652" s="34" t="n">
        <x:v>581</x:v>
      </x:c>
      <x:c r="Q652" s="37" t="n">
        <x:v>46190.94150462963</x:v>
      </x:c>
    </x:row>
    <x:row r="653">
      <x:c r="A653" s="22" t="n">
        <x:v>36090</x:v>
      </x:c>
      <x:c r="B653" s="28" t="n">
        <x:v>202.5</x:v>
      </x:c>
      <x:c r="C653" s="28"/>
      <x:c r="D653" s="31" t="str">
        <x:f>IF(OR(ISBLANK(B653),ISBLANK(C653),B653=0),"",(C653-B653)/B653)</x:f>
      </x:c>
      <x:c r="E653" s="22" t="str">
        <x:f>IF(ISBLANK(C653),"AmountIncludingTax缺失",IF(ABS(B653-C653)&lt;0.005,"一致","不一致"))</x:f>
        <x:v>AmountIncludingTax缺失</x:v>
      </x:c>
      <x:c r="F653" s="19" t="str">
        <x:v>approved</x:v>
      </x:c>
      <x:c r="G653" s="19" t="str">
        <x:v>Repair in Progress</x:v>
      </x:c>
      <x:c r="H653" s="19" t="str">
        <x:v>In Field</x:v>
      </x:c>
      <x:c r="I653" s="37" t="n">
        <x:v>46182</x:v>
      </x:c>
      <x:c r="J653" s="37" t="n">
        <x:v>46182</x:v>
      </x:c>
      <x:c r="K653" s="19" t="str">
        <x:v>Not Assigned</x:v>
      </x:c>
      <x:c r="L653" s="19" t="str">
        <x:v>Z006</x:v>
      </x:c>
      <x:c r="M653" s="19" t="str">
        <x:v>In Field Warranty Claims</x:v>
      </x:c>
      <x:c r="N653" s="37" t="n">
        <x:v>46182</x:v>
      </x:c>
      <x:c r="O653" s="37"/>
      <x:c r="P653" s="34" t="n">
        <x:v>0</x:v>
      </x:c>
      <x:c r="Q653" s="37" t="n">
        <x:v>46182.19106481481</x:v>
      </x:c>
    </x:row>
    <x:row r="654">
      <x:c r="A654" s="22" t="n">
        <x:v>36089</x:v>
      </x:c>
      <x:c r="B654" s="28" t="n">
        <x:v>645</x:v>
      </x:c>
      <x:c r="C654" s="28"/>
      <x:c r="D654" s="31" t="str">
        <x:f>IF(OR(ISBLANK(B654),ISBLANK(C654),B654=0),"",(C654-B654)/B654)</x:f>
      </x:c>
      <x:c r="E654" s="22" t="str">
        <x:f>IF(ISBLANK(C654),"AmountIncludingTax缺失",IF(ABS(B654-C654)&lt;0.005,"一致","不一致"))</x:f>
        <x:v>AmountIncludingTax缺失</x:v>
      </x:c>
      <x:c r="F654" s="19" t="str">
        <x:v>approved</x:v>
      </x:c>
      <x:c r="G654" s="19" t="str">
        <x:v>Repair in Progress</x:v>
      </x:c>
      <x:c r="H654" s="19" t="str">
        <x:v>In Field</x:v>
      </x:c>
      <x:c r="I654" s="37" t="n">
        <x:v>46196</x:v>
      </x:c>
      <x:c r="J654" s="37" t="n">
        <x:v>46196</x:v>
      </x:c>
      <x:c r="K654" s="19" t="str">
        <x:v>Regent RV - Perth</x:v>
      </x:c>
      <x:c r="L654" s="19" t="str">
        <x:v>Z006</x:v>
      </x:c>
      <x:c r="M654" s="19" t="str">
        <x:v>In Field Warranty Claims</x:v>
      </x:c>
      <x:c r="N654" s="37" t="n">
        <x:v>46182</x:v>
      </x:c>
      <x:c r="O654" s="37"/>
      <x:c r="P654" s="34" t="n">
        <x:v>0</x:v>
      </x:c>
      <x:c r="Q654" s="37" t="n">
        <x:v>46196.22820601852</x:v>
      </x:c>
    </x:row>
    <x:row r="655">
      <x:c r="A655" s="22" t="n">
        <x:v>36088</x:v>
      </x:c>
      <x:c r="B655" s="28" t="n">
        <x:v>1651.7</x:v>
      </x:c>
      <x:c r="C655" s="28"/>
      <x:c r="D655" s="31" t="str">
        <x:f>IF(OR(ISBLANK(B655),ISBLANK(C655),B655=0),"",(C655-B655)/B655)</x:f>
      </x:c>
      <x:c r="E655" s="22" t="str">
        <x:f>IF(ISBLANK(C655),"AmountIncludingTax缺失",IF(ABS(B655-C655)&lt;0.005,"一致","不一致"))</x:f>
        <x:v>AmountIncludingTax缺失</x:v>
      </x:c>
      <x:c r="F655" s="19" t="str">
        <x:v>approved</x:v>
      </x:c>
      <x:c r="G655" s="19" t="str">
        <x:v>Repairer Invoiced Processed</x:v>
      </x:c>
      <x:c r="H655" s="19" t="str">
        <x:v>In Field</x:v>
      </x:c>
      <x:c r="I655" s="37" t="n">
        <x:v>46182</x:v>
      </x:c>
      <x:c r="J655" s="37" t="n">
        <x:v>46182</x:v>
      </x:c>
      <x:c r="K655" s="19" t="str">
        <x:v>Lesiure Lion-New Castle</x:v>
      </x:c>
      <x:c r="L655" s="19" t="str">
        <x:v>Z006</x:v>
      </x:c>
      <x:c r="M655" s="19" t="str">
        <x:v>In Field Warranty Claims</x:v>
      </x:c>
      <x:c r="N655" s="37" t="n">
        <x:v>46182</x:v>
      </x:c>
      <x:c r="O655" s="37"/>
      <x:c r="P655" s="34" t="n">
        <x:v>1816.87</x:v>
      </x:c>
      <x:c r="Q655" s="37" t="n">
        <x:v>46182.13303240741</x:v>
      </x:c>
    </x:row>
    <x:row r="656">
      <x:c r="A656" s="22" t="n">
        <x:v>36080</x:v>
      </x:c>
      <x:c r="B656" s="28" t="n">
        <x:v>850</x:v>
      </x:c>
      <x:c r="C656" s="28"/>
      <x:c r="D656" s="31" t="str">
        <x:f>IF(OR(ISBLANK(B656),ISBLANK(C656),B656=0),"",(C656-B656)/B656)</x:f>
      </x:c>
      <x:c r="E656" s="22" t="str">
        <x:f>IF(ISBLANK(C656),"AmountIncludingTax缺失",IF(ABS(B656-C656)&lt;0.005,"一致","不一致"))</x:f>
        <x:v>AmountIncludingTax缺失</x:v>
      </x:c>
      <x:c r="F656" s="19" t="str">
        <x:v>approved</x:v>
      </x:c>
      <x:c r="G656" s="19" t="str">
        <x:v>Repair in Progress</x:v>
      </x:c>
      <x:c r="H656" s="19" t="str">
        <x:v>In Field</x:v>
      </x:c>
      <x:c r="I656" s="37" t="n">
        <x:v>46184</x:v>
      </x:c>
      <x:c r="J656" s="37" t="n">
        <x:v>46184</x:v>
      </x:c>
      <x:c r="K656" s="19" t="str">
        <x:v>Newcastle RV Super Centre - Beresfield</x:v>
      </x:c>
      <x:c r="L656" s="19" t="str">
        <x:v>Z006</x:v>
      </x:c>
      <x:c r="M656" s="19" t="str">
        <x:v>In Field Warranty Claims</x:v>
      </x:c>
      <x:c r="N656" s="37" t="n">
        <x:v>46181</x:v>
      </x:c>
      <x:c r="O656" s="37"/>
      <x:c r="P656" s="34" t="n">
        <x:v>0</x:v>
      </x:c>
      <x:c r="Q656" s="37" t="n">
        <x:v>46184.158796296295</x:v>
      </x:c>
    </x:row>
    <x:row r="657">
      <x:c r="A657" s="22" t="n">
        <x:v>36079</x:v>
      </x:c>
      <x:c r="B657" s="28" t="n">
        <x:v>625</x:v>
      </x:c>
      <x:c r="C657" s="28"/>
      <x:c r="D657" s="31" t="str">
        <x:f>IF(OR(ISBLANK(B657),ISBLANK(C657),B657=0),"",(C657-B657)/B657)</x:f>
      </x:c>
      <x:c r="E657" s="22" t="str">
        <x:f>IF(ISBLANK(C657),"AmountIncludingTax缺失",IF(ABS(B657-C657)&lt;0.005,"一致","不一致"))</x:f>
        <x:v>AmountIncludingTax缺失</x:v>
      </x:c>
      <x:c r="F657" s="19" t="str">
        <x:v>approved</x:v>
      </x:c>
      <x:c r="G657" s="19" t="str">
        <x:v>Repair in Progress</x:v>
      </x:c>
      <x:c r="H657" s="19" t="str">
        <x:v>In Field</x:v>
      </x:c>
      <x:c r="I657" s="37" t="n">
        <x:v>46186</x:v>
      </x:c>
      <x:c r="J657" s="37" t="n">
        <x:v>46186</x:v>
      </x:c>
      <x:c r="K657" s="19" t="str">
        <x:v>Auswide Caravans - South Nowra</x:v>
      </x:c>
      <x:c r="L657" s="19" t="str">
        <x:v>Z006</x:v>
      </x:c>
      <x:c r="M657" s="19" t="str">
        <x:v>In Field Warranty Claims</x:v>
      </x:c>
      <x:c r="N657" s="37" t="n">
        <x:v>46181</x:v>
      </x:c>
      <x:c r="O657" s="37"/>
      <x:c r="P657" s="34" t="n">
        <x:v>0</x:v>
      </x:c>
      <x:c r="Q657" s="37" t="n">
        <x:v>46185.914189814815</x:v>
      </x:c>
    </x:row>
    <x:row r="658">
      <x:c r="A658" s="22" t="n">
        <x:v>36077</x:v>
      </x:c>
      <x:c r="B658" s="28" t="n">
        <x:v>222.5</x:v>
      </x:c>
      <x:c r="C658" s="28"/>
      <x:c r="D658" s="31" t="str">
        <x:f>IF(OR(ISBLANK(B658),ISBLANK(C658),B658=0),"",(C658-B658)/B658)</x:f>
      </x:c>
      <x:c r="E658" s="22" t="str">
        <x:f>IF(ISBLANK(C658),"AmountIncludingTax缺失",IF(ABS(B658-C658)&lt;0.005,"一致","不一致"))</x:f>
        <x:v>AmountIncludingTax缺失</x:v>
      </x:c>
      <x:c r="F658" s="19" t="str">
        <x:v>approved</x:v>
      </x:c>
      <x:c r="G658" s="19" t="str">
        <x:v>Repair in Progress</x:v>
      </x:c>
      <x:c r="H658" s="19" t="str">
        <x:v>In Field</x:v>
      </x:c>
      <x:c r="I658" s="37" t="n">
        <x:v>46186</x:v>
      </x:c>
      <x:c r="J658" s="37" t="n">
        <x:v>46186</x:v>
      </x:c>
      <x:c r="K658" s="19" t="str">
        <x:v>Regent RV - Perth</x:v>
      </x:c>
      <x:c r="L658" s="19" t="str">
        <x:v>Z006</x:v>
      </x:c>
      <x:c r="M658" s="19" t="str">
        <x:v>In Field Warranty Claims</x:v>
      </x:c>
      <x:c r="N658" s="37" t="n">
        <x:v>46181</x:v>
      </x:c>
      <x:c r="O658" s="37"/>
      <x:c r="P658" s="34" t="n">
        <x:v>0</x:v>
      </x:c>
      <x:c r="Q658" s="37" t="n">
        <x:v>46185.97777777778</x:v>
      </x:c>
    </x:row>
    <x:row r="659">
      <x:c r="A659" s="22" t="n">
        <x:v>36073</x:v>
      </x:c>
      <x:c r="B659" s="28" t="n">
        <x:v>913.75</x:v>
      </x:c>
      <x:c r="C659" s="28"/>
      <x:c r="D659" s="31" t="str">
        <x:f>IF(OR(ISBLANK(B659),ISBLANK(C659),B659=0),"",(C659-B659)/B659)</x:f>
      </x:c>
      <x:c r="E659" s="22" t="str">
        <x:f>IF(ISBLANK(C659),"AmountIncludingTax缺失",IF(ABS(B659-C659)&lt;0.005,"一致","不一致"))</x:f>
        <x:v>AmountIncludingTax缺失</x:v>
      </x:c>
      <x:c r="F659" s="19" t="str">
        <x:v>approved</x:v>
      </x:c>
      <x:c r="G659" s="19" t="str">
        <x:v>Repair in Progress</x:v>
      </x:c>
      <x:c r="H659" s="19" t="str">
        <x:v>In Field</x:v>
      </x:c>
      <x:c r="I659" s="37" t="n">
        <x:v>46182</x:v>
      </x:c>
      <x:c r="J659" s="37" t="n">
        <x:v>46182</x:v>
      </x:c>
      <x:c r="K659" s="19" t="str">
        <x:v>Regent RV - Perth</x:v>
      </x:c>
      <x:c r="L659" s="19" t="str">
        <x:v>Z006</x:v>
      </x:c>
      <x:c r="M659" s="19" t="str">
        <x:v>In Field Warranty Claims</x:v>
      </x:c>
      <x:c r="N659" s="37" t="n">
        <x:v>46181</x:v>
      </x:c>
      <x:c r="O659" s="37"/>
      <x:c r="P659" s="34" t="n">
        <x:v>0</x:v>
      </x:c>
      <x:c r="Q659" s="37" t="n">
        <x:v>46182.26571759259</x:v>
      </x:c>
    </x:row>
    <x:row r="660">
      <x:c r="A660" s="22" t="n">
        <x:v>36072</x:v>
      </x:c>
      <x:c r="B660" s="28" t="n">
        <x:v>472.5</x:v>
      </x:c>
      <x:c r="C660" s="28"/>
      <x:c r="D660" s="31" t="str">
        <x:f>IF(OR(ISBLANK(B660),ISBLANK(C660),B660=0),"",(C660-B660)/B660)</x:f>
      </x:c>
      <x:c r="E660" s="22" t="str">
        <x:f>IF(ISBLANK(C660),"AmountIncludingTax缺失",IF(ABS(B660-C660)&lt;0.005,"一致","不一致"))</x:f>
        <x:v>AmountIncludingTax缺失</x:v>
      </x:c>
      <x:c r="F660" s="19" t="str">
        <x:v>approved</x:v>
      </x:c>
      <x:c r="G660" s="19" t="str">
        <x:v>Sales Order Approved</x:v>
      </x:c>
      <x:c r="H660" s="19" t="str">
        <x:v>Pre Delivery</x:v>
      </x:c>
      <x:c r="I660" s="37" t="n">
        <x:v>46199</x:v>
      </x:c>
      <x:c r="J660" s="37" t="n">
        <x:v>46199</x:v>
      </x:c>
      <x:c r="K660" s="19" t="str">
        <x:v>Regent RV Pty Ltd</x:v>
      </x:c>
      <x:c r="L660" s="19" t="str">
        <x:v>Z005</x:v>
      </x:c>
      <x:c r="M660" s="19" t="str">
        <x:v>Pre Delivery Warranty Claims</x:v>
      </x:c>
      <x:c r="N660" s="37" t="n">
        <x:v>46181</x:v>
      </x:c>
      <x:c r="O660" s="37"/>
      <x:c r="P660" s="34" t="n">
        <x:v>0</x:v>
      </x:c>
      <x:c r="Q660" s="37" t="n">
        <x:v>46199.07744212963</x:v>
      </x:c>
    </x:row>
    <x:row r="661">
      <x:c r="A661" s="22" t="n">
        <x:v>36071</x:v>
      </x:c>
      <x:c r="B661" s="28" t="n">
        <x:v>101.25</x:v>
      </x:c>
      <x:c r="C661" s="28"/>
      <x:c r="D661" s="31" t="str">
        <x:f>IF(OR(ISBLANK(B661),ISBLANK(C661),B661=0),"",(C661-B661)/B661)</x:f>
      </x:c>
      <x:c r="E661" s="22" t="str">
        <x:f>IF(ISBLANK(C661),"AmountIncludingTax缺失",IF(ABS(B661-C661)&lt;0.005,"一致","不一致"))</x:f>
        <x:v>AmountIncludingTax缺失</x:v>
      </x:c>
      <x:c r="F661" s="19" t="str">
        <x:v>approved</x:v>
      </x:c>
      <x:c r="G661" s="19" t="str">
        <x:v>Repair in Progress</x:v>
      </x:c>
      <x:c r="H661" s="19" t="str">
        <x:v>In Field</x:v>
      </x:c>
      <x:c r="I661" s="37" t="n">
        <x:v>46184</x:v>
      </x:c>
      <x:c r="J661" s="37" t="n">
        <x:v>46184</x:v>
      </x:c>
      <x:c r="K661" s="19" t="str">
        <x:v>Snowy River Geelong</x:v>
      </x:c>
      <x:c r="L661" s="19" t="str">
        <x:v>Z006</x:v>
      </x:c>
      <x:c r="M661" s="19" t="str">
        <x:v>In Field Warranty Claims</x:v>
      </x:c>
      <x:c r="N661" s="37" t="n">
        <x:v>46181</x:v>
      </x:c>
      <x:c r="O661" s="37"/>
      <x:c r="P661" s="34" t="n">
        <x:v>0</x:v>
      </x:c>
      <x:c r="Q661" s="37" t="n">
        <x:v>46184.22268518519</x:v>
      </x:c>
    </x:row>
    <x:row r="662">
      <x:c r="A662" s="22" t="n">
        <x:v>36069</x:v>
      </x:c>
      <x:c r="B662" s="28" t="n">
        <x:v>101.25</x:v>
      </x:c>
      <x:c r="C662" s="28"/>
      <x:c r="D662" s="31" t="str">
        <x:f>IF(OR(ISBLANK(B662),ISBLANK(C662),B662=0),"",(C662-B662)/B662)</x:f>
      </x:c>
      <x:c r="E662" s="22" t="str">
        <x:f>IF(ISBLANK(C662),"AmountIncludingTax缺失",IF(ABS(B662-C662)&lt;0.005,"一致","不一致"))</x:f>
        <x:v>AmountIncludingTax缺失</x:v>
      </x:c>
      <x:c r="F662" s="19" t="str">
        <x:v>approved</x:v>
      </x:c>
      <x:c r="G662" s="19" t="str">
        <x:v>Sales Order Approved</x:v>
      </x:c>
      <x:c r="H662" s="19" t="str">
        <x:v>Pre Delivery</x:v>
      </x:c>
      <x:c r="I662" s="37" t="n">
        <x:v>46202</x:v>
      </x:c>
      <x:c r="J662" s="37" t="n">
        <x:v>46202</x:v>
      </x:c>
      <x:c r="K662" s="19" t="str">
        <x:v>Regent RV Pty Ltd</x:v>
      </x:c>
      <x:c r="L662" s="19" t="str">
        <x:v>Z005</x:v>
      </x:c>
      <x:c r="M662" s="19" t="str">
        <x:v>Pre Delivery Warranty Claims</x:v>
      </x:c>
      <x:c r="N662" s="37" t="n">
        <x:v>46181</x:v>
      </x:c>
      <x:c r="O662" s="37"/>
      <x:c r="P662" s="34" t="n">
        <x:v>0</x:v>
      </x:c>
      <x:c r="Q662" s="37" t="n">
        <x:v>46202.162939814814</x:v>
      </x:c>
    </x:row>
    <x:row r="663">
      <x:c r="A663" s="22" t="n">
        <x:v>36068</x:v>
      </x:c>
      <x:c r="B663" s="28" t="n">
        <x:v>135</x:v>
      </x:c>
      <x:c r="C663" s="28" t="n">
        <x:v>148.5</x:v>
      </x:c>
      <x:c r="D663" s="31" t="n">
        <x:f>IF(OR(ISBLANK(B663),ISBLANK(C663),B663=0),"",(C663-B663)/B663)</x:f>
        <x:v>0.1</x:v>
      </x:c>
      <x:c r="E663" s="22" t="str">
        <x:f>IF(ISBLANK(C663),"AmountIncludingTax缺失",IF(ABS(B663-C663)&lt;0.005,"一致","不一致"))</x:f>
        <x:v>不一致</x:v>
      </x:c>
      <x:c r="F663" s="19" t="str">
        <x:v>approved</x:v>
      </x:c>
      <x:c r="G663" s="19" t="str">
        <x:v>Repair in Progress</x:v>
      </x:c>
      <x:c r="H663" s="19" t="str">
        <x:v>Pre Delivery</x:v>
      </x:c>
      <x:c r="I663" s="37" t="n">
        <x:v>46202</x:v>
      </x:c>
      <x:c r="J663" s="37" t="n">
        <x:v>46202</x:v>
      </x:c>
      <x:c r="K663" s="19" t="str">
        <x:v>Regent RV Pty Ltd</x:v>
      </x:c>
      <x:c r="L663" s="19" t="str">
        <x:v>Z005</x:v>
      </x:c>
      <x:c r="M663" s="19" t="str">
        <x:v>Pre Delivery Warranty Claims</x:v>
      </x:c>
      <x:c r="N663" s="37" t="n">
        <x:v>46181</x:v>
      </x:c>
      <x:c r="O663" s="37"/>
      <x:c r="P663" s="34" t="n">
        <x:v>148.5</x:v>
      </x:c>
      <x:c r="Q663" s="37" t="n">
        <x:v>46202.27476851852</x:v>
      </x:c>
    </x:row>
    <x:row r="664">
      <x:c r="A664" s="22" t="n">
        <x:v>36065</x:v>
      </x:c>
      <x:c r="B664" s="28" t="n">
        <x:v>270</x:v>
      </x:c>
      <x:c r="C664" s="28"/>
      <x:c r="D664" s="31" t="str">
        <x:f>IF(OR(ISBLANK(B664),ISBLANK(C664),B664=0),"",(C664-B664)/B664)</x:f>
      </x:c>
      <x:c r="E664" s="22" t="str">
        <x:f>IF(ISBLANK(C664),"AmountIncludingTax缺失",IF(ABS(B664-C664)&lt;0.005,"一致","不一致"))</x:f>
        <x:v>AmountIncludingTax缺失</x:v>
      </x:c>
      <x:c r="F664" s="19" t="str">
        <x:v>approved</x:v>
      </x:c>
      <x:c r="G664" s="19" t="str">
        <x:v>Repair in Progress</x:v>
      </x:c>
      <x:c r="H664" s="19" t="str">
        <x:v>In Field</x:v>
      </x:c>
      <x:c r="I664" s="37" t="n">
        <x:v>46182</x:v>
      </x:c>
      <x:c r="J664" s="37" t="n">
        <x:v>46182</x:v>
      </x:c>
      <x:c r="K664" s="19" t="str">
        <x:v>Green RV - Forest Glen</x:v>
      </x:c>
      <x:c r="L664" s="19" t="str">
        <x:v>Z006</x:v>
      </x:c>
      <x:c r="M664" s="19" t="str">
        <x:v>In Field Warranty Claims</x:v>
      </x:c>
      <x:c r="N664" s="37" t="n">
        <x:v>46181</x:v>
      </x:c>
      <x:c r="O664" s="37"/>
      <x:c r="P664" s="34" t="n">
        <x:v>0</x:v>
      </x:c>
      <x:c r="Q664" s="37" t="n">
        <x:v>46182.20116898148</x:v>
      </x:c>
    </x:row>
    <x:row r="665">
      <x:c r="A665" s="22" t="n">
        <x:v>36061</x:v>
      </x:c>
      <x:c r="B665" s="28" t="n">
        <x:v>841.25</x:v>
      </x:c>
      <x:c r="C665" s="28"/>
      <x:c r="D665" s="31" t="str">
        <x:f>IF(OR(ISBLANK(B665),ISBLANK(C665),B665=0),"",(C665-B665)/B665)</x:f>
      </x:c>
      <x:c r="E665" s="22" t="str">
        <x:f>IF(ISBLANK(C665),"AmountIncludingTax缺失",IF(ABS(B665-C665)&lt;0.005,"一致","不一致"))</x:f>
        <x:v>AmountIncludingTax缺失</x:v>
      </x:c>
      <x:c r="F665" s="19" t="str">
        <x:v>approved</x:v>
      </x:c>
      <x:c r="G665" s="19" t="str">
        <x:v>Partially Picked</x:v>
      </x:c>
      <x:c r="H665" s="19" t="str">
        <x:v>In Field</x:v>
      </x:c>
      <x:c r="I665" s="37" t="n">
        <x:v>46186</x:v>
      </x:c>
      <x:c r="J665" s="37" t="n">
        <x:v>46186</x:v>
      </x:c>
      <x:c r="K665" s="19" t="str">
        <x:v>ABCO Caravans - Boambee Valley</x:v>
      </x:c>
      <x:c r="L665" s="19" t="str">
        <x:v>Z006</x:v>
      </x:c>
      <x:c r="M665" s="19" t="str">
        <x:v>In Field Warranty Claims</x:v>
      </x:c>
      <x:c r="N665" s="37" t="n">
        <x:v>46179</x:v>
      </x:c>
      <x:c r="O665" s="37"/>
      <x:c r="P665" s="34" t="n">
        <x:v>0</x:v>
      </x:c>
      <x:c r="Q665" s="37" t="n">
        <x:v>46185.912766203706</x:v>
      </x:c>
    </x:row>
    <x:row r="666">
      <x:c r="A666" s="22" t="n">
        <x:v>36060</x:v>
      </x:c>
      <x:c r="B666" s="28" t="n">
        <x:v>506.25</x:v>
      </x:c>
      <x:c r="C666" s="28"/>
      <x:c r="D666" s="31" t="str">
        <x:f>IF(OR(ISBLANK(B666),ISBLANK(C666),B666=0),"",(C666-B666)/B666)</x:f>
      </x:c>
      <x:c r="E666" s="22" t="str">
        <x:f>IF(ISBLANK(C666),"AmountIncludingTax缺失",IF(ABS(B666-C666)&lt;0.005,"一致","不一致"))</x:f>
        <x:v>AmountIncludingTax缺失</x:v>
      </x:c>
      <x:c r="F666" s="19" t="str">
        <x:v>approved</x:v>
      </x:c>
      <x:c r="G666" s="19" t="str">
        <x:v>Sales Order Approved</x:v>
      </x:c>
      <x:c r="H666" s="19" t="str">
        <x:v>Pre Delivery</x:v>
      </x:c>
      <x:c r="I666" s="37" t="n">
        <x:v>46184</x:v>
      </x:c>
      <x:c r="J666" s="37" t="n">
        <x:v>46184</x:v>
      </x:c>
      <x:c r="K666" s="19" t="str">
        <x:v>Green RV - Forest Glen</x:v>
      </x:c>
      <x:c r="L666" s="19" t="str">
        <x:v>Z005</x:v>
      </x:c>
      <x:c r="M666" s="19" t="str">
        <x:v>Pre Delivery Warranty Claims</x:v>
      </x:c>
      <x:c r="N666" s="37" t="n">
        <x:v>46181</x:v>
      </x:c>
      <x:c r="O666" s="37"/>
      <x:c r="P666" s="34" t="n">
        <x:v>0</x:v>
      </x:c>
      <x:c r="Q666" s="37" t="n">
        <x:v>46184.1550462963</x:v>
      </x:c>
    </x:row>
    <x:row r="667">
      <x:c r="A667" s="22" t="n">
        <x:v>36058</x:v>
      </x:c>
      <x:c r="B667" s="28" t="n">
        <x:v>67.5</x:v>
      </x:c>
      <x:c r="C667" s="28"/>
      <x:c r="D667" s="31" t="str">
        <x:f>IF(OR(ISBLANK(B667),ISBLANK(C667),B667=0),"",(C667-B667)/B667)</x:f>
      </x:c>
      <x:c r="E667" s="22" t="str">
        <x:f>IF(ISBLANK(C667),"AmountIncludingTax缺失",IF(ABS(B667-C667)&lt;0.005,"一致","不一致"))</x:f>
        <x:v>AmountIncludingTax缺失</x:v>
      </x:c>
      <x:c r="F667" s="19" t="str">
        <x:v>approved</x:v>
      </x:c>
      <x:c r="G667" s="19" t="str">
        <x:v>Repair in Progress</x:v>
      </x:c>
      <x:c r="H667" s="19" t="str">
        <x:v>In Field</x:v>
      </x:c>
      <x:c r="I667" s="37" t="n">
        <x:v>46184</x:v>
      </x:c>
      <x:c r="J667" s="37" t="n">
        <x:v>46184</x:v>
      </x:c>
      <x:c r="K667" s="19" t="str">
        <x:v>Regent RV - Toowoomba</x:v>
      </x:c>
      <x:c r="L667" s="19" t="str">
        <x:v>Z006</x:v>
      </x:c>
      <x:c r="M667" s="19" t="str">
        <x:v>In Field Warranty Claims</x:v>
      </x:c>
      <x:c r="N667" s="37" t="n">
        <x:v>46181</x:v>
      </x:c>
      <x:c r="O667" s="37"/>
      <x:c r="P667" s="34" t="n">
        <x:v>0</x:v>
      </x:c>
      <x:c r="Q667" s="37" t="n">
        <x:v>46184.15938657407</x:v>
      </x:c>
    </x:row>
    <x:row r="668">
      <x:c r="A668" s="22" t="n">
        <x:v>36056</x:v>
      </x:c>
      <x:c r="B668" s="28" t="n">
        <x:v>445</x:v>
      </x:c>
      <x:c r="C668" s="28"/>
      <x:c r="D668" s="31" t="str">
        <x:f>IF(OR(ISBLANK(B668),ISBLANK(C668),B668=0),"",(C668-B668)/B668)</x:f>
      </x:c>
      <x:c r="E668" s="22" t="str">
        <x:f>IF(ISBLANK(C668),"AmountIncludingTax缺失",IF(ABS(B668-C668)&lt;0.005,"一致","不一致"))</x:f>
        <x:v>AmountIncludingTax缺失</x:v>
      </x:c>
      <x:c r="F668" s="19" t="str">
        <x:v>approved</x:v>
      </x:c>
      <x:c r="G668" s="19" t="str">
        <x:v>Repair in Progress</x:v>
      </x:c>
      <x:c r="H668" s="19" t="str">
        <x:v>In Field</x:v>
      </x:c>
      <x:c r="I668" s="37" t="n">
        <x:v>46182</x:v>
      </x:c>
      <x:c r="J668" s="37" t="n">
        <x:v>46182</x:v>
      </x:c>
      <x:c r="K668" s="19" t="str">
        <x:v>Green RV - Slacks Creek</x:v>
      </x:c>
      <x:c r="L668" s="19" t="str">
        <x:v>Z006</x:v>
      </x:c>
      <x:c r="M668" s="19" t="str">
        <x:v>In Field Warranty Claims</x:v>
      </x:c>
      <x:c r="N668" s="37" t="n">
        <x:v>46181</x:v>
      </x:c>
      <x:c r="O668" s="37"/>
      <x:c r="P668" s="34" t="n">
        <x:v>0</x:v>
      </x:c>
      <x:c r="Q668" s="37" t="n">
        <x:v>46182.18821759259</x:v>
      </x:c>
    </x:row>
    <x:row r="669">
      <x:c r="A669" s="22" t="n">
        <x:v>36055</x:v>
      </x:c>
      <x:c r="B669" s="28" t="n">
        <x:v>145</x:v>
      </x:c>
      <x:c r="C669" s="28"/>
      <x:c r="D669" s="31" t="str">
        <x:f>IF(OR(ISBLANK(B669),ISBLANK(C669),B669=0),"",(C669-B669)/B669)</x:f>
      </x:c>
      <x:c r="E669" s="22" t="str">
        <x:f>IF(ISBLANK(C669),"AmountIncludingTax缺失",IF(ABS(B669-C669)&lt;0.005,"一致","不一致"))</x:f>
        <x:v>AmountIncludingTax缺失</x:v>
      </x:c>
      <x:c r="F669" s="19" t="str">
        <x:v>approved</x:v>
      </x:c>
      <x:c r="G669" s="19" t="str">
        <x:v>Repairer Invoiced Processed</x:v>
      </x:c>
      <x:c r="H669" s="19" t="str">
        <x:v>In Field</x:v>
      </x:c>
      <x:c r="I669" s="37" t="n">
        <x:v>46182</x:v>
      </x:c>
      <x:c r="J669" s="37" t="n">
        <x:v>46182</x:v>
      </x:c>
      <x:c r="K669" s="19" t="str">
        <x:v>Green RV - Forest Glen</x:v>
      </x:c>
      <x:c r="L669" s="19" t="str">
        <x:v>Z006</x:v>
      </x:c>
      <x:c r="M669" s="19" t="str">
        <x:v>In Field Warranty Claims</x:v>
      </x:c>
      <x:c r="N669" s="37" t="n">
        <x:v>46181</x:v>
      </x:c>
      <x:c r="O669" s="37"/>
      <x:c r="P669" s="34" t="n">
        <x:v>0</x:v>
      </x:c>
      <x:c r="Q669" s="37" t="n">
        <x:v>46181.980219907404</x:v>
      </x:c>
    </x:row>
    <x:row r="670">
      <x:c r="A670" s="22" t="n">
        <x:v>36052</x:v>
      </x:c>
      <x:c r="B670" s="28" t="n">
        <x:v>472.5</x:v>
      </x:c>
      <x:c r="C670" s="28"/>
      <x:c r="D670" s="31" t="str">
        <x:f>IF(OR(ISBLANK(B670),ISBLANK(C670),B670=0),"",(C670-B670)/B670)</x:f>
      </x:c>
      <x:c r="E670" s="22" t="str">
        <x:f>IF(ISBLANK(C670),"AmountIncludingTax缺失",IF(ABS(B670-C670)&lt;0.005,"一致","不一致"))</x:f>
        <x:v>AmountIncludingTax缺失</x:v>
      </x:c>
      <x:c r="F670" s="19" t="str">
        <x:v>approved</x:v>
      </x:c>
      <x:c r="G670" s="19" t="str">
        <x:v>Repair in Progress</x:v>
      </x:c>
      <x:c r="H670" s="19" t="str">
        <x:v>In Field</x:v>
      </x:c>
      <x:c r="I670" s="37" t="n">
        <x:v>46185</x:v>
      </x:c>
      <x:c r="J670" s="37" t="n">
        <x:v>46185</x:v>
      </x:c>
      <x:c r="K670" s="19" t="str">
        <x:v>Regent RV Pty Ltd</x:v>
      </x:c>
      <x:c r="L670" s="19" t="str">
        <x:v>Z006</x:v>
      </x:c>
      <x:c r="M670" s="19" t="str">
        <x:v>In Field Warranty Claims</x:v>
      </x:c>
      <x:c r="N670" s="37" t="n">
        <x:v>46179</x:v>
      </x:c>
      <x:c r="O670" s="37"/>
      <x:c r="P670" s="34" t="n">
        <x:v>0</x:v>
      </x:c>
      <x:c r="Q670" s="37" t="n">
        <x:v>46185.15078703704</x:v>
      </x:c>
    </x:row>
    <x:row r="671">
      <x:c r="A671" s="22" t="n">
        <x:v>36051</x:v>
      </x:c>
      <x:c r="B671" s="28" t="n">
        <x:v>202.5</x:v>
      </x:c>
      <x:c r="C671" s="28"/>
      <x:c r="D671" s="31" t="str">
        <x:f>IF(OR(ISBLANK(B671),ISBLANK(C671),B671=0),"",(C671-B671)/B671)</x:f>
      </x:c>
      <x:c r="E671" s="22" t="str">
        <x:f>IF(ISBLANK(C671),"AmountIncludingTax缺失",IF(ABS(B671-C671)&lt;0.005,"一致","不一致"))</x:f>
        <x:v>AmountIncludingTax缺失</x:v>
      </x:c>
      <x:c r="F671" s="19" t="str">
        <x:v>approved</x:v>
      </x:c>
      <x:c r="G671" s="19" t="str">
        <x:v>Partially Picked</x:v>
      </x:c>
      <x:c r="H671" s="19" t="str">
        <x:v>In Field</x:v>
      </x:c>
      <x:c r="I671" s="37" t="n">
        <x:v>46185</x:v>
      </x:c>
      <x:c r="J671" s="37" t="n">
        <x:v>46185</x:v>
      </x:c>
      <x:c r="K671" s="19" t="str">
        <x:v>ABCO Caravans - Boambee Valley</x:v>
      </x:c>
      <x:c r="L671" s="19" t="str">
        <x:v>Z006</x:v>
      </x:c>
      <x:c r="M671" s="19" t="str">
        <x:v>In Field Warranty Claims</x:v>
      </x:c>
      <x:c r="N671" s="37" t="n">
        <x:v>46178</x:v>
      </x:c>
      <x:c r="O671" s="37"/>
      <x:c r="P671" s="34" t="n">
        <x:v>0</x:v>
      </x:c>
      <x:c r="Q671" s="37" t="n">
        <x:v>46185.14160879629</x:v>
      </x:c>
    </x:row>
    <x:row r="672">
      <x:c r="A672" s="22" t="n">
        <x:v>36047</x:v>
      </x:c>
      <x:c r="B672" s="28" t="n">
        <x:v>810</x:v>
      </x:c>
      <x:c r="C672" s="28" t="n">
        <x:v>891</x:v>
      </x:c>
      <x:c r="D672" s="31" t="n">
        <x:f>IF(OR(ISBLANK(B672),ISBLANK(C672),B672=0),"",(C672-B672)/B672)</x:f>
        <x:v>0.1</x:v>
      </x:c>
      <x:c r="E672" s="22" t="str">
        <x:f>IF(ISBLANK(C672),"AmountIncludingTax缺失",IF(ABS(B672-C672)&lt;0.005,"一致","不一致"))</x:f>
        <x:v>不一致</x:v>
      </x:c>
      <x:c r="F672" s="19" t="str">
        <x:v>approved</x:v>
      </x:c>
      <x:c r="G672" s="19" t="str">
        <x:v>Repairer Invoiced Processed</x:v>
      </x:c>
      <x:c r="H672" s="19" t="str">
        <x:v>In Field</x:v>
      </x:c>
      <x:c r="I672" s="37" t="n">
        <x:v>46182</x:v>
      </x:c>
      <x:c r="J672" s="37" t="n">
        <x:v>46182</x:v>
      </x:c>
      <x:c r="K672" s="19" t="str">
        <x:v>Green RV - Forest Glen</x:v>
      </x:c>
      <x:c r="L672" s="19" t="str">
        <x:v>Z006</x:v>
      </x:c>
      <x:c r="M672" s="19" t="str">
        <x:v>In Field Warranty Claims</x:v>
      </x:c>
      <x:c r="N672" s="37" t="n">
        <x:v>46182</x:v>
      </x:c>
      <x:c r="O672" s="37"/>
      <x:c r="P672" s="34" t="n">
        <x:v>891</x:v>
      </x:c>
      <x:c r="Q672" s="37" t="n">
        <x:v>46182.16082175926</x:v>
      </x:c>
    </x:row>
    <x:row r="673">
      <x:c r="A673" s="22" t="n">
        <x:v>36041</x:v>
      </x:c>
      <x:c r="B673" s="28" t="n">
        <x:v>654.55</x:v>
      </x:c>
      <x:c r="C673" s="28" t="n">
        <x:v>150</x:v>
      </x:c>
      <x:c r="D673" s="31" t="n">
        <x:f>IF(OR(ISBLANK(B673),ISBLANK(C673),B673=0),"",(C673-B673)/B673)</x:f>
        <x:v>-0.770834924757467</x:v>
      </x:c>
      <x:c r="E673" s="22" t="str">
        <x:f>IF(ISBLANK(C673),"AmountIncludingTax缺失",IF(ABS(B673-C673)&lt;0.005,"一致","不一致"))</x:f>
        <x:v>不一致</x:v>
      </x:c>
      <x:c r="F673" s="19" t="str">
        <x:v>approved</x:v>
      </x:c>
      <x:c r="G673" s="19" t="str">
        <x:v>Repair in Progress</x:v>
      </x:c>
      <x:c r="H673" s="19" t="str">
        <x:v>In Field</x:v>
      </x:c>
      <x:c r="I673" s="37" t="n">
        <x:v>46203</x:v>
      </x:c>
      <x:c r="J673" s="37" t="n">
        <x:v>46203</x:v>
      </x:c>
      <x:c r="K673" s="19" t="str">
        <x:v>Regent RV - Perth</x:v>
      </x:c>
      <x:c r="L673" s="19" t="str">
        <x:v>Z006</x:v>
      </x:c>
      <x:c r="M673" s="19" t="str">
        <x:v>In Field Warranty Claims</x:v>
      </x:c>
      <x:c r="N673" s="37" t="n">
        <x:v>46178</x:v>
      </x:c>
      <x:c r="O673" s="37"/>
      <x:c r="P673" s="34" t="n">
        <x:v>150</x:v>
      </x:c>
      <x:c r="Q673" s="37" t="n">
        <x:v>46203.09119212963</x:v>
      </x:c>
    </x:row>
    <x:row r="674">
      <x:c r="A674" s="22" t="n">
        <x:v>36038</x:v>
      </x:c>
      <x:c r="B674" s="28" t="n">
        <x:v>101.25</x:v>
      </x:c>
      <x:c r="C674" s="28"/>
      <x:c r="D674" s="31" t="str">
        <x:f>IF(OR(ISBLANK(B674),ISBLANK(C674),B674=0),"",(C674-B674)/B674)</x:f>
      </x:c>
      <x:c r="E674" s="22" t="str">
        <x:f>IF(ISBLANK(C674),"AmountIncludingTax缺失",IF(ABS(B674-C674)&lt;0.005,"一致","不一致"))</x:f>
        <x:v>AmountIncludingTax缺失</x:v>
      </x:c>
      <x:c r="F674" s="19" t="str">
        <x:v>approved</x:v>
      </x:c>
      <x:c r="G674" s="19" t="str">
        <x:v>Repairer Invoiced Processed</x:v>
      </x:c>
      <x:c r="H674" s="19" t="str">
        <x:v>In Field</x:v>
      </x:c>
      <x:c r="I674" s="37" t="n">
        <x:v>46182</x:v>
      </x:c>
      <x:c r="J674" s="37" t="n">
        <x:v>46182</x:v>
      </x:c>
      <x:c r="K674" s="19" t="str">
        <x:v>Snowy River Wangaratta</x:v>
      </x:c>
      <x:c r="L674" s="19" t="str">
        <x:v>Z006</x:v>
      </x:c>
      <x:c r="M674" s="19" t="str">
        <x:v>In Field Warranty Claims</x:v>
      </x:c>
      <x:c r="N674" s="37" t="n">
        <x:v>46178</x:v>
      </x:c>
      <x:c r="O674" s="37"/>
      <x:c r="P674" s="34" t="n">
        <x:v>0</x:v>
      </x:c>
      <x:c r="Q674" s="37" t="n">
        <x:v>46182.07021990741</x:v>
      </x:c>
    </x:row>
    <x:row r="675">
      <x:c r="A675" s="22" t="n">
        <x:v>36037</x:v>
      </x:c>
      <x:c r="B675" s="28" t="n">
        <x:v>145</x:v>
      </x:c>
      <x:c r="C675" s="28"/>
      <x:c r="D675" s="31" t="str">
        <x:f>IF(OR(ISBLANK(B675),ISBLANK(C675),B675=0),"",(C675-B675)/B675)</x:f>
      </x:c>
      <x:c r="E675" s="22" t="str">
        <x:f>IF(ISBLANK(C675),"AmountIncludingTax缺失",IF(ABS(B675-C675)&lt;0.005,"一致","不一致"))</x:f>
        <x:v>AmountIncludingTax缺失</x:v>
      </x:c>
      <x:c r="F675" s="19" t="str">
        <x:v>approved</x:v>
      </x:c>
      <x:c r="G675" s="19" t="str">
        <x:v>Repair in Progress</x:v>
      </x:c>
      <x:c r="H675" s="19" t="str">
        <x:v>In Field</x:v>
      </x:c>
      <x:c r="I675" s="37" t="n">
        <x:v>46182</x:v>
      </x:c>
      <x:c r="J675" s="37" t="n">
        <x:v>46182</x:v>
      </x:c>
      <x:c r="K675" s="19" t="str">
        <x:v>Green RV - Forest Glen</x:v>
      </x:c>
      <x:c r="L675" s="19" t="str">
        <x:v>Z006</x:v>
      </x:c>
      <x:c r="M675" s="19" t="str">
        <x:v>In Field Warranty Claims</x:v>
      </x:c>
      <x:c r="N675" s="37" t="n">
        <x:v>46178</x:v>
      </x:c>
      <x:c r="O675" s="37"/>
      <x:c r="P675" s="34" t="n">
        <x:v>0</x:v>
      </x:c>
      <x:c r="Q675" s="37" t="n">
        <x:v>46182.08699074074</x:v>
      </x:c>
    </x:row>
    <x:row r="676">
      <x:c r="A676" s="22" t="n">
        <x:v>36033</x:v>
      </x:c>
      <x:c r="B676" s="28" t="n">
        <x:v>242.5</x:v>
      </x:c>
      <x:c r="C676" s="28"/>
      <x:c r="D676" s="31" t="str">
        <x:f>IF(OR(ISBLANK(B676),ISBLANK(C676),B676=0),"",(C676-B676)/B676)</x:f>
      </x:c>
      <x:c r="E676" s="22" t="str">
        <x:f>IF(ISBLANK(C676),"AmountIncludingTax缺失",IF(ABS(B676-C676)&lt;0.005,"一致","不一致"))</x:f>
        <x:v>AmountIncludingTax缺失</x:v>
      </x:c>
      <x:c r="F676" s="19" t="str">
        <x:v>approved</x:v>
      </x:c>
      <x:c r="G676" s="19" t="str">
        <x:v>Repair in Progress</x:v>
      </x:c>
      <x:c r="H676" s="19" t="str">
        <x:v>In Field</x:v>
      </x:c>
      <x:c r="I676" s="37" t="n">
        <x:v>46190</x:v>
      </x:c>
      <x:c r="J676" s="37" t="n">
        <x:v>46184</x:v>
      </x:c>
      <x:c r="K676" s="19" t="str">
        <x:v>Lesiure Lion-New Castle</x:v>
      </x:c>
      <x:c r="L676" s="19" t="str">
        <x:v>Z006</x:v>
      </x:c>
      <x:c r="M676" s="19" t="str">
        <x:v>In Field Warranty Claims</x:v>
      </x:c>
      <x:c r="N676" s="37" t="n">
        <x:v>46178</x:v>
      </x:c>
      <x:c r="O676" s="37"/>
      <x:c r="P676" s="34" t="n">
        <x:v>0</x:v>
      </x:c>
      <x:c r="Q676" s="37" t="n">
        <x:v>46189.92403935185</x:v>
      </x:c>
    </x:row>
    <x:row r="677">
      <x:c r="A677" s="22" t="n">
        <x:v>36032</x:v>
      </x:c>
      <x:c r="B677" s="28" t="n">
        <x:v>782.5</x:v>
      </x:c>
      <x:c r="C677" s="28"/>
      <x:c r="D677" s="31" t="str">
        <x:f>IF(OR(ISBLANK(B677),ISBLANK(C677),B677=0),"",(C677-B677)/B677)</x:f>
      </x:c>
      <x:c r="E677" s="22" t="str">
        <x:f>IF(ISBLANK(C677),"AmountIncludingTax缺失",IF(ABS(B677-C677)&lt;0.005,"一致","不一致"))</x:f>
        <x:v>AmountIncludingTax缺失</x:v>
      </x:c>
      <x:c r="F677" s="19" t="str">
        <x:v>approved</x:v>
      </x:c>
      <x:c r="G677" s="19" t="str">
        <x:v>Repair in Progress</x:v>
      </x:c>
      <x:c r="H677" s="19" t="str">
        <x:v>In Field</x:v>
      </x:c>
      <x:c r="I677" s="37" t="n">
        <x:v>46182</x:v>
      </x:c>
      <x:c r="J677" s="37" t="n">
        <x:v>46182</x:v>
      </x:c>
      <x:c r="K677" s="19" t="str">
        <x:v>Snowy River Wangaratta</x:v>
      </x:c>
      <x:c r="L677" s="19" t="str">
        <x:v>Z006</x:v>
      </x:c>
      <x:c r="M677" s="19" t="str">
        <x:v>In Field Warranty Claims</x:v>
      </x:c>
      <x:c r="N677" s="37" t="n">
        <x:v>46178</x:v>
      </x:c>
      <x:c r="O677" s="37"/>
      <x:c r="P677" s="34" t="n">
        <x:v>0</x:v>
      </x:c>
      <x:c r="Q677" s="37" t="n">
        <x:v>46182.13486111111</x:v>
      </x:c>
    </x:row>
    <x:row r="678">
      <x:c r="A678" s="22" t="n">
        <x:v>36020</x:v>
      </x:c>
      <x:c r="B678" s="28" t="n">
        <x:v>101.25</x:v>
      </x:c>
      <x:c r="C678" s="28"/>
      <x:c r="D678" s="31" t="str">
        <x:f>IF(OR(ISBLANK(B678),ISBLANK(C678),B678=0),"",(C678-B678)/B678)</x:f>
      </x:c>
      <x:c r="E678" s="22" t="str">
        <x:f>IF(ISBLANK(C678),"AmountIncludingTax缺失",IF(ABS(B678-C678)&lt;0.005,"一致","不一致"))</x:f>
        <x:v>AmountIncludingTax缺失</x:v>
      </x:c>
      <x:c r="F678" s="19" t="str">
        <x:v>approved</x:v>
      </x:c>
      <x:c r="G678" s="19" t="str">
        <x:v>Sales Order Approved</x:v>
      </x:c>
      <x:c r="H678" s="19" t="str">
        <x:v>In Field</x:v>
      </x:c>
      <x:c r="I678" s="37" t="n">
        <x:v>46197</x:v>
      </x:c>
      <x:c r="J678" s="37" t="n">
        <x:v>46197</x:v>
      </x:c>
      <x:c r="K678" s="19" t="str">
        <x:v>ABCO Caravans - Boambee Valley</x:v>
      </x:c>
      <x:c r="L678" s="19" t="str">
        <x:v>Z006</x:v>
      </x:c>
      <x:c r="M678" s="19" t="str">
        <x:v>In Field Warranty Claims</x:v>
      </x:c>
      <x:c r="N678" s="37" t="n">
        <x:v>46179</x:v>
      </x:c>
      <x:c r="O678" s="37"/>
      <x:c r="P678" s="34" t="n">
        <x:v>0</x:v>
      </x:c>
      <x:c r="Q678" s="37" t="n">
        <x:v>46197.23563657407</x:v>
      </x:c>
    </x:row>
    <x:row r="679">
      <x:c r="A679" s="22" t="n">
        <x:v>36019</x:v>
      </x:c>
      <x:c r="B679" s="28" t="n">
        <x:v>135</x:v>
      </x:c>
      <x:c r="C679" s="28"/>
      <x:c r="D679" s="31" t="str">
        <x:f>IF(OR(ISBLANK(B679),ISBLANK(C679),B679=0),"",(C679-B679)/B679)</x:f>
      </x:c>
      <x:c r="E679" s="22" t="str">
        <x:f>IF(ISBLANK(C679),"AmountIncludingTax缺失",IF(ABS(B679-C679)&lt;0.005,"一致","不一致"))</x:f>
        <x:v>AmountIncludingTax缺失</x:v>
      </x:c>
      <x:c r="F679" s="19" t="str">
        <x:v>approved</x:v>
      </x:c>
      <x:c r="G679" s="19" t="str">
        <x:v>Sales Order Approved</x:v>
      </x:c>
      <x:c r="H679" s="19" t="str">
        <x:v>In Field</x:v>
      </x:c>
      <x:c r="I679" s="37" t="n">
        <x:v>46196</x:v>
      </x:c>
      <x:c r="J679" s="37" t="n">
        <x:v>46196</x:v>
      </x:c>
      <x:c r="K679" s="19" t="str">
        <x:v>ABCO Caravans - Boambee Valley</x:v>
      </x:c>
      <x:c r="L679" s="19" t="str">
        <x:v>Z006</x:v>
      </x:c>
      <x:c r="M679" s="19" t="str">
        <x:v>In Field Warranty Claims</x:v>
      </x:c>
      <x:c r="N679" s="37" t="n">
        <x:v>46179</x:v>
      </x:c>
      <x:c r="O679" s="37"/>
      <x:c r="P679" s="34" t="n">
        <x:v>0</x:v>
      </x:c>
      <x:c r="Q679" s="37" t="n">
        <x:v>46196.02920138889</x:v>
      </x:c>
    </x:row>
    <x:row r="680">
      <x:c r="A680" s="22" t="n">
        <x:v>36018</x:v>
      </x:c>
      <x:c r="B680" s="28" t="n">
        <x:v>270</x:v>
      </x:c>
      <x:c r="C680" s="28"/>
      <x:c r="D680" s="31" t="str">
        <x:f>IF(OR(ISBLANK(B680),ISBLANK(C680),B680=0),"",(C680-B680)/B680)</x:f>
      </x:c>
      <x:c r="E680" s="22" t="str">
        <x:f>IF(ISBLANK(C680),"AmountIncludingTax缺失",IF(ABS(B680-C680)&lt;0.005,"一致","不一致"))</x:f>
        <x:v>AmountIncludingTax缺失</x:v>
      </x:c>
      <x:c r="F680" s="19" t="str">
        <x:v>approved</x:v>
      </x:c>
      <x:c r="G680" s="19" t="str">
        <x:v>Repair in Progress</x:v>
      </x:c>
      <x:c r="H680" s="19" t="str">
        <x:v>In Field</x:v>
      </x:c>
      <x:c r="I680" s="37" t="n">
        <x:v>46182</x:v>
      </x:c>
      <x:c r="J680" s="37" t="n">
        <x:v>46182</x:v>
      </x:c>
      <x:c r="K680" s="19" t="str">
        <x:v>Green RV - Forest Glen</x:v>
      </x:c>
      <x:c r="L680" s="19" t="str">
        <x:v>Z006</x:v>
      </x:c>
      <x:c r="M680" s="19" t="str">
        <x:v>In Field Warranty Claims</x:v>
      </x:c>
      <x:c r="N680" s="37" t="n">
        <x:v>46178</x:v>
      </x:c>
      <x:c r="O680" s="37"/>
      <x:c r="P680" s="34" t="n">
        <x:v>0</x:v>
      </x:c>
      <x:c r="Q680" s="37" t="n">
        <x:v>46182.08153935185</x:v>
      </x:c>
    </x:row>
    <x:row r="681">
      <x:c r="A681" s="22" t="n">
        <x:v>36017</x:v>
      </x:c>
      <x:c r="B681" s="28" t="n">
        <x:v>1759.09</x:v>
      </x:c>
      <x:c r="C681" s="28"/>
      <x:c r="D681" s="31" t="str">
        <x:f>IF(OR(ISBLANK(B681),ISBLANK(C681),B681=0),"",(C681-B681)/B681)</x:f>
      </x:c>
      <x:c r="E681" s="22" t="str">
        <x:f>IF(ISBLANK(C681),"AmountIncludingTax缺失",IF(ABS(B681-C681)&lt;0.005,"一致","不一致"))</x:f>
        <x:v>AmountIncludingTax缺失</x:v>
      </x:c>
      <x:c r="F681" s="19" t="str">
        <x:v>approved</x:v>
      </x:c>
      <x:c r="G681" s="19" t="str">
        <x:v>Repairer Invoiced Processed</x:v>
      </x:c>
      <x:c r="H681" s="19" t="str">
        <x:v>In Field</x:v>
      </x:c>
      <x:c r="I681" s="37" t="n">
        <x:v>46182</x:v>
      </x:c>
      <x:c r="J681" s="37" t="n">
        <x:v>46182</x:v>
      </x:c>
      <x:c r="K681" s="19" t="str">
        <x:v>Green RV - Forest Glen</x:v>
      </x:c>
      <x:c r="L681" s="19" t="str">
        <x:v>Z006</x:v>
      </x:c>
      <x:c r="M681" s="19" t="str">
        <x:v>In Field Warranty Claims</x:v>
      </x:c>
      <x:c r="N681" s="37" t="n">
        <x:v>46178</x:v>
      </x:c>
      <x:c r="O681" s="37"/>
      <x:c r="P681" s="34" t="n">
        <x:v>1935</x:v>
      </x:c>
      <x:c r="Q681" s="37" t="n">
        <x:v>46182.12875</x:v>
      </x:c>
    </x:row>
    <x:row r="682">
      <x:c r="A682" s="22" t="n">
        <x:v>36016</x:v>
      </x:c>
      <x:c r="B682" s="28" t="n">
        <x:v>1080</x:v>
      </x:c>
      <x:c r="C682" s="28"/>
      <x:c r="D682" s="31" t="str">
        <x:f>IF(OR(ISBLANK(B682),ISBLANK(C682),B682=0),"",(C682-B682)/B682)</x:f>
      </x:c>
      <x:c r="E682" s="22" t="str">
        <x:f>IF(ISBLANK(C682),"AmountIncludingTax缺失",IF(ABS(B682-C682)&lt;0.005,"一致","不一致"))</x:f>
        <x:v>AmountIncludingTax缺失</x:v>
      </x:c>
      <x:c r="F682" s="19" t="str">
        <x:v>approved</x:v>
      </x:c>
      <x:c r="G682" s="19" t="str">
        <x:v>Repair in Progress</x:v>
      </x:c>
      <x:c r="H682" s="19" t="str">
        <x:v>In Field</x:v>
      </x:c>
      <x:c r="I682" s="37" t="n">
        <x:v>46190</x:v>
      </x:c>
      <x:c r="J682" s="37" t="n">
        <x:v>46190</x:v>
      </x:c>
      <x:c r="K682" s="19" t="str">
        <x:v>Green RV - Forest Glen</x:v>
      </x:c>
      <x:c r="L682" s="19" t="str">
        <x:v>Z006</x:v>
      </x:c>
      <x:c r="M682" s="19" t="str">
        <x:v>In Field Warranty Claims</x:v>
      </x:c>
      <x:c r="N682" s="37" t="n">
        <x:v>46178</x:v>
      </x:c>
      <x:c r="O682" s="37"/>
      <x:c r="P682" s="34" t="n">
        <x:v>0</x:v>
      </x:c>
      <x:c r="Q682" s="37" t="n">
        <x:v>46190.158634259256</x:v>
      </x:c>
    </x:row>
    <x:row r="683">
      <x:c r="A683" s="22" t="n">
        <x:v>36015</x:v>
      </x:c>
      <x:c r="B683" s="28" t="n">
        <x:v>906.7</x:v>
      </x:c>
      <x:c r="C683" s="28" t="n">
        <x:v>820.93</x:v>
      </x:c>
      <x:c r="D683" s="31" t="n">
        <x:f>IF(OR(ISBLANK(B683),ISBLANK(C683),B683=0),"",(C683-B683)/B683)</x:f>
        <x:v>-0.09459578691959865</x:v>
      </x:c>
      <x:c r="E683" s="22" t="str">
        <x:f>IF(ISBLANK(C683),"AmountIncludingTax缺失",IF(ABS(B683-C683)&lt;0.005,"一致","不一致"))</x:f>
        <x:v>不一致</x:v>
      </x:c>
      <x:c r="F683" s="19" t="str">
        <x:v>approved</x:v>
      </x:c>
      <x:c r="G683" s="19" t="str">
        <x:v>Repairer Invoiced Processed</x:v>
      </x:c>
      <x:c r="H683" s="19" t="str">
        <x:v>In Field</x:v>
      </x:c>
      <x:c r="I683" s="37" t="n">
        <x:v>46183</x:v>
      </x:c>
      <x:c r="J683" s="37" t="n">
        <x:v>46183</x:v>
      </x:c>
      <x:c r="K683" s="19" t="str">
        <x:v>Vanari Caravans - Marden Point</x:v>
      </x:c>
      <x:c r="L683" s="19" t="str">
        <x:v>Z006</x:v>
      </x:c>
      <x:c r="M683" s="19" t="str">
        <x:v>In Field Warranty Claims</x:v>
      </x:c>
      <x:c r="N683" s="37" t="n">
        <x:v>46178</x:v>
      </x:c>
      <x:c r="O683" s="37"/>
      <x:c r="P683" s="34" t="n">
        <x:v>820.93</x:v>
      </x:c>
      <x:c r="Q683" s="37" t="n">
        <x:v>46183.182534722226</x:v>
      </x:c>
    </x:row>
    <x:row r="684">
      <x:c r="A684" s="22" t="n">
        <x:v>36013</x:v>
      </x:c>
      <x:c r="B684" s="28" t="n">
        <x:v>255</x:v>
      </x:c>
      <x:c r="C684" s="28" t="n">
        <x:v>230.88</x:v>
      </x:c>
      <x:c r="D684" s="31" t="n">
        <x:f>IF(OR(ISBLANK(B684),ISBLANK(C684),B684=0),"",(C684-B684)/B684)</x:f>
        <x:v>-0.09458823529411767</x:v>
      </x:c>
      <x:c r="E684" s="22" t="str">
        <x:f>IF(ISBLANK(C684),"AmountIncludingTax缺失",IF(ABS(B684-C684)&lt;0.005,"一致","不一致"))</x:f>
        <x:v>不一致</x:v>
      </x:c>
      <x:c r="F684" s="19" t="str">
        <x:v>approved</x:v>
      </x:c>
      <x:c r="G684" s="19" t="str">
        <x:v>Repairer Invoiced Processed</x:v>
      </x:c>
      <x:c r="H684" s="19" t="str">
        <x:v>In Field</x:v>
      </x:c>
      <x:c r="I684" s="37" t="n">
        <x:v>46185</x:v>
      </x:c>
      <x:c r="J684" s="37" t="n">
        <x:v>46185</x:v>
      </x:c>
      <x:c r="K684" s="19" t="str">
        <x:v>Vanari Caravans - Marden Point</x:v>
      </x:c>
      <x:c r="L684" s="19" t="str">
        <x:v>Z006</x:v>
      </x:c>
      <x:c r="M684" s="19" t="str">
        <x:v>In Field Warranty Claims</x:v>
      </x:c>
      <x:c r="N684" s="37" t="n">
        <x:v>46178</x:v>
      </x:c>
      <x:c r="O684" s="37"/>
      <x:c r="P684" s="34" t="n">
        <x:v>230.88</x:v>
      </x:c>
      <x:c r="Q684" s="37" t="n">
        <x:v>46185.07928240741</x:v>
      </x:c>
    </x:row>
    <x:row r="685">
      <x:c r="A685" s="22" t="n">
        <x:v>36012</x:v>
      </x:c>
      <x:c r="B685" s="28" t="n">
        <x:v>850</x:v>
      </x:c>
      <x:c r="C685" s="28" t="n">
        <x:v>769.59</x:v>
      </x:c>
      <x:c r="D685" s="31" t="n">
        <x:f>IF(OR(ISBLANK(B685),ISBLANK(C685),B685=0),"",(C685-B685)/B685)</x:f>
        <x:v>-0.09459999999999996</x:v>
      </x:c>
      <x:c r="E685" s="22" t="str">
        <x:f>IF(ISBLANK(C685),"AmountIncludingTax缺失",IF(ABS(B685-C685)&lt;0.005,"一致","不一致"))</x:f>
        <x:v>不一致</x:v>
      </x:c>
      <x:c r="F685" s="19" t="str">
        <x:v>approved</x:v>
      </x:c>
      <x:c r="G685" s="19" t="str">
        <x:v>Repairer Invoiced Processed</x:v>
      </x:c>
      <x:c r="H685" s="19" t="str">
        <x:v>In Field</x:v>
      </x:c>
      <x:c r="I685" s="37" t="n">
        <x:v>46209</x:v>
      </x:c>
      <x:c r="J685" s="37" t="n">
        <x:v>46209</x:v>
      </x:c>
      <x:c r="K685" s="19" t="str">
        <x:v>Vanari Caravans - Marden Point</x:v>
      </x:c>
      <x:c r="L685" s="19" t="str">
        <x:v>Z006</x:v>
      </x:c>
      <x:c r="M685" s="19" t="str">
        <x:v>In Field Warranty Claims</x:v>
      </x:c>
      <x:c r="N685" s="37" t="n">
        <x:v>46177</x:v>
      </x:c>
      <x:c r="O685" s="37"/>
      <x:c r="P685" s="34" t="n">
        <x:v>769.59</x:v>
      </x:c>
      <x:c r="Q685" s="37" t="n">
        <x:v>46209.144375</x:v>
      </x:c>
    </x:row>
    <x:row r="686">
      <x:c r="A686" s="22" t="n">
        <x:v>36011</x:v>
      </x:c>
      <x:c r="B686" s="28" t="n">
        <x:v>222.5</x:v>
      </x:c>
      <x:c r="C686" s="28"/>
      <x:c r="D686" s="31" t="str">
        <x:f>IF(OR(ISBLANK(B686),ISBLANK(C686),B686=0),"",(C686-B686)/B686)</x:f>
      </x:c>
      <x:c r="E686" s="22" t="str">
        <x:f>IF(ISBLANK(C686),"AmountIncludingTax缺失",IF(ABS(B686-C686)&lt;0.005,"一致","不一致"))</x:f>
        <x:v>AmountIncludingTax缺失</x:v>
      </x:c>
      <x:c r="F686" s="19" t="str">
        <x:v>approved</x:v>
      </x:c>
      <x:c r="G686" s="19" t="str">
        <x:v>Sales Order Approved</x:v>
      </x:c>
      <x:c r="H686" s="19" t="str">
        <x:v>Pre Delivery</x:v>
      </x:c>
      <x:c r="I686" s="37" t="n">
        <x:v>46178</x:v>
      </x:c>
      <x:c r="J686" s="37" t="n">
        <x:v>46178</x:v>
      </x:c>
      <x:c r="K686" s="19" t="str">
        <x:v>Snowy River Wangaratta</x:v>
      </x:c>
      <x:c r="L686" s="19" t="str">
        <x:v>Z005</x:v>
      </x:c>
      <x:c r="M686" s="19" t="str">
        <x:v>Pre Delivery Warranty Claims</x:v>
      </x:c>
      <x:c r="N686" s="37" t="n">
        <x:v>46177</x:v>
      </x:c>
      <x:c r="O686" s="37"/>
      <x:c r="P686" s="34" t="n">
        <x:v>0</x:v>
      </x:c>
      <x:c r="Q686" s="37" t="n">
        <x:v>46178.14732638889</x:v>
      </x:c>
    </x:row>
    <x:row r="687">
      <x:c r="A687" s="22" t="n">
        <x:v>36009</x:v>
      </x:c>
      <x:c r="B687" s="28" t="n">
        <x:v>370</x:v>
      </x:c>
      <x:c r="C687" s="28" t="n">
        <x:v>335</x:v>
      </x:c>
      <x:c r="D687" s="31" t="n">
        <x:f>IF(OR(ISBLANK(B687),ISBLANK(C687),B687=0),"",(C687-B687)/B687)</x:f>
        <x:v>-0.0945945945945946</x:v>
      </x:c>
      <x:c r="E687" s="22" t="str">
        <x:f>IF(ISBLANK(C687),"AmountIncludingTax缺失",IF(ABS(B687-C687)&lt;0.005,"一致","不一致"))</x:f>
        <x:v>不一致</x:v>
      </x:c>
      <x:c r="F687" s="19" t="str">
        <x:v>approved</x:v>
      </x:c>
      <x:c r="G687" s="19" t="str">
        <x:v>Repairer Invoiced Processed</x:v>
      </x:c>
      <x:c r="H687" s="19" t="str">
        <x:v>In Field</x:v>
      </x:c>
      <x:c r="I687" s="37" t="n">
        <x:v>46183</x:v>
      </x:c>
      <x:c r="J687" s="37" t="n">
        <x:v>46183</x:v>
      </x:c>
      <x:c r="K687" s="19" t="str">
        <x:v>Vanari Caravans - Marden Point</x:v>
      </x:c>
      <x:c r="L687" s="19" t="str">
        <x:v>Z006</x:v>
      </x:c>
      <x:c r="M687" s="19" t="str">
        <x:v>In Field Warranty Claims</x:v>
      </x:c>
      <x:c r="N687" s="37" t="n">
        <x:v>46177</x:v>
      </x:c>
      <x:c r="O687" s="37"/>
      <x:c r="P687" s="34" t="n">
        <x:v>335</x:v>
      </x:c>
      <x:c r="Q687" s="37" t="n">
        <x:v>46183.05197916667</x:v>
      </x:c>
    </x:row>
    <x:row r="688">
      <x:c r="A688" s="22" t="n">
        <x:v>36002</x:v>
      </x:c>
      <x:c r="B688" s="28" t="n">
        <x:v>101.25</x:v>
      </x:c>
      <x:c r="C688" s="28"/>
      <x:c r="D688" s="31" t="str">
        <x:f>IF(OR(ISBLANK(B688),ISBLANK(C688),B688=0),"",(C688-B688)/B688)</x:f>
      </x:c>
      <x:c r="E688" s="22" t="str">
        <x:f>IF(ISBLANK(C688),"AmountIncludingTax缺失",IF(ABS(B688-C688)&lt;0.005,"一致","不一致"))</x:f>
        <x:v>AmountIncludingTax缺失</x:v>
      </x:c>
      <x:c r="F688" s="19" t="str">
        <x:v>approved</x:v>
      </x:c>
      <x:c r="G688" s="19" t="str">
        <x:v>Repair in Progress</x:v>
      </x:c>
      <x:c r="H688" s="19" t="str">
        <x:v>In Field</x:v>
      </x:c>
      <x:c r="I688" s="37" t="n">
        <x:v>46178</x:v>
      </x:c>
      <x:c r="J688" s="37" t="n">
        <x:v>46178</x:v>
      </x:c>
      <x:c r="K688" s="19" t="str">
        <x:v>Regent RV - Perth</x:v>
      </x:c>
      <x:c r="L688" s="19" t="str">
        <x:v>Z006</x:v>
      </x:c>
      <x:c r="M688" s="19" t="str">
        <x:v>In Field Warranty Claims</x:v>
      </x:c>
      <x:c r="N688" s="37" t="n">
        <x:v>46177</x:v>
      </x:c>
      <x:c r="O688" s="37"/>
      <x:c r="P688" s="34" t="n">
        <x:v>0</x:v>
      </x:c>
      <x:c r="Q688" s="37" t="n">
        <x:v>46177.90224537037</x:v>
      </x:c>
    </x:row>
    <x:row r="689">
      <x:c r="A689" s="22" t="n">
        <x:v>36001</x:v>
      </x:c>
      <x:c r="B689" s="28" t="n">
        <x:v>237.5</x:v>
      </x:c>
      <x:c r="C689" s="28"/>
      <x:c r="D689" s="31" t="str">
        <x:f>IF(OR(ISBLANK(B689),ISBLANK(C689),B689=0),"",(C689-B689)/B689)</x:f>
      </x:c>
      <x:c r="E689" s="22" t="str">
        <x:f>IF(ISBLANK(C689),"AmountIncludingTax缺失",IF(ABS(B689-C689)&lt;0.005,"一致","不一致"))</x:f>
        <x:v>AmountIncludingTax缺失</x:v>
      </x:c>
      <x:c r="F689" s="19" t="str">
        <x:v>approved</x:v>
      </x:c>
      <x:c r="G689" s="19" t="str">
        <x:v>Repair in Progress</x:v>
      </x:c>
      <x:c r="H689" s="19" t="str">
        <x:v>In Field</x:v>
      </x:c>
      <x:c r="I689" s="37" t="n">
        <x:v>46186</x:v>
      </x:c>
      <x:c r="J689" s="37" t="n">
        <x:v>46186</x:v>
      </x:c>
      <x:c r="K689" s="19" t="str">
        <x:v>The Caravan Hub - Townsville</x:v>
      </x:c>
      <x:c r="L689" s="19" t="str">
        <x:v>Z006</x:v>
      </x:c>
      <x:c r="M689" s="19" t="str">
        <x:v>In Field Warranty Claims</x:v>
      </x:c>
      <x:c r="N689" s="37" t="n">
        <x:v>46177</x:v>
      </x:c>
      <x:c r="O689" s="37"/>
      <x:c r="P689" s="34" t="n">
        <x:v>0</x:v>
      </x:c>
      <x:c r="Q689" s="37" t="n">
        <x:v>46185.978541666664</x:v>
      </x:c>
    </x:row>
    <x:row r="690">
      <x:c r="A690" s="22" t="n">
        <x:v>35995</x:v>
      </x:c>
      <x:c r="B690" s="28" t="n">
        <x:v>145</x:v>
      </x:c>
      <x:c r="C690" s="28"/>
      <x:c r="D690" s="31" t="str">
        <x:f>IF(OR(ISBLANK(B690),ISBLANK(C690),B690=0),"",(C690-B690)/B690)</x:f>
      </x:c>
      <x:c r="E690" s="22" t="str">
        <x:f>IF(ISBLANK(C690),"AmountIncludingTax缺失",IF(ABS(B690-C690)&lt;0.005,"一致","不一致"))</x:f>
        <x:v>AmountIncludingTax缺失</x:v>
      </x:c>
      <x:c r="F690" s="19" t="str">
        <x:v>approved</x:v>
      </x:c>
      <x:c r="G690" s="19" t="str">
        <x:v>Repair in Progress</x:v>
      </x:c>
      <x:c r="H690" s="19" t="str">
        <x:v>In Field</x:v>
      </x:c>
      <x:c r="I690" s="37" t="n">
        <x:v>46178</x:v>
      </x:c>
      <x:c r="J690" s="37" t="n">
        <x:v>46178</x:v>
      </x:c>
      <x:c r="K690" s="19" t="str">
        <x:v>Destiny RV - South Australia</x:v>
      </x:c>
      <x:c r="L690" s="19" t="str">
        <x:v>Z006</x:v>
      </x:c>
      <x:c r="M690" s="19" t="str">
        <x:v>In Field Warranty Claims</x:v>
      </x:c>
      <x:c r="N690" s="37" t="n">
        <x:v>46177</x:v>
      </x:c>
      <x:c r="O690" s="37"/>
      <x:c r="P690" s="34" t="n">
        <x:v>0</x:v>
      </x:c>
      <x:c r="Q690" s="37" t="n">
        <x:v>46177.9734837963</x:v>
      </x:c>
    </x:row>
    <x:row r="691">
      <x:c r="A691" s="22" t="n">
        <x:v>35992</x:v>
      </x:c>
      <x:c r="B691" s="28" t="n">
        <x:v>565</x:v>
      </x:c>
      <x:c r="C691" s="28" t="n">
        <x:v>621.5</x:v>
      </x:c>
      <x:c r="D691" s="31" t="n">
        <x:f>IF(OR(ISBLANK(B691),ISBLANK(C691),B691=0),"",(C691-B691)/B691)</x:f>
        <x:v>0.1</x:v>
      </x:c>
      <x:c r="E691" s="22" t="str">
        <x:f>IF(ISBLANK(C691),"AmountIncludingTax缺失",IF(ABS(B691-C691)&lt;0.005,"一致","不一致"))</x:f>
        <x:v>不一致</x:v>
      </x:c>
      <x:c r="F691" s="19" t="str">
        <x:v>approved</x:v>
      </x:c>
      <x:c r="G691" s="19" t="str">
        <x:v>Repair in Progress</x:v>
      </x:c>
      <x:c r="H691" s="19" t="str">
        <x:v>In Field</x:v>
      </x:c>
      <x:c r="I691" s="37" t="n">
        <x:v>46177</x:v>
      </x:c>
      <x:c r="J691" s="37" t="n">
        <x:v>46177</x:v>
      </x:c>
      <x:c r="K691" s="19" t="str">
        <x:v>Not Assigned</x:v>
      </x:c>
      <x:c r="L691" s="19" t="str">
        <x:v>Z006</x:v>
      </x:c>
      <x:c r="M691" s="19" t="str">
        <x:v>In Field Warranty Claims</x:v>
      </x:c>
      <x:c r="N691" s="37" t="n">
        <x:v>46177</x:v>
      </x:c>
      <x:c r="O691" s="37"/>
      <x:c r="P691" s="34" t="n">
        <x:v>621.5</x:v>
      </x:c>
      <x:c r="Q691" s="37" t="n">
        <x:v>46177.19954861111</x:v>
      </x:c>
    </x:row>
    <x:row r="692">
      <x:c r="A692" s="22" t="n">
        <x:v>35989</x:v>
      </x:c>
      <x:c r="B692" s="28" t="n">
        <x:v>405</x:v>
      </x:c>
      <x:c r="C692" s="28"/>
      <x:c r="D692" s="31" t="str">
        <x:f>IF(OR(ISBLANK(B692),ISBLANK(C692),B692=0),"",(C692-B692)/B692)</x:f>
      </x:c>
      <x:c r="E692" s="22" t="str">
        <x:f>IF(ISBLANK(C692),"AmountIncludingTax缺失",IF(ABS(B692-C692)&lt;0.005,"一致","不一致"))</x:f>
        <x:v>AmountIncludingTax缺失</x:v>
      </x:c>
      <x:c r="F692" s="19" t="str">
        <x:v>approved</x:v>
      </x:c>
      <x:c r="G692" s="19" t="str">
        <x:v>Repair in Progress</x:v>
      </x:c>
      <x:c r="H692" s="19" t="str">
        <x:v>In Field</x:v>
      </x:c>
      <x:c r="I692" s="37" t="n">
        <x:v>46183</x:v>
      </x:c>
      <x:c r="J692" s="37" t="n">
        <x:v>46183</x:v>
      </x:c>
      <x:c r="K692" s="19" t="str">
        <x:v>Regent RV - Frankston</x:v>
      </x:c>
      <x:c r="L692" s="19" t="str">
        <x:v>Z006</x:v>
      </x:c>
      <x:c r="M692" s="19" t="str">
        <x:v>In Field Warranty Claims</x:v>
      </x:c>
      <x:c r="N692" s="37" t="n">
        <x:v>46178</x:v>
      </x:c>
      <x:c r="O692" s="37"/>
      <x:c r="P692" s="34" t="n">
        <x:v>0</x:v>
      </x:c>
      <x:c r="Q692" s="37" t="n">
        <x:v>46182.940104166664</x:v>
      </x:c>
    </x:row>
    <x:row r="693">
      <x:c r="A693" s="22" t="n">
        <x:v>35988</x:v>
      </x:c>
      <x:c r="B693" s="28" t="n">
        <x:v>135</x:v>
      </x:c>
      <x:c r="C693" s="28"/>
      <x:c r="D693" s="31" t="str">
        <x:f>IF(OR(ISBLANK(B693),ISBLANK(C693),B693=0),"",(C693-B693)/B693)</x:f>
      </x:c>
      <x:c r="E693" s="22" t="str">
        <x:f>IF(ISBLANK(C693),"AmountIncludingTax缺失",IF(ABS(B693-C693)&lt;0.005,"一致","不一致"))</x:f>
        <x:v>AmountIncludingTax缺失</x:v>
      </x:c>
      <x:c r="F693" s="19" t="str">
        <x:v>approved</x:v>
      </x:c>
      <x:c r="G693" s="19" t="str">
        <x:v>Repair in Progress</x:v>
      </x:c>
      <x:c r="H693" s="19" t="str">
        <x:v>In Field</x:v>
      </x:c>
      <x:c r="I693" s="37" t="n">
        <x:v>46192</x:v>
      </x:c>
      <x:c r="J693" s="37" t="n">
        <x:v>46192</x:v>
      </x:c>
      <x:c r="K693" s="19" t="str">
        <x:v>Green RV - Forest Glen</x:v>
      </x:c>
      <x:c r="L693" s="19" t="str">
        <x:v>Z006</x:v>
      </x:c>
      <x:c r="M693" s="19" t="str">
        <x:v>In Field Warranty Claims</x:v>
      </x:c>
      <x:c r="N693" s="37" t="n">
        <x:v>46178</x:v>
      </x:c>
      <x:c r="O693" s="37"/>
      <x:c r="P693" s="34" t="n">
        <x:v>0</x:v>
      </x:c>
      <x:c r="Q693" s="37" t="n">
        <x:v>46192.114699074074</x:v>
      </x:c>
    </x:row>
    <x:row r="694">
      <x:c r="A694" s="22" t="n">
        <x:v>35987</x:v>
      </x:c>
      <x:c r="B694" s="28" t="n">
        <x:v>165</x:v>
      </x:c>
      <x:c r="C694" s="28" t="n">
        <x:v>149.39</x:v>
      </x:c>
      <x:c r="D694" s="31" t="n">
        <x:f>IF(OR(ISBLANK(B694),ISBLANK(C694),B694=0),"",(C694-B694)/B694)</x:f>
        <x:v>-0.0946060606060607</x:v>
      </x:c>
      <x:c r="E694" s="22" t="str">
        <x:f>IF(ISBLANK(C694),"AmountIncludingTax缺失",IF(ABS(B694-C694)&lt;0.005,"一致","不一致"))</x:f>
        <x:v>不一致</x:v>
      </x:c>
      <x:c r="F694" s="19" t="str">
        <x:v>approved</x:v>
      </x:c>
      <x:c r="G694" s="19" t="str">
        <x:v>Repairer Invoiced Processed</x:v>
      </x:c>
      <x:c r="H694" s="19" t="str">
        <x:v>In Field</x:v>
      </x:c>
      <x:c r="I694" s="37" t="n">
        <x:v>46183</x:v>
      </x:c>
      <x:c r="J694" s="37" t="n">
        <x:v>46183</x:v>
      </x:c>
      <x:c r="K694" s="19" t="str">
        <x:v>Vanari Caravans - Marden Point</x:v>
      </x:c>
      <x:c r="L694" s="19" t="str">
        <x:v>Z006</x:v>
      </x:c>
      <x:c r="M694" s="19" t="str">
        <x:v>In Field Warranty Claims</x:v>
      </x:c>
      <x:c r="N694" s="37" t="n">
        <x:v>46177</x:v>
      </x:c>
      <x:c r="O694" s="37"/>
      <x:c r="P694" s="34" t="n">
        <x:v>149.39</x:v>
      </x:c>
      <x:c r="Q694" s="37" t="n">
        <x:v>46183.061006944445</x:v>
      </x:c>
    </x:row>
    <x:row r="695">
      <x:c r="A695" s="22" t="n">
        <x:v>35986</x:v>
      </x:c>
      <x:c r="B695" s="28" t="n">
        <x:v>386.25</x:v>
      </x:c>
      <x:c r="C695" s="28" t="n">
        <x:v>349.71</x:v>
      </x:c>
      <x:c r="D695" s="31" t="n">
        <x:f>IF(OR(ISBLANK(B695),ISBLANK(C695),B695=0),"",(C695-B695)/B695)</x:f>
        <x:v>-0.09460194174757287</x:v>
      </x:c>
      <x:c r="E695" s="22" t="str">
        <x:f>IF(ISBLANK(C695),"AmountIncludingTax缺失",IF(ABS(B695-C695)&lt;0.005,"一致","不一致"))</x:f>
        <x:v>不一致</x:v>
      </x:c>
      <x:c r="F695" s="19" t="str">
        <x:v>approved</x:v>
      </x:c>
      <x:c r="G695" s="19" t="str">
        <x:v>Repairer Invoiced Processed</x:v>
      </x:c>
      <x:c r="H695" s="19" t="str">
        <x:v>In Field</x:v>
      </x:c>
      <x:c r="I695" s="37" t="n">
        <x:v>46185</x:v>
      </x:c>
      <x:c r="J695" s="37" t="n">
        <x:v>46185</x:v>
      </x:c>
      <x:c r="K695" s="19" t="str">
        <x:v>Vanari Caravans - Marden Point</x:v>
      </x:c>
      <x:c r="L695" s="19" t="str">
        <x:v>Z006</x:v>
      </x:c>
      <x:c r="M695" s="19" t="str">
        <x:v>In Field Warranty Claims</x:v>
      </x:c>
      <x:c r="N695" s="37" t="n">
        <x:v>46177</x:v>
      </x:c>
      <x:c r="O695" s="37"/>
      <x:c r="P695" s="34" t="n">
        <x:v>349.71</x:v>
      </x:c>
      <x:c r="Q695" s="37" t="n">
        <x:v>46185.058912037035</x:v>
      </x:c>
    </x:row>
    <x:row r="696">
      <x:c r="A696" s="22" t="n">
        <x:v>35984</x:v>
      </x:c>
      <x:c r="B696" s="28" t="n">
        <x:v>526.25</x:v>
      </x:c>
      <x:c r="C696" s="28"/>
      <x:c r="D696" s="31" t="str">
        <x:f>IF(OR(ISBLANK(B696),ISBLANK(C696),B696=0),"",(C696-B696)/B696)</x:f>
      </x:c>
      <x:c r="E696" s="22" t="str">
        <x:f>IF(ISBLANK(C696),"AmountIncludingTax缺失",IF(ABS(B696-C696)&lt;0.005,"一致","不一致"))</x:f>
        <x:v>AmountIncludingTax缺失</x:v>
      </x:c>
      <x:c r="F696" s="19" t="str">
        <x:v>approved</x:v>
      </x:c>
      <x:c r="G696" s="19" t="str">
        <x:v>Repair in Progress</x:v>
      </x:c>
      <x:c r="H696" s="19" t="str">
        <x:v>In Field</x:v>
      </x:c>
      <x:c r="I696" s="37" t="n">
        <x:v>46178</x:v>
      </x:c>
      <x:c r="J696" s="37" t="n">
        <x:v>46178</x:v>
      </x:c>
      <x:c r="K696" s="19" t="str">
        <x:v>Regent RV - Frankston</x:v>
      </x:c>
      <x:c r="L696" s="19" t="str">
        <x:v>Z006</x:v>
      </x:c>
      <x:c r="M696" s="19" t="str">
        <x:v>In Field Warranty Claims</x:v>
      </x:c>
      <x:c r="N696" s="37" t="n">
        <x:v>46177</x:v>
      </x:c>
      <x:c r="O696" s="37"/>
      <x:c r="P696" s="34" t="n">
        <x:v>0</x:v>
      </x:c>
      <x:c r="Q696" s="37" t="n">
        <x:v>46178.061689814815</x:v>
      </x:c>
    </x:row>
    <x:row r="697">
      <x:c r="A697" s="22" t="n">
        <x:v>35983</x:v>
      </x:c>
      <x:c r="B697" s="28" t="n">
        <x:v>985</x:v>
      </x:c>
      <x:c r="C697" s="28"/>
      <x:c r="D697" s="31" t="str">
        <x:f>IF(OR(ISBLANK(B697),ISBLANK(C697),B697=0),"",(C697-B697)/B697)</x:f>
      </x:c>
      <x:c r="E697" s="22" t="str">
        <x:f>IF(ISBLANK(C697),"AmountIncludingTax缺失",IF(ABS(B697-C697)&lt;0.005,"一致","不一致"))</x:f>
        <x:v>AmountIncludingTax缺失</x:v>
      </x:c>
      <x:c r="F697" s="19" t="str">
        <x:v>approved</x:v>
      </x:c>
      <x:c r="G697" s="19" t="str">
        <x:v>Repair in Progress</x:v>
      </x:c>
      <x:c r="H697" s="19" t="str">
        <x:v>In Field</x:v>
      </x:c>
      <x:c r="I697" s="37" t="n">
        <x:v>46178</x:v>
      </x:c>
      <x:c r="J697" s="37" t="n">
        <x:v>46178</x:v>
      </x:c>
      <x:c r="K697" s="19" t="str">
        <x:v>Green RV - Slacks Creek</x:v>
      </x:c>
      <x:c r="L697" s="19" t="str">
        <x:v>Z006</x:v>
      </x:c>
      <x:c r="M697" s="19" t="str">
        <x:v>In Field Warranty Claims</x:v>
      </x:c>
      <x:c r="N697" s="37" t="n">
        <x:v>46177</x:v>
      </x:c>
      <x:c r="O697" s="37"/>
      <x:c r="P697" s="34" t="n">
        <x:v>0</x:v>
      </x:c>
      <x:c r="Q697" s="37" t="n">
        <x:v>46177.940150462964</x:v>
      </x:c>
    </x:row>
    <x:row r="698">
      <x:c r="A698" s="22" t="n">
        <x:v>35982</x:v>
      </x:c>
      <x:c r="B698" s="28" t="n">
        <x:v>280</x:v>
      </x:c>
      <x:c r="C698" s="28"/>
      <x:c r="D698" s="31" t="str">
        <x:f>IF(OR(ISBLANK(B698),ISBLANK(C698),B698=0),"",(C698-B698)/B698)</x:f>
      </x:c>
      <x:c r="E698" s="22" t="str">
        <x:f>IF(ISBLANK(C698),"AmountIncludingTax缺失",IF(ABS(B698-C698)&lt;0.005,"一致","不一致"))</x:f>
        <x:v>AmountIncludingTax缺失</x:v>
      </x:c>
      <x:c r="F698" s="19" t="str">
        <x:v>approved</x:v>
      </x:c>
      <x:c r="G698" s="19" t="str">
        <x:v>Sales Order Approved</x:v>
      </x:c>
      <x:c r="H698" s="19" t="str">
        <x:v>Pre Delivery</x:v>
      </x:c>
      <x:c r="I698" s="37" t="n">
        <x:v>46205</x:v>
      </x:c>
      <x:c r="J698" s="37" t="n">
        <x:v>46205</x:v>
      </x:c>
      <x:c r="K698" s="19" t="str">
        <x:v>Lesiure Lion-New Castle</x:v>
      </x:c>
      <x:c r="L698" s="19" t="str">
        <x:v>Z005</x:v>
      </x:c>
      <x:c r="M698" s="19" t="str">
        <x:v>Pre Delivery Warranty Claims</x:v>
      </x:c>
      <x:c r="N698" s="37" t="n">
        <x:v>46177</x:v>
      </x:c>
      <x:c r="O698" s="37"/>
      <x:c r="P698" s="34" t="n">
        <x:v>0</x:v>
      </x:c>
      <x:c r="Q698" s="37" t="n">
        <x:v>46204.98708333333</x:v>
      </x:c>
    </x:row>
    <x:row r="699">
      <x:c r="A699" s="22" t="n">
        <x:v>35981</x:v>
      </x:c>
      <x:c r="B699" s="28" t="n">
        <x:v>101.25</x:v>
      </x:c>
      <x:c r="C699" s="28"/>
      <x:c r="D699" s="31" t="str">
        <x:f>IF(OR(ISBLANK(B699),ISBLANK(C699),B699=0),"",(C699-B699)/B699)</x:f>
      </x:c>
      <x:c r="E699" s="22" t="str">
        <x:f>IF(ISBLANK(C699),"AmountIncludingTax缺失",IF(ABS(B699-C699)&lt;0.005,"一致","不一致"))</x:f>
        <x:v>AmountIncludingTax缺失</x:v>
      </x:c>
      <x:c r="F699" s="19" t="str">
        <x:v>approved</x:v>
      </x:c>
      <x:c r="G699" s="19" t="str">
        <x:v>Repair in Progress</x:v>
      </x:c>
      <x:c r="H699" s="19" t="str">
        <x:v>In Field</x:v>
      </x:c>
      <x:c r="I699" s="37" t="n">
        <x:v>46178</x:v>
      </x:c>
      <x:c r="J699" s="37" t="n">
        <x:v>46178</x:v>
      </x:c>
      <x:c r="K699" s="19" t="str">
        <x:v>Sherrif Caravans &amp; Traliers - Prospect Vale</x:v>
      </x:c>
      <x:c r="L699" s="19" t="str">
        <x:v>Z006</x:v>
      </x:c>
      <x:c r="M699" s="19" t="str">
        <x:v>In Field Warranty Claims</x:v>
      </x:c>
      <x:c r="N699" s="37" t="n">
        <x:v>46177</x:v>
      </x:c>
      <x:c r="O699" s="37"/>
      <x:c r="P699" s="34" t="n">
        <x:v>0</x:v>
      </x:c>
      <x:c r="Q699" s="37" t="n">
        <x:v>46178.05449074074</x:v>
      </x:c>
    </x:row>
    <x:row r="700">
      <x:c r="A700" s="22" t="n">
        <x:v>35980</x:v>
      </x:c>
      <x:c r="B700" s="28" t="n">
        <x:v>2409.48</x:v>
      </x:c>
      <x:c r="C700" s="28"/>
      <x:c r="D700" s="31" t="str">
        <x:f>IF(OR(ISBLANK(B700),ISBLANK(C700),B700=0),"",(C700-B700)/B700)</x:f>
      </x:c>
      <x:c r="E700" s="22" t="str">
        <x:f>IF(ISBLANK(C700),"AmountIncludingTax缺失",IF(ABS(B700-C700)&lt;0.005,"一致","不一致"))</x:f>
        <x:v>AmountIncludingTax缺失</x:v>
      </x:c>
      <x:c r="F700" s="19" t="str">
        <x:v>approved</x:v>
      </x:c>
      <x:c r="G700" s="19" t="str">
        <x:v>Repairer Invoiced Processed</x:v>
      </x:c>
      <x:c r="H700" s="19" t="str">
        <x:v>In Field</x:v>
      </x:c>
      <x:c r="I700" s="37" t="n">
        <x:v>46184</x:v>
      </x:c>
      <x:c r="J700" s="37" t="n">
        <x:v>46184</x:v>
      </x:c>
      <x:c r="K700" s="19" t="str">
        <x:v>Regent RV - Toowoomba</x:v>
      </x:c>
      <x:c r="L700" s="19" t="str">
        <x:v>Z006</x:v>
      </x:c>
      <x:c r="M700" s="19" t="str">
        <x:v>In Field Warranty Claims</x:v>
      </x:c>
      <x:c r="N700" s="37" t="n">
        <x:v>46177</x:v>
      </x:c>
      <x:c r="O700" s="37"/>
      <x:c r="P700" s="34" t="n">
        <x:v>2650.43</x:v>
      </x:c>
      <x:c r="Q700" s="37" t="n">
        <x:v>46184.07530092593</x:v>
      </x:c>
    </x:row>
    <x:row r="701">
      <x:c r="A701" s="22" t="n">
        <x:v>35979</x:v>
      </x:c>
      <x:c r="B701" s="28" t="n">
        <x:v>178.75</x:v>
      </x:c>
      <x:c r="C701" s="28"/>
      <x:c r="D701" s="31" t="str">
        <x:f>IF(OR(ISBLANK(B701),ISBLANK(C701),B701=0),"",(C701-B701)/B701)</x:f>
      </x:c>
      <x:c r="E701" s="22" t="str">
        <x:f>IF(ISBLANK(C701),"AmountIncludingTax缺失",IF(ABS(B701-C701)&lt;0.005,"一致","不一致"))</x:f>
        <x:v>AmountIncludingTax缺失</x:v>
      </x:c>
      <x:c r="F701" s="19" t="str">
        <x:v>approved</x:v>
      </x:c>
      <x:c r="G701" s="19" t="str">
        <x:v>Repair in Progress</x:v>
      </x:c>
      <x:c r="H701" s="19" t="str">
        <x:v>In Field</x:v>
      </x:c>
      <x:c r="I701" s="37" t="n">
        <x:v>46177</x:v>
      </x:c>
      <x:c r="J701" s="37" t="n">
        <x:v>46177</x:v>
      </x:c>
      <x:c r="K701" s="19" t="str">
        <x:v>Green RV - Slacks Creek</x:v>
      </x:c>
      <x:c r="L701" s="19" t="str">
        <x:v>Z006</x:v>
      </x:c>
      <x:c r="M701" s="19" t="str">
        <x:v>In Field Warranty Claims</x:v>
      </x:c>
      <x:c r="N701" s="37" t="n">
        <x:v>46177</x:v>
      </x:c>
      <x:c r="O701" s="37"/>
      <x:c r="P701" s="34" t="n">
        <x:v>0</x:v>
      </x:c>
      <x:c r="Q701" s="37" t="n">
        <x:v>46177.18597222222</x:v>
      </x:c>
    </x:row>
    <x:row r="702">
      <x:c r="A702" s="22" t="n">
        <x:v>35978</x:v>
      </x:c>
      <x:c r="B702" s="28" t="n">
        <x:v>464.34</x:v>
      </x:c>
      <x:c r="C702" s="28" t="n">
        <x:v>420.41</x:v>
      </x:c>
      <x:c r="D702" s="31" t="n">
        <x:f>IF(OR(ISBLANK(B702),ISBLANK(C702),B702=0),"",(C702-B702)/B702)</x:f>
        <x:v>-0.09460739975018295</x:v>
      </x:c>
      <x:c r="E702" s="22" t="str">
        <x:f>IF(ISBLANK(C702),"AmountIncludingTax缺失",IF(ABS(B702-C702)&lt;0.005,"一致","不一致"))</x:f>
        <x:v>不一致</x:v>
      </x:c>
      <x:c r="F702" s="19" t="str">
        <x:v>approved</x:v>
      </x:c>
      <x:c r="G702" s="19" t="str">
        <x:v>Repair in Progress</x:v>
      </x:c>
      <x:c r="H702" s="19" t="str">
        <x:v>In Field</x:v>
      </x:c>
      <x:c r="I702" s="37" t="n">
        <x:v>46183</x:v>
      </x:c>
      <x:c r="J702" s="37" t="n">
        <x:v>46183</x:v>
      </x:c>
      <x:c r="K702" s="19" t="str">
        <x:v>Vanari Caravans - Marden Point</x:v>
      </x:c>
      <x:c r="L702" s="19" t="str">
        <x:v>Z006</x:v>
      </x:c>
      <x:c r="M702" s="19" t="str">
        <x:v>In Field Warranty Claims</x:v>
      </x:c>
      <x:c r="N702" s="37" t="n">
        <x:v>46177</x:v>
      </x:c>
      <x:c r="O702" s="37"/>
      <x:c r="P702" s="34" t="n">
        <x:v>420.41</x:v>
      </x:c>
      <x:c r="Q702" s="37" t="n">
        <x:v>46183.04230324074</x:v>
      </x:c>
    </x:row>
    <x:row r="703">
      <x:c r="A703" s="22" t="n">
        <x:v>35977</x:v>
      </x:c>
      <x:c r="B703" s="28" t="n">
        <x:v>222.5</x:v>
      </x:c>
      <x:c r="C703" s="28"/>
      <x:c r="D703" s="31" t="str">
        <x:f>IF(OR(ISBLANK(B703),ISBLANK(C703),B703=0),"",(C703-B703)/B703)</x:f>
      </x:c>
      <x:c r="E703" s="22" t="str">
        <x:f>IF(ISBLANK(C703),"AmountIncludingTax缺失",IF(ABS(B703-C703)&lt;0.005,"一致","不一致"))</x:f>
        <x:v>AmountIncludingTax缺失</x:v>
      </x:c>
      <x:c r="F703" s="19" t="str">
        <x:v>approved</x:v>
      </x:c>
      <x:c r="G703" s="19" t="str">
        <x:v>Repair in Progress</x:v>
      </x:c>
      <x:c r="H703" s="19" t="str">
        <x:v>In Field</x:v>
      </x:c>
      <x:c r="I703" s="37" t="n">
        <x:v>46177</x:v>
      </x:c>
      <x:c r="J703" s="37" t="n">
        <x:v>46177</x:v>
      </x:c>
      <x:c r="K703" s="19" t="str">
        <x:v>Green RV - Slacks Creek</x:v>
      </x:c>
      <x:c r="L703" s="19" t="str">
        <x:v>Z006</x:v>
      </x:c>
      <x:c r="M703" s="19" t="str">
        <x:v>In Field Warranty Claims</x:v>
      </x:c>
      <x:c r="N703" s="37" t="n">
        <x:v>46177</x:v>
      </x:c>
      <x:c r="O703" s="37"/>
      <x:c r="P703" s="34" t="n">
        <x:v>0</x:v>
      </x:c>
      <x:c r="Q703" s="37" t="n">
        <x:v>46177.12248842593</x:v>
      </x:c>
    </x:row>
    <x:row r="704">
      <x:c r="A704" s="22" t="n">
        <x:v>35974</x:v>
      </x:c>
      <x:c r="B704" s="28" t="n">
        <x:v>270</x:v>
      </x:c>
      <x:c r="C704" s="28"/>
      <x:c r="D704" s="31" t="str">
        <x:f>IF(OR(ISBLANK(B704),ISBLANK(C704),B704=0),"",(C704-B704)/B704)</x:f>
      </x:c>
      <x:c r="E704" s="22" t="str">
        <x:f>IF(ISBLANK(C704),"AmountIncludingTax缺失",IF(ABS(B704-C704)&lt;0.005,"一致","不一致"))</x:f>
        <x:v>AmountIncludingTax缺失</x:v>
      </x:c>
      <x:c r="F704" s="19" t="str">
        <x:v>approved</x:v>
      </x:c>
      <x:c r="G704" s="19" t="str">
        <x:v>Repair in Progress</x:v>
      </x:c>
      <x:c r="H704" s="19" t="str">
        <x:v>In Field</x:v>
      </x:c>
      <x:c r="I704" s="37" t="n">
        <x:v>46178</x:v>
      </x:c>
      <x:c r="J704" s="37" t="n">
        <x:v>46178</x:v>
      </x:c>
      <x:c r="K704" s="19" t="str">
        <x:v>Sherrif Caravans &amp; Traliers - Prospect Vale</x:v>
      </x:c>
      <x:c r="L704" s="19" t="str">
        <x:v>Z006</x:v>
      </x:c>
      <x:c r="M704" s="19" t="str">
        <x:v>In Field Warranty Claims</x:v>
      </x:c>
      <x:c r="N704" s="37" t="n">
        <x:v>46177</x:v>
      </x:c>
      <x:c r="O704" s="37"/>
      <x:c r="P704" s="34" t="n">
        <x:v>0</x:v>
      </x:c>
      <x:c r="Q704" s="37" t="n">
        <x:v>46178.05774305556</x:v>
      </x:c>
    </x:row>
    <x:row r="705">
      <x:c r="A705" s="22" t="n">
        <x:v>35973</x:v>
      </x:c>
      <x:c r="B705" s="28" t="n">
        <x:v>830</x:v>
      </x:c>
      <x:c r="C705" s="28"/>
      <x:c r="D705" s="31" t="str">
        <x:f>IF(OR(ISBLANK(B705),ISBLANK(C705),B705=0),"",(C705-B705)/B705)</x:f>
      </x:c>
      <x:c r="E705" s="22" t="str">
        <x:f>IF(ISBLANK(C705),"AmountIncludingTax缺失",IF(ABS(B705-C705)&lt;0.005,"一致","不一致"))</x:f>
        <x:v>AmountIncludingTax缺失</x:v>
      </x:c>
      <x:c r="F705" s="19" t="str">
        <x:v>approved</x:v>
      </x:c>
      <x:c r="G705" s="19" t="str">
        <x:v>Repair in Progress</x:v>
      </x:c>
      <x:c r="H705" s="19" t="str">
        <x:v>In Field</x:v>
      </x:c>
      <x:c r="I705" s="37" t="n">
        <x:v>46177</x:v>
      </x:c>
      <x:c r="J705" s="37" t="n">
        <x:v>46177</x:v>
      </x:c>
      <x:c r="K705" s="19" t="str">
        <x:v>Leisure Lion Pty Ltd - Toowoomba</x:v>
      </x:c>
      <x:c r="L705" s="19" t="str">
        <x:v>Z006</x:v>
      </x:c>
      <x:c r="M705" s="19" t="str">
        <x:v>In Field Warranty Claims</x:v>
      </x:c>
      <x:c r="N705" s="37" t="n">
        <x:v>46177</x:v>
      </x:c>
      <x:c r="O705" s="37"/>
      <x:c r="P705" s="34" t="n">
        <x:v>0</x:v>
      </x:c>
      <x:c r="Q705" s="37" t="n">
        <x:v>46177.11912037037</x:v>
      </x:c>
    </x:row>
    <x:row r="706">
      <x:c r="A706" s="22" t="n">
        <x:v>35972</x:v>
      </x:c>
      <x:c r="B706" s="28" t="n">
        <x:v>580</x:v>
      </x:c>
      <x:c r="C706" s="28"/>
      <x:c r="D706" s="31" t="str">
        <x:f>IF(OR(ISBLANK(B706),ISBLANK(C706),B706=0),"",(C706-B706)/B706)</x:f>
      </x:c>
      <x:c r="E706" s="22" t="str">
        <x:f>IF(ISBLANK(C706),"AmountIncludingTax缺失",IF(ABS(B706-C706)&lt;0.005,"一致","不一致"))</x:f>
        <x:v>AmountIncludingTax缺失</x:v>
      </x:c>
      <x:c r="F706" s="19" t="str">
        <x:v>approved</x:v>
      </x:c>
      <x:c r="G706" s="19" t="str">
        <x:v>Repair in Progress</x:v>
      </x:c>
      <x:c r="H706" s="19" t="str">
        <x:v>In Field</x:v>
      </x:c>
      <x:c r="I706" s="37" t="n">
        <x:v>46183</x:v>
      </x:c>
      <x:c r="J706" s="37" t="n">
        <x:v>46183</x:v>
      </x:c>
      <x:c r="K706" s="19" t="str">
        <x:v>Lesiure Lion-New Castle</x:v>
      </x:c>
      <x:c r="L706" s="19" t="str">
        <x:v>Z006</x:v>
      </x:c>
      <x:c r="M706" s="19" t="str">
        <x:v>In Field Warranty Claims</x:v>
      </x:c>
      <x:c r="N706" s="37" t="n">
        <x:v>46177</x:v>
      </x:c>
      <x:c r="O706" s="37"/>
      <x:c r="P706" s="34" t="n">
        <x:v>0</x:v>
      </x:c>
      <x:c r="Q706" s="37" t="n">
        <x:v>46183.193344907406</x:v>
      </x:c>
    </x:row>
    <x:row r="707">
      <x:c r="A707" s="22" t="n">
        <x:v>35965</x:v>
      </x:c>
      <x:c r="B707" s="28" t="n">
        <x:v>35.48</x:v>
      </x:c>
      <x:c r="C707" s="28" t="n">
        <x:v>32.12</x:v>
      </x:c>
      <x:c r="D707" s="31" t="n">
        <x:f>IF(OR(ISBLANK(B707),ISBLANK(C707),B707=0),"",(C707-B707)/B707)</x:f>
        <x:v>-0.09470124013528748</x:v>
      </x:c>
      <x:c r="E707" s="22" t="str">
        <x:f>IF(ISBLANK(C707),"AmountIncludingTax缺失",IF(ABS(B707-C707)&lt;0.005,"一致","不一致"))</x:f>
        <x:v>不一致</x:v>
      </x:c>
      <x:c r="F707" s="19" t="str">
        <x:v>approved</x:v>
      </x:c>
      <x:c r="G707" s="19" t="str">
        <x:v>Repairer Invoiced Processed</x:v>
      </x:c>
      <x:c r="H707" s="19" t="str">
        <x:v>In Field</x:v>
      </x:c>
      <x:c r="I707" s="37" t="n">
        <x:v>46177</x:v>
      </x:c>
      <x:c r="J707" s="37" t="n">
        <x:v>46177</x:v>
      </x:c>
      <x:c r="K707" s="19" t="str">
        <x:v>Vanari Caravans - Marden Point</x:v>
      </x:c>
      <x:c r="L707" s="19" t="str">
        <x:v>Z006</x:v>
      </x:c>
      <x:c r="M707" s="19" t="str">
        <x:v>In Field Warranty Claims</x:v>
      </x:c>
      <x:c r="N707" s="37" t="n">
        <x:v>46177</x:v>
      </x:c>
      <x:c r="O707" s="37"/>
      <x:c r="P707" s="34" t="n">
        <x:v>32.12</x:v>
      </x:c>
      <x:c r="Q707" s="37" t="n">
        <x:v>46177.15099537037</x:v>
      </x:c>
    </x:row>
    <x:row r="708">
      <x:c r="A708" s="22" t="n">
        <x:v>35964</x:v>
      </x:c>
      <x:c r="B708" s="28" t="n">
        <x:v>68.51</x:v>
      </x:c>
      <x:c r="C708" s="28" t="n">
        <x:v>62.03</x:v>
      </x:c>
      <x:c r="D708" s="31" t="n">
        <x:f>IF(OR(ISBLANK(B708),ISBLANK(C708),B708=0),"",(C708-B708)/B708)</x:f>
        <x:v>-0.09458473215588971</x:v>
      </x:c>
      <x:c r="E708" s="22" t="str">
        <x:f>IF(ISBLANK(C708),"AmountIncludingTax缺失",IF(ABS(B708-C708)&lt;0.005,"一致","不一致"))</x:f>
        <x:v>不一致</x:v>
      </x:c>
      <x:c r="F708" s="19" t="str">
        <x:v>approved</x:v>
      </x:c>
      <x:c r="G708" s="19" t="str">
        <x:v>Repairer Invoiced Processed</x:v>
      </x:c>
      <x:c r="H708" s="19" t="str">
        <x:v>In Field</x:v>
      </x:c>
      <x:c r="I708" s="37" t="n">
        <x:v>46177</x:v>
      </x:c>
      <x:c r="J708" s="37" t="n">
        <x:v>46177</x:v>
      </x:c>
      <x:c r="K708" s="19" t="str">
        <x:v>Vanari Caravans - Marden Point</x:v>
      </x:c>
      <x:c r="L708" s="19" t="str">
        <x:v>Z006</x:v>
      </x:c>
      <x:c r="M708" s="19" t="str">
        <x:v>In Field Warranty Claims</x:v>
      </x:c>
      <x:c r="N708" s="37" t="n">
        <x:v>46177</x:v>
      </x:c>
      <x:c r="O708" s="37"/>
      <x:c r="P708" s="34" t="n">
        <x:v>62.03</x:v>
      </x:c>
      <x:c r="Q708" s="37" t="n">
        <x:v>46177.155127314814</x:v>
      </x:c>
    </x:row>
    <x:row r="709">
      <x:c r="A709" s="22" t="n">
        <x:v>35963</x:v>
      </x:c>
      <x:c r="B709" s="28" t="n">
        <x:v>38.31</x:v>
      </x:c>
      <x:c r="C709" s="28" t="n">
        <x:v>34.69</x:v>
      </x:c>
      <x:c r="D709" s="31" t="n">
        <x:f>IF(OR(ISBLANK(B709),ISBLANK(C709),B709=0),"",(C709-B709)/B709)</x:f>
        <x:v>-0.09449229966066312</x:v>
      </x:c>
      <x:c r="E709" s="22" t="str">
        <x:f>IF(ISBLANK(C709),"AmountIncludingTax缺失",IF(ABS(B709-C709)&lt;0.005,"一致","不一致"))</x:f>
        <x:v>不一致</x:v>
      </x:c>
      <x:c r="F709" s="19" t="str">
        <x:v>approved</x:v>
      </x:c>
      <x:c r="G709" s="19" t="str">
        <x:v>Repairer Invoiced Processed</x:v>
      </x:c>
      <x:c r="H709" s="19" t="str">
        <x:v>In Field</x:v>
      </x:c>
      <x:c r="I709" s="37" t="n">
        <x:v>46177</x:v>
      </x:c>
      <x:c r="J709" s="37" t="n">
        <x:v>46177</x:v>
      </x:c>
      <x:c r="K709" s="19" t="str">
        <x:v>Vanari Caravans - Christchurch</x:v>
      </x:c>
      <x:c r="L709" s="19" t="str">
        <x:v>Z006</x:v>
      </x:c>
      <x:c r="M709" s="19" t="str">
        <x:v>In Field Warranty Claims</x:v>
      </x:c>
      <x:c r="N709" s="37" t="n">
        <x:v>46177</x:v>
      </x:c>
      <x:c r="O709" s="37"/>
      <x:c r="P709" s="34" t="n">
        <x:v>34.69</x:v>
      </x:c>
      <x:c r="Q709" s="37" t="n">
        <x:v>46177.154270833336</x:v>
      </x:c>
    </x:row>
    <x:row r="710">
      <x:c r="A710" s="22" t="n">
        <x:v>35962</x:v>
      </x:c>
      <x:c r="B710" s="28" t="n">
        <x:v>36.75</x:v>
      </x:c>
      <x:c r="C710" s="28" t="n">
        <x:v>33.27</x:v>
      </x:c>
      <x:c r="D710" s="31" t="n">
        <x:f>IF(OR(ISBLANK(B710),ISBLANK(C710),B710=0),"",(C710-B710)/B710)</x:f>
        <x:v>-0.09469387755102032</x:v>
      </x:c>
      <x:c r="E710" s="22" t="str">
        <x:f>IF(ISBLANK(C710),"AmountIncludingTax缺失",IF(ABS(B710-C710)&lt;0.005,"一致","不一致"))</x:f>
        <x:v>不一致</x:v>
      </x:c>
      <x:c r="F710" s="19" t="str">
        <x:v>approved</x:v>
      </x:c>
      <x:c r="G710" s="19" t="str">
        <x:v>Repairer Invoiced Processed</x:v>
      </x:c>
      <x:c r="H710" s="19" t="str">
        <x:v>In Field</x:v>
      </x:c>
      <x:c r="I710" s="37" t="n">
        <x:v>46177</x:v>
      </x:c>
      <x:c r="J710" s="37" t="n">
        <x:v>46177</x:v>
      </x:c>
      <x:c r="K710" s="19" t="str">
        <x:v>Vanari Caravans - Marden Point</x:v>
      </x:c>
      <x:c r="L710" s="19" t="str">
        <x:v>Z006</x:v>
      </x:c>
      <x:c r="M710" s="19" t="str">
        <x:v>In Field Warranty Claims</x:v>
      </x:c>
      <x:c r="N710" s="37" t="n">
        <x:v>46177</x:v>
      </x:c>
      <x:c r="O710" s="37"/>
      <x:c r="P710" s="34" t="n">
        <x:v>33.27</x:v>
      </x:c>
      <x:c r="Q710" s="37" t="n">
        <x:v>46177.15243055556</x:v>
      </x:c>
    </x:row>
    <x:row r="711">
      <x:c r="A711" s="22" t="n">
        <x:v>35961</x:v>
      </x:c>
      <x:c r="B711" s="28" t="n">
        <x:v>38.76</x:v>
      </x:c>
      <x:c r="C711" s="28" t="n">
        <x:v>35.09</x:v>
      </x:c>
      <x:c r="D711" s="31" t="n">
        <x:f>IF(OR(ISBLANK(B711),ISBLANK(C711),B711=0),"",(C711-B711)/B711)</x:f>
        <x:v>-0.09468524251805972</x:v>
      </x:c>
      <x:c r="E711" s="22" t="str">
        <x:f>IF(ISBLANK(C711),"AmountIncludingTax缺失",IF(ABS(B711-C711)&lt;0.005,"一致","不一致"))</x:f>
        <x:v>不一致</x:v>
      </x:c>
      <x:c r="F711" s="19" t="str">
        <x:v>approved</x:v>
      </x:c>
      <x:c r="G711" s="19" t="str">
        <x:v>Repairer Invoiced Processed</x:v>
      </x:c>
      <x:c r="H711" s="19" t="str">
        <x:v>In Field</x:v>
      </x:c>
      <x:c r="I711" s="37" t="n">
        <x:v>46177</x:v>
      </x:c>
      <x:c r="J711" s="37" t="n">
        <x:v>46177</x:v>
      </x:c>
      <x:c r="K711" s="19" t="str">
        <x:v>Vanari Caravans - Marden Point</x:v>
      </x:c>
      <x:c r="L711" s="19" t="str">
        <x:v>Z006</x:v>
      </x:c>
      <x:c r="M711" s="19" t="str">
        <x:v>In Field Warranty Claims</x:v>
      </x:c>
      <x:c r="N711" s="37" t="n">
        <x:v>46177</x:v>
      </x:c>
      <x:c r="O711" s="37"/>
      <x:c r="P711" s="34" t="n">
        <x:v>35.09</x:v>
      </x:c>
      <x:c r="Q711" s="37" t="n">
        <x:v>46177.17523148148</x:v>
      </x:c>
    </x:row>
    <x:row r="712">
      <x:c r="A712" s="22" t="n">
        <x:v>35955</x:v>
      </x:c>
      <x:c r="B712" s="28" t="n">
        <x:v>1325</x:v>
      </x:c>
      <x:c r="C712" s="28"/>
      <x:c r="D712" s="31" t="str">
        <x:f>IF(OR(ISBLANK(B712),ISBLANK(C712),B712=0),"",(C712-B712)/B712)</x:f>
      </x:c>
      <x:c r="E712" s="22" t="str">
        <x:f>IF(ISBLANK(C712),"AmountIncludingTax缺失",IF(ABS(B712-C712)&lt;0.005,"一致","不一致"))</x:f>
        <x:v>AmountIncludingTax缺失</x:v>
      </x:c>
      <x:c r="F712" s="19" t="str">
        <x:v>approved</x:v>
      </x:c>
      <x:c r="G712" s="19" t="str">
        <x:v>Repair in Progress</x:v>
      </x:c>
      <x:c r="H712" s="19" t="str">
        <x:v>In Field</x:v>
      </x:c>
      <x:c r="I712" s="37" t="n">
        <x:v>46183</x:v>
      </x:c>
      <x:c r="J712" s="37" t="n">
        <x:v>46183</x:v>
      </x:c>
      <x:c r="K712" s="19" t="str">
        <x:v>Not Assigned</x:v>
      </x:c>
      <x:c r="L712" s="19" t="str">
        <x:v>Z006</x:v>
      </x:c>
      <x:c r="M712" s="19" t="str">
        <x:v>In Field Warranty Claims</x:v>
      </x:c>
      <x:c r="N712" s="37" t="n">
        <x:v>46177</x:v>
      </x:c>
      <x:c r="O712" s="37"/>
      <x:c r="P712" s="34" t="n">
        <x:v>1457.5</x:v>
      </x:c>
      <x:c r="Q712" s="37" t="n">
        <x:v>46183.011145833334</x:v>
      </x:c>
    </x:row>
    <x:row r="713">
      <x:c r="A713" s="22" t="n">
        <x:v>35950</x:v>
      </x:c>
      <x:c r="B713" s="28" t="n">
        <x:v>41.65</x:v>
      </x:c>
      <x:c r="C713" s="28" t="n">
        <x:v>37.71</x:v>
      </x:c>
      <x:c r="D713" s="31" t="n">
        <x:f>IF(OR(ISBLANK(B713),ISBLANK(C713),B713=0),"",(C713-B713)/B713)</x:f>
        <x:v>-0.09459783913565421</x:v>
      </x:c>
      <x:c r="E713" s="22" t="str">
        <x:f>IF(ISBLANK(C713),"AmountIncludingTax缺失",IF(ABS(B713-C713)&lt;0.005,"一致","不一致"))</x:f>
        <x:v>不一致</x:v>
      </x:c>
      <x:c r="F713" s="19" t="str">
        <x:v>approved</x:v>
      </x:c>
      <x:c r="G713" s="19" t="str">
        <x:v>Repairer Invoiced Processed</x:v>
      </x:c>
      <x:c r="H713" s="19" t="str">
        <x:v>In Field</x:v>
      </x:c>
      <x:c r="I713" s="37" t="n">
        <x:v>46177</x:v>
      </x:c>
      <x:c r="J713" s="37" t="n">
        <x:v>46177</x:v>
      </x:c>
      <x:c r="K713" s="19" t="str">
        <x:v>Vanari Caravans - Marden Point</x:v>
      </x:c>
      <x:c r="L713" s="19" t="str">
        <x:v>Z006</x:v>
      </x:c>
      <x:c r="M713" s="19" t="str">
        <x:v>In Field Warranty Claims</x:v>
      </x:c>
      <x:c r="N713" s="37" t="n">
        <x:v>46177</x:v>
      </x:c>
      <x:c r="O713" s="37"/>
      <x:c r="P713" s="34" t="n">
        <x:v>37.71</x:v>
      </x:c>
      <x:c r="Q713" s="37" t="n">
        <x:v>46177.174733796295</x:v>
      </x:c>
    </x:row>
    <x:row r="714">
      <x:c r="A714" s="22" t="n">
        <x:v>35949</x:v>
      </x:c>
      <x:c r="B714" s="28" t="n">
        <x:v>57.93</x:v>
      </x:c>
      <x:c r="C714" s="28" t="n">
        <x:v>52.45</x:v>
      </x:c>
      <x:c r="D714" s="31" t="n">
        <x:f>IF(OR(ISBLANK(B714),ISBLANK(C714),B714=0),"",(C714-B714)/B714)</x:f>
        <x:v>-0.09459692732608314</x:v>
      </x:c>
      <x:c r="E714" s="22" t="str">
        <x:f>IF(ISBLANK(C714),"AmountIncludingTax缺失",IF(ABS(B714-C714)&lt;0.005,"一致","不一致"))</x:f>
        <x:v>不一致</x:v>
      </x:c>
      <x:c r="F714" s="19" t="str">
        <x:v>approved</x:v>
      </x:c>
      <x:c r="G714" s="19" t="str">
        <x:v>Repairer Invoiced Processed</x:v>
      </x:c>
      <x:c r="H714" s="19" t="str">
        <x:v>In Field</x:v>
      </x:c>
      <x:c r="I714" s="37" t="n">
        <x:v>46177</x:v>
      </x:c>
      <x:c r="J714" s="37" t="n">
        <x:v>46177</x:v>
      </x:c>
      <x:c r="K714" s="19" t="str">
        <x:v>Vanari Caravans - Marden Point</x:v>
      </x:c>
      <x:c r="L714" s="19" t="str">
        <x:v>Z006</x:v>
      </x:c>
      <x:c r="M714" s="19" t="str">
        <x:v>In Field Warranty Claims</x:v>
      </x:c>
      <x:c r="N714" s="37" t="n">
        <x:v>46177</x:v>
      </x:c>
      <x:c r="O714" s="37"/>
      <x:c r="P714" s="34" t="n">
        <x:v>52.45</x:v>
      </x:c>
      <x:c r="Q714" s="37" t="n">
        <x:v>46177.17423611111</x:v>
      </x:c>
    </x:row>
    <x:row r="715">
      <x:c r="A715" s="22" t="n">
        <x:v>35948</x:v>
      </x:c>
      <x:c r="B715" s="28" t="n">
        <x:v>40.21</x:v>
      </x:c>
      <x:c r="C715" s="28" t="n">
        <x:v>36.41</x:v>
      </x:c>
      <x:c r="D715" s="31" t="n">
        <x:f>IF(OR(ISBLANK(B715),ISBLANK(C715),B715=0),"",(C715-B715)/B715)</x:f>
        <x:v>-0.094503854762497</x:v>
      </x:c>
      <x:c r="E715" s="22" t="str">
        <x:f>IF(ISBLANK(C715),"AmountIncludingTax缺失",IF(ABS(B715-C715)&lt;0.005,"一致","不一致"))</x:f>
        <x:v>不一致</x:v>
      </x:c>
      <x:c r="F715" s="19" t="str">
        <x:v>approved</x:v>
      </x:c>
      <x:c r="G715" s="19" t="str">
        <x:v>Repairer Invoiced Processed</x:v>
      </x:c>
      <x:c r="H715" s="19" t="str">
        <x:v>In Field</x:v>
      </x:c>
      <x:c r="I715" s="37" t="n">
        <x:v>46177</x:v>
      </x:c>
      <x:c r="J715" s="37" t="n">
        <x:v>46177</x:v>
      </x:c>
      <x:c r="K715" s="19" t="str">
        <x:v>Vanari Caravans - Marden Point</x:v>
      </x:c>
      <x:c r="L715" s="19" t="str">
        <x:v>Z006</x:v>
      </x:c>
      <x:c r="M715" s="19" t="str">
        <x:v>In Field Warranty Claims</x:v>
      </x:c>
      <x:c r="N715" s="37" t="n">
        <x:v>46177</x:v>
      </x:c>
      <x:c r="O715" s="37"/>
      <x:c r="P715" s="34" t="n">
        <x:v>36.41</x:v>
      </x:c>
      <x:c r="Q715" s="37" t="n">
        <x:v>46177.173622685186</x:v>
      </x:c>
    </x:row>
    <x:row r="716">
      <x:c r="A716" s="22" t="n">
        <x:v>35947</x:v>
      </x:c>
      <x:c r="B716" s="28" t="n">
        <x:v>40.21</x:v>
      </x:c>
      <x:c r="C716" s="28" t="n">
        <x:v>36.41</x:v>
      </x:c>
      <x:c r="D716" s="31" t="n">
        <x:f>IF(OR(ISBLANK(B716),ISBLANK(C716),B716=0),"",(C716-B716)/B716)</x:f>
        <x:v>-0.094503854762497</x:v>
      </x:c>
      <x:c r="E716" s="22" t="str">
        <x:f>IF(ISBLANK(C716),"AmountIncludingTax缺失",IF(ABS(B716-C716)&lt;0.005,"一致","不一致"))</x:f>
        <x:v>不一致</x:v>
      </x:c>
      <x:c r="F716" s="19" t="str">
        <x:v>approved</x:v>
      </x:c>
      <x:c r="G716" s="19" t="str">
        <x:v>Repairer Invoiced Processed</x:v>
      </x:c>
      <x:c r="H716" s="19" t="str">
        <x:v>In Field</x:v>
      </x:c>
      <x:c r="I716" s="37" t="n">
        <x:v>46177</x:v>
      </x:c>
      <x:c r="J716" s="37" t="n">
        <x:v>46177</x:v>
      </x:c>
      <x:c r="K716" s="19" t="str">
        <x:v>Vanari Caravans - Marden Point</x:v>
      </x:c>
      <x:c r="L716" s="19" t="str">
        <x:v>Z006</x:v>
      </x:c>
      <x:c r="M716" s="19" t="str">
        <x:v>In Field Warranty Claims</x:v>
      </x:c>
      <x:c r="N716" s="37" t="n">
        <x:v>46177</x:v>
      </x:c>
      <x:c r="O716" s="37"/>
      <x:c r="P716" s="34" t="n">
        <x:v>36.41</x:v>
      </x:c>
      <x:c r="Q716" s="37" t="n">
        <x:v>46177.17302083333</x:v>
      </x:c>
    </x:row>
    <x:row r="717">
      <x:c r="A717" s="22" t="n">
        <x:v>35946</x:v>
      </x:c>
      <x:c r="B717" s="28" t="n">
        <x:v>41.73</x:v>
      </x:c>
      <x:c r="C717" s="28" t="n">
        <x:v>37.78</x:v>
      </x:c>
      <x:c r="D717" s="31" t="n">
        <x:f>IF(OR(ISBLANK(B717),ISBLANK(C717),B717=0),"",(C717-B717)/B717)</x:f>
        <x:v>-0.09465612269350578</x:v>
      </x:c>
      <x:c r="E717" s="22" t="str">
        <x:f>IF(ISBLANK(C717),"AmountIncludingTax缺失",IF(ABS(B717-C717)&lt;0.005,"一致","不一致"))</x:f>
        <x:v>不一致</x:v>
      </x:c>
      <x:c r="F717" s="19" t="str">
        <x:v>approved</x:v>
      </x:c>
      <x:c r="G717" s="19" t="str">
        <x:v>Repairer Invoiced Processed</x:v>
      </x:c>
      <x:c r="H717" s="19" t="str">
        <x:v>In Field</x:v>
      </x:c>
      <x:c r="I717" s="37" t="n">
        <x:v>46177</x:v>
      </x:c>
      <x:c r="J717" s="37" t="n">
        <x:v>46177</x:v>
      </x:c>
      <x:c r="K717" s="19" t="str">
        <x:v>Vanari Caravans - Marden Point</x:v>
      </x:c>
      <x:c r="L717" s="19" t="str">
        <x:v>Z006</x:v>
      </x:c>
      <x:c r="M717" s="19" t="str">
        <x:v>In Field Warranty Claims</x:v>
      </x:c>
      <x:c r="N717" s="37" t="n">
        <x:v>46176</x:v>
      </x:c>
      <x:c r="O717" s="37"/>
      <x:c r="P717" s="34" t="n">
        <x:v>37.78</x:v>
      </x:c>
      <x:c r="Q717" s="37" t="n">
        <x:v>46177.172430555554</x:v>
      </x:c>
    </x:row>
    <x:row r="718">
      <x:c r="A718" s="22" t="n">
        <x:v>35945</x:v>
      </x:c>
      <x:c r="B718" s="28" t="n">
        <x:v>37.35</x:v>
      </x:c>
      <x:c r="C718" s="28" t="n">
        <x:v>33.82</x:v>
      </x:c>
      <x:c r="D718" s="31" t="n">
        <x:f>IF(OR(ISBLANK(B718),ISBLANK(C718),B718=0),"",(C718-B718)/B718)</x:f>
        <x:v>-0.09451137884872828</x:v>
      </x:c>
      <x:c r="E718" s="22" t="str">
        <x:f>IF(ISBLANK(C718),"AmountIncludingTax缺失",IF(ABS(B718-C718)&lt;0.005,"一致","不一致"))</x:f>
        <x:v>不一致</x:v>
      </x:c>
      <x:c r="F718" s="19" t="str">
        <x:v>approved</x:v>
      </x:c>
      <x:c r="G718" s="19" t="str">
        <x:v>Repairer Invoiced Processed</x:v>
      </x:c>
      <x:c r="H718" s="19" t="str">
        <x:v>In Field</x:v>
      </x:c>
      <x:c r="I718" s="37" t="n">
        <x:v>46177</x:v>
      </x:c>
      <x:c r="J718" s="37" t="n">
        <x:v>46177</x:v>
      </x:c>
      <x:c r="K718" s="19" t="str">
        <x:v>Vanari Caravans - Marden Point</x:v>
      </x:c>
      <x:c r="L718" s="19" t="str">
        <x:v>Z006</x:v>
      </x:c>
      <x:c r="M718" s="19" t="str">
        <x:v>In Field Warranty Claims</x:v>
      </x:c>
      <x:c r="N718" s="37" t="n">
        <x:v>46176</x:v>
      </x:c>
      <x:c r="O718" s="37"/>
      <x:c r="P718" s="34" t="n">
        <x:v>33.82</x:v>
      </x:c>
      <x:c r="Q718" s="37" t="n">
        <x:v>46177.17175925926</x:v>
      </x:c>
    </x:row>
    <x:row r="719">
      <x:c r="A719" s="22" t="n">
        <x:v>35944</x:v>
      </x:c>
      <x:c r="B719" s="28" t="n">
        <x:v>40.21</x:v>
      </x:c>
      <x:c r="C719" s="28" t="n">
        <x:v>36.41</x:v>
      </x:c>
      <x:c r="D719" s="31" t="n">
        <x:f>IF(OR(ISBLANK(B719),ISBLANK(C719),B719=0),"",(C719-B719)/B719)</x:f>
        <x:v>-0.094503854762497</x:v>
      </x:c>
      <x:c r="E719" s="22" t="str">
        <x:f>IF(ISBLANK(C719),"AmountIncludingTax缺失",IF(ABS(B719-C719)&lt;0.005,"一致","不一致"))</x:f>
        <x:v>不一致</x:v>
      </x:c>
      <x:c r="F719" s="19" t="str">
        <x:v>approved</x:v>
      </x:c>
      <x:c r="G719" s="19" t="str">
        <x:v>Repairer Invoiced Processed</x:v>
      </x:c>
      <x:c r="H719" s="19" t="str">
        <x:v>In Field</x:v>
      </x:c>
      <x:c r="I719" s="37" t="n">
        <x:v>46177</x:v>
      </x:c>
      <x:c r="J719" s="37" t="n">
        <x:v>46177</x:v>
      </x:c>
      <x:c r="K719" s="19" t="str">
        <x:v>Vanari Caravans - Marden Point</x:v>
      </x:c>
      <x:c r="L719" s="19" t="str">
        <x:v>Z006</x:v>
      </x:c>
      <x:c r="M719" s="19" t="str">
        <x:v>In Field Warranty Claims</x:v>
      </x:c>
      <x:c r="N719" s="37" t="n">
        <x:v>46176</x:v>
      </x:c>
      <x:c r="O719" s="37"/>
      <x:c r="P719" s="34" t="n">
        <x:v>36.41</x:v>
      </x:c>
      <x:c r="Q719" s="37" t="n">
        <x:v>46177.17078703704</x:v>
      </x:c>
    </x:row>
    <x:row r="720">
      <x:c r="A720" s="22" t="n">
        <x:v>35943</x:v>
      </x:c>
      <x:c r="B720" s="28" t="n">
        <x:v>37.41</x:v>
      </x:c>
      <x:c r="C720" s="28" t="n">
        <x:v>33.87</x:v>
      </x:c>
      <x:c r="D720" s="31" t="n">
        <x:f>IF(OR(ISBLANK(B720),ISBLANK(C720),B720=0),"",(C720-B720)/B720)</x:f>
        <x:v>-0.09462710505212509</x:v>
      </x:c>
      <x:c r="E720" s="22" t="str">
        <x:f>IF(ISBLANK(C720),"AmountIncludingTax缺失",IF(ABS(B720-C720)&lt;0.005,"一致","不一致"))</x:f>
        <x:v>不一致</x:v>
      </x:c>
      <x:c r="F720" s="19" t="str">
        <x:v>approved</x:v>
      </x:c>
      <x:c r="G720" s="19" t="str">
        <x:v>Repairer Invoiced Processed</x:v>
      </x:c>
      <x:c r="H720" s="19" t="str">
        <x:v>In Field</x:v>
      </x:c>
      <x:c r="I720" s="37" t="n">
        <x:v>46177</x:v>
      </x:c>
      <x:c r="J720" s="37" t="n">
        <x:v>46177</x:v>
      </x:c>
      <x:c r="K720" s="19" t="str">
        <x:v>Vanari Caravans - Marden Point</x:v>
      </x:c>
      <x:c r="L720" s="19" t="str">
        <x:v>Z006</x:v>
      </x:c>
      <x:c r="M720" s="19" t="str">
        <x:v>In Field Warranty Claims</x:v>
      </x:c>
      <x:c r="N720" s="37" t="n">
        <x:v>46176</x:v>
      </x:c>
      <x:c r="O720" s="37"/>
      <x:c r="P720" s="34" t="n">
        <x:v>33.87</x:v>
      </x:c>
      <x:c r="Q720" s="37" t="n">
        <x:v>46177.15943287037</x:v>
      </x:c>
    </x:row>
    <x:row r="721">
      <x:c r="A721" s="22" t="n">
        <x:v>35942</x:v>
      </x:c>
      <x:c r="B721" s="28" t="n">
        <x:v>50.98</x:v>
      </x:c>
      <x:c r="C721" s="28" t="n">
        <x:v>46.16</x:v>
      </x:c>
      <x:c r="D721" s="31" t="n">
        <x:f>IF(OR(ISBLANK(B721),ISBLANK(C721),B721=0),"",(C721-B721)/B721)</x:f>
        <x:v>-0.09454688112985486</x:v>
      </x:c>
      <x:c r="E721" s="22" t="str">
        <x:f>IF(ISBLANK(C721),"AmountIncludingTax缺失",IF(ABS(B721-C721)&lt;0.005,"一致","不一致"))</x:f>
        <x:v>不一致</x:v>
      </x:c>
      <x:c r="F721" s="19" t="str">
        <x:v>approved</x:v>
      </x:c>
      <x:c r="G721" s="19" t="str">
        <x:v>Repairer Invoiced Processed</x:v>
      </x:c>
      <x:c r="H721" s="19" t="str">
        <x:v>In Field</x:v>
      </x:c>
      <x:c r="I721" s="37" t="n">
        <x:v>46177</x:v>
      </x:c>
      <x:c r="J721" s="37" t="n">
        <x:v>46177</x:v>
      </x:c>
      <x:c r="K721" s="19" t="str">
        <x:v>Vanari Caravans - Marden Point</x:v>
      </x:c>
      <x:c r="L721" s="19" t="str">
        <x:v>Z006</x:v>
      </x:c>
      <x:c r="M721" s="19" t="str">
        <x:v>In Field Warranty Claims</x:v>
      </x:c>
      <x:c r="N721" s="37" t="n">
        <x:v>46176</x:v>
      </x:c>
      <x:c r="O721" s="37"/>
      <x:c r="P721" s="34" t="n">
        <x:v>46.16</x:v>
      </x:c>
      <x:c r="Q721" s="37" t="n">
        <x:v>46177.158738425926</x:v>
      </x:c>
    </x:row>
    <x:row r="722">
      <x:c r="A722" s="22" t="n">
        <x:v>35941</x:v>
      </x:c>
      <x:c r="B722" s="28" t="n">
        <x:v>53.8</x:v>
      </x:c>
      <x:c r="C722" s="28" t="n">
        <x:v>48.71</x:v>
      </x:c>
      <x:c r="D722" s="31" t="n">
        <x:f>IF(OR(ISBLANK(B722),ISBLANK(C722),B722=0),"",(C722-B722)/B722)</x:f>
        <x:v>-0.09460966542750923</x:v>
      </x:c>
      <x:c r="E722" s="22" t="str">
        <x:f>IF(ISBLANK(C722),"AmountIncludingTax缺失",IF(ABS(B722-C722)&lt;0.005,"一致","不一致"))</x:f>
        <x:v>不一致</x:v>
      </x:c>
      <x:c r="F722" s="19" t="str">
        <x:v>approved</x:v>
      </x:c>
      <x:c r="G722" s="19" t="str">
        <x:v>Repairer Invoiced Processed</x:v>
      </x:c>
      <x:c r="H722" s="19" t="str">
        <x:v>In Field</x:v>
      </x:c>
      <x:c r="I722" s="37" t="n">
        <x:v>46177</x:v>
      </x:c>
      <x:c r="J722" s="37" t="n">
        <x:v>46177</x:v>
      </x:c>
      <x:c r="K722" s="19" t="str">
        <x:v>Vanari Caravans - Marden Point</x:v>
      </x:c>
      <x:c r="L722" s="19" t="str">
        <x:v>Z006</x:v>
      </x:c>
      <x:c r="M722" s="19" t="str">
        <x:v>In Field Warranty Claims</x:v>
      </x:c>
      <x:c r="N722" s="37" t="n">
        <x:v>46176</x:v>
      </x:c>
      <x:c r="O722" s="37"/>
      <x:c r="P722" s="34" t="n">
        <x:v>48.71</x:v>
      </x:c>
      <x:c r="Q722" s="37" t="n">
        <x:v>46177.158113425925</x:v>
      </x:c>
    </x:row>
    <x:row r="723">
      <x:c r="A723" s="22" t="n">
        <x:v>35939</x:v>
      </x:c>
      <x:c r="B723" s="28" t="n">
        <x:v>44.43</x:v>
      </x:c>
      <x:c r="C723" s="28" t="n">
        <x:v>40.23</x:v>
      </x:c>
      <x:c r="D723" s="31" t="n">
        <x:f>IF(OR(ISBLANK(B723),ISBLANK(C723),B723=0),"",(C723-B723)/B723)</x:f>
        <x:v>-0.09453072248480762</x:v>
      </x:c>
      <x:c r="E723" s="22" t="str">
        <x:f>IF(ISBLANK(C723),"AmountIncludingTax缺失",IF(ABS(B723-C723)&lt;0.005,"一致","不一致"))</x:f>
        <x:v>不一致</x:v>
      </x:c>
      <x:c r="F723" s="19" t="str">
        <x:v>approved</x:v>
      </x:c>
      <x:c r="G723" s="19" t="str">
        <x:v>Repairer Invoiced Processed</x:v>
      </x:c>
      <x:c r="H723" s="19" t="str">
        <x:v>In Field</x:v>
      </x:c>
      <x:c r="I723" s="37" t="n">
        <x:v>46177</x:v>
      </x:c>
      <x:c r="J723" s="37" t="n">
        <x:v>46177</x:v>
      </x:c>
      <x:c r="K723" s="19" t="str">
        <x:v>Vanari Caravans - Marden Point</x:v>
      </x:c>
      <x:c r="L723" s="19" t="str">
        <x:v>Z006</x:v>
      </x:c>
      <x:c r="M723" s="19" t="str">
        <x:v>In Field Warranty Claims</x:v>
      </x:c>
      <x:c r="N723" s="37" t="n">
        <x:v>46176</x:v>
      </x:c>
      <x:c r="O723" s="37"/>
      <x:c r="P723" s="34" t="n">
        <x:v>40.23</x:v>
      </x:c>
      <x:c r="Q723" s="37" t="n">
        <x:v>46177.179814814815</x:v>
      </x:c>
    </x:row>
    <x:row r="724">
      <x:c r="A724" s="22" t="n">
        <x:v>35938</x:v>
      </x:c>
      <x:c r="B724" s="28" t="n">
        <x:v>39.53</x:v>
      </x:c>
      <x:c r="C724" s="28" t="n">
        <x:v>35.79</x:v>
      </x:c>
      <x:c r="D724" s="31" t="n">
        <x:f>IF(OR(ISBLANK(B724),ISBLANK(C724),B724=0),"",(C724-B724)/B724)</x:f>
        <x:v>-0.09461168732608151</x:v>
      </x:c>
      <x:c r="E724" s="22" t="str">
        <x:f>IF(ISBLANK(C724),"AmountIncludingTax缺失",IF(ABS(B724-C724)&lt;0.005,"一致","不一致"))</x:f>
        <x:v>不一致</x:v>
      </x:c>
      <x:c r="F724" s="19" t="str">
        <x:v>approved</x:v>
      </x:c>
      <x:c r="G724" s="19" t="str">
        <x:v>Repairer Invoiced Processed</x:v>
      </x:c>
      <x:c r="H724" s="19" t="str">
        <x:v>In Field</x:v>
      </x:c>
      <x:c r="I724" s="37" t="n">
        <x:v>46177</x:v>
      </x:c>
      <x:c r="J724" s="37" t="n">
        <x:v>46177</x:v>
      </x:c>
      <x:c r="K724" s="19" t="str">
        <x:v>Vanari Caravans - Marden Point</x:v>
      </x:c>
      <x:c r="L724" s="19" t="str">
        <x:v>Z006</x:v>
      </x:c>
      <x:c r="M724" s="19" t="str">
        <x:v>In Field Warranty Claims</x:v>
      </x:c>
      <x:c r="N724" s="37" t="n">
        <x:v>46176</x:v>
      </x:c>
      <x:c r="O724" s="37"/>
      <x:c r="P724" s="34" t="n">
        <x:v>35.79</x:v>
      </x:c>
      <x:c r="Q724" s="37" t="n">
        <x:v>46177.17903935185</x:v>
      </x:c>
    </x:row>
    <x:row r="725">
      <x:c r="A725" s="22" t="n">
        <x:v>35937</x:v>
      </x:c>
      <x:c r="B725" s="28" t="n">
        <x:v>57.26</x:v>
      </x:c>
      <x:c r="C725" s="28" t="n">
        <x:v>51.84</x:v>
      </x:c>
      <x:c r="D725" s="31" t="n">
        <x:f>IF(OR(ISBLANK(B725),ISBLANK(C725),B725=0),"",(C725-B725)/B725)</x:f>
        <x:v>-0.09465595529165202</x:v>
      </x:c>
      <x:c r="E725" s="22" t="str">
        <x:f>IF(ISBLANK(C725),"AmountIncludingTax缺失",IF(ABS(B725-C725)&lt;0.005,"一致","不一致"))</x:f>
        <x:v>不一致</x:v>
      </x:c>
      <x:c r="F725" s="19" t="str">
        <x:v>approved</x:v>
      </x:c>
      <x:c r="G725" s="19" t="str">
        <x:v>Repairer Invoiced Processed</x:v>
      </x:c>
      <x:c r="H725" s="19" t="str">
        <x:v>In Field</x:v>
      </x:c>
      <x:c r="I725" s="37" t="n">
        <x:v>46177</x:v>
      </x:c>
      <x:c r="J725" s="37" t="n">
        <x:v>46177</x:v>
      </x:c>
      <x:c r="K725" s="19" t="str">
        <x:v>Vanari Caravans - Christchurch</x:v>
      </x:c>
      <x:c r="L725" s="19" t="str">
        <x:v>Z006</x:v>
      </x:c>
      <x:c r="M725" s="19" t="str">
        <x:v>In Field Warranty Claims</x:v>
      </x:c>
      <x:c r="N725" s="37" t="n">
        <x:v>46176</x:v>
      </x:c>
      <x:c r="O725" s="37"/>
      <x:c r="P725" s="34" t="n">
        <x:v>51.84</x:v>
      </x:c>
      <x:c r="Q725" s="37" t="n">
        <x:v>46177.1784375</x:v>
      </x:c>
    </x:row>
    <x:row r="726">
      <x:c r="A726" s="22" t="n">
        <x:v>35936</x:v>
      </x:c>
      <x:c r="B726" s="28" t="n">
        <x:v>127.85</x:v>
      </x:c>
      <x:c r="C726" s="28" t="n">
        <x:v>115.76</x:v>
      </x:c>
      <x:c r="D726" s="31" t="n">
        <x:f>IF(OR(ISBLANK(B726),ISBLANK(C726),B726=0),"",(C726-B726)/B726)</x:f>
        <x:v>-0.09456394211967141</x:v>
      </x:c>
      <x:c r="E726" s="22" t="str">
        <x:f>IF(ISBLANK(C726),"AmountIncludingTax缺失",IF(ABS(B726-C726)&lt;0.005,"一致","不一致"))</x:f>
        <x:v>不一致</x:v>
      </x:c>
      <x:c r="F726" s="19" t="str">
        <x:v>approved</x:v>
      </x:c>
      <x:c r="G726" s="19" t="str">
        <x:v>Repairer Invoiced Processed</x:v>
      </x:c>
      <x:c r="H726" s="19" t="str">
        <x:v>In Field</x:v>
      </x:c>
      <x:c r="I726" s="37" t="n">
        <x:v>46177</x:v>
      </x:c>
      <x:c r="J726" s="37" t="n">
        <x:v>46177</x:v>
      </x:c>
      <x:c r="K726" s="19" t="str">
        <x:v>Vanari Caravans - Marden Point</x:v>
      </x:c>
      <x:c r="L726" s="19" t="str">
        <x:v>Z006</x:v>
      </x:c>
      <x:c r="M726" s="19" t="str">
        <x:v>In Field Warranty Claims</x:v>
      </x:c>
      <x:c r="N726" s="37" t="n">
        <x:v>46176</x:v>
      </x:c>
      <x:c r="O726" s="37"/>
      <x:c r="P726" s="34" t="n">
        <x:v>115.76</x:v>
      </x:c>
      <x:c r="Q726" s="37" t="n">
        <x:v>46177.17758101852</x:v>
      </x:c>
    </x:row>
    <x:row r="727">
      <x:c r="A727" s="22" t="n">
        <x:v>35935</x:v>
      </x:c>
      <x:c r="B727" s="28" t="n">
        <x:v>48.25</x:v>
      </x:c>
      <x:c r="C727" s="28" t="n">
        <x:v>43.69</x:v>
      </x:c>
      <x:c r="D727" s="31" t="n">
        <x:f>IF(OR(ISBLANK(B727),ISBLANK(C727),B727=0),"",(C727-B727)/B727)</x:f>
        <x:v>-0.09450777202072544</x:v>
      </x:c>
      <x:c r="E727" s="22" t="str">
        <x:f>IF(ISBLANK(C727),"AmountIncludingTax缺失",IF(ABS(B727-C727)&lt;0.005,"一致","不一致"))</x:f>
        <x:v>不一致</x:v>
      </x:c>
      <x:c r="F727" s="19" t="str">
        <x:v>approved</x:v>
      </x:c>
      <x:c r="G727" s="19" t="str">
        <x:v>Repairer Invoiced Processed</x:v>
      </x:c>
      <x:c r="H727" s="19" t="str">
        <x:v>In Field</x:v>
      </x:c>
      <x:c r="I727" s="37" t="n">
        <x:v>46177</x:v>
      </x:c>
      <x:c r="J727" s="37" t="n">
        <x:v>46177</x:v>
      </x:c>
      <x:c r="K727" s="19" t="str">
        <x:v>Vanari Caravans - Marden Point</x:v>
      </x:c>
      <x:c r="L727" s="19" t="str">
        <x:v>Z006</x:v>
      </x:c>
      <x:c r="M727" s="19" t="str">
        <x:v>In Field Warranty Claims</x:v>
      </x:c>
      <x:c r="N727" s="37" t="n">
        <x:v>46176</x:v>
      </x:c>
      <x:c r="O727" s="37"/>
      <x:c r="P727" s="34" t="n">
        <x:v>43.69</x:v>
      </x:c>
      <x:c r="Q727" s="37" t="n">
        <x:v>46177.17637731481</x:v>
      </x:c>
    </x:row>
    <x:row r="728">
      <x:c r="A728" s="22" t="n">
        <x:v>35933</x:v>
      </x:c>
      <x:c r="B728" s="28" t="n">
        <x:v>71.23</x:v>
      </x:c>
      <x:c r="C728" s="28" t="n">
        <x:v>64.49</x:v>
      </x:c>
      <x:c r="D728" s="31" t="n">
        <x:f>IF(OR(ISBLANK(B728),ISBLANK(C728),B728=0),"",(C728-B728)/B728)</x:f>
        <x:v>-0.09462305208479585</x:v>
      </x:c>
      <x:c r="E728" s="22" t="str">
        <x:f>IF(ISBLANK(C728),"AmountIncludingTax缺失",IF(ABS(B728-C728)&lt;0.005,"一致","不一致"))</x:f>
        <x:v>不一致</x:v>
      </x:c>
      <x:c r="F728" s="19" t="str">
        <x:v>approved</x:v>
      </x:c>
      <x:c r="G728" s="19" t="str">
        <x:v>Repairer Invoiced Processed</x:v>
      </x:c>
      <x:c r="H728" s="19" t="str">
        <x:v>Pre Delivery</x:v>
      </x:c>
      <x:c r="I728" s="37" t="n">
        <x:v>46177</x:v>
      </x:c>
      <x:c r="J728" s="37" t="n">
        <x:v>46177</x:v>
      </x:c>
      <x:c r="K728" s="19" t="str">
        <x:v>Vanari Caravans - Marden Point</x:v>
      </x:c>
      <x:c r="L728" s="19" t="str">
        <x:v>Z005</x:v>
      </x:c>
      <x:c r="M728" s="19" t="str">
        <x:v>Pre Delivery Warranty Claims</x:v>
      </x:c>
      <x:c r="N728" s="37" t="n">
        <x:v>46176</x:v>
      </x:c>
      <x:c r="O728" s="37"/>
      <x:c r="P728" s="34" t="n">
        <x:v>64.49</x:v>
      </x:c>
      <x:c r="Q728" s="37" t="n">
        <x:v>46177.175891203704</x:v>
      </x:c>
    </x:row>
    <x:row r="729">
      <x:c r="A729" s="22" t="n">
        <x:v>35932</x:v>
      </x:c>
      <x:c r="B729" s="28" t="n">
        <x:v>147.07</x:v>
      </x:c>
      <x:c r="C729" s="28" t="n">
        <x:v>133.16</x:v>
      </x:c>
      <x:c r="D729" s="31" t="n">
        <x:f>IF(OR(ISBLANK(B729),ISBLANK(C729),B729=0),"",(C729-B729)/B729)</x:f>
        <x:v>-0.09458081185829875</x:v>
      </x:c>
      <x:c r="E729" s="22" t="str">
        <x:f>IF(ISBLANK(C729),"AmountIncludingTax缺失",IF(ABS(B729-C729)&lt;0.005,"一致","不一致"))</x:f>
        <x:v>不一致</x:v>
      </x:c>
      <x:c r="F729" s="19" t="str">
        <x:v>approved</x:v>
      </x:c>
      <x:c r="G729" s="19" t="str">
        <x:v>Repairer Invoiced Processed</x:v>
      </x:c>
      <x:c r="H729" s="19" t="str">
        <x:v>In Field</x:v>
      </x:c>
      <x:c r="I729" s="37" t="n">
        <x:v>46177</x:v>
      </x:c>
      <x:c r="J729" s="37" t="n">
        <x:v>46177</x:v>
      </x:c>
      <x:c r="K729" s="19" t="str">
        <x:v>Vanari Caravans - Marden Point</x:v>
      </x:c>
      <x:c r="L729" s="19" t="str">
        <x:v>Z006</x:v>
      </x:c>
      <x:c r="M729" s="19" t="str">
        <x:v>In Field Warranty Claims</x:v>
      </x:c>
      <x:c r="N729" s="37" t="n">
        <x:v>46176</x:v>
      </x:c>
      <x:c r="O729" s="37"/>
      <x:c r="P729" s="34" t="n">
        <x:v>133.16</x:v>
      </x:c>
      <x:c r="Q729" s="37" t="n">
        <x:v>46177.18241898148</x:v>
      </x:c>
    </x:row>
    <x:row r="730">
      <x:c r="A730" s="22" t="n">
        <x:v>35931</x:v>
      </x:c>
      <x:c r="B730" s="28" t="n">
        <x:v>41.57</x:v>
      </x:c>
      <x:c r="C730" s="28" t="n">
        <x:v>37.64</x:v>
      </x:c>
      <x:c r="D730" s="31" t="n">
        <x:f>IF(OR(ISBLANK(B730),ISBLANK(C730),B730=0),"",(C730-B730)/B730)</x:f>
        <x:v>-0.0945393312484965</x:v>
      </x:c>
      <x:c r="E730" s="22" t="str">
        <x:f>IF(ISBLANK(C730),"AmountIncludingTax缺失",IF(ABS(B730-C730)&lt;0.005,"一致","不一致"))</x:f>
        <x:v>不一致</x:v>
      </x:c>
      <x:c r="F730" s="19" t="str">
        <x:v>approved</x:v>
      </x:c>
      <x:c r="G730" s="19" t="str">
        <x:v>Repairer Invoiced Processed</x:v>
      </x:c>
      <x:c r="H730" s="19" t="str">
        <x:v>In Field</x:v>
      </x:c>
      <x:c r="I730" s="37" t="n">
        <x:v>46177</x:v>
      </x:c>
      <x:c r="J730" s="37" t="n">
        <x:v>46177</x:v>
      </x:c>
      <x:c r="K730" s="19" t="str">
        <x:v>Vanari Caravans - Marden Point</x:v>
      </x:c>
      <x:c r="L730" s="19" t="str">
        <x:v>Z006</x:v>
      </x:c>
      <x:c r="M730" s="19" t="str">
        <x:v>In Field Warranty Claims</x:v>
      </x:c>
      <x:c r="N730" s="37" t="n">
        <x:v>46176</x:v>
      </x:c>
      <x:c r="O730" s="37"/>
      <x:c r="P730" s="34" t="n">
        <x:v>37.64</x:v>
      </x:c>
      <x:c r="Q730" s="37" t="n">
        <x:v>46176.96761574074</x:v>
      </x:c>
    </x:row>
    <x:row r="731">
      <x:c r="A731" s="22" t="n">
        <x:v>35930</x:v>
      </x:c>
      <x:c r="B731" s="28" t="n">
        <x:v>445</x:v>
      </x:c>
      <x:c r="C731" s="28"/>
      <x:c r="D731" s="31" t="str">
        <x:f>IF(OR(ISBLANK(B731),ISBLANK(C731),B731=0),"",(C731-B731)/B731)</x:f>
      </x:c>
      <x:c r="E731" s="22" t="str">
        <x:f>IF(ISBLANK(C731),"AmountIncludingTax缺失",IF(ABS(B731-C731)&lt;0.005,"一致","不一致"))</x:f>
        <x:v>AmountIncludingTax缺失</x:v>
      </x:c>
      <x:c r="F731" s="19" t="str">
        <x:v>approved</x:v>
      </x:c>
      <x:c r="G731" s="19" t="str">
        <x:v>Repair in Progress</x:v>
      </x:c>
      <x:c r="H731" s="19" t="str">
        <x:v>In Field</x:v>
      </x:c>
      <x:c r="I731" s="37" t="n">
        <x:v>46178</x:v>
      </x:c>
      <x:c r="J731" s="37" t="n">
        <x:v>46178</x:v>
      </x:c>
      <x:c r="K731" s="19" t="str">
        <x:v>Snowy River Launceston</x:v>
      </x:c>
      <x:c r="L731" s="19" t="str">
        <x:v>Z006</x:v>
      </x:c>
      <x:c r="M731" s="19" t="str">
        <x:v>In Field Warranty Claims</x:v>
      </x:c>
      <x:c r="N731" s="37" t="n">
        <x:v>46177</x:v>
      </x:c>
      <x:c r="O731" s="37"/>
      <x:c r="P731" s="34" t="n">
        <x:v>0</x:v>
      </x:c>
      <x:c r="Q731" s="37" t="n">
        <x:v>46178.04981481482</x:v>
      </x:c>
    </x:row>
    <x:row r="732">
      <x:c r="A732" s="22" t="n">
        <x:v>35929</x:v>
      </x:c>
      <x:c r="B732" s="28" t="n">
        <x:v>67.5</x:v>
      </x:c>
      <x:c r="C732" s="28"/>
      <x:c r="D732" s="31" t="str">
        <x:f>IF(OR(ISBLANK(B732),ISBLANK(C732),B732=0),"",(C732-B732)/B732)</x:f>
      </x:c>
      <x:c r="E732" s="22" t="str">
        <x:f>IF(ISBLANK(C732),"AmountIncludingTax缺失",IF(ABS(B732-C732)&lt;0.005,"一致","不一致"))</x:f>
        <x:v>AmountIncludingTax缺失</x:v>
      </x:c>
      <x:c r="F732" s="19" t="str">
        <x:v>approved</x:v>
      </x:c>
      <x:c r="G732" s="19" t="str">
        <x:v>Repair in Progress</x:v>
      </x:c>
      <x:c r="H732" s="19" t="str">
        <x:v>In Field</x:v>
      </x:c>
      <x:c r="I732" s="37" t="n">
        <x:v>46178</x:v>
      </x:c>
      <x:c r="J732" s="37" t="n">
        <x:v>46178</x:v>
      </x:c>
      <x:c r="K732" s="19" t="str">
        <x:v>Sherrif Caravans &amp; Traliers - Prospect Vale</x:v>
      </x:c>
      <x:c r="L732" s="19" t="str">
        <x:v>Z006</x:v>
      </x:c>
      <x:c r="M732" s="19" t="str">
        <x:v>In Field Warranty Claims</x:v>
      </x:c>
      <x:c r="N732" s="37" t="n">
        <x:v>46177</x:v>
      </x:c>
      <x:c r="O732" s="37"/>
      <x:c r="P732" s="34" t="n">
        <x:v>0</x:v>
      </x:c>
      <x:c r="Q732" s="37" t="n">
        <x:v>46177.97550925926</x:v>
      </x:c>
    </x:row>
    <x:row r="733">
      <x:c r="A733" s="22" t="n">
        <x:v>35928</x:v>
      </x:c>
      <x:c r="B733" s="28" t="n">
        <x:v>67.5</x:v>
      </x:c>
      <x:c r="C733" s="28"/>
      <x:c r="D733" s="31" t="str">
        <x:f>IF(OR(ISBLANK(B733),ISBLANK(C733),B733=0),"",(C733-B733)/B733)</x:f>
      </x:c>
      <x:c r="E733" s="22" t="str">
        <x:f>IF(ISBLANK(C733),"AmountIncludingTax缺失",IF(ABS(B733-C733)&lt;0.005,"一致","不一致"))</x:f>
        <x:v>AmountIncludingTax缺失</x:v>
      </x:c>
      <x:c r="F733" s="19" t="str">
        <x:v>approved</x:v>
      </x:c>
      <x:c r="G733" s="19" t="str">
        <x:v>Repair in Progress</x:v>
      </x:c>
      <x:c r="H733" s="19" t="str">
        <x:v>In Field</x:v>
      </x:c>
      <x:c r="I733" s="37" t="n">
        <x:v>46178</x:v>
      </x:c>
      <x:c r="J733" s="37" t="n">
        <x:v>46178</x:v>
      </x:c>
      <x:c r="K733" s="19" t="str">
        <x:v>Regent RV - Toowoomba</x:v>
      </x:c>
      <x:c r="L733" s="19" t="str">
        <x:v>Z006</x:v>
      </x:c>
      <x:c r="M733" s="19" t="str">
        <x:v>In Field Warranty Claims</x:v>
      </x:c>
      <x:c r="N733" s="37" t="n">
        <x:v>46177</x:v>
      </x:c>
      <x:c r="O733" s="37"/>
      <x:c r="P733" s="34" t="n">
        <x:v>0</x:v>
      </x:c>
      <x:c r="Q733" s="37" t="n">
        <x:v>46177.957870370374</x:v>
      </x:c>
    </x:row>
    <x:row r="734">
      <x:c r="A734" s="22" t="n">
        <x:v>35926</x:v>
      </x:c>
      <x:c r="B734" s="28" t="n">
        <x:v>1282.5</x:v>
      </x:c>
      <x:c r="C734" s="28"/>
      <x:c r="D734" s="31" t="str">
        <x:f>IF(OR(ISBLANK(B734),ISBLANK(C734),B734=0),"",(C734-B734)/B734)</x:f>
      </x:c>
      <x:c r="E734" s="22" t="str">
        <x:f>IF(ISBLANK(C734),"AmountIncludingTax缺失",IF(ABS(B734-C734)&lt;0.005,"一致","不一致"))</x:f>
        <x:v>AmountIncludingTax缺失</x:v>
      </x:c>
      <x:c r="F734" s="19" t="str">
        <x:v>approved</x:v>
      </x:c>
      <x:c r="G734" s="19" t="str">
        <x:v>Repair in Progress</x:v>
      </x:c>
      <x:c r="H734" s="19" t="str">
        <x:v>In Field</x:v>
      </x:c>
      <x:c r="I734" s="37" t="n">
        <x:v>46183</x:v>
      </x:c>
      <x:c r="J734" s="37" t="n">
        <x:v>46183</x:v>
      </x:c>
      <x:c r="K734" s="19" t="str">
        <x:v>Green RV - Forest Glen</x:v>
      </x:c>
      <x:c r="L734" s="19" t="str">
        <x:v>Z006</x:v>
      </x:c>
      <x:c r="M734" s="19" t="str">
        <x:v>In Field Warranty Claims</x:v>
      </x:c>
      <x:c r="N734" s="37" t="n">
        <x:v>46176</x:v>
      </x:c>
      <x:c r="O734" s="37"/>
      <x:c r="P734" s="34" t="n">
        <x:v>0</x:v>
      </x:c>
      <x:c r="Q734" s="37" t="n">
        <x:v>46183.19971064815</x:v>
      </x:c>
    </x:row>
    <x:row r="735">
      <x:c r="A735" s="22" t="n">
        <x:v>35925</x:v>
      </x:c>
      <x:c r="B735" s="28" t="n">
        <x:v>760</x:v>
      </x:c>
      <x:c r="C735" s="28"/>
      <x:c r="D735" s="31" t="str">
        <x:f>IF(OR(ISBLANK(B735),ISBLANK(C735),B735=0),"",(C735-B735)/B735)</x:f>
      </x:c>
      <x:c r="E735" s="22" t="str">
        <x:f>IF(ISBLANK(C735),"AmountIncludingTax缺失",IF(ABS(B735-C735)&lt;0.005,"一致","不一致"))</x:f>
        <x:v>AmountIncludingTax缺失</x:v>
      </x:c>
      <x:c r="F735" s="19" t="str">
        <x:v>approved</x:v>
      </x:c>
      <x:c r="G735" s="19" t="str">
        <x:v>Partially Picked</x:v>
      </x:c>
      <x:c r="H735" s="19" t="str">
        <x:v>In Field</x:v>
      </x:c>
      <x:c r="I735" s="37" t="n">
        <x:v>46178</x:v>
      </x:c>
      <x:c r="J735" s="37" t="n">
        <x:v>46178</x:v>
      </x:c>
      <x:c r="K735" s="19" t="str">
        <x:v>Snowy River Launceston</x:v>
      </x:c>
      <x:c r="L735" s="19" t="str">
        <x:v>Z006</x:v>
      </x:c>
      <x:c r="M735" s="19" t="str">
        <x:v>In Field Warranty Claims</x:v>
      </x:c>
      <x:c r="N735" s="37" t="n">
        <x:v>46176</x:v>
      </x:c>
      <x:c r="O735" s="37"/>
      <x:c r="P735" s="34" t="n">
        <x:v>0</x:v>
      </x:c>
      <x:c r="Q735" s="37" t="n">
        <x:v>46177.97261574074</x:v>
      </x:c>
    </x:row>
    <x:row r="736">
      <x:c r="A736" s="22" t="n">
        <x:v>35924</x:v>
      </x:c>
      <x:c r="B736" s="28" t="n">
        <x:v>871.8</x:v>
      </x:c>
      <x:c r="C736" s="28" t="n">
        <x:v>789.33</x:v>
      </x:c>
      <x:c r="D736" s="31" t="n">
        <x:f>IF(OR(ISBLANK(B736),ISBLANK(C736),B736=0),"",(C736-B736)/B736)</x:f>
        <x:v>-0.09459738472126625</x:v>
      </x:c>
      <x:c r="E736" s="22" t="str">
        <x:f>IF(ISBLANK(C736),"AmountIncludingTax缺失",IF(ABS(B736-C736)&lt;0.005,"一致","不一致"))</x:f>
        <x:v>不一致</x:v>
      </x:c>
      <x:c r="F736" s="19" t="str">
        <x:v>approved</x:v>
      </x:c>
      <x:c r="G736" s="19" t="str">
        <x:v>Repairer Invoiced Processed</x:v>
      </x:c>
      <x:c r="H736" s="19" t="str">
        <x:v>In Field</x:v>
      </x:c>
      <x:c r="I736" s="37" t="n">
        <x:v>46185</x:v>
      </x:c>
      <x:c r="J736" s="37" t="n">
        <x:v>46185</x:v>
      </x:c>
      <x:c r="K736" s="19" t="str">
        <x:v>Vanari Caravans - Marden Point</x:v>
      </x:c>
      <x:c r="L736" s="19" t="str">
        <x:v>Z006</x:v>
      </x:c>
      <x:c r="M736" s="19" t="str">
        <x:v>In Field Warranty Claims</x:v>
      </x:c>
      <x:c r="N736" s="37" t="n">
        <x:v>46176</x:v>
      </x:c>
      <x:c r="O736" s="37"/>
      <x:c r="P736" s="34" t="n">
        <x:v>789.33</x:v>
      </x:c>
      <x:c r="Q736" s="37" t="n">
        <x:v>46185.06670138889</x:v>
      </x:c>
    </x:row>
    <x:row r="737">
      <x:c r="A737" s="22" t="n">
        <x:v>35922</x:v>
      </x:c>
      <x:c r="B737" s="28" t="n">
        <x:v>135</x:v>
      </x:c>
      <x:c r="C737" s="28"/>
      <x:c r="D737" s="31" t="str">
        <x:f>IF(OR(ISBLANK(B737),ISBLANK(C737),B737=0),"",(C737-B737)/B737)</x:f>
      </x:c>
      <x:c r="E737" s="22" t="str">
        <x:f>IF(ISBLANK(C737),"AmountIncludingTax缺失",IF(ABS(B737-C737)&lt;0.005,"一致","不一致"))</x:f>
        <x:v>AmountIncludingTax缺失</x:v>
      </x:c>
      <x:c r="F737" s="19" t="str">
        <x:v>approved</x:v>
      </x:c>
      <x:c r="G737" s="19" t="str">
        <x:v>Sales Order Approved</x:v>
      </x:c>
      <x:c r="H737" s="19" t="str">
        <x:v>Pre Delivery</x:v>
      </x:c>
      <x:c r="I737" s="37" t="n">
        <x:v>46178</x:v>
      </x:c>
      <x:c r="J737" s="37" t="n">
        <x:v>46178</x:v>
      </x:c>
      <x:c r="K737" s="19" t="str">
        <x:v>Snowy River Wangaratta</x:v>
      </x:c>
      <x:c r="L737" s="19" t="str">
        <x:v>Z005</x:v>
      </x:c>
      <x:c r="M737" s="19" t="str">
        <x:v>Pre Delivery Warranty Claims</x:v>
      </x:c>
      <x:c r="N737" s="37" t="n">
        <x:v>46176</x:v>
      </x:c>
      <x:c r="O737" s="37"/>
      <x:c r="P737" s="34" t="n">
        <x:v>0</x:v>
      </x:c>
      <x:c r="Q737" s="37" t="n">
        <x:v>46178.14040509259</x:v>
      </x:c>
    </x:row>
    <x:row r="738">
      <x:c r="A738" s="22" t="n">
        <x:v>35920</x:v>
      </x:c>
      <x:c r="B738" s="28" t="n">
        <x:v>41.52</x:v>
      </x:c>
      <x:c r="C738" s="28" t="n">
        <x:v>37.59</x:v>
      </x:c>
      <x:c r="D738" s="31" t="n">
        <x:f>IF(OR(ISBLANK(B738),ISBLANK(C738),B738=0),"",(C738-B738)/B738)</x:f>
        <x:v>-0.09465317919075143</x:v>
      </x:c>
      <x:c r="E738" s="22" t="str">
        <x:f>IF(ISBLANK(C738),"AmountIncludingTax缺失",IF(ABS(B738-C738)&lt;0.005,"一致","不一致"))</x:f>
        <x:v>不一致</x:v>
      </x:c>
      <x:c r="F738" s="19" t="str">
        <x:v>approved</x:v>
      </x:c>
      <x:c r="G738" s="19" t="str">
        <x:v>Repairer Invoiced Processed</x:v>
      </x:c>
      <x:c r="H738" s="19" t="str">
        <x:v>In Field</x:v>
      </x:c>
      <x:c r="I738" s="37" t="n">
        <x:v>46177</x:v>
      </x:c>
      <x:c r="J738" s="37" t="n">
        <x:v>46177</x:v>
      </x:c>
      <x:c r="K738" s="19" t="str">
        <x:v>Vanari Caravans - Marden Point</x:v>
      </x:c>
      <x:c r="L738" s="19" t="str">
        <x:v>Z006</x:v>
      </x:c>
      <x:c r="M738" s="19" t="str">
        <x:v>In Field Warranty Claims</x:v>
      </x:c>
      <x:c r="N738" s="37" t="n">
        <x:v>46176</x:v>
      </x:c>
      <x:c r="O738" s="37"/>
      <x:c r="P738" s="34" t="n">
        <x:v>37.59</x:v>
      </x:c>
      <x:c r="Q738" s="37" t="n">
        <x:v>46176.96079861111</x:v>
      </x:c>
    </x:row>
    <x:row r="739">
      <x:c r="A739" s="22" t="n">
        <x:v>35919</x:v>
      </x:c>
      <x:c r="B739" s="28" t="n">
        <x:v>53.8</x:v>
      </x:c>
      <x:c r="C739" s="28" t="n">
        <x:v>48.71</x:v>
      </x:c>
      <x:c r="D739" s="31" t="n">
        <x:f>IF(OR(ISBLANK(B739),ISBLANK(C739),B739=0),"",(C739-B739)/B739)</x:f>
        <x:v>-0.09460966542750923</x:v>
      </x:c>
      <x:c r="E739" s="22" t="str">
        <x:f>IF(ISBLANK(C739),"AmountIncludingTax缺失",IF(ABS(B739-C739)&lt;0.005,"一致","不一致"))</x:f>
        <x:v>不一致</x:v>
      </x:c>
      <x:c r="F739" s="19" t="str">
        <x:v>approved</x:v>
      </x:c>
      <x:c r="G739" s="19" t="str">
        <x:v>Repairer Invoiced Processed</x:v>
      </x:c>
      <x:c r="H739" s="19" t="str">
        <x:v>In Field</x:v>
      </x:c>
      <x:c r="I739" s="37" t="n">
        <x:v>46177</x:v>
      </x:c>
      <x:c r="J739" s="37" t="n">
        <x:v>46177</x:v>
      </x:c>
      <x:c r="K739" s="19" t="str">
        <x:v>Vanari Caravans - Marden Point</x:v>
      </x:c>
      <x:c r="L739" s="19" t="str">
        <x:v>Z006</x:v>
      </x:c>
      <x:c r="M739" s="19" t="str">
        <x:v>In Field Warranty Claims</x:v>
      </x:c>
      <x:c r="N739" s="37" t="n">
        <x:v>46176</x:v>
      </x:c>
      <x:c r="O739" s="37"/>
      <x:c r="P739" s="34" t="n">
        <x:v>48.71</x:v>
      </x:c>
      <x:c r="Q739" s="37" t="n">
        <x:v>46176.95410879629</x:v>
      </x:c>
    </x:row>
    <x:row r="740">
      <x:c r="A740" s="22" t="n">
        <x:v>35918</x:v>
      </x:c>
      <x:c r="B740" s="28" t="n">
        <x:v>43.6</x:v>
      </x:c>
      <x:c r="C740" s="28" t="n">
        <x:v>39.48</x:v>
      </x:c>
      <x:c r="D740" s="31" t="n">
        <x:f>IF(OR(ISBLANK(B740),ISBLANK(C740),B740=0),"",(C740-B740)/B740)</x:f>
        <x:v>-0.0944954128440368</x:v>
      </x:c>
      <x:c r="E740" s="22" t="str">
        <x:f>IF(ISBLANK(C740),"AmountIncludingTax缺失",IF(ABS(B740-C740)&lt;0.005,"一致","不一致"))</x:f>
        <x:v>不一致</x:v>
      </x:c>
      <x:c r="F740" s="19" t="str">
        <x:v>approved</x:v>
      </x:c>
      <x:c r="G740" s="19" t="str">
        <x:v>Repairer Invoiced Processed</x:v>
      </x:c>
      <x:c r="H740" s="19" t="str">
        <x:v>In Field</x:v>
      </x:c>
      <x:c r="I740" s="37" t="n">
        <x:v>46177</x:v>
      </x:c>
      <x:c r="J740" s="37" t="n">
        <x:v>46177</x:v>
      </x:c>
      <x:c r="K740" s="19" t="str">
        <x:v>Vanari Caravans - Marden Point</x:v>
      </x:c>
      <x:c r="L740" s="19" t="str">
        <x:v>Z006</x:v>
      </x:c>
      <x:c r="M740" s="19" t="str">
        <x:v>In Field Warranty Claims</x:v>
      </x:c>
      <x:c r="N740" s="37" t="n">
        <x:v>46176</x:v>
      </x:c>
      <x:c r="O740" s="37"/>
      <x:c r="P740" s="34" t="n">
        <x:v>39.48</x:v>
      </x:c>
      <x:c r="Q740" s="37" t="n">
        <x:v>46176.95011574074</x:v>
      </x:c>
    </x:row>
    <x:row r="741">
      <x:c r="A741" s="22" t="n">
        <x:v>35917</x:v>
      </x:c>
      <x:c r="B741" s="28" t="n">
        <x:v>53.04</x:v>
      </x:c>
      <x:c r="C741" s="28" t="n">
        <x:v>48.02</x:v>
      </x:c>
      <x:c r="D741" s="31" t="n">
        <x:f>IF(OR(ISBLANK(B741),ISBLANK(C741),B741=0),"",(C741-B741)/B741)</x:f>
        <x:v>-0.0946455505279034</x:v>
      </x:c>
      <x:c r="E741" s="22" t="str">
        <x:f>IF(ISBLANK(C741),"AmountIncludingTax缺失",IF(ABS(B741-C741)&lt;0.005,"一致","不一致"))</x:f>
        <x:v>不一致</x:v>
      </x:c>
      <x:c r="F741" s="19" t="str">
        <x:v>approved</x:v>
      </x:c>
      <x:c r="G741" s="19" t="str">
        <x:v>Repairer Invoiced Processed</x:v>
      </x:c>
      <x:c r="H741" s="19" t="str">
        <x:v>In Field</x:v>
      </x:c>
      <x:c r="I741" s="37" t="n">
        <x:v>46177</x:v>
      </x:c>
      <x:c r="J741" s="37" t="n">
        <x:v>46177</x:v>
      </x:c>
      <x:c r="K741" s="19" t="str">
        <x:v>Vanari Caravans - Marden Point</x:v>
      </x:c>
      <x:c r="L741" s="19" t="str">
        <x:v>Z006</x:v>
      </x:c>
      <x:c r="M741" s="19" t="str">
        <x:v>In Field Warranty Claims</x:v>
      </x:c>
      <x:c r="N741" s="37" t="n">
        <x:v>46176</x:v>
      </x:c>
      <x:c r="O741" s="37"/>
      <x:c r="P741" s="34" t="n">
        <x:v>48.02</x:v>
      </x:c>
      <x:c r="Q741" s="37" t="n">
        <x:v>46176.94800925926</x:v>
      </x:c>
    </x:row>
    <x:row r="742">
      <x:c r="A742" s="22" t="n">
        <x:v>35916</x:v>
      </x:c>
      <x:c r="B742" s="28" t="n">
        <x:v>43.88</x:v>
      </x:c>
      <x:c r="C742" s="28" t="n">
        <x:v>39.73</x:v>
      </x:c>
      <x:c r="D742" s="31" t="n">
        <x:f>IF(OR(ISBLANK(B742),ISBLANK(C742),B742=0),"",(C742-B742)/B742)</x:f>
        <x:v>-0.09457611668185974</x:v>
      </x:c>
      <x:c r="E742" s="22" t="str">
        <x:f>IF(ISBLANK(C742),"AmountIncludingTax缺失",IF(ABS(B742-C742)&lt;0.005,"一致","不一致"))</x:f>
        <x:v>不一致</x:v>
      </x:c>
      <x:c r="F742" s="19" t="str">
        <x:v>approved</x:v>
      </x:c>
      <x:c r="G742" s="19" t="str">
        <x:v>Repairer Invoiced Processed</x:v>
      </x:c>
      <x:c r="H742" s="19" t="str">
        <x:v>In Field</x:v>
      </x:c>
      <x:c r="I742" s="37" t="n">
        <x:v>46177</x:v>
      </x:c>
      <x:c r="J742" s="37" t="n">
        <x:v>46177</x:v>
      </x:c>
      <x:c r="K742" s="19" t="str">
        <x:v>Vanari Caravans - Marden Point</x:v>
      </x:c>
      <x:c r="L742" s="19" t="str">
        <x:v>Z006</x:v>
      </x:c>
      <x:c r="M742" s="19" t="str">
        <x:v>In Field Warranty Claims</x:v>
      </x:c>
      <x:c r="N742" s="37" t="n">
        <x:v>46176</x:v>
      </x:c>
      <x:c r="O742" s="37"/>
      <x:c r="P742" s="34" t="n">
        <x:v>39.73</x:v>
      </x:c>
      <x:c r="Q742" s="37" t="n">
        <x:v>46176.94517361111</x:v>
      </x:c>
    </x:row>
    <x:row r="743">
      <x:c r="A743" s="22" t="n">
        <x:v>35915</x:v>
      </x:c>
      <x:c r="B743" s="28" t="n">
        <x:v>43.6</x:v>
      </x:c>
      <x:c r="C743" s="28" t="n">
        <x:v>39.48</x:v>
      </x:c>
      <x:c r="D743" s="31" t="n">
        <x:f>IF(OR(ISBLANK(B743),ISBLANK(C743),B743=0),"",(C743-B743)/B743)</x:f>
        <x:v>-0.0944954128440368</x:v>
      </x:c>
      <x:c r="E743" s="22" t="str">
        <x:f>IF(ISBLANK(C743),"AmountIncludingTax缺失",IF(ABS(B743-C743)&lt;0.005,"一致","不一致"))</x:f>
        <x:v>不一致</x:v>
      </x:c>
      <x:c r="F743" s="19" t="str">
        <x:v>approved</x:v>
      </x:c>
      <x:c r="G743" s="19" t="str">
        <x:v>Repairer Invoiced Processed</x:v>
      </x:c>
      <x:c r="H743" s="19" t="str">
        <x:v>In Field</x:v>
      </x:c>
      <x:c r="I743" s="37" t="n">
        <x:v>46177</x:v>
      </x:c>
      <x:c r="J743" s="37" t="n">
        <x:v>46177</x:v>
      </x:c>
      <x:c r="K743" s="19" t="str">
        <x:v>CMG Campers - Christchurch</x:v>
      </x:c>
      <x:c r="L743" s="19" t="str">
        <x:v>Z006</x:v>
      </x:c>
      <x:c r="M743" s="19" t="str">
        <x:v>In Field Warranty Claims</x:v>
      </x:c>
      <x:c r="N743" s="37" t="n">
        <x:v>46176</x:v>
      </x:c>
      <x:c r="O743" s="37"/>
      <x:c r="P743" s="34" t="n">
        <x:v>39.48</x:v>
      </x:c>
      <x:c r="Q743" s="37" t="n">
        <x:v>46176.943136574075</x:v>
      </x:c>
    </x:row>
    <x:row r="744">
      <x:c r="A744" s="22" t="n">
        <x:v>35914</x:v>
      </x:c>
      <x:c r="B744" s="28" t="n">
        <x:v>60</x:v>
      </x:c>
      <x:c r="C744" s="28" t="n">
        <x:v>54.32</x:v>
      </x:c>
      <x:c r="D744" s="31" t="n">
        <x:f>IF(OR(ISBLANK(B744),ISBLANK(C744),B744=0),"",(C744-B744)/B744)</x:f>
        <x:v>-0.09466666666666666</x:v>
      </x:c>
      <x:c r="E744" s="22" t="str">
        <x:f>IF(ISBLANK(C744),"AmountIncludingTax缺失",IF(ABS(B744-C744)&lt;0.005,"一致","不一致"))</x:f>
        <x:v>不一致</x:v>
      </x:c>
      <x:c r="F744" s="19" t="str">
        <x:v>approved</x:v>
      </x:c>
      <x:c r="G744" s="19" t="str">
        <x:v>Repairer Invoiced Processed</x:v>
      </x:c>
      <x:c r="H744" s="19" t="str">
        <x:v>In Field</x:v>
      </x:c>
      <x:c r="I744" s="37" t="n">
        <x:v>46177</x:v>
      </x:c>
      <x:c r="J744" s="37" t="n">
        <x:v>46177</x:v>
      </x:c>
      <x:c r="K744" s="19" t="str">
        <x:v>Vanari Caravans - Marden Point</x:v>
      </x:c>
      <x:c r="L744" s="19" t="str">
        <x:v>Z006</x:v>
      </x:c>
      <x:c r="M744" s="19" t="str">
        <x:v>In Field Warranty Claims</x:v>
      </x:c>
      <x:c r="N744" s="37" t="n">
        <x:v>46176</x:v>
      </x:c>
      <x:c r="O744" s="37"/>
      <x:c r="P744" s="34" t="n">
        <x:v>54.32</x:v>
      </x:c>
      <x:c r="Q744" s="37" t="n">
        <x:v>46176.93920138889</x:v>
      </x:c>
    </x:row>
    <x:row r="745">
      <x:c r="A745" s="22" t="n">
        <x:v>35911</x:v>
      </x:c>
      <x:c r="B745" s="28" t="n">
        <x:v>820</x:v>
      </x:c>
      <x:c r="C745" s="28"/>
      <x:c r="D745" s="31" t="str">
        <x:f>IF(OR(ISBLANK(B745),ISBLANK(C745),B745=0),"",(C745-B745)/B745)</x:f>
      </x:c>
      <x:c r="E745" s="22" t="str">
        <x:f>IF(ISBLANK(C745),"AmountIncludingTax缺失",IF(ABS(B745-C745)&lt;0.005,"一致","不一致"))</x:f>
        <x:v>AmountIncludingTax缺失</x:v>
      </x:c>
      <x:c r="F745" s="19" t="str">
        <x:v>approved</x:v>
      </x:c>
      <x:c r="G745" s="19" t="str">
        <x:v>Sales Order Approved</x:v>
      </x:c>
      <x:c r="H745" s="19" t="str">
        <x:v>In Field</x:v>
      </x:c>
      <x:c r="I745" s="37" t="n">
        <x:v>46177</x:v>
      </x:c>
      <x:c r="J745" s="37" t="n">
        <x:v>46177</x:v>
      </x:c>
      <x:c r="K745" s="19" t="str">
        <x:v>Not Assigned</x:v>
      </x:c>
      <x:c r="L745" s="19" t="str">
        <x:v>Z006</x:v>
      </x:c>
      <x:c r="M745" s="19" t="str">
        <x:v>In Field Warranty Claims</x:v>
      </x:c>
      <x:c r="N745" s="37" t="n">
        <x:v>46176</x:v>
      </x:c>
      <x:c r="O745" s="37"/>
      <x:c r="P745" s="34" t="n">
        <x:v>0</x:v>
      </x:c>
      <x:c r="Q745" s="37" t="n">
        <x:v>46176.88313657408</x:v>
      </x:c>
    </x:row>
    <x:row r="746">
      <x:c r="A746" s="22" t="n">
        <x:v>35910</x:v>
      </x:c>
      <x:c r="B746" s="28" t="n">
        <x:v>44.88</x:v>
      </x:c>
      <x:c r="C746" s="28" t="n">
        <x:v>40.63</x:v>
      </x:c>
      <x:c r="D746" s="31" t="n">
        <x:f>IF(OR(ISBLANK(B746),ISBLANK(C746),B746=0),"",(C746-B746)/B746)</x:f>
        <x:v>-0.0946969696969697</x:v>
      </x:c>
      <x:c r="E746" s="22" t="str">
        <x:f>IF(ISBLANK(C746),"AmountIncludingTax缺失",IF(ABS(B746-C746)&lt;0.005,"一致","不一致"))</x:f>
        <x:v>不一致</x:v>
      </x:c>
      <x:c r="F746" s="19" t="str">
        <x:v>approved</x:v>
      </x:c>
      <x:c r="G746" s="19" t="str">
        <x:v>Repairer Invoiced Processed</x:v>
      </x:c>
      <x:c r="H746" s="19" t="str">
        <x:v>In Field</x:v>
      </x:c>
      <x:c r="I746" s="37" t="n">
        <x:v>46177</x:v>
      </x:c>
      <x:c r="J746" s="37" t="n">
        <x:v>46177</x:v>
      </x:c>
      <x:c r="K746" s="19" t="str">
        <x:v>Not Assigned</x:v>
      </x:c>
      <x:c r="L746" s="19" t="str">
        <x:v>Z006</x:v>
      </x:c>
      <x:c r="M746" s="19" t="str">
        <x:v>In Field Warranty Claims</x:v>
      </x:c>
      <x:c r="N746" s="37" t="n">
        <x:v>46176</x:v>
      </x:c>
      <x:c r="O746" s="37"/>
      <x:c r="P746" s="34" t="n">
        <x:v>40.63</x:v>
      </x:c>
      <x:c r="Q746" s="37" t="n">
        <x:v>46177.15756944445</x:v>
      </x:c>
    </x:row>
    <x:row r="747">
      <x:c r="A747" s="22" t="n">
        <x:v>35909</x:v>
      </x:c>
      <x:c r="B747" s="28" t="n">
        <x:v>41.52</x:v>
      </x:c>
      <x:c r="C747" s="28" t="n">
        <x:v>37.59</x:v>
      </x:c>
      <x:c r="D747" s="31" t="n">
        <x:f>IF(OR(ISBLANK(B747),ISBLANK(C747),B747=0),"",(C747-B747)/B747)</x:f>
        <x:v>-0.09465317919075143</x:v>
      </x:c>
      <x:c r="E747" s="22" t="str">
        <x:f>IF(ISBLANK(C747),"AmountIncludingTax缺失",IF(ABS(B747-C747)&lt;0.005,"一致","不一致"))</x:f>
        <x:v>不一致</x:v>
      </x:c>
      <x:c r="F747" s="19" t="str">
        <x:v>approved</x:v>
      </x:c>
      <x:c r="G747" s="19" t="str">
        <x:v>Repairer Invoiced Processed</x:v>
      </x:c>
      <x:c r="H747" s="19" t="str">
        <x:v>In Field</x:v>
      </x:c>
      <x:c r="I747" s="37" t="n">
        <x:v>46177</x:v>
      </x:c>
      <x:c r="J747" s="37" t="n">
        <x:v>46177</x:v>
      </x:c>
      <x:c r="K747" s="19" t="str">
        <x:v>Vanari Caravans - Marden Point</x:v>
      </x:c>
      <x:c r="L747" s="19" t="str">
        <x:v>Z006</x:v>
      </x:c>
      <x:c r="M747" s="19" t="str">
        <x:v>In Field Warranty Claims</x:v>
      </x:c>
      <x:c r="N747" s="37" t="n">
        <x:v>46176</x:v>
      </x:c>
      <x:c r="O747" s="37"/>
      <x:c r="P747" s="34" t="n">
        <x:v>37.59</x:v>
      </x:c>
      <x:c r="Q747" s="37" t="n">
        <x:v>46177.15693287037</x:v>
      </x:c>
    </x:row>
    <x:row r="748">
      <x:c r="A748" s="22" t="n">
        <x:v>35908</x:v>
      </x:c>
      <x:c r="B748" s="28" t="n">
        <x:v>41.16</x:v>
      </x:c>
      <x:c r="C748" s="28" t="n">
        <x:v>37.27</x:v>
      </x:c>
      <x:c r="D748" s="31" t="n">
        <x:f>IF(OR(ISBLANK(B748),ISBLANK(C748),B748=0),"",(C748-B748)/B748)</x:f>
        <x:v>-0.09450923226433415</x:v>
      </x:c>
      <x:c r="E748" s="22" t="str">
        <x:f>IF(ISBLANK(C748),"AmountIncludingTax缺失",IF(ABS(B748-C748)&lt;0.005,"一致","不一致"))</x:f>
        <x:v>不一致</x:v>
      </x:c>
      <x:c r="F748" s="19" t="str">
        <x:v>approved</x:v>
      </x:c>
      <x:c r="G748" s="19" t="str">
        <x:v>Repairer Invoiced Processed</x:v>
      </x:c>
      <x:c r="H748" s="19" t="str">
        <x:v>In Field</x:v>
      </x:c>
      <x:c r="I748" s="37" t="n">
        <x:v>46177</x:v>
      </x:c>
      <x:c r="J748" s="37" t="n">
        <x:v>46177</x:v>
      </x:c>
      <x:c r="K748" s="19" t="str">
        <x:v>Vanari Caravans - Marden Point</x:v>
      </x:c>
      <x:c r="L748" s="19" t="str">
        <x:v>Z006</x:v>
      </x:c>
      <x:c r="M748" s="19" t="str">
        <x:v>In Field Warranty Claims</x:v>
      </x:c>
      <x:c r="N748" s="37" t="n">
        <x:v>46176</x:v>
      </x:c>
      <x:c r="O748" s="37"/>
      <x:c r="P748" s="34" t="n">
        <x:v>37.27</x:v>
      </x:c>
      <x:c r="Q748" s="37" t="n">
        <x:v>46177.156064814815</x:v>
      </x:c>
    </x:row>
    <x:row r="749">
      <x:c r="A749" s="22" t="n">
        <x:v>35907</x:v>
      </x:c>
      <x:c r="B749" s="28" t="n">
        <x:v>140</x:v>
      </x:c>
      <x:c r="C749" s="28" t="n">
        <x:v>154</x:v>
      </x:c>
      <x:c r="D749" s="31" t="n">
        <x:f>IF(OR(ISBLANK(B749),ISBLANK(C749),B749=0),"",(C749-B749)/B749)</x:f>
        <x:v>0.1</x:v>
      </x:c>
      <x:c r="E749" s="22" t="str">
        <x:f>IF(ISBLANK(C749),"AmountIncludingTax缺失",IF(ABS(B749-C749)&lt;0.005,"一致","不一致"))</x:f>
        <x:v>不一致</x:v>
      </x:c>
      <x:c r="F749" s="19" t="str">
        <x:v>approved</x:v>
      </x:c>
      <x:c r="G749" s="19" t="str">
        <x:v>Repair in Progress</x:v>
      </x:c>
      <x:c r="H749" s="19" t="str">
        <x:v>In Field</x:v>
      </x:c>
      <x:c r="I749" s="37" t="n">
        <x:v>46177</x:v>
      </x:c>
      <x:c r="J749" s="37" t="n">
        <x:v>46177</x:v>
      </x:c>
      <x:c r="K749" s="19" t="str">
        <x:v>Regent RV - Frankston</x:v>
      </x:c>
      <x:c r="L749" s="19" t="str">
        <x:v>Z006</x:v>
      </x:c>
      <x:c r="M749" s="19" t="str">
        <x:v>In Field Warranty Claims</x:v>
      </x:c>
      <x:c r="N749" s="37" t="n">
        <x:v>46176</x:v>
      </x:c>
      <x:c r="O749" s="37"/>
      <x:c r="P749" s="34" t="n">
        <x:v>154</x:v>
      </x:c>
      <x:c r="Q749" s="37" t="n">
        <x:v>46176.91039351852</x:v>
      </x:c>
    </x:row>
    <x:row r="750">
      <x:c r="A750" s="22" t="n">
        <x:v>35900</x:v>
      </x:c>
      <x:c r="B750" s="28" t="n">
        <x:v>67.5</x:v>
      </x:c>
      <x:c r="C750" s="28"/>
      <x:c r="D750" s="31" t="str">
        <x:f>IF(OR(ISBLANK(B750),ISBLANK(C750),B750=0),"",(C750-B750)/B750)</x:f>
      </x:c>
      <x:c r="E750" s="22" t="str">
        <x:f>IF(ISBLANK(C750),"AmountIncludingTax缺失",IF(ABS(B750-C750)&lt;0.005,"一致","不一致"))</x:f>
        <x:v>AmountIncludingTax缺失</x:v>
      </x:c>
      <x:c r="F750" s="19" t="str">
        <x:v>approved</x:v>
      </x:c>
      <x:c r="G750" s="19" t="str">
        <x:v>Repairer Invoiced Processed</x:v>
      </x:c>
      <x:c r="H750" s="19" t="str">
        <x:v>In Field</x:v>
      </x:c>
      <x:c r="I750" s="37" t="n">
        <x:v>46185</x:v>
      </x:c>
      <x:c r="J750" s="37" t="n">
        <x:v>46185</x:v>
      </x:c>
      <x:c r="K750" s="19" t="str">
        <x:v>Lesiure Lion-New Castle</x:v>
      </x:c>
      <x:c r="L750" s="19" t="str">
        <x:v>Z006</x:v>
      </x:c>
      <x:c r="M750" s="19" t="str">
        <x:v>In Field Warranty Claims</x:v>
      </x:c>
      <x:c r="N750" s="37" t="n">
        <x:v>46177</x:v>
      </x:c>
      <x:c r="O750" s="37"/>
      <x:c r="P750" s="34" t="n">
        <x:v>0</x:v>
      </x:c>
      <x:c r="Q750" s="37" t="n">
        <x:v>46185.04033564815</x:v>
      </x:c>
    </x:row>
    <x:row r="751">
      <x:c r="A751" s="22" t="n">
        <x:v>35899</x:v>
      </x:c>
      <x:c r="B751" s="28" t="n">
        <x:v>708.75</x:v>
      </x:c>
      <x:c r="C751" s="28"/>
      <x:c r="D751" s="31" t="str">
        <x:f>IF(OR(ISBLANK(B751),ISBLANK(C751),B751=0),"",(C751-B751)/B751)</x:f>
      </x:c>
      <x:c r="E751" s="22" t="str">
        <x:f>IF(ISBLANK(C751),"AmountIncludingTax缺失",IF(ABS(B751-C751)&lt;0.005,"一致","不一致"))</x:f>
        <x:v>AmountIncludingTax缺失</x:v>
      </x:c>
      <x:c r="F751" s="19" t="str">
        <x:v>approved</x:v>
      </x:c>
      <x:c r="G751" s="19" t="str">
        <x:v>Partially Picked</x:v>
      </x:c>
      <x:c r="H751" s="19" t="str">
        <x:v>In Field</x:v>
      </x:c>
      <x:c r="I751" s="37" t="n">
        <x:v>46188</x:v>
      </x:c>
      <x:c r="J751" s="37" t="n">
        <x:v>46188</x:v>
      </x:c>
      <x:c r="K751" s="19" t="str">
        <x:v>Regent RV - Townsville</x:v>
      </x:c>
      <x:c r="L751" s="19" t="str">
        <x:v>Z006</x:v>
      </x:c>
      <x:c r="M751" s="19" t="str">
        <x:v>In Field Warranty Claims</x:v>
      </x:c>
      <x:c r="N751" s="37" t="n">
        <x:v>46177</x:v>
      </x:c>
      <x:c r="O751" s="37"/>
      <x:c r="P751" s="34" t="n">
        <x:v>0</x:v>
      </x:c>
      <x:c r="Q751" s="37" t="n">
        <x:v>46188.110347222224</x:v>
      </x:c>
    </x:row>
    <x:row r="752">
      <x:c r="A752" s="22" t="n">
        <x:v>35898</x:v>
      </x:c>
      <x:c r="B752" s="28" t="n">
        <x:v>135</x:v>
      </x:c>
      <x:c r="C752" s="28"/>
      <x:c r="D752" s="31" t="str">
        <x:f>IF(OR(ISBLANK(B752),ISBLANK(C752),B752=0),"",(C752-B752)/B752)</x:f>
      </x:c>
      <x:c r="E752" s="22" t="str">
        <x:f>IF(ISBLANK(C752),"AmountIncludingTax缺失",IF(ABS(B752-C752)&lt;0.005,"一致","不一致"))</x:f>
        <x:v>AmountIncludingTax缺失</x:v>
      </x:c>
      <x:c r="F752" s="19" t="str">
        <x:v>approved</x:v>
      </x:c>
      <x:c r="G752" s="19" t="str">
        <x:v>Sales Order Approved</x:v>
      </x:c>
      <x:c r="H752" s="19" t="str">
        <x:v>Pre Delivery</x:v>
      </x:c>
      <x:c r="I752" s="37" t="n">
        <x:v>46178</x:v>
      </x:c>
      <x:c r="J752" s="37" t="n">
        <x:v>46178</x:v>
      </x:c>
      <x:c r="K752" s="19" t="str">
        <x:v>Snowy River Wangaratta</x:v>
      </x:c>
      <x:c r="L752" s="19" t="str">
        <x:v>Z005</x:v>
      </x:c>
      <x:c r="M752" s="19" t="str">
        <x:v>Pre Delivery Warranty Claims</x:v>
      </x:c>
      <x:c r="N752" s="37" t="n">
        <x:v>46176</x:v>
      </x:c>
      <x:c r="O752" s="37"/>
      <x:c r="P752" s="34" t="n">
        <x:v>0</x:v>
      </x:c>
      <x:c r="Q752" s="37" t="n">
        <x:v>46178.13873842593</x:v>
      </x:c>
    </x:row>
    <x:row r="753">
      <x:c r="A753" s="22" t="n">
        <x:v>35893</x:v>
      </x:c>
      <x:c r="B753" s="28" t="n">
        <x:v>135</x:v>
      </x:c>
      <x:c r="C753" s="28"/>
      <x:c r="D753" s="31" t="str">
        <x:f>IF(OR(ISBLANK(B753),ISBLANK(C753),B753=0),"",(C753-B753)/B753)</x:f>
      </x:c>
      <x:c r="E753" s="22" t="str">
        <x:f>IF(ISBLANK(C753),"AmountIncludingTax缺失",IF(ABS(B753-C753)&lt;0.005,"一致","不一致"))</x:f>
        <x:v>AmountIncludingTax缺失</x:v>
      </x:c>
      <x:c r="F753" s="19" t="str">
        <x:v>approved</x:v>
      </x:c>
      <x:c r="G753" s="19" t="str">
        <x:v>Repairer Invoiced Processed</x:v>
      </x:c>
      <x:c r="H753" s="19" t="str">
        <x:v>In Field</x:v>
      </x:c>
      <x:c r="I753" s="37" t="n">
        <x:v>46177</x:v>
      </x:c>
      <x:c r="J753" s="37" t="n">
        <x:v>46177</x:v>
      </x:c>
      <x:c r="K753" s="19" t="str">
        <x:v>Regent RV - Toowoomba</x:v>
      </x:c>
      <x:c r="L753" s="19" t="str">
        <x:v>Z006</x:v>
      </x:c>
      <x:c r="M753" s="19" t="str">
        <x:v>In Field Warranty Claims</x:v>
      </x:c>
      <x:c r="N753" s="37" t="n">
        <x:v>46176</x:v>
      </x:c>
      <x:c r="O753" s="37"/>
      <x:c r="P753" s="34" t="n">
        <x:v>0</x:v>
      </x:c>
      <x:c r="Q753" s="37" t="n">
        <x:v>46177.10255787037</x:v>
      </x:c>
    </x:row>
    <x:row r="754">
      <x:c r="A754" s="22" t="n">
        <x:v>35892</x:v>
      </x:c>
      <x:c r="B754" s="28" t="n">
        <x:v>1848.75</x:v>
      </x:c>
      <x:c r="C754" s="28"/>
      <x:c r="D754" s="31" t="str">
        <x:f>IF(OR(ISBLANK(B754),ISBLANK(C754),B754=0),"",(C754-B754)/B754)</x:f>
      </x:c>
      <x:c r="E754" s="22" t="str">
        <x:f>IF(ISBLANK(C754),"AmountIncludingTax缺失",IF(ABS(B754-C754)&lt;0.005,"一致","不一致"))</x:f>
        <x:v>AmountIncludingTax缺失</x:v>
      </x:c>
      <x:c r="F754" s="19" t="str">
        <x:v>approved</x:v>
      </x:c>
      <x:c r="G754" s="19" t="str">
        <x:v>Partially Picked</x:v>
      </x:c>
      <x:c r="H754" s="19" t="str">
        <x:v>In Field</x:v>
      </x:c>
      <x:c r="I754" s="37" t="n">
        <x:v>46192</x:v>
      </x:c>
      <x:c r="J754" s="37" t="n">
        <x:v>46192</x:v>
      </x:c>
      <x:c r="K754" s="19" t="str">
        <x:v>Snowy River Wangaratta</x:v>
      </x:c>
      <x:c r="L754" s="19" t="str">
        <x:v>Z006</x:v>
      </x:c>
      <x:c r="M754" s="19" t="str">
        <x:v>In Field Warranty Claims</x:v>
      </x:c>
      <x:c r="N754" s="37" t="n">
        <x:v>46176</x:v>
      </x:c>
      <x:c r="O754" s="37"/>
      <x:c r="P754" s="34" t="n">
        <x:v>0</x:v>
      </x:c>
      <x:c r="Q754" s="37" t="n">
        <x:v>46192.0775462963</x:v>
      </x:c>
    </x:row>
    <x:row r="755">
      <x:c r="A755" s="22" t="n">
        <x:v>35891</x:v>
      </x:c>
      <x:c r="B755" s="28" t="n">
        <x:v>840</x:v>
      </x:c>
      <x:c r="C755" s="28"/>
      <x:c r="D755" s="31" t="str">
        <x:f>IF(OR(ISBLANK(B755),ISBLANK(C755),B755=0),"",(C755-B755)/B755)</x:f>
      </x:c>
      <x:c r="E755" s="22" t="str">
        <x:f>IF(ISBLANK(C755),"AmountIncludingTax缺失",IF(ABS(B755-C755)&lt;0.005,"一致","不一致"))</x:f>
        <x:v>AmountIncludingTax缺失</x:v>
      </x:c>
      <x:c r="F755" s="19" t="str">
        <x:v>approved</x:v>
      </x:c>
      <x:c r="G755" s="19" t="str">
        <x:v>Repairer Invoiced Processed</x:v>
      </x:c>
      <x:c r="H755" s="19" t="str">
        <x:v>Pre Delivery</x:v>
      </x:c>
      <x:c r="I755" s="37" t="n">
        <x:v>46185</x:v>
      </x:c>
      <x:c r="J755" s="37" t="n">
        <x:v>46185</x:v>
      </x:c>
      <x:c r="K755" s="19" t="str">
        <x:v>Leisure Lion - Bundaberg</x:v>
      </x:c>
      <x:c r="L755" s="19" t="str">
        <x:v>Z005</x:v>
      </x:c>
      <x:c r="M755" s="19" t="str">
        <x:v>Pre Delivery Warranty Claims</x:v>
      </x:c>
      <x:c r="N755" s="37" t="n">
        <x:v>46176</x:v>
      </x:c>
      <x:c r="O755" s="37"/>
      <x:c r="P755" s="34" t="n">
        <x:v>0</x:v>
      </x:c>
      <x:c r="Q755" s="37" t="n">
        <x:v>46185.1796412037</x:v>
      </x:c>
    </x:row>
    <x:row r="756">
      <x:c r="A756" s="22" t="n">
        <x:v>35886</x:v>
      </x:c>
      <x:c r="B756" s="28" t="n">
        <x:v>135</x:v>
      </x:c>
      <x:c r="C756" s="28"/>
      <x:c r="D756" s="31" t="str">
        <x:f>IF(OR(ISBLANK(B756),ISBLANK(C756),B756=0),"",(C756-B756)/B756)</x:f>
      </x:c>
      <x:c r="E756" s="22" t="str">
        <x:f>IF(ISBLANK(C756),"AmountIncludingTax缺失",IF(ABS(B756-C756)&lt;0.005,"一致","不一致"))</x:f>
        <x:v>AmountIncludingTax缺失</x:v>
      </x:c>
      <x:c r="F756" s="19" t="str">
        <x:v>approved</x:v>
      </x:c>
      <x:c r="G756" s="19" t="str">
        <x:v>Repairer Invoiced Processed</x:v>
      </x:c>
      <x:c r="H756" s="19" t="str">
        <x:v>In Field</x:v>
      </x:c>
      <x:c r="I756" s="37" t="n">
        <x:v>46176</x:v>
      </x:c>
      <x:c r="J756" s="37" t="n">
        <x:v>46176</x:v>
      </x:c>
      <x:c r="K756" s="19" t="str">
        <x:v>Newcastle RV Super Centre - Beresfield</x:v>
      </x:c>
      <x:c r="L756" s="19" t="str">
        <x:v>Z006</x:v>
      </x:c>
      <x:c r="M756" s="19" t="str">
        <x:v>In Field Warranty Claims</x:v>
      </x:c>
      <x:c r="N756" s="37" t="n">
        <x:v>46176</x:v>
      </x:c>
      <x:c r="O756" s="37"/>
      <x:c r="P756" s="34" t="n">
        <x:v>0</x:v>
      </x:c>
      <x:c r="Q756" s="37" t="n">
        <x:v>46176.232152777775</x:v>
      </x:c>
    </x:row>
    <x:row r="757">
      <x:c r="A757" s="22" t="n">
        <x:v>35885</x:v>
      </x:c>
      <x:c r="B757" s="28" t="n">
        <x:v>540</x:v>
      </x:c>
      <x:c r="C757" s="28"/>
      <x:c r="D757" s="31" t="str">
        <x:f>IF(OR(ISBLANK(B757),ISBLANK(C757),B757=0),"",(C757-B757)/B757)</x:f>
      </x:c>
      <x:c r="E757" s="22" t="str">
        <x:f>IF(ISBLANK(C757),"AmountIncludingTax缺失",IF(ABS(B757-C757)&lt;0.005,"一致","不一致"))</x:f>
        <x:v>AmountIncludingTax缺失</x:v>
      </x:c>
      <x:c r="F757" s="19" t="str">
        <x:v>approved</x:v>
      </x:c>
      <x:c r="G757" s="19" t="str">
        <x:v>Repair in Progress</x:v>
      </x:c>
      <x:c r="H757" s="19" t="str">
        <x:v>In Field</x:v>
      </x:c>
      <x:c r="I757" s="37" t="n">
        <x:v>46183</x:v>
      </x:c>
      <x:c r="J757" s="37" t="n">
        <x:v>46183</x:v>
      </x:c>
      <x:c r="K757" s="19" t="str">
        <x:v>Leisure Lion - Bundaberg</x:v>
      </x:c>
      <x:c r="L757" s="19" t="str">
        <x:v>Z006</x:v>
      </x:c>
      <x:c r="M757" s="19" t="str">
        <x:v>In Field Warranty Claims</x:v>
      </x:c>
      <x:c r="N757" s="37" t="n">
        <x:v>46176</x:v>
      </x:c>
      <x:c r="O757" s="37"/>
      <x:c r="P757" s="34" t="n">
        <x:v>0</x:v>
      </x:c>
      <x:c r="Q757" s="37" t="n">
        <x:v>46183.17491898148</x:v>
      </x:c>
    </x:row>
    <x:row r="758">
      <x:c r="A758" s="22" t="n">
        <x:v>35884</x:v>
      </x:c>
      <x:c r="B758" s="28" t="n">
        <x:v>67.5</x:v>
      </x:c>
      <x:c r="C758" s="28"/>
      <x:c r="D758" s="31" t="str">
        <x:f>IF(OR(ISBLANK(B758),ISBLANK(C758),B758=0),"",(C758-B758)/B758)</x:f>
      </x:c>
      <x:c r="E758" s="22" t="str">
        <x:f>IF(ISBLANK(C758),"AmountIncludingTax缺失",IF(ABS(B758-C758)&lt;0.005,"一致","不一致"))</x:f>
        <x:v>AmountIncludingTax缺失</x:v>
      </x:c>
      <x:c r="F758" s="19" t="str">
        <x:v>approved</x:v>
      </x:c>
      <x:c r="G758" s="19" t="str">
        <x:v>Sales Order Approved</x:v>
      </x:c>
      <x:c r="H758" s="19" t="str">
        <x:v>In Field</x:v>
      </x:c>
      <x:c r="I758" s="37" t="n">
        <x:v>46178</x:v>
      </x:c>
      <x:c r="J758" s="37" t="n">
        <x:v>46178</x:v>
      </x:c>
      <x:c r="K758" s="19" t="str">
        <x:v>Regent RV - Toowoomba</x:v>
      </x:c>
      <x:c r="L758" s="19" t="str">
        <x:v>Z006</x:v>
      </x:c>
      <x:c r="M758" s="19" t="str">
        <x:v>In Field Warranty Claims</x:v>
      </x:c>
      <x:c r="N758" s="37" t="n">
        <x:v>46176</x:v>
      </x:c>
      <x:c r="O758" s="37"/>
      <x:c r="P758" s="34" t="n">
        <x:v>0</x:v>
      </x:c>
      <x:c r="Q758" s="37" t="n">
        <x:v>46177.95912037037</x:v>
      </x:c>
    </x:row>
    <x:row r="759">
      <x:c r="A759" s="22" t="n">
        <x:v>35882</x:v>
      </x:c>
      <x:c r="B759" s="28" t="n">
        <x:v>2355</x:v>
      </x:c>
      <x:c r="C759" s="28"/>
      <x:c r="D759" s="31" t="str">
        <x:f>IF(OR(ISBLANK(B759),ISBLANK(C759),B759=0),"",(C759-B759)/B759)</x:f>
      </x:c>
      <x:c r="E759" s="22" t="str">
        <x:f>IF(ISBLANK(C759),"AmountIncludingTax缺失",IF(ABS(B759-C759)&lt;0.005,"一致","不一致"))</x:f>
        <x:v>AmountIncludingTax缺失</x:v>
      </x:c>
      <x:c r="F759" s="19" t="str">
        <x:v>approved</x:v>
      </x:c>
      <x:c r="G759" s="19" t="str">
        <x:v>Repair in Progress</x:v>
      </x:c>
      <x:c r="H759" s="19" t="str">
        <x:v>In Field</x:v>
      </x:c>
      <x:c r="I759" s="37" t="n">
        <x:v>46183</x:v>
      </x:c>
      <x:c r="J759" s="37" t="n">
        <x:v>46183</x:v>
      </x:c>
      <x:c r="K759" s="19" t="str">
        <x:v>Regent RV - Frankston</x:v>
      </x:c>
      <x:c r="L759" s="19" t="str">
        <x:v>Z006</x:v>
      </x:c>
      <x:c r="M759" s="19" t="str">
        <x:v>In Field Warranty Claims</x:v>
      </x:c>
      <x:c r="N759" s="37" t="n">
        <x:v>46176</x:v>
      </x:c>
      <x:c r="O759" s="37"/>
      <x:c r="P759" s="34" t="n">
        <x:v>0</x:v>
      </x:c>
      <x:c r="Q759" s="37" t="n">
        <x:v>46182.97185185185</x:v>
      </x:c>
    </x:row>
    <x:row r="760">
      <x:c r="A760" s="22" t="n">
        <x:v>35881</x:v>
      </x:c>
      <x:c r="B760" s="28" t="n">
        <x:v>405</x:v>
      </x:c>
      <x:c r="C760" s="28"/>
      <x:c r="D760" s="31" t="str">
        <x:f>IF(OR(ISBLANK(B760),ISBLANK(C760),B760=0),"",(C760-B760)/B760)</x:f>
      </x:c>
      <x:c r="E760" s="22" t="str">
        <x:f>IF(ISBLANK(C760),"AmountIncludingTax缺失",IF(ABS(B760-C760)&lt;0.005,"一致","不一致"))</x:f>
        <x:v>AmountIncludingTax缺失</x:v>
      </x:c>
      <x:c r="F760" s="19" t="str">
        <x:v>approved</x:v>
      </x:c>
      <x:c r="G760" s="19" t="str">
        <x:v>Partially Picked</x:v>
      </x:c>
      <x:c r="H760" s="19" t="str">
        <x:v>In Field</x:v>
      </x:c>
      <x:c r="I760" s="37" t="n">
        <x:v>46177</x:v>
      </x:c>
      <x:c r="J760" s="37" t="n">
        <x:v>46177</x:v>
      </x:c>
      <x:c r="K760" s="19" t="str">
        <x:v>Green RV - Forest Glen</x:v>
      </x:c>
      <x:c r="L760" s="19" t="str">
        <x:v>Z006</x:v>
      </x:c>
      <x:c r="M760" s="19" t="str">
        <x:v>In Field Warranty Claims</x:v>
      </x:c>
      <x:c r="N760" s="37" t="n">
        <x:v>46176</x:v>
      </x:c>
      <x:c r="O760" s="37"/>
      <x:c r="P760" s="34" t="n">
        <x:v>0</x:v>
      </x:c>
      <x:c r="Q760" s="37" t="n">
        <x:v>46177.019641203704</x:v>
      </x:c>
    </x:row>
    <x:row r="761">
      <x:c r="A761" s="22" t="n">
        <x:v>35880</x:v>
      </x:c>
      <x:c r="B761" s="28" t="n">
        <x:v>1165</x:v>
      </x:c>
      <x:c r="C761" s="28"/>
      <x:c r="D761" s="31" t="str">
        <x:f>IF(OR(ISBLANK(B761),ISBLANK(C761),B761=0),"",(C761-B761)/B761)</x:f>
      </x:c>
      <x:c r="E761" s="22" t="str">
        <x:f>IF(ISBLANK(C761),"AmountIncludingTax缺失",IF(ABS(B761-C761)&lt;0.005,"一致","不一致"))</x:f>
        <x:v>AmountIncludingTax缺失</x:v>
      </x:c>
      <x:c r="F761" s="19" t="str">
        <x:v>approved</x:v>
      </x:c>
      <x:c r="G761" s="19" t="str">
        <x:v>Repair in Progress</x:v>
      </x:c>
      <x:c r="H761" s="19" t="str">
        <x:v>In Field</x:v>
      </x:c>
      <x:c r="I761" s="37" t="n">
        <x:v>46178</x:v>
      </x:c>
      <x:c r="J761" s="37" t="n">
        <x:v>46178</x:v>
      </x:c>
      <x:c r="K761" s="19" t="str">
        <x:v>Regent RV - Frankston</x:v>
      </x:c>
      <x:c r="L761" s="19" t="str">
        <x:v>Z006</x:v>
      </x:c>
      <x:c r="M761" s="19" t="str">
        <x:v>In Field Warranty Claims</x:v>
      </x:c>
      <x:c r="N761" s="37" t="n">
        <x:v>46176</x:v>
      </x:c>
      <x:c r="O761" s="37"/>
      <x:c r="P761" s="34" t="n">
        <x:v>0</x:v>
      </x:c>
      <x:c r="Q761" s="37" t="n">
        <x:v>46177.96199074074</x:v>
      </x:c>
    </x:row>
    <x:row r="762">
      <x:c r="A762" s="22" t="n">
        <x:v>35879</x:v>
      </x:c>
      <x:c r="B762" s="28" t="n">
        <x:v>438.75</x:v>
      </x:c>
      <x:c r="C762" s="28"/>
      <x:c r="D762" s="31" t="str">
        <x:f>IF(OR(ISBLANK(B762),ISBLANK(C762),B762=0),"",(C762-B762)/B762)</x:f>
      </x:c>
      <x:c r="E762" s="22" t="str">
        <x:f>IF(ISBLANK(C762),"AmountIncludingTax缺失",IF(ABS(B762-C762)&lt;0.005,"一致","不一致"))</x:f>
        <x:v>AmountIncludingTax缺失</x:v>
      </x:c>
      <x:c r="F762" s="19" t="str">
        <x:v>approved</x:v>
      </x:c>
      <x:c r="G762" s="19" t="str">
        <x:v>Sales Order Approved</x:v>
      </x:c>
      <x:c r="H762" s="19" t="str">
        <x:v>Pre Delivery</x:v>
      </x:c>
      <x:c r="I762" s="37" t="n">
        <x:v>46199</x:v>
      </x:c>
      <x:c r="J762" s="37" t="n">
        <x:v>46199</x:v>
      </x:c>
      <x:c r="K762" s="19" t="str">
        <x:v>Regent RV Pty Ltd</x:v>
      </x:c>
      <x:c r="L762" s="19" t="str">
        <x:v>Z005</x:v>
      </x:c>
      <x:c r="M762" s="19" t="str">
        <x:v>Pre Delivery Warranty Claims</x:v>
      </x:c>
      <x:c r="N762" s="37" t="n">
        <x:v>46176</x:v>
      </x:c>
      <x:c r="O762" s="37"/>
      <x:c r="P762" s="34" t="n">
        <x:v>0</x:v>
      </x:c>
      <x:c r="Q762" s="37" t="n">
        <x:v>46199.0781712963</x:v>
      </x:c>
    </x:row>
    <x:row r="763">
      <x:c r="A763" s="22" t="n">
        <x:v>35877</x:v>
      </x:c>
      <x:c r="B763" s="28" t="n">
        <x:v>1221.25</x:v>
      </x:c>
      <x:c r="C763" s="28"/>
      <x:c r="D763" s="31" t="str">
        <x:f>IF(OR(ISBLANK(B763),ISBLANK(C763),B763=0),"",(C763-B763)/B763)</x:f>
      </x:c>
      <x:c r="E763" s="22" t="str">
        <x:f>IF(ISBLANK(C763),"AmountIncludingTax缺失",IF(ABS(B763-C763)&lt;0.005,"一致","不一致"))</x:f>
        <x:v>AmountIncludingTax缺失</x:v>
      </x:c>
      <x:c r="F763" s="19" t="str">
        <x:v>approved</x:v>
      </x:c>
      <x:c r="G763" s="19" t="str">
        <x:v>Repair in Progress</x:v>
      </x:c>
      <x:c r="H763" s="19" t="str">
        <x:v>In Field</x:v>
      </x:c>
      <x:c r="I763" s="37" t="n">
        <x:v>46185</x:v>
      </x:c>
      <x:c r="J763" s="37" t="n">
        <x:v>46177</x:v>
      </x:c>
      <x:c r="K763" s="19" t="str">
        <x:v>Snowy River Launceston</x:v>
      </x:c>
      <x:c r="L763" s="19" t="str">
        <x:v>Z006</x:v>
      </x:c>
      <x:c r="M763" s="19" t="str">
        <x:v>In Field Warranty Claims</x:v>
      </x:c>
      <x:c r="N763" s="37" t="n">
        <x:v>46176</x:v>
      </x:c>
      <x:c r="O763" s="37"/>
      <x:c r="P763" s="34" t="n">
        <x:v>0</x:v>
      </x:c>
      <x:c r="Q763" s="37" t="n">
        <x:v>46185.17643518518</x:v>
      </x:c>
    </x:row>
    <x:row r="764">
      <x:c r="A764" s="22" t="n">
        <x:v>35875</x:v>
      </x:c>
      <x:c r="B764" s="28" t="n">
        <x:v>445</x:v>
      </x:c>
      <x:c r="C764" s="28"/>
      <x:c r="D764" s="31" t="str">
        <x:f>IF(OR(ISBLANK(B764),ISBLANK(C764),B764=0),"",(C764-B764)/B764)</x:f>
      </x:c>
      <x:c r="E764" s="22" t="str">
        <x:f>IF(ISBLANK(C764),"AmountIncludingTax缺失",IF(ABS(B764-C764)&lt;0.005,"一致","不一致"))</x:f>
        <x:v>AmountIncludingTax缺失</x:v>
      </x:c>
      <x:c r="F764" s="19" t="str">
        <x:v>approved</x:v>
      </x:c>
      <x:c r="G764" s="19" t="str">
        <x:v>Repair in Progress</x:v>
      </x:c>
      <x:c r="H764" s="19" t="str">
        <x:v>In Field</x:v>
      </x:c>
      <x:c r="I764" s="37" t="n">
        <x:v>46182</x:v>
      </x:c>
      <x:c r="J764" s="37" t="n">
        <x:v>46182</x:v>
      </x:c>
      <x:c r="K764" s="19" t="str">
        <x:v>Snowy River Launceston</x:v>
      </x:c>
      <x:c r="L764" s="19" t="str">
        <x:v>Z006</x:v>
      </x:c>
      <x:c r="M764" s="19" t="str">
        <x:v>In Field Warranty Claims</x:v>
      </x:c>
      <x:c r="N764" s="37" t="n">
        <x:v>46176</x:v>
      </x:c>
      <x:c r="O764" s="37"/>
      <x:c r="P764" s="34" t="n">
        <x:v>0</x:v>
      </x:c>
      <x:c r="Q764" s="37" t="n">
        <x:v>46181.897893518515</x:v>
      </x:c>
    </x:row>
    <x:row r="765">
      <x:c r="A765" s="22" t="n">
        <x:v>35874</x:v>
      </x:c>
      <x:c r="B765" s="28" t="n">
        <x:v>77.5</x:v>
      </x:c>
      <x:c r="C765" s="28"/>
      <x:c r="D765" s="31" t="str">
        <x:f>IF(OR(ISBLANK(B765),ISBLANK(C765),B765=0),"",(C765-B765)/B765)</x:f>
      </x:c>
      <x:c r="E765" s="22" t="str">
        <x:f>IF(ISBLANK(C765),"AmountIncludingTax缺失",IF(ABS(B765-C765)&lt;0.005,"一致","不一致"))</x:f>
        <x:v>AmountIncludingTax缺失</x:v>
      </x:c>
      <x:c r="F765" s="19" t="str">
        <x:v>approved</x:v>
      </x:c>
      <x:c r="G765" s="19" t="str">
        <x:v>Repair in Progress</x:v>
      </x:c>
      <x:c r="H765" s="19" t="str">
        <x:v>In Field</x:v>
      </x:c>
      <x:c r="I765" s="37" t="n">
        <x:v>46177</x:v>
      </x:c>
      <x:c r="J765" s="37" t="n">
        <x:v>46177</x:v>
      </x:c>
      <x:c r="K765" s="19" t="str">
        <x:v>Regent RV - Toowoomba</x:v>
      </x:c>
      <x:c r="L765" s="19" t="str">
        <x:v>Z006</x:v>
      </x:c>
      <x:c r="M765" s="19" t="str">
        <x:v>In Field Warranty Claims</x:v>
      </x:c>
      <x:c r="N765" s="37" t="n">
        <x:v>46176</x:v>
      </x:c>
      <x:c r="O765" s="37"/>
      <x:c r="P765" s="34" t="n">
        <x:v>0</x:v>
      </x:c>
      <x:c r="Q765" s="37" t="n">
        <x:v>46176.959027777775</x:v>
      </x:c>
    </x:row>
    <x:row r="766">
      <x:c r="A766" s="22" t="n">
        <x:v>35873</x:v>
      </x:c>
      <x:c r="B766" s="28" t="n">
        <x:v>405</x:v>
      </x:c>
      <x:c r="C766" s="28"/>
      <x:c r="D766" s="31" t="str">
        <x:f>IF(OR(ISBLANK(B766),ISBLANK(C766),B766=0),"",(C766-B766)/B766)</x:f>
      </x:c>
      <x:c r="E766" s="22" t="str">
        <x:f>IF(ISBLANK(C766),"AmountIncludingTax缺失",IF(ABS(B766-C766)&lt;0.005,"一致","不一致"))</x:f>
        <x:v>AmountIncludingTax缺失</x:v>
      </x:c>
      <x:c r="F766" s="19" t="str">
        <x:v>approved</x:v>
      </x:c>
      <x:c r="G766" s="19" t="str">
        <x:v>Sales Order Approved</x:v>
      </x:c>
      <x:c r="H766" s="19" t="str">
        <x:v>Pre Delivery</x:v>
      </x:c>
      <x:c r="I766" s="37" t="n">
        <x:v>46204</x:v>
      </x:c>
      <x:c r="J766" s="37" t="n">
        <x:v>46204</x:v>
      </x:c>
      <x:c r="K766" s="19" t="str">
        <x:v>Regent RV - Toowoomba</x:v>
      </x:c>
      <x:c r="L766" s="19" t="str">
        <x:v>Z005</x:v>
      </x:c>
      <x:c r="M766" s="19" t="str">
        <x:v>Pre Delivery Warranty Claims</x:v>
      </x:c>
      <x:c r="N766" s="37" t="n">
        <x:v>46176</x:v>
      </x:c>
      <x:c r="O766" s="37"/>
      <x:c r="P766" s="34" t="n">
        <x:v>0</x:v>
      </x:c>
      <x:c r="Q766" s="37" t="n">
        <x:v>46204.22454861111</x:v>
      </x:c>
    </x:row>
    <x:row r="767">
      <x:c r="A767" s="22" t="n">
        <x:v>35872</x:v>
      </x:c>
      <x:c r="B767" s="28" t="n">
        <x:v>1410</x:v>
      </x:c>
      <x:c r="C767" s="28"/>
      <x:c r="D767" s="31" t="str">
        <x:f>IF(OR(ISBLANK(B767),ISBLANK(C767),B767=0),"",(C767-B767)/B767)</x:f>
      </x:c>
      <x:c r="E767" s="22" t="str">
        <x:f>IF(ISBLANK(C767),"AmountIncludingTax缺失",IF(ABS(B767-C767)&lt;0.005,"一致","不一致"))</x:f>
        <x:v>AmountIncludingTax缺失</x:v>
      </x:c>
      <x:c r="F767" s="19" t="str">
        <x:v>approved</x:v>
      </x:c>
      <x:c r="G767" s="19" t="str">
        <x:v>Repair in Progress</x:v>
      </x:c>
      <x:c r="H767" s="19" t="str">
        <x:v>In Field</x:v>
      </x:c>
      <x:c r="I767" s="37" t="n">
        <x:v>46176</x:v>
      </x:c>
      <x:c r="J767" s="37" t="n">
        <x:v>46176</x:v>
      </x:c>
      <x:c r="K767" s="19" t="str">
        <x:v>Green RV - Slacks Creek</x:v>
      </x:c>
      <x:c r="L767" s="19" t="str">
        <x:v>Z006</x:v>
      </x:c>
      <x:c r="M767" s="19" t="str">
        <x:v>In Field Warranty Claims</x:v>
      </x:c>
      <x:c r="N767" s="37" t="n">
        <x:v>46176</x:v>
      </x:c>
      <x:c r="O767" s="37"/>
      <x:c r="P767" s="34" t="n">
        <x:v>0</x:v>
      </x:c>
      <x:c r="Q767" s="37" t="n">
        <x:v>46176.235034722224</x:v>
      </x:c>
    </x:row>
    <x:row r="768">
      <x:c r="A768" s="22" t="n">
        <x:v>35871</x:v>
      </x:c>
      <x:c r="B768" s="28" t="n">
        <x:v>67.5</x:v>
      </x:c>
      <x:c r="C768" s="28"/>
      <x:c r="D768" s="31" t="str">
        <x:f>IF(OR(ISBLANK(B768),ISBLANK(C768),B768=0),"",(C768-B768)/B768)</x:f>
      </x:c>
      <x:c r="E768" s="22" t="str">
        <x:f>IF(ISBLANK(C768),"AmountIncludingTax缺失",IF(ABS(B768-C768)&lt;0.005,"一致","不一致"))</x:f>
        <x:v>AmountIncludingTax缺失</x:v>
      </x:c>
      <x:c r="F768" s="19" t="str">
        <x:v>approved</x:v>
      </x:c>
      <x:c r="G768" s="19" t="str">
        <x:v>Repair in Progress</x:v>
      </x:c>
      <x:c r="H768" s="19" t="str">
        <x:v>In Field</x:v>
      </x:c>
      <x:c r="I768" s="37" t="n">
        <x:v>46177</x:v>
      </x:c>
      <x:c r="J768" s="37" t="n">
        <x:v>46177</x:v>
      </x:c>
      <x:c r="K768" s="19" t="str">
        <x:v>Snowy River Launceston</x:v>
      </x:c>
      <x:c r="L768" s="19" t="str">
        <x:v>Z006</x:v>
      </x:c>
      <x:c r="M768" s="19" t="str">
        <x:v>In Field Warranty Claims</x:v>
      </x:c>
      <x:c r="N768" s="37" t="n">
        <x:v>46176</x:v>
      </x:c>
      <x:c r="O768" s="37"/>
      <x:c r="P768" s="34" t="n">
        <x:v>0</x:v>
      </x:c>
      <x:c r="Q768" s="37" t="n">
        <x:v>46177.082916666666</x:v>
      </x:c>
    </x:row>
    <x:row r="769">
      <x:c r="A769" s="22" t="n">
        <x:v>35861</x:v>
      </x:c>
      <x:c r="B769" s="28" t="n">
        <x:v>101.25</x:v>
      </x:c>
      <x:c r="C769" s="28"/>
      <x:c r="D769" s="31" t="str">
        <x:f>IF(OR(ISBLANK(B769),ISBLANK(C769),B769=0),"",(C769-B769)/B769)</x:f>
      </x:c>
      <x:c r="E769" s="22" t="str">
        <x:f>IF(ISBLANK(C769),"AmountIncludingTax缺失",IF(ABS(B769-C769)&lt;0.005,"一致","不一致"))</x:f>
        <x:v>AmountIncludingTax缺失</x:v>
      </x:c>
      <x:c r="F769" s="19" t="str">
        <x:v>approved</x:v>
      </x:c>
      <x:c r="G769" s="19" t="str">
        <x:v>Repair in Progress</x:v>
      </x:c>
      <x:c r="H769" s="19" t="str">
        <x:v>In Field</x:v>
      </x:c>
      <x:c r="I769" s="37" t="n">
        <x:v>46176</x:v>
      </x:c>
      <x:c r="J769" s="37" t="n">
        <x:v>46176</x:v>
      </x:c>
      <x:c r="K769" s="19" t="str">
        <x:v>ABCO Caravans - Boambee Valley</x:v>
      </x:c>
      <x:c r="L769" s="19" t="str">
        <x:v>Z006</x:v>
      </x:c>
      <x:c r="M769" s="19" t="str">
        <x:v>In Field Warranty Claims</x:v>
      </x:c>
      <x:c r="N769" s="37" t="n">
        <x:v>46176</x:v>
      </x:c>
      <x:c r="O769" s="37"/>
      <x:c r="P769" s="34" t="n">
        <x:v>0</x:v>
      </x:c>
      <x:c r="Q769" s="37" t="n">
        <x:v>46176.02664351852</x:v>
      </x:c>
    </x:row>
    <x:row r="770">
      <x:c r="A770" s="22" t="n">
        <x:v>35860</x:v>
      </x:c>
      <x:c r="B770" s="28" t="n">
        <x:v>675</x:v>
      </x:c>
      <x:c r="C770" s="28" t="n">
        <x:v>742.5</x:v>
      </x:c>
      <x:c r="D770" s="31" t="n">
        <x:f>IF(OR(ISBLANK(B770),ISBLANK(C770),B770=0),"",(C770-B770)/B770)</x:f>
        <x:v>0.1</x:v>
      </x:c>
      <x:c r="E770" s="22" t="str">
        <x:f>IF(ISBLANK(C770),"AmountIncludingTax缺失",IF(ABS(B770-C770)&lt;0.005,"一致","不一致"))</x:f>
        <x:v>不一致</x:v>
      </x:c>
      <x:c r="F770" s="19" t="str">
        <x:v>approved</x:v>
      </x:c>
      <x:c r="G770" s="19" t="str">
        <x:v>Repair in Progress</x:v>
      </x:c>
      <x:c r="H770" s="19" t="str">
        <x:v>In Field</x:v>
      </x:c>
      <x:c r="I770" s="37" t="n">
        <x:v>46178</x:v>
      </x:c>
      <x:c r="J770" s="37" t="n">
        <x:v>46178</x:v>
      </x:c>
      <x:c r="K770" s="19" t="str">
        <x:v>Regent RV - Perth</x:v>
      </x:c>
      <x:c r="L770" s="19" t="str">
        <x:v>Z006</x:v>
      </x:c>
      <x:c r="M770" s="19" t="str">
        <x:v>In Field Warranty Claims</x:v>
      </x:c>
      <x:c r="N770" s="37" t="n">
        <x:v>46176</x:v>
      </x:c>
      <x:c r="O770" s="37"/>
      <x:c r="P770" s="34" t="n">
        <x:v>742.5</x:v>
      </x:c>
      <x:c r="Q770" s="37" t="n">
        <x:v>46178.19232638889</x:v>
      </x:c>
    </x:row>
    <x:row r="771">
      <x:c r="A771" s="22" t="n">
        <x:v>35859</x:v>
      </x:c>
      <x:c r="B771" s="28" t="n">
        <x:v>33.75</x:v>
      </x:c>
      <x:c r="C771" s="28"/>
      <x:c r="D771" s="31" t="str">
        <x:f>IF(OR(ISBLANK(B771),ISBLANK(C771),B771=0),"",(C771-B771)/B771)</x:f>
      </x:c>
      <x:c r="E771" s="22" t="str">
        <x:f>IF(ISBLANK(C771),"AmountIncludingTax缺失",IF(ABS(B771-C771)&lt;0.005,"一致","不一致"))</x:f>
        <x:v>AmountIncludingTax缺失</x:v>
      </x:c>
      <x:c r="F771" s="19" t="str">
        <x:v>approved</x:v>
      </x:c>
      <x:c r="G771" s="19" t="str">
        <x:v>Sales Order Approved</x:v>
      </x:c>
      <x:c r="H771" s="19" t="str">
        <x:v>Pre Delivery</x:v>
      </x:c>
      <x:c r="I771" s="37" t="n">
        <x:v>46189</x:v>
      </x:c>
      <x:c r="J771" s="37" t="n">
        <x:v>46189</x:v>
      </x:c>
      <x:c r="K771" s="19" t="str">
        <x:v>Regent RV Pty Ltd</x:v>
      </x:c>
      <x:c r="L771" s="19" t="str">
        <x:v>Z005</x:v>
      </x:c>
      <x:c r="M771" s="19" t="str">
        <x:v>Pre Delivery Warranty Claims</x:v>
      </x:c>
      <x:c r="N771" s="37" t="n">
        <x:v>46176</x:v>
      </x:c>
      <x:c r="O771" s="37"/>
      <x:c r="P771" s="34" t="n">
        <x:v>0</x:v>
      </x:c>
      <x:c r="Q771" s="37" t="n">
        <x:v>46189.3078125</x:v>
      </x:c>
    </x:row>
    <x:row r="772">
      <x:c r="A772" s="22" t="n">
        <x:v>35858</x:v>
      </x:c>
      <x:c r="B772" s="28" t="n">
        <x:v>211.59</x:v>
      </x:c>
      <x:c r="C772" s="28"/>
      <x:c r="D772" s="31" t="str">
        <x:f>IF(OR(ISBLANK(B772),ISBLANK(C772),B772=0),"",(C772-B772)/B772)</x:f>
      </x:c>
      <x:c r="E772" s="22" t="str">
        <x:f>IF(ISBLANK(C772),"AmountIncludingTax缺失",IF(ABS(B772-C772)&lt;0.005,"一致","不一致"))</x:f>
        <x:v>AmountIncludingTax缺失</x:v>
      </x:c>
      <x:c r="F772" s="19" t="str">
        <x:v>approved</x:v>
      </x:c>
      <x:c r="G772" s="19" t="str">
        <x:v>Repair in Progress</x:v>
      </x:c>
      <x:c r="H772" s="19" t="str">
        <x:v>In Field</x:v>
      </x:c>
      <x:c r="I772" s="37" t="n">
        <x:v>46183</x:v>
      </x:c>
      <x:c r="J772" s="37" t="n">
        <x:v>46183</x:v>
      </x:c>
      <x:c r="K772" s="19" t="str">
        <x:v>QCCC - Gympie</x:v>
      </x:c>
      <x:c r="L772" s="19" t="str">
        <x:v>Z006</x:v>
      </x:c>
      <x:c r="M772" s="19" t="str">
        <x:v>In Field Warranty Claims</x:v>
      </x:c>
      <x:c r="N772" s="37" t="n">
        <x:v>46176</x:v>
      </x:c>
      <x:c r="O772" s="37"/>
      <x:c r="P772" s="34" t="n">
        <x:v>0</x:v>
      </x:c>
      <x:c r="Q772" s="37" t="n">
        <x:v>46183.180300925924</x:v>
      </x:c>
    </x:row>
    <x:row r="773">
      <x:c r="A773" s="22" t="n">
        <x:v>35857</x:v>
      </x:c>
      <x:c r="B773" s="28" t="n">
        <x:v>140</x:v>
      </x:c>
      <x:c r="C773" s="28"/>
      <x:c r="D773" s="31" t="str">
        <x:f>IF(OR(ISBLANK(B773),ISBLANK(C773),B773=0),"",(C773-B773)/B773)</x:f>
      </x:c>
      <x:c r="E773" s="22" t="str">
        <x:f>IF(ISBLANK(C773),"AmountIncludingTax缺失",IF(ABS(B773-C773)&lt;0.005,"一致","不一致"))</x:f>
        <x:v>AmountIncludingTax缺失</x:v>
      </x:c>
      <x:c r="F773" s="19" t="str">
        <x:v>approved</x:v>
      </x:c>
      <x:c r="G773" s="19" t="str">
        <x:v>Repair in Progress</x:v>
      </x:c>
      <x:c r="H773" s="19" t="str">
        <x:v>In Field</x:v>
      </x:c>
      <x:c r="I773" s="37" t="n">
        <x:v>46177</x:v>
      </x:c>
      <x:c r="J773" s="37" t="n">
        <x:v>46177</x:v>
      </x:c>
      <x:c r="K773" s="19" t="str">
        <x:v>Regent RV - Toowoomba</x:v>
      </x:c>
      <x:c r="L773" s="19" t="str">
        <x:v>Z006</x:v>
      </x:c>
      <x:c r="M773" s="19" t="str">
        <x:v>In Field Warranty Claims</x:v>
      </x:c>
      <x:c r="N773" s="37" t="n">
        <x:v>46176</x:v>
      </x:c>
      <x:c r="O773" s="37"/>
      <x:c r="P773" s="34" t="n">
        <x:v>0</x:v>
      </x:c>
      <x:c r="Q773" s="37" t="n">
        <x:v>46177.37824074074</x:v>
      </x:c>
    </x:row>
    <x:row r="774">
      <x:c r="A774" s="22" t="n">
        <x:v>35856</x:v>
      </x:c>
      <x:c r="B774" s="28" t="n">
        <x:v>540</x:v>
      </x:c>
      <x:c r="C774" s="28"/>
      <x:c r="D774" s="31" t="str">
        <x:f>IF(OR(ISBLANK(B774),ISBLANK(C774),B774=0),"",(C774-B774)/B774)</x:f>
      </x:c>
      <x:c r="E774" s="22" t="str">
        <x:f>IF(ISBLANK(C774),"AmountIncludingTax缺失",IF(ABS(B774-C774)&lt;0.005,"一致","不一致"))</x:f>
        <x:v>AmountIncludingTax缺失</x:v>
      </x:c>
      <x:c r="F774" s="19" t="str">
        <x:v>approved</x:v>
      </x:c>
      <x:c r="G774" s="19" t="str">
        <x:v>Repair in Progress</x:v>
      </x:c>
      <x:c r="H774" s="19" t="str">
        <x:v>In Field</x:v>
      </x:c>
      <x:c r="I774" s="37" t="n">
        <x:v>46177</x:v>
      </x:c>
      <x:c r="J774" s="37" t="n">
        <x:v>46177</x:v>
      </x:c>
      <x:c r="K774" s="19" t="str">
        <x:v>Green RV - Forest Glen</x:v>
      </x:c>
      <x:c r="L774" s="19" t="str">
        <x:v>Z006</x:v>
      </x:c>
      <x:c r="M774" s="19" t="str">
        <x:v>In Field Warranty Claims</x:v>
      </x:c>
      <x:c r="N774" s="37" t="n">
        <x:v>46176</x:v>
      </x:c>
      <x:c r="O774" s="37"/>
      <x:c r="P774" s="34" t="n">
        <x:v>0</x:v>
      </x:c>
      <x:c r="Q774" s="37" t="n">
        <x:v>46177.01466435185</x:v>
      </x:c>
    </x:row>
    <x:row r="775">
      <x:c r="A775" s="22" t="n">
        <x:v>35855</x:v>
      </x:c>
      <x:c r="B775" s="28" t="n">
        <x:v>492.5</x:v>
      </x:c>
      <x:c r="C775" s="28"/>
      <x:c r="D775" s="31" t="str">
        <x:f>IF(OR(ISBLANK(B775),ISBLANK(C775),B775=0),"",(C775-B775)/B775)</x:f>
      </x:c>
      <x:c r="E775" s="22" t="str">
        <x:f>IF(ISBLANK(C775),"AmountIncludingTax缺失",IF(ABS(B775-C775)&lt;0.005,"一致","不一致"))</x:f>
        <x:v>AmountIncludingTax缺失</x:v>
      </x:c>
      <x:c r="F775" s="19" t="str">
        <x:v>approved</x:v>
      </x:c>
      <x:c r="G775" s="19" t="str">
        <x:v>Dispatch Parts</x:v>
      </x:c>
      <x:c r="H775" s="19" t="str">
        <x:v>In Field</x:v>
      </x:c>
      <x:c r="I775" s="37" t="n">
        <x:v>46177</x:v>
      </x:c>
      <x:c r="J775" s="37" t="n">
        <x:v>46177</x:v>
      </x:c>
      <x:c r="K775" s="19" t="str">
        <x:v>Green RV - Slacks Creek</x:v>
      </x:c>
      <x:c r="L775" s="19" t="str">
        <x:v>Z006</x:v>
      </x:c>
      <x:c r="M775" s="19" t="str">
        <x:v>In Field Warranty Claims</x:v>
      </x:c>
      <x:c r="N775" s="37" t="n">
        <x:v>46176</x:v>
      </x:c>
      <x:c r="O775" s="37"/>
      <x:c r="P775" s="34" t="n">
        <x:v>0</x:v>
      </x:c>
      <x:c r="Q775" s="37" t="n">
        <x:v>46176.94131944444</x:v>
      </x:c>
    </x:row>
    <x:row r="776">
      <x:c r="A776" s="22" t="n">
        <x:v>35854</x:v>
      </x:c>
      <x:c r="B776" s="28" t="n">
        <x:v>45</x:v>
      </x:c>
      <x:c r="C776" s="28"/>
      <x:c r="D776" s="31" t="str">
        <x:f>IF(OR(ISBLANK(B776),ISBLANK(C776),B776=0),"",(C776-B776)/B776)</x:f>
      </x:c>
      <x:c r="E776" s="22" t="str">
        <x:f>IF(ISBLANK(C776),"AmountIncludingTax缺失",IF(ABS(B776-C776)&lt;0.005,"一致","不一致"))</x:f>
        <x:v>AmountIncludingTax缺失</x:v>
      </x:c>
      <x:c r="F776" s="19" t="str">
        <x:v>approved</x:v>
      </x:c>
      <x:c r="G776" s="19" t="str">
        <x:v>Repair in Progress</x:v>
      </x:c>
      <x:c r="H776" s="19" t="str">
        <x:v>In Field</x:v>
      </x:c>
      <x:c r="I776" s="37" t="n">
        <x:v>46178</x:v>
      </x:c>
      <x:c r="J776" s="37" t="n">
        <x:v>46178</x:v>
      </x:c>
      <x:c r="K776" s="19" t="str">
        <x:v>Regent RV - Toowoomba</x:v>
      </x:c>
      <x:c r="L776" s="19" t="str">
        <x:v>Z006</x:v>
      </x:c>
      <x:c r="M776" s="19" t="str">
        <x:v>In Field Warranty Claims</x:v>
      </x:c>
      <x:c r="N776" s="37" t="n">
        <x:v>46175</x:v>
      </x:c>
      <x:c r="O776" s="37"/>
      <x:c r="P776" s="34" t="n">
        <x:v>0</x:v>
      </x:c>
      <x:c r="Q776" s="37" t="n">
        <x:v>46178.0496412037</x:v>
      </x:c>
    </x:row>
    <x:row r="777">
      <x:c r="A777" s="22" t="n">
        <x:v>35853</x:v>
      </x:c>
      <x:c r="B777" s="28" t="n">
        <x:v>1153.75</x:v>
      </x:c>
      <x:c r="C777" s="28"/>
      <x:c r="D777" s="31" t="str">
        <x:f>IF(OR(ISBLANK(B777),ISBLANK(C777),B777=0),"",(C777-B777)/B777)</x:f>
      </x:c>
      <x:c r="E777" s="22" t="str">
        <x:f>IF(ISBLANK(C777),"AmountIncludingTax缺失",IF(ABS(B777-C777)&lt;0.005,"一致","不一致"))</x:f>
        <x:v>AmountIncludingTax缺失</x:v>
      </x:c>
      <x:c r="F777" s="19" t="str">
        <x:v>approved</x:v>
      </x:c>
      <x:c r="G777" s="19" t="str">
        <x:v>Partially Picked</x:v>
      </x:c>
      <x:c r="H777" s="19" t="str">
        <x:v>In Field</x:v>
      </x:c>
      <x:c r="I777" s="37" t="n">
        <x:v>46178</x:v>
      </x:c>
      <x:c r="J777" s="37" t="n">
        <x:v>46178</x:v>
      </x:c>
      <x:c r="K777" s="19" t="str">
        <x:v>Sherrif Caravans &amp; Traliers - Prospect Vale</x:v>
      </x:c>
      <x:c r="L777" s="19" t="str">
        <x:v>Z006</x:v>
      </x:c>
      <x:c r="M777" s="19" t="str">
        <x:v>In Field Warranty Claims</x:v>
      </x:c>
      <x:c r="N777" s="37" t="n">
        <x:v>46175</x:v>
      </x:c>
      <x:c r="O777" s="37"/>
      <x:c r="P777" s="34" t="n">
        <x:v>0</x:v>
      </x:c>
      <x:c r="Q777" s="37" t="n">
        <x:v>46178.16983796296</x:v>
      </x:c>
    </x:row>
    <x:row r="778">
      <x:c r="A778" s="22" t="n">
        <x:v>35851</x:v>
      </x:c>
      <x:c r="B778" s="28" t="n">
        <x:v>715</x:v>
      </x:c>
      <x:c r="C778" s="28"/>
      <x:c r="D778" s="31" t="str">
        <x:f>IF(OR(ISBLANK(B778),ISBLANK(C778),B778=0),"",(C778-B778)/B778)</x:f>
      </x:c>
      <x:c r="E778" s="22" t="str">
        <x:f>IF(ISBLANK(C778),"AmountIncludingTax缺失",IF(ABS(B778-C778)&lt;0.005,"一致","不一致"))</x:f>
        <x:v>AmountIncludingTax缺失</x:v>
      </x:c>
      <x:c r="F778" s="19" t="str">
        <x:v>approved</x:v>
      </x:c>
      <x:c r="G778" s="19" t="str">
        <x:v>Repair in Progress</x:v>
      </x:c>
      <x:c r="H778" s="19" t="str">
        <x:v>In Field</x:v>
      </x:c>
      <x:c r="I778" s="37" t="n">
        <x:v>46177</x:v>
      </x:c>
      <x:c r="J778" s="37" t="n">
        <x:v>46177</x:v>
      </x:c>
      <x:c r="K778" s="19" t="str">
        <x:v>Green RV - Forest Glen</x:v>
      </x:c>
      <x:c r="L778" s="19" t="str">
        <x:v>Z006</x:v>
      </x:c>
      <x:c r="M778" s="19" t="str">
        <x:v>In Field Warranty Claims</x:v>
      </x:c>
      <x:c r="N778" s="37" t="n">
        <x:v>46175</x:v>
      </x:c>
      <x:c r="O778" s="37"/>
      <x:c r="P778" s="34" t="n">
        <x:v>0</x:v>
      </x:c>
      <x:c r="Q778" s="37" t="n">
        <x:v>46176.959872685184</x:v>
      </x:c>
    </x:row>
    <x:row r="779">
      <x:c r="A779" s="22" t="n">
        <x:v>35850</x:v>
      </x:c>
      <x:c r="B779" s="28" t="n">
        <x:v>67.5</x:v>
      </x:c>
      <x:c r="C779" s="28"/>
      <x:c r="D779" s="31" t="str">
        <x:f>IF(OR(ISBLANK(B779),ISBLANK(C779),B779=0),"",(C779-B779)/B779)</x:f>
      </x:c>
      <x:c r="E779" s="22" t="str">
        <x:f>IF(ISBLANK(C779),"AmountIncludingTax缺失",IF(ABS(B779-C779)&lt;0.005,"一致","不一致"))</x:f>
        <x:v>AmountIncludingTax缺失</x:v>
      </x:c>
      <x:c r="F779" s="19" t="str">
        <x:v>approved</x:v>
      </x:c>
      <x:c r="G779" s="19" t="str">
        <x:v>Repairer Invoiced Processed</x:v>
      </x:c>
      <x:c r="H779" s="19" t="str">
        <x:v>In Field</x:v>
      </x:c>
      <x:c r="I779" s="37" t="n">
        <x:v>46177</x:v>
      </x:c>
      <x:c r="J779" s="37" t="n">
        <x:v>46177</x:v>
      </x:c>
      <x:c r="K779" s="19" t="str">
        <x:v>Regent RV - Toowoomba</x:v>
      </x:c>
      <x:c r="L779" s="19" t="str">
        <x:v>Z006</x:v>
      </x:c>
      <x:c r="M779" s="19" t="str">
        <x:v>In Field Warranty Claims</x:v>
      </x:c>
      <x:c r="N779" s="37" t="n">
        <x:v>46175</x:v>
      </x:c>
      <x:c r="O779" s="37"/>
      <x:c r="P779" s="34" t="n">
        <x:v>0</x:v>
      </x:c>
      <x:c r="Q779" s="37" t="n">
        <x:v>46176.964733796296</x:v>
      </x:c>
    </x:row>
    <x:row r="780">
      <x:c r="A780" s="22" t="n">
        <x:v>35849</x:v>
      </x:c>
      <x:c r="B780" s="28" t="n">
        <x:v>580</x:v>
      </x:c>
      <x:c r="C780" s="28"/>
      <x:c r="D780" s="31" t="str">
        <x:f>IF(OR(ISBLANK(B780),ISBLANK(C780),B780=0),"",(C780-B780)/B780)</x:f>
      </x:c>
      <x:c r="E780" s="22" t="str">
        <x:f>IF(ISBLANK(C780),"AmountIncludingTax缺失",IF(ABS(B780-C780)&lt;0.005,"一致","不一致"))</x:f>
        <x:v>AmountIncludingTax缺失</x:v>
      </x:c>
      <x:c r="F780" s="19" t="str">
        <x:v>approved</x:v>
      </x:c>
      <x:c r="G780" s="19" t="str">
        <x:v>Repairer Invoiced Processed</x:v>
      </x:c>
      <x:c r="H780" s="19" t="str">
        <x:v>In Field</x:v>
      </x:c>
      <x:c r="I780" s="37" t="n">
        <x:v>46176</x:v>
      </x:c>
      <x:c r="J780" s="37" t="n">
        <x:v>46176</x:v>
      </x:c>
      <x:c r="K780" s="19" t="str">
        <x:v>Green RV - Forest Glen</x:v>
      </x:c>
      <x:c r="L780" s="19" t="str">
        <x:v>Z006</x:v>
      </x:c>
      <x:c r="M780" s="19" t="str">
        <x:v>In Field Warranty Claims</x:v>
      </x:c>
      <x:c r="N780" s="37" t="n">
        <x:v>46175</x:v>
      </x:c>
      <x:c r="O780" s="37"/>
      <x:c r="P780" s="34" t="n">
        <x:v>0</x:v>
      </x:c>
      <x:c r="Q780" s="37" t="n">
        <x:v>46175.96287037037</x:v>
      </x:c>
    </x:row>
    <x:row r="781">
      <x:c r="A781" s="22" t="n">
        <x:v>35848</x:v>
      </x:c>
      <x:c r="B781" s="28" t="n">
        <x:v>1882.5</x:v>
      </x:c>
      <x:c r="C781" s="28"/>
      <x:c r="D781" s="31" t="str">
        <x:f>IF(OR(ISBLANK(B781),ISBLANK(C781),B781=0),"",(C781-B781)/B781)</x:f>
      </x:c>
      <x:c r="E781" s="22" t="str">
        <x:f>IF(ISBLANK(C781),"AmountIncludingTax缺失",IF(ABS(B781-C781)&lt;0.005,"一致","不一致"))</x:f>
        <x:v>AmountIncludingTax缺失</x:v>
      </x:c>
      <x:c r="F781" s="19" t="str">
        <x:v>approved</x:v>
      </x:c>
      <x:c r="G781" s="19" t="str">
        <x:v>Partially Picked</x:v>
      </x:c>
      <x:c r="H781" s="19" t="str">
        <x:v>In Field</x:v>
      </x:c>
      <x:c r="I781" s="37" t="n">
        <x:v>46176</x:v>
      </x:c>
      <x:c r="J781" s="37" t="n">
        <x:v>46176</x:v>
      </x:c>
      <x:c r="K781" s="19" t="str">
        <x:v>Green RV - Forest Glen</x:v>
      </x:c>
      <x:c r="L781" s="19" t="str">
        <x:v>Z006</x:v>
      </x:c>
      <x:c r="M781" s="19" t="str">
        <x:v>In Field Warranty Claims</x:v>
      </x:c>
      <x:c r="N781" s="37" t="n">
        <x:v>46175</x:v>
      </x:c>
      <x:c r="O781" s="37"/>
      <x:c r="P781" s="34" t="n">
        <x:v>0</x:v>
      </x:c>
      <x:c r="Q781" s="37" t="n">
        <x:v>46176.00648148148</x:v>
      </x:c>
    </x:row>
    <x:row r="782">
      <x:c r="A782" s="22" t="n">
        <x:v>35846</x:v>
      </x:c>
      <x:c r="B782" s="28" t="n">
        <x:v>540</x:v>
      </x:c>
      <x:c r="C782" s="28"/>
      <x:c r="D782" s="31" t="str">
        <x:f>IF(OR(ISBLANK(B782),ISBLANK(C782),B782=0),"",(C782-B782)/B782)</x:f>
      </x:c>
      <x:c r="E782" s="22" t="str">
        <x:f>IF(ISBLANK(C782),"AmountIncludingTax缺失",IF(ABS(B782-C782)&lt;0.005,"一致","不一致"))</x:f>
        <x:v>AmountIncludingTax缺失</x:v>
      </x:c>
      <x:c r="F782" s="19" t="str">
        <x:v>approved</x:v>
      </x:c>
      <x:c r="G782" s="19" t="str">
        <x:v>Repair in Progress</x:v>
      </x:c>
      <x:c r="H782" s="19" t="str">
        <x:v>In Field</x:v>
      </x:c>
      <x:c r="I782" s="37" t="n">
        <x:v>46185</x:v>
      </x:c>
      <x:c r="J782" s="37" t="n">
        <x:v>46185</x:v>
      </x:c>
      <x:c r="K782" s="19" t="str">
        <x:v>Auswide Caravans - South Nowra</x:v>
      </x:c>
      <x:c r="L782" s="19" t="str">
        <x:v>Z006</x:v>
      </x:c>
      <x:c r="M782" s="19" t="str">
        <x:v>In Field Warranty Claims</x:v>
      </x:c>
      <x:c r="N782" s="37" t="n">
        <x:v>46175</x:v>
      </x:c>
      <x:c r="O782" s="37" t="n">
        <x:v>46176</x:v>
      </x:c>
      <x:c r="P782" s="34" t="n">
        <x:v>0</x:v>
      </x:c>
      <x:c r="Q782" s="37" t="n">
        <x:v>46185.045439814814</x:v>
      </x:c>
    </x:row>
    <x:row r="783">
      <x:c r="A783" s="22" t="n">
        <x:v>35845</x:v>
      </x:c>
      <x:c r="B783" s="28" t="n">
        <x:v>270</x:v>
      </x:c>
      <x:c r="C783" s="28"/>
      <x:c r="D783" s="31" t="str">
        <x:f>IF(OR(ISBLANK(B783),ISBLANK(C783),B783=0),"",(C783-B783)/B783)</x:f>
      </x:c>
      <x:c r="E783" s="22" t="str">
        <x:f>IF(ISBLANK(C783),"AmountIncludingTax缺失",IF(ABS(B783-C783)&lt;0.005,"一致","不一致"))</x:f>
        <x:v>AmountIncludingTax缺失</x:v>
      </x:c>
      <x:c r="F783" s="19" t="str">
        <x:v>approved</x:v>
      </x:c>
      <x:c r="G783" s="19" t="str">
        <x:v>Repair in Progress</x:v>
      </x:c>
      <x:c r="H783" s="19" t="str">
        <x:v>In Field</x:v>
      </x:c>
      <x:c r="I783" s="37" t="n">
        <x:v>46176</x:v>
      </x:c>
      <x:c r="J783" s="37" t="n">
        <x:v>46176</x:v>
      </x:c>
      <x:c r="K783" s="19" t="str">
        <x:v>Dario Caravans -St.Marys</x:v>
      </x:c>
      <x:c r="L783" s="19" t="str">
        <x:v>Z006</x:v>
      </x:c>
      <x:c r="M783" s="19" t="str">
        <x:v>In Field Warranty Claims</x:v>
      </x:c>
      <x:c r="N783" s="37" t="n">
        <x:v>46175</x:v>
      </x:c>
      <x:c r="O783" s="37"/>
      <x:c r="P783" s="34" t="n">
        <x:v>0</x:v>
      </x:c>
      <x:c r="Q783" s="37" t="n">
        <x:v>46176.10731481481</x:v>
      </x:c>
    </x:row>
    <x:row r="784">
      <x:c r="A784" s="22" t="n">
        <x:v>35842</x:v>
      </x:c>
      <x:c r="B784" s="28" t="n">
        <x:v>33.75</x:v>
      </x:c>
      <x:c r="C784" s="28"/>
      <x:c r="D784" s="31" t="str">
        <x:f>IF(OR(ISBLANK(B784),ISBLANK(C784),B784=0),"",(C784-B784)/B784)</x:f>
      </x:c>
      <x:c r="E784" s="22" t="str">
        <x:f>IF(ISBLANK(C784),"AmountIncludingTax缺失",IF(ABS(B784-C784)&lt;0.005,"一致","不一致"))</x:f>
        <x:v>AmountIncludingTax缺失</x:v>
      </x:c>
      <x:c r="F784" s="19" t="str">
        <x:v>approved</x:v>
      </x:c>
      <x:c r="G784" s="19" t="str">
        <x:v>Sales Order Approved</x:v>
      </x:c>
      <x:c r="H784" s="19" t="str">
        <x:v>Pre Delivery</x:v>
      </x:c>
      <x:c r="I784" s="37" t="n">
        <x:v>46176</x:v>
      </x:c>
      <x:c r="J784" s="37" t="n">
        <x:v>46176</x:v>
      </x:c>
      <x:c r="K784" s="19" t="str">
        <x:v>Regent RV - Frankston</x:v>
      </x:c>
      <x:c r="L784" s="19" t="str">
        <x:v>Z005</x:v>
      </x:c>
      <x:c r="M784" s="19" t="str">
        <x:v>Pre Delivery Warranty Claims</x:v>
      </x:c>
      <x:c r="N784" s="37" t="n">
        <x:v>46175</x:v>
      </x:c>
      <x:c r="O784" s="37"/>
      <x:c r="P784" s="34" t="n">
        <x:v>0</x:v>
      </x:c>
      <x:c r="Q784" s="37" t="n">
        <x:v>46176.10855324074</x:v>
      </x:c>
    </x:row>
    <x:row r="785">
      <x:c r="A785" s="22" t="n">
        <x:v>35841</x:v>
      </x:c>
      <x:c r="B785" s="28" t="n">
        <x:v>135</x:v>
      </x:c>
      <x:c r="C785" s="28"/>
      <x:c r="D785" s="31" t="str">
        <x:f>IF(OR(ISBLANK(B785),ISBLANK(C785),B785=0),"",(C785-B785)/B785)</x:f>
      </x:c>
      <x:c r="E785" s="22" t="str">
        <x:f>IF(ISBLANK(C785),"AmountIncludingTax缺失",IF(ABS(B785-C785)&lt;0.005,"一致","不一致"))</x:f>
        <x:v>AmountIncludingTax缺失</x:v>
      </x:c>
      <x:c r="F785" s="19" t="str">
        <x:v>approved</x:v>
      </x:c>
      <x:c r="G785" s="19" t="str">
        <x:v>Repair in Progress</x:v>
      </x:c>
      <x:c r="H785" s="19" t="str">
        <x:v>In Field</x:v>
      </x:c>
      <x:c r="I785" s="37" t="n">
        <x:v>46176</x:v>
      </x:c>
      <x:c r="J785" s="37" t="n">
        <x:v>46176</x:v>
      </x:c>
      <x:c r="K785" s="19" t="str">
        <x:v>Regent RV Pty Ltd</x:v>
      </x:c>
      <x:c r="L785" s="19" t="str">
        <x:v>Z006</x:v>
      </x:c>
      <x:c r="M785" s="19" t="str">
        <x:v>In Field Warranty Claims</x:v>
      </x:c>
      <x:c r="N785" s="37" t="n">
        <x:v>46175</x:v>
      </x:c>
      <x:c r="O785" s="37"/>
      <x:c r="P785" s="34" t="n">
        <x:v>0</x:v>
      </x:c>
      <x:c r="Q785" s="37" t="n">
        <x:v>46176.043333333335</x:v>
      </x:c>
    </x:row>
    <x:row r="786">
      <x:c r="A786" s="22" t="n">
        <x:v>35839</x:v>
      </x:c>
      <x:c r="B786" s="28" t="n">
        <x:v>743.75</x:v>
      </x:c>
      <x:c r="C786" s="28"/>
      <x:c r="D786" s="31" t="str">
        <x:f>IF(OR(ISBLANK(B786),ISBLANK(C786),B786=0),"",(C786-B786)/B786)</x:f>
      </x:c>
      <x:c r="E786" s="22" t="str">
        <x:f>IF(ISBLANK(C786),"AmountIncludingTax缺失",IF(ABS(B786-C786)&lt;0.005,"一致","不一致"))</x:f>
        <x:v>AmountIncludingTax缺失</x:v>
      </x:c>
      <x:c r="F786" s="19" t="str">
        <x:v>approved</x:v>
      </x:c>
      <x:c r="G786" s="19" t="str">
        <x:v>Repair in Progress</x:v>
      </x:c>
      <x:c r="H786" s="19" t="str">
        <x:v>In Field</x:v>
      </x:c>
      <x:c r="I786" s="37" t="n">
        <x:v>46185</x:v>
      </x:c>
      <x:c r="J786" s="37" t="n">
        <x:v>46185</x:v>
      </x:c>
      <x:c r="K786" s="19" t="str">
        <x:v>Newcastle RV Super Centre - Beresfield</x:v>
      </x:c>
      <x:c r="L786" s="19" t="str">
        <x:v>Z006</x:v>
      </x:c>
      <x:c r="M786" s="19" t="str">
        <x:v>In Field Warranty Claims</x:v>
      </x:c>
      <x:c r="N786" s="37" t="n">
        <x:v>46176</x:v>
      </x:c>
      <x:c r="O786" s="37"/>
      <x:c r="P786" s="34" t="n">
        <x:v>0</x:v>
      </x:c>
      <x:c r="Q786" s="37" t="n">
        <x:v>46185.04240740741</x:v>
      </x:c>
    </x:row>
    <x:row r="787">
      <x:c r="A787" s="22" t="n">
        <x:v>35836</x:v>
      </x:c>
      <x:c r="B787" s="28" t="n">
        <x:v>101.25</x:v>
      </x:c>
      <x:c r="C787" s="28"/>
      <x:c r="D787" s="31" t="str">
        <x:f>IF(OR(ISBLANK(B787),ISBLANK(C787),B787=0),"",(C787-B787)/B787)</x:f>
      </x:c>
      <x:c r="E787" s="22" t="str">
        <x:f>IF(ISBLANK(C787),"AmountIncludingTax缺失",IF(ABS(B787-C787)&lt;0.005,"一致","不一致"))</x:f>
        <x:v>AmountIncludingTax缺失</x:v>
      </x:c>
      <x:c r="F787" s="19" t="str">
        <x:v>approved</x:v>
      </x:c>
      <x:c r="G787" s="19" t="str">
        <x:v>Repair in Progress</x:v>
      </x:c>
      <x:c r="H787" s="19" t="str">
        <x:v>In Field</x:v>
      </x:c>
      <x:c r="I787" s="37" t="n">
        <x:v>46176</x:v>
      </x:c>
      <x:c r="J787" s="37" t="n">
        <x:v>46176</x:v>
      </x:c>
      <x:c r="K787" s="19" t="str">
        <x:v>Green RV - Forest Glen</x:v>
      </x:c>
      <x:c r="L787" s="19" t="str">
        <x:v>Z006</x:v>
      </x:c>
      <x:c r="M787" s="19" t="str">
        <x:v>In Field Warranty Claims</x:v>
      </x:c>
      <x:c r="N787" s="37" t="n">
        <x:v>46175</x:v>
      </x:c>
      <x:c r="O787" s="37"/>
      <x:c r="P787" s="34" t="n">
        <x:v>0</x:v>
      </x:c>
      <x:c r="Q787" s="37" t="n">
        <x:v>46176.14989583333</x:v>
      </x:c>
    </x:row>
    <x:row r="788">
      <x:c r="A788" s="22" t="n">
        <x:v>35835</x:v>
      </x:c>
      <x:c r="B788" s="28" t="n">
        <x:v>38.75</x:v>
      </x:c>
      <x:c r="C788" s="28"/>
      <x:c r="D788" s="31" t="str">
        <x:f>IF(OR(ISBLANK(B788),ISBLANK(C788),B788=0),"",(C788-B788)/B788)</x:f>
      </x:c>
      <x:c r="E788" s="22" t="str">
        <x:f>IF(ISBLANK(C788),"AmountIncludingTax缺失",IF(ABS(B788-C788)&lt;0.005,"一致","不一致"))</x:f>
        <x:v>AmountIncludingTax缺失</x:v>
      </x:c>
      <x:c r="F788" s="19" t="str">
        <x:v>approved</x:v>
      </x:c>
      <x:c r="G788" s="19" t="str">
        <x:v>Repair in Progress</x:v>
      </x:c>
      <x:c r="H788" s="19" t="str">
        <x:v>In Field</x:v>
      </x:c>
      <x:c r="I788" s="37" t="n">
        <x:v>46178</x:v>
      </x:c>
      <x:c r="J788" s="37" t="n">
        <x:v>46177</x:v>
      </x:c>
      <x:c r="K788" s="19" t="str">
        <x:v>Regent RV - Toowoomba</x:v>
      </x:c>
      <x:c r="L788" s="19" t="str">
        <x:v>Z006</x:v>
      </x:c>
      <x:c r="M788" s="19" t="str">
        <x:v>In Field Warranty Claims</x:v>
      </x:c>
      <x:c r="N788" s="37" t="n">
        <x:v>46175</x:v>
      </x:c>
      <x:c r="O788" s="37"/>
      <x:c r="P788" s="34" t="n">
        <x:v>0</x:v>
      </x:c>
      <x:c r="Q788" s="37" t="n">
        <x:v>46177.95869212963</x:v>
      </x:c>
    </x:row>
    <x:row r="789">
      <x:c r="A789" s="22" t="n">
        <x:v>35832</x:v>
      </x:c>
      <x:c r="B789" s="28" t="n">
        <x:v>1080</x:v>
      </x:c>
      <x:c r="C789" s="28"/>
      <x:c r="D789" s="31" t="str">
        <x:f>IF(OR(ISBLANK(B789),ISBLANK(C789),B789=0),"",(C789-B789)/B789)</x:f>
      </x:c>
      <x:c r="E789" s="22" t="str">
        <x:f>IF(ISBLANK(C789),"AmountIncludingTax缺失",IF(ABS(B789-C789)&lt;0.005,"一致","不一致"))</x:f>
        <x:v>AmountIncludingTax缺失</x:v>
      </x:c>
      <x:c r="F789" s="19" t="str">
        <x:v>approved</x:v>
      </x:c>
      <x:c r="G789" s="19" t="str">
        <x:v>Repair in Progress</x:v>
      </x:c>
      <x:c r="H789" s="19" t="str">
        <x:v>In Field</x:v>
      </x:c>
      <x:c r="I789" s="37" t="n">
        <x:v>46182</x:v>
      </x:c>
      <x:c r="J789" s="37" t="n">
        <x:v>46182</x:v>
      </x:c>
      <x:c r="K789" s="19" t="str">
        <x:v>Snowy River Frankston</x:v>
      </x:c>
      <x:c r="L789" s="19" t="str">
        <x:v>Z006</x:v>
      </x:c>
      <x:c r="M789" s="19" t="str">
        <x:v>In Field Warranty Claims</x:v>
      </x:c>
      <x:c r="N789" s="37" t="n">
        <x:v>46175</x:v>
      </x:c>
      <x:c r="O789" s="37"/>
      <x:c r="P789" s="34" t="n">
        <x:v>0</x:v>
      </x:c>
      <x:c r="Q789" s="37" t="n">
        <x:v>46182.182488425926</x:v>
      </x:c>
    </x:row>
    <x:row r="790">
      <x:c r="A790" s="22" t="n">
        <x:v>35831</x:v>
      </x:c>
      <x:c r="B790" s="28" t="n">
        <x:v>108.75</x:v>
      </x:c>
      <x:c r="C790" s="28"/>
      <x:c r="D790" s="31" t="str">
        <x:f>IF(OR(ISBLANK(B790),ISBLANK(C790),B790=0),"",(C790-B790)/B790)</x:f>
      </x:c>
      <x:c r="E790" s="22" t="str">
        <x:f>IF(ISBLANK(C790),"AmountIncludingTax缺失",IF(ABS(B790-C790)&lt;0.005,"一致","不一致"))</x:f>
        <x:v>AmountIncludingTax缺失</x:v>
      </x:c>
      <x:c r="F790" s="19" t="str">
        <x:v>approved</x:v>
      </x:c>
      <x:c r="G790" s="19" t="str">
        <x:v>Repairer Invoiced Processed</x:v>
      </x:c>
      <x:c r="H790" s="19" t="str">
        <x:v>In Field</x:v>
      </x:c>
      <x:c r="I790" s="37" t="n">
        <x:v>46186</x:v>
      </x:c>
      <x:c r="J790" s="37" t="n">
        <x:v>46186</x:v>
      </x:c>
      <x:c r="K790" s="19" t="str">
        <x:v>Regent RV - Townsville</x:v>
      </x:c>
      <x:c r="L790" s="19" t="str">
        <x:v>Z006</x:v>
      </x:c>
      <x:c r="M790" s="19" t="str">
        <x:v>In Field Warranty Claims</x:v>
      </x:c>
      <x:c r="N790" s="37" t="n">
        <x:v>46175</x:v>
      </x:c>
      <x:c r="O790" s="37"/>
      <x:c r="P790" s="34" t="n">
        <x:v>0</x:v>
      </x:c>
      <x:c r="Q790" s="37" t="n">
        <x:v>46185.98211805556</x:v>
      </x:c>
    </x:row>
    <x:row r="791">
      <x:c r="A791" s="22" t="n">
        <x:v>35829</x:v>
      </x:c>
      <x:c r="B791" s="28" t="n">
        <x:v>742.5</x:v>
      </x:c>
      <x:c r="C791" s="28" t="n">
        <x:v>816.75</x:v>
      </x:c>
      <x:c r="D791" s="31" t="n">
        <x:f>IF(OR(ISBLANK(B791),ISBLANK(C791),B791=0),"",(C791-B791)/B791)</x:f>
        <x:v>0.1</x:v>
      </x:c>
      <x:c r="E791" s="22" t="str">
        <x:f>IF(ISBLANK(C791),"AmountIncludingTax缺失",IF(ABS(B791-C791)&lt;0.005,"一致","不一致"))</x:f>
        <x:v>不一致</x:v>
      </x:c>
      <x:c r="F791" s="19" t="str">
        <x:v>approved</x:v>
      </x:c>
      <x:c r="G791" s="19" t="str">
        <x:v>Repair in Progress</x:v>
      </x:c>
      <x:c r="H791" s="19" t="str">
        <x:v>In Field</x:v>
      </x:c>
      <x:c r="I791" s="37" t="n">
        <x:v>46176</x:v>
      </x:c>
      <x:c r="J791" s="37" t="n">
        <x:v>46176</x:v>
      </x:c>
      <x:c r="K791" s="19" t="str">
        <x:v>Dario Caravans - Pooraka</x:v>
      </x:c>
      <x:c r="L791" s="19" t="str">
        <x:v>Z006</x:v>
      </x:c>
      <x:c r="M791" s="19" t="str">
        <x:v>In Field Warranty Claims</x:v>
      </x:c>
      <x:c r="N791" s="37" t="n">
        <x:v>46175</x:v>
      </x:c>
      <x:c r="O791" s="37"/>
      <x:c r="P791" s="34" t="n">
        <x:v>816.75</x:v>
      </x:c>
      <x:c r="Q791" s="37" t="n">
        <x:v>46175.90892361111</x:v>
      </x:c>
    </x:row>
    <x:row r="792">
      <x:c r="A792" s="22" t="n">
        <x:v>35827</x:v>
      </x:c>
      <x:c r="B792" s="28" t="n">
        <x:v>222.5</x:v>
      </x:c>
      <x:c r="C792" s="28"/>
      <x:c r="D792" s="31" t="str">
        <x:f>IF(OR(ISBLANK(B792),ISBLANK(C792),B792=0),"",(C792-B792)/B792)</x:f>
      </x:c>
      <x:c r="E792" s="22" t="str">
        <x:f>IF(ISBLANK(C792),"AmountIncludingTax缺失",IF(ABS(B792-C792)&lt;0.005,"一致","不一致"))</x:f>
        <x:v>AmountIncludingTax缺失</x:v>
      </x:c>
      <x:c r="F792" s="19" t="str">
        <x:v>approved</x:v>
      </x:c>
      <x:c r="G792" s="19" t="str">
        <x:v>Repair in Progress</x:v>
      </x:c>
      <x:c r="H792" s="19" t="str">
        <x:v>In Field</x:v>
      </x:c>
      <x:c r="I792" s="37" t="n">
        <x:v>46176</x:v>
      </x:c>
      <x:c r="J792" s="37" t="n">
        <x:v>46176</x:v>
      </x:c>
      <x:c r="K792" s="19" t="str">
        <x:v>Regent RV - Toowoomba</x:v>
      </x:c>
      <x:c r="L792" s="19" t="str">
        <x:v>Z006</x:v>
      </x:c>
      <x:c r="M792" s="19" t="str">
        <x:v>In Field Warranty Claims</x:v>
      </x:c>
      <x:c r="N792" s="37" t="n">
        <x:v>46175</x:v>
      </x:c>
      <x:c r="O792" s="37"/>
      <x:c r="P792" s="34" t="n">
        <x:v>0</x:v>
      </x:c>
      <x:c r="Q792" s="37" t="n">
        <x:v>46175.97063657407</x:v>
      </x:c>
    </x:row>
    <x:row r="793">
      <x:c r="A793" s="22" t="n">
        <x:v>35825</x:v>
      </x:c>
      <x:c r="B793" s="28" t="n">
        <x:v>246.25</x:v>
      </x:c>
      <x:c r="C793" s="28"/>
      <x:c r="D793" s="31" t="str">
        <x:f>IF(OR(ISBLANK(B793),ISBLANK(C793),B793=0),"",(C793-B793)/B793)</x:f>
      </x:c>
      <x:c r="E793" s="22" t="str">
        <x:f>IF(ISBLANK(C793),"AmountIncludingTax缺失",IF(ABS(B793-C793)&lt;0.005,"一致","不一致"))</x:f>
        <x:v>AmountIncludingTax缺失</x:v>
      </x:c>
      <x:c r="F793" s="19" t="str">
        <x:v>approved</x:v>
      </x:c>
      <x:c r="G793" s="19" t="str">
        <x:v>Sales Order Approved</x:v>
      </x:c>
      <x:c r="H793" s="19" t="str">
        <x:v>Pre Delivery</x:v>
      </x:c>
      <x:c r="I793" s="37" t="n">
        <x:v>46205</x:v>
      </x:c>
      <x:c r="J793" s="37" t="n">
        <x:v>46205</x:v>
      </x:c>
      <x:c r="K793" s="19" t="str">
        <x:v>Green RV - Forest Glen</x:v>
      </x:c>
      <x:c r="L793" s="19" t="str">
        <x:v>Z005</x:v>
      </x:c>
      <x:c r="M793" s="19" t="str">
        <x:v>Pre Delivery Warranty Claims</x:v>
      </x:c>
      <x:c r="N793" s="37" t="n">
        <x:v>46175</x:v>
      </x:c>
      <x:c r="O793" s="37"/>
      <x:c r="P793" s="34" t="n">
        <x:v>0</x:v>
      </x:c>
      <x:c r="Q793" s="37" t="n">
        <x:v>46204.96886574074</x:v>
      </x:c>
    </x:row>
    <x:row r="794">
      <x:c r="A794" s="22" t="n">
        <x:v>35824</x:v>
      </x:c>
      <x:c r="B794" s="28" t="n">
        <x:v>407.5</x:v>
      </x:c>
      <x:c r="C794" s="28"/>
      <x:c r="D794" s="31" t="str">
        <x:f>IF(OR(ISBLANK(B794),ISBLANK(C794),B794=0),"",(C794-B794)/B794)</x:f>
      </x:c>
      <x:c r="E794" s="22" t="str">
        <x:f>IF(ISBLANK(C794),"AmountIncludingTax缺失",IF(ABS(B794-C794)&lt;0.005,"一致","不一致"))</x:f>
        <x:v>AmountIncludingTax缺失</x:v>
      </x:c>
      <x:c r="F794" s="19" t="str">
        <x:v>approved</x:v>
      </x:c>
      <x:c r="G794" s="19" t="str">
        <x:v>Repair in Progress</x:v>
      </x:c>
      <x:c r="H794" s="19" t="str">
        <x:v>In Field</x:v>
      </x:c>
      <x:c r="I794" s="37" t="n">
        <x:v>46176</x:v>
      </x:c>
      <x:c r="J794" s="37" t="n">
        <x:v>46176</x:v>
      </x:c>
      <x:c r="K794" s="19" t="str">
        <x:v>Destiny RV - South Australia</x:v>
      </x:c>
      <x:c r="L794" s="19" t="str">
        <x:v>Z006</x:v>
      </x:c>
      <x:c r="M794" s="19" t="str">
        <x:v>In Field Warranty Claims</x:v>
      </x:c>
      <x:c r="N794" s="37" t="n">
        <x:v>46175</x:v>
      </x:c>
      <x:c r="O794" s="37"/>
      <x:c r="P794" s="34" t="n">
        <x:v>0</x:v>
      </x:c>
      <x:c r="Q794" s="37" t="n">
        <x:v>46176.15586805555</x:v>
      </x:c>
    </x:row>
    <x:row r="795">
      <x:c r="A795" s="22" t="n">
        <x:v>35822</x:v>
      </x:c>
      <x:c r="B795" s="28" t="n">
        <x:v>108.75</x:v>
      </x:c>
      <x:c r="C795" s="28"/>
      <x:c r="D795" s="31" t="str">
        <x:f>IF(OR(ISBLANK(B795),ISBLANK(C795),B795=0),"",(C795-B795)/B795)</x:f>
      </x:c>
      <x:c r="E795" s="22" t="str">
        <x:f>IF(ISBLANK(C795),"AmountIncludingTax缺失",IF(ABS(B795-C795)&lt;0.005,"一致","不一致"))</x:f>
        <x:v>AmountIncludingTax缺失</x:v>
      </x:c>
      <x:c r="F795" s="19" t="str">
        <x:v>approved</x:v>
      </x:c>
      <x:c r="G795" s="19" t="str">
        <x:v>Sales Order Approved</x:v>
      </x:c>
      <x:c r="H795" s="19" t="str">
        <x:v>In Field</x:v>
      </x:c>
      <x:c r="I795" s="37" t="n">
        <x:v>46176</x:v>
      </x:c>
      <x:c r="J795" s="37" t="n">
        <x:v>46176</x:v>
      </x:c>
      <x:c r="K795" s="19" t="str">
        <x:v>Regent RV - Townsville</x:v>
      </x:c>
      <x:c r="L795" s="19" t="str">
        <x:v>Z006</x:v>
      </x:c>
      <x:c r="M795" s="19" t="str">
        <x:v>In Field Warranty Claims</x:v>
      </x:c>
      <x:c r="N795" s="37" t="n">
        <x:v>46175</x:v>
      </x:c>
      <x:c r="O795" s="37"/>
      <x:c r="P795" s="34" t="n">
        <x:v>0</x:v>
      </x:c>
      <x:c r="Q795" s="37" t="n">
        <x:v>46175.971134259256</x:v>
      </x:c>
    </x:row>
    <x:row r="796">
      <x:c r="A796" s="22" t="n">
        <x:v>35820</x:v>
      </x:c>
      <x:c r="B796" s="28" t="n">
        <x:v>135</x:v>
      </x:c>
      <x:c r="C796" s="28"/>
      <x:c r="D796" s="31" t="str">
        <x:f>IF(OR(ISBLANK(B796),ISBLANK(C796),B796=0),"",(C796-B796)/B796)</x:f>
      </x:c>
      <x:c r="E796" s="22" t="str">
        <x:f>IF(ISBLANK(C796),"AmountIncludingTax缺失",IF(ABS(B796-C796)&lt;0.005,"一致","不一致"))</x:f>
        <x:v>AmountIncludingTax缺失</x:v>
      </x:c>
      <x:c r="F796" s="19" t="str">
        <x:v>approved</x:v>
      </x:c>
      <x:c r="G796" s="19" t="str">
        <x:v>Repair in Progress</x:v>
      </x:c>
      <x:c r="H796" s="19" t="str">
        <x:v>In Field</x:v>
      </x:c>
      <x:c r="I796" s="37" t="n">
        <x:v>46176</x:v>
      </x:c>
      <x:c r="J796" s="37" t="n">
        <x:v>46176</x:v>
      </x:c>
      <x:c r="K796" s="19" t="str">
        <x:v>Snowy River Launceston</x:v>
      </x:c>
      <x:c r="L796" s="19" t="str">
        <x:v>Z006</x:v>
      </x:c>
      <x:c r="M796" s="19" t="str">
        <x:v>In Field Warranty Claims</x:v>
      </x:c>
      <x:c r="N796" s="37" t="n">
        <x:v>46175</x:v>
      </x:c>
      <x:c r="O796" s="37"/>
      <x:c r="P796" s="34" t="n">
        <x:v>0</x:v>
      </x:c>
      <x:c r="Q796" s="37" t="n">
        <x:v>46176.04280092593</x:v>
      </x:c>
    </x:row>
    <x:row r="797">
      <x:c r="A797" s="22" t="n">
        <x:v>35819</x:v>
      </x:c>
      <x:c r="B797" s="28" t="n">
        <x:v>246.25</x:v>
      </x:c>
      <x:c r="C797" s="28"/>
      <x:c r="D797" s="31" t="str">
        <x:f>IF(OR(ISBLANK(B797),ISBLANK(C797),B797=0),"",(C797-B797)/B797)</x:f>
      </x:c>
      <x:c r="E797" s="22" t="str">
        <x:f>IF(ISBLANK(C797),"AmountIncludingTax缺失",IF(ABS(B797-C797)&lt;0.005,"一致","不一致"))</x:f>
        <x:v>AmountIncludingTax缺失</x:v>
      </x:c>
      <x:c r="F797" s="19" t="str">
        <x:v>approved</x:v>
      </x:c>
      <x:c r="G797" s="19" t="str">
        <x:v>Sales Order Approved</x:v>
      </x:c>
      <x:c r="H797" s="19" t="str">
        <x:v>Pre Delivery</x:v>
      </x:c>
      <x:c r="I797" s="37" t="n">
        <x:v>46209</x:v>
      </x:c>
      <x:c r="J797" s="37" t="n">
        <x:v>46209</x:v>
      </x:c>
      <x:c r="K797" s="19" t="str">
        <x:v>Lesiure Lion-New Castle</x:v>
      </x:c>
      <x:c r="L797" s="19" t="str">
        <x:v>Z005</x:v>
      </x:c>
      <x:c r="M797" s="19" t="str">
        <x:v>Pre Delivery Warranty Claims</x:v>
      </x:c>
      <x:c r="N797" s="37" t="n">
        <x:v>46175</x:v>
      </x:c>
      <x:c r="O797" s="37"/>
      <x:c r="P797" s="34" t="n">
        <x:v>0</x:v>
      </x:c>
      <x:c r="Q797" s="37" t="n">
        <x:v>46209.22959490741</x:v>
      </x:c>
    </x:row>
    <x:row r="798">
      <x:c r="A798" s="22" t="n">
        <x:v>35818</x:v>
      </x:c>
      <x:c r="B798" s="28" t="n">
        <x:v>543.64</x:v>
      </x:c>
      <x:c r="C798" s="28" t="n">
        <x:v>598</x:v>
      </x:c>
      <x:c r="D798" s="31" t="n">
        <x:f>IF(OR(ISBLANK(B798),ISBLANK(C798),B798=0),"",(C798-B798)/B798)</x:f>
        <x:v>0.09999264218968437</x:v>
      </x:c>
      <x:c r="E798" s="22" t="str">
        <x:f>IF(ISBLANK(C798),"AmountIncludingTax缺失",IF(ABS(B798-C798)&lt;0.005,"一致","不一致"))</x:f>
        <x:v>不一致</x:v>
      </x:c>
      <x:c r="F798" s="19" t="str">
        <x:v>approved</x:v>
      </x:c>
      <x:c r="G798" s="19" t="str">
        <x:v>Repairer Invoiced Processed</x:v>
      </x:c>
      <x:c r="H798" s="19" t="str">
        <x:v>In Field</x:v>
      </x:c>
      <x:c r="I798" s="37" t="n">
        <x:v>46189</x:v>
      </x:c>
      <x:c r="J798" s="37" t="n">
        <x:v>46189</x:v>
      </x:c>
      <x:c r="K798" s="19" t="str">
        <x:v>Lesiure Lion-New Castle</x:v>
      </x:c>
      <x:c r="L798" s="19" t="str">
        <x:v>Z006</x:v>
      </x:c>
      <x:c r="M798" s="19" t="str">
        <x:v>In Field Warranty Claims</x:v>
      </x:c>
      <x:c r="N798" s="37" t="n">
        <x:v>46175</x:v>
      </x:c>
      <x:c r="O798" s="37"/>
      <x:c r="P798" s="34" t="n">
        <x:v>598</x:v>
      </x:c>
      <x:c r="Q798" s="37" t="n">
        <x:v>46188.94715277778</x:v>
      </x:c>
    </x:row>
    <x:row r="799">
      <x:c r="A799" s="22" t="n">
        <x:v>35817</x:v>
      </x:c>
      <x:c r="B799" s="28" t="n">
        <x:v>404.91</x:v>
      </x:c>
      <x:c r="C799" s="28"/>
      <x:c r="D799" s="31" t="str">
        <x:f>IF(OR(ISBLANK(B799),ISBLANK(C799),B799=0),"",(C799-B799)/B799)</x:f>
      </x:c>
      <x:c r="E799" s="22" t="str">
        <x:f>IF(ISBLANK(C799),"AmountIncludingTax缺失",IF(ABS(B799-C799)&lt;0.005,"一致","不一致"))</x:f>
        <x:v>AmountIncludingTax缺失</x:v>
      </x:c>
      <x:c r="F799" s="19" t="str">
        <x:v>approved</x:v>
      </x:c>
      <x:c r="G799" s="19" t="str">
        <x:v>Repair in Progress</x:v>
      </x:c>
      <x:c r="H799" s="19" t="str">
        <x:v>In Field</x:v>
      </x:c>
      <x:c r="I799" s="37" t="n">
        <x:v>46175</x:v>
      </x:c>
      <x:c r="J799" s="37" t="n">
        <x:v>46175</x:v>
      </x:c>
      <x:c r="K799" s="19" t="str">
        <x:v>Green RV - Slacks Creek</x:v>
      </x:c>
      <x:c r="L799" s="19" t="str">
        <x:v>Z006</x:v>
      </x:c>
      <x:c r="M799" s="19" t="str">
        <x:v>In Field Warranty Claims</x:v>
      </x:c>
      <x:c r="N799" s="37" t="n">
        <x:v>46175</x:v>
      </x:c>
      <x:c r="O799" s="37"/>
      <x:c r="P799" s="34" t="n">
        <x:v>0</x:v>
      </x:c>
      <x:c r="Q799" s="37" t="n">
        <x:v>46175.20658564815</x:v>
      </x:c>
    </x:row>
    <x:row r="800">
      <x:c r="A800" s="22" t="n">
        <x:v>35816</x:v>
      </x:c>
      <x:c r="B800" s="28" t="n">
        <x:v>512.5</x:v>
      </x:c>
      <x:c r="C800" s="28"/>
      <x:c r="D800" s="31" t="str">
        <x:f>IF(OR(ISBLANK(B800),ISBLANK(C800),B800=0),"",(C800-B800)/B800)</x:f>
      </x:c>
      <x:c r="E800" s="22" t="str">
        <x:f>IF(ISBLANK(C800),"AmountIncludingTax缺失",IF(ABS(B800-C800)&lt;0.005,"一致","不一致"))</x:f>
        <x:v>AmountIncludingTax缺失</x:v>
      </x:c>
      <x:c r="F800" s="19" t="str">
        <x:v>approved_closed</x:v>
      </x:c>
      <x:c r="G800" s="19" t="str">
        <x:v>Approved Claims Closed (Closed)</x:v>
      </x:c>
      <x:c r="H800" s="19" t="str">
        <x:v>In Field</x:v>
      </x:c>
      <x:c r="I800" s="37" t="n">
        <x:v>46176</x:v>
      </x:c>
      <x:c r="J800" s="37" t="n">
        <x:v>46176</x:v>
      </x:c>
      <x:c r="K800" s="19" t="str">
        <x:v>Auswide Caravans - South Nowra</x:v>
      </x:c>
      <x:c r="L800" s="19" t="str">
        <x:v>Z006</x:v>
      </x:c>
      <x:c r="M800" s="19" t="str">
        <x:v>In Field Warranty Claims</x:v>
      </x:c>
      <x:c r="N800" s="37" t="n">
        <x:v>46175</x:v>
      </x:c>
      <x:c r="O800" s="37" t="n">
        <x:v>46184</x:v>
      </x:c>
      <x:c r="P800" s="34" t="n">
        <x:v>0</x:v>
      </x:c>
      <x:c r="Q800" s="37" t="n">
        <x:v>46176.15399305556</x:v>
      </x:c>
    </x:row>
    <x:row r="801">
      <x:c r="A801" s="22" t="n">
        <x:v>35815</x:v>
      </x:c>
      <x:c r="B801" s="28" t="n">
        <x:v>72.5</x:v>
      </x:c>
      <x:c r="C801" s="28"/>
      <x:c r="D801" s="31" t="str">
        <x:f>IF(OR(ISBLANK(B801),ISBLANK(C801),B801=0),"",(C801-B801)/B801)</x:f>
      </x:c>
      <x:c r="E801" s="22" t="str">
        <x:f>IF(ISBLANK(C801),"AmountIncludingTax缺失",IF(ABS(B801-C801)&lt;0.005,"一致","不一致"))</x:f>
        <x:v>AmountIncludingTax缺失</x:v>
      </x:c>
      <x:c r="F801" s="19" t="str">
        <x:v>approved</x:v>
      </x:c>
      <x:c r="G801" s="19" t="str">
        <x:v>Repair in Progress</x:v>
      </x:c>
      <x:c r="H801" s="19" t="str">
        <x:v>In Field</x:v>
      </x:c>
      <x:c r="I801" s="37" t="n">
        <x:v>46186</x:v>
      </x:c>
      <x:c r="J801" s="37" t="n">
        <x:v>46186</x:v>
      </x:c>
      <x:c r="K801" s="19" t="str">
        <x:v>Regent RV - Toowoomba</x:v>
      </x:c>
      <x:c r="L801" s="19" t="str">
        <x:v>Z006</x:v>
      </x:c>
      <x:c r="M801" s="19" t="str">
        <x:v>In Field Warranty Claims</x:v>
      </x:c>
      <x:c r="N801" s="37" t="n">
        <x:v>46175</x:v>
      </x:c>
      <x:c r="O801" s="37"/>
      <x:c r="P801" s="34" t="n">
        <x:v>0</x:v>
      </x:c>
      <x:c r="Q801" s="37" t="n">
        <x:v>46185.97912037037</x:v>
      </x:c>
    </x:row>
    <x:row r="802">
      <x:c r="A802" s="22" t="n">
        <x:v>35813</x:v>
      </x:c>
      <x:c r="B802" s="28" t="n">
        <x:v>405</x:v>
      </x:c>
      <x:c r="C802" s="28" t="n">
        <x:v>445.5</x:v>
      </x:c>
      <x:c r="D802" s="31" t="n">
        <x:f>IF(OR(ISBLANK(B802),ISBLANK(C802),B802=0),"",(C802-B802)/B802)</x:f>
        <x:v>0.1</x:v>
      </x:c>
      <x:c r="E802" s="22" t="str">
        <x:f>IF(ISBLANK(C802),"AmountIncludingTax缺失",IF(ABS(B802-C802)&lt;0.005,"一致","不一致"))</x:f>
        <x:v>不一致</x:v>
      </x:c>
      <x:c r="F802" s="19" t="str">
        <x:v>approved</x:v>
      </x:c>
      <x:c r="G802" s="19" t="str">
        <x:v>Repairer Invoiced Processed</x:v>
      </x:c>
      <x:c r="H802" s="19" t="str">
        <x:v>Pre Delivery</x:v>
      </x:c>
      <x:c r="I802" s="37" t="n">
        <x:v>46175</x:v>
      </x:c>
      <x:c r="J802" s="37" t="n">
        <x:v>46175</x:v>
      </x:c>
      <x:c r="K802" s="19" t="str">
        <x:v>Leisure Lion - Bundaberg</x:v>
      </x:c>
      <x:c r="L802" s="19" t="str">
        <x:v>Z005</x:v>
      </x:c>
      <x:c r="M802" s="19" t="str">
        <x:v>Pre Delivery Warranty Claims</x:v>
      </x:c>
      <x:c r="N802" s="37" t="n">
        <x:v>46175</x:v>
      </x:c>
      <x:c r="O802" s="37"/>
      <x:c r="P802" s="34" t="n">
        <x:v>445.5</x:v>
      </x:c>
      <x:c r="Q802" s="37" t="n">
        <x:v>46175.012870370374</x:v>
      </x:c>
    </x:row>
    <x:row r="803">
      <x:c r="A803" s="22" t="n">
        <x:v>35812</x:v>
      </x:c>
      <x:c r="B803" s="28" t="n">
        <x:v>1280</x:v>
      </x:c>
      <x:c r="C803" s="28"/>
      <x:c r="D803" s="31" t="str">
        <x:f>IF(OR(ISBLANK(B803),ISBLANK(C803),B803=0),"",(C803-B803)/B803)</x:f>
      </x:c>
      <x:c r="E803" s="22" t="str">
        <x:f>IF(ISBLANK(C803),"AmountIncludingTax缺失",IF(ABS(B803-C803)&lt;0.005,"一致","不一致"))</x:f>
        <x:v>AmountIncludingTax缺失</x:v>
      </x:c>
      <x:c r="F803" s="19" t="str">
        <x:v>approved</x:v>
      </x:c>
      <x:c r="G803" s="19" t="str">
        <x:v>Partially Picked</x:v>
      </x:c>
      <x:c r="H803" s="19" t="str">
        <x:v>In Field</x:v>
      </x:c>
      <x:c r="I803" s="37" t="n">
        <x:v>46183</x:v>
      </x:c>
      <x:c r="J803" s="37" t="n">
        <x:v>46183</x:v>
      </x:c>
      <x:c r="K803" s="19" t="str">
        <x:v>Lesiure Lion-New Castle</x:v>
      </x:c>
      <x:c r="L803" s="19" t="str">
        <x:v>Z006</x:v>
      </x:c>
      <x:c r="M803" s="19" t="str">
        <x:v>In Field Warranty Claims</x:v>
      </x:c>
      <x:c r="N803" s="37" t="n">
        <x:v>46174</x:v>
      </x:c>
      <x:c r="O803" s="37"/>
      <x:c r="P803" s="34" t="n">
        <x:v>0</x:v>
      </x:c>
      <x:c r="Q803" s="37" t="n">
        <x:v>46183.172314814816</x:v>
      </x:c>
    </x:row>
    <x:row r="804">
      <x:c r="A804" s="22" t="n">
        <x:v>35811</x:v>
      </x:c>
      <x:c r="B804" s="28" t="n">
        <x:v>435</x:v>
      </x:c>
      <x:c r="C804" s="28" t="n">
        <x:v>478.5</x:v>
      </x:c>
      <x:c r="D804" s="31" t="n">
        <x:f>IF(OR(ISBLANK(B804),ISBLANK(C804),B804=0),"",(C804-B804)/B804)</x:f>
        <x:v>0.1</x:v>
      </x:c>
      <x:c r="E804" s="22" t="str">
        <x:f>IF(ISBLANK(C804),"AmountIncludingTax缺失",IF(ABS(B804-C804)&lt;0.005,"一致","不一致"))</x:f>
        <x:v>不一致</x:v>
      </x:c>
      <x:c r="F804" s="19" t="str">
        <x:v>approved</x:v>
      </x:c>
      <x:c r="G804" s="19" t="str">
        <x:v>Repair in Progress</x:v>
      </x:c>
      <x:c r="H804" s="19" t="str">
        <x:v>In Field</x:v>
      </x:c>
      <x:c r="I804" s="37" t="n">
        <x:v>46183</x:v>
      </x:c>
      <x:c r="J804" s="37" t="n">
        <x:v>46183</x:v>
      </x:c>
      <x:c r="K804" s="19" t="str">
        <x:v>Regent RV - Townsville</x:v>
      </x:c>
      <x:c r="L804" s="19" t="str">
        <x:v>Z006</x:v>
      </x:c>
      <x:c r="M804" s="19" t="str">
        <x:v>In Field Warranty Claims</x:v>
      </x:c>
      <x:c r="N804" s="37" t="n">
        <x:v>46174</x:v>
      </x:c>
      <x:c r="O804" s="37"/>
      <x:c r="P804" s="34" t="n">
        <x:v>478.5</x:v>
      </x:c>
      <x:c r="Q804" s="37" t="n">
        <x:v>46183.12233796297</x:v>
      </x:c>
    </x:row>
    <x:row r="805">
      <x:c r="A805" s="22" t="n">
        <x:v>35800</x:v>
      </x:c>
      <x:c r="B805" s="28" t="n">
        <x:v>492.5</x:v>
      </x:c>
      <x:c r="C805" s="28"/>
      <x:c r="D805" s="31" t="str">
        <x:f>IF(OR(ISBLANK(B805),ISBLANK(C805),B805=0),"",(C805-B805)/B805)</x:f>
      </x:c>
      <x:c r="E805" s="22" t="str">
        <x:f>IF(ISBLANK(C805),"AmountIncludingTax缺失",IF(ABS(B805-C805)&lt;0.005,"一致","不一致"))</x:f>
        <x:v>AmountIncludingTax缺失</x:v>
      </x:c>
      <x:c r="F805" s="19" t="str">
        <x:v>approved</x:v>
      </x:c>
      <x:c r="G805" s="19" t="str">
        <x:v>Repairer Invoiced Processed</x:v>
      </x:c>
      <x:c r="H805" s="19" t="str">
        <x:v>In Field</x:v>
      </x:c>
      <x:c r="I805" s="37" t="n">
        <x:v>46176</x:v>
      </x:c>
      <x:c r="J805" s="37" t="n">
        <x:v>46176</x:v>
      </x:c>
      <x:c r="K805" s="19" t="str">
        <x:v>Leisure Lion - Bundaberg</x:v>
      </x:c>
      <x:c r="L805" s="19" t="str">
        <x:v>Z006</x:v>
      </x:c>
      <x:c r="M805" s="19" t="str">
        <x:v>In Field Warranty Claims</x:v>
      </x:c>
      <x:c r="N805" s="37" t="n">
        <x:v>46174</x:v>
      </x:c>
      <x:c r="O805" s="37"/>
      <x:c r="P805" s="34" t="n">
        <x:v>0</x:v>
      </x:c>
      <x:c r="Q805" s="37" t="n">
        <x:v>46176.15688657408</x:v>
      </x:c>
    </x:row>
    <x:row r="806">
      <x:c r="A806" s="22" t="n">
        <x:v>35799</x:v>
      </x:c>
      <x:c r="B806" s="28" t="n">
        <x:v>265.45</x:v>
      </x:c>
      <x:c r="C806" s="28" t="n">
        <x:v>292</x:v>
      </x:c>
      <x:c r="D806" s="31" t="n">
        <x:f>IF(OR(ISBLANK(B806),ISBLANK(C806),B806=0),"",(C806-B806)/B806)</x:f>
        <x:v>0.10001883593897161</x:v>
      </x:c>
      <x:c r="E806" s="22" t="str">
        <x:f>IF(ISBLANK(C806),"AmountIncludingTax缺失",IF(ABS(B806-C806)&lt;0.005,"一致","不一致"))</x:f>
        <x:v>不一致</x:v>
      </x:c>
      <x:c r="F806" s="19" t="str">
        <x:v>approved</x:v>
      </x:c>
      <x:c r="G806" s="19" t="str">
        <x:v>Repairer Invoiced Processed</x:v>
      </x:c>
      <x:c r="H806" s="19" t="str">
        <x:v>In Field</x:v>
      </x:c>
      <x:c r="I806" s="37" t="n">
        <x:v>46176</x:v>
      </x:c>
      <x:c r="J806" s="37" t="n">
        <x:v>46176</x:v>
      </x:c>
      <x:c r="K806" s="19" t="str">
        <x:v>The Caravan Hub - Townsville</x:v>
      </x:c>
      <x:c r="L806" s="19" t="str">
        <x:v>Z006</x:v>
      </x:c>
      <x:c r="M806" s="19" t="str">
        <x:v>In Field Warranty Claims</x:v>
      </x:c>
      <x:c r="N806" s="37" t="n">
        <x:v>46174</x:v>
      </x:c>
      <x:c r="O806" s="37"/>
      <x:c r="P806" s="34" t="n">
        <x:v>292</x:v>
      </x:c>
      <x:c r="Q806" s="37" t="n">
        <x:v>46175.98556712963</x:v>
      </x:c>
    </x:row>
    <x:row r="807">
      <x:c r="A807" s="22" t="n">
        <x:v>35798</x:v>
      </x:c>
      <x:c r="B807" s="28" t="n">
        <x:v>145</x:v>
      </x:c>
      <x:c r="C807" s="28"/>
      <x:c r="D807" s="31" t="str">
        <x:f>IF(OR(ISBLANK(B807),ISBLANK(C807),B807=0),"",(C807-B807)/B807)</x:f>
      </x:c>
      <x:c r="E807" s="22" t="str">
        <x:f>IF(ISBLANK(C807),"AmountIncludingTax缺失",IF(ABS(B807-C807)&lt;0.005,"一致","不一致"))</x:f>
        <x:v>AmountIncludingTax缺失</x:v>
      </x:c>
      <x:c r="F807" s="19" t="str">
        <x:v>approved</x:v>
      </x:c>
      <x:c r="G807" s="19" t="str">
        <x:v>Repair in Progress</x:v>
      </x:c>
      <x:c r="H807" s="19" t="str">
        <x:v>In Field</x:v>
      </x:c>
      <x:c r="I807" s="37" t="n">
        <x:v>46185</x:v>
      </x:c>
      <x:c r="J807" s="37" t="n">
        <x:v>46185</x:v>
      </x:c>
      <x:c r="K807" s="19" t="str">
        <x:v>Regent RV - Townsville</x:v>
      </x:c>
      <x:c r="L807" s="19" t="str">
        <x:v>Z006</x:v>
      </x:c>
      <x:c r="M807" s="19" t="str">
        <x:v>In Field Warranty Claims</x:v>
      </x:c>
      <x:c r="N807" s="37" t="n">
        <x:v>46174</x:v>
      </x:c>
      <x:c r="O807" s="37"/>
      <x:c r="P807" s="34" t="n">
        <x:v>0</x:v>
      </x:c>
      <x:c r="Q807" s="37" t="n">
        <x:v>46185.07539351852</x:v>
      </x:c>
    </x:row>
    <x:row r="808">
      <x:c r="A808" s="22" t="n">
        <x:v>35797</x:v>
      </x:c>
      <x:c r="B808" s="28" t="n">
        <x:v>150</x:v>
      </x:c>
      <x:c r="C808" s="28"/>
      <x:c r="D808" s="31" t="str">
        <x:f>IF(OR(ISBLANK(B808),ISBLANK(C808),B808=0),"",(C808-B808)/B808)</x:f>
      </x:c>
      <x:c r="E808" s="22" t="str">
        <x:f>IF(ISBLANK(C808),"AmountIncludingTax缺失",IF(ABS(B808-C808)&lt;0.005,"一致","不一致"))</x:f>
        <x:v>AmountIncludingTax缺失</x:v>
      </x:c>
      <x:c r="F808" s="19" t="str">
        <x:v>approved</x:v>
      </x:c>
      <x:c r="G808" s="19" t="str">
        <x:v>Repair in Progress</x:v>
      </x:c>
      <x:c r="H808" s="19" t="str">
        <x:v>In Field</x:v>
      </x:c>
      <x:c r="I808" s="37" t="n">
        <x:v>46183</x:v>
      </x:c>
      <x:c r="J808" s="37" t="n">
        <x:v>46183</x:v>
      </x:c>
      <x:c r="K808" s="19" t="str">
        <x:v>Regent RV - Townsville</x:v>
      </x:c>
      <x:c r="L808" s="19" t="str">
        <x:v>Z006</x:v>
      </x:c>
      <x:c r="M808" s="19" t="str">
        <x:v>In Field Warranty Claims</x:v>
      </x:c>
      <x:c r="N808" s="37" t="n">
        <x:v>46174</x:v>
      </x:c>
      <x:c r="O808" s="37"/>
      <x:c r="P808" s="34" t="n">
        <x:v>0</x:v>
      </x:c>
      <x:c r="Q808" s="37" t="n">
        <x:v>46183.183969907404</x:v>
      </x:c>
    </x:row>
    <x:row r="809">
      <x:c r="A809" s="22" t="n">
        <x:v>35796</x:v>
      </x:c>
      <x:c r="B809" s="28" t="n">
        <x:v>445</x:v>
      </x:c>
      <x:c r="C809" s="28"/>
      <x:c r="D809" s="31" t="str">
        <x:f>IF(OR(ISBLANK(B809),ISBLANK(C809),B809=0),"",(C809-B809)/B809)</x:f>
      </x:c>
      <x:c r="E809" s="22" t="str">
        <x:f>IF(ISBLANK(C809),"AmountIncludingTax缺失",IF(ABS(B809-C809)&lt;0.005,"一致","不一致"))</x:f>
        <x:v>AmountIncludingTax缺失</x:v>
      </x:c>
      <x:c r="F809" s="19" t="str">
        <x:v>approved</x:v>
      </x:c>
      <x:c r="G809" s="19" t="str">
        <x:v>Repairer Invoiced Processed</x:v>
      </x:c>
      <x:c r="H809" s="19" t="str">
        <x:v>In Field</x:v>
      </x:c>
      <x:c r="I809" s="37" t="n">
        <x:v>46176</x:v>
      </x:c>
      <x:c r="J809" s="37" t="n">
        <x:v>46176</x:v>
      </x:c>
      <x:c r="K809" s="19" t="str">
        <x:v>Leisure Lion - Bundaberg</x:v>
      </x:c>
      <x:c r="L809" s="19" t="str">
        <x:v>Z006</x:v>
      </x:c>
      <x:c r="M809" s="19" t="str">
        <x:v>In Field Warranty Claims</x:v>
      </x:c>
      <x:c r="N809" s="37" t="n">
        <x:v>46174</x:v>
      </x:c>
      <x:c r="O809" s="37"/>
      <x:c r="P809" s="34" t="n">
        <x:v>0</x:v>
      </x:c>
      <x:c r="Q809" s="37" t="n">
        <x:v>46176.15765046296</x:v>
      </x:c>
    </x:row>
    <x:row r="810">
      <x:c r="A810" s="22" t="n">
        <x:v>35795</x:v>
      </x:c>
      <x:c r="B810" s="28" t="n">
        <x:v>1787.5</x:v>
      </x:c>
      <x:c r="C810" s="28"/>
      <x:c r="D810" s="31" t="str">
        <x:f>IF(OR(ISBLANK(B810),ISBLANK(C810),B810=0),"",(C810-B810)/B810)</x:f>
      </x:c>
      <x:c r="E810" s="22" t="str">
        <x:f>IF(ISBLANK(C810),"AmountIncludingTax缺失",IF(ABS(B810-C810)&lt;0.005,"一致","不一致"))</x:f>
        <x:v>AmountIncludingTax缺失</x:v>
      </x:c>
      <x:c r="F810" s="19" t="str">
        <x:v>approved</x:v>
      </x:c>
      <x:c r="G810" s="19" t="str">
        <x:v>Repairer Invoiced Processed</x:v>
      </x:c>
      <x:c r="H810" s="19" t="str">
        <x:v>In Field</x:v>
      </x:c>
      <x:c r="I810" s="37" t="n">
        <x:v>46175</x:v>
      </x:c>
      <x:c r="J810" s="37" t="n">
        <x:v>46175</x:v>
      </x:c>
      <x:c r="K810" s="19" t="str">
        <x:v>Green RV - Forest Glen</x:v>
      </x:c>
      <x:c r="L810" s="19" t="str">
        <x:v>Z006</x:v>
      </x:c>
      <x:c r="M810" s="19" t="str">
        <x:v>In Field Warranty Claims</x:v>
      </x:c>
      <x:c r="N810" s="37" t="n">
        <x:v>46174</x:v>
      </x:c>
      <x:c r="O810" s="37"/>
      <x:c r="P810" s="34" t="n">
        <x:v>0</x:v>
      </x:c>
      <x:c r="Q810" s="37" t="n">
        <x:v>46175.04420138889</x:v>
      </x:c>
    </x:row>
    <x:row r="811">
      <x:c r="A811" s="22" t="n">
        <x:v>35794</x:v>
      </x:c>
      <x:c r="B811" s="28" t="n">
        <x:v>135</x:v>
      </x:c>
      <x:c r="C811" s="28" t="n">
        <x:v>148.5</x:v>
      </x:c>
      <x:c r="D811" s="31" t="n">
        <x:f>IF(OR(ISBLANK(B811),ISBLANK(C811),B811=0),"",(C811-B811)/B811)</x:f>
        <x:v>0.1</x:v>
      </x:c>
      <x:c r="E811" s="22" t="str">
        <x:f>IF(ISBLANK(C811),"AmountIncludingTax缺失",IF(ABS(B811-C811)&lt;0.005,"一致","不一致"))</x:f>
        <x:v>不一致</x:v>
      </x:c>
      <x:c r="F811" s="19" t="str">
        <x:v>approved</x:v>
      </x:c>
      <x:c r="G811" s="19" t="str">
        <x:v>Repair in Progress</x:v>
      </x:c>
      <x:c r="H811" s="19" t="str">
        <x:v>In Field</x:v>
      </x:c>
      <x:c r="I811" s="37" t="n">
        <x:v>46176</x:v>
      </x:c>
      <x:c r="J811" s="37" t="n">
        <x:v>46176</x:v>
      </x:c>
      <x:c r="K811" s="19" t="str">
        <x:v>Dario Caravans -St.Marys</x:v>
      </x:c>
      <x:c r="L811" s="19" t="str">
        <x:v>Z006</x:v>
      </x:c>
      <x:c r="M811" s="19" t="str">
        <x:v>In Field Warranty Claims</x:v>
      </x:c>
      <x:c r="N811" s="37" t="n">
        <x:v>46174</x:v>
      </x:c>
      <x:c r="O811" s="37"/>
      <x:c r="P811" s="34" t="n">
        <x:v>148.5</x:v>
      </x:c>
      <x:c r="Q811" s="37" t="n">
        <x:v>46176.169583333336</x:v>
      </x:c>
    </x:row>
    <x:row r="812">
      <x:c r="A812" s="22" t="n">
        <x:v>35792</x:v>
      </x:c>
      <x:c r="B812" s="28" t="n">
        <x:v>1365</x:v>
      </x:c>
      <x:c r="C812" s="28"/>
      <x:c r="D812" s="31" t="str">
        <x:f>IF(OR(ISBLANK(B812),ISBLANK(C812),B812=0),"",(C812-B812)/B812)</x:f>
      </x:c>
      <x:c r="E812" s="22" t="str">
        <x:f>IF(ISBLANK(C812),"AmountIncludingTax缺失",IF(ABS(B812-C812)&lt;0.005,"一致","不一致"))</x:f>
        <x:v>AmountIncludingTax缺失</x:v>
      </x:c>
      <x:c r="F812" s="19" t="str">
        <x:v>approved</x:v>
      </x:c>
      <x:c r="G812" s="19" t="str">
        <x:v>Repair in Progress</x:v>
      </x:c>
      <x:c r="H812" s="19" t="str">
        <x:v>In Field</x:v>
      </x:c>
      <x:c r="I812" s="37" t="n">
        <x:v>46174</x:v>
      </x:c>
      <x:c r="J812" s="37" t="n">
        <x:v>46174</x:v>
      </x:c>
      <x:c r="K812" s="19" t="str">
        <x:v>Regent RV - Townsville</x:v>
      </x:c>
      <x:c r="L812" s="19" t="str">
        <x:v>Z006</x:v>
      </x:c>
      <x:c r="M812" s="19" t="str">
        <x:v>In Field Warranty Claims</x:v>
      </x:c>
      <x:c r="N812" s="37" t="n">
        <x:v>46174</x:v>
      </x:c>
      <x:c r="O812" s="37"/>
      <x:c r="P812" s="34" t="n">
        <x:v>0</x:v>
      </x:c>
      <x:c r="Q812" s="37" t="n">
        <x:v>46174.26898148148</x:v>
      </x:c>
    </x:row>
    <x:row r="813">
      <x:c r="A813" s="22" t="n">
        <x:v>35790</x:v>
      </x:c>
      <x:c r="B813" s="28" t="n">
        <x:v>687.5</x:v>
      </x:c>
      <x:c r="C813" s="28" t="n">
        <x:v>756.25</x:v>
      </x:c>
      <x:c r="D813" s="31" t="n">
        <x:f>IF(OR(ISBLANK(B813),ISBLANK(C813),B813=0),"",(C813-B813)/B813)</x:f>
        <x:v>0.1</x:v>
      </x:c>
      <x:c r="E813" s="22" t="str">
        <x:f>IF(ISBLANK(C813),"AmountIncludingTax缺失",IF(ABS(B813-C813)&lt;0.005,"一致","不一致"))</x:f>
        <x:v>不一致</x:v>
      </x:c>
      <x:c r="F813" s="19" t="str">
        <x:v>approved</x:v>
      </x:c>
      <x:c r="G813" s="19" t="str">
        <x:v>Repairer Invoiced Processed</x:v>
      </x:c>
      <x:c r="H813" s="19" t="str">
        <x:v>In Field</x:v>
      </x:c>
      <x:c r="I813" s="37" t="n">
        <x:v>46190</x:v>
      </x:c>
      <x:c r="J813" s="37" t="n">
        <x:v>46190</x:v>
      </x:c>
      <x:c r="K813" s="19" t="str">
        <x:v>Leisure Lion - Bundaberg</x:v>
      </x:c>
      <x:c r="L813" s="19" t="str">
        <x:v>Z006</x:v>
      </x:c>
      <x:c r="M813" s="19" t="str">
        <x:v>In Field Warranty Claims</x:v>
      </x:c>
      <x:c r="N813" s="37" t="n">
        <x:v>46174</x:v>
      </x:c>
      <x:c r="O813" s="37"/>
      <x:c r="P813" s="34" t="n">
        <x:v>756.25</x:v>
      </x:c>
      <x:c r="Q813" s="37" t="n">
        <x:v>46190.07952546296</x:v>
      </x:c>
    </x:row>
    <x:row r="814">
      <x:c r="A814" s="22" t="n">
        <x:v>35789</x:v>
      </x:c>
      <x:c r="B814" s="28" t="n">
        <x:v>470</x:v>
      </x:c>
      <x:c r="C814" s="28"/>
      <x:c r="D814" s="31" t="str">
        <x:f>IF(OR(ISBLANK(B814),ISBLANK(C814),B814=0),"",(C814-B814)/B814)</x:f>
      </x:c>
      <x:c r="E814" s="22" t="str">
        <x:f>IF(ISBLANK(C814),"AmountIncludingTax缺失",IF(ABS(B814-C814)&lt;0.005,"一致","不一致"))</x:f>
        <x:v>AmountIncludingTax缺失</x:v>
      </x:c>
      <x:c r="F814" s="19" t="str">
        <x:v>approved</x:v>
      </x:c>
      <x:c r="G814" s="19" t="str">
        <x:v>Partially Picked</x:v>
      </x:c>
      <x:c r="H814" s="19" t="str">
        <x:v>In Field</x:v>
      </x:c>
      <x:c r="I814" s="37" t="n">
        <x:v>46188</x:v>
      </x:c>
      <x:c r="J814" s="37" t="n">
        <x:v>46188</x:v>
      </x:c>
      <x:c r="K814" s="19" t="str">
        <x:v>Regent RV - Townsville</x:v>
      </x:c>
      <x:c r="L814" s="19" t="str">
        <x:v>Z006</x:v>
      </x:c>
      <x:c r="M814" s="19" t="str">
        <x:v>In Field Warranty Claims</x:v>
      </x:c>
      <x:c r="N814" s="37" t="n">
        <x:v>46174</x:v>
      </x:c>
      <x:c r="O814" s="37"/>
      <x:c r="P814" s="34" t="n">
        <x:v>0</x:v>
      </x:c>
      <x:c r="Q814" s="37" t="n">
        <x:v>46188.252754629626</x:v>
      </x:c>
    </x:row>
    <x:row r="815">
      <x:c r="A815" s="22" t="n">
        <x:v>35788</x:v>
      </x:c>
      <x:c r="B815" s="28" t="n">
        <x:v>568.75</x:v>
      </x:c>
      <x:c r="C815" s="28"/>
      <x:c r="D815" s="31" t="str">
        <x:f>IF(OR(ISBLANK(B815),ISBLANK(C815),B815=0),"",(C815-B815)/B815)</x:f>
      </x:c>
      <x:c r="E815" s="22" t="str">
        <x:f>IF(ISBLANK(C815),"AmountIncludingTax缺失",IF(ABS(B815-C815)&lt;0.005,"一致","不一致"))</x:f>
        <x:v>AmountIncludingTax缺失</x:v>
      </x:c>
      <x:c r="F815" s="19" t="str">
        <x:v>approved</x:v>
      </x:c>
      <x:c r="G815" s="19" t="str">
        <x:v>Partially Picked</x:v>
      </x:c>
      <x:c r="H815" s="19" t="str">
        <x:v>In Field</x:v>
      </x:c>
      <x:c r="I815" s="37" t="n">
        <x:v>46188</x:v>
      </x:c>
      <x:c r="J815" s="37" t="n">
        <x:v>46188</x:v>
      </x:c>
      <x:c r="K815" s="19" t="str">
        <x:v>Regent RV - Townsville</x:v>
      </x:c>
      <x:c r="L815" s="19" t="str">
        <x:v>Z006</x:v>
      </x:c>
      <x:c r="M815" s="19" t="str">
        <x:v>In Field Warranty Claims</x:v>
      </x:c>
      <x:c r="N815" s="37" t="n">
        <x:v>46174</x:v>
      </x:c>
      <x:c r="O815" s="37"/>
      <x:c r="P815" s="34" t="n">
        <x:v>0</x:v>
      </x:c>
      <x:c r="Q815" s="37" t="n">
        <x:v>46188.00189814815</x:v>
      </x:c>
    </x:row>
    <x:row r="816">
      <x:c r="A816" s="22" t="n">
        <x:v>35785</x:v>
      </x:c>
      <x:c r="B816" s="28" t="n">
        <x:v>135</x:v>
      </x:c>
      <x:c r="C816" s="28"/>
      <x:c r="D816" s="31" t="str">
        <x:f>IF(OR(ISBLANK(B816),ISBLANK(C816),B816=0),"",(C816-B816)/B816)</x:f>
      </x:c>
      <x:c r="E816" s="22" t="str">
        <x:f>IF(ISBLANK(C816),"AmountIncludingTax缺失",IF(ABS(B816-C816)&lt;0.005,"一致","不一致"))</x:f>
        <x:v>AmountIncludingTax缺失</x:v>
      </x:c>
      <x:c r="F816" s="19" t="str">
        <x:v>approved</x:v>
      </x:c>
      <x:c r="G816" s="19" t="str">
        <x:v>Sales Order Approved</x:v>
      </x:c>
      <x:c r="H816" s="19" t="str">
        <x:v>In Field</x:v>
      </x:c>
      <x:c r="I816" s="37" t="n">
        <x:v>46204</x:v>
      </x:c>
      <x:c r="J816" s="37" t="n">
        <x:v>46185</x:v>
      </x:c>
      <x:c r="K816" s="19" t="str">
        <x:v>Regent RV - Perth</x:v>
      </x:c>
      <x:c r="L816" s="19" t="str">
        <x:v>Z006</x:v>
      </x:c>
      <x:c r="M816" s="19" t="str">
        <x:v>In Field Warranty Claims</x:v>
      </x:c>
      <x:c r="N816" s="37" t="n">
        <x:v>46174</x:v>
      </x:c>
      <x:c r="O816" s="37"/>
      <x:c r="P816" s="34" t="n">
        <x:v>0</x:v>
      </x:c>
      <x:c r="Q816" s="37" t="n">
        <x:v>46204.294016203705</x:v>
      </x:c>
    </x:row>
    <x:row r="817">
      <x:c r="A817" s="22" t="n">
        <x:v>35784</x:v>
      </x:c>
      <x:c r="B817" s="28" t="n">
        <x:v>662.73</x:v>
      </x:c>
      <x:c r="C817" s="28"/>
      <x:c r="D817" s="31" t="str">
        <x:f>IF(OR(ISBLANK(B817),ISBLANK(C817),B817=0),"",(C817-B817)/B817)</x:f>
      </x:c>
      <x:c r="E817" s="22" t="str">
        <x:f>IF(ISBLANK(C817),"AmountIncludingTax缺失",IF(ABS(B817-C817)&lt;0.005,"一致","不一致"))</x:f>
        <x:v>AmountIncludingTax缺失</x:v>
      </x:c>
      <x:c r="F817" s="19" t="str">
        <x:v>approved</x:v>
      </x:c>
      <x:c r="G817" s="19" t="str">
        <x:v>Repair in Progress</x:v>
      </x:c>
      <x:c r="H817" s="19" t="str">
        <x:v>In Field</x:v>
      </x:c>
      <x:c r="I817" s="37" t="n">
        <x:v>46184</x:v>
      </x:c>
      <x:c r="J817" s="37" t="n">
        <x:v>46184</x:v>
      </x:c>
      <x:c r="K817" s="19" t="str">
        <x:v>The Caravan Hub - Townsville</x:v>
      </x:c>
      <x:c r="L817" s="19" t="str">
        <x:v>Z006</x:v>
      </x:c>
      <x:c r="M817" s="19" t="str">
        <x:v>In Field Warranty Claims</x:v>
      </x:c>
      <x:c r="N817" s="37" t="n">
        <x:v>46174</x:v>
      </x:c>
      <x:c r="O817" s="37"/>
      <x:c r="P817" s="34" t="n">
        <x:v>0</x:v>
      </x:c>
      <x:c r="Q817" s="37" t="n">
        <x:v>46184.08608796296</x:v>
      </x:c>
    </x:row>
    <x:row r="818">
      <x:c r="A818" s="22" t="n">
        <x:v>35783</x:v>
      </x:c>
      <x:c r="B818" s="28" t="n">
        <x:v>129.65</x:v>
      </x:c>
      <x:c r="C818" s="28" t="n">
        <x:v>142.62</x:v>
      </x:c>
      <x:c r="D818" s="31" t="n">
        <x:f>IF(OR(ISBLANK(B818),ISBLANK(C818),B818=0),"",(C818-B818)/B818)</x:f>
        <x:v>0.10003856536829925</x:v>
      </x:c>
      <x:c r="E818" s="22" t="str">
        <x:f>IF(ISBLANK(C818),"AmountIncludingTax缺失",IF(ABS(B818-C818)&lt;0.005,"一致","不一致"))</x:f>
        <x:v>不一致</x:v>
      </x:c>
      <x:c r="F818" s="19" t="str">
        <x:v>approved</x:v>
      </x:c>
      <x:c r="G818" s="19" t="str">
        <x:v>Repairer Invoiced Processed</x:v>
      </x:c>
      <x:c r="H818" s="19" t="str">
        <x:v>In Field</x:v>
      </x:c>
      <x:c r="I818" s="37" t="n">
        <x:v>46183</x:v>
      </x:c>
      <x:c r="J818" s="37" t="n">
        <x:v>46183</x:v>
      </x:c>
      <x:c r="K818" s="19" t="str">
        <x:v>Green RV - Slacks Creek</x:v>
      </x:c>
      <x:c r="L818" s="19" t="str">
        <x:v>Z006</x:v>
      </x:c>
      <x:c r="M818" s="19" t="str">
        <x:v>In Field Warranty Claims</x:v>
      </x:c>
      <x:c r="N818" s="37" t="n">
        <x:v>46174</x:v>
      </x:c>
      <x:c r="O818" s="37"/>
      <x:c r="P818" s="34" t="n">
        <x:v>142.62</x:v>
      </x:c>
      <x:c r="Q818" s="37" t="n">
        <x:v>46182.876875</x:v>
      </x:c>
    </x:row>
    <x:row r="819">
      <x:c r="A819" s="22" t="n">
        <x:v>35781</x:v>
      </x:c>
      <x:c r="B819" s="28" t="n">
        <x:v>1380</x:v>
      </x:c>
      <x:c r="C819" s="28"/>
      <x:c r="D819" s="31" t="str">
        <x:f>IF(OR(ISBLANK(B819),ISBLANK(C819),B819=0),"",(C819-B819)/B819)</x:f>
      </x:c>
      <x:c r="E819" s="22" t="str">
        <x:f>IF(ISBLANK(C819),"AmountIncludingTax缺失",IF(ABS(B819-C819)&lt;0.005,"一致","不一致"))</x:f>
        <x:v>AmountIncludingTax缺失</x:v>
      </x:c>
      <x:c r="F819" s="19" t="str">
        <x:v>approved</x:v>
      </x:c>
      <x:c r="G819" s="19" t="str">
        <x:v>Partially Picked</x:v>
      </x:c>
      <x:c r="H819" s="19" t="str">
        <x:v>In Field</x:v>
      </x:c>
      <x:c r="I819" s="37" t="n">
        <x:v>46190</x:v>
      </x:c>
      <x:c r="J819" s="37" t="n">
        <x:v>46190</x:v>
      </x:c>
      <x:c r="K819" s="19" t="str">
        <x:v>Regent RV - Perth</x:v>
      </x:c>
      <x:c r="L819" s="19" t="str">
        <x:v>Z006</x:v>
      </x:c>
      <x:c r="M819" s="19" t="str">
        <x:v>In Field Warranty Claims</x:v>
      </x:c>
      <x:c r="N819" s="37" t="n">
        <x:v>46174</x:v>
      </x:c>
      <x:c r="O819" s="37"/>
      <x:c r="P819" s="34" t="n">
        <x:v>0</x:v>
      </x:c>
      <x:c r="Q819" s="37" t="n">
        <x:v>46190.218125</x:v>
      </x:c>
    </x:row>
    <x:row r="820">
      <x:c r="A820" s="22" t="n">
        <x:v>35776</x:v>
      </x:c>
      <x:c r="B820" s="28" t="n">
        <x:v>67.5</x:v>
      </x:c>
      <x:c r="C820" s="28"/>
      <x:c r="D820" s="31" t="str">
        <x:f>IF(OR(ISBLANK(B820),ISBLANK(C820),B820=0),"",(C820-B820)/B820)</x:f>
      </x:c>
      <x:c r="E820" s="22" t="str">
        <x:f>IF(ISBLANK(C820),"AmountIncludingTax缺失",IF(ABS(B820-C820)&lt;0.005,"一致","不一致"))</x:f>
        <x:v>AmountIncludingTax缺失</x:v>
      </x:c>
      <x:c r="F820" s="19" t="str">
        <x:v>approved</x:v>
      </x:c>
      <x:c r="G820" s="19" t="str">
        <x:v>Repair in Progress</x:v>
      </x:c>
      <x:c r="H820" s="19" t="str">
        <x:v>In Field</x:v>
      </x:c>
      <x:c r="I820" s="37" t="n">
        <x:v>46176</x:v>
      </x:c>
      <x:c r="J820" s="37" t="n">
        <x:v>46176</x:v>
      </x:c>
      <x:c r="K820" s="19" t="str">
        <x:v>Green RV - Forest Glen</x:v>
      </x:c>
      <x:c r="L820" s="19" t="str">
        <x:v>Z006</x:v>
      </x:c>
      <x:c r="M820" s="19" t="str">
        <x:v>In Field Warranty Claims</x:v>
      </x:c>
      <x:c r="N820" s="37" t="n">
        <x:v>46175</x:v>
      </x:c>
      <x:c r="O820" s="37"/>
      <x:c r="P820" s="34" t="n">
        <x:v>0</x:v>
      </x:c>
      <x:c r="Q820" s="37" t="n">
        <x:v>46176.15267361111</x:v>
      </x:c>
    </x:row>
    <x:row r="821">
      <x:c r="A821" s="22" t="n">
        <x:v>35774</x:v>
      </x:c>
      <x:c r="B821" s="28" t="n">
        <x:v>300</x:v>
      </x:c>
      <x:c r="C821" s="28" t="n">
        <x:v>330</x:v>
      </x:c>
      <x:c r="D821" s="31" t="n">
        <x:f>IF(OR(ISBLANK(B821),ISBLANK(C821),B821=0),"",(C821-B821)/B821)</x:f>
        <x:v>0.1</x:v>
      </x:c>
      <x:c r="E821" s="22" t="str">
        <x:f>IF(ISBLANK(C821),"AmountIncludingTax缺失",IF(ABS(B821-C821)&lt;0.005,"一致","不一致"))</x:f>
        <x:v>不一致</x:v>
      </x:c>
      <x:c r="F821" s="19" t="str">
        <x:v>approved</x:v>
      </x:c>
      <x:c r="G821" s="19" t="str">
        <x:v>Repairer Invoiced Processed</x:v>
      </x:c>
      <x:c r="H821" s="19" t="str">
        <x:v>In Field</x:v>
      </x:c>
      <x:c r="I821" s="37" t="n">
        <x:v>46176</x:v>
      </x:c>
      <x:c r="J821" s="37" t="n">
        <x:v>46176</x:v>
      </x:c>
      <x:c r="K821" s="19" t="str">
        <x:v>Regent RV Pty Ltd</x:v>
      </x:c>
      <x:c r="L821" s="19" t="str">
        <x:v>Z006</x:v>
      </x:c>
      <x:c r="M821" s="19" t="str">
        <x:v>In Field Warranty Claims</x:v>
      </x:c>
      <x:c r="N821" s="37" t="n">
        <x:v>46175</x:v>
      </x:c>
      <x:c r="O821" s="37"/>
      <x:c r="P821" s="34" t="n">
        <x:v>330</x:v>
      </x:c>
      <x:c r="Q821" s="37" t="n">
        <x:v>46176.12490740741</x:v>
      </x:c>
    </x:row>
    <x:row r="822">
      <x:c r="A822" s="22" t="n">
        <x:v>35770</x:v>
      </x:c>
      <x:c r="B822" s="28" t="n">
        <x:v>1512.5</x:v>
      </x:c>
      <x:c r="C822" s="28"/>
      <x:c r="D822" s="31" t="str">
        <x:f>IF(OR(ISBLANK(B822),ISBLANK(C822),B822=0),"",(C822-B822)/B822)</x:f>
      </x:c>
      <x:c r="E822" s="22" t="str">
        <x:f>IF(ISBLANK(C822),"AmountIncludingTax缺失",IF(ABS(B822-C822)&lt;0.005,"一致","不一致"))</x:f>
        <x:v>AmountIncludingTax缺失</x:v>
      </x:c>
      <x:c r="F822" s="19" t="str">
        <x:v>approved</x:v>
      </x:c>
      <x:c r="G822" s="19" t="str">
        <x:v>Repair in Progress</x:v>
      </x:c>
      <x:c r="H822" s="19" t="str">
        <x:v>In Field</x:v>
      </x:c>
      <x:c r="I822" s="37" t="n">
        <x:v>46175</x:v>
      </x:c>
      <x:c r="J822" s="37" t="n">
        <x:v>46175</x:v>
      </x:c>
      <x:c r="K822" s="19" t="str">
        <x:v>Regent RV - Toowoomba</x:v>
      </x:c>
      <x:c r="L822" s="19" t="str">
        <x:v>Z006</x:v>
      </x:c>
      <x:c r="M822" s="19" t="str">
        <x:v>In Field Warranty Claims</x:v>
      </x:c>
      <x:c r="N822" s="37" t="n">
        <x:v>46174</x:v>
      </x:c>
      <x:c r="O822" s="37"/>
      <x:c r="P822" s="34" t="n">
        <x:v>0</x:v>
      </x:c>
      <x:c r="Q822" s="37" t="n">
        <x:v>46175.41991898148</x:v>
      </x:c>
    </x:row>
    <x:row r="823">
      <x:c r="A823" s="22" t="n">
        <x:v>35768</x:v>
      </x:c>
      <x:c r="B823" s="28" t="n">
        <x:v>337.5</x:v>
      </x:c>
      <x:c r="C823" s="28"/>
      <x:c r="D823" s="31" t="str">
        <x:f>IF(OR(ISBLANK(B823),ISBLANK(C823),B823=0),"",(C823-B823)/B823)</x:f>
      </x:c>
      <x:c r="E823" s="22" t="str">
        <x:f>IF(ISBLANK(C823),"AmountIncludingTax缺失",IF(ABS(B823-C823)&lt;0.005,"一致","不一致"))</x:f>
        <x:v>AmountIncludingTax缺失</x:v>
      </x:c>
      <x:c r="F823" s="19" t="str">
        <x:v>approved</x:v>
      </x:c>
      <x:c r="G823" s="19" t="str">
        <x:v>Repair in Progress</x:v>
      </x:c>
      <x:c r="H823" s="19" t="str">
        <x:v>In Field</x:v>
      </x:c>
      <x:c r="I823" s="37" t="n">
        <x:v>46176</x:v>
      </x:c>
      <x:c r="J823" s="37" t="n">
        <x:v>46176</x:v>
      </x:c>
      <x:c r="K823" s="19" t="str">
        <x:v>Dario Caravans -St.Marys</x:v>
      </x:c>
      <x:c r="L823" s="19" t="str">
        <x:v>Z006</x:v>
      </x:c>
      <x:c r="M823" s="19" t="str">
        <x:v>In Field Warranty Claims</x:v>
      </x:c>
      <x:c r="N823" s="37" t="n">
        <x:v>46174</x:v>
      </x:c>
      <x:c r="O823" s="37"/>
      <x:c r="P823" s="34" t="n">
        <x:v>0</x:v>
      </x:c>
      <x:c r="Q823" s="37" t="n">
        <x:v>46176.04630787037</x:v>
      </x:c>
    </x:row>
    <x:row r="824">
      <x:c r="A824" s="22" t="n">
        <x:v>35767</x:v>
      </x:c>
      <x:c r="B824" s="28" t="n">
        <x:v>45</x:v>
      </x:c>
      <x:c r="C824" s="28"/>
      <x:c r="D824" s="31" t="str">
        <x:f>IF(OR(ISBLANK(B824),ISBLANK(C824),B824=0),"",(C824-B824)/B824)</x:f>
      </x:c>
      <x:c r="E824" s="22" t="str">
        <x:f>IF(ISBLANK(C824),"AmountIncludingTax缺失",IF(ABS(B824-C824)&lt;0.005,"一致","不一致"))</x:f>
        <x:v>AmountIncludingTax缺失</x:v>
      </x:c>
      <x:c r="F824" s="19" t="str">
        <x:v>approved</x:v>
      </x:c>
      <x:c r="G824" s="19" t="str">
        <x:v>Repairer Invoiced Processed</x:v>
      </x:c>
      <x:c r="H824" s="19" t="str">
        <x:v>In Field</x:v>
      </x:c>
      <x:c r="I824" s="37" t="n">
        <x:v>46175</x:v>
      </x:c>
      <x:c r="J824" s="37" t="n">
        <x:v>46175</x:v>
      </x:c>
      <x:c r="K824" s="19" t="str">
        <x:v>Regent RV - Toowoomba</x:v>
      </x:c>
      <x:c r="L824" s="19" t="str">
        <x:v>Z006</x:v>
      </x:c>
      <x:c r="M824" s="19" t="str">
        <x:v>In Field Warranty Claims</x:v>
      </x:c>
      <x:c r="N824" s="37" t="n">
        <x:v>46174</x:v>
      </x:c>
      <x:c r="O824" s="37"/>
      <x:c r="P824" s="34" t="n">
        <x:v>0</x:v>
      </x:c>
      <x:c r="Q824" s="37" t="n">
        <x:v>46175.174212962964</x:v>
      </x:c>
    </x:row>
    <x:row r="825">
      <x:c r="A825" s="22" t="n">
        <x:v>35766</x:v>
      </x:c>
      <x:c r="B825" s="28" t="n">
        <x:v>135</x:v>
      </x:c>
      <x:c r="C825" s="28"/>
      <x:c r="D825" s="31" t="str">
        <x:f>IF(OR(ISBLANK(B825),ISBLANK(C825),B825=0),"",(C825-B825)/B825)</x:f>
      </x:c>
      <x:c r="E825" s="22" t="str">
        <x:f>IF(ISBLANK(C825),"AmountIncludingTax缺失",IF(ABS(B825-C825)&lt;0.005,"一致","不一致"))</x:f>
        <x:v>AmountIncludingTax缺失</x:v>
      </x:c>
      <x:c r="F825" s="19" t="str">
        <x:v>approved</x:v>
      </x:c>
      <x:c r="G825" s="19" t="str">
        <x:v>Repair in Progress</x:v>
      </x:c>
      <x:c r="H825" s="19" t="str">
        <x:v>In Field</x:v>
      </x:c>
      <x:c r="I825" s="37" t="n">
        <x:v>46176</x:v>
      </x:c>
      <x:c r="J825" s="37" t="n">
        <x:v>46176</x:v>
      </x:c>
      <x:c r="K825" s="19" t="str">
        <x:v>QCCC - Gympie</x:v>
      </x:c>
      <x:c r="L825" s="19" t="str">
        <x:v>Z006</x:v>
      </x:c>
      <x:c r="M825" s="19" t="str">
        <x:v>In Field Warranty Claims</x:v>
      </x:c>
      <x:c r="N825" s="37" t="n">
        <x:v>46174</x:v>
      </x:c>
      <x:c r="O825" s="37"/>
      <x:c r="P825" s="34" t="n">
        <x:v>0</x:v>
      </x:c>
      <x:c r="Q825" s="37" t="n">
        <x:v>46175.89188657407</x:v>
      </x:c>
    </x:row>
    <x:row r="826">
      <x:c r="A826" s="22" t="n">
        <x:v>35765</x:v>
      </x:c>
      <x:c r="B826" s="28" t="n">
        <x:v>67.5</x:v>
      </x:c>
      <x:c r="C826" s="28"/>
      <x:c r="D826" s="31" t="str">
        <x:f>IF(OR(ISBLANK(B826),ISBLANK(C826),B826=0),"",(C826-B826)/B826)</x:f>
      </x:c>
      <x:c r="E826" s="22" t="str">
        <x:f>IF(ISBLANK(C826),"AmountIncludingTax缺失",IF(ABS(B826-C826)&lt;0.005,"一致","不一致"))</x:f>
        <x:v>AmountIncludingTax缺失</x:v>
      </x:c>
      <x:c r="F826" s="19" t="str">
        <x:v>approved</x:v>
      </x:c>
      <x:c r="G826" s="19" t="str">
        <x:v>Repairer Invoiced Processed</x:v>
      </x:c>
      <x:c r="H826" s="19" t="str">
        <x:v>In Field</x:v>
      </x:c>
      <x:c r="I826" s="37" t="n">
        <x:v>46175</x:v>
      </x:c>
      <x:c r="J826" s="37" t="n">
        <x:v>46175</x:v>
      </x:c>
      <x:c r="K826" s="19" t="str">
        <x:v>Green RV - Forest Glen</x:v>
      </x:c>
      <x:c r="L826" s="19" t="str">
        <x:v>Z006</x:v>
      </x:c>
      <x:c r="M826" s="19" t="str">
        <x:v>In Field Warranty Claims</x:v>
      </x:c>
      <x:c r="N826" s="37" t="n">
        <x:v>46174</x:v>
      </x:c>
      <x:c r="O826" s="37"/>
      <x:c r="P826" s="34" t="n">
        <x:v>0</x:v>
      </x:c>
      <x:c r="Q826" s="37" t="n">
        <x:v>46175.079050925924</x:v>
      </x:c>
    </x:row>
    <x:row r="827">
      <x:c r="A827" s="22" t="n">
        <x:v>35764</x:v>
      </x:c>
      <x:c r="B827" s="28" t="n">
        <x:v>415</x:v>
      </x:c>
      <x:c r="C827" s="28"/>
      <x:c r="D827" s="31" t="str">
        <x:f>IF(OR(ISBLANK(B827),ISBLANK(C827),B827=0),"",(C827-B827)/B827)</x:f>
      </x:c>
      <x:c r="E827" s="22" t="str">
        <x:f>IF(ISBLANK(C827),"AmountIncludingTax缺失",IF(ABS(B827-C827)&lt;0.005,"一致","不一致"))</x:f>
        <x:v>AmountIncludingTax缺失</x:v>
      </x:c>
      <x:c r="F827" s="19" t="str">
        <x:v>approved</x:v>
      </x:c>
      <x:c r="G827" s="19" t="str">
        <x:v>Repairer Invoiced Processed</x:v>
      </x:c>
      <x:c r="H827" s="19" t="str">
        <x:v>In Field</x:v>
      </x:c>
      <x:c r="I827" s="37" t="n">
        <x:v>46175</x:v>
      </x:c>
      <x:c r="J827" s="37" t="n">
        <x:v>46175</x:v>
      </x:c>
      <x:c r="K827" s="19" t="str">
        <x:v>Regent RV - Toowoomba</x:v>
      </x:c>
      <x:c r="L827" s="19" t="str">
        <x:v>Z006</x:v>
      </x:c>
      <x:c r="M827" s="19" t="str">
        <x:v>In Field Warranty Claims</x:v>
      </x:c>
      <x:c r="N827" s="37" t="n">
        <x:v>46174</x:v>
      </x:c>
      <x:c r="O827" s="37"/>
      <x:c r="P827" s="34" t="n">
        <x:v>0</x:v>
      </x:c>
      <x:c r="Q827" s="37" t="n">
        <x:v>46175.184525462966</x:v>
      </x:c>
    </x:row>
    <x:row r="828">
      <x:c r="A828" s="22" t="n">
        <x:v>35763</x:v>
      </x:c>
      <x:c r="B828" s="28" t="n">
        <x:v>135</x:v>
      </x:c>
      <x:c r="C828" s="28"/>
      <x:c r="D828" s="31" t="str">
        <x:f>IF(OR(ISBLANK(B828),ISBLANK(C828),B828=0),"",(C828-B828)/B828)</x:f>
      </x:c>
      <x:c r="E828" s="22" t="str">
        <x:f>IF(ISBLANK(C828),"AmountIncludingTax缺失",IF(ABS(B828-C828)&lt;0.005,"一致","不一致"))</x:f>
        <x:v>AmountIncludingTax缺失</x:v>
      </x:c>
      <x:c r="F828" s="19" t="str">
        <x:v>approved</x:v>
      </x:c>
      <x:c r="G828" s="19" t="str">
        <x:v>Sales Order Approved</x:v>
      </x:c>
      <x:c r="H828" s="19" t="str">
        <x:v>In Field</x:v>
      </x:c>
      <x:c r="I828" s="37" t="n">
        <x:v>46175</x:v>
      </x:c>
      <x:c r="J828" s="37" t="n">
        <x:v>46175</x:v>
      </x:c>
      <x:c r="K828" s="19" t="str">
        <x:v>Regent RV - Toowoomba</x:v>
      </x:c>
      <x:c r="L828" s="19" t="str">
        <x:v>Z006</x:v>
      </x:c>
      <x:c r="M828" s="19" t="str">
        <x:v>In Field Warranty Claims</x:v>
      </x:c>
      <x:c r="N828" s="37" t="n">
        <x:v>46173</x:v>
      </x:c>
      <x:c r="O828" s="37"/>
      <x:c r="P828" s="34" t="n">
        <x:v>0</x:v>
      </x:c>
      <x:c r="Q828" s="37" t="n">
        <x:v>46175.188472222224</x:v>
      </x:c>
    </x:row>
    <x:row r="829">
      <x:c r="A829" s="22" t="n">
        <x:v>35762</x:v>
      </x:c>
      <x:c r="B829" s="28" t="n">
        <x:v>1353.75</x:v>
      </x:c>
      <x:c r="C829" s="28"/>
      <x:c r="D829" s="31" t="str">
        <x:f>IF(OR(ISBLANK(B829),ISBLANK(C829),B829=0),"",(C829-B829)/B829)</x:f>
      </x:c>
      <x:c r="E829" s="22" t="str">
        <x:f>IF(ISBLANK(C829),"AmountIncludingTax缺失",IF(ABS(B829-C829)&lt;0.005,"一致","不一致"))</x:f>
        <x:v>AmountIncludingTax缺失</x:v>
      </x:c>
      <x:c r="F829" s="19" t="str">
        <x:v>approved</x:v>
      </x:c>
      <x:c r="G829" s="19" t="str">
        <x:v>Repair in Progress</x:v>
      </x:c>
      <x:c r="H829" s="19" t="str">
        <x:v>In Field</x:v>
      </x:c>
      <x:c r="I829" s="37" t="n">
        <x:v>46183</x:v>
      </x:c>
      <x:c r="J829" s="37" t="n">
        <x:v>46183</x:v>
      </x:c>
      <x:c r="K829" s="19" t="str">
        <x:v>Regent RV - Toowoomba</x:v>
      </x:c>
      <x:c r="L829" s="19" t="str">
        <x:v>Z006</x:v>
      </x:c>
      <x:c r="M829" s="19" t="str">
        <x:v>In Field Warranty Claims</x:v>
      </x:c>
      <x:c r="N829" s="37" t="n">
        <x:v>46173</x:v>
      </x:c>
      <x:c r="O829" s="37"/>
      <x:c r="P829" s="34" t="n">
        <x:v>0</x:v>
      </x:c>
      <x:c r="Q829" s="37" t="n">
        <x:v>46183.16</x:v>
      </x:c>
    </x:row>
    <x:row r="830">
      <x:c r="A830" s="22" t="n">
        <x:v>35759</x:v>
      </x:c>
      <x:c r="B830" s="28" t="n">
        <x:v>145</x:v>
      </x:c>
      <x:c r="C830" s="28"/>
      <x:c r="D830" s="31" t="str">
        <x:f>IF(OR(ISBLANK(B830),ISBLANK(C830),B830=0),"",(C830-B830)/B830)</x:f>
      </x:c>
      <x:c r="E830" s="22" t="str">
        <x:f>IF(ISBLANK(C830),"AmountIncludingTax缺失",IF(ABS(B830-C830)&lt;0.005,"一致","不一致"))</x:f>
        <x:v>AmountIncludingTax缺失</x:v>
      </x:c>
      <x:c r="F830" s="19" t="str">
        <x:v>approved</x:v>
      </x:c>
      <x:c r="G830" s="19" t="str">
        <x:v>Repairer Invoiced Processed</x:v>
      </x:c>
      <x:c r="H830" s="19" t="str">
        <x:v>In Field</x:v>
      </x:c>
      <x:c r="I830" s="37" t="n">
        <x:v>46175</x:v>
      </x:c>
      <x:c r="J830" s="37" t="n">
        <x:v>46175</x:v>
      </x:c>
      <x:c r="K830" s="19" t="str">
        <x:v>Green RV - Slacks Creek</x:v>
      </x:c>
      <x:c r="L830" s="19" t="str">
        <x:v>Z006</x:v>
      </x:c>
      <x:c r="M830" s="19" t="str">
        <x:v>In Field Warranty Claims</x:v>
      </x:c>
      <x:c r="N830" s="37" t="n">
        <x:v>46174</x:v>
      </x:c>
      <x:c r="O830" s="37"/>
      <x:c r="P830" s="34" t="n">
        <x:v>0</x:v>
      </x:c>
      <x:c r="Q830" s="37" t="n">
        <x:v>46175.17040509259</x:v>
      </x:c>
    </x:row>
    <x:row r="831">
      <x:c r="A831" s="22" t="n">
        <x:v>35758</x:v>
      </x:c>
      <x:c r="B831" s="28" t="n">
        <x:v>647.5</x:v>
      </x:c>
      <x:c r="C831" s="28"/>
      <x:c r="D831" s="31" t="str">
        <x:f>IF(OR(ISBLANK(B831),ISBLANK(C831),B831=0),"",(C831-B831)/B831)</x:f>
      </x:c>
      <x:c r="E831" s="22" t="str">
        <x:f>IF(ISBLANK(C831),"AmountIncludingTax缺失",IF(ABS(B831-C831)&lt;0.005,"一致","不一致"))</x:f>
        <x:v>AmountIncludingTax缺失</x:v>
      </x:c>
      <x:c r="F831" s="19" t="str">
        <x:v>approved</x:v>
      </x:c>
      <x:c r="G831" s="19" t="str">
        <x:v>Repair in Progress</x:v>
      </x:c>
      <x:c r="H831" s="19" t="str">
        <x:v>In Field</x:v>
      </x:c>
      <x:c r="I831" s="37" t="n">
        <x:v>46175</x:v>
      </x:c>
      <x:c r="J831" s="37" t="n">
        <x:v>46175</x:v>
      </x:c>
      <x:c r="K831" s="19" t="str">
        <x:v>Green RV - Forest Glen</x:v>
      </x:c>
      <x:c r="L831" s="19" t="str">
        <x:v>Z006</x:v>
      </x:c>
      <x:c r="M831" s="19" t="str">
        <x:v>In Field Warranty Claims</x:v>
      </x:c>
      <x:c r="N831" s="37" t="n">
        <x:v>46174</x:v>
      </x:c>
      <x:c r="O831" s="37"/>
      <x:c r="P831" s="34" t="n">
        <x:v>0</x:v>
      </x:c>
      <x:c r="Q831" s="37" t="n">
        <x:v>46175.420636574076</x:v>
      </x:c>
    </x:row>
    <x:row r="832">
      <x:c r="A832" s="22" t="n">
        <x:v>35756</x:v>
      </x:c>
      <x:c r="B832" s="28" t="n">
        <x:v>202.5</x:v>
      </x:c>
      <x:c r="C832" s="28"/>
      <x:c r="D832" s="31" t="str">
        <x:f>IF(OR(ISBLANK(B832),ISBLANK(C832),B832=0),"",(C832-B832)/B832)</x:f>
      </x:c>
      <x:c r="E832" s="22" t="str">
        <x:f>IF(ISBLANK(C832),"AmountIncludingTax缺失",IF(ABS(B832-C832)&lt;0.005,"一致","不一致"))</x:f>
        <x:v>AmountIncludingTax缺失</x:v>
      </x:c>
      <x:c r="F832" s="19" t="str">
        <x:v>approved</x:v>
      </x:c>
      <x:c r="G832" s="19" t="str">
        <x:v>Repair in Progress</x:v>
      </x:c>
      <x:c r="H832" s="19" t="str">
        <x:v>In Field</x:v>
      </x:c>
      <x:c r="I832" s="37" t="n">
        <x:v>46175</x:v>
      </x:c>
      <x:c r="J832" s="37" t="n">
        <x:v>46175</x:v>
      </x:c>
      <x:c r="K832" s="19" t="str">
        <x:v>Regent RV - Toowoomba</x:v>
      </x:c>
      <x:c r="L832" s="19" t="str">
        <x:v>Z006</x:v>
      </x:c>
      <x:c r="M832" s="19" t="str">
        <x:v>In Field Warranty Claims</x:v>
      </x:c>
      <x:c r="N832" s="37" t="n">
        <x:v>46174</x:v>
      </x:c>
      <x:c r="O832" s="37"/>
      <x:c r="P832" s="34" t="n">
        <x:v>0</x:v>
      </x:c>
      <x:c r="Q832" s="37" t="n">
        <x:v>46175.17773148148</x:v>
      </x:c>
    </x:row>
    <x:row r="833">
      <x:c r="A833" s="22" t="n">
        <x:v>35755</x:v>
      </x:c>
      <x:c r="B833" s="28" t="n">
        <x:v>222.5</x:v>
      </x:c>
      <x:c r="C833" s="28"/>
      <x:c r="D833" s="31" t="str">
        <x:f>IF(OR(ISBLANK(B833),ISBLANK(C833),B833=0),"",(C833-B833)/B833)</x:f>
      </x:c>
      <x:c r="E833" s="22" t="str">
        <x:f>IF(ISBLANK(C833),"AmountIncludingTax缺失",IF(ABS(B833-C833)&lt;0.005,"一致","不一致"))</x:f>
        <x:v>AmountIncludingTax缺失</x:v>
      </x:c>
      <x:c r="F833" s="19" t="str">
        <x:v>approved</x:v>
      </x:c>
      <x:c r="G833" s="19" t="str">
        <x:v>Repair in Progress</x:v>
      </x:c>
      <x:c r="H833" s="19" t="str">
        <x:v>In Field</x:v>
      </x:c>
      <x:c r="I833" s="37" t="n">
        <x:v>46174</x:v>
      </x:c>
      <x:c r="J833" s="37" t="n">
        <x:v>46174</x:v>
      </x:c>
      <x:c r="K833" s="19" t="str">
        <x:v>Green RV - Forest Glen</x:v>
      </x:c>
      <x:c r="L833" s="19" t="str">
        <x:v>Z006</x:v>
      </x:c>
      <x:c r="M833" s="19" t="str">
        <x:v>In Field Warranty Claims</x:v>
      </x:c>
      <x:c r="N833" s="37" t="n">
        <x:v>46174</x:v>
      </x:c>
      <x:c r="O833" s="37"/>
      <x:c r="P833" s="34" t="n">
        <x:v>0</x:v>
      </x:c>
      <x:c r="Q833" s="37" t="n">
        <x:v>46174.199525462966</x:v>
      </x:c>
    </x:row>
    <x:row r="834">
      <x:c r="A834" s="22" t="n">
        <x:v>35754</x:v>
      </x:c>
      <x:c r="B834" s="28" t="n">
        <x:v>2137.5</x:v>
      </x:c>
      <x:c r="C834" s="28"/>
      <x:c r="D834" s="31" t="str">
        <x:f>IF(OR(ISBLANK(B834),ISBLANK(C834),B834=0),"",(C834-B834)/B834)</x:f>
      </x:c>
      <x:c r="E834" s="22" t="str">
        <x:f>IF(ISBLANK(C834),"AmountIncludingTax缺失",IF(ABS(B834-C834)&lt;0.005,"一致","不一致"))</x:f>
        <x:v>AmountIncludingTax缺失</x:v>
      </x:c>
      <x:c r="F834" s="19" t="str">
        <x:v>approved</x:v>
      </x:c>
      <x:c r="G834" s="19" t="str">
        <x:v>Partially Picked</x:v>
      </x:c>
      <x:c r="H834" s="19" t="str">
        <x:v>In Field</x:v>
      </x:c>
      <x:c r="I834" s="37" t="n">
        <x:v>46174</x:v>
      </x:c>
      <x:c r="J834" s="37" t="n">
        <x:v>46174</x:v>
      </x:c>
      <x:c r="K834" s="19" t="str">
        <x:v>Green RV - Forest Glen</x:v>
      </x:c>
      <x:c r="L834" s="19" t="str">
        <x:v>Z006</x:v>
      </x:c>
      <x:c r="M834" s="19" t="str">
        <x:v>In Field Warranty Claims</x:v>
      </x:c>
      <x:c r="N834" s="37" t="n">
        <x:v>46174</x:v>
      </x:c>
      <x:c r="O834" s="37"/>
      <x:c r="P834" s="34" t="n">
        <x:v>0</x:v>
      </x:c>
      <x:c r="Q834" s="37" t="n">
        <x:v>46174.18644675926</x:v>
      </x:c>
    </x:row>
    <x:row r="835">
      <x:c r="A835" s="22" t="n">
        <x:v>35752</x:v>
      </x:c>
      <x:c r="B835" s="28" t="n">
        <x:v>381.82</x:v>
      </x:c>
      <x:c r="C835" s="28" t="n">
        <x:v>420</x:v>
      </x:c>
      <x:c r="D835" s="31" t="n">
        <x:f>IF(OR(ISBLANK(B835),ISBLANK(C835),B835=0),"",(C835-B835)/B835)</x:f>
        <x:v>0.09999476192970512</x:v>
      </x:c>
      <x:c r="E835" s="22" t="str">
        <x:f>IF(ISBLANK(C835),"AmountIncludingTax缺失",IF(ABS(B835-C835)&lt;0.005,"一致","不一致"))</x:f>
        <x:v>不一致</x:v>
      </x:c>
      <x:c r="F835" s="19" t="str">
        <x:v>approved</x:v>
      </x:c>
      <x:c r="G835" s="19" t="str">
        <x:v>Repairer Invoiced Processed</x:v>
      </x:c>
      <x:c r="H835" s="19" t="str">
        <x:v>In Field</x:v>
      </x:c>
      <x:c r="I835" s="37" t="n">
        <x:v>46174</x:v>
      </x:c>
      <x:c r="J835" s="37" t="n">
        <x:v>46174</x:v>
      </x:c>
      <x:c r="K835" s="19" t="str">
        <x:v>Green RV - Forest Glen</x:v>
      </x:c>
      <x:c r="L835" s="19" t="str">
        <x:v>Z006</x:v>
      </x:c>
      <x:c r="M835" s="19" t="str">
        <x:v>In Field Warranty Claims</x:v>
      </x:c>
      <x:c r="N835" s="37" t="n">
        <x:v>46171</x:v>
      </x:c>
      <x:c r="O835" s="37"/>
      <x:c r="P835" s="34" t="n">
        <x:v>420</x:v>
      </x:c>
      <x:c r="Q835" s="37" t="n">
        <x:v>46173.922685185185</x:v>
      </x:c>
    </x:row>
    <x:row r="836">
      <x:c r="A836" s="22" t="n">
        <x:v>35747</x:v>
      </x:c>
      <x:c r="B836" s="28" t="n">
        <x:v>549</x:v>
      </x:c>
      <x:c r="C836" s="28"/>
      <x:c r="D836" s="31" t="str">
        <x:f>IF(OR(ISBLANK(B836),ISBLANK(C836),B836=0),"",(C836-B836)/B836)</x:f>
      </x:c>
      <x:c r="E836" s="22" t="str">
        <x:f>IF(ISBLANK(C836),"AmountIncludingTax缺失",IF(ABS(B836-C836)&lt;0.005,"一致","不一致"))</x:f>
        <x:v>AmountIncludingTax缺失</x:v>
      </x:c>
      <x:c r="F836" s="19" t="str">
        <x:v>approved</x:v>
      </x:c>
      <x:c r="G836" s="19" t="str">
        <x:v>Repair in Progress</x:v>
      </x:c>
      <x:c r="H836" s="19" t="str">
        <x:v>In Field</x:v>
      </x:c>
      <x:c r="I836" s="37" t="n">
        <x:v>46174</x:v>
      </x:c>
      <x:c r="J836" s="37" t="n">
        <x:v>46174</x:v>
      </x:c>
      <x:c r="K836" s="19" t="str">
        <x:v>Auswide Caravans - South Nowra</x:v>
      </x:c>
      <x:c r="L836" s="19" t="str">
        <x:v>Z006</x:v>
      </x:c>
      <x:c r="M836" s="19" t="str">
        <x:v>In Field Warranty Claims</x:v>
      </x:c>
      <x:c r="N836" s="37" t="n">
        <x:v>46171</x:v>
      </x:c>
      <x:c r="O836" s="37"/>
      <x:c r="P836" s="34" t="n">
        <x:v>0</x:v>
      </x:c>
      <x:c r="Q836" s="37" t="n">
        <x:v>46173.94201388889</x:v>
      </x:c>
    </x:row>
    <x:row r="837">
      <x:c r="A837" s="22" t="n">
        <x:v>35740</x:v>
      </x:c>
      <x:c r="B837" s="28" t="n">
        <x:v>792.5</x:v>
      </x:c>
      <x:c r="C837" s="28"/>
      <x:c r="D837" s="31" t="str">
        <x:f>IF(OR(ISBLANK(B837),ISBLANK(C837),B837=0),"",(C837-B837)/B837)</x:f>
      </x:c>
      <x:c r="E837" s="22" t="str">
        <x:f>IF(ISBLANK(C837),"AmountIncludingTax缺失",IF(ABS(B837-C837)&lt;0.005,"一致","不一致"))</x:f>
        <x:v>AmountIncludingTax缺失</x:v>
      </x:c>
      <x:c r="F837" s="19" t="str">
        <x:v>approved</x:v>
      </x:c>
      <x:c r="G837" s="19" t="str">
        <x:v>Repair in Progress</x:v>
      </x:c>
      <x:c r="H837" s="19" t="str">
        <x:v>In Field</x:v>
      </x:c>
      <x:c r="I837" s="37" t="n">
        <x:v>46174</x:v>
      </x:c>
      <x:c r="J837" s="37" t="n">
        <x:v>46174</x:v>
      </x:c>
      <x:c r="K837" s="19" t="str">
        <x:v>Regent RV - Perth</x:v>
      </x:c>
      <x:c r="L837" s="19" t="str">
        <x:v>Z006</x:v>
      </x:c>
      <x:c r="M837" s="19" t="str">
        <x:v>In Field Warranty Claims</x:v>
      </x:c>
      <x:c r="N837" s="37" t="n">
        <x:v>46171</x:v>
      </x:c>
      <x:c r="O837" s="37"/>
      <x:c r="P837" s="34" t="n">
        <x:v>0</x:v>
      </x:c>
      <x:c r="Q837" s="37" t="n">
        <x:v>46174.18523148148</x:v>
      </x:c>
    </x:row>
    <x:row r="838">
      <x:c r="A838" s="22" t="n">
        <x:v>35739</x:v>
      </x:c>
      <x:c r="B838" s="28" t="n">
        <x:v>202.5</x:v>
      </x:c>
      <x:c r="C838" s="28" t="n">
        <x:v>222.75</x:v>
      </x:c>
      <x:c r="D838" s="31" t="n">
        <x:f>IF(OR(ISBLANK(B838),ISBLANK(C838),B838=0),"",(C838-B838)/B838)</x:f>
        <x:v>0.1</x:v>
      </x:c>
      <x:c r="E838" s="22" t="str">
        <x:f>IF(ISBLANK(C838),"AmountIncludingTax缺失",IF(ABS(B838-C838)&lt;0.005,"一致","不一致"))</x:f>
        <x:v>不一致</x:v>
      </x:c>
      <x:c r="F838" s="19" t="str">
        <x:v>approved</x:v>
      </x:c>
      <x:c r="G838" s="19" t="str">
        <x:v>Repair in Progress</x:v>
      </x:c>
      <x:c r="H838" s="19" t="str">
        <x:v>In Field</x:v>
      </x:c>
      <x:c r="I838" s="37" t="n">
        <x:v>46174</x:v>
      </x:c>
      <x:c r="J838" s="37" t="n">
        <x:v>46174</x:v>
      </x:c>
      <x:c r="K838" s="19" t="str">
        <x:v>Regent RV - Perth</x:v>
      </x:c>
      <x:c r="L838" s="19" t="str">
        <x:v>Z006</x:v>
      </x:c>
      <x:c r="M838" s="19" t="str">
        <x:v>In Field Warranty Claims</x:v>
      </x:c>
      <x:c r="N838" s="37" t="n">
        <x:v>46171</x:v>
      </x:c>
      <x:c r="O838" s="37"/>
      <x:c r="P838" s="34" t="n">
        <x:v>222.75</x:v>
      </x:c>
      <x:c r="Q838" s="37" t="n">
        <x:v>46174.133738425924</x:v>
      </x:c>
    </x:row>
    <x:row r="839">
      <x:c r="A839" s="22" t="n">
        <x:v>35738</x:v>
      </x:c>
      <x:c r="B839" s="28" t="n">
        <x:v>1080</x:v>
      </x:c>
      <x:c r="C839" s="28"/>
      <x:c r="D839" s="31" t="str">
        <x:f>IF(OR(ISBLANK(B839),ISBLANK(C839),B839=0),"",(C839-B839)/B839)</x:f>
      </x:c>
      <x:c r="E839" s="22" t="str">
        <x:f>IF(ISBLANK(C839),"AmountIncludingTax缺失",IF(ABS(B839-C839)&lt;0.005,"一致","不一致"))</x:f>
        <x:v>AmountIncludingTax缺失</x:v>
      </x:c>
      <x:c r="F839" s="19" t="str">
        <x:v>approved</x:v>
      </x:c>
      <x:c r="G839" s="19" t="str">
        <x:v>Repairer Invoiced Processed</x:v>
      </x:c>
      <x:c r="H839" s="19" t="str">
        <x:v>In Field</x:v>
      </x:c>
      <x:c r="I839" s="37" t="n">
        <x:v>46187</x:v>
      </x:c>
      <x:c r="J839" s="37" t="n">
        <x:v>46187</x:v>
      </x:c>
      <x:c r="K839" s="19" t="str">
        <x:v>Newcastle RV Super Centre - Beresfield</x:v>
      </x:c>
      <x:c r="L839" s="19" t="str">
        <x:v>Z006</x:v>
      </x:c>
      <x:c r="M839" s="19" t="str">
        <x:v>In Field Warranty Claims</x:v>
      </x:c>
      <x:c r="N839" s="37" t="n">
        <x:v>46171</x:v>
      </x:c>
      <x:c r="O839" s="37"/>
      <x:c r="P839" s="34" t="n">
        <x:v>0</x:v>
      </x:c>
      <x:c r="Q839" s="37" t="n">
        <x:v>46187.47232638889</x:v>
      </x:c>
    </x:row>
    <x:row r="840">
      <x:c r="A840" s="22" t="n">
        <x:v>35736</x:v>
      </x:c>
      <x:c r="B840" s="28" t="n">
        <x:v>67.5</x:v>
      </x:c>
      <x:c r="C840" s="28"/>
      <x:c r="D840" s="31" t="str">
        <x:f>IF(OR(ISBLANK(B840),ISBLANK(C840),B840=0),"",(C840-B840)/B840)</x:f>
      </x:c>
      <x:c r="E840" s="22" t="str">
        <x:f>IF(ISBLANK(C840),"AmountIncludingTax缺失",IF(ABS(B840-C840)&lt;0.005,"一致","不一致"))</x:f>
        <x:v>AmountIncludingTax缺失</x:v>
      </x:c>
      <x:c r="F840" s="19" t="str">
        <x:v>approved</x:v>
      </x:c>
      <x:c r="G840" s="19" t="str">
        <x:v>Repair in Progress</x:v>
      </x:c>
      <x:c r="H840" s="19" t="str">
        <x:v>In Field</x:v>
      </x:c>
      <x:c r="I840" s="37" t="n">
        <x:v>46174</x:v>
      </x:c>
      <x:c r="J840" s="37" t="n">
        <x:v>46174</x:v>
      </x:c>
      <x:c r="K840" s="19" t="str">
        <x:v>Regent RV - Toowoomba</x:v>
      </x:c>
      <x:c r="L840" s="19" t="str">
        <x:v>Z006</x:v>
      </x:c>
      <x:c r="M840" s="19" t="str">
        <x:v>In Field Warranty Claims</x:v>
      </x:c>
      <x:c r="N840" s="37" t="n">
        <x:v>46171</x:v>
      </x:c>
      <x:c r="O840" s="37"/>
      <x:c r="P840" s="34" t="n">
        <x:v>0</x:v>
      </x:c>
      <x:c r="Q840" s="37" t="n">
        <x:v>46173.910416666666</x:v>
      </x:c>
    </x:row>
    <x:row r="841">
      <x:c r="A841" s="22" t="n">
        <x:v>35735</x:v>
      </x:c>
      <x:c r="B841" s="28" t="n">
        <x:v>1342.5</x:v>
      </x:c>
      <x:c r="C841" s="28"/>
      <x:c r="D841" s="31" t="str">
        <x:f>IF(OR(ISBLANK(B841),ISBLANK(C841),B841=0),"",(C841-B841)/B841)</x:f>
      </x:c>
      <x:c r="E841" s="22" t="str">
        <x:f>IF(ISBLANK(C841),"AmountIncludingTax缺失",IF(ABS(B841-C841)&lt;0.005,"一致","不一致"))</x:f>
        <x:v>AmountIncludingTax缺失</x:v>
      </x:c>
      <x:c r="F841" s="19" t="str">
        <x:v>approved</x:v>
      </x:c>
      <x:c r="G841" s="19" t="str">
        <x:v>Repair in Progress</x:v>
      </x:c>
      <x:c r="H841" s="19" t="str">
        <x:v>In Field</x:v>
      </x:c>
      <x:c r="I841" s="37" t="n">
        <x:v>46183</x:v>
      </x:c>
      <x:c r="J841" s="37" t="n">
        <x:v>46183</x:v>
      </x:c>
      <x:c r="K841" s="19" t="str">
        <x:v>Snowy River Wangaratta</x:v>
      </x:c>
      <x:c r="L841" s="19" t="str">
        <x:v>Z006</x:v>
      </x:c>
      <x:c r="M841" s="19" t="str">
        <x:v>In Field Warranty Claims</x:v>
      </x:c>
      <x:c r="N841" s="37" t="n">
        <x:v>46171</x:v>
      </x:c>
      <x:c r="O841" s="37"/>
      <x:c r="P841" s="34" t="n">
        <x:v>0</x:v>
      </x:c>
      <x:c r="Q841" s="37" t="n">
        <x:v>46183.164131944446</x:v>
      </x:c>
    </x:row>
    <x:row r="842">
      <x:c r="A842" s="22" t="n">
        <x:v>35732</x:v>
      </x:c>
      <x:c r="B842" s="28" t="n">
        <x:v>173.75</x:v>
      </x:c>
      <x:c r="C842" s="28"/>
      <x:c r="D842" s="31" t="str">
        <x:f>IF(OR(ISBLANK(B842),ISBLANK(C842),B842=0),"",(C842-B842)/B842)</x:f>
      </x:c>
      <x:c r="E842" s="22" t="str">
        <x:f>IF(ISBLANK(C842),"AmountIncludingTax缺失",IF(ABS(B842-C842)&lt;0.005,"一致","不一致"))</x:f>
        <x:v>AmountIncludingTax缺失</x:v>
      </x:c>
      <x:c r="F842" s="19" t="str">
        <x:v>approved</x:v>
      </x:c>
      <x:c r="G842" s="19" t="str">
        <x:v>Repairer Invoiced Processed</x:v>
      </x:c>
      <x:c r="H842" s="19" t="str">
        <x:v>In Field</x:v>
      </x:c>
      <x:c r="I842" s="37" t="n">
        <x:v>46184</x:v>
      </x:c>
      <x:c r="J842" s="37" t="n">
        <x:v>46184</x:v>
      </x:c>
      <x:c r="K842" s="19" t="str">
        <x:v>Regent RV - Perth</x:v>
      </x:c>
      <x:c r="L842" s="19" t="str">
        <x:v>Z006</x:v>
      </x:c>
      <x:c r="M842" s="19" t="str">
        <x:v>In Field Warranty Claims</x:v>
      </x:c>
      <x:c r="N842" s="37" t="n">
        <x:v>46171</x:v>
      </x:c>
      <x:c r="O842" s="37"/>
      <x:c r="P842" s="34" t="n">
        <x:v>0</x:v>
      </x:c>
      <x:c r="Q842" s="37" t="n">
        <x:v>46184.2221875</x:v>
      </x:c>
    </x:row>
    <x:row r="843">
      <x:c r="A843" s="22" t="n">
        <x:v>35731</x:v>
      </x:c>
      <x:c r="B843" s="28" t="n">
        <x:v>594.81</x:v>
      </x:c>
      <x:c r="C843" s="28"/>
      <x:c r="D843" s="31" t="str">
        <x:f>IF(OR(ISBLANK(B843),ISBLANK(C843),B843=0),"",(C843-B843)/B843)</x:f>
      </x:c>
      <x:c r="E843" s="22" t="str">
        <x:f>IF(ISBLANK(C843),"AmountIncludingTax缺失",IF(ABS(B843-C843)&lt;0.005,"一致","不一致"))</x:f>
        <x:v>AmountIncludingTax缺失</x:v>
      </x:c>
      <x:c r="F843" s="19" t="str">
        <x:v>approved</x:v>
      </x:c>
      <x:c r="G843" s="19" t="str">
        <x:v>Repair in Progress</x:v>
      </x:c>
      <x:c r="H843" s="19" t="str">
        <x:v>In Field</x:v>
      </x:c>
      <x:c r="I843" s="37" t="n">
        <x:v>46183</x:v>
      </x:c>
      <x:c r="J843" s="37" t="n">
        <x:v>46183</x:v>
      </x:c>
      <x:c r="K843" s="19" t="str">
        <x:v>Regent RV - Townsville</x:v>
      </x:c>
      <x:c r="L843" s="19" t="str">
        <x:v>Z006</x:v>
      </x:c>
      <x:c r="M843" s="19" t="str">
        <x:v>In Field Warranty Claims</x:v>
      </x:c>
      <x:c r="N843" s="37" t="n">
        <x:v>46171</x:v>
      </x:c>
      <x:c r="O843" s="37"/>
      <x:c r="P843" s="34" t="n">
        <x:v>0</x:v>
      </x:c>
      <x:c r="Q843" s="37" t="n">
        <x:v>46183.18335648148</x:v>
      </x:c>
    </x:row>
    <x:row r="844">
      <x:c r="A844" s="22" t="n">
        <x:v>35730</x:v>
      </x:c>
      <x:c r="B844" s="28" t="n">
        <x:v>810</x:v>
      </x:c>
      <x:c r="C844" s="28"/>
      <x:c r="D844" s="31" t="str">
        <x:f>IF(OR(ISBLANK(B844),ISBLANK(C844),B844=0),"",(C844-B844)/B844)</x:f>
      </x:c>
      <x:c r="E844" s="22" t="str">
        <x:f>IF(ISBLANK(C844),"AmountIncludingTax缺失",IF(ABS(B844-C844)&lt;0.005,"一致","不一致"))</x:f>
        <x:v>AmountIncludingTax缺失</x:v>
      </x:c>
      <x:c r="F844" s="19" t="str">
        <x:v>approved</x:v>
      </x:c>
      <x:c r="G844" s="19" t="str">
        <x:v>Repair in Progress</x:v>
      </x:c>
      <x:c r="H844" s="19" t="str">
        <x:v>In Field</x:v>
      </x:c>
      <x:c r="I844" s="37" t="n">
        <x:v>46190</x:v>
      </x:c>
      <x:c r="J844" s="37" t="n">
        <x:v>46190</x:v>
      </x:c>
      <x:c r="K844" s="19" t="str">
        <x:v>Green RV - Forest Glen</x:v>
      </x:c>
      <x:c r="L844" s="19" t="str">
        <x:v>Z006</x:v>
      </x:c>
      <x:c r="M844" s="19" t="str">
        <x:v>In Field Warranty Claims</x:v>
      </x:c>
      <x:c r="N844" s="37" t="n">
        <x:v>46171</x:v>
      </x:c>
      <x:c r="O844" s="37"/>
      <x:c r="P844" s="34" t="n">
        <x:v>0</x:v>
      </x:c>
      <x:c r="Q844" s="37" t="n">
        <x:v>46189.91075231481</x:v>
      </x:c>
    </x:row>
    <x:row r="845">
      <x:c r="A845" s="22" t="n">
        <x:v>35729</x:v>
      </x:c>
      <x:c r="B845" s="28" t="n">
        <x:v>303.75</x:v>
      </x:c>
      <x:c r="C845" s="28"/>
      <x:c r="D845" s="31" t="str">
        <x:f>IF(OR(ISBLANK(B845),ISBLANK(C845),B845=0),"",(C845-B845)/B845)</x:f>
      </x:c>
      <x:c r="E845" s="22" t="str">
        <x:f>IF(ISBLANK(C845),"AmountIncludingTax缺失",IF(ABS(B845-C845)&lt;0.005,"一致","不一致"))</x:f>
        <x:v>AmountIncludingTax缺失</x:v>
      </x:c>
      <x:c r="F845" s="19" t="str">
        <x:v>approved</x:v>
      </x:c>
      <x:c r="G845" s="19" t="str">
        <x:v>Repairer Invoiced Processed</x:v>
      </x:c>
      <x:c r="H845" s="19" t="str">
        <x:v>In Field</x:v>
      </x:c>
      <x:c r="I845" s="37" t="n">
        <x:v>46190</x:v>
      </x:c>
      <x:c r="J845" s="37" t="n">
        <x:v>46190</x:v>
      </x:c>
      <x:c r="K845" s="19" t="str">
        <x:v>Newcastle RV Super Centre - Beresfield</x:v>
      </x:c>
      <x:c r="L845" s="19" t="str">
        <x:v>Z006</x:v>
      </x:c>
      <x:c r="M845" s="19" t="str">
        <x:v>In Field Warranty Claims</x:v>
      </x:c>
      <x:c r="N845" s="37" t="n">
        <x:v>46171</x:v>
      </x:c>
      <x:c r="O845" s="37"/>
      <x:c r="P845" s="34" t="n">
        <x:v>0</x:v>
      </x:c>
      <x:c r="Q845" s="37" t="n">
        <x:v>46190.04355324074</x:v>
      </x:c>
    </x:row>
    <x:row r="846">
      <x:c r="A846" s="22" t="n">
        <x:v>35728</x:v>
      </x:c>
      <x:c r="B846" s="28" t="n">
        <x:v>168.75</x:v>
      </x:c>
      <x:c r="C846" s="28"/>
      <x:c r="D846" s="31" t="str">
        <x:f>IF(OR(ISBLANK(B846),ISBLANK(C846),B846=0),"",(C846-B846)/B846)</x:f>
      </x:c>
      <x:c r="E846" s="22" t="str">
        <x:f>IF(ISBLANK(C846),"AmountIncludingTax缺失",IF(ABS(B846-C846)&lt;0.005,"一致","不一致"))</x:f>
        <x:v>AmountIncludingTax缺失</x:v>
      </x:c>
      <x:c r="F846" s="19" t="str">
        <x:v>approved</x:v>
      </x:c>
      <x:c r="G846" s="19" t="str">
        <x:v>Repair in Progress</x:v>
      </x:c>
      <x:c r="H846" s="19" t="str">
        <x:v>In Field</x:v>
      </x:c>
      <x:c r="I846" s="37" t="n">
        <x:v>46185</x:v>
      </x:c>
      <x:c r="J846" s="37" t="n">
        <x:v>46185</x:v>
      </x:c>
      <x:c r="K846" s="19" t="str">
        <x:v>Newcastle RV Super Centre - Beresfield</x:v>
      </x:c>
      <x:c r="L846" s="19" t="str">
        <x:v>Z006</x:v>
      </x:c>
      <x:c r="M846" s="19" t="str">
        <x:v>In Field Warranty Claims</x:v>
      </x:c>
      <x:c r="N846" s="37" t="n">
        <x:v>46171</x:v>
      </x:c>
      <x:c r="O846" s="37"/>
      <x:c r="P846" s="34" t="n">
        <x:v>0</x:v>
      </x:c>
      <x:c r="Q846" s="37" t="n">
        <x:v>46185.05081018519</x:v>
      </x:c>
    </x:row>
    <x:row r="847">
      <x:c r="A847" s="22" t="n">
        <x:v>35725</x:v>
      </x:c>
      <x:c r="B847" s="28" t="n">
        <x:v>1825</x:v>
      </x:c>
      <x:c r="C847" s="28"/>
      <x:c r="D847" s="31" t="str">
        <x:f>IF(OR(ISBLANK(B847),ISBLANK(C847),B847=0),"",(C847-B847)/B847)</x:f>
      </x:c>
      <x:c r="E847" s="22" t="str">
        <x:f>IF(ISBLANK(C847),"AmountIncludingTax缺失",IF(ABS(B847-C847)&lt;0.005,"一致","不一致"))</x:f>
        <x:v>AmountIncludingTax缺失</x:v>
      </x:c>
      <x:c r="F847" s="19" t="str">
        <x:v>approved</x:v>
      </x:c>
      <x:c r="G847" s="19" t="str">
        <x:v>Repair in Progress</x:v>
      </x:c>
      <x:c r="H847" s="19" t="str">
        <x:v>In Field</x:v>
      </x:c>
      <x:c r="I847" s="37" t="n">
        <x:v>46175</x:v>
      </x:c>
      <x:c r="J847" s="37" t="n">
        <x:v>46175</x:v>
      </x:c>
      <x:c r="K847" s="19" t="str">
        <x:v>Regent RV - Perth</x:v>
      </x:c>
      <x:c r="L847" s="19" t="str">
        <x:v>Z006</x:v>
      </x:c>
      <x:c r="M847" s="19" t="str">
        <x:v>In Field Warranty Claims</x:v>
      </x:c>
      <x:c r="N847" s="37" t="n">
        <x:v>46171</x:v>
      </x:c>
      <x:c r="O847" s="37"/>
      <x:c r="P847" s="34" t="n">
        <x:v>0</x:v>
      </x:c>
      <x:c r="Q847" s="37" t="n">
        <x:v>46175.03863425926</x:v>
      </x:c>
    </x:row>
    <x:row r="848">
      <x:c r="A848" s="22" t="n">
        <x:v>35724</x:v>
      </x:c>
      <x:c r="B848" s="28" t="n">
        <x:v>865</x:v>
      </x:c>
      <x:c r="C848" s="28"/>
      <x:c r="D848" s="31" t="str">
        <x:f>IF(OR(ISBLANK(B848),ISBLANK(C848),B848=0),"",(C848-B848)/B848)</x:f>
      </x:c>
      <x:c r="E848" s="22" t="str">
        <x:f>IF(ISBLANK(C848),"AmountIncludingTax缺失",IF(ABS(B848-C848)&lt;0.005,"一致","不一致"))</x:f>
        <x:v>AmountIncludingTax缺失</x:v>
      </x:c>
      <x:c r="F848" s="19" t="str">
        <x:v>approved</x:v>
      </x:c>
      <x:c r="G848" s="19" t="str">
        <x:v>Repair in Progress</x:v>
      </x:c>
      <x:c r="H848" s="19" t="str">
        <x:v>In Field</x:v>
      </x:c>
      <x:c r="I848" s="37" t="n">
        <x:v>46174</x:v>
      </x:c>
      <x:c r="J848" s="37" t="n">
        <x:v>46174</x:v>
      </x:c>
      <x:c r="K848" s="19" t="str">
        <x:v>Dario Caravans -St.Marys</x:v>
      </x:c>
      <x:c r="L848" s="19" t="str">
        <x:v>Z006</x:v>
      </x:c>
      <x:c r="M848" s="19" t="str">
        <x:v>In Field Warranty Claims</x:v>
      </x:c>
      <x:c r="N848" s="37" t="n">
        <x:v>46171</x:v>
      </x:c>
      <x:c r="O848" s="37"/>
      <x:c r="P848" s="34" t="n">
        <x:v>0</x:v>
      </x:c>
      <x:c r="Q848" s="37" t="n">
        <x:v>46174.09554398148</x:v>
      </x:c>
    </x:row>
    <x:row r="849">
      <x:c r="A849" s="22" t="n">
        <x:v>35723</x:v>
      </x:c>
      <x:c r="B849" s="28" t="n">
        <x:v>67.5</x:v>
      </x:c>
      <x:c r="C849" s="28"/>
      <x:c r="D849" s="31" t="str">
        <x:f>IF(OR(ISBLANK(B849),ISBLANK(C849),B849=0),"",(C849-B849)/B849)</x:f>
      </x:c>
      <x:c r="E849" s="22" t="str">
        <x:f>IF(ISBLANK(C849),"AmountIncludingTax缺失",IF(ABS(B849-C849)&lt;0.005,"一致","不一致"))</x:f>
        <x:v>AmountIncludingTax缺失</x:v>
      </x:c>
      <x:c r="F849" s="19" t="str">
        <x:v>approved</x:v>
      </x:c>
      <x:c r="G849" s="19" t="str">
        <x:v>Repairer Invoiced Processed</x:v>
      </x:c>
      <x:c r="H849" s="19" t="str">
        <x:v>In Field</x:v>
      </x:c>
      <x:c r="I849" s="37" t="n">
        <x:v>46184</x:v>
      </x:c>
      <x:c r="J849" s="37" t="n">
        <x:v>46184</x:v>
      </x:c>
      <x:c r="K849" s="19" t="str">
        <x:v>Lesiure Lion-New Castle</x:v>
      </x:c>
      <x:c r="L849" s="19" t="str">
        <x:v>Z006</x:v>
      </x:c>
      <x:c r="M849" s="19" t="str">
        <x:v>In Field Warranty Claims</x:v>
      </x:c>
      <x:c r="N849" s="37" t="n">
        <x:v>46171</x:v>
      </x:c>
      <x:c r="O849" s="37"/>
      <x:c r="P849" s="34" t="n">
        <x:v>0</x:v>
      </x:c>
      <x:c r="Q849" s="37" t="n">
        <x:v>46184.22394675926</x:v>
      </x:c>
    </x:row>
    <x:row r="850">
      <x:c r="A850" s="22" t="n">
        <x:v>35722</x:v>
      </x:c>
      <x:c r="B850" s="28" t="n">
        <x:v>135</x:v>
      </x:c>
      <x:c r="C850" s="28"/>
      <x:c r="D850" s="31" t="str">
        <x:f>IF(OR(ISBLANK(B850),ISBLANK(C850),B850=0),"",(C850-B850)/B850)</x:f>
      </x:c>
      <x:c r="E850" s="22" t="str">
        <x:f>IF(ISBLANK(C850),"AmountIncludingTax缺失",IF(ABS(B850-C850)&lt;0.005,"一致","不一致"))</x:f>
        <x:v>AmountIncludingTax缺失</x:v>
      </x:c>
      <x:c r="F850" s="19" t="str">
        <x:v>approved</x:v>
      </x:c>
      <x:c r="G850" s="19" t="str">
        <x:v>Repairer Invoiced Processed</x:v>
      </x:c>
      <x:c r="H850" s="19" t="str">
        <x:v>In Field</x:v>
      </x:c>
      <x:c r="I850" s="37" t="n">
        <x:v>46184</x:v>
      </x:c>
      <x:c r="J850" s="37" t="n">
        <x:v>46184</x:v>
      </x:c>
      <x:c r="K850" s="19" t="str">
        <x:v>Newcastle RV Super Centre - Beresfield</x:v>
      </x:c>
      <x:c r="L850" s="19" t="str">
        <x:v>Z006</x:v>
      </x:c>
      <x:c r="M850" s="19" t="str">
        <x:v>In Field Warranty Claims</x:v>
      </x:c>
      <x:c r="N850" s="37" t="n">
        <x:v>46171</x:v>
      </x:c>
      <x:c r="O850" s="37"/>
      <x:c r="P850" s="34" t="n">
        <x:v>0</x:v>
      </x:c>
      <x:c r="Q850" s="37" t="n">
        <x:v>46184.155277777776</x:v>
      </x:c>
    </x:row>
    <x:row r="851">
      <x:c r="A851" s="22" t="n">
        <x:v>35721</x:v>
      </x:c>
      <x:c r="B851" s="28" t="n">
        <x:v>425.35</x:v>
      </x:c>
      <x:c r="C851" s="28" t="n">
        <x:v>467.89</x:v>
      </x:c>
      <x:c r="D851" s="31" t="n">
        <x:f>IF(OR(ISBLANK(B851),ISBLANK(C851),B851=0),"",(C851-B851)/B851)</x:f>
        <x:v>0.10001175502527321</x:v>
      </x:c>
      <x:c r="E851" s="22" t="str">
        <x:f>IF(ISBLANK(C851),"AmountIncludingTax缺失",IF(ABS(B851-C851)&lt;0.005,"一致","不一致"))</x:f>
        <x:v>不一致</x:v>
      </x:c>
      <x:c r="F851" s="19" t="str">
        <x:v>approved</x:v>
      </x:c>
      <x:c r="G851" s="19" t="str">
        <x:v>Repair in Progress</x:v>
      </x:c>
      <x:c r="H851" s="19" t="str">
        <x:v>In Field</x:v>
      </x:c>
      <x:c r="I851" s="37" t="n">
        <x:v>46175</x:v>
      </x:c>
      <x:c r="J851" s="37" t="n">
        <x:v>46175</x:v>
      </x:c>
      <x:c r="K851" s="19" t="str">
        <x:v>Snowy River Wangaratta</x:v>
      </x:c>
      <x:c r="L851" s="19" t="str">
        <x:v>Z006</x:v>
      </x:c>
      <x:c r="M851" s="19" t="str">
        <x:v>In Field Warranty Claims</x:v>
      </x:c>
      <x:c r="N851" s="37" t="n">
        <x:v>46171</x:v>
      </x:c>
      <x:c r="O851" s="37"/>
      <x:c r="P851" s="34" t="n">
        <x:v>467.89</x:v>
      </x:c>
      <x:c r="Q851" s="37" t="n">
        <x:v>46175.14074074074</x:v>
      </x:c>
    </x:row>
    <x:row r="852">
      <x:c r="A852" s="22" t="n">
        <x:v>35720</x:v>
      </x:c>
      <x:c r="B852" s="28" t="n">
        <x:v>521.82</x:v>
      </x:c>
      <x:c r="C852" s="28" t="n">
        <x:v>574</x:v>
      </x:c>
      <x:c r="D852" s="31" t="n">
        <x:f>IF(OR(ISBLANK(B852),ISBLANK(C852),B852=0),"",(C852-B852)/B852)</x:f>
        <x:v>0.09999616726074115</x:v>
      </x:c>
      <x:c r="E852" s="22" t="str">
        <x:f>IF(ISBLANK(C852),"AmountIncludingTax缺失",IF(ABS(B852-C852)&lt;0.005,"一致","不一致"))</x:f>
        <x:v>不一致</x:v>
      </x:c>
      <x:c r="F852" s="19" t="str">
        <x:v>approved</x:v>
      </x:c>
      <x:c r="G852" s="19" t="str">
        <x:v>Repairer Invoiced Processed</x:v>
      </x:c>
      <x:c r="H852" s="19" t="str">
        <x:v>In Field</x:v>
      </x:c>
      <x:c r="I852" s="37" t="n">
        <x:v>46174</x:v>
      </x:c>
      <x:c r="J852" s="37" t="n">
        <x:v>46174</x:v>
      </x:c>
      <x:c r="K852" s="19" t="str">
        <x:v>Green RV - Forest Glen</x:v>
      </x:c>
      <x:c r="L852" s="19" t="str">
        <x:v>Z006</x:v>
      </x:c>
      <x:c r="M852" s="19" t="str">
        <x:v>In Field Warranty Claims</x:v>
      </x:c>
      <x:c r="N852" s="37" t="n">
        <x:v>46174</x:v>
      </x:c>
      <x:c r="O852" s="37"/>
      <x:c r="P852" s="34" t="n">
        <x:v>574</x:v>
      </x:c>
      <x:c r="Q852" s="37" t="n">
        <x:v>46174.16438657408</x:v>
      </x:c>
    </x:row>
    <x:row r="853">
      <x:c r="A853" s="22" t="n">
        <x:v>35710</x:v>
      </x:c>
      <x:c r="B853" s="28" t="n">
        <x:v>290</x:v>
      </x:c>
      <x:c r="C853" s="28"/>
      <x:c r="D853" s="31" t="str">
        <x:f>IF(OR(ISBLANK(B853),ISBLANK(C853),B853=0),"",(C853-B853)/B853)</x:f>
      </x:c>
      <x:c r="E853" s="22" t="str">
        <x:f>IF(ISBLANK(C853),"AmountIncludingTax缺失",IF(ABS(B853-C853)&lt;0.005,"一致","不一致"))</x:f>
        <x:v>AmountIncludingTax缺失</x:v>
      </x:c>
      <x:c r="F853" s="19" t="str">
        <x:v>approved</x:v>
      </x:c>
      <x:c r="G853" s="19" t="str">
        <x:v>Sales Order Approved</x:v>
      </x:c>
      <x:c r="H853" s="19" t="str">
        <x:v>Pre Delivery</x:v>
      </x:c>
      <x:c r="I853" s="37" t="n">
        <x:v>46191</x:v>
      </x:c>
      <x:c r="J853" s="37" t="n">
        <x:v>46191</x:v>
      </x:c>
      <x:c r="K853" s="19" t="str">
        <x:v>Snowy River Geelong</x:v>
      </x:c>
      <x:c r="L853" s="19" t="str">
        <x:v>Z005</x:v>
      </x:c>
      <x:c r="M853" s="19" t="str">
        <x:v>Pre Delivery Warranty Claims</x:v>
      </x:c>
      <x:c r="N853" s="37" t="n">
        <x:v>46171</x:v>
      </x:c>
      <x:c r="O853" s="37"/>
      <x:c r="P853" s="34" t="n">
        <x:v>0</x:v>
      </x:c>
      <x:c r="Q853" s="37" t="n">
        <x:v>46191.11525462963</x:v>
      </x:c>
    </x:row>
    <x:row r="854">
      <x:c r="A854" s="22" t="n">
        <x:v>35709</x:v>
      </x:c>
      <x:c r="B854" s="28" t="n">
        <x:v>208.09</x:v>
      </x:c>
      <x:c r="C854" s="28" t="n">
        <x:v>188.4</x:v>
      </x:c>
      <x:c r="D854" s="31" t="n">
        <x:f>IF(OR(ISBLANK(B854),ISBLANK(C854),B854=0),"",(C854-B854)/B854)</x:f>
        <x:v>-0.09462251910231148</x:v>
      </x:c>
      <x:c r="E854" s="22" t="str">
        <x:f>IF(ISBLANK(C854),"AmountIncludingTax缺失",IF(ABS(B854-C854)&lt;0.005,"一致","不一致"))</x:f>
        <x:v>不一致</x:v>
      </x:c>
      <x:c r="F854" s="19" t="str">
        <x:v>approved</x:v>
      </x:c>
      <x:c r="G854" s="19" t="str">
        <x:v>Repair in Progress</x:v>
      </x:c>
      <x:c r="H854" s="19" t="str">
        <x:v>In Field</x:v>
      </x:c>
      <x:c r="I854" s="37" t="n">
        <x:v>46203</x:v>
      </x:c>
      <x:c r="J854" s="37" t="n">
        <x:v>46203</x:v>
      </x:c>
      <x:c r="K854" s="19" t="str">
        <x:v>CMG Campers - Christchurch</x:v>
      </x:c>
      <x:c r="L854" s="19" t="str">
        <x:v>Z006</x:v>
      </x:c>
      <x:c r="M854" s="19" t="str">
        <x:v>In Field Warranty Claims</x:v>
      </x:c>
      <x:c r="N854" s="37" t="n">
        <x:v>46171</x:v>
      </x:c>
      <x:c r="O854" s="37" t="n">
        <x:v>46185</x:v>
      </x:c>
      <x:c r="P854" s="34" t="n">
        <x:v>188.4</x:v>
      </x:c>
      <x:c r="Q854" s="37" t="n">
        <x:v>46203.03545138889</x:v>
      </x:c>
    </x:row>
    <x:row r="855">
      <x:c r="A855" s="22" t="n">
        <x:v>35706</x:v>
      </x:c>
      <x:c r="B855" s="28" t="n">
        <x:v>715</x:v>
      </x:c>
      <x:c r="C855" s="28"/>
      <x:c r="D855" s="31" t="str">
        <x:f>IF(OR(ISBLANK(B855),ISBLANK(C855),B855=0),"",(C855-B855)/B855)</x:f>
      </x:c>
      <x:c r="E855" s="22" t="str">
        <x:f>IF(ISBLANK(C855),"AmountIncludingTax缺失",IF(ABS(B855-C855)&lt;0.005,"一致","不一致"))</x:f>
        <x:v>AmountIncludingTax缺失</x:v>
      </x:c>
      <x:c r="F855" s="19" t="str">
        <x:v>approved</x:v>
      </x:c>
      <x:c r="G855" s="19" t="str">
        <x:v>Partially Picked</x:v>
      </x:c>
      <x:c r="H855" s="19" t="str">
        <x:v>In Field</x:v>
      </x:c>
      <x:c r="I855" s="37" t="n">
        <x:v>46174</x:v>
      </x:c>
      <x:c r="J855" s="37" t="n">
        <x:v>46174</x:v>
      </x:c>
      <x:c r="K855" s="19" t="str">
        <x:v>Green RV - Slacks Creek</x:v>
      </x:c>
      <x:c r="L855" s="19" t="str">
        <x:v>Z006</x:v>
      </x:c>
      <x:c r="M855" s="19" t="str">
        <x:v>In Field Warranty Claims</x:v>
      </x:c>
      <x:c r="N855" s="37" t="n">
        <x:v>46171</x:v>
      </x:c>
      <x:c r="O855" s="37"/>
      <x:c r="P855" s="34" t="n">
        <x:v>0</x:v>
      </x:c>
      <x:c r="Q855" s="37" t="n">
        <x:v>46173.90241898148</x:v>
      </x:c>
    </x:row>
    <x:row r="856">
      <x:c r="A856" s="22" t="n">
        <x:v>35705</x:v>
      </x:c>
      <x:c r="B856" s="28" t="n">
        <x:v>627.5</x:v>
      </x:c>
      <x:c r="C856" s="28"/>
      <x:c r="D856" s="31" t="str">
        <x:f>IF(OR(ISBLANK(B856),ISBLANK(C856),B856=0),"",(C856-B856)/B856)</x:f>
      </x:c>
      <x:c r="E856" s="22" t="str">
        <x:f>IF(ISBLANK(C856),"AmountIncludingTax缺失",IF(ABS(B856-C856)&lt;0.005,"一致","不一致"))</x:f>
        <x:v>AmountIncludingTax缺失</x:v>
      </x:c>
      <x:c r="F856" s="19" t="str">
        <x:v>approved</x:v>
      </x:c>
      <x:c r="G856" s="19" t="str">
        <x:v>Repair in Progress</x:v>
      </x:c>
      <x:c r="H856" s="19" t="str">
        <x:v>Pre Delivery</x:v>
      </x:c>
      <x:c r="I856" s="37" t="n">
        <x:v>46171</x:v>
      </x:c>
      <x:c r="J856" s="37" t="n">
        <x:v>46171</x:v>
      </x:c>
      <x:c r="K856" s="19" t="str">
        <x:v>Regent RV - Frankston</x:v>
      </x:c>
      <x:c r="L856" s="19" t="str">
        <x:v>Z005</x:v>
      </x:c>
      <x:c r="M856" s="19" t="str">
        <x:v>Pre Delivery Warranty Claims</x:v>
      </x:c>
      <x:c r="N856" s="37" t="n">
        <x:v>46170</x:v>
      </x:c>
      <x:c r="O856" s="37"/>
      <x:c r="P856" s="34" t="n">
        <x:v>0</x:v>
      </x:c>
      <x:c r="Q856" s="37" t="n">
        <x:v>46170.98905092593</x:v>
      </x:c>
    </x:row>
    <x:row r="857">
      <x:c r="A857" s="22" t="n">
        <x:v>35704</x:v>
      </x:c>
      <x:c r="B857" s="28" t="n">
        <x:v>1739.95</x:v>
      </x:c>
      <x:c r="C857" s="28"/>
      <x:c r="D857" s="31" t="str">
        <x:f>IF(OR(ISBLANK(B857),ISBLANK(C857),B857=0),"",(C857-B857)/B857)</x:f>
      </x:c>
      <x:c r="E857" s="22" t="str">
        <x:f>IF(ISBLANK(C857),"AmountIncludingTax缺失",IF(ABS(B857-C857)&lt;0.005,"一致","不一致"))</x:f>
        <x:v>AmountIncludingTax缺失</x:v>
      </x:c>
      <x:c r="F857" s="19" t="str">
        <x:v>approved</x:v>
      </x:c>
      <x:c r="G857" s="19" t="str">
        <x:v>Repair in Progress</x:v>
      </x:c>
      <x:c r="H857" s="19" t="str">
        <x:v>In Field</x:v>
      </x:c>
      <x:c r="I857" s="37" t="n">
        <x:v>46174</x:v>
      </x:c>
      <x:c r="J857" s="37" t="n">
        <x:v>46174</x:v>
      </x:c>
      <x:c r="K857" s="19" t="str">
        <x:v>Green RV - Slacks Creek</x:v>
      </x:c>
      <x:c r="L857" s="19" t="str">
        <x:v>Z006</x:v>
      </x:c>
      <x:c r="M857" s="19" t="str">
        <x:v>In Field Warranty Claims</x:v>
      </x:c>
      <x:c r="N857" s="37" t="n">
        <x:v>46170</x:v>
      </x:c>
      <x:c r="O857" s="37"/>
      <x:c r="P857" s="34" t="n">
        <x:v>0</x:v>
      </x:c>
      <x:c r="Q857" s="37" t="n">
        <x:v>46173.99003472222</x:v>
      </x:c>
    </x:row>
    <x:row r="858">
      <x:c r="A858" s="22" t="n">
        <x:v>35703</x:v>
      </x:c>
      <x:c r="B858" s="28" t="n">
        <x:v>4445.64</x:v>
      </x:c>
      <x:c r="C858" s="28"/>
      <x:c r="D858" s="31" t="str">
        <x:f>IF(OR(ISBLANK(B858),ISBLANK(C858),B858=0),"",(C858-B858)/B858)</x:f>
      </x:c>
      <x:c r="E858" s="22" t="str">
        <x:f>IF(ISBLANK(C858),"AmountIncludingTax缺失",IF(ABS(B858-C858)&lt;0.005,"一致","不一致"))</x:f>
        <x:v>AmountIncludingTax缺失</x:v>
      </x:c>
      <x:c r="F858" s="19" t="str">
        <x:v>approved</x:v>
      </x:c>
      <x:c r="G858" s="19" t="str">
        <x:v>Repairer Invoiced Processed</x:v>
      </x:c>
      <x:c r="H858" s="19" t="str">
        <x:v>In Field</x:v>
      </x:c>
      <x:c r="I858" s="37" t="n">
        <x:v>46192</x:v>
      </x:c>
      <x:c r="J858" s="37" t="n">
        <x:v>46192</x:v>
      </x:c>
      <x:c r="K858" s="19" t="str">
        <x:v>CMG Campers - Christchurch</x:v>
      </x:c>
      <x:c r="L858" s="19" t="str">
        <x:v>Z006</x:v>
      </x:c>
      <x:c r="M858" s="19" t="str">
        <x:v>In Field Warranty Claims</x:v>
      </x:c>
      <x:c r="N858" s="37" t="n">
        <x:v>46170</x:v>
      </x:c>
      <x:c r="O858" s="37"/>
      <x:c r="P858" s="34" t="n">
        <x:v>4025.08</x:v>
      </x:c>
      <x:c r="Q858" s="37" t="n">
        <x:v>46192.07665509259</x:v>
      </x:c>
    </x:row>
    <x:row r="859">
      <x:c r="A859" s="22" t="n">
        <x:v>35702</x:v>
      </x:c>
      <x:c r="B859" s="28" t="n">
        <x:v>2717.05</x:v>
      </x:c>
      <x:c r="C859" s="28"/>
      <x:c r="D859" s="31" t="str">
        <x:f>IF(OR(ISBLANK(B859),ISBLANK(C859),B859=0),"",(C859-B859)/B859)</x:f>
      </x:c>
      <x:c r="E859" s="22" t="str">
        <x:f>IF(ISBLANK(C859),"AmountIncludingTax缺失",IF(ABS(B859-C859)&lt;0.005,"一致","不一致"))</x:f>
        <x:v>AmountIncludingTax缺失</x:v>
      </x:c>
      <x:c r="F859" s="19" t="str">
        <x:v>approved</x:v>
      </x:c>
      <x:c r="G859" s="19" t="str">
        <x:v>Repairer Invoiced Processed</x:v>
      </x:c>
      <x:c r="H859" s="19" t="str">
        <x:v>In Field</x:v>
      </x:c>
      <x:c r="I859" s="37" t="n">
        <x:v>46206</x:v>
      </x:c>
      <x:c r="J859" s="37" t="n">
        <x:v>46183</x:v>
      </x:c>
      <x:c r="K859" s="19" t="str">
        <x:v>Vanari Caravans - Marden Point</x:v>
      </x:c>
      <x:c r="L859" s="19" t="str">
        <x:v>Z006</x:v>
      </x:c>
      <x:c r="M859" s="19" t="str">
        <x:v>In Field Warranty Claims</x:v>
      </x:c>
      <x:c r="N859" s="37" t="n">
        <x:v>46170</x:v>
      </x:c>
      <x:c r="O859" s="37"/>
      <x:c r="P859" s="34" t="n">
        <x:v>2460.02</x:v>
      </x:c>
      <x:c r="Q859" s="37" t="n">
        <x:v>46206.13607638889</x:v>
      </x:c>
    </x:row>
    <x:row r="860">
      <x:c r="A860" s="22" t="n">
        <x:v>35690</x:v>
      </x:c>
      <x:c r="B860" s="28" t="n">
        <x:v>290</x:v>
      </x:c>
      <x:c r="C860" s="28"/>
      <x:c r="D860" s="31" t="str">
        <x:f>IF(OR(ISBLANK(B860),ISBLANK(C860),B860=0),"",(C860-B860)/B860)</x:f>
      </x:c>
      <x:c r="E860" s="22" t="str">
        <x:f>IF(ISBLANK(C860),"AmountIncludingTax缺失",IF(ABS(B860-C860)&lt;0.005,"一致","不一致"))</x:f>
        <x:v>AmountIncludingTax缺失</x:v>
      </x:c>
      <x:c r="F860" s="19" t="str">
        <x:v>approved</x:v>
      </x:c>
      <x:c r="G860" s="19" t="str">
        <x:v>Sales Order Approved</x:v>
      </x:c>
      <x:c r="H860" s="19" t="str">
        <x:v>Pre Delivery</x:v>
      </x:c>
      <x:c r="I860" s="37" t="n">
        <x:v>46189</x:v>
      </x:c>
      <x:c r="J860" s="37" t="n">
        <x:v>46189</x:v>
      </x:c>
      <x:c r="K860" s="19" t="str">
        <x:v>Snowy River Geelong</x:v>
      </x:c>
      <x:c r="L860" s="19" t="str">
        <x:v>Z005</x:v>
      </x:c>
      <x:c r="M860" s="19" t="str">
        <x:v>Pre Delivery Warranty Claims</x:v>
      </x:c>
      <x:c r="N860" s="37" t="n">
        <x:v>46171</x:v>
      </x:c>
      <x:c r="O860" s="37"/>
      <x:c r="P860" s="34" t="n">
        <x:v>0</x:v>
      </x:c>
      <x:c r="Q860" s="37" t="n">
        <x:v>46189.17741898148</x:v>
      </x:c>
    </x:row>
    <x:row r="861">
      <x:c r="A861" s="22" t="n">
        <x:v>35689</x:v>
      </x:c>
      <x:c r="B861" s="28" t="n">
        <x:v>260</x:v>
      </x:c>
      <x:c r="C861" s="28"/>
      <x:c r="D861" s="31" t="str">
        <x:f>IF(OR(ISBLANK(B861),ISBLANK(C861),B861=0),"",(C861-B861)/B861)</x:f>
      </x:c>
      <x:c r="E861" s="22" t="str">
        <x:f>IF(ISBLANK(C861),"AmountIncludingTax缺失",IF(ABS(B861-C861)&lt;0.005,"一致","不一致"))</x:f>
        <x:v>AmountIncludingTax缺失</x:v>
      </x:c>
      <x:c r="F861" s="19" t="str">
        <x:v>approved</x:v>
      </x:c>
      <x:c r="G861" s="19" t="str">
        <x:v>Sales Order Approved</x:v>
      </x:c>
      <x:c r="H861" s="19" t="str">
        <x:v>Pre Delivery</x:v>
      </x:c>
      <x:c r="I861" s="37" t="n">
        <x:v>46189</x:v>
      </x:c>
      <x:c r="J861" s="37" t="n">
        <x:v>46189</x:v>
      </x:c>
      <x:c r="K861" s="19" t="str">
        <x:v>Snowy River Geelong</x:v>
      </x:c>
      <x:c r="L861" s="19" t="str">
        <x:v>Z005</x:v>
      </x:c>
      <x:c r="M861" s="19" t="str">
        <x:v>Pre Delivery Warranty Claims</x:v>
      </x:c>
      <x:c r="N861" s="37" t="n">
        <x:v>46171</x:v>
      </x:c>
      <x:c r="O861" s="37"/>
      <x:c r="P861" s="34" t="n">
        <x:v>0</x:v>
      </x:c>
      <x:c r="Q861" s="37" t="n">
        <x:v>46189.18131944445</x:v>
      </x:c>
    </x:row>
    <x:row r="862">
      <x:c r="A862" s="22" t="n">
        <x:v>35688</x:v>
      </x:c>
      <x:c r="B862" s="28" t="n">
        <x:v>540</x:v>
      </x:c>
      <x:c r="C862" s="28"/>
      <x:c r="D862" s="31" t="str">
        <x:f>IF(OR(ISBLANK(B862),ISBLANK(C862),B862=0),"",(C862-B862)/B862)</x:f>
      </x:c>
      <x:c r="E862" s="22" t="str">
        <x:f>IF(ISBLANK(C862),"AmountIncludingTax缺失",IF(ABS(B862-C862)&lt;0.005,"一致","不一致"))</x:f>
        <x:v>AmountIncludingTax缺失</x:v>
      </x:c>
      <x:c r="F862" s="19" t="str">
        <x:v>approved</x:v>
      </x:c>
      <x:c r="G862" s="19" t="str">
        <x:v>Repairer Invoiced Processed</x:v>
      </x:c>
      <x:c r="H862" s="19" t="str">
        <x:v>In Field</x:v>
      </x:c>
      <x:c r="I862" s="37" t="n">
        <x:v>46184</x:v>
      </x:c>
      <x:c r="J862" s="37" t="n">
        <x:v>46184</x:v>
      </x:c>
      <x:c r="K862" s="19" t="str">
        <x:v>Newcastle RV Super Centre - Beresfield</x:v>
      </x:c>
      <x:c r="L862" s="19" t="str">
        <x:v>Z006</x:v>
      </x:c>
      <x:c r="M862" s="19" t="str">
        <x:v>In Field Warranty Claims</x:v>
      </x:c>
      <x:c r="N862" s="37" t="n">
        <x:v>46171</x:v>
      </x:c>
      <x:c r="O862" s="37"/>
      <x:c r="P862" s="34" t="n">
        <x:v>0</x:v>
      </x:c>
      <x:c r="Q862" s="37" t="n">
        <x:v>46184.22162037037</x:v>
      </x:c>
    </x:row>
    <x:row r="863">
      <x:c r="A863" s="22" t="n">
        <x:v>35687</x:v>
      </x:c>
      <x:c r="B863" s="28" t="n">
        <x:v>897.5</x:v>
      </x:c>
      <x:c r="C863" s="28"/>
      <x:c r="D863" s="31" t="str">
        <x:f>IF(OR(ISBLANK(B863),ISBLANK(C863),B863=0),"",(C863-B863)/B863)</x:f>
      </x:c>
      <x:c r="E863" s="22" t="str">
        <x:f>IF(ISBLANK(C863),"AmountIncludingTax缺失",IF(ABS(B863-C863)&lt;0.005,"一致","不一致"))</x:f>
        <x:v>AmountIncludingTax缺失</x:v>
      </x:c>
      <x:c r="F863" s="19" t="str">
        <x:v>approved</x:v>
      </x:c>
      <x:c r="G863" s="19" t="str">
        <x:v>Repairer Invoiced Processed</x:v>
      </x:c>
      <x:c r="H863" s="19" t="str">
        <x:v>Pre Delivery</x:v>
      </x:c>
      <x:c r="I863" s="37" t="n">
        <x:v>46171</x:v>
      </x:c>
      <x:c r="J863" s="37" t="n">
        <x:v>46171</x:v>
      </x:c>
      <x:c r="K863" s="19" t="str">
        <x:v>Lesiure Lion-New Castle</x:v>
      </x:c>
      <x:c r="L863" s="19" t="str">
        <x:v>Z005</x:v>
      </x:c>
      <x:c r="M863" s="19" t="str">
        <x:v>Pre Delivery Warranty Claims</x:v>
      </x:c>
      <x:c r="N863" s="37" t="n">
        <x:v>46171</x:v>
      </x:c>
      <x:c r="O863" s="37"/>
      <x:c r="P863" s="34" t="n">
        <x:v>0</x:v>
      </x:c>
      <x:c r="Q863" s="37" t="n">
        <x:v>46171.27780092593</x:v>
      </x:c>
    </x:row>
    <x:row r="864">
      <x:c r="A864" s="22" t="n">
        <x:v>35686</x:v>
      </x:c>
      <x:c r="B864" s="28" t="n">
        <x:v>202.5</x:v>
      </x:c>
      <x:c r="C864" s="28"/>
      <x:c r="D864" s="31" t="str">
        <x:f>IF(OR(ISBLANK(B864),ISBLANK(C864),B864=0),"",(C864-B864)/B864)</x:f>
      </x:c>
      <x:c r="E864" s="22" t="str">
        <x:f>IF(ISBLANK(C864),"AmountIncludingTax缺失",IF(ABS(B864-C864)&lt;0.005,"一致","不一致"))</x:f>
        <x:v>AmountIncludingTax缺失</x:v>
      </x:c>
      <x:c r="F864" s="19" t="str">
        <x:v>approved</x:v>
      </x:c>
      <x:c r="G864" s="19" t="str">
        <x:v>Repairer Invoiced Processed</x:v>
      </x:c>
      <x:c r="H864" s="19" t="str">
        <x:v>In Field</x:v>
      </x:c>
      <x:c r="I864" s="37" t="n">
        <x:v>46171</x:v>
      </x:c>
      <x:c r="J864" s="37" t="n">
        <x:v>46171</x:v>
      </x:c>
      <x:c r="K864" s="19" t="str">
        <x:v>Green RV - Slacks Creek</x:v>
      </x:c>
      <x:c r="L864" s="19" t="str">
        <x:v>Z006</x:v>
      </x:c>
      <x:c r="M864" s="19" t="str">
        <x:v>In Field Warranty Claims</x:v>
      </x:c>
      <x:c r="N864" s="37" t="n">
        <x:v>46170</x:v>
      </x:c>
      <x:c r="O864" s="37"/>
      <x:c r="P864" s="34" t="n">
        <x:v>0</x:v>
      </x:c>
      <x:c r="Q864" s="37" t="n">
        <x:v>46171.20203703704</x:v>
      </x:c>
    </x:row>
    <x:row r="865">
      <x:c r="A865" s="22" t="n">
        <x:v>35685</x:v>
      </x:c>
      <x:c r="B865" s="28" t="n">
        <x:v>917.5</x:v>
      </x:c>
      <x:c r="C865" s="28"/>
      <x:c r="D865" s="31" t="str">
        <x:f>IF(OR(ISBLANK(B865),ISBLANK(C865),B865=0),"",(C865-B865)/B865)</x:f>
      </x:c>
      <x:c r="E865" s="22" t="str">
        <x:f>IF(ISBLANK(C865),"AmountIncludingTax缺失",IF(ABS(B865-C865)&lt;0.005,"一致","不一致"))</x:f>
        <x:v>AmountIncludingTax缺失</x:v>
      </x:c>
      <x:c r="F865" s="19" t="str">
        <x:v>approved</x:v>
      </x:c>
      <x:c r="G865" s="19" t="str">
        <x:v>Repair in Progress</x:v>
      </x:c>
      <x:c r="H865" s="19" t="str">
        <x:v>In Field</x:v>
      </x:c>
      <x:c r="I865" s="37" t="n">
        <x:v>46176</x:v>
      </x:c>
      <x:c r="J865" s="37" t="n">
        <x:v>46176</x:v>
      </x:c>
      <x:c r="K865" s="19" t="str">
        <x:v>Regent RV - Frankston</x:v>
      </x:c>
      <x:c r="L865" s="19" t="str">
        <x:v>Z006</x:v>
      </x:c>
      <x:c r="M865" s="19" t="str">
        <x:v>In Field Warranty Claims</x:v>
      </x:c>
      <x:c r="N865" s="37" t="n">
        <x:v>46170</x:v>
      </x:c>
      <x:c r="O865" s="37"/>
      <x:c r="P865" s="34" t="n">
        <x:v>0</x:v>
      </x:c>
      <x:c r="Q865" s="37" t="n">
        <x:v>46176.17321759259</x:v>
      </x:c>
    </x:row>
    <x:row r="866">
      <x:c r="A866" s="22" t="n">
        <x:v>35684</x:v>
      </x:c>
      <x:c r="B866" s="28" t="n">
        <x:v>337.5</x:v>
      </x:c>
      <x:c r="C866" s="28"/>
      <x:c r="D866" s="31" t="str">
        <x:f>IF(OR(ISBLANK(B866),ISBLANK(C866),B866=0),"",(C866-B866)/B866)</x:f>
      </x:c>
      <x:c r="E866" s="22" t="str">
        <x:f>IF(ISBLANK(C866),"AmountIncludingTax缺失",IF(ABS(B866-C866)&lt;0.005,"一致","不一致"))</x:f>
        <x:v>AmountIncludingTax缺失</x:v>
      </x:c>
      <x:c r="F866" s="19" t="str">
        <x:v>approved</x:v>
      </x:c>
      <x:c r="G866" s="19" t="str">
        <x:v>Repairer Invoiced Processed</x:v>
      </x:c>
      <x:c r="H866" s="19" t="str">
        <x:v>In Field</x:v>
      </x:c>
      <x:c r="I866" s="37" t="n">
        <x:v>46184</x:v>
      </x:c>
      <x:c r="J866" s="37" t="n">
        <x:v>46184</x:v>
      </x:c>
      <x:c r="K866" s="19" t="str">
        <x:v>Regent RV - Toowoomba</x:v>
      </x:c>
      <x:c r="L866" s="19" t="str">
        <x:v>Z006</x:v>
      </x:c>
      <x:c r="M866" s="19" t="str">
        <x:v>In Field Warranty Claims</x:v>
      </x:c>
      <x:c r="N866" s="37" t="n">
        <x:v>46170</x:v>
      </x:c>
      <x:c r="O866" s="37"/>
      <x:c r="P866" s="34" t="n">
        <x:v>0</x:v>
      </x:c>
      <x:c r="Q866" s="37" t="n">
        <x:v>46184.15460648148</x:v>
      </x:c>
    </x:row>
    <x:row r="867">
      <x:c r="A867" s="22" t="n">
        <x:v>35681</x:v>
      </x:c>
      <x:c r="B867" s="28" t="n">
        <x:v>1388.64</x:v>
      </x:c>
      <x:c r="C867" s="28"/>
      <x:c r="D867" s="31" t="str">
        <x:f>IF(OR(ISBLANK(B867),ISBLANK(C867),B867=0),"",(C867-B867)/B867)</x:f>
      </x:c>
      <x:c r="E867" s="22" t="str">
        <x:f>IF(ISBLANK(C867),"AmountIncludingTax缺失",IF(ABS(B867-C867)&lt;0.005,"一致","不一致"))</x:f>
        <x:v>AmountIncludingTax缺失</x:v>
      </x:c>
      <x:c r="F867" s="19" t="str">
        <x:v>approved</x:v>
      </x:c>
      <x:c r="G867" s="19" t="str">
        <x:v>Repair in Progress</x:v>
      </x:c>
      <x:c r="H867" s="19" t="str">
        <x:v>In Field</x:v>
      </x:c>
      <x:c r="I867" s="37" t="n">
        <x:v>46178</x:v>
      </x:c>
      <x:c r="J867" s="37" t="n">
        <x:v>46178</x:v>
      </x:c>
      <x:c r="K867" s="19" t="str">
        <x:v>Green RV - Forest Glen</x:v>
      </x:c>
      <x:c r="L867" s="19" t="str">
        <x:v>Z006</x:v>
      </x:c>
      <x:c r="M867" s="19" t="str">
        <x:v>In Field Warranty Claims</x:v>
      </x:c>
      <x:c r="N867" s="37" t="n">
        <x:v>46170</x:v>
      </x:c>
      <x:c r="O867" s="37"/>
      <x:c r="P867" s="34" t="n">
        <x:v>1527.5</x:v>
      </x:c>
      <x:c r="Q867" s="37" t="n">
        <x:v>46178.22211805556</x:v>
      </x:c>
    </x:row>
    <x:row r="868">
      <x:c r="A868" s="22" t="n">
        <x:v>35676</x:v>
      </x:c>
      <x:c r="B868" s="28" t="n">
        <x:v>67.5</x:v>
      </x:c>
      <x:c r="C868" s="28"/>
      <x:c r="D868" s="31" t="str">
        <x:f>IF(OR(ISBLANK(B868),ISBLANK(C868),B868=0),"",(C868-B868)/B868)</x:f>
      </x:c>
      <x:c r="E868" s="22" t="str">
        <x:f>IF(ISBLANK(C868),"AmountIncludingTax缺失",IF(ABS(B868-C868)&lt;0.005,"一致","不一致"))</x:f>
        <x:v>AmountIncludingTax缺失</x:v>
      </x:c>
      <x:c r="F868" s="19" t="str">
        <x:v>approved</x:v>
      </x:c>
      <x:c r="G868" s="19" t="str">
        <x:v>Repair in Progress</x:v>
      </x:c>
      <x:c r="H868" s="19" t="str">
        <x:v>In Field</x:v>
      </x:c>
      <x:c r="I868" s="37" t="n">
        <x:v>46175</x:v>
      </x:c>
      <x:c r="J868" s="37" t="n">
        <x:v>46175</x:v>
      </x:c>
      <x:c r="K868" s="19" t="str">
        <x:v>Not Assigned</x:v>
      </x:c>
      <x:c r="L868" s="19" t="str">
        <x:v>Z006</x:v>
      </x:c>
      <x:c r="M868" s="19" t="str">
        <x:v>In Field Warranty Claims</x:v>
      </x:c>
      <x:c r="N868" s="37" t="n">
        <x:v>46171</x:v>
      </x:c>
      <x:c r="O868" s="37"/>
      <x:c r="P868" s="34" t="n">
        <x:v>0</x:v>
      </x:c>
      <x:c r="Q868" s="37" t="n">
        <x:v>46175.15251157407</x:v>
      </x:c>
    </x:row>
    <x:row r="869">
      <x:c r="A869" s="22" t="n">
        <x:v>35672</x:v>
      </x:c>
      <x:c r="B869" s="28" t="n">
        <x:v>237.5</x:v>
      </x:c>
      <x:c r="C869" s="28" t="n">
        <x:v>261.25</x:v>
      </x:c>
      <x:c r="D869" s="31" t="n">
        <x:f>IF(OR(ISBLANK(B869),ISBLANK(C869),B869=0),"",(C869-B869)/B869)</x:f>
        <x:v>0.1</x:v>
      </x:c>
      <x:c r="E869" s="22" t="str">
        <x:f>IF(ISBLANK(C869),"AmountIncludingTax缺失",IF(ABS(B869-C869)&lt;0.005,"一致","不一致"))</x:f>
        <x:v>不一致</x:v>
      </x:c>
      <x:c r="F869" s="19" t="str">
        <x:v>approved</x:v>
      </x:c>
      <x:c r="G869" s="19" t="str">
        <x:v>Repairer Invoiced Processed</x:v>
      </x:c>
      <x:c r="H869" s="19" t="str">
        <x:v>Pre Delivery</x:v>
      </x:c>
      <x:c r="I869" s="37" t="n">
        <x:v>46170</x:v>
      </x:c>
      <x:c r="J869" s="37" t="n">
        <x:v>46170</x:v>
      </x:c>
      <x:c r="K869" s="19" t="str">
        <x:v>The Caravan Hub - Townsville</x:v>
      </x:c>
      <x:c r="L869" s="19" t="str">
        <x:v>Z005</x:v>
      </x:c>
      <x:c r="M869" s="19" t="str">
        <x:v>Pre Delivery Warranty Claims</x:v>
      </x:c>
      <x:c r="N869" s="37" t="n">
        <x:v>46170</x:v>
      </x:c>
      <x:c r="O869" s="37"/>
      <x:c r="P869" s="34" t="n">
        <x:v>261.25</x:v>
      </x:c>
      <x:c r="Q869" s="37" t="n">
        <x:v>46170.22541666667</x:v>
      </x:c>
    </x:row>
    <x:row r="870">
      <x:c r="A870" s="22" t="n">
        <x:v>35662</x:v>
      </x:c>
      <x:c r="B870" s="28" t="n">
        <x:v>2164.2</x:v>
      </x:c>
      <x:c r="C870" s="28"/>
      <x:c r="D870" s="31" t="str">
        <x:f>IF(OR(ISBLANK(B870),ISBLANK(C870),B870=0),"",(C870-B870)/B870)</x:f>
      </x:c>
      <x:c r="E870" s="22" t="str">
        <x:f>IF(ISBLANK(C870),"AmountIncludingTax缺失",IF(ABS(B870-C870)&lt;0.005,"一致","不一致"))</x:f>
        <x:v>AmountIncludingTax缺失</x:v>
      </x:c>
      <x:c r="F870" s="19" t="str">
        <x:v>approved</x:v>
      </x:c>
      <x:c r="G870" s="19" t="str">
        <x:v>Repair in Progress</x:v>
      </x:c>
      <x:c r="H870" s="19" t="str">
        <x:v>In Field</x:v>
      </x:c>
      <x:c r="I870" s="37" t="n">
        <x:v>46196</x:v>
      </x:c>
      <x:c r="J870" s="37" t="n">
        <x:v>46196</x:v>
      </x:c>
      <x:c r="K870" s="19" t="str">
        <x:v>Vanari Caravans - Marden Point</x:v>
      </x:c>
      <x:c r="L870" s="19" t="str">
        <x:v>Z006</x:v>
      </x:c>
      <x:c r="M870" s="19" t="str">
        <x:v>In Field Warranty Claims</x:v>
      </x:c>
      <x:c r="N870" s="37" t="n">
        <x:v>46170</x:v>
      </x:c>
      <x:c r="O870" s="37"/>
      <x:c r="P870" s="34" t="n">
        <x:v>0</x:v>
      </x:c>
      <x:c r="Q870" s="37" t="n">
        <x:v>46196.151087962964</x:v>
      </x:c>
    </x:row>
    <x:row r="871">
      <x:c r="A871" s="22" t="n">
        <x:v>35661</x:v>
      </x:c>
      <x:c r="B871" s="28" t="n">
        <x:v>1207.5</x:v>
      </x:c>
      <x:c r="C871" s="28"/>
      <x:c r="D871" s="31" t="str">
        <x:f>IF(OR(ISBLANK(B871),ISBLANK(C871),B871=0),"",(C871-B871)/B871)</x:f>
      </x:c>
      <x:c r="E871" s="22" t="str">
        <x:f>IF(ISBLANK(C871),"AmountIncludingTax缺失",IF(ABS(B871-C871)&lt;0.005,"一致","不一致"))</x:f>
        <x:v>AmountIncludingTax缺失</x:v>
      </x:c>
      <x:c r="F871" s="19" t="str">
        <x:v>approved</x:v>
      </x:c>
      <x:c r="G871" s="19" t="str">
        <x:v>Repair in Progress</x:v>
      </x:c>
      <x:c r="H871" s="19" t="str">
        <x:v>In Field</x:v>
      </x:c>
      <x:c r="I871" s="37" t="n">
        <x:v>46174</x:v>
      </x:c>
      <x:c r="J871" s="37" t="n">
        <x:v>46174</x:v>
      </x:c>
      <x:c r="K871" s="19" t="str">
        <x:v>Green RV - Forest Glen</x:v>
      </x:c>
      <x:c r="L871" s="19" t="str">
        <x:v>Z006</x:v>
      </x:c>
      <x:c r="M871" s="19" t="str">
        <x:v>In Field Warranty Claims</x:v>
      </x:c>
      <x:c r="N871" s="37" t="n">
        <x:v>46170</x:v>
      </x:c>
      <x:c r="O871" s="37"/>
      <x:c r="P871" s="34" t="n">
        <x:v>0</x:v>
      </x:c>
      <x:c r="Q871" s="37" t="n">
        <x:v>46173.93534722222</x:v>
      </x:c>
    </x:row>
    <x:row r="872">
      <x:c r="A872" s="22" t="n">
        <x:v>35660</x:v>
      </x:c>
      <x:c r="B872" s="28" t="n">
        <x:v>405</x:v>
      </x:c>
      <x:c r="C872" s="28"/>
      <x:c r="D872" s="31" t="str">
        <x:f>IF(OR(ISBLANK(B872),ISBLANK(C872),B872=0),"",(C872-B872)/B872)</x:f>
      </x:c>
      <x:c r="E872" s="22" t="str">
        <x:f>IF(ISBLANK(C872),"AmountIncludingTax缺失",IF(ABS(B872-C872)&lt;0.005,"一致","不一致"))</x:f>
        <x:v>AmountIncludingTax缺失</x:v>
      </x:c>
      <x:c r="F872" s="19" t="str">
        <x:v>approved</x:v>
      </x:c>
      <x:c r="G872" s="19" t="str">
        <x:v>Sales Order Approved</x:v>
      </x:c>
      <x:c r="H872" s="19" t="str">
        <x:v>Pre Delivery</x:v>
      </x:c>
      <x:c r="I872" s="37" t="n">
        <x:v>46199</x:v>
      </x:c>
      <x:c r="J872" s="37" t="n">
        <x:v>46199</x:v>
      </x:c>
      <x:c r="K872" s="19" t="str">
        <x:v>Destiny RV - South Australia</x:v>
      </x:c>
      <x:c r="L872" s="19" t="str">
        <x:v>Z005</x:v>
      </x:c>
      <x:c r="M872" s="19" t="str">
        <x:v>Pre Delivery Warranty Claims</x:v>
      </x:c>
      <x:c r="N872" s="37" t="n">
        <x:v>46170</x:v>
      </x:c>
      <x:c r="O872" s="37"/>
      <x:c r="P872" s="34" t="n">
        <x:v>0</x:v>
      </x:c>
      <x:c r="Q872" s="37" t="n">
        <x:v>46199.237395833334</x:v>
      </x:c>
    </x:row>
    <x:row r="873">
      <x:c r="A873" s="22" t="n">
        <x:v>35659</x:v>
      </x:c>
      <x:c r="B873" s="28" t="n">
        <x:v>270</x:v>
      </x:c>
      <x:c r="C873" s="28" t="n">
        <x:v>297</x:v>
      </x:c>
      <x:c r="D873" s="31" t="n">
        <x:f>IF(OR(ISBLANK(B873),ISBLANK(C873),B873=0),"",(C873-B873)/B873)</x:f>
        <x:v>0.1</x:v>
      </x:c>
      <x:c r="E873" s="22" t="str">
        <x:f>IF(ISBLANK(C873),"AmountIncludingTax缺失",IF(ABS(B873-C873)&lt;0.005,"一致","不一致"))</x:f>
        <x:v>不一致</x:v>
      </x:c>
      <x:c r="F873" s="19" t="str">
        <x:v>approved</x:v>
      </x:c>
      <x:c r="G873" s="19" t="str">
        <x:v>Repairer Invoiced Processed</x:v>
      </x:c>
      <x:c r="H873" s="19" t="str">
        <x:v>Pre Delivery</x:v>
      </x:c>
      <x:c r="I873" s="37" t="n">
        <x:v>46170</x:v>
      </x:c>
      <x:c r="J873" s="37" t="n">
        <x:v>46170</x:v>
      </x:c>
      <x:c r="K873" s="19" t="str">
        <x:v>Regent RV Pty Ltd</x:v>
      </x:c>
      <x:c r="L873" s="19" t="str">
        <x:v>Z005</x:v>
      </x:c>
      <x:c r="M873" s="19" t="str">
        <x:v>Pre Delivery Warranty Claims</x:v>
      </x:c>
      <x:c r="N873" s="37" t="n">
        <x:v>46170</x:v>
      </x:c>
      <x:c r="O873" s="37"/>
      <x:c r="P873" s="34" t="n">
        <x:v>297</x:v>
      </x:c>
      <x:c r="Q873" s="37" t="n">
        <x:v>46170.21386574074</x:v>
      </x:c>
    </x:row>
    <x:row r="874">
      <x:c r="A874" s="22" t="n">
        <x:v>35658</x:v>
      </x:c>
      <x:c r="B874" s="28" t="n">
        <x:v>270</x:v>
      </x:c>
      <x:c r="C874" s="28" t="n">
        <x:v>297</x:v>
      </x:c>
      <x:c r="D874" s="31" t="n">
        <x:f>IF(OR(ISBLANK(B874),ISBLANK(C874),B874=0),"",(C874-B874)/B874)</x:f>
        <x:v>0.1</x:v>
      </x:c>
      <x:c r="E874" s="22" t="str">
        <x:f>IF(ISBLANK(C874),"AmountIncludingTax缺失",IF(ABS(B874-C874)&lt;0.005,"一致","不一致"))</x:f>
        <x:v>不一致</x:v>
      </x:c>
      <x:c r="F874" s="19" t="str">
        <x:v>approved</x:v>
      </x:c>
      <x:c r="G874" s="19" t="str">
        <x:v>Repair in Progress</x:v>
      </x:c>
      <x:c r="H874" s="19" t="str">
        <x:v>Pre Delivery</x:v>
      </x:c>
      <x:c r="I874" s="37" t="n">
        <x:v>46170</x:v>
      </x:c>
      <x:c r="J874" s="37" t="n">
        <x:v>46170</x:v>
      </x:c>
      <x:c r="K874" s="19" t="str">
        <x:v>Regent RV Pty Ltd</x:v>
      </x:c>
      <x:c r="L874" s="19" t="str">
        <x:v>Z005</x:v>
      </x:c>
      <x:c r="M874" s="19" t="str">
        <x:v>Pre Delivery Warranty Claims</x:v>
      </x:c>
      <x:c r="N874" s="37" t="n">
        <x:v>46170</x:v>
      </x:c>
      <x:c r="O874" s="37"/>
      <x:c r="P874" s="34" t="n">
        <x:v>297</x:v>
      </x:c>
      <x:c r="Q874" s="37" t="n">
        <x:v>46170.24511574074</x:v>
      </x:c>
    </x:row>
    <x:row r="875">
      <x:c r="A875" s="22" t="n">
        <x:v>35656</x:v>
      </x:c>
      <x:c r="B875" s="28" t="n">
        <x:v>290</x:v>
      </x:c>
      <x:c r="C875" s="28"/>
      <x:c r="D875" s="31" t="str">
        <x:f>IF(OR(ISBLANK(B875),ISBLANK(C875),B875=0),"",(C875-B875)/B875)</x:f>
      </x:c>
      <x:c r="E875" s="22" t="str">
        <x:f>IF(ISBLANK(C875),"AmountIncludingTax缺失",IF(ABS(B875-C875)&lt;0.005,"一致","不一致"))</x:f>
        <x:v>AmountIncludingTax缺失</x:v>
      </x:c>
      <x:c r="F875" s="19" t="str">
        <x:v>approved</x:v>
      </x:c>
      <x:c r="G875" s="19" t="str">
        <x:v>Repair in Progress</x:v>
      </x:c>
      <x:c r="H875" s="19" t="str">
        <x:v>In Field</x:v>
      </x:c>
      <x:c r="I875" s="37" t="n">
        <x:v>46174</x:v>
      </x:c>
      <x:c r="J875" s="37" t="n">
        <x:v>46174</x:v>
      </x:c>
      <x:c r="K875" s="19" t="str">
        <x:v>Green RV - Forest Glen</x:v>
      </x:c>
      <x:c r="L875" s="19" t="str">
        <x:v>Z006</x:v>
      </x:c>
      <x:c r="M875" s="19" t="str">
        <x:v>In Field Warranty Claims</x:v>
      </x:c>
      <x:c r="N875" s="37" t="n">
        <x:v>46170</x:v>
      </x:c>
      <x:c r="O875" s="37"/>
      <x:c r="P875" s="34" t="n">
        <x:v>0</x:v>
      </x:c>
      <x:c r="Q875" s="37" t="n">
        <x:v>46174.09376157408</x:v>
      </x:c>
    </x:row>
    <x:row r="876">
      <x:c r="A876" s="22" t="n">
        <x:v>35655</x:v>
      </x:c>
      <x:c r="B876" s="28" t="n">
        <x:v>135</x:v>
      </x:c>
      <x:c r="C876" s="28"/>
      <x:c r="D876" s="31" t="str">
        <x:f>IF(OR(ISBLANK(B876),ISBLANK(C876),B876=0),"",(C876-B876)/B876)</x:f>
      </x:c>
      <x:c r="E876" s="22" t="str">
        <x:f>IF(ISBLANK(C876),"AmountIncludingTax缺失",IF(ABS(B876-C876)&lt;0.005,"一致","不一致"))</x:f>
        <x:v>AmountIncludingTax缺失</x:v>
      </x:c>
      <x:c r="F876" s="19" t="str">
        <x:v>approved</x:v>
      </x:c>
      <x:c r="G876" s="19" t="str">
        <x:v>Repair in Progress</x:v>
      </x:c>
      <x:c r="H876" s="19" t="str">
        <x:v>In Field</x:v>
      </x:c>
      <x:c r="I876" s="37" t="n">
        <x:v>46171</x:v>
      </x:c>
      <x:c r="J876" s="37" t="n">
        <x:v>46171</x:v>
      </x:c>
      <x:c r="K876" s="19" t="str">
        <x:v>Green RV - Forest Glen</x:v>
      </x:c>
      <x:c r="L876" s="19" t="str">
        <x:v>Z006</x:v>
      </x:c>
      <x:c r="M876" s="19" t="str">
        <x:v>In Field Warranty Claims</x:v>
      </x:c>
      <x:c r="N876" s="37" t="n">
        <x:v>46170</x:v>
      </x:c>
      <x:c r="O876" s="37"/>
      <x:c r="P876" s="34" t="n">
        <x:v>0</x:v>
      </x:c>
      <x:c r="Q876" s="37" t="n">
        <x:v>46170.935960648145</x:v>
      </x:c>
    </x:row>
    <x:row r="877">
      <x:c r="A877" s="22" t="n">
        <x:v>35654</x:v>
      </x:c>
      <x:c r="B877" s="28" t="n">
        <x:v>1005</x:v>
      </x:c>
      <x:c r="C877" s="28"/>
      <x:c r="D877" s="31" t="str">
        <x:f>IF(OR(ISBLANK(B877),ISBLANK(C877),B877=0),"",(C877-B877)/B877)</x:f>
      </x:c>
      <x:c r="E877" s="22" t="str">
        <x:f>IF(ISBLANK(C877),"AmountIncludingTax缺失",IF(ABS(B877-C877)&lt;0.005,"一致","不一致"))</x:f>
        <x:v>AmountIncludingTax缺失</x:v>
      </x:c>
      <x:c r="F877" s="19" t="str">
        <x:v>approved</x:v>
      </x:c>
      <x:c r="G877" s="19" t="str">
        <x:v>Repairer Invoiced Processed</x:v>
      </x:c>
      <x:c r="H877" s="19" t="str">
        <x:v>In Field</x:v>
      </x:c>
      <x:c r="I877" s="37" t="n">
        <x:v>46171</x:v>
      </x:c>
      <x:c r="J877" s="37" t="n">
        <x:v>46171</x:v>
      </x:c>
      <x:c r="K877" s="19" t="str">
        <x:v>Green RV - Forest Glen</x:v>
      </x:c>
      <x:c r="L877" s="19" t="str">
        <x:v>Z006</x:v>
      </x:c>
      <x:c r="M877" s="19" t="str">
        <x:v>In Field Warranty Claims</x:v>
      </x:c>
      <x:c r="N877" s="37" t="n">
        <x:v>46170</x:v>
      </x:c>
      <x:c r="O877" s="37"/>
      <x:c r="P877" s="34" t="n">
        <x:v>0</x:v>
      </x:c>
      <x:c r="Q877" s="37" t="n">
        <x:v>46170.941296296296</x:v>
      </x:c>
    </x:row>
    <x:row r="878">
      <x:c r="A878" s="22" t="n">
        <x:v>35653</x:v>
      </x:c>
      <x:c r="B878" s="28" t="n">
        <x:v>472.5</x:v>
      </x:c>
      <x:c r="C878" s="28"/>
      <x:c r="D878" s="31" t="str">
        <x:f>IF(OR(ISBLANK(B878),ISBLANK(C878),B878=0),"",(C878-B878)/B878)</x:f>
      </x:c>
      <x:c r="E878" s="22" t="str">
        <x:f>IF(ISBLANK(C878),"AmountIncludingTax缺失",IF(ABS(B878-C878)&lt;0.005,"一致","不一致"))</x:f>
        <x:v>AmountIncludingTax缺失</x:v>
      </x:c>
      <x:c r="F878" s="19" t="str">
        <x:v>approved</x:v>
      </x:c>
      <x:c r="G878" s="19" t="str">
        <x:v>Sales Order Approved</x:v>
      </x:c>
      <x:c r="H878" s="19" t="str">
        <x:v>Pre Delivery</x:v>
      </x:c>
      <x:c r="I878" s="37" t="n">
        <x:v>46209</x:v>
      </x:c>
      <x:c r="J878" s="37" t="n">
        <x:v>46209</x:v>
      </x:c>
      <x:c r="K878" s="19" t="str">
        <x:v>Regent RV - Toowoomba</x:v>
      </x:c>
      <x:c r="L878" s="19" t="str">
        <x:v>Z005</x:v>
      </x:c>
      <x:c r="M878" s="19" t="str">
        <x:v>Pre Delivery Warranty Claims</x:v>
      </x:c>
      <x:c r="N878" s="37" t="n">
        <x:v>46170</x:v>
      </x:c>
      <x:c r="O878" s="37"/>
      <x:c r="P878" s="34" t="n">
        <x:v>0</x:v>
      </x:c>
      <x:c r="Q878" s="37" t="n">
        <x:v>46209.22650462963</x:v>
      </x:c>
    </x:row>
    <x:row r="879">
      <x:c r="A879" s="22" t="n">
        <x:v>35651</x:v>
      </x:c>
      <x:c r="B879" s="28" t="n">
        <x:v>368.18</x:v>
      </x:c>
      <x:c r="C879" s="28" t="n">
        <x:v>405</x:v>
      </x:c>
      <x:c r="D879" s="31" t="n">
        <x:f>IF(OR(ISBLANK(B879),ISBLANK(C879),B879=0),"",(C879-B879)/B879)</x:f>
        <x:v>0.10000543212559072</x:v>
      </x:c>
      <x:c r="E879" s="22" t="str">
        <x:f>IF(ISBLANK(C879),"AmountIncludingTax缺失",IF(ABS(B879-C879)&lt;0.005,"一致","不一致"))</x:f>
        <x:v>不一致</x:v>
      </x:c>
      <x:c r="F879" s="19" t="str">
        <x:v>approved</x:v>
      </x:c>
      <x:c r="G879" s="19" t="str">
        <x:v>Repairer Invoiced Processed</x:v>
      </x:c>
      <x:c r="H879" s="19" t="str">
        <x:v>In Field</x:v>
      </x:c>
      <x:c r="I879" s="37" t="n">
        <x:v>46197</x:v>
      </x:c>
      <x:c r="J879" s="37" t="n">
        <x:v>46197</x:v>
      </x:c>
      <x:c r="K879" s="19" t="str">
        <x:v>Regent RV - Perth</x:v>
      </x:c>
      <x:c r="L879" s="19" t="str">
        <x:v>Z006</x:v>
      </x:c>
      <x:c r="M879" s="19" t="str">
        <x:v>In Field Warranty Claims</x:v>
      </x:c>
      <x:c r="N879" s="37" t="n">
        <x:v>46170</x:v>
      </x:c>
      <x:c r="O879" s="37"/>
      <x:c r="P879" s="34" t="n">
        <x:v>405</x:v>
      </x:c>
      <x:c r="Q879" s="37" t="n">
        <x:v>46196.89894675926</x:v>
      </x:c>
    </x:row>
    <x:row r="880">
      <x:c r="A880" s="22" t="n">
        <x:v>35640</x:v>
      </x:c>
      <x:c r="B880" s="28" t="n">
        <x:v>782.5</x:v>
      </x:c>
      <x:c r="C880" s="28"/>
      <x:c r="D880" s="31" t="str">
        <x:f>IF(OR(ISBLANK(B880),ISBLANK(C880),B880=0),"",(C880-B880)/B880)</x:f>
      </x:c>
      <x:c r="E880" s="22" t="str">
        <x:f>IF(ISBLANK(C880),"AmountIncludingTax缺失",IF(ABS(B880-C880)&lt;0.005,"一致","不一致"))</x:f>
        <x:v>AmountIncludingTax缺失</x:v>
      </x:c>
      <x:c r="F880" s="19" t="str">
        <x:v>approved</x:v>
      </x:c>
      <x:c r="G880" s="19" t="str">
        <x:v>Sales Order Approved</x:v>
      </x:c>
      <x:c r="H880" s="19" t="str">
        <x:v>In Field</x:v>
      </x:c>
      <x:c r="I880" s="37" t="n">
        <x:v>46211</x:v>
      </x:c>
      <x:c r="J880" s="37" t="n">
        <x:v>46211</x:v>
      </x:c>
      <x:c r="K880" s="19" t="str">
        <x:v>Regent RV - Traralgon</x:v>
      </x:c>
      <x:c r="L880" s="19" t="str">
        <x:v>Z006</x:v>
      </x:c>
      <x:c r="M880" s="19" t="str">
        <x:v>In Field Warranty Claims</x:v>
      </x:c>
      <x:c r="N880" s="37" t="n">
        <x:v>46170</x:v>
      </x:c>
      <x:c r="O880" s="37"/>
      <x:c r="P880" s="34" t="n">
        <x:v>0</x:v>
      </x:c>
      <x:c r="Q880" s="37" t="n">
        <x:v>46210.98063657407</x:v>
      </x:c>
    </x:row>
    <x:row r="881">
      <x:c r="A881" s="22" t="n">
        <x:v>35639</x:v>
      </x:c>
      <x:c r="B881" s="28" t="n">
        <x:v>810</x:v>
      </x:c>
      <x:c r="C881" s="28"/>
      <x:c r="D881" s="31" t="str">
        <x:f>IF(OR(ISBLANK(B881),ISBLANK(C881),B881=0),"",(C881-B881)/B881)</x:f>
      </x:c>
      <x:c r="E881" s="22" t="str">
        <x:f>IF(ISBLANK(C881),"AmountIncludingTax缺失",IF(ABS(B881-C881)&lt;0.005,"一致","不一致"))</x:f>
        <x:v>AmountIncludingTax缺失</x:v>
      </x:c>
      <x:c r="F881" s="19" t="str">
        <x:v>approved</x:v>
      </x:c>
      <x:c r="G881" s="19" t="str">
        <x:v>Repair in Progress</x:v>
      </x:c>
      <x:c r="H881" s="19" t="str">
        <x:v>In Field</x:v>
      </x:c>
      <x:c r="I881" s="37" t="n">
        <x:v>46174</x:v>
      </x:c>
      <x:c r="J881" s="37" t="n">
        <x:v>46174</x:v>
      </x:c>
      <x:c r="K881" s="19" t="str">
        <x:v>Snowy River Wangaratta</x:v>
      </x:c>
      <x:c r="L881" s="19" t="str">
        <x:v>Z006</x:v>
      </x:c>
      <x:c r="M881" s="19" t="str">
        <x:v>In Field Warranty Claims</x:v>
      </x:c>
      <x:c r="N881" s="37" t="n">
        <x:v>46170</x:v>
      </x:c>
      <x:c r="O881" s="37"/>
      <x:c r="P881" s="34" t="n">
        <x:v>0</x:v>
      </x:c>
      <x:c r="Q881" s="37" t="n">
        <x:v>46174.020324074074</x:v>
      </x:c>
    </x:row>
    <x:row r="882">
      <x:c r="A882" s="22" t="n">
        <x:v>35638</x:v>
      </x:c>
      <x:c r="B882" s="28" t="n">
        <x:v>181.82</x:v>
      </x:c>
      <x:c r="C882" s="28" t="n">
        <x:v>200</x:v>
      </x:c>
      <x:c r="D882" s="31" t="n">
        <x:f>IF(OR(ISBLANK(B882),ISBLANK(C882),B882=0),"",(C882-B882)/B882)</x:f>
        <x:v>0.09998900010999894</x:v>
      </x:c>
      <x:c r="E882" s="22" t="str">
        <x:f>IF(ISBLANK(C882),"AmountIncludingTax缺失",IF(ABS(B882-C882)&lt;0.005,"一致","不一致"))</x:f>
        <x:v>不一致</x:v>
      </x:c>
      <x:c r="F882" s="19" t="str">
        <x:v>approved</x:v>
      </x:c>
      <x:c r="G882" s="19" t="str">
        <x:v>Repair in Progress</x:v>
      </x:c>
      <x:c r="H882" s="19" t="str">
        <x:v>In Field</x:v>
      </x:c>
      <x:c r="I882" s="37" t="n">
        <x:v>46202</x:v>
      </x:c>
      <x:c r="J882" s="37" t="n">
        <x:v>46202</x:v>
      </x:c>
      <x:c r="K882" s="19" t="str">
        <x:v>Regent RV - Toowoomba</x:v>
      </x:c>
      <x:c r="L882" s="19" t="str">
        <x:v>Z006</x:v>
      </x:c>
      <x:c r="M882" s="19" t="str">
        <x:v>In Field Warranty Claims</x:v>
      </x:c>
      <x:c r="N882" s="37" t="n">
        <x:v>46170</x:v>
      </x:c>
      <x:c r="O882" s="37"/>
      <x:c r="P882" s="34" t="n">
        <x:v>200</x:v>
      </x:c>
      <x:c r="Q882" s="37" t="n">
        <x:v>46202.19032407407</x:v>
      </x:c>
    </x:row>
    <x:row r="883">
      <x:c r="A883" s="22" t="n">
        <x:v>35637</x:v>
      </x:c>
      <x:c r="B883" s="28" t="n">
        <x:v>44.99</x:v>
      </x:c>
      <x:c r="C883" s="28"/>
      <x:c r="D883" s="31" t="str">
        <x:f>IF(OR(ISBLANK(B883),ISBLANK(C883),B883=0),"",(C883-B883)/B883)</x:f>
      </x:c>
      <x:c r="E883" s="22" t="str">
        <x:f>IF(ISBLANK(C883),"AmountIncludingTax缺失",IF(ABS(B883-C883)&lt;0.005,"一致","不一致"))</x:f>
        <x:v>AmountIncludingTax缺失</x:v>
      </x:c>
      <x:c r="F883" s="19" t="str">
        <x:v>approved</x:v>
      </x:c>
      <x:c r="G883" s="19" t="str">
        <x:v>Sales Order Approved</x:v>
      </x:c>
      <x:c r="H883" s="19" t="str">
        <x:v>Pre Delivery</x:v>
      </x:c>
      <x:c r="I883" s="37" t="n">
        <x:v>46171</x:v>
      </x:c>
      <x:c r="J883" s="37" t="n">
        <x:v>46171</x:v>
      </x:c>
      <x:c r="K883" s="19" t="str">
        <x:v>Lesiure Lion-New Castle</x:v>
      </x:c>
      <x:c r="L883" s="19" t="str">
        <x:v>Z005</x:v>
      </x:c>
      <x:c r="M883" s="19" t="str">
        <x:v>Pre Delivery Warranty Claims</x:v>
      </x:c>
      <x:c r="N883" s="37" t="n">
        <x:v>46170</x:v>
      </x:c>
      <x:c r="O883" s="37"/>
      <x:c r="P883" s="34" t="n">
        <x:v>0</x:v>
      </x:c>
      <x:c r="Q883" s="37" t="n">
        <x:v>46171.206875</x:v>
      </x:c>
    </x:row>
    <x:row r="884">
      <x:c r="A884" s="22" t="n">
        <x:v>35636</x:v>
      </x:c>
      <x:c r="B884" s="28" t="n">
        <x:v>2650.2</x:v>
      </x:c>
      <x:c r="C884" s="28"/>
      <x:c r="D884" s="31" t="str">
        <x:f>IF(OR(ISBLANK(B884),ISBLANK(C884),B884=0),"",(C884-B884)/B884)</x:f>
      </x:c>
      <x:c r="E884" s="22" t="str">
        <x:f>IF(ISBLANK(C884),"AmountIncludingTax缺失",IF(ABS(B884-C884)&lt;0.005,"一致","不一致"))</x:f>
        <x:v>AmountIncludingTax缺失</x:v>
      </x:c>
      <x:c r="F884" s="19" t="str">
        <x:v>approved</x:v>
      </x:c>
      <x:c r="G884" s="19" t="str">
        <x:v>Repair in Progress</x:v>
      </x:c>
      <x:c r="H884" s="19" t="str">
        <x:v>In Field</x:v>
      </x:c>
      <x:c r="I884" s="37" t="n">
        <x:v>46174</x:v>
      </x:c>
      <x:c r="J884" s="37" t="n">
        <x:v>46174</x:v>
      </x:c>
      <x:c r="K884" s="19" t="str">
        <x:v>Vanari Caravans - Marden Point</x:v>
      </x:c>
      <x:c r="L884" s="19" t="str">
        <x:v>Z006</x:v>
      </x:c>
      <x:c r="M884" s="19" t="str">
        <x:v>In Field Warranty Claims</x:v>
      </x:c>
      <x:c r="N884" s="37" t="n">
        <x:v>46169</x:v>
      </x:c>
      <x:c r="O884" s="37"/>
      <x:c r="P884" s="34" t="n">
        <x:v>2399.49</x:v>
      </x:c>
      <x:c r="Q884" s="37" t="n">
        <x:v>46174.26059027778</x:v>
      </x:c>
    </x:row>
    <x:row r="885">
      <x:c r="A885" s="22" t="n">
        <x:v>35635</x:v>
      </x:c>
      <x:c r="B885" s="28" t="n">
        <x:v>2251.2</x:v>
      </x:c>
      <x:c r="C885" s="28"/>
      <x:c r="D885" s="31" t="str">
        <x:f>IF(OR(ISBLANK(B885),ISBLANK(C885),B885=0),"",(C885-B885)/B885)</x:f>
      </x:c>
      <x:c r="E885" s="22" t="str">
        <x:f>IF(ISBLANK(C885),"AmountIncludingTax缺失",IF(ABS(B885-C885)&lt;0.005,"一致","不一致"))</x:f>
        <x:v>AmountIncludingTax缺失</x:v>
      </x:c>
      <x:c r="F885" s="19" t="str">
        <x:v>approved</x:v>
      </x:c>
      <x:c r="G885" s="19" t="str">
        <x:v>Repairer Invoiced Processed</x:v>
      </x:c>
      <x:c r="H885" s="19" t="str">
        <x:v>In Field</x:v>
      </x:c>
      <x:c r="I885" s="37" t="n">
        <x:v>46176</x:v>
      </x:c>
      <x:c r="J885" s="37" t="n">
        <x:v>46176</x:v>
      </x:c>
      <x:c r="K885" s="19" t="str">
        <x:v>Vanari Caravans - Marden Point</x:v>
      </x:c>
      <x:c r="L885" s="19" t="str">
        <x:v>Z006</x:v>
      </x:c>
      <x:c r="M885" s="19" t="str">
        <x:v>In Field Warranty Claims</x:v>
      </x:c>
      <x:c r="N885" s="37" t="n">
        <x:v>46169</x:v>
      </x:c>
      <x:c r="O885" s="37"/>
      <x:c r="P885" s="34" t="n">
        <x:v>2038.24</x:v>
      </x:c>
      <x:c r="Q885" s="37" t="n">
        <x:v>46176.11672453704</x:v>
      </x:c>
    </x:row>
    <x:row r="886">
      <x:c r="A886" s="22" t="n">
        <x:v>35632</x:v>
      </x:c>
      <x:c r="B886" s="28" t="n">
        <x:v>270</x:v>
      </x:c>
      <x:c r="C886" s="28"/>
      <x:c r="D886" s="31" t="str">
        <x:f>IF(OR(ISBLANK(B886),ISBLANK(C886),B886=0),"",(C886-B886)/B886)</x:f>
      </x:c>
      <x:c r="E886" s="22" t="str">
        <x:f>IF(ISBLANK(C886),"AmountIncludingTax缺失",IF(ABS(B886-C886)&lt;0.005,"一致","不一致"))</x:f>
        <x:v>AmountIncludingTax缺失</x:v>
      </x:c>
      <x:c r="F886" s="19" t="str">
        <x:v>approved</x:v>
      </x:c>
      <x:c r="G886" s="19" t="str">
        <x:v>Repairer Invoiced Processed</x:v>
      </x:c>
      <x:c r="H886" s="19" t="str">
        <x:v>In Field</x:v>
      </x:c>
      <x:c r="I886" s="37" t="n">
        <x:v>46210</x:v>
      </x:c>
      <x:c r="J886" s="37" t="n">
        <x:v>46174</x:v>
      </x:c>
      <x:c r="K886" s="19" t="str">
        <x:v>Green RV - Forest Glen</x:v>
      </x:c>
      <x:c r="L886" s="19" t="str">
        <x:v>Z006</x:v>
      </x:c>
      <x:c r="M886" s="19" t="str">
        <x:v>In Field Warranty Claims</x:v>
      </x:c>
      <x:c r="N886" s="37" t="n">
        <x:v>46169</x:v>
      </x:c>
      <x:c r="O886" s="37"/>
      <x:c r="P886" s="34" t="n">
        <x:v>0</x:v>
      </x:c>
      <x:c r="Q886" s="37" t="n">
        <x:v>46209.974270833336</x:v>
      </x:c>
    </x:row>
    <x:row r="887">
      <x:c r="A887" s="22" t="n">
        <x:v>35631</x:v>
      </x:c>
      <x:c r="B887" s="28" t="n">
        <x:v>725</x:v>
      </x:c>
      <x:c r="C887" s="28"/>
      <x:c r="D887" s="31" t="str">
        <x:f>IF(OR(ISBLANK(B887),ISBLANK(C887),B887=0),"",(C887-B887)/B887)</x:f>
      </x:c>
      <x:c r="E887" s="22" t="str">
        <x:f>IF(ISBLANK(C887),"AmountIncludingTax缺失",IF(ABS(B887-C887)&lt;0.005,"一致","不一致"))</x:f>
        <x:v>AmountIncludingTax缺失</x:v>
      </x:c>
      <x:c r="F887" s="19" t="str">
        <x:v>approved</x:v>
      </x:c>
      <x:c r="G887" s="19" t="str">
        <x:v>Repair in Progress</x:v>
      </x:c>
      <x:c r="H887" s="19" t="str">
        <x:v>In Field</x:v>
      </x:c>
      <x:c r="I887" s="37" t="n">
        <x:v>46170</x:v>
      </x:c>
      <x:c r="J887" s="37" t="n">
        <x:v>46170</x:v>
      </x:c>
      <x:c r="K887" s="19" t="str">
        <x:v>Regent RV - Perth</x:v>
      </x:c>
      <x:c r="L887" s="19" t="str">
        <x:v>Z006</x:v>
      </x:c>
      <x:c r="M887" s="19" t="str">
        <x:v>In Field Warranty Claims</x:v>
      </x:c>
      <x:c r="N887" s="37" t="n">
        <x:v>46169</x:v>
      </x:c>
      <x:c r="O887" s="37"/>
      <x:c r="P887" s="34" t="n">
        <x:v>0</x:v>
      </x:c>
      <x:c r="Q887" s="37" t="n">
        <x:v>46170.259675925925</x:v>
      </x:c>
    </x:row>
    <x:row r="888">
      <x:c r="A888" s="22" t="n">
        <x:v>35630</x:v>
      </x:c>
      <x:c r="B888" s="28" t="n">
        <x:v>591.08</x:v>
      </x:c>
      <x:c r="C888" s="28" t="n">
        <x:v>650.19</x:v>
      </x:c>
      <x:c r="D888" s="31" t="n">
        <x:f>IF(OR(ISBLANK(B888),ISBLANK(C888),B888=0),"",(C888-B888)/B888)</x:f>
        <x:v>0.10000338363673278</x:v>
      </x:c>
      <x:c r="E888" s="22" t="str">
        <x:f>IF(ISBLANK(C888),"AmountIncludingTax缺失",IF(ABS(B888-C888)&lt;0.005,"一致","不一致"))</x:f>
        <x:v>不一致</x:v>
      </x:c>
      <x:c r="F888" s="19" t="str">
        <x:v>approved</x:v>
      </x:c>
      <x:c r="G888" s="19" t="str">
        <x:v>Repairer Invoiced Processed</x:v>
      </x:c>
      <x:c r="H888" s="19" t="str">
        <x:v>In Field</x:v>
      </x:c>
      <x:c r="I888" s="37" t="n">
        <x:v>46184</x:v>
      </x:c>
      <x:c r="J888" s="37" t="n">
        <x:v>46184</x:v>
      </x:c>
      <x:c r="K888" s="19" t="str">
        <x:v>Lesiure Lion-New Castle</x:v>
      </x:c>
      <x:c r="L888" s="19" t="str">
        <x:v>Z006</x:v>
      </x:c>
      <x:c r="M888" s="19" t="str">
        <x:v>In Field Warranty Claims</x:v>
      </x:c>
      <x:c r="N888" s="37" t="n">
        <x:v>46170</x:v>
      </x:c>
      <x:c r="O888" s="37"/>
      <x:c r="P888" s="34" t="n">
        <x:v>650.19</x:v>
      </x:c>
      <x:c r="Q888" s="37" t="n">
        <x:v>46184.16552083333</x:v>
      </x:c>
    </x:row>
    <x:row r="889">
      <x:c r="A889" s="22" t="n">
        <x:v>35628</x:v>
      </x:c>
      <x:c r="B889" s="28" t="n">
        <x:v>67.5</x:v>
      </x:c>
      <x:c r="C889" s="28"/>
      <x:c r="D889" s="31" t="str">
        <x:f>IF(OR(ISBLANK(B889),ISBLANK(C889),B889=0),"",(C889-B889)/B889)</x:f>
      </x:c>
      <x:c r="E889" s="22" t="str">
        <x:f>IF(ISBLANK(C889),"AmountIncludingTax缺失",IF(ABS(B889-C889)&lt;0.005,"一致","不一致"))</x:f>
        <x:v>AmountIncludingTax缺失</x:v>
      </x:c>
      <x:c r="F889" s="19" t="str">
        <x:v>approved</x:v>
      </x:c>
      <x:c r="G889" s="19" t="str">
        <x:v>Repairer Invoiced Processed</x:v>
      </x:c>
      <x:c r="H889" s="19" t="str">
        <x:v>In Field</x:v>
      </x:c>
      <x:c r="I889" s="37" t="n">
        <x:v>46170</x:v>
      </x:c>
      <x:c r="J889" s="37" t="n">
        <x:v>46170</x:v>
      </x:c>
      <x:c r="K889" s="19" t="str">
        <x:v>Regent RV - Toowoomba</x:v>
      </x:c>
      <x:c r="L889" s="19" t="str">
        <x:v>Z006</x:v>
      </x:c>
      <x:c r="M889" s="19" t="str">
        <x:v>In Field Warranty Claims</x:v>
      </x:c>
      <x:c r="N889" s="37" t="n">
        <x:v>46170</x:v>
      </x:c>
      <x:c r="O889" s="37"/>
      <x:c r="P889" s="34" t="n">
        <x:v>0</x:v>
      </x:c>
      <x:c r="Q889" s="37" t="n">
        <x:v>46170.11207175926</x:v>
      </x:c>
    </x:row>
    <x:row r="890">
      <x:c r="A890" s="22" t="n">
        <x:v>35627</x:v>
      </x:c>
      <x:c r="B890" s="28" t="n">
        <x:v>202.5</x:v>
      </x:c>
      <x:c r="C890" s="28"/>
      <x:c r="D890" s="31" t="str">
        <x:f>IF(OR(ISBLANK(B890),ISBLANK(C890),B890=0),"",(C890-B890)/B890)</x:f>
      </x:c>
      <x:c r="E890" s="22" t="str">
        <x:f>IF(ISBLANK(C890),"AmountIncludingTax缺失",IF(ABS(B890-C890)&lt;0.005,"一致","不一致"))</x:f>
        <x:v>AmountIncludingTax缺失</x:v>
      </x:c>
      <x:c r="F890" s="19" t="str">
        <x:v>approved</x:v>
      </x:c>
      <x:c r="G890" s="19" t="str">
        <x:v>Sales Order Approved</x:v>
      </x:c>
      <x:c r="H890" s="19" t="str">
        <x:v>Pre Delivery</x:v>
      </x:c>
      <x:c r="I890" s="37" t="n">
        <x:v>46191</x:v>
      </x:c>
      <x:c r="J890" s="37" t="n">
        <x:v>46191</x:v>
      </x:c>
      <x:c r="K890" s="19" t="str">
        <x:v>Regent RV - Perth</x:v>
      </x:c>
      <x:c r="L890" s="19" t="str">
        <x:v>Z005</x:v>
      </x:c>
      <x:c r="M890" s="19" t="str">
        <x:v>Pre Delivery Warranty Claims</x:v>
      </x:c>
      <x:c r="N890" s="37" t="n">
        <x:v>46170</x:v>
      </x:c>
      <x:c r="O890" s="37"/>
      <x:c r="P890" s="34" t="n">
        <x:v>0</x:v>
      </x:c>
      <x:c r="Q890" s="37" t="n">
        <x:v>46190.95475694445</x:v>
      </x:c>
    </x:row>
    <x:row r="891">
      <x:c r="A891" s="22" t="n">
        <x:v>35626</x:v>
      </x:c>
      <x:c r="B891" s="28" t="n">
        <x:v>33.75</x:v>
      </x:c>
      <x:c r="C891" s="28" t="n">
        <x:v>37.13</x:v>
      </x:c>
      <x:c r="D891" s="31" t="n">
        <x:f>IF(OR(ISBLANK(B891),ISBLANK(C891),B891=0),"",(C891-B891)/B891)</x:f>
        <x:v>0.10014814814814822</x:v>
      </x:c>
      <x:c r="E891" s="22" t="str">
        <x:f>IF(ISBLANK(C891),"AmountIncludingTax缺失",IF(ABS(B891-C891)&lt;0.005,"一致","不一致"))</x:f>
        <x:v>不一致</x:v>
      </x:c>
      <x:c r="F891" s="19" t="str">
        <x:v>approved</x:v>
      </x:c>
      <x:c r="G891" s="19" t="str">
        <x:v>Repairer Invoiced Processed</x:v>
      </x:c>
      <x:c r="H891" s="19" t="str">
        <x:v>In Field</x:v>
      </x:c>
      <x:c r="I891" s="37" t="n">
        <x:v>46182</x:v>
      </x:c>
      <x:c r="J891" s="37" t="n">
        <x:v>46182</x:v>
      </x:c>
      <x:c r="K891" s="19" t="str">
        <x:v>Lesiure Lion-New Castle</x:v>
      </x:c>
      <x:c r="L891" s="19" t="str">
        <x:v>Z006</x:v>
      </x:c>
      <x:c r="M891" s="19" t="str">
        <x:v>In Field Warranty Claims</x:v>
      </x:c>
      <x:c r="N891" s="37" t="n">
        <x:v>46170</x:v>
      </x:c>
      <x:c r="O891" s="37"/>
      <x:c r="P891" s="34" t="n">
        <x:v>37.13</x:v>
      </x:c>
      <x:c r="Q891" s="37" t="n">
        <x:v>46182.1190625</x:v>
      </x:c>
    </x:row>
    <x:row r="892">
      <x:c r="A892" s="22" t="n">
        <x:v>35625</x:v>
      </x:c>
      <x:c r="B892" s="28" t="n">
        <x:v>506.25</x:v>
      </x:c>
      <x:c r="C892" s="28"/>
      <x:c r="D892" s="31" t="str">
        <x:f>IF(OR(ISBLANK(B892),ISBLANK(C892),B892=0),"",(C892-B892)/B892)</x:f>
      </x:c>
      <x:c r="E892" s="22" t="str">
        <x:f>IF(ISBLANK(C892),"AmountIncludingTax缺失",IF(ABS(B892-C892)&lt;0.005,"一致","不一致"))</x:f>
        <x:v>AmountIncludingTax缺失</x:v>
      </x:c>
      <x:c r="F892" s="19" t="str">
        <x:v>approved</x:v>
      </x:c>
      <x:c r="G892" s="19" t="str">
        <x:v>Repair in Progress</x:v>
      </x:c>
      <x:c r="H892" s="19" t="str">
        <x:v>In Field</x:v>
      </x:c>
      <x:c r="I892" s="37" t="n">
        <x:v>46170</x:v>
      </x:c>
      <x:c r="J892" s="37" t="n">
        <x:v>46170</x:v>
      </x:c>
      <x:c r="K892" s="19" t="str">
        <x:v>Regent RV - Toowoomba</x:v>
      </x:c>
      <x:c r="L892" s="19" t="str">
        <x:v>Z006</x:v>
      </x:c>
      <x:c r="M892" s="19" t="str">
        <x:v>In Field Warranty Claims</x:v>
      </x:c>
      <x:c r="N892" s="37" t="n">
        <x:v>46169</x:v>
      </x:c>
      <x:c r="O892" s="37"/>
      <x:c r="P892" s="34" t="n">
        <x:v>0</x:v>
      </x:c>
      <x:c r="Q892" s="37" t="n">
        <x:v>46170.11142361111</x:v>
      </x:c>
    </x:row>
    <x:row r="893">
      <x:c r="A893" s="22" t="n">
        <x:v>35623</x:v>
      </x:c>
      <x:c r="B893" s="28" t="n">
        <x:v>900</x:v>
      </x:c>
      <x:c r="C893" s="28"/>
      <x:c r="D893" s="31" t="str">
        <x:f>IF(OR(ISBLANK(B893),ISBLANK(C893),B893=0),"",(C893-B893)/B893)</x:f>
      </x:c>
      <x:c r="E893" s="22" t="str">
        <x:f>IF(ISBLANK(C893),"AmountIncludingTax缺失",IF(ABS(B893-C893)&lt;0.005,"一致","不一致"))</x:f>
        <x:v>AmountIncludingTax缺失</x:v>
      </x:c>
      <x:c r="F893" s="19" t="str">
        <x:v>approved</x:v>
      </x:c>
      <x:c r="G893" s="19" t="str">
        <x:v>Repair in Progress</x:v>
      </x:c>
      <x:c r="H893" s="19" t="str">
        <x:v>In Field</x:v>
      </x:c>
      <x:c r="I893" s="37" t="n">
        <x:v>46174</x:v>
      </x:c>
      <x:c r="J893" s="37" t="n">
        <x:v>46174</x:v>
      </x:c>
      <x:c r="K893" s="19" t="str">
        <x:v>The Caravan Hub - Townsville</x:v>
      </x:c>
      <x:c r="L893" s="19" t="str">
        <x:v>Z006</x:v>
      </x:c>
      <x:c r="M893" s="19" t="str">
        <x:v>In Field Warranty Claims</x:v>
      </x:c>
      <x:c r="N893" s="37" t="n">
        <x:v>46169</x:v>
      </x:c>
      <x:c r="O893" s="37"/>
      <x:c r="P893" s="34" t="n">
        <x:v>0</x:v>
      </x:c>
      <x:c r="Q893" s="37" t="n">
        <x:v>46174.26993055556</x:v>
      </x:c>
    </x:row>
    <x:row r="894">
      <x:c r="A894" s="22" t="n">
        <x:v>35611</x:v>
      </x:c>
      <x:c r="B894" s="28" t="n">
        <x:v>13.64</x:v>
      </x:c>
      <x:c r="C894" s="28" t="n">
        <x:v>15</x:v>
      </x:c>
      <x:c r="D894" s="31" t="n">
        <x:f>IF(OR(ISBLANK(B894),ISBLANK(C894),B894=0),"",(C894-B894)/B894)</x:f>
        <x:v>0.09970674486803514</x:v>
      </x:c>
      <x:c r="E894" s="22" t="str">
        <x:f>IF(ISBLANK(C894),"AmountIncludingTax缺失",IF(ABS(B894-C894)&lt;0.005,"一致","不一致"))</x:f>
        <x:v>不一致</x:v>
      </x:c>
      <x:c r="F894" s="19" t="str">
        <x:v>approved</x:v>
      </x:c>
      <x:c r="G894" s="19" t="str">
        <x:v>Repair in Progress</x:v>
      </x:c>
      <x:c r="H894" s="19" t="str">
        <x:v>In Field</x:v>
      </x:c>
      <x:c r="I894" s="37" t="n">
        <x:v>46169</x:v>
      </x:c>
      <x:c r="J894" s="37" t="n">
        <x:v>46169</x:v>
      </x:c>
      <x:c r="K894" s="19" t="str">
        <x:v>ABCO Caravans - Boambee Valley</x:v>
      </x:c>
      <x:c r="L894" s="19" t="str">
        <x:v>Z006</x:v>
      </x:c>
      <x:c r="M894" s="19" t="str">
        <x:v>In Field Warranty Claims</x:v>
      </x:c>
      <x:c r="N894" s="37" t="n">
        <x:v>46169</x:v>
      </x:c>
      <x:c r="O894" s="37"/>
      <x:c r="P894" s="34" t="n">
        <x:v>15</x:v>
      </x:c>
      <x:c r="Q894" s="37" t="n">
        <x:v>46169.21512731481</x:v>
      </x:c>
    </x:row>
    <x:row r="895">
      <x:c r="A895" s="22" t="n">
        <x:v>35605</x:v>
      </x:c>
      <x:c r="B895" s="28" t="n">
        <x:v>300</x:v>
      </x:c>
      <x:c r="C895" s="28" t="n">
        <x:v>330</x:v>
      </x:c>
      <x:c r="D895" s="31" t="n">
        <x:f>IF(OR(ISBLANK(B895),ISBLANK(C895),B895=0),"",(C895-B895)/B895)</x:f>
        <x:v>0.1</x:v>
      </x:c>
      <x:c r="E895" s="22" t="str">
        <x:f>IF(ISBLANK(C895),"AmountIncludingTax缺失",IF(ABS(B895-C895)&lt;0.005,"一致","不一致"))</x:f>
        <x:v>不一致</x:v>
      </x:c>
      <x:c r="F895" s="19" t="str">
        <x:v>approved</x:v>
      </x:c>
      <x:c r="G895" s="19" t="str">
        <x:v>Repairer Invoiced Processed</x:v>
      </x:c>
      <x:c r="H895" s="19" t="str">
        <x:v>In Field</x:v>
      </x:c>
      <x:c r="I895" s="37" t="n">
        <x:v>46174</x:v>
      </x:c>
      <x:c r="J895" s="37" t="n">
        <x:v>46174</x:v>
      </x:c>
      <x:c r="K895" s="19" t="str">
        <x:v>Newcastle RV Super Centre - Beresfield</x:v>
      </x:c>
      <x:c r="L895" s="19" t="str">
        <x:v>Z006</x:v>
      </x:c>
      <x:c r="M895" s="19" t="str">
        <x:v>In Field Warranty Claims</x:v>
      </x:c>
      <x:c r="N895" s="37" t="n">
        <x:v>46170</x:v>
      </x:c>
      <x:c r="O895" s="37"/>
      <x:c r="P895" s="34" t="n">
        <x:v>330</x:v>
      </x:c>
      <x:c r="Q895" s="37" t="n">
        <x:v>46173.975011574075</x:v>
      </x:c>
    </x:row>
    <x:row r="896">
      <x:c r="A896" s="22" t="n">
        <x:v>35600</x:v>
      </x:c>
      <x:c r="B896" s="28" t="n">
        <x:v>472.5</x:v>
      </x:c>
      <x:c r="C896" s="28" t="n">
        <x:v>519.75</x:v>
      </x:c>
      <x:c r="D896" s="31" t="n">
        <x:f>IF(OR(ISBLANK(B896),ISBLANK(C896),B896=0),"",(C896-B896)/B896)</x:f>
        <x:v>0.1</x:v>
      </x:c>
      <x:c r="E896" s="22" t="str">
        <x:f>IF(ISBLANK(C896),"AmountIncludingTax缺失",IF(ABS(B896-C896)&lt;0.005,"一致","不一致"))</x:f>
        <x:v>不一致</x:v>
      </x:c>
      <x:c r="F896" s="19" t="str">
        <x:v>approved</x:v>
      </x:c>
      <x:c r="G896" s="19" t="str">
        <x:v>Repairer Invoiced Processed</x:v>
      </x:c>
      <x:c r="H896" s="19" t="str">
        <x:v>In Field</x:v>
      </x:c>
      <x:c r="I896" s="37" t="n">
        <x:v>46170</x:v>
      </x:c>
      <x:c r="J896" s="37" t="n">
        <x:v>46170</x:v>
      </x:c>
      <x:c r="K896" s="19" t="str">
        <x:v>Leisure Lion - Bundaberg</x:v>
      </x:c>
      <x:c r="L896" s="19" t="str">
        <x:v>Z006</x:v>
      </x:c>
      <x:c r="M896" s="19" t="str">
        <x:v>In Field Warranty Claims</x:v>
      </x:c>
      <x:c r="N896" s="37" t="n">
        <x:v>46169</x:v>
      </x:c>
      <x:c r="O896" s="37"/>
      <x:c r="P896" s="34" t="n">
        <x:v>519.75</x:v>
      </x:c>
      <x:c r="Q896" s="37" t="n">
        <x:v>46170.12766203703</x:v>
      </x:c>
    </x:row>
    <x:row r="897">
      <x:c r="A897" s="22" t="n">
        <x:v>35596</x:v>
      </x:c>
      <x:c r="B897" s="28" t="n">
        <x:v>190</x:v>
      </x:c>
      <x:c r="C897" s="28"/>
      <x:c r="D897" s="31" t="str">
        <x:f>IF(OR(ISBLANK(B897),ISBLANK(C897),B897=0),"",(C897-B897)/B897)</x:f>
      </x:c>
      <x:c r="E897" s="22" t="str">
        <x:f>IF(ISBLANK(C897),"AmountIncludingTax缺失",IF(ABS(B897-C897)&lt;0.005,"一致","不一致"))</x:f>
        <x:v>AmountIncludingTax缺失</x:v>
      </x:c>
      <x:c r="F897" s="19" t="str">
        <x:v>approved</x:v>
      </x:c>
      <x:c r="G897" s="19" t="str">
        <x:v>Partially Picked</x:v>
      </x:c>
      <x:c r="H897" s="19" t="str">
        <x:v>In Field</x:v>
      </x:c>
      <x:c r="I897" s="37" t="n">
        <x:v>46170</x:v>
      </x:c>
      <x:c r="J897" s="37" t="n">
        <x:v>46170</x:v>
      </x:c>
      <x:c r="K897" s="19" t="str">
        <x:v>Regent RV - Toowoomba</x:v>
      </x:c>
      <x:c r="L897" s="19" t="str">
        <x:v>Z006</x:v>
      </x:c>
      <x:c r="M897" s="19" t="str">
        <x:v>In Field Warranty Claims</x:v>
      </x:c>
      <x:c r="N897" s="37" t="n">
        <x:v>46169</x:v>
      </x:c>
      <x:c r="O897" s="37"/>
      <x:c r="P897" s="34" t="n">
        <x:v>0</x:v>
      </x:c>
      <x:c r="Q897" s="37" t="n">
        <x:v>46170.02806712963</x:v>
      </x:c>
    </x:row>
    <x:row r="898">
      <x:c r="A898" s="22" t="n">
        <x:v>35595</x:v>
      </x:c>
      <x:c r="B898" s="28" t="n">
        <x:v>405</x:v>
      </x:c>
      <x:c r="C898" s="28"/>
      <x:c r="D898" s="31" t="str">
        <x:f>IF(OR(ISBLANK(B898),ISBLANK(C898),B898=0),"",(C898-B898)/B898)</x:f>
      </x:c>
      <x:c r="E898" s="22" t="str">
        <x:f>IF(ISBLANK(C898),"AmountIncludingTax缺失",IF(ABS(B898-C898)&lt;0.005,"一致","不一致"))</x:f>
        <x:v>AmountIncludingTax缺失</x:v>
      </x:c>
      <x:c r="F898" s="19" t="str">
        <x:v>approved</x:v>
      </x:c>
      <x:c r="G898" s="19" t="str">
        <x:v>Repair in Progress</x:v>
      </x:c>
      <x:c r="H898" s="19" t="str">
        <x:v>In Field</x:v>
      </x:c>
      <x:c r="I898" s="37" t="n">
        <x:v>46170</x:v>
      </x:c>
      <x:c r="J898" s="37" t="n">
        <x:v>46170</x:v>
      </x:c>
      <x:c r="K898" s="19" t="str">
        <x:v>Regent RV - Toowoomba</x:v>
      </x:c>
      <x:c r="L898" s="19" t="str">
        <x:v>Z006</x:v>
      </x:c>
      <x:c r="M898" s="19" t="str">
        <x:v>In Field Warranty Claims</x:v>
      </x:c>
      <x:c r="N898" s="37" t="n">
        <x:v>46169</x:v>
      </x:c>
      <x:c r="O898" s="37"/>
      <x:c r="P898" s="34" t="n">
        <x:v>0</x:v>
      </x:c>
      <x:c r="Q898" s="37" t="n">
        <x:v>46169.922118055554</x:v>
      </x:c>
    </x:row>
    <x:row r="899">
      <x:c r="A899" s="22" t="n">
        <x:v>35594</x:v>
      </x:c>
      <x:c r="B899" s="28" t="n">
        <x:v>13.64</x:v>
      </x:c>
      <x:c r="C899" s="28"/>
      <x:c r="D899" s="31" t="str">
        <x:f>IF(OR(ISBLANK(B899),ISBLANK(C899),B899=0),"",(C899-B899)/B899)</x:f>
      </x:c>
      <x:c r="E899" s="22" t="str">
        <x:f>IF(ISBLANK(C899),"AmountIncludingTax缺失",IF(ABS(B899-C899)&lt;0.005,"一致","不一致"))</x:f>
        <x:v>AmountIncludingTax缺失</x:v>
      </x:c>
      <x:c r="F899" s="19" t="str">
        <x:v>approved</x:v>
      </x:c>
      <x:c r="G899" s="19" t="str">
        <x:v>Repairer Invoiced Processed</x:v>
      </x:c>
      <x:c r="H899" s="19" t="str">
        <x:v>In Field</x:v>
      </x:c>
      <x:c r="I899" s="37" t="n">
        <x:v>46184</x:v>
      </x:c>
      <x:c r="J899" s="37" t="n">
        <x:v>46184</x:v>
      </x:c>
      <x:c r="K899" s="19" t="str">
        <x:v>Lesiure Lion-New Castle</x:v>
      </x:c>
      <x:c r="L899" s="19" t="str">
        <x:v>Z006</x:v>
      </x:c>
      <x:c r="M899" s="19" t="str">
        <x:v>In Field Warranty Claims</x:v>
      </x:c>
      <x:c r="N899" s="37" t="n">
        <x:v>46169</x:v>
      </x:c>
      <x:c r="O899" s="37"/>
      <x:c r="P899" s="34" t="n">
        <x:v>0</x:v>
      </x:c>
      <x:c r="Q899" s="37" t="n">
        <x:v>46184.10155092592</x:v>
      </x:c>
    </x:row>
    <x:row r="900">
      <x:c r="A900" s="22" t="n">
        <x:v>35593</x:v>
      </x:c>
      <x:c r="B900" s="28" t="n">
        <x:v>607.5</x:v>
      </x:c>
      <x:c r="C900" s="28"/>
      <x:c r="D900" s="31" t="str">
        <x:f>IF(OR(ISBLANK(B900),ISBLANK(C900),B900=0),"",(C900-B900)/B900)</x:f>
      </x:c>
      <x:c r="E900" s="22" t="str">
        <x:f>IF(ISBLANK(C900),"AmountIncludingTax缺失",IF(ABS(B900-C900)&lt;0.005,"一致","不一致"))</x:f>
        <x:v>AmountIncludingTax缺失</x:v>
      </x:c>
      <x:c r="F900" s="19" t="str">
        <x:v>approved</x:v>
      </x:c>
      <x:c r="G900" s="19" t="str">
        <x:v>Partially Picked</x:v>
      </x:c>
      <x:c r="H900" s="19" t="str">
        <x:v>In Field</x:v>
      </x:c>
      <x:c r="I900" s="37" t="n">
        <x:v>46184</x:v>
      </x:c>
      <x:c r="J900" s="37" t="n">
        <x:v>46184</x:v>
      </x:c>
      <x:c r="K900" s="19" t="str">
        <x:v>Newcastle RV Super Centre - Beresfield</x:v>
      </x:c>
      <x:c r="L900" s="19" t="str">
        <x:v>Z006</x:v>
      </x:c>
      <x:c r="M900" s="19" t="str">
        <x:v>In Field Warranty Claims</x:v>
      </x:c>
      <x:c r="N900" s="37" t="n">
        <x:v>46169</x:v>
      </x:c>
      <x:c r="O900" s="37"/>
      <x:c r="P900" s="34" t="n">
        <x:v>0</x:v>
      </x:c>
      <x:c r="Q900" s="37" t="n">
        <x:v>46184.10556712963</x:v>
      </x:c>
    </x:row>
    <x:row r="901">
      <x:c r="A901" s="22" t="n">
        <x:v>35592</x:v>
      </x:c>
      <x:c r="B901" s="28" t="n">
        <x:v>80</x:v>
      </x:c>
      <x:c r="C901" s="28" t="n">
        <x:v>72.43</x:v>
      </x:c>
      <x:c r="D901" s="31" t="n">
        <x:f>IF(OR(ISBLANK(B901),ISBLANK(C901),B901=0),"",(C901-B901)/B901)</x:f>
        <x:v>-0.09462499999999992</x:v>
      </x:c>
      <x:c r="E901" s="22" t="str">
        <x:f>IF(ISBLANK(C901),"AmountIncludingTax缺失",IF(ABS(B901-C901)&lt;0.005,"一致","不一致"))</x:f>
        <x:v>不一致</x:v>
      </x:c>
      <x:c r="F901" s="19" t="str">
        <x:v>approved</x:v>
      </x:c>
      <x:c r="G901" s="19" t="str">
        <x:v>Repairer Invoiced Processed</x:v>
      </x:c>
      <x:c r="H901" s="19" t="str">
        <x:v>In Field</x:v>
      </x:c>
      <x:c r="I901" s="37" t="n">
        <x:v>46170</x:v>
      </x:c>
      <x:c r="J901" s="37" t="n">
        <x:v>46170</x:v>
      </x:c>
      <x:c r="K901" s="19" t="str">
        <x:v>Vanari Caravans - Marden Point</x:v>
      </x:c>
      <x:c r="L901" s="19" t="str">
        <x:v>Z006</x:v>
      </x:c>
      <x:c r="M901" s="19" t="str">
        <x:v>In Field Warranty Claims</x:v>
      </x:c>
      <x:c r="N901" s="37" t="n">
        <x:v>46169</x:v>
      </x:c>
      <x:c r="O901" s="37"/>
      <x:c r="P901" s="34" t="n">
        <x:v>72.43</x:v>
      </x:c>
      <x:c r="Q901" s="37" t="n">
        <x:v>46170.11115740741</x:v>
      </x:c>
    </x:row>
    <x:row r="902">
      <x:c r="A902" s="22" t="n">
        <x:v>35591</x:v>
      </x:c>
      <x:c r="B902" s="28" t="n">
        <x:v>458.75</x:v>
      </x:c>
      <x:c r="C902" s="28"/>
      <x:c r="D902" s="31" t="str">
        <x:f>IF(OR(ISBLANK(B902),ISBLANK(C902),B902=0),"",(C902-B902)/B902)</x:f>
      </x:c>
      <x:c r="E902" s="22" t="str">
        <x:f>IF(ISBLANK(C902),"AmountIncludingTax缺失",IF(ABS(B902-C902)&lt;0.005,"一致","不一致"))</x:f>
        <x:v>AmountIncludingTax缺失</x:v>
      </x:c>
      <x:c r="F902" s="19" t="str">
        <x:v>approved</x:v>
      </x:c>
      <x:c r="G902" s="19" t="str">
        <x:v>Repair in Progress</x:v>
      </x:c>
      <x:c r="H902" s="19" t="str">
        <x:v>In Field</x:v>
      </x:c>
      <x:c r="I902" s="37" t="n">
        <x:v>46176</x:v>
      </x:c>
      <x:c r="J902" s="37" t="n">
        <x:v>46176</x:v>
      </x:c>
      <x:c r="K902" s="19" t="str">
        <x:v>Regent RV - Perth</x:v>
      </x:c>
      <x:c r="L902" s="19" t="str">
        <x:v>Z006</x:v>
      </x:c>
      <x:c r="M902" s="19" t="str">
        <x:v>In Field Warranty Claims</x:v>
      </x:c>
      <x:c r="N902" s="37" t="n">
        <x:v>46169</x:v>
      </x:c>
      <x:c r="O902" s="37"/>
      <x:c r="P902" s="34" t="n">
        <x:v>0</x:v>
      </x:c>
      <x:c r="Q902" s="37" t="n">
        <x:v>46176.158055555556</x:v>
      </x:c>
    </x:row>
    <x:row r="903">
      <x:c r="A903" s="22" t="n">
        <x:v>35579</x:v>
      </x:c>
      <x:c r="B903" s="28" t="n">
        <x:v>360</x:v>
      </x:c>
      <x:c r="C903" s="28" t="n">
        <x:v>396</x:v>
      </x:c>
      <x:c r="D903" s="31" t="n">
        <x:f>IF(OR(ISBLANK(B903),ISBLANK(C903),B903=0),"",(C903-B903)/B903)</x:f>
        <x:v>0.1</x:v>
      </x:c>
      <x:c r="E903" s="22" t="str">
        <x:f>IF(ISBLANK(C903),"AmountIncludingTax缺失",IF(ABS(B903-C903)&lt;0.005,"一致","不一致"))</x:f>
        <x:v>不一致</x:v>
      </x:c>
      <x:c r="F903" s="19" t="str">
        <x:v>approved</x:v>
      </x:c>
      <x:c r="G903" s="19" t="str">
        <x:v>Repairer Invoiced Processed</x:v>
      </x:c>
      <x:c r="H903" s="19" t="str">
        <x:v>In Field</x:v>
      </x:c>
      <x:c r="I903" s="37" t="n">
        <x:v>46184</x:v>
      </x:c>
      <x:c r="J903" s="37" t="n">
        <x:v>46184</x:v>
      </x:c>
      <x:c r="K903" s="19" t="str">
        <x:v>Lesiure Lion-New Castle</x:v>
      </x:c>
      <x:c r="L903" s="19" t="str">
        <x:v>Z006</x:v>
      </x:c>
      <x:c r="M903" s="19" t="str">
        <x:v>In Field Warranty Claims</x:v>
      </x:c>
      <x:c r="N903" s="37" t="n">
        <x:v>46169</x:v>
      </x:c>
      <x:c r="O903" s="37"/>
      <x:c r="P903" s="34" t="n">
        <x:v>396</x:v>
      </x:c>
      <x:c r="Q903" s="37" t="n">
        <x:v>46183.92380787037</x:v>
      </x:c>
    </x:row>
    <x:row r="904">
      <x:c r="A904" s="22" t="n">
        <x:v>35574</x:v>
      </x:c>
      <x:c r="B904" s="28" t="n">
        <x:v>167.5</x:v>
      </x:c>
      <x:c r="C904" s="28" t="n">
        <x:v>184.25</x:v>
      </x:c>
      <x:c r="D904" s="31" t="n">
        <x:f>IF(OR(ISBLANK(B904),ISBLANK(C904),B904=0),"",(C904-B904)/B904)</x:f>
        <x:v>0.1</x:v>
      </x:c>
      <x:c r="E904" s="22" t="str">
        <x:f>IF(ISBLANK(C904),"AmountIncludingTax缺失",IF(ABS(B904-C904)&lt;0.005,"一致","不一致"))</x:f>
        <x:v>不一致</x:v>
      </x:c>
      <x:c r="F904" s="19" t="str">
        <x:v>approved</x:v>
      </x:c>
      <x:c r="G904" s="19" t="str">
        <x:v>Repair in Progress</x:v>
      </x:c>
      <x:c r="H904" s="19" t="str">
        <x:v>Pre Delivery</x:v>
      </x:c>
      <x:c r="I904" s="37" t="n">
        <x:v>46175</x:v>
      </x:c>
      <x:c r="J904" s="37" t="n">
        <x:v>46175</x:v>
      </x:c>
      <x:c r="K904" s="19" t="str">
        <x:v>Snowy River Wangaratta</x:v>
      </x:c>
      <x:c r="L904" s="19" t="str">
        <x:v>Z005</x:v>
      </x:c>
      <x:c r="M904" s="19" t="str">
        <x:v>Pre Delivery Warranty Claims</x:v>
      </x:c>
      <x:c r="N904" s="37" t="n">
        <x:v>46169</x:v>
      </x:c>
      <x:c r="O904" s="37"/>
      <x:c r="P904" s="34" t="n">
        <x:v>184.25</x:v>
      </x:c>
      <x:c r="Q904" s="37" t="n">
        <x:v>46175.020949074074</x:v>
      </x:c>
    </x:row>
    <x:row r="905">
      <x:c r="A905" s="22" t="n">
        <x:v>35573</x:v>
      </x:c>
      <x:c r="B905" s="28" t="n">
        <x:v>202.5</x:v>
      </x:c>
      <x:c r="C905" s="28" t="n">
        <x:v>222.75</x:v>
      </x:c>
      <x:c r="D905" s="31" t="n">
        <x:f>IF(OR(ISBLANK(B905),ISBLANK(C905),B905=0),"",(C905-B905)/B905)</x:f>
        <x:v>0.1</x:v>
      </x:c>
      <x:c r="E905" s="22" t="str">
        <x:f>IF(ISBLANK(C905),"AmountIncludingTax缺失",IF(ABS(B905-C905)&lt;0.005,"一致","不一致"))</x:f>
        <x:v>不一致</x:v>
      </x:c>
      <x:c r="F905" s="19" t="str">
        <x:v>approved</x:v>
      </x:c>
      <x:c r="G905" s="19" t="str">
        <x:v>Repair in Progress</x:v>
      </x:c>
      <x:c r="H905" s="19" t="str">
        <x:v>In Field</x:v>
      </x:c>
      <x:c r="I905" s="37" t="n">
        <x:v>46169</x:v>
      </x:c>
      <x:c r="J905" s="37" t="n">
        <x:v>46169</x:v>
      </x:c>
      <x:c r="K905" s="19" t="str">
        <x:v>Great Ocean Road RV &amp; Caravans - Warrnambool</x:v>
      </x:c>
      <x:c r="L905" s="19" t="str">
        <x:v>Z006</x:v>
      </x:c>
      <x:c r="M905" s="19" t="str">
        <x:v>In Field Warranty Claims</x:v>
      </x:c>
      <x:c r="N905" s="37" t="n">
        <x:v>46169</x:v>
      </x:c>
      <x:c r="O905" s="37"/>
      <x:c r="P905" s="34" t="n">
        <x:v>222.75</x:v>
      </x:c>
      <x:c r="Q905" s="37" t="n">
        <x:v>46169.113645833335</x:v>
      </x:c>
    </x:row>
    <x:row r="906">
      <x:c r="A906" s="22" t="n">
        <x:v>35572</x:v>
      </x:c>
      <x:c r="B906" s="28" t="n">
        <x:v>392.5</x:v>
      </x:c>
      <x:c r="C906" s="28"/>
      <x:c r="D906" s="31" t="str">
        <x:f>IF(OR(ISBLANK(B906),ISBLANK(C906),B906=0),"",(C906-B906)/B906)</x:f>
      </x:c>
      <x:c r="E906" s="22" t="str">
        <x:f>IF(ISBLANK(C906),"AmountIncludingTax缺失",IF(ABS(B906-C906)&lt;0.005,"一致","不一致"))</x:f>
        <x:v>AmountIncludingTax缺失</x:v>
      </x:c>
      <x:c r="F906" s="19" t="str">
        <x:v>approved</x:v>
      </x:c>
      <x:c r="G906" s="19" t="str">
        <x:v>Sales Order Approved</x:v>
      </x:c>
      <x:c r="H906" s="19" t="str">
        <x:v>Pre Delivery</x:v>
      </x:c>
      <x:c r="I906" s="37" t="n">
        <x:v>46192</x:v>
      </x:c>
      <x:c r="J906" s="37" t="n">
        <x:v>46192</x:v>
      </x:c>
      <x:c r="K906" s="19" t="str">
        <x:v>The Caravan Hub - Townsville</x:v>
      </x:c>
      <x:c r="L906" s="19" t="str">
        <x:v>Z005</x:v>
      </x:c>
      <x:c r="M906" s="19" t="str">
        <x:v>Pre Delivery Warranty Claims</x:v>
      </x:c>
      <x:c r="N906" s="37" t="n">
        <x:v>46169</x:v>
      </x:c>
      <x:c r="O906" s="37"/>
      <x:c r="P906" s="34" t="n">
        <x:v>0</x:v>
      </x:c>
      <x:c r="Q906" s="37" t="n">
        <x:v>46192.066157407404</x:v>
      </x:c>
    </x:row>
    <x:row r="907">
      <x:c r="A907" s="22" t="n">
        <x:v>35571</x:v>
      </x:c>
      <x:c r="B907" s="28" t="n">
        <x:v>362.5</x:v>
      </x:c>
      <x:c r="C907" s="28"/>
      <x:c r="D907" s="31" t="str">
        <x:f>IF(OR(ISBLANK(B907),ISBLANK(C907),B907=0),"",(C907-B907)/B907)</x:f>
      </x:c>
      <x:c r="E907" s="22" t="str">
        <x:f>IF(ISBLANK(C907),"AmountIncludingTax缺失",IF(ABS(B907-C907)&lt;0.005,"一致","不一致"))</x:f>
        <x:v>AmountIncludingTax缺失</x:v>
      </x:c>
      <x:c r="F907" s="19" t="str">
        <x:v>approved</x:v>
      </x:c>
      <x:c r="G907" s="19" t="str">
        <x:v>Sales Order Approved</x:v>
      </x:c>
      <x:c r="H907" s="19" t="str">
        <x:v>Pre Delivery</x:v>
      </x:c>
      <x:c r="I907" s="37" t="n">
        <x:v>46205</x:v>
      </x:c>
      <x:c r="J907" s="37" t="n">
        <x:v>46205</x:v>
      </x:c>
      <x:c r="K907" s="19" t="str">
        <x:v>The Caravan Hub - Townsville</x:v>
      </x:c>
      <x:c r="L907" s="19" t="str">
        <x:v>Z005</x:v>
      </x:c>
      <x:c r="M907" s="19" t="str">
        <x:v>Pre Delivery Warranty Claims</x:v>
      </x:c>
      <x:c r="N907" s="37" t="n">
        <x:v>46169</x:v>
      </x:c>
      <x:c r="O907" s="37"/>
      <x:c r="P907" s="34" t="n">
        <x:v>0</x:v>
      </x:c>
      <x:c r="Q907" s="37" t="n">
        <x:v>46205.13670138889</x:v>
      </x:c>
    </x:row>
    <x:row r="908">
      <x:c r="A908" s="22" t="n">
        <x:v>35570</x:v>
      </x:c>
      <x:c r="B908" s="28" t="n">
        <x:v>67.5</x:v>
      </x:c>
      <x:c r="C908" s="28"/>
      <x:c r="D908" s="31" t="str">
        <x:f>IF(OR(ISBLANK(B908),ISBLANK(C908),B908=0),"",(C908-B908)/B908)</x:f>
      </x:c>
      <x:c r="E908" s="22" t="str">
        <x:f>IF(ISBLANK(C908),"AmountIncludingTax缺失",IF(ABS(B908-C908)&lt;0.005,"一致","不一致"))</x:f>
        <x:v>AmountIncludingTax缺失</x:v>
      </x:c>
      <x:c r="F908" s="19" t="str">
        <x:v>approved</x:v>
      </x:c>
      <x:c r="G908" s="19" t="str">
        <x:v>Repair in Progress</x:v>
      </x:c>
      <x:c r="H908" s="19" t="str">
        <x:v>In Field</x:v>
      </x:c>
      <x:c r="I908" s="37" t="n">
        <x:v>46169</x:v>
      </x:c>
      <x:c r="J908" s="37" t="n">
        <x:v>46169</x:v>
      </x:c>
      <x:c r="K908" s="19" t="str">
        <x:v>Regent RV - Frankston</x:v>
      </x:c>
      <x:c r="L908" s="19" t="str">
        <x:v>Z006</x:v>
      </x:c>
      <x:c r="M908" s="19" t="str">
        <x:v>In Field Warranty Claims</x:v>
      </x:c>
      <x:c r="N908" s="37" t="n">
        <x:v>46169</x:v>
      </x:c>
      <x:c r="O908" s="37"/>
      <x:c r="P908" s="34" t="n">
        <x:v>0</x:v>
      </x:c>
      <x:c r="Q908" s="37" t="n">
        <x:v>46169.19168981481</x:v>
      </x:c>
    </x:row>
    <x:row r="909">
      <x:c r="A909" s="22" t="n">
        <x:v>35569</x:v>
      </x:c>
      <x:c r="B909" s="28" t="n">
        <x:v>312.54</x:v>
      </x:c>
      <x:c r="C909" s="28" t="n">
        <x:v>311.27</x:v>
      </x:c>
      <x:c r="D909" s="31" t="n">
        <x:f>IF(OR(ISBLANK(B909),ISBLANK(C909),B909=0),"",(C909-B909)/B909)</x:f>
        <x:v>-0.004063479874576178</x:v>
      </x:c>
      <x:c r="E909" s="22" t="str">
        <x:f>IF(ISBLANK(C909),"AmountIncludingTax缺失",IF(ABS(B909-C909)&lt;0.005,"一致","不一致"))</x:f>
        <x:v>不一致</x:v>
      </x:c>
      <x:c r="F909" s="19" t="str">
        <x:v>approved</x:v>
      </x:c>
      <x:c r="G909" s="19" t="str">
        <x:v>Repairer Invoiced Processed</x:v>
      </x:c>
      <x:c r="H909" s="19" t="str">
        <x:v>In Field</x:v>
      </x:c>
      <x:c r="I909" s="37" t="n">
        <x:v>46195</x:v>
      </x:c>
      <x:c r="J909" s="37" t="n">
        <x:v>46195</x:v>
      </x:c>
      <x:c r="K909" s="19" t="str">
        <x:v>CMG Campers - Christchurch</x:v>
      </x:c>
      <x:c r="L909" s="19" t="str">
        <x:v>Z006</x:v>
      </x:c>
      <x:c r="M909" s="19" t="str">
        <x:v>In Field Warranty Claims</x:v>
      </x:c>
      <x:c r="N909" s="37" t="n">
        <x:v>46169</x:v>
      </x:c>
      <x:c r="O909" s="37"/>
      <x:c r="P909" s="34" t="n">
        <x:v>311.27</x:v>
      </x:c>
      <x:c r="Q909" s="37" t="n">
        <x:v>46195.15626157408</x:v>
      </x:c>
    </x:row>
    <x:row r="910">
      <x:c r="A910" s="22" t="n">
        <x:v>35568</x:v>
      </x:c>
      <x:c r="B910" s="28" t="n">
        <x:v>202.5</x:v>
      </x:c>
      <x:c r="C910" s="28"/>
      <x:c r="D910" s="31" t="str">
        <x:f>IF(OR(ISBLANK(B910),ISBLANK(C910),B910=0),"",(C910-B910)/B910)</x:f>
      </x:c>
      <x:c r="E910" s="22" t="str">
        <x:f>IF(ISBLANK(C910),"AmountIncludingTax缺失",IF(ABS(B910-C910)&lt;0.005,"一致","不一致"))</x:f>
        <x:v>AmountIncludingTax缺失</x:v>
      </x:c>
      <x:c r="F910" s="19" t="str">
        <x:v>approved</x:v>
      </x:c>
      <x:c r="G910" s="19" t="str">
        <x:v>Repairer Invoiced Processed</x:v>
      </x:c>
      <x:c r="H910" s="19" t="str">
        <x:v>In Field</x:v>
      </x:c>
      <x:c r="I910" s="37" t="n">
        <x:v>46184</x:v>
      </x:c>
      <x:c r="J910" s="37" t="n">
        <x:v>46184</x:v>
      </x:c>
      <x:c r="K910" s="19" t="str">
        <x:v>Lesiure Lion-New Castle</x:v>
      </x:c>
      <x:c r="L910" s="19" t="str">
        <x:v>Z006</x:v>
      </x:c>
      <x:c r="M910" s="19" t="str">
        <x:v>In Field Warranty Claims</x:v>
      </x:c>
      <x:c r="N910" s="37" t="n">
        <x:v>46169</x:v>
      </x:c>
      <x:c r="O910" s="37"/>
      <x:c r="P910" s="34" t="n">
        <x:v>0</x:v>
      </x:c>
      <x:c r="Q910" s="37" t="n">
        <x:v>46184.09831018518</x:v>
      </x:c>
    </x:row>
    <x:row r="911">
      <x:c r="A911" s="22" t="n">
        <x:v>35567</x:v>
      </x:c>
      <x:c r="B911" s="28" t="n">
        <x:v>67.5</x:v>
      </x:c>
      <x:c r="C911" s="28"/>
      <x:c r="D911" s="31" t="str">
        <x:f>IF(OR(ISBLANK(B911),ISBLANK(C911),B911=0),"",(C911-B911)/B911)</x:f>
      </x:c>
      <x:c r="E911" s="22" t="str">
        <x:f>IF(ISBLANK(C911),"AmountIncludingTax缺失",IF(ABS(B911-C911)&lt;0.005,"一致","不一致"))</x:f>
        <x:v>AmountIncludingTax缺失</x:v>
      </x:c>
      <x:c r="F911" s="19" t="str">
        <x:v>approved</x:v>
      </x:c>
      <x:c r="G911" s="19" t="str">
        <x:v>Repairer Invoiced Processed</x:v>
      </x:c>
      <x:c r="H911" s="19" t="str">
        <x:v>In Field</x:v>
      </x:c>
      <x:c r="I911" s="37" t="n">
        <x:v>46184</x:v>
      </x:c>
      <x:c r="J911" s="37" t="n">
        <x:v>46184</x:v>
      </x:c>
      <x:c r="K911" s="19" t="str">
        <x:v>Lesiure Lion-New Castle</x:v>
      </x:c>
      <x:c r="L911" s="19" t="str">
        <x:v>Z006</x:v>
      </x:c>
      <x:c r="M911" s="19" t="str">
        <x:v>In Field Warranty Claims</x:v>
      </x:c>
      <x:c r="N911" s="37" t="n">
        <x:v>46168</x:v>
      </x:c>
      <x:c r="O911" s="37"/>
      <x:c r="P911" s="34" t="n">
        <x:v>0</x:v>
      </x:c>
      <x:c r="Q911" s="37" t="n">
        <x:v>46184.09755787037</x:v>
      </x:c>
    </x:row>
    <x:row r="912">
      <x:c r="A912" s="22" t="n">
        <x:v>35566</x:v>
      </x:c>
      <x:c r="B912" s="28" t="n">
        <x:v>247.05</x:v>
      </x:c>
      <x:c r="C912" s="28" t="n">
        <x:v>271.76</x:v>
      </x:c>
      <x:c r="D912" s="31" t="n">
        <x:f>IF(OR(ISBLANK(B912),ISBLANK(C912),B912=0),"",(C912-B912)/B912)</x:f>
        <x:v>0.10002023881805294</x:v>
      </x:c>
      <x:c r="E912" s="22" t="str">
        <x:f>IF(ISBLANK(C912),"AmountIncludingTax缺失",IF(ABS(B912-C912)&lt;0.005,"一致","不一致"))</x:f>
        <x:v>不一致</x:v>
      </x:c>
      <x:c r="F912" s="19" t="str">
        <x:v>approved</x:v>
      </x:c>
      <x:c r="G912" s="19" t="str">
        <x:v>Repair in Progress</x:v>
      </x:c>
      <x:c r="H912" s="19" t="str">
        <x:v>In Field</x:v>
      </x:c>
      <x:c r="I912" s="37" t="n">
        <x:v>46169</x:v>
      </x:c>
      <x:c r="J912" s="37" t="n">
        <x:v>46169</x:v>
      </x:c>
      <x:c r="K912" s="19" t="str">
        <x:v>Great Ocean Road RV &amp; Caravans - Warrnambool</x:v>
      </x:c>
      <x:c r="L912" s="19" t="str">
        <x:v>Z006</x:v>
      </x:c>
      <x:c r="M912" s="19" t="str">
        <x:v>In Field Warranty Claims</x:v>
      </x:c>
      <x:c r="N912" s="37" t="n">
        <x:v>46168</x:v>
      </x:c>
      <x:c r="O912" s="37"/>
      <x:c r="P912" s="34" t="n">
        <x:v>271.76</x:v>
      </x:c>
      <x:c r="Q912" s="37" t="n">
        <x:v>46168.99153935185</x:v>
      </x:c>
    </x:row>
    <x:row r="913">
      <x:c r="A913" s="22" t="n">
        <x:v>35565</x:v>
      </x:c>
      <x:c r="B913" s="28" t="n">
        <x:v>202.5</x:v>
      </x:c>
      <x:c r="C913" s="28"/>
      <x:c r="D913" s="31" t="str">
        <x:f>IF(OR(ISBLANK(B913),ISBLANK(C913),B913=0),"",(C913-B913)/B913)</x:f>
      </x:c>
      <x:c r="E913" s="22" t="str">
        <x:f>IF(ISBLANK(C913),"AmountIncludingTax缺失",IF(ABS(B913-C913)&lt;0.005,"一致","不一致"))</x:f>
        <x:v>AmountIncludingTax缺失</x:v>
      </x:c>
      <x:c r="F913" s="19" t="str">
        <x:v>approved</x:v>
      </x:c>
      <x:c r="G913" s="19" t="str">
        <x:v>Sales Order Approved</x:v>
      </x:c>
      <x:c r="H913" s="19" t="str">
        <x:v>Pre Delivery</x:v>
      </x:c>
      <x:c r="I913" s="37" t="n">
        <x:v>46176</x:v>
      </x:c>
      <x:c r="J913" s="37" t="n">
        <x:v>46176</x:v>
      </x:c>
      <x:c r="K913" s="19" t="str">
        <x:v>Leisure Lion - Bundaberg</x:v>
      </x:c>
      <x:c r="L913" s="19" t="str">
        <x:v>Z005</x:v>
      </x:c>
      <x:c r="M913" s="19" t="str">
        <x:v>Pre Delivery Warranty Claims</x:v>
      </x:c>
      <x:c r="N913" s="37" t="n">
        <x:v>46168</x:v>
      </x:c>
      <x:c r="O913" s="37"/>
      <x:c r="P913" s="34" t="n">
        <x:v>0</x:v>
      </x:c>
      <x:c r="Q913" s="37" t="n">
        <x:v>46176.00954861111</x:v>
      </x:c>
    </x:row>
    <x:row r="914">
      <x:c r="A914" s="22" t="n">
        <x:v>35564</x:v>
      </x:c>
      <x:c r="B914" s="28" t="n">
        <x:v>262.5</x:v>
      </x:c>
      <x:c r="C914" s="28" t="n">
        <x:v>288.75</x:v>
      </x:c>
      <x:c r="D914" s="31" t="n">
        <x:f>IF(OR(ISBLANK(B914),ISBLANK(C914),B914=0),"",(C914-B914)/B914)</x:f>
        <x:v>0.1</x:v>
      </x:c>
      <x:c r="E914" s="22" t="str">
        <x:f>IF(ISBLANK(C914),"AmountIncludingTax缺失",IF(ABS(B914-C914)&lt;0.005,"一致","不一致"))</x:f>
        <x:v>不一致</x:v>
      </x:c>
      <x:c r="F914" s="19" t="str">
        <x:v>approved</x:v>
      </x:c>
      <x:c r="G914" s="19" t="str">
        <x:v>Repair in Progress</x:v>
      </x:c>
      <x:c r="H914" s="19" t="str">
        <x:v>Pre Delivery</x:v>
      </x:c>
      <x:c r="I914" s="37" t="n">
        <x:v>46206</x:v>
      </x:c>
      <x:c r="J914" s="37" t="n">
        <x:v>46206</x:v>
      </x:c>
      <x:c r="K914" s="19" t="str">
        <x:v>ABCO Caravans - Boambee Valley</x:v>
      </x:c>
      <x:c r="L914" s="19" t="str">
        <x:v>Z005</x:v>
      </x:c>
      <x:c r="M914" s="19" t="str">
        <x:v>Pre Delivery Warranty Claims</x:v>
      </x:c>
      <x:c r="N914" s="37" t="n">
        <x:v>46168</x:v>
      </x:c>
      <x:c r="O914" s="37"/>
      <x:c r="P914" s="34" t="n">
        <x:v>288.75</x:v>
      </x:c>
      <x:c r="Q914" s="37" t="n">
        <x:v>46206.018055555556</x:v>
      </x:c>
    </x:row>
    <x:row r="915">
      <x:c r="A915" s="22" t="n">
        <x:v>35561</x:v>
      </x:c>
      <x:c r="B915" s="28" t="n">
        <x:v>627.5</x:v>
      </x:c>
      <x:c r="C915" s="28"/>
      <x:c r="D915" s="31" t="str">
        <x:f>IF(OR(ISBLANK(B915),ISBLANK(C915),B915=0),"",(C915-B915)/B915)</x:f>
      </x:c>
      <x:c r="E915" s="22" t="str">
        <x:f>IF(ISBLANK(C915),"AmountIncludingTax缺失",IF(ABS(B915-C915)&lt;0.005,"一致","不一致"))</x:f>
        <x:v>AmountIncludingTax缺失</x:v>
      </x:c>
      <x:c r="F915" s="19" t="str">
        <x:v>approved</x:v>
      </x:c>
      <x:c r="G915" s="19" t="str">
        <x:v>Repairer Invoiced Processed</x:v>
      </x:c>
      <x:c r="H915" s="19" t="str">
        <x:v>Pre Delivery</x:v>
      </x:c>
      <x:c r="I915" s="37" t="n">
        <x:v>46170</x:v>
      </x:c>
      <x:c r="J915" s="37" t="n">
        <x:v>46170</x:v>
      </x:c>
      <x:c r="K915" s="19" t="str">
        <x:v>Lesiure Lion-New Castle</x:v>
      </x:c>
      <x:c r="L915" s="19" t="str">
        <x:v>Z005</x:v>
      </x:c>
      <x:c r="M915" s="19" t="str">
        <x:v>Pre Delivery Warranty Claims</x:v>
      </x:c>
      <x:c r="N915" s="37" t="n">
        <x:v>46168</x:v>
      </x:c>
      <x:c r="O915" s="37"/>
      <x:c r="P915" s="34" t="n">
        <x:v>0</x:v>
      </x:c>
      <x:c r="Q915" s="37" t="n">
        <x:v>46170.02578703704</x:v>
      </x:c>
    </x:row>
    <x:row r="916">
      <x:c r="A916" s="22" t="n">
        <x:v>35560</x:v>
      </x:c>
      <x:c r="B916" s="28" t="n">
        <x:v>222.5</x:v>
      </x:c>
      <x:c r="C916" s="28"/>
      <x:c r="D916" s="31" t="str">
        <x:f>IF(OR(ISBLANK(B916),ISBLANK(C916),B916=0),"",(C916-B916)/B916)</x:f>
      </x:c>
      <x:c r="E916" s="22" t="str">
        <x:f>IF(ISBLANK(C916),"AmountIncludingTax缺失",IF(ABS(B916-C916)&lt;0.005,"一致","不一致"))</x:f>
        <x:v>AmountIncludingTax缺失</x:v>
      </x:c>
      <x:c r="F916" s="19" t="str">
        <x:v>approved</x:v>
      </x:c>
      <x:c r="G916" s="19" t="str">
        <x:v>Repair in Progress</x:v>
      </x:c>
      <x:c r="H916" s="19" t="str">
        <x:v>In Field</x:v>
      </x:c>
      <x:c r="I916" s="37" t="n">
        <x:v>46175</x:v>
      </x:c>
      <x:c r="J916" s="37" t="n">
        <x:v>46175</x:v>
      </x:c>
      <x:c r="K916" s="19" t="str">
        <x:v>Snowy River Wangaratta</x:v>
      </x:c>
      <x:c r="L916" s="19" t="str">
        <x:v>Z006</x:v>
      </x:c>
      <x:c r="M916" s="19" t="str">
        <x:v>In Field Warranty Claims</x:v>
      </x:c>
      <x:c r="N916" s="37" t="n">
        <x:v>46169</x:v>
      </x:c>
      <x:c r="O916" s="37"/>
      <x:c r="P916" s="34" t="n">
        <x:v>0</x:v>
      </x:c>
      <x:c r="Q916" s="37" t="n">
        <x:v>46174.989849537036</x:v>
      </x:c>
    </x:row>
    <x:row r="917">
      <x:c r="A917" s="22" t="n">
        <x:v>35559</x:v>
      </x:c>
      <x:c r="B917" s="28" t="n">
        <x:v>810</x:v>
      </x:c>
      <x:c r="C917" s="28"/>
      <x:c r="D917" s="31" t="str">
        <x:f>IF(OR(ISBLANK(B917),ISBLANK(C917),B917=0),"",(C917-B917)/B917)</x:f>
      </x:c>
      <x:c r="E917" s="22" t="str">
        <x:f>IF(ISBLANK(C917),"AmountIncludingTax缺失",IF(ABS(B917-C917)&lt;0.005,"一致","不一致"))</x:f>
        <x:v>AmountIncludingTax缺失</x:v>
      </x:c>
      <x:c r="F917" s="19" t="str">
        <x:v>approved</x:v>
      </x:c>
      <x:c r="G917" s="19" t="str">
        <x:v>Sales Order Approved</x:v>
      </x:c>
      <x:c r="H917" s="19" t="str">
        <x:v>Pre Delivery</x:v>
      </x:c>
      <x:c r="I917" s="37" t="n">
        <x:v>46202</x:v>
      </x:c>
      <x:c r="J917" s="37" t="n">
        <x:v>46196</x:v>
      </x:c>
      <x:c r="K917" s="19" t="str">
        <x:v>The Caravan Hub - Townsville</x:v>
      </x:c>
      <x:c r="L917" s="19" t="str">
        <x:v>Z005</x:v>
      </x:c>
      <x:c r="M917" s="19" t="str">
        <x:v>Pre Delivery Warranty Claims</x:v>
      </x:c>
      <x:c r="N917" s="37" t="n">
        <x:v>46169</x:v>
      </x:c>
      <x:c r="O917" s="37"/>
      <x:c r="P917" s="34" t="n">
        <x:v>0</x:v>
      </x:c>
      <x:c r="Q917" s="37" t="n">
        <x:v>46202.18099537037</x:v>
      </x:c>
    </x:row>
    <x:row r="918">
      <x:c r="A918" s="22" t="n">
        <x:v>35558</x:v>
      </x:c>
      <x:c r="B918" s="28" t="n">
        <x:v>1299.55</x:v>
      </x:c>
      <x:c r="C918" s="28"/>
      <x:c r="D918" s="31" t="str">
        <x:f>IF(OR(ISBLANK(B918),ISBLANK(C918),B918=0),"",(C918-B918)/B918)</x:f>
      </x:c>
      <x:c r="E918" s="22" t="str">
        <x:f>IF(ISBLANK(C918),"AmountIncludingTax缺失",IF(ABS(B918-C918)&lt;0.005,"一致","不一致"))</x:f>
        <x:v>AmountIncludingTax缺失</x:v>
      </x:c>
      <x:c r="F918" s="19" t="str">
        <x:v>approved</x:v>
      </x:c>
      <x:c r="G918" s="19" t="str">
        <x:v>Sales Order Approved</x:v>
      </x:c>
      <x:c r="H918" s="19" t="str">
        <x:v>Pre Delivery</x:v>
      </x:c>
      <x:c r="I918" s="37" t="n">
        <x:v>46203</x:v>
      </x:c>
      <x:c r="J918" s="37" t="n">
        <x:v>46203</x:v>
      </x:c>
      <x:c r="K918" s="19" t="str">
        <x:v>Destiny RV - South Australia</x:v>
      </x:c>
      <x:c r="L918" s="19" t="str">
        <x:v>Z005</x:v>
      </x:c>
      <x:c r="M918" s="19" t="str">
        <x:v>Pre Delivery Warranty Claims</x:v>
      </x:c>
      <x:c r="N918" s="37" t="n">
        <x:v>46169</x:v>
      </x:c>
      <x:c r="O918" s="37"/>
      <x:c r="P918" s="34" t="n">
        <x:v>0</x:v>
      </x:c>
      <x:c r="Q918" s="37" t="n">
        <x:v>46203.22447916667</x:v>
      </x:c>
    </x:row>
    <x:row r="919">
      <x:c r="A919" s="22" t="n">
        <x:v>35557</x:v>
      </x:c>
      <x:c r="B919" s="28" t="n">
        <x:v>472.5</x:v>
      </x:c>
      <x:c r="C919" s="28" t="n">
        <x:v>519.75</x:v>
      </x:c>
      <x:c r="D919" s="31" t="n">
        <x:f>IF(OR(ISBLANK(B919),ISBLANK(C919),B919=0),"",(C919-B919)/B919)</x:f>
        <x:v>0.1</x:v>
      </x:c>
      <x:c r="E919" s="22" t="str">
        <x:f>IF(ISBLANK(C919),"AmountIncludingTax缺失",IF(ABS(B919-C919)&lt;0.005,"一致","不一致"))</x:f>
        <x:v>不一致</x:v>
      </x:c>
      <x:c r="F919" s="19" t="str">
        <x:v>approved</x:v>
      </x:c>
      <x:c r="G919" s="19" t="str">
        <x:v>Repair in Progress</x:v>
      </x:c>
      <x:c r="H919" s="19" t="str">
        <x:v>In Field</x:v>
      </x:c>
      <x:c r="I919" s="37" t="n">
        <x:v>46169</x:v>
      </x:c>
      <x:c r="J919" s="37" t="n">
        <x:v>46169</x:v>
      </x:c>
      <x:c r="K919" s="19" t="str">
        <x:v>Snowy River Geelong</x:v>
      </x:c>
      <x:c r="L919" s="19" t="str">
        <x:v>Z006</x:v>
      </x:c>
      <x:c r="M919" s="19" t="str">
        <x:v>In Field Warranty Claims</x:v>
      </x:c>
      <x:c r="N919" s="37" t="n">
        <x:v>46169</x:v>
      </x:c>
      <x:c r="O919" s="37"/>
      <x:c r="P919" s="34" t="n">
        <x:v>519.75</x:v>
      </x:c>
      <x:c r="Q919" s="37" t="n">
        <x:v>46169.10472222222</x:v>
      </x:c>
    </x:row>
    <x:row r="920">
      <x:c r="A920" s="22" t="n">
        <x:v>35556</x:v>
      </x:c>
      <x:c r="B920" s="28" t="n">
        <x:v>827.5</x:v>
      </x:c>
      <x:c r="C920" s="28"/>
      <x:c r="D920" s="31" t="str">
        <x:f>IF(OR(ISBLANK(B920),ISBLANK(C920),B920=0),"",(C920-B920)/B920)</x:f>
      </x:c>
      <x:c r="E920" s="22" t="str">
        <x:f>IF(ISBLANK(C920),"AmountIncludingTax缺失",IF(ABS(B920-C920)&lt;0.005,"一致","不一致"))</x:f>
        <x:v>AmountIncludingTax缺失</x:v>
      </x:c>
      <x:c r="F920" s="19" t="str">
        <x:v>approved</x:v>
      </x:c>
      <x:c r="G920" s="19" t="str">
        <x:v>Repair in Progress</x:v>
      </x:c>
      <x:c r="H920" s="19" t="str">
        <x:v>In Field</x:v>
      </x:c>
      <x:c r="I920" s="37" t="n">
        <x:v>46169</x:v>
      </x:c>
      <x:c r="J920" s="37" t="n">
        <x:v>46169</x:v>
      </x:c>
      <x:c r="K920" s="19" t="str">
        <x:v>Green RV - Slacks Creek</x:v>
      </x:c>
      <x:c r="L920" s="19" t="str">
        <x:v>Z006</x:v>
      </x:c>
      <x:c r="M920" s="19" t="str">
        <x:v>In Field Warranty Claims</x:v>
      </x:c>
      <x:c r="N920" s="37" t="n">
        <x:v>46169</x:v>
      </x:c>
      <x:c r="O920" s="37"/>
      <x:c r="P920" s="34" t="n">
        <x:v>0</x:v>
      </x:c>
      <x:c r="Q920" s="37" t="n">
        <x:v>46169.14842592592</x:v>
      </x:c>
    </x:row>
    <x:row r="921">
      <x:c r="A921" s="22" t="n">
        <x:v>35555</x:v>
      </x:c>
      <x:c r="B921" s="28" t="n">
        <x:v>661.25</x:v>
      </x:c>
      <x:c r="C921" s="28"/>
      <x:c r="D921" s="31" t="str">
        <x:f>IF(OR(ISBLANK(B921),ISBLANK(C921),B921=0),"",(C921-B921)/B921)</x:f>
      </x:c>
      <x:c r="E921" s="22" t="str">
        <x:f>IF(ISBLANK(C921),"AmountIncludingTax缺失",IF(ABS(B921-C921)&lt;0.005,"一致","不一致"))</x:f>
        <x:v>AmountIncludingTax缺失</x:v>
      </x:c>
      <x:c r="F921" s="19" t="str">
        <x:v>approved</x:v>
      </x:c>
      <x:c r="G921" s="19" t="str">
        <x:v>Repairer Invoiced Processed</x:v>
      </x:c>
      <x:c r="H921" s="19" t="str">
        <x:v>Pre Delivery</x:v>
      </x:c>
      <x:c r="I921" s="37" t="n">
        <x:v>46175</x:v>
      </x:c>
      <x:c r="J921" s="37" t="n">
        <x:v>46175</x:v>
      </x:c>
      <x:c r="K921" s="19" t="str">
        <x:v>Leisure Lion - Bundaberg</x:v>
      </x:c>
      <x:c r="L921" s="19" t="str">
        <x:v>Z005</x:v>
      </x:c>
      <x:c r="M921" s="19" t="str">
        <x:v>Pre Delivery Warranty Claims</x:v>
      </x:c>
      <x:c r="N921" s="37" t="n">
        <x:v>46169</x:v>
      </x:c>
      <x:c r="O921" s="37"/>
      <x:c r="P921" s="34" t="n">
        <x:v>0</x:v>
      </x:c>
      <x:c r="Q921" s="37" t="n">
        <x:v>46174.982986111114</x:v>
      </x:c>
    </x:row>
    <x:row r="922">
      <x:c r="A922" s="22" t="n">
        <x:v>35554</x:v>
      </x:c>
      <x:c r="B922" s="28" t="n">
        <x:v>565</x:v>
      </x:c>
      <x:c r="C922" s="28" t="n">
        <x:v>511.55</x:v>
      </x:c>
      <x:c r="D922" s="31" t="n">
        <x:f>IF(OR(ISBLANK(B922),ISBLANK(C922),B922=0),"",(C922-B922)/B922)</x:f>
        <x:v>-0.0946017699115044</x:v>
      </x:c>
      <x:c r="E922" s="22" t="str">
        <x:f>IF(ISBLANK(C922),"AmountIncludingTax缺失",IF(ABS(B922-C922)&lt;0.005,"一致","不一致"))</x:f>
        <x:v>不一致</x:v>
      </x:c>
      <x:c r="F922" s="19" t="str">
        <x:v>approved</x:v>
      </x:c>
      <x:c r="G922" s="19" t="str">
        <x:v>Repairer Invoiced Processed</x:v>
      </x:c>
      <x:c r="H922" s="19" t="str">
        <x:v>In Field</x:v>
      </x:c>
      <x:c r="I922" s="37" t="n">
        <x:v>46169</x:v>
      </x:c>
      <x:c r="J922" s="37" t="n">
        <x:v>46169</x:v>
      </x:c>
      <x:c r="K922" s="19" t="str">
        <x:v>Vanari Caravans - Marden Point</x:v>
      </x:c>
      <x:c r="L922" s="19" t="str">
        <x:v>Z006</x:v>
      </x:c>
      <x:c r="M922" s="19" t="str">
        <x:v>In Field Warranty Claims</x:v>
      </x:c>
      <x:c r="N922" s="37" t="n">
        <x:v>46168</x:v>
      </x:c>
      <x:c r="O922" s="37"/>
      <x:c r="P922" s="34" t="n">
        <x:v>511.55</x:v>
      </x:c>
      <x:c r="Q922" s="37" t="n">
        <x:v>46169.15142361111</x:v>
      </x:c>
    </x:row>
    <x:row r="923">
      <x:c r="A923" s="22" t="n">
        <x:v>35553</x:v>
      </x:c>
      <x:c r="B923" s="28" t="n">
        <x:v>593.75</x:v>
      </x:c>
      <x:c r="C923" s="28"/>
      <x:c r="D923" s="31" t="str">
        <x:f>IF(OR(ISBLANK(B923),ISBLANK(C923),B923=0),"",(C923-B923)/B923)</x:f>
      </x:c>
      <x:c r="E923" s="22" t="str">
        <x:f>IF(ISBLANK(C923),"AmountIncludingTax缺失",IF(ABS(B923-C923)&lt;0.005,"一致","不一致"))</x:f>
        <x:v>AmountIncludingTax缺失</x:v>
      </x:c>
      <x:c r="F923" s="19" t="str">
        <x:v>approved</x:v>
      </x:c>
      <x:c r="G923" s="19" t="str">
        <x:v>Partially Picked</x:v>
      </x:c>
      <x:c r="H923" s="19" t="str">
        <x:v>Pre Delivery</x:v>
      </x:c>
      <x:c r="I923" s="37" t="n">
        <x:v>46175</x:v>
      </x:c>
      <x:c r="J923" s="37" t="n">
        <x:v>46171</x:v>
      </x:c>
      <x:c r="K923" s="19" t="str">
        <x:v>Leisure Lion - Bundaberg</x:v>
      </x:c>
      <x:c r="L923" s="19" t="str">
        <x:v>Z005</x:v>
      </x:c>
      <x:c r="M923" s="19" t="str">
        <x:v>Pre Delivery Warranty Claims</x:v>
      </x:c>
      <x:c r="N923" s="37" t="n">
        <x:v>46168</x:v>
      </x:c>
      <x:c r="O923" s="37"/>
      <x:c r="P923" s="34" t="n">
        <x:v>0</x:v>
      </x:c>
      <x:c r="Q923" s="37" t="n">
        <x:v>46174.92417824074</x:v>
      </x:c>
    </x:row>
    <x:row r="924">
      <x:c r="A924" s="22" t="n">
        <x:v>35551</x:v>
      </x:c>
      <x:c r="B924" s="28" t="n">
        <x:v>524.55</x:v>
      </x:c>
      <x:c r="C924" s="28" t="n">
        <x:v>474.93</x:v>
      </x:c>
      <x:c r="D924" s="31" t="n">
        <x:f>IF(OR(ISBLANK(B924),ISBLANK(C924),B924=0),"",(C924-B924)/B924)</x:f>
        <x:v>-0.09459536745782089</x:v>
      </x:c>
      <x:c r="E924" s="22" t="str">
        <x:f>IF(ISBLANK(C924),"AmountIncludingTax缺失",IF(ABS(B924-C924)&lt;0.005,"一致","不一致"))</x:f>
        <x:v>不一致</x:v>
      </x:c>
      <x:c r="F924" s="19" t="str">
        <x:v>approved</x:v>
      </x:c>
      <x:c r="G924" s="19" t="str">
        <x:v>Repairer Invoiced Processed</x:v>
      </x:c>
      <x:c r="H924" s="19" t="str">
        <x:v>In Field</x:v>
      </x:c>
      <x:c r="I924" s="37" t="n">
        <x:v>46183</x:v>
      </x:c>
      <x:c r="J924" s="37" t="n">
        <x:v>46183</x:v>
      </x:c>
      <x:c r="K924" s="19" t="str">
        <x:v>Vanari Caravans - Marden Point</x:v>
      </x:c>
      <x:c r="L924" s="19" t="str">
        <x:v>Z006</x:v>
      </x:c>
      <x:c r="M924" s="19" t="str">
        <x:v>In Field Warranty Claims</x:v>
      </x:c>
      <x:c r="N924" s="37" t="n">
        <x:v>46168</x:v>
      </x:c>
      <x:c r="O924" s="37"/>
      <x:c r="P924" s="34" t="n">
        <x:v>474.93</x:v>
      </x:c>
      <x:c r="Q924" s="37" t="n">
        <x:v>46183.0781712963</x:v>
      </x:c>
    </x:row>
    <x:row r="925">
      <x:c r="A925" s="22" t="n">
        <x:v>35549</x:v>
      </x:c>
      <x:c r="B925" s="28" t="n">
        <x:v>202.5</x:v>
      </x:c>
      <x:c r="C925" s="28" t="n">
        <x:v>222.75</x:v>
      </x:c>
      <x:c r="D925" s="31" t="n">
        <x:f>IF(OR(ISBLANK(B925),ISBLANK(C925),B925=0),"",(C925-B925)/B925)</x:f>
        <x:v>0.1</x:v>
      </x:c>
      <x:c r="E925" s="22" t="str">
        <x:f>IF(ISBLANK(C925),"AmountIncludingTax缺失",IF(ABS(B925-C925)&lt;0.005,"一致","不一致"))</x:f>
        <x:v>不一致</x:v>
      </x:c>
      <x:c r="F925" s="19" t="str">
        <x:v>approved</x:v>
      </x:c>
      <x:c r="G925" s="19" t="str">
        <x:v>Repair in Progress</x:v>
      </x:c>
      <x:c r="H925" s="19" t="str">
        <x:v>In Field</x:v>
      </x:c>
      <x:c r="I925" s="37" t="n">
        <x:v>46168</x:v>
      </x:c>
      <x:c r="J925" s="37" t="n">
        <x:v>46168</x:v>
      </x:c>
      <x:c r="K925" s="19" t="str">
        <x:v>Regent RV - Frankston</x:v>
      </x:c>
      <x:c r="L925" s="19" t="str">
        <x:v>Z006</x:v>
      </x:c>
      <x:c r="M925" s="19" t="str">
        <x:v>In Field Warranty Claims</x:v>
      </x:c>
      <x:c r="N925" s="37" t="n">
        <x:v>46168</x:v>
      </x:c>
      <x:c r="O925" s="37"/>
      <x:c r="P925" s="34" t="n">
        <x:v>222.75</x:v>
      </x:c>
      <x:c r="Q925" s="37" t="n">
        <x:v>46168.28417824074</x:v>
      </x:c>
    </x:row>
    <x:row r="926">
      <x:c r="A926" s="22" t="n">
        <x:v>35547</x:v>
      </x:c>
      <x:c r="B926" s="28" t="n">
        <x:v>90</x:v>
      </x:c>
      <x:c r="C926" s="28"/>
      <x:c r="D926" s="31" t="str">
        <x:f>IF(OR(ISBLANK(B926),ISBLANK(C926),B926=0),"",(C926-B926)/B926)</x:f>
      </x:c>
      <x:c r="E926" s="22" t="str">
        <x:f>IF(ISBLANK(C926),"AmountIncludingTax缺失",IF(ABS(B926-C926)&lt;0.005,"一致","不一致"))</x:f>
        <x:v>AmountIncludingTax缺失</x:v>
      </x:c>
      <x:c r="F926" s="19" t="str">
        <x:v>approved</x:v>
      </x:c>
      <x:c r="G926" s="19" t="str">
        <x:v>Repair in Progress</x:v>
      </x:c>
      <x:c r="H926" s="19" t="str">
        <x:v>Pre Delivery</x:v>
      </x:c>
      <x:c r="I926" s="37" t="n">
        <x:v>46169</x:v>
      </x:c>
      <x:c r="J926" s="37" t="n">
        <x:v>46169</x:v>
      </x:c>
      <x:c r="K926" s="19" t="str">
        <x:v>Snowy River Wangaratta</x:v>
      </x:c>
      <x:c r="L926" s="19" t="str">
        <x:v>Z005</x:v>
      </x:c>
      <x:c r="M926" s="19" t="str">
        <x:v>Pre Delivery Warranty Claims</x:v>
      </x:c>
      <x:c r="N926" s="37" t="n">
        <x:v>46168</x:v>
      </x:c>
      <x:c r="O926" s="37"/>
      <x:c r="P926" s="34" t="n">
        <x:v>0</x:v>
      </x:c>
      <x:c r="Q926" s="37" t="n">
        <x:v>46169.25188657407</x:v>
      </x:c>
    </x:row>
    <x:row r="927">
      <x:c r="A927" s="22" t="n">
        <x:v>35541</x:v>
      </x:c>
      <x:c r="B927" s="28" t="n">
        <x:v>202.5</x:v>
      </x:c>
      <x:c r="C927" s="28" t="n">
        <x:v>222.75</x:v>
      </x:c>
      <x:c r="D927" s="31" t="n">
        <x:f>IF(OR(ISBLANK(B927),ISBLANK(C927),B927=0),"",(C927-B927)/B927)</x:f>
        <x:v>0.1</x:v>
      </x:c>
      <x:c r="E927" s="22" t="str">
        <x:f>IF(ISBLANK(C927),"AmountIncludingTax缺失",IF(ABS(B927-C927)&lt;0.005,"一致","不一致"))</x:f>
        <x:v>不一致</x:v>
      </x:c>
      <x:c r="F927" s="19" t="str">
        <x:v>approved</x:v>
      </x:c>
      <x:c r="G927" s="19" t="str">
        <x:v>Repair in Progress</x:v>
      </x:c>
      <x:c r="H927" s="19" t="str">
        <x:v>In Field</x:v>
      </x:c>
      <x:c r="I927" s="37" t="n">
        <x:v>46168</x:v>
      </x:c>
      <x:c r="J927" s="37" t="n">
        <x:v>46168</x:v>
      </x:c>
      <x:c r="K927" s="19" t="str">
        <x:v>Snowy River Geelong</x:v>
      </x:c>
      <x:c r="L927" s="19" t="str">
        <x:v>Z006</x:v>
      </x:c>
      <x:c r="M927" s="19" t="str">
        <x:v>In Field Warranty Claims</x:v>
      </x:c>
      <x:c r="N927" s="37" t="n">
        <x:v>46168</x:v>
      </x:c>
      <x:c r="O927" s="37"/>
      <x:c r="P927" s="34" t="n">
        <x:v>222.75</x:v>
      </x:c>
      <x:c r="Q927" s="37" t="n">
        <x:v>46168.22064814815</x:v>
      </x:c>
    </x:row>
    <x:row r="928">
      <x:c r="A928" s="22" t="n">
        <x:v>35539</x:v>
      </x:c>
      <x:c r="B928" s="28" t="n">
        <x:v>594</x:v>
      </x:c>
      <x:c r="C928" s="28" t="n">
        <x:v>537.81</x:v>
      </x:c>
      <x:c r="D928" s="31" t="n">
        <x:f>IF(OR(ISBLANK(B928),ISBLANK(C928),B928=0),"",(C928-B928)/B928)</x:f>
        <x:v>-0.09459595959595969</x:v>
      </x:c>
      <x:c r="E928" s="22" t="str">
        <x:f>IF(ISBLANK(C928),"AmountIncludingTax缺失",IF(ABS(B928-C928)&lt;0.005,"一致","不一致"))</x:f>
        <x:v>不一致</x:v>
      </x:c>
      <x:c r="F928" s="19" t="str">
        <x:v>approved</x:v>
      </x:c>
      <x:c r="G928" s="19" t="str">
        <x:v>Repairer Invoiced Processed</x:v>
      </x:c>
      <x:c r="H928" s="19" t="str">
        <x:v>Pre Delivery</x:v>
      </x:c>
      <x:c r="I928" s="37" t="n">
        <x:v>46196</x:v>
      </x:c>
      <x:c r="J928" s="37" t="n">
        <x:v>46196</x:v>
      </x:c>
      <x:c r="K928" s="19" t="str">
        <x:v>Vanari Caravans - Marden Point</x:v>
      </x:c>
      <x:c r="L928" s="19" t="str">
        <x:v>Z005</x:v>
      </x:c>
      <x:c r="M928" s="19" t="str">
        <x:v>Pre Delivery Warranty Claims</x:v>
      </x:c>
      <x:c r="N928" s="37" t="n">
        <x:v>46168</x:v>
      </x:c>
      <x:c r="O928" s="37"/>
      <x:c r="P928" s="34" t="n">
        <x:v>537.81</x:v>
      </x:c>
      <x:c r="Q928" s="37" t="n">
        <x:v>46196.07083333333</x:v>
      </x:c>
    </x:row>
    <x:row r="929">
      <x:c r="A929" s="22" t="n">
        <x:v>35537</x:v>
      </x:c>
      <x:c r="B929" s="28" t="n">
        <x:v>45</x:v>
      </x:c>
      <x:c r="C929" s="28"/>
      <x:c r="D929" s="31" t="str">
        <x:f>IF(OR(ISBLANK(B929),ISBLANK(C929),B929=0),"",(C929-B929)/B929)</x:f>
      </x:c>
      <x:c r="E929" s="22" t="str">
        <x:f>IF(ISBLANK(C929),"AmountIncludingTax缺失",IF(ABS(B929-C929)&lt;0.005,"一致","不一致"))</x:f>
        <x:v>AmountIncludingTax缺失</x:v>
      </x:c>
      <x:c r="F929" s="19" t="str">
        <x:v>approved</x:v>
      </x:c>
      <x:c r="G929" s="19" t="str">
        <x:v>Repairer Invoiced Processed</x:v>
      </x:c>
      <x:c r="H929" s="19" t="str">
        <x:v>Pre Delivery</x:v>
      </x:c>
      <x:c r="I929" s="37" t="n">
        <x:v>46169</x:v>
      </x:c>
      <x:c r="J929" s="37" t="n">
        <x:v>46169</x:v>
      </x:c>
      <x:c r="K929" s="19" t="str">
        <x:v>Snowy River Wangaratta</x:v>
      </x:c>
      <x:c r="L929" s="19" t="str">
        <x:v>Z005</x:v>
      </x:c>
      <x:c r="M929" s="19" t="str">
        <x:v>Pre Delivery Warranty Claims</x:v>
      </x:c>
      <x:c r="N929" s="37" t="n">
        <x:v>46168</x:v>
      </x:c>
      <x:c r="O929" s="37"/>
      <x:c r="P929" s="34" t="n">
        <x:v>0</x:v>
      </x:c>
      <x:c r="Q929" s="37" t="n">
        <x:v>46169.258356481485</x:v>
      </x:c>
    </x:row>
    <x:row r="930">
      <x:c r="A930" s="22" t="n">
        <x:v>35534</x:v>
      </x:c>
      <x:c r="B930" s="28" t="n">
        <x:v>202.5</x:v>
      </x:c>
      <x:c r="C930" s="28"/>
      <x:c r="D930" s="31" t="str">
        <x:f>IF(OR(ISBLANK(B930),ISBLANK(C930),B930=0),"",(C930-B930)/B930)</x:f>
      </x:c>
      <x:c r="E930" s="22" t="str">
        <x:f>IF(ISBLANK(C930),"AmountIncludingTax缺失",IF(ABS(B930-C930)&lt;0.005,"一致","不一致"))</x:f>
        <x:v>AmountIncludingTax缺失</x:v>
      </x:c>
      <x:c r="F930" s="19" t="str">
        <x:v>approved</x:v>
      </x:c>
      <x:c r="G930" s="19" t="str">
        <x:v>Repairer Invoiced Processed</x:v>
      </x:c>
      <x:c r="H930" s="19" t="str">
        <x:v>In Field</x:v>
      </x:c>
      <x:c r="I930" s="37" t="n">
        <x:v>46184</x:v>
      </x:c>
      <x:c r="J930" s="37" t="n">
        <x:v>46184</x:v>
      </x:c>
      <x:c r="K930" s="19" t="str">
        <x:v>Newcastle RV Super Centre - Beresfield</x:v>
      </x:c>
      <x:c r="L930" s="19" t="str">
        <x:v>Z006</x:v>
      </x:c>
      <x:c r="M930" s="19" t="str">
        <x:v>In Field Warranty Claims</x:v>
      </x:c>
      <x:c r="N930" s="37" t="n">
        <x:v>46168</x:v>
      </x:c>
      <x:c r="O930" s="37"/>
      <x:c r="P930" s="34" t="n">
        <x:v>0</x:v>
      </x:c>
      <x:c r="Q930" s="37" t="n">
        <x:v>46184.08898148148</x:v>
      </x:c>
    </x:row>
    <x:row r="931">
      <x:c r="A931" s="22" t="n">
        <x:v>35533</x:v>
      </x:c>
      <x:c r="B931" s="28" t="n">
        <x:v>67.5</x:v>
      </x:c>
      <x:c r="C931" s="28" t="n">
        <x:v>74.25</x:v>
      </x:c>
      <x:c r="D931" s="31" t="n">
        <x:f>IF(OR(ISBLANK(B931),ISBLANK(C931),B931=0),"",(C931-B931)/B931)</x:f>
        <x:v>0.1</x:v>
      </x:c>
      <x:c r="E931" s="22" t="str">
        <x:f>IF(ISBLANK(C931),"AmountIncludingTax缺失",IF(ABS(B931-C931)&lt;0.005,"一致","不一致"))</x:f>
        <x:v>不一致</x:v>
      </x:c>
      <x:c r="F931" s="19" t="str">
        <x:v>approved</x:v>
      </x:c>
      <x:c r="G931" s="19" t="str">
        <x:v>Repair in Progress</x:v>
      </x:c>
      <x:c r="H931" s="19" t="str">
        <x:v>In Field</x:v>
      </x:c>
      <x:c r="I931" s="37" t="n">
        <x:v>46168</x:v>
      </x:c>
      <x:c r="J931" s="37" t="n">
        <x:v>46168</x:v>
      </x:c>
      <x:c r="K931" s="19" t="str">
        <x:v>Regent RV - Frankston</x:v>
      </x:c>
      <x:c r="L931" s="19" t="str">
        <x:v>Z006</x:v>
      </x:c>
      <x:c r="M931" s="19" t="str">
        <x:v>In Field Warranty Claims</x:v>
      </x:c>
      <x:c r="N931" s="37" t="n">
        <x:v>46168</x:v>
      </x:c>
      <x:c r="O931" s="37"/>
      <x:c r="P931" s="34" t="n">
        <x:v>74.25</x:v>
      </x:c>
      <x:c r="Q931" s="37" t="n">
        <x:v>46168.24153935185</x:v>
      </x:c>
    </x:row>
    <x:row r="932">
      <x:c r="A932" s="22" t="n">
        <x:v>35531</x:v>
      </x:c>
      <x:c r="B932" s="28" t="n">
        <x:v>863.75</x:v>
      </x:c>
      <x:c r="C932" s="28"/>
      <x:c r="D932" s="31" t="str">
        <x:f>IF(OR(ISBLANK(B932),ISBLANK(C932),B932=0),"",(C932-B932)/B932)</x:f>
      </x:c>
      <x:c r="E932" s="22" t="str">
        <x:f>IF(ISBLANK(C932),"AmountIncludingTax缺失",IF(ABS(B932-C932)&lt;0.005,"一致","不一致"))</x:f>
        <x:v>AmountIncludingTax缺失</x:v>
      </x:c>
      <x:c r="F932" s="19" t="str">
        <x:v>approved</x:v>
      </x:c>
      <x:c r="G932" s="19" t="str">
        <x:v>Repair in Progress</x:v>
      </x:c>
      <x:c r="H932" s="19" t="str">
        <x:v>In Field</x:v>
      </x:c>
      <x:c r="I932" s="37" t="n">
        <x:v>46184</x:v>
      </x:c>
      <x:c r="J932" s="37" t="n">
        <x:v>46184</x:v>
      </x:c>
      <x:c r="K932" s="19" t="str">
        <x:v>Auswide Caravans - South Nowra</x:v>
      </x:c>
      <x:c r="L932" s="19" t="str">
        <x:v>Z006</x:v>
      </x:c>
      <x:c r="M932" s="19" t="str">
        <x:v>In Field Warranty Claims</x:v>
      </x:c>
      <x:c r="N932" s="37" t="n">
        <x:v>46168</x:v>
      </x:c>
      <x:c r="O932" s="37"/>
      <x:c r="P932" s="34" t="n">
        <x:v>0</x:v>
      </x:c>
      <x:c r="Q932" s="37" t="n">
        <x:v>46184.06171296296</x:v>
      </x:c>
    </x:row>
    <x:row r="933">
      <x:c r="A933" s="22" t="n">
        <x:v>35530</x:v>
      </x:c>
      <x:c r="B933" s="28" t="n">
        <x:v>165</x:v>
      </x:c>
      <x:c r="C933" s="28"/>
      <x:c r="D933" s="31" t="str">
        <x:f>IF(OR(ISBLANK(B933),ISBLANK(C933),B933=0),"",(C933-B933)/B933)</x:f>
      </x:c>
      <x:c r="E933" s="22" t="str">
        <x:f>IF(ISBLANK(C933),"AmountIncludingTax缺失",IF(ABS(B933-C933)&lt;0.005,"一致","不一致"))</x:f>
        <x:v>AmountIncludingTax缺失</x:v>
      </x:c>
      <x:c r="F933" s="19" t="str">
        <x:v>approved</x:v>
      </x:c>
      <x:c r="G933" s="19" t="str">
        <x:v>Sales Order Approved</x:v>
      </x:c>
      <x:c r="H933" s="19" t="str">
        <x:v>Pre Delivery</x:v>
      </x:c>
      <x:c r="I933" s="37" t="n">
        <x:v>46196</x:v>
      </x:c>
      <x:c r="J933" s="37" t="n">
        <x:v>46196</x:v>
      </x:c>
      <x:c r="K933" s="19" t="str">
        <x:v>Vanari Caravans - Marden Point</x:v>
      </x:c>
      <x:c r="L933" s="19" t="str">
        <x:v>Z005</x:v>
      </x:c>
      <x:c r="M933" s="19" t="str">
        <x:v>Pre Delivery Warranty Claims</x:v>
      </x:c>
      <x:c r="N933" s="37" t="n">
        <x:v>46168</x:v>
      </x:c>
      <x:c r="O933" s="37"/>
      <x:c r="P933" s="34" t="n">
        <x:v>0</x:v>
      </x:c>
      <x:c r="Q933" s="37" t="n">
        <x:v>46196.2721875</x:v>
      </x:c>
    </x:row>
    <x:row r="934">
      <x:c r="A934" s="22" t="n">
        <x:v>35529</x:v>
      </x:c>
      <x:c r="B934" s="28" t="n">
        <x:v>1275</x:v>
      </x:c>
      <x:c r="C934" s="28"/>
      <x:c r="D934" s="31" t="str">
        <x:f>IF(OR(ISBLANK(B934),ISBLANK(C934),B934=0),"",(C934-B934)/B934)</x:f>
      </x:c>
      <x:c r="E934" s="22" t="str">
        <x:f>IF(ISBLANK(C934),"AmountIncludingTax缺失",IF(ABS(B934-C934)&lt;0.005,"一致","不一致"))</x:f>
        <x:v>AmountIncludingTax缺失</x:v>
      </x:c>
      <x:c r="F934" s="19" t="str">
        <x:v>approved</x:v>
      </x:c>
      <x:c r="G934" s="19" t="str">
        <x:v>Repair in Progress</x:v>
      </x:c>
      <x:c r="H934" s="19" t="str">
        <x:v>In Field</x:v>
      </x:c>
      <x:c r="I934" s="37" t="n">
        <x:v>46169</x:v>
      </x:c>
      <x:c r="J934" s="37" t="n">
        <x:v>46169</x:v>
      </x:c>
      <x:c r="K934" s="19" t="str">
        <x:v>Green RV - Forest Glen</x:v>
      </x:c>
      <x:c r="L934" s="19" t="str">
        <x:v>Z006</x:v>
      </x:c>
      <x:c r="M934" s="19" t="str">
        <x:v>In Field Warranty Claims</x:v>
      </x:c>
      <x:c r="N934" s="37" t="n">
        <x:v>46168</x:v>
      </x:c>
      <x:c r="O934" s="37"/>
      <x:c r="P934" s="34" t="n">
        <x:v>0</x:v>
      </x:c>
      <x:c r="Q934" s="37" t="n">
        <x:v>46168.91196759259</x:v>
      </x:c>
    </x:row>
    <x:row r="935">
      <x:c r="A935" s="22" t="n">
        <x:v>35527</x:v>
      </x:c>
      <x:c r="B935" s="28" t="n">
        <x:v>560</x:v>
      </x:c>
      <x:c r="C935" s="28"/>
      <x:c r="D935" s="31" t="str">
        <x:f>IF(OR(ISBLANK(B935),ISBLANK(C935),B935=0),"",(C935-B935)/B935)</x:f>
      </x:c>
      <x:c r="E935" s="22" t="str">
        <x:f>IF(ISBLANK(C935),"AmountIncludingTax缺失",IF(ABS(B935-C935)&lt;0.005,"一致","不一致"))</x:f>
        <x:v>AmountIncludingTax缺失</x:v>
      </x:c>
      <x:c r="F935" s="19" t="str">
        <x:v>approved</x:v>
      </x:c>
      <x:c r="G935" s="19" t="str">
        <x:v>Repair in Progress</x:v>
      </x:c>
      <x:c r="H935" s="19" t="str">
        <x:v>Pre Delivery</x:v>
      </x:c>
      <x:c r="I935" s="37" t="n">
        <x:v>46171</x:v>
      </x:c>
      <x:c r="J935" s="37" t="n">
        <x:v>46171</x:v>
      </x:c>
      <x:c r="K935" s="19" t="str">
        <x:v>Green RV - Forest Glen</x:v>
      </x:c>
      <x:c r="L935" s="19" t="str">
        <x:v>Z005</x:v>
      </x:c>
      <x:c r="M935" s="19" t="str">
        <x:v>Pre Delivery Warranty Claims</x:v>
      </x:c>
      <x:c r="N935" s="37" t="n">
        <x:v>46168</x:v>
      </x:c>
      <x:c r="O935" s="37"/>
      <x:c r="P935" s="34" t="n">
        <x:v>0</x:v>
      </x:c>
      <x:c r="Q935" s="37" t="n">
        <x:v>46171.18869212963</x:v>
      </x:c>
    </x:row>
    <x:row r="936">
      <x:c r="A936" s="22" t="n">
        <x:v>35526</x:v>
      </x:c>
      <x:c r="B936" s="28" t="n">
        <x:v>67.5</x:v>
      </x:c>
      <x:c r="C936" s="28"/>
      <x:c r="D936" s="31" t="str">
        <x:f>IF(OR(ISBLANK(B936),ISBLANK(C936),B936=0),"",(C936-B936)/B936)</x:f>
      </x:c>
      <x:c r="E936" s="22" t="str">
        <x:f>IF(ISBLANK(C936),"AmountIncludingTax缺失",IF(ABS(B936-C936)&lt;0.005,"一致","不一致"))</x:f>
        <x:v>AmountIncludingTax缺失</x:v>
      </x:c>
      <x:c r="F936" s="19" t="str">
        <x:v>approved</x:v>
      </x:c>
      <x:c r="G936" s="19" t="str">
        <x:v>Repair in Progress</x:v>
      </x:c>
      <x:c r="H936" s="19" t="str">
        <x:v>In Field</x:v>
      </x:c>
      <x:c r="I936" s="37" t="n">
        <x:v>46168</x:v>
      </x:c>
      <x:c r="J936" s="37" t="n">
        <x:v>46168</x:v>
      </x:c>
      <x:c r="K936" s="19" t="str">
        <x:v>Green RV - Slacks Creek</x:v>
      </x:c>
      <x:c r="L936" s="19" t="str">
        <x:v>Z006</x:v>
      </x:c>
      <x:c r="M936" s="19" t="str">
        <x:v>In Field Warranty Claims</x:v>
      </x:c>
      <x:c r="N936" s="37" t="n">
        <x:v>46168</x:v>
      </x:c>
      <x:c r="O936" s="37"/>
      <x:c r="P936" s="34" t="n">
        <x:v>0</x:v>
      </x:c>
      <x:c r="Q936" s="37" t="n">
        <x:v>46168.187430555554</x:v>
      </x:c>
    </x:row>
    <x:row r="937">
      <x:c r="A937" s="22" t="n">
        <x:v>35525</x:v>
      </x:c>
      <x:c r="B937" s="28" t="n">
        <x:v>3068.18</x:v>
      </x:c>
      <x:c r="C937" s="28"/>
      <x:c r="D937" s="31" t="str">
        <x:f>IF(OR(ISBLANK(B937),ISBLANK(C937),B937=0),"",(C937-B937)/B937)</x:f>
      </x:c>
      <x:c r="E937" s="22" t="str">
        <x:f>IF(ISBLANK(C937),"AmountIncludingTax缺失",IF(ABS(B937-C937)&lt;0.005,"一致","不一致"))</x:f>
        <x:v>AmountIncludingTax缺失</x:v>
      </x:c>
      <x:c r="F937" s="19" t="str">
        <x:v>approved</x:v>
      </x:c>
      <x:c r="G937" s="19" t="str">
        <x:v>Repairer Invoiced Processed</x:v>
      </x:c>
      <x:c r="H937" s="19" t="str">
        <x:v>In Field</x:v>
      </x:c>
      <x:c r="I937" s="37" t="n">
        <x:v>46168</x:v>
      </x:c>
      <x:c r="J937" s="37" t="n">
        <x:v>46168</x:v>
      </x:c>
      <x:c r="K937" s="19" t="str">
        <x:v>Dario Caravans -St.Marys</x:v>
      </x:c>
      <x:c r="L937" s="19" t="str">
        <x:v>Z006</x:v>
      </x:c>
      <x:c r="M937" s="19" t="str">
        <x:v>In Field Warranty Claims</x:v>
      </x:c>
      <x:c r="N937" s="37" t="n">
        <x:v>46168</x:v>
      </x:c>
      <x:c r="O937" s="37"/>
      <x:c r="P937" s="34" t="n">
        <x:v>3375</x:v>
      </x:c>
      <x:c r="Q937" s="37" t="n">
        <x:v>46168.154340277775</x:v>
      </x:c>
    </x:row>
    <x:row r="938">
      <x:c r="A938" s="22" t="n">
        <x:v>35521</x:v>
      </x:c>
      <x:c r="B938" s="28" t="n">
        <x:v>917.5</x:v>
      </x:c>
      <x:c r="C938" s="28"/>
      <x:c r="D938" s="31" t="str">
        <x:f>IF(OR(ISBLANK(B938),ISBLANK(C938),B938=0),"",(C938-B938)/B938)</x:f>
      </x:c>
      <x:c r="E938" s="22" t="str">
        <x:f>IF(ISBLANK(C938),"AmountIncludingTax缺失",IF(ABS(B938-C938)&lt;0.005,"一致","不一致"))</x:f>
        <x:v>AmountIncludingTax缺失</x:v>
      </x:c>
      <x:c r="F938" s="19" t="str">
        <x:v>approved</x:v>
      </x:c>
      <x:c r="G938" s="19" t="str">
        <x:v>Repairer Invoiced Processed</x:v>
      </x:c>
      <x:c r="H938" s="19" t="str">
        <x:v>Pre Delivery</x:v>
      </x:c>
      <x:c r="I938" s="37" t="n">
        <x:v>46169</x:v>
      </x:c>
      <x:c r="J938" s="37" t="n">
        <x:v>46169</x:v>
      </x:c>
      <x:c r="K938" s="19" t="str">
        <x:v>Green RV - Slacks Creek</x:v>
      </x:c>
      <x:c r="L938" s="19" t="str">
        <x:v>Z005</x:v>
      </x:c>
      <x:c r="M938" s="19" t="str">
        <x:v>Pre Delivery Warranty Claims</x:v>
      </x:c>
      <x:c r="N938" s="37" t="n">
        <x:v>46168</x:v>
      </x:c>
      <x:c r="O938" s="37"/>
      <x:c r="P938" s="34" t="n">
        <x:v>0</x:v>
      </x:c>
      <x:c r="Q938" s="37" t="n">
        <x:v>46168.92325231482</x:v>
      </x:c>
    </x:row>
    <x:row r="939">
      <x:c r="A939" s="22" t="n">
        <x:v>35520</x:v>
      </x:c>
      <x:c r="B939" s="28" t="n">
        <x:v>77.5</x:v>
      </x:c>
      <x:c r="C939" s="28"/>
      <x:c r="D939" s="31" t="str">
        <x:f>IF(OR(ISBLANK(B939),ISBLANK(C939),B939=0),"",(C939-B939)/B939)</x:f>
      </x:c>
      <x:c r="E939" s="22" t="str">
        <x:f>IF(ISBLANK(C939),"AmountIncludingTax缺失",IF(ABS(B939-C939)&lt;0.005,"一致","不一致"))</x:f>
        <x:v>AmountIncludingTax缺失</x:v>
      </x:c>
      <x:c r="F939" s="19" t="str">
        <x:v>approved</x:v>
      </x:c>
      <x:c r="G939" s="19" t="str">
        <x:v>Repairer Invoiced Processed</x:v>
      </x:c>
      <x:c r="H939" s="19" t="str">
        <x:v>In Field</x:v>
      </x:c>
      <x:c r="I939" s="37" t="n">
        <x:v>46169</x:v>
      </x:c>
      <x:c r="J939" s="37" t="n">
        <x:v>46169</x:v>
      </x:c>
      <x:c r="K939" s="19" t="str">
        <x:v>Green RV - Forest Glen</x:v>
      </x:c>
      <x:c r="L939" s="19" t="str">
        <x:v>Z006</x:v>
      </x:c>
      <x:c r="M939" s="19" t="str">
        <x:v>In Field Warranty Claims</x:v>
      </x:c>
      <x:c r="N939" s="37" t="n">
        <x:v>46168</x:v>
      </x:c>
      <x:c r="O939" s="37"/>
      <x:c r="P939" s="34" t="n">
        <x:v>0</x:v>
      </x:c>
      <x:c r="Q939" s="37" t="n">
        <x:v>46169.108831018515</x:v>
      </x:c>
    </x:row>
    <x:row r="940">
      <x:c r="A940" s="22" t="n">
        <x:v>35518</x:v>
      </x:c>
      <x:c r="B940" s="28" t="n">
        <x:v>135</x:v>
      </x:c>
      <x:c r="C940" s="28"/>
      <x:c r="D940" s="31" t="str">
        <x:f>IF(OR(ISBLANK(B940),ISBLANK(C940),B940=0),"",(C940-B940)/B940)</x:f>
      </x:c>
      <x:c r="E940" s="22" t="str">
        <x:f>IF(ISBLANK(C940),"AmountIncludingTax缺失",IF(ABS(B940-C940)&lt;0.005,"一致","不一致"))</x:f>
        <x:v>AmountIncludingTax缺失</x:v>
      </x:c>
      <x:c r="F940" s="19" t="str">
        <x:v>approved</x:v>
      </x:c>
      <x:c r="G940" s="19" t="str">
        <x:v>Repair in Progress</x:v>
      </x:c>
      <x:c r="H940" s="19" t="str">
        <x:v>In Field</x:v>
      </x:c>
      <x:c r="I940" s="37" t="n">
        <x:v>46169</x:v>
      </x:c>
      <x:c r="J940" s="37" t="n">
        <x:v>46169</x:v>
      </x:c>
      <x:c r="K940" s="19" t="str">
        <x:v>Green RV - Slacks Creek</x:v>
      </x:c>
      <x:c r="L940" s="19" t="str">
        <x:v>Z006</x:v>
      </x:c>
      <x:c r="M940" s="19" t="str">
        <x:v>In Field Warranty Claims</x:v>
      </x:c>
      <x:c r="N940" s="37" t="n">
        <x:v>46168</x:v>
      </x:c>
      <x:c r="O940" s="37"/>
      <x:c r="P940" s="34" t="n">
        <x:v>0</x:v>
      </x:c>
      <x:c r="Q940" s="37" t="n">
        <x:v>46169.07638888889</x:v>
      </x:c>
    </x:row>
    <x:row r="941">
      <x:c r="A941" s="22" t="n">
        <x:v>35517</x:v>
      </x:c>
      <x:c r="B941" s="28" t="n">
        <x:v>236.25</x:v>
      </x:c>
      <x:c r="C941" s="28" t="n">
        <x:v>259.88</x:v>
      </x:c>
      <x:c r="D941" s="31" t="n">
        <x:f>IF(OR(ISBLANK(B941),ISBLANK(C941),B941=0),"",(C941-B941)/B941)</x:f>
        <x:v>0.100021164021164</x:v>
      </x:c>
      <x:c r="E941" s="22" t="str">
        <x:f>IF(ISBLANK(C941),"AmountIncludingTax缺失",IF(ABS(B941-C941)&lt;0.005,"一致","不一致"))</x:f>
        <x:v>不一致</x:v>
      </x:c>
      <x:c r="F941" s="19" t="str">
        <x:v>approved</x:v>
      </x:c>
      <x:c r="G941" s="19" t="str">
        <x:v>Repair in Progress</x:v>
      </x:c>
      <x:c r="H941" s="19" t="str">
        <x:v>In Field</x:v>
      </x:c>
      <x:c r="I941" s="37" t="n">
        <x:v>46168</x:v>
      </x:c>
      <x:c r="J941" s="37" t="n">
        <x:v>46168</x:v>
      </x:c>
      <x:c r="K941" s="19" t="str">
        <x:v>Snowy River Geelong</x:v>
      </x:c>
      <x:c r="L941" s="19" t="str">
        <x:v>Z006</x:v>
      </x:c>
      <x:c r="M941" s="19" t="str">
        <x:v>In Field Warranty Claims</x:v>
      </x:c>
      <x:c r="N941" s="37" t="n">
        <x:v>46168</x:v>
      </x:c>
      <x:c r="O941" s="37"/>
      <x:c r="P941" s="34" t="n">
        <x:v>259.88</x:v>
      </x:c>
      <x:c r="Q941" s="37" t="n">
        <x:v>46168.19497685185</x:v>
      </x:c>
    </x:row>
    <x:row r="942">
      <x:c r="A942" s="22" t="n">
        <x:v>35516</x:v>
      </x:c>
      <x:c r="B942" s="28" t="n">
        <x:v>455</x:v>
      </x:c>
      <x:c r="C942" s="28"/>
      <x:c r="D942" s="31" t="str">
        <x:f>IF(OR(ISBLANK(B942),ISBLANK(C942),B942=0),"",(C942-B942)/B942)</x:f>
      </x:c>
      <x:c r="E942" s="22" t="str">
        <x:f>IF(ISBLANK(C942),"AmountIncludingTax缺失",IF(ABS(B942-C942)&lt;0.005,"一致","不一致"))</x:f>
        <x:v>AmountIncludingTax缺失</x:v>
      </x:c>
      <x:c r="F942" s="19" t="str">
        <x:v>approved</x:v>
      </x:c>
      <x:c r="G942" s="19" t="str">
        <x:v>Repairer Invoiced Processed</x:v>
      </x:c>
      <x:c r="H942" s="19" t="str">
        <x:v>In Field</x:v>
      </x:c>
      <x:c r="I942" s="37" t="n">
        <x:v>46170</x:v>
      </x:c>
      <x:c r="J942" s="37" t="n">
        <x:v>46170</x:v>
      </x:c>
      <x:c r="K942" s="19" t="str">
        <x:v>The Caravan Hub - Townsville</x:v>
      </x:c>
      <x:c r="L942" s="19" t="str">
        <x:v>Z006</x:v>
      </x:c>
      <x:c r="M942" s="19" t="str">
        <x:v>In Field Warranty Claims</x:v>
      </x:c>
      <x:c r="N942" s="37" t="n">
        <x:v>46168</x:v>
      </x:c>
      <x:c r="O942" s="37"/>
      <x:c r="P942" s="34" t="n">
        <x:v>0</x:v>
      </x:c>
      <x:c r="Q942" s="37" t="n">
        <x:v>46170.106099537035</x:v>
      </x:c>
    </x:row>
    <x:row r="943">
      <x:c r="A943" s="22" t="n">
        <x:v>35515</x:v>
      </x:c>
      <x:c r="B943" s="28" t="n">
        <x:v>337.5</x:v>
      </x:c>
      <x:c r="C943" s="28" t="n">
        <x:v>371.25</x:v>
      </x:c>
      <x:c r="D943" s="31" t="n">
        <x:f>IF(OR(ISBLANK(B943),ISBLANK(C943),B943=0),"",(C943-B943)/B943)</x:f>
        <x:v>0.1</x:v>
      </x:c>
      <x:c r="E943" s="22" t="str">
        <x:f>IF(ISBLANK(C943),"AmountIncludingTax缺失",IF(ABS(B943-C943)&lt;0.005,"一致","不一致"))</x:f>
        <x:v>不一致</x:v>
      </x:c>
      <x:c r="F943" s="19" t="str">
        <x:v>approved</x:v>
      </x:c>
      <x:c r="G943" s="19" t="str">
        <x:v>Repair in Progress</x:v>
      </x:c>
      <x:c r="H943" s="19" t="str">
        <x:v>In Field</x:v>
      </x:c>
      <x:c r="I943" s="37" t="n">
        <x:v>46168</x:v>
      </x:c>
      <x:c r="J943" s="37" t="n">
        <x:v>46168</x:v>
      </x:c>
      <x:c r="K943" s="19" t="str">
        <x:v>Great Ocean Road RV &amp; Caravans - Warrnambool</x:v>
      </x:c>
      <x:c r="L943" s="19" t="str">
        <x:v>Z006</x:v>
      </x:c>
      <x:c r="M943" s="19" t="str">
        <x:v>In Field Warranty Claims</x:v>
      </x:c>
      <x:c r="N943" s="37" t="n">
        <x:v>46168</x:v>
      </x:c>
      <x:c r="O943" s="37"/>
      <x:c r="P943" s="34" t="n">
        <x:v>371.25</x:v>
      </x:c>
      <x:c r="Q943" s="37" t="n">
        <x:v>46168.13724537037</x:v>
      </x:c>
    </x:row>
    <x:row r="944">
      <x:c r="A944" s="22" t="n">
        <x:v>35514</x:v>
      </x:c>
      <x:c r="B944" s="28" t="n">
        <x:v>33.75</x:v>
      </x:c>
      <x:c r="C944" s="28"/>
      <x:c r="D944" s="31" t="str">
        <x:f>IF(OR(ISBLANK(B944),ISBLANK(C944),B944=0),"",(C944-B944)/B944)</x:f>
      </x:c>
      <x:c r="E944" s="22" t="str">
        <x:f>IF(ISBLANK(C944),"AmountIncludingTax缺失",IF(ABS(B944-C944)&lt;0.005,"一致","不一致"))</x:f>
        <x:v>AmountIncludingTax缺失</x:v>
      </x:c>
      <x:c r="F944" s="19" t="str">
        <x:v>approved</x:v>
      </x:c>
      <x:c r="G944" s="19" t="str">
        <x:v>Sales Order Approved</x:v>
      </x:c>
      <x:c r="H944" s="19" t="str">
        <x:v>Pre Delivery</x:v>
      </x:c>
      <x:c r="I944" s="37" t="n">
        <x:v>46209</x:v>
      </x:c>
      <x:c r="J944" s="37" t="n">
        <x:v>46209</x:v>
      </x:c>
      <x:c r="K944" s="19" t="str">
        <x:v>NEWCASTLE CARAVANS &amp; RVS</x:v>
      </x:c>
      <x:c r="L944" s="19" t="str">
        <x:v>Z005</x:v>
      </x:c>
      <x:c r="M944" s="19" t="str">
        <x:v>Pre Delivery Warranty Claims</x:v>
      </x:c>
      <x:c r="N944" s="37" t="n">
        <x:v>46168</x:v>
      </x:c>
      <x:c r="O944" s="37"/>
      <x:c r="P944" s="34" t="n">
        <x:v>0</x:v>
      </x:c>
      <x:c r="Q944" s="37" t="n">
        <x:v>46209.223344907405</x:v>
      </x:c>
    </x:row>
    <x:row r="945">
      <x:c r="A945" s="22" t="n">
        <x:v>35513</x:v>
      </x:c>
      <x:c r="B945" s="28" t="n">
        <x:v>101.25</x:v>
      </x:c>
      <x:c r="C945" s="28"/>
      <x:c r="D945" s="31" t="str">
        <x:f>IF(OR(ISBLANK(B945),ISBLANK(C945),B945=0),"",(C945-B945)/B945)</x:f>
      </x:c>
      <x:c r="E945" s="22" t="str">
        <x:f>IF(ISBLANK(C945),"AmountIncludingTax缺失",IF(ABS(B945-C945)&lt;0.005,"一致","不一致"))</x:f>
        <x:v>AmountIncludingTax缺失</x:v>
      </x:c>
      <x:c r="F945" s="19" t="str">
        <x:v>approved</x:v>
      </x:c>
      <x:c r="G945" s="19" t="str">
        <x:v>Repairer Invoiced Processed</x:v>
      </x:c>
      <x:c r="H945" s="19" t="str">
        <x:v>In Field</x:v>
      </x:c>
      <x:c r="I945" s="37" t="n">
        <x:v>46170</x:v>
      </x:c>
      <x:c r="J945" s="37" t="n">
        <x:v>46170</x:v>
      </x:c>
      <x:c r="K945" s="19" t="str">
        <x:v>Leisure Lion - Bundaberg</x:v>
      </x:c>
      <x:c r="L945" s="19" t="str">
        <x:v>Z006</x:v>
      </x:c>
      <x:c r="M945" s="19" t="str">
        <x:v>In Field Warranty Claims</x:v>
      </x:c>
      <x:c r="N945" s="37" t="n">
        <x:v>46168</x:v>
      </x:c>
      <x:c r="O945" s="37"/>
      <x:c r="P945" s="34" t="n">
        <x:v>0</x:v>
      </x:c>
      <x:c r="Q945" s="37" t="n">
        <x:v>46170.13914351852</x:v>
      </x:c>
    </x:row>
    <x:row r="946">
      <x:c r="A946" s="22" t="n">
        <x:v>35512</x:v>
      </x:c>
      <x:c r="B946" s="28" t="n">
        <x:v>2318.25</x:v>
      </x:c>
      <x:c r="C946" s="28"/>
      <x:c r="D946" s="31" t="str">
        <x:f>IF(OR(ISBLANK(B946),ISBLANK(C946),B946=0),"",(C946-B946)/B946)</x:f>
      </x:c>
      <x:c r="E946" s="22" t="str">
        <x:f>IF(ISBLANK(C946),"AmountIncludingTax缺失",IF(ABS(B946-C946)&lt;0.005,"一致","不一致"))</x:f>
        <x:v>AmountIncludingTax缺失</x:v>
      </x:c>
      <x:c r="F946" s="19" t="str">
        <x:v>approved</x:v>
      </x:c>
      <x:c r="G946" s="19" t="str">
        <x:v>Repair in Progress</x:v>
      </x:c>
      <x:c r="H946" s="19" t="str">
        <x:v>In Field</x:v>
      </x:c>
      <x:c r="I946" s="37" t="n">
        <x:v>46169</x:v>
      </x:c>
      <x:c r="J946" s="37" t="n">
        <x:v>46169</x:v>
      </x:c>
      <x:c r="K946" s="19" t="str">
        <x:v>Regent RV - Townsville</x:v>
      </x:c>
      <x:c r="L946" s="19" t="str">
        <x:v>Z006</x:v>
      </x:c>
      <x:c r="M946" s="19" t="str">
        <x:v>In Field Warranty Claims</x:v>
      </x:c>
      <x:c r="N946" s="37" t="n">
        <x:v>46168</x:v>
      </x:c>
      <x:c r="O946" s="37"/>
      <x:c r="P946" s="34" t="n">
        <x:v>2550.08</x:v>
      </x:c>
      <x:c r="Q946" s="37" t="n">
        <x:v>46169.01777777778</x:v>
      </x:c>
    </x:row>
    <x:row r="947">
      <x:c r="A947" s="22" t="n">
        <x:v>35510</x:v>
      </x:c>
      <x:c r="B947" s="28" t="n">
        <x:v>104.55</x:v>
      </x:c>
      <x:c r="C947" s="28"/>
      <x:c r="D947" s="31" t="str">
        <x:f>IF(OR(ISBLANK(B947),ISBLANK(C947),B947=0),"",(C947-B947)/B947)</x:f>
      </x:c>
      <x:c r="E947" s="22" t="str">
        <x:f>IF(ISBLANK(C947),"AmountIncludingTax缺失",IF(ABS(B947-C947)&lt;0.005,"一致","不一致"))</x:f>
        <x:v>AmountIncludingTax缺失</x:v>
      </x:c>
      <x:c r="F947" s="19" t="str">
        <x:v>approved</x:v>
      </x:c>
      <x:c r="G947" s="19" t="str">
        <x:v>Repair in Progress</x:v>
      </x:c>
      <x:c r="H947" s="19" t="str">
        <x:v>In Field</x:v>
      </x:c>
      <x:c r="I947" s="37" t="n">
        <x:v>46176</x:v>
      </x:c>
      <x:c r="J947" s="37" t="n">
        <x:v>46176</x:v>
      </x:c>
      <x:c r="K947" s="19" t="str">
        <x:v>Lesiure Lion-New Castle</x:v>
      </x:c>
      <x:c r="L947" s="19" t="str">
        <x:v>Z006</x:v>
      </x:c>
      <x:c r="M947" s="19" t="str">
        <x:v>In Field Warranty Claims</x:v>
      </x:c>
      <x:c r="N947" s="37" t="n">
        <x:v>46168</x:v>
      </x:c>
      <x:c r="O947" s="37"/>
      <x:c r="P947" s="34" t="n">
        <x:v>0</x:v>
      </x:c>
      <x:c r="Q947" s="37" t="n">
        <x:v>46175.96824074074</x:v>
      </x:c>
    </x:row>
    <x:row r="948">
      <x:c r="A948" s="22" t="n">
        <x:v>35509</x:v>
      </x:c>
      <x:c r="B948" s="28" t="n">
        <x:v>168.75</x:v>
      </x:c>
      <x:c r="C948" s="28" t="n">
        <x:v>185.63</x:v>
      </x:c>
      <x:c r="D948" s="31" t="n">
        <x:f>IF(OR(ISBLANK(B948),ISBLANK(C948),B948=0),"",(C948-B948)/B948)</x:f>
        <x:v>0.10002962962962961</x:v>
      </x:c>
      <x:c r="E948" s="22" t="str">
        <x:f>IF(ISBLANK(C948),"AmountIncludingTax缺失",IF(ABS(B948-C948)&lt;0.005,"一致","不一致"))</x:f>
        <x:v>不一致</x:v>
      </x:c>
      <x:c r="F948" s="19" t="str">
        <x:v>approved</x:v>
      </x:c>
      <x:c r="G948" s="19" t="str">
        <x:v>Repair in Progress</x:v>
      </x:c>
      <x:c r="H948" s="19" t="str">
        <x:v>Pre Delivery</x:v>
      </x:c>
      <x:c r="I948" s="37" t="n">
        <x:v>46176</x:v>
      </x:c>
      <x:c r="J948" s="37" t="n">
        <x:v>46176</x:v>
      </x:c>
      <x:c r="K948" s="19" t="str">
        <x:v>Snowy River Launceston</x:v>
      </x:c>
      <x:c r="L948" s="19" t="str">
        <x:v>Z005</x:v>
      </x:c>
      <x:c r="M948" s="19" t="str">
        <x:v>Pre Delivery Warranty Claims</x:v>
      </x:c>
      <x:c r="N948" s="37" t="n">
        <x:v>46168</x:v>
      </x:c>
      <x:c r="O948" s="37"/>
      <x:c r="P948" s="34" t="n">
        <x:v>185.63</x:v>
      </x:c>
      <x:c r="Q948" s="37" t="n">
        <x:v>46176.12736111111</x:v>
      </x:c>
    </x:row>
    <x:row r="949">
      <x:c r="A949" s="22" t="n">
        <x:v>35508</x:v>
      </x:c>
      <x:c r="B949" s="28" t="n">
        <x:v>67.5</x:v>
      </x:c>
      <x:c r="C949" s="28"/>
      <x:c r="D949" s="31" t="str">
        <x:f>IF(OR(ISBLANK(B949),ISBLANK(C949),B949=0),"",(C949-B949)/B949)</x:f>
      </x:c>
      <x:c r="E949" s="22" t="str">
        <x:f>IF(ISBLANK(C949),"AmountIncludingTax缺失",IF(ABS(B949-C949)&lt;0.005,"一致","不一致"))</x:f>
        <x:v>AmountIncludingTax缺失</x:v>
      </x:c>
      <x:c r="F949" s="19" t="str">
        <x:v>approved</x:v>
      </x:c>
      <x:c r="G949" s="19" t="str">
        <x:v>Sales Order Approved</x:v>
      </x:c>
      <x:c r="H949" s="19" t="str">
        <x:v>Pre Delivery</x:v>
      </x:c>
      <x:c r="I949" s="37" t="n">
        <x:v>46171</x:v>
      </x:c>
      <x:c r="J949" s="37" t="n">
        <x:v>46171</x:v>
      </x:c>
      <x:c r="K949" s="19" t="str">
        <x:v>Snowy River Launceston</x:v>
      </x:c>
      <x:c r="L949" s="19" t="str">
        <x:v>Z005</x:v>
      </x:c>
      <x:c r="M949" s="19" t="str">
        <x:v>Pre Delivery Warranty Claims</x:v>
      </x:c>
      <x:c r="N949" s="37" t="n">
        <x:v>46168</x:v>
      </x:c>
      <x:c r="O949" s="37"/>
      <x:c r="P949" s="34" t="n">
        <x:v>0</x:v>
      </x:c>
      <x:c r="Q949" s="37" t="n">
        <x:v>46171.174421296295</x:v>
      </x:c>
    </x:row>
    <x:row r="950">
      <x:c r="A950" s="22" t="n">
        <x:v>35507</x:v>
      </x:c>
      <x:c r="B950" s="28" t="n">
        <x:v>2921.5</x:v>
      </x:c>
      <x:c r="C950" s="28"/>
      <x:c r="D950" s="31" t="str">
        <x:f>IF(OR(ISBLANK(B950),ISBLANK(C950),B950=0),"",(C950-B950)/B950)</x:f>
      </x:c>
      <x:c r="E950" s="22" t="str">
        <x:f>IF(ISBLANK(C950),"AmountIncludingTax缺失",IF(ABS(B950-C950)&lt;0.005,"一致","不一致"))</x:f>
        <x:v>AmountIncludingTax缺失</x:v>
      </x:c>
      <x:c r="F950" s="19" t="str">
        <x:v>approved</x:v>
      </x:c>
      <x:c r="G950" s="19" t="str">
        <x:v>Repairer Invoiced Processed</x:v>
      </x:c>
      <x:c r="H950" s="19" t="str">
        <x:v>In Field</x:v>
      </x:c>
      <x:c r="I950" s="37" t="n">
        <x:v>46168</x:v>
      </x:c>
      <x:c r="J950" s="37" t="n">
        <x:v>46168</x:v>
      </x:c>
      <x:c r="K950" s="19" t="str">
        <x:v>Auswide Caravans - South Nowra</x:v>
      </x:c>
      <x:c r="L950" s="19" t="str">
        <x:v>Z006</x:v>
      </x:c>
      <x:c r="M950" s="19" t="str">
        <x:v>In Field Warranty Claims</x:v>
      </x:c>
      <x:c r="N950" s="37" t="n">
        <x:v>46168</x:v>
      </x:c>
      <x:c r="O950" s="37"/>
      <x:c r="P950" s="34" t="n">
        <x:v>3213.65</x:v>
      </x:c>
      <x:c r="Q950" s="37" t="n">
        <x:v>46168.152962962966</x:v>
      </x:c>
    </x:row>
    <x:row r="951">
      <x:c r="A951" s="22" t="n">
        <x:v>35506</x:v>
      </x:c>
      <x:c r="B951" s="28" t="n">
        <x:v>1400</x:v>
      </x:c>
      <x:c r="C951" s="28"/>
      <x:c r="D951" s="31" t="str">
        <x:f>IF(OR(ISBLANK(B951),ISBLANK(C951),B951=0),"",(C951-B951)/B951)</x:f>
      </x:c>
      <x:c r="E951" s="22" t="str">
        <x:f>IF(ISBLANK(C951),"AmountIncludingTax缺失",IF(ABS(B951-C951)&lt;0.005,"一致","不一致"))</x:f>
        <x:v>AmountIncludingTax缺失</x:v>
      </x:c>
      <x:c r="F951" s="19" t="str">
        <x:v>approved</x:v>
      </x:c>
      <x:c r="G951" s="19" t="str">
        <x:v>Partially Picked</x:v>
      </x:c>
      <x:c r="H951" s="19" t="str">
        <x:v>In Field</x:v>
      </x:c>
      <x:c r="I951" s="37" t="n">
        <x:v>46169</x:v>
      </x:c>
      <x:c r="J951" s="37" t="n">
        <x:v>46169</x:v>
      </x:c>
      <x:c r="K951" s="19" t="str">
        <x:v>Green RV - Forest Glen</x:v>
      </x:c>
      <x:c r="L951" s="19" t="str">
        <x:v>Z006</x:v>
      </x:c>
      <x:c r="M951" s="19" t="str">
        <x:v>In Field Warranty Claims</x:v>
      </x:c>
      <x:c r="N951" s="37" t="n">
        <x:v>46168</x:v>
      </x:c>
      <x:c r="O951" s="37"/>
      <x:c r="P951" s="34" t="n">
        <x:v>0</x:v>
      </x:c>
      <x:c r="Q951" s="37" t="n">
        <x:v>46168.91725694444</x:v>
      </x:c>
    </x:row>
    <x:row r="952">
      <x:c r="A952" s="22" t="n">
        <x:v>35505</x:v>
      </x:c>
      <x:c r="B952" s="28" t="n">
        <x:v>67.5</x:v>
      </x:c>
      <x:c r="C952" s="28"/>
      <x:c r="D952" s="31" t="str">
        <x:f>IF(OR(ISBLANK(B952),ISBLANK(C952),B952=0),"",(C952-B952)/B952)</x:f>
      </x:c>
      <x:c r="E952" s="22" t="str">
        <x:f>IF(ISBLANK(C952),"AmountIncludingTax缺失",IF(ABS(B952-C952)&lt;0.005,"一致","不一致"))</x:f>
        <x:v>AmountIncludingTax缺失</x:v>
      </x:c>
      <x:c r="F952" s="19" t="str">
        <x:v>approved</x:v>
      </x:c>
      <x:c r="G952" s="19" t="str">
        <x:v>Repair in Progress</x:v>
      </x:c>
      <x:c r="H952" s="19" t="str">
        <x:v>In Field</x:v>
      </x:c>
      <x:c r="I952" s="37" t="n">
        <x:v>46168</x:v>
      </x:c>
      <x:c r="J952" s="37" t="n">
        <x:v>46168</x:v>
      </x:c>
      <x:c r="K952" s="19" t="str">
        <x:v>Green RV - Forest Glen</x:v>
      </x:c>
      <x:c r="L952" s="19" t="str">
        <x:v>Z006</x:v>
      </x:c>
      <x:c r="M952" s="19" t="str">
        <x:v>In Field Warranty Claims</x:v>
      </x:c>
      <x:c r="N952" s="37" t="n">
        <x:v>46168</x:v>
      </x:c>
      <x:c r="O952" s="37"/>
      <x:c r="P952" s="34" t="n">
        <x:v>0</x:v>
      </x:c>
      <x:c r="Q952" s="37" t="n">
        <x:v>46168.07759259259</x:v>
      </x:c>
    </x:row>
    <x:row r="953">
      <x:c r="A953" s="22" t="n">
        <x:v>35504</x:v>
      </x:c>
      <x:c r="B953" s="28" t="n">
        <x:v>358.72</x:v>
      </x:c>
      <x:c r="C953" s="28"/>
      <x:c r="D953" s="31" t="str">
        <x:f>IF(OR(ISBLANK(B953),ISBLANK(C953),B953=0),"",(C953-B953)/B953)</x:f>
      </x:c>
      <x:c r="E953" s="22" t="str">
        <x:f>IF(ISBLANK(C953),"AmountIncludingTax缺失",IF(ABS(B953-C953)&lt;0.005,"一致","不一致"))</x:f>
        <x:v>AmountIncludingTax缺失</x:v>
      </x:c>
      <x:c r="F953" s="19" t="str">
        <x:v>approved</x:v>
      </x:c>
      <x:c r="G953" s="19" t="str">
        <x:v>Sales Order Approved</x:v>
      </x:c>
      <x:c r="H953" s="19" t="str">
        <x:v>In Field</x:v>
      </x:c>
      <x:c r="I953" s="37" t="n">
        <x:v>46190</x:v>
      </x:c>
      <x:c r="J953" s="37" t="n">
        <x:v>46190</x:v>
      </x:c>
      <x:c r="K953" s="19" t="str">
        <x:v>ABCO Caravans - Boambee Valley</x:v>
      </x:c>
      <x:c r="L953" s="19" t="str">
        <x:v>Z006</x:v>
      </x:c>
      <x:c r="M953" s="19" t="str">
        <x:v>In Field Warranty Claims</x:v>
      </x:c>
      <x:c r="N953" s="37" t="n">
        <x:v>46167</x:v>
      </x:c>
      <x:c r="O953" s="37"/>
      <x:c r="P953" s="34" t="n">
        <x:v>0</x:v>
      </x:c>
      <x:c r="Q953" s="37" t="n">
        <x:v>46190.21928240741</x:v>
      </x:c>
    </x:row>
    <x:row r="954">
      <x:c r="A954" s="22" t="n">
        <x:v>35502</x:v>
      </x:c>
      <x:c r="B954" s="28" t="n">
        <x:v>798.96</x:v>
      </x:c>
      <x:c r="C954" s="28"/>
      <x:c r="D954" s="31" t="str">
        <x:f>IF(OR(ISBLANK(B954),ISBLANK(C954),B954=0),"",(C954-B954)/B954)</x:f>
      </x:c>
      <x:c r="E954" s="22" t="str">
        <x:f>IF(ISBLANK(C954),"AmountIncludingTax缺失",IF(ABS(B954-C954)&lt;0.005,"一致","不一致"))</x:f>
        <x:v>AmountIncludingTax缺失</x:v>
      </x:c>
      <x:c r="F954" s="19" t="str">
        <x:v>approved</x:v>
      </x:c>
      <x:c r="G954" s="19" t="str">
        <x:v>Repair in Progress</x:v>
      </x:c>
      <x:c r="H954" s="19" t="str">
        <x:v>In Field</x:v>
      </x:c>
      <x:c r="I954" s="37" t="n">
        <x:v>46174</x:v>
      </x:c>
      <x:c r="J954" s="37" t="n">
        <x:v>46174</x:v>
      </x:c>
      <x:c r="K954" s="19" t="str">
        <x:v>Vanari Caravans - Marden Point</x:v>
      </x:c>
      <x:c r="L954" s="19" t="str">
        <x:v>Z006</x:v>
      </x:c>
      <x:c r="M954" s="19" t="str">
        <x:v>In Field Warranty Claims</x:v>
      </x:c>
      <x:c r="N954" s="37" t="n">
        <x:v>46167</x:v>
      </x:c>
      <x:c r="O954" s="37"/>
      <x:c r="P954" s="34" t="n">
        <x:v>0</x:v>
      </x:c>
      <x:c r="Q954" s="37" t="n">
        <x:v>46173.92949074074</x:v>
      </x:c>
    </x:row>
    <x:row r="955">
      <x:c r="A955" s="22" t="n">
        <x:v>35501</x:v>
      </x:c>
      <x:c r="B955" s="28" t="n">
        <x:v>681.7</x:v>
      </x:c>
      <x:c r="C955" s="28" t="n">
        <x:v>617.21</x:v>
      </x:c>
      <x:c r="D955" s="31" t="n">
        <x:f>IF(OR(ISBLANK(B955),ISBLANK(C955),B955=0),"",(C955-B955)/B955)</x:f>
        <x:v>-0.09460173096670091</x:v>
      </x:c>
      <x:c r="E955" s="22" t="str">
        <x:f>IF(ISBLANK(C955),"AmountIncludingTax缺失",IF(ABS(B955-C955)&lt;0.005,"一致","不一致"))</x:f>
        <x:v>不一致</x:v>
      </x:c>
      <x:c r="F955" s="19" t="str">
        <x:v>approved</x:v>
      </x:c>
      <x:c r="G955" s="19" t="str">
        <x:v>Repairer Invoiced Processed</x:v>
      </x:c>
      <x:c r="H955" s="19" t="str">
        <x:v>In Field</x:v>
      </x:c>
      <x:c r="I955" s="37" t="n">
        <x:v>46205</x:v>
      </x:c>
      <x:c r="J955" s="37" t="n">
        <x:v>46169</x:v>
      </x:c>
      <x:c r="K955" s="19" t="str">
        <x:v>Vanari Caravans - Marden Point</x:v>
      </x:c>
      <x:c r="L955" s="19" t="str">
        <x:v>Z006</x:v>
      </x:c>
      <x:c r="M955" s="19" t="str">
        <x:v>In Field Warranty Claims</x:v>
      </x:c>
      <x:c r="N955" s="37" t="n">
        <x:v>46167</x:v>
      </x:c>
      <x:c r="O955" s="37"/>
      <x:c r="P955" s="34" t="n">
        <x:v>617.21</x:v>
      </x:c>
      <x:c r="Q955" s="37" t="n">
        <x:v>46205.16336805555</x:v>
      </x:c>
    </x:row>
    <x:row r="956">
      <x:c r="A956" s="22" t="n">
        <x:v>35500</x:v>
      </x:c>
      <x:c r="B956" s="28" t="n">
        <x:v>1066.25</x:v>
      </x:c>
      <x:c r="C956" s="28"/>
      <x:c r="D956" s="31" t="str">
        <x:f>IF(OR(ISBLANK(B956),ISBLANK(C956),B956=0),"",(C956-B956)/B956)</x:f>
      </x:c>
      <x:c r="E956" s="22" t="str">
        <x:f>IF(ISBLANK(C956),"AmountIncludingTax缺失",IF(ABS(B956-C956)&lt;0.005,"一致","不一致"))</x:f>
        <x:v>AmountIncludingTax缺失</x:v>
      </x:c>
      <x:c r="F956" s="19" t="str">
        <x:v>approved</x:v>
      </x:c>
      <x:c r="G956" s="19" t="str">
        <x:v>Repair in Progress</x:v>
      </x:c>
      <x:c r="H956" s="19" t="str">
        <x:v>Pre Delivery</x:v>
      </x:c>
      <x:c r="I956" s="37" t="n">
        <x:v>46171</x:v>
      </x:c>
      <x:c r="J956" s="37" t="n">
        <x:v>46171</x:v>
      </x:c>
      <x:c r="K956" s="19" t="str">
        <x:v>Snowy River Launceston</x:v>
      </x:c>
      <x:c r="L956" s="19" t="str">
        <x:v>Z005</x:v>
      </x:c>
      <x:c r="M956" s="19" t="str">
        <x:v>Pre Delivery Warranty Claims</x:v>
      </x:c>
      <x:c r="N956" s="37" t="n">
        <x:v>46168</x:v>
      </x:c>
      <x:c r="O956" s="37"/>
      <x:c r="P956" s="34" t="n">
        <x:v>0</x:v>
      </x:c>
      <x:c r="Q956" s="37" t="n">
        <x:v>46171.066099537034</x:v>
      </x:c>
    </x:row>
    <x:row r="957">
      <x:c r="A957" s="22" t="n">
        <x:v>35499</x:v>
      </x:c>
      <x:c r="B957" s="28" t="n">
        <x:v>67.5</x:v>
      </x:c>
      <x:c r="C957" s="28"/>
      <x:c r="D957" s="31" t="str">
        <x:f>IF(OR(ISBLANK(B957),ISBLANK(C957),B957=0),"",(C957-B957)/B957)</x:f>
      </x:c>
      <x:c r="E957" s="22" t="str">
        <x:f>IF(ISBLANK(C957),"AmountIncludingTax缺失",IF(ABS(B957-C957)&lt;0.005,"一致","不一致"))</x:f>
        <x:v>AmountIncludingTax缺失</x:v>
      </x:c>
      <x:c r="F957" s="19" t="str">
        <x:v>approved</x:v>
      </x:c>
      <x:c r="G957" s="19" t="str">
        <x:v>Sales Order Approved</x:v>
      </x:c>
      <x:c r="H957" s="19" t="str">
        <x:v>Pre Delivery</x:v>
      </x:c>
      <x:c r="I957" s="37" t="n">
        <x:v>46171</x:v>
      </x:c>
      <x:c r="J957" s="37" t="n">
        <x:v>46171</x:v>
      </x:c>
      <x:c r="K957" s="19" t="str">
        <x:v>Snowy River Launceston</x:v>
      </x:c>
      <x:c r="L957" s="19" t="str">
        <x:v>Z005</x:v>
      </x:c>
      <x:c r="M957" s="19" t="str">
        <x:v>Pre Delivery Warranty Claims</x:v>
      </x:c>
      <x:c r="N957" s="37" t="n">
        <x:v>46168</x:v>
      </x:c>
      <x:c r="O957" s="37"/>
      <x:c r="P957" s="34" t="n">
        <x:v>0</x:v>
      </x:c>
      <x:c r="Q957" s="37" t="n">
        <x:v>46171.14336805556</x:v>
      </x:c>
    </x:row>
    <x:row r="958">
      <x:c r="A958" s="22" t="n">
        <x:v>35498</x:v>
      </x:c>
      <x:c r="B958" s="28" t="n">
        <x:v>202.5</x:v>
      </x:c>
      <x:c r="C958" s="28" t="n">
        <x:v>222.75</x:v>
      </x:c>
      <x:c r="D958" s="31" t="n">
        <x:f>IF(OR(ISBLANK(B958),ISBLANK(C958),B958=0),"",(C958-B958)/B958)</x:f>
        <x:v>0.1</x:v>
      </x:c>
      <x:c r="E958" s="22" t="str">
        <x:f>IF(ISBLANK(C958),"AmountIncludingTax缺失",IF(ABS(B958-C958)&lt;0.005,"一致","不一致"))</x:f>
        <x:v>不一致</x:v>
      </x:c>
      <x:c r="F958" s="19" t="str">
        <x:v>approved</x:v>
      </x:c>
      <x:c r="G958" s="19" t="str">
        <x:v>Repair in Progress</x:v>
      </x:c>
      <x:c r="H958" s="19" t="str">
        <x:v>In Field</x:v>
      </x:c>
      <x:c r="I958" s="37" t="n">
        <x:v>46168</x:v>
      </x:c>
      <x:c r="J958" s="37" t="n">
        <x:v>46168</x:v>
      </x:c>
      <x:c r="K958" s="19" t="str">
        <x:v>Snowy River Geelong</x:v>
      </x:c>
      <x:c r="L958" s="19" t="str">
        <x:v>Z006</x:v>
      </x:c>
      <x:c r="M958" s="19" t="str">
        <x:v>In Field Warranty Claims</x:v>
      </x:c>
      <x:c r="N958" s="37" t="n">
        <x:v>46168</x:v>
      </x:c>
      <x:c r="O958" s="37"/>
      <x:c r="P958" s="34" t="n">
        <x:v>222.75</x:v>
      </x:c>
      <x:c r="Q958" s="37" t="n">
        <x:v>46168.03246527778</x:v>
      </x:c>
    </x:row>
    <x:row r="959">
      <x:c r="A959" s="22" t="n">
        <x:v>35497</x:v>
      </x:c>
      <x:c r="B959" s="28" t="n">
        <x:v>860</x:v>
      </x:c>
      <x:c r="C959" s="28"/>
      <x:c r="D959" s="31" t="str">
        <x:f>IF(OR(ISBLANK(B959),ISBLANK(C959),B959=0),"",(C959-B959)/B959)</x:f>
      </x:c>
      <x:c r="E959" s="22" t="str">
        <x:f>IF(ISBLANK(C959),"AmountIncludingTax缺失",IF(ABS(B959-C959)&lt;0.005,"一致","不一致"))</x:f>
        <x:v>AmountIncludingTax缺失</x:v>
      </x:c>
      <x:c r="F959" s="19" t="str">
        <x:v>approved</x:v>
      </x:c>
      <x:c r="G959" s="19" t="str">
        <x:v>Repair in Progress</x:v>
      </x:c>
      <x:c r="H959" s="19" t="str">
        <x:v>In Field</x:v>
      </x:c>
      <x:c r="I959" s="37" t="n">
        <x:v>46176</x:v>
      </x:c>
      <x:c r="J959" s="37" t="n">
        <x:v>46176</x:v>
      </x:c>
      <x:c r="K959" s="19" t="str">
        <x:v>Regent RV - Perth</x:v>
      </x:c>
      <x:c r="L959" s="19" t="str">
        <x:v>Z006</x:v>
      </x:c>
      <x:c r="M959" s="19" t="str">
        <x:v>In Field Warranty Claims</x:v>
      </x:c>
      <x:c r="N959" s="37" t="n">
        <x:v>46168</x:v>
      </x:c>
      <x:c r="O959" s="37"/>
      <x:c r="P959" s="34" t="n">
        <x:v>0</x:v>
      </x:c>
      <x:c r="Q959" s="37" t="n">
        <x:v>46176.10643518518</x:v>
      </x:c>
    </x:row>
    <x:row r="960">
      <x:c r="A960" s="22" t="n">
        <x:v>35495</x:v>
      </x:c>
      <x:c r="B960" s="28" t="n">
        <x:v>917.5</x:v>
      </x:c>
      <x:c r="C960" s="28"/>
      <x:c r="D960" s="31" t="str">
        <x:f>IF(OR(ISBLANK(B960),ISBLANK(C960),B960=0),"",(C960-B960)/B960)</x:f>
      </x:c>
      <x:c r="E960" s="22" t="str">
        <x:f>IF(ISBLANK(C960),"AmountIncludingTax缺失",IF(ABS(B960-C960)&lt;0.005,"一致","不一致"))</x:f>
        <x:v>AmountIncludingTax缺失</x:v>
      </x:c>
      <x:c r="F960" s="19" t="str">
        <x:v>approved</x:v>
      </x:c>
      <x:c r="G960" s="19" t="str">
        <x:v>Repair in Progress</x:v>
      </x:c>
      <x:c r="H960" s="19" t="str">
        <x:v>In Field</x:v>
      </x:c>
      <x:c r="I960" s="37" t="n">
        <x:v>46168</x:v>
      </x:c>
      <x:c r="J960" s="37" t="n">
        <x:v>46168</x:v>
      </x:c>
      <x:c r="K960" s="19" t="str">
        <x:v>Green RV - Slacks Creek</x:v>
      </x:c>
      <x:c r="L960" s="19" t="str">
        <x:v>Z006</x:v>
      </x:c>
      <x:c r="M960" s="19" t="str">
        <x:v>In Field Warranty Claims</x:v>
      </x:c>
      <x:c r="N960" s="37" t="n">
        <x:v>46167</x:v>
      </x:c>
      <x:c r="O960" s="37"/>
      <x:c r="P960" s="34" t="n">
        <x:v>0</x:v>
      </x:c>
      <x:c r="Q960" s="37" t="n">
        <x:v>46168.020150462966</x:v>
      </x:c>
    </x:row>
    <x:row r="961">
      <x:c r="A961" s="22" t="n">
        <x:v>35494</x:v>
      </x:c>
      <x:c r="B961" s="28" t="n">
        <x:v>1402</x:v>
      </x:c>
      <x:c r="C961" s="28"/>
      <x:c r="D961" s="31" t="str">
        <x:f>IF(OR(ISBLANK(B961),ISBLANK(C961),B961=0),"",(C961-B961)/B961)</x:f>
      </x:c>
      <x:c r="E961" s="22" t="str">
        <x:f>IF(ISBLANK(C961),"AmountIncludingTax缺失",IF(ABS(B961-C961)&lt;0.005,"一致","不一致"))</x:f>
        <x:v>AmountIncludingTax缺失</x:v>
      </x:c>
      <x:c r="F961" s="19" t="str">
        <x:v>approved</x:v>
      </x:c>
      <x:c r="G961" s="19" t="str">
        <x:v>Repairer Invoiced Processed</x:v>
      </x:c>
      <x:c r="H961" s="19" t="str">
        <x:v>In Field</x:v>
      </x:c>
      <x:c r="I961" s="37" t="n">
        <x:v>46176</x:v>
      </x:c>
      <x:c r="J961" s="37" t="n">
        <x:v>46176</x:v>
      </x:c>
      <x:c r="K961" s="19" t="str">
        <x:v>Green RV - Forest Glen</x:v>
      </x:c>
      <x:c r="L961" s="19" t="str">
        <x:v>Z006</x:v>
      </x:c>
      <x:c r="M961" s="19" t="str">
        <x:v>In Field Warranty Claims</x:v>
      </x:c>
      <x:c r="N961" s="37" t="n">
        <x:v>46167</x:v>
      </x:c>
      <x:c r="O961" s="37"/>
      <x:c r="P961" s="34" t="n">
        <x:v>1542.2</x:v>
      </x:c>
      <x:c r="Q961" s="37" t="n">
        <x:v>46175.960439814815</x:v>
      </x:c>
    </x:row>
    <x:row r="962">
      <x:c r="A962" s="22" t="n">
        <x:v>35492</x:v>
      </x:c>
      <x:c r="B962" s="28" t="n">
        <x:v>810</x:v>
      </x:c>
      <x:c r="C962" s="28"/>
      <x:c r="D962" s="31" t="str">
        <x:f>IF(OR(ISBLANK(B962),ISBLANK(C962),B962=0),"",(C962-B962)/B962)</x:f>
      </x:c>
      <x:c r="E962" s="22" t="str">
        <x:f>IF(ISBLANK(C962),"AmountIncludingTax缺失",IF(ABS(B962-C962)&lt;0.005,"一致","不一致"))</x:f>
        <x:v>AmountIncludingTax缺失</x:v>
      </x:c>
      <x:c r="F962" s="19" t="str">
        <x:v>approved</x:v>
      </x:c>
      <x:c r="G962" s="19" t="str">
        <x:v>Repair in Progress</x:v>
      </x:c>
      <x:c r="H962" s="19" t="str">
        <x:v>In Field</x:v>
      </x:c>
      <x:c r="I962" s="37" t="n">
        <x:v>46183</x:v>
      </x:c>
      <x:c r="J962" s="37" t="n">
        <x:v>46183</x:v>
      </x:c>
      <x:c r="K962" s="19" t="str">
        <x:v>Auswide Caravans - South Nowra</x:v>
      </x:c>
      <x:c r="L962" s="19" t="str">
        <x:v>Z006</x:v>
      </x:c>
      <x:c r="M962" s="19" t="str">
        <x:v>In Field Warranty Claims</x:v>
      </x:c>
      <x:c r="N962" s="37" t="n">
        <x:v>46167</x:v>
      </x:c>
      <x:c r="O962" s="37"/>
      <x:c r="P962" s="34" t="n">
        <x:v>0</x:v>
      </x:c>
      <x:c r="Q962" s="37" t="n">
        <x:v>46183.1625462963</x:v>
      </x:c>
    </x:row>
    <x:row r="963">
      <x:c r="A963" s="22" t="n">
        <x:v>35491</x:v>
      </x:c>
      <x:c r="B963" s="28" t="n">
        <x:v>506.25</x:v>
      </x:c>
      <x:c r="C963" s="28" t="n">
        <x:v>556.88</x:v>
      </x:c>
      <x:c r="D963" s="31" t="n">
        <x:f>IF(OR(ISBLANK(B963),ISBLANK(C963),B963=0),"",(C963-B963)/B963)</x:f>
        <x:v>0.10000987654320986</x:v>
      </x:c>
      <x:c r="E963" s="22" t="str">
        <x:f>IF(ISBLANK(C963),"AmountIncludingTax缺失",IF(ABS(B963-C963)&lt;0.005,"一致","不一致"))</x:f>
        <x:v>不一致</x:v>
      </x:c>
      <x:c r="F963" s="19" t="str">
        <x:v>approved</x:v>
      </x:c>
      <x:c r="G963" s="19" t="str">
        <x:v>Repair in Progress</x:v>
      </x:c>
      <x:c r="H963" s="19" t="str">
        <x:v>In Field</x:v>
      </x:c>
      <x:c r="I963" s="37" t="n">
        <x:v>46167</x:v>
      </x:c>
      <x:c r="J963" s="37" t="n">
        <x:v>46167</x:v>
      </x:c>
      <x:c r="K963" s="19" t="str">
        <x:v>Regent RV - Frankston</x:v>
      </x:c>
      <x:c r="L963" s="19" t="str">
        <x:v>Z006</x:v>
      </x:c>
      <x:c r="M963" s="19" t="str">
        <x:v>In Field Warranty Claims</x:v>
      </x:c>
      <x:c r="N963" s="37" t="n">
        <x:v>46167</x:v>
      </x:c>
      <x:c r="O963" s="37"/>
      <x:c r="P963" s="34" t="n">
        <x:v>556.88</x:v>
      </x:c>
      <x:c r="Q963" s="37" t="n">
        <x:v>46167.290243055555</x:v>
      </x:c>
    </x:row>
    <x:row r="964">
      <x:c r="A964" s="22" t="n">
        <x:v>35490</x:v>
      </x:c>
      <x:c r="B964" s="28" t="n">
        <x:v>602.5</x:v>
      </x:c>
      <x:c r="C964" s="28" t="n">
        <x:v>545.5</x:v>
      </x:c>
      <x:c r="D964" s="31" t="n">
        <x:f>IF(OR(ISBLANK(B964),ISBLANK(C964),B964=0),"",(C964-B964)/B964)</x:f>
        <x:v>-0.0946058091286307</x:v>
      </x:c>
      <x:c r="E964" s="22" t="str">
        <x:f>IF(ISBLANK(C964),"AmountIncludingTax缺失",IF(ABS(B964-C964)&lt;0.005,"一致","不一致"))</x:f>
        <x:v>不一致</x:v>
      </x:c>
      <x:c r="F964" s="19" t="str">
        <x:v>approved</x:v>
      </x:c>
      <x:c r="G964" s="19" t="str">
        <x:v>Repair in Progress</x:v>
      </x:c>
      <x:c r="H964" s="19" t="str">
        <x:v>In Field</x:v>
      </x:c>
      <x:c r="I964" s="37" t="n">
        <x:v>46169</x:v>
      </x:c>
      <x:c r="J964" s="37" t="n">
        <x:v>46169</x:v>
      </x:c>
      <x:c r="K964" s="19" t="str">
        <x:v>Vanari Caravans - Marden Point</x:v>
      </x:c>
      <x:c r="L964" s="19" t="str">
        <x:v>Z006</x:v>
      </x:c>
      <x:c r="M964" s="19" t="str">
        <x:v>In Field Warranty Claims</x:v>
      </x:c>
      <x:c r="N964" s="37" t="n">
        <x:v>46169</x:v>
      </x:c>
      <x:c r="O964" s="37"/>
      <x:c r="P964" s="34" t="n">
        <x:v>545.5</x:v>
      </x:c>
      <x:c r="Q964" s="37" t="n">
        <x:v>46169.20337962963</x:v>
      </x:c>
    </x:row>
    <x:row r="965">
      <x:c r="A965" s="22" t="n">
        <x:v>35477</x:v>
      </x:c>
      <x:c r="B965" s="28" t="n">
        <x:v>40.8</x:v>
      </x:c>
      <x:c r="C965" s="28"/>
      <x:c r="D965" s="31" t="str">
        <x:f>IF(OR(ISBLANK(B965),ISBLANK(C965),B965=0),"",(C965-B965)/B965)</x:f>
      </x:c>
      <x:c r="E965" s="22" t="str">
        <x:f>IF(ISBLANK(C965),"AmountIncludingTax缺失",IF(ABS(B965-C965)&lt;0.005,"一致","不一致"))</x:f>
        <x:v>AmountIncludingTax缺失</x:v>
      </x:c>
      <x:c r="F965" s="19" t="str">
        <x:v>approved</x:v>
      </x:c>
      <x:c r="G965" s="19" t="str">
        <x:v>Repairer Invoiced Processed</x:v>
      </x:c>
      <x:c r="H965" s="19" t="str">
        <x:v>In Field</x:v>
      </x:c>
      <x:c r="I965" s="37" t="n">
        <x:v>46169</x:v>
      </x:c>
      <x:c r="J965" s="37" t="n">
        <x:v>46184</x:v>
      </x:c>
      <x:c r="K965" s="19" t="str">
        <x:v>CMG Campers - Christchurch</x:v>
      </x:c>
      <x:c r="L965" s="19" t="str">
        <x:v>Z006</x:v>
      </x:c>
      <x:c r="M965" s="19" t="str">
        <x:v>In Field Warranty Claims</x:v>
      </x:c>
      <x:c r="N965" s="37" t="n">
        <x:v>46168</x:v>
      </x:c>
      <x:c r="O965" s="37"/>
      <x:c r="P965" s="34" t="n">
        <x:v>0</x:v>
      </x:c>
      <x:c r="Q965" s="37" t="n">
        <x:v>46169.07114583333</x:v>
      </x:c>
    </x:row>
    <x:row r="966">
      <x:c r="A966" s="22" t="n">
        <x:v>35460</x:v>
      </x:c>
      <x:c r="B966" s="28" t="n">
        <x:v>1666.25</x:v>
      </x:c>
      <x:c r="C966" s="28"/>
      <x:c r="D966" s="31" t="str">
        <x:f>IF(OR(ISBLANK(B966),ISBLANK(C966),B966=0),"",(C966-B966)/B966)</x:f>
      </x:c>
      <x:c r="E966" s="22" t="str">
        <x:f>IF(ISBLANK(C966),"AmountIncludingTax缺失",IF(ABS(B966-C966)&lt;0.005,"一致","不一致"))</x:f>
        <x:v>AmountIncludingTax缺失</x:v>
      </x:c>
      <x:c r="F966" s="19" t="str">
        <x:v>approved</x:v>
      </x:c>
      <x:c r="G966" s="19" t="str">
        <x:v>Repair in Progress</x:v>
      </x:c>
      <x:c r="H966" s="19" t="str">
        <x:v>In Field</x:v>
      </x:c>
      <x:c r="I966" s="37" t="n">
        <x:v>46168</x:v>
      </x:c>
      <x:c r="J966" s="37" t="n">
        <x:v>46168</x:v>
      </x:c>
      <x:c r="K966" s="19" t="str">
        <x:v>Green RV - Slacks Creek</x:v>
      </x:c>
      <x:c r="L966" s="19" t="str">
        <x:v>Z006</x:v>
      </x:c>
      <x:c r="M966" s="19" t="str">
        <x:v>In Field Warranty Claims</x:v>
      </x:c>
      <x:c r="N966" s="37" t="n">
        <x:v>46167</x:v>
      </x:c>
      <x:c r="O966" s="37"/>
      <x:c r="P966" s="34" t="n">
        <x:v>0</x:v>
      </x:c>
      <x:c r="Q966" s="37" t="n">
        <x:v>46167.95726851852</x:v>
      </x:c>
    </x:row>
    <x:row r="967">
      <x:c r="A967" s="22" t="n">
        <x:v>35458</x:v>
      </x:c>
      <x:c r="B967" s="28" t="n">
        <x:v>540</x:v>
      </x:c>
      <x:c r="C967" s="28" t="n">
        <x:v>594</x:v>
      </x:c>
      <x:c r="D967" s="31" t="n">
        <x:f>IF(OR(ISBLANK(B967),ISBLANK(C967),B967=0),"",(C967-B967)/B967)</x:f>
        <x:v>0.1</x:v>
      </x:c>
      <x:c r="E967" s="22" t="str">
        <x:f>IF(ISBLANK(C967),"AmountIncludingTax缺失",IF(ABS(B967-C967)&lt;0.005,"一致","不一致"))</x:f>
        <x:v>不一致</x:v>
      </x:c>
      <x:c r="F967" s="19" t="str">
        <x:v>approved</x:v>
      </x:c>
      <x:c r="G967" s="19" t="str">
        <x:v>Repair in Progress</x:v>
      </x:c>
      <x:c r="H967" s="19" t="str">
        <x:v>In Field</x:v>
      </x:c>
      <x:c r="I967" s="37" t="n">
        <x:v>46167</x:v>
      </x:c>
      <x:c r="J967" s="37" t="n">
        <x:v>46167</x:v>
      </x:c>
      <x:c r="K967" s="19" t="str">
        <x:v>Springvale Caravan Centre - Keysborough</x:v>
      </x:c>
      <x:c r="L967" s="19" t="str">
        <x:v>Z006</x:v>
      </x:c>
      <x:c r="M967" s="19" t="str">
        <x:v>In Field Warranty Claims</x:v>
      </x:c>
      <x:c r="N967" s="37" t="n">
        <x:v>46167</x:v>
      </x:c>
      <x:c r="O967" s="37"/>
      <x:c r="P967" s="34" t="n">
        <x:v>594</x:v>
      </x:c>
      <x:c r="Q967" s="37" t="n">
        <x:v>46167.27743055556</x:v>
      </x:c>
    </x:row>
    <x:row r="968">
      <x:c r="A968" s="22" t="n">
        <x:v>35457</x:v>
      </x:c>
      <x:c r="B968" s="28" t="n">
        <x:v>552.05</x:v>
      </x:c>
      <x:c r="C968" s="28"/>
      <x:c r="D968" s="31" t="str">
        <x:f>IF(OR(ISBLANK(B968),ISBLANK(C968),B968=0),"",(C968-B968)/B968)</x:f>
      </x:c>
      <x:c r="E968" s="22" t="str">
        <x:f>IF(ISBLANK(C968),"AmountIncludingTax缺失",IF(ABS(B968-C968)&lt;0.005,"一致","不一致"))</x:f>
        <x:v>AmountIncludingTax缺失</x:v>
      </x:c>
      <x:c r="F968" s="19" t="str">
        <x:v>approved</x:v>
      </x:c>
      <x:c r="G968" s="19" t="str">
        <x:v>Sales Order Approved</x:v>
      </x:c>
      <x:c r="H968" s="19" t="str">
        <x:v>In Field</x:v>
      </x:c>
      <x:c r="I968" s="37" t="n">
        <x:v>46183</x:v>
      </x:c>
      <x:c r="J968" s="37" t="n">
        <x:v>46183</x:v>
      </x:c>
      <x:c r="K968" s="19" t="str">
        <x:v>ABCO Caravans - Boambee Valley</x:v>
      </x:c>
      <x:c r="L968" s="19" t="str">
        <x:v>Z006</x:v>
      </x:c>
      <x:c r="M968" s="19" t="str">
        <x:v>In Field Warranty Claims</x:v>
      </x:c>
      <x:c r="N968" s="37" t="n">
        <x:v>46167</x:v>
      </x:c>
      <x:c r="O968" s="37"/>
      <x:c r="P968" s="34" t="n">
        <x:v>0</x:v>
      </x:c>
      <x:c r="Q968" s="37" t="n">
        <x:v>46183.07871527778</x:v>
      </x:c>
    </x:row>
    <x:row r="969">
      <x:c r="A969" s="22" t="n">
        <x:v>35456</x:v>
      </x:c>
      <x:c r="B969" s="28" t="n">
        <x:v>135</x:v>
      </x:c>
      <x:c r="C969" s="28"/>
      <x:c r="D969" s="31" t="str">
        <x:f>IF(OR(ISBLANK(B969),ISBLANK(C969),B969=0),"",(C969-B969)/B969)</x:f>
      </x:c>
      <x:c r="E969" s="22" t="str">
        <x:f>IF(ISBLANK(C969),"AmountIncludingTax缺失",IF(ABS(B969-C969)&lt;0.005,"一致","不一致"))</x:f>
        <x:v>AmountIncludingTax缺失</x:v>
      </x:c>
      <x:c r="F969" s="19" t="str">
        <x:v>approved</x:v>
      </x:c>
      <x:c r="G969" s="19" t="str">
        <x:v>Sales Order Approved</x:v>
      </x:c>
      <x:c r="H969" s="19" t="str">
        <x:v>In Field</x:v>
      </x:c>
      <x:c r="I969" s="37" t="n">
        <x:v>46195</x:v>
      </x:c>
      <x:c r="J969" s="37" t="n">
        <x:v>46195</x:v>
      </x:c>
      <x:c r="K969" s="19" t="str">
        <x:v>Newcastle RV Super Centre - Beresfield</x:v>
      </x:c>
      <x:c r="L969" s="19" t="str">
        <x:v>Z006</x:v>
      </x:c>
      <x:c r="M969" s="19" t="str">
        <x:v>In Field Warranty Claims</x:v>
      </x:c>
      <x:c r="N969" s="37" t="n">
        <x:v>46167</x:v>
      </x:c>
      <x:c r="O969" s="37"/>
      <x:c r="P969" s="34" t="n">
        <x:v>0</x:v>
      </x:c>
      <x:c r="Q969" s="37" t="n">
        <x:v>46195.16553240741</x:v>
      </x:c>
    </x:row>
    <x:row r="970">
      <x:c r="A970" s="22" t="n">
        <x:v>35455</x:v>
      </x:c>
      <x:c r="B970" s="28" t="n">
        <x:v>101.25</x:v>
      </x:c>
      <x:c r="C970" s="28"/>
      <x:c r="D970" s="31" t="str">
        <x:f>IF(OR(ISBLANK(B970),ISBLANK(C970),B970=0),"",(C970-B970)/B970)</x:f>
      </x:c>
      <x:c r="E970" s="22" t="str">
        <x:f>IF(ISBLANK(C970),"AmountIncludingTax缺失",IF(ABS(B970-C970)&lt;0.005,"一致","不一致"))</x:f>
        <x:v>AmountIncludingTax缺失</x:v>
      </x:c>
      <x:c r="F970" s="19" t="str">
        <x:v>approved</x:v>
      </x:c>
      <x:c r="G970" s="19" t="str">
        <x:v>Sales Order Approved</x:v>
      </x:c>
      <x:c r="H970" s="19" t="str">
        <x:v>Pre Delivery</x:v>
      </x:c>
      <x:c r="I970" s="37" t="n">
        <x:v>46169</x:v>
      </x:c>
      <x:c r="J970" s="37" t="n">
        <x:v>46169</x:v>
      </x:c>
      <x:c r="K970" s="19" t="str">
        <x:v>Snowy River Geelong</x:v>
      </x:c>
      <x:c r="L970" s="19" t="str">
        <x:v>Z005</x:v>
      </x:c>
      <x:c r="M970" s="19" t="str">
        <x:v>Pre Delivery Warranty Claims</x:v>
      </x:c>
      <x:c r="N970" s="37" t="n">
        <x:v>46167</x:v>
      </x:c>
      <x:c r="O970" s="37"/>
      <x:c r="P970" s="34" t="n">
        <x:v>0</x:v>
      </x:c>
      <x:c r="Q970" s="37" t="n">
        <x:v>46169.1225462963</x:v>
      </x:c>
    </x:row>
    <x:row r="971">
      <x:c r="A971" s="22" t="n">
        <x:v>35451</x:v>
      </x:c>
      <x:c r="B971" s="28" t="n">
        <x:v>573.75</x:v>
      </x:c>
      <x:c r="C971" s="28"/>
      <x:c r="D971" s="31" t="str">
        <x:f>IF(OR(ISBLANK(B971),ISBLANK(C971),B971=0),"",(C971-B971)/B971)</x:f>
      </x:c>
      <x:c r="E971" s="22" t="str">
        <x:f>IF(ISBLANK(C971),"AmountIncludingTax缺失",IF(ABS(B971-C971)&lt;0.005,"一致","不一致"))</x:f>
        <x:v>AmountIncludingTax缺失</x:v>
      </x:c>
      <x:c r="F971" s="19" t="str">
        <x:v>approved</x:v>
      </x:c>
      <x:c r="G971" s="19" t="str">
        <x:v>Repair in Progress</x:v>
      </x:c>
      <x:c r="H971" s="19" t="str">
        <x:v>Pre Delivery</x:v>
      </x:c>
      <x:c r="I971" s="37" t="n">
        <x:v>46168</x:v>
      </x:c>
      <x:c r="J971" s="37" t="n">
        <x:v>46168</x:v>
      </x:c>
      <x:c r="K971" s="19" t="str">
        <x:v>Snowy River Geelong</x:v>
      </x:c>
      <x:c r="L971" s="19" t="str">
        <x:v>Z005</x:v>
      </x:c>
      <x:c r="M971" s="19" t="str">
        <x:v>Pre Delivery Warranty Claims</x:v>
      </x:c>
      <x:c r="N971" s="37" t="n">
        <x:v>46167</x:v>
      </x:c>
      <x:c r="O971" s="37"/>
      <x:c r="P971" s="34" t="n">
        <x:v>0</x:v>
      </x:c>
      <x:c r="Q971" s="37" t="n">
        <x:v>46167.91226851852</x:v>
      </x:c>
    </x:row>
    <x:row r="972">
      <x:c r="A972" s="22" t="n">
        <x:v>35436</x:v>
      </x:c>
      <x:c r="B972" s="28" t="n">
        <x:v>863.75</x:v>
      </x:c>
      <x:c r="C972" s="28"/>
      <x:c r="D972" s="31" t="str">
        <x:f>IF(OR(ISBLANK(B972),ISBLANK(C972),B972=0),"",(C972-B972)/B972)</x:f>
      </x:c>
      <x:c r="E972" s="22" t="str">
        <x:f>IF(ISBLANK(C972),"AmountIncludingTax缺失",IF(ABS(B972-C972)&lt;0.005,"一致","不一致"))</x:f>
        <x:v>AmountIncludingTax缺失</x:v>
      </x:c>
      <x:c r="F972" s="19" t="str">
        <x:v>approved</x:v>
      </x:c>
      <x:c r="G972" s="19" t="str">
        <x:v>Repair in Progress</x:v>
      </x:c>
      <x:c r="H972" s="19" t="str">
        <x:v>Pre Delivery</x:v>
      </x:c>
      <x:c r="I972" s="37" t="n">
        <x:v>46167</x:v>
      </x:c>
      <x:c r="J972" s="37" t="n">
        <x:v>46167</x:v>
      </x:c>
      <x:c r="K972" s="19" t="str">
        <x:v>Green RV - Slacks Creek</x:v>
      </x:c>
      <x:c r="L972" s="19" t="str">
        <x:v>Z005</x:v>
      </x:c>
      <x:c r="M972" s="19" t="str">
        <x:v>Pre Delivery Warranty Claims</x:v>
      </x:c>
      <x:c r="N972" s="37" t="n">
        <x:v>46167</x:v>
      </x:c>
      <x:c r="O972" s="37"/>
      <x:c r="P972" s="34" t="n">
        <x:v>0</x:v>
      </x:c>
      <x:c r="Q972" s="37" t="n">
        <x:v>46167.25347222222</x:v>
      </x:c>
    </x:row>
    <x:row r="973">
      <x:c r="A973" s="22" t="n">
        <x:v>35435</x:v>
      </x:c>
      <x:c r="B973" s="28" t="n">
        <x:v>145</x:v>
      </x:c>
      <x:c r="C973" s="28"/>
      <x:c r="D973" s="31" t="str">
        <x:f>IF(OR(ISBLANK(B973),ISBLANK(C973),B973=0),"",(C973-B973)/B973)</x:f>
      </x:c>
      <x:c r="E973" s="22" t="str">
        <x:f>IF(ISBLANK(C973),"AmountIncludingTax缺失",IF(ABS(B973-C973)&lt;0.005,"一致","不一致"))</x:f>
        <x:v>AmountIncludingTax缺失</x:v>
      </x:c>
      <x:c r="F973" s="19" t="str">
        <x:v>approved</x:v>
      </x:c>
      <x:c r="G973" s="19" t="str">
        <x:v>Repairer Invoiced Processed</x:v>
      </x:c>
      <x:c r="H973" s="19" t="str">
        <x:v>In Field</x:v>
      </x:c>
      <x:c r="I973" s="37" t="n">
        <x:v>46167</x:v>
      </x:c>
      <x:c r="J973" s="37" t="n">
        <x:v>46167</x:v>
      </x:c>
      <x:c r="K973" s="19" t="str">
        <x:v>Regent RV - Toowoomba</x:v>
      </x:c>
      <x:c r="L973" s="19" t="str">
        <x:v>Z006</x:v>
      </x:c>
      <x:c r="M973" s="19" t="str">
        <x:v>In Field Warranty Claims</x:v>
      </x:c>
      <x:c r="N973" s="37" t="n">
        <x:v>46167</x:v>
      </x:c>
      <x:c r="O973" s="37"/>
      <x:c r="P973" s="34" t="n">
        <x:v>0</x:v>
      </x:c>
      <x:c r="Q973" s="37" t="n">
        <x:v>46167.21601851852</x:v>
      </x:c>
    </x:row>
    <x:row r="974">
      <x:c r="A974" s="22" t="n">
        <x:v>35434</x:v>
      </x:c>
      <x:c r="B974" s="28" t="n">
        <x:v>512.5</x:v>
      </x:c>
      <x:c r="C974" s="28"/>
      <x:c r="D974" s="31" t="str">
        <x:f>IF(OR(ISBLANK(B974),ISBLANK(C974),B974=0),"",(C974-B974)/B974)</x:f>
      </x:c>
      <x:c r="E974" s="22" t="str">
        <x:f>IF(ISBLANK(C974),"AmountIncludingTax缺失",IF(ABS(B974-C974)&lt;0.005,"一致","不一致"))</x:f>
        <x:v>AmountIncludingTax缺失</x:v>
      </x:c>
      <x:c r="F974" s="19" t="str">
        <x:v>approved</x:v>
      </x:c>
      <x:c r="G974" s="19" t="str">
        <x:v>Repair in Progress</x:v>
      </x:c>
      <x:c r="H974" s="19" t="str">
        <x:v>In Field</x:v>
      </x:c>
      <x:c r="I974" s="37" t="n">
        <x:v>46176</x:v>
      </x:c>
      <x:c r="J974" s="37" t="n">
        <x:v>46176</x:v>
      </x:c>
      <x:c r="K974" s="19" t="str">
        <x:v>Regent RV - Frankston</x:v>
      </x:c>
      <x:c r="L974" s="19" t="str">
        <x:v>Z006</x:v>
      </x:c>
      <x:c r="M974" s="19" t="str">
        <x:v>In Field Warranty Claims</x:v>
      </x:c>
      <x:c r="N974" s="37" t="n">
        <x:v>46167</x:v>
      </x:c>
      <x:c r="O974" s="37"/>
      <x:c r="P974" s="34" t="n">
        <x:v>0</x:v>
      </x:c>
      <x:c r="Q974" s="37" t="n">
        <x:v>46176.169907407406</x:v>
      </x:c>
    </x:row>
    <x:row r="975">
      <x:c r="A975" s="22" t="n">
        <x:v>35433</x:v>
      </x:c>
      <x:c r="B975" s="28" t="n">
        <x:v>1072.5</x:v>
      </x:c>
      <x:c r="C975" s="28"/>
      <x:c r="D975" s="31" t="str">
        <x:f>IF(OR(ISBLANK(B975),ISBLANK(C975),B975=0),"",(C975-B975)/B975)</x:f>
      </x:c>
      <x:c r="E975" s="22" t="str">
        <x:f>IF(ISBLANK(C975),"AmountIncludingTax缺失",IF(ABS(B975-C975)&lt;0.005,"一致","不一致"))</x:f>
        <x:v>AmountIncludingTax缺失</x:v>
      </x:c>
      <x:c r="F975" s="19" t="str">
        <x:v>approved</x:v>
      </x:c>
      <x:c r="G975" s="19" t="str">
        <x:v>Partially Picked</x:v>
      </x:c>
      <x:c r="H975" s="19" t="str">
        <x:v>In Field</x:v>
      </x:c>
      <x:c r="I975" s="37" t="n">
        <x:v>46168</x:v>
      </x:c>
      <x:c r="J975" s="37" t="n">
        <x:v>46168</x:v>
      </x:c>
      <x:c r="K975" s="19" t="str">
        <x:v>Destiny RV - South Australia</x:v>
      </x:c>
      <x:c r="L975" s="19" t="str">
        <x:v>Z006</x:v>
      </x:c>
      <x:c r="M975" s="19" t="str">
        <x:v>In Field Warranty Claims</x:v>
      </x:c>
      <x:c r="N975" s="37" t="n">
        <x:v>46167</x:v>
      </x:c>
      <x:c r="O975" s="37"/>
      <x:c r="P975" s="34" t="n">
        <x:v>0</x:v>
      </x:c>
      <x:c r="Q975" s="37" t="n">
        <x:v>46168.098541666666</x:v>
      </x:c>
    </x:row>
    <x:row r="976">
      <x:c r="A976" s="22" t="n">
        <x:v>35432</x:v>
      </x:c>
      <x:c r="B976" s="28" t="n">
        <x:v>135</x:v>
      </x:c>
      <x:c r="C976" s="28"/>
      <x:c r="D976" s="31" t="str">
        <x:f>IF(OR(ISBLANK(B976),ISBLANK(C976),B976=0),"",(C976-B976)/B976)</x:f>
      </x:c>
      <x:c r="E976" s="22" t="str">
        <x:f>IF(ISBLANK(C976),"AmountIncludingTax缺失",IF(ABS(B976-C976)&lt;0.005,"一致","不一致"))</x:f>
        <x:v>AmountIncludingTax缺失</x:v>
      </x:c>
      <x:c r="F976" s="19" t="str">
        <x:v>approved</x:v>
      </x:c>
      <x:c r="G976" s="19" t="str">
        <x:v>Repair in Progress</x:v>
      </x:c>
      <x:c r="H976" s="19" t="str">
        <x:v>In Field</x:v>
      </x:c>
      <x:c r="I976" s="37" t="n">
        <x:v>46174</x:v>
      </x:c>
      <x:c r="J976" s="37" t="n">
        <x:v>46174</x:v>
      </x:c>
      <x:c r="K976" s="19" t="str">
        <x:v>Regent RV - Frankston</x:v>
      </x:c>
      <x:c r="L976" s="19" t="str">
        <x:v>Z006</x:v>
      </x:c>
      <x:c r="M976" s="19" t="str">
        <x:v>In Field Warranty Claims</x:v>
      </x:c>
      <x:c r="N976" s="37" t="n">
        <x:v>46167</x:v>
      </x:c>
      <x:c r="O976" s="37"/>
      <x:c r="P976" s="34" t="n">
        <x:v>0</x:v>
      </x:c>
      <x:c r="Q976" s="37" t="n">
        <x:v>46173.98175925926</x:v>
      </x:c>
    </x:row>
    <x:row r="977">
      <x:c r="A977" s="22" t="n">
        <x:v>35431</x:v>
      </x:c>
      <x:c r="B977" s="28" t="n">
        <x:v>1444.32</x:v>
      </x:c>
      <x:c r="C977" s="28"/>
      <x:c r="D977" s="31" t="str">
        <x:f>IF(OR(ISBLANK(B977),ISBLANK(C977),B977=0),"",(C977-B977)/B977)</x:f>
      </x:c>
      <x:c r="E977" s="22" t="str">
        <x:f>IF(ISBLANK(C977),"AmountIncludingTax缺失",IF(ABS(B977-C977)&lt;0.005,"一致","不一致"))</x:f>
        <x:v>AmountIncludingTax缺失</x:v>
      </x:c>
      <x:c r="F977" s="19" t="str">
        <x:v>approved</x:v>
      </x:c>
      <x:c r="G977" s="19" t="str">
        <x:v>Repair in Progress</x:v>
      </x:c>
      <x:c r="H977" s="19" t="str">
        <x:v>In Field</x:v>
      </x:c>
      <x:c r="I977" s="37" t="n">
        <x:v>46203</x:v>
      </x:c>
      <x:c r="J977" s="37" t="n">
        <x:v>46169</x:v>
      </x:c>
      <x:c r="K977" s="19" t="str">
        <x:v>Destiny RV - South Australia</x:v>
      </x:c>
      <x:c r="L977" s="19" t="str">
        <x:v>Z006</x:v>
      </x:c>
      <x:c r="M977" s="19" t="str">
        <x:v>In Field Warranty Claims</x:v>
      </x:c>
      <x:c r="N977" s="37" t="n">
        <x:v>46167</x:v>
      </x:c>
      <x:c r="O977" s="37"/>
      <x:c r="P977" s="34" t="n">
        <x:v>0</x:v>
      </x:c>
      <x:c r="Q977" s="37" t="n">
        <x:v>46202.92209490741</x:v>
      </x:c>
    </x:row>
    <x:row r="978">
      <x:c r="A978" s="22" t="n">
        <x:v>35430</x:v>
      </x:c>
      <x:c r="B978" s="28" t="n">
        <x:v>67.5</x:v>
      </x:c>
      <x:c r="C978" s="28"/>
      <x:c r="D978" s="31" t="str">
        <x:f>IF(OR(ISBLANK(B978),ISBLANK(C978),B978=0),"",(C978-B978)/B978)</x:f>
      </x:c>
      <x:c r="E978" s="22" t="str">
        <x:f>IF(ISBLANK(C978),"AmountIncludingTax缺失",IF(ABS(B978-C978)&lt;0.005,"一致","不一致"))</x:f>
        <x:v>AmountIncludingTax缺失</x:v>
      </x:c>
      <x:c r="F978" s="19" t="str">
        <x:v>approved</x:v>
      </x:c>
      <x:c r="G978" s="19" t="str">
        <x:v>Sales Order Approved</x:v>
      </x:c>
      <x:c r="H978" s="19" t="str">
        <x:v>Pre Delivery</x:v>
      </x:c>
      <x:c r="I978" s="37" t="n">
        <x:v>46168</x:v>
      </x:c>
      <x:c r="J978" s="37" t="n">
        <x:v>46168</x:v>
      </x:c>
      <x:c r="K978" s="19" t="str">
        <x:v>Snowy River Geelong</x:v>
      </x:c>
      <x:c r="L978" s="19" t="str">
        <x:v>Z005</x:v>
      </x:c>
      <x:c r="M978" s="19" t="str">
        <x:v>Pre Delivery Warranty Claims</x:v>
      </x:c>
      <x:c r="N978" s="37" t="n">
        <x:v>46167</x:v>
      </x:c>
      <x:c r="O978" s="37"/>
      <x:c r="P978" s="34" t="n">
        <x:v>0</x:v>
      </x:c>
      <x:c r="Q978" s="37" t="n">
        <x:v>46167.94017361111</x:v>
      </x:c>
    </x:row>
    <x:row r="979">
      <x:c r="A979" s="22" t="n">
        <x:v>35429</x:v>
      </x:c>
      <x:c r="B979" s="28" t="n">
        <x:v>961.25</x:v>
      </x:c>
      <x:c r="C979" s="28"/>
      <x:c r="D979" s="31" t="str">
        <x:f>IF(OR(ISBLANK(B979),ISBLANK(C979),B979=0),"",(C979-B979)/B979)</x:f>
      </x:c>
      <x:c r="E979" s="22" t="str">
        <x:f>IF(ISBLANK(C979),"AmountIncludingTax缺失",IF(ABS(B979-C979)&lt;0.005,"一致","不一致"))</x:f>
        <x:v>AmountIncludingTax缺失</x:v>
      </x:c>
      <x:c r="F979" s="19" t="str">
        <x:v>approved</x:v>
      </x:c>
      <x:c r="G979" s="19" t="str">
        <x:v>Repairer Invoiced Processed</x:v>
      </x:c>
      <x:c r="H979" s="19" t="str">
        <x:v>In Field</x:v>
      </x:c>
      <x:c r="I979" s="37" t="n">
        <x:v>46198</x:v>
      </x:c>
      <x:c r="J979" s="37" t="n">
        <x:v>46198</x:v>
      </x:c>
      <x:c r="K979" s="19" t="str">
        <x:v>Green RV - Slacks Creek</x:v>
      </x:c>
      <x:c r="L979" s="19" t="str">
        <x:v>Z006</x:v>
      </x:c>
      <x:c r="M979" s="19" t="str">
        <x:v>In Field Warranty Claims</x:v>
      </x:c>
      <x:c r="N979" s="37" t="n">
        <x:v>46167</x:v>
      </x:c>
      <x:c r="O979" s="37"/>
      <x:c r="P979" s="34" t="n">
        <x:v>0</x:v>
      </x:c>
      <x:c r="Q979" s="37" t="n">
        <x:v>46198.01460648148</x:v>
      </x:c>
    </x:row>
    <x:row r="980">
      <x:c r="A980" s="22" t="n">
        <x:v>35426</x:v>
      </x:c>
      <x:c r="B980" s="28" t="n">
        <x:v>560</x:v>
      </x:c>
      <x:c r="C980" s="28"/>
      <x:c r="D980" s="31" t="str">
        <x:f>IF(OR(ISBLANK(B980),ISBLANK(C980),B980=0),"",(C980-B980)/B980)</x:f>
      </x:c>
      <x:c r="E980" s="22" t="str">
        <x:f>IF(ISBLANK(C980),"AmountIncludingTax缺失",IF(ABS(B980-C980)&lt;0.005,"一致","不一致"))</x:f>
        <x:v>AmountIncludingTax缺失</x:v>
      </x:c>
      <x:c r="F980" s="19" t="str">
        <x:v>approved</x:v>
      </x:c>
      <x:c r="G980" s="19" t="str">
        <x:v>Repairer Invoiced Processed</x:v>
      </x:c>
      <x:c r="H980" s="19" t="str">
        <x:v>Pre Delivery</x:v>
      </x:c>
      <x:c r="I980" s="37" t="n">
        <x:v>46169</x:v>
      </x:c>
      <x:c r="J980" s="37" t="n">
        <x:v>46169</x:v>
      </x:c>
      <x:c r="K980" s="19" t="str">
        <x:v>Lesiure Lion-New Castle</x:v>
      </x:c>
      <x:c r="L980" s="19" t="str">
        <x:v>Z005</x:v>
      </x:c>
      <x:c r="M980" s="19" t="str">
        <x:v>Pre Delivery Warranty Claims</x:v>
      </x:c>
      <x:c r="N980" s="37" t="n">
        <x:v>46167</x:v>
      </x:c>
      <x:c r="O980" s="37"/>
      <x:c r="P980" s="34" t="n">
        <x:v>0</x:v>
      </x:c>
      <x:c r="Q980" s="37" t="n">
        <x:v>46168.96414351852</x:v>
      </x:c>
    </x:row>
    <x:row r="981">
      <x:c r="A981" s="22" t="n">
        <x:v>35425</x:v>
      </x:c>
      <x:c r="B981" s="28" t="n">
        <x:v>715</x:v>
      </x:c>
      <x:c r="C981" s="28"/>
      <x:c r="D981" s="31" t="str">
        <x:f>IF(OR(ISBLANK(B981),ISBLANK(C981),B981=0),"",(C981-B981)/B981)</x:f>
      </x:c>
      <x:c r="E981" s="22" t="str">
        <x:f>IF(ISBLANK(C981),"AmountIncludingTax缺失",IF(ABS(B981-C981)&lt;0.005,"一致","不一致"))</x:f>
        <x:v>AmountIncludingTax缺失</x:v>
      </x:c>
      <x:c r="F981" s="19" t="str">
        <x:v>approved</x:v>
      </x:c>
      <x:c r="G981" s="19" t="str">
        <x:v>Repair in Progress</x:v>
      </x:c>
      <x:c r="H981" s="19" t="str">
        <x:v>In Field</x:v>
      </x:c>
      <x:c r="I981" s="37" t="n">
        <x:v>46168</x:v>
      </x:c>
      <x:c r="J981" s="37" t="n">
        <x:v>46168</x:v>
      </x:c>
      <x:c r="K981" s="19" t="str">
        <x:v>Destiny RV - South Australia</x:v>
      </x:c>
      <x:c r="L981" s="19" t="str">
        <x:v>Z006</x:v>
      </x:c>
      <x:c r="M981" s="19" t="str">
        <x:v>In Field Warranty Claims</x:v>
      </x:c>
      <x:c r="N981" s="37" t="n">
        <x:v>46167</x:v>
      </x:c>
      <x:c r="O981" s="37"/>
      <x:c r="P981" s="34" t="n">
        <x:v>0</x:v>
      </x:c>
      <x:c r="Q981" s="37" t="n">
        <x:v>46168.09758101852</x:v>
      </x:c>
    </x:row>
    <x:row r="982">
      <x:c r="A982" s="22" t="n">
        <x:v>35424</x:v>
      </x:c>
      <x:c r="B982" s="28" t="n">
        <x:v>101.25</x:v>
      </x:c>
      <x:c r="C982" s="28"/>
      <x:c r="D982" s="31" t="str">
        <x:f>IF(OR(ISBLANK(B982),ISBLANK(C982),B982=0),"",(C982-B982)/B982)</x:f>
      </x:c>
      <x:c r="E982" s="22" t="str">
        <x:f>IF(ISBLANK(C982),"AmountIncludingTax缺失",IF(ABS(B982-C982)&lt;0.005,"一致","不一致"))</x:f>
        <x:v>AmountIncludingTax缺失</x:v>
      </x:c>
      <x:c r="F982" s="19" t="str">
        <x:v>approved</x:v>
      </x:c>
      <x:c r="G982" s="19" t="str">
        <x:v>Repairer Invoiced Processed</x:v>
      </x:c>
      <x:c r="H982" s="19" t="str">
        <x:v>In Field</x:v>
      </x:c>
      <x:c r="I982" s="37" t="n">
        <x:v>46167</x:v>
      </x:c>
      <x:c r="J982" s="37" t="n">
        <x:v>46167</x:v>
      </x:c>
      <x:c r="K982" s="19" t="str">
        <x:v>Regent RV - Toowoomba</x:v>
      </x:c>
      <x:c r="L982" s="19" t="str">
        <x:v>Z006</x:v>
      </x:c>
      <x:c r="M982" s="19" t="str">
        <x:v>In Field Warranty Claims</x:v>
      </x:c>
      <x:c r="N982" s="37" t="n">
        <x:v>46167</x:v>
      </x:c>
      <x:c r="O982" s="37"/>
      <x:c r="P982" s="34" t="n">
        <x:v>0</x:v>
      </x:c>
      <x:c r="Q982" s="37" t="n">
        <x:v>46167.222719907404</x:v>
      </x:c>
    </x:row>
    <x:row r="983">
      <x:c r="A983" s="22" t="n">
        <x:v>35423</x:v>
      </x:c>
      <x:c r="B983" s="28" t="n">
        <x:v>492.5</x:v>
      </x:c>
      <x:c r="C983" s="28"/>
      <x:c r="D983" s="31" t="str">
        <x:f>IF(OR(ISBLANK(B983),ISBLANK(C983),B983=0),"",(C983-B983)/B983)</x:f>
      </x:c>
      <x:c r="E983" s="22" t="str">
        <x:f>IF(ISBLANK(C983),"AmountIncludingTax缺失",IF(ABS(B983-C983)&lt;0.005,"一致","不一致"))</x:f>
        <x:v>AmountIncludingTax缺失</x:v>
      </x:c>
      <x:c r="F983" s="19" t="str">
        <x:v>approved</x:v>
      </x:c>
      <x:c r="G983" s="19" t="str">
        <x:v>Repair in Progress</x:v>
      </x:c>
      <x:c r="H983" s="19" t="str">
        <x:v>Pre Delivery</x:v>
      </x:c>
      <x:c r="I983" s="37" t="n">
        <x:v>46167</x:v>
      </x:c>
      <x:c r="J983" s="37" t="n">
        <x:v>46167</x:v>
      </x:c>
      <x:c r="K983" s="19" t="str">
        <x:v>Regent RV - Frankston</x:v>
      </x:c>
      <x:c r="L983" s="19" t="str">
        <x:v>Z005</x:v>
      </x:c>
      <x:c r="M983" s="19" t="str">
        <x:v>Pre Delivery Warranty Claims</x:v>
      </x:c>
      <x:c r="N983" s="37" t="n">
        <x:v>46167</x:v>
      </x:c>
      <x:c r="O983" s="37"/>
      <x:c r="P983" s="34" t="n">
        <x:v>0</x:v>
      </x:c>
      <x:c r="Q983" s="37" t="n">
        <x:v>46167.259409722225</x:v>
      </x:c>
    </x:row>
    <x:row r="984">
      <x:c r="A984" s="22" t="n">
        <x:v>35422</x:v>
      </x:c>
      <x:c r="B984" s="28" t="n">
        <x:v>725</x:v>
      </x:c>
      <x:c r="C984" s="28"/>
      <x:c r="D984" s="31" t="str">
        <x:f>IF(OR(ISBLANK(B984),ISBLANK(C984),B984=0),"",(C984-B984)/B984)</x:f>
      </x:c>
      <x:c r="E984" s="22" t="str">
        <x:f>IF(ISBLANK(C984),"AmountIncludingTax缺失",IF(ABS(B984-C984)&lt;0.005,"一致","不一致"))</x:f>
        <x:v>AmountIncludingTax缺失</x:v>
      </x:c>
      <x:c r="F984" s="19" t="str">
        <x:v>approved</x:v>
      </x:c>
      <x:c r="G984" s="19" t="str">
        <x:v>Repair in Progress</x:v>
      </x:c>
      <x:c r="H984" s="19" t="str">
        <x:v>In Field</x:v>
      </x:c>
      <x:c r="I984" s="37" t="n">
        <x:v>46168</x:v>
      </x:c>
      <x:c r="J984" s="37" t="n">
        <x:v>46168</x:v>
      </x:c>
      <x:c r="K984" s="19" t="str">
        <x:v>Regent RV - Perth</x:v>
      </x:c>
      <x:c r="L984" s="19" t="str">
        <x:v>Z006</x:v>
      </x:c>
      <x:c r="M984" s="19" t="str">
        <x:v>In Field Warranty Claims</x:v>
      </x:c>
      <x:c r="N984" s="37" t="n">
        <x:v>46167</x:v>
      </x:c>
      <x:c r="O984" s="37"/>
      <x:c r="P984" s="34" t="n">
        <x:v>0</x:v>
      </x:c>
      <x:c r="Q984" s="37" t="n">
        <x:v>46168.09947916667</x:v>
      </x:c>
    </x:row>
    <x:row r="985">
      <x:c r="A985" s="22" t="n">
        <x:v>35400</x:v>
      </x:c>
      <x:c r="B985" s="28" t="n">
        <x:v>67.5</x:v>
      </x:c>
      <x:c r="C985" s="28"/>
      <x:c r="D985" s="31" t="str">
        <x:f>IF(OR(ISBLANK(B985),ISBLANK(C985),B985=0),"",(C985-B985)/B985)</x:f>
      </x:c>
      <x:c r="E985" s="22" t="str">
        <x:f>IF(ISBLANK(C985),"AmountIncludingTax缺失",IF(ABS(B985-C985)&lt;0.005,"一致","不一致"))</x:f>
        <x:v>AmountIncludingTax缺失</x:v>
      </x:c>
      <x:c r="F985" s="19" t="str">
        <x:v>approved</x:v>
      </x:c>
      <x:c r="G985" s="19" t="str">
        <x:v>Repairer Invoiced Processed</x:v>
      </x:c>
      <x:c r="H985" s="19" t="str">
        <x:v>Pre Delivery</x:v>
      </x:c>
      <x:c r="I985" s="37" t="n">
        <x:v>46167</x:v>
      </x:c>
      <x:c r="J985" s="37" t="n">
        <x:v>46167</x:v>
      </x:c>
      <x:c r="K985" s="19" t="str">
        <x:v>Lesiure Lion-New Castle</x:v>
      </x:c>
      <x:c r="L985" s="19" t="str">
        <x:v>Z005</x:v>
      </x:c>
      <x:c r="M985" s="19" t="str">
        <x:v>Pre Delivery Warranty Claims</x:v>
      </x:c>
      <x:c r="N985" s="37" t="n">
        <x:v>46167</x:v>
      </x:c>
      <x:c r="O985" s="37"/>
      <x:c r="P985" s="34" t="n">
        <x:v>0</x:v>
      </x:c>
      <x:c r="Q985" s="37" t="n">
        <x:v>46167.26163194444</x:v>
      </x:c>
    </x:row>
    <x:row r="986">
      <x:c r="A986" s="22" t="n">
        <x:v>35399</x:v>
      </x:c>
      <x:c r="B986" s="28" t="n">
        <x:v>519.75</x:v>
      </x:c>
      <x:c r="C986" s="28" t="n">
        <x:v>571.73</x:v>
      </x:c>
      <x:c r="D986" s="31" t="n">
        <x:f>IF(OR(ISBLANK(B986),ISBLANK(C986),B986=0),"",(C986-B986)/B986)</x:f>
        <x:v>0.10000962000962005</x:v>
      </x:c>
      <x:c r="E986" s="22" t="str">
        <x:f>IF(ISBLANK(C986),"AmountIncludingTax缺失",IF(ABS(B986-C986)&lt;0.005,"一致","不一致"))</x:f>
        <x:v>不一致</x:v>
      </x:c>
      <x:c r="F986" s="19" t="str">
        <x:v>approved</x:v>
      </x:c>
      <x:c r="G986" s="19" t="str">
        <x:v>Repairer Invoiced Processed</x:v>
      </x:c>
      <x:c r="H986" s="19" t="str">
        <x:v>In Field</x:v>
      </x:c>
      <x:c r="I986" s="37" t="n">
        <x:v>46183</x:v>
      </x:c>
      <x:c r="J986" s="37" t="n">
        <x:v>46183</x:v>
      </x:c>
      <x:c r="K986" s="19" t="str">
        <x:v>Lesiure Lion-New Castle</x:v>
      </x:c>
      <x:c r="L986" s="19" t="str">
        <x:v>Z006</x:v>
      </x:c>
      <x:c r="M986" s="19" t="str">
        <x:v>In Field Warranty Claims</x:v>
      </x:c>
      <x:c r="N986" s="37" t="n">
        <x:v>46167</x:v>
      </x:c>
      <x:c r="O986" s="37"/>
      <x:c r="P986" s="34" t="n">
        <x:v>571.73</x:v>
      </x:c>
      <x:c r="Q986" s="37" t="n">
        <x:v>46183.0003125</x:v>
      </x:c>
    </x:row>
    <x:row r="987">
      <x:c r="A987" s="22" t="n">
        <x:v>35396</x:v>
      </x:c>
      <x:c r="B987" s="28" t="n">
        <x:v>221.77</x:v>
      </x:c>
      <x:c r="C987" s="28" t="n">
        <x:v>243.95</x:v>
      </x:c>
      <x:c r="D987" s="31" t="n">
        <x:f>IF(OR(ISBLANK(B987),ISBLANK(C987),B987=0),"",(C987-B987)/B987)</x:f>
        <x:v>0.10001352752852044</x:v>
      </x:c>
      <x:c r="E987" s="22" t="str">
        <x:f>IF(ISBLANK(C987),"AmountIncludingTax缺失",IF(ABS(B987-C987)&lt;0.005,"一致","不一致"))</x:f>
        <x:v>不一致</x:v>
      </x:c>
      <x:c r="F987" s="19" t="str">
        <x:v>approved</x:v>
      </x:c>
      <x:c r="G987" s="19" t="str">
        <x:v>Repairer Invoiced Processed</x:v>
      </x:c>
      <x:c r="H987" s="19" t="str">
        <x:v>In Field</x:v>
      </x:c>
      <x:c r="I987" s="37" t="n">
        <x:v>46182</x:v>
      </x:c>
      <x:c r="J987" s="37" t="n">
        <x:v>46182</x:v>
      </x:c>
      <x:c r="K987" s="19" t="str">
        <x:v>Regent RV - Perth</x:v>
      </x:c>
      <x:c r="L987" s="19" t="str">
        <x:v>Z006</x:v>
      </x:c>
      <x:c r="M987" s="19" t="str">
        <x:v>In Field Warranty Claims</x:v>
      </x:c>
      <x:c r="N987" s="37" t="n">
        <x:v>46166</x:v>
      </x:c>
      <x:c r="O987" s="37"/>
      <x:c r="P987" s="34" t="n">
        <x:v>243.95</x:v>
      </x:c>
      <x:c r="Q987" s="37" t="n">
        <x:v>46182.12417824074</x:v>
      </x:c>
    </x:row>
    <x:row r="988">
      <x:c r="A988" s="22" t="n">
        <x:v>35392</x:v>
      </x:c>
      <x:c r="B988" s="28" t="n">
        <x:v>2273</x:v>
      </x:c>
      <x:c r="C988" s="28"/>
      <x:c r="D988" s="31" t="str">
        <x:f>IF(OR(ISBLANK(B988),ISBLANK(C988),B988=0),"",(C988-B988)/B988)</x:f>
      </x:c>
      <x:c r="E988" s="22" t="str">
        <x:f>IF(ISBLANK(C988),"AmountIncludingTax缺失",IF(ABS(B988-C988)&lt;0.005,"一致","不一致"))</x:f>
        <x:v>AmountIncludingTax缺失</x:v>
      </x:c>
      <x:c r="F988" s="19" t="str">
        <x:v>approved</x:v>
      </x:c>
      <x:c r="G988" s="19" t="str">
        <x:v>Repair in Progress</x:v>
      </x:c>
      <x:c r="H988" s="19" t="str">
        <x:v>In Field</x:v>
      </x:c>
      <x:c r="I988" s="37" t="n">
        <x:v>46169</x:v>
      </x:c>
      <x:c r="J988" s="37" t="n">
        <x:v>46169</x:v>
      </x:c>
      <x:c r="K988" s="19" t="str">
        <x:v>Regent RV - Perth</x:v>
      </x:c>
      <x:c r="L988" s="19" t="str">
        <x:v>Z006</x:v>
      </x:c>
      <x:c r="M988" s="19" t="str">
        <x:v>In Field Warranty Claims</x:v>
      </x:c>
      <x:c r="N988" s="37" t="n">
        <x:v>46164</x:v>
      </x:c>
      <x:c r="O988" s="37"/>
      <x:c r="P988" s="34" t="n">
        <x:v>0</x:v>
      </x:c>
      <x:c r="Q988" s="37" t="n">
        <x:v>46169.01825231482</x:v>
      </x:c>
    </x:row>
    <x:row r="989">
      <x:c r="A989" s="22" t="n">
        <x:v>35391</x:v>
      </x:c>
      <x:c r="B989" s="28" t="n">
        <x:v>207.5</x:v>
      </x:c>
      <x:c r="C989" s="28"/>
      <x:c r="D989" s="31" t="str">
        <x:f>IF(OR(ISBLANK(B989),ISBLANK(C989),B989=0),"",(C989-B989)/B989)</x:f>
      </x:c>
      <x:c r="E989" s="22" t="str">
        <x:f>IF(ISBLANK(C989),"AmountIncludingTax缺失",IF(ABS(B989-C989)&lt;0.005,"一致","不一致"))</x:f>
        <x:v>AmountIncludingTax缺失</x:v>
      </x:c>
      <x:c r="F989" s="19" t="str">
        <x:v>approved</x:v>
      </x:c>
      <x:c r="G989" s="19" t="str">
        <x:v>Repair in Progress</x:v>
      </x:c>
      <x:c r="H989" s="19" t="str">
        <x:v>Pre Delivery</x:v>
      </x:c>
      <x:c r="I989" s="37" t="n">
        <x:v>46167</x:v>
      </x:c>
      <x:c r="J989" s="37" t="n">
        <x:v>46167</x:v>
      </x:c>
      <x:c r="K989" s="19" t="str">
        <x:v>Leisure Lion - Bundaberg</x:v>
      </x:c>
      <x:c r="L989" s="19" t="str">
        <x:v>Z005</x:v>
      </x:c>
      <x:c r="M989" s="19" t="str">
        <x:v>Pre Delivery Warranty Claims</x:v>
      </x:c>
      <x:c r="N989" s="37" t="n">
        <x:v>46164</x:v>
      </x:c>
      <x:c r="O989" s="37"/>
      <x:c r="P989" s="34" t="n">
        <x:v>0</x:v>
      </x:c>
      <x:c r="Q989" s="37" t="n">
        <x:v>46166.99076388889</x:v>
      </x:c>
    </x:row>
    <x:row r="990">
      <x:c r="A990" s="22" t="n">
        <x:v>35390</x:v>
      </x:c>
      <x:c r="B990" s="28" t="n">
        <x:v>247.5</x:v>
      </x:c>
      <x:c r="C990" s="28" t="n">
        <x:v>224.09</x:v>
      </x:c>
      <x:c r="D990" s="31" t="n">
        <x:f>IF(OR(ISBLANK(B990),ISBLANK(C990),B990=0),"",(C990-B990)/B990)</x:f>
        <x:v>-0.09458585858585858</x:v>
      </x:c>
      <x:c r="E990" s="22" t="str">
        <x:f>IF(ISBLANK(C990),"AmountIncludingTax缺失",IF(ABS(B990-C990)&lt;0.005,"一致","不一致"))</x:f>
        <x:v>不一致</x:v>
      </x:c>
      <x:c r="F990" s="19" t="str">
        <x:v>approved</x:v>
      </x:c>
      <x:c r="G990" s="19" t="str">
        <x:v>Repairer Invoiced Processed</x:v>
      </x:c>
      <x:c r="H990" s="19" t="str">
        <x:v>Pre Delivery</x:v>
      </x:c>
      <x:c r="I990" s="37" t="n">
        <x:v>46195</x:v>
      </x:c>
      <x:c r="J990" s="37" t="n">
        <x:v>46195</x:v>
      </x:c>
      <x:c r="K990" s="19" t="str">
        <x:v>Vanari Caravans - Marden Point</x:v>
      </x:c>
      <x:c r="L990" s="19" t="str">
        <x:v>Z005</x:v>
      </x:c>
      <x:c r="M990" s="19" t="str">
        <x:v>Pre Delivery Warranty Claims</x:v>
      </x:c>
      <x:c r="N990" s="37" t="n">
        <x:v>46166</x:v>
      </x:c>
      <x:c r="O990" s="37"/>
      <x:c r="P990" s="34" t="n">
        <x:v>224.09</x:v>
      </x:c>
      <x:c r="Q990" s="37" t="n">
        <x:v>46195.26296296297</x:v>
      </x:c>
    </x:row>
    <x:row r="991">
      <x:c r="A991" s="22" t="n">
        <x:v>35388</x:v>
      </x:c>
      <x:c r="B991" s="28" t="n">
        <x:v>135</x:v>
      </x:c>
      <x:c r="C991" s="28"/>
      <x:c r="D991" s="31" t="str">
        <x:f>IF(OR(ISBLANK(B991),ISBLANK(C991),B991=0),"",(C991-B991)/B991)</x:f>
      </x:c>
      <x:c r="E991" s="22" t="str">
        <x:f>IF(ISBLANK(C991),"AmountIncludingTax缺失",IF(ABS(B991-C991)&lt;0.005,"一致","不一致"))</x:f>
        <x:v>AmountIncludingTax缺失</x:v>
      </x:c>
      <x:c r="F991" s="19" t="str">
        <x:v>approved</x:v>
      </x:c>
      <x:c r="G991" s="19" t="str">
        <x:v>Repair in Progress</x:v>
      </x:c>
      <x:c r="H991" s="19" t="str">
        <x:v>In Field</x:v>
      </x:c>
      <x:c r="I991" s="37" t="n">
        <x:v>46183</x:v>
      </x:c>
      <x:c r="J991" s="37" t="n">
        <x:v>46183</x:v>
      </x:c>
      <x:c r="K991" s="19" t="str">
        <x:v>Snowy River Wangaratta</x:v>
      </x:c>
      <x:c r="L991" s="19" t="str">
        <x:v>Z006</x:v>
      </x:c>
      <x:c r="M991" s="19" t="str">
        <x:v>In Field Warranty Claims</x:v>
      </x:c>
      <x:c r="N991" s="37" t="n">
        <x:v>46165</x:v>
      </x:c>
      <x:c r="O991" s="37"/>
      <x:c r="P991" s="34" t="n">
        <x:v>0</x:v>
      </x:c>
      <x:c r="Q991" s="37" t="n">
        <x:v>46183.19880787037</x:v>
      </x:c>
    </x:row>
    <x:row r="992">
      <x:c r="A992" s="22" t="n">
        <x:v>35386</x:v>
      </x:c>
      <x:c r="B992" s="28" t="n">
        <x:v>357.5</x:v>
      </x:c>
      <x:c r="C992" s="28"/>
      <x:c r="D992" s="31" t="str">
        <x:f>IF(OR(ISBLANK(B992),ISBLANK(C992),B992=0),"",(C992-B992)/B992)</x:f>
      </x:c>
      <x:c r="E992" s="22" t="str">
        <x:f>IF(ISBLANK(C992),"AmountIncludingTax缺失",IF(ABS(B992-C992)&lt;0.005,"一致","不一致"))</x:f>
        <x:v>AmountIncludingTax缺失</x:v>
      </x:c>
      <x:c r="F992" s="19" t="str">
        <x:v>approved</x:v>
      </x:c>
      <x:c r="G992" s="19" t="str">
        <x:v>Repair in Progress</x:v>
      </x:c>
      <x:c r="H992" s="19" t="str">
        <x:v>In Field</x:v>
      </x:c>
      <x:c r="I992" s="37" t="n">
        <x:v>46171</x:v>
      </x:c>
      <x:c r="J992" s="37" t="n">
        <x:v>46171</x:v>
      </x:c>
      <x:c r="K992" s="19" t="str">
        <x:v>Auswide Caravans - South Nowra</x:v>
      </x:c>
      <x:c r="L992" s="19" t="str">
        <x:v>Z006</x:v>
      </x:c>
      <x:c r="M992" s="19" t="str">
        <x:v>In Field Warranty Claims</x:v>
      </x:c>
      <x:c r="N992" s="37" t="n">
        <x:v>46164</x:v>
      </x:c>
      <x:c r="O992" s="37"/>
      <x:c r="P992" s="34" t="n">
        <x:v>0</x:v>
      </x:c>
      <x:c r="Q992" s="37" t="n">
        <x:v>46171.174733796295</x:v>
      </x:c>
    </x:row>
    <x:row r="993">
      <x:c r="A993" s="22" t="n">
        <x:v>35385</x:v>
      </x:c>
      <x:c r="B993" s="28" t="n">
        <x:v>808.75</x:v>
      </x:c>
      <x:c r="C993" s="28"/>
      <x:c r="D993" s="31" t="str">
        <x:f>IF(OR(ISBLANK(B993),ISBLANK(C993),B993=0),"",(C993-B993)/B993)</x:f>
      </x:c>
      <x:c r="E993" s="22" t="str">
        <x:f>IF(ISBLANK(C993),"AmountIncludingTax缺失",IF(ABS(B993-C993)&lt;0.005,"一致","不一致"))</x:f>
        <x:v>AmountIncludingTax缺失</x:v>
      </x:c>
      <x:c r="F993" s="19" t="str">
        <x:v>approved</x:v>
      </x:c>
      <x:c r="G993" s="19" t="str">
        <x:v>Sales Order Approved</x:v>
      </x:c>
      <x:c r="H993" s="19" t="str">
        <x:v>In Field</x:v>
      </x:c>
      <x:c r="I993" s="37" t="n">
        <x:v>46188</x:v>
      </x:c>
      <x:c r="J993" s="37" t="n">
        <x:v>46188</x:v>
      </x:c>
      <x:c r="K993" s="19" t="str">
        <x:v>Lesiure Lion-New Castle</x:v>
      </x:c>
      <x:c r="L993" s="19" t="str">
        <x:v>Z006</x:v>
      </x:c>
      <x:c r="M993" s="19" t="str">
        <x:v>In Field Warranty Claims</x:v>
      </x:c>
      <x:c r="N993" s="37" t="n">
        <x:v>46164</x:v>
      </x:c>
      <x:c r="O993" s="37"/>
      <x:c r="P993" s="34" t="n">
        <x:v>0</x:v>
      </x:c>
      <x:c r="Q993" s="37" t="n">
        <x:v>46188.12241898148</x:v>
      </x:c>
    </x:row>
    <x:row r="994">
      <x:c r="A994" s="22" t="n">
        <x:v>35384</x:v>
      </x:c>
      <x:c r="B994" s="28" t="n">
        <x:v>202.5</x:v>
      </x:c>
      <x:c r="C994" s="28" t="n">
        <x:v>222.75</x:v>
      </x:c>
      <x:c r="D994" s="31" t="n">
        <x:f>IF(OR(ISBLANK(B994),ISBLANK(C994),B994=0),"",(C994-B994)/B994)</x:f>
        <x:v>0.1</x:v>
      </x:c>
      <x:c r="E994" s="22" t="str">
        <x:f>IF(ISBLANK(C994),"AmountIncludingTax缺失",IF(ABS(B994-C994)&lt;0.005,"一致","不一致"))</x:f>
        <x:v>不一致</x:v>
      </x:c>
      <x:c r="F994" s="19" t="str">
        <x:v>approved</x:v>
      </x:c>
      <x:c r="G994" s="19" t="str">
        <x:v>Repairer Invoiced Processed</x:v>
      </x:c>
      <x:c r="H994" s="19" t="str">
        <x:v>In Field</x:v>
      </x:c>
      <x:c r="I994" s="37" t="n">
        <x:v>46170</x:v>
      </x:c>
      <x:c r="J994" s="37" t="n">
        <x:v>46170</x:v>
      </x:c>
      <x:c r="K994" s="19" t="str">
        <x:v>Snowy River Wangaratta</x:v>
      </x:c>
      <x:c r="L994" s="19" t="str">
        <x:v>Z006</x:v>
      </x:c>
      <x:c r="M994" s="19" t="str">
        <x:v>In Field Warranty Claims</x:v>
      </x:c>
      <x:c r="N994" s="37" t="n">
        <x:v>46164</x:v>
      </x:c>
      <x:c r="O994" s="37"/>
      <x:c r="P994" s="34" t="n">
        <x:v>222.75</x:v>
      </x:c>
      <x:c r="Q994" s="37" t="n">
        <x:v>46170.17082175926</x:v>
      </x:c>
    </x:row>
    <x:row r="995">
      <x:c r="A995" s="22" t="n">
        <x:v>35383</x:v>
      </x:c>
      <x:c r="B995" s="28" t="n">
        <x:v>1046.25</x:v>
      </x:c>
      <x:c r="C995" s="28"/>
      <x:c r="D995" s="31" t="str">
        <x:f>IF(OR(ISBLANK(B995),ISBLANK(C995),B995=0),"",(C995-B995)/B995)</x:f>
      </x:c>
      <x:c r="E995" s="22" t="str">
        <x:f>IF(ISBLANK(C995),"AmountIncludingTax缺失",IF(ABS(B995-C995)&lt;0.005,"一致","不一致"))</x:f>
        <x:v>AmountIncludingTax缺失</x:v>
      </x:c>
      <x:c r="F995" s="19" t="str">
        <x:v>approved</x:v>
      </x:c>
      <x:c r="G995" s="19" t="str">
        <x:v>Repair in Progress</x:v>
      </x:c>
      <x:c r="H995" s="19" t="str">
        <x:v>In Field</x:v>
      </x:c>
      <x:c r="I995" s="37" t="n">
        <x:v>46170</x:v>
      </x:c>
      <x:c r="J995" s="37" t="n">
        <x:v>46170</x:v>
      </x:c>
      <x:c r="K995" s="19" t="str">
        <x:v>Regent RV - Frankston</x:v>
      </x:c>
      <x:c r="L995" s="19" t="str">
        <x:v>Z006</x:v>
      </x:c>
      <x:c r="M995" s="19" t="str">
        <x:v>In Field Warranty Claims</x:v>
      </x:c>
      <x:c r="N995" s="37" t="n">
        <x:v>46164</x:v>
      </x:c>
      <x:c r="O995" s="37"/>
      <x:c r="P995" s="34" t="n">
        <x:v>0</x:v>
      </x:c>
      <x:c r="Q995" s="37" t="n">
        <x:v>46170.068090277775</x:v>
      </x:c>
    </x:row>
    <x:row r="996">
      <x:c r="A996" s="22" t="n">
        <x:v>35381</x:v>
      </x:c>
      <x:c r="B996" s="28" t="n">
        <x:v>472.5</x:v>
      </x:c>
      <x:c r="C996" s="28"/>
      <x:c r="D996" s="31" t="str">
        <x:f>IF(OR(ISBLANK(B996),ISBLANK(C996),B996=0),"",(C996-B996)/B996)</x:f>
      </x:c>
      <x:c r="E996" s="22" t="str">
        <x:f>IF(ISBLANK(C996),"AmountIncludingTax缺失",IF(ABS(B996-C996)&lt;0.005,"一致","不一致"))</x:f>
        <x:v>AmountIncludingTax缺失</x:v>
      </x:c>
      <x:c r="F996" s="19" t="str">
        <x:v>approved</x:v>
      </x:c>
      <x:c r="G996" s="19" t="str">
        <x:v>Repair in Progress</x:v>
      </x:c>
      <x:c r="H996" s="19" t="str">
        <x:v>In Field</x:v>
      </x:c>
      <x:c r="I996" s="37" t="n">
        <x:v>46170</x:v>
      </x:c>
      <x:c r="J996" s="37" t="n">
        <x:v>46170</x:v>
      </x:c>
      <x:c r="K996" s="19" t="str">
        <x:v>Regent RV - Frankston</x:v>
      </x:c>
      <x:c r="L996" s="19" t="str">
        <x:v>Z006</x:v>
      </x:c>
      <x:c r="M996" s="19" t="str">
        <x:v>In Field Warranty Claims</x:v>
      </x:c>
      <x:c r="N996" s="37" t="n">
        <x:v>46164</x:v>
      </x:c>
      <x:c r="O996" s="37"/>
      <x:c r="P996" s="34" t="n">
        <x:v>0</x:v>
      </x:c>
      <x:c r="Q996" s="37" t="n">
        <x:v>46170.071180555555</x:v>
      </x:c>
    </x:row>
    <x:row r="997">
      <x:c r="A997" s="22" t="n">
        <x:v>35380</x:v>
      </x:c>
      <x:c r="B997" s="28" t="n">
        <x:v>472.5</x:v>
      </x:c>
      <x:c r="C997" s="28" t="n">
        <x:v>519.75</x:v>
      </x:c>
      <x:c r="D997" s="31" t="n">
        <x:f>IF(OR(ISBLANK(B997),ISBLANK(C997),B997=0),"",(C997-B997)/B997)</x:f>
        <x:v>0.1</x:v>
      </x:c>
      <x:c r="E997" s="22" t="str">
        <x:f>IF(ISBLANK(C997),"AmountIncludingTax缺失",IF(ABS(B997-C997)&lt;0.005,"一致","不一致"))</x:f>
        <x:v>不一致</x:v>
      </x:c>
      <x:c r="F997" s="19" t="str">
        <x:v>approved</x:v>
      </x:c>
      <x:c r="G997" s="19" t="str">
        <x:v>Repairer Invoiced Processed</x:v>
      </x:c>
      <x:c r="H997" s="19" t="str">
        <x:v>Pre Delivery</x:v>
      </x:c>
      <x:c r="I997" s="37" t="n">
        <x:v>46167</x:v>
      </x:c>
      <x:c r="J997" s="37" t="n">
        <x:v>46167</x:v>
      </x:c>
      <x:c r="K997" s="19" t="str">
        <x:v>Snowy River Wangaratta</x:v>
      </x:c>
      <x:c r="L997" s="19" t="str">
        <x:v>Z005</x:v>
      </x:c>
      <x:c r="M997" s="19" t="str">
        <x:v>Pre Delivery Warranty Claims</x:v>
      </x:c>
      <x:c r="N997" s="37" t="n">
        <x:v>46164</x:v>
      </x:c>
      <x:c r="O997" s="37"/>
      <x:c r="P997" s="34" t="n">
        <x:v>519.75</x:v>
      </x:c>
      <x:c r="Q997" s="37" t="n">
        <x:v>46166.95458333333</x:v>
      </x:c>
    </x:row>
    <x:row r="998">
      <x:c r="A998" s="22" t="n">
        <x:v>35379</x:v>
      </x:c>
      <x:c r="B998" s="28" t="n">
        <x:v>1396.01</x:v>
      </x:c>
      <x:c r="C998" s="28"/>
      <x:c r="D998" s="31" t="str">
        <x:f>IF(OR(ISBLANK(B998),ISBLANK(C998),B998=0),"",(C998-B998)/B998)</x:f>
      </x:c>
      <x:c r="E998" s="22" t="str">
        <x:f>IF(ISBLANK(C998),"AmountIncludingTax缺失",IF(ABS(B998-C998)&lt;0.005,"一致","不一致"))</x:f>
        <x:v>AmountIncludingTax缺失</x:v>
      </x:c>
      <x:c r="F998" s="19" t="str">
        <x:v>approved</x:v>
      </x:c>
      <x:c r="G998" s="19" t="str">
        <x:v>Repair in Progress</x:v>
      </x:c>
      <x:c r="H998" s="19" t="str">
        <x:v>In Field</x:v>
      </x:c>
      <x:c r="I998" s="37" t="n">
        <x:v>46175</x:v>
      </x:c>
      <x:c r="J998" s="37" t="n">
        <x:v>46175</x:v>
      </x:c>
      <x:c r="K998" s="19" t="str">
        <x:v>Vanari Caravans - Marden Point</x:v>
      </x:c>
      <x:c r="L998" s="19" t="str">
        <x:v>Z006</x:v>
      </x:c>
      <x:c r="M998" s="19" t="str">
        <x:v>In Field Warranty Claims</x:v>
      </x:c>
      <x:c r="N998" s="37" t="n">
        <x:v>46164</x:v>
      </x:c>
      <x:c r="O998" s="37"/>
      <x:c r="P998" s="34" t="n">
        <x:v>1263.95</x:v>
      </x:c>
      <x:c r="Q998" s="37" t="n">
        <x:v>46175.42542824074</x:v>
      </x:c>
    </x:row>
    <x:row r="999">
      <x:c r="A999" s="22" t="n">
        <x:v>35378</x:v>
      </x:c>
      <x:c r="B999" s="28" t="n">
        <x:v>72.5</x:v>
      </x:c>
      <x:c r="C999" s="28" t="n">
        <x:v>79.75</x:v>
      </x:c>
      <x:c r="D999" s="31" t="n">
        <x:f>IF(OR(ISBLANK(B999),ISBLANK(C999),B999=0),"",(C999-B999)/B999)</x:f>
        <x:v>0.1</x:v>
      </x:c>
      <x:c r="E999" s="22" t="str">
        <x:f>IF(ISBLANK(C999),"AmountIncludingTax缺失",IF(ABS(B999-C999)&lt;0.005,"一致","不一致"))</x:f>
        <x:v>不一致</x:v>
      </x:c>
      <x:c r="F999" s="19" t="str">
        <x:v>approved</x:v>
      </x:c>
      <x:c r="G999" s="19" t="str">
        <x:v>Repair in Progress</x:v>
      </x:c>
      <x:c r="H999" s="19" t="str">
        <x:v>Pre Delivery</x:v>
      </x:c>
      <x:c r="I999" s="37" t="n">
        <x:v>46167</x:v>
      </x:c>
      <x:c r="J999" s="37" t="n">
        <x:v>46167</x:v>
      </x:c>
      <x:c r="K999" s="19" t="str">
        <x:v>Snowy River Wangaratta</x:v>
      </x:c>
      <x:c r="L999" s="19" t="str">
        <x:v>Z005</x:v>
      </x:c>
      <x:c r="M999" s="19" t="str">
        <x:v>Pre Delivery Warranty Claims</x:v>
      </x:c>
      <x:c r="N999" s="37" t="n">
        <x:v>46164</x:v>
      </x:c>
      <x:c r="O999" s="37"/>
      <x:c r="P999" s="34" t="n">
        <x:v>79.75</x:v>
      </x:c>
      <x:c r="Q999" s="37" t="n">
        <x:v>46166.96103009259</x:v>
      </x:c>
    </x:row>
    <x:row r="1000">
      <x:c r="A1000" s="22" t="n">
        <x:v>35377</x:v>
      </x:c>
      <x:c r="B1000" s="28" t="n">
        <x:v>1027.2</x:v>
      </x:c>
      <x:c r="C1000" s="28" t="n">
        <x:v>930.03</x:v>
      </x:c>
      <x:c r="D1000" s="31" t="n">
        <x:f>IF(OR(ISBLANK(B1000),ISBLANK(C1000),B1000=0),"",(C1000-B1000)/B1000)</x:f>
        <x:v>-0.0945969626168225</x:v>
      </x:c>
      <x:c r="E1000" s="22" t="str">
        <x:f>IF(ISBLANK(C1000),"AmountIncludingTax缺失",IF(ABS(B1000-C1000)&lt;0.005,"一致","不一致"))</x:f>
        <x:v>不一致</x:v>
      </x:c>
      <x:c r="F1000" s="19" t="str">
        <x:v>approved</x:v>
      </x:c>
      <x:c r="G1000" s="19" t="str">
        <x:v>Repair in Progress</x:v>
      </x:c>
      <x:c r="H1000" s="19" t="str">
        <x:v>In Field</x:v>
      </x:c>
      <x:c r="I1000" s="37" t="n">
        <x:v>46183</x:v>
      </x:c>
      <x:c r="J1000" s="37" t="n">
        <x:v>46183</x:v>
      </x:c>
      <x:c r="K1000" s="19" t="str">
        <x:v>CMG Campers - Christchurch</x:v>
      </x:c>
      <x:c r="L1000" s="19" t="str">
        <x:v>Z006</x:v>
      </x:c>
      <x:c r="M1000" s="19" t="str">
        <x:v>In Field Warranty Claims</x:v>
      </x:c>
      <x:c r="N1000" s="37" t="n">
        <x:v>46163</x:v>
      </x:c>
      <x:c r="O1000" s="37"/>
      <x:c r="P1000" s="34" t="n">
        <x:v>930.03</x:v>
      </x:c>
      <x:c r="Q1000" s="37" t="n">
        <x:v>46183.24642361111</x:v>
      </x:c>
    </x:row>
    <x:row r="1001">
      <x:c r="A1001" s="22" t="n">
        <x:v>35376</x:v>
      </x:c>
      <x:c r="B1001" s="28" t="n">
        <x:v>135</x:v>
      </x:c>
      <x:c r="C1001" s="28"/>
      <x:c r="D1001" s="31" t="str">
        <x:f>IF(OR(ISBLANK(B1001),ISBLANK(C1001),B1001=0),"",(C1001-B1001)/B1001)</x:f>
      </x:c>
      <x:c r="E1001" s="22" t="str">
        <x:f>IF(ISBLANK(C1001),"AmountIncludingTax缺失",IF(ABS(B1001-C1001)&lt;0.005,"一致","不一致"))</x:f>
        <x:v>AmountIncludingTax缺失</x:v>
      </x:c>
      <x:c r="F1001" s="19" t="str">
        <x:v>approved</x:v>
      </x:c>
      <x:c r="G1001" s="19" t="str">
        <x:v>Repair in Progress</x:v>
      </x:c>
      <x:c r="H1001" s="19" t="str">
        <x:v>In Field</x:v>
      </x:c>
      <x:c r="I1001" s="37" t="n">
        <x:v>46182</x:v>
      </x:c>
      <x:c r="J1001" s="37" t="n">
        <x:v>46182</x:v>
      </x:c>
      <x:c r="K1001" s="19" t="str">
        <x:v>Lesiure Lion-New Castle</x:v>
      </x:c>
      <x:c r="L1001" s="19" t="str">
        <x:v>Z006</x:v>
      </x:c>
      <x:c r="M1001" s="19" t="str">
        <x:v>In Field Warranty Claims</x:v>
      </x:c>
      <x:c r="N1001" s="37" t="n">
        <x:v>46163</x:v>
      </x:c>
      <x:c r="O1001" s="37"/>
      <x:c r="P1001" s="34" t="n">
        <x:v>0</x:v>
      </x:c>
      <x:c r="Q1001" s="37" t="n">
        <x:v>46181.99244212963</x:v>
      </x:c>
    </x:row>
    <x:row r="1002">
      <x:c r="A1002" s="22" t="n">
        <x:v>35375</x:v>
      </x:c>
      <x:c r="B1002" s="28" t="n">
        <x:v>693.63</x:v>
      </x:c>
      <x:c r="C1002" s="28" t="n">
        <x:v>762.99</x:v>
      </x:c>
      <x:c r="D1002" s="31" t="n">
        <x:f>IF(OR(ISBLANK(B1002),ISBLANK(C1002),B1002=0),"",(C1002-B1002)/B1002)</x:f>
        <x:v>0.09999567492755505</x:v>
      </x:c>
      <x:c r="E1002" s="22" t="str">
        <x:f>IF(ISBLANK(C1002),"AmountIncludingTax缺失",IF(ABS(B1002-C1002)&lt;0.005,"一致","不一致"))</x:f>
        <x:v>不一致</x:v>
      </x:c>
      <x:c r="F1002" s="19" t="str">
        <x:v>approved</x:v>
      </x:c>
      <x:c r="G1002" s="19" t="str">
        <x:v>Repairer Invoiced Processed</x:v>
      </x:c>
      <x:c r="H1002" s="19" t="str">
        <x:v>In Field</x:v>
      </x:c>
      <x:c r="I1002" s="37" t="n">
        <x:v>46164</x:v>
      </x:c>
      <x:c r="J1002" s="37" t="n">
        <x:v>46164</x:v>
      </x:c>
      <x:c r="K1002" s="19" t="str">
        <x:v>Newcastle RV Super Centre - Beresfield</x:v>
      </x:c>
      <x:c r="L1002" s="19" t="str">
        <x:v>Z006</x:v>
      </x:c>
      <x:c r="M1002" s="19" t="str">
        <x:v>In Field Warranty Claims</x:v>
      </x:c>
      <x:c r="N1002" s="37" t="n">
        <x:v>46163</x:v>
      </x:c>
      <x:c r="O1002" s="37"/>
      <x:c r="P1002" s="34" t="n">
        <x:v>762.99</x:v>
      </x:c>
      <x:c r="Q1002" s="37" t="n">
        <x:v>46164.2475462963</x:v>
      </x:c>
    </x:row>
    <x:row r="1003">
      <x:c r="A1003" s="22" t="n">
        <x:v>35374</x:v>
      </x:c>
      <x:c r="B1003" s="28" t="n">
        <x:v>1187.5</x:v>
      </x:c>
      <x:c r="C1003" s="28"/>
      <x:c r="D1003" s="31" t="str">
        <x:f>IF(OR(ISBLANK(B1003),ISBLANK(C1003),B1003=0),"",(C1003-B1003)/B1003)</x:f>
      </x:c>
      <x:c r="E1003" s="22" t="str">
        <x:f>IF(ISBLANK(C1003),"AmountIncludingTax缺失",IF(ABS(B1003-C1003)&lt;0.005,"一致","不一致"))</x:f>
        <x:v>AmountIncludingTax缺失</x:v>
      </x:c>
      <x:c r="F1003" s="19" t="str">
        <x:v>approved</x:v>
      </x:c>
      <x:c r="G1003" s="19" t="str">
        <x:v>Repair in Progress</x:v>
      </x:c>
      <x:c r="H1003" s="19" t="str">
        <x:v>In Field</x:v>
      </x:c>
      <x:c r="I1003" s="37" t="n">
        <x:v>46164</x:v>
      </x:c>
      <x:c r="J1003" s="37" t="n">
        <x:v>46164</x:v>
      </x:c>
      <x:c r="K1003" s="19" t="str">
        <x:v>Green RV - Slacks Creek</x:v>
      </x:c>
      <x:c r="L1003" s="19" t="str">
        <x:v>Z006</x:v>
      </x:c>
      <x:c r="M1003" s="19" t="str">
        <x:v>In Field Warranty Claims</x:v>
      </x:c>
      <x:c r="N1003" s="37" t="n">
        <x:v>46163</x:v>
      </x:c>
      <x:c r="O1003" s="37"/>
      <x:c r="P1003" s="34" t="n">
        <x:v>0</x:v>
      </x:c>
      <x:c r="Q1003" s="37" t="n">
        <x:v>46164.05236111111</x:v>
      </x:c>
    </x:row>
    <x:row r="1004">
      <x:c r="A1004" s="22" t="n">
        <x:v>35373</x:v>
      </x:c>
      <x:c r="B1004" s="28" t="n">
        <x:v>890</x:v>
      </x:c>
      <x:c r="C1004" s="28"/>
      <x:c r="D1004" s="31" t="str">
        <x:f>IF(OR(ISBLANK(B1004),ISBLANK(C1004),B1004=0),"",(C1004-B1004)/B1004)</x:f>
      </x:c>
      <x:c r="E1004" s="22" t="str">
        <x:f>IF(ISBLANK(C1004),"AmountIncludingTax缺失",IF(ABS(B1004-C1004)&lt;0.005,"一致","不一致"))</x:f>
        <x:v>AmountIncludingTax缺失</x:v>
      </x:c>
      <x:c r="F1004" s="19" t="str">
        <x:v>approved</x:v>
      </x:c>
      <x:c r="G1004" s="19" t="str">
        <x:v>Repairer Invoiced Processed</x:v>
      </x:c>
      <x:c r="H1004" s="19" t="str">
        <x:v>In Field</x:v>
      </x:c>
      <x:c r="I1004" s="37" t="n">
        <x:v>46164</x:v>
      </x:c>
      <x:c r="J1004" s="37" t="n">
        <x:v>46164</x:v>
      </x:c>
      <x:c r="K1004" s="19" t="str">
        <x:v>Green RV - Forest Glen</x:v>
      </x:c>
      <x:c r="L1004" s="19" t="str">
        <x:v>Z006</x:v>
      </x:c>
      <x:c r="M1004" s="19" t="str">
        <x:v>In Field Warranty Claims</x:v>
      </x:c>
      <x:c r="N1004" s="37" t="n">
        <x:v>46163</x:v>
      </x:c>
      <x:c r="O1004" s="37"/>
      <x:c r="P1004" s="34" t="n">
        <x:v>0</x:v>
      </x:c>
      <x:c r="Q1004" s="37" t="n">
        <x:v>46164.04620370371</x:v>
      </x:c>
    </x:row>
    <x:row r="1005">
      <x:c r="A1005" s="22" t="n">
        <x:v>35372</x:v>
      </x:c>
      <x:c r="B1005" s="28" t="n">
        <x:v>600</x:v>
      </x:c>
      <x:c r="C1005" s="28"/>
      <x:c r="D1005" s="31" t="str">
        <x:f>IF(OR(ISBLANK(B1005),ISBLANK(C1005),B1005=0),"",(C1005-B1005)/B1005)</x:f>
      </x:c>
      <x:c r="E1005" s="22" t="str">
        <x:f>IF(ISBLANK(C1005),"AmountIncludingTax缺失",IF(ABS(B1005-C1005)&lt;0.005,"一致","不一致"))</x:f>
        <x:v>AmountIncludingTax缺失</x:v>
      </x:c>
      <x:c r="F1005" s="19" t="str">
        <x:v>approved</x:v>
      </x:c>
      <x:c r="G1005" s="19" t="str">
        <x:v>Repair in Progress</x:v>
      </x:c>
      <x:c r="H1005" s="19" t="str">
        <x:v>In Field</x:v>
      </x:c>
      <x:c r="I1005" s="37" t="n">
        <x:v>46204</x:v>
      </x:c>
      <x:c r="J1005" s="37" t="n">
        <x:v>46203</x:v>
      </x:c>
      <x:c r="K1005" s="19" t="str">
        <x:v>Green RV - Forest Glen</x:v>
      </x:c>
      <x:c r="L1005" s="19" t="str">
        <x:v>Z006</x:v>
      </x:c>
      <x:c r="M1005" s="19" t="str">
        <x:v>In Field Warranty Claims</x:v>
      </x:c>
      <x:c r="N1005" s="37" t="n">
        <x:v>46163</x:v>
      </x:c>
      <x:c r="O1005" s="37"/>
      <x:c r="P1005" s="34" t="n">
        <x:v>0</x:v>
      </x:c>
      <x:c r="Q1005" s="37" t="n">
        <x:v>46204.2290625</x:v>
      </x:c>
    </x:row>
    <x:row r="1006">
      <x:c r="A1006" s="22" t="n">
        <x:v>35360</x:v>
      </x:c>
      <x:c r="B1006" s="28" t="n">
        <x:v>1980</x:v>
      </x:c>
      <x:c r="C1006" s="28"/>
      <x:c r="D1006" s="31" t="str">
        <x:f>IF(OR(ISBLANK(B1006),ISBLANK(C1006),B1006=0),"",(C1006-B1006)/B1006)</x:f>
      </x:c>
      <x:c r="E1006" s="22" t="str">
        <x:f>IF(ISBLANK(C1006),"AmountIncludingTax缺失",IF(ABS(B1006-C1006)&lt;0.005,"一致","不一致"))</x:f>
        <x:v>AmountIncludingTax缺失</x:v>
      </x:c>
      <x:c r="F1006" s="19" t="str">
        <x:v>approved</x:v>
      </x:c>
      <x:c r="G1006" s="19" t="str">
        <x:v>Repairer Invoiced Processed</x:v>
      </x:c>
      <x:c r="H1006" s="19" t="str">
        <x:v>In Field</x:v>
      </x:c>
      <x:c r="I1006" s="37" t="n">
        <x:v>46175</x:v>
      </x:c>
      <x:c r="J1006" s="37" t="n">
        <x:v>46175</x:v>
      </x:c>
      <x:c r="K1006" s="19" t="str">
        <x:v>CMG Campers - Christchurch</x:v>
      </x:c>
      <x:c r="L1006" s="19" t="str">
        <x:v>Z006</x:v>
      </x:c>
      <x:c r="M1006" s="19" t="str">
        <x:v>In Field Warranty Claims</x:v>
      </x:c>
      <x:c r="N1006" s="37" t="n">
        <x:v>46164</x:v>
      </x:c>
      <x:c r="O1006" s="37"/>
      <x:c r="P1006" s="34" t="n">
        <x:v>1792.69</x:v>
      </x:c>
      <x:c r="Q1006" s="37" t="n">
        <x:v>46175.03797453704</x:v>
      </x:c>
    </x:row>
    <x:row r="1007">
      <x:c r="A1007" s="22" t="n">
        <x:v>35359</x:v>
      </x:c>
      <x:c r="B1007" s="28" t="n">
        <x:v>956.25</x:v>
      </x:c>
      <x:c r="C1007" s="28"/>
      <x:c r="D1007" s="31" t="str">
        <x:f>IF(OR(ISBLANK(B1007),ISBLANK(C1007),B1007=0),"",(C1007-B1007)/B1007)</x:f>
      </x:c>
      <x:c r="E1007" s="22" t="str">
        <x:f>IF(ISBLANK(C1007),"AmountIncludingTax缺失",IF(ABS(B1007-C1007)&lt;0.005,"一致","不一致"))</x:f>
        <x:v>AmountIncludingTax缺失</x:v>
      </x:c>
      <x:c r="F1007" s="19" t="str">
        <x:v>approved</x:v>
      </x:c>
      <x:c r="G1007" s="19" t="str">
        <x:v>Repair in Progress</x:v>
      </x:c>
      <x:c r="H1007" s="19" t="str">
        <x:v>In Field</x:v>
      </x:c>
      <x:c r="I1007" s="37" t="n">
        <x:v>46169</x:v>
      </x:c>
      <x:c r="J1007" s="37" t="n">
        <x:v>46169</x:v>
      </x:c>
      <x:c r="K1007" s="19" t="str">
        <x:v>Green RV - Forest Glen</x:v>
      </x:c>
      <x:c r="L1007" s="19" t="str">
        <x:v>Z006</x:v>
      </x:c>
      <x:c r="M1007" s="19" t="str">
        <x:v>In Field Warranty Claims</x:v>
      </x:c>
      <x:c r="N1007" s="37" t="n">
        <x:v>46163</x:v>
      </x:c>
      <x:c r="O1007" s="37"/>
      <x:c r="P1007" s="34" t="n">
        <x:v>0</x:v>
      </x:c>
      <x:c r="Q1007" s="37" t="n">
        <x:v>46169.06606481481</x:v>
      </x:c>
    </x:row>
    <x:row r="1008">
      <x:c r="A1008" s="22" t="n">
        <x:v>35358</x:v>
      </x:c>
      <x:c r="B1008" s="28" t="n">
        <x:v>1147.5</x:v>
      </x:c>
      <x:c r="C1008" s="28"/>
      <x:c r="D1008" s="31" t="str">
        <x:f>IF(OR(ISBLANK(B1008),ISBLANK(C1008),B1008=0),"",(C1008-B1008)/B1008)</x:f>
      </x:c>
      <x:c r="E1008" s="22" t="str">
        <x:f>IF(ISBLANK(C1008),"AmountIncludingTax缺失",IF(ABS(B1008-C1008)&lt;0.005,"一致","不一致"))</x:f>
        <x:v>AmountIncludingTax缺失</x:v>
      </x:c>
      <x:c r="F1008" s="19" t="str">
        <x:v>approved</x:v>
      </x:c>
      <x:c r="G1008" s="19" t="str">
        <x:v>Repair in Progress</x:v>
      </x:c>
      <x:c r="H1008" s="19" t="str">
        <x:v>In Field</x:v>
      </x:c>
      <x:c r="I1008" s="37" t="n">
        <x:v>46170</x:v>
      </x:c>
      <x:c r="J1008" s="37" t="n">
        <x:v>46170</x:v>
      </x:c>
      <x:c r="K1008" s="19" t="str">
        <x:v>Regent RV - Frankston</x:v>
      </x:c>
      <x:c r="L1008" s="19" t="str">
        <x:v>Z006</x:v>
      </x:c>
      <x:c r="M1008" s="19" t="str">
        <x:v>In Field Warranty Claims</x:v>
      </x:c>
      <x:c r="N1008" s="37" t="n">
        <x:v>46163</x:v>
      </x:c>
      <x:c r="O1008" s="37"/>
      <x:c r="P1008" s="34" t="n">
        <x:v>0</x:v>
      </x:c>
      <x:c r="Q1008" s="37" t="n">
        <x:v>46169.97420138889</x:v>
      </x:c>
    </x:row>
    <x:row r="1009">
      <x:c r="A1009" s="22" t="n">
        <x:v>35357</x:v>
      </x:c>
      <x:c r="B1009" s="28" t="n">
        <x:v>330</x:v>
      </x:c>
      <x:c r="C1009" s="28" t="n">
        <x:v>298.78</x:v>
      </x:c>
      <x:c r="D1009" s="31" t="n">
        <x:f>IF(OR(ISBLANK(B1009),ISBLANK(C1009),B1009=0),"",(C1009-B1009)/B1009)</x:f>
        <x:v>-0.0946060606060607</x:v>
      </x:c>
      <x:c r="E1009" s="22" t="str">
        <x:f>IF(ISBLANK(C1009),"AmountIncludingTax缺失",IF(ABS(B1009-C1009)&lt;0.005,"一致","不一致"))</x:f>
        <x:v>不一致</x:v>
      </x:c>
      <x:c r="F1009" s="19" t="str">
        <x:v>approved</x:v>
      </x:c>
      <x:c r="G1009" s="19" t="str">
        <x:v>Repairer Invoiced Processed</x:v>
      </x:c>
      <x:c r="H1009" s="19" t="str">
        <x:v>In Field</x:v>
      </x:c>
      <x:c r="I1009" s="37" t="n">
        <x:v>46183</x:v>
      </x:c>
      <x:c r="J1009" s="37" t="n">
        <x:v>46183</x:v>
      </x:c>
      <x:c r="K1009" s="19" t="str">
        <x:v>CMG Campers - Christchurch</x:v>
      </x:c>
      <x:c r="L1009" s="19" t="str">
        <x:v>Z006</x:v>
      </x:c>
      <x:c r="M1009" s="19" t="str">
        <x:v>In Field Warranty Claims</x:v>
      </x:c>
      <x:c r="N1009" s="37" t="n">
        <x:v>46163</x:v>
      </x:c>
      <x:c r="O1009" s="37"/>
      <x:c r="P1009" s="34" t="n">
        <x:v>298.78</x:v>
      </x:c>
      <x:c r="Q1009" s="37" t="n">
        <x:v>46183.177349537036</x:v>
      </x:c>
    </x:row>
    <x:row r="1010">
      <x:c r="A1010" s="22" t="n">
        <x:v>35356</x:v>
      </x:c>
      <x:c r="B1010" s="28" t="n">
        <x:v>743.25</x:v>
      </x:c>
      <x:c r="C1010" s="28" t="n">
        <x:v>672.94</x:v>
      </x:c>
      <x:c r="D1010" s="31" t="n">
        <x:f>IF(OR(ISBLANK(B1010),ISBLANK(C1010),B1010=0),"",(C1010-B1010)/B1010)</x:f>
        <x:v>-0.09459804910864439</x:v>
      </x:c>
      <x:c r="E1010" s="22" t="str">
        <x:f>IF(ISBLANK(C1010),"AmountIncludingTax缺失",IF(ABS(B1010-C1010)&lt;0.005,"一致","不一致"))</x:f>
        <x:v>不一致</x:v>
      </x:c>
      <x:c r="F1010" s="19" t="str">
        <x:v>approved</x:v>
      </x:c>
      <x:c r="G1010" s="19" t="str">
        <x:v>Repair in Progress</x:v>
      </x:c>
      <x:c r="H1010" s="19" t="str">
        <x:v>In Field</x:v>
      </x:c>
      <x:c r="I1010" s="37" t="n">
        <x:v>46170</x:v>
      </x:c>
      <x:c r="J1010" s="37" t="n">
        <x:v>46170</x:v>
      </x:c>
      <x:c r="K1010" s="19" t="str">
        <x:v>CMG Campers - Christchurch</x:v>
      </x:c>
      <x:c r="L1010" s="19" t="str">
        <x:v>Z006</x:v>
      </x:c>
      <x:c r="M1010" s="19" t="str">
        <x:v>In Field Warranty Claims</x:v>
      </x:c>
      <x:c r="N1010" s="37" t="n">
        <x:v>46163</x:v>
      </x:c>
      <x:c r="O1010" s="37"/>
      <x:c r="P1010" s="34" t="n">
        <x:v>672.94</x:v>
      </x:c>
      <x:c r="Q1010" s="37" t="n">
        <x:v>46170.068136574075</x:v>
      </x:c>
    </x:row>
    <x:row r="1011">
      <x:c r="A1011" s="22" t="n">
        <x:v>35355</x:v>
      </x:c>
      <x:c r="B1011" s="28" t="n">
        <x:v>60.75</x:v>
      </x:c>
      <x:c r="C1011" s="28"/>
      <x:c r="D1011" s="31" t="str">
        <x:f>IF(OR(ISBLANK(B1011),ISBLANK(C1011),B1011=0),"",(C1011-B1011)/B1011)</x:f>
      </x:c>
      <x:c r="E1011" s="22" t="str">
        <x:f>IF(ISBLANK(C1011),"AmountIncludingTax缺失",IF(ABS(B1011-C1011)&lt;0.005,"一致","不一致"))</x:f>
        <x:v>AmountIncludingTax缺失</x:v>
      </x:c>
      <x:c r="F1011" s="19" t="str">
        <x:v>approved</x:v>
      </x:c>
      <x:c r="G1011" s="19" t="str">
        <x:v>Repair in Progress</x:v>
      </x:c>
      <x:c r="H1011" s="19" t="str">
        <x:v>In Field</x:v>
      </x:c>
      <x:c r="I1011" s="37" t="n">
        <x:v>46174</x:v>
      </x:c>
      <x:c r="J1011" s="37" t="n">
        <x:v>46174</x:v>
      </x:c>
      <x:c r="K1011" s="19" t="str">
        <x:v>Regent RV - Frankston</x:v>
      </x:c>
      <x:c r="L1011" s="19" t="str">
        <x:v>Z006</x:v>
      </x:c>
      <x:c r="M1011" s="19" t="str">
        <x:v>In Field Warranty Claims</x:v>
      </x:c>
      <x:c r="N1011" s="37" t="n">
        <x:v>46163</x:v>
      </x:c>
      <x:c r="O1011" s="37"/>
      <x:c r="P1011" s="34" t="n">
        <x:v>0</x:v>
      </x:c>
      <x:c r="Q1011" s="37" t="n">
        <x:v>46174.12074074074</x:v>
      </x:c>
    </x:row>
    <x:row r="1012">
      <x:c r="A1012" s="22" t="n">
        <x:v>35353</x:v>
      </x:c>
      <x:c r="B1012" s="28" t="n">
        <x:v>135</x:v>
      </x:c>
      <x:c r="C1012" s="28"/>
      <x:c r="D1012" s="31" t="str">
        <x:f>IF(OR(ISBLANK(B1012),ISBLANK(C1012),B1012=0),"",(C1012-B1012)/B1012)</x:f>
      </x:c>
      <x:c r="E1012" s="22" t="str">
        <x:f>IF(ISBLANK(C1012),"AmountIncludingTax缺失",IF(ABS(B1012-C1012)&lt;0.005,"一致","不一致"))</x:f>
        <x:v>AmountIncludingTax缺失</x:v>
      </x:c>
      <x:c r="F1012" s="19" t="str">
        <x:v>approved</x:v>
      </x:c>
      <x:c r="G1012" s="19" t="str">
        <x:v>Repair in Progress</x:v>
      </x:c>
      <x:c r="H1012" s="19" t="str">
        <x:v>In Field</x:v>
      </x:c>
      <x:c r="I1012" s="37" t="n">
        <x:v>46170</x:v>
      </x:c>
      <x:c r="J1012" s="37" t="n">
        <x:v>46170</x:v>
      </x:c>
      <x:c r="K1012" s="19" t="str">
        <x:v>Regent RV - Perth</x:v>
      </x:c>
      <x:c r="L1012" s="19" t="str">
        <x:v>Z006</x:v>
      </x:c>
      <x:c r="M1012" s="19" t="str">
        <x:v>In Field Warranty Claims</x:v>
      </x:c>
      <x:c r="N1012" s="37" t="n">
        <x:v>46163</x:v>
      </x:c>
      <x:c r="O1012" s="37"/>
      <x:c r="P1012" s="34" t="n">
        <x:v>0</x:v>
      </x:c>
      <x:c r="Q1012" s="37" t="n">
        <x:v>46169.90238425926</x:v>
      </x:c>
    </x:row>
    <x:row r="1013">
      <x:c r="A1013" s="22" t="n">
        <x:v>35352</x:v>
      </x:c>
      <x:c r="B1013" s="28" t="n">
        <x:v>396.36</x:v>
      </x:c>
      <x:c r="C1013" s="28" t="n">
        <x:v>436</x:v>
      </x:c>
      <x:c r="D1013" s="31" t="n">
        <x:f>IF(OR(ISBLANK(B1013),ISBLANK(C1013),B1013=0),"",(C1013-B1013)/B1013)</x:f>
        <x:v>0.10001009183570488</x:v>
      </x:c>
      <x:c r="E1013" s="22" t="str">
        <x:f>IF(ISBLANK(C1013),"AmountIncludingTax缺失",IF(ABS(B1013-C1013)&lt;0.005,"一致","不一致"))</x:f>
        <x:v>不一致</x:v>
      </x:c>
      <x:c r="F1013" s="19" t="str">
        <x:v>approved</x:v>
      </x:c>
      <x:c r="G1013" s="19" t="str">
        <x:v>Repairer Invoiced Processed</x:v>
      </x:c>
      <x:c r="H1013" s="19" t="str">
        <x:v>In Field</x:v>
      </x:c>
      <x:c r="I1013" s="37" t="n">
        <x:v>46175</x:v>
      </x:c>
      <x:c r="J1013" s="37" t="n">
        <x:v>46175</x:v>
      </x:c>
      <x:c r="K1013" s="19" t="str">
        <x:v>Regent RV - Perth</x:v>
      </x:c>
      <x:c r="L1013" s="19" t="str">
        <x:v>Z006</x:v>
      </x:c>
      <x:c r="M1013" s="19" t="str">
        <x:v>In Field Warranty Claims</x:v>
      </x:c>
      <x:c r="N1013" s="37" t="n">
        <x:v>46163</x:v>
      </x:c>
      <x:c r="O1013" s="37"/>
      <x:c r="P1013" s="34" t="n">
        <x:v>436</x:v>
      </x:c>
      <x:c r="Q1013" s="37" t="n">
        <x:v>46175.023194444446</x:v>
      </x:c>
    </x:row>
    <x:row r="1014">
      <x:c r="A1014" s="22" t="n">
        <x:v>35351</x:v>
      </x:c>
      <x:c r="B1014" s="28" t="n">
        <x:v>101.25</x:v>
      </x:c>
      <x:c r="C1014" s="28"/>
      <x:c r="D1014" s="31" t="str">
        <x:f>IF(OR(ISBLANK(B1014),ISBLANK(C1014),B1014=0),"",(C1014-B1014)/B1014)</x:f>
      </x:c>
      <x:c r="E1014" s="22" t="str">
        <x:f>IF(ISBLANK(C1014),"AmountIncludingTax缺失",IF(ABS(B1014-C1014)&lt;0.005,"一致","不一致"))</x:f>
        <x:v>AmountIncludingTax缺失</x:v>
      </x:c>
      <x:c r="F1014" s="19" t="str">
        <x:v>approved</x:v>
      </x:c>
      <x:c r="G1014" s="19" t="str">
        <x:v>Repairer Invoiced Processed</x:v>
      </x:c>
      <x:c r="H1014" s="19" t="str">
        <x:v>In Field</x:v>
      </x:c>
      <x:c r="I1014" s="37" t="n">
        <x:v>46164</x:v>
      </x:c>
      <x:c r="J1014" s="37" t="n">
        <x:v>46164</x:v>
      </x:c>
      <x:c r="K1014" s="19" t="str">
        <x:v>Green RV - Forest Glen</x:v>
      </x:c>
      <x:c r="L1014" s="19" t="str">
        <x:v>Z006</x:v>
      </x:c>
      <x:c r="M1014" s="19" t="str">
        <x:v>In Field Warranty Claims</x:v>
      </x:c>
      <x:c r="N1014" s="37" t="n">
        <x:v>46163</x:v>
      </x:c>
      <x:c r="O1014" s="37"/>
      <x:c r="P1014" s="34" t="n">
        <x:v>0</x:v>
      </x:c>
      <x:c r="Q1014" s="37" t="n">
        <x:v>46163.89811342592</x:v>
      </x:c>
    </x:row>
    <x:row r="1015">
      <x:c r="A1015" s="22" t="n">
        <x:v>35350</x:v>
      </x:c>
      <x:c r="B1015" s="28" t="n">
        <x:v>675</x:v>
      </x:c>
      <x:c r="C1015" s="28"/>
      <x:c r="D1015" s="31" t="str">
        <x:f>IF(OR(ISBLANK(B1015),ISBLANK(C1015),B1015=0),"",(C1015-B1015)/B1015)</x:f>
      </x:c>
      <x:c r="E1015" s="22" t="str">
        <x:f>IF(ISBLANK(C1015),"AmountIncludingTax缺失",IF(ABS(B1015-C1015)&lt;0.005,"一致","不一致"))</x:f>
        <x:v>AmountIncludingTax缺失</x:v>
      </x:c>
      <x:c r="F1015" s="19" t="str">
        <x:v>approved</x:v>
      </x:c>
      <x:c r="G1015" s="19" t="str">
        <x:v>Repair in Progress</x:v>
      </x:c>
      <x:c r="H1015" s="19" t="str">
        <x:v>In Field</x:v>
      </x:c>
      <x:c r="I1015" s="37" t="n">
        <x:v>46164</x:v>
      </x:c>
      <x:c r="J1015" s="37" t="n">
        <x:v>46164</x:v>
      </x:c>
      <x:c r="K1015" s="19" t="str">
        <x:v>Regent RV - Perth</x:v>
      </x:c>
      <x:c r="L1015" s="19" t="str">
        <x:v>Z006</x:v>
      </x:c>
      <x:c r="M1015" s="19" t="str">
        <x:v>In Field Warranty Claims</x:v>
      </x:c>
      <x:c r="N1015" s="37" t="n">
        <x:v>46163</x:v>
      </x:c>
      <x:c r="O1015" s="37"/>
      <x:c r="P1015" s="34" t="n">
        <x:v>0</x:v>
      </x:c>
      <x:c r="Q1015" s="37" t="n">
        <x:v>46163.93114583333</x:v>
      </x:c>
    </x:row>
    <x:row r="1016">
      <x:c r="A1016" s="22" t="n">
        <x:v>35349</x:v>
      </x:c>
      <x:c r="B1016" s="28" t="n">
        <x:v>236.25</x:v>
      </x:c>
      <x:c r="C1016" s="28"/>
      <x:c r="D1016" s="31" t="str">
        <x:f>IF(OR(ISBLANK(B1016),ISBLANK(C1016),B1016=0),"",(C1016-B1016)/B1016)</x:f>
      </x:c>
      <x:c r="E1016" s="22" t="str">
        <x:f>IF(ISBLANK(C1016),"AmountIncludingTax缺失",IF(ABS(B1016-C1016)&lt;0.005,"一致","不一致"))</x:f>
        <x:v>AmountIncludingTax缺失</x:v>
      </x:c>
      <x:c r="F1016" s="19" t="str">
        <x:v>approved</x:v>
      </x:c>
      <x:c r="G1016" s="19" t="str">
        <x:v>Repair in Progress</x:v>
      </x:c>
      <x:c r="H1016" s="19" t="str">
        <x:v>In Field</x:v>
      </x:c>
      <x:c r="I1016" s="37" t="n">
        <x:v>46170</x:v>
      </x:c>
      <x:c r="J1016" s="37" t="n">
        <x:v>46170</x:v>
      </x:c>
      <x:c r="K1016" s="19" t="str">
        <x:v>Regent RV - Frankston</x:v>
      </x:c>
      <x:c r="L1016" s="19" t="str">
        <x:v>Z006</x:v>
      </x:c>
      <x:c r="M1016" s="19" t="str">
        <x:v>In Field Warranty Claims</x:v>
      </x:c>
      <x:c r="N1016" s="37" t="n">
        <x:v>46163</x:v>
      </x:c>
      <x:c r="O1016" s="37"/>
      <x:c r="P1016" s="34" t="n">
        <x:v>0</x:v>
      </x:c>
      <x:c r="Q1016" s="37" t="n">
        <x:v>46169.861354166664</x:v>
      </x:c>
    </x:row>
    <x:row r="1017">
      <x:c r="A1017" s="22" t="n">
        <x:v>35344</x:v>
      </x:c>
      <x:c r="B1017" s="28" t="n">
        <x:v>2053.18</x:v>
      </x:c>
      <x:c r="C1017" s="28"/>
      <x:c r="D1017" s="31" t="str">
        <x:f>IF(OR(ISBLANK(B1017),ISBLANK(C1017),B1017=0),"",(C1017-B1017)/B1017)</x:f>
      </x:c>
      <x:c r="E1017" s="22" t="str">
        <x:f>IF(ISBLANK(C1017),"AmountIncludingTax缺失",IF(ABS(B1017-C1017)&lt;0.005,"一致","不一致"))</x:f>
        <x:v>AmountIncludingTax缺失</x:v>
      </x:c>
      <x:c r="F1017" s="19" t="str">
        <x:v>approved</x:v>
      </x:c>
      <x:c r="G1017" s="19" t="str">
        <x:v>Repair in Progress</x:v>
      </x:c>
      <x:c r="H1017" s="19" t="str">
        <x:v>In Field</x:v>
      </x:c>
      <x:c r="I1017" s="37" t="n">
        <x:v>46170</x:v>
      </x:c>
      <x:c r="J1017" s="37" t="n">
        <x:v>46170</x:v>
      </x:c>
      <x:c r="K1017" s="19" t="str">
        <x:v>Regent RV - Townsville</x:v>
      </x:c>
      <x:c r="L1017" s="19" t="str">
        <x:v>Z006</x:v>
      </x:c>
      <x:c r="M1017" s="19" t="str">
        <x:v>In Field Warranty Claims</x:v>
      </x:c>
      <x:c r="N1017" s="37" t="n">
        <x:v>46163</x:v>
      </x:c>
      <x:c r="O1017" s="37"/>
      <x:c r="P1017" s="34" t="n">
        <x:v>2258.5</x:v>
      </x:c>
      <x:c r="Q1017" s="37" t="n">
        <x:v>46170.07005787037</x:v>
      </x:c>
    </x:row>
    <x:row r="1018">
      <x:c r="A1018" s="22" t="n">
        <x:v>35343</x:v>
      </x:c>
      <x:c r="B1018" s="28" t="n">
        <x:v>1302.5</x:v>
      </x:c>
      <x:c r="C1018" s="28"/>
      <x:c r="D1018" s="31" t="str">
        <x:f>IF(OR(ISBLANK(B1018),ISBLANK(C1018),B1018=0),"",(C1018-B1018)/B1018)</x:f>
      </x:c>
      <x:c r="E1018" s="22" t="str">
        <x:f>IF(ISBLANK(C1018),"AmountIncludingTax缺失",IF(ABS(B1018-C1018)&lt;0.005,"一致","不一致"))</x:f>
        <x:v>AmountIncludingTax缺失</x:v>
      </x:c>
      <x:c r="F1018" s="19" t="str">
        <x:v>approved</x:v>
      </x:c>
      <x:c r="G1018" s="19" t="str">
        <x:v>Sales Order Approved</x:v>
      </x:c>
      <x:c r="H1018" s="19" t="str">
        <x:v>In Field</x:v>
      </x:c>
      <x:c r="I1018" s="37" t="n">
        <x:v>46177</x:v>
      </x:c>
      <x:c r="J1018" s="37" t="n">
        <x:v>46177</x:v>
      </x:c>
      <x:c r="K1018" s="19" t="str">
        <x:v>Green RV - Forest Glen</x:v>
      </x:c>
      <x:c r="L1018" s="19" t="str">
        <x:v>Z006</x:v>
      </x:c>
      <x:c r="M1018" s="19" t="str">
        <x:v>In Field Warranty Claims</x:v>
      </x:c>
      <x:c r="N1018" s="37" t="n">
        <x:v>46163</x:v>
      </x:c>
      <x:c r="O1018" s="37"/>
      <x:c r="P1018" s="34" t="n">
        <x:v>0</x:v>
      </x:c>
      <x:c r="Q1018" s="37" t="n">
        <x:v>46176.960694444446</x:v>
      </x:c>
    </x:row>
    <x:row r="1019">
      <x:c r="A1019" s="22" t="n">
        <x:v>35342</x:v>
      </x:c>
      <x:c r="B1019" s="28" t="n">
        <x:v>580</x:v>
      </x:c>
      <x:c r="C1019" s="28"/>
      <x:c r="D1019" s="31" t="str">
        <x:f>IF(OR(ISBLANK(B1019),ISBLANK(C1019),B1019=0),"",(C1019-B1019)/B1019)</x:f>
      </x:c>
      <x:c r="E1019" s="22" t="str">
        <x:f>IF(ISBLANK(C1019),"AmountIncludingTax缺失",IF(ABS(B1019-C1019)&lt;0.005,"一致","不一致"))</x:f>
        <x:v>AmountIncludingTax缺失</x:v>
      </x:c>
      <x:c r="F1019" s="19" t="str">
        <x:v>approved</x:v>
      </x:c>
      <x:c r="G1019" s="19" t="str">
        <x:v>Repair in Progress</x:v>
      </x:c>
      <x:c r="H1019" s="19" t="str">
        <x:v>In Field</x:v>
      </x:c>
      <x:c r="I1019" s="37" t="n">
        <x:v>46167</x:v>
      </x:c>
      <x:c r="J1019" s="37" t="n">
        <x:v>46167</x:v>
      </x:c>
      <x:c r="K1019" s="19" t="str">
        <x:v>Regent RV - Perth</x:v>
      </x:c>
      <x:c r="L1019" s="19" t="str">
        <x:v>Z006</x:v>
      </x:c>
      <x:c r="M1019" s="19" t="str">
        <x:v>In Field Warranty Claims</x:v>
      </x:c>
      <x:c r="N1019" s="37" t="n">
        <x:v>46163</x:v>
      </x:c>
      <x:c r="O1019" s="37"/>
      <x:c r="P1019" s="34" t="n">
        <x:v>0</x:v>
      </x:c>
      <x:c r="Q1019" s="37" t="n">
        <x:v>46167.229791666665</x:v>
      </x:c>
    </x:row>
    <x:row r="1020">
      <x:c r="A1020" s="22" t="n">
        <x:v>35341</x:v>
      </x:c>
      <x:c r="B1020" s="28" t="n">
        <x:v>202.5</x:v>
      </x:c>
      <x:c r="C1020" s="28"/>
      <x:c r="D1020" s="31" t="str">
        <x:f>IF(OR(ISBLANK(B1020),ISBLANK(C1020),B1020=0),"",(C1020-B1020)/B1020)</x:f>
      </x:c>
      <x:c r="E1020" s="22" t="str">
        <x:f>IF(ISBLANK(C1020),"AmountIncludingTax缺失",IF(ABS(B1020-C1020)&lt;0.005,"一致","不一致"))</x:f>
        <x:v>AmountIncludingTax缺失</x:v>
      </x:c>
      <x:c r="F1020" s="19" t="str">
        <x:v>approved</x:v>
      </x:c>
      <x:c r="G1020" s="19" t="str">
        <x:v>Repair in Progress</x:v>
      </x:c>
      <x:c r="H1020" s="19" t="str">
        <x:v>In Field</x:v>
      </x:c>
      <x:c r="I1020" s="37" t="n">
        <x:v>46163</x:v>
      </x:c>
      <x:c r="J1020" s="37" t="n">
        <x:v>46163</x:v>
      </x:c>
      <x:c r="K1020" s="19" t="str">
        <x:v>Regent RV - Perth</x:v>
      </x:c>
      <x:c r="L1020" s="19" t="str">
        <x:v>Z006</x:v>
      </x:c>
      <x:c r="M1020" s="19" t="str">
        <x:v>In Field Warranty Claims</x:v>
      </x:c>
      <x:c r="N1020" s="37" t="n">
        <x:v>46163</x:v>
      </x:c>
      <x:c r="O1020" s="37"/>
      <x:c r="P1020" s="34" t="n">
        <x:v>0</x:v>
      </x:c>
      <x:c r="Q1020" s="37" t="n">
        <x:v>46163.216944444444</x:v>
      </x:c>
    </x:row>
    <x:row r="1021">
      <x:c r="A1021" s="22" t="n">
        <x:v>35340</x:v>
      </x:c>
      <x:c r="B1021" s="28" t="n">
        <x:v>641.25</x:v>
      </x:c>
      <x:c r="C1021" s="28"/>
      <x:c r="D1021" s="31" t="str">
        <x:f>IF(OR(ISBLANK(B1021),ISBLANK(C1021),B1021=0),"",(C1021-B1021)/B1021)</x:f>
      </x:c>
      <x:c r="E1021" s="22" t="str">
        <x:f>IF(ISBLANK(C1021),"AmountIncludingTax缺失",IF(ABS(B1021-C1021)&lt;0.005,"一致","不一致"))</x:f>
        <x:v>AmountIncludingTax缺失</x:v>
      </x:c>
      <x:c r="F1021" s="19" t="str">
        <x:v>approved</x:v>
      </x:c>
      <x:c r="G1021" s="19" t="str">
        <x:v>Repair in Progress</x:v>
      </x:c>
      <x:c r="H1021" s="19" t="str">
        <x:v>In Field</x:v>
      </x:c>
      <x:c r="I1021" s="37" t="n">
        <x:v>46182</x:v>
      </x:c>
      <x:c r="J1021" s="37" t="n">
        <x:v>46182</x:v>
      </x:c>
      <x:c r="K1021" s="19" t="str">
        <x:v>ABCO Caravans - Boambee Valley</x:v>
      </x:c>
      <x:c r="L1021" s="19" t="str">
        <x:v>Z006</x:v>
      </x:c>
      <x:c r="M1021" s="19" t="str">
        <x:v>In Field Warranty Claims</x:v>
      </x:c>
      <x:c r="N1021" s="37" t="n">
        <x:v>46163</x:v>
      </x:c>
      <x:c r="O1021" s="37"/>
      <x:c r="P1021" s="34" t="n">
        <x:v>0</x:v>
      </x:c>
      <x:c r="Q1021" s="37" t="n">
        <x:v>46181.99854166667</x:v>
      </x:c>
    </x:row>
    <x:row r="1022">
      <x:c r="A1022" s="22" t="n">
        <x:v>35339</x:v>
      </x:c>
      <x:c r="B1022" s="28" t="n">
        <x:v>540</x:v>
      </x:c>
      <x:c r="C1022" s="28" t="n">
        <x:v>594</x:v>
      </x:c>
      <x:c r="D1022" s="31" t="n">
        <x:f>IF(OR(ISBLANK(B1022),ISBLANK(C1022),B1022=0),"",(C1022-B1022)/B1022)</x:f>
        <x:v>0.1</x:v>
      </x:c>
      <x:c r="E1022" s="22" t="str">
        <x:f>IF(ISBLANK(C1022),"AmountIncludingTax缺失",IF(ABS(B1022-C1022)&lt;0.005,"一致","不一致"))</x:f>
        <x:v>不一致</x:v>
      </x:c>
      <x:c r="F1022" s="19" t="str">
        <x:v>approved</x:v>
      </x:c>
      <x:c r="G1022" s="19" t="str">
        <x:v>Repair in Progress</x:v>
      </x:c>
      <x:c r="H1022" s="19" t="str">
        <x:v>In Field</x:v>
      </x:c>
      <x:c r="I1022" s="37" t="n">
        <x:v>46167</x:v>
      </x:c>
      <x:c r="J1022" s="37" t="n">
        <x:v>46167</x:v>
      </x:c>
      <x:c r="K1022" s="19" t="str">
        <x:v>Regent RV - Perth</x:v>
      </x:c>
      <x:c r="L1022" s="19" t="str">
        <x:v>Z006</x:v>
      </x:c>
      <x:c r="M1022" s="19" t="str">
        <x:v>In Field Warranty Claims</x:v>
      </x:c>
      <x:c r="N1022" s="37" t="n">
        <x:v>46163</x:v>
      </x:c>
      <x:c r="O1022" s="37"/>
      <x:c r="P1022" s="34" t="n">
        <x:v>594</x:v>
      </x:c>
      <x:c r="Q1022" s="37" t="n">
        <x:v>46167.22945601852</x:v>
      </x:c>
    </x:row>
    <x:row r="1023">
      <x:c r="A1023" s="22" t="n">
        <x:v>35338</x:v>
      </x:c>
      <x:c r="B1023" s="28" t="n">
        <x:v>405</x:v>
      </x:c>
      <x:c r="C1023" s="28"/>
      <x:c r="D1023" s="31" t="str">
        <x:f>IF(OR(ISBLANK(B1023),ISBLANK(C1023),B1023=0),"",(C1023-B1023)/B1023)</x:f>
      </x:c>
      <x:c r="E1023" s="22" t="str">
        <x:f>IF(ISBLANK(C1023),"AmountIncludingTax缺失",IF(ABS(B1023-C1023)&lt;0.005,"一致","不一致"))</x:f>
        <x:v>AmountIncludingTax缺失</x:v>
      </x:c>
      <x:c r="F1023" s="19" t="str">
        <x:v>approved</x:v>
      </x:c>
      <x:c r="G1023" s="19" t="str">
        <x:v>Sales Order Approved</x:v>
      </x:c>
      <x:c r="H1023" s="19" t="str">
        <x:v>Pre Delivery</x:v>
      </x:c>
      <x:c r="I1023" s="37" t="n">
        <x:v>46209</x:v>
      </x:c>
      <x:c r="J1023" s="37" t="n">
        <x:v>46209</x:v>
      </x:c>
      <x:c r="K1023" s="19" t="str">
        <x:v>Destiny RV - South Australia</x:v>
      </x:c>
      <x:c r="L1023" s="19" t="str">
        <x:v>Z005</x:v>
      </x:c>
      <x:c r="M1023" s="19" t="str">
        <x:v>Pre Delivery Warranty Claims</x:v>
      </x:c>
      <x:c r="N1023" s="37" t="n">
        <x:v>46163</x:v>
      </x:c>
      <x:c r="O1023" s="37"/>
      <x:c r="P1023" s="34" t="n">
        <x:v>0</x:v>
      </x:c>
      <x:c r="Q1023" s="37" t="n">
        <x:v>46209.222453703704</x:v>
      </x:c>
    </x:row>
    <x:row r="1024">
      <x:c r="A1024" s="22" t="n">
        <x:v>35337</x:v>
      </x:c>
      <x:c r="B1024" s="28" t="n">
        <x:v>135</x:v>
      </x:c>
      <x:c r="C1024" s="28" t="n">
        <x:v>148.5</x:v>
      </x:c>
      <x:c r="D1024" s="31" t="n">
        <x:f>IF(OR(ISBLANK(B1024),ISBLANK(C1024),B1024=0),"",(C1024-B1024)/B1024)</x:f>
        <x:v>0.1</x:v>
      </x:c>
      <x:c r="E1024" s="22" t="str">
        <x:f>IF(ISBLANK(C1024),"AmountIncludingTax缺失",IF(ABS(B1024-C1024)&lt;0.005,"一致","不一致"))</x:f>
        <x:v>不一致</x:v>
      </x:c>
      <x:c r="F1024" s="19" t="str">
        <x:v>approved</x:v>
      </x:c>
      <x:c r="G1024" s="19" t="str">
        <x:v>Repairer Invoiced Processed</x:v>
      </x:c>
      <x:c r="H1024" s="19" t="str">
        <x:v>In Field</x:v>
      </x:c>
      <x:c r="I1024" s="37" t="n">
        <x:v>46164</x:v>
      </x:c>
      <x:c r="J1024" s="37" t="n">
        <x:v>46164</x:v>
      </x:c>
      <x:c r="K1024" s="19" t="str">
        <x:v>Leisure Lion - Bundaberg</x:v>
      </x:c>
      <x:c r="L1024" s="19" t="str">
        <x:v>Z006</x:v>
      </x:c>
      <x:c r="M1024" s="19" t="str">
        <x:v>In Field Warranty Claims</x:v>
      </x:c>
      <x:c r="N1024" s="37" t="n">
        <x:v>46163</x:v>
      </x:c>
      <x:c r="O1024" s="37"/>
      <x:c r="P1024" s="34" t="n">
        <x:v>148.5</x:v>
      </x:c>
      <x:c r="Q1024" s="37" t="n">
        <x:v>46164.251909722225</x:v>
      </x:c>
    </x:row>
    <x:row r="1025">
      <x:c r="A1025" s="22" t="n">
        <x:v>35336</x:v>
      </x:c>
      <x:c r="B1025" s="28" t="n">
        <x:v>202.5</x:v>
      </x:c>
      <x:c r="C1025" s="28"/>
      <x:c r="D1025" s="31" t="str">
        <x:f>IF(OR(ISBLANK(B1025),ISBLANK(C1025),B1025=0),"",(C1025-B1025)/B1025)</x:f>
      </x:c>
      <x:c r="E1025" s="22" t="str">
        <x:f>IF(ISBLANK(C1025),"AmountIncludingTax缺失",IF(ABS(B1025-C1025)&lt;0.005,"一致","不一致"))</x:f>
        <x:v>AmountIncludingTax缺失</x:v>
      </x:c>
      <x:c r="F1025" s="19" t="str">
        <x:v>approved</x:v>
      </x:c>
      <x:c r="G1025" s="19" t="str">
        <x:v>Repair in Progress</x:v>
      </x:c>
      <x:c r="H1025" s="19" t="str">
        <x:v>In Field</x:v>
      </x:c>
      <x:c r="I1025" s="37" t="n">
        <x:v>46170</x:v>
      </x:c>
      <x:c r="J1025" s="37" t="n">
        <x:v>46170</x:v>
      </x:c>
      <x:c r="K1025" s="19" t="str">
        <x:v>Regent RV - Frankston</x:v>
      </x:c>
      <x:c r="L1025" s="19" t="str">
        <x:v>Z006</x:v>
      </x:c>
      <x:c r="M1025" s="19" t="str">
        <x:v>In Field Warranty Claims</x:v>
      </x:c>
      <x:c r="N1025" s="37" t="n">
        <x:v>46163</x:v>
      </x:c>
      <x:c r="O1025" s="37"/>
      <x:c r="P1025" s="34" t="n">
        <x:v>0</x:v>
      </x:c>
      <x:c r="Q1025" s="37" t="n">
        <x:v>46169.94427083333</x:v>
      </x:c>
    </x:row>
    <x:row r="1026">
      <x:c r="A1026" s="22" t="n">
        <x:v>35335</x:v>
      </x:c>
      <x:c r="B1026" s="28" t="n">
        <x:v>1052.5</x:v>
      </x:c>
      <x:c r="C1026" s="28"/>
      <x:c r="D1026" s="31" t="str">
        <x:f>IF(OR(ISBLANK(B1026),ISBLANK(C1026),B1026=0),"",(C1026-B1026)/B1026)</x:f>
      </x:c>
      <x:c r="E1026" s="22" t="str">
        <x:f>IF(ISBLANK(C1026),"AmountIncludingTax缺失",IF(ABS(B1026-C1026)&lt;0.005,"一致","不一致"))</x:f>
        <x:v>AmountIncludingTax缺失</x:v>
      </x:c>
      <x:c r="F1026" s="19" t="str">
        <x:v>approved</x:v>
      </x:c>
      <x:c r="G1026" s="19" t="str">
        <x:v>Repair in Progress</x:v>
      </x:c>
      <x:c r="H1026" s="19" t="str">
        <x:v>In Field</x:v>
      </x:c>
      <x:c r="I1026" s="37" t="n">
        <x:v>46164</x:v>
      </x:c>
      <x:c r="J1026" s="37" t="n">
        <x:v>46164</x:v>
      </x:c>
      <x:c r="K1026" s="19" t="str">
        <x:v>Green RV - Slacks Creek</x:v>
      </x:c>
      <x:c r="L1026" s="19" t="str">
        <x:v>Z006</x:v>
      </x:c>
      <x:c r="M1026" s="19" t="str">
        <x:v>In Field Warranty Claims</x:v>
      </x:c>
      <x:c r="N1026" s="37" t="n">
        <x:v>46163</x:v>
      </x:c>
      <x:c r="O1026" s="37"/>
      <x:c r="P1026" s="34" t="n">
        <x:v>0</x:v>
      </x:c>
      <x:c r="Q1026" s="37" t="n">
        <x:v>46163.906643518516</x:v>
      </x:c>
    </x:row>
    <x:row r="1027">
      <x:c r="A1027" s="22" t="n">
        <x:v>35333</x:v>
      </x:c>
      <x:c r="B1027" s="28" t="n">
        <x:v>1080</x:v>
      </x:c>
      <x:c r="C1027" s="28"/>
      <x:c r="D1027" s="31" t="str">
        <x:f>IF(OR(ISBLANK(B1027),ISBLANK(C1027),B1027=0),"",(C1027-B1027)/B1027)</x:f>
      </x:c>
      <x:c r="E1027" s="22" t="str">
        <x:f>IF(ISBLANK(C1027),"AmountIncludingTax缺失",IF(ABS(B1027-C1027)&lt;0.005,"一致","不一致"))</x:f>
        <x:v>AmountIncludingTax缺失</x:v>
      </x:c>
      <x:c r="F1027" s="19" t="str">
        <x:v>approved</x:v>
      </x:c>
      <x:c r="G1027" s="19" t="str">
        <x:v>Partially Picked</x:v>
      </x:c>
      <x:c r="H1027" s="19" t="str">
        <x:v>In Field</x:v>
      </x:c>
      <x:c r="I1027" s="37" t="n">
        <x:v>46170</x:v>
      </x:c>
      <x:c r="J1027" s="37" t="n">
        <x:v>46170</x:v>
      </x:c>
      <x:c r="K1027" s="19" t="str">
        <x:v>Regent RV - Frankston</x:v>
      </x:c>
      <x:c r="L1027" s="19" t="str">
        <x:v>Z006</x:v>
      </x:c>
      <x:c r="M1027" s="19" t="str">
        <x:v>In Field Warranty Claims</x:v>
      </x:c>
      <x:c r="N1027" s="37" t="n">
        <x:v>46163</x:v>
      </x:c>
      <x:c r="O1027" s="37"/>
      <x:c r="P1027" s="34" t="n">
        <x:v>0</x:v>
      </x:c>
      <x:c r="Q1027" s="37" t="n">
        <x:v>46169.921261574076</x:v>
      </x:c>
    </x:row>
    <x:row r="1028">
      <x:c r="A1028" s="22" t="n">
        <x:v>35331</x:v>
      </x:c>
      <x:c r="B1028" s="28" t="n">
        <x:v>202.5</x:v>
      </x:c>
      <x:c r="C1028" s="28"/>
      <x:c r="D1028" s="31" t="str">
        <x:f>IF(OR(ISBLANK(B1028),ISBLANK(C1028),B1028=0),"",(C1028-B1028)/B1028)</x:f>
      </x:c>
      <x:c r="E1028" s="22" t="str">
        <x:f>IF(ISBLANK(C1028),"AmountIncludingTax缺失",IF(ABS(B1028-C1028)&lt;0.005,"一致","不一致"))</x:f>
        <x:v>AmountIncludingTax缺失</x:v>
      </x:c>
      <x:c r="F1028" s="19" t="str">
        <x:v>approved</x:v>
      </x:c>
      <x:c r="G1028" s="19" t="str">
        <x:v>Repairer Invoiced Processed</x:v>
      </x:c>
      <x:c r="H1028" s="19" t="str">
        <x:v>In Field</x:v>
      </x:c>
      <x:c r="I1028" s="37" t="n">
        <x:v>46164</x:v>
      </x:c>
      <x:c r="J1028" s="37" t="n">
        <x:v>46164</x:v>
      </x:c>
      <x:c r="K1028" s="19" t="str">
        <x:v>Green RV - Slacks Creek</x:v>
      </x:c>
      <x:c r="L1028" s="19" t="str">
        <x:v>Z006</x:v>
      </x:c>
      <x:c r="M1028" s="19" t="str">
        <x:v>In Field Warranty Claims</x:v>
      </x:c>
      <x:c r="N1028" s="37" t="n">
        <x:v>46163</x:v>
      </x:c>
      <x:c r="O1028" s="37"/>
      <x:c r="P1028" s="34" t="n">
        <x:v>0</x:v>
      </x:c>
      <x:c r="Q1028" s="37" t="n">
        <x:v>46163.9116087963</x:v>
      </x:c>
    </x:row>
    <x:row r="1029">
      <x:c r="A1029" s="22" t="n">
        <x:v>35326</x:v>
      </x:c>
      <x:c r="B1029" s="28" t="n">
        <x:v>405</x:v>
      </x:c>
      <x:c r="C1029" s="28"/>
      <x:c r="D1029" s="31" t="str">
        <x:f>IF(OR(ISBLANK(B1029),ISBLANK(C1029),B1029=0),"",(C1029-B1029)/B1029)</x:f>
      </x:c>
      <x:c r="E1029" s="22" t="str">
        <x:f>IF(ISBLANK(C1029),"AmountIncludingTax缺失",IF(ABS(B1029-C1029)&lt;0.005,"一致","不一致"))</x:f>
        <x:v>AmountIncludingTax缺失</x:v>
      </x:c>
      <x:c r="F1029" s="19" t="str">
        <x:v>approved</x:v>
      </x:c>
      <x:c r="G1029" s="19" t="str">
        <x:v>Repair in Progress</x:v>
      </x:c>
      <x:c r="H1029" s="19" t="str">
        <x:v>In Field</x:v>
      </x:c>
      <x:c r="I1029" s="37" t="n">
        <x:v>46163</x:v>
      </x:c>
      <x:c r="J1029" s="37" t="n">
        <x:v>46163</x:v>
      </x:c>
      <x:c r="K1029" s="19" t="str">
        <x:v>Regent RV - Perth</x:v>
      </x:c>
      <x:c r="L1029" s="19" t="str">
        <x:v>Z006</x:v>
      </x:c>
      <x:c r="M1029" s="19" t="str">
        <x:v>In Field Warranty Claims</x:v>
      </x:c>
      <x:c r="N1029" s="37" t="n">
        <x:v>46163</x:v>
      </x:c>
      <x:c r="O1029" s="37"/>
      <x:c r="P1029" s="34" t="n">
        <x:v>0</x:v>
      </x:c>
      <x:c r="Q1029" s="37" t="n">
        <x:v>46163.22620370371</x:v>
      </x:c>
    </x:row>
    <x:row r="1030">
      <x:c r="A1030" s="22" t="n">
        <x:v>35318</x:v>
      </x:c>
      <x:c r="B1030" s="28" t="n">
        <x:v>917.5</x:v>
      </x:c>
      <x:c r="C1030" s="28"/>
      <x:c r="D1030" s="31" t="str">
        <x:f>IF(OR(ISBLANK(B1030),ISBLANK(C1030),B1030=0),"",(C1030-B1030)/B1030)</x:f>
      </x:c>
      <x:c r="E1030" s="22" t="str">
        <x:f>IF(ISBLANK(C1030),"AmountIncludingTax缺失",IF(ABS(B1030-C1030)&lt;0.005,"一致","不一致"))</x:f>
        <x:v>AmountIncludingTax缺失</x:v>
      </x:c>
      <x:c r="F1030" s="19" t="str">
        <x:v>approved</x:v>
      </x:c>
      <x:c r="G1030" s="19" t="str">
        <x:v>Repair in Progress</x:v>
      </x:c>
      <x:c r="H1030" s="19" t="str">
        <x:v>In Field</x:v>
      </x:c>
      <x:c r="I1030" s="37" t="n">
        <x:v>46169</x:v>
      </x:c>
      <x:c r="J1030" s="37" t="n">
        <x:v>46169</x:v>
      </x:c>
      <x:c r="K1030" s="19" t="str">
        <x:v>Snowy River Launceston</x:v>
      </x:c>
      <x:c r="L1030" s="19" t="str">
        <x:v>Z006</x:v>
      </x:c>
      <x:c r="M1030" s="19" t="str">
        <x:v>In Field Warranty Claims</x:v>
      </x:c>
      <x:c r="N1030" s="37" t="n">
        <x:v>46163</x:v>
      </x:c>
      <x:c r="O1030" s="37"/>
      <x:c r="P1030" s="34" t="n">
        <x:v>0</x:v>
      </x:c>
      <x:c r="Q1030" s="37" t="n">
        <x:v>46169.06416666666</x:v>
      </x:c>
    </x:row>
    <x:row r="1031">
      <x:c r="A1031" s="22" t="n">
        <x:v>35317</x:v>
      </x:c>
      <x:c r="B1031" s="28" t="n">
        <x:v>33.75</x:v>
      </x:c>
      <x:c r="C1031" s="28"/>
      <x:c r="D1031" s="31" t="str">
        <x:f>IF(OR(ISBLANK(B1031),ISBLANK(C1031),B1031=0),"",(C1031-B1031)/B1031)</x:f>
      </x:c>
      <x:c r="E1031" s="22" t="str">
        <x:f>IF(ISBLANK(C1031),"AmountIncludingTax缺失",IF(ABS(B1031-C1031)&lt;0.005,"一致","不一致"))</x:f>
        <x:v>AmountIncludingTax缺失</x:v>
      </x:c>
      <x:c r="F1031" s="19" t="str">
        <x:v>approved</x:v>
      </x:c>
      <x:c r="G1031" s="19" t="str">
        <x:v>Sales Order Approved</x:v>
      </x:c>
      <x:c r="H1031" s="19" t="str">
        <x:v>Pre Delivery</x:v>
      </x:c>
      <x:c r="I1031" s="37" t="n">
        <x:v>46206</x:v>
      </x:c>
      <x:c r="J1031" s="37" t="n">
        <x:v>46206</x:v>
      </x:c>
      <x:c r="K1031" s="19" t="str">
        <x:v>Auswide Caravans - South Nowra</x:v>
      </x:c>
      <x:c r="L1031" s="19" t="str">
        <x:v>Z005</x:v>
      </x:c>
      <x:c r="M1031" s="19" t="str">
        <x:v>Pre Delivery Warranty Claims</x:v>
      </x:c>
      <x:c r="N1031" s="37" t="n">
        <x:v>46163</x:v>
      </x:c>
      <x:c r="O1031" s="37"/>
      <x:c r="P1031" s="34" t="n">
        <x:v>0</x:v>
      </x:c>
      <x:c r="Q1031" s="37" t="n">
        <x:v>46206.00053240741</x:v>
      </x:c>
    </x:row>
    <x:row r="1032">
      <x:c r="A1032" s="22" t="n">
        <x:v>35316</x:v>
      </x:c>
      <x:c r="B1032" s="28" t="n">
        <x:v>1687.5</x:v>
      </x:c>
      <x:c r="C1032" s="28"/>
      <x:c r="D1032" s="31" t="str">
        <x:f>IF(OR(ISBLANK(B1032),ISBLANK(C1032),B1032=0),"",(C1032-B1032)/B1032)</x:f>
      </x:c>
      <x:c r="E1032" s="22" t="str">
        <x:f>IF(ISBLANK(C1032),"AmountIncludingTax缺失",IF(ABS(B1032-C1032)&lt;0.005,"一致","不一致"))</x:f>
        <x:v>AmountIncludingTax缺失</x:v>
      </x:c>
      <x:c r="F1032" s="19" t="str">
        <x:v>approved</x:v>
      </x:c>
      <x:c r="G1032" s="19" t="str">
        <x:v>Repair in Progress</x:v>
      </x:c>
      <x:c r="H1032" s="19" t="str">
        <x:v>In Field</x:v>
      </x:c>
      <x:c r="I1032" s="37" t="n">
        <x:v>46169</x:v>
      </x:c>
      <x:c r="J1032" s="37" t="n">
        <x:v>46169</x:v>
      </x:c>
      <x:c r="K1032" s="19" t="str">
        <x:v>Regent RV - Frankston</x:v>
      </x:c>
      <x:c r="L1032" s="19" t="str">
        <x:v>Z006</x:v>
      </x:c>
      <x:c r="M1032" s="19" t="str">
        <x:v>In Field Warranty Claims</x:v>
      </x:c>
      <x:c r="N1032" s="37" t="n">
        <x:v>46163</x:v>
      </x:c>
      <x:c r="O1032" s="37"/>
      <x:c r="P1032" s="34" t="n">
        <x:v>0</x:v>
      </x:c>
      <x:c r="Q1032" s="37" t="n">
        <x:v>46169.01074074074</x:v>
      </x:c>
    </x:row>
    <x:row r="1033">
      <x:c r="A1033" s="22" t="n">
        <x:v>35315</x:v>
      </x:c>
      <x:c r="B1033" s="28" t="n">
        <x:v>82.5</x:v>
      </x:c>
      <x:c r="C1033" s="28" t="n">
        <x:v>74.7</x:v>
      </x:c>
      <x:c r="D1033" s="31" t="n">
        <x:f>IF(OR(ISBLANK(B1033),ISBLANK(C1033),B1033=0),"",(C1033-B1033)/B1033)</x:f>
        <x:v>-0.09454545454545452</x:v>
      </x:c>
      <x:c r="E1033" s="22" t="str">
        <x:f>IF(ISBLANK(C1033),"AmountIncludingTax缺失",IF(ABS(B1033-C1033)&lt;0.005,"一致","不一致"))</x:f>
        <x:v>不一致</x:v>
      </x:c>
      <x:c r="F1033" s="19" t="str">
        <x:v>approved</x:v>
      </x:c>
      <x:c r="G1033" s="19" t="str">
        <x:v>Repairer Invoiced Processed</x:v>
      </x:c>
      <x:c r="H1033" s="19" t="str">
        <x:v>In Field</x:v>
      </x:c>
      <x:c r="I1033" s="37" t="n">
        <x:v>46170</x:v>
      </x:c>
      <x:c r="J1033" s="37" t="n">
        <x:v>46170</x:v>
      </x:c>
      <x:c r="K1033" s="19" t="str">
        <x:v>Vanari Caravans - Marden Point</x:v>
      </x:c>
      <x:c r="L1033" s="19" t="str">
        <x:v>Z006</x:v>
      </x:c>
      <x:c r="M1033" s="19" t="str">
        <x:v>In Field Warranty Claims</x:v>
      </x:c>
      <x:c r="N1033" s="37" t="n">
        <x:v>46163</x:v>
      </x:c>
      <x:c r="O1033" s="37"/>
      <x:c r="P1033" s="34" t="n">
        <x:v>74.7</x:v>
      </x:c>
      <x:c r="Q1033" s="37" t="n">
        <x:v>46170.0600462963</x:v>
      </x:c>
    </x:row>
    <x:row r="1034">
      <x:c r="A1034" s="22" t="n">
        <x:v>35314</x:v>
      </x:c>
      <x:c r="B1034" s="28" t="n">
        <x:v>1457.5</x:v>
      </x:c>
      <x:c r="C1034" s="28"/>
      <x:c r="D1034" s="31" t="str">
        <x:f>IF(OR(ISBLANK(B1034),ISBLANK(C1034),B1034=0),"",(C1034-B1034)/B1034)</x:f>
      </x:c>
      <x:c r="E1034" s="22" t="str">
        <x:f>IF(ISBLANK(C1034),"AmountIncludingTax缺失",IF(ABS(B1034-C1034)&lt;0.005,"一致","不一致"))</x:f>
        <x:v>AmountIncludingTax缺失</x:v>
      </x:c>
      <x:c r="F1034" s="19" t="str">
        <x:v>approved</x:v>
      </x:c>
      <x:c r="G1034" s="19" t="str">
        <x:v>Repair in Progress</x:v>
      </x:c>
      <x:c r="H1034" s="19" t="str">
        <x:v>In Field</x:v>
      </x:c>
      <x:c r="I1034" s="37" t="n">
        <x:v>46174</x:v>
      </x:c>
      <x:c r="J1034" s="37" t="n">
        <x:v>46174</x:v>
      </x:c>
      <x:c r="K1034" s="19" t="str">
        <x:v>Snowy River Launceston</x:v>
      </x:c>
      <x:c r="L1034" s="19" t="str">
        <x:v>Z006</x:v>
      </x:c>
      <x:c r="M1034" s="19" t="str">
        <x:v>In Field Warranty Claims</x:v>
      </x:c>
      <x:c r="N1034" s="37" t="n">
        <x:v>46163</x:v>
      </x:c>
      <x:c r="O1034" s="37"/>
      <x:c r="P1034" s="34" t="n">
        <x:v>0</x:v>
      </x:c>
      <x:c r="Q1034" s="37" t="n">
        <x:v>46174.13883101852</x:v>
      </x:c>
    </x:row>
    <x:row r="1035">
      <x:c r="A1035" s="22" t="n">
        <x:v>35313</x:v>
      </x:c>
      <x:c r="B1035" s="28" t="n">
        <x:v>2548.2</x:v>
      </x:c>
      <x:c r="C1035" s="28"/>
      <x:c r="D1035" s="31" t="str">
        <x:f>IF(OR(ISBLANK(B1035),ISBLANK(C1035),B1035=0),"",(C1035-B1035)/B1035)</x:f>
      </x:c>
      <x:c r="E1035" s="22" t="str">
        <x:f>IF(ISBLANK(C1035),"AmountIncludingTax缺失",IF(ABS(B1035-C1035)&lt;0.005,"一致","不一致"))</x:f>
        <x:v>AmountIncludingTax缺失</x:v>
      </x:c>
      <x:c r="F1035" s="19" t="str">
        <x:v>approved</x:v>
      </x:c>
      <x:c r="G1035" s="19" t="str">
        <x:v>Repair in Progress</x:v>
      </x:c>
      <x:c r="H1035" s="19" t="str">
        <x:v>In Field</x:v>
      </x:c>
      <x:c r="I1035" s="37" t="n">
        <x:v>46175</x:v>
      </x:c>
      <x:c r="J1035" s="37" t="n">
        <x:v>46175</x:v>
      </x:c>
      <x:c r="K1035" s="19" t="str">
        <x:v>Vanari Caravans - Marden Point</x:v>
      </x:c>
      <x:c r="L1035" s="19" t="str">
        <x:v>Z006</x:v>
      </x:c>
      <x:c r="M1035" s="19" t="str">
        <x:v>In Field Warranty Claims</x:v>
      </x:c>
      <x:c r="N1035" s="37" t="n">
        <x:v>46163</x:v>
      </x:c>
      <x:c r="O1035" s="37"/>
      <x:c r="P1035" s="34" t="n">
        <x:v>2307.14</x:v>
      </x:c>
      <x:c r="Q1035" s="37" t="n">
        <x:v>46175.0365625</x:v>
      </x:c>
    </x:row>
    <x:row r="1036">
      <x:c r="A1036" s="22" t="n">
        <x:v>35312</x:v>
      </x:c>
      <x:c r="B1036" s="28" t="n">
        <x:v>72.5</x:v>
      </x:c>
      <x:c r="C1036" s="28"/>
      <x:c r="D1036" s="31" t="str">
        <x:f>IF(OR(ISBLANK(B1036),ISBLANK(C1036),B1036=0),"",(C1036-B1036)/B1036)</x:f>
      </x:c>
      <x:c r="E1036" s="22" t="str">
        <x:f>IF(ISBLANK(C1036),"AmountIncludingTax缺失",IF(ABS(B1036-C1036)&lt;0.005,"一致","不一致"))</x:f>
        <x:v>AmountIncludingTax缺失</x:v>
      </x:c>
      <x:c r="F1036" s="19" t="str">
        <x:v>approved</x:v>
      </x:c>
      <x:c r="G1036" s="19" t="str">
        <x:v>Sales Order Approved</x:v>
      </x:c>
      <x:c r="H1036" s="19" t="str">
        <x:v>Pre Delivery</x:v>
      </x:c>
      <x:c r="I1036" s="37" t="n">
        <x:v>46167</x:v>
      </x:c>
      <x:c r="J1036" s="37" t="n">
        <x:v>46167</x:v>
      </x:c>
      <x:c r="K1036" s="19" t="str">
        <x:v>Green RV - Forest Glen</x:v>
      </x:c>
      <x:c r="L1036" s="19" t="str">
        <x:v>Z005</x:v>
      </x:c>
      <x:c r="M1036" s="19" t="str">
        <x:v>Pre Delivery Warranty Claims</x:v>
      </x:c>
      <x:c r="N1036" s="37" t="n">
        <x:v>46163</x:v>
      </x:c>
      <x:c r="O1036" s="37"/>
      <x:c r="P1036" s="34" t="n">
        <x:v>0</x:v>
      </x:c>
      <x:c r="Q1036" s="37" t="n">
        <x:v>46166.9462037037</x:v>
      </x:c>
    </x:row>
    <x:row r="1037">
      <x:c r="A1037" s="22" t="n">
        <x:v>35311</x:v>
      </x:c>
      <x:c r="B1037" s="28" t="n">
        <x:v>405</x:v>
      </x:c>
      <x:c r="C1037" s="28"/>
      <x:c r="D1037" s="31" t="str">
        <x:f>IF(OR(ISBLANK(B1037),ISBLANK(C1037),B1037=0),"",(C1037-B1037)/B1037)</x:f>
      </x:c>
      <x:c r="E1037" s="22" t="str">
        <x:f>IF(ISBLANK(C1037),"AmountIncludingTax缺失",IF(ABS(B1037-C1037)&lt;0.005,"一致","不一致"))</x:f>
        <x:v>AmountIncludingTax缺失</x:v>
      </x:c>
      <x:c r="F1037" s="19" t="str">
        <x:v>approved</x:v>
      </x:c>
      <x:c r="G1037" s="19" t="str">
        <x:v>Repairer Invoiced Processed</x:v>
      </x:c>
      <x:c r="H1037" s="19" t="str">
        <x:v>In Field</x:v>
      </x:c>
      <x:c r="I1037" s="37" t="n">
        <x:v>46168</x:v>
      </x:c>
      <x:c r="J1037" s="37" t="n">
        <x:v>46168</x:v>
      </x:c>
      <x:c r="K1037" s="19" t="str">
        <x:v>QCCC - Gympie</x:v>
      </x:c>
      <x:c r="L1037" s="19" t="str">
        <x:v>Z006</x:v>
      </x:c>
      <x:c r="M1037" s="19" t="str">
        <x:v>In Field Warranty Claims</x:v>
      </x:c>
      <x:c r="N1037" s="37" t="n">
        <x:v>46163</x:v>
      </x:c>
      <x:c r="O1037" s="37"/>
      <x:c r="P1037" s="34" t="n">
        <x:v>0</x:v>
      </x:c>
      <x:c r="Q1037" s="37" t="n">
        <x:v>46168.0946875</x:v>
      </x:c>
    </x:row>
    <x:row r="1038">
      <x:c r="A1038" s="22" t="n">
        <x:v>35300</x:v>
      </x:c>
      <x:c r="B1038" s="28" t="n">
        <x:v>1080</x:v>
      </x:c>
      <x:c r="C1038" s="28"/>
      <x:c r="D1038" s="31" t="str">
        <x:f>IF(OR(ISBLANK(B1038),ISBLANK(C1038),B1038=0),"",(C1038-B1038)/B1038)</x:f>
      </x:c>
      <x:c r="E1038" s="22" t="str">
        <x:f>IF(ISBLANK(C1038),"AmountIncludingTax缺失",IF(ABS(B1038-C1038)&lt;0.005,"一致","不一致"))</x:f>
        <x:v>AmountIncludingTax缺失</x:v>
      </x:c>
      <x:c r="F1038" s="19" t="str">
        <x:v>approved</x:v>
      </x:c>
      <x:c r="G1038" s="19" t="str">
        <x:v>Repair in Progress</x:v>
      </x:c>
      <x:c r="H1038" s="19" t="str">
        <x:v>In Field</x:v>
      </x:c>
      <x:c r="I1038" s="37" t="n">
        <x:v>46169</x:v>
      </x:c>
      <x:c r="J1038" s="37" t="n">
        <x:v>46169</x:v>
      </x:c>
      <x:c r="K1038" s="19" t="str">
        <x:v>Snowy River Frankston</x:v>
      </x:c>
      <x:c r="L1038" s="19" t="str">
        <x:v>Z006</x:v>
      </x:c>
      <x:c r="M1038" s="19" t="str">
        <x:v>In Field Warranty Claims</x:v>
      </x:c>
      <x:c r="N1038" s="37" t="n">
        <x:v>46163</x:v>
      </x:c>
      <x:c r="O1038" s="37"/>
      <x:c r="P1038" s="34" t="n">
        <x:v>0</x:v>
      </x:c>
      <x:c r="Q1038" s="37" t="n">
        <x:v>46169.06538194444</x:v>
      </x:c>
    </x:row>
    <x:row r="1039">
      <x:c r="A1039" s="22" t="n">
        <x:v>35299</x:v>
      </x:c>
      <x:c r="B1039" s="28" t="n">
        <x:v>77.5</x:v>
      </x:c>
      <x:c r="C1039" s="28"/>
      <x:c r="D1039" s="31" t="str">
        <x:f>IF(OR(ISBLANK(B1039),ISBLANK(C1039),B1039=0),"",(C1039-B1039)/B1039)</x:f>
      </x:c>
      <x:c r="E1039" s="22" t="str">
        <x:f>IF(ISBLANK(C1039),"AmountIncludingTax缺失",IF(ABS(B1039-C1039)&lt;0.005,"一致","不一致"))</x:f>
        <x:v>AmountIncludingTax缺失</x:v>
      </x:c>
      <x:c r="F1039" s="19" t="str">
        <x:v>approved</x:v>
      </x:c>
      <x:c r="G1039" s="19" t="str">
        <x:v>Repair in Progress</x:v>
      </x:c>
      <x:c r="H1039" s="19" t="str">
        <x:v>In Field</x:v>
      </x:c>
      <x:c r="I1039" s="37" t="n">
        <x:v>46163</x:v>
      </x:c>
      <x:c r="J1039" s="37" t="n">
        <x:v>46163</x:v>
      </x:c>
      <x:c r="K1039" s="19" t="str">
        <x:v>Green RV - Forest Glen</x:v>
      </x:c>
      <x:c r="L1039" s="19" t="str">
        <x:v>Z006</x:v>
      </x:c>
      <x:c r="M1039" s="19" t="str">
        <x:v>In Field Warranty Claims</x:v>
      </x:c>
      <x:c r="N1039" s="37" t="n">
        <x:v>46163</x:v>
      </x:c>
      <x:c r="O1039" s="37"/>
      <x:c r="P1039" s="34" t="n">
        <x:v>0</x:v>
      </x:c>
      <x:c r="Q1039" s="37" t="n">
        <x:v>46163.18578703704</x:v>
      </x:c>
    </x:row>
    <x:row r="1040">
      <x:c r="A1040" s="22" t="n">
        <x:v>35298</x:v>
      </x:c>
      <x:c r="B1040" s="28" t="n">
        <x:v>33.75</x:v>
      </x:c>
      <x:c r="C1040" s="28"/>
      <x:c r="D1040" s="31" t="str">
        <x:f>IF(OR(ISBLANK(B1040),ISBLANK(C1040),B1040=0),"",(C1040-B1040)/B1040)</x:f>
      </x:c>
      <x:c r="E1040" s="22" t="str">
        <x:f>IF(ISBLANK(C1040),"AmountIncludingTax缺失",IF(ABS(B1040-C1040)&lt;0.005,"一致","不一致"))</x:f>
        <x:v>AmountIncludingTax缺失</x:v>
      </x:c>
      <x:c r="F1040" s="19" t="str">
        <x:v>approved</x:v>
      </x:c>
      <x:c r="G1040" s="19" t="str">
        <x:v>Repair in Progress</x:v>
      </x:c>
      <x:c r="H1040" s="19" t="str">
        <x:v>In Field</x:v>
      </x:c>
      <x:c r="I1040" s="37" t="n">
        <x:v>46169</x:v>
      </x:c>
      <x:c r="J1040" s="37" t="n">
        <x:v>46169</x:v>
      </x:c>
      <x:c r="K1040" s="19" t="str">
        <x:v>Snowy River Launceston</x:v>
      </x:c>
      <x:c r="L1040" s="19" t="str">
        <x:v>Z006</x:v>
      </x:c>
      <x:c r="M1040" s="19" t="str">
        <x:v>In Field Warranty Claims</x:v>
      </x:c>
      <x:c r="N1040" s="37" t="n">
        <x:v>46163</x:v>
      </x:c>
      <x:c r="O1040" s="37"/>
      <x:c r="P1040" s="34" t="n">
        <x:v>0</x:v>
      </x:c>
      <x:c r="Q1040" s="37" t="n">
        <x:v>46169.00077546296</x:v>
      </x:c>
    </x:row>
    <x:row r="1041">
      <x:c r="A1041" s="22" t="n">
        <x:v>35297</x:v>
      </x:c>
      <x:c r="B1041" s="28" t="n">
        <x:v>222.5</x:v>
      </x:c>
      <x:c r="C1041" s="28"/>
      <x:c r="D1041" s="31" t="str">
        <x:f>IF(OR(ISBLANK(B1041),ISBLANK(C1041),B1041=0),"",(C1041-B1041)/B1041)</x:f>
      </x:c>
      <x:c r="E1041" s="22" t="str">
        <x:f>IF(ISBLANK(C1041),"AmountIncludingTax缺失",IF(ABS(B1041-C1041)&lt;0.005,"一致","不一致"))</x:f>
        <x:v>AmountIncludingTax缺失</x:v>
      </x:c>
      <x:c r="F1041" s="19" t="str">
        <x:v>approved</x:v>
      </x:c>
      <x:c r="G1041" s="19" t="str">
        <x:v>Repair in Progress</x:v>
      </x:c>
      <x:c r="H1041" s="19" t="str">
        <x:v>In Field</x:v>
      </x:c>
      <x:c r="I1041" s="37" t="n">
        <x:v>46167</x:v>
      </x:c>
      <x:c r="J1041" s="37" t="n">
        <x:v>46167</x:v>
      </x:c>
      <x:c r="K1041" s="19" t="str">
        <x:v>Regent RV - Perth</x:v>
      </x:c>
      <x:c r="L1041" s="19" t="str">
        <x:v>Z006</x:v>
      </x:c>
      <x:c r="M1041" s="19" t="str">
        <x:v>In Field Warranty Claims</x:v>
      </x:c>
      <x:c r="N1041" s="37" t="n">
        <x:v>46162</x:v>
      </x:c>
      <x:c r="O1041" s="37"/>
      <x:c r="P1041" s="34" t="n">
        <x:v>0</x:v>
      </x:c>
      <x:c r="Q1041" s="37" t="n">
        <x:v>46167.22891203704</x:v>
      </x:c>
    </x:row>
    <x:row r="1042">
      <x:c r="A1042" s="22" t="n">
        <x:v>35295</x:v>
      </x:c>
      <x:c r="B1042" s="28" t="n">
        <x:v>1002.5</x:v>
      </x:c>
      <x:c r="C1042" s="28"/>
      <x:c r="D1042" s="31" t="str">
        <x:f>IF(OR(ISBLANK(B1042),ISBLANK(C1042),B1042=0),"",(C1042-B1042)/B1042)</x:f>
      </x:c>
      <x:c r="E1042" s="22" t="str">
        <x:f>IF(ISBLANK(C1042),"AmountIncludingTax缺失",IF(ABS(B1042-C1042)&lt;0.005,"一致","不一致"))</x:f>
        <x:v>AmountIncludingTax缺失</x:v>
      </x:c>
      <x:c r="F1042" s="19" t="str">
        <x:v>approved</x:v>
      </x:c>
      <x:c r="G1042" s="19" t="str">
        <x:v>Sales Order Approved</x:v>
      </x:c>
      <x:c r="H1042" s="19" t="str">
        <x:v>Pre Delivery</x:v>
      </x:c>
      <x:c r="I1042" s="37" t="n">
        <x:v>46196</x:v>
      </x:c>
      <x:c r="J1042" s="37" t="n">
        <x:v>46196</x:v>
      </x:c>
      <x:c r="K1042" s="19" t="str">
        <x:v>Vanari Caravans - Marden Point</x:v>
      </x:c>
      <x:c r="L1042" s="19" t="str">
        <x:v>Z005</x:v>
      </x:c>
      <x:c r="M1042" s="19" t="str">
        <x:v>Pre Delivery Warranty Claims</x:v>
      </x:c>
      <x:c r="N1042" s="37" t="n">
        <x:v>46162</x:v>
      </x:c>
      <x:c r="O1042" s="37"/>
      <x:c r="P1042" s="34" t="n">
        <x:v>0</x:v>
      </x:c>
      <x:c r="Q1042" s="37" t="n">
        <x:v>46196.27061342593</x:v>
      </x:c>
    </x:row>
    <x:row r="1043">
      <x:c r="A1043" s="22" t="n">
        <x:v>35293</x:v>
      </x:c>
      <x:c r="B1043" s="28" t="n">
        <x:v>197.27</x:v>
      </x:c>
      <x:c r="C1043" s="28" t="n">
        <x:v>217</x:v>
      </x:c>
      <x:c r="D1043" s="31" t="n">
        <x:f>IF(OR(ISBLANK(B1043),ISBLANK(C1043),B1043=0),"",(C1043-B1043)/B1043)</x:f>
        <x:v>0.10001520758351493</x:v>
      </x:c>
      <x:c r="E1043" s="22" t="str">
        <x:f>IF(ISBLANK(C1043),"AmountIncludingTax缺失",IF(ABS(B1043-C1043)&lt;0.005,"一致","不一致"))</x:f>
        <x:v>不一致</x:v>
      </x:c>
      <x:c r="F1043" s="19" t="str">
        <x:v>approved</x:v>
      </x:c>
      <x:c r="G1043" s="19" t="str">
        <x:v>Repair in Progress</x:v>
      </x:c>
      <x:c r="H1043" s="19" t="str">
        <x:v>In Field</x:v>
      </x:c>
      <x:c r="I1043" s="37" t="n">
        <x:v>46196</x:v>
      </x:c>
      <x:c r="J1043" s="37" t="n">
        <x:v>46196</x:v>
      </x:c>
      <x:c r="K1043" s="19" t="str">
        <x:v>ABCO Caravans - Boambee Valley</x:v>
      </x:c>
      <x:c r="L1043" s="19" t="str">
        <x:v>Z006</x:v>
      </x:c>
      <x:c r="M1043" s="19" t="str">
        <x:v>In Field Warranty Claims</x:v>
      </x:c>
      <x:c r="N1043" s="37" t="n">
        <x:v>46162</x:v>
      </x:c>
      <x:c r="O1043" s="37"/>
      <x:c r="P1043" s="34" t="n">
        <x:v>217</x:v>
      </x:c>
      <x:c r="Q1043" s="37" t="n">
        <x:v>46196.063888888886</x:v>
      </x:c>
    </x:row>
    <x:row r="1044">
      <x:c r="A1044" s="22" t="n">
        <x:v>35290</x:v>
      </x:c>
      <x:c r="B1044" s="28" t="n">
        <x:v>540</x:v>
      </x:c>
      <x:c r="C1044" s="28"/>
      <x:c r="D1044" s="31" t="str">
        <x:f>IF(OR(ISBLANK(B1044),ISBLANK(C1044),B1044=0),"",(C1044-B1044)/B1044)</x:f>
      </x:c>
      <x:c r="E1044" s="22" t="str">
        <x:f>IF(ISBLANK(C1044),"AmountIncludingTax缺失",IF(ABS(B1044-C1044)&lt;0.005,"一致","不一致"))</x:f>
        <x:v>AmountIncludingTax缺失</x:v>
      </x:c>
      <x:c r="F1044" s="19" t="str">
        <x:v>approved</x:v>
      </x:c>
      <x:c r="G1044" s="19" t="str">
        <x:v>Repairer Invoiced Processed</x:v>
      </x:c>
      <x:c r="H1044" s="19" t="str">
        <x:v>In Field</x:v>
      </x:c>
      <x:c r="I1044" s="37" t="n">
        <x:v>46168</x:v>
      </x:c>
      <x:c r="J1044" s="37" t="n">
        <x:v>46168</x:v>
      </x:c>
      <x:c r="K1044" s="19" t="str">
        <x:v>Snowy River Launceston</x:v>
      </x:c>
      <x:c r="L1044" s="19" t="str">
        <x:v>Z006</x:v>
      </x:c>
      <x:c r="M1044" s="19" t="str">
        <x:v>In Field Warranty Claims</x:v>
      </x:c>
      <x:c r="N1044" s="37" t="n">
        <x:v>46162</x:v>
      </x:c>
      <x:c r="O1044" s="37"/>
      <x:c r="P1044" s="34" t="n">
        <x:v>0</x:v>
      </x:c>
      <x:c r="Q1044" s="37" t="n">
        <x:v>46168.09538194445</x:v>
      </x:c>
    </x:row>
    <x:row r="1045">
      <x:c r="A1045" s="22" t="n">
        <x:v>35289</x:v>
      </x:c>
      <x:c r="B1045" s="28" t="n">
        <x:v>850</x:v>
      </x:c>
      <x:c r="C1045" s="28"/>
      <x:c r="D1045" s="31" t="str">
        <x:f>IF(OR(ISBLANK(B1045),ISBLANK(C1045),B1045=0),"",(C1045-B1045)/B1045)</x:f>
      </x:c>
      <x:c r="E1045" s="22" t="str">
        <x:f>IF(ISBLANK(C1045),"AmountIncludingTax缺失",IF(ABS(B1045-C1045)&lt;0.005,"一致","不一致"))</x:f>
        <x:v>AmountIncludingTax缺失</x:v>
      </x:c>
      <x:c r="F1045" s="19" t="str">
        <x:v>approved</x:v>
      </x:c>
      <x:c r="G1045" s="19" t="str">
        <x:v>Repair in Progress</x:v>
      </x:c>
      <x:c r="H1045" s="19" t="str">
        <x:v>In Field</x:v>
      </x:c>
      <x:c r="I1045" s="37" t="n">
        <x:v>46196</x:v>
      </x:c>
      <x:c r="J1045" s="37" t="n">
        <x:v>46196</x:v>
      </x:c>
      <x:c r="K1045" s="19" t="str">
        <x:v>Regent RV - Frankston</x:v>
      </x:c>
      <x:c r="L1045" s="19" t="str">
        <x:v>Z006</x:v>
      </x:c>
      <x:c r="M1045" s="19" t="str">
        <x:v>In Field Warranty Claims</x:v>
      </x:c>
      <x:c r="N1045" s="37" t="n">
        <x:v>46162</x:v>
      </x:c>
      <x:c r="O1045" s="37" t="n">
        <x:v>46195</x:v>
      </x:c>
      <x:c r="P1045" s="34" t="n">
        <x:v>0</x:v>
      </x:c>
      <x:c r="Q1045" s="37" t="n">
        <x:v>46196.02069444444</x:v>
      </x:c>
    </x:row>
    <x:row r="1046">
      <x:c r="A1046" s="22" t="n">
        <x:v>35288</x:v>
      </x:c>
      <x:c r="B1046" s="28" t="n">
        <x:v>1113.75</x:v>
      </x:c>
      <x:c r="C1046" s="28"/>
      <x:c r="D1046" s="31" t="str">
        <x:f>IF(OR(ISBLANK(B1046),ISBLANK(C1046),B1046=0),"",(C1046-B1046)/B1046)</x:f>
      </x:c>
      <x:c r="E1046" s="22" t="str">
        <x:f>IF(ISBLANK(C1046),"AmountIncludingTax缺失",IF(ABS(B1046-C1046)&lt;0.005,"一致","不一致"))</x:f>
        <x:v>AmountIncludingTax缺失</x:v>
      </x:c>
      <x:c r="F1046" s="19" t="str">
        <x:v>approved</x:v>
      </x:c>
      <x:c r="G1046" s="19" t="str">
        <x:v>Repair in Progress</x:v>
      </x:c>
      <x:c r="H1046" s="19" t="str">
        <x:v>In Field</x:v>
      </x:c>
      <x:c r="I1046" s="37" t="n">
        <x:v>46168</x:v>
      </x:c>
      <x:c r="J1046" s="37" t="n">
        <x:v>46168</x:v>
      </x:c>
      <x:c r="K1046" s="19" t="str">
        <x:v>Snowy River Launceston</x:v>
      </x:c>
      <x:c r="L1046" s="19" t="str">
        <x:v>Z006</x:v>
      </x:c>
      <x:c r="M1046" s="19" t="str">
        <x:v>In Field Warranty Claims</x:v>
      </x:c>
      <x:c r="N1046" s="37" t="n">
        <x:v>46162</x:v>
      </x:c>
      <x:c r="O1046" s="37"/>
      <x:c r="P1046" s="34" t="n">
        <x:v>0</x:v>
      </x:c>
      <x:c r="Q1046" s="37" t="n">
        <x:v>46168.096134259256</x:v>
      </x:c>
    </x:row>
    <x:row r="1047">
      <x:c r="A1047" s="22" t="n">
        <x:v>35287</x:v>
      </x:c>
      <x:c r="B1047" s="28" t="n">
        <x:v>67.5</x:v>
      </x:c>
      <x:c r="C1047" s="28"/>
      <x:c r="D1047" s="31" t="str">
        <x:f>IF(OR(ISBLANK(B1047),ISBLANK(C1047),B1047=0),"",(C1047-B1047)/B1047)</x:f>
      </x:c>
      <x:c r="E1047" s="22" t="str">
        <x:f>IF(ISBLANK(C1047),"AmountIncludingTax缺失",IF(ABS(B1047-C1047)&lt;0.005,"一致","不一致"))</x:f>
        <x:v>AmountIncludingTax缺失</x:v>
      </x:c>
      <x:c r="F1047" s="19" t="str">
        <x:v>approved</x:v>
      </x:c>
      <x:c r="G1047" s="19" t="str">
        <x:v>Sales Order Approved</x:v>
      </x:c>
      <x:c r="H1047" s="19" t="str">
        <x:v>In Field</x:v>
      </x:c>
      <x:c r="I1047" s="37" t="n">
        <x:v>46168</x:v>
      </x:c>
      <x:c r="J1047" s="37" t="n">
        <x:v>46168</x:v>
      </x:c>
      <x:c r="K1047" s="19" t="str">
        <x:v>Snowy River Launceston</x:v>
      </x:c>
      <x:c r="L1047" s="19" t="str">
        <x:v>Z006</x:v>
      </x:c>
      <x:c r="M1047" s="19" t="str">
        <x:v>In Field Warranty Claims</x:v>
      </x:c>
      <x:c r="N1047" s="37" t="n">
        <x:v>46162</x:v>
      </x:c>
      <x:c r="O1047" s="37"/>
      <x:c r="P1047" s="34" t="n">
        <x:v>0</x:v>
      </x:c>
      <x:c r="Q1047" s="37" t="n">
        <x:v>46168.108923611115</x:v>
      </x:c>
    </x:row>
    <x:row r="1048">
      <x:c r="A1048" s="22" t="n">
        <x:v>35286</x:v>
      </x:c>
      <x:c r="B1048" s="28" t="n">
        <x:v>540</x:v>
      </x:c>
      <x:c r="C1048" s="28"/>
      <x:c r="D1048" s="31" t="str">
        <x:f>IF(OR(ISBLANK(B1048),ISBLANK(C1048),B1048=0),"",(C1048-B1048)/B1048)</x:f>
      </x:c>
      <x:c r="E1048" s="22" t="str">
        <x:f>IF(ISBLANK(C1048),"AmountIncludingTax缺失",IF(ABS(B1048-C1048)&lt;0.005,"一致","不一致"))</x:f>
        <x:v>AmountIncludingTax缺失</x:v>
      </x:c>
      <x:c r="F1048" s="19" t="str">
        <x:v>approved</x:v>
      </x:c>
      <x:c r="G1048" s="19" t="str">
        <x:v>Repair in Progress</x:v>
      </x:c>
      <x:c r="H1048" s="19" t="str">
        <x:v>In Field</x:v>
      </x:c>
      <x:c r="I1048" s="37" t="n">
        <x:v>46163</x:v>
      </x:c>
      <x:c r="J1048" s="37" t="n">
        <x:v>46163</x:v>
      </x:c>
      <x:c r="K1048" s="19" t="str">
        <x:v>Green RV - Forest Glen</x:v>
      </x:c>
      <x:c r="L1048" s="19" t="str">
        <x:v>Z006</x:v>
      </x:c>
      <x:c r="M1048" s="19" t="str">
        <x:v>In Field Warranty Claims</x:v>
      </x:c>
      <x:c r="N1048" s="37" t="n">
        <x:v>46162</x:v>
      </x:c>
      <x:c r="O1048" s="37"/>
      <x:c r="P1048" s="34" t="n">
        <x:v>0</x:v>
      </x:c>
      <x:c r="Q1048" s="37" t="n">
        <x:v>46163.12872685185</x:v>
      </x:c>
    </x:row>
    <x:row r="1049">
      <x:c r="A1049" s="22" t="n">
        <x:v>35285</x:v>
      </x:c>
      <x:c r="B1049" s="28" t="n">
        <x:v>276.25</x:v>
      </x:c>
      <x:c r="C1049" s="28"/>
      <x:c r="D1049" s="31" t="str">
        <x:f>IF(OR(ISBLANK(B1049),ISBLANK(C1049),B1049=0),"",(C1049-B1049)/B1049)</x:f>
      </x:c>
      <x:c r="E1049" s="22" t="str">
        <x:f>IF(ISBLANK(C1049),"AmountIncludingTax缺失",IF(ABS(B1049-C1049)&lt;0.005,"一致","不一致"))</x:f>
        <x:v>AmountIncludingTax缺失</x:v>
      </x:c>
      <x:c r="F1049" s="19" t="str">
        <x:v>approved</x:v>
      </x:c>
      <x:c r="G1049" s="19" t="str">
        <x:v>Repairer Invoiced Processed</x:v>
      </x:c>
      <x:c r="H1049" s="19" t="str">
        <x:v>In Field</x:v>
      </x:c>
      <x:c r="I1049" s="37" t="n">
        <x:v>46163</x:v>
      </x:c>
      <x:c r="J1049" s="37" t="n">
        <x:v>46163</x:v>
      </x:c>
      <x:c r="K1049" s="19" t="str">
        <x:v>Lesiure Lion-New Castle</x:v>
      </x:c>
      <x:c r="L1049" s="19" t="str">
        <x:v>Z006</x:v>
      </x:c>
      <x:c r="M1049" s="19" t="str">
        <x:v>In Field Warranty Claims</x:v>
      </x:c>
      <x:c r="N1049" s="37" t="n">
        <x:v>46162</x:v>
      </x:c>
      <x:c r="O1049" s="37"/>
      <x:c r="P1049" s="34" t="n">
        <x:v>0</x:v>
      </x:c>
      <x:c r="Q1049" s="37" t="n">
        <x:v>46163.10915509259</x:v>
      </x:c>
    </x:row>
    <x:row r="1050">
      <x:c r="A1050" s="22" t="n">
        <x:v>35284</x:v>
      </x:c>
      <x:c r="B1050" s="28" t="n">
        <x:v>381.83</x:v>
      </x:c>
      <x:c r="C1050" s="28"/>
      <x:c r="D1050" s="31" t="str">
        <x:f>IF(OR(ISBLANK(B1050),ISBLANK(C1050),B1050=0),"",(C1050-B1050)/B1050)</x:f>
      </x:c>
      <x:c r="E1050" s="22" t="str">
        <x:f>IF(ISBLANK(C1050),"AmountIncludingTax缺失",IF(ABS(B1050-C1050)&lt;0.005,"一致","不一致"))</x:f>
        <x:v>AmountIncludingTax缺失</x:v>
      </x:c>
      <x:c r="F1050" s="19" t="str">
        <x:v>approved</x:v>
      </x:c>
      <x:c r="G1050" s="19" t="str">
        <x:v>Repairer Invoiced Processed</x:v>
      </x:c>
      <x:c r="H1050" s="19" t="str">
        <x:v>Pre Delivery</x:v>
      </x:c>
      <x:c r="I1050" s="37" t="n">
        <x:v>46168</x:v>
      </x:c>
      <x:c r="J1050" s="37" t="n">
        <x:v>46168</x:v>
      </x:c>
      <x:c r="K1050" s="19" t="str">
        <x:v>Green RV - Slacks Creek</x:v>
      </x:c>
      <x:c r="L1050" s="19" t="str">
        <x:v>Z005</x:v>
      </x:c>
      <x:c r="M1050" s="19" t="str">
        <x:v>Pre Delivery Warranty Claims</x:v>
      </x:c>
      <x:c r="N1050" s="37" t="n">
        <x:v>46162</x:v>
      </x:c>
      <x:c r="O1050" s="37"/>
      <x:c r="P1050" s="34" t="n">
        <x:v>0</x:v>
      </x:c>
      <x:c r="Q1050" s="37" t="n">
        <x:v>46168.25869212963</x:v>
      </x:c>
    </x:row>
    <x:row r="1051">
      <x:c r="A1051" s="22" t="n">
        <x:v>35283</x:v>
      </x:c>
      <x:c r="B1051" s="28" t="n">
        <x:v>405</x:v>
      </x:c>
      <x:c r="C1051" s="28"/>
      <x:c r="D1051" s="31" t="str">
        <x:f>IF(OR(ISBLANK(B1051),ISBLANK(C1051),B1051=0),"",(C1051-B1051)/B1051)</x:f>
      </x:c>
      <x:c r="E1051" s="22" t="str">
        <x:f>IF(ISBLANK(C1051),"AmountIncludingTax缺失",IF(ABS(B1051-C1051)&lt;0.005,"一致","不一致"))</x:f>
        <x:v>AmountIncludingTax缺失</x:v>
      </x:c>
      <x:c r="F1051" s="19" t="str">
        <x:v>approved</x:v>
      </x:c>
      <x:c r="G1051" s="19" t="str">
        <x:v>Repairer Invoiced Processed</x:v>
      </x:c>
      <x:c r="H1051" s="19" t="str">
        <x:v>In Field</x:v>
      </x:c>
      <x:c r="I1051" s="37" t="n">
        <x:v>46174</x:v>
      </x:c>
      <x:c r="J1051" s="37" t="n">
        <x:v>46174</x:v>
      </x:c>
      <x:c r="K1051" s="19" t="str">
        <x:v>Leisure Lion - Bundaberg</x:v>
      </x:c>
      <x:c r="L1051" s="19" t="str">
        <x:v>Z006</x:v>
      </x:c>
      <x:c r="M1051" s="19" t="str">
        <x:v>In Field Warranty Claims</x:v>
      </x:c>
      <x:c r="N1051" s="37" t="n">
        <x:v>46162</x:v>
      </x:c>
      <x:c r="O1051" s="37"/>
      <x:c r="P1051" s="34" t="n">
        <x:v>0</x:v>
      </x:c>
      <x:c r="Q1051" s="37" t="n">
        <x:v>46173.93299768519</x:v>
      </x:c>
    </x:row>
    <x:row r="1052">
      <x:c r="A1052" s="22" t="n">
        <x:v>35280</x:v>
      </x:c>
      <x:c r="B1052" s="28" t="n">
        <x:v>205</x:v>
      </x:c>
      <x:c r="C1052" s="28"/>
      <x:c r="D1052" s="31" t="str">
        <x:f>IF(OR(ISBLANK(B1052),ISBLANK(C1052),B1052=0),"",(C1052-B1052)/B1052)</x:f>
      </x:c>
      <x:c r="E1052" s="22" t="str">
        <x:f>IF(ISBLANK(C1052),"AmountIncludingTax缺失",IF(ABS(B1052-C1052)&lt;0.005,"一致","不一致"))</x:f>
        <x:v>AmountIncludingTax缺失</x:v>
      </x:c>
      <x:c r="F1052" s="19" t="str">
        <x:v>approved</x:v>
      </x:c>
      <x:c r="G1052" s="19" t="str">
        <x:v>Repair in Progress</x:v>
      </x:c>
      <x:c r="H1052" s="19" t="str">
        <x:v>In Field</x:v>
      </x:c>
      <x:c r="I1052" s="37" t="n">
        <x:v>46163</x:v>
      </x:c>
      <x:c r="J1052" s="37" t="n">
        <x:v>46163</x:v>
      </x:c>
      <x:c r="K1052" s="19" t="str">
        <x:v>Regent RV - Perth</x:v>
      </x:c>
      <x:c r="L1052" s="19" t="str">
        <x:v>Z006</x:v>
      </x:c>
      <x:c r="M1052" s="19" t="str">
        <x:v>In Field Warranty Claims</x:v>
      </x:c>
      <x:c r="N1052" s="37" t="n">
        <x:v>46163</x:v>
      </x:c>
      <x:c r="O1052" s="37"/>
      <x:c r="P1052" s="34" t="n">
        <x:v>0</x:v>
      </x:c>
      <x:c r="Q1052" s="37" t="n">
        <x:v>46163.251608796294</x:v>
      </x:c>
    </x:row>
    <x:row r="1053">
      <x:c r="A1053" s="22" t="n">
        <x:v>35274</x:v>
      </x:c>
      <x:c r="B1053" s="28" t="n">
        <x:v>450.5</x:v>
      </x:c>
      <x:c r="C1053" s="28" t="n">
        <x:v>495.55</x:v>
      </x:c>
      <x:c r="D1053" s="31" t="n">
        <x:f>IF(OR(ISBLANK(B1053),ISBLANK(C1053),B1053=0),"",(C1053-B1053)/B1053)</x:f>
        <x:v>0.10000000000000002</x:v>
      </x:c>
      <x:c r="E1053" s="22" t="str">
        <x:f>IF(ISBLANK(C1053),"AmountIncludingTax缺失",IF(ABS(B1053-C1053)&lt;0.005,"一致","不一致"))</x:f>
        <x:v>不一致</x:v>
      </x:c>
      <x:c r="F1053" s="19" t="str">
        <x:v>approved</x:v>
      </x:c>
      <x:c r="G1053" s="19" t="str">
        <x:v>Repair in Progress</x:v>
      </x:c>
      <x:c r="H1053" s="19" t="str">
        <x:v>In Field</x:v>
      </x:c>
      <x:c r="I1053" s="37" t="n">
        <x:v>46177</x:v>
      </x:c>
      <x:c r="J1053" s="37" t="n">
        <x:v>46177</x:v>
      </x:c>
      <x:c r="K1053" s="19" t="str">
        <x:v>Regent RV - Frankston</x:v>
      </x:c>
      <x:c r="L1053" s="19" t="str">
        <x:v>Z006</x:v>
      </x:c>
      <x:c r="M1053" s="19" t="str">
        <x:v>In Field Warranty Claims</x:v>
      </x:c>
      <x:c r="N1053" s="37" t="n">
        <x:v>46162</x:v>
      </x:c>
      <x:c r="O1053" s="37"/>
      <x:c r="P1053" s="34" t="n">
        <x:v>495.55</x:v>
      </x:c>
      <x:c r="Q1053" s="37" t="n">
        <x:v>46177.139918981484</x:v>
      </x:c>
    </x:row>
    <x:row r="1054">
      <x:c r="A1054" s="22" t="n">
        <x:v>35268</x:v>
      </x:c>
      <x:c r="B1054" s="28" t="n">
        <x:v>810</x:v>
      </x:c>
      <x:c r="C1054" s="28"/>
      <x:c r="D1054" s="31" t="str">
        <x:f>IF(OR(ISBLANK(B1054),ISBLANK(C1054),B1054=0),"",(C1054-B1054)/B1054)</x:f>
      </x:c>
      <x:c r="E1054" s="22" t="str">
        <x:f>IF(ISBLANK(C1054),"AmountIncludingTax缺失",IF(ABS(B1054-C1054)&lt;0.005,"一致","不一致"))</x:f>
        <x:v>AmountIncludingTax缺失</x:v>
      </x:c>
      <x:c r="F1054" s="19" t="str">
        <x:v>approved</x:v>
      </x:c>
      <x:c r="G1054" s="19" t="str">
        <x:v>Repair in Progress</x:v>
      </x:c>
      <x:c r="H1054" s="19" t="str">
        <x:v>In Field</x:v>
      </x:c>
      <x:c r="I1054" s="37" t="n">
        <x:v>46167</x:v>
      </x:c>
      <x:c r="J1054" s="37" t="n">
        <x:v>46167</x:v>
      </x:c>
      <x:c r="K1054" s="19" t="str">
        <x:v>Regent RV - Perth</x:v>
      </x:c>
      <x:c r="L1054" s="19" t="str">
        <x:v>Z006</x:v>
      </x:c>
      <x:c r="M1054" s="19" t="str">
        <x:v>In Field Warranty Claims</x:v>
      </x:c>
      <x:c r="N1054" s="37" t="n">
        <x:v>46162</x:v>
      </x:c>
      <x:c r="O1054" s="37"/>
      <x:c r="P1054" s="34" t="n">
        <x:v>0</x:v>
      </x:c>
      <x:c r="Q1054" s="37" t="n">
        <x:v>46167.231307870374</x:v>
      </x:c>
    </x:row>
    <x:row r="1055">
      <x:c r="A1055" s="22" t="n">
        <x:v>35267</x:v>
      </x:c>
      <x:c r="B1055" s="28" t="n">
        <x:v>270</x:v>
      </x:c>
      <x:c r="C1055" s="28"/>
      <x:c r="D1055" s="31" t="str">
        <x:f>IF(OR(ISBLANK(B1055),ISBLANK(C1055),B1055=0),"",(C1055-B1055)/B1055)</x:f>
      </x:c>
      <x:c r="E1055" s="22" t="str">
        <x:f>IF(ISBLANK(C1055),"AmountIncludingTax缺失",IF(ABS(B1055-C1055)&lt;0.005,"一致","不一致"))</x:f>
        <x:v>AmountIncludingTax缺失</x:v>
      </x:c>
      <x:c r="F1055" s="19" t="str">
        <x:v>approved</x:v>
      </x:c>
      <x:c r="G1055" s="19" t="str">
        <x:v>Repair in Progress</x:v>
      </x:c>
      <x:c r="H1055" s="19" t="str">
        <x:v>In Field</x:v>
      </x:c>
      <x:c r="I1055" s="37" t="n">
        <x:v>46168</x:v>
      </x:c>
      <x:c r="J1055" s="37" t="n">
        <x:v>46168</x:v>
      </x:c>
      <x:c r="K1055" s="19" t="str">
        <x:v>Snowy River Wangaratta</x:v>
      </x:c>
      <x:c r="L1055" s="19" t="str">
        <x:v>Z006</x:v>
      </x:c>
      <x:c r="M1055" s="19" t="str">
        <x:v>In Field Warranty Claims</x:v>
      </x:c>
      <x:c r="N1055" s="37" t="n">
        <x:v>46162</x:v>
      </x:c>
      <x:c r="O1055" s="37"/>
      <x:c r="P1055" s="34" t="n">
        <x:v>0</x:v>
      </x:c>
      <x:c r="Q1055" s="37" t="n">
        <x:v>46168.16384259259</x:v>
      </x:c>
    </x:row>
    <x:row r="1056">
      <x:c r="A1056" s="22" t="n">
        <x:v>35266</x:v>
      </x:c>
      <x:c r="B1056" s="28" t="n">
        <x:v>810</x:v>
      </x:c>
      <x:c r="C1056" s="28"/>
      <x:c r="D1056" s="31" t="str">
        <x:f>IF(OR(ISBLANK(B1056),ISBLANK(C1056),B1056=0),"",(C1056-B1056)/B1056)</x:f>
      </x:c>
      <x:c r="E1056" s="22" t="str">
        <x:f>IF(ISBLANK(C1056),"AmountIncludingTax缺失",IF(ABS(B1056-C1056)&lt;0.005,"一致","不一致"))</x:f>
        <x:v>AmountIncludingTax缺失</x:v>
      </x:c>
      <x:c r="F1056" s="19" t="str">
        <x:v>approved</x:v>
      </x:c>
      <x:c r="G1056" s="19" t="str">
        <x:v>Repair in Progress</x:v>
      </x:c>
      <x:c r="H1056" s="19" t="str">
        <x:v>In Field</x:v>
      </x:c>
      <x:c r="I1056" s="37" t="n">
        <x:v>46168</x:v>
      </x:c>
      <x:c r="J1056" s="37" t="n">
        <x:v>46168</x:v>
      </x:c>
      <x:c r="K1056" s="19" t="str">
        <x:v>Snowy River Wangaratta</x:v>
      </x:c>
      <x:c r="L1056" s="19" t="str">
        <x:v>Z006</x:v>
      </x:c>
      <x:c r="M1056" s="19" t="str">
        <x:v>In Field Warranty Claims</x:v>
      </x:c>
      <x:c r="N1056" s="37" t="n">
        <x:v>46162</x:v>
      </x:c>
      <x:c r="O1056" s="37"/>
      <x:c r="P1056" s="34" t="n">
        <x:v>0</x:v>
      </x:c>
      <x:c r="Q1056" s="37" t="n">
        <x:v>46168.09667824074</x:v>
      </x:c>
    </x:row>
    <x:row r="1057">
      <x:c r="A1057" s="22" t="n">
        <x:v>35265</x:v>
      </x:c>
      <x:c r="B1057" s="28" t="n">
        <x:v>197.27</x:v>
      </x:c>
      <x:c r="C1057" s="28" t="n">
        <x:v>217</x:v>
      </x:c>
      <x:c r="D1057" s="31" t="n">
        <x:f>IF(OR(ISBLANK(B1057),ISBLANK(C1057),B1057=0),"",(C1057-B1057)/B1057)</x:f>
        <x:v>0.10001520758351493</x:v>
      </x:c>
      <x:c r="E1057" s="22" t="str">
        <x:f>IF(ISBLANK(C1057),"AmountIncludingTax缺失",IF(ABS(B1057-C1057)&lt;0.005,"一致","不一致"))</x:f>
        <x:v>不一致</x:v>
      </x:c>
      <x:c r="F1057" s="19" t="str">
        <x:v>approved</x:v>
      </x:c>
      <x:c r="G1057" s="19" t="str">
        <x:v>Repair in Progress</x:v>
      </x:c>
      <x:c r="H1057" s="19" t="str">
        <x:v>In Field</x:v>
      </x:c>
      <x:c r="I1057" s="37" t="n">
        <x:v>46178</x:v>
      </x:c>
      <x:c r="J1057" s="37" t="n">
        <x:v>46178</x:v>
      </x:c>
      <x:c r="K1057" s="19" t="str">
        <x:v>ABCO Caravans - Boambee Valley</x:v>
      </x:c>
      <x:c r="L1057" s="19" t="str">
        <x:v>Z006</x:v>
      </x:c>
      <x:c r="M1057" s="19" t="str">
        <x:v>In Field Warranty Claims</x:v>
      </x:c>
      <x:c r="N1057" s="37" t="n">
        <x:v>46162</x:v>
      </x:c>
      <x:c r="O1057" s="37"/>
      <x:c r="P1057" s="34" t="n">
        <x:v>217</x:v>
      </x:c>
      <x:c r="Q1057" s="37" t="n">
        <x:v>46178.164606481485</x:v>
      </x:c>
    </x:row>
    <x:row r="1058">
      <x:c r="A1058" s="22" t="n">
        <x:v>35261</x:v>
      </x:c>
      <x:c r="B1058" s="28" t="n">
        <x:v>560</x:v>
      </x:c>
      <x:c r="C1058" s="28"/>
      <x:c r="D1058" s="31" t="str">
        <x:f>IF(OR(ISBLANK(B1058),ISBLANK(C1058),B1058=0),"",(C1058-B1058)/B1058)</x:f>
      </x:c>
      <x:c r="E1058" s="22" t="str">
        <x:f>IF(ISBLANK(C1058),"AmountIncludingTax缺失",IF(ABS(B1058-C1058)&lt;0.005,"一致","不一致"))</x:f>
        <x:v>AmountIncludingTax缺失</x:v>
      </x:c>
      <x:c r="F1058" s="19" t="str">
        <x:v>approved</x:v>
      </x:c>
      <x:c r="G1058" s="19" t="str">
        <x:v>Repair in Progress</x:v>
      </x:c>
      <x:c r="H1058" s="19" t="str">
        <x:v>In Field</x:v>
      </x:c>
      <x:c r="I1058" s="37" t="n">
        <x:v>46163</x:v>
      </x:c>
      <x:c r="J1058" s="37" t="n">
        <x:v>46163</x:v>
      </x:c>
      <x:c r="K1058" s="19" t="str">
        <x:v>Green RV - Slacks Creek</x:v>
      </x:c>
      <x:c r="L1058" s="19" t="str">
        <x:v>Z006</x:v>
      </x:c>
      <x:c r="M1058" s="19" t="str">
        <x:v>In Field Warranty Claims</x:v>
      </x:c>
      <x:c r="N1058" s="37" t="n">
        <x:v>46162</x:v>
      </x:c>
      <x:c r="O1058" s="37"/>
      <x:c r="P1058" s="34" t="n">
        <x:v>0</x:v>
      </x:c>
      <x:c r="Q1058" s="37" t="n">
        <x:v>46163.046851851854</x:v>
      </x:c>
    </x:row>
    <x:row r="1059">
      <x:c r="A1059" s="22" t="n">
        <x:v>35260</x:v>
      </x:c>
      <x:c r="B1059" s="28" t="n">
        <x:v>222.5</x:v>
      </x:c>
      <x:c r="C1059" s="28"/>
      <x:c r="D1059" s="31" t="str">
        <x:f>IF(OR(ISBLANK(B1059),ISBLANK(C1059),B1059=0),"",(C1059-B1059)/B1059)</x:f>
      </x:c>
      <x:c r="E1059" s="22" t="str">
        <x:f>IF(ISBLANK(C1059),"AmountIncludingTax缺失",IF(ABS(B1059-C1059)&lt;0.005,"一致","不一致"))</x:f>
        <x:v>AmountIncludingTax缺失</x:v>
      </x:c>
      <x:c r="F1059" s="19" t="str">
        <x:v>approved</x:v>
      </x:c>
      <x:c r="G1059" s="19" t="str">
        <x:v>Repair in Progress</x:v>
      </x:c>
      <x:c r="H1059" s="19" t="str">
        <x:v>In Field</x:v>
      </x:c>
      <x:c r="I1059" s="37" t="n">
        <x:v>46167</x:v>
      </x:c>
      <x:c r="J1059" s="37" t="n">
        <x:v>46167</x:v>
      </x:c>
      <x:c r="K1059" s="19" t="str">
        <x:v>Regent RV - Perth</x:v>
      </x:c>
      <x:c r="L1059" s="19" t="str">
        <x:v>Z006</x:v>
      </x:c>
      <x:c r="M1059" s="19" t="str">
        <x:v>In Field Warranty Claims</x:v>
      </x:c>
      <x:c r="N1059" s="37" t="n">
        <x:v>46162</x:v>
      </x:c>
      <x:c r="O1059" s="37"/>
      <x:c r="P1059" s="34" t="n">
        <x:v>0</x:v>
      </x:c>
      <x:c r="Q1059" s="37" t="n">
        <x:v>46167.22824074074</x:v>
      </x:c>
    </x:row>
    <x:row r="1060">
      <x:c r="A1060" s="22" t="n">
        <x:v>35259</x:v>
      </x:c>
      <x:c r="B1060" s="28" t="n">
        <x:v>482.5</x:v>
      </x:c>
      <x:c r="C1060" s="28"/>
      <x:c r="D1060" s="31" t="str">
        <x:f>IF(OR(ISBLANK(B1060),ISBLANK(C1060),B1060=0),"",(C1060-B1060)/B1060)</x:f>
      </x:c>
      <x:c r="E1060" s="22" t="str">
        <x:f>IF(ISBLANK(C1060),"AmountIncludingTax缺失",IF(ABS(B1060-C1060)&lt;0.005,"一致","不一致"))</x:f>
        <x:v>AmountIncludingTax缺失</x:v>
      </x:c>
      <x:c r="F1060" s="19" t="str">
        <x:v>approved</x:v>
      </x:c>
      <x:c r="G1060" s="19" t="str">
        <x:v>Repair in Progress</x:v>
      </x:c>
      <x:c r="H1060" s="19" t="str">
        <x:v>In Field</x:v>
      </x:c>
      <x:c r="I1060" s="37" t="n">
        <x:v>46178</x:v>
      </x:c>
      <x:c r="J1060" s="37" t="n">
        <x:v>46178</x:v>
      </x:c>
      <x:c r="K1060" s="19" t="str">
        <x:v>ABCO Caravans - Boambee Valley</x:v>
      </x:c>
      <x:c r="L1060" s="19" t="str">
        <x:v>Z006</x:v>
      </x:c>
      <x:c r="M1060" s="19" t="str">
        <x:v>In Field Warranty Claims</x:v>
      </x:c>
      <x:c r="N1060" s="37" t="n">
        <x:v>46162</x:v>
      </x:c>
      <x:c r="O1060" s="37"/>
      <x:c r="P1060" s="34" t="n">
        <x:v>0</x:v>
      </x:c>
      <x:c r="Q1060" s="37" t="n">
        <x:v>46178.17239583333</x:v>
      </x:c>
    </x:row>
    <x:row r="1061">
      <x:c r="A1061" s="22" t="n">
        <x:v>35258</x:v>
      </x:c>
      <x:c r="B1061" s="28" t="n">
        <x:v>135</x:v>
      </x:c>
      <x:c r="C1061" s="28"/>
      <x:c r="D1061" s="31" t="str">
        <x:f>IF(OR(ISBLANK(B1061),ISBLANK(C1061),B1061=0),"",(C1061-B1061)/B1061)</x:f>
      </x:c>
      <x:c r="E1061" s="22" t="str">
        <x:f>IF(ISBLANK(C1061),"AmountIncludingTax缺失",IF(ABS(B1061-C1061)&lt;0.005,"一致","不一致"))</x:f>
        <x:v>AmountIncludingTax缺失</x:v>
      </x:c>
      <x:c r="F1061" s="19" t="str">
        <x:v>approved</x:v>
      </x:c>
      <x:c r="G1061" s="19" t="str">
        <x:v>Repairer Invoiced Processed</x:v>
      </x:c>
      <x:c r="H1061" s="19" t="str">
        <x:v>In Field</x:v>
      </x:c>
      <x:c r="I1061" s="37" t="n">
        <x:v>46163</x:v>
      </x:c>
      <x:c r="J1061" s="37" t="n">
        <x:v>46163</x:v>
      </x:c>
      <x:c r="K1061" s="19" t="str">
        <x:v>Lesiure Lion-New Castle</x:v>
      </x:c>
      <x:c r="L1061" s="19" t="str">
        <x:v>Z006</x:v>
      </x:c>
      <x:c r="M1061" s="19" t="str">
        <x:v>In Field Warranty Claims</x:v>
      </x:c>
      <x:c r="N1061" s="37" t="n">
        <x:v>46162</x:v>
      </x:c>
      <x:c r="O1061" s="37"/>
      <x:c r="P1061" s="34" t="n">
        <x:v>0</x:v>
      </x:c>
      <x:c r="Q1061" s="37" t="n">
        <x:v>46162.946388888886</x:v>
      </x:c>
    </x:row>
    <x:row r="1062">
      <x:c r="A1062" s="22" t="n">
        <x:v>35257</x:v>
      </x:c>
      <x:c r="B1062" s="28" t="n">
        <x:v>830</x:v>
      </x:c>
      <x:c r="C1062" s="28"/>
      <x:c r="D1062" s="31" t="str">
        <x:f>IF(OR(ISBLANK(B1062),ISBLANK(C1062),B1062=0),"",(C1062-B1062)/B1062)</x:f>
      </x:c>
      <x:c r="E1062" s="22" t="str">
        <x:f>IF(ISBLANK(C1062),"AmountIncludingTax缺失",IF(ABS(B1062-C1062)&lt;0.005,"一致","不一致"))</x:f>
        <x:v>AmountIncludingTax缺失</x:v>
      </x:c>
      <x:c r="F1062" s="19" t="str">
        <x:v>approved</x:v>
      </x:c>
      <x:c r="G1062" s="19" t="str">
        <x:v>Repair in Progress</x:v>
      </x:c>
      <x:c r="H1062" s="19" t="str">
        <x:v>In Field</x:v>
      </x:c>
      <x:c r="I1062" s="37" t="n">
        <x:v>46177</x:v>
      </x:c>
      <x:c r="J1062" s="37" t="n">
        <x:v>46177</x:v>
      </x:c>
      <x:c r="K1062" s="19" t="str">
        <x:v>Snowy River Wangaratta</x:v>
      </x:c>
      <x:c r="L1062" s="19" t="str">
        <x:v>Z006</x:v>
      </x:c>
      <x:c r="M1062" s="19" t="str">
        <x:v>In Field Warranty Claims</x:v>
      </x:c>
      <x:c r="N1062" s="37" t="n">
        <x:v>46162</x:v>
      </x:c>
      <x:c r="O1062" s="37"/>
      <x:c r="P1062" s="34" t="n">
        <x:v>0</x:v>
      </x:c>
      <x:c r="Q1062" s="37" t="n">
        <x:v>46177.10787037037</x:v>
      </x:c>
    </x:row>
    <x:row r="1063">
      <x:c r="A1063" s="22" t="n">
        <x:v>35256</x:v>
      </x:c>
      <x:c r="B1063" s="28" t="n">
        <x:v>275</x:v>
      </x:c>
      <x:c r="C1063" s="28"/>
      <x:c r="D1063" s="31" t="str">
        <x:f>IF(OR(ISBLANK(B1063),ISBLANK(C1063),B1063=0),"",(C1063-B1063)/B1063)</x:f>
      </x:c>
      <x:c r="E1063" s="22" t="str">
        <x:f>IF(ISBLANK(C1063),"AmountIncludingTax缺失",IF(ABS(B1063-C1063)&lt;0.005,"一致","不一致"))</x:f>
        <x:v>AmountIncludingTax缺失</x:v>
      </x:c>
      <x:c r="F1063" s="19" t="str">
        <x:v>approved</x:v>
      </x:c>
      <x:c r="G1063" s="19" t="str">
        <x:v>Repair in Progress</x:v>
      </x:c>
      <x:c r="H1063" s="19" t="str">
        <x:v>In Field</x:v>
      </x:c>
      <x:c r="I1063" s="37" t="n">
        <x:v>46163</x:v>
      </x:c>
      <x:c r="J1063" s="37" t="n">
        <x:v>46163</x:v>
      </x:c>
      <x:c r="K1063" s="19" t="str">
        <x:v>Green RV - Forest Glen</x:v>
      </x:c>
      <x:c r="L1063" s="19" t="str">
        <x:v>Z006</x:v>
      </x:c>
      <x:c r="M1063" s="19" t="str">
        <x:v>In Field Warranty Claims</x:v>
      </x:c>
      <x:c r="N1063" s="37" t="n">
        <x:v>46162</x:v>
      </x:c>
      <x:c r="O1063" s="37"/>
      <x:c r="P1063" s="34" t="n">
        <x:v>0</x:v>
      </x:c>
      <x:c r="Q1063" s="37" t="n">
        <x:v>46162.945914351854</x:v>
      </x:c>
    </x:row>
    <x:row r="1064">
      <x:c r="A1064" s="22" t="n">
        <x:v>35255</x:v>
      </x:c>
      <x:c r="B1064" s="28" t="n">
        <x:v>290</x:v>
      </x:c>
      <x:c r="C1064" s="28"/>
      <x:c r="D1064" s="31" t="str">
        <x:f>IF(OR(ISBLANK(B1064),ISBLANK(C1064),B1064=0),"",(C1064-B1064)/B1064)</x:f>
      </x:c>
      <x:c r="E1064" s="22" t="str">
        <x:f>IF(ISBLANK(C1064),"AmountIncludingTax缺失",IF(ABS(B1064-C1064)&lt;0.005,"一致","不一致"))</x:f>
        <x:v>AmountIncludingTax缺失</x:v>
      </x:c>
      <x:c r="F1064" s="19" t="str">
        <x:v>approved</x:v>
      </x:c>
      <x:c r="G1064" s="19" t="str">
        <x:v>Repair in Progress</x:v>
      </x:c>
      <x:c r="H1064" s="19" t="str">
        <x:v>In Field</x:v>
      </x:c>
      <x:c r="I1064" s="37" t="n">
        <x:v>46163</x:v>
      </x:c>
      <x:c r="J1064" s="37" t="n">
        <x:v>46163</x:v>
      </x:c>
      <x:c r="K1064" s="19" t="str">
        <x:v>QCCC - Gympie</x:v>
      </x:c>
      <x:c r="L1064" s="19" t="str">
        <x:v>Z006</x:v>
      </x:c>
      <x:c r="M1064" s="19" t="str">
        <x:v>In Field Warranty Claims</x:v>
      </x:c>
      <x:c r="N1064" s="37" t="n">
        <x:v>46162</x:v>
      </x:c>
      <x:c r="O1064" s="37"/>
      <x:c r="P1064" s="34" t="n">
        <x:v>0</x:v>
      </x:c>
      <x:c r="Q1064" s="37" t="n">
        <x:v>46162.94688657407</x:v>
      </x:c>
    </x:row>
    <x:row r="1065">
      <x:c r="A1065" s="22" t="n">
        <x:v>35254</x:v>
      </x:c>
      <x:c r="B1065" s="28" t="n">
        <x:v>135</x:v>
      </x:c>
      <x:c r="C1065" s="28"/>
      <x:c r="D1065" s="31" t="str">
        <x:f>IF(OR(ISBLANK(B1065),ISBLANK(C1065),B1065=0),"",(C1065-B1065)/B1065)</x:f>
      </x:c>
      <x:c r="E1065" s="22" t="str">
        <x:f>IF(ISBLANK(C1065),"AmountIncludingTax缺失",IF(ABS(B1065-C1065)&lt;0.005,"一致","不一致"))</x:f>
        <x:v>AmountIncludingTax缺失</x:v>
      </x:c>
      <x:c r="F1065" s="19" t="str">
        <x:v>approved</x:v>
      </x:c>
      <x:c r="G1065" s="19" t="str">
        <x:v>Repair in Progress</x:v>
      </x:c>
      <x:c r="H1065" s="19" t="str">
        <x:v>In Field</x:v>
      </x:c>
      <x:c r="I1065" s="37" t="n">
        <x:v>46167</x:v>
      </x:c>
      <x:c r="J1065" s="37" t="n">
        <x:v>46167</x:v>
      </x:c>
      <x:c r="K1065" s="19" t="str">
        <x:v>Regent RV - Perth</x:v>
      </x:c>
      <x:c r="L1065" s="19" t="str">
        <x:v>Z006</x:v>
      </x:c>
      <x:c r="M1065" s="19" t="str">
        <x:v>In Field Warranty Claims</x:v>
      </x:c>
      <x:c r="N1065" s="37" t="n">
        <x:v>46162</x:v>
      </x:c>
      <x:c r="O1065" s="37"/>
      <x:c r="P1065" s="34" t="n">
        <x:v>0</x:v>
      </x:c>
      <x:c r="Q1065" s="37" t="n">
        <x:v>46167.2280787037</x:v>
      </x:c>
    </x:row>
    <x:row r="1066">
      <x:c r="A1066" s="22" t="n">
        <x:v>35251</x:v>
      </x:c>
      <x:c r="B1066" s="28" t="n">
        <x:v>1277.27</x:v>
      </x:c>
      <x:c r="C1066" s="28"/>
      <x:c r="D1066" s="31" t="str">
        <x:f>IF(OR(ISBLANK(B1066),ISBLANK(C1066),B1066=0),"",(C1066-B1066)/B1066)</x:f>
      </x:c>
      <x:c r="E1066" s="22" t="str">
        <x:f>IF(ISBLANK(C1066),"AmountIncludingTax缺失",IF(ABS(B1066-C1066)&lt;0.005,"一致","不一致"))</x:f>
        <x:v>AmountIncludingTax缺失</x:v>
      </x:c>
      <x:c r="F1066" s="19" t="str">
        <x:v>approved</x:v>
      </x:c>
      <x:c r="G1066" s="19" t="str">
        <x:v>Repair in Progress</x:v>
      </x:c>
      <x:c r="H1066" s="19" t="str">
        <x:v>In Field</x:v>
      </x:c>
      <x:c r="I1066" s="37" t="n">
        <x:v>46163</x:v>
      </x:c>
      <x:c r="J1066" s="37" t="n">
        <x:v>46163</x:v>
      </x:c>
      <x:c r="K1066" s="19" t="str">
        <x:v>Auswide Caravans - South Nowra</x:v>
      </x:c>
      <x:c r="L1066" s="19" t="str">
        <x:v>Z006</x:v>
      </x:c>
      <x:c r="M1066" s="19" t="str">
        <x:v>In Field Warranty Claims</x:v>
      </x:c>
      <x:c r="N1066" s="37" t="n">
        <x:v>46162</x:v>
      </x:c>
      <x:c r="O1066" s="37"/>
      <x:c r="P1066" s="34" t="n">
        <x:v>0</x:v>
      </x:c>
      <x:c r="Q1066" s="37" t="n">
        <x:v>46163.132199074076</x:v>
      </x:c>
    </x:row>
    <x:row r="1067">
      <x:c r="A1067" s="22" t="n">
        <x:v>35247</x:v>
      </x:c>
      <x:c r="B1067" s="28" t="n">
        <x:v>1072.5</x:v>
      </x:c>
      <x:c r="C1067" s="28"/>
      <x:c r="D1067" s="31" t="str">
        <x:f>IF(OR(ISBLANK(B1067),ISBLANK(C1067),B1067=0),"",(C1067-B1067)/B1067)</x:f>
      </x:c>
      <x:c r="E1067" s="22" t="str">
        <x:f>IF(ISBLANK(C1067),"AmountIncludingTax缺失",IF(ABS(B1067-C1067)&lt;0.005,"一致","不一致"))</x:f>
        <x:v>AmountIncludingTax缺失</x:v>
      </x:c>
      <x:c r="F1067" s="19" t="str">
        <x:v>approved</x:v>
      </x:c>
      <x:c r="G1067" s="19" t="str">
        <x:v>Repair in Progress</x:v>
      </x:c>
      <x:c r="H1067" s="19" t="str">
        <x:v>In Field</x:v>
      </x:c>
      <x:c r="I1067" s="37" t="n">
        <x:v>46162</x:v>
      </x:c>
      <x:c r="J1067" s="37" t="n">
        <x:v>46162</x:v>
      </x:c>
      <x:c r="K1067" s="19" t="str">
        <x:v>Regent RV - Toowoomba</x:v>
      </x:c>
      <x:c r="L1067" s="19" t="str">
        <x:v>Z006</x:v>
      </x:c>
      <x:c r="M1067" s="19" t="str">
        <x:v>In Field Warranty Claims</x:v>
      </x:c>
      <x:c r="N1067" s="37" t="n">
        <x:v>46162</x:v>
      </x:c>
      <x:c r="O1067" s="37"/>
      <x:c r="P1067" s="34" t="n">
        <x:v>0</x:v>
      </x:c>
      <x:c r="Q1067" s="37" t="n">
        <x:v>46162.161944444444</x:v>
      </x:c>
    </x:row>
    <x:row r="1068">
      <x:c r="A1068" s="22" t="n">
        <x:v>35240</x:v>
      </x:c>
      <x:c r="B1068" s="28" t="n">
        <x:v>202.5</x:v>
      </x:c>
      <x:c r="C1068" s="28"/>
      <x:c r="D1068" s="31" t="str">
        <x:f>IF(OR(ISBLANK(B1068),ISBLANK(C1068),B1068=0),"",(C1068-B1068)/B1068)</x:f>
      </x:c>
      <x:c r="E1068" s="22" t="str">
        <x:f>IF(ISBLANK(C1068),"AmountIncludingTax缺失",IF(ABS(B1068-C1068)&lt;0.005,"一致","不一致"))</x:f>
        <x:v>AmountIncludingTax缺失</x:v>
      </x:c>
      <x:c r="F1068" s="19" t="str">
        <x:v>approved</x:v>
      </x:c>
      <x:c r="G1068" s="19" t="str">
        <x:v>Sales Order Approved</x:v>
      </x:c>
      <x:c r="H1068" s="19" t="str">
        <x:v>Pre Delivery</x:v>
      </x:c>
      <x:c r="I1068" s="37" t="n">
        <x:v>46162</x:v>
      </x:c>
      <x:c r="J1068" s="37" t="n">
        <x:v>46162</x:v>
      </x:c>
      <x:c r="K1068" s="19" t="str">
        <x:v>Green RV - Forest Glen</x:v>
      </x:c>
      <x:c r="L1068" s="19" t="str">
        <x:v>Z005</x:v>
      </x:c>
      <x:c r="M1068" s="19" t="str">
        <x:v>Pre Delivery Warranty Claims</x:v>
      </x:c>
      <x:c r="N1068" s="37" t="n">
        <x:v>46162</x:v>
      </x:c>
      <x:c r="O1068" s="37"/>
      <x:c r="P1068" s="34" t="n">
        <x:v>0</x:v>
      </x:c>
      <x:c r="Q1068" s="37" t="n">
        <x:v>46162.23755787037</x:v>
      </x:c>
    </x:row>
    <x:row r="1069">
      <x:c r="A1069" s="22" t="n">
        <x:v>35238</x:v>
      </x:c>
      <x:c r="B1069" s="28" t="n">
        <x:v>101.25</x:v>
      </x:c>
      <x:c r="C1069" s="28"/>
      <x:c r="D1069" s="31" t="str">
        <x:f>IF(OR(ISBLANK(B1069),ISBLANK(C1069),B1069=0),"",(C1069-B1069)/B1069)</x:f>
      </x:c>
      <x:c r="E1069" s="22" t="str">
        <x:f>IF(ISBLANK(C1069),"AmountIncludingTax缺失",IF(ABS(B1069-C1069)&lt;0.005,"一致","不一致"))</x:f>
        <x:v>AmountIncludingTax缺失</x:v>
      </x:c>
      <x:c r="F1069" s="19" t="str">
        <x:v>approved</x:v>
      </x:c>
      <x:c r="G1069" s="19" t="str">
        <x:v>Sales Order Approved</x:v>
      </x:c>
      <x:c r="H1069" s="19" t="str">
        <x:v>In Field</x:v>
      </x:c>
      <x:c r="I1069" s="37" t="n">
        <x:v>46209</x:v>
      </x:c>
      <x:c r="J1069" s="37" t="n">
        <x:v>46209</x:v>
      </x:c>
      <x:c r="K1069" s="19" t="str">
        <x:v>Newcastle RV Super Centre - Beresfield</x:v>
      </x:c>
      <x:c r="L1069" s="19" t="str">
        <x:v>Z006</x:v>
      </x:c>
      <x:c r="M1069" s="19" t="str">
        <x:v>In Field Warranty Claims</x:v>
      </x:c>
      <x:c r="N1069" s="37" t="n">
        <x:v>46162</x:v>
      </x:c>
      <x:c r="O1069" s="37"/>
      <x:c r="P1069" s="34" t="n">
        <x:v>0</x:v>
      </x:c>
      <x:c r="Q1069" s="37" t="n">
        <x:v>46208.99875</x:v>
      </x:c>
    </x:row>
    <x:row r="1070">
      <x:c r="A1070" s="22" t="n">
        <x:v>35237</x:v>
      </x:c>
      <x:c r="B1070" s="28" t="n">
        <x:v>101.25</x:v>
      </x:c>
      <x:c r="C1070" s="28"/>
      <x:c r="D1070" s="31" t="str">
        <x:f>IF(OR(ISBLANK(B1070),ISBLANK(C1070),B1070=0),"",(C1070-B1070)/B1070)</x:f>
      </x:c>
      <x:c r="E1070" s="22" t="str">
        <x:f>IF(ISBLANK(C1070),"AmountIncludingTax缺失",IF(ABS(B1070-C1070)&lt;0.005,"一致","不一致"))</x:f>
        <x:v>AmountIncludingTax缺失</x:v>
      </x:c>
      <x:c r="F1070" s="19" t="str">
        <x:v>approved</x:v>
      </x:c>
      <x:c r="G1070" s="19" t="str">
        <x:v>Repair in Progress</x:v>
      </x:c>
      <x:c r="H1070" s="19" t="str">
        <x:v>In Field</x:v>
      </x:c>
      <x:c r="I1070" s="37" t="n">
        <x:v>46163</x:v>
      </x:c>
      <x:c r="J1070" s="37" t="n">
        <x:v>46163</x:v>
      </x:c>
      <x:c r="K1070" s="19" t="str">
        <x:v>Green RV - Forest Glen</x:v>
      </x:c>
      <x:c r="L1070" s="19" t="str">
        <x:v>Z006</x:v>
      </x:c>
      <x:c r="M1070" s="19" t="str">
        <x:v>In Field Warranty Claims</x:v>
      </x:c>
      <x:c r="N1070" s="37" t="n">
        <x:v>46162</x:v>
      </x:c>
      <x:c r="O1070" s="37"/>
      <x:c r="P1070" s="34" t="n">
        <x:v>0</x:v>
      </x:c>
      <x:c r="Q1070" s="37" t="n">
        <x:v>46163.051712962966</x:v>
      </x:c>
    </x:row>
    <x:row r="1071">
      <x:c r="A1071" s="22" t="n">
        <x:v>35236</x:v>
      </x:c>
      <x:c r="B1071" s="28" t="n">
        <x:v>793.75</x:v>
      </x:c>
      <x:c r="C1071" s="28"/>
      <x:c r="D1071" s="31" t="str">
        <x:f>IF(OR(ISBLANK(B1071),ISBLANK(C1071),B1071=0),"",(C1071-B1071)/B1071)</x:f>
      </x:c>
      <x:c r="E1071" s="22" t="str">
        <x:f>IF(ISBLANK(C1071),"AmountIncludingTax缺失",IF(ABS(B1071-C1071)&lt;0.005,"一致","不一致"))</x:f>
        <x:v>AmountIncludingTax缺失</x:v>
      </x:c>
      <x:c r="F1071" s="19" t="str">
        <x:v>approved</x:v>
      </x:c>
      <x:c r="G1071" s="19" t="str">
        <x:v>Partially Picked</x:v>
      </x:c>
      <x:c r="H1071" s="19" t="str">
        <x:v>In Field</x:v>
      </x:c>
      <x:c r="I1071" s="37" t="n">
        <x:v>46169</x:v>
      </x:c>
      <x:c r="J1071" s="37" t="n">
        <x:v>46169</x:v>
      </x:c>
      <x:c r="K1071" s="19" t="str">
        <x:v>Lesiure Lion-New Castle</x:v>
      </x:c>
      <x:c r="L1071" s="19" t="str">
        <x:v>Z006</x:v>
      </x:c>
      <x:c r="M1071" s="19" t="str">
        <x:v>In Field Warranty Claims</x:v>
      </x:c>
      <x:c r="N1071" s="37" t="n">
        <x:v>46162</x:v>
      </x:c>
      <x:c r="O1071" s="37"/>
      <x:c r="P1071" s="34" t="n">
        <x:v>0</x:v>
      </x:c>
      <x:c r="Q1071" s="37" t="n">
        <x:v>46169.15443287037</x:v>
      </x:c>
    </x:row>
    <x:row r="1072">
      <x:c r="A1072" s="22" t="n">
        <x:v>35235</x:v>
      </x:c>
      <x:c r="B1072" s="28" t="n">
        <x:v>323.75</x:v>
      </x:c>
      <x:c r="C1072" s="28"/>
      <x:c r="D1072" s="31" t="str">
        <x:f>IF(OR(ISBLANK(B1072),ISBLANK(C1072),B1072=0),"",(C1072-B1072)/B1072)</x:f>
      </x:c>
      <x:c r="E1072" s="22" t="str">
        <x:f>IF(ISBLANK(C1072),"AmountIncludingTax缺失",IF(ABS(B1072-C1072)&lt;0.005,"一致","不一致"))</x:f>
        <x:v>AmountIncludingTax缺失</x:v>
      </x:c>
      <x:c r="F1072" s="19" t="str">
        <x:v>approved</x:v>
      </x:c>
      <x:c r="G1072" s="19" t="str">
        <x:v>Repair in Progress</x:v>
      </x:c>
      <x:c r="H1072" s="19" t="str">
        <x:v>In Field</x:v>
      </x:c>
      <x:c r="I1072" s="37" t="n">
        <x:v>46183</x:v>
      </x:c>
      <x:c r="J1072" s="37" t="n">
        <x:v>46183</x:v>
      </x:c>
      <x:c r="K1072" s="19" t="str">
        <x:v>Regent RV - Toowoomba</x:v>
      </x:c>
      <x:c r="L1072" s="19" t="str">
        <x:v>Z006</x:v>
      </x:c>
      <x:c r="M1072" s="19" t="str">
        <x:v>In Field Warranty Claims</x:v>
      </x:c>
      <x:c r="N1072" s="37" t="n">
        <x:v>46162</x:v>
      </x:c>
      <x:c r="O1072" s="37"/>
      <x:c r="P1072" s="34" t="n">
        <x:v>0</x:v>
      </x:c>
      <x:c r="Q1072" s="37" t="n">
        <x:v>46183.19572916667</x:v>
      </x:c>
    </x:row>
    <x:row r="1073">
      <x:c r="A1073" s="22" t="n">
        <x:v>35233</x:v>
      </x:c>
      <x:c r="B1073" s="28" t="n">
        <x:v>412.5</x:v>
      </x:c>
      <x:c r="C1073" s="28"/>
      <x:c r="D1073" s="31" t="str">
        <x:f>IF(OR(ISBLANK(B1073),ISBLANK(C1073),B1073=0),"",(C1073-B1073)/B1073)</x:f>
      </x:c>
      <x:c r="E1073" s="22" t="str">
        <x:f>IF(ISBLANK(C1073),"AmountIncludingTax缺失",IF(ABS(B1073-C1073)&lt;0.005,"一致","不一致"))</x:f>
        <x:v>AmountIncludingTax缺失</x:v>
      </x:c>
      <x:c r="F1073" s="19" t="str">
        <x:v>approved</x:v>
      </x:c>
      <x:c r="G1073" s="19" t="str">
        <x:v>Repair in Progress</x:v>
      </x:c>
      <x:c r="H1073" s="19" t="str">
        <x:v>In Field</x:v>
      </x:c>
      <x:c r="I1073" s="37" t="n">
        <x:v>46167</x:v>
      </x:c>
      <x:c r="J1073" s="37" t="n">
        <x:v>46167</x:v>
      </x:c>
      <x:c r="K1073" s="19" t="str">
        <x:v>Lesiure Lion-New Castle</x:v>
      </x:c>
      <x:c r="L1073" s="19" t="str">
        <x:v>Z006</x:v>
      </x:c>
      <x:c r="M1073" s="19" t="str">
        <x:v>In Field Warranty Claims</x:v>
      </x:c>
      <x:c r="N1073" s="37" t="n">
        <x:v>46162</x:v>
      </x:c>
      <x:c r="O1073" s="37"/>
      <x:c r="P1073" s="34" t="n">
        <x:v>0</x:v>
      </x:c>
      <x:c r="Q1073" s="37" t="n">
        <x:v>46167.22773148148</x:v>
      </x:c>
    </x:row>
    <x:row r="1074">
      <x:c r="A1074" s="22" t="n">
        <x:v>35232</x:v>
      </x:c>
      <x:c r="B1074" s="28" t="n">
        <x:v>405</x:v>
      </x:c>
      <x:c r="C1074" s="28" t="n">
        <x:v>445.5</x:v>
      </x:c>
      <x:c r="D1074" s="31" t="n">
        <x:f>IF(OR(ISBLANK(B1074),ISBLANK(C1074),B1074=0),"",(C1074-B1074)/B1074)</x:f>
        <x:v>0.1</x:v>
      </x:c>
      <x:c r="E1074" s="22" t="str">
        <x:f>IF(ISBLANK(C1074),"AmountIncludingTax缺失",IF(ABS(B1074-C1074)&lt;0.005,"一致","不一致"))</x:f>
        <x:v>不一致</x:v>
      </x:c>
      <x:c r="F1074" s="19" t="str">
        <x:v>approved</x:v>
      </x:c>
      <x:c r="G1074" s="19" t="str">
        <x:v>Repairer Invoiced Processed</x:v>
      </x:c>
      <x:c r="H1074" s="19" t="str">
        <x:v>In Field</x:v>
      </x:c>
      <x:c r="I1074" s="37" t="n">
        <x:v>46162</x:v>
      </x:c>
      <x:c r="J1074" s="37" t="n">
        <x:v>46162</x:v>
      </x:c>
      <x:c r="K1074" s="19" t="str">
        <x:v>Green RV - Forest Glen</x:v>
      </x:c>
      <x:c r="L1074" s="19" t="str">
        <x:v>Z006</x:v>
      </x:c>
      <x:c r="M1074" s="19" t="str">
        <x:v>In Field Warranty Claims</x:v>
      </x:c>
      <x:c r="N1074" s="37" t="n">
        <x:v>46162</x:v>
      </x:c>
      <x:c r="O1074" s="37"/>
      <x:c r="P1074" s="34" t="n">
        <x:v>445.5</x:v>
      </x:c>
      <x:c r="Q1074" s="37" t="n">
        <x:v>46162.24150462963</x:v>
      </x:c>
    </x:row>
    <x:row r="1075">
      <x:c r="A1075" s="22" t="n">
        <x:v>35230</x:v>
      </x:c>
      <x:c r="B1075" s="28" t="n">
        <x:v>135</x:v>
      </x:c>
      <x:c r="C1075" s="28"/>
      <x:c r="D1075" s="31" t="str">
        <x:f>IF(OR(ISBLANK(B1075),ISBLANK(C1075),B1075=0),"",(C1075-B1075)/B1075)</x:f>
      </x:c>
      <x:c r="E1075" s="22" t="str">
        <x:f>IF(ISBLANK(C1075),"AmountIncludingTax缺失",IF(ABS(B1075-C1075)&lt;0.005,"一致","不一致"))</x:f>
        <x:v>AmountIncludingTax缺失</x:v>
      </x:c>
      <x:c r="F1075" s="19" t="str">
        <x:v>approved</x:v>
      </x:c>
      <x:c r="G1075" s="19" t="str">
        <x:v>Sales Order Approved</x:v>
      </x:c>
      <x:c r="H1075" s="19" t="str">
        <x:v>Pre Delivery</x:v>
      </x:c>
      <x:c r="I1075" s="37" t="n">
        <x:v>46190</x:v>
      </x:c>
      <x:c r="J1075" s="37" t="n">
        <x:v>46190</x:v>
      </x:c>
      <x:c r="K1075" s="19" t="str">
        <x:v>Green RV - Forest Glen</x:v>
      </x:c>
      <x:c r="L1075" s="19" t="str">
        <x:v>Z005</x:v>
      </x:c>
      <x:c r="M1075" s="19" t="str">
        <x:v>Pre Delivery Warranty Claims</x:v>
      </x:c>
      <x:c r="N1075" s="37" t="n">
        <x:v>46162</x:v>
      </x:c>
      <x:c r="O1075" s="37"/>
      <x:c r="P1075" s="34" t="n">
        <x:v>0</x:v>
      </x:c>
      <x:c r="Q1075" s="37" t="n">
        <x:v>46190.06233796296</x:v>
      </x:c>
    </x:row>
    <x:row r="1076">
      <x:c r="A1076" s="22" t="n">
        <x:v>35229</x:v>
      </x:c>
      <x:c r="B1076" s="28" t="n">
        <x:v>67.5</x:v>
      </x:c>
      <x:c r="C1076" s="28"/>
      <x:c r="D1076" s="31" t="str">
        <x:f>IF(OR(ISBLANK(B1076),ISBLANK(C1076),B1076=0),"",(C1076-B1076)/B1076)</x:f>
      </x:c>
      <x:c r="E1076" s="22" t="str">
        <x:f>IF(ISBLANK(C1076),"AmountIncludingTax缺失",IF(ABS(B1076-C1076)&lt;0.005,"一致","不一致"))</x:f>
        <x:v>AmountIncludingTax缺失</x:v>
      </x:c>
      <x:c r="F1076" s="19" t="str">
        <x:v>approved</x:v>
      </x:c>
      <x:c r="G1076" s="19" t="str">
        <x:v>Repair in Progress</x:v>
      </x:c>
      <x:c r="H1076" s="19" t="str">
        <x:v>In Field</x:v>
      </x:c>
      <x:c r="I1076" s="37" t="n">
        <x:v>46167</x:v>
      </x:c>
      <x:c r="J1076" s="37" t="n">
        <x:v>46167</x:v>
      </x:c>
      <x:c r="K1076" s="19" t="str">
        <x:v>Newcastle RV Super Centre - Beresfield</x:v>
      </x:c>
      <x:c r="L1076" s="19" t="str">
        <x:v>Z006</x:v>
      </x:c>
      <x:c r="M1076" s="19" t="str">
        <x:v>In Field Warranty Claims</x:v>
      </x:c>
      <x:c r="N1076" s="37" t="n">
        <x:v>46162</x:v>
      </x:c>
      <x:c r="O1076" s="37"/>
      <x:c r="P1076" s="34" t="n">
        <x:v>0</x:v>
      </x:c>
      <x:c r="Q1076" s="37" t="n">
        <x:v>46167.04074074074</x:v>
      </x:c>
    </x:row>
    <x:row r="1077">
      <x:c r="A1077" s="22" t="n">
        <x:v>35228</x:v>
      </x:c>
      <x:c r="B1077" s="28" t="n">
        <x:v>67.5</x:v>
      </x:c>
      <x:c r="C1077" s="28"/>
      <x:c r="D1077" s="31" t="str">
        <x:f>IF(OR(ISBLANK(B1077),ISBLANK(C1077),B1077=0),"",(C1077-B1077)/B1077)</x:f>
      </x:c>
      <x:c r="E1077" s="22" t="str">
        <x:f>IF(ISBLANK(C1077),"AmountIncludingTax缺失",IF(ABS(B1077-C1077)&lt;0.005,"一致","不一致"))</x:f>
        <x:v>AmountIncludingTax缺失</x:v>
      </x:c>
      <x:c r="F1077" s="19" t="str">
        <x:v>approved</x:v>
      </x:c>
      <x:c r="G1077" s="19" t="str">
        <x:v>Repair in Progress</x:v>
      </x:c>
      <x:c r="H1077" s="19" t="str">
        <x:v>In Field</x:v>
      </x:c>
      <x:c r="I1077" s="37" t="n">
        <x:v>46170</x:v>
      </x:c>
      <x:c r="J1077" s="37" t="n">
        <x:v>46170</x:v>
      </x:c>
      <x:c r="K1077" s="19" t="str">
        <x:v>Regent RV - Toowoomba</x:v>
      </x:c>
      <x:c r="L1077" s="19" t="str">
        <x:v>Z006</x:v>
      </x:c>
      <x:c r="M1077" s="19" t="str">
        <x:v>In Field Warranty Claims</x:v>
      </x:c>
      <x:c r="N1077" s="37" t="n">
        <x:v>46162</x:v>
      </x:c>
      <x:c r="O1077" s="37"/>
      <x:c r="P1077" s="34" t="n">
        <x:v>0</x:v>
      </x:c>
      <x:c r="Q1077" s="37" t="n">
        <x:v>46170.10530092593</x:v>
      </x:c>
    </x:row>
    <x:row r="1078">
      <x:c r="A1078" s="22" t="n">
        <x:v>35227</x:v>
      </x:c>
      <x:c r="B1078" s="28" t="n">
        <x:v>345</x:v>
      </x:c>
      <x:c r="C1078" s="28"/>
      <x:c r="D1078" s="31" t="str">
        <x:f>IF(OR(ISBLANK(B1078),ISBLANK(C1078),B1078=0),"",(C1078-B1078)/B1078)</x:f>
      </x:c>
      <x:c r="E1078" s="22" t="str">
        <x:f>IF(ISBLANK(C1078),"AmountIncludingTax缺失",IF(ABS(B1078-C1078)&lt;0.005,"一致","不一致"))</x:f>
        <x:v>AmountIncludingTax缺失</x:v>
      </x:c>
      <x:c r="F1078" s="19" t="str">
        <x:v>approved</x:v>
      </x:c>
      <x:c r="G1078" s="19" t="str">
        <x:v>Repair in Progress</x:v>
      </x:c>
      <x:c r="H1078" s="19" t="str">
        <x:v>In Field</x:v>
      </x:c>
      <x:c r="I1078" s="37" t="n">
        <x:v>46174</x:v>
      </x:c>
      <x:c r="J1078" s="37" t="n">
        <x:v>46174</x:v>
      </x:c>
      <x:c r="K1078" s="19" t="str">
        <x:v>Auswide Caravans - South Nowra</x:v>
      </x:c>
      <x:c r="L1078" s="19" t="str">
        <x:v>Z006</x:v>
      </x:c>
      <x:c r="M1078" s="19" t="str">
        <x:v>In Field Warranty Claims</x:v>
      </x:c>
      <x:c r="N1078" s="37" t="n">
        <x:v>46162</x:v>
      </x:c>
      <x:c r="O1078" s="37"/>
      <x:c r="P1078" s="34" t="n">
        <x:v>0</x:v>
      </x:c>
      <x:c r="Q1078" s="37" t="n">
        <x:v>46173.94422453704</x:v>
      </x:c>
    </x:row>
    <x:row r="1079">
      <x:c r="A1079" s="22" t="n">
        <x:v>35226</x:v>
      </x:c>
      <x:c r="B1079" s="28" t="n">
        <x:v>207.5</x:v>
      </x:c>
      <x:c r="C1079" s="28"/>
      <x:c r="D1079" s="31" t="str">
        <x:f>IF(OR(ISBLANK(B1079),ISBLANK(C1079),B1079=0),"",(C1079-B1079)/B1079)</x:f>
      </x:c>
      <x:c r="E1079" s="22" t="str">
        <x:f>IF(ISBLANK(C1079),"AmountIncludingTax缺失",IF(ABS(B1079-C1079)&lt;0.005,"一致","不一致"))</x:f>
        <x:v>AmountIncludingTax缺失</x:v>
      </x:c>
      <x:c r="F1079" s="19" t="str">
        <x:v>approved</x:v>
      </x:c>
      <x:c r="G1079" s="19" t="str">
        <x:v>Repairer Invoiced Processed</x:v>
      </x:c>
      <x:c r="H1079" s="19" t="str">
        <x:v>In Field</x:v>
      </x:c>
      <x:c r="I1079" s="37" t="n">
        <x:v>46167</x:v>
      </x:c>
      <x:c r="J1079" s="37" t="n">
        <x:v>46167</x:v>
      </x:c>
      <x:c r="K1079" s="19" t="str">
        <x:v>Regent RV - Perth</x:v>
      </x:c>
      <x:c r="L1079" s="19" t="str">
        <x:v>Z006</x:v>
      </x:c>
      <x:c r="M1079" s="19" t="str">
        <x:v>In Field Warranty Claims</x:v>
      </x:c>
      <x:c r="N1079" s="37" t="n">
        <x:v>46162</x:v>
      </x:c>
      <x:c r="O1079" s="37"/>
      <x:c r="P1079" s="34" t="n">
        <x:v>0</x:v>
      </x:c>
      <x:c r="Q1079" s="37" t="n">
        <x:v>46167.04447916667</x:v>
      </x:c>
    </x:row>
    <x:row r="1080">
      <x:c r="A1080" s="22" t="n">
        <x:v>35225</x:v>
      </x:c>
      <x:c r="B1080" s="28" t="n">
        <x:v>135</x:v>
      </x:c>
      <x:c r="C1080" s="28"/>
      <x:c r="D1080" s="31" t="str">
        <x:f>IF(OR(ISBLANK(B1080),ISBLANK(C1080),B1080=0),"",(C1080-B1080)/B1080)</x:f>
      </x:c>
      <x:c r="E1080" s="22" t="str">
        <x:f>IF(ISBLANK(C1080),"AmountIncludingTax缺失",IF(ABS(B1080-C1080)&lt;0.005,"一致","不一致"))</x:f>
        <x:v>AmountIncludingTax缺失</x:v>
      </x:c>
      <x:c r="F1080" s="19" t="str">
        <x:v>approved</x:v>
      </x:c>
      <x:c r="G1080" s="19" t="str">
        <x:v>Sales Order Approved</x:v>
      </x:c>
      <x:c r="H1080" s="19" t="str">
        <x:v>Pre Delivery</x:v>
      </x:c>
      <x:c r="I1080" s="37" t="n">
        <x:v>46162</x:v>
      </x:c>
      <x:c r="J1080" s="37" t="n">
        <x:v>46162</x:v>
      </x:c>
      <x:c r="K1080" s="19" t="str">
        <x:v>Green RV - Forest Glen</x:v>
      </x:c>
      <x:c r="L1080" s="19" t="str">
        <x:v>Z005</x:v>
      </x:c>
      <x:c r="M1080" s="19" t="str">
        <x:v>Pre Delivery Warranty Claims</x:v>
      </x:c>
      <x:c r="N1080" s="37" t="n">
        <x:v>46162</x:v>
      </x:c>
      <x:c r="O1080" s="37"/>
      <x:c r="P1080" s="34" t="n">
        <x:v>0</x:v>
      </x:c>
      <x:c r="Q1080" s="37" t="n">
        <x:v>46162.23457175926</x:v>
      </x:c>
    </x:row>
    <x:row r="1081">
      <x:c r="A1081" s="22" t="n">
        <x:v>35224</x:v>
      </x:c>
      <x:c r="B1081" s="28" t="n">
        <x:v>145</x:v>
      </x:c>
      <x:c r="C1081" s="28"/>
      <x:c r="D1081" s="31" t="str">
        <x:f>IF(OR(ISBLANK(B1081),ISBLANK(C1081),B1081=0),"",(C1081-B1081)/B1081)</x:f>
      </x:c>
      <x:c r="E1081" s="22" t="str">
        <x:f>IF(ISBLANK(C1081),"AmountIncludingTax缺失",IF(ABS(B1081-C1081)&lt;0.005,"一致","不一致"))</x:f>
        <x:v>AmountIncludingTax缺失</x:v>
      </x:c>
      <x:c r="F1081" s="19" t="str">
        <x:v>approved</x:v>
      </x:c>
      <x:c r="G1081" s="19" t="str">
        <x:v>Repair in Progress</x:v>
      </x:c>
      <x:c r="H1081" s="19" t="str">
        <x:v>Pre Delivery</x:v>
      </x:c>
      <x:c r="I1081" s="37" t="n">
        <x:v>46192</x:v>
      </x:c>
      <x:c r="J1081" s="37" t="n">
        <x:v>46192</x:v>
      </x:c>
      <x:c r="K1081" s="19" t="str">
        <x:v>Regent RV - Townsville</x:v>
      </x:c>
      <x:c r="L1081" s="19" t="str">
        <x:v>Z005</x:v>
      </x:c>
      <x:c r="M1081" s="19" t="str">
        <x:v>Pre Delivery Warranty Claims</x:v>
      </x:c>
      <x:c r="N1081" s="37" t="n">
        <x:v>46162</x:v>
      </x:c>
      <x:c r="O1081" s="37"/>
      <x:c r="P1081" s="34" t="n">
        <x:v>0</x:v>
      </x:c>
      <x:c r="Q1081" s="37" t="n">
        <x:v>46191.980775462966</x:v>
      </x:c>
    </x:row>
    <x:row r="1082">
      <x:c r="A1082" s="22" t="n">
        <x:v>35223</x:v>
      </x:c>
      <x:c r="B1082" s="28" t="n">
        <x:v>1000</x:v>
      </x:c>
      <x:c r="C1082" s="28"/>
      <x:c r="D1082" s="31" t="str">
        <x:f>IF(OR(ISBLANK(B1082),ISBLANK(C1082),B1082=0),"",(C1082-B1082)/B1082)</x:f>
      </x:c>
      <x:c r="E1082" s="22" t="str">
        <x:f>IF(ISBLANK(C1082),"AmountIncludingTax缺失",IF(ABS(B1082-C1082)&lt;0.005,"一致","不一致"))</x:f>
        <x:v>AmountIncludingTax缺失</x:v>
      </x:c>
      <x:c r="F1082" s="19" t="str">
        <x:v>approved</x:v>
      </x:c>
      <x:c r="G1082" s="19" t="str">
        <x:v>Repair in Progress</x:v>
      </x:c>
      <x:c r="H1082" s="19" t="str">
        <x:v>In Field</x:v>
      </x:c>
      <x:c r="I1082" s="37" t="n">
        <x:v>46167</x:v>
      </x:c>
      <x:c r="J1082" s="37" t="n">
        <x:v>46167</x:v>
      </x:c>
      <x:c r="K1082" s="19" t="str">
        <x:v>Regent RV - Perth</x:v>
      </x:c>
      <x:c r="L1082" s="19" t="str">
        <x:v>Z006</x:v>
      </x:c>
      <x:c r="M1082" s="19" t="str">
        <x:v>In Field Warranty Claims</x:v>
      </x:c>
      <x:c r="N1082" s="37" t="n">
        <x:v>46162</x:v>
      </x:c>
      <x:c r="O1082" s="37"/>
      <x:c r="P1082" s="34" t="n">
        <x:v>0</x:v>
      </x:c>
      <x:c r="Q1082" s="37" t="n">
        <x:v>46167.035532407404</x:v>
      </x:c>
    </x:row>
    <x:row r="1083">
      <x:c r="A1083" s="22" t="n">
        <x:v>35222</x:v>
      </x:c>
      <x:c r="B1083" s="28" t="n">
        <x:v>101.25</x:v>
      </x:c>
      <x:c r="C1083" s="28"/>
      <x:c r="D1083" s="31" t="str">
        <x:f>IF(OR(ISBLANK(B1083),ISBLANK(C1083),B1083=0),"",(C1083-B1083)/B1083)</x:f>
      </x:c>
      <x:c r="E1083" s="22" t="str">
        <x:f>IF(ISBLANK(C1083),"AmountIncludingTax缺失",IF(ABS(B1083-C1083)&lt;0.005,"一致","不一致"))</x:f>
        <x:v>AmountIncludingTax缺失</x:v>
      </x:c>
      <x:c r="F1083" s="19" t="str">
        <x:v>approved</x:v>
      </x:c>
      <x:c r="G1083" s="19" t="str">
        <x:v>Repairer Invoiced Processed</x:v>
      </x:c>
      <x:c r="H1083" s="19" t="str">
        <x:v>Pre Delivery</x:v>
      </x:c>
      <x:c r="I1083" s="37" t="n">
        <x:v>46162</x:v>
      </x:c>
      <x:c r="J1083" s="37" t="n">
        <x:v>46162</x:v>
      </x:c>
      <x:c r="K1083" s="19" t="str">
        <x:v>Lesiure Lion-New Castle</x:v>
      </x:c>
      <x:c r="L1083" s="19" t="str">
        <x:v>Z005</x:v>
      </x:c>
      <x:c r="M1083" s="19" t="str">
        <x:v>Pre Delivery Warranty Claims</x:v>
      </x:c>
      <x:c r="N1083" s="37" t="n">
        <x:v>46162</x:v>
      </x:c>
      <x:c r="O1083" s="37"/>
      <x:c r="P1083" s="34" t="n">
        <x:v>0</x:v>
      </x:c>
      <x:c r="Q1083" s="37" t="n">
        <x:v>46162.23956018518</x:v>
      </x:c>
    </x:row>
    <x:row r="1084">
      <x:c r="A1084" s="22" t="n">
        <x:v>35221</x:v>
      </x:c>
      <x:c r="B1084" s="28" t="n">
        <x:v>150</x:v>
      </x:c>
      <x:c r="C1084" s="28"/>
      <x:c r="D1084" s="31" t="str">
        <x:f>IF(OR(ISBLANK(B1084),ISBLANK(C1084),B1084=0),"",(C1084-B1084)/B1084)</x:f>
      </x:c>
      <x:c r="E1084" s="22" t="str">
        <x:f>IF(ISBLANK(C1084),"AmountIncludingTax缺失",IF(ABS(B1084-C1084)&lt;0.005,"一致","不一致"))</x:f>
        <x:v>AmountIncludingTax缺失</x:v>
      </x:c>
      <x:c r="F1084" s="19" t="str">
        <x:v>approved</x:v>
      </x:c>
      <x:c r="G1084" s="19" t="str">
        <x:v>Repairer Invoiced Processed</x:v>
      </x:c>
      <x:c r="H1084" s="19" t="str">
        <x:v>In Field</x:v>
      </x:c>
      <x:c r="I1084" s="37" t="n">
        <x:v>46170</x:v>
      </x:c>
      <x:c r="J1084" s="37" t="n">
        <x:v>46170</x:v>
      </x:c>
      <x:c r="K1084" s="19" t="str">
        <x:v>Regent RV - Townsville</x:v>
      </x:c>
      <x:c r="L1084" s="19" t="str">
        <x:v>Z006</x:v>
      </x:c>
      <x:c r="M1084" s="19" t="str">
        <x:v>In Field Warranty Claims</x:v>
      </x:c>
      <x:c r="N1084" s="37" t="n">
        <x:v>46161</x:v>
      </x:c>
      <x:c r="O1084" s="37"/>
      <x:c r="P1084" s="34" t="n">
        <x:v>0</x:v>
      </x:c>
      <x:c r="Q1084" s="37" t="n">
        <x:v>46170.08148148148</x:v>
      </x:c>
    </x:row>
    <x:row r="1085">
      <x:c r="A1085" s="22" t="n">
        <x:v>35210</x:v>
      </x:c>
      <x:c r="B1085" s="28" t="n">
        <x:v>755</x:v>
      </x:c>
      <x:c r="C1085" s="28"/>
      <x:c r="D1085" s="31" t="str">
        <x:f>IF(OR(ISBLANK(B1085),ISBLANK(C1085),B1085=0),"",(C1085-B1085)/B1085)</x:f>
      </x:c>
      <x:c r="E1085" s="22" t="str">
        <x:f>IF(ISBLANK(C1085),"AmountIncludingTax缺失",IF(ABS(B1085-C1085)&lt;0.005,"一致","不一致"))</x:f>
        <x:v>AmountIncludingTax缺失</x:v>
      </x:c>
      <x:c r="F1085" s="19" t="str">
        <x:v>approved</x:v>
      </x:c>
      <x:c r="G1085" s="19" t="str">
        <x:v>Repair in Progress</x:v>
      </x:c>
      <x:c r="H1085" s="19" t="str">
        <x:v>In Field</x:v>
      </x:c>
      <x:c r="I1085" s="37" t="n">
        <x:v>46170</x:v>
      </x:c>
      <x:c r="J1085" s="37" t="n">
        <x:v>46170</x:v>
      </x:c>
      <x:c r="K1085" s="19" t="str">
        <x:v>Snowy River Wangaratta</x:v>
      </x:c>
      <x:c r="L1085" s="19" t="str">
        <x:v>Z006</x:v>
      </x:c>
      <x:c r="M1085" s="19" t="str">
        <x:v>In Field Warranty Claims</x:v>
      </x:c>
      <x:c r="N1085" s="37" t="n">
        <x:v>46162</x:v>
      </x:c>
      <x:c r="O1085" s="37"/>
      <x:c r="P1085" s="34" t="n">
        <x:v>0</x:v>
      </x:c>
      <x:c r="Q1085" s="37" t="n">
        <x:v>46170.08221064815</x:v>
      </x:c>
    </x:row>
    <x:row r="1086">
      <x:c r="A1086" s="22" t="n">
        <x:v>35209</x:v>
      </x:c>
      <x:c r="B1086" s="28" t="n">
        <x:v>820</x:v>
      </x:c>
      <x:c r="C1086" s="28"/>
      <x:c r="D1086" s="31" t="str">
        <x:f>IF(OR(ISBLANK(B1086),ISBLANK(C1086),B1086=0),"",(C1086-B1086)/B1086)</x:f>
      </x:c>
      <x:c r="E1086" s="22" t="str">
        <x:f>IF(ISBLANK(C1086),"AmountIncludingTax缺失",IF(ABS(B1086-C1086)&lt;0.005,"一致","不一致"))</x:f>
        <x:v>AmountIncludingTax缺失</x:v>
      </x:c>
      <x:c r="F1086" s="19" t="str">
        <x:v>approved</x:v>
      </x:c>
      <x:c r="G1086" s="19" t="str">
        <x:v>Repair in Progress</x:v>
      </x:c>
      <x:c r="H1086" s="19" t="str">
        <x:v>In Field</x:v>
      </x:c>
      <x:c r="I1086" s="37" t="n">
        <x:v>46163</x:v>
      </x:c>
      <x:c r="J1086" s="37" t="n">
        <x:v>46163</x:v>
      </x:c>
      <x:c r="K1086" s="19" t="str">
        <x:v>Green RV - Slacks Creek</x:v>
      </x:c>
      <x:c r="L1086" s="19" t="str">
        <x:v>Z006</x:v>
      </x:c>
      <x:c r="M1086" s="19" t="str">
        <x:v>In Field Warranty Claims</x:v>
      </x:c>
      <x:c r="N1086" s="37" t="n">
        <x:v>46161</x:v>
      </x:c>
      <x:c r="O1086" s="37"/>
      <x:c r="P1086" s="34" t="n">
        <x:v>0</x:v>
      </x:c>
      <x:c r="Q1086" s="37" t="n">
        <x:v>46163.055868055555</x:v>
      </x:c>
    </x:row>
    <x:row r="1087">
      <x:c r="A1087" s="22" t="n">
        <x:v>35205</x:v>
      </x:c>
      <x:c r="B1087" s="28" t="n">
        <x:v>540</x:v>
      </x:c>
      <x:c r="C1087" s="28"/>
      <x:c r="D1087" s="31" t="str">
        <x:f>IF(OR(ISBLANK(B1087),ISBLANK(C1087),B1087=0),"",(C1087-B1087)/B1087)</x:f>
      </x:c>
      <x:c r="E1087" s="22" t="str">
        <x:f>IF(ISBLANK(C1087),"AmountIncludingTax缺失",IF(ABS(B1087-C1087)&lt;0.005,"一致","不一致"))</x:f>
        <x:v>AmountIncludingTax缺失</x:v>
      </x:c>
      <x:c r="F1087" s="19" t="str">
        <x:v>approved</x:v>
      </x:c>
      <x:c r="G1087" s="19" t="str">
        <x:v>Repair in Progress</x:v>
      </x:c>
      <x:c r="H1087" s="19" t="str">
        <x:v>In Field</x:v>
      </x:c>
      <x:c r="I1087" s="37" t="n">
        <x:v>46176</x:v>
      </x:c>
      <x:c r="J1087" s="37" t="n">
        <x:v>46176</x:v>
      </x:c>
      <x:c r="K1087" s="19" t="str">
        <x:v>Regent RV - Toowoomba</x:v>
      </x:c>
      <x:c r="L1087" s="19" t="str">
        <x:v>Z006</x:v>
      </x:c>
      <x:c r="M1087" s="19" t="str">
        <x:v>In Field Warranty Claims</x:v>
      </x:c>
      <x:c r="N1087" s="37" t="n">
        <x:v>46161</x:v>
      </x:c>
      <x:c r="O1087" s="37"/>
      <x:c r="P1087" s="34" t="n">
        <x:v>0</x:v>
      </x:c>
      <x:c r="Q1087" s="37" t="n">
        <x:v>46176.04494212963</x:v>
      </x:c>
    </x:row>
    <x:row r="1088">
      <x:c r="A1088" s="22" t="n">
        <x:v>35204</x:v>
      </x:c>
      <x:c r="B1088" s="28" t="n">
        <x:v>67.5</x:v>
      </x:c>
      <x:c r="C1088" s="28"/>
      <x:c r="D1088" s="31" t="str">
        <x:f>IF(OR(ISBLANK(B1088),ISBLANK(C1088),B1088=0),"",(C1088-B1088)/B1088)</x:f>
      </x:c>
      <x:c r="E1088" s="22" t="str">
        <x:f>IF(ISBLANK(C1088),"AmountIncludingTax缺失",IF(ABS(B1088-C1088)&lt;0.005,"一致","不一致"))</x:f>
        <x:v>AmountIncludingTax缺失</x:v>
      </x:c>
      <x:c r="F1088" s="19" t="str">
        <x:v>approved</x:v>
      </x:c>
      <x:c r="G1088" s="19" t="str">
        <x:v>Partially Picked</x:v>
      </x:c>
      <x:c r="H1088" s="19" t="str">
        <x:v>In Field</x:v>
      </x:c>
      <x:c r="I1088" s="37" t="n">
        <x:v>46162</x:v>
      </x:c>
      <x:c r="J1088" s="37" t="n">
        <x:v>46162</x:v>
      </x:c>
      <x:c r="K1088" s="19" t="str">
        <x:v>Green RV - Forest Glen</x:v>
      </x:c>
      <x:c r="L1088" s="19" t="str">
        <x:v>Z006</x:v>
      </x:c>
      <x:c r="M1088" s="19" t="str">
        <x:v>In Field Warranty Claims</x:v>
      </x:c>
      <x:c r="N1088" s="37" t="n">
        <x:v>46161</x:v>
      </x:c>
      <x:c r="O1088" s="37"/>
      <x:c r="P1088" s="34" t="n">
        <x:v>0</x:v>
      </x:c>
      <x:c r="Q1088" s="37" t="n">
        <x:v>46162.071550925924</x:v>
      </x:c>
    </x:row>
    <x:row r="1089">
      <x:c r="A1089" s="22" t="n">
        <x:v>35200</x:v>
      </x:c>
      <x:c r="B1089" s="28" t="n">
        <x:v>280</x:v>
      </x:c>
      <x:c r="C1089" s="28"/>
      <x:c r="D1089" s="31" t="str">
        <x:f>IF(OR(ISBLANK(B1089),ISBLANK(C1089),B1089=0),"",(C1089-B1089)/B1089)</x:f>
      </x:c>
      <x:c r="E1089" s="22" t="str">
        <x:f>IF(ISBLANK(C1089),"AmountIncludingTax缺失",IF(ABS(B1089-C1089)&lt;0.005,"一致","不一致"))</x:f>
        <x:v>AmountIncludingTax缺失</x:v>
      </x:c>
      <x:c r="F1089" s="19" t="str">
        <x:v>approved</x:v>
      </x:c>
      <x:c r="G1089" s="19" t="str">
        <x:v>Repair in Progress</x:v>
      </x:c>
      <x:c r="H1089" s="19" t="str">
        <x:v>In Field</x:v>
      </x:c>
      <x:c r="I1089" s="37" t="n">
        <x:v>46167</x:v>
      </x:c>
      <x:c r="J1089" s="37" t="n">
        <x:v>46167</x:v>
      </x:c>
      <x:c r="K1089" s="19" t="str">
        <x:v>Lesiure Lion-New Castle</x:v>
      </x:c>
      <x:c r="L1089" s="19" t="str">
        <x:v>Z006</x:v>
      </x:c>
      <x:c r="M1089" s="19" t="str">
        <x:v>In Field Warranty Claims</x:v>
      </x:c>
      <x:c r="N1089" s="37" t="n">
        <x:v>46161</x:v>
      </x:c>
      <x:c r="O1089" s="37"/>
      <x:c r="P1089" s="34" t="n">
        <x:v>0</x:v>
      </x:c>
      <x:c r="Q1089" s="37" t="n">
        <x:v>46167.04675925926</x:v>
      </x:c>
    </x:row>
    <x:row r="1090">
      <x:c r="A1090" s="22" t="n">
        <x:v>35196</x:v>
      </x:c>
      <x:c r="B1090" s="28" t="n">
        <x:v>2180</x:v>
      </x:c>
      <x:c r="C1090" s="28"/>
      <x:c r="D1090" s="31" t="str">
        <x:f>IF(OR(ISBLANK(B1090),ISBLANK(C1090),B1090=0),"",(C1090-B1090)/B1090)</x:f>
      </x:c>
      <x:c r="E1090" s="22" t="str">
        <x:f>IF(ISBLANK(C1090),"AmountIncludingTax缺失",IF(ABS(B1090-C1090)&lt;0.005,"一致","不一致"))</x:f>
        <x:v>AmountIncludingTax缺失</x:v>
      </x:c>
      <x:c r="F1090" s="19" t="str">
        <x:v>approved</x:v>
      </x:c>
      <x:c r="G1090" s="19" t="str">
        <x:v>Repairer Invoiced Processed</x:v>
      </x:c>
      <x:c r="H1090" s="19" t="str">
        <x:v>In Field</x:v>
      </x:c>
      <x:c r="I1090" s="37" t="n">
        <x:v>46190</x:v>
      </x:c>
      <x:c r="J1090" s="37" t="n">
        <x:v>46190</x:v>
      </x:c>
      <x:c r="K1090" s="19" t="str">
        <x:v>Regent RV - Perth</x:v>
      </x:c>
      <x:c r="L1090" s="19" t="str">
        <x:v>Z006</x:v>
      </x:c>
      <x:c r="M1090" s="19" t="str">
        <x:v>In Field Warranty Claims</x:v>
      </x:c>
      <x:c r="N1090" s="37" t="n">
        <x:v>46161</x:v>
      </x:c>
      <x:c r="O1090" s="37"/>
      <x:c r="P1090" s="34" t="n">
        <x:v>2398</x:v>
      </x:c>
      <x:c r="Q1090" s="37" t="n">
        <x:v>46190.21753472222</x:v>
      </x:c>
    </x:row>
    <x:row r="1091">
      <x:c r="A1091" s="22" t="n">
        <x:v>35194</x:v>
      </x:c>
      <x:c r="B1091" s="28" t="n">
        <x:v>368.18</x:v>
      </x:c>
      <x:c r="C1091" s="28" t="n">
        <x:v>405</x:v>
      </x:c>
      <x:c r="D1091" s="31" t="n">
        <x:f>IF(OR(ISBLANK(B1091),ISBLANK(C1091),B1091=0),"",(C1091-B1091)/B1091)</x:f>
        <x:v>0.10000543212559072</x:v>
      </x:c>
      <x:c r="E1091" s="22" t="str">
        <x:f>IF(ISBLANK(C1091),"AmountIncludingTax缺失",IF(ABS(B1091-C1091)&lt;0.005,"一致","不一致"))</x:f>
        <x:v>不一致</x:v>
      </x:c>
      <x:c r="F1091" s="19" t="str">
        <x:v>approved</x:v>
      </x:c>
      <x:c r="G1091" s="19" t="str">
        <x:v>Repair in Progress</x:v>
      </x:c>
      <x:c r="H1091" s="19" t="str">
        <x:v>In Field</x:v>
      </x:c>
      <x:c r="I1091" s="37" t="n">
        <x:v>46168</x:v>
      </x:c>
      <x:c r="J1091" s="37" t="n">
        <x:v>46168</x:v>
      </x:c>
      <x:c r="K1091" s="19" t="str">
        <x:v>Regent RV - Perth</x:v>
      </x:c>
      <x:c r="L1091" s="19" t="str">
        <x:v>Z006</x:v>
      </x:c>
      <x:c r="M1091" s="19" t="str">
        <x:v>In Field Warranty Claims</x:v>
      </x:c>
      <x:c r="N1091" s="37" t="n">
        <x:v>46161</x:v>
      </x:c>
      <x:c r="O1091" s="37"/>
      <x:c r="P1091" s="34" t="n">
        <x:v>405</x:v>
      </x:c>
      <x:c r="Q1091" s="37" t="n">
        <x:v>46168.2515625</x:v>
      </x:c>
    </x:row>
    <x:row r="1092">
      <x:c r="A1092" s="22" t="n">
        <x:v>35192</x:v>
      </x:c>
      <x:c r="B1092" s="28" t="n">
        <x:v>445.63</x:v>
      </x:c>
      <x:c r="C1092" s="28" t="n">
        <x:v>490.19</x:v>
      </x:c>
      <x:c r="D1092" s="31" t="n">
        <x:f>IF(OR(ISBLANK(B1092),ISBLANK(C1092),B1092=0),"",(C1092-B1092)/B1092)</x:f>
        <x:v>0.09999326795772279</x:v>
      </x:c>
      <x:c r="E1092" s="22" t="str">
        <x:f>IF(ISBLANK(C1092),"AmountIncludingTax缺失",IF(ABS(B1092-C1092)&lt;0.005,"一致","不一致"))</x:f>
        <x:v>不一致</x:v>
      </x:c>
      <x:c r="F1092" s="19" t="str">
        <x:v>approved</x:v>
      </x:c>
      <x:c r="G1092" s="19" t="str">
        <x:v>Repair in Progress</x:v>
      </x:c>
      <x:c r="H1092" s="19" t="str">
        <x:v>In Field</x:v>
      </x:c>
      <x:c r="I1092" s="37" t="n">
        <x:v>46164</x:v>
      </x:c>
      <x:c r="J1092" s="37" t="n">
        <x:v>46164</x:v>
      </x:c>
      <x:c r="K1092" s="19" t="str">
        <x:v>Regent RV - Perth</x:v>
      </x:c>
      <x:c r="L1092" s="19" t="str">
        <x:v>Z006</x:v>
      </x:c>
      <x:c r="M1092" s="19" t="str">
        <x:v>In Field Warranty Claims</x:v>
      </x:c>
      <x:c r="N1092" s="37" t="n">
        <x:v>46161</x:v>
      </x:c>
      <x:c r="O1092" s="37"/>
      <x:c r="P1092" s="34" t="n">
        <x:v>490.19</x:v>
      </x:c>
      <x:c r="Q1092" s="37" t="n">
        <x:v>46163.94431712963</x:v>
      </x:c>
    </x:row>
    <x:row r="1093">
      <x:c r="A1093" s="22" t="n">
        <x:v>35190</x:v>
      </x:c>
      <x:c r="B1093" s="28" t="n">
        <x:v>652.5</x:v>
      </x:c>
      <x:c r="C1093" s="28"/>
      <x:c r="D1093" s="31" t="str">
        <x:f>IF(OR(ISBLANK(B1093),ISBLANK(C1093),B1093=0),"",(C1093-B1093)/B1093)</x:f>
      </x:c>
      <x:c r="E1093" s="22" t="str">
        <x:f>IF(ISBLANK(C1093),"AmountIncludingTax缺失",IF(ABS(B1093-C1093)&lt;0.005,"一致","不一致"))</x:f>
        <x:v>AmountIncludingTax缺失</x:v>
      </x:c>
      <x:c r="F1093" s="19" t="str">
        <x:v>approved</x:v>
      </x:c>
      <x:c r="G1093" s="19" t="str">
        <x:v>Repair in Progress</x:v>
      </x:c>
      <x:c r="H1093" s="19" t="str">
        <x:v>In Field</x:v>
      </x:c>
      <x:c r="I1093" s="37" t="n">
        <x:v>46162</x:v>
      </x:c>
      <x:c r="J1093" s="37" t="n">
        <x:v>46162</x:v>
      </x:c>
      <x:c r="K1093" s="19" t="str">
        <x:v>Green RV - Slacks Creek</x:v>
      </x:c>
      <x:c r="L1093" s="19" t="str">
        <x:v>Z006</x:v>
      </x:c>
      <x:c r="M1093" s="19" t="str">
        <x:v>In Field Warranty Claims</x:v>
      </x:c>
      <x:c r="N1093" s="37" t="n">
        <x:v>46161</x:v>
      </x:c>
      <x:c r="O1093" s="37"/>
      <x:c r="P1093" s="34" t="n">
        <x:v>0</x:v>
      </x:c>
      <x:c r="Q1093" s="37" t="n">
        <x:v>46162.13159722222</x:v>
      </x:c>
    </x:row>
    <x:row r="1094">
      <x:c r="A1094" s="22" t="n">
        <x:v>35189</x:v>
      </x:c>
      <x:c r="B1094" s="28" t="n">
        <x:v>202.5</x:v>
      </x:c>
      <x:c r="C1094" s="28"/>
      <x:c r="D1094" s="31" t="str">
        <x:f>IF(OR(ISBLANK(B1094),ISBLANK(C1094),B1094=0),"",(C1094-B1094)/B1094)</x:f>
      </x:c>
      <x:c r="E1094" s="22" t="str">
        <x:f>IF(ISBLANK(C1094),"AmountIncludingTax缺失",IF(ABS(B1094-C1094)&lt;0.005,"一致","不一致"))</x:f>
        <x:v>AmountIncludingTax缺失</x:v>
      </x:c>
      <x:c r="F1094" s="19" t="str">
        <x:v>approved</x:v>
      </x:c>
      <x:c r="G1094" s="19" t="str">
        <x:v>Repairer Invoiced Processed</x:v>
      </x:c>
      <x:c r="H1094" s="19" t="str">
        <x:v>Pre Delivery</x:v>
      </x:c>
      <x:c r="I1094" s="37" t="n">
        <x:v>46162</x:v>
      </x:c>
      <x:c r="J1094" s="37" t="n">
        <x:v>46162</x:v>
      </x:c>
      <x:c r="K1094" s="19" t="str">
        <x:v>Leisure Lion - Bundaberg</x:v>
      </x:c>
      <x:c r="L1094" s="19" t="str">
        <x:v>Z005</x:v>
      </x:c>
      <x:c r="M1094" s="19" t="str">
        <x:v>Pre Delivery Warranty Claims</x:v>
      </x:c>
      <x:c r="N1094" s="37" t="n">
        <x:v>46161</x:v>
      </x:c>
      <x:c r="O1094" s="37"/>
      <x:c r="P1094" s="34" t="n">
        <x:v>0</x:v>
      </x:c>
      <x:c r="Q1094" s="37" t="n">
        <x:v>46161.93234953703</x:v>
      </x:c>
    </x:row>
    <x:row r="1095">
      <x:c r="A1095" s="22" t="n">
        <x:v>35188</x:v>
      </x:c>
      <x:c r="B1095" s="28" t="n">
        <x:v>212.5</x:v>
      </x:c>
      <x:c r="C1095" s="28"/>
      <x:c r="D1095" s="31" t="str">
        <x:f>IF(OR(ISBLANK(B1095),ISBLANK(C1095),B1095=0),"",(C1095-B1095)/B1095)</x:f>
      </x:c>
      <x:c r="E1095" s="22" t="str">
        <x:f>IF(ISBLANK(C1095),"AmountIncludingTax缺失",IF(ABS(B1095-C1095)&lt;0.005,"一致","不一致"))</x:f>
        <x:v>AmountIncludingTax缺失</x:v>
      </x:c>
      <x:c r="F1095" s="19" t="str">
        <x:v>approved</x:v>
      </x:c>
      <x:c r="G1095" s="19" t="str">
        <x:v>Repair in Progress</x:v>
      </x:c>
      <x:c r="H1095" s="19" t="str">
        <x:v>In Field</x:v>
      </x:c>
      <x:c r="I1095" s="37" t="n">
        <x:v>46164</x:v>
      </x:c>
      <x:c r="J1095" s="37" t="n">
        <x:v>46164</x:v>
      </x:c>
      <x:c r="K1095" s="19" t="str">
        <x:v>Leisure Lion - Bundaberg</x:v>
      </x:c>
      <x:c r="L1095" s="19" t="str">
        <x:v>Z006</x:v>
      </x:c>
      <x:c r="M1095" s="19" t="str">
        <x:v>In Field Warranty Claims</x:v>
      </x:c>
      <x:c r="N1095" s="37" t="n">
        <x:v>46161</x:v>
      </x:c>
      <x:c r="O1095" s="37"/>
      <x:c r="P1095" s="34" t="n">
        <x:v>0</x:v>
      </x:c>
      <x:c r="Q1095" s="37" t="n">
        <x:v>46163.94248842593</x:v>
      </x:c>
    </x:row>
    <x:row r="1096">
      <x:c r="A1096" s="22" t="n">
        <x:v>35187</x:v>
      </x:c>
      <x:c r="B1096" s="28" t="n">
        <x:v>67.5</x:v>
      </x:c>
      <x:c r="C1096" s="28"/>
      <x:c r="D1096" s="31" t="str">
        <x:f>IF(OR(ISBLANK(B1096),ISBLANK(C1096),B1096=0),"",(C1096-B1096)/B1096)</x:f>
      </x:c>
      <x:c r="E1096" s="22" t="str">
        <x:f>IF(ISBLANK(C1096),"AmountIncludingTax缺失",IF(ABS(B1096-C1096)&lt;0.005,"一致","不一致"))</x:f>
        <x:v>AmountIncludingTax缺失</x:v>
      </x:c>
      <x:c r="F1096" s="19" t="str">
        <x:v>approved</x:v>
      </x:c>
      <x:c r="G1096" s="19" t="str">
        <x:v>Repair in Progress</x:v>
      </x:c>
      <x:c r="H1096" s="19" t="str">
        <x:v>In Field</x:v>
      </x:c>
      <x:c r="I1096" s="37" t="n">
        <x:v>46164</x:v>
      </x:c>
      <x:c r="J1096" s="37" t="n">
        <x:v>46164</x:v>
      </x:c>
      <x:c r="K1096" s="19" t="str">
        <x:v>Regent RV - Perth</x:v>
      </x:c>
      <x:c r="L1096" s="19" t="str">
        <x:v>Z006</x:v>
      </x:c>
      <x:c r="M1096" s="19" t="str">
        <x:v>In Field Warranty Claims</x:v>
      </x:c>
      <x:c r="N1096" s="37" t="n">
        <x:v>46161</x:v>
      </x:c>
      <x:c r="O1096" s="37"/>
      <x:c r="P1096" s="34" t="n">
        <x:v>0</x:v>
      </x:c>
      <x:c r="Q1096" s="37" t="n">
        <x:v>46163.94372685185</x:v>
      </x:c>
    </x:row>
    <x:row r="1097">
      <x:c r="A1097" s="22" t="n">
        <x:v>35186</x:v>
      </x:c>
      <x:c r="B1097" s="28" t="n">
        <x:v>492.5</x:v>
      </x:c>
      <x:c r="C1097" s="28"/>
      <x:c r="D1097" s="31" t="str">
        <x:f>IF(OR(ISBLANK(B1097),ISBLANK(C1097),B1097=0),"",(C1097-B1097)/B1097)</x:f>
      </x:c>
      <x:c r="E1097" s="22" t="str">
        <x:f>IF(ISBLANK(C1097),"AmountIncludingTax缺失",IF(ABS(B1097-C1097)&lt;0.005,"一致","不一致"))</x:f>
        <x:v>AmountIncludingTax缺失</x:v>
      </x:c>
      <x:c r="F1097" s="19" t="str">
        <x:v>approved</x:v>
      </x:c>
      <x:c r="G1097" s="19" t="str">
        <x:v>Sales Order Approved</x:v>
      </x:c>
      <x:c r="H1097" s="19" t="str">
        <x:v>Pre Delivery</x:v>
      </x:c>
      <x:c r="I1097" s="37" t="n">
        <x:v>46164</x:v>
      </x:c>
      <x:c r="J1097" s="37" t="n">
        <x:v>46164</x:v>
      </x:c>
      <x:c r="K1097" s="19" t="str">
        <x:v>Snowy River Wangaratta</x:v>
      </x:c>
      <x:c r="L1097" s="19" t="str">
        <x:v>Z005</x:v>
      </x:c>
      <x:c r="M1097" s="19" t="str">
        <x:v>Pre Delivery Warranty Claims</x:v>
      </x:c>
      <x:c r="N1097" s="37" t="n">
        <x:v>46161</x:v>
      </x:c>
      <x:c r="O1097" s="37"/>
      <x:c r="P1097" s="34" t="n">
        <x:v>0</x:v>
      </x:c>
      <x:c r="Q1097" s="37" t="n">
        <x:v>46163.94887731481</x:v>
      </x:c>
    </x:row>
    <x:row r="1098">
      <x:c r="A1098" s="22" t="n">
        <x:v>35185</x:v>
      </x:c>
      <x:c r="B1098" s="28" t="n">
        <x:v>1136.7</x:v>
      </x:c>
      <x:c r="C1098" s="28"/>
      <x:c r="D1098" s="31" t="str">
        <x:f>IF(OR(ISBLANK(B1098),ISBLANK(C1098),B1098=0),"",(C1098-B1098)/B1098)</x:f>
      </x:c>
      <x:c r="E1098" s="22" t="str">
        <x:f>IF(ISBLANK(C1098),"AmountIncludingTax缺失",IF(ABS(B1098-C1098)&lt;0.005,"一致","不一致"))</x:f>
        <x:v>AmountIncludingTax缺失</x:v>
      </x:c>
      <x:c r="F1098" s="19" t="str">
        <x:v>approved</x:v>
      </x:c>
      <x:c r="G1098" s="19" t="str">
        <x:v>Repair in Progress</x:v>
      </x:c>
      <x:c r="H1098" s="19" t="str">
        <x:v>In Field</x:v>
      </x:c>
      <x:c r="I1098" s="37" t="n">
        <x:v>46164</x:v>
      </x:c>
      <x:c r="J1098" s="37" t="n">
        <x:v>46164</x:v>
      </x:c>
      <x:c r="K1098" s="19" t="str">
        <x:v>Auswide Caravans - South Nowra</x:v>
      </x:c>
      <x:c r="L1098" s="19" t="str">
        <x:v>Z006</x:v>
      </x:c>
      <x:c r="M1098" s="19" t="str">
        <x:v>In Field Warranty Claims</x:v>
      </x:c>
      <x:c r="N1098" s="37" t="n">
        <x:v>46161</x:v>
      </x:c>
      <x:c r="O1098" s="37"/>
      <x:c r="P1098" s="34" t="n">
        <x:v>0</x:v>
      </x:c>
      <x:c r="Q1098" s="37" t="n">
        <x:v>46163.95861111111</x:v>
      </x:c>
    </x:row>
    <x:row r="1099">
      <x:c r="A1099" s="22" t="n">
        <x:v>35184</x:v>
      </x:c>
      <x:c r="B1099" s="28" t="n">
        <x:v>594</x:v>
      </x:c>
      <x:c r="C1099" s="28" t="n">
        <x:v>537.81</x:v>
      </x:c>
      <x:c r="D1099" s="31" t="n">
        <x:f>IF(OR(ISBLANK(B1099),ISBLANK(C1099),B1099=0),"",(C1099-B1099)/B1099)</x:f>
        <x:v>-0.09459595959595969</x:v>
      </x:c>
      <x:c r="E1099" s="22" t="str">
        <x:f>IF(ISBLANK(C1099),"AmountIncludingTax缺失",IF(ABS(B1099-C1099)&lt;0.005,"一致","不一致"))</x:f>
        <x:v>不一致</x:v>
      </x:c>
      <x:c r="F1099" s="19" t="str">
        <x:v>approved</x:v>
      </x:c>
      <x:c r="G1099" s="19" t="str">
        <x:v>Repairer Invoiced Processed</x:v>
      </x:c>
      <x:c r="H1099" s="19" t="str">
        <x:v>In Field</x:v>
      </x:c>
      <x:c r="I1099" s="37" t="n">
        <x:v>46161</x:v>
      </x:c>
      <x:c r="J1099" s="37" t="n">
        <x:v>46161</x:v>
      </x:c>
      <x:c r="K1099" s="19" t="str">
        <x:v>Vanari Caravans - Marden Point</x:v>
      </x:c>
      <x:c r="L1099" s="19" t="str">
        <x:v>Z006</x:v>
      </x:c>
      <x:c r="M1099" s="19" t="str">
        <x:v>In Field Warranty Claims</x:v>
      </x:c>
      <x:c r="N1099" s="37" t="n">
        <x:v>46161</x:v>
      </x:c>
      <x:c r="O1099" s="37"/>
      <x:c r="P1099" s="34" t="n">
        <x:v>537.81</x:v>
      </x:c>
      <x:c r="Q1099" s="37" t="n">
        <x:v>46161.260671296295</x:v>
      </x:c>
    </x:row>
    <x:row r="1100">
      <x:c r="A1100" s="22" t="n">
        <x:v>35183</x:v>
      </x:c>
      <x:c r="B1100" s="28" t="n">
        <x:v>164.42</x:v>
      </x:c>
      <x:c r="C1100" s="28" t="n">
        <x:v>180.86</x:v>
      </x:c>
      <x:c r="D1100" s="31" t="n">
        <x:f>IF(OR(ISBLANK(B1100),ISBLANK(C1100),B1100=0),"",(C1100-B1100)/B1100)</x:f>
        <x:v>0.09998783602968025</x:v>
      </x:c>
      <x:c r="E1100" s="22" t="str">
        <x:f>IF(ISBLANK(C1100),"AmountIncludingTax缺失",IF(ABS(B1100-C1100)&lt;0.005,"一致","不一致"))</x:f>
        <x:v>不一致</x:v>
      </x:c>
      <x:c r="F1100" s="19" t="str">
        <x:v>approved</x:v>
      </x:c>
      <x:c r="G1100" s="19" t="str">
        <x:v>Repair in Progress</x:v>
      </x:c>
      <x:c r="H1100" s="19" t="str">
        <x:v>In Field</x:v>
      </x:c>
      <x:c r="I1100" s="37" t="n">
        <x:v>46211</x:v>
      </x:c>
      <x:c r="J1100" s="37" t="n">
        <x:v>46174</x:v>
      </x:c>
      <x:c r="K1100" s="19" t="str">
        <x:v>Dario Caravans -St.Marys</x:v>
      </x:c>
      <x:c r="L1100" s="19" t="str">
        <x:v>Z006</x:v>
      </x:c>
      <x:c r="M1100" s="19" t="str">
        <x:v>In Field Warranty Claims</x:v>
      </x:c>
      <x:c r="N1100" s="37" t="n">
        <x:v>46161</x:v>
      </x:c>
      <x:c r="O1100" s="37"/>
      <x:c r="P1100" s="34" t="n">
        <x:v>180.86</x:v>
      </x:c>
      <x:c r="Q1100" s="37" t="n">
        <x:v>46211.28329861111</x:v>
      </x:c>
    </x:row>
    <x:row r="1101">
      <x:c r="A1101" s="22" t="n">
        <x:v>35182</x:v>
      </x:c>
      <x:c r="B1101" s="28" t="n">
        <x:v>590</x:v>
      </x:c>
      <x:c r="C1101" s="28"/>
      <x:c r="D1101" s="31" t="str">
        <x:f>IF(OR(ISBLANK(B1101),ISBLANK(C1101),B1101=0),"",(C1101-B1101)/B1101)</x:f>
      </x:c>
      <x:c r="E1101" s="22" t="str">
        <x:f>IF(ISBLANK(C1101),"AmountIncludingTax缺失",IF(ABS(B1101-C1101)&lt;0.005,"一致","不一致"))</x:f>
        <x:v>AmountIncludingTax缺失</x:v>
      </x:c>
      <x:c r="F1101" s="19" t="str">
        <x:v>approved</x:v>
      </x:c>
      <x:c r="G1101" s="19" t="str">
        <x:v>Sales Order Approved</x:v>
      </x:c>
      <x:c r="H1101" s="19" t="str">
        <x:v>Pre Delivery</x:v>
      </x:c>
      <x:c r="I1101" s="37" t="n">
        <x:v>46191</x:v>
      </x:c>
      <x:c r="J1101" s="37" t="n">
        <x:v>46191</x:v>
      </x:c>
      <x:c r="K1101" s="19" t="str">
        <x:v>The Caravan Hub - Townsville</x:v>
      </x:c>
      <x:c r="L1101" s="19" t="str">
        <x:v>Z005</x:v>
      </x:c>
      <x:c r="M1101" s="19" t="str">
        <x:v>Pre Delivery Warranty Claims</x:v>
      </x:c>
      <x:c r="N1101" s="37" t="n">
        <x:v>46161</x:v>
      </x:c>
      <x:c r="O1101" s="37"/>
      <x:c r="P1101" s="34" t="n">
        <x:v>0</x:v>
      </x:c>
      <x:c r="Q1101" s="37" t="n">
        <x:v>46191.20515046296</x:v>
      </x:c>
    </x:row>
    <x:row r="1102">
      <x:c r="A1102" s="22" t="n">
        <x:v>35181</x:v>
      </x:c>
      <x:c r="B1102" s="28" t="n">
        <x:v>1525</x:v>
      </x:c>
      <x:c r="C1102" s="28"/>
      <x:c r="D1102" s="31" t="str">
        <x:f>IF(OR(ISBLANK(B1102),ISBLANK(C1102),B1102=0),"",(C1102-B1102)/B1102)</x:f>
      </x:c>
      <x:c r="E1102" s="22" t="str">
        <x:f>IF(ISBLANK(C1102),"AmountIncludingTax缺失",IF(ABS(B1102-C1102)&lt;0.005,"一致","不一致"))</x:f>
        <x:v>AmountIncludingTax缺失</x:v>
      </x:c>
      <x:c r="F1102" s="19" t="str">
        <x:v>approved</x:v>
      </x:c>
      <x:c r="G1102" s="19" t="str">
        <x:v>Repairer Invoiced Processed</x:v>
      </x:c>
      <x:c r="H1102" s="19" t="str">
        <x:v>Pre Delivery</x:v>
      </x:c>
      <x:c r="I1102" s="37" t="n">
        <x:v>46163</x:v>
      </x:c>
      <x:c r="J1102" s="37" t="n">
        <x:v>46163</x:v>
      </x:c>
      <x:c r="K1102" s="19" t="str">
        <x:v>Lesiure Lion-New Castle</x:v>
      </x:c>
      <x:c r="L1102" s="19" t="str">
        <x:v>Z005</x:v>
      </x:c>
      <x:c r="M1102" s="19" t="str">
        <x:v>Pre Delivery Warranty Claims</x:v>
      </x:c>
      <x:c r="N1102" s="37" t="n">
        <x:v>46161</x:v>
      </x:c>
      <x:c r="O1102" s="37"/>
      <x:c r="P1102" s="34" t="n">
        <x:v>0</x:v>
      </x:c>
      <x:c r="Q1102" s="37" t="n">
        <x:v>46162.948229166665</x:v>
      </x:c>
    </x:row>
    <x:row r="1103">
      <x:c r="A1103" s="22" t="n">
        <x:v>35170</x:v>
      </x:c>
      <x:c r="B1103" s="28" t="n">
        <x:v>77.5</x:v>
      </x:c>
      <x:c r="C1103" s="28"/>
      <x:c r="D1103" s="31" t="str">
        <x:f>IF(OR(ISBLANK(B1103),ISBLANK(C1103),B1103=0),"",(C1103-B1103)/B1103)</x:f>
      </x:c>
      <x:c r="E1103" s="22" t="str">
        <x:f>IF(ISBLANK(C1103),"AmountIncludingTax缺失",IF(ABS(B1103-C1103)&lt;0.005,"一致","不一致"))</x:f>
        <x:v>AmountIncludingTax缺失</x:v>
      </x:c>
      <x:c r="F1103" s="19" t="str">
        <x:v>approved</x:v>
      </x:c>
      <x:c r="G1103" s="19" t="str">
        <x:v>Repair in Progress</x:v>
      </x:c>
      <x:c r="H1103" s="19" t="str">
        <x:v>In Field</x:v>
      </x:c>
      <x:c r="I1103" s="37" t="n">
        <x:v>46163</x:v>
      </x:c>
      <x:c r="J1103" s="37" t="n">
        <x:v>46163</x:v>
      </x:c>
      <x:c r="K1103" s="19" t="str">
        <x:v>Regent RV - Perth</x:v>
      </x:c>
      <x:c r="L1103" s="19" t="str">
        <x:v>Z006</x:v>
      </x:c>
      <x:c r="M1103" s="19" t="str">
        <x:v>In Field Warranty Claims</x:v>
      </x:c>
      <x:c r="N1103" s="37" t="n">
        <x:v>46161</x:v>
      </x:c>
      <x:c r="O1103" s="37"/>
      <x:c r="P1103" s="34" t="n">
        <x:v>0</x:v>
      </x:c>
      <x:c r="Q1103" s="37" t="n">
        <x:v>46163.12579861111</x:v>
      </x:c>
    </x:row>
    <x:row r="1104">
      <x:c r="A1104" s="22" t="n">
        <x:v>35169</x:v>
      </x:c>
      <x:c r="B1104" s="28" t="n">
        <x:v>540</x:v>
      </x:c>
      <x:c r="C1104" s="28"/>
      <x:c r="D1104" s="31" t="str">
        <x:f>IF(OR(ISBLANK(B1104),ISBLANK(C1104),B1104=0),"",(C1104-B1104)/B1104)</x:f>
      </x:c>
      <x:c r="E1104" s="22" t="str">
        <x:f>IF(ISBLANK(C1104),"AmountIncludingTax缺失",IF(ABS(B1104-C1104)&lt;0.005,"一致","不一致"))</x:f>
        <x:v>AmountIncludingTax缺失</x:v>
      </x:c>
      <x:c r="F1104" s="19" t="str">
        <x:v>approved</x:v>
      </x:c>
      <x:c r="G1104" s="19" t="str">
        <x:v>Repairer Invoiced Processed</x:v>
      </x:c>
      <x:c r="H1104" s="19" t="str">
        <x:v>In Field</x:v>
      </x:c>
      <x:c r="I1104" s="37" t="n">
        <x:v>46177</x:v>
      </x:c>
      <x:c r="J1104" s="37" t="n">
        <x:v>46177</x:v>
      </x:c>
      <x:c r="K1104" s="19" t="str">
        <x:v>Newcastle RV Super Centre - Beresfield</x:v>
      </x:c>
      <x:c r="L1104" s="19" t="str">
        <x:v>Z006</x:v>
      </x:c>
      <x:c r="M1104" s="19" t="str">
        <x:v>In Field Warranty Claims</x:v>
      </x:c>
      <x:c r="N1104" s="37" t="n">
        <x:v>46161</x:v>
      </x:c>
      <x:c r="O1104" s="37"/>
      <x:c r="P1104" s="34" t="n">
        <x:v>0</x:v>
      </x:c>
      <x:c r="Q1104" s="37" t="n">
        <x:v>46176.961377314816</x:v>
      </x:c>
    </x:row>
    <x:row r="1105">
      <x:c r="A1105" s="22" t="n">
        <x:v>35167</x:v>
      </x:c>
      <x:c r="B1105" s="28" t="n">
        <x:v>1300.35</x:v>
      </x:c>
      <x:c r="C1105" s="28"/>
      <x:c r="D1105" s="31" t="str">
        <x:f>IF(OR(ISBLANK(B1105),ISBLANK(C1105),B1105=0),"",(C1105-B1105)/B1105)</x:f>
      </x:c>
      <x:c r="E1105" s="22" t="str">
        <x:f>IF(ISBLANK(C1105),"AmountIncludingTax缺失",IF(ABS(B1105-C1105)&lt;0.005,"一致","不一致"))</x:f>
        <x:v>AmountIncludingTax缺失</x:v>
      </x:c>
      <x:c r="F1105" s="19" t="str">
        <x:v>approved</x:v>
      </x:c>
      <x:c r="G1105" s="19" t="str">
        <x:v>Sales Order Approved</x:v>
      </x:c>
      <x:c r="H1105" s="19" t="str">
        <x:v>Pre Delivery</x:v>
      </x:c>
      <x:c r="I1105" s="37" t="n">
        <x:v>46209</x:v>
      </x:c>
      <x:c r="J1105" s="37" t="n">
        <x:v>46209</x:v>
      </x:c>
      <x:c r="K1105" s="19" t="str">
        <x:v>The Caravan Hub - Townsville</x:v>
      </x:c>
      <x:c r="L1105" s="19" t="str">
        <x:v>Z005</x:v>
      </x:c>
      <x:c r="M1105" s="19" t="str">
        <x:v>Pre Delivery Warranty Claims</x:v>
      </x:c>
      <x:c r="N1105" s="37" t="n">
        <x:v>46161</x:v>
      </x:c>
      <x:c r="O1105" s="37"/>
      <x:c r="P1105" s="34" t="n">
        <x:v>0</x:v>
      </x:c>
      <x:c r="Q1105" s="37" t="n">
        <x:v>46209.17140046296</x:v>
      </x:c>
    </x:row>
    <x:row r="1106">
      <x:c r="A1106" s="22" t="n">
        <x:v>35166</x:v>
      </x:c>
      <x:c r="B1106" s="28" t="n">
        <x:v>690.5</x:v>
      </x:c>
      <x:c r="C1106" s="28"/>
      <x:c r="D1106" s="31" t="str">
        <x:f>IF(OR(ISBLANK(B1106),ISBLANK(C1106),B1106=0),"",(C1106-B1106)/B1106)</x:f>
      </x:c>
      <x:c r="E1106" s="22" t="str">
        <x:f>IF(ISBLANK(C1106),"AmountIncludingTax缺失",IF(ABS(B1106-C1106)&lt;0.005,"一致","不一致"))</x:f>
        <x:v>AmountIncludingTax缺失</x:v>
      </x:c>
      <x:c r="F1106" s="19" t="str">
        <x:v>approved</x:v>
      </x:c>
      <x:c r="G1106" s="19" t="str">
        <x:v>Sales Order Approved</x:v>
      </x:c>
      <x:c r="H1106" s="19" t="str">
        <x:v>In Field</x:v>
      </x:c>
      <x:c r="I1106" s="37" t="n">
        <x:v>46174</x:v>
      </x:c>
      <x:c r="J1106" s="37" t="n">
        <x:v>46174</x:v>
      </x:c>
      <x:c r="K1106" s="19" t="str">
        <x:v>Dario Caravans -St.Marys</x:v>
      </x:c>
      <x:c r="L1106" s="19" t="str">
        <x:v>Z006</x:v>
      </x:c>
      <x:c r="M1106" s="19" t="str">
        <x:v>In Field Warranty Claims</x:v>
      </x:c>
      <x:c r="N1106" s="37" t="n">
        <x:v>46161</x:v>
      </x:c>
      <x:c r="O1106" s="37"/>
      <x:c r="P1106" s="34" t="n">
        <x:v>0</x:v>
      </x:c>
      <x:c r="Q1106" s="37" t="n">
        <x:v>46173.920069444444</x:v>
      </x:c>
    </x:row>
    <x:row r="1107">
      <x:c r="A1107" s="22" t="n">
        <x:v>35165</x:v>
      </x:c>
      <x:c r="B1107" s="28" t="n">
        <x:v>625.7</x:v>
      </x:c>
      <x:c r="C1107" s="28"/>
      <x:c r="D1107" s="31" t="str">
        <x:f>IF(OR(ISBLANK(B1107),ISBLANK(C1107),B1107=0),"",(C1107-B1107)/B1107)</x:f>
      </x:c>
      <x:c r="E1107" s="22" t="str">
        <x:f>IF(ISBLANK(C1107),"AmountIncludingTax缺失",IF(ABS(B1107-C1107)&lt;0.005,"一致","不一致"))</x:f>
        <x:v>AmountIncludingTax缺失</x:v>
      </x:c>
      <x:c r="F1107" s="19" t="str">
        <x:v>approved</x:v>
      </x:c>
      <x:c r="G1107" s="19" t="str">
        <x:v>Repairer Invoiced Processed</x:v>
      </x:c>
      <x:c r="H1107" s="19" t="str">
        <x:v>In Field</x:v>
      </x:c>
      <x:c r="I1107" s="37" t="n">
        <x:v>46163</x:v>
      </x:c>
      <x:c r="J1107" s="37" t="n">
        <x:v>46163</x:v>
      </x:c>
      <x:c r="K1107" s="19" t="str">
        <x:v>Lesiure Lion-New Castle</x:v>
      </x:c>
      <x:c r="L1107" s="19" t="str">
        <x:v>Z006</x:v>
      </x:c>
      <x:c r="M1107" s="19" t="str">
        <x:v>In Field Warranty Claims</x:v>
      </x:c>
      <x:c r="N1107" s="37" t="n">
        <x:v>46161</x:v>
      </x:c>
      <x:c r="O1107" s="37"/>
      <x:c r="P1107" s="34" t="n">
        <x:v>0</x:v>
      </x:c>
      <x:c r="Q1107" s="37" t="n">
        <x:v>46162.9428587963</x:v>
      </x:c>
    </x:row>
    <x:row r="1108">
      <x:c r="A1108" s="22" t="n">
        <x:v>35164</x:v>
      </x:c>
      <x:c r="B1108" s="28" t="n">
        <x:v>67.5</x:v>
      </x:c>
      <x:c r="C1108" s="28"/>
      <x:c r="D1108" s="31" t="str">
        <x:f>IF(OR(ISBLANK(B1108),ISBLANK(C1108),B1108=0),"",(C1108-B1108)/B1108)</x:f>
      </x:c>
      <x:c r="E1108" s="22" t="str">
        <x:f>IF(ISBLANK(C1108),"AmountIncludingTax缺失",IF(ABS(B1108-C1108)&lt;0.005,"一致","不一致"))</x:f>
        <x:v>AmountIncludingTax缺失</x:v>
      </x:c>
      <x:c r="F1108" s="19" t="str">
        <x:v>approved</x:v>
      </x:c>
      <x:c r="G1108" s="19" t="str">
        <x:v>Sales Order Approved</x:v>
      </x:c>
      <x:c r="H1108" s="19" t="str">
        <x:v>Pre Delivery</x:v>
      </x:c>
      <x:c r="I1108" s="37" t="n">
        <x:v>46189</x:v>
      </x:c>
      <x:c r="J1108" s="37" t="n">
        <x:v>46161</x:v>
      </x:c>
      <x:c r="K1108" s="19" t="str">
        <x:v>Green RV - Forest Glen</x:v>
      </x:c>
      <x:c r="L1108" s="19" t="str">
        <x:v>Z005</x:v>
      </x:c>
      <x:c r="M1108" s="19" t="str">
        <x:v>Pre Delivery Warranty Claims</x:v>
      </x:c>
      <x:c r="N1108" s="37" t="n">
        <x:v>46161</x:v>
      </x:c>
      <x:c r="O1108" s="37"/>
      <x:c r="P1108" s="34" t="n">
        <x:v>0</x:v>
      </x:c>
      <x:c r="Q1108" s="37" t="n">
        <x:v>46188.981886574074</x:v>
      </x:c>
    </x:row>
    <x:row r="1109">
      <x:c r="A1109" s="22" t="n">
        <x:v>35163</x:v>
      </x:c>
      <x:c r="B1109" s="28" t="n">
        <x:v>445</x:v>
      </x:c>
      <x:c r="C1109" s="28"/>
      <x:c r="D1109" s="31" t="str">
        <x:f>IF(OR(ISBLANK(B1109),ISBLANK(C1109),B1109=0),"",(C1109-B1109)/B1109)</x:f>
      </x:c>
      <x:c r="E1109" s="22" t="str">
        <x:f>IF(ISBLANK(C1109),"AmountIncludingTax缺失",IF(ABS(B1109-C1109)&lt;0.005,"一致","不一致"))</x:f>
        <x:v>AmountIncludingTax缺失</x:v>
      </x:c>
      <x:c r="F1109" s="19" t="str">
        <x:v>approved</x:v>
      </x:c>
      <x:c r="G1109" s="19" t="str">
        <x:v>Repair in Progress</x:v>
      </x:c>
      <x:c r="H1109" s="19" t="str">
        <x:v>In Field</x:v>
      </x:c>
      <x:c r="I1109" s="37" t="n">
        <x:v>46161</x:v>
      </x:c>
      <x:c r="J1109" s="37" t="n">
        <x:v>46161</x:v>
      </x:c>
      <x:c r="K1109" s="19" t="str">
        <x:v>Green RV - Forest Glen</x:v>
      </x:c>
      <x:c r="L1109" s="19" t="str">
        <x:v>Z006</x:v>
      </x:c>
      <x:c r="M1109" s="19" t="str">
        <x:v>In Field Warranty Claims</x:v>
      </x:c>
      <x:c r="N1109" s="37" t="n">
        <x:v>46161</x:v>
      </x:c>
      <x:c r="O1109" s="37"/>
      <x:c r="P1109" s="34" t="n">
        <x:v>0</x:v>
      </x:c>
      <x:c r="Q1109" s="37" t="n">
        <x:v>46161.121724537035</x:v>
      </x:c>
    </x:row>
    <x:row r="1110">
      <x:c r="A1110" s="22" t="n">
        <x:v>35162</x:v>
      </x:c>
      <x:c r="B1110" s="28" t="n">
        <x:v>1207.5</x:v>
      </x:c>
      <x:c r="C1110" s="28"/>
      <x:c r="D1110" s="31" t="str">
        <x:f>IF(OR(ISBLANK(B1110),ISBLANK(C1110),B1110=0),"",(C1110-B1110)/B1110)</x:f>
      </x:c>
      <x:c r="E1110" s="22" t="str">
        <x:f>IF(ISBLANK(C1110),"AmountIncludingTax缺失",IF(ABS(B1110-C1110)&lt;0.005,"一致","不一致"))</x:f>
        <x:v>AmountIncludingTax缺失</x:v>
      </x:c>
      <x:c r="F1110" s="19" t="str">
        <x:v>approved</x:v>
      </x:c>
      <x:c r="G1110" s="19" t="str">
        <x:v>Repair in Progress</x:v>
      </x:c>
      <x:c r="H1110" s="19" t="str">
        <x:v>In Field</x:v>
      </x:c>
      <x:c r="I1110" s="37" t="n">
        <x:v>46161</x:v>
      </x:c>
      <x:c r="J1110" s="37" t="n">
        <x:v>46161</x:v>
      </x:c>
      <x:c r="K1110" s="19" t="str">
        <x:v>Green RV - Forest Glen</x:v>
      </x:c>
      <x:c r="L1110" s="19" t="str">
        <x:v>Z006</x:v>
      </x:c>
      <x:c r="M1110" s="19" t="str">
        <x:v>In Field Warranty Claims</x:v>
      </x:c>
      <x:c r="N1110" s="37" t="n">
        <x:v>46161</x:v>
      </x:c>
      <x:c r="O1110" s="37"/>
      <x:c r="P1110" s="34" t="n">
        <x:v>0</x:v>
      </x:c>
      <x:c r="Q1110" s="37" t="n">
        <x:v>46161.13190972222</x:v>
      </x:c>
    </x:row>
    <x:row r="1111">
      <x:c r="A1111" s="22" t="n">
        <x:v>35161</x:v>
      </x:c>
      <x:c r="B1111" s="28" t="n">
        <x:v>723.75</x:v>
      </x:c>
      <x:c r="C1111" s="28"/>
      <x:c r="D1111" s="31" t="str">
        <x:f>IF(OR(ISBLANK(B1111),ISBLANK(C1111),B1111=0),"",(C1111-B1111)/B1111)</x:f>
      </x:c>
      <x:c r="E1111" s="22" t="str">
        <x:f>IF(ISBLANK(C1111),"AmountIncludingTax缺失",IF(ABS(B1111-C1111)&lt;0.005,"一致","不一致"))</x:f>
        <x:v>AmountIncludingTax缺失</x:v>
      </x:c>
      <x:c r="F1111" s="19" t="str">
        <x:v>approved</x:v>
      </x:c>
      <x:c r="G1111" s="19" t="str">
        <x:v>Sales Order Approved</x:v>
      </x:c>
      <x:c r="H1111" s="19" t="str">
        <x:v>Pre Delivery</x:v>
      </x:c>
      <x:c r="I1111" s="37" t="n">
        <x:v>46192</x:v>
      </x:c>
      <x:c r="J1111" s="37" t="n">
        <x:v>46192</x:v>
      </x:c>
      <x:c r="K1111" s="19" t="str">
        <x:v>The Caravan Hub - Townsville</x:v>
      </x:c>
      <x:c r="L1111" s="19" t="str">
        <x:v>Z005</x:v>
      </x:c>
      <x:c r="M1111" s="19" t="str">
        <x:v>Pre Delivery Warranty Claims</x:v>
      </x:c>
      <x:c r="N1111" s="37" t="n">
        <x:v>46161</x:v>
      </x:c>
      <x:c r="O1111" s="37"/>
      <x:c r="P1111" s="34" t="n">
        <x:v>0</x:v>
      </x:c>
      <x:c r="Q1111" s="37" t="n">
        <x:v>46192.065567129626</x:v>
      </x:c>
    </x:row>
    <x:row r="1112">
      <x:c r="A1112" s="22" t="n">
        <x:v>35150</x:v>
      </x:c>
      <x:c r="B1112" s="28" t="n">
        <x:v>1080</x:v>
      </x:c>
      <x:c r="C1112" s="28"/>
      <x:c r="D1112" s="31" t="str">
        <x:f>IF(OR(ISBLANK(B1112),ISBLANK(C1112),B1112=0),"",(C1112-B1112)/B1112)</x:f>
      </x:c>
      <x:c r="E1112" s="22" t="str">
        <x:f>IF(ISBLANK(C1112),"AmountIncludingTax缺失",IF(ABS(B1112-C1112)&lt;0.005,"一致","不一致"))</x:f>
        <x:v>AmountIncludingTax缺失</x:v>
      </x:c>
      <x:c r="F1112" s="19" t="str">
        <x:v>approved</x:v>
      </x:c>
      <x:c r="G1112" s="19" t="str">
        <x:v>Repairer Invoiced Processed</x:v>
      </x:c>
      <x:c r="H1112" s="19" t="str">
        <x:v>In Field</x:v>
      </x:c>
      <x:c r="I1112" s="37" t="n">
        <x:v>46161</x:v>
      </x:c>
      <x:c r="J1112" s="37" t="n">
        <x:v>46161</x:v>
      </x:c>
      <x:c r="K1112" s="19" t="str">
        <x:v>Snowy River Wangaratta</x:v>
      </x:c>
      <x:c r="L1112" s="19" t="str">
        <x:v>Z006</x:v>
      </x:c>
      <x:c r="M1112" s="19" t="str">
        <x:v>In Field Warranty Claims</x:v>
      </x:c>
      <x:c r="N1112" s="37" t="n">
        <x:v>46160</x:v>
      </x:c>
      <x:c r="O1112" s="37"/>
      <x:c r="P1112" s="34" t="n">
        <x:v>1188</x:v>
      </x:c>
      <x:c r="Q1112" s="37" t="n">
        <x:v>46161.13138888889</x:v>
      </x:c>
    </x:row>
    <x:row r="1113">
      <x:c r="A1113" s="22" t="n">
        <x:v>35149</x:v>
      </x:c>
      <x:c r="B1113" s="28" t="n">
        <x:v>269.09</x:v>
      </x:c>
      <x:c r="C1113" s="28" t="n">
        <x:v>296</x:v>
      </x:c>
      <x:c r="D1113" s="31" t="n">
        <x:f>IF(OR(ISBLANK(B1113),ISBLANK(C1113),B1113=0),"",(C1113-B1113)/B1113)</x:f>
        <x:v>0.10000371622877115</x:v>
      </x:c>
      <x:c r="E1113" s="22" t="str">
        <x:f>IF(ISBLANK(C1113),"AmountIncludingTax缺失",IF(ABS(B1113-C1113)&lt;0.005,"一致","不一致"))</x:f>
        <x:v>不一致</x:v>
      </x:c>
      <x:c r="F1113" s="19" t="str">
        <x:v>approved</x:v>
      </x:c>
      <x:c r="G1113" s="19" t="str">
        <x:v>Repairer Invoiced Processed</x:v>
      </x:c>
      <x:c r="H1113" s="19" t="str">
        <x:v>In Field</x:v>
      </x:c>
      <x:c r="I1113" s="37" t="n">
        <x:v>46162</x:v>
      </x:c>
      <x:c r="J1113" s="37" t="n">
        <x:v>46162</x:v>
      </x:c>
      <x:c r="K1113" s="19" t="str">
        <x:v>Green RV - Forest Glen</x:v>
      </x:c>
      <x:c r="L1113" s="19" t="str">
        <x:v>Z006</x:v>
      </x:c>
      <x:c r="M1113" s="19" t="str">
        <x:v>In Field Warranty Claims</x:v>
      </x:c>
      <x:c r="N1113" s="37" t="n">
        <x:v>46160</x:v>
      </x:c>
      <x:c r="O1113" s="37"/>
      <x:c r="P1113" s="34" t="n">
        <x:v>296</x:v>
      </x:c>
      <x:c r="Q1113" s="37" t="n">
        <x:v>46162.239699074074</x:v>
      </x:c>
    </x:row>
    <x:row r="1114">
      <x:c r="A1114" s="22" t="n">
        <x:v>35148</x:v>
      </x:c>
      <x:c r="B1114" s="28" t="n">
        <x:v>894.4</x:v>
      </x:c>
      <x:c r="C1114" s="28" t="n">
        <x:v>809.79</x:v>
      </x:c>
      <x:c r="D1114" s="31" t="n">
        <x:f>IF(OR(ISBLANK(B1114),ISBLANK(C1114),B1114=0),"",(C1114-B1114)/B1114)</x:f>
        <x:v>-0.09459973166368517</x:v>
      </x:c>
      <x:c r="E1114" s="22" t="str">
        <x:f>IF(ISBLANK(C1114),"AmountIncludingTax缺失",IF(ABS(B1114-C1114)&lt;0.005,"一致","不一致"))</x:f>
        <x:v>不一致</x:v>
      </x:c>
      <x:c r="F1114" s="19" t="str">
        <x:v>approved</x:v>
      </x:c>
      <x:c r="G1114" s="19" t="str">
        <x:v>Repairer Invoiced Processed</x:v>
      </x:c>
      <x:c r="H1114" s="19" t="str">
        <x:v>In Field</x:v>
      </x:c>
      <x:c r="I1114" s="37" t="n">
        <x:v>46161</x:v>
      </x:c>
      <x:c r="J1114" s="37" t="n">
        <x:v>46161</x:v>
      </x:c>
      <x:c r="K1114" s="19" t="str">
        <x:v>Vanari Caravans - Marden Point</x:v>
      </x:c>
      <x:c r="L1114" s="19" t="str">
        <x:v>Z006</x:v>
      </x:c>
      <x:c r="M1114" s="19" t="str">
        <x:v>In Field Warranty Claims</x:v>
      </x:c>
      <x:c r="N1114" s="37" t="n">
        <x:v>46160</x:v>
      </x:c>
      <x:c r="O1114" s="37"/>
      <x:c r="P1114" s="34" t="n">
        <x:v>809.79</x:v>
      </x:c>
      <x:c r="Q1114" s="37" t="n">
        <x:v>46161.26726851852</x:v>
      </x:c>
    </x:row>
    <x:row r="1115">
      <x:c r="A1115" s="22" t="n">
        <x:v>35146</x:v>
      </x:c>
      <x:c r="B1115" s="28" t="n">
        <x:v>492.5</x:v>
      </x:c>
      <x:c r="C1115" s="28"/>
      <x:c r="D1115" s="31" t="str">
        <x:f>IF(OR(ISBLANK(B1115),ISBLANK(C1115),B1115=0),"",(C1115-B1115)/B1115)</x:f>
      </x:c>
      <x:c r="E1115" s="22" t="str">
        <x:f>IF(ISBLANK(C1115),"AmountIncludingTax缺失",IF(ABS(B1115-C1115)&lt;0.005,"一致","不一致"))</x:f>
        <x:v>AmountIncludingTax缺失</x:v>
      </x:c>
      <x:c r="F1115" s="19" t="str">
        <x:v>approved</x:v>
      </x:c>
      <x:c r="G1115" s="19" t="str">
        <x:v>Sales Order Approved</x:v>
      </x:c>
      <x:c r="H1115" s="19" t="str">
        <x:v>Pre Delivery</x:v>
      </x:c>
      <x:c r="I1115" s="37" t="n">
        <x:v>46161</x:v>
      </x:c>
      <x:c r="J1115" s="37" t="n">
        <x:v>46161</x:v>
      </x:c>
      <x:c r="K1115" s="19" t="str">
        <x:v>Snowy River Wangaratta</x:v>
      </x:c>
      <x:c r="L1115" s="19" t="str">
        <x:v>Z005</x:v>
      </x:c>
      <x:c r="M1115" s="19" t="str">
        <x:v>Pre Delivery Warranty Claims</x:v>
      </x:c>
      <x:c r="N1115" s="37" t="n">
        <x:v>46160</x:v>
      </x:c>
      <x:c r="O1115" s="37"/>
      <x:c r="P1115" s="34" t="n">
        <x:v>0</x:v>
      </x:c>
      <x:c r="Q1115" s="37" t="n">
        <x:v>46161.036944444444</x:v>
      </x:c>
    </x:row>
    <x:row r="1116">
      <x:c r="A1116" s="22" t="n">
        <x:v>35143</x:v>
      </x:c>
      <x:c r="B1116" s="28" t="n">
        <x:v>405</x:v>
      </x:c>
      <x:c r="C1116" s="28"/>
      <x:c r="D1116" s="31" t="str">
        <x:f>IF(OR(ISBLANK(B1116),ISBLANK(C1116),B1116=0),"",(C1116-B1116)/B1116)</x:f>
      </x:c>
      <x:c r="E1116" s="22" t="str">
        <x:f>IF(ISBLANK(C1116),"AmountIncludingTax缺失",IF(ABS(B1116-C1116)&lt;0.005,"一致","不一致"))</x:f>
        <x:v>AmountIncludingTax缺失</x:v>
      </x:c>
      <x:c r="F1116" s="19" t="str">
        <x:v>approved</x:v>
      </x:c>
      <x:c r="G1116" s="19" t="str">
        <x:v>Repair in Progress</x:v>
      </x:c>
      <x:c r="H1116" s="19" t="str">
        <x:v>In Field</x:v>
      </x:c>
      <x:c r="I1116" s="37" t="n">
        <x:v>46162</x:v>
      </x:c>
      <x:c r="J1116" s="37" t="n">
        <x:v>46162</x:v>
      </x:c>
      <x:c r="K1116" s="19" t="str">
        <x:v>Regent RV - Frankston</x:v>
      </x:c>
      <x:c r="L1116" s="19" t="str">
        <x:v>Z006</x:v>
      </x:c>
      <x:c r="M1116" s="19" t="str">
        <x:v>In Field Warranty Claims</x:v>
      </x:c>
      <x:c r="N1116" s="37" t="n">
        <x:v>46160</x:v>
      </x:c>
      <x:c r="O1116" s="37"/>
      <x:c r="P1116" s="34" t="n">
        <x:v>0</x:v>
      </x:c>
      <x:c r="Q1116" s="37" t="n">
        <x:v>46162.13350694445</x:v>
      </x:c>
    </x:row>
    <x:row r="1117">
      <x:c r="A1117" s="22" t="n">
        <x:v>35142</x:v>
      </x:c>
      <x:c r="B1117" s="28" t="n">
        <x:v>778.75</x:v>
      </x:c>
      <x:c r="C1117" s="28"/>
      <x:c r="D1117" s="31" t="str">
        <x:f>IF(OR(ISBLANK(B1117),ISBLANK(C1117),B1117=0),"",(C1117-B1117)/B1117)</x:f>
      </x:c>
      <x:c r="E1117" s="22" t="str">
        <x:f>IF(ISBLANK(C1117),"AmountIncludingTax缺失",IF(ABS(B1117-C1117)&lt;0.005,"一致","不一致"))</x:f>
        <x:v>AmountIncludingTax缺失</x:v>
      </x:c>
      <x:c r="F1117" s="19" t="str">
        <x:v>approved</x:v>
      </x:c>
      <x:c r="G1117" s="19" t="str">
        <x:v>Repair in Progress</x:v>
      </x:c>
      <x:c r="H1117" s="19" t="str">
        <x:v>In Field</x:v>
      </x:c>
      <x:c r="I1117" s="37" t="n">
        <x:v>46161</x:v>
      </x:c>
      <x:c r="J1117" s="37" t="n">
        <x:v>46161</x:v>
      </x:c>
      <x:c r="K1117" s="19" t="str">
        <x:v>Green RV - Forest Glen</x:v>
      </x:c>
      <x:c r="L1117" s="19" t="str">
        <x:v>Z006</x:v>
      </x:c>
      <x:c r="M1117" s="19" t="str">
        <x:v>In Field Warranty Claims</x:v>
      </x:c>
      <x:c r="N1117" s="37" t="n">
        <x:v>46160</x:v>
      </x:c>
      <x:c r="O1117" s="37"/>
      <x:c r="P1117" s="34" t="n">
        <x:v>0</x:v>
      </x:c>
      <x:c r="Q1117" s="37" t="n">
        <x:v>46160.99741898148</x:v>
      </x:c>
    </x:row>
    <x:row r="1118">
      <x:c r="A1118" s="22" t="n">
        <x:v>35140</x:v>
      </x:c>
      <x:c r="B1118" s="28" t="n">
        <x:v>5940.9</x:v>
      </x:c>
      <x:c r="C1118" s="28"/>
      <x:c r="D1118" s="31" t="str">
        <x:f>IF(OR(ISBLANK(B1118),ISBLANK(C1118),B1118=0),"",(C1118-B1118)/B1118)</x:f>
      </x:c>
      <x:c r="E1118" s="22" t="str">
        <x:f>IF(ISBLANK(C1118),"AmountIncludingTax缺失",IF(ABS(B1118-C1118)&lt;0.005,"一致","不一致"))</x:f>
        <x:v>AmountIncludingTax缺失</x:v>
      </x:c>
      <x:c r="F1118" s="19" t="str">
        <x:v>approved</x:v>
      </x:c>
      <x:c r="G1118" s="19" t="str">
        <x:v>Repair in Progress</x:v>
      </x:c>
      <x:c r="H1118" s="19" t="str">
        <x:v>In Field</x:v>
      </x:c>
      <x:c r="I1118" s="37" t="n">
        <x:v>46161</x:v>
      </x:c>
      <x:c r="J1118" s="37" t="n">
        <x:v>46161</x:v>
      </x:c>
      <x:c r="K1118" s="19" t="str">
        <x:v>Leisure Lion - Bundaberg</x:v>
      </x:c>
      <x:c r="L1118" s="19" t="str">
        <x:v>Z006</x:v>
      </x:c>
      <x:c r="M1118" s="19" t="str">
        <x:v>In Field Warranty Claims</x:v>
      </x:c>
      <x:c r="N1118" s="37" t="n">
        <x:v>46161</x:v>
      </x:c>
      <x:c r="O1118" s="37"/>
      <x:c r="P1118" s="34" t="n">
        <x:v>6534.99</x:v>
      </x:c>
      <x:c r="Q1118" s="37" t="n">
        <x:v>46161.55569444445</x:v>
      </x:c>
    </x:row>
    <x:row r="1119">
      <x:c r="A1119" s="22" t="n">
        <x:v>35139</x:v>
      </x:c>
      <x:c r="B1119" s="28" t="n">
        <x:v>135</x:v>
      </x:c>
      <x:c r="C1119" s="28"/>
      <x:c r="D1119" s="31" t="str">
        <x:f>IF(OR(ISBLANK(B1119),ISBLANK(C1119),B1119=0),"",(C1119-B1119)/B1119)</x:f>
      </x:c>
      <x:c r="E1119" s="22" t="str">
        <x:f>IF(ISBLANK(C1119),"AmountIncludingTax缺失",IF(ABS(B1119-C1119)&lt;0.005,"一致","不一致"))</x:f>
        <x:v>AmountIncludingTax缺失</x:v>
      </x:c>
      <x:c r="F1119" s="19" t="str">
        <x:v>approved</x:v>
      </x:c>
      <x:c r="G1119" s="19" t="str">
        <x:v>Repair in Progress</x:v>
      </x:c>
      <x:c r="H1119" s="19" t="str">
        <x:v>In Field</x:v>
      </x:c>
      <x:c r="I1119" s="37" t="n">
        <x:v>46191</x:v>
      </x:c>
      <x:c r="J1119" s="37" t="n">
        <x:v>46191</x:v>
      </x:c>
      <x:c r="K1119" s="19" t="str">
        <x:v>Green RV - Forest Glen</x:v>
      </x:c>
      <x:c r="L1119" s="19" t="str">
        <x:v>Z006</x:v>
      </x:c>
      <x:c r="M1119" s="19" t="str">
        <x:v>In Field Warranty Claims</x:v>
      </x:c>
      <x:c r="N1119" s="37" t="n">
        <x:v>46160</x:v>
      </x:c>
      <x:c r="O1119" s="37"/>
      <x:c r="P1119" s="34" t="n">
        <x:v>0</x:v>
      </x:c>
      <x:c r="Q1119" s="37" t="n">
        <x:v>46191.074953703705</x:v>
      </x:c>
    </x:row>
    <x:row r="1120">
      <x:c r="A1120" s="22" t="n">
        <x:v>35137</x:v>
      </x:c>
      <x:c r="B1120" s="28" t="n">
        <x:v>67.5</x:v>
      </x:c>
      <x:c r="C1120" s="28"/>
      <x:c r="D1120" s="31" t="str">
        <x:f>IF(OR(ISBLANK(B1120),ISBLANK(C1120),B1120=0),"",(C1120-B1120)/B1120)</x:f>
      </x:c>
      <x:c r="E1120" s="22" t="str">
        <x:f>IF(ISBLANK(C1120),"AmountIncludingTax缺失",IF(ABS(B1120-C1120)&lt;0.005,"一致","不一致"))</x:f>
        <x:v>AmountIncludingTax缺失</x:v>
      </x:c>
      <x:c r="F1120" s="19" t="str">
        <x:v>approved</x:v>
      </x:c>
      <x:c r="G1120" s="19" t="str">
        <x:v>Repairer Invoiced Processed</x:v>
      </x:c>
      <x:c r="H1120" s="19" t="str">
        <x:v>Pre Delivery</x:v>
      </x:c>
      <x:c r="I1120" s="37" t="n">
        <x:v>46204</x:v>
      </x:c>
      <x:c r="J1120" s="37" t="n">
        <x:v>46204</x:v>
      </x:c>
      <x:c r="K1120" s="19" t="str">
        <x:v>Dario Caravans -St.Marys</x:v>
      </x:c>
      <x:c r="L1120" s="19" t="str">
        <x:v>Z005</x:v>
      </x:c>
      <x:c r="M1120" s="19" t="str">
        <x:v>Pre Delivery Warranty Claims</x:v>
      </x:c>
      <x:c r="N1120" s="37" t="n">
        <x:v>46160</x:v>
      </x:c>
      <x:c r="O1120" s="37"/>
      <x:c r="P1120" s="34" t="n">
        <x:v>0</x:v>
      </x:c>
      <x:c r="Q1120" s="37" t="n">
        <x:v>46204.28864583333</x:v>
      </x:c>
    </x:row>
    <x:row r="1121">
      <x:c r="A1121" s="22" t="n">
        <x:v>35136</x:v>
      </x:c>
      <x:c r="B1121" s="28" t="n">
        <x:v>1022.5</x:v>
      </x:c>
      <x:c r="C1121" s="28"/>
      <x:c r="D1121" s="31" t="str">
        <x:f>IF(OR(ISBLANK(B1121),ISBLANK(C1121),B1121=0),"",(C1121-B1121)/B1121)</x:f>
      </x:c>
      <x:c r="E1121" s="22" t="str">
        <x:f>IF(ISBLANK(C1121),"AmountIncludingTax缺失",IF(ABS(B1121-C1121)&lt;0.005,"一致","不一致"))</x:f>
        <x:v>AmountIncludingTax缺失</x:v>
      </x:c>
      <x:c r="F1121" s="19" t="str">
        <x:v>approved</x:v>
      </x:c>
      <x:c r="G1121" s="19" t="str">
        <x:v>Repair in Progress</x:v>
      </x:c>
      <x:c r="H1121" s="19" t="str">
        <x:v>In Field</x:v>
      </x:c>
      <x:c r="I1121" s="37" t="n">
        <x:v>46162</x:v>
      </x:c>
      <x:c r="J1121" s="37" t="n">
        <x:v>46162</x:v>
      </x:c>
      <x:c r="K1121" s="19" t="str">
        <x:v>Green RV - Forest Glen</x:v>
      </x:c>
      <x:c r="L1121" s="19" t="str">
        <x:v>Z006</x:v>
      </x:c>
      <x:c r="M1121" s="19" t="str">
        <x:v>In Field Warranty Claims</x:v>
      </x:c>
      <x:c r="N1121" s="37" t="n">
        <x:v>46160</x:v>
      </x:c>
      <x:c r="O1121" s="37"/>
      <x:c r="P1121" s="34" t="n">
        <x:v>0</x:v>
      </x:c>
      <x:c r="Q1121" s="37" t="n">
        <x:v>46162.12657407407</x:v>
      </x:c>
    </x:row>
    <x:row r="1122">
      <x:c r="A1122" s="22" t="n">
        <x:v>35135</x:v>
      </x:c>
      <x:c r="B1122" s="28" t="n">
        <x:v>371.25</x:v>
      </x:c>
      <x:c r="C1122" s="28"/>
      <x:c r="D1122" s="31" t="str">
        <x:f>IF(OR(ISBLANK(B1122),ISBLANK(C1122),B1122=0),"",(C1122-B1122)/B1122)</x:f>
      </x:c>
      <x:c r="E1122" s="22" t="str">
        <x:f>IF(ISBLANK(C1122),"AmountIncludingTax缺失",IF(ABS(B1122-C1122)&lt;0.005,"一致","不一致"))</x:f>
        <x:v>AmountIncludingTax缺失</x:v>
      </x:c>
      <x:c r="F1122" s="19" t="str">
        <x:v>approved</x:v>
      </x:c>
      <x:c r="G1122" s="19" t="str">
        <x:v>Repairer Invoiced Processed</x:v>
      </x:c>
      <x:c r="H1122" s="19" t="str">
        <x:v>In Field</x:v>
      </x:c>
      <x:c r="I1122" s="37" t="n">
        <x:v>46161</x:v>
      </x:c>
      <x:c r="J1122" s="37" t="n">
        <x:v>46161</x:v>
      </x:c>
      <x:c r="K1122" s="19" t="str">
        <x:v>Green RV - Slacks Creek</x:v>
      </x:c>
      <x:c r="L1122" s="19" t="str">
        <x:v>Z006</x:v>
      </x:c>
      <x:c r="M1122" s="19" t="str">
        <x:v>In Field Warranty Claims</x:v>
      </x:c>
      <x:c r="N1122" s="37" t="n">
        <x:v>46160</x:v>
      </x:c>
      <x:c r="O1122" s="37"/>
      <x:c r="P1122" s="34" t="n">
        <x:v>0</x:v>
      </x:c>
      <x:c r="Q1122" s="37" t="n">
        <x:v>46161.05226851852</x:v>
      </x:c>
    </x:row>
    <x:row r="1123">
      <x:c r="A1123" s="22" t="n">
        <x:v>35133</x:v>
      </x:c>
      <x:c r="B1123" s="28" t="n">
        <x:v>93.35</x:v>
      </x:c>
      <x:c r="C1123" s="28" t="n">
        <x:v>102.69</x:v>
      </x:c>
      <x:c r="D1123" s="31" t="n">
        <x:f>IF(OR(ISBLANK(B1123),ISBLANK(C1123),B1123=0),"",(C1123-B1123)/B1123)</x:f>
        <x:v>0.10005356186395291</x:v>
      </x:c>
      <x:c r="E1123" s="22" t="str">
        <x:f>IF(ISBLANK(C1123),"AmountIncludingTax缺失",IF(ABS(B1123-C1123)&lt;0.005,"一致","不一致"))</x:f>
        <x:v>不一致</x:v>
      </x:c>
      <x:c r="F1123" s="19" t="str">
        <x:v>approved</x:v>
      </x:c>
      <x:c r="G1123" s="19" t="str">
        <x:v>Repair in Progress</x:v>
      </x:c>
      <x:c r="H1123" s="19" t="str">
        <x:v>In Field</x:v>
      </x:c>
      <x:c r="I1123" s="37" t="n">
        <x:v>46161</x:v>
      </x:c>
      <x:c r="J1123" s="37" t="n">
        <x:v>46161</x:v>
      </x:c>
      <x:c r="K1123" s="19" t="str">
        <x:v>Green RV - Forest Glen</x:v>
      </x:c>
      <x:c r="L1123" s="19" t="str">
        <x:v>Z006</x:v>
      </x:c>
      <x:c r="M1123" s="19" t="str">
        <x:v>In Field Warranty Claims</x:v>
      </x:c>
      <x:c r="N1123" s="37" t="n">
        <x:v>46160</x:v>
      </x:c>
      <x:c r="O1123" s="37"/>
      <x:c r="P1123" s="34" t="n">
        <x:v>102.69</x:v>
      </x:c>
      <x:c r="Q1123" s="37" t="n">
        <x:v>46161.57288194444</x:v>
      </x:c>
    </x:row>
    <x:row r="1124">
      <x:c r="A1124" s="22" t="n">
        <x:v>35132</x:v>
      </x:c>
      <x:c r="B1124" s="28" t="n">
        <x:v>922.05</x:v>
      </x:c>
      <x:c r="C1124" s="28"/>
      <x:c r="D1124" s="31" t="str">
        <x:f>IF(OR(ISBLANK(B1124),ISBLANK(C1124),B1124=0),"",(C1124-B1124)/B1124)</x:f>
      </x:c>
      <x:c r="E1124" s="22" t="str">
        <x:f>IF(ISBLANK(C1124),"AmountIncludingTax缺失",IF(ABS(B1124-C1124)&lt;0.005,"一致","不一致"))</x:f>
        <x:v>AmountIncludingTax缺失</x:v>
      </x:c>
      <x:c r="F1124" s="19" t="str">
        <x:v>approved</x:v>
      </x:c>
      <x:c r="G1124" s="19" t="str">
        <x:v>Repair in Progress</x:v>
      </x:c>
      <x:c r="H1124" s="19" t="str">
        <x:v>In Field</x:v>
      </x:c>
      <x:c r="I1124" s="37" t="n">
        <x:v>46161</x:v>
      </x:c>
      <x:c r="J1124" s="37" t="n">
        <x:v>46161</x:v>
      </x:c>
      <x:c r="K1124" s="19" t="str">
        <x:v>ABCO Caravans - Boambee Valley</x:v>
      </x:c>
      <x:c r="L1124" s="19" t="str">
        <x:v>Z006</x:v>
      </x:c>
      <x:c r="M1124" s="19" t="str">
        <x:v>In Field Warranty Claims</x:v>
      </x:c>
      <x:c r="N1124" s="37" t="n">
        <x:v>46160</x:v>
      </x:c>
      <x:c r="O1124" s="37"/>
      <x:c r="P1124" s="34" t="n">
        <x:v>0</x:v>
      </x:c>
      <x:c r="Q1124" s="37" t="n">
        <x:v>46161.11708333333</x:v>
      </x:c>
    </x:row>
    <x:row r="1125">
      <x:c r="A1125" s="22" t="n">
        <x:v>35131</x:v>
      </x:c>
      <x:c r="B1125" s="28" t="n">
        <x:v>1080</x:v>
      </x:c>
      <x:c r="C1125" s="28"/>
      <x:c r="D1125" s="31" t="str">
        <x:f>IF(OR(ISBLANK(B1125),ISBLANK(C1125),B1125=0),"",(C1125-B1125)/B1125)</x:f>
      </x:c>
      <x:c r="E1125" s="22" t="str">
        <x:f>IF(ISBLANK(C1125),"AmountIncludingTax缺失",IF(ABS(B1125-C1125)&lt;0.005,"一致","不一致"))</x:f>
        <x:v>AmountIncludingTax缺失</x:v>
      </x:c>
      <x:c r="F1125" s="19" t="str">
        <x:v>approved</x:v>
      </x:c>
      <x:c r="G1125" s="19" t="str">
        <x:v>Repairer Invoiced Processed</x:v>
      </x:c>
      <x:c r="H1125" s="19" t="str">
        <x:v>In Field</x:v>
      </x:c>
      <x:c r="I1125" s="37" t="n">
        <x:v>46161</x:v>
      </x:c>
      <x:c r="J1125" s="37" t="n">
        <x:v>46161</x:v>
      </x:c>
      <x:c r="K1125" s="19" t="str">
        <x:v>Green RV - Slacks Creek</x:v>
      </x:c>
      <x:c r="L1125" s="19" t="str">
        <x:v>Z006</x:v>
      </x:c>
      <x:c r="M1125" s="19" t="str">
        <x:v>In Field Warranty Claims</x:v>
      </x:c>
      <x:c r="N1125" s="37" t="n">
        <x:v>46160</x:v>
      </x:c>
      <x:c r="O1125" s="37"/>
      <x:c r="P1125" s="34" t="n">
        <x:v>0</x:v>
      </x:c>
      <x:c r="Q1125" s="37" t="n">
        <x:v>46160.91119212963</x:v>
      </x:c>
    </x:row>
    <x:row r="1126">
      <x:c r="A1126" s="22" t="n">
        <x:v>35130</x:v>
      </x:c>
      <x:c r="B1126" s="28" t="n">
        <x:v>748.75</x:v>
      </x:c>
      <x:c r="C1126" s="28"/>
      <x:c r="D1126" s="31" t="str">
        <x:f>IF(OR(ISBLANK(B1126),ISBLANK(C1126),B1126=0),"",(C1126-B1126)/B1126)</x:f>
      </x:c>
      <x:c r="E1126" s="22" t="str">
        <x:f>IF(ISBLANK(C1126),"AmountIncludingTax缺失",IF(ABS(B1126-C1126)&lt;0.005,"一致","不一致"))</x:f>
        <x:v>AmountIncludingTax缺失</x:v>
      </x:c>
      <x:c r="F1126" s="19" t="str">
        <x:v>approved</x:v>
      </x:c>
      <x:c r="G1126" s="19" t="str">
        <x:v>Repair in Progress</x:v>
      </x:c>
      <x:c r="H1126" s="19" t="str">
        <x:v>In Field</x:v>
      </x:c>
      <x:c r="I1126" s="37" t="n">
        <x:v>46163</x:v>
      </x:c>
      <x:c r="J1126" s="37" t="n">
        <x:v>46163</x:v>
      </x:c>
      <x:c r="K1126" s="19" t="str">
        <x:v>Regent RV - Toowoomba</x:v>
      </x:c>
      <x:c r="L1126" s="19" t="str">
        <x:v>Z006</x:v>
      </x:c>
      <x:c r="M1126" s="19" t="str">
        <x:v>In Field Warranty Claims</x:v>
      </x:c>
      <x:c r="N1126" s="37" t="n">
        <x:v>46160</x:v>
      </x:c>
      <x:c r="O1126" s="37"/>
      <x:c r="P1126" s="34" t="n">
        <x:v>0</x:v>
      </x:c>
      <x:c r="Q1126" s="37" t="n">
        <x:v>46163.12184027778</x:v>
      </x:c>
    </x:row>
    <x:row r="1127">
      <x:c r="A1127" s="22" t="n">
        <x:v>35129</x:v>
      </x:c>
      <x:c r="B1127" s="28" t="n">
        <x:v>776.25</x:v>
      </x:c>
      <x:c r="C1127" s="28"/>
      <x:c r="D1127" s="31" t="str">
        <x:f>IF(OR(ISBLANK(B1127),ISBLANK(C1127),B1127=0),"",(C1127-B1127)/B1127)</x:f>
      </x:c>
      <x:c r="E1127" s="22" t="str">
        <x:f>IF(ISBLANK(C1127),"AmountIncludingTax缺失",IF(ABS(B1127-C1127)&lt;0.005,"一致","不一致"))</x:f>
        <x:v>AmountIncludingTax缺失</x:v>
      </x:c>
      <x:c r="F1127" s="19" t="str">
        <x:v>approved</x:v>
      </x:c>
      <x:c r="G1127" s="19" t="str">
        <x:v>Partially Picked</x:v>
      </x:c>
      <x:c r="H1127" s="19" t="str">
        <x:v>In Field</x:v>
      </x:c>
      <x:c r="I1127" s="37" t="n">
        <x:v>46168</x:v>
      </x:c>
      <x:c r="J1127" s="37" t="n">
        <x:v>46168</x:v>
      </x:c>
      <x:c r="K1127" s="19" t="str">
        <x:v>Regent RV - Frankston</x:v>
      </x:c>
      <x:c r="L1127" s="19" t="str">
        <x:v>Z006</x:v>
      </x:c>
      <x:c r="M1127" s="19" t="str">
        <x:v>In Field Warranty Claims</x:v>
      </x:c>
      <x:c r="N1127" s="37" t="n">
        <x:v>46160</x:v>
      </x:c>
      <x:c r="O1127" s="37"/>
      <x:c r="P1127" s="34" t="n">
        <x:v>0</x:v>
      </x:c>
      <x:c r="Q1127" s="37" t="n">
        <x:v>46168.01489583333</x:v>
      </x:c>
    </x:row>
    <x:row r="1128">
      <x:c r="A1128" s="22" t="n">
        <x:v>35128</x:v>
      </x:c>
      <x:c r="B1128" s="28" t="n">
        <x:v>145</x:v>
      </x:c>
      <x:c r="C1128" s="28"/>
      <x:c r="D1128" s="31" t="str">
        <x:f>IF(OR(ISBLANK(B1128),ISBLANK(C1128),B1128=0),"",(C1128-B1128)/B1128)</x:f>
      </x:c>
      <x:c r="E1128" s="22" t="str">
        <x:f>IF(ISBLANK(C1128),"AmountIncludingTax缺失",IF(ABS(B1128-C1128)&lt;0.005,"一致","不一致"))</x:f>
        <x:v>AmountIncludingTax缺失</x:v>
      </x:c>
      <x:c r="F1128" s="19" t="str">
        <x:v>approved</x:v>
      </x:c>
      <x:c r="G1128" s="19" t="str">
        <x:v>Sales Order Approved</x:v>
      </x:c>
      <x:c r="H1128" s="19" t="str">
        <x:v>Pre Delivery</x:v>
      </x:c>
      <x:c r="I1128" s="37" t="n">
        <x:v>46196</x:v>
      </x:c>
      <x:c r="J1128" s="37" t="n">
        <x:v>46196</x:v>
      </x:c>
      <x:c r="K1128" s="19" t="str">
        <x:v>The Caravan Hub - Townsville</x:v>
      </x:c>
      <x:c r="L1128" s="19" t="str">
        <x:v>Z005</x:v>
      </x:c>
      <x:c r="M1128" s="19" t="str">
        <x:v>Pre Delivery Warranty Claims</x:v>
      </x:c>
      <x:c r="N1128" s="37" t="n">
        <x:v>46160</x:v>
      </x:c>
      <x:c r="O1128" s="37"/>
      <x:c r="P1128" s="34" t="n">
        <x:v>0</x:v>
      </x:c>
      <x:c r="Q1128" s="37" t="n">
        <x:v>46196.269895833335</x:v>
      </x:c>
    </x:row>
    <x:row r="1129">
      <x:c r="A1129" s="22" t="n">
        <x:v>35127</x:v>
      </x:c>
      <x:c r="B1129" s="28" t="n">
        <x:v>1413.75</x:v>
      </x:c>
      <x:c r="C1129" s="28"/>
      <x:c r="D1129" s="31" t="str">
        <x:f>IF(OR(ISBLANK(B1129),ISBLANK(C1129),B1129=0),"",(C1129-B1129)/B1129)</x:f>
      </x:c>
      <x:c r="E1129" s="22" t="str">
        <x:f>IF(ISBLANK(C1129),"AmountIncludingTax缺失",IF(ABS(B1129-C1129)&lt;0.005,"一致","不一致"))</x:f>
        <x:v>AmountIncludingTax缺失</x:v>
      </x:c>
      <x:c r="F1129" s="19" t="str">
        <x:v>approved</x:v>
      </x:c>
      <x:c r="G1129" s="19" t="str">
        <x:v>Repairer Invoiced Processed</x:v>
      </x:c>
      <x:c r="H1129" s="19" t="str">
        <x:v>In Field</x:v>
      </x:c>
      <x:c r="I1129" s="37" t="n">
        <x:v>46167</x:v>
      </x:c>
      <x:c r="J1129" s="37" t="n">
        <x:v>46167</x:v>
      </x:c>
      <x:c r="K1129" s="19" t="str">
        <x:v>Auswide Caravans - South Nowra</x:v>
      </x:c>
      <x:c r="L1129" s="19" t="str">
        <x:v>Z006</x:v>
      </x:c>
      <x:c r="M1129" s="19" t="str">
        <x:v>In Field Warranty Claims</x:v>
      </x:c>
      <x:c r="N1129" s="37" t="n">
        <x:v>46160</x:v>
      </x:c>
      <x:c r="O1129" s="37"/>
      <x:c r="P1129" s="34" t="n">
        <x:v>0</x:v>
      </x:c>
      <x:c r="Q1129" s="37" t="n">
        <x:v>46167.03377314815</x:v>
      </x:c>
    </x:row>
    <x:row r="1130">
      <x:c r="A1130" s="22" t="n">
        <x:v>35126</x:v>
      </x:c>
      <x:c r="B1130" s="28" t="n">
        <x:v>67.5</x:v>
      </x:c>
      <x:c r="C1130" s="28"/>
      <x:c r="D1130" s="31" t="str">
        <x:f>IF(OR(ISBLANK(B1130),ISBLANK(C1130),B1130=0),"",(C1130-B1130)/B1130)</x:f>
      </x:c>
      <x:c r="E1130" s="22" t="str">
        <x:f>IF(ISBLANK(C1130),"AmountIncludingTax缺失",IF(ABS(B1130-C1130)&lt;0.005,"一致","不一致"))</x:f>
        <x:v>AmountIncludingTax缺失</x:v>
      </x:c>
      <x:c r="F1130" s="19" t="str">
        <x:v>approved</x:v>
      </x:c>
      <x:c r="G1130" s="19" t="str">
        <x:v>Repair in Progress</x:v>
      </x:c>
      <x:c r="H1130" s="19" t="str">
        <x:v>In Field</x:v>
      </x:c>
      <x:c r="I1130" s="37" t="n">
        <x:v>46161</x:v>
      </x:c>
      <x:c r="J1130" s="37" t="n">
        <x:v>46161</x:v>
      </x:c>
      <x:c r="K1130" s="19" t="str">
        <x:v>ABCO Caravans - Boambee Valley</x:v>
      </x:c>
      <x:c r="L1130" s="19" t="str">
        <x:v>Z006</x:v>
      </x:c>
      <x:c r="M1130" s="19" t="str">
        <x:v>In Field Warranty Claims</x:v>
      </x:c>
      <x:c r="N1130" s="37" t="n">
        <x:v>46160</x:v>
      </x:c>
      <x:c r="O1130" s="37"/>
      <x:c r="P1130" s="34" t="n">
        <x:v>0</x:v>
      </x:c>
      <x:c r="Q1130" s="37" t="n">
        <x:v>46161.102314814816</x:v>
      </x:c>
    </x:row>
    <x:row r="1131">
      <x:c r="A1131" s="22" t="n">
        <x:v>35125</x:v>
      </x:c>
      <x:c r="B1131" s="28" t="n">
        <x:v>750</x:v>
      </x:c>
      <x:c r="C1131" s="28"/>
      <x:c r="D1131" s="31" t="str">
        <x:f>IF(OR(ISBLANK(B1131),ISBLANK(C1131),B1131=0),"",(C1131-B1131)/B1131)</x:f>
      </x:c>
      <x:c r="E1131" s="22" t="str">
        <x:f>IF(ISBLANK(C1131),"AmountIncludingTax缺失",IF(ABS(B1131-C1131)&lt;0.005,"一致","不一致"))</x:f>
        <x:v>AmountIncludingTax缺失</x:v>
      </x:c>
      <x:c r="F1131" s="19" t="str">
        <x:v>approved</x:v>
      </x:c>
      <x:c r="G1131" s="19" t="str">
        <x:v>Repair in Progress</x:v>
      </x:c>
      <x:c r="H1131" s="19" t="str">
        <x:v>In Field</x:v>
      </x:c>
      <x:c r="I1131" s="37" t="n">
        <x:v>46170</x:v>
      </x:c>
      <x:c r="J1131" s="37" t="n">
        <x:v>46170</x:v>
      </x:c>
      <x:c r="K1131" s="19" t="str">
        <x:v>Regent RV - Townsville</x:v>
      </x:c>
      <x:c r="L1131" s="19" t="str">
        <x:v>Z006</x:v>
      </x:c>
      <x:c r="M1131" s="19" t="str">
        <x:v>In Field Warranty Claims</x:v>
      </x:c>
      <x:c r="N1131" s="37" t="n">
        <x:v>46160</x:v>
      </x:c>
      <x:c r="O1131" s="37"/>
      <x:c r="P1131" s="34" t="n">
        <x:v>0</x:v>
      </x:c>
      <x:c r="Q1131" s="37" t="n">
        <x:v>46170.081099537034</x:v>
      </x:c>
    </x:row>
    <x:row r="1132">
      <x:c r="A1132" s="22" t="n">
        <x:v>35124</x:v>
      </x:c>
      <x:c r="B1132" s="28" t="n">
        <x:v>337.5</x:v>
      </x:c>
      <x:c r="C1132" s="28"/>
      <x:c r="D1132" s="31" t="str">
        <x:f>IF(OR(ISBLANK(B1132),ISBLANK(C1132),B1132=0),"",(C1132-B1132)/B1132)</x:f>
      </x:c>
      <x:c r="E1132" s="22" t="str">
        <x:f>IF(ISBLANK(C1132),"AmountIncludingTax缺失",IF(ABS(B1132-C1132)&lt;0.005,"一致","不一致"))</x:f>
        <x:v>AmountIncludingTax缺失</x:v>
      </x:c>
      <x:c r="F1132" s="19" t="str">
        <x:v>approved</x:v>
      </x:c>
      <x:c r="G1132" s="19" t="str">
        <x:v>Partially Picked</x:v>
      </x:c>
      <x:c r="H1132" s="19" t="str">
        <x:v>In Field</x:v>
      </x:c>
      <x:c r="I1132" s="37" t="n">
        <x:v>46168</x:v>
      </x:c>
      <x:c r="J1132" s="37" t="n">
        <x:v>46168</x:v>
      </x:c>
      <x:c r="K1132" s="19" t="str">
        <x:v>Regent RV - Perth</x:v>
      </x:c>
      <x:c r="L1132" s="19" t="str">
        <x:v>Z006</x:v>
      </x:c>
      <x:c r="M1132" s="19" t="str">
        <x:v>In Field Warranty Claims</x:v>
      </x:c>
      <x:c r="N1132" s="37" t="n">
        <x:v>46160</x:v>
      </x:c>
      <x:c r="O1132" s="37"/>
      <x:c r="P1132" s="34" t="n">
        <x:v>0</x:v>
      </x:c>
      <x:c r="Q1132" s="37" t="n">
        <x:v>46167.93137731482</x:v>
      </x:c>
    </x:row>
    <x:row r="1133">
      <x:c r="A1133" s="22" t="n">
        <x:v>35123</x:v>
      </x:c>
      <x:c r="B1133" s="28" t="n">
        <x:v>827.5</x:v>
      </x:c>
      <x:c r="C1133" s="28"/>
      <x:c r="D1133" s="31" t="str">
        <x:f>IF(OR(ISBLANK(B1133),ISBLANK(C1133),B1133=0),"",(C1133-B1133)/B1133)</x:f>
      </x:c>
      <x:c r="E1133" s="22" t="str">
        <x:f>IF(ISBLANK(C1133),"AmountIncludingTax缺失",IF(ABS(B1133-C1133)&lt;0.005,"一致","不一致"))</x:f>
        <x:v>AmountIncludingTax缺失</x:v>
      </x:c>
      <x:c r="F1133" s="19" t="str">
        <x:v>approved</x:v>
      </x:c>
      <x:c r="G1133" s="19" t="str">
        <x:v>Repairer Invoiced Processed</x:v>
      </x:c>
      <x:c r="H1133" s="19" t="str">
        <x:v>In Field</x:v>
      </x:c>
      <x:c r="I1133" s="37" t="n">
        <x:v>46160</x:v>
      </x:c>
      <x:c r="J1133" s="37" t="n">
        <x:v>46160</x:v>
      </x:c>
      <x:c r="K1133" s="19" t="str">
        <x:v>QCCC - Gympie</x:v>
      </x:c>
      <x:c r="L1133" s="19" t="str">
        <x:v>Z006</x:v>
      </x:c>
      <x:c r="M1133" s="19" t="str">
        <x:v>In Field Warranty Claims</x:v>
      </x:c>
      <x:c r="N1133" s="37" t="n">
        <x:v>46160</x:v>
      </x:c>
      <x:c r="O1133" s="37"/>
      <x:c r="P1133" s="34" t="n">
        <x:v>0</x:v>
      </x:c>
      <x:c r="Q1133" s="37" t="n">
        <x:v>46160.25451388889</x:v>
      </x:c>
    </x:row>
    <x:row r="1134">
      <x:c r="A1134" s="22" t="n">
        <x:v>35121</x:v>
      </x:c>
      <x:c r="B1134" s="28" t="n">
        <x:v>242.5</x:v>
      </x:c>
      <x:c r="C1134" s="28"/>
      <x:c r="D1134" s="31" t="str">
        <x:f>IF(OR(ISBLANK(B1134),ISBLANK(C1134),B1134=0),"",(C1134-B1134)/B1134)</x:f>
      </x:c>
      <x:c r="E1134" s="22" t="str">
        <x:f>IF(ISBLANK(C1134),"AmountIncludingTax缺失",IF(ABS(B1134-C1134)&lt;0.005,"一致","不一致"))</x:f>
        <x:v>AmountIncludingTax缺失</x:v>
      </x:c>
      <x:c r="F1134" s="19" t="str">
        <x:v>approved</x:v>
      </x:c>
      <x:c r="G1134" s="19" t="str">
        <x:v>Repair in Progress</x:v>
      </x:c>
      <x:c r="H1134" s="19" t="str">
        <x:v>In Field</x:v>
      </x:c>
      <x:c r="I1134" s="37" t="n">
        <x:v>46161</x:v>
      </x:c>
      <x:c r="J1134" s="37" t="n">
        <x:v>46161</x:v>
      </x:c>
      <x:c r="K1134" s="19" t="str">
        <x:v>Auswide Caravans - South Nowra</x:v>
      </x:c>
      <x:c r="L1134" s="19" t="str">
        <x:v>Z006</x:v>
      </x:c>
      <x:c r="M1134" s="19" t="str">
        <x:v>In Field Warranty Claims</x:v>
      </x:c>
      <x:c r="N1134" s="37" t="n">
        <x:v>46160</x:v>
      </x:c>
      <x:c r="O1134" s="37"/>
      <x:c r="P1134" s="34" t="n">
        <x:v>0</x:v>
      </x:c>
      <x:c r="Q1134" s="37" t="n">
        <x:v>46161.110601851855</x:v>
      </x:c>
    </x:row>
    <x:row r="1135">
      <x:c r="A1135" s="22" t="n">
        <x:v>35120</x:v>
      </x:c>
      <x:c r="B1135" s="28" t="n">
        <x:v>973.81</x:v>
      </x:c>
      <x:c r="C1135" s="28" t="n">
        <x:v>881.69</x:v>
      </x:c>
      <x:c r="D1135" s="31" t="n">
        <x:f>IF(OR(ISBLANK(B1135),ISBLANK(C1135),B1135=0),"",(C1135-B1135)/B1135)</x:f>
        <x:v>-0.09459750875427433</x:v>
      </x:c>
      <x:c r="E1135" s="22" t="str">
        <x:f>IF(ISBLANK(C1135),"AmountIncludingTax缺失",IF(ABS(B1135-C1135)&lt;0.005,"一致","不一致"))</x:f>
        <x:v>不一致</x:v>
      </x:c>
      <x:c r="F1135" s="19" t="str">
        <x:v>approved</x:v>
      </x:c>
      <x:c r="G1135" s="19" t="str">
        <x:v>Repair in Progress</x:v>
      </x:c>
      <x:c r="H1135" s="19" t="str">
        <x:v>In Field</x:v>
      </x:c>
      <x:c r="I1135" s="37" t="n">
        <x:v>46161</x:v>
      </x:c>
      <x:c r="J1135" s="37" t="n">
        <x:v>46161</x:v>
      </x:c>
      <x:c r="K1135" s="19" t="str">
        <x:v>Vanari Caravans - Marden Point</x:v>
      </x:c>
      <x:c r="L1135" s="19" t="str">
        <x:v>Z006</x:v>
      </x:c>
      <x:c r="M1135" s="19" t="str">
        <x:v>In Field Warranty Claims</x:v>
      </x:c>
      <x:c r="N1135" s="37" t="n">
        <x:v>46160</x:v>
      </x:c>
      <x:c r="O1135" s="37"/>
      <x:c r="P1135" s="34" t="n">
        <x:v>881.69</x:v>
      </x:c>
      <x:c r="Q1135" s="37" t="n">
        <x:v>46161.52539351852</x:v>
      </x:c>
    </x:row>
    <x:row r="1136">
      <x:c r="A1136" s="22" t="n">
        <x:v>35119</x:v>
      </x:c>
      <x:c r="B1136" s="28" t="n">
        <x:v>405</x:v>
      </x:c>
      <x:c r="C1136" s="28"/>
      <x:c r="D1136" s="31" t="str">
        <x:f>IF(OR(ISBLANK(B1136),ISBLANK(C1136),B1136=0),"",(C1136-B1136)/B1136)</x:f>
      </x:c>
      <x:c r="E1136" s="22" t="str">
        <x:f>IF(ISBLANK(C1136),"AmountIncludingTax缺失",IF(ABS(B1136-C1136)&lt;0.005,"一致","不一致"))</x:f>
        <x:v>AmountIncludingTax缺失</x:v>
      </x:c>
      <x:c r="F1136" s="19" t="str">
        <x:v>approved</x:v>
      </x:c>
      <x:c r="G1136" s="19" t="str">
        <x:v>Repair in Progress</x:v>
      </x:c>
      <x:c r="H1136" s="19" t="str">
        <x:v>In Field</x:v>
      </x:c>
      <x:c r="I1136" s="37" t="n">
        <x:v>46168</x:v>
      </x:c>
      <x:c r="J1136" s="37" t="n">
        <x:v>46168</x:v>
      </x:c>
      <x:c r="K1136" s="19" t="str">
        <x:v>Regent RV - Frankston</x:v>
      </x:c>
      <x:c r="L1136" s="19" t="str">
        <x:v>Z006</x:v>
      </x:c>
      <x:c r="M1136" s="19" t="str">
        <x:v>In Field Warranty Claims</x:v>
      </x:c>
      <x:c r="N1136" s="37" t="n">
        <x:v>46160</x:v>
      </x:c>
      <x:c r="O1136" s="37"/>
      <x:c r="P1136" s="34" t="n">
        <x:v>0</x:v>
      </x:c>
      <x:c r="Q1136" s="37" t="n">
        <x:v>46168.18753472222</x:v>
      </x:c>
    </x:row>
    <x:row r="1137">
      <x:c r="A1137" s="22" t="n">
        <x:v>35118</x:v>
      </x:c>
      <x:c r="B1137" s="28" t="n">
        <x:v>700.57</x:v>
      </x:c>
      <x:c r="C1137" s="28"/>
      <x:c r="D1137" s="31" t="str">
        <x:f>IF(OR(ISBLANK(B1137),ISBLANK(C1137),B1137=0),"",(C1137-B1137)/B1137)</x:f>
      </x:c>
      <x:c r="E1137" s="22" t="str">
        <x:f>IF(ISBLANK(C1137),"AmountIncludingTax缺失",IF(ABS(B1137-C1137)&lt;0.005,"一致","不一致"))</x:f>
        <x:v>AmountIncludingTax缺失</x:v>
      </x:c>
      <x:c r="F1137" s="19" t="str">
        <x:v>approved</x:v>
      </x:c>
      <x:c r="G1137" s="19" t="str">
        <x:v>Sales Order Approved</x:v>
      </x:c>
      <x:c r="H1137" s="19" t="str">
        <x:v>Pre Delivery</x:v>
      </x:c>
      <x:c r="I1137" s="37" t="n">
        <x:v>46202</x:v>
      </x:c>
      <x:c r="J1137" s="37" t="n">
        <x:v>46202</x:v>
      </x:c>
      <x:c r="K1137" s="19" t="str">
        <x:v>The Caravan Hub - Townsville</x:v>
      </x:c>
      <x:c r="L1137" s="19" t="str">
        <x:v>Z005</x:v>
      </x:c>
      <x:c r="M1137" s="19" t="str">
        <x:v>Pre Delivery Warranty Claims</x:v>
      </x:c>
      <x:c r="N1137" s="37" t="n">
        <x:v>46160</x:v>
      </x:c>
      <x:c r="O1137" s="37"/>
      <x:c r="P1137" s="34" t="n">
        <x:v>0</x:v>
      </x:c>
      <x:c r="Q1137" s="37" t="n">
        <x:v>46201.88888888889</x:v>
      </x:c>
    </x:row>
    <x:row r="1138">
      <x:c r="A1138" s="22" t="n">
        <x:v>35117</x:v>
      </x:c>
      <x:c r="B1138" s="28" t="n">
        <x:v>337.5</x:v>
      </x:c>
      <x:c r="C1138" s="28"/>
      <x:c r="D1138" s="31" t="str">
        <x:f>IF(OR(ISBLANK(B1138),ISBLANK(C1138),B1138=0),"",(C1138-B1138)/B1138)</x:f>
      </x:c>
      <x:c r="E1138" s="22" t="str">
        <x:f>IF(ISBLANK(C1138),"AmountIncludingTax缺失",IF(ABS(B1138-C1138)&lt;0.005,"一致","不一致"))</x:f>
        <x:v>AmountIncludingTax缺失</x:v>
      </x:c>
      <x:c r="F1138" s="19" t="str">
        <x:v>approved</x:v>
      </x:c>
      <x:c r="G1138" s="19" t="str">
        <x:v>Repair in Progress</x:v>
      </x:c>
      <x:c r="H1138" s="19" t="str">
        <x:v>In Field</x:v>
      </x:c>
      <x:c r="I1138" s="37" t="n">
        <x:v>46161</x:v>
      </x:c>
      <x:c r="J1138" s="37" t="n">
        <x:v>46161</x:v>
      </x:c>
      <x:c r="K1138" s="19" t="str">
        <x:v>Newcastle RV Super Centre - Beresfield</x:v>
      </x:c>
      <x:c r="L1138" s="19" t="str">
        <x:v>Z006</x:v>
      </x:c>
      <x:c r="M1138" s="19" t="str">
        <x:v>In Field Warranty Claims</x:v>
      </x:c>
      <x:c r="N1138" s="37" t="n">
        <x:v>46160</x:v>
      </x:c>
      <x:c r="O1138" s="37"/>
      <x:c r="P1138" s="34" t="n">
        <x:v>0</x:v>
      </x:c>
      <x:c r="Q1138" s="37" t="n">
        <x:v>46161.12836805556</x:v>
      </x:c>
    </x:row>
    <x:row r="1139">
      <x:c r="A1139" s="22" t="n">
        <x:v>35116</x:v>
      </x:c>
      <x:c r="B1139" s="28" t="n">
        <x:v>405</x:v>
      </x:c>
      <x:c r="C1139" s="28"/>
      <x:c r="D1139" s="31" t="str">
        <x:f>IF(OR(ISBLANK(B1139),ISBLANK(C1139),B1139=0),"",(C1139-B1139)/B1139)</x:f>
      </x:c>
      <x:c r="E1139" s="22" t="str">
        <x:f>IF(ISBLANK(C1139),"AmountIncludingTax缺失",IF(ABS(B1139-C1139)&lt;0.005,"一致","不一致"))</x:f>
        <x:v>AmountIncludingTax缺失</x:v>
      </x:c>
      <x:c r="F1139" s="19" t="str">
        <x:v>approved</x:v>
      </x:c>
      <x:c r="G1139" s="19" t="str">
        <x:v>Repair in Progress</x:v>
      </x:c>
      <x:c r="H1139" s="19" t="str">
        <x:v>In Field</x:v>
      </x:c>
      <x:c r="I1139" s="37" t="n">
        <x:v>46167</x:v>
      </x:c>
      <x:c r="J1139" s="37" t="n">
        <x:v>46167</x:v>
      </x:c>
      <x:c r="K1139" s="19" t="str">
        <x:v>Regent RV - Frankston</x:v>
      </x:c>
      <x:c r="L1139" s="19" t="str">
        <x:v>Z006</x:v>
      </x:c>
      <x:c r="M1139" s="19" t="str">
        <x:v>In Field Warranty Claims</x:v>
      </x:c>
      <x:c r="N1139" s="37" t="n">
        <x:v>46160</x:v>
      </x:c>
      <x:c r="O1139" s="37"/>
      <x:c r="P1139" s="34" t="n">
        <x:v>0</x:v>
      </x:c>
      <x:c r="Q1139" s="37" t="n">
        <x:v>46167.12637731482</x:v>
      </x:c>
    </x:row>
    <x:row r="1140">
      <x:c r="A1140" s="22" t="n">
        <x:v>35115</x:v>
      </x:c>
      <x:c r="B1140" s="28" t="n">
        <x:v>675</x:v>
      </x:c>
      <x:c r="C1140" s="28"/>
      <x:c r="D1140" s="31" t="str">
        <x:f>IF(OR(ISBLANK(B1140),ISBLANK(C1140),B1140=0),"",(C1140-B1140)/B1140)</x:f>
      </x:c>
      <x:c r="E1140" s="22" t="str">
        <x:f>IF(ISBLANK(C1140),"AmountIncludingTax缺失",IF(ABS(B1140-C1140)&lt;0.005,"一致","不一致"))</x:f>
        <x:v>AmountIncludingTax缺失</x:v>
      </x:c>
      <x:c r="F1140" s="19" t="str">
        <x:v>approved</x:v>
      </x:c>
      <x:c r="G1140" s="19" t="str">
        <x:v>Repair in Progress</x:v>
      </x:c>
      <x:c r="H1140" s="19" t="str">
        <x:v>In Field</x:v>
      </x:c>
      <x:c r="I1140" s="37" t="n">
        <x:v>46170</x:v>
      </x:c>
      <x:c r="J1140" s="37" t="n">
        <x:v>46170</x:v>
      </x:c>
      <x:c r="K1140" s="19" t="str">
        <x:v>Green RV - Forest Glen</x:v>
      </x:c>
      <x:c r="L1140" s="19" t="str">
        <x:v>Z006</x:v>
      </x:c>
      <x:c r="M1140" s="19" t="str">
        <x:v>In Field Warranty Claims</x:v>
      </x:c>
      <x:c r="N1140" s="37" t="n">
        <x:v>46160</x:v>
      </x:c>
      <x:c r="O1140" s="37"/>
      <x:c r="P1140" s="34" t="n">
        <x:v>0</x:v>
      </x:c>
      <x:c r="Q1140" s="37" t="n">
        <x:v>46170.190150462964</x:v>
      </x:c>
    </x:row>
    <x:row r="1141">
      <x:c r="A1141" s="22" t="n">
        <x:v>35113</x:v>
      </x:c>
      <x:c r="B1141" s="28" t="n">
        <x:v>270</x:v>
      </x:c>
      <x:c r="C1141" s="28"/>
      <x:c r="D1141" s="31" t="str">
        <x:f>IF(OR(ISBLANK(B1141),ISBLANK(C1141),B1141=0),"",(C1141-B1141)/B1141)</x:f>
      </x:c>
      <x:c r="E1141" s="22" t="str">
        <x:f>IF(ISBLANK(C1141),"AmountIncludingTax缺失",IF(ABS(B1141-C1141)&lt;0.005,"一致","不一致"))</x:f>
        <x:v>AmountIncludingTax缺失</x:v>
      </x:c>
      <x:c r="F1141" s="19" t="str">
        <x:v>approved</x:v>
      </x:c>
      <x:c r="G1141" s="19" t="str">
        <x:v>Partially Picked</x:v>
      </x:c>
      <x:c r="H1141" s="19" t="str">
        <x:v>Pre Delivery</x:v>
      </x:c>
      <x:c r="I1141" s="37" t="n">
        <x:v>46161</x:v>
      </x:c>
      <x:c r="J1141" s="37" t="n">
        <x:v>46161</x:v>
      </x:c>
      <x:c r="K1141" s="19" t="str">
        <x:v>Regent RV - Frankston</x:v>
      </x:c>
      <x:c r="L1141" s="19" t="str">
        <x:v>Z005</x:v>
      </x:c>
      <x:c r="M1141" s="19" t="str">
        <x:v>Pre Delivery Warranty Claims</x:v>
      </x:c>
      <x:c r="N1141" s="37" t="n">
        <x:v>46160</x:v>
      </x:c>
      <x:c r="O1141" s="37"/>
      <x:c r="P1141" s="34" t="n">
        <x:v>0</x:v>
      </x:c>
      <x:c r="Q1141" s="37" t="n">
        <x:v>46160.91605324074</x:v>
      </x:c>
    </x:row>
    <x:row r="1142">
      <x:c r="A1142" s="22" t="n">
        <x:v>35112</x:v>
      </x:c>
      <x:c r="B1142" s="28" t="n">
        <x:v>1106.31</x:v>
      </x:c>
      <x:c r="C1142" s="28"/>
      <x:c r="D1142" s="31" t="str">
        <x:f>IF(OR(ISBLANK(B1142),ISBLANK(C1142),B1142=0),"",(C1142-B1142)/B1142)</x:f>
      </x:c>
      <x:c r="E1142" s="22" t="str">
        <x:f>IF(ISBLANK(C1142),"AmountIncludingTax缺失",IF(ABS(B1142-C1142)&lt;0.005,"一致","不一致"))</x:f>
        <x:v>AmountIncludingTax缺失</x:v>
      </x:c>
      <x:c r="F1142" s="19" t="str">
        <x:v>approved</x:v>
      </x:c>
      <x:c r="G1142" s="19" t="str">
        <x:v>Partially Picked</x:v>
      </x:c>
      <x:c r="H1142" s="19" t="str">
        <x:v>In Field</x:v>
      </x:c>
      <x:c r="I1142" s="37" t="n">
        <x:v>46189</x:v>
      </x:c>
      <x:c r="J1142" s="37" t="n">
        <x:v>46189</x:v>
      </x:c>
      <x:c r="K1142" s="19" t="str">
        <x:v>QCCC - Gympie</x:v>
      </x:c>
      <x:c r="L1142" s="19" t="str">
        <x:v>Z006</x:v>
      </x:c>
      <x:c r="M1142" s="19" t="str">
        <x:v>In Field Warranty Claims</x:v>
      </x:c>
      <x:c r="N1142" s="37" t="n">
        <x:v>46160</x:v>
      </x:c>
      <x:c r="O1142" s="37"/>
      <x:c r="P1142" s="34" t="n">
        <x:v>0</x:v>
      </x:c>
      <x:c r="Q1142" s="37" t="n">
        <x:v>46189.02278935185</x:v>
      </x:c>
    </x:row>
    <x:row r="1143">
      <x:c r="A1143" s="22" t="n">
        <x:v>35111</x:v>
      </x:c>
      <x:c r="B1143" s="28" t="n">
        <x:v>540</x:v>
      </x:c>
      <x:c r="C1143" s="28"/>
      <x:c r="D1143" s="31" t="str">
        <x:f>IF(OR(ISBLANK(B1143),ISBLANK(C1143),B1143=0),"",(C1143-B1143)/B1143)</x:f>
      </x:c>
      <x:c r="E1143" s="22" t="str">
        <x:f>IF(ISBLANK(C1143),"AmountIncludingTax缺失",IF(ABS(B1143-C1143)&lt;0.005,"一致","不一致"))</x:f>
        <x:v>AmountIncludingTax缺失</x:v>
      </x:c>
      <x:c r="F1143" s="19" t="str">
        <x:v>approved</x:v>
      </x:c>
      <x:c r="G1143" s="19" t="str">
        <x:v>Repair in Progress</x:v>
      </x:c>
      <x:c r="H1143" s="19" t="str">
        <x:v>Pre Delivery</x:v>
      </x:c>
      <x:c r="I1143" s="37" t="n">
        <x:v>46161</x:v>
      </x:c>
      <x:c r="J1143" s="37" t="n">
        <x:v>46161</x:v>
      </x:c>
      <x:c r="K1143" s="19" t="str">
        <x:v>Regent RV - Frankston</x:v>
      </x:c>
      <x:c r="L1143" s="19" t="str">
        <x:v>Z005</x:v>
      </x:c>
      <x:c r="M1143" s="19" t="str">
        <x:v>Pre Delivery Warranty Claims</x:v>
      </x:c>
      <x:c r="N1143" s="37" t="n">
        <x:v>46160</x:v>
      </x:c>
      <x:c r="O1143" s="37"/>
      <x:c r="P1143" s="34" t="n">
        <x:v>0</x:v>
      </x:c>
      <x:c r="Q1143" s="37" t="n">
        <x:v>46160.91710648148</x:v>
      </x:c>
    </x:row>
    <x:row r="1144">
      <x:c r="A1144" s="22" t="n">
        <x:v>35110</x:v>
      </x:c>
      <x:c r="B1144" s="28" t="n">
        <x:v>1211.18</x:v>
      </x:c>
      <x:c r="C1144" s="28"/>
      <x:c r="D1144" s="31" t="str">
        <x:f>IF(OR(ISBLANK(B1144),ISBLANK(C1144),B1144=0),"",(C1144-B1144)/B1144)</x:f>
      </x:c>
      <x:c r="E1144" s="22" t="str">
        <x:f>IF(ISBLANK(C1144),"AmountIncludingTax缺失",IF(ABS(B1144-C1144)&lt;0.005,"一致","不一致"))</x:f>
        <x:v>AmountIncludingTax缺失</x:v>
      </x:c>
      <x:c r="F1144" s="19"/>
      <x:c r="G1144" s="19" t="str">
        <x:v>Reimbursement Required</x:v>
      </x:c>
      <x:c r="H1144" s="19" t="str">
        <x:v>In Field</x:v>
      </x:c>
      <x:c r="I1144" s="37" t="n">
        <x:v>46162</x:v>
      </x:c>
      <x:c r="J1144" s="37" t="n">
        <x:v>46162</x:v>
      </x:c>
      <x:c r="K1144" s="19" t="str">
        <x:v>Regent RV - Toowoomba</x:v>
      </x:c>
      <x:c r="L1144" s="19" t="str">
        <x:v>Z006</x:v>
      </x:c>
      <x:c r="M1144" s="19" t="str">
        <x:v>In Field Warranty Claims</x:v>
      </x:c>
      <x:c r="N1144" s="37" t="n">
        <x:v>46160</x:v>
      </x:c>
      <x:c r="O1144" s="37"/>
      <x:c r="P1144" s="34" t="n">
        <x:v>1332.3</x:v>
      </x:c>
      <x:c r="Q1144" s="37" t="n">
        <x:v>46162.154178240744</x:v>
      </x:c>
    </x:row>
    <x:row r="1145">
      <x:c r="A1145" s="22" t="n">
        <x:v>35107</x:v>
      </x:c>
      <x:c r="B1145" s="28" t="n">
        <x:v>3260</x:v>
      </x:c>
      <x:c r="C1145" s="28"/>
      <x:c r="D1145" s="31" t="str">
        <x:f>IF(OR(ISBLANK(B1145),ISBLANK(C1145),B1145=0),"",(C1145-B1145)/B1145)</x:f>
      </x:c>
      <x:c r="E1145" s="22" t="str">
        <x:f>IF(ISBLANK(C1145),"AmountIncludingTax缺失",IF(ABS(B1145-C1145)&lt;0.005,"一致","不一致"))</x:f>
        <x:v>AmountIncludingTax缺失</x:v>
      </x:c>
      <x:c r="F1145" s="19" t="str">
        <x:v>approved</x:v>
      </x:c>
      <x:c r="G1145" s="19" t="str">
        <x:v>Repair in Progress</x:v>
      </x:c>
      <x:c r="H1145" s="19" t="str">
        <x:v>In Field</x:v>
      </x:c>
      <x:c r="I1145" s="37" t="n">
        <x:v>46167</x:v>
      </x:c>
      <x:c r="J1145" s="37" t="n">
        <x:v>46167</x:v>
      </x:c>
      <x:c r="K1145" s="19" t="str">
        <x:v>Regent RV - Perth</x:v>
      </x:c>
      <x:c r="L1145" s="19" t="str">
        <x:v>Z006</x:v>
      </x:c>
      <x:c r="M1145" s="19" t="str">
        <x:v>In Field Warranty Claims</x:v>
      </x:c>
      <x:c r="N1145" s="37" t="n">
        <x:v>46160</x:v>
      </x:c>
      <x:c r="O1145" s="37"/>
      <x:c r="P1145" s="34" t="n">
        <x:v>3586</x:v>
      </x:c>
      <x:c r="Q1145" s="37" t="n">
        <x:v>46167.30354166667</x:v>
      </x:c>
    </x:row>
    <x:row r="1146">
      <x:c r="A1146" s="22" t="n">
        <x:v>35106</x:v>
      </x:c>
      <x:c r="B1146" s="28" t="n">
        <x:v>67.5</x:v>
      </x:c>
      <x:c r="C1146" s="28"/>
      <x:c r="D1146" s="31" t="str">
        <x:f>IF(OR(ISBLANK(B1146),ISBLANK(C1146),B1146=0),"",(C1146-B1146)/B1146)</x:f>
      </x:c>
      <x:c r="E1146" s="22" t="str">
        <x:f>IF(ISBLANK(C1146),"AmountIncludingTax缺失",IF(ABS(B1146-C1146)&lt;0.005,"一致","不一致"))</x:f>
        <x:v>AmountIncludingTax缺失</x:v>
      </x:c>
      <x:c r="F1146" s="19" t="str">
        <x:v>approved</x:v>
      </x:c>
      <x:c r="G1146" s="19" t="str">
        <x:v>Repairer Invoiced Processed</x:v>
      </x:c>
      <x:c r="H1146" s="19" t="str">
        <x:v>Pre Delivery</x:v>
      </x:c>
      <x:c r="I1146" s="37" t="n">
        <x:v>46161</x:v>
      </x:c>
      <x:c r="J1146" s="37" t="n">
        <x:v>46161</x:v>
      </x:c>
      <x:c r="K1146" s="19" t="str">
        <x:v>Lesiure Lion-New Castle</x:v>
      </x:c>
      <x:c r="L1146" s="19" t="str">
        <x:v>Z005</x:v>
      </x:c>
      <x:c r="M1146" s="19" t="str">
        <x:v>Pre Delivery Warranty Claims</x:v>
      </x:c>
      <x:c r="N1146" s="37" t="n">
        <x:v>46160</x:v>
      </x:c>
      <x:c r="O1146" s="37"/>
      <x:c r="P1146" s="34" t="n">
        <x:v>0</x:v>
      </x:c>
      <x:c r="Q1146" s="37" t="n">
        <x:v>46160.91952546296</x:v>
      </x:c>
    </x:row>
    <x:row r="1147">
      <x:c r="A1147" s="22" t="n">
        <x:v>35105</x:v>
      </x:c>
      <x:c r="B1147" s="28" t="n">
        <x:v>1135</x:v>
      </x:c>
      <x:c r="C1147" s="28"/>
      <x:c r="D1147" s="31" t="str">
        <x:f>IF(OR(ISBLANK(B1147),ISBLANK(C1147),B1147=0),"",(C1147-B1147)/B1147)</x:f>
      </x:c>
      <x:c r="E1147" s="22" t="str">
        <x:f>IF(ISBLANK(C1147),"AmountIncludingTax缺失",IF(ABS(B1147-C1147)&lt;0.005,"一致","不一致"))</x:f>
        <x:v>AmountIncludingTax缺失</x:v>
      </x:c>
      <x:c r="F1147" s="19" t="str">
        <x:v>approved</x:v>
      </x:c>
      <x:c r="G1147" s="19" t="str">
        <x:v>Repair in Progress</x:v>
      </x:c>
      <x:c r="H1147" s="19" t="str">
        <x:v>In Field</x:v>
      </x:c>
      <x:c r="I1147" s="37" t="n">
        <x:v>46162</x:v>
      </x:c>
      <x:c r="J1147" s="37" t="n">
        <x:v>46162</x:v>
      </x:c>
      <x:c r="K1147" s="19" t="str">
        <x:v>Green RV - Forest Glen</x:v>
      </x:c>
      <x:c r="L1147" s="19" t="str">
        <x:v>Z006</x:v>
      </x:c>
      <x:c r="M1147" s="19" t="str">
        <x:v>In Field Warranty Claims</x:v>
      </x:c>
      <x:c r="N1147" s="37" t="n">
        <x:v>46160</x:v>
      </x:c>
      <x:c r="O1147" s="37"/>
      <x:c r="P1147" s="34" t="n">
        <x:v>0</x:v>
      </x:c>
      <x:c r="Q1147" s="37" t="n">
        <x:v>46162.1609375</x:v>
      </x:c>
    </x:row>
    <x:row r="1148">
      <x:c r="A1148" s="22" t="n">
        <x:v>35103</x:v>
      </x:c>
      <x:c r="B1148" s="28" t="n">
        <x:v>558</x:v>
      </x:c>
      <x:c r="C1148" s="28" t="n">
        <x:v>613.8</x:v>
      </x:c>
      <x:c r="D1148" s="31" t="n">
        <x:f>IF(OR(ISBLANK(B1148),ISBLANK(C1148),B1148=0),"",(C1148-B1148)/B1148)</x:f>
        <x:v>0.09999999999999992</x:v>
      </x:c>
      <x:c r="E1148" s="22" t="str">
        <x:f>IF(ISBLANK(C1148),"AmountIncludingTax缺失",IF(ABS(B1148-C1148)&lt;0.005,"一致","不一致"))</x:f>
        <x:v>不一致</x:v>
      </x:c>
      <x:c r="F1148" s="19" t="str">
        <x:v>approved</x:v>
      </x:c>
      <x:c r="G1148" s="19" t="str">
        <x:v>Repair in Progress</x:v>
      </x:c>
      <x:c r="H1148" s="19" t="str">
        <x:v>In Field</x:v>
      </x:c>
      <x:c r="I1148" s="37" t="n">
        <x:v>46189</x:v>
      </x:c>
      <x:c r="J1148" s="37" t="n">
        <x:v>46189</x:v>
      </x:c>
      <x:c r="K1148" s="19" t="str">
        <x:v>Green RV - Forest Glen</x:v>
      </x:c>
      <x:c r="L1148" s="19" t="str">
        <x:v>Z006</x:v>
      </x:c>
      <x:c r="M1148" s="19" t="str">
        <x:v>In Field Warranty Claims</x:v>
      </x:c>
      <x:c r="N1148" s="37" t="n">
        <x:v>46160</x:v>
      </x:c>
      <x:c r="O1148" s="37"/>
      <x:c r="P1148" s="34" t="n">
        <x:v>613.8</x:v>
      </x:c>
      <x:c r="Q1148" s="37" t="n">
        <x:v>46189.05315972222</x:v>
      </x:c>
    </x:row>
    <x:row r="1149">
      <x:c r="A1149" s="22" t="n">
        <x:v>35102</x:v>
      </x:c>
      <x:c r="B1149" s="28" t="n">
        <x:v>222.5</x:v>
      </x:c>
      <x:c r="C1149" s="28"/>
      <x:c r="D1149" s="31" t="str">
        <x:f>IF(OR(ISBLANK(B1149),ISBLANK(C1149),B1149=0),"",(C1149-B1149)/B1149)</x:f>
      </x:c>
      <x:c r="E1149" s="22" t="str">
        <x:f>IF(ISBLANK(C1149),"AmountIncludingTax缺失",IF(ABS(B1149-C1149)&lt;0.005,"一致","不一致"))</x:f>
        <x:v>AmountIncludingTax缺失</x:v>
      </x:c>
      <x:c r="F1149" s="19" t="str">
        <x:v>approved</x:v>
      </x:c>
      <x:c r="G1149" s="19" t="str">
        <x:v>Repair in Progress</x:v>
      </x:c>
      <x:c r="H1149" s="19" t="str">
        <x:v>In Field</x:v>
      </x:c>
      <x:c r="I1149" s="37" t="n">
        <x:v>46163</x:v>
      </x:c>
      <x:c r="J1149" s="37" t="n">
        <x:v>46163</x:v>
      </x:c>
      <x:c r="K1149" s="19" t="str">
        <x:v>Regent RV - Toowoomba</x:v>
      </x:c>
      <x:c r="L1149" s="19" t="str">
        <x:v>Z006</x:v>
      </x:c>
      <x:c r="M1149" s="19" t="str">
        <x:v>In Field Warranty Claims</x:v>
      </x:c>
      <x:c r="N1149" s="37" t="n">
        <x:v>46160</x:v>
      </x:c>
      <x:c r="O1149" s="37"/>
      <x:c r="P1149" s="34" t="n">
        <x:v>0</x:v>
      </x:c>
      <x:c r="Q1149" s="37" t="n">
        <x:v>46163.11920138889</x:v>
      </x:c>
    </x:row>
    <x:row r="1150">
      <x:c r="A1150" s="22" t="n">
        <x:v>35101</x:v>
      </x:c>
      <x:c r="B1150" s="28" t="n">
        <x:v>222.5</x:v>
      </x:c>
      <x:c r="C1150" s="28"/>
      <x:c r="D1150" s="31" t="str">
        <x:f>IF(OR(ISBLANK(B1150),ISBLANK(C1150),B1150=0),"",(C1150-B1150)/B1150)</x:f>
      </x:c>
      <x:c r="E1150" s="22" t="str">
        <x:f>IF(ISBLANK(C1150),"AmountIncludingTax缺失",IF(ABS(B1150-C1150)&lt;0.005,"一致","不一致"))</x:f>
        <x:v>AmountIncludingTax缺失</x:v>
      </x:c>
      <x:c r="F1150" s="19" t="str">
        <x:v>approved</x:v>
      </x:c>
      <x:c r="G1150" s="19" t="str">
        <x:v>Repair in Progress</x:v>
      </x:c>
      <x:c r="H1150" s="19" t="str">
        <x:v>In Field</x:v>
      </x:c>
      <x:c r="I1150" s="37" t="n">
        <x:v>46175</x:v>
      </x:c>
      <x:c r="J1150" s="37" t="n">
        <x:v>46175</x:v>
      </x:c>
      <x:c r="K1150" s="19" t="str">
        <x:v>Regent RV - Perth</x:v>
      </x:c>
      <x:c r="L1150" s="19" t="str">
        <x:v>Z006</x:v>
      </x:c>
      <x:c r="M1150" s="19" t="str">
        <x:v>In Field Warranty Claims</x:v>
      </x:c>
      <x:c r="N1150" s="37" t="n">
        <x:v>46160</x:v>
      </x:c>
      <x:c r="O1150" s="37"/>
      <x:c r="P1150" s="34" t="n">
        <x:v>0</x:v>
      </x:c>
      <x:c r="Q1150" s="37" t="n">
        <x:v>46174.974375</x:v>
      </x:c>
    </x:row>
    <x:row r="1151">
      <x:c r="A1151" s="22" t="n">
        <x:v>35097</x:v>
      </x:c>
      <x:c r="B1151" s="28" t="n">
        <x:v>237.5</x:v>
      </x:c>
      <x:c r="C1151" s="28" t="n">
        <x:v>261.25</x:v>
      </x:c>
      <x:c r="D1151" s="31" t="n">
        <x:f>IF(OR(ISBLANK(B1151),ISBLANK(C1151),B1151=0),"",(C1151-B1151)/B1151)</x:f>
        <x:v>0.1</x:v>
      </x:c>
      <x:c r="E1151" s="22" t="str">
        <x:f>IF(ISBLANK(C1151),"AmountIncludingTax缺失",IF(ABS(B1151-C1151)&lt;0.005,"一致","不一致"))</x:f>
        <x:v>不一致</x:v>
      </x:c>
      <x:c r="F1151" s="19" t="str">
        <x:v>approved</x:v>
      </x:c>
      <x:c r="G1151" s="19" t="str">
        <x:v>Repairer Invoiced Processed</x:v>
      </x:c>
      <x:c r="H1151" s="19" t="str">
        <x:v>In Field</x:v>
      </x:c>
      <x:c r="I1151" s="37" t="n">
        <x:v>46161</x:v>
      </x:c>
      <x:c r="J1151" s="37" t="n">
        <x:v>46161</x:v>
      </x:c>
      <x:c r="K1151" s="19" t="str">
        <x:v>Green RV - Forest Glen</x:v>
      </x:c>
      <x:c r="L1151" s="19" t="str">
        <x:v>Z006</x:v>
      </x:c>
      <x:c r="M1151" s="19" t="str">
        <x:v>In Field Warranty Claims</x:v>
      </x:c>
      <x:c r="N1151" s="37" t="n">
        <x:v>46160</x:v>
      </x:c>
      <x:c r="O1151" s="37"/>
      <x:c r="P1151" s="34" t="n">
        <x:v>261.25</x:v>
      </x:c>
      <x:c r="Q1151" s="37" t="n">
        <x:v>46160.891493055555</x:v>
      </x:c>
    </x:row>
    <x:row r="1152">
      <x:c r="A1152" s="22" t="n">
        <x:v>35082</x:v>
      </x:c>
      <x:c r="B1152" s="28" t="n">
        <x:v>260</x:v>
      </x:c>
      <x:c r="C1152" s="28"/>
      <x:c r="D1152" s="31" t="str">
        <x:f>IF(OR(ISBLANK(B1152),ISBLANK(C1152),B1152=0),"",(C1152-B1152)/B1152)</x:f>
      </x:c>
      <x:c r="E1152" s="22" t="str">
        <x:f>IF(ISBLANK(C1152),"AmountIncludingTax缺失",IF(ABS(B1152-C1152)&lt;0.005,"一致","不一致"))</x:f>
        <x:v>AmountIncludingTax缺失</x:v>
      </x:c>
      <x:c r="F1152" s="19" t="str">
        <x:v>approved</x:v>
      </x:c>
      <x:c r="G1152" s="19" t="str">
        <x:v>Repairer Invoiced Processed</x:v>
      </x:c>
      <x:c r="H1152" s="19" t="str">
        <x:v>In Field</x:v>
      </x:c>
      <x:c r="I1152" s="37" t="n">
        <x:v>46160</x:v>
      </x:c>
      <x:c r="J1152" s="37" t="n">
        <x:v>46160</x:v>
      </x:c>
      <x:c r="K1152" s="19" t="str">
        <x:v>Green RV - Forest Glen</x:v>
      </x:c>
      <x:c r="L1152" s="19" t="str">
        <x:v>Z006</x:v>
      </x:c>
      <x:c r="M1152" s="19" t="str">
        <x:v>In Field Warranty Claims</x:v>
      </x:c>
      <x:c r="N1152" s="37" t="n">
        <x:v>46159</x:v>
      </x:c>
      <x:c r="O1152" s="37"/>
      <x:c r="P1152" s="34" t="n">
        <x:v>0</x:v>
      </x:c>
      <x:c r="Q1152" s="37" t="n">
        <x:v>46159.964421296296</x:v>
      </x:c>
    </x:row>
    <x:row r="1153">
      <x:c r="A1153" s="22" t="n">
        <x:v>35080</x:v>
      </x:c>
      <x:c r="B1153" s="28" t="n">
        <x:v>222.5</x:v>
      </x:c>
      <x:c r="C1153" s="28"/>
      <x:c r="D1153" s="31" t="str">
        <x:f>IF(OR(ISBLANK(B1153),ISBLANK(C1153),B1153=0),"",(C1153-B1153)/B1153)</x:f>
      </x:c>
      <x:c r="E1153" s="22" t="str">
        <x:f>IF(ISBLANK(C1153),"AmountIncludingTax缺失",IF(ABS(B1153-C1153)&lt;0.005,"一致","不一致"))</x:f>
        <x:v>AmountIncludingTax缺失</x:v>
      </x:c>
      <x:c r="F1153" s="19" t="str">
        <x:v>approved</x:v>
      </x:c>
      <x:c r="G1153" s="19" t="str">
        <x:v>Repairer Invoiced Processed</x:v>
      </x:c>
      <x:c r="H1153" s="19" t="str">
        <x:v>In Field</x:v>
      </x:c>
      <x:c r="I1153" s="37" t="n">
        <x:v>46161</x:v>
      </x:c>
      <x:c r="J1153" s="37" t="n">
        <x:v>46161</x:v>
      </x:c>
      <x:c r="K1153" s="19" t="str">
        <x:v>Regent RV - Toowoomba</x:v>
      </x:c>
      <x:c r="L1153" s="19" t="str">
        <x:v>Z006</x:v>
      </x:c>
      <x:c r="M1153" s="19" t="str">
        <x:v>In Field Warranty Claims</x:v>
      </x:c>
      <x:c r="N1153" s="37" t="n">
        <x:v>46160</x:v>
      </x:c>
      <x:c r="O1153" s="37"/>
      <x:c r="P1153" s="34" t="n">
        <x:v>0</x:v>
      </x:c>
      <x:c r="Q1153" s="37" t="n">
        <x:v>46161.11261574074</x:v>
      </x:c>
    </x:row>
    <x:row r="1154">
      <x:c r="A1154" s="22" t="n">
        <x:v>35079</x:v>
      </x:c>
      <x:c r="B1154" s="28" t="n">
        <x:v>202.5</x:v>
      </x:c>
      <x:c r="C1154" s="28" t="n">
        <x:v>222.75</x:v>
      </x:c>
      <x:c r="D1154" s="31" t="n">
        <x:f>IF(OR(ISBLANK(B1154),ISBLANK(C1154),B1154=0),"",(C1154-B1154)/B1154)</x:f>
        <x:v>0.1</x:v>
      </x:c>
      <x:c r="E1154" s="22" t="str">
        <x:f>IF(ISBLANK(C1154),"AmountIncludingTax缺失",IF(ABS(B1154-C1154)&lt;0.005,"一致","不一致"))</x:f>
        <x:v>不一致</x:v>
      </x:c>
      <x:c r="F1154" s="19" t="str">
        <x:v>approved</x:v>
      </x:c>
      <x:c r="G1154" s="19" t="str">
        <x:v>Repair in Progress</x:v>
      </x:c>
      <x:c r="H1154" s="19" t="str">
        <x:v>In Field</x:v>
      </x:c>
      <x:c r="I1154" s="37" t="n">
        <x:v>46160</x:v>
      </x:c>
      <x:c r="J1154" s="37" t="n">
        <x:v>46160</x:v>
      </x:c>
      <x:c r="K1154" s="19" t="str">
        <x:v>Green RV - Forest Glen</x:v>
      </x:c>
      <x:c r="L1154" s="19" t="str">
        <x:v>Z006</x:v>
      </x:c>
      <x:c r="M1154" s="19" t="str">
        <x:v>In Field Warranty Claims</x:v>
      </x:c>
      <x:c r="N1154" s="37" t="n">
        <x:v>46160</x:v>
      </x:c>
      <x:c r="O1154" s="37"/>
      <x:c r="P1154" s="34" t="n">
        <x:v>222.75</x:v>
      </x:c>
      <x:c r="Q1154" s="37" t="n">
        <x:v>46160.05386574074</x:v>
      </x:c>
    </x:row>
    <x:row r="1155">
      <x:c r="A1155" s="22" t="n">
        <x:v>35077</x:v>
      </x:c>
      <x:c r="B1155" s="28" t="n">
        <x:v>247.5</x:v>
      </x:c>
      <x:c r="C1155" s="28"/>
      <x:c r="D1155" s="31" t="str">
        <x:f>IF(OR(ISBLANK(B1155),ISBLANK(C1155),B1155=0),"",(C1155-B1155)/B1155)</x:f>
      </x:c>
      <x:c r="E1155" s="22" t="str">
        <x:f>IF(ISBLANK(C1155),"AmountIncludingTax缺失",IF(ABS(B1155-C1155)&lt;0.005,"一致","不一致"))</x:f>
        <x:v>AmountIncludingTax缺失</x:v>
      </x:c>
      <x:c r="F1155" s="19" t="str">
        <x:v>approved</x:v>
      </x:c>
      <x:c r="G1155" s="19" t="str">
        <x:v>Repair in Progress</x:v>
      </x:c>
      <x:c r="H1155" s="19" t="str">
        <x:v>In Field</x:v>
      </x:c>
      <x:c r="I1155" s="37" t="n">
        <x:v>46160</x:v>
      </x:c>
      <x:c r="J1155" s="37" t="n">
        <x:v>46160</x:v>
      </x:c>
      <x:c r="K1155" s="19" t="str">
        <x:v>Green RV - Forest Glen</x:v>
      </x:c>
      <x:c r="L1155" s="19" t="str">
        <x:v>Z006</x:v>
      </x:c>
      <x:c r="M1155" s="19" t="str">
        <x:v>In Field Warranty Claims</x:v>
      </x:c>
      <x:c r="N1155" s="37" t="n">
        <x:v>46159</x:v>
      </x:c>
      <x:c r="O1155" s="37"/>
      <x:c r="P1155" s="34" t="n">
        <x:v>0</x:v>
      </x:c>
      <x:c r="Q1155" s="37" t="n">
        <x:v>46160.14146990741</x:v>
      </x:c>
    </x:row>
    <x:row r="1156">
      <x:c r="A1156" s="22" t="n">
        <x:v>35075</x:v>
      </x:c>
      <x:c r="B1156" s="28" t="n">
        <x:v>435</x:v>
      </x:c>
      <x:c r="C1156" s="28"/>
      <x:c r="D1156" s="31" t="str">
        <x:f>IF(OR(ISBLANK(B1156),ISBLANK(C1156),B1156=0),"",(C1156-B1156)/B1156)</x:f>
      </x:c>
      <x:c r="E1156" s="22" t="str">
        <x:f>IF(ISBLANK(C1156),"AmountIncludingTax缺失",IF(ABS(B1156-C1156)&lt;0.005,"一致","不一致"))</x:f>
        <x:v>AmountIncludingTax缺失</x:v>
      </x:c>
      <x:c r="F1156" s="19" t="str">
        <x:v>approved</x:v>
      </x:c>
      <x:c r="G1156" s="19" t="str">
        <x:v>Repair in Progress</x:v>
      </x:c>
      <x:c r="H1156" s="19" t="str">
        <x:v>In Field</x:v>
      </x:c>
      <x:c r="I1156" s="37" t="n">
        <x:v>46161</x:v>
      </x:c>
      <x:c r="J1156" s="37" t="n">
        <x:v>46161</x:v>
      </x:c>
      <x:c r="K1156" s="19" t="str">
        <x:v>Regent RV - Toowoomba</x:v>
      </x:c>
      <x:c r="L1156" s="19" t="str">
        <x:v>Z006</x:v>
      </x:c>
      <x:c r="M1156" s="19" t="str">
        <x:v>In Field Warranty Claims</x:v>
      </x:c>
      <x:c r="N1156" s="37" t="n">
        <x:v>46159</x:v>
      </x:c>
      <x:c r="O1156" s="37"/>
      <x:c r="P1156" s="34" t="n">
        <x:v>0</x:v>
      </x:c>
      <x:c r="Q1156" s="37" t="n">
        <x:v>46161.11200231482</x:v>
      </x:c>
    </x:row>
    <x:row r="1157">
      <x:c r="A1157" s="22" t="n">
        <x:v>35074</x:v>
      </x:c>
      <x:c r="B1157" s="28" t="n">
        <x:v>360</x:v>
      </x:c>
      <x:c r="C1157" s="28" t="n">
        <x:v>396</x:v>
      </x:c>
      <x:c r="D1157" s="31" t="n">
        <x:f>IF(OR(ISBLANK(B1157),ISBLANK(C1157),B1157=0),"",(C1157-B1157)/B1157)</x:f>
        <x:v>0.1</x:v>
      </x:c>
      <x:c r="E1157" s="22" t="str">
        <x:f>IF(ISBLANK(C1157),"AmountIncludingTax缺失",IF(ABS(B1157-C1157)&lt;0.005,"一致","不一致"))</x:f>
        <x:v>不一致</x:v>
      </x:c>
      <x:c r="F1157" s="19" t="str">
        <x:v>approved</x:v>
      </x:c>
      <x:c r="G1157" s="19" t="str">
        <x:v>Repairer Invoiced Processed</x:v>
      </x:c>
      <x:c r="H1157" s="19" t="str">
        <x:v>In Field</x:v>
      </x:c>
      <x:c r="I1157" s="37" t="n">
        <x:v>46161</x:v>
      </x:c>
      <x:c r="J1157" s="37" t="n">
        <x:v>46161</x:v>
      </x:c>
      <x:c r="K1157" s="19" t="str">
        <x:v>Lesiure Lion-New Castle</x:v>
      </x:c>
      <x:c r="L1157" s="19" t="str">
        <x:v>Z006</x:v>
      </x:c>
      <x:c r="M1157" s="19" t="str">
        <x:v>In Field Warranty Claims</x:v>
      </x:c>
      <x:c r="N1157" s="37" t="n">
        <x:v>46159</x:v>
      </x:c>
      <x:c r="O1157" s="37"/>
      <x:c r="P1157" s="34" t="n">
        <x:v>396</x:v>
      </x:c>
      <x:c r="Q1157" s="37" t="n">
        <x:v>46161.18699074074</x:v>
      </x:c>
    </x:row>
    <x:row r="1158">
      <x:c r="A1158" s="22" t="n">
        <x:v>35073</x:v>
      </x:c>
      <x:c r="B1158" s="28" t="n">
        <x:v>1535.15</x:v>
      </x:c>
      <x:c r="C1158" s="28"/>
      <x:c r="D1158" s="31" t="str">
        <x:f>IF(OR(ISBLANK(B1158),ISBLANK(C1158),B1158=0),"",(C1158-B1158)/B1158)</x:f>
      </x:c>
      <x:c r="E1158" s="22" t="str">
        <x:f>IF(ISBLANK(C1158),"AmountIncludingTax缺失",IF(ABS(B1158-C1158)&lt;0.005,"一致","不一致"))</x:f>
        <x:v>AmountIncludingTax缺失</x:v>
      </x:c>
      <x:c r="F1158" s="19" t="str">
        <x:v>approved</x:v>
      </x:c>
      <x:c r="G1158" s="19" t="str">
        <x:v>Repairer Invoiced Processed</x:v>
      </x:c>
      <x:c r="H1158" s="19" t="str">
        <x:v>In Field</x:v>
      </x:c>
      <x:c r="I1158" s="37" t="n">
        <x:v>46161</x:v>
      </x:c>
      <x:c r="J1158" s="37" t="n">
        <x:v>46161</x:v>
      </x:c>
      <x:c r="K1158" s="19" t="str">
        <x:v>Vanari Caravans - Marden Point</x:v>
      </x:c>
      <x:c r="L1158" s="19" t="str">
        <x:v>Z006</x:v>
      </x:c>
      <x:c r="M1158" s="19" t="str">
        <x:v>In Field Warranty Claims</x:v>
      </x:c>
      <x:c r="N1158" s="37" t="n">
        <x:v>46159</x:v>
      </x:c>
      <x:c r="O1158" s="37"/>
      <x:c r="P1158" s="34" t="n">
        <x:v>1389.92</x:v>
      </x:c>
      <x:c r="Q1158" s="37" t="n">
        <x:v>46161.539606481485</x:v>
      </x:c>
    </x:row>
    <x:row r="1159">
      <x:c r="A1159" s="22" t="n">
        <x:v>35072</x:v>
      </x:c>
      <x:c r="B1159" s="28" t="n">
        <x:v>762.5</x:v>
      </x:c>
      <x:c r="C1159" s="28"/>
      <x:c r="D1159" s="31" t="str">
        <x:f>IF(OR(ISBLANK(B1159),ISBLANK(C1159),B1159=0),"",(C1159-B1159)/B1159)</x:f>
      </x:c>
      <x:c r="E1159" s="22" t="str">
        <x:f>IF(ISBLANK(C1159),"AmountIncludingTax缺失",IF(ABS(B1159-C1159)&lt;0.005,"一致","不一致"))</x:f>
        <x:v>AmountIncludingTax缺失</x:v>
      </x:c>
      <x:c r="F1159" s="19" t="str">
        <x:v>approved</x:v>
      </x:c>
      <x:c r="G1159" s="19" t="str">
        <x:v>Sales Order Approved</x:v>
      </x:c>
      <x:c r="H1159" s="19" t="str">
        <x:v>Pre Delivery</x:v>
      </x:c>
      <x:c r="I1159" s="37" t="n">
        <x:v>46161</x:v>
      </x:c>
      <x:c r="J1159" s="37" t="n">
        <x:v>46161</x:v>
      </x:c>
      <x:c r="K1159" s="19" t="str">
        <x:v>Lesiure Lion-New Castle</x:v>
      </x:c>
      <x:c r="L1159" s="19" t="str">
        <x:v>Z005</x:v>
      </x:c>
      <x:c r="M1159" s="19" t="str">
        <x:v>Pre Delivery Warranty Claims</x:v>
      </x:c>
      <x:c r="N1159" s="37" t="n">
        <x:v>46159</x:v>
      </x:c>
      <x:c r="O1159" s="37"/>
      <x:c r="P1159" s="34" t="n">
        <x:v>0</x:v>
      </x:c>
      <x:c r="Q1159" s="37" t="n">
        <x:v>46160.92637731481</x:v>
      </x:c>
    </x:row>
    <x:row r="1160">
      <x:c r="A1160" s="22" t="n">
        <x:v>35071</x:v>
      </x:c>
      <x:c r="B1160" s="28" t="n">
        <x:v>1013</x:v>
      </x:c>
      <x:c r="C1160" s="28"/>
      <x:c r="D1160" s="31" t="str">
        <x:f>IF(OR(ISBLANK(B1160),ISBLANK(C1160),B1160=0),"",(C1160-B1160)/B1160)</x:f>
      </x:c>
      <x:c r="E1160" s="22" t="str">
        <x:f>IF(ISBLANK(C1160),"AmountIncludingTax缺失",IF(ABS(B1160-C1160)&lt;0.005,"一致","不一致"))</x:f>
        <x:v>AmountIncludingTax缺失</x:v>
      </x:c>
      <x:c r="F1160" s="19" t="str">
        <x:v>approved</x:v>
      </x:c>
      <x:c r="G1160" s="19" t="str">
        <x:v>Repair in Progress</x:v>
      </x:c>
      <x:c r="H1160" s="19" t="str">
        <x:v>In Field</x:v>
      </x:c>
      <x:c r="I1160" s="37" t="n">
        <x:v>46161</x:v>
      </x:c>
      <x:c r="J1160" s="37" t="n">
        <x:v>46161</x:v>
      </x:c>
      <x:c r="K1160" s="19" t="str">
        <x:v>Green RV - Forest Glen</x:v>
      </x:c>
      <x:c r="L1160" s="19" t="str">
        <x:v>Z006</x:v>
      </x:c>
      <x:c r="M1160" s="19" t="str">
        <x:v>In Field Warranty Claims</x:v>
      </x:c>
      <x:c r="N1160" s="37" t="n">
        <x:v>46159</x:v>
      </x:c>
      <x:c r="O1160" s="37"/>
      <x:c r="P1160" s="34" t="n">
        <x:v>0</x:v>
      </x:c>
      <x:c r="Q1160" s="37" t="n">
        <x:v>46160.930763888886</x:v>
      </x:c>
    </x:row>
    <x:row r="1161">
      <x:c r="A1161" s="22" t="n">
        <x:v>35069</x:v>
      </x:c>
      <x:c r="B1161" s="28" t="n">
        <x:v>143</x:v>
      </x:c>
      <x:c r="C1161" s="28" t="n">
        <x:v>129.47</x:v>
      </x:c>
      <x:c r="D1161" s="31" t="n">
        <x:f>IF(OR(ISBLANK(B1161),ISBLANK(C1161),B1161=0),"",(C1161-B1161)/B1161)</x:f>
        <x:v>-0.09461538461538463</x:v>
      </x:c>
      <x:c r="E1161" s="22" t="str">
        <x:f>IF(ISBLANK(C1161),"AmountIncludingTax缺失",IF(ABS(B1161-C1161)&lt;0.005,"一致","不一致"))</x:f>
        <x:v>不一致</x:v>
      </x:c>
      <x:c r="F1161" s="19" t="str">
        <x:v>approved</x:v>
      </x:c>
      <x:c r="G1161" s="19" t="str">
        <x:v>Repairer Invoiced Processed</x:v>
      </x:c>
      <x:c r="H1161" s="19" t="str">
        <x:v>In Field</x:v>
      </x:c>
      <x:c r="I1161" s="37" t="n">
        <x:v>46161</x:v>
      </x:c>
      <x:c r="J1161" s="37" t="n">
        <x:v>46161</x:v>
      </x:c>
      <x:c r="K1161" s="19" t="str">
        <x:v>Vanari Caravans - Marden Point</x:v>
      </x:c>
      <x:c r="L1161" s="19" t="str">
        <x:v>Z006</x:v>
      </x:c>
      <x:c r="M1161" s="19" t="str">
        <x:v>In Field Warranty Claims</x:v>
      </x:c>
      <x:c r="N1161" s="37" t="n">
        <x:v>46160</x:v>
      </x:c>
      <x:c r="O1161" s="37"/>
      <x:c r="P1161" s="34" t="n">
        <x:v>129.47</x:v>
      </x:c>
      <x:c r="Q1161" s="37" t="n">
        <x:v>46161.206979166665</x:v>
      </x:c>
    </x:row>
    <x:row r="1162">
      <x:c r="A1162" s="22" t="n">
        <x:v>35068</x:v>
      </x:c>
      <x:c r="B1162" s="28" t="n">
        <x:v>422.5</x:v>
      </x:c>
      <x:c r="C1162" s="28"/>
      <x:c r="D1162" s="31" t="str">
        <x:f>IF(OR(ISBLANK(B1162),ISBLANK(C1162),B1162=0),"",(C1162-B1162)/B1162)</x:f>
      </x:c>
      <x:c r="E1162" s="22" t="str">
        <x:f>IF(ISBLANK(C1162),"AmountIncludingTax缺失",IF(ABS(B1162-C1162)&lt;0.005,"一致","不一致"))</x:f>
        <x:v>AmountIncludingTax缺失</x:v>
      </x:c>
      <x:c r="F1162" s="19" t="str">
        <x:v>approved</x:v>
      </x:c>
      <x:c r="G1162" s="19" t="str">
        <x:v>Repair in Progress</x:v>
      </x:c>
      <x:c r="H1162" s="19" t="str">
        <x:v>In Field</x:v>
      </x:c>
      <x:c r="I1162" s="37" t="n">
        <x:v>46161</x:v>
      </x:c>
      <x:c r="J1162" s="37" t="n">
        <x:v>46161</x:v>
      </x:c>
      <x:c r="K1162" s="19" t="str">
        <x:v>Green RV - Forest Glen</x:v>
      </x:c>
      <x:c r="L1162" s="19" t="str">
        <x:v>Z006</x:v>
      </x:c>
      <x:c r="M1162" s="19" t="str">
        <x:v>In Field Warranty Claims</x:v>
      </x:c>
      <x:c r="N1162" s="37" t="n">
        <x:v>46160</x:v>
      </x:c>
      <x:c r="O1162" s="37"/>
      <x:c r="P1162" s="34" t="n">
        <x:v>0</x:v>
      </x:c>
      <x:c r="Q1162" s="37" t="n">
        <x:v>46161.524351851855</x:v>
      </x:c>
    </x:row>
    <x:row r="1163">
      <x:c r="A1163" s="22" t="n">
        <x:v>35067</x:v>
      </x:c>
      <x:c r="B1163" s="28" t="n">
        <x:v>500</x:v>
      </x:c>
      <x:c r="C1163" s="28" t="n">
        <x:v>550</x:v>
      </x:c>
      <x:c r="D1163" s="31" t="n">
        <x:f>IF(OR(ISBLANK(B1163),ISBLANK(C1163),B1163=0),"",(C1163-B1163)/B1163)</x:f>
        <x:v>0.1</x:v>
      </x:c>
      <x:c r="E1163" s="22" t="str">
        <x:f>IF(ISBLANK(C1163),"AmountIncludingTax缺失",IF(ABS(B1163-C1163)&lt;0.005,"一致","不一致"))</x:f>
        <x:v>不一致</x:v>
      </x:c>
      <x:c r="F1163" s="19" t="str">
        <x:v>approved</x:v>
      </x:c>
      <x:c r="G1163" s="19" t="str">
        <x:v>Repairer Invoiced Processed</x:v>
      </x:c>
      <x:c r="H1163" s="19" t="str">
        <x:v>In Field</x:v>
      </x:c>
      <x:c r="I1163" s="37" t="n">
        <x:v>46172</x:v>
      </x:c>
      <x:c r="J1163" s="37" t="n">
        <x:v>46172</x:v>
      </x:c>
      <x:c r="K1163" s="19" t="str">
        <x:v>Lesiure Lion-New Castle</x:v>
      </x:c>
      <x:c r="L1163" s="19" t="str">
        <x:v>Z006</x:v>
      </x:c>
      <x:c r="M1163" s="19" t="str">
        <x:v>In Field Warranty Claims</x:v>
      </x:c>
      <x:c r="N1163" s="37" t="n">
        <x:v>46159</x:v>
      </x:c>
      <x:c r="O1163" s="37"/>
      <x:c r="P1163" s="34" t="n">
        <x:v>550</x:v>
      </x:c>
      <x:c r="Q1163" s="37" t="n">
        <x:v>46172.319918981484</x:v>
      </x:c>
    </x:row>
    <x:row r="1164">
      <x:c r="A1164" s="22" t="n">
        <x:v>35066</x:v>
      </x:c>
      <x:c r="B1164" s="28" t="n">
        <x:v>830</x:v>
      </x:c>
      <x:c r="C1164" s="28"/>
      <x:c r="D1164" s="31" t="str">
        <x:f>IF(OR(ISBLANK(B1164),ISBLANK(C1164),B1164=0),"",(C1164-B1164)/B1164)</x:f>
      </x:c>
      <x:c r="E1164" s="22" t="str">
        <x:f>IF(ISBLANK(C1164),"AmountIncludingTax缺失",IF(ABS(B1164-C1164)&lt;0.005,"一致","不一致"))</x:f>
        <x:v>AmountIncludingTax缺失</x:v>
      </x:c>
      <x:c r="F1164" s="19" t="str">
        <x:v>approved</x:v>
      </x:c>
      <x:c r="G1164" s="19" t="str">
        <x:v>Repairer Invoiced Processed</x:v>
      </x:c>
      <x:c r="H1164" s="19" t="str">
        <x:v>In Field</x:v>
      </x:c>
      <x:c r="I1164" s="37" t="n">
        <x:v>46160</x:v>
      </x:c>
      <x:c r="J1164" s="37" t="n">
        <x:v>46160</x:v>
      </x:c>
      <x:c r="K1164" s="19" t="str">
        <x:v>Green RV - Slacks Creek</x:v>
      </x:c>
      <x:c r="L1164" s="19" t="str">
        <x:v>Z006</x:v>
      </x:c>
      <x:c r="M1164" s="19" t="str">
        <x:v>In Field Warranty Claims</x:v>
      </x:c>
      <x:c r="N1164" s="37" t="n">
        <x:v>46159</x:v>
      </x:c>
      <x:c r="O1164" s="37"/>
      <x:c r="P1164" s="34" t="n">
        <x:v>0</x:v>
      </x:c>
      <x:c r="Q1164" s="37" t="n">
        <x:v>46160.14126157408</x:v>
      </x:c>
    </x:row>
    <x:row r="1165">
      <x:c r="A1165" s="22" t="n">
        <x:v>35065</x:v>
      </x:c>
      <x:c r="B1165" s="28" t="n">
        <x:v>700</x:v>
      </x:c>
      <x:c r="C1165" s="28"/>
      <x:c r="D1165" s="31" t="str">
        <x:f>IF(OR(ISBLANK(B1165),ISBLANK(C1165),B1165=0),"",(C1165-B1165)/B1165)</x:f>
      </x:c>
      <x:c r="E1165" s="22" t="str">
        <x:f>IF(ISBLANK(C1165),"AmountIncludingTax缺失",IF(ABS(B1165-C1165)&lt;0.005,"一致","不一致"))</x:f>
        <x:v>AmountIncludingTax缺失</x:v>
      </x:c>
      <x:c r="F1165" s="19" t="str">
        <x:v>approved</x:v>
      </x:c>
      <x:c r="G1165" s="19" t="str">
        <x:v>Repairer Invoiced Processed</x:v>
      </x:c>
      <x:c r="H1165" s="19" t="str">
        <x:v>In Field</x:v>
      </x:c>
      <x:c r="I1165" s="37" t="n">
        <x:v>46161</x:v>
      </x:c>
      <x:c r="J1165" s="37" t="n">
        <x:v>46161</x:v>
      </x:c>
      <x:c r="K1165" s="19" t="str">
        <x:v>Regent RV - Toowoomba</x:v>
      </x:c>
      <x:c r="L1165" s="19" t="str">
        <x:v>Z006</x:v>
      </x:c>
      <x:c r="M1165" s="19" t="str">
        <x:v>In Field Warranty Claims</x:v>
      </x:c>
      <x:c r="N1165" s="37" t="n">
        <x:v>46159</x:v>
      </x:c>
      <x:c r="O1165" s="37"/>
      <x:c r="P1165" s="34" t="n">
        <x:v>0</x:v>
      </x:c>
      <x:c r="Q1165" s="37" t="n">
        <x:v>46161.10868055555</x:v>
      </x:c>
    </x:row>
    <x:row r="1166">
      <x:c r="A1166" s="22" t="n">
        <x:v>35064</x:v>
      </x:c>
      <x:c r="B1166" s="28" t="n">
        <x:v>810</x:v>
      </x:c>
      <x:c r="C1166" s="28"/>
      <x:c r="D1166" s="31" t="str">
        <x:f>IF(OR(ISBLANK(B1166),ISBLANK(C1166),B1166=0),"",(C1166-B1166)/B1166)</x:f>
      </x:c>
      <x:c r="E1166" s="22" t="str">
        <x:f>IF(ISBLANK(C1166),"AmountIncludingTax缺失",IF(ABS(B1166-C1166)&lt;0.005,"一致","不一致"))</x:f>
        <x:v>AmountIncludingTax缺失</x:v>
      </x:c>
      <x:c r="F1166" s="19" t="str">
        <x:v>approved</x:v>
      </x:c>
      <x:c r="G1166" s="19" t="str">
        <x:v>Repair in Progress</x:v>
      </x:c>
      <x:c r="H1166" s="19" t="str">
        <x:v>In Field</x:v>
      </x:c>
      <x:c r="I1166" s="37" t="n">
        <x:v>46160</x:v>
      </x:c>
      <x:c r="J1166" s="37" t="n">
        <x:v>46160</x:v>
      </x:c>
      <x:c r="K1166" s="19" t="str">
        <x:v>Newcastle RV Super Centre - Beresfield</x:v>
      </x:c>
      <x:c r="L1166" s="19" t="str">
        <x:v>Z006</x:v>
      </x:c>
      <x:c r="M1166" s="19" t="str">
        <x:v>In Field Warranty Claims</x:v>
      </x:c>
      <x:c r="N1166" s="37" t="n">
        <x:v>46159</x:v>
      </x:c>
      <x:c r="O1166" s="37"/>
      <x:c r="P1166" s="34" t="n">
        <x:v>0</x:v>
      </x:c>
      <x:c r="Q1166" s="37" t="n">
        <x:v>46160.147141203706</x:v>
      </x:c>
    </x:row>
    <x:row r="1167">
      <x:c r="A1167" s="22" t="n">
        <x:v>35063</x:v>
      </x:c>
      <x:c r="B1167" s="28" t="n">
        <x:v>927.5</x:v>
      </x:c>
      <x:c r="C1167" s="28"/>
      <x:c r="D1167" s="31" t="str">
        <x:f>IF(OR(ISBLANK(B1167),ISBLANK(C1167),B1167=0),"",(C1167-B1167)/B1167)</x:f>
      </x:c>
      <x:c r="E1167" s="22" t="str">
        <x:f>IF(ISBLANK(C1167),"AmountIncludingTax缺失",IF(ABS(B1167-C1167)&lt;0.005,"一致","不一致"))</x:f>
        <x:v>AmountIncludingTax缺失</x:v>
      </x:c>
      <x:c r="F1167" s="19" t="str">
        <x:v>approved</x:v>
      </x:c>
      <x:c r="G1167" s="19" t="str">
        <x:v>Repair in Progress</x:v>
      </x:c>
      <x:c r="H1167" s="19" t="str">
        <x:v>In Field</x:v>
      </x:c>
      <x:c r="I1167" s="37" t="n">
        <x:v>46161</x:v>
      </x:c>
      <x:c r="J1167" s="37" t="n">
        <x:v>46161</x:v>
      </x:c>
      <x:c r="K1167" s="19" t="str">
        <x:v>Regent RV - Perth</x:v>
      </x:c>
      <x:c r="L1167" s="19" t="str">
        <x:v>Z006</x:v>
      </x:c>
      <x:c r="M1167" s="19" t="str">
        <x:v>In Field Warranty Claims</x:v>
      </x:c>
      <x:c r="N1167" s="37" t="n">
        <x:v>46159</x:v>
      </x:c>
      <x:c r="O1167" s="37"/>
      <x:c r="P1167" s="34" t="n">
        <x:v>0</x:v>
      </x:c>
      <x:c r="Q1167" s="37" t="n">
        <x:v>46161.124131944445</x:v>
      </x:c>
    </x:row>
    <x:row r="1168">
      <x:c r="A1168" s="22" t="n">
        <x:v>35061</x:v>
      </x:c>
      <x:c r="B1168" s="28" t="n">
        <x:v>236.36</x:v>
      </x:c>
      <x:c r="C1168" s="28" t="n">
        <x:v>260</x:v>
      </x:c>
      <x:c r="D1168" s="31" t="n">
        <x:f>IF(OR(ISBLANK(B1168),ISBLANK(C1168),B1168=0),"",(C1168-B1168)/B1168)</x:f>
        <x:v>0.10001692333728204</x:v>
      </x:c>
      <x:c r="E1168" s="22" t="str">
        <x:f>IF(ISBLANK(C1168),"AmountIncludingTax缺失",IF(ABS(B1168-C1168)&lt;0.005,"一致","不一致"))</x:f>
        <x:v>不一致</x:v>
      </x:c>
      <x:c r="F1168" s="19" t="str">
        <x:v>approved</x:v>
      </x:c>
      <x:c r="G1168" s="19" t="str">
        <x:v>Repairer Invoiced Processed</x:v>
      </x:c>
      <x:c r="H1168" s="19" t="str">
        <x:v>In Field</x:v>
      </x:c>
      <x:c r="I1168" s="37" t="n">
        <x:v>46169</x:v>
      </x:c>
      <x:c r="J1168" s="37" t="n">
        <x:v>46169</x:v>
      </x:c>
      <x:c r="K1168" s="19" t="str">
        <x:v>Green RV - Forest Glen</x:v>
      </x:c>
      <x:c r="L1168" s="19" t="str">
        <x:v>Z006</x:v>
      </x:c>
      <x:c r="M1168" s="19" t="str">
        <x:v>In Field Warranty Claims</x:v>
      </x:c>
      <x:c r="N1168" s="37" t="n">
        <x:v>46159</x:v>
      </x:c>
      <x:c r="O1168" s="37"/>
      <x:c r="P1168" s="34" t="n">
        <x:v>260</x:v>
      </x:c>
      <x:c r="Q1168" s="37" t="n">
        <x:v>46168.893472222226</x:v>
      </x:c>
    </x:row>
    <x:row r="1169">
      <x:c r="A1169" s="22" t="n">
        <x:v>35034</x:v>
      </x:c>
      <x:c r="B1169" s="28" t="n">
        <x:v>290</x:v>
      </x:c>
      <x:c r="C1169" s="28"/>
      <x:c r="D1169" s="31" t="str">
        <x:f>IF(OR(ISBLANK(B1169),ISBLANK(C1169),B1169=0),"",(C1169-B1169)/B1169)</x:f>
      </x:c>
      <x:c r="E1169" s="22" t="str">
        <x:f>IF(ISBLANK(C1169),"AmountIncludingTax缺失",IF(ABS(B1169-C1169)&lt;0.005,"一致","不一致"))</x:f>
        <x:v>AmountIncludingTax缺失</x:v>
      </x:c>
      <x:c r="F1169" s="19" t="str">
        <x:v>approved</x:v>
      </x:c>
      <x:c r="G1169" s="19" t="str">
        <x:v>Repair in Progress</x:v>
      </x:c>
      <x:c r="H1169" s="19" t="str">
        <x:v>In Field</x:v>
      </x:c>
      <x:c r="I1169" s="37" t="n">
        <x:v>46170</x:v>
      </x:c>
      <x:c r="J1169" s="37" t="n">
        <x:v>46170</x:v>
      </x:c>
      <x:c r="K1169" s="19" t="str">
        <x:v>Green RV - Forest Glen</x:v>
      </x:c>
      <x:c r="L1169" s="19" t="str">
        <x:v>Z006</x:v>
      </x:c>
      <x:c r="M1169" s="19" t="str">
        <x:v>In Field Warranty Claims</x:v>
      </x:c>
      <x:c r="N1169" s="37" t="n">
        <x:v>46157</x:v>
      </x:c>
      <x:c r="O1169" s="37"/>
      <x:c r="P1169" s="34" t="n">
        <x:v>0</x:v>
      </x:c>
      <x:c r="Q1169" s="37" t="n">
        <x:v>46170.022569444445</x:v>
      </x:c>
    </x:row>
    <x:row r="1170">
      <x:c r="A1170" s="22" t="n">
        <x:v>35033</x:v>
      </x:c>
      <x:c r="B1170" s="28" t="n">
        <x:v>405</x:v>
      </x:c>
      <x:c r="C1170" s="28"/>
      <x:c r="D1170" s="31" t="str">
        <x:f>IF(OR(ISBLANK(B1170),ISBLANK(C1170),B1170=0),"",(C1170-B1170)/B1170)</x:f>
      </x:c>
      <x:c r="E1170" s="22" t="str">
        <x:f>IF(ISBLANK(C1170),"AmountIncludingTax缺失",IF(ABS(B1170-C1170)&lt;0.005,"一致","不一致"))</x:f>
        <x:v>AmountIncludingTax缺失</x:v>
      </x:c>
      <x:c r="F1170" s="19" t="str">
        <x:v>approved</x:v>
      </x:c>
      <x:c r="G1170" s="19" t="str">
        <x:v>Repair in Progress</x:v>
      </x:c>
      <x:c r="H1170" s="19" t="str">
        <x:v>In Field</x:v>
      </x:c>
      <x:c r="I1170" s="37" t="n">
        <x:v>46160</x:v>
      </x:c>
      <x:c r="J1170" s="37" t="n">
        <x:v>46160</x:v>
      </x:c>
      <x:c r="K1170" s="19" t="str">
        <x:v>Green RV - Forest Glen</x:v>
      </x:c>
      <x:c r="L1170" s="19" t="str">
        <x:v>Z006</x:v>
      </x:c>
      <x:c r="M1170" s="19" t="str">
        <x:v>In Field Warranty Claims</x:v>
      </x:c>
      <x:c r="N1170" s="37" t="n">
        <x:v>46157</x:v>
      </x:c>
      <x:c r="O1170" s="37"/>
      <x:c r="P1170" s="34" t="n">
        <x:v>0</x:v>
      </x:c>
      <x:c r="Q1170" s="37" t="n">
        <x:v>46160.073958333334</x:v>
      </x:c>
    </x:row>
    <x:row r="1171">
      <x:c r="A1171" s="22" t="n">
        <x:v>35029</x:v>
      </x:c>
      <x:c r="B1171" s="28" t="n">
        <x:v>1385</x:v>
      </x:c>
      <x:c r="C1171" s="28"/>
      <x:c r="D1171" s="31" t="str">
        <x:f>IF(OR(ISBLANK(B1171),ISBLANK(C1171),B1171=0),"",(C1171-B1171)/B1171)</x:f>
      </x:c>
      <x:c r="E1171" s="22" t="str">
        <x:f>IF(ISBLANK(C1171),"AmountIncludingTax缺失",IF(ABS(B1171-C1171)&lt;0.005,"一致","不一致"))</x:f>
        <x:v>AmountIncludingTax缺失</x:v>
      </x:c>
      <x:c r="F1171" s="19" t="str">
        <x:v>approved</x:v>
      </x:c>
      <x:c r="G1171" s="19" t="str">
        <x:v>Repair in Progress</x:v>
      </x:c>
      <x:c r="H1171" s="19" t="str">
        <x:v>In Field</x:v>
      </x:c>
      <x:c r="I1171" s="37" t="n">
        <x:v>46169</x:v>
      </x:c>
      <x:c r="J1171" s="37" t="n">
        <x:v>46169</x:v>
      </x:c>
      <x:c r="K1171" s="19" t="str">
        <x:v>Regent RV - Perth</x:v>
      </x:c>
      <x:c r="L1171" s="19" t="str">
        <x:v>Z006</x:v>
      </x:c>
      <x:c r="M1171" s="19" t="str">
        <x:v>In Field Warranty Claims</x:v>
      </x:c>
      <x:c r="N1171" s="37" t="n">
        <x:v>46158</x:v>
      </x:c>
      <x:c r="O1171" s="37"/>
      <x:c r="P1171" s="34" t="n">
        <x:v>0</x:v>
      </x:c>
      <x:c r="Q1171" s="37" t="n">
        <x:v>46169.1505787037</x:v>
      </x:c>
    </x:row>
    <x:row r="1172">
      <x:c r="A1172" s="22" t="n">
        <x:v>35027</x:v>
      </x:c>
      <x:c r="B1172" s="28" t="n">
        <x:v>168.75</x:v>
      </x:c>
      <x:c r="C1172" s="28" t="n">
        <x:v>185.63</x:v>
      </x:c>
      <x:c r="D1172" s="31" t="n">
        <x:f>IF(OR(ISBLANK(B1172),ISBLANK(C1172),B1172=0),"",(C1172-B1172)/B1172)</x:f>
        <x:v>0.10002962962962961</x:v>
      </x:c>
      <x:c r="E1172" s="22" t="str">
        <x:f>IF(ISBLANK(C1172),"AmountIncludingTax缺失",IF(ABS(B1172-C1172)&lt;0.005,"一致","不一致"))</x:f>
        <x:v>不一致</x:v>
      </x:c>
      <x:c r="F1172" s="19" t="str">
        <x:v>approved</x:v>
      </x:c>
      <x:c r="G1172" s="19" t="str">
        <x:v>Repair in Progress</x:v>
      </x:c>
      <x:c r="H1172" s="19" t="str">
        <x:v>In Field</x:v>
      </x:c>
      <x:c r="I1172" s="37" t="n">
        <x:v>46190</x:v>
      </x:c>
      <x:c r="J1172" s="37" t="n">
        <x:v>46190</x:v>
      </x:c>
      <x:c r="K1172" s="19" t="str">
        <x:v>Dario Caravans -St.Marys</x:v>
      </x:c>
      <x:c r="L1172" s="19" t="str">
        <x:v>Z006</x:v>
      </x:c>
      <x:c r="M1172" s="19" t="str">
        <x:v>In Field Warranty Claims</x:v>
      </x:c>
      <x:c r="N1172" s="37" t="n">
        <x:v>46157</x:v>
      </x:c>
      <x:c r="O1172" s="37"/>
      <x:c r="P1172" s="34" t="n">
        <x:v>185.63</x:v>
      </x:c>
      <x:c r="Q1172" s="37" t="n">
        <x:v>46189.952569444446</x:v>
      </x:c>
    </x:row>
    <x:row r="1173">
      <x:c r="A1173" s="22" t="n">
        <x:v>35020</x:v>
      </x:c>
      <x:c r="B1173" s="28" t="n">
        <x:v>101.25</x:v>
      </x:c>
      <x:c r="C1173" s="28"/>
      <x:c r="D1173" s="31" t="str">
        <x:f>IF(OR(ISBLANK(B1173),ISBLANK(C1173),B1173=0),"",(C1173-B1173)/B1173)</x:f>
      </x:c>
      <x:c r="E1173" s="22" t="str">
        <x:f>IF(ISBLANK(C1173),"AmountIncludingTax缺失",IF(ABS(B1173-C1173)&lt;0.005,"一致","不一致"))</x:f>
        <x:v>AmountIncludingTax缺失</x:v>
      </x:c>
      <x:c r="F1173" s="19" t="str">
        <x:v>approved</x:v>
      </x:c>
      <x:c r="G1173" s="19" t="str">
        <x:v>Repair in Progress</x:v>
      </x:c>
      <x:c r="H1173" s="19" t="str">
        <x:v>In Field</x:v>
      </x:c>
      <x:c r="I1173" s="37" t="n">
        <x:v>46160</x:v>
      </x:c>
      <x:c r="J1173" s="37" t="n">
        <x:v>46160</x:v>
      </x:c>
      <x:c r="K1173" s="19" t="str">
        <x:v>Newcastle RV Super Centre - Beresfield</x:v>
      </x:c>
      <x:c r="L1173" s="19" t="str">
        <x:v>Z006</x:v>
      </x:c>
      <x:c r="M1173" s="19" t="str">
        <x:v>In Field Warranty Claims</x:v>
      </x:c>
      <x:c r="N1173" s="37" t="n">
        <x:v>46157</x:v>
      </x:c>
      <x:c r="O1173" s="37"/>
      <x:c r="P1173" s="34" t="n">
        <x:v>0</x:v>
      </x:c>
      <x:c r="Q1173" s="37" t="n">
        <x:v>46160.127071759256</x:v>
      </x:c>
    </x:row>
    <x:row r="1174">
      <x:c r="A1174" s="22" t="n">
        <x:v>35019</x:v>
      </x:c>
      <x:c r="B1174" s="28" t="n">
        <x:v>33.75</x:v>
      </x:c>
      <x:c r="C1174" s="28"/>
      <x:c r="D1174" s="31" t="str">
        <x:f>IF(OR(ISBLANK(B1174),ISBLANK(C1174),B1174=0),"",(C1174-B1174)/B1174)</x:f>
      </x:c>
      <x:c r="E1174" s="22" t="str">
        <x:f>IF(ISBLANK(C1174),"AmountIncludingTax缺失",IF(ABS(B1174-C1174)&lt;0.005,"一致","不一致"))</x:f>
        <x:v>AmountIncludingTax缺失</x:v>
      </x:c>
      <x:c r="F1174" s="19" t="str">
        <x:v>approved</x:v>
      </x:c>
      <x:c r="G1174" s="19" t="str">
        <x:v>Repair in Progress</x:v>
      </x:c>
      <x:c r="H1174" s="19" t="str">
        <x:v>In Field</x:v>
      </x:c>
      <x:c r="I1174" s="37" t="n">
        <x:v>46170</x:v>
      </x:c>
      <x:c r="J1174" s="37" t="n">
        <x:v>46160</x:v>
      </x:c>
      <x:c r="K1174" s="19" t="str">
        <x:v>Lesiure Lion-New Castle</x:v>
      </x:c>
      <x:c r="L1174" s="19" t="str">
        <x:v>Z006</x:v>
      </x:c>
      <x:c r="M1174" s="19" t="str">
        <x:v>In Field Warranty Claims</x:v>
      </x:c>
      <x:c r="N1174" s="37" t="n">
        <x:v>46157</x:v>
      </x:c>
      <x:c r="O1174" s="37"/>
      <x:c r="P1174" s="34" t="n">
        <x:v>0</x:v>
      </x:c>
      <x:c r="Q1174" s="37" t="n">
        <x:v>46169.97258101852</x:v>
      </x:c>
    </x:row>
    <x:row r="1175">
      <x:c r="A1175" s="22" t="n">
        <x:v>35018</x:v>
      </x:c>
      <x:c r="B1175" s="28" t="n">
        <x:v>1123.75</x:v>
      </x:c>
      <x:c r="C1175" s="28"/>
      <x:c r="D1175" s="31" t="str">
        <x:f>IF(OR(ISBLANK(B1175),ISBLANK(C1175),B1175=0),"",(C1175-B1175)/B1175)</x:f>
      </x:c>
      <x:c r="E1175" s="22" t="str">
        <x:f>IF(ISBLANK(C1175),"AmountIncludingTax缺失",IF(ABS(B1175-C1175)&lt;0.005,"一致","不一致"))</x:f>
        <x:v>AmountIncludingTax缺失</x:v>
      </x:c>
      <x:c r="F1175" s="19" t="str">
        <x:v>approved</x:v>
      </x:c>
      <x:c r="G1175" s="19" t="str">
        <x:v>Partially Picked</x:v>
      </x:c>
      <x:c r="H1175" s="19" t="str">
        <x:v>In Field</x:v>
      </x:c>
      <x:c r="I1175" s="37" t="n">
        <x:v>46162</x:v>
      </x:c>
      <x:c r="J1175" s="37" t="n">
        <x:v>46162</x:v>
      </x:c>
      <x:c r="K1175" s="19" t="str">
        <x:v>Green RV - Forest Glen</x:v>
      </x:c>
      <x:c r="L1175" s="19" t="str">
        <x:v>Z006</x:v>
      </x:c>
      <x:c r="M1175" s="19" t="str">
        <x:v>In Field Warranty Claims</x:v>
      </x:c>
      <x:c r="N1175" s="37" t="n">
        <x:v>46157</x:v>
      </x:c>
      <x:c r="O1175" s="37"/>
      <x:c r="P1175" s="34" t="n">
        <x:v>0</x:v>
      </x:c>
      <x:c r="Q1175" s="37" t="n">
        <x:v>46162.0024537037</x:v>
      </x:c>
    </x:row>
    <x:row r="1176">
      <x:c r="A1176" s="22" t="n">
        <x:v>35017</x:v>
      </x:c>
      <x:c r="B1176" s="28" t="n">
        <x:v>725</x:v>
      </x:c>
      <x:c r="C1176" s="28"/>
      <x:c r="D1176" s="31" t="str">
        <x:f>IF(OR(ISBLANK(B1176),ISBLANK(C1176),B1176=0),"",(C1176-B1176)/B1176)</x:f>
      </x:c>
      <x:c r="E1176" s="22" t="str">
        <x:f>IF(ISBLANK(C1176),"AmountIncludingTax缺失",IF(ABS(B1176-C1176)&lt;0.005,"一致","不一致"))</x:f>
        <x:v>AmountIncludingTax缺失</x:v>
      </x:c>
      <x:c r="F1176" s="19" t="str">
        <x:v>approved</x:v>
      </x:c>
      <x:c r="G1176" s="19" t="str">
        <x:v>Repair in Progress</x:v>
      </x:c>
      <x:c r="H1176" s="19" t="str">
        <x:v>In Field</x:v>
      </x:c>
      <x:c r="I1176" s="37" t="n">
        <x:v>46195</x:v>
      </x:c>
      <x:c r="J1176" s="37" t="n">
        <x:v>46188</x:v>
      </x:c>
      <x:c r="K1176" s="19" t="str">
        <x:v>Regent RV - Toowoomba</x:v>
      </x:c>
      <x:c r="L1176" s="19" t="str">
        <x:v>Z006</x:v>
      </x:c>
      <x:c r="M1176" s="19" t="str">
        <x:v>In Field Warranty Claims</x:v>
      </x:c>
      <x:c r="N1176" s="37" t="n">
        <x:v>46157</x:v>
      </x:c>
      <x:c r="O1176" s="37"/>
      <x:c r="P1176" s="34" t="n">
        <x:v>0</x:v>
      </x:c>
      <x:c r="Q1176" s="37" t="n">
        <x:v>46195.18300925926</x:v>
      </x:c>
    </x:row>
    <x:row r="1177">
      <x:c r="A1177" s="22" t="n">
        <x:v>35016</x:v>
      </x:c>
      <x:c r="B1177" s="28" t="n">
        <x:v>145</x:v>
      </x:c>
      <x:c r="C1177" s="28"/>
      <x:c r="D1177" s="31" t="str">
        <x:f>IF(OR(ISBLANK(B1177),ISBLANK(C1177),B1177=0),"",(C1177-B1177)/B1177)</x:f>
      </x:c>
      <x:c r="E1177" s="22" t="str">
        <x:f>IF(ISBLANK(C1177),"AmountIncludingTax缺失",IF(ABS(B1177-C1177)&lt;0.005,"一致","不一致"))</x:f>
        <x:v>AmountIncludingTax缺失</x:v>
      </x:c>
      <x:c r="F1177" s="19" t="str">
        <x:v>approved</x:v>
      </x:c>
      <x:c r="G1177" s="19" t="str">
        <x:v>Repairer Invoiced Processed</x:v>
      </x:c>
      <x:c r="H1177" s="19" t="str">
        <x:v>In Field</x:v>
      </x:c>
      <x:c r="I1177" s="37" t="n">
        <x:v>46161</x:v>
      </x:c>
      <x:c r="J1177" s="37" t="n">
        <x:v>46161</x:v>
      </x:c>
      <x:c r="K1177" s="19" t="str">
        <x:v>Regent RV - Toowoomba</x:v>
      </x:c>
      <x:c r="L1177" s="19" t="str">
        <x:v>Z006</x:v>
      </x:c>
      <x:c r="M1177" s="19" t="str">
        <x:v>In Field Warranty Claims</x:v>
      </x:c>
      <x:c r="N1177" s="37" t="n">
        <x:v>46157</x:v>
      </x:c>
      <x:c r="O1177" s="37"/>
      <x:c r="P1177" s="34" t="n">
        <x:v>0</x:v>
      </x:c>
      <x:c r="Q1177" s="37" t="n">
        <x:v>46161.10697916667</x:v>
      </x:c>
    </x:row>
    <x:row r="1178">
      <x:c r="A1178" s="22" t="n">
        <x:v>35015</x:v>
      </x:c>
      <x:c r="B1178" s="28" t="n">
        <x:v>254.55</x:v>
      </x:c>
      <x:c r="C1178" s="28"/>
      <x:c r="D1178" s="31" t="str">
        <x:f>IF(OR(ISBLANK(B1178),ISBLANK(C1178),B1178=0),"",(C1178-B1178)/B1178)</x:f>
      </x:c>
      <x:c r="E1178" s="22" t="str">
        <x:f>IF(ISBLANK(C1178),"AmountIncludingTax缺失",IF(ABS(B1178-C1178)&lt;0.005,"一致","不一致"))</x:f>
        <x:v>AmountIncludingTax缺失</x:v>
      </x:c>
      <x:c r="F1178" s="19" t="str">
        <x:v>approved</x:v>
      </x:c>
      <x:c r="G1178" s="19" t="str">
        <x:v>Repairer Invoiced Processed</x:v>
      </x:c>
      <x:c r="H1178" s="19" t="str">
        <x:v>Pre Delivery</x:v>
      </x:c>
      <x:c r="I1178" s="37" t="n">
        <x:v>46161</x:v>
      </x:c>
      <x:c r="J1178" s="37" t="n">
        <x:v>46161</x:v>
      </x:c>
      <x:c r="K1178" s="19" t="str">
        <x:v>Green RV - Slacks Creek</x:v>
      </x:c>
      <x:c r="L1178" s="19" t="str">
        <x:v>Z005</x:v>
      </x:c>
      <x:c r="M1178" s="19" t="str">
        <x:v>Pre Delivery Warranty Claims</x:v>
      </x:c>
      <x:c r="N1178" s="37" t="n">
        <x:v>46157</x:v>
      </x:c>
      <x:c r="O1178" s="37"/>
      <x:c r="P1178" s="34" t="n">
        <x:v>0</x:v>
      </x:c>
      <x:c r="Q1178" s="37" t="n">
        <x:v>46161.193564814814</x:v>
      </x:c>
    </x:row>
    <x:row r="1179">
      <x:c r="A1179" s="22" t="n">
        <x:v>35013</x:v>
      </x:c>
      <x:c r="B1179" s="28" t="n">
        <x:v>1370</x:v>
      </x:c>
      <x:c r="C1179" s="28"/>
      <x:c r="D1179" s="31" t="str">
        <x:f>IF(OR(ISBLANK(B1179),ISBLANK(C1179),B1179=0),"",(C1179-B1179)/B1179)</x:f>
      </x:c>
      <x:c r="E1179" s="22" t="str">
        <x:f>IF(ISBLANK(C1179),"AmountIncludingTax缺失",IF(ABS(B1179-C1179)&lt;0.005,"一致","不一致"))</x:f>
        <x:v>AmountIncludingTax缺失</x:v>
      </x:c>
      <x:c r="F1179" s="19" t="str">
        <x:v>approved</x:v>
      </x:c>
      <x:c r="G1179" s="19" t="str">
        <x:v>Repairer Invoiced Processed</x:v>
      </x:c>
      <x:c r="H1179" s="19" t="str">
        <x:v>Pre Delivery</x:v>
      </x:c>
      <x:c r="I1179" s="37" t="n">
        <x:v>46167</x:v>
      </x:c>
      <x:c r="J1179" s="37" t="n">
        <x:v>46167</x:v>
      </x:c>
      <x:c r="K1179" s="19" t="str">
        <x:v>Leisure Lion - Bundaberg</x:v>
      </x:c>
      <x:c r="L1179" s="19" t="str">
        <x:v>Z005</x:v>
      </x:c>
      <x:c r="M1179" s="19" t="str">
        <x:v>Pre Delivery Warranty Claims</x:v>
      </x:c>
      <x:c r="N1179" s="37" t="n">
        <x:v>46157</x:v>
      </x:c>
      <x:c r="O1179" s="37"/>
      <x:c r="P1179" s="34" t="n">
        <x:v>0</x:v>
      </x:c>
      <x:c r="Q1179" s="37" t="n">
        <x:v>46167.16207175926</x:v>
      </x:c>
    </x:row>
    <x:row r="1180">
      <x:c r="A1180" s="22" t="n">
        <x:v>35012</x:v>
      </x:c>
      <x:c r="B1180" s="28" t="n">
        <x:v>816.25</x:v>
      </x:c>
      <x:c r="C1180" s="28"/>
      <x:c r="D1180" s="31" t="str">
        <x:f>IF(OR(ISBLANK(B1180),ISBLANK(C1180),B1180=0),"",(C1180-B1180)/B1180)</x:f>
      </x:c>
      <x:c r="E1180" s="22" t="str">
        <x:f>IF(ISBLANK(C1180),"AmountIncludingTax缺失",IF(ABS(B1180-C1180)&lt;0.005,"一致","不一致"))</x:f>
        <x:v>AmountIncludingTax缺失</x:v>
      </x:c>
      <x:c r="F1180" s="19" t="str">
        <x:v>approved</x:v>
      </x:c>
      <x:c r="G1180" s="19" t="str">
        <x:v>Repair in Progress</x:v>
      </x:c>
      <x:c r="H1180" s="19" t="str">
        <x:v>In Field</x:v>
      </x:c>
      <x:c r="I1180" s="37" t="n">
        <x:v>46160</x:v>
      </x:c>
      <x:c r="J1180" s="37" t="n">
        <x:v>46160</x:v>
      </x:c>
      <x:c r="K1180" s="19" t="str">
        <x:v>Green RV - Slacks Creek</x:v>
      </x:c>
      <x:c r="L1180" s="19" t="str">
        <x:v>Z006</x:v>
      </x:c>
      <x:c r="M1180" s="19" t="str">
        <x:v>In Field Warranty Claims</x:v>
      </x:c>
      <x:c r="N1180" s="37" t="n">
        <x:v>46157</x:v>
      </x:c>
      <x:c r="O1180" s="37"/>
      <x:c r="P1180" s="34" t="n">
        <x:v>0</x:v>
      </x:c>
      <x:c r="Q1180" s="37" t="n">
        <x:v>46159.96366898148</x:v>
      </x:c>
    </x:row>
    <x:row r="1181">
      <x:c r="A1181" s="22" t="n">
        <x:v>35011</x:v>
      </x:c>
      <x:c r="B1181" s="28" t="n">
        <x:v>895.69</x:v>
      </x:c>
      <x:c r="C1181" s="28"/>
      <x:c r="D1181" s="31" t="str">
        <x:f>IF(OR(ISBLANK(B1181),ISBLANK(C1181),B1181=0),"",(C1181-B1181)/B1181)</x:f>
      </x:c>
      <x:c r="E1181" s="22" t="str">
        <x:f>IF(ISBLANK(C1181),"AmountIncludingTax缺失",IF(ABS(B1181-C1181)&lt;0.005,"一致","不一致"))</x:f>
        <x:v>AmountIncludingTax缺失</x:v>
      </x:c>
      <x:c r="F1181" s="19" t="str">
        <x:v>approved</x:v>
      </x:c>
      <x:c r="G1181" s="19" t="str">
        <x:v>Repair in Progress</x:v>
      </x:c>
      <x:c r="H1181" s="19" t="str">
        <x:v>In Field</x:v>
      </x:c>
      <x:c r="I1181" s="37" t="n">
        <x:v>46163</x:v>
      </x:c>
      <x:c r="J1181" s="37" t="n">
        <x:v>46163</x:v>
      </x:c>
      <x:c r="K1181" s="19" t="str">
        <x:v>Green RV - Forest Glen</x:v>
      </x:c>
      <x:c r="L1181" s="19" t="str">
        <x:v>Z006</x:v>
      </x:c>
      <x:c r="M1181" s="19" t="str">
        <x:v>In Field Warranty Claims</x:v>
      </x:c>
      <x:c r="N1181" s="37" t="n">
        <x:v>46157</x:v>
      </x:c>
      <x:c r="O1181" s="37"/>
      <x:c r="P1181" s="34" t="n">
        <x:v>0</x:v>
      </x:c>
      <x:c r="Q1181" s="37" t="n">
        <x:v>46162.89944444445</x:v>
      </x:c>
    </x:row>
    <x:row r="1182">
      <x:c r="A1182" s="22" t="n">
        <x:v>35009</x:v>
      </x:c>
      <x:c r="B1182" s="28" t="n">
        <x:v>1183.75</x:v>
      </x:c>
      <x:c r="C1182" s="28"/>
      <x:c r="D1182" s="31" t="str">
        <x:f>IF(OR(ISBLANK(B1182),ISBLANK(C1182),B1182=0),"",(C1182-B1182)/B1182)</x:f>
      </x:c>
      <x:c r="E1182" s="22" t="str">
        <x:f>IF(ISBLANK(C1182),"AmountIncludingTax缺失",IF(ABS(B1182-C1182)&lt;0.005,"一致","不一致"))</x:f>
        <x:v>AmountIncludingTax缺失</x:v>
      </x:c>
      <x:c r="F1182" s="19" t="str">
        <x:v>approved</x:v>
      </x:c>
      <x:c r="G1182" s="19" t="str">
        <x:v>Repairer Invoiced Processed</x:v>
      </x:c>
      <x:c r="H1182" s="19" t="str">
        <x:v>In Field</x:v>
      </x:c>
      <x:c r="I1182" s="37" t="n">
        <x:v>46160</x:v>
      </x:c>
      <x:c r="J1182" s="37" t="n">
        <x:v>46160</x:v>
      </x:c>
      <x:c r="K1182" s="19" t="str">
        <x:v>Regent RV - Toowoomba</x:v>
      </x:c>
      <x:c r="L1182" s="19" t="str">
        <x:v>Z006</x:v>
      </x:c>
      <x:c r="M1182" s="19" t="str">
        <x:v>In Field Warranty Claims</x:v>
      </x:c>
      <x:c r="N1182" s="37" t="n">
        <x:v>46157</x:v>
      </x:c>
      <x:c r="O1182" s="37"/>
      <x:c r="P1182" s="34" t="n">
        <x:v>0</x:v>
      </x:c>
      <x:c r="Q1182" s="37" t="n">
        <x:v>46160.07959490741</x:v>
      </x:c>
    </x:row>
    <x:row r="1183">
      <x:c r="A1183" s="22" t="n">
        <x:v>35007</x:v>
      </x:c>
      <x:c r="B1183" s="28" t="n">
        <x:v>647.5</x:v>
      </x:c>
      <x:c r="C1183" s="28"/>
      <x:c r="D1183" s="31" t="str">
        <x:f>IF(OR(ISBLANK(B1183),ISBLANK(C1183),B1183=0),"",(C1183-B1183)/B1183)</x:f>
      </x:c>
      <x:c r="E1183" s="22" t="str">
        <x:f>IF(ISBLANK(C1183),"AmountIncludingTax缺失",IF(ABS(B1183-C1183)&lt;0.005,"一致","不一致"))</x:f>
        <x:v>AmountIncludingTax缺失</x:v>
      </x:c>
      <x:c r="F1183" s="19" t="str">
        <x:v>approved</x:v>
      </x:c>
      <x:c r="G1183" s="19" t="str">
        <x:v>Repair in Progress</x:v>
      </x:c>
      <x:c r="H1183" s="19" t="str">
        <x:v>In Field</x:v>
      </x:c>
      <x:c r="I1183" s="37" t="n">
        <x:v>46167</x:v>
      </x:c>
      <x:c r="J1183" s="37" t="n">
        <x:v>46167</x:v>
      </x:c>
      <x:c r="K1183" s="19" t="str">
        <x:v>Regent RV - Toowoomba</x:v>
      </x:c>
      <x:c r="L1183" s="19" t="str">
        <x:v>Z006</x:v>
      </x:c>
      <x:c r="M1183" s="19" t="str">
        <x:v>In Field Warranty Claims</x:v>
      </x:c>
      <x:c r="N1183" s="37" t="n">
        <x:v>46157</x:v>
      </x:c>
      <x:c r="O1183" s="37"/>
      <x:c r="P1183" s="34" t="n">
        <x:v>0</x:v>
      </x:c>
      <x:c r="Q1183" s="37" t="n">
        <x:v>46167.06940972222</x:v>
      </x:c>
    </x:row>
    <x:row r="1184">
      <x:c r="A1184" s="22" t="n">
        <x:v>35006</x:v>
      </x:c>
      <x:c r="B1184" s="28" t="n">
        <x:v>67.5</x:v>
      </x:c>
      <x:c r="C1184" s="28"/>
      <x:c r="D1184" s="31" t="str">
        <x:f>IF(OR(ISBLANK(B1184),ISBLANK(C1184),B1184=0),"",(C1184-B1184)/B1184)</x:f>
      </x:c>
      <x:c r="E1184" s="22" t="str">
        <x:f>IF(ISBLANK(C1184),"AmountIncludingTax缺失",IF(ABS(B1184-C1184)&lt;0.005,"一致","不一致"))</x:f>
        <x:v>AmountIncludingTax缺失</x:v>
      </x:c>
      <x:c r="F1184" s="19" t="str">
        <x:v>approved</x:v>
      </x:c>
      <x:c r="G1184" s="19" t="str">
        <x:v>Repair in Progress</x:v>
      </x:c>
      <x:c r="H1184" s="19" t="str">
        <x:v>In Field</x:v>
      </x:c>
      <x:c r="I1184" s="37" t="n">
        <x:v>46157</x:v>
      </x:c>
      <x:c r="J1184" s="37" t="n">
        <x:v>46157</x:v>
      </x:c>
      <x:c r="K1184" s="19" t="str">
        <x:v>Green RV - Forest Glen</x:v>
      </x:c>
      <x:c r="L1184" s="19" t="str">
        <x:v>Z006</x:v>
      </x:c>
      <x:c r="M1184" s="19" t="str">
        <x:v>In Field Warranty Claims</x:v>
      </x:c>
      <x:c r="N1184" s="37" t="n">
        <x:v>46157</x:v>
      </x:c>
      <x:c r="O1184" s="37"/>
      <x:c r="P1184" s="34" t="n">
        <x:v>0</x:v>
      </x:c>
      <x:c r="Q1184" s="37" t="n">
        <x:v>46157.199525462966</x:v>
      </x:c>
    </x:row>
    <x:row r="1185">
      <x:c r="A1185" s="22" t="n">
        <x:v>35005</x:v>
      </x:c>
      <x:c r="B1185" s="28" t="n">
        <x:v>445</x:v>
      </x:c>
      <x:c r="C1185" s="28"/>
      <x:c r="D1185" s="31" t="str">
        <x:f>IF(OR(ISBLANK(B1185),ISBLANK(C1185),B1185=0),"",(C1185-B1185)/B1185)</x:f>
      </x:c>
      <x:c r="E1185" s="22" t="str">
        <x:f>IF(ISBLANK(C1185),"AmountIncludingTax缺失",IF(ABS(B1185-C1185)&lt;0.005,"一致","不一致"))</x:f>
        <x:v>AmountIncludingTax缺失</x:v>
      </x:c>
      <x:c r="F1185" s="19" t="str">
        <x:v>approved</x:v>
      </x:c>
      <x:c r="G1185" s="19" t="str">
        <x:v>Repair in Progress</x:v>
      </x:c>
      <x:c r="H1185" s="19" t="str">
        <x:v>In Field</x:v>
      </x:c>
      <x:c r="I1185" s="37" t="n">
        <x:v>46161</x:v>
      </x:c>
      <x:c r="J1185" s="37" t="n">
        <x:v>46161</x:v>
      </x:c>
      <x:c r="K1185" s="19" t="str">
        <x:v>Auswide Caravans - South Nowra</x:v>
      </x:c>
      <x:c r="L1185" s="19" t="str">
        <x:v>Z006</x:v>
      </x:c>
      <x:c r="M1185" s="19" t="str">
        <x:v>In Field Warranty Claims</x:v>
      </x:c>
      <x:c r="N1185" s="37" t="n">
        <x:v>46157</x:v>
      </x:c>
      <x:c r="O1185" s="37"/>
      <x:c r="P1185" s="34" t="n">
        <x:v>0</x:v>
      </x:c>
      <x:c r="Q1185" s="37" t="n">
        <x:v>46161.13023148148</x:v>
      </x:c>
    </x:row>
    <x:row r="1186">
      <x:c r="A1186" s="22" t="n">
        <x:v>35004</x:v>
      </x:c>
      <x:c r="B1186" s="28" t="n">
        <x:v>650</x:v>
      </x:c>
      <x:c r="C1186" s="28" t="n">
        <x:v>715</x:v>
      </x:c>
      <x:c r="D1186" s="31" t="n">
        <x:f>IF(OR(ISBLANK(B1186),ISBLANK(C1186),B1186=0),"",(C1186-B1186)/B1186)</x:f>
        <x:v>0.1</x:v>
      </x:c>
      <x:c r="E1186" s="22" t="str">
        <x:f>IF(ISBLANK(C1186),"AmountIncludingTax缺失",IF(ABS(B1186-C1186)&lt;0.005,"一致","不一致"))</x:f>
        <x:v>不一致</x:v>
      </x:c>
      <x:c r="F1186" s="19" t="str">
        <x:v>approved</x:v>
      </x:c>
      <x:c r="G1186" s="19" t="str">
        <x:v>Repairer Invoiced Processed</x:v>
      </x:c>
      <x:c r="H1186" s="19" t="str">
        <x:v>In Field</x:v>
      </x:c>
      <x:c r="I1186" s="37" t="n">
        <x:v>46195</x:v>
      </x:c>
      <x:c r="J1186" s="37" t="n">
        <x:v>46195</x:v>
      </x:c>
      <x:c r="K1186" s="19" t="str">
        <x:v>Green RV - Forest Glen</x:v>
      </x:c>
      <x:c r="L1186" s="19" t="str">
        <x:v>Z006</x:v>
      </x:c>
      <x:c r="M1186" s="19" t="str">
        <x:v>In Field Warranty Claims</x:v>
      </x:c>
      <x:c r="N1186" s="37" t="n">
        <x:v>46157</x:v>
      </x:c>
      <x:c r="O1186" s="37"/>
      <x:c r="P1186" s="34" t="n">
        <x:v>715</x:v>
      </x:c>
      <x:c r="Q1186" s="37" t="n">
        <x:v>46195.065474537034</x:v>
      </x:c>
    </x:row>
    <x:row r="1187">
      <x:c r="A1187" s="22" t="n">
        <x:v>34993</x:v>
      </x:c>
      <x:c r="B1187" s="28" t="n">
        <x:v>1070</x:v>
      </x:c>
      <x:c r="C1187" s="28"/>
      <x:c r="D1187" s="31" t="str">
        <x:f>IF(OR(ISBLANK(B1187),ISBLANK(C1187),B1187=0),"",(C1187-B1187)/B1187)</x:f>
      </x:c>
      <x:c r="E1187" s="22" t="str">
        <x:f>IF(ISBLANK(C1187),"AmountIncludingTax缺失",IF(ABS(B1187-C1187)&lt;0.005,"一致","不一致"))</x:f>
        <x:v>AmountIncludingTax缺失</x:v>
      </x:c>
      <x:c r="F1187" s="19" t="str">
        <x:v>approved</x:v>
      </x:c>
      <x:c r="G1187" s="19" t="str">
        <x:v>Repairer Invoiced Processed</x:v>
      </x:c>
      <x:c r="H1187" s="19" t="str">
        <x:v>In Field</x:v>
      </x:c>
      <x:c r="I1187" s="37" t="n">
        <x:v>46157</x:v>
      </x:c>
      <x:c r="J1187" s="37" t="n">
        <x:v>46157</x:v>
      </x:c>
      <x:c r="K1187" s="19" t="str">
        <x:v>Green RV - Forest Glen</x:v>
      </x:c>
      <x:c r="L1187" s="19" t="str">
        <x:v>Z006</x:v>
      </x:c>
      <x:c r="M1187" s="19" t="str">
        <x:v>In Field Warranty Claims</x:v>
      </x:c>
      <x:c r="N1187" s="37" t="n">
        <x:v>46156</x:v>
      </x:c>
      <x:c r="O1187" s="37"/>
      <x:c r="P1187" s="34" t="n">
        <x:v>1177</x:v>
      </x:c>
      <x:c r="Q1187" s="37" t="n">
        <x:v>46156.982465277775</x:v>
      </x:c>
    </x:row>
    <x:row r="1188">
      <x:c r="A1188" s="22" t="n">
        <x:v>34992</x:v>
      </x:c>
      <x:c r="B1188" s="28" t="n">
        <x:v>800</x:v>
      </x:c>
      <x:c r="C1188" s="28" t="n">
        <x:v>880</x:v>
      </x:c>
      <x:c r="D1188" s="31" t="n">
        <x:f>IF(OR(ISBLANK(B1188),ISBLANK(C1188),B1188=0),"",(C1188-B1188)/B1188)</x:f>
        <x:v>0.1</x:v>
      </x:c>
      <x:c r="E1188" s="22" t="str">
        <x:f>IF(ISBLANK(C1188),"AmountIncludingTax缺失",IF(ABS(B1188-C1188)&lt;0.005,"一致","不一致"))</x:f>
        <x:v>不一致</x:v>
      </x:c>
      <x:c r="F1188" s="19" t="str">
        <x:v>approved</x:v>
      </x:c>
      <x:c r="G1188" s="19" t="str">
        <x:v>Repairer Invoiced Processed</x:v>
      </x:c>
      <x:c r="H1188" s="19" t="str">
        <x:v>In Field</x:v>
      </x:c>
      <x:c r="I1188" s="37" t="n">
        <x:v>46157</x:v>
      </x:c>
      <x:c r="J1188" s="37" t="n">
        <x:v>46157</x:v>
      </x:c>
      <x:c r="K1188" s="19" t="str">
        <x:v>Springvale Caravan Centre - Keysborough</x:v>
      </x:c>
      <x:c r="L1188" s="19" t="str">
        <x:v>Z006</x:v>
      </x:c>
      <x:c r="M1188" s="19" t="str">
        <x:v>In Field Warranty Claims</x:v>
      </x:c>
      <x:c r="N1188" s="37" t="n">
        <x:v>46156</x:v>
      </x:c>
      <x:c r="O1188" s="37"/>
      <x:c r="P1188" s="34" t="n">
        <x:v>880</x:v>
      </x:c>
      <x:c r="Q1188" s="37" t="n">
        <x:v>46156.977430555555</x:v>
      </x:c>
    </x:row>
    <x:row r="1189">
      <x:c r="A1189" s="22" t="n">
        <x:v>34990</x:v>
      </x:c>
      <x:c r="B1189" s="28" t="n">
        <x:v>337.5</x:v>
      </x:c>
      <x:c r="C1189" s="28"/>
      <x:c r="D1189" s="31" t="str">
        <x:f>IF(OR(ISBLANK(B1189),ISBLANK(C1189),B1189=0),"",(C1189-B1189)/B1189)</x:f>
      </x:c>
      <x:c r="E1189" s="22" t="str">
        <x:f>IF(ISBLANK(C1189),"AmountIncludingTax缺失",IF(ABS(B1189-C1189)&lt;0.005,"一致","不一致"))</x:f>
        <x:v>AmountIncludingTax缺失</x:v>
      </x:c>
      <x:c r="F1189" s="19" t="str">
        <x:v>approved</x:v>
      </x:c>
      <x:c r="G1189" s="19" t="str">
        <x:v>Repair in Progress</x:v>
      </x:c>
      <x:c r="H1189" s="19" t="str">
        <x:v>In Field</x:v>
      </x:c>
      <x:c r="I1189" s="37" t="n">
        <x:v>46167</x:v>
      </x:c>
      <x:c r="J1189" s="37" t="n">
        <x:v>46167</x:v>
      </x:c>
      <x:c r="K1189" s="19" t="str">
        <x:v>Regent RV - Toowoomba</x:v>
      </x:c>
      <x:c r="L1189" s="19" t="str">
        <x:v>Z006</x:v>
      </x:c>
      <x:c r="M1189" s="19" t="str">
        <x:v>In Field Warranty Claims</x:v>
      </x:c>
      <x:c r="N1189" s="37" t="n">
        <x:v>46157</x:v>
      </x:c>
      <x:c r="O1189" s="37"/>
      <x:c r="P1189" s="34" t="n">
        <x:v>0</x:v>
      </x:c>
      <x:c r="Q1189" s="37" t="n">
        <x:v>46167.13050925926</x:v>
      </x:c>
    </x:row>
    <x:row r="1190">
      <x:c r="A1190" s="22" t="n">
        <x:v>34989</x:v>
      </x:c>
      <x:c r="B1190" s="28" t="n">
        <x:v>580</x:v>
      </x:c>
      <x:c r="C1190" s="28"/>
      <x:c r="D1190" s="31" t="str">
        <x:f>IF(OR(ISBLANK(B1190),ISBLANK(C1190),B1190=0),"",(C1190-B1190)/B1190)</x:f>
      </x:c>
      <x:c r="E1190" s="22" t="str">
        <x:f>IF(ISBLANK(C1190),"AmountIncludingTax缺失",IF(ABS(B1190-C1190)&lt;0.005,"一致","不一致"))</x:f>
        <x:v>AmountIncludingTax缺失</x:v>
      </x:c>
      <x:c r="F1190" s="19" t="str">
        <x:v>approved</x:v>
      </x:c>
      <x:c r="G1190" s="19" t="str">
        <x:v>Repairer Invoiced Processed</x:v>
      </x:c>
      <x:c r="H1190" s="19" t="str">
        <x:v>In Field</x:v>
      </x:c>
      <x:c r="I1190" s="37" t="n">
        <x:v>46160</x:v>
      </x:c>
      <x:c r="J1190" s="37" t="n">
        <x:v>46160</x:v>
      </x:c>
      <x:c r="K1190" s="19" t="str">
        <x:v>Destiny RV - South Australia</x:v>
      </x:c>
      <x:c r="L1190" s="19" t="str">
        <x:v>Z006</x:v>
      </x:c>
      <x:c r="M1190" s="19" t="str">
        <x:v>In Field Warranty Claims</x:v>
      </x:c>
      <x:c r="N1190" s="37" t="n">
        <x:v>46157</x:v>
      </x:c>
      <x:c r="O1190" s="37"/>
      <x:c r="P1190" s="34" t="n">
        <x:v>0</x:v>
      </x:c>
      <x:c r="Q1190" s="37" t="n">
        <x:v>46160.12559027778</x:v>
      </x:c>
    </x:row>
    <x:row r="1191">
      <x:c r="A1191" s="22" t="n">
        <x:v>34988</x:v>
      </x:c>
      <x:c r="B1191" s="28" t="n">
        <x:v>600</x:v>
      </x:c>
      <x:c r="C1191" s="28"/>
      <x:c r="D1191" s="31" t="str">
        <x:f>IF(OR(ISBLANK(B1191),ISBLANK(C1191),B1191=0),"",(C1191-B1191)/B1191)</x:f>
      </x:c>
      <x:c r="E1191" s="22" t="str">
        <x:f>IF(ISBLANK(C1191),"AmountIncludingTax缺失",IF(ABS(B1191-C1191)&lt;0.005,"一致","不一致"))</x:f>
        <x:v>AmountIncludingTax缺失</x:v>
      </x:c>
      <x:c r="F1191" s="19" t="str">
        <x:v>approved</x:v>
      </x:c>
      <x:c r="G1191" s="19" t="str">
        <x:v>Sales Order Approved</x:v>
      </x:c>
      <x:c r="H1191" s="19" t="str">
        <x:v>In Field</x:v>
      </x:c>
      <x:c r="I1191" s="37" t="n">
        <x:v>46171</x:v>
      </x:c>
      <x:c r="J1191" s="37" t="n">
        <x:v>46171</x:v>
      </x:c>
      <x:c r="K1191" s="19" t="str">
        <x:v>Regent RV - Townsville</x:v>
      </x:c>
      <x:c r="L1191" s="19" t="str">
        <x:v>Z006</x:v>
      </x:c>
      <x:c r="M1191" s="19" t="str">
        <x:v>In Field Warranty Claims</x:v>
      </x:c>
      <x:c r="N1191" s="37" t="n">
        <x:v>46157</x:v>
      </x:c>
      <x:c r="O1191" s="37"/>
      <x:c r="P1191" s="34" t="n">
        <x:v>0</x:v>
      </x:c>
      <x:c r="Q1191" s="37" t="n">
        <x:v>46171.05670138889</x:v>
      </x:c>
    </x:row>
    <x:row r="1192">
      <x:c r="A1192" s="22" t="n">
        <x:v>34987</x:v>
      </x:c>
      <x:c r="B1192" s="28" t="n">
        <x:v>1098.2</x:v>
      </x:c>
      <x:c r="C1192" s="28"/>
      <x:c r="D1192" s="31" t="str">
        <x:f>IF(OR(ISBLANK(B1192),ISBLANK(C1192),B1192=0),"",(C1192-B1192)/B1192)</x:f>
      </x:c>
      <x:c r="E1192" s="22" t="str">
        <x:f>IF(ISBLANK(C1192),"AmountIncludingTax缺失",IF(ABS(B1192-C1192)&lt;0.005,"一致","不一致"))</x:f>
        <x:v>AmountIncludingTax缺失</x:v>
      </x:c>
      <x:c r="F1192" s="19" t="str">
        <x:v>approved</x:v>
      </x:c>
      <x:c r="G1192" s="19" t="str">
        <x:v>Repair in Progress</x:v>
      </x:c>
      <x:c r="H1192" s="19" t="str">
        <x:v>In Field</x:v>
      </x:c>
      <x:c r="I1192" s="37" t="n">
        <x:v>46163</x:v>
      </x:c>
      <x:c r="J1192" s="37" t="n">
        <x:v>46163</x:v>
      </x:c>
      <x:c r="K1192" s="19" t="str">
        <x:v>Newcastle RV Super Centre - Beresfield</x:v>
      </x:c>
      <x:c r="L1192" s="19" t="str">
        <x:v>Z006</x:v>
      </x:c>
      <x:c r="M1192" s="19" t="str">
        <x:v>In Field Warranty Claims</x:v>
      </x:c>
      <x:c r="N1192" s="37" t="n">
        <x:v>46157</x:v>
      </x:c>
      <x:c r="O1192" s="37"/>
      <x:c r="P1192" s="34" t="n">
        <x:v>0</x:v>
      </x:c>
      <x:c r="Q1192" s="37" t="n">
        <x:v>46162.891921296294</x:v>
      </x:c>
    </x:row>
    <x:row r="1193">
      <x:c r="A1193" s="22" t="n">
        <x:v>34986</x:v>
      </x:c>
      <x:c r="B1193" s="28" t="n">
        <x:v>330</x:v>
      </x:c>
      <x:c r="C1193" s="28" t="n">
        <x:v>363</x:v>
      </x:c>
      <x:c r="D1193" s="31" t="n">
        <x:f>IF(OR(ISBLANK(B1193),ISBLANK(C1193),B1193=0),"",(C1193-B1193)/B1193)</x:f>
        <x:v>0.1</x:v>
      </x:c>
      <x:c r="E1193" s="22" t="str">
        <x:f>IF(ISBLANK(C1193),"AmountIncludingTax缺失",IF(ABS(B1193-C1193)&lt;0.005,"一致","不一致"))</x:f>
        <x:v>不一致</x:v>
      </x:c>
      <x:c r="F1193" s="19" t="str">
        <x:v>approved</x:v>
      </x:c>
      <x:c r="G1193" s="19" t="str">
        <x:v>Repairer Invoiced Processed</x:v>
      </x:c>
      <x:c r="H1193" s="19" t="str">
        <x:v>In Field</x:v>
      </x:c>
      <x:c r="I1193" s="37" t="n">
        <x:v>46163</x:v>
      </x:c>
      <x:c r="J1193" s="37" t="n">
        <x:v>46163</x:v>
      </x:c>
      <x:c r="K1193" s="19" t="str">
        <x:v>ABCO Caravans - Boambee Valley</x:v>
      </x:c>
      <x:c r="L1193" s="19" t="str">
        <x:v>Z006</x:v>
      </x:c>
      <x:c r="M1193" s="19" t="str">
        <x:v>In Field Warranty Claims</x:v>
      </x:c>
      <x:c r="N1193" s="37" t="n">
        <x:v>46156</x:v>
      </x:c>
      <x:c r="O1193" s="37"/>
      <x:c r="P1193" s="34" t="n">
        <x:v>363</x:v>
      </x:c>
      <x:c r="Q1193" s="37" t="n">
        <x:v>46163.19399305555</x:v>
      </x:c>
    </x:row>
    <x:row r="1194">
      <x:c r="A1194" s="22" t="n">
        <x:v>34984</x:v>
      </x:c>
      <x:c r="B1194" s="28" t="n">
        <x:v>770</x:v>
      </x:c>
      <x:c r="C1194" s="28" t="n">
        <x:v>697.16</x:v>
      </x:c>
      <x:c r="D1194" s="31" t="n">
        <x:f>IF(OR(ISBLANK(B1194),ISBLANK(C1194),B1194=0),"",(C1194-B1194)/B1194)</x:f>
        <x:v>-0.09459740259740264</x:v>
      </x:c>
      <x:c r="E1194" s="22" t="str">
        <x:f>IF(ISBLANK(C1194),"AmountIncludingTax缺失",IF(ABS(B1194-C1194)&lt;0.005,"一致","不一致"))</x:f>
        <x:v>不一致</x:v>
      </x:c>
      <x:c r="F1194" s="19" t="str">
        <x:v>approved</x:v>
      </x:c>
      <x:c r="G1194" s="19" t="str">
        <x:v>Repairer Invoiced Processed</x:v>
      </x:c>
      <x:c r="H1194" s="19" t="str">
        <x:v>Pre Delivery</x:v>
      </x:c>
      <x:c r="I1194" s="37" t="n">
        <x:v>46195</x:v>
      </x:c>
      <x:c r="J1194" s="37" t="n">
        <x:v>46195</x:v>
      </x:c>
      <x:c r="K1194" s="19" t="str">
        <x:v>Vanari Caravans - Marden Point</x:v>
      </x:c>
      <x:c r="L1194" s="19" t="str">
        <x:v>Z005</x:v>
      </x:c>
      <x:c r="M1194" s="19" t="str">
        <x:v>Pre Delivery Warranty Claims</x:v>
      </x:c>
      <x:c r="N1194" s="37" t="n">
        <x:v>46156</x:v>
      </x:c>
      <x:c r="O1194" s="37"/>
      <x:c r="P1194" s="34" t="n">
        <x:v>697.16</x:v>
      </x:c>
      <x:c r="Q1194" s="37" t="n">
        <x:v>46195.23175925926</x:v>
      </x:c>
    </x:row>
    <x:row r="1195">
      <x:c r="A1195" s="22" t="n">
        <x:v>34983</x:v>
      </x:c>
      <x:c r="B1195" s="28" t="n">
        <x:v>696.26</x:v>
      </x:c>
      <x:c r="C1195" s="28"/>
      <x:c r="D1195" s="31" t="str">
        <x:f>IF(OR(ISBLANK(B1195),ISBLANK(C1195),B1195=0),"",(C1195-B1195)/B1195)</x:f>
      </x:c>
      <x:c r="E1195" s="22" t="str">
        <x:f>IF(ISBLANK(C1195),"AmountIncludingTax缺失",IF(ABS(B1195-C1195)&lt;0.005,"一致","不一致"))</x:f>
        <x:v>AmountIncludingTax缺失</x:v>
      </x:c>
      <x:c r="F1195" s="19" t="str">
        <x:v>approved</x:v>
      </x:c>
      <x:c r="G1195" s="19" t="str">
        <x:v>Sales Order Approved</x:v>
      </x:c>
      <x:c r="H1195" s="19" t="str">
        <x:v>In Field</x:v>
      </x:c>
      <x:c r="I1195" s="37" t="n">
        <x:v>46210</x:v>
      </x:c>
      <x:c r="J1195" s="37" t="n">
        <x:v>46210</x:v>
      </x:c>
      <x:c r="K1195" s="19" t="str">
        <x:v>Snowy River Wangaratta</x:v>
      </x:c>
      <x:c r="L1195" s="19" t="str">
        <x:v>Z006</x:v>
      </x:c>
      <x:c r="M1195" s="19" t="str">
        <x:v>In Field Warranty Claims</x:v>
      </x:c>
      <x:c r="N1195" s="37" t="n">
        <x:v>46156</x:v>
      </x:c>
      <x:c r="O1195" s="37"/>
      <x:c r="P1195" s="34" t="n">
        <x:v>0</x:v>
      </x:c>
      <x:c r="Q1195" s="37" t="n">
        <x:v>46210.067662037036</x:v>
      </x:c>
    </x:row>
    <x:row r="1196">
      <x:c r="A1196" s="22" t="n">
        <x:v>34975</x:v>
      </x:c>
      <x:c r="B1196" s="28" t="n">
        <x:v>492.5</x:v>
      </x:c>
      <x:c r="C1196" s="28"/>
      <x:c r="D1196" s="31" t="str">
        <x:f>IF(OR(ISBLANK(B1196),ISBLANK(C1196),B1196=0),"",(C1196-B1196)/B1196)</x:f>
      </x:c>
      <x:c r="E1196" s="22" t="str">
        <x:f>IF(ISBLANK(C1196),"AmountIncludingTax缺失",IF(ABS(B1196-C1196)&lt;0.005,"一致","不一致"))</x:f>
        <x:v>AmountIncludingTax缺失</x:v>
      </x:c>
      <x:c r="F1196" s="19" t="str">
        <x:v>approved</x:v>
      </x:c>
      <x:c r="G1196" s="19" t="str">
        <x:v>Repair in Progress</x:v>
      </x:c>
      <x:c r="H1196" s="19" t="str">
        <x:v>In Field</x:v>
      </x:c>
      <x:c r="I1196" s="37" t="n">
        <x:v>46158</x:v>
      </x:c>
      <x:c r="J1196" s="37" t="n">
        <x:v>46158</x:v>
      </x:c>
      <x:c r="K1196" s="19" t="str">
        <x:v>Lesiure Lion-New Castle</x:v>
      </x:c>
      <x:c r="L1196" s="19" t="str">
        <x:v>Z006</x:v>
      </x:c>
      <x:c r="M1196" s="19" t="str">
        <x:v>In Field Warranty Claims</x:v>
      </x:c>
      <x:c r="N1196" s="37" t="n">
        <x:v>46157</x:v>
      </x:c>
      <x:c r="O1196" s="37"/>
      <x:c r="P1196" s="34" t="n">
        <x:v>0</x:v>
      </x:c>
      <x:c r="Q1196" s="37" t="n">
        <x:v>46157.810590277775</x:v>
      </x:c>
    </x:row>
    <x:row r="1197">
      <x:c r="A1197" s="22" t="n">
        <x:v>34970</x:v>
      </x:c>
      <x:c r="B1197" s="28" t="n">
        <x:v>627</x:v>
      </x:c>
      <x:c r="C1197" s="28" t="n">
        <x:v>689.7</x:v>
      </x:c>
      <x:c r="D1197" s="31" t="n">
        <x:f>IF(OR(ISBLANK(B1197),ISBLANK(C1197),B1197=0),"",(C1197-B1197)/B1197)</x:f>
        <x:v>0.10000000000000007</x:v>
      </x:c>
      <x:c r="E1197" s="22" t="str">
        <x:f>IF(ISBLANK(C1197),"AmountIncludingTax缺失",IF(ABS(B1197-C1197)&lt;0.005,"一致","不一致"))</x:f>
        <x:v>不一致</x:v>
      </x:c>
      <x:c r="F1197" s="19" t="str">
        <x:v>approved</x:v>
      </x:c>
      <x:c r="G1197" s="19" t="str">
        <x:v>Repairer Invoiced Processed</x:v>
      </x:c>
      <x:c r="H1197" s="19" t="str">
        <x:v>In Field</x:v>
      </x:c>
      <x:c r="I1197" s="37" t="n">
        <x:v>46164</x:v>
      </x:c>
      <x:c r="J1197" s="37" t="n">
        <x:v>46164</x:v>
      </x:c>
      <x:c r="K1197" s="19" t="str">
        <x:v>Green RV - Slacks Creek</x:v>
      </x:c>
      <x:c r="L1197" s="19" t="str">
        <x:v>Z006</x:v>
      </x:c>
      <x:c r="M1197" s="19" t="str">
        <x:v>In Field Warranty Claims</x:v>
      </x:c>
      <x:c r="N1197" s="37" t="n">
        <x:v>46156</x:v>
      </x:c>
      <x:c r="O1197" s="37"/>
      <x:c r="P1197" s="34" t="n">
        <x:v>689.7</x:v>
      </x:c>
      <x:c r="Q1197" s="37" t="n">
        <x:v>46163.85549768519</x:v>
      </x:c>
    </x:row>
    <x:row r="1198">
      <x:c r="A1198" s="22" t="n">
        <x:v>34969</x:v>
      </x:c>
      <x:c r="B1198" s="28" t="n">
        <x:v>160</x:v>
      </x:c>
      <x:c r="C1198" s="28" t="n">
        <x:v>176</x:v>
      </x:c>
      <x:c r="D1198" s="31" t="n">
        <x:f>IF(OR(ISBLANK(B1198),ISBLANK(C1198),B1198=0),"",(C1198-B1198)/B1198)</x:f>
        <x:v>0.1</x:v>
      </x:c>
      <x:c r="E1198" s="22" t="str">
        <x:f>IF(ISBLANK(C1198),"AmountIncludingTax缺失",IF(ABS(B1198-C1198)&lt;0.005,"一致","不一致"))</x:f>
        <x:v>不一致</x:v>
      </x:c>
      <x:c r="F1198" s="19" t="str">
        <x:v>approved</x:v>
      </x:c>
      <x:c r="G1198" s="19" t="str">
        <x:v>Repairer Invoiced Processed</x:v>
      </x:c>
      <x:c r="H1198" s="19" t="str">
        <x:v>In Field</x:v>
      </x:c>
      <x:c r="I1198" s="37" t="n">
        <x:v>46162</x:v>
      </x:c>
      <x:c r="J1198" s="37" t="n">
        <x:v>46162</x:v>
      </x:c>
      <x:c r="K1198" s="19" t="str">
        <x:v>Lesiure Lion-New Castle</x:v>
      </x:c>
      <x:c r="L1198" s="19" t="str">
        <x:v>Z006</x:v>
      </x:c>
      <x:c r="M1198" s="19" t="str">
        <x:v>In Field Warranty Claims</x:v>
      </x:c>
      <x:c r="N1198" s="37" t="n">
        <x:v>46156</x:v>
      </x:c>
      <x:c r="O1198" s="37"/>
      <x:c r="P1198" s="34" t="n">
        <x:v>176</x:v>
      </x:c>
      <x:c r="Q1198" s="37" t="n">
        <x:v>46162.48547453704</x:v>
      </x:c>
    </x:row>
    <x:row r="1199">
      <x:c r="A1199" s="22" t="n">
        <x:v>34968</x:v>
      </x:c>
      <x:c r="B1199" s="28" t="n">
        <x:v>1410</x:v>
      </x:c>
      <x:c r="C1199" s="28"/>
      <x:c r="D1199" s="31" t="str">
        <x:f>IF(OR(ISBLANK(B1199),ISBLANK(C1199),B1199=0),"",(C1199-B1199)/B1199)</x:f>
      </x:c>
      <x:c r="E1199" s="22" t="str">
        <x:f>IF(ISBLANK(C1199),"AmountIncludingTax缺失",IF(ABS(B1199-C1199)&lt;0.005,"一致","不一致"))</x:f>
        <x:v>AmountIncludingTax缺失</x:v>
      </x:c>
      <x:c r="F1199" s="19" t="str">
        <x:v>approved</x:v>
      </x:c>
      <x:c r="G1199" s="19" t="str">
        <x:v>Sales Order Approved</x:v>
      </x:c>
      <x:c r="H1199" s="19" t="str">
        <x:v>In Field</x:v>
      </x:c>
      <x:c r="I1199" s="37" t="n">
        <x:v>46205</x:v>
      </x:c>
      <x:c r="J1199" s="37" t="n">
        <x:v>46205</x:v>
      </x:c>
      <x:c r="K1199" s="19" t="str">
        <x:v>Green RV - Forest Glen</x:v>
      </x:c>
      <x:c r="L1199" s="19" t="str">
        <x:v>Z006</x:v>
      </x:c>
      <x:c r="M1199" s="19" t="str">
        <x:v>In Field Warranty Claims</x:v>
      </x:c>
      <x:c r="N1199" s="37" t="n">
        <x:v>46156</x:v>
      </x:c>
      <x:c r="O1199" s="37" t="n">
        <x:v>46204</x:v>
      </x:c>
      <x:c r="P1199" s="34" t="n">
        <x:v>0</x:v>
      </x:c>
      <x:c r="Q1199" s="37" t="n">
        <x:v>46204.98594907407</x:v>
      </x:c>
    </x:row>
    <x:row r="1200">
      <x:c r="A1200" s="22" t="n">
        <x:v>34967</x:v>
      </x:c>
      <x:c r="B1200" s="28" t="n">
        <x:v>202.5</x:v>
      </x:c>
      <x:c r="C1200" s="28"/>
      <x:c r="D1200" s="31" t="str">
        <x:f>IF(OR(ISBLANK(B1200),ISBLANK(C1200),B1200=0),"",(C1200-B1200)/B1200)</x:f>
      </x:c>
      <x:c r="E1200" s="22" t="str">
        <x:f>IF(ISBLANK(C1200),"AmountIncludingTax缺失",IF(ABS(B1200-C1200)&lt;0.005,"一致","不一致"))</x:f>
        <x:v>AmountIncludingTax缺失</x:v>
      </x:c>
      <x:c r="F1200" s="19" t="str">
        <x:v>approved</x:v>
      </x:c>
      <x:c r="G1200" s="19" t="str">
        <x:v>Repair in Progress</x:v>
      </x:c>
      <x:c r="H1200" s="19" t="str">
        <x:v>In Field</x:v>
      </x:c>
      <x:c r="I1200" s="37" t="n">
        <x:v>46167</x:v>
      </x:c>
      <x:c r="J1200" s="37" t="n">
        <x:v>46167</x:v>
      </x:c>
      <x:c r="K1200" s="19" t="str">
        <x:v>Snowy River Geelong</x:v>
      </x:c>
      <x:c r="L1200" s="19" t="str">
        <x:v>Z006</x:v>
      </x:c>
      <x:c r="M1200" s="19" t="str">
        <x:v>In Field Warranty Claims</x:v>
      </x:c>
      <x:c r="N1200" s="37" t="n">
        <x:v>46156</x:v>
      </x:c>
      <x:c r="O1200" s="37"/>
      <x:c r="P1200" s="34" t="n">
        <x:v>0</x:v>
      </x:c>
      <x:c r="Q1200" s="37" t="n">
        <x:v>46167.04145833333</x:v>
      </x:c>
    </x:row>
    <x:row r="1201">
      <x:c r="A1201" s="22" t="n">
        <x:v>34965</x:v>
      </x:c>
      <x:c r="B1201" s="28" t="n">
        <x:v>222.5</x:v>
      </x:c>
      <x:c r="C1201" s="28"/>
      <x:c r="D1201" s="31" t="str">
        <x:f>IF(OR(ISBLANK(B1201),ISBLANK(C1201),B1201=0),"",(C1201-B1201)/B1201)</x:f>
      </x:c>
      <x:c r="E1201" s="22" t="str">
        <x:f>IF(ISBLANK(C1201),"AmountIncludingTax缺失",IF(ABS(B1201-C1201)&lt;0.005,"一致","不一致"))</x:f>
        <x:v>AmountIncludingTax缺失</x:v>
      </x:c>
      <x:c r="F1201" s="19" t="str">
        <x:v>approved</x:v>
      </x:c>
      <x:c r="G1201" s="19" t="str">
        <x:v>Repair in Progress</x:v>
      </x:c>
      <x:c r="H1201" s="19" t="str">
        <x:v>In Field</x:v>
      </x:c>
      <x:c r="I1201" s="37" t="n">
        <x:v>46157</x:v>
      </x:c>
      <x:c r="J1201" s="37" t="n">
        <x:v>46157</x:v>
      </x:c>
      <x:c r="K1201" s="19" t="str">
        <x:v>Regent RV - Perth</x:v>
      </x:c>
      <x:c r="L1201" s="19" t="str">
        <x:v>Z006</x:v>
      </x:c>
      <x:c r="M1201" s="19" t="str">
        <x:v>In Field Warranty Claims</x:v>
      </x:c>
      <x:c r="N1201" s="37" t="n">
        <x:v>46156</x:v>
      </x:c>
      <x:c r="O1201" s="37"/>
      <x:c r="P1201" s="34" t="n">
        <x:v>0</x:v>
      </x:c>
      <x:c r="Q1201" s="37" t="n">
        <x:v>46157.23355324074</x:v>
      </x:c>
    </x:row>
    <x:row r="1202">
      <x:c r="A1202" s="22" t="n">
        <x:v>34964</x:v>
      </x:c>
      <x:c r="B1202" s="28" t="n">
        <x:v>976</x:v>
      </x:c>
      <x:c r="C1202" s="28" t="n">
        <x:v>883.67</x:v>
      </x:c>
      <x:c r="D1202" s="31" t="n">
        <x:f>IF(OR(ISBLANK(B1202),ISBLANK(C1202),B1202=0),"",(C1202-B1202)/B1202)</x:f>
        <x:v>-0.09460040983606562</x:v>
      </x:c>
      <x:c r="E1202" s="22" t="str">
        <x:f>IF(ISBLANK(C1202),"AmountIncludingTax缺失",IF(ABS(B1202-C1202)&lt;0.005,"一致","不一致"))</x:f>
        <x:v>不一致</x:v>
      </x:c>
      <x:c r="F1202" s="19" t="str">
        <x:v>approved</x:v>
      </x:c>
      <x:c r="G1202" s="19" t="str">
        <x:v>Repair in Progress</x:v>
      </x:c>
      <x:c r="H1202" s="19" t="str">
        <x:v>In Field</x:v>
      </x:c>
      <x:c r="I1202" s="37" t="n">
        <x:v>46197</x:v>
      </x:c>
      <x:c r="J1202" s="37" t="n">
        <x:v>46197</x:v>
      </x:c>
      <x:c r="K1202" s="19" t="str">
        <x:v>CMG Campers - Christchurch</x:v>
      </x:c>
      <x:c r="L1202" s="19" t="str">
        <x:v>Z006</x:v>
      </x:c>
      <x:c r="M1202" s="19" t="str">
        <x:v>In Field Warranty Claims</x:v>
      </x:c>
      <x:c r="N1202" s="37" t="n">
        <x:v>46156</x:v>
      </x:c>
      <x:c r="O1202" s="37"/>
      <x:c r="P1202" s="34" t="n">
        <x:v>883.67</x:v>
      </x:c>
      <x:c r="Q1202" s="37" t="n">
        <x:v>46197.236875</x:v>
      </x:c>
    </x:row>
    <x:row r="1203">
      <x:c r="A1203" s="22" t="n">
        <x:v>34963</x:v>
      </x:c>
      <x:c r="B1203" s="28" t="n">
        <x:v>337.5</x:v>
      </x:c>
      <x:c r="C1203" s="28"/>
      <x:c r="D1203" s="31" t="str">
        <x:f>IF(OR(ISBLANK(B1203),ISBLANK(C1203),B1203=0),"",(C1203-B1203)/B1203)</x:f>
      </x:c>
      <x:c r="E1203" s="22" t="str">
        <x:f>IF(ISBLANK(C1203),"AmountIncludingTax缺失",IF(ABS(B1203-C1203)&lt;0.005,"一致","不一致"))</x:f>
        <x:v>AmountIncludingTax缺失</x:v>
      </x:c>
      <x:c r="F1203" s="19" t="str">
        <x:v>approved</x:v>
      </x:c>
      <x:c r="G1203" s="19" t="str">
        <x:v>Sales Order Approved</x:v>
      </x:c>
      <x:c r="H1203" s="19" t="str">
        <x:v>In Field</x:v>
      </x:c>
      <x:c r="I1203" s="37" t="n">
        <x:v>46182</x:v>
      </x:c>
      <x:c r="J1203" s="37" t="n">
        <x:v>46167</x:v>
      </x:c>
      <x:c r="K1203" s="19" t="str">
        <x:v>ABCO Caravans - Boambee Valley</x:v>
      </x:c>
      <x:c r="L1203" s="19" t="str">
        <x:v>Z006</x:v>
      </x:c>
      <x:c r="M1203" s="19" t="str">
        <x:v>In Field Warranty Claims</x:v>
      </x:c>
      <x:c r="N1203" s="37" t="n">
        <x:v>46156</x:v>
      </x:c>
      <x:c r="O1203" s="37"/>
      <x:c r="P1203" s="34" t="n">
        <x:v>0</x:v>
      </x:c>
      <x:c r="Q1203" s="37" t="n">
        <x:v>46181.94483796296</x:v>
      </x:c>
    </x:row>
    <x:row r="1204">
      <x:c r="A1204" s="22" t="n">
        <x:v>34961</x:v>
      </x:c>
      <x:c r="B1204" s="28" t="n">
        <x:v>371.25</x:v>
      </x:c>
      <x:c r="C1204" s="28"/>
      <x:c r="D1204" s="31" t="str">
        <x:f>IF(OR(ISBLANK(B1204),ISBLANK(C1204),B1204=0),"",(C1204-B1204)/B1204)</x:f>
      </x:c>
      <x:c r="E1204" s="22" t="str">
        <x:f>IF(ISBLANK(C1204),"AmountIncludingTax缺失",IF(ABS(B1204-C1204)&lt;0.005,"一致","不一致"))</x:f>
        <x:v>AmountIncludingTax缺失</x:v>
      </x:c>
      <x:c r="F1204" s="19" t="str">
        <x:v>approved</x:v>
      </x:c>
      <x:c r="G1204" s="19" t="str">
        <x:v>Sales Order Approved</x:v>
      </x:c>
      <x:c r="H1204" s="19" t="str">
        <x:v>In Field</x:v>
      </x:c>
      <x:c r="I1204" s="37" t="n">
        <x:v>46157</x:v>
      </x:c>
      <x:c r="J1204" s="37" t="n">
        <x:v>46157</x:v>
      </x:c>
      <x:c r="K1204" s="19" t="str">
        <x:v>Green RV - Slacks Creek</x:v>
      </x:c>
      <x:c r="L1204" s="19" t="str">
        <x:v>Z006</x:v>
      </x:c>
      <x:c r="M1204" s="19" t="str">
        <x:v>In Field Warranty Claims</x:v>
      </x:c>
      <x:c r="N1204" s="37" t="n">
        <x:v>46156</x:v>
      </x:c>
      <x:c r="O1204" s="37"/>
      <x:c r="P1204" s="34" t="n">
        <x:v>0</x:v>
      </x:c>
      <x:c r="Q1204" s="37" t="n">
        <x:v>46157.10774305555</x:v>
      </x:c>
    </x:row>
    <x:row r="1205">
      <x:c r="A1205" s="22" t="n">
        <x:v>34960</x:v>
      </x:c>
      <x:c r="B1205" s="28" t="n">
        <x:v>415</x:v>
      </x:c>
      <x:c r="C1205" s="28"/>
      <x:c r="D1205" s="31" t="str">
        <x:f>IF(OR(ISBLANK(B1205),ISBLANK(C1205),B1205=0),"",(C1205-B1205)/B1205)</x:f>
      </x:c>
      <x:c r="E1205" s="22" t="str">
        <x:f>IF(ISBLANK(C1205),"AmountIncludingTax缺失",IF(ABS(B1205-C1205)&lt;0.005,"一致","不一致"))</x:f>
        <x:v>AmountIncludingTax缺失</x:v>
      </x:c>
      <x:c r="F1205" s="19" t="str">
        <x:v>approved</x:v>
      </x:c>
      <x:c r="G1205" s="19" t="str">
        <x:v>Repair in Progress</x:v>
      </x:c>
      <x:c r="H1205" s="19" t="str">
        <x:v>In Field</x:v>
      </x:c>
      <x:c r="I1205" s="37" t="n">
        <x:v>46157</x:v>
      </x:c>
      <x:c r="J1205" s="37" t="n">
        <x:v>46157</x:v>
      </x:c>
      <x:c r="K1205" s="19" t="str">
        <x:v>QCCC - Gympie</x:v>
      </x:c>
      <x:c r="L1205" s="19" t="str">
        <x:v>Z006</x:v>
      </x:c>
      <x:c r="M1205" s="19" t="str">
        <x:v>In Field Warranty Claims</x:v>
      </x:c>
      <x:c r="N1205" s="37" t="n">
        <x:v>46156</x:v>
      </x:c>
      <x:c r="O1205" s="37"/>
      <x:c r="P1205" s="34" t="n">
        <x:v>0</x:v>
      </x:c>
      <x:c r="Q1205" s="37" t="n">
        <x:v>46157.12157407407</x:v>
      </x:c>
    </x:row>
    <x:row r="1206">
      <x:c r="A1206" s="22" t="n">
        <x:v>34958</x:v>
      </x:c>
      <x:c r="B1206" s="28" t="n">
        <x:v>1187.5</x:v>
      </x:c>
      <x:c r="C1206" s="28"/>
      <x:c r="D1206" s="31" t="str">
        <x:f>IF(OR(ISBLANK(B1206),ISBLANK(C1206),B1206=0),"",(C1206-B1206)/B1206)</x:f>
      </x:c>
      <x:c r="E1206" s="22" t="str">
        <x:f>IF(ISBLANK(C1206),"AmountIncludingTax缺失",IF(ABS(B1206-C1206)&lt;0.005,"一致","不一致"))</x:f>
        <x:v>AmountIncludingTax缺失</x:v>
      </x:c>
      <x:c r="F1206" s="19" t="str">
        <x:v>approved</x:v>
      </x:c>
      <x:c r="G1206" s="19" t="str">
        <x:v>Repair in Progress</x:v>
      </x:c>
      <x:c r="H1206" s="19" t="str">
        <x:v>In Field</x:v>
      </x:c>
      <x:c r="I1206" s="37" t="n">
        <x:v>46157</x:v>
      </x:c>
      <x:c r="J1206" s="37" t="n">
        <x:v>46157</x:v>
      </x:c>
      <x:c r="K1206" s="19" t="str">
        <x:v>Green RV - Forest Glen</x:v>
      </x:c>
      <x:c r="L1206" s="19" t="str">
        <x:v>Z006</x:v>
      </x:c>
      <x:c r="M1206" s="19" t="str">
        <x:v>In Field Warranty Claims</x:v>
      </x:c>
      <x:c r="N1206" s="37" t="n">
        <x:v>46156</x:v>
      </x:c>
      <x:c r="O1206" s="37"/>
      <x:c r="P1206" s="34" t="n">
        <x:v>0</x:v>
      </x:c>
      <x:c r="Q1206" s="37" t="n">
        <x:v>46157.20309027778</x:v>
      </x:c>
    </x:row>
    <x:row r="1207">
      <x:c r="A1207" s="22" t="n">
        <x:v>34957</x:v>
      </x:c>
      <x:c r="B1207" s="28" t="n">
        <x:v>202.5</x:v>
      </x:c>
      <x:c r="C1207" s="28"/>
      <x:c r="D1207" s="31" t="str">
        <x:f>IF(OR(ISBLANK(B1207),ISBLANK(C1207),B1207=0),"",(C1207-B1207)/B1207)</x:f>
      </x:c>
      <x:c r="E1207" s="22" t="str">
        <x:f>IF(ISBLANK(C1207),"AmountIncludingTax缺失",IF(ABS(B1207-C1207)&lt;0.005,"一致","不一致"))</x:f>
        <x:v>AmountIncludingTax缺失</x:v>
      </x:c>
      <x:c r="F1207" s="19" t="str">
        <x:v>approved</x:v>
      </x:c>
      <x:c r="G1207" s="19" t="str">
        <x:v>Repair in Progress</x:v>
      </x:c>
      <x:c r="H1207" s="19" t="str">
        <x:v>In Field</x:v>
      </x:c>
      <x:c r="I1207" s="37" t="n">
        <x:v>46160</x:v>
      </x:c>
      <x:c r="J1207" s="37" t="n">
        <x:v>46160</x:v>
      </x:c>
      <x:c r="K1207" s="19" t="str">
        <x:v>Dario Caravans -St.Marys</x:v>
      </x:c>
      <x:c r="L1207" s="19" t="str">
        <x:v>Z006</x:v>
      </x:c>
      <x:c r="M1207" s="19" t="str">
        <x:v>In Field Warranty Claims</x:v>
      </x:c>
      <x:c r="N1207" s="37" t="n">
        <x:v>46156</x:v>
      </x:c>
      <x:c r="O1207" s="37"/>
      <x:c r="P1207" s="34" t="n">
        <x:v>0</x:v>
      </x:c>
      <x:c r="Q1207" s="37" t="n">
        <x:v>46160.1406712963</x:v>
      </x:c>
    </x:row>
    <x:row r="1208">
      <x:c r="A1208" s="22" t="n">
        <x:v>34956</x:v>
      </x:c>
      <x:c r="B1208" s="28" t="n">
        <x:v>405</x:v>
      </x:c>
      <x:c r="C1208" s="28"/>
      <x:c r="D1208" s="31" t="str">
        <x:f>IF(OR(ISBLANK(B1208),ISBLANK(C1208),B1208=0),"",(C1208-B1208)/B1208)</x:f>
      </x:c>
      <x:c r="E1208" s="22" t="str">
        <x:f>IF(ISBLANK(C1208),"AmountIncludingTax缺失",IF(ABS(B1208-C1208)&lt;0.005,"一致","不一致"))</x:f>
        <x:v>AmountIncludingTax缺失</x:v>
      </x:c>
      <x:c r="F1208" s="19" t="str">
        <x:v>approved</x:v>
      </x:c>
      <x:c r="G1208" s="19" t="str">
        <x:v>Sales Order Approved</x:v>
      </x:c>
      <x:c r="H1208" s="19" t="str">
        <x:v>Pre Delivery</x:v>
      </x:c>
      <x:c r="I1208" s="37" t="n">
        <x:v>46204</x:v>
      </x:c>
      <x:c r="J1208" s="37" t="n">
        <x:v>46204</x:v>
      </x:c>
      <x:c r="K1208" s="19" t="str">
        <x:v>Green RV - Forest Glen</x:v>
      </x:c>
      <x:c r="L1208" s="19" t="str">
        <x:v>Z005</x:v>
      </x:c>
      <x:c r="M1208" s="19" t="str">
        <x:v>Pre Delivery Warranty Claims</x:v>
      </x:c>
      <x:c r="N1208" s="37" t="n">
        <x:v>46156</x:v>
      </x:c>
      <x:c r="O1208" s="37"/>
      <x:c r="P1208" s="34" t="n">
        <x:v>0</x:v>
      </x:c>
      <x:c r="Q1208" s="37" t="n">
        <x:v>46204.05302083334</x:v>
      </x:c>
    </x:row>
    <x:row r="1209">
      <x:c r="A1209" s="22" t="n">
        <x:v>34955</x:v>
      </x:c>
      <x:c r="B1209" s="28" t="n">
        <x:v>738.75</x:v>
      </x:c>
      <x:c r="C1209" s="28"/>
      <x:c r="D1209" s="31" t="str">
        <x:f>IF(OR(ISBLANK(B1209),ISBLANK(C1209),B1209=0),"",(C1209-B1209)/B1209)</x:f>
      </x:c>
      <x:c r="E1209" s="22" t="str">
        <x:f>IF(ISBLANK(C1209),"AmountIncludingTax缺失",IF(ABS(B1209-C1209)&lt;0.005,"一致","不一致"))</x:f>
        <x:v>AmountIncludingTax缺失</x:v>
      </x:c>
      <x:c r="F1209" s="19" t="str">
        <x:v>approved</x:v>
      </x:c>
      <x:c r="G1209" s="19" t="str">
        <x:v>Partially Picked</x:v>
      </x:c>
      <x:c r="H1209" s="19" t="str">
        <x:v>Pre Delivery</x:v>
      </x:c>
      <x:c r="I1209" s="37" t="n">
        <x:v>46156</x:v>
      </x:c>
      <x:c r="J1209" s="37" t="n">
        <x:v>46156</x:v>
      </x:c>
      <x:c r="K1209" s="19" t="str">
        <x:v>Green RV - Slacks Creek</x:v>
      </x:c>
      <x:c r="L1209" s="19" t="str">
        <x:v>Z005</x:v>
      </x:c>
      <x:c r="M1209" s="19" t="str">
        <x:v>Pre Delivery Warranty Claims</x:v>
      </x:c>
      <x:c r="N1209" s="37" t="n">
        <x:v>46156</x:v>
      </x:c>
      <x:c r="O1209" s="37"/>
      <x:c r="P1209" s="34" t="n">
        <x:v>0</x:v>
      </x:c>
      <x:c r="Q1209" s="37" t="n">
        <x:v>46156.22456018518</x:v>
      </x:c>
    </x:row>
    <x:row r="1210">
      <x:c r="A1210" s="22" t="n">
        <x:v>34952</x:v>
      </x:c>
      <x:c r="B1210" s="28" t="n">
        <x:v>112.5</x:v>
      </x:c>
      <x:c r="C1210" s="28"/>
      <x:c r="D1210" s="31" t="str">
        <x:f>IF(OR(ISBLANK(B1210),ISBLANK(C1210),B1210=0),"",(C1210-B1210)/B1210)</x:f>
      </x:c>
      <x:c r="E1210" s="22" t="str">
        <x:f>IF(ISBLANK(C1210),"AmountIncludingTax缺失",IF(ABS(B1210-C1210)&lt;0.005,"一致","不一致"))</x:f>
        <x:v>AmountIncludingTax缺失</x:v>
      </x:c>
      <x:c r="F1210" s="19" t="str">
        <x:v>approved</x:v>
      </x:c>
      <x:c r="G1210" s="19" t="str">
        <x:v>Repair in Progress</x:v>
      </x:c>
      <x:c r="H1210" s="19" t="str">
        <x:v>In Field</x:v>
      </x:c>
      <x:c r="I1210" s="37" t="n">
        <x:v>46167</x:v>
      </x:c>
      <x:c r="J1210" s="37" t="n">
        <x:v>46167</x:v>
      </x:c>
      <x:c r="K1210" s="19" t="str">
        <x:v>Regent RV - Toowoomba</x:v>
      </x:c>
      <x:c r="L1210" s="19" t="str">
        <x:v>Z006</x:v>
      </x:c>
      <x:c r="M1210" s="19" t="str">
        <x:v>In Field Warranty Claims</x:v>
      </x:c>
      <x:c r="N1210" s="37" t="n">
        <x:v>46156</x:v>
      </x:c>
      <x:c r="O1210" s="37"/>
      <x:c r="P1210" s="34" t="n">
        <x:v>0</x:v>
      </x:c>
      <x:c r="Q1210" s="37" t="n">
        <x:v>46167.16778935185</x:v>
      </x:c>
    </x:row>
    <x:row r="1211">
      <x:c r="A1211" s="22" t="n">
        <x:v>34951</x:v>
      </x:c>
      <x:c r="B1211" s="28" t="n">
        <x:v>1215</x:v>
      </x:c>
      <x:c r="C1211" s="28"/>
      <x:c r="D1211" s="31" t="str">
        <x:f>IF(OR(ISBLANK(B1211),ISBLANK(C1211),B1211=0),"",(C1211-B1211)/B1211)</x:f>
      </x:c>
      <x:c r="E1211" s="22" t="str">
        <x:f>IF(ISBLANK(C1211),"AmountIncludingTax缺失",IF(ABS(B1211-C1211)&lt;0.005,"一致","不一致"))</x:f>
        <x:v>AmountIncludingTax缺失</x:v>
      </x:c>
      <x:c r="F1211" s="19" t="str">
        <x:v>approved</x:v>
      </x:c>
      <x:c r="G1211" s="19" t="str">
        <x:v>Repair in Progress</x:v>
      </x:c>
      <x:c r="H1211" s="19" t="str">
        <x:v>In Field</x:v>
      </x:c>
      <x:c r="I1211" s="37" t="n">
        <x:v>46167</x:v>
      </x:c>
      <x:c r="J1211" s="37" t="n">
        <x:v>46167</x:v>
      </x:c>
      <x:c r="K1211" s="19" t="str">
        <x:v>Regent RV - Frankston</x:v>
      </x:c>
      <x:c r="L1211" s="19" t="str">
        <x:v>Z006</x:v>
      </x:c>
      <x:c r="M1211" s="19" t="str">
        <x:v>In Field Warranty Claims</x:v>
      </x:c>
      <x:c r="N1211" s="37" t="n">
        <x:v>46156</x:v>
      </x:c>
      <x:c r="O1211" s="37"/>
      <x:c r="P1211" s="34" t="n">
        <x:v>0</x:v>
      </x:c>
      <x:c r="Q1211" s="37" t="n">
        <x:v>46167.02887731481</x:v>
      </x:c>
    </x:row>
    <x:row r="1212">
      <x:c r="A1212" s="22" t="n">
        <x:v>34939</x:v>
      </x:c>
      <x:c r="B1212" s="28" t="n">
        <x:v>135</x:v>
      </x:c>
      <x:c r="C1212" s="28"/>
      <x:c r="D1212" s="31" t="str">
        <x:f>IF(OR(ISBLANK(B1212),ISBLANK(C1212),B1212=0),"",(C1212-B1212)/B1212)</x:f>
      </x:c>
      <x:c r="E1212" s="22" t="str">
        <x:f>IF(ISBLANK(C1212),"AmountIncludingTax缺失",IF(ABS(B1212-C1212)&lt;0.005,"一致","不一致"))</x:f>
        <x:v>AmountIncludingTax缺失</x:v>
      </x:c>
      <x:c r="F1212" s="19" t="str">
        <x:v>approved</x:v>
      </x:c>
      <x:c r="G1212" s="19" t="str">
        <x:v>Repair in Progress</x:v>
      </x:c>
      <x:c r="H1212" s="19" t="str">
        <x:v>In Field</x:v>
      </x:c>
      <x:c r="I1212" s="37" t="n">
        <x:v>46160</x:v>
      </x:c>
      <x:c r="J1212" s="37" t="n">
        <x:v>46160</x:v>
      </x:c>
      <x:c r="K1212" s="19" t="str">
        <x:v>Great Ocean Road RV &amp; Caravans - Warrnambool</x:v>
      </x:c>
      <x:c r="L1212" s="19" t="str">
        <x:v>Z006</x:v>
      </x:c>
      <x:c r="M1212" s="19" t="str">
        <x:v>In Field Warranty Claims</x:v>
      </x:c>
      <x:c r="N1212" s="37" t="n">
        <x:v>46156</x:v>
      </x:c>
      <x:c r="O1212" s="37"/>
      <x:c r="P1212" s="34" t="n">
        <x:v>0</x:v>
      </x:c>
      <x:c r="Q1212" s="37" t="n">
        <x:v>46160.12483796296</x:v>
      </x:c>
    </x:row>
    <x:row r="1213">
      <x:c r="A1213" s="22" t="n">
        <x:v>34938</x:v>
      </x:c>
      <x:c r="B1213" s="28" t="n">
        <x:v>585.5</x:v>
      </x:c>
      <x:c r="C1213" s="28" t="n">
        <x:v>644.05</x:v>
      </x:c>
      <x:c r="D1213" s="31" t="n">
        <x:f>IF(OR(ISBLANK(B1213),ISBLANK(C1213),B1213=0),"",(C1213-B1213)/B1213)</x:f>
        <x:v>0.09999999999999992</x:v>
      </x:c>
      <x:c r="E1213" s="22" t="str">
        <x:f>IF(ISBLANK(C1213),"AmountIncludingTax缺失",IF(ABS(B1213-C1213)&lt;0.005,"一致","不一致"))</x:f>
        <x:v>不一致</x:v>
      </x:c>
      <x:c r="F1213" s="19" t="str">
        <x:v>approved</x:v>
      </x:c>
      <x:c r="G1213" s="19" t="str">
        <x:v>Repairer Invoiced Processed</x:v>
      </x:c>
      <x:c r="H1213" s="19" t="str">
        <x:v>Pre Delivery</x:v>
      </x:c>
      <x:c r="I1213" s="37" t="n">
        <x:v>46209</x:v>
      </x:c>
      <x:c r="J1213" s="37" t="n">
        <x:v>46209</x:v>
      </x:c>
      <x:c r="K1213" s="19" t="str">
        <x:v>Lesiure Lion-New Castle</x:v>
      </x:c>
      <x:c r="L1213" s="19" t="str">
        <x:v>Z005</x:v>
      </x:c>
      <x:c r="M1213" s="19" t="str">
        <x:v>Pre Delivery Warranty Claims</x:v>
      </x:c>
      <x:c r="N1213" s="37" t="n">
        <x:v>46156</x:v>
      </x:c>
      <x:c r="O1213" s="37"/>
      <x:c r="P1213" s="34" t="n">
        <x:v>644.05</x:v>
      </x:c>
      <x:c r="Q1213" s="37" t="n">
        <x:v>46209.22146990741</x:v>
      </x:c>
    </x:row>
    <x:row r="1214">
      <x:c r="A1214" s="22" t="n">
        <x:v>34937</x:v>
      </x:c>
      <x:c r="B1214" s="28" t="n">
        <x:v>3068.18</x:v>
      </x:c>
      <x:c r="C1214" s="28"/>
      <x:c r="D1214" s="31" t="str">
        <x:f>IF(OR(ISBLANK(B1214),ISBLANK(C1214),B1214=0),"",(C1214-B1214)/B1214)</x:f>
      </x:c>
      <x:c r="E1214" s="22" t="str">
        <x:f>IF(ISBLANK(C1214),"AmountIncludingTax缺失",IF(ABS(B1214-C1214)&lt;0.005,"一致","不一致"))</x:f>
        <x:v>AmountIncludingTax缺失</x:v>
      </x:c>
      <x:c r="F1214" s="19" t="str">
        <x:v>approved</x:v>
      </x:c>
      <x:c r="G1214" s="19" t="str">
        <x:v>Repairer Invoiced Processed</x:v>
      </x:c>
      <x:c r="H1214" s="19" t="str">
        <x:v>In Field</x:v>
      </x:c>
      <x:c r="I1214" s="37" t="n">
        <x:v>46160</x:v>
      </x:c>
      <x:c r="J1214" s="37" t="n">
        <x:v>46160</x:v>
      </x:c>
      <x:c r="K1214" s="19" t="str">
        <x:v>Dario Caravans -St.Marys</x:v>
      </x:c>
      <x:c r="L1214" s="19" t="str">
        <x:v>Z006</x:v>
      </x:c>
      <x:c r="M1214" s="19" t="str">
        <x:v>In Field Warranty Claims</x:v>
      </x:c>
      <x:c r="N1214" s="37" t="n">
        <x:v>46156</x:v>
      </x:c>
      <x:c r="O1214" s="37"/>
      <x:c r="P1214" s="34" t="n">
        <x:v>3375</x:v>
      </x:c>
      <x:c r="Q1214" s="37" t="n">
        <x:v>46160.21978009259</x:v>
      </x:c>
    </x:row>
    <x:row r="1215">
      <x:c r="A1215" s="22" t="n">
        <x:v>34936</x:v>
      </x:c>
      <x:c r="B1215" s="28" t="n">
        <x:v>500.54</x:v>
      </x:c>
      <x:c r="C1215" s="28" t="n">
        <x:v>550.59</x:v>
      </x:c>
      <x:c r="D1215" s="31" t="n">
        <x:f>IF(OR(ISBLANK(B1215),ISBLANK(C1215),B1215=0),"",(C1215-B1215)/B1215)</x:f>
        <x:v>0.09999200863067889</x:v>
      </x:c>
      <x:c r="E1215" s="22" t="str">
        <x:f>IF(ISBLANK(C1215),"AmountIncludingTax缺失",IF(ABS(B1215-C1215)&lt;0.005,"一致","不一致"))</x:f>
        <x:v>不一致</x:v>
      </x:c>
      <x:c r="F1215" s="19" t="str">
        <x:v>approved</x:v>
      </x:c>
      <x:c r="G1215" s="19" t="str">
        <x:v>Repair in Progress</x:v>
      </x:c>
      <x:c r="H1215" s="19" t="str">
        <x:v>In Field</x:v>
      </x:c>
      <x:c r="I1215" s="37" t="n">
        <x:v>46156</x:v>
      </x:c>
      <x:c r="J1215" s="37" t="n">
        <x:v>46156</x:v>
      </x:c>
      <x:c r="K1215" s="19" t="str">
        <x:v>Regent RV - Perth</x:v>
      </x:c>
      <x:c r="L1215" s="19" t="str">
        <x:v>Z006</x:v>
      </x:c>
      <x:c r="M1215" s="19" t="str">
        <x:v>In Field Warranty Claims</x:v>
      </x:c>
      <x:c r="N1215" s="37" t="n">
        <x:v>46156</x:v>
      </x:c>
      <x:c r="O1215" s="37"/>
      <x:c r="P1215" s="34" t="n">
        <x:v>550.59</x:v>
      </x:c>
      <x:c r="Q1215" s="37" t="n">
        <x:v>46156.13034722222</x:v>
      </x:c>
    </x:row>
    <x:row r="1216">
      <x:c r="A1216" s="22" t="n">
        <x:v>34935</x:v>
      </x:c>
      <x:c r="B1216" s="28" t="n">
        <x:v>67.5</x:v>
      </x:c>
      <x:c r="C1216" s="28"/>
      <x:c r="D1216" s="31" t="str">
        <x:f>IF(OR(ISBLANK(B1216),ISBLANK(C1216),B1216=0),"",(C1216-B1216)/B1216)</x:f>
      </x:c>
      <x:c r="E1216" s="22" t="str">
        <x:f>IF(ISBLANK(C1216),"AmountIncludingTax缺失",IF(ABS(B1216-C1216)&lt;0.005,"一致","不一致"))</x:f>
        <x:v>AmountIncludingTax缺失</x:v>
      </x:c>
      <x:c r="F1216" s="19" t="str">
        <x:v>approved</x:v>
      </x:c>
      <x:c r="G1216" s="19" t="str">
        <x:v>Repair in Progress</x:v>
      </x:c>
      <x:c r="H1216" s="19" t="str">
        <x:v>In Field</x:v>
      </x:c>
      <x:c r="I1216" s="37" t="n">
        <x:v>46167</x:v>
      </x:c>
      <x:c r="J1216" s="37" t="n">
        <x:v>46167</x:v>
      </x:c>
      <x:c r="K1216" s="19" t="str">
        <x:v>Regent RV - Frankston</x:v>
      </x:c>
      <x:c r="L1216" s="19" t="str">
        <x:v>Z006</x:v>
      </x:c>
      <x:c r="M1216" s="19" t="str">
        <x:v>In Field Warranty Claims</x:v>
      </x:c>
      <x:c r="N1216" s="37" t="n">
        <x:v>46156</x:v>
      </x:c>
      <x:c r="O1216" s="37"/>
      <x:c r="P1216" s="34" t="n">
        <x:v>0</x:v>
      </x:c>
      <x:c r="Q1216" s="37" t="n">
        <x:v>46167.141689814816</x:v>
      </x:c>
    </x:row>
    <x:row r="1217">
      <x:c r="A1217" s="22" t="n">
        <x:v>34934</x:v>
      </x:c>
      <x:c r="B1217" s="28" t="n">
        <x:v>468.75</x:v>
      </x:c>
      <x:c r="C1217" s="28"/>
      <x:c r="D1217" s="31" t="str">
        <x:f>IF(OR(ISBLANK(B1217),ISBLANK(C1217),B1217=0),"",(C1217-B1217)/B1217)</x:f>
      </x:c>
      <x:c r="E1217" s="22" t="str">
        <x:f>IF(ISBLANK(C1217),"AmountIncludingTax缺失",IF(ABS(B1217-C1217)&lt;0.005,"一致","不一致"))</x:f>
        <x:v>AmountIncludingTax缺失</x:v>
      </x:c>
      <x:c r="F1217" s="19" t="str">
        <x:v>approved</x:v>
      </x:c>
      <x:c r="G1217" s="19" t="str">
        <x:v>Repair in Progress</x:v>
      </x:c>
      <x:c r="H1217" s="19" t="str">
        <x:v>In Field</x:v>
      </x:c>
      <x:c r="I1217" s="37" t="n">
        <x:v>46167</x:v>
      </x:c>
      <x:c r="J1217" s="37" t="n">
        <x:v>46167</x:v>
      </x:c>
      <x:c r="K1217" s="19" t="str">
        <x:v>Snowy River Wangaratta</x:v>
      </x:c>
      <x:c r="L1217" s="19" t="str">
        <x:v>Z006</x:v>
      </x:c>
      <x:c r="M1217" s="19" t="str">
        <x:v>In Field Warranty Claims</x:v>
      </x:c>
      <x:c r="N1217" s="37" t="n">
        <x:v>46156</x:v>
      </x:c>
      <x:c r="O1217" s="37"/>
      <x:c r="P1217" s="34" t="n">
        <x:v>0</x:v>
      </x:c>
      <x:c r="Q1217" s="37" t="n">
        <x:v>46167.14744212963</x:v>
      </x:c>
    </x:row>
    <x:row r="1218">
      <x:c r="A1218" s="22" t="n">
        <x:v>34932</x:v>
      </x:c>
      <x:c r="B1218" s="28" t="n">
        <x:v>337.5</x:v>
      </x:c>
      <x:c r="C1218" s="28"/>
      <x:c r="D1218" s="31" t="str">
        <x:f>IF(OR(ISBLANK(B1218),ISBLANK(C1218),B1218=0),"",(C1218-B1218)/B1218)</x:f>
      </x:c>
      <x:c r="E1218" s="22" t="str">
        <x:f>IF(ISBLANK(C1218),"AmountIncludingTax缺失",IF(ABS(B1218-C1218)&lt;0.005,"一致","不一致"))</x:f>
        <x:v>AmountIncludingTax缺失</x:v>
      </x:c>
      <x:c r="F1218" s="19" t="str">
        <x:v>approved</x:v>
      </x:c>
      <x:c r="G1218" s="19" t="str">
        <x:v>Repair in Progress</x:v>
      </x:c>
      <x:c r="H1218" s="19" t="str">
        <x:v>In Field</x:v>
      </x:c>
      <x:c r="I1218" s="37" t="n">
        <x:v>46169</x:v>
      </x:c>
      <x:c r="J1218" s="37" t="n">
        <x:v>46169</x:v>
      </x:c>
      <x:c r="K1218" s="19" t="str">
        <x:v>Regent RV - Perth</x:v>
      </x:c>
      <x:c r="L1218" s="19" t="str">
        <x:v>Z006</x:v>
      </x:c>
      <x:c r="M1218" s="19" t="str">
        <x:v>In Field Warranty Claims</x:v>
      </x:c>
      <x:c r="N1218" s="37" t="n">
        <x:v>46155</x:v>
      </x:c>
      <x:c r="O1218" s="37"/>
      <x:c r="P1218" s="34" t="n">
        <x:v>0</x:v>
      </x:c>
      <x:c r="Q1218" s="37" t="n">
        <x:v>46169.156851851854</x:v>
      </x:c>
    </x:row>
    <x:row r="1219">
      <x:c r="A1219" s="22" t="n">
        <x:v>34930</x:v>
      </x:c>
      <x:c r="B1219" s="28" t="n">
        <x:v>715</x:v>
      </x:c>
      <x:c r="C1219" s="28"/>
      <x:c r="D1219" s="31" t="str">
        <x:f>IF(OR(ISBLANK(B1219),ISBLANK(C1219),B1219=0),"",(C1219-B1219)/B1219)</x:f>
      </x:c>
      <x:c r="E1219" s="22" t="str">
        <x:f>IF(ISBLANK(C1219),"AmountIncludingTax缺失",IF(ABS(B1219-C1219)&lt;0.005,"一致","不一致"))</x:f>
        <x:v>AmountIncludingTax缺失</x:v>
      </x:c>
      <x:c r="F1219" s="19" t="str">
        <x:v>approved</x:v>
      </x:c>
      <x:c r="G1219" s="19" t="str">
        <x:v>Repairer Invoiced Processed</x:v>
      </x:c>
      <x:c r="H1219" s="19" t="str">
        <x:v>In Field</x:v>
      </x:c>
      <x:c r="I1219" s="37" t="n">
        <x:v>46167</x:v>
      </x:c>
      <x:c r="J1219" s="37" t="n">
        <x:v>46167</x:v>
      </x:c>
      <x:c r="K1219" s="19" t="str">
        <x:v>Green RV - Forest Glen</x:v>
      </x:c>
      <x:c r="L1219" s="19" t="str">
        <x:v>Z006</x:v>
      </x:c>
      <x:c r="M1219" s="19" t="str">
        <x:v>In Field Warranty Claims</x:v>
      </x:c>
      <x:c r="N1219" s="37" t="n">
        <x:v>46156</x:v>
      </x:c>
      <x:c r="O1219" s="37"/>
      <x:c r="P1219" s="34" t="n">
        <x:v>0</x:v>
      </x:c>
      <x:c r="Q1219" s="37" t="n">
        <x:v>46166.88710648148</x:v>
      </x:c>
    </x:row>
    <x:row r="1220">
      <x:c r="A1220" s="22" t="n">
        <x:v>34929</x:v>
      </x:c>
      <x:c r="B1220" s="28" t="n">
        <x:v>300.01</x:v>
      </x:c>
      <x:c r="C1220" s="28"/>
      <x:c r="D1220" s="31" t="str">
        <x:f>IF(OR(ISBLANK(B1220),ISBLANK(C1220),B1220=0),"",(C1220-B1220)/B1220)</x:f>
      </x:c>
      <x:c r="E1220" s="22" t="str">
        <x:f>IF(ISBLANK(C1220),"AmountIncludingTax缺失",IF(ABS(B1220-C1220)&lt;0.005,"一致","不一致"))</x:f>
        <x:v>AmountIncludingTax缺失</x:v>
      </x:c>
      <x:c r="F1220" s="19" t="str">
        <x:v>approved</x:v>
      </x:c>
      <x:c r="G1220" s="19" t="str">
        <x:v>Repair in Progress</x:v>
      </x:c>
      <x:c r="H1220" s="19" t="str">
        <x:v>In Field</x:v>
      </x:c>
      <x:c r="I1220" s="37" t="n">
        <x:v>46170</x:v>
      </x:c>
      <x:c r="J1220" s="37" t="n">
        <x:v>46170</x:v>
      </x:c>
      <x:c r="K1220" s="19" t="str">
        <x:v>The Caravan Hub - Townsville</x:v>
      </x:c>
      <x:c r="L1220" s="19" t="str">
        <x:v>Z006</x:v>
      </x:c>
      <x:c r="M1220" s="19" t="str">
        <x:v>In Field Warranty Claims</x:v>
      </x:c>
      <x:c r="N1220" s="37" t="n">
        <x:v>46156</x:v>
      </x:c>
      <x:c r="O1220" s="37"/>
      <x:c r="P1220" s="34" t="n">
        <x:v>0</x:v>
      </x:c>
      <x:c r="Q1220" s="37" t="n">
        <x:v>46170.07188657407</x:v>
      </x:c>
    </x:row>
    <x:row r="1221">
      <x:c r="A1221" s="22" t="n">
        <x:v>34928</x:v>
      </x:c>
      <x:c r="B1221" s="28" t="n">
        <x:v>580</x:v>
      </x:c>
      <x:c r="C1221" s="28"/>
      <x:c r="D1221" s="31" t="str">
        <x:f>IF(OR(ISBLANK(B1221),ISBLANK(C1221),B1221=0),"",(C1221-B1221)/B1221)</x:f>
      </x:c>
      <x:c r="E1221" s="22" t="str">
        <x:f>IF(ISBLANK(C1221),"AmountIncludingTax缺失",IF(ABS(B1221-C1221)&lt;0.005,"一致","不一致"))</x:f>
        <x:v>AmountIncludingTax缺失</x:v>
      </x:c>
      <x:c r="F1221" s="19" t="str">
        <x:v>approved</x:v>
      </x:c>
      <x:c r="G1221" s="19" t="str">
        <x:v>Repairer Invoiced Processed</x:v>
      </x:c>
      <x:c r="H1221" s="19" t="str">
        <x:v>In Field</x:v>
      </x:c>
      <x:c r="I1221" s="37" t="n">
        <x:v>46170</x:v>
      </x:c>
      <x:c r="J1221" s="37" t="n">
        <x:v>46170</x:v>
      </x:c>
      <x:c r="K1221" s="19" t="str">
        <x:v>Regent RV - Toowoomba</x:v>
      </x:c>
      <x:c r="L1221" s="19" t="str">
        <x:v>Z006</x:v>
      </x:c>
      <x:c r="M1221" s="19" t="str">
        <x:v>In Field Warranty Claims</x:v>
      </x:c>
      <x:c r="N1221" s="37" t="n">
        <x:v>46156</x:v>
      </x:c>
      <x:c r="O1221" s="37"/>
      <x:c r="P1221" s="34" t="n">
        <x:v>0</x:v>
      </x:c>
      <x:c r="Q1221" s="37" t="n">
        <x:v>46169.883125</x:v>
      </x:c>
    </x:row>
    <x:row r="1222">
      <x:c r="A1222" s="22" t="n">
        <x:v>34927</x:v>
      </x:c>
      <x:c r="B1222" s="28" t="n">
        <x:v>663.65</x:v>
      </x:c>
      <x:c r="C1222" s="28" t="n">
        <x:v>730.02</x:v>
      </x:c>
      <x:c r="D1222" s="31" t="n">
        <x:f>IF(OR(ISBLANK(B1222),ISBLANK(C1222),B1222=0),"",(C1222-B1222)/B1222)</x:f>
        <x:v>0.10000753409176524</x:v>
      </x:c>
      <x:c r="E1222" s="22" t="str">
        <x:f>IF(ISBLANK(C1222),"AmountIncludingTax缺失",IF(ABS(B1222-C1222)&lt;0.005,"一致","不一致"))</x:f>
        <x:v>不一致</x:v>
      </x:c>
      <x:c r="F1222" s="19" t="str">
        <x:v>approved</x:v>
      </x:c>
      <x:c r="G1222" s="19" t="str">
        <x:v>Repairer Invoiced Processed</x:v>
      </x:c>
      <x:c r="H1222" s="19" t="str">
        <x:v>Pre Delivery</x:v>
      </x:c>
      <x:c r="I1222" s="37" t="n">
        <x:v>46156</x:v>
      </x:c>
      <x:c r="J1222" s="37" t="n">
        <x:v>46156</x:v>
      </x:c>
      <x:c r="K1222" s="19" t="str">
        <x:v>Green RV - Slacks Creek</x:v>
      </x:c>
      <x:c r="L1222" s="19" t="str">
        <x:v>Z005</x:v>
      </x:c>
      <x:c r="M1222" s="19" t="str">
        <x:v>Pre Delivery Warranty Claims</x:v>
      </x:c>
      <x:c r="N1222" s="37" t="n">
        <x:v>46156</x:v>
      </x:c>
      <x:c r="O1222" s="37"/>
      <x:c r="P1222" s="34" t="n">
        <x:v>730.02</x:v>
      </x:c>
      <x:c r="Q1222" s="37" t="n">
        <x:v>46156.1709837963</x:v>
      </x:c>
    </x:row>
    <x:row r="1223">
      <x:c r="A1223" s="22" t="n">
        <x:v>34926</x:v>
      </x:c>
      <x:c r="B1223" s="28" t="n">
        <x:v>1211.25</x:v>
      </x:c>
      <x:c r="C1223" s="28"/>
      <x:c r="D1223" s="31" t="str">
        <x:f>IF(OR(ISBLANK(B1223),ISBLANK(C1223),B1223=0),"",(C1223-B1223)/B1223)</x:f>
      </x:c>
      <x:c r="E1223" s="22" t="str">
        <x:f>IF(ISBLANK(C1223),"AmountIncludingTax缺失",IF(ABS(B1223-C1223)&lt;0.005,"一致","不一致"))</x:f>
        <x:v>AmountIncludingTax缺失</x:v>
      </x:c>
      <x:c r="F1223" s="19" t="str">
        <x:v>approved</x:v>
      </x:c>
      <x:c r="G1223" s="19" t="str">
        <x:v>Repairer Invoiced Processed</x:v>
      </x:c>
      <x:c r="H1223" s="19" t="str">
        <x:v>Pre Delivery</x:v>
      </x:c>
      <x:c r="I1223" s="37" t="n">
        <x:v>46160</x:v>
      </x:c>
      <x:c r="J1223" s="37" t="n">
        <x:v>46160</x:v>
      </x:c>
      <x:c r="K1223" s="19" t="str">
        <x:v>Lesiure Lion-New Castle</x:v>
      </x:c>
      <x:c r="L1223" s="19" t="str">
        <x:v>Z005</x:v>
      </x:c>
      <x:c r="M1223" s="19" t="str">
        <x:v>Pre Delivery Warranty Claims</x:v>
      </x:c>
      <x:c r="N1223" s="37" t="n">
        <x:v>46156</x:v>
      </x:c>
      <x:c r="O1223" s="37"/>
      <x:c r="P1223" s="34" t="n">
        <x:v>0</x:v>
      </x:c>
      <x:c r="Q1223" s="37" t="n">
        <x:v>46160.019479166665</x:v>
      </x:c>
    </x:row>
    <x:row r="1224">
      <x:c r="A1224" s="22" t="n">
        <x:v>34925</x:v>
      </x:c>
      <x:c r="B1224" s="28" t="n">
        <x:v>1477.5</x:v>
      </x:c>
      <x:c r="C1224" s="28"/>
      <x:c r="D1224" s="31" t="str">
        <x:f>IF(OR(ISBLANK(B1224),ISBLANK(C1224),B1224=0),"",(C1224-B1224)/B1224)</x:f>
      </x:c>
      <x:c r="E1224" s="22" t="str">
        <x:f>IF(ISBLANK(C1224),"AmountIncludingTax缺失",IF(ABS(B1224-C1224)&lt;0.005,"一致","不一致"))</x:f>
        <x:v>AmountIncludingTax缺失</x:v>
      </x:c>
      <x:c r="F1224" s="19" t="str">
        <x:v>approved</x:v>
      </x:c>
      <x:c r="G1224" s="19" t="str">
        <x:v>Repair in Progress</x:v>
      </x:c>
      <x:c r="H1224" s="19" t="str">
        <x:v>In Field</x:v>
      </x:c>
      <x:c r="I1224" s="37" t="n">
        <x:v>46156</x:v>
      </x:c>
      <x:c r="J1224" s="37" t="n">
        <x:v>46156</x:v>
      </x:c>
      <x:c r="K1224" s="19" t="str">
        <x:v>Green RV - Slacks Creek</x:v>
      </x:c>
      <x:c r="L1224" s="19" t="str">
        <x:v>Z006</x:v>
      </x:c>
      <x:c r="M1224" s="19" t="str">
        <x:v>In Field Warranty Claims</x:v>
      </x:c>
      <x:c r="N1224" s="37" t="n">
        <x:v>46155</x:v>
      </x:c>
      <x:c r="O1224" s="37"/>
      <x:c r="P1224" s="34" t="n">
        <x:v>0</x:v>
      </x:c>
      <x:c r="Q1224" s="37" t="n">
        <x:v>46156.09912037037</x:v>
      </x:c>
    </x:row>
    <x:row r="1225">
      <x:c r="A1225" s="22" t="n">
        <x:v>34924</x:v>
      </x:c>
      <x:c r="B1225" s="28" t="n">
        <x:v>1365.5</x:v>
      </x:c>
      <x:c r="C1225" s="28"/>
      <x:c r="D1225" s="31" t="str">
        <x:f>IF(OR(ISBLANK(B1225),ISBLANK(C1225),B1225=0),"",(C1225-B1225)/B1225)</x:f>
      </x:c>
      <x:c r="E1225" s="22" t="str">
        <x:f>IF(ISBLANK(C1225),"AmountIncludingTax缺失",IF(ABS(B1225-C1225)&lt;0.005,"一致","不一致"))</x:f>
        <x:v>AmountIncludingTax缺失</x:v>
      </x:c>
      <x:c r="F1225" s="19" t="str">
        <x:v>approved</x:v>
      </x:c>
      <x:c r="G1225" s="19" t="str">
        <x:v>Repair in Progress</x:v>
      </x:c>
      <x:c r="H1225" s="19" t="str">
        <x:v>In Field</x:v>
      </x:c>
      <x:c r="I1225" s="37" t="n">
        <x:v>46156</x:v>
      </x:c>
      <x:c r="J1225" s="37" t="n">
        <x:v>46156</x:v>
      </x:c>
      <x:c r="K1225" s="19" t="str">
        <x:v>Regent RV - Perth</x:v>
      </x:c>
      <x:c r="L1225" s="19" t="str">
        <x:v>Z006</x:v>
      </x:c>
      <x:c r="M1225" s="19" t="str">
        <x:v>In Field Warranty Claims</x:v>
      </x:c>
      <x:c r="N1225" s="37" t="n">
        <x:v>46155</x:v>
      </x:c>
      <x:c r="O1225" s="37"/>
      <x:c r="P1225" s="34" t="n">
        <x:v>1502.05</x:v>
      </x:c>
      <x:c r="Q1225" s="37" t="n">
        <x:v>46156.0862037037</x:v>
      </x:c>
    </x:row>
    <x:row r="1226">
      <x:c r="A1226" s="22" t="n">
        <x:v>34923</x:v>
      </x:c>
      <x:c r="B1226" s="28" t="n">
        <x:v>67.5</x:v>
      </x:c>
      <x:c r="C1226" s="28"/>
      <x:c r="D1226" s="31" t="str">
        <x:f>IF(OR(ISBLANK(B1226),ISBLANK(C1226),B1226=0),"",(C1226-B1226)/B1226)</x:f>
      </x:c>
      <x:c r="E1226" s="22" t="str">
        <x:f>IF(ISBLANK(C1226),"AmountIncludingTax缺失",IF(ABS(B1226-C1226)&lt;0.005,"一致","不一致"))</x:f>
        <x:v>AmountIncludingTax缺失</x:v>
      </x:c>
      <x:c r="F1226" s="19" t="str">
        <x:v>approved</x:v>
      </x:c>
      <x:c r="G1226" s="19" t="str">
        <x:v>Repairer Invoiced Processed</x:v>
      </x:c>
      <x:c r="H1226" s="19" t="str">
        <x:v>In Field</x:v>
      </x:c>
      <x:c r="I1226" s="37" t="n">
        <x:v>46156</x:v>
      </x:c>
      <x:c r="J1226" s="37" t="n">
        <x:v>46156</x:v>
      </x:c>
      <x:c r="K1226" s="19" t="str">
        <x:v>Newcastle RV Super Centre - Beresfield</x:v>
      </x:c>
      <x:c r="L1226" s="19" t="str">
        <x:v>Z006</x:v>
      </x:c>
      <x:c r="M1226" s="19" t="str">
        <x:v>In Field Warranty Claims</x:v>
      </x:c>
      <x:c r="N1226" s="37" t="n">
        <x:v>46155</x:v>
      </x:c>
      <x:c r="O1226" s="37"/>
      <x:c r="P1226" s="34" t="n">
        <x:v>0</x:v>
      </x:c>
      <x:c r="Q1226" s="37" t="n">
        <x:v>46156.09769675926</x:v>
      </x:c>
    </x:row>
    <x:row r="1227">
      <x:c r="A1227" s="22" t="n">
        <x:v>34920</x:v>
      </x:c>
      <x:c r="B1227" s="28" t="n">
        <x:v>580</x:v>
      </x:c>
      <x:c r="C1227" s="28"/>
      <x:c r="D1227" s="31" t="str">
        <x:f>IF(OR(ISBLANK(B1227),ISBLANK(C1227),B1227=0),"",(C1227-B1227)/B1227)</x:f>
      </x:c>
      <x:c r="E1227" s="22" t="str">
        <x:f>IF(ISBLANK(C1227),"AmountIncludingTax缺失",IF(ABS(B1227-C1227)&lt;0.005,"一致","不一致"))</x:f>
        <x:v>AmountIncludingTax缺失</x:v>
      </x:c>
      <x:c r="F1227" s="19" t="str">
        <x:v>approved</x:v>
      </x:c>
      <x:c r="G1227" s="19" t="str">
        <x:v>Repair in Progress</x:v>
      </x:c>
      <x:c r="H1227" s="19" t="str">
        <x:v>In Field</x:v>
      </x:c>
      <x:c r="I1227" s="37" t="n">
        <x:v>46156</x:v>
      </x:c>
      <x:c r="J1227" s="37" t="n">
        <x:v>46156</x:v>
      </x:c>
      <x:c r="K1227" s="19" t="str">
        <x:v>Regent RV - Perth</x:v>
      </x:c>
      <x:c r="L1227" s="19" t="str">
        <x:v>Z006</x:v>
      </x:c>
      <x:c r="M1227" s="19" t="str">
        <x:v>In Field Warranty Claims</x:v>
      </x:c>
      <x:c r="N1227" s="37" t="n">
        <x:v>46155</x:v>
      </x:c>
      <x:c r="O1227" s="37"/>
      <x:c r="P1227" s="34" t="n">
        <x:v>0</x:v>
      </x:c>
      <x:c r="Q1227" s="37" t="n">
        <x:v>46156.09846064815</x:v>
      </x:c>
    </x:row>
    <x:row r="1228">
      <x:c r="A1228" s="22" t="n">
        <x:v>34919</x:v>
      </x:c>
      <x:c r="B1228" s="28" t="n">
        <x:v>1077.82</x:v>
      </x:c>
      <x:c r="C1228" s="28"/>
      <x:c r="D1228" s="31" t="str">
        <x:f>IF(OR(ISBLANK(B1228),ISBLANK(C1228),B1228=0),"",(C1228-B1228)/B1228)</x:f>
      </x:c>
      <x:c r="E1228" s="22" t="str">
        <x:f>IF(ISBLANK(C1228),"AmountIncludingTax缺失",IF(ABS(B1228-C1228)&lt;0.005,"一致","不一致"))</x:f>
        <x:v>AmountIncludingTax缺失</x:v>
      </x:c>
      <x:c r="F1228" s="19" t="str">
        <x:v>approved</x:v>
      </x:c>
      <x:c r="G1228" s="19" t="str">
        <x:v>Repairer Invoiced Processed</x:v>
      </x:c>
      <x:c r="H1228" s="19" t="str">
        <x:v>In Field</x:v>
      </x:c>
      <x:c r="I1228" s="37" t="n">
        <x:v>46174</x:v>
      </x:c>
      <x:c r="J1228" s="37" t="n">
        <x:v>46174</x:v>
      </x:c>
      <x:c r="K1228" s="19" t="str">
        <x:v>QCCC - Gympie</x:v>
      </x:c>
      <x:c r="L1228" s="19" t="str">
        <x:v>Z006</x:v>
      </x:c>
      <x:c r="M1228" s="19" t="str">
        <x:v>In Field Warranty Claims</x:v>
      </x:c>
      <x:c r="N1228" s="37" t="n">
        <x:v>46155</x:v>
      </x:c>
      <x:c r="O1228" s="37"/>
      <x:c r="P1228" s="34" t="n">
        <x:v>1185.6</x:v>
      </x:c>
      <x:c r="Q1228" s="37" t="n">
        <x:v>46174.064791666664</x:v>
      </x:c>
    </x:row>
    <x:row r="1229">
      <x:c r="A1229" s="22" t="n">
        <x:v>34918</x:v>
      </x:c>
      <x:c r="B1229" s="28" t="n">
        <x:v>540</x:v>
      </x:c>
      <x:c r="C1229" s="28"/>
      <x:c r="D1229" s="31" t="str">
        <x:f>IF(OR(ISBLANK(B1229),ISBLANK(C1229),B1229=0),"",(C1229-B1229)/B1229)</x:f>
      </x:c>
      <x:c r="E1229" s="22" t="str">
        <x:f>IF(ISBLANK(C1229),"AmountIncludingTax缺失",IF(ABS(B1229-C1229)&lt;0.005,"一致","不一致"))</x:f>
        <x:v>AmountIncludingTax缺失</x:v>
      </x:c>
      <x:c r="F1229" s="19" t="str">
        <x:v>approved</x:v>
      </x:c>
      <x:c r="G1229" s="19" t="str">
        <x:v>Repairer Invoiced Processed</x:v>
      </x:c>
      <x:c r="H1229" s="19" t="str">
        <x:v>In Field</x:v>
      </x:c>
      <x:c r="I1229" s="37" t="n">
        <x:v>46178</x:v>
      </x:c>
      <x:c r="J1229" s="37" t="n">
        <x:v>46178</x:v>
      </x:c>
      <x:c r="K1229" s="19" t="str">
        <x:v>Newcastle RV Super Centre - Beresfield</x:v>
      </x:c>
      <x:c r="L1229" s="19" t="str">
        <x:v>Z006</x:v>
      </x:c>
      <x:c r="M1229" s="19" t="str">
        <x:v>In Field Warranty Claims</x:v>
      </x:c>
      <x:c r="N1229" s="37" t="n">
        <x:v>46155</x:v>
      </x:c>
      <x:c r="O1229" s="37"/>
      <x:c r="P1229" s="34" t="n">
        <x:v>0</x:v>
      </x:c>
      <x:c r="Q1229" s="37" t="n">
        <x:v>46178.17165509259</x:v>
      </x:c>
    </x:row>
    <x:row r="1230">
      <x:c r="A1230" s="22" t="n">
        <x:v>34917</x:v>
      </x:c>
      <x:c r="B1230" s="28" t="n">
        <x:v>212.5</x:v>
      </x:c>
      <x:c r="C1230" s="28"/>
      <x:c r="D1230" s="31" t="str">
        <x:f>IF(OR(ISBLANK(B1230),ISBLANK(C1230),B1230=0),"",(C1230-B1230)/B1230)</x:f>
      </x:c>
      <x:c r="E1230" s="22" t="str">
        <x:f>IF(ISBLANK(C1230),"AmountIncludingTax缺失",IF(ABS(B1230-C1230)&lt;0.005,"一致","不一致"))</x:f>
        <x:v>AmountIncludingTax缺失</x:v>
      </x:c>
      <x:c r="F1230" s="19" t="str">
        <x:v>approved</x:v>
      </x:c>
      <x:c r="G1230" s="19" t="str">
        <x:v>Repair in Progress</x:v>
      </x:c>
      <x:c r="H1230" s="19" t="str">
        <x:v>In Field</x:v>
      </x:c>
      <x:c r="I1230" s="37" t="n">
        <x:v>46157</x:v>
      </x:c>
      <x:c r="J1230" s="37" t="n">
        <x:v>46157</x:v>
      </x:c>
      <x:c r="K1230" s="19" t="str">
        <x:v>Green RV - Forest Glen</x:v>
      </x:c>
      <x:c r="L1230" s="19" t="str">
        <x:v>Z006</x:v>
      </x:c>
      <x:c r="M1230" s="19" t="str">
        <x:v>In Field Warranty Claims</x:v>
      </x:c>
      <x:c r="N1230" s="37" t="n">
        <x:v>46155</x:v>
      </x:c>
      <x:c r="O1230" s="37"/>
      <x:c r="P1230" s="34" t="n">
        <x:v>0</x:v>
      </x:c>
      <x:c r="Q1230" s="37" t="n">
        <x:v>46156.96431712963</x:v>
      </x:c>
    </x:row>
    <x:row r="1231">
      <x:c r="A1231" s="22" t="n">
        <x:v>34916</x:v>
      </x:c>
      <x:c r="B1231" s="28" t="n">
        <x:v>212.5</x:v>
      </x:c>
      <x:c r="C1231" s="28"/>
      <x:c r="D1231" s="31" t="str">
        <x:f>IF(OR(ISBLANK(B1231),ISBLANK(C1231),B1231=0),"",(C1231-B1231)/B1231)</x:f>
      </x:c>
      <x:c r="E1231" s="22" t="str">
        <x:f>IF(ISBLANK(C1231),"AmountIncludingTax缺失",IF(ABS(B1231-C1231)&lt;0.005,"一致","不一致"))</x:f>
        <x:v>AmountIncludingTax缺失</x:v>
      </x:c>
      <x:c r="F1231" s="19" t="str">
        <x:v>approved</x:v>
      </x:c>
      <x:c r="G1231" s="19" t="str">
        <x:v>Repair in Progress</x:v>
      </x:c>
      <x:c r="H1231" s="19" t="str">
        <x:v>In Field</x:v>
      </x:c>
      <x:c r="I1231" s="37" t="n">
        <x:v>46157</x:v>
      </x:c>
      <x:c r="J1231" s="37" t="n">
        <x:v>46157</x:v>
      </x:c>
      <x:c r="K1231" s="19" t="str">
        <x:v>Green RV - Forest Glen</x:v>
      </x:c>
      <x:c r="L1231" s="19" t="str">
        <x:v>Z006</x:v>
      </x:c>
      <x:c r="M1231" s="19" t="str">
        <x:v>In Field Warranty Claims</x:v>
      </x:c>
      <x:c r="N1231" s="37" t="n">
        <x:v>46155</x:v>
      </x:c>
      <x:c r="O1231" s="37"/>
      <x:c r="P1231" s="34" t="n">
        <x:v>0</x:v>
      </x:c>
      <x:c r="Q1231" s="37" t="n">
        <x:v>46156.96364583333</x:v>
      </x:c>
    </x:row>
    <x:row r="1232">
      <x:c r="A1232" s="22" t="n">
        <x:v>34915</x:v>
      </x:c>
      <x:c r="B1232" s="28" t="n">
        <x:v>482.5</x:v>
      </x:c>
      <x:c r="C1232" s="28"/>
      <x:c r="D1232" s="31" t="str">
        <x:f>IF(OR(ISBLANK(B1232),ISBLANK(C1232),B1232=0),"",(C1232-B1232)/B1232)</x:f>
      </x:c>
      <x:c r="E1232" s="22" t="str">
        <x:f>IF(ISBLANK(C1232),"AmountIncludingTax缺失",IF(ABS(B1232-C1232)&lt;0.005,"一致","不一致"))</x:f>
        <x:v>AmountIncludingTax缺失</x:v>
      </x:c>
      <x:c r="F1232" s="19" t="str">
        <x:v>approved</x:v>
      </x:c>
      <x:c r="G1232" s="19" t="str">
        <x:v>Repair in Progress</x:v>
      </x:c>
      <x:c r="H1232" s="19" t="str">
        <x:v>In Field</x:v>
      </x:c>
      <x:c r="I1232" s="37" t="n">
        <x:v>46157</x:v>
      </x:c>
      <x:c r="J1232" s="37" t="n">
        <x:v>46157</x:v>
      </x:c>
      <x:c r="K1232" s="19" t="str">
        <x:v>Green RV - Forest Glen</x:v>
      </x:c>
      <x:c r="L1232" s="19" t="str">
        <x:v>Z006</x:v>
      </x:c>
      <x:c r="M1232" s="19" t="str">
        <x:v>In Field Warranty Claims</x:v>
      </x:c>
      <x:c r="N1232" s="37" t="n">
        <x:v>46155</x:v>
      </x:c>
      <x:c r="O1232" s="37"/>
      <x:c r="P1232" s="34" t="n">
        <x:v>0</x:v>
      </x:c>
      <x:c r="Q1232" s="37" t="n">
        <x:v>46157.10659722222</x:v>
      </x:c>
    </x:row>
    <x:row r="1233">
      <x:c r="A1233" s="22" t="n">
        <x:v>34914</x:v>
      </x:c>
      <x:c r="B1233" s="28" t="n">
        <x:v>405</x:v>
      </x:c>
      <x:c r="C1233" s="28"/>
      <x:c r="D1233" s="31" t="str">
        <x:f>IF(OR(ISBLANK(B1233),ISBLANK(C1233),B1233=0),"",(C1233-B1233)/B1233)</x:f>
      </x:c>
      <x:c r="E1233" s="22" t="str">
        <x:f>IF(ISBLANK(C1233),"AmountIncludingTax缺失",IF(ABS(B1233-C1233)&lt;0.005,"一致","不一致"))</x:f>
        <x:v>AmountIncludingTax缺失</x:v>
      </x:c>
      <x:c r="F1233" s="19" t="str">
        <x:v>approved</x:v>
      </x:c>
      <x:c r="G1233" s="19" t="str">
        <x:v>Repairer Invoiced Processed</x:v>
      </x:c>
      <x:c r="H1233" s="19" t="str">
        <x:v>In Field</x:v>
      </x:c>
      <x:c r="I1233" s="37" t="n">
        <x:v>46167</x:v>
      </x:c>
      <x:c r="J1233" s="37" t="n">
        <x:v>46167</x:v>
      </x:c>
      <x:c r="K1233" s="19" t="str">
        <x:v>Snowy River Launceston</x:v>
      </x:c>
      <x:c r="L1233" s="19" t="str">
        <x:v>Z006</x:v>
      </x:c>
      <x:c r="M1233" s="19" t="str">
        <x:v>In Field Warranty Claims</x:v>
      </x:c>
      <x:c r="N1233" s="37" t="n">
        <x:v>46155</x:v>
      </x:c>
      <x:c r="O1233" s="37"/>
      <x:c r="P1233" s="34" t="n">
        <x:v>0</x:v>
      </x:c>
      <x:c r="Q1233" s="37" t="n">
        <x:v>46167.13859953704</x:v>
      </x:c>
    </x:row>
    <x:row r="1234">
      <x:c r="A1234" s="22" t="n">
        <x:v>34913</x:v>
      </x:c>
      <x:c r="B1234" s="28" t="n">
        <x:v>67.5</x:v>
      </x:c>
      <x:c r="C1234" s="28"/>
      <x:c r="D1234" s="31" t="str">
        <x:f>IF(OR(ISBLANK(B1234),ISBLANK(C1234),B1234=0),"",(C1234-B1234)/B1234)</x:f>
      </x:c>
      <x:c r="E1234" s="22" t="str">
        <x:f>IF(ISBLANK(C1234),"AmountIncludingTax缺失",IF(ABS(B1234-C1234)&lt;0.005,"一致","不一致"))</x:f>
        <x:v>AmountIncludingTax缺失</x:v>
      </x:c>
      <x:c r="F1234" s="19" t="str">
        <x:v>approved</x:v>
      </x:c>
      <x:c r="G1234" s="19" t="str">
        <x:v>Repair in Progress</x:v>
      </x:c>
      <x:c r="H1234" s="19" t="str">
        <x:v>In Field</x:v>
      </x:c>
      <x:c r="I1234" s="37" t="n">
        <x:v>46178</x:v>
      </x:c>
      <x:c r="J1234" s="37" t="n">
        <x:v>46178</x:v>
      </x:c>
      <x:c r="K1234" s="19" t="str">
        <x:v>QCCC - Gympie</x:v>
      </x:c>
      <x:c r="L1234" s="19" t="str">
        <x:v>Z006</x:v>
      </x:c>
      <x:c r="M1234" s="19" t="str">
        <x:v>In Field Warranty Claims</x:v>
      </x:c>
      <x:c r="N1234" s="37" t="n">
        <x:v>46155</x:v>
      </x:c>
      <x:c r="O1234" s="37"/>
      <x:c r="P1234" s="34" t="n">
        <x:v>0</x:v>
      </x:c>
      <x:c r="Q1234" s="37" t="n">
        <x:v>46178.17074074074</x:v>
      </x:c>
    </x:row>
    <x:row r="1235">
      <x:c r="A1235" s="22" t="n">
        <x:v>34912</x:v>
      </x:c>
      <x:c r="B1235" s="28" t="n">
        <x:v>586.25</x:v>
      </x:c>
      <x:c r="C1235" s="28" t="n">
        <x:v>664.11</x:v>
      </x:c>
      <x:c r="D1235" s="31" t="n">
        <x:f>IF(OR(ISBLANK(B1235),ISBLANK(C1235),B1235=0),"",(C1235-B1235)/B1235)</x:f>
        <x:v>0.13281023454157784</x:v>
      </x:c>
      <x:c r="E1235" s="22" t="str">
        <x:f>IF(ISBLANK(C1235),"AmountIncludingTax缺失",IF(ABS(B1235-C1235)&lt;0.005,"一致","不一致"))</x:f>
        <x:v>不一致</x:v>
      </x:c>
      <x:c r="F1235" s="19" t="str">
        <x:v>approved</x:v>
      </x:c>
      <x:c r="G1235" s="19" t="str">
        <x:v>Repair in Progress</x:v>
      </x:c>
      <x:c r="H1235" s="19" t="str">
        <x:v>In Field</x:v>
      </x:c>
      <x:c r="I1235" s="37" t="n">
        <x:v>46192</x:v>
      </x:c>
      <x:c r="J1235" s="37" t="n">
        <x:v>46174</x:v>
      </x:c>
      <x:c r="K1235" s="19" t="str">
        <x:v>CMG Campers - Christchurch</x:v>
      </x:c>
      <x:c r="L1235" s="19" t="str">
        <x:v>Z006</x:v>
      </x:c>
      <x:c r="M1235" s="19" t="str">
        <x:v>In Field Warranty Claims</x:v>
      </x:c>
      <x:c r="N1235" s="37" t="n">
        <x:v>46155</x:v>
      </x:c>
      <x:c r="O1235" s="37"/>
      <x:c r="P1235" s="34" t="n">
        <x:v>664.11</x:v>
      </x:c>
      <x:c r="Q1235" s="37" t="n">
        <x:v>46191.992939814816</x:v>
      </x:c>
    </x:row>
    <x:row r="1236">
      <x:c r="A1236" s="22" t="n">
        <x:v>34911</x:v>
      </x:c>
      <x:c r="B1236" s="28" t="n">
        <x:v>770</x:v>
      </x:c>
      <x:c r="C1236" s="28"/>
      <x:c r="D1236" s="31" t="str">
        <x:f>IF(OR(ISBLANK(B1236),ISBLANK(C1236),B1236=0),"",(C1236-B1236)/B1236)</x:f>
      </x:c>
      <x:c r="E1236" s="22" t="str">
        <x:f>IF(ISBLANK(C1236),"AmountIncludingTax缺失",IF(ABS(B1236-C1236)&lt;0.005,"一致","不一致"))</x:f>
        <x:v>AmountIncludingTax缺失</x:v>
      </x:c>
      <x:c r="F1236" s="19" t="str">
        <x:v>approved</x:v>
      </x:c>
      <x:c r="G1236" s="19" t="str">
        <x:v>Repair in Progress</x:v>
      </x:c>
      <x:c r="H1236" s="19" t="str">
        <x:v>In Field</x:v>
      </x:c>
      <x:c r="I1236" s="37" t="n">
        <x:v>46167</x:v>
      </x:c>
      <x:c r="J1236" s="37" t="n">
        <x:v>46167</x:v>
      </x:c>
      <x:c r="K1236" s="19" t="str">
        <x:v>Destiny RV - South Australia</x:v>
      </x:c>
      <x:c r="L1236" s="19" t="str">
        <x:v>Z006</x:v>
      </x:c>
      <x:c r="M1236" s="19" t="str">
        <x:v>In Field Warranty Claims</x:v>
      </x:c>
      <x:c r="N1236" s="37" t="n">
        <x:v>46155</x:v>
      </x:c>
      <x:c r="O1236" s="37"/>
      <x:c r="P1236" s="34" t="n">
        <x:v>0</x:v>
      </x:c>
      <x:c r="Q1236" s="37" t="n">
        <x:v>46167.03173611111</x:v>
      </x:c>
    </x:row>
    <x:row r="1237">
      <x:c r="A1237" s="22" t="n">
        <x:v>34908</x:v>
      </x:c>
      <x:c r="B1237" s="28" t="n">
        <x:v>67.5</x:v>
      </x:c>
      <x:c r="C1237" s="28"/>
      <x:c r="D1237" s="31" t="str">
        <x:f>IF(OR(ISBLANK(B1237),ISBLANK(C1237),B1237=0),"",(C1237-B1237)/B1237)</x:f>
      </x:c>
      <x:c r="E1237" s="22" t="str">
        <x:f>IF(ISBLANK(C1237),"AmountIncludingTax缺失",IF(ABS(B1237-C1237)&lt;0.005,"一致","不一致"))</x:f>
        <x:v>AmountIncludingTax缺失</x:v>
      </x:c>
      <x:c r="F1237" s="19" t="str">
        <x:v>approved</x:v>
      </x:c>
      <x:c r="G1237" s="19" t="str">
        <x:v>Repairer Invoiced Processed</x:v>
      </x:c>
      <x:c r="H1237" s="19" t="str">
        <x:v>In Field</x:v>
      </x:c>
      <x:c r="I1237" s="37" t="n">
        <x:v>46156</x:v>
      </x:c>
      <x:c r="J1237" s="37" t="n">
        <x:v>46156</x:v>
      </x:c>
      <x:c r="K1237" s="19" t="str">
        <x:v>QCCC - Gympie</x:v>
      </x:c>
      <x:c r="L1237" s="19" t="str">
        <x:v>Z006</x:v>
      </x:c>
      <x:c r="M1237" s="19" t="str">
        <x:v>In Field Warranty Claims</x:v>
      </x:c>
      <x:c r="N1237" s="37" t="n">
        <x:v>46155</x:v>
      </x:c>
      <x:c r="O1237" s="37"/>
      <x:c r="P1237" s="34" t="n">
        <x:v>0</x:v>
      </x:c>
      <x:c r="Q1237" s="37" t="n">
        <x:v>46156.04431712963</x:v>
      </x:c>
    </x:row>
    <x:row r="1238">
      <x:c r="A1238" s="22" t="n">
        <x:v>34907</x:v>
      </x:c>
      <x:c r="B1238" s="28" t="n">
        <x:v>1527.5</x:v>
      </x:c>
      <x:c r="C1238" s="28"/>
      <x:c r="D1238" s="31" t="str">
        <x:f>IF(OR(ISBLANK(B1238),ISBLANK(C1238),B1238=0),"",(C1238-B1238)/B1238)</x:f>
      </x:c>
      <x:c r="E1238" s="22" t="str">
        <x:f>IF(ISBLANK(C1238),"AmountIncludingTax缺失",IF(ABS(B1238-C1238)&lt;0.005,"一致","不一致"))</x:f>
        <x:v>AmountIncludingTax缺失</x:v>
      </x:c>
      <x:c r="F1238" s="19" t="str">
        <x:v>approved</x:v>
      </x:c>
      <x:c r="G1238" s="19" t="str">
        <x:v>Repair in Progress</x:v>
      </x:c>
      <x:c r="H1238" s="19" t="str">
        <x:v>In Field</x:v>
      </x:c>
      <x:c r="I1238" s="37" t="n">
        <x:v>46171</x:v>
      </x:c>
      <x:c r="J1238" s="37" t="n">
        <x:v>46171</x:v>
      </x:c>
      <x:c r="K1238" s="19" t="str">
        <x:v>Regent RV - Townsville</x:v>
      </x:c>
      <x:c r="L1238" s="19" t="str">
        <x:v>Z006</x:v>
      </x:c>
      <x:c r="M1238" s="19" t="str">
        <x:v>In Field Warranty Claims</x:v>
      </x:c>
      <x:c r="N1238" s="37" t="n">
        <x:v>46155</x:v>
      </x:c>
      <x:c r="O1238" s="37"/>
      <x:c r="P1238" s="34" t="n">
        <x:v>0</x:v>
      </x:c>
      <x:c r="Q1238" s="37" t="n">
        <x:v>46170.98520833333</x:v>
      </x:c>
    </x:row>
    <x:row r="1239">
      <x:c r="A1239" s="22" t="n">
        <x:v>34906</x:v>
      </x:c>
      <x:c r="B1239" s="28" t="n">
        <x:v>270</x:v>
      </x:c>
      <x:c r="C1239" s="28"/>
      <x:c r="D1239" s="31" t="str">
        <x:f>IF(OR(ISBLANK(B1239),ISBLANK(C1239),B1239=0),"",(C1239-B1239)/B1239)</x:f>
      </x:c>
      <x:c r="E1239" s="22" t="str">
        <x:f>IF(ISBLANK(C1239),"AmountIncludingTax缺失",IF(ABS(B1239-C1239)&lt;0.005,"一致","不一致"))</x:f>
        <x:v>AmountIncludingTax缺失</x:v>
      </x:c>
      <x:c r="F1239" s="19" t="str">
        <x:v>approved</x:v>
      </x:c>
      <x:c r="G1239" s="19" t="str">
        <x:v>Repair in Progress</x:v>
      </x:c>
      <x:c r="H1239" s="19" t="str">
        <x:v>In Field</x:v>
      </x:c>
      <x:c r="I1239" s="37" t="n">
        <x:v>46182</x:v>
      </x:c>
      <x:c r="J1239" s="37" t="n">
        <x:v>46182</x:v>
      </x:c>
      <x:c r="K1239" s="19" t="str">
        <x:v>ABCO Caravans - Boambee Valley</x:v>
      </x:c>
      <x:c r="L1239" s="19" t="str">
        <x:v>Z006</x:v>
      </x:c>
      <x:c r="M1239" s="19" t="str">
        <x:v>In Field Warranty Claims</x:v>
      </x:c>
      <x:c r="N1239" s="37" t="n">
        <x:v>46155</x:v>
      </x:c>
      <x:c r="O1239" s="37"/>
      <x:c r="P1239" s="34" t="n">
        <x:v>0</x:v>
      </x:c>
      <x:c r="Q1239" s="37" t="n">
        <x:v>46181.93960648148</x:v>
      </x:c>
    </x:row>
    <x:row r="1240">
      <x:c r="A1240" s="22" t="n">
        <x:v>34905</x:v>
      </x:c>
      <x:c r="B1240" s="28" t="n">
        <x:v>135</x:v>
      </x:c>
      <x:c r="C1240" s="28" t="n">
        <x:v>148.5</x:v>
      </x:c>
      <x:c r="D1240" s="31" t="n">
        <x:f>IF(OR(ISBLANK(B1240),ISBLANK(C1240),B1240=0),"",(C1240-B1240)/B1240)</x:f>
        <x:v>0.1</x:v>
      </x:c>
      <x:c r="E1240" s="22" t="str">
        <x:f>IF(ISBLANK(C1240),"AmountIncludingTax缺失",IF(ABS(B1240-C1240)&lt;0.005,"一致","不一致"))</x:f>
        <x:v>不一致</x:v>
      </x:c>
      <x:c r="F1240" s="19" t="str">
        <x:v>approved</x:v>
      </x:c>
      <x:c r="G1240" s="19" t="str">
        <x:v>Repair in Progress</x:v>
      </x:c>
      <x:c r="H1240" s="19" t="str">
        <x:v>In Field</x:v>
      </x:c>
      <x:c r="I1240" s="37" t="n">
        <x:v>46206</x:v>
      </x:c>
      <x:c r="J1240" s="37" t="n">
        <x:v>46206</x:v>
      </x:c>
      <x:c r="K1240" s="19" t="str">
        <x:v>Green RV - Forest Glen</x:v>
      </x:c>
      <x:c r="L1240" s="19" t="str">
        <x:v>Z006</x:v>
      </x:c>
      <x:c r="M1240" s="19" t="str">
        <x:v>In Field Warranty Claims</x:v>
      </x:c>
      <x:c r="N1240" s="37" t="n">
        <x:v>46155</x:v>
      </x:c>
      <x:c r="O1240" s="37"/>
      <x:c r="P1240" s="34" t="n">
        <x:v>148.5</x:v>
      </x:c>
      <x:c r="Q1240" s="37" t="n">
        <x:v>46206.04866898148</x:v>
      </x:c>
    </x:row>
    <x:row r="1241">
      <x:c r="A1241" s="22" t="n">
        <x:v>34904</x:v>
      </x:c>
      <x:c r="B1241" s="28" t="n">
        <x:v>518</x:v>
      </x:c>
      <x:c r="C1241" s="28"/>
      <x:c r="D1241" s="31" t="str">
        <x:f>IF(OR(ISBLANK(B1241),ISBLANK(C1241),B1241=0),"",(C1241-B1241)/B1241)</x:f>
      </x:c>
      <x:c r="E1241" s="22" t="str">
        <x:f>IF(ISBLANK(C1241),"AmountIncludingTax缺失",IF(ABS(B1241-C1241)&lt;0.005,"一致","不一致"))</x:f>
        <x:v>AmountIncludingTax缺失</x:v>
      </x:c>
      <x:c r="F1241" s="19" t="str">
        <x:v>approved</x:v>
      </x:c>
      <x:c r="G1241" s="19" t="str">
        <x:v>Repairer Invoiced Processed</x:v>
      </x:c>
      <x:c r="H1241" s="19" t="str">
        <x:v>In Field</x:v>
      </x:c>
      <x:c r="I1241" s="37" t="n">
        <x:v>46157</x:v>
      </x:c>
      <x:c r="J1241" s="37" t="n">
        <x:v>46157</x:v>
      </x:c>
      <x:c r="K1241" s="19" t="str">
        <x:v>Green RV - Forest Glen</x:v>
      </x:c>
      <x:c r="L1241" s="19" t="str">
        <x:v>Z006</x:v>
      </x:c>
      <x:c r="M1241" s="19" t="str">
        <x:v>In Field Warranty Claims</x:v>
      </x:c>
      <x:c r="N1241" s="37" t="n">
        <x:v>46155</x:v>
      </x:c>
      <x:c r="O1241" s="37"/>
      <x:c r="P1241" s="34" t="n">
        <x:v>0</x:v>
      </x:c>
      <x:c r="Q1241" s="37" t="n">
        <x:v>46156.96310185185</x:v>
      </x:c>
    </x:row>
    <x:row r="1242">
      <x:c r="A1242" s="22" t="n">
        <x:v>34903</x:v>
      </x:c>
      <x:c r="B1242" s="28" t="n">
        <x:v>222.5</x:v>
      </x:c>
      <x:c r="C1242" s="28"/>
      <x:c r="D1242" s="31" t="str">
        <x:f>IF(OR(ISBLANK(B1242),ISBLANK(C1242),B1242=0),"",(C1242-B1242)/B1242)</x:f>
      </x:c>
      <x:c r="E1242" s="22" t="str">
        <x:f>IF(ISBLANK(C1242),"AmountIncludingTax缺失",IF(ABS(B1242-C1242)&lt;0.005,"一致","不一致"))</x:f>
        <x:v>AmountIncludingTax缺失</x:v>
      </x:c>
      <x:c r="F1242" s="19" t="str">
        <x:v>approved</x:v>
      </x:c>
      <x:c r="G1242" s="19" t="str">
        <x:v>Repair in Progress</x:v>
      </x:c>
      <x:c r="H1242" s="19" t="str">
        <x:v>In Field</x:v>
      </x:c>
      <x:c r="I1242" s="37" t="n">
        <x:v>46170</x:v>
      </x:c>
      <x:c r="J1242" s="37" t="n">
        <x:v>46170</x:v>
      </x:c>
      <x:c r="K1242" s="19" t="str">
        <x:v>Regent RV - Townsville</x:v>
      </x:c>
      <x:c r="L1242" s="19" t="str">
        <x:v>Z006</x:v>
      </x:c>
      <x:c r="M1242" s="19" t="str">
        <x:v>In Field Warranty Claims</x:v>
      </x:c>
      <x:c r="N1242" s="37" t="n">
        <x:v>46155</x:v>
      </x:c>
      <x:c r="O1242" s="37"/>
      <x:c r="P1242" s="34" t="n">
        <x:v>0</x:v>
      </x:c>
      <x:c r="Q1242" s="37" t="n">
        <x:v>46169.998460648145</x:v>
      </x:c>
    </x:row>
    <x:row r="1243">
      <x:c r="A1243" s="22" t="n">
        <x:v>34902</x:v>
      </x:c>
      <x:c r="B1243" s="28" t="n">
        <x:v>313.75</x:v>
      </x:c>
      <x:c r="C1243" s="28"/>
      <x:c r="D1243" s="31" t="str">
        <x:f>IF(OR(ISBLANK(B1243),ISBLANK(C1243),B1243=0),"",(C1243-B1243)/B1243)</x:f>
      </x:c>
      <x:c r="E1243" s="22" t="str">
        <x:f>IF(ISBLANK(C1243),"AmountIncludingTax缺失",IF(ABS(B1243-C1243)&lt;0.005,"一致","不一致"))</x:f>
        <x:v>AmountIncludingTax缺失</x:v>
      </x:c>
      <x:c r="F1243" s="19" t="str">
        <x:v>approved</x:v>
      </x:c>
      <x:c r="G1243" s="19" t="str">
        <x:v>Repairer Invoiced Processed</x:v>
      </x:c>
      <x:c r="H1243" s="19" t="str">
        <x:v>In Field</x:v>
      </x:c>
      <x:c r="I1243" s="37" t="n">
        <x:v>46184</x:v>
      </x:c>
      <x:c r="J1243" s="37" t="n">
        <x:v>46184</x:v>
      </x:c>
      <x:c r="K1243" s="19" t="str">
        <x:v>Newcastle RV Super Centre - Beresfield</x:v>
      </x:c>
      <x:c r="L1243" s="19" t="str">
        <x:v>Z006</x:v>
      </x:c>
      <x:c r="M1243" s="19" t="str">
        <x:v>In Field Warranty Claims</x:v>
      </x:c>
      <x:c r="N1243" s="37" t="n">
        <x:v>46155</x:v>
      </x:c>
      <x:c r="O1243" s="37"/>
      <x:c r="P1243" s="34" t="n">
        <x:v>0</x:v>
      </x:c>
      <x:c r="Q1243" s="37" t="n">
        <x:v>46184.006319444445</x:v>
      </x:c>
    </x:row>
    <x:row r="1244">
      <x:c r="A1244" s="22" t="n">
        <x:v>34901</x:v>
      </x:c>
      <x:c r="B1244" s="28" t="n">
        <x:v>112.5</x:v>
      </x:c>
      <x:c r="C1244" s="28"/>
      <x:c r="D1244" s="31" t="str">
        <x:f>IF(OR(ISBLANK(B1244),ISBLANK(C1244),B1244=0),"",(C1244-B1244)/B1244)</x:f>
      </x:c>
      <x:c r="E1244" s="22" t="str">
        <x:f>IF(ISBLANK(C1244),"AmountIncludingTax缺失",IF(ABS(B1244-C1244)&lt;0.005,"一致","不一致"))</x:f>
        <x:v>AmountIncludingTax缺失</x:v>
      </x:c>
      <x:c r="F1244" s="19" t="str">
        <x:v>approved</x:v>
      </x:c>
      <x:c r="G1244" s="19" t="str">
        <x:v>Repairer Invoiced Processed</x:v>
      </x:c>
      <x:c r="H1244" s="19" t="str">
        <x:v>In Field</x:v>
      </x:c>
      <x:c r="I1244" s="37" t="n">
        <x:v>46167</x:v>
      </x:c>
      <x:c r="J1244" s="37" t="n">
        <x:v>46167</x:v>
      </x:c>
      <x:c r="K1244" s="19" t="str">
        <x:v>Regent RV - Toowoomba</x:v>
      </x:c>
      <x:c r="L1244" s="19" t="str">
        <x:v>Z006</x:v>
      </x:c>
      <x:c r="M1244" s="19" t="str">
        <x:v>In Field Warranty Claims</x:v>
      </x:c>
      <x:c r="N1244" s="37" t="n">
        <x:v>46155</x:v>
      </x:c>
      <x:c r="O1244" s="37"/>
      <x:c r="P1244" s="34" t="n">
        <x:v>0</x:v>
      </x:c>
      <x:c r="Q1244" s="37" t="n">
        <x:v>46167.173796296294</x:v>
      </x:c>
    </x:row>
    <x:row r="1245">
      <x:c r="A1245" s="22" t="n">
        <x:v>34898</x:v>
      </x:c>
      <x:c r="B1245" s="28" t="n">
        <x:v>1200</x:v>
      </x:c>
      <x:c r="C1245" s="28"/>
      <x:c r="D1245" s="31" t="str">
        <x:f>IF(OR(ISBLANK(B1245),ISBLANK(C1245),B1245=0),"",(C1245-B1245)/B1245)</x:f>
      </x:c>
      <x:c r="E1245" s="22" t="str">
        <x:f>IF(ISBLANK(C1245),"AmountIncludingTax缺失",IF(ABS(B1245-C1245)&lt;0.005,"一致","不一致"))</x:f>
        <x:v>AmountIncludingTax缺失</x:v>
      </x:c>
      <x:c r="F1245" s="19" t="str">
        <x:v>approved</x:v>
      </x:c>
      <x:c r="G1245" s="19" t="str">
        <x:v>Repairer Invoiced Processed</x:v>
      </x:c>
      <x:c r="H1245" s="19" t="str">
        <x:v>In Field</x:v>
      </x:c>
      <x:c r="I1245" s="37" t="n">
        <x:v>46155</x:v>
      </x:c>
      <x:c r="J1245" s="37" t="n">
        <x:v>46155</x:v>
      </x:c>
      <x:c r="K1245" s="19" t="str">
        <x:v>Regent RV - Perth</x:v>
      </x:c>
      <x:c r="L1245" s="19" t="str">
        <x:v>Z006</x:v>
      </x:c>
      <x:c r="M1245" s="19" t="str">
        <x:v>In Field Warranty Claims</x:v>
      </x:c>
      <x:c r="N1245" s="37" t="n">
        <x:v>46155</x:v>
      </x:c>
      <x:c r="O1245" s="37"/>
      <x:c r="P1245" s="34" t="n">
        <x:v>1320</x:v>
      </x:c>
      <x:c r="Q1245" s="37" t="n">
        <x:v>46155.49423611111</x:v>
      </x:c>
    </x:row>
    <x:row r="1246">
      <x:c r="A1246" s="22" t="n">
        <x:v>34897</x:v>
      </x:c>
      <x:c r="B1246" s="28" t="n">
        <x:v>800</x:v>
      </x:c>
      <x:c r="C1246" s="28" t="n">
        <x:v>880</x:v>
      </x:c>
      <x:c r="D1246" s="31" t="n">
        <x:f>IF(OR(ISBLANK(B1246),ISBLANK(C1246),B1246=0),"",(C1246-B1246)/B1246)</x:f>
        <x:v>0.1</x:v>
      </x:c>
      <x:c r="E1246" s="22" t="str">
        <x:f>IF(ISBLANK(C1246),"AmountIncludingTax缺失",IF(ABS(B1246-C1246)&lt;0.005,"一致","不一致"))</x:f>
        <x:v>不一致</x:v>
      </x:c>
      <x:c r="F1246" s="19" t="str">
        <x:v>approved</x:v>
      </x:c>
      <x:c r="G1246" s="19" t="str">
        <x:v>Repairer Invoiced Processed</x:v>
      </x:c>
      <x:c r="H1246" s="19" t="str">
        <x:v>In Field</x:v>
      </x:c>
      <x:c r="I1246" s="37" t="n">
        <x:v>46155</x:v>
      </x:c>
      <x:c r="J1246" s="37" t="n">
        <x:v>46155</x:v>
      </x:c>
      <x:c r="K1246" s="19" t="str">
        <x:v>Sherrif Caravans &amp; Traliers - Prospect Vale</x:v>
      </x:c>
      <x:c r="L1246" s="19" t="str">
        <x:v>Z006</x:v>
      </x:c>
      <x:c r="M1246" s="19" t="str">
        <x:v>In Field Warranty Claims</x:v>
      </x:c>
      <x:c r="N1246" s="37" t="n">
        <x:v>46155</x:v>
      </x:c>
      <x:c r="O1246" s="37"/>
      <x:c r="P1246" s="34" t="n">
        <x:v>880</x:v>
      </x:c>
      <x:c r="Q1246" s="37" t="n">
        <x:v>46155.49512731482</x:v>
      </x:c>
    </x:row>
    <x:row r="1247">
      <x:c r="A1247" s="22" t="n">
        <x:v>34896</x:v>
      </x:c>
      <x:c r="B1247" s="28" t="n">
        <x:v>420</x:v>
      </x:c>
      <x:c r="C1247" s="28" t="n">
        <x:v>462</x:v>
      </x:c>
      <x:c r="D1247" s="31" t="n">
        <x:f>IF(OR(ISBLANK(B1247),ISBLANK(C1247),B1247=0),"",(C1247-B1247)/B1247)</x:f>
        <x:v>0.1</x:v>
      </x:c>
      <x:c r="E1247" s="22" t="str">
        <x:f>IF(ISBLANK(C1247),"AmountIncludingTax缺失",IF(ABS(B1247-C1247)&lt;0.005,"一致","不一致"))</x:f>
        <x:v>不一致</x:v>
      </x:c>
      <x:c r="F1247" s="19" t="str">
        <x:v>approved</x:v>
      </x:c>
      <x:c r="G1247" s="19" t="str">
        <x:v>Repairer Invoiced Processed</x:v>
      </x:c>
      <x:c r="H1247" s="19" t="str">
        <x:v>In Field</x:v>
      </x:c>
      <x:c r="I1247" s="37" t="n">
        <x:v>46155</x:v>
      </x:c>
      <x:c r="J1247" s="37" t="n">
        <x:v>46155</x:v>
      </x:c>
      <x:c r="K1247" s="19" t="str">
        <x:v>Springvale Caravan Centre - Keysborough</x:v>
      </x:c>
      <x:c r="L1247" s="19" t="str">
        <x:v>Z006</x:v>
      </x:c>
      <x:c r="M1247" s="19" t="str">
        <x:v>In Field Warranty Claims</x:v>
      </x:c>
      <x:c r="N1247" s="37" t="n">
        <x:v>46155</x:v>
      </x:c>
      <x:c r="O1247" s="37"/>
      <x:c r="P1247" s="34" t="n">
        <x:v>462</x:v>
      </x:c>
      <x:c r="Q1247" s="37" t="n">
        <x:v>46155.49564814815</x:v>
      </x:c>
    </x:row>
    <x:row r="1248">
      <x:c r="A1248" s="22" t="n">
        <x:v>34894</x:v>
      </x:c>
      <x:c r="B1248" s="28" t="n">
        <x:v>420</x:v>
      </x:c>
      <x:c r="C1248" s="28" t="n">
        <x:v>462</x:v>
      </x:c>
      <x:c r="D1248" s="31" t="n">
        <x:f>IF(OR(ISBLANK(B1248),ISBLANK(C1248),B1248=0),"",(C1248-B1248)/B1248)</x:f>
        <x:v>0.1</x:v>
      </x:c>
      <x:c r="E1248" s="22" t="str">
        <x:f>IF(ISBLANK(C1248),"AmountIncludingTax缺失",IF(ABS(B1248-C1248)&lt;0.005,"一致","不一致"))</x:f>
        <x:v>不一致</x:v>
      </x:c>
      <x:c r="F1248" s="19" t="str">
        <x:v>approved</x:v>
      </x:c>
      <x:c r="G1248" s="19" t="str">
        <x:v>Repairer Invoiced Processed</x:v>
      </x:c>
      <x:c r="H1248" s="19" t="str">
        <x:v>In Field</x:v>
      </x:c>
      <x:c r="I1248" s="37" t="n">
        <x:v>46155</x:v>
      </x:c>
      <x:c r="J1248" s="37" t="n">
        <x:v>46155</x:v>
      </x:c>
      <x:c r="K1248" s="19" t="str">
        <x:v>Regent RV - Frankston</x:v>
      </x:c>
      <x:c r="L1248" s="19" t="str">
        <x:v>Z006</x:v>
      </x:c>
      <x:c r="M1248" s="19" t="str">
        <x:v>In Field Warranty Claims</x:v>
      </x:c>
      <x:c r="N1248" s="37" t="n">
        <x:v>46155</x:v>
      </x:c>
      <x:c r="O1248" s="37"/>
      <x:c r="P1248" s="34" t="n">
        <x:v>462</x:v>
      </x:c>
      <x:c r="Q1248" s="37" t="n">
        <x:v>46155.496145833335</x:v>
      </x:c>
    </x:row>
    <x:row r="1249">
      <x:c r="A1249" s="22" t="n">
        <x:v>34893</x:v>
      </x:c>
      <x:c r="B1249" s="28" t="n">
        <x:v>420</x:v>
      </x:c>
      <x:c r="C1249" s="28" t="n">
        <x:v>462</x:v>
      </x:c>
      <x:c r="D1249" s="31" t="n">
        <x:f>IF(OR(ISBLANK(B1249),ISBLANK(C1249),B1249=0),"",(C1249-B1249)/B1249)</x:f>
        <x:v>0.1</x:v>
      </x:c>
      <x:c r="E1249" s="22" t="str">
        <x:f>IF(ISBLANK(C1249),"AmountIncludingTax缺失",IF(ABS(B1249-C1249)&lt;0.005,"一致","不一致"))</x:f>
        <x:v>不一致</x:v>
      </x:c>
      <x:c r="F1249" s="19" t="str">
        <x:v>approved</x:v>
      </x:c>
      <x:c r="G1249" s="19" t="str">
        <x:v>Repair in Progress</x:v>
      </x:c>
      <x:c r="H1249" s="19" t="str">
        <x:v>In Field</x:v>
      </x:c>
      <x:c r="I1249" s="37" t="n">
        <x:v>46155</x:v>
      </x:c>
      <x:c r="J1249" s="37" t="n">
        <x:v>46155</x:v>
      </x:c>
      <x:c r="K1249" s="19" t="str">
        <x:v>Springvale Caravan Centre - Keysborough</x:v>
      </x:c>
      <x:c r="L1249" s="19" t="str">
        <x:v>Z006</x:v>
      </x:c>
      <x:c r="M1249" s="19" t="str">
        <x:v>In Field Warranty Claims</x:v>
      </x:c>
      <x:c r="N1249" s="37" t="n">
        <x:v>46155</x:v>
      </x:c>
      <x:c r="O1249" s="37"/>
      <x:c r="P1249" s="34" t="n">
        <x:v>462</x:v>
      </x:c>
      <x:c r="Q1249" s="37" t="n">
        <x:v>46155.49681712963</x:v>
      </x:c>
    </x:row>
    <x:row r="1250">
      <x:c r="A1250" s="22" t="n">
        <x:v>34890</x:v>
      </x:c>
      <x:c r="B1250" s="28" t="n">
        <x:v>540</x:v>
      </x:c>
      <x:c r="C1250" s="28" t="n">
        <x:v>594</x:v>
      </x:c>
      <x:c r="D1250" s="31" t="n">
        <x:f>IF(OR(ISBLANK(B1250),ISBLANK(C1250),B1250=0),"",(C1250-B1250)/B1250)</x:f>
        <x:v>0.1</x:v>
      </x:c>
      <x:c r="E1250" s="22" t="str">
        <x:f>IF(ISBLANK(C1250),"AmountIncludingTax缺失",IF(ABS(B1250-C1250)&lt;0.005,"一致","不一致"))</x:f>
        <x:v>不一致</x:v>
      </x:c>
      <x:c r="F1250" s="19" t="str">
        <x:v>approved</x:v>
      </x:c>
      <x:c r="G1250" s="19" t="str">
        <x:v>Repair in Progress</x:v>
      </x:c>
      <x:c r="H1250" s="19" t="str">
        <x:v>In Field</x:v>
      </x:c>
      <x:c r="I1250" s="37" t="n">
        <x:v>46157</x:v>
      </x:c>
      <x:c r="J1250" s="37" t="n">
        <x:v>46157</x:v>
      </x:c>
      <x:c r="K1250" s="19" t="str">
        <x:v>Regent RV - Toowoomba</x:v>
      </x:c>
      <x:c r="L1250" s="19" t="str">
        <x:v>Z006</x:v>
      </x:c>
      <x:c r="M1250" s="19" t="str">
        <x:v>In Field Warranty Claims</x:v>
      </x:c>
      <x:c r="N1250" s="37" t="n">
        <x:v>46155</x:v>
      </x:c>
      <x:c r="O1250" s="37"/>
      <x:c r="P1250" s="34" t="n">
        <x:v>594</x:v>
      </x:c>
      <x:c r="Q1250" s="37" t="n">
        <x:v>46156.942083333335</x:v>
      </x:c>
    </x:row>
    <x:row r="1251">
      <x:c r="A1251" s="22" t="n">
        <x:v>34889</x:v>
      </x:c>
      <x:c r="B1251" s="28" t="n">
        <x:v>236.36</x:v>
      </x:c>
      <x:c r="C1251" s="28" t="n">
        <x:v>260</x:v>
      </x:c>
      <x:c r="D1251" s="31" t="n">
        <x:f>IF(OR(ISBLANK(B1251),ISBLANK(C1251),B1251=0),"",(C1251-B1251)/B1251)</x:f>
        <x:v>0.10001692333728204</x:v>
      </x:c>
      <x:c r="E1251" s="22" t="str">
        <x:f>IF(ISBLANK(C1251),"AmountIncludingTax缺失",IF(ABS(B1251-C1251)&lt;0.005,"一致","不一致"))</x:f>
        <x:v>不一致</x:v>
      </x:c>
      <x:c r="F1251" s="19" t="str">
        <x:v>approved</x:v>
      </x:c>
      <x:c r="G1251" s="19" t="str">
        <x:v>Repairer Invoiced Processed</x:v>
      </x:c>
      <x:c r="H1251" s="19" t="str">
        <x:v>In Field</x:v>
      </x:c>
      <x:c r="I1251" s="37" t="n">
        <x:v>46170</x:v>
      </x:c>
      <x:c r="J1251" s="37" t="n">
        <x:v>46170</x:v>
      </x:c>
      <x:c r="K1251" s="19" t="str">
        <x:v>Green RV - Forest Glen</x:v>
      </x:c>
      <x:c r="L1251" s="19" t="str">
        <x:v>Z006</x:v>
      </x:c>
      <x:c r="M1251" s="19" t="str">
        <x:v>In Field Warranty Claims</x:v>
      </x:c>
      <x:c r="N1251" s="37" t="n">
        <x:v>46155</x:v>
      </x:c>
      <x:c r="O1251" s="37"/>
      <x:c r="P1251" s="34" t="n">
        <x:v>260</x:v>
      </x:c>
      <x:c r="Q1251" s="37" t="n">
        <x:v>46170.27210648148</x:v>
      </x:c>
    </x:row>
    <x:row r="1252">
      <x:c r="A1252" s="22" t="n">
        <x:v>34888</x:v>
      </x:c>
      <x:c r="B1252" s="28" t="n">
        <x:v>1520</x:v>
      </x:c>
      <x:c r="C1252" s="28"/>
      <x:c r="D1252" s="31" t="str">
        <x:f>IF(OR(ISBLANK(B1252),ISBLANK(C1252),B1252=0),"",(C1252-B1252)/B1252)</x:f>
      </x:c>
      <x:c r="E1252" s="22" t="str">
        <x:f>IF(ISBLANK(C1252),"AmountIncludingTax缺失",IF(ABS(B1252-C1252)&lt;0.005,"一致","不一致"))</x:f>
        <x:v>AmountIncludingTax缺失</x:v>
      </x:c>
      <x:c r="F1252" s="19" t="str">
        <x:v>approved</x:v>
      </x:c>
      <x:c r="G1252" s="19" t="str">
        <x:v>Sales Order Approved</x:v>
      </x:c>
      <x:c r="H1252" s="19" t="str">
        <x:v>Pre Delivery</x:v>
      </x:c>
      <x:c r="I1252" s="37" t="n">
        <x:v>46199</x:v>
      </x:c>
      <x:c r="J1252" s="37" t="n">
        <x:v>46199</x:v>
      </x:c>
      <x:c r="K1252" s="19" t="str">
        <x:v>Lesiure Lion-New Castle</x:v>
      </x:c>
      <x:c r="L1252" s="19" t="str">
        <x:v>Z005</x:v>
      </x:c>
      <x:c r="M1252" s="19" t="str">
        <x:v>Pre Delivery Warranty Claims</x:v>
      </x:c>
      <x:c r="N1252" s="37" t="n">
        <x:v>46155</x:v>
      </x:c>
      <x:c r="O1252" s="37"/>
      <x:c r="P1252" s="34" t="n">
        <x:v>0</x:v>
      </x:c>
      <x:c r="Q1252" s="37" t="n">
        <x:v>46198.915601851855</x:v>
      </x:c>
    </x:row>
    <x:row r="1253">
      <x:c r="A1253" s="22" t="n">
        <x:v>34886</x:v>
      </x:c>
      <x:c r="B1253" s="28" t="n">
        <x:v>222.5</x:v>
      </x:c>
      <x:c r="C1253" s="28"/>
      <x:c r="D1253" s="31" t="str">
        <x:f>IF(OR(ISBLANK(B1253),ISBLANK(C1253),B1253=0),"",(C1253-B1253)/B1253)</x:f>
      </x:c>
      <x:c r="E1253" s="22" t="str">
        <x:f>IF(ISBLANK(C1253),"AmountIncludingTax缺失",IF(ABS(B1253-C1253)&lt;0.005,"一致","不一致"))</x:f>
        <x:v>AmountIncludingTax缺失</x:v>
      </x:c>
      <x:c r="F1253" s="19" t="str">
        <x:v>approved</x:v>
      </x:c>
      <x:c r="G1253" s="19" t="str">
        <x:v>Repair in Progress</x:v>
      </x:c>
      <x:c r="H1253" s="19" t="str">
        <x:v>In Field</x:v>
      </x:c>
      <x:c r="I1253" s="37" t="n">
        <x:v>46155</x:v>
      </x:c>
      <x:c r="J1253" s="37" t="n">
        <x:v>46155</x:v>
      </x:c>
      <x:c r="K1253" s="19" t="str">
        <x:v>Green RV - Forest Glen</x:v>
      </x:c>
      <x:c r="L1253" s="19" t="str">
        <x:v>Z006</x:v>
      </x:c>
      <x:c r="M1253" s="19" t="str">
        <x:v>In Field Warranty Claims</x:v>
      </x:c>
      <x:c r="N1253" s="37" t="n">
        <x:v>46155</x:v>
      </x:c>
      <x:c r="O1253" s="37"/>
      <x:c r="P1253" s="34" t="n">
        <x:v>0</x:v>
      </x:c>
      <x:c r="Q1253" s="37" t="n">
        <x:v>46155.231770833336</x:v>
      </x:c>
    </x:row>
    <x:row r="1254">
      <x:c r="A1254" s="22" t="n">
        <x:v>34883</x:v>
      </x:c>
      <x:c r="B1254" s="28" t="n">
        <x:v>405</x:v>
      </x:c>
      <x:c r="C1254" s="28"/>
      <x:c r="D1254" s="31" t="str">
        <x:f>IF(OR(ISBLANK(B1254),ISBLANK(C1254),B1254=0),"",(C1254-B1254)/B1254)</x:f>
      </x:c>
      <x:c r="E1254" s="22" t="str">
        <x:f>IF(ISBLANK(C1254),"AmountIncludingTax缺失",IF(ABS(B1254-C1254)&lt;0.005,"一致","不一致"))</x:f>
        <x:v>AmountIncludingTax缺失</x:v>
      </x:c>
      <x:c r="F1254" s="19" t="str">
        <x:v>approved</x:v>
      </x:c>
      <x:c r="G1254" s="19" t="str">
        <x:v>Repair in Progress</x:v>
      </x:c>
      <x:c r="H1254" s="19" t="str">
        <x:v>In Field</x:v>
      </x:c>
      <x:c r="I1254" s="37" t="n">
        <x:v>46164</x:v>
      </x:c>
      <x:c r="J1254" s="37" t="n">
        <x:v>46164</x:v>
      </x:c>
      <x:c r="K1254" s="19" t="str">
        <x:v>Snowy River Launceston</x:v>
      </x:c>
      <x:c r="L1254" s="19" t="str">
        <x:v>Z006</x:v>
      </x:c>
      <x:c r="M1254" s="19" t="str">
        <x:v>In Field Warranty Claims</x:v>
      </x:c>
      <x:c r="N1254" s="37" t="n">
        <x:v>46155</x:v>
      </x:c>
      <x:c r="O1254" s="37"/>
      <x:c r="P1254" s="34" t="n">
        <x:v>0</x:v>
      </x:c>
      <x:c r="Q1254" s="37" t="n">
        <x:v>46164.027604166666</x:v>
      </x:c>
    </x:row>
    <x:row r="1255">
      <x:c r="A1255" s="22" t="n">
        <x:v>34882</x:v>
      </x:c>
      <x:c r="B1255" s="28" t="n">
        <x:v>1582.5</x:v>
      </x:c>
      <x:c r="C1255" s="28"/>
      <x:c r="D1255" s="31" t="str">
        <x:f>IF(OR(ISBLANK(B1255),ISBLANK(C1255),B1255=0),"",(C1255-B1255)/B1255)</x:f>
      </x:c>
      <x:c r="E1255" s="22" t="str">
        <x:f>IF(ISBLANK(C1255),"AmountIncludingTax缺失",IF(ABS(B1255-C1255)&lt;0.005,"一致","不一致"))</x:f>
        <x:v>AmountIncludingTax缺失</x:v>
      </x:c>
      <x:c r="F1255" s="19" t="str">
        <x:v>approved</x:v>
      </x:c>
      <x:c r="G1255" s="19" t="str">
        <x:v>Sales Order Approved</x:v>
      </x:c>
      <x:c r="H1255" s="19" t="str">
        <x:v>In Field</x:v>
      </x:c>
      <x:c r="I1255" s="37" t="n">
        <x:v>46155</x:v>
      </x:c>
      <x:c r="J1255" s="37" t="n">
        <x:v>46155</x:v>
      </x:c>
      <x:c r="K1255" s="19" t="str">
        <x:v>Caravans WA</x:v>
      </x:c>
      <x:c r="L1255" s="19" t="str">
        <x:v>Z006</x:v>
      </x:c>
      <x:c r="M1255" s="19" t="str">
        <x:v>In Field Warranty Claims</x:v>
      </x:c>
      <x:c r="N1255" s="37" t="n">
        <x:v>46155</x:v>
      </x:c>
      <x:c r="O1255" s="37"/>
      <x:c r="P1255" s="34" t="n">
        <x:v>0</x:v>
      </x:c>
      <x:c r="Q1255" s="37" t="n">
        <x:v>46155.23946759259</x:v>
      </x:c>
    </x:row>
    <x:row r="1256">
      <x:c r="A1256" s="22" t="n">
        <x:v>34881</x:v>
      </x:c>
      <x:c r="B1256" s="28" t="n">
        <x:v>528.18</x:v>
      </x:c>
      <x:c r="C1256" s="28" t="n">
        <x:v>581</x:v>
      </x:c>
      <x:c r="D1256" s="31" t="n">
        <x:f>IF(OR(ISBLANK(B1256),ISBLANK(C1256),B1256=0),"",(C1256-B1256)/B1256)</x:f>
        <x:v>0.10000378658790575</x:v>
      </x:c>
      <x:c r="E1256" s="22" t="str">
        <x:f>IF(ISBLANK(C1256),"AmountIncludingTax缺失",IF(ABS(B1256-C1256)&lt;0.005,"一致","不一致"))</x:f>
        <x:v>不一致</x:v>
      </x:c>
      <x:c r="F1256" s="19" t="str">
        <x:v>approved</x:v>
      </x:c>
      <x:c r="G1256" s="19" t="str">
        <x:v>Repair in Progress</x:v>
      </x:c>
      <x:c r="H1256" s="19" t="str">
        <x:v>In Field</x:v>
      </x:c>
      <x:c r="I1256" s="37" t="n">
        <x:v>46156</x:v>
      </x:c>
      <x:c r="J1256" s="37" t="n">
        <x:v>46156</x:v>
      </x:c>
      <x:c r="K1256" s="19" t="str">
        <x:v>Regent RV - Perth</x:v>
      </x:c>
      <x:c r="L1256" s="19" t="str">
        <x:v>Z006</x:v>
      </x:c>
      <x:c r="M1256" s="19" t="str">
        <x:v>In Field Warranty Claims</x:v>
      </x:c>
      <x:c r="N1256" s="37" t="n">
        <x:v>46155</x:v>
      </x:c>
      <x:c r="O1256" s="37"/>
      <x:c r="P1256" s="34" t="n">
        <x:v>581</x:v>
      </x:c>
      <x:c r="Q1256" s="37" t="n">
        <x:v>46156.04508101852</x:v>
      </x:c>
    </x:row>
    <x:row r="1257">
      <x:c r="A1257" s="22" t="n">
        <x:v>34880</x:v>
      </x:c>
      <x:c r="B1257" s="28" t="n">
        <x:v>270</x:v>
      </x:c>
      <x:c r="C1257" s="28" t="n">
        <x:v>297</x:v>
      </x:c>
      <x:c r="D1257" s="31" t="n">
        <x:f>IF(OR(ISBLANK(B1257),ISBLANK(C1257),B1257=0),"",(C1257-B1257)/B1257)</x:f>
        <x:v>0.1</x:v>
      </x:c>
      <x:c r="E1257" s="22" t="str">
        <x:f>IF(ISBLANK(C1257),"AmountIncludingTax缺失",IF(ABS(B1257-C1257)&lt;0.005,"一致","不一致"))</x:f>
        <x:v>不一致</x:v>
      </x:c>
      <x:c r="F1257" s="19" t="str">
        <x:v>approved</x:v>
      </x:c>
      <x:c r="G1257" s="19" t="str">
        <x:v>Repair in Progress</x:v>
      </x:c>
      <x:c r="H1257" s="19" t="str">
        <x:v>Pre Delivery</x:v>
      </x:c>
      <x:c r="I1257" s="37" t="n">
        <x:v>46162</x:v>
      </x:c>
      <x:c r="J1257" s="37" t="n">
        <x:v>46162</x:v>
      </x:c>
      <x:c r="K1257" s="19" t="str">
        <x:v>Leisure Lion - Bundaberg</x:v>
      </x:c>
      <x:c r="L1257" s="19" t="str">
        <x:v>Z005</x:v>
      </x:c>
      <x:c r="M1257" s="19" t="str">
        <x:v>Pre Delivery Warranty Claims</x:v>
      </x:c>
      <x:c r="N1257" s="37" t="n">
        <x:v>46155</x:v>
      </x:c>
      <x:c r="O1257" s="37"/>
      <x:c r="P1257" s="34" t="n">
        <x:v>297</x:v>
      </x:c>
      <x:c r="Q1257" s="37" t="n">
        <x:v>46162.05636574074</x:v>
      </x:c>
    </x:row>
    <x:row r="1258">
      <x:c r="A1258" s="22" t="n">
        <x:v>34879</x:v>
      </x:c>
      <x:c r="B1258" s="28" t="n">
        <x:v>327.27</x:v>
      </x:c>
      <x:c r="C1258" s="28" t="n">
        <x:v>360</x:v>
      </x:c>
      <x:c r="D1258" s="31" t="n">
        <x:f>IF(OR(ISBLANK(B1258),ISBLANK(C1258),B1258=0),"",(C1258-B1258)/B1258)</x:f>
        <x:v>0.10000916674305625</x:v>
      </x:c>
      <x:c r="E1258" s="22" t="str">
        <x:f>IF(ISBLANK(C1258),"AmountIncludingTax缺失",IF(ABS(B1258-C1258)&lt;0.005,"一致","不一致"))</x:f>
        <x:v>不一致</x:v>
      </x:c>
      <x:c r="F1258" s="19" t="str">
        <x:v>approved</x:v>
      </x:c>
      <x:c r="G1258" s="19" t="str">
        <x:v>Repairer Invoiced Processed</x:v>
      </x:c>
      <x:c r="H1258" s="19" t="str">
        <x:v>In Field</x:v>
      </x:c>
      <x:c r="I1258" s="37" t="n">
        <x:v>46183</x:v>
      </x:c>
      <x:c r="J1258" s="37" t="n">
        <x:v>46183</x:v>
      </x:c>
      <x:c r="K1258" s="19" t="str">
        <x:v>Regent RV - Traralgon</x:v>
      </x:c>
      <x:c r="L1258" s="19" t="str">
        <x:v>Z006</x:v>
      </x:c>
      <x:c r="M1258" s="19" t="str">
        <x:v>In Field Warranty Claims</x:v>
      </x:c>
      <x:c r="N1258" s="37" t="n">
        <x:v>46155</x:v>
      </x:c>
      <x:c r="O1258" s="37"/>
      <x:c r="P1258" s="34" t="n">
        <x:v>360</x:v>
      </x:c>
      <x:c r="Q1258" s="37" t="n">
        <x:v>46182.9452662037</x:v>
      </x:c>
    </x:row>
    <x:row r="1259">
      <x:c r="A1259" s="22" t="n">
        <x:v>34878</x:v>
      </x:c>
      <x:c r="B1259" s="28" t="n">
        <x:v>247.5</x:v>
      </x:c>
      <x:c r="C1259" s="28"/>
      <x:c r="D1259" s="31" t="str">
        <x:f>IF(OR(ISBLANK(B1259),ISBLANK(C1259),B1259=0),"",(C1259-B1259)/B1259)</x:f>
      </x:c>
      <x:c r="E1259" s="22" t="str">
        <x:f>IF(ISBLANK(C1259),"AmountIncludingTax缺失",IF(ABS(B1259-C1259)&lt;0.005,"一致","不一致"))</x:f>
        <x:v>AmountIncludingTax缺失</x:v>
      </x:c>
      <x:c r="F1259" s="19" t="str">
        <x:v>approved</x:v>
      </x:c>
      <x:c r="G1259" s="19" t="str">
        <x:v>Partially Picked</x:v>
      </x:c>
      <x:c r="H1259" s="19" t="str">
        <x:v>In Field</x:v>
      </x:c>
      <x:c r="I1259" s="37" t="n">
        <x:v>46178</x:v>
      </x:c>
      <x:c r="J1259" s="37" t="n">
        <x:v>46178</x:v>
      </x:c>
      <x:c r="K1259" s="19" t="str">
        <x:v>Auswide Caravans - South Nowra</x:v>
      </x:c>
      <x:c r="L1259" s="19" t="str">
        <x:v>Z006</x:v>
      </x:c>
      <x:c r="M1259" s="19" t="str">
        <x:v>In Field Warranty Claims</x:v>
      </x:c>
      <x:c r="N1259" s="37" t="n">
        <x:v>46155</x:v>
      </x:c>
      <x:c r="O1259" s="37"/>
      <x:c r="P1259" s="34" t="n">
        <x:v>0</x:v>
      </x:c>
      <x:c r="Q1259" s="37" t="n">
        <x:v>46178.128599537034</x:v>
      </x:c>
    </x:row>
    <x:row r="1260">
      <x:c r="A1260" s="22" t="n">
        <x:v>34877</x:v>
      </x:c>
      <x:c r="B1260" s="28" t="n">
        <x:v>135</x:v>
      </x:c>
      <x:c r="C1260" s="28" t="n">
        <x:v>148.5</x:v>
      </x:c>
      <x:c r="D1260" s="31" t="n">
        <x:f>IF(OR(ISBLANK(B1260),ISBLANK(C1260),B1260=0),"",(C1260-B1260)/B1260)</x:f>
        <x:v>0.1</x:v>
      </x:c>
      <x:c r="E1260" s="22" t="str">
        <x:f>IF(ISBLANK(C1260),"AmountIncludingTax缺失",IF(ABS(B1260-C1260)&lt;0.005,"一致","不一致"))</x:f>
        <x:v>不一致</x:v>
      </x:c>
      <x:c r="F1260" s="19" t="str">
        <x:v>approved</x:v>
      </x:c>
      <x:c r="G1260" s="19" t="str">
        <x:v>Repairer Invoiced Processed</x:v>
      </x:c>
      <x:c r="H1260" s="19" t="str">
        <x:v>In Field</x:v>
      </x:c>
      <x:c r="I1260" s="37" t="n">
        <x:v>46184</x:v>
      </x:c>
      <x:c r="J1260" s="37" t="n">
        <x:v>46157</x:v>
      </x:c>
      <x:c r="K1260" s="19" t="str">
        <x:v>Green RV - Forest Glen</x:v>
      </x:c>
      <x:c r="L1260" s="19" t="str">
        <x:v>Z006</x:v>
      </x:c>
      <x:c r="M1260" s="19" t="str">
        <x:v>In Field Warranty Claims</x:v>
      </x:c>
      <x:c r="N1260" s="37" t="n">
        <x:v>46155</x:v>
      </x:c>
      <x:c r="O1260" s="37"/>
      <x:c r="P1260" s="34" t="n">
        <x:v>148.5</x:v>
      </x:c>
      <x:c r="Q1260" s="37" t="n">
        <x:v>46183.97865740741</x:v>
      </x:c>
    </x:row>
    <x:row r="1261">
      <x:c r="A1261" s="22" t="n">
        <x:v>34876</x:v>
      </x:c>
      <x:c r="B1261" s="28" t="n">
        <x:v>199.95</x:v>
      </x:c>
      <x:c r="C1261" s="28" t="n">
        <x:v>219.95</x:v>
      </x:c>
      <x:c r="D1261" s="31" t="n">
        <x:f>IF(OR(ISBLANK(B1261),ISBLANK(C1261),B1261=0),"",(C1261-B1261)/B1261)</x:f>
        <x:v>0.1000250062515629</x:v>
      </x:c>
      <x:c r="E1261" s="22" t="str">
        <x:f>IF(ISBLANK(C1261),"AmountIncludingTax缺失",IF(ABS(B1261-C1261)&lt;0.005,"一致","不一致"))</x:f>
        <x:v>不一致</x:v>
      </x:c>
      <x:c r="F1261" s="19" t="str">
        <x:v>approved</x:v>
      </x:c>
      <x:c r="G1261" s="19" t="str">
        <x:v>Repairer Invoiced Processed</x:v>
      </x:c>
      <x:c r="H1261" s="19" t="str">
        <x:v>In Field</x:v>
      </x:c>
      <x:c r="I1261" s="37" t="n">
        <x:v>46170</x:v>
      </x:c>
      <x:c r="J1261" s="37" t="n">
        <x:v>46170</x:v>
      </x:c>
      <x:c r="K1261" s="19" t="str">
        <x:v>Regent RV - Perth</x:v>
      </x:c>
      <x:c r="L1261" s="19" t="str">
        <x:v>Z006</x:v>
      </x:c>
      <x:c r="M1261" s="19" t="str">
        <x:v>In Field Warranty Claims</x:v>
      </x:c>
      <x:c r="N1261" s="37" t="n">
        <x:v>46155</x:v>
      </x:c>
      <x:c r="O1261" s="37"/>
      <x:c r="P1261" s="34" t="n">
        <x:v>219.95</x:v>
      </x:c>
      <x:c r="Q1261" s="37" t="n">
        <x:v>46169.97645833333</x:v>
      </x:c>
    </x:row>
    <x:row r="1262">
      <x:c r="A1262" s="22" t="n">
        <x:v>34875</x:v>
      </x:c>
      <x:c r="B1262" s="28" t="n">
        <x:v>1491.25</x:v>
      </x:c>
      <x:c r="C1262" s="28"/>
      <x:c r="D1262" s="31" t="str">
        <x:f>IF(OR(ISBLANK(B1262),ISBLANK(C1262),B1262=0),"",(C1262-B1262)/B1262)</x:f>
      </x:c>
      <x:c r="E1262" s="22" t="str">
        <x:f>IF(ISBLANK(C1262),"AmountIncludingTax缺失",IF(ABS(B1262-C1262)&lt;0.005,"一致","不一致"))</x:f>
        <x:v>AmountIncludingTax缺失</x:v>
      </x:c>
      <x:c r="F1262" s="19" t="str">
        <x:v>approved</x:v>
      </x:c>
      <x:c r="G1262" s="19" t="str">
        <x:v>Repairer Invoiced Processed</x:v>
      </x:c>
      <x:c r="H1262" s="19" t="str">
        <x:v>In Field</x:v>
      </x:c>
      <x:c r="I1262" s="37" t="n">
        <x:v>46198</x:v>
      </x:c>
      <x:c r="J1262" s="37" t="n">
        <x:v>46198</x:v>
      </x:c>
      <x:c r="K1262" s="19" t="str">
        <x:v>Regent RV - Frankston</x:v>
      </x:c>
      <x:c r="L1262" s="19" t="str">
        <x:v>Z006</x:v>
      </x:c>
      <x:c r="M1262" s="19" t="str">
        <x:v>In Field Warranty Claims</x:v>
      </x:c>
      <x:c r="N1262" s="37" t="n">
        <x:v>46155</x:v>
      </x:c>
      <x:c r="O1262" s="37"/>
      <x:c r="P1262" s="34" t="n">
        <x:v>0</x:v>
      </x:c>
      <x:c r="Q1262" s="37" t="n">
        <x:v>46198.108460648145</x:v>
      </x:c>
    </x:row>
    <x:row r="1263">
      <x:c r="A1263" s="22" t="n">
        <x:v>34874</x:v>
      </x:c>
      <x:c r="B1263" s="28" t="n">
        <x:v>540</x:v>
      </x:c>
      <x:c r="C1263" s="28"/>
      <x:c r="D1263" s="31" t="str">
        <x:f>IF(OR(ISBLANK(B1263),ISBLANK(C1263),B1263=0),"",(C1263-B1263)/B1263)</x:f>
      </x:c>
      <x:c r="E1263" s="22" t="str">
        <x:f>IF(ISBLANK(C1263),"AmountIncludingTax缺失",IF(ABS(B1263-C1263)&lt;0.005,"一致","不一致"))</x:f>
        <x:v>AmountIncludingTax缺失</x:v>
      </x:c>
      <x:c r="F1263" s="19" t="str">
        <x:v>approved</x:v>
      </x:c>
      <x:c r="G1263" s="19" t="str">
        <x:v>Repair in Progress</x:v>
      </x:c>
      <x:c r="H1263" s="19" t="str">
        <x:v>In Field</x:v>
      </x:c>
      <x:c r="I1263" s="37" t="n">
        <x:v>46156</x:v>
      </x:c>
      <x:c r="J1263" s="37" t="n">
        <x:v>46156</x:v>
      </x:c>
      <x:c r="K1263" s="19" t="str">
        <x:v>Bendigo Caravan Group - Bendigo</x:v>
      </x:c>
      <x:c r="L1263" s="19" t="str">
        <x:v>Z006</x:v>
      </x:c>
      <x:c r="M1263" s="19" t="str">
        <x:v>In Field Warranty Claims</x:v>
      </x:c>
      <x:c r="N1263" s="37" t="n">
        <x:v>46155</x:v>
      </x:c>
      <x:c r="O1263" s="37"/>
      <x:c r="P1263" s="34" t="n">
        <x:v>0</x:v>
      </x:c>
      <x:c r="Q1263" s="37" t="n">
        <x:v>46156.088692129626</x:v>
      </x:c>
    </x:row>
    <x:row r="1264">
      <x:c r="A1264" s="22" t="n">
        <x:v>34873</x:v>
      </x:c>
      <x:c r="B1264" s="28" t="n">
        <x:v>114.23</x:v>
      </x:c>
      <x:c r="C1264" s="28" t="n">
        <x:v>125.65</x:v>
      </x:c>
      <x:c r="D1264" s="31" t="n">
        <x:f>IF(OR(ISBLANK(B1264),ISBLANK(C1264),B1264=0),"",(C1264-B1264)/B1264)</x:f>
        <x:v>0.09997373719688349</x:v>
      </x:c>
      <x:c r="E1264" s="22" t="str">
        <x:f>IF(ISBLANK(C1264),"AmountIncludingTax缺失",IF(ABS(B1264-C1264)&lt;0.005,"一致","不一致"))</x:f>
        <x:v>不一致</x:v>
      </x:c>
      <x:c r="F1264" s="19" t="str">
        <x:v>approved</x:v>
      </x:c>
      <x:c r="G1264" s="19" t="str">
        <x:v>Repairer Invoiced Processed</x:v>
      </x:c>
      <x:c r="H1264" s="19" t="str">
        <x:v>In Field</x:v>
      </x:c>
      <x:c r="I1264" s="37" t="n">
        <x:v>46160</x:v>
      </x:c>
      <x:c r="J1264" s="37" t="n">
        <x:v>46160</x:v>
      </x:c>
      <x:c r="K1264" s="19" t="str">
        <x:v>Newcastle RV Super Centre - Beresfield</x:v>
      </x:c>
      <x:c r="L1264" s="19" t="str">
        <x:v>Z006</x:v>
      </x:c>
      <x:c r="M1264" s="19" t="str">
        <x:v>In Field Warranty Claims</x:v>
      </x:c>
      <x:c r="N1264" s="37" t="n">
        <x:v>46155</x:v>
      </x:c>
      <x:c r="O1264" s="37"/>
      <x:c r="P1264" s="34" t="n">
        <x:v>125.65</x:v>
      </x:c>
      <x:c r="Q1264" s="37" t="n">
        <x:v>46159.97136574074</x:v>
      </x:c>
    </x:row>
    <x:row r="1265">
      <x:c r="A1265" s="22" t="n">
        <x:v>34872</x:v>
      </x:c>
      <x:c r="B1265" s="28" t="n">
        <x:v>202.5</x:v>
      </x:c>
      <x:c r="C1265" s="28"/>
      <x:c r="D1265" s="31" t="str">
        <x:f>IF(OR(ISBLANK(B1265),ISBLANK(C1265),B1265=0),"",(C1265-B1265)/B1265)</x:f>
      </x:c>
      <x:c r="E1265" s="22" t="str">
        <x:f>IF(ISBLANK(C1265),"AmountIncludingTax缺失",IF(ABS(B1265-C1265)&lt;0.005,"一致","不一致"))</x:f>
        <x:v>AmountIncludingTax缺失</x:v>
      </x:c>
      <x:c r="F1265" s="19" t="str">
        <x:v>approved</x:v>
      </x:c>
      <x:c r="G1265" s="19" t="str">
        <x:v>Repair in Progress</x:v>
      </x:c>
      <x:c r="H1265" s="19" t="str">
        <x:v>In Field</x:v>
      </x:c>
      <x:c r="I1265" s="37" t="n">
        <x:v>46164</x:v>
      </x:c>
      <x:c r="J1265" s="37" t="n">
        <x:v>46164</x:v>
      </x:c>
      <x:c r="K1265" s="19" t="str">
        <x:v>Snowy River Launceston</x:v>
      </x:c>
      <x:c r="L1265" s="19" t="str">
        <x:v>Z006</x:v>
      </x:c>
      <x:c r="M1265" s="19" t="str">
        <x:v>In Field Warranty Claims</x:v>
      </x:c>
      <x:c r="N1265" s="37" t="n">
        <x:v>46155</x:v>
      </x:c>
      <x:c r="O1265" s="37"/>
      <x:c r="P1265" s="34" t="n">
        <x:v>0</x:v>
      </x:c>
      <x:c r="Q1265" s="37" t="n">
        <x:v>46163.937430555554</x:v>
      </x:c>
    </x:row>
    <x:row r="1266">
      <x:c r="A1266" s="22" t="n">
        <x:v>34871</x:v>
      </x:c>
      <x:c r="B1266" s="28" t="n">
        <x:v>506.25</x:v>
      </x:c>
      <x:c r="C1266" s="28"/>
      <x:c r="D1266" s="31" t="str">
        <x:f>IF(OR(ISBLANK(B1266),ISBLANK(C1266),B1266=0),"",(C1266-B1266)/B1266)</x:f>
      </x:c>
      <x:c r="E1266" s="22" t="str">
        <x:f>IF(ISBLANK(C1266),"AmountIncludingTax缺失",IF(ABS(B1266-C1266)&lt;0.005,"一致","不一致"))</x:f>
        <x:v>AmountIncludingTax缺失</x:v>
      </x:c>
      <x:c r="F1266" s="19" t="str">
        <x:v>approved</x:v>
      </x:c>
      <x:c r="G1266" s="19" t="str">
        <x:v>Repair in Progress</x:v>
      </x:c>
      <x:c r="H1266" s="19" t="str">
        <x:v>In Field</x:v>
      </x:c>
      <x:c r="I1266" s="37" t="n">
        <x:v>46163</x:v>
      </x:c>
      <x:c r="J1266" s="37" t="n">
        <x:v>46163</x:v>
      </x:c>
      <x:c r="K1266" s="19" t="str">
        <x:v>Snowy River Launceston</x:v>
      </x:c>
      <x:c r="L1266" s="19" t="str">
        <x:v>Z006</x:v>
      </x:c>
      <x:c r="M1266" s="19" t="str">
        <x:v>In Field Warranty Claims</x:v>
      </x:c>
      <x:c r="N1266" s="37" t="n">
        <x:v>46155</x:v>
      </x:c>
      <x:c r="O1266" s="37"/>
      <x:c r="P1266" s="34" t="n">
        <x:v>0</x:v>
      </x:c>
      <x:c r="Q1266" s="37" t="n">
        <x:v>46163.168807870374</x:v>
      </x:c>
    </x:row>
    <x:row r="1267">
      <x:c r="A1267" s="22" t="n">
        <x:v>34868</x:v>
      </x:c>
      <x:c r="B1267" s="28" t="n">
        <x:v>306.33</x:v>
      </x:c>
      <x:c r="C1267" s="28" t="n">
        <x:v>336.96</x:v>
      </x:c>
      <x:c r="D1267" s="31" t="n">
        <x:f>IF(OR(ISBLANK(B1267),ISBLANK(C1267),B1267=0),"",(C1267-B1267)/B1267)</x:f>
        <x:v>0.09999020663989813</x:v>
      </x:c>
      <x:c r="E1267" s="22" t="str">
        <x:f>IF(ISBLANK(C1267),"AmountIncludingTax缺失",IF(ABS(B1267-C1267)&lt;0.005,"一致","不一致"))</x:f>
        <x:v>不一致</x:v>
      </x:c>
      <x:c r="F1267" s="19" t="str">
        <x:v>approved</x:v>
      </x:c>
      <x:c r="G1267" s="19" t="str">
        <x:v>Repairer Invoiced Processed</x:v>
      </x:c>
      <x:c r="H1267" s="19" t="str">
        <x:v>In Field</x:v>
      </x:c>
      <x:c r="I1267" s="37" t="n">
        <x:v>46176</x:v>
      </x:c>
      <x:c r="J1267" s="37" t="n">
        <x:v>46176</x:v>
      </x:c>
      <x:c r="K1267" s="19" t="str">
        <x:v>Regent RV - Perth</x:v>
      </x:c>
      <x:c r="L1267" s="19" t="str">
        <x:v>Z006</x:v>
      </x:c>
      <x:c r="M1267" s="19" t="str">
        <x:v>In Field Warranty Claims</x:v>
      </x:c>
      <x:c r="N1267" s="37" t="n">
        <x:v>46156</x:v>
      </x:c>
      <x:c r="O1267" s="37"/>
      <x:c r="P1267" s="34" t="n">
        <x:v>336.96</x:v>
      </x:c>
      <x:c r="Q1267" s="37" t="n">
        <x:v>46176.19113425926</x:v>
      </x:c>
    </x:row>
    <x:row r="1268">
      <x:c r="A1268" s="22" t="n">
        <x:v>34865</x:v>
      </x:c>
      <x:c r="B1268" s="28" t="n">
        <x:v>420</x:v>
      </x:c>
      <x:c r="C1268" s="28" t="n">
        <x:v>462</x:v>
      </x:c>
      <x:c r="D1268" s="31" t="n">
        <x:f>IF(OR(ISBLANK(B1268),ISBLANK(C1268),B1268=0),"",(C1268-B1268)/B1268)</x:f>
        <x:v>0.1</x:v>
      </x:c>
      <x:c r="E1268" s="22" t="str">
        <x:f>IF(ISBLANK(C1268),"AmountIncludingTax缺失",IF(ABS(B1268-C1268)&lt;0.005,"一致","不一致"))</x:f>
        <x:v>不一致</x:v>
      </x:c>
      <x:c r="F1268" s="19" t="str">
        <x:v>approved</x:v>
      </x:c>
      <x:c r="G1268" s="19" t="str">
        <x:v>Repairer Invoiced Processed</x:v>
      </x:c>
      <x:c r="H1268" s="19" t="str">
        <x:v>In Field</x:v>
      </x:c>
      <x:c r="I1268" s="37" t="n">
        <x:v>46155</x:v>
      </x:c>
      <x:c r="J1268" s="37" t="n">
        <x:v>46155</x:v>
      </x:c>
      <x:c r="K1268" s="19" t="str">
        <x:v>Springvale Caravan Centre - Keysborough</x:v>
      </x:c>
      <x:c r="L1268" s="19" t="str">
        <x:v>Z006</x:v>
      </x:c>
      <x:c r="M1268" s="19" t="str">
        <x:v>In Field Warranty Claims</x:v>
      </x:c>
      <x:c r="N1268" s="37" t="n">
        <x:v>46155</x:v>
      </x:c>
      <x:c r="O1268" s="37"/>
      <x:c r="P1268" s="34" t="n">
        <x:v>462</x:v>
      </x:c>
      <x:c r="Q1268" s="37" t="n">
        <x:v>46155.49736111111</x:v>
      </x:c>
    </x:row>
    <x:row r="1269">
      <x:c r="A1269" s="22" t="n">
        <x:v>34864</x:v>
      </x:c>
      <x:c r="B1269" s="28" t="n">
        <x:v>420</x:v>
      </x:c>
      <x:c r="C1269" s="28" t="n">
        <x:v>462</x:v>
      </x:c>
      <x:c r="D1269" s="31" t="n">
        <x:f>IF(OR(ISBLANK(B1269),ISBLANK(C1269),B1269=0),"",(C1269-B1269)/B1269)</x:f>
        <x:v>0.1</x:v>
      </x:c>
      <x:c r="E1269" s="22" t="str">
        <x:f>IF(ISBLANK(C1269),"AmountIncludingTax缺失",IF(ABS(B1269-C1269)&lt;0.005,"一致","不一致"))</x:f>
        <x:v>不一致</x:v>
      </x:c>
      <x:c r="F1269" s="19" t="str">
        <x:v>approved</x:v>
      </x:c>
      <x:c r="G1269" s="19" t="str">
        <x:v>Repairer Invoiced Processed</x:v>
      </x:c>
      <x:c r="H1269" s="19" t="str">
        <x:v>In Field</x:v>
      </x:c>
      <x:c r="I1269" s="37" t="n">
        <x:v>46155</x:v>
      </x:c>
      <x:c r="J1269" s="37" t="n">
        <x:v>46155</x:v>
      </x:c>
      <x:c r="K1269" s="19" t="str">
        <x:v>Not Assigned</x:v>
      </x:c>
      <x:c r="L1269" s="19" t="str">
        <x:v>Z006</x:v>
      </x:c>
      <x:c r="M1269" s="19" t="str">
        <x:v>In Field Warranty Claims</x:v>
      </x:c>
      <x:c r="N1269" s="37" t="n">
        <x:v>46155</x:v>
      </x:c>
      <x:c r="O1269" s="37"/>
      <x:c r="P1269" s="34" t="n">
        <x:v>462</x:v>
      </x:c>
      <x:c r="Q1269" s="37" t="n">
        <x:v>46155.49858796296</x:v>
      </x:c>
    </x:row>
    <x:row r="1270">
      <x:c r="A1270" s="22" t="n">
        <x:v>34861</x:v>
      </x:c>
      <x:c r="B1270" s="28" t="n">
        <x:v>470</x:v>
      </x:c>
      <x:c r="C1270" s="28"/>
      <x:c r="D1270" s="31" t="str">
        <x:f>IF(OR(ISBLANK(B1270),ISBLANK(C1270),B1270=0),"",(C1270-B1270)/B1270)</x:f>
      </x:c>
      <x:c r="E1270" s="22" t="str">
        <x:f>IF(ISBLANK(C1270),"AmountIncludingTax缺失",IF(ABS(B1270-C1270)&lt;0.005,"一致","不一致"))</x:f>
        <x:v>AmountIncludingTax缺失</x:v>
      </x:c>
      <x:c r="F1270" s="19" t="str">
        <x:v>approved</x:v>
      </x:c>
      <x:c r="G1270" s="19" t="str">
        <x:v>Repair in Progress</x:v>
      </x:c>
      <x:c r="H1270" s="19" t="str">
        <x:v>In Field</x:v>
      </x:c>
      <x:c r="I1270" s="37" t="n">
        <x:v>46196</x:v>
      </x:c>
      <x:c r="J1270" s="37" t="n">
        <x:v>46192</x:v>
      </x:c>
      <x:c r="K1270" s="19" t="str">
        <x:v>Green RV - Forest Glen</x:v>
      </x:c>
      <x:c r="L1270" s="19" t="str">
        <x:v>Z006</x:v>
      </x:c>
      <x:c r="M1270" s="19" t="str">
        <x:v>In Field Warranty Claims</x:v>
      </x:c>
      <x:c r="N1270" s="37" t="n">
        <x:v>46154</x:v>
      </x:c>
      <x:c r="O1270" s="37"/>
      <x:c r="P1270" s="34" t="n">
        <x:v>0</x:v>
      </x:c>
      <x:c r="Q1270" s="37" t="n">
        <x:v>46195.97736111111</x:v>
      </x:c>
    </x:row>
    <x:row r="1271">
      <x:c r="A1271" s="22" t="n">
        <x:v>34860</x:v>
      </x:c>
      <x:c r="B1271" s="28" t="n">
        <x:v>72.5</x:v>
      </x:c>
      <x:c r="C1271" s="28"/>
      <x:c r="D1271" s="31" t="str">
        <x:f>IF(OR(ISBLANK(B1271),ISBLANK(C1271),B1271=0),"",(C1271-B1271)/B1271)</x:f>
      </x:c>
      <x:c r="E1271" s="22" t="str">
        <x:f>IF(ISBLANK(C1271),"AmountIncludingTax缺失",IF(ABS(B1271-C1271)&lt;0.005,"一致","不一致"))</x:f>
        <x:v>AmountIncludingTax缺失</x:v>
      </x:c>
      <x:c r="F1271" s="19" t="str">
        <x:v>approved</x:v>
      </x:c>
      <x:c r="G1271" s="19" t="str">
        <x:v>Repairer Invoiced Processed</x:v>
      </x:c>
      <x:c r="H1271" s="19" t="str">
        <x:v>In Field</x:v>
      </x:c>
      <x:c r="I1271" s="37" t="n">
        <x:v>46170</x:v>
      </x:c>
      <x:c r="J1271" s="37" t="n">
        <x:v>46170</x:v>
      </x:c>
      <x:c r="K1271" s="19" t="str">
        <x:v>The Caravan Hub - Townsville</x:v>
      </x:c>
      <x:c r="L1271" s="19" t="str">
        <x:v>Z006</x:v>
      </x:c>
      <x:c r="M1271" s="19" t="str">
        <x:v>In Field Warranty Claims</x:v>
      </x:c>
      <x:c r="N1271" s="37" t="n">
        <x:v>46155</x:v>
      </x:c>
      <x:c r="O1271" s="37"/>
      <x:c r="P1271" s="34" t="n">
        <x:v>0</x:v>
      </x:c>
      <x:c r="Q1271" s="37" t="n">
        <x:v>46169.972974537035</x:v>
      </x:c>
    </x:row>
    <x:row r="1272">
      <x:c r="A1272" s="22" t="n">
        <x:v>34859</x:v>
      </x:c>
      <x:c r="B1272" s="28" t="n">
        <x:v>945</x:v>
      </x:c>
      <x:c r="C1272" s="28"/>
      <x:c r="D1272" s="31" t="str">
        <x:f>IF(OR(ISBLANK(B1272),ISBLANK(C1272),B1272=0),"",(C1272-B1272)/B1272)</x:f>
      </x:c>
      <x:c r="E1272" s="22" t="str">
        <x:f>IF(ISBLANK(C1272),"AmountIncludingTax缺失",IF(ABS(B1272-C1272)&lt;0.005,"一致","不一致"))</x:f>
        <x:v>AmountIncludingTax缺失</x:v>
      </x:c>
      <x:c r="F1272" s="19" t="str">
        <x:v>approved</x:v>
      </x:c>
      <x:c r="G1272" s="19" t="str">
        <x:v>Partially Picked</x:v>
      </x:c>
      <x:c r="H1272" s="19" t="str">
        <x:v>In Field</x:v>
      </x:c>
      <x:c r="I1272" s="37" t="n">
        <x:v>46174</x:v>
      </x:c>
      <x:c r="J1272" s="37" t="n">
        <x:v>46170</x:v>
      </x:c>
      <x:c r="K1272" s="19" t="str">
        <x:v>Snowy River Launceston</x:v>
      </x:c>
      <x:c r="L1272" s="19" t="str">
        <x:v>Z006</x:v>
      </x:c>
      <x:c r="M1272" s="19" t="str">
        <x:v>In Field Warranty Claims</x:v>
      </x:c>
      <x:c r="N1272" s="37" t="n">
        <x:v>46155</x:v>
      </x:c>
      <x:c r="O1272" s="37"/>
      <x:c r="P1272" s="34" t="n">
        <x:v>0</x:v>
      </x:c>
      <x:c r="Q1272" s="37" t="n">
        <x:v>46173.93344907407</x:v>
      </x:c>
    </x:row>
    <x:row r="1273">
      <x:c r="A1273" s="22" t="n">
        <x:v>34858</x:v>
      </x:c>
      <x:c r="B1273" s="28" t="n">
        <x:v>101.25</x:v>
      </x:c>
      <x:c r="C1273" s="28"/>
      <x:c r="D1273" s="31" t="str">
        <x:f>IF(OR(ISBLANK(B1273),ISBLANK(C1273),B1273=0),"",(C1273-B1273)/B1273)</x:f>
      </x:c>
      <x:c r="E1273" s="22" t="str">
        <x:f>IF(ISBLANK(C1273),"AmountIncludingTax缺失",IF(ABS(B1273-C1273)&lt;0.005,"一致","不一致"))</x:f>
        <x:v>AmountIncludingTax缺失</x:v>
      </x:c>
      <x:c r="F1273" s="19" t="str">
        <x:v>approved</x:v>
      </x:c>
      <x:c r="G1273" s="19" t="str">
        <x:v>Repair in Progress</x:v>
      </x:c>
      <x:c r="H1273" s="19" t="str">
        <x:v>In Field</x:v>
      </x:c>
      <x:c r="I1273" s="37" t="n">
        <x:v>46163</x:v>
      </x:c>
      <x:c r="J1273" s="37" t="n">
        <x:v>46163</x:v>
      </x:c>
      <x:c r="K1273" s="19" t="str">
        <x:v>Snowy River Wangaratta</x:v>
      </x:c>
      <x:c r="L1273" s="19" t="str">
        <x:v>Z006</x:v>
      </x:c>
      <x:c r="M1273" s="19" t="str">
        <x:v>In Field Warranty Claims</x:v>
      </x:c>
      <x:c r="N1273" s="37" t="n">
        <x:v>46154</x:v>
      </x:c>
      <x:c r="O1273" s="37"/>
      <x:c r="P1273" s="34" t="n">
        <x:v>0</x:v>
      </x:c>
      <x:c r="Q1273" s="37" t="n">
        <x:v>46163.1184375</x:v>
      </x:c>
    </x:row>
    <x:row r="1274">
      <x:c r="A1274" s="22" t="n">
        <x:v>34857</x:v>
      </x:c>
      <x:c r="B1274" s="28" t="n">
        <x:v>1078.2</x:v>
      </x:c>
      <x:c r="C1274" s="28"/>
      <x:c r="D1274" s="31" t="str">
        <x:f>IF(OR(ISBLANK(B1274),ISBLANK(C1274),B1274=0),"",(C1274-B1274)/B1274)</x:f>
      </x:c>
      <x:c r="E1274" s="22" t="str">
        <x:f>IF(ISBLANK(C1274),"AmountIncludingTax缺失",IF(ABS(B1274-C1274)&lt;0.005,"一致","不一致"))</x:f>
        <x:v>AmountIncludingTax缺失</x:v>
      </x:c>
      <x:c r="F1274" s="19" t="str">
        <x:v>approved</x:v>
      </x:c>
      <x:c r="G1274" s="19" t="str">
        <x:v>Repair in Progress</x:v>
      </x:c>
      <x:c r="H1274" s="19" t="str">
        <x:v>In Field</x:v>
      </x:c>
      <x:c r="I1274" s="37" t="n">
        <x:v>46164</x:v>
      </x:c>
      <x:c r="J1274" s="37" t="n">
        <x:v>46164</x:v>
      </x:c>
      <x:c r="K1274" s="19" t="str">
        <x:v>Snowy River Launceston</x:v>
      </x:c>
      <x:c r="L1274" s="19" t="str">
        <x:v>Z006</x:v>
      </x:c>
      <x:c r="M1274" s="19" t="str">
        <x:v>In Field Warranty Claims</x:v>
      </x:c>
      <x:c r="N1274" s="37" t="n">
        <x:v>46154</x:v>
      </x:c>
      <x:c r="O1274" s="37"/>
      <x:c r="P1274" s="34" t="n">
        <x:v>0</x:v>
      </x:c>
      <x:c r="Q1274" s="37" t="n">
        <x:v>46163.97891203704</x:v>
      </x:c>
    </x:row>
    <x:row r="1275">
      <x:c r="A1275" s="22" t="n">
        <x:v>34856</x:v>
      </x:c>
      <x:c r="B1275" s="28" t="n">
        <x:v>256.25</x:v>
      </x:c>
      <x:c r="C1275" s="28"/>
      <x:c r="D1275" s="31" t="str">
        <x:f>IF(OR(ISBLANK(B1275),ISBLANK(C1275),B1275=0),"",(C1275-B1275)/B1275)</x:f>
      </x:c>
      <x:c r="E1275" s="22" t="str">
        <x:f>IF(ISBLANK(C1275),"AmountIncludingTax缺失",IF(ABS(B1275-C1275)&lt;0.005,"一致","不一致"))</x:f>
        <x:v>AmountIncludingTax缺失</x:v>
      </x:c>
      <x:c r="F1275" s="19" t="str">
        <x:v>approved</x:v>
      </x:c>
      <x:c r="G1275" s="19" t="str">
        <x:v>Repair in Progress</x:v>
      </x:c>
      <x:c r="H1275" s="19" t="str">
        <x:v>In Field</x:v>
      </x:c>
      <x:c r="I1275" s="37" t="n">
        <x:v>46192</x:v>
      </x:c>
      <x:c r="J1275" s="37" t="n">
        <x:v>46192</x:v>
      </x:c>
      <x:c r="K1275" s="19" t="str">
        <x:v>Snowy River Launceston</x:v>
      </x:c>
      <x:c r="L1275" s="19" t="str">
        <x:v>Z006</x:v>
      </x:c>
      <x:c r="M1275" s="19" t="str">
        <x:v>In Field Warranty Claims</x:v>
      </x:c>
      <x:c r="N1275" s="37" t="n">
        <x:v>46154</x:v>
      </x:c>
      <x:c r="O1275" s="37"/>
      <x:c r="P1275" s="34" t="n">
        <x:v>0</x:v>
      </x:c>
      <x:c r="Q1275" s="37" t="n">
        <x:v>46191.90042824074</x:v>
      </x:c>
    </x:row>
    <x:row r="1276">
      <x:c r="A1276" s="22" t="n">
        <x:v>34855</x:v>
      </x:c>
      <x:c r="B1276" s="28" t="n">
        <x:v>776.25</x:v>
      </x:c>
      <x:c r="C1276" s="28"/>
      <x:c r="D1276" s="31" t="str">
        <x:f>IF(OR(ISBLANK(B1276),ISBLANK(C1276),B1276=0),"",(C1276-B1276)/B1276)</x:f>
      </x:c>
      <x:c r="E1276" s="22" t="str">
        <x:f>IF(ISBLANK(C1276),"AmountIncludingTax缺失",IF(ABS(B1276-C1276)&lt;0.005,"一致","不一致"))</x:f>
        <x:v>AmountIncludingTax缺失</x:v>
      </x:c>
      <x:c r="F1276" s="19" t="str">
        <x:v>approved</x:v>
      </x:c>
      <x:c r="G1276" s="19" t="str">
        <x:v>Repair in Progress</x:v>
      </x:c>
      <x:c r="H1276" s="19" t="str">
        <x:v>In Field</x:v>
      </x:c>
      <x:c r="I1276" s="37" t="n">
        <x:v>46164</x:v>
      </x:c>
      <x:c r="J1276" s="37" t="n">
        <x:v>46164</x:v>
      </x:c>
      <x:c r="K1276" s="19" t="str">
        <x:v>Snowy River Launceston</x:v>
      </x:c>
      <x:c r="L1276" s="19" t="str">
        <x:v>Z006</x:v>
      </x:c>
      <x:c r="M1276" s="19" t="str">
        <x:v>In Field Warranty Claims</x:v>
      </x:c>
      <x:c r="N1276" s="37" t="n">
        <x:v>46154</x:v>
      </x:c>
      <x:c r="O1276" s="37"/>
      <x:c r="P1276" s="34" t="n">
        <x:v>0</x:v>
      </x:c>
      <x:c r="Q1276" s="37" t="n">
        <x:v>46163.961377314816</x:v>
      </x:c>
    </x:row>
    <x:row r="1277">
      <x:c r="A1277" s="22" t="n">
        <x:v>34854</x:v>
      </x:c>
      <x:c r="B1277" s="28" t="n">
        <x:v>1383.75</x:v>
      </x:c>
      <x:c r="C1277" s="28"/>
      <x:c r="D1277" s="31" t="str">
        <x:f>IF(OR(ISBLANK(B1277),ISBLANK(C1277),B1277=0),"",(C1277-B1277)/B1277)</x:f>
      </x:c>
      <x:c r="E1277" s="22" t="str">
        <x:f>IF(ISBLANK(C1277),"AmountIncludingTax缺失",IF(ABS(B1277-C1277)&lt;0.005,"一致","不一致"))</x:f>
        <x:v>AmountIncludingTax缺失</x:v>
      </x:c>
      <x:c r="F1277" s="19" t="str">
        <x:v>approved</x:v>
      </x:c>
      <x:c r="G1277" s="19" t="str">
        <x:v>Repairer Invoiced Processed</x:v>
      </x:c>
      <x:c r="H1277" s="19" t="str">
        <x:v>Pre Delivery</x:v>
      </x:c>
      <x:c r="I1277" s="37" t="n">
        <x:v>46160</x:v>
      </x:c>
      <x:c r="J1277" s="37" t="n">
        <x:v>46160</x:v>
      </x:c>
      <x:c r="K1277" s="19" t="str">
        <x:v>Green RV - Slacks Creek</x:v>
      </x:c>
      <x:c r="L1277" s="19" t="str">
        <x:v>Z005</x:v>
      </x:c>
      <x:c r="M1277" s="19" t="str">
        <x:v>Pre Delivery Warranty Claims</x:v>
      </x:c>
      <x:c r="N1277" s="37" t="n">
        <x:v>46154</x:v>
      </x:c>
      <x:c r="O1277" s="37"/>
      <x:c r="P1277" s="34" t="n">
        <x:v>0</x:v>
      </x:c>
      <x:c r="Q1277" s="37" t="n">
        <x:v>46160.08056712963</x:v>
      </x:c>
    </x:row>
    <x:row r="1278">
      <x:c r="A1278" s="22" t="n">
        <x:v>34853</x:v>
      </x:c>
      <x:c r="B1278" s="28" t="n">
        <x:v>540</x:v>
      </x:c>
      <x:c r="C1278" s="28"/>
      <x:c r="D1278" s="31" t="str">
        <x:f>IF(OR(ISBLANK(B1278),ISBLANK(C1278),B1278=0),"",(C1278-B1278)/B1278)</x:f>
      </x:c>
      <x:c r="E1278" s="22" t="str">
        <x:f>IF(ISBLANK(C1278),"AmountIncludingTax缺失",IF(ABS(B1278-C1278)&lt;0.005,"一致","不一致"))</x:f>
        <x:v>AmountIncludingTax缺失</x:v>
      </x:c>
      <x:c r="F1278" s="19" t="str">
        <x:v>approved</x:v>
      </x:c>
      <x:c r="G1278" s="19" t="str">
        <x:v>Repair in Progress</x:v>
      </x:c>
      <x:c r="H1278" s="19" t="str">
        <x:v>In Field</x:v>
      </x:c>
      <x:c r="I1278" s="37" t="n">
        <x:v>46155</x:v>
      </x:c>
      <x:c r="J1278" s="37" t="n">
        <x:v>46155</x:v>
      </x:c>
      <x:c r="K1278" s="19" t="str">
        <x:v>Not Assigned</x:v>
      </x:c>
      <x:c r="L1278" s="19" t="str">
        <x:v>Z006</x:v>
      </x:c>
      <x:c r="M1278" s="19" t="str">
        <x:v>In Field Warranty Claims</x:v>
      </x:c>
      <x:c r="N1278" s="37" t="n">
        <x:v>46154</x:v>
      </x:c>
      <x:c r="O1278" s="37"/>
      <x:c r="P1278" s="34" t="n">
        <x:v>0</x:v>
      </x:c>
      <x:c r="Q1278" s="37" t="n">
        <x:v>46155.1909375</x:v>
      </x:c>
    </x:row>
    <x:row r="1279">
      <x:c r="A1279" s="22" t="n">
        <x:v>34852</x:v>
      </x:c>
      <x:c r="B1279" s="28" t="n">
        <x:v>135</x:v>
      </x:c>
      <x:c r="C1279" s="28" t="n">
        <x:v>148.5</x:v>
      </x:c>
      <x:c r="D1279" s="31" t="n">
        <x:f>IF(OR(ISBLANK(B1279),ISBLANK(C1279),B1279=0),"",(C1279-B1279)/B1279)</x:f>
        <x:v>0.1</x:v>
      </x:c>
      <x:c r="E1279" s="22" t="str">
        <x:f>IF(ISBLANK(C1279),"AmountIncludingTax缺失",IF(ABS(B1279-C1279)&lt;0.005,"一致","不一致"))</x:f>
        <x:v>不一致</x:v>
      </x:c>
      <x:c r="F1279" s="19" t="str">
        <x:v>approved</x:v>
      </x:c>
      <x:c r="G1279" s="19" t="str">
        <x:v>Repair in Progress</x:v>
      </x:c>
      <x:c r="H1279" s="19" t="str">
        <x:v>In Field</x:v>
      </x:c>
      <x:c r="I1279" s="37" t="n">
        <x:v>46170</x:v>
      </x:c>
      <x:c r="J1279" s="37" t="n">
        <x:v>46170</x:v>
      </x:c>
      <x:c r="K1279" s="19" t="str">
        <x:v>Green RV - Forest Glen</x:v>
      </x:c>
      <x:c r="L1279" s="19" t="str">
        <x:v>Z006</x:v>
      </x:c>
      <x:c r="M1279" s="19" t="str">
        <x:v>In Field Warranty Claims</x:v>
      </x:c>
      <x:c r="N1279" s="37" t="n">
        <x:v>46154</x:v>
      </x:c>
      <x:c r="O1279" s="37"/>
      <x:c r="P1279" s="34" t="n">
        <x:v>148.5</x:v>
      </x:c>
      <x:c r="Q1279" s="37" t="n">
        <x:v>46170.1209375</x:v>
      </x:c>
    </x:row>
    <x:row r="1280">
      <x:c r="A1280" s="22" t="n">
        <x:v>34851</x:v>
      </x:c>
      <x:c r="B1280" s="28" t="n">
        <x:v>101.25</x:v>
      </x:c>
      <x:c r="C1280" s="28"/>
      <x:c r="D1280" s="31" t="str">
        <x:f>IF(OR(ISBLANK(B1280),ISBLANK(C1280),B1280=0),"",(C1280-B1280)/B1280)</x:f>
      </x:c>
      <x:c r="E1280" s="22" t="str">
        <x:f>IF(ISBLANK(C1280),"AmountIncludingTax缺失",IF(ABS(B1280-C1280)&lt;0.005,"一致","不一致"))</x:f>
        <x:v>AmountIncludingTax缺失</x:v>
      </x:c>
      <x:c r="F1280" s="19" t="str">
        <x:v>approved</x:v>
      </x:c>
      <x:c r="G1280" s="19" t="str">
        <x:v>Repair in Progress</x:v>
      </x:c>
      <x:c r="H1280" s="19" t="str">
        <x:v>In Field</x:v>
      </x:c>
      <x:c r="I1280" s="37" t="n">
        <x:v>46155</x:v>
      </x:c>
      <x:c r="J1280" s="37" t="n">
        <x:v>46155</x:v>
      </x:c>
      <x:c r="K1280" s="19" t="str">
        <x:v>Newcastle RV Super Centre - Beresfield</x:v>
      </x:c>
      <x:c r="L1280" s="19" t="str">
        <x:v>Z006</x:v>
      </x:c>
      <x:c r="M1280" s="19" t="str">
        <x:v>In Field Warranty Claims</x:v>
      </x:c>
      <x:c r="N1280" s="37" t="n">
        <x:v>46154</x:v>
      </x:c>
      <x:c r="O1280" s="37"/>
      <x:c r="P1280" s="34" t="n">
        <x:v>0</x:v>
      </x:c>
      <x:c r="Q1280" s="37" t="n">
        <x:v>46154.95668981481</x:v>
      </x:c>
    </x:row>
    <x:row r="1281">
      <x:c r="A1281" s="22" t="n">
        <x:v>34850</x:v>
      </x:c>
      <x:c r="B1281" s="28" t="n">
        <x:v>681.25</x:v>
      </x:c>
      <x:c r="C1281" s="28"/>
      <x:c r="D1281" s="31" t="str">
        <x:f>IF(OR(ISBLANK(B1281),ISBLANK(C1281),B1281=0),"",(C1281-B1281)/B1281)</x:f>
      </x:c>
      <x:c r="E1281" s="22" t="str">
        <x:f>IF(ISBLANK(C1281),"AmountIncludingTax缺失",IF(ABS(B1281-C1281)&lt;0.005,"一致","不一致"))</x:f>
        <x:v>AmountIncludingTax缺失</x:v>
      </x:c>
      <x:c r="F1281" s="19" t="str">
        <x:v>approved</x:v>
      </x:c>
      <x:c r="G1281" s="19" t="str">
        <x:v>Repairer Invoiced Processed</x:v>
      </x:c>
      <x:c r="H1281" s="19" t="str">
        <x:v>In Field</x:v>
      </x:c>
      <x:c r="I1281" s="37" t="n">
        <x:v>46175</x:v>
      </x:c>
      <x:c r="J1281" s="37" t="n">
        <x:v>46175</x:v>
      </x:c>
      <x:c r="K1281" s="19" t="str">
        <x:v>Sherrif Caravans &amp; Traliers - Prospect Vale</x:v>
      </x:c>
      <x:c r="L1281" s="19" t="str">
        <x:v>Z006</x:v>
      </x:c>
      <x:c r="M1281" s="19" t="str">
        <x:v>In Field Warranty Claims</x:v>
      </x:c>
      <x:c r="N1281" s="37" t="n">
        <x:v>46155</x:v>
      </x:c>
      <x:c r="O1281" s="37"/>
      <x:c r="P1281" s="34" t="n">
        <x:v>0</x:v>
      </x:c>
      <x:c r="Q1281" s="37" t="n">
        <x:v>46174.970601851855</x:v>
      </x:c>
    </x:row>
    <x:row r="1282">
      <x:c r="A1282" s="22" t="n">
        <x:v>34849</x:v>
      </x:c>
      <x:c r="B1282" s="28" t="n">
        <x:v>415.12</x:v>
      </x:c>
      <x:c r="C1282" s="28" t="n">
        <x:v>456.63</x:v>
      </x:c>
      <x:c r="D1282" s="31" t="n">
        <x:f>IF(OR(ISBLANK(B1282),ISBLANK(C1282),B1282=0),"",(C1282-B1282)/B1282)</x:f>
        <x:v>0.09999518211601462</x:v>
      </x:c>
      <x:c r="E1282" s="22" t="str">
        <x:f>IF(ISBLANK(C1282),"AmountIncludingTax缺失",IF(ABS(B1282-C1282)&lt;0.005,"一致","不一致"))</x:f>
        <x:v>不一致</x:v>
      </x:c>
      <x:c r="F1282" s="19" t="str">
        <x:v>approved</x:v>
      </x:c>
      <x:c r="G1282" s="19" t="str">
        <x:v>Repair in Progress</x:v>
      </x:c>
      <x:c r="H1282" s="19" t="str">
        <x:v>In Field</x:v>
      </x:c>
      <x:c r="I1282" s="37" t="n">
        <x:v>46164</x:v>
      </x:c>
      <x:c r="J1282" s="37" t="n">
        <x:v>46164</x:v>
      </x:c>
      <x:c r="K1282" s="19" t="str">
        <x:v>Regent RV - Perth</x:v>
      </x:c>
      <x:c r="L1282" s="19" t="str">
        <x:v>Z006</x:v>
      </x:c>
      <x:c r="M1282" s="19" t="str">
        <x:v>In Field Warranty Claims</x:v>
      </x:c>
      <x:c r="N1282" s="37" t="n">
        <x:v>46155</x:v>
      </x:c>
      <x:c r="O1282" s="37"/>
      <x:c r="P1282" s="34" t="n">
        <x:v>456.63</x:v>
      </x:c>
      <x:c r="Q1282" s="37" t="n">
        <x:v>46163.946076388886</x:v>
      </x:c>
    </x:row>
    <x:row r="1283">
      <x:c r="A1283" s="22" t="n">
        <x:v>34848</x:v>
      </x:c>
      <x:c r="B1283" s="28" t="n">
        <x:v>950</x:v>
      </x:c>
      <x:c r="C1283" s="28"/>
      <x:c r="D1283" s="31" t="str">
        <x:f>IF(OR(ISBLANK(B1283),ISBLANK(C1283),B1283=0),"",(C1283-B1283)/B1283)</x:f>
      </x:c>
      <x:c r="E1283" s="22" t="str">
        <x:f>IF(ISBLANK(C1283),"AmountIncludingTax缺失",IF(ABS(B1283-C1283)&lt;0.005,"一致","不一致"))</x:f>
        <x:v>AmountIncludingTax缺失</x:v>
      </x:c>
      <x:c r="F1283" s="19" t="str">
        <x:v>approved</x:v>
      </x:c>
      <x:c r="G1283" s="19" t="str">
        <x:v>Repair in Progress</x:v>
      </x:c>
      <x:c r="H1283" s="19" t="str">
        <x:v>In Field</x:v>
      </x:c>
      <x:c r="I1283" s="37" t="n">
        <x:v>46157</x:v>
      </x:c>
      <x:c r="J1283" s="37" t="n">
        <x:v>46157</x:v>
      </x:c>
      <x:c r="K1283" s="19" t="str">
        <x:v>Regent RV - Perth</x:v>
      </x:c>
      <x:c r="L1283" s="19" t="str">
        <x:v>Z006</x:v>
      </x:c>
      <x:c r="M1283" s="19" t="str">
        <x:v>In Field Warranty Claims</x:v>
      </x:c>
      <x:c r="N1283" s="37" t="n">
        <x:v>46155</x:v>
      </x:c>
      <x:c r="O1283" s="37"/>
      <x:c r="P1283" s="34" t="n">
        <x:v>0</x:v>
      </x:c>
      <x:c r="Q1283" s="37" t="n">
        <x:v>46157.20107638889</x:v>
      </x:c>
    </x:row>
    <x:row r="1284">
      <x:c r="A1284" s="22" t="n">
        <x:v>34847</x:v>
      </x:c>
      <x:c r="B1284" s="28" t="n">
        <x:v>415.12</x:v>
      </x:c>
      <x:c r="C1284" s="28" t="n">
        <x:v>456.63</x:v>
      </x:c>
      <x:c r="D1284" s="31" t="n">
        <x:f>IF(OR(ISBLANK(B1284),ISBLANK(C1284),B1284=0),"",(C1284-B1284)/B1284)</x:f>
        <x:v>0.09999518211601462</x:v>
      </x:c>
      <x:c r="E1284" s="22" t="str">
        <x:f>IF(ISBLANK(C1284),"AmountIncludingTax缺失",IF(ABS(B1284-C1284)&lt;0.005,"一致","不一致"))</x:f>
        <x:v>不一致</x:v>
      </x:c>
      <x:c r="F1284" s="19" t="str">
        <x:v>approved</x:v>
      </x:c>
      <x:c r="G1284" s="19" t="str">
        <x:v>Repair in Progress</x:v>
      </x:c>
      <x:c r="H1284" s="19" t="str">
        <x:v>In Field</x:v>
      </x:c>
      <x:c r="I1284" s="37" t="n">
        <x:v>46156</x:v>
      </x:c>
      <x:c r="J1284" s="37" t="n">
        <x:v>46156</x:v>
      </x:c>
      <x:c r="K1284" s="19" t="str">
        <x:v>Regent RV - Perth</x:v>
      </x:c>
      <x:c r="L1284" s="19" t="str">
        <x:v>Z006</x:v>
      </x:c>
      <x:c r="M1284" s="19" t="str">
        <x:v>In Field Warranty Claims</x:v>
      </x:c>
      <x:c r="N1284" s="37" t="n">
        <x:v>46155</x:v>
      </x:c>
      <x:c r="O1284" s="37"/>
      <x:c r="P1284" s="34" t="n">
        <x:v>456.63</x:v>
      </x:c>
      <x:c r="Q1284" s="37" t="n">
        <x:v>46155.998344907406</x:v>
      </x:c>
    </x:row>
    <x:row r="1285">
      <x:c r="A1285" s="22" t="n">
        <x:v>34842</x:v>
      </x:c>
      <x:c r="B1285" s="28" t="n">
        <x:v>67.5</x:v>
      </x:c>
      <x:c r="C1285" s="28"/>
      <x:c r="D1285" s="31" t="str">
        <x:f>IF(OR(ISBLANK(B1285),ISBLANK(C1285),B1285=0),"",(C1285-B1285)/B1285)</x:f>
      </x:c>
      <x:c r="E1285" s="22" t="str">
        <x:f>IF(ISBLANK(C1285),"AmountIncludingTax缺失",IF(ABS(B1285-C1285)&lt;0.005,"一致","不一致"))</x:f>
        <x:v>AmountIncludingTax缺失</x:v>
      </x:c>
      <x:c r="F1285" s="19" t="str">
        <x:v>approved</x:v>
      </x:c>
      <x:c r="G1285" s="19" t="str">
        <x:v>Repairer Invoiced Processed</x:v>
      </x:c>
      <x:c r="H1285" s="19" t="str">
        <x:v>In Field</x:v>
      </x:c>
      <x:c r="I1285" s="37" t="n">
        <x:v>46168</x:v>
      </x:c>
      <x:c r="J1285" s="37" t="n">
        <x:v>46168</x:v>
      </x:c>
      <x:c r="K1285" s="19" t="str">
        <x:v>Green RV - Forest Glen</x:v>
      </x:c>
      <x:c r="L1285" s="19" t="str">
        <x:v>Z006</x:v>
      </x:c>
      <x:c r="M1285" s="19" t="str">
        <x:v>In Field Warranty Claims</x:v>
      </x:c>
      <x:c r="N1285" s="37" t="n">
        <x:v>46154</x:v>
      </x:c>
      <x:c r="O1285" s="37"/>
      <x:c r="P1285" s="34" t="n">
        <x:v>0</x:v>
      </x:c>
      <x:c r="Q1285" s="37" t="n">
        <x:v>46167.9062037037</x:v>
      </x:c>
    </x:row>
    <x:row r="1286">
      <x:c r="A1286" s="22" t="n">
        <x:v>34841</x:v>
      </x:c>
      <x:c r="B1286" s="28" t="n">
        <x:v>68.18</x:v>
      </x:c>
      <x:c r="C1286" s="28" t="n">
        <x:v>75</x:v>
      </x:c>
      <x:c r="D1286" s="31" t="n">
        <x:f>IF(OR(ISBLANK(B1286),ISBLANK(C1286),B1286=0),"",(C1286-B1286)/B1286)</x:f>
        <x:v>0.10002933411557631</x:v>
      </x:c>
      <x:c r="E1286" s="22" t="str">
        <x:f>IF(ISBLANK(C1286),"AmountIncludingTax缺失",IF(ABS(B1286-C1286)&lt;0.005,"一致","不一致"))</x:f>
        <x:v>不一致</x:v>
      </x:c>
      <x:c r="F1286" s="19" t="str">
        <x:v>approved</x:v>
      </x:c>
      <x:c r="G1286" s="19" t="str">
        <x:v>Repairer Invoiced Processed</x:v>
      </x:c>
      <x:c r="H1286" s="19" t="str">
        <x:v>In Field</x:v>
      </x:c>
      <x:c r="I1286" s="37" t="n">
        <x:v>46182</x:v>
      </x:c>
      <x:c r="J1286" s="37" t="n">
        <x:v>46182</x:v>
      </x:c>
      <x:c r="K1286" s="19" t="str">
        <x:v>Newcastle RV Super Centre - Beresfield</x:v>
      </x:c>
      <x:c r="L1286" s="19" t="str">
        <x:v>Z006</x:v>
      </x:c>
      <x:c r="M1286" s="19" t="str">
        <x:v>In Field Warranty Claims</x:v>
      </x:c>
      <x:c r="N1286" s="37" t="n">
        <x:v>46154</x:v>
      </x:c>
      <x:c r="O1286" s="37" t="n">
        <x:v>46178</x:v>
      </x:c>
      <x:c r="P1286" s="34" t="n">
        <x:v>75</x:v>
      </x:c>
      <x:c r="Q1286" s="37" t="n">
        <x:v>46182.19945601852</x:v>
      </x:c>
    </x:row>
    <x:row r="1287">
      <x:c r="A1287" s="22" t="n">
        <x:v>34838</x:v>
      </x:c>
      <x:c r="B1287" s="28" t="n">
        <x:v>420</x:v>
      </x:c>
      <x:c r="C1287" s="28" t="n">
        <x:v>462</x:v>
      </x:c>
      <x:c r="D1287" s="31" t="n">
        <x:f>IF(OR(ISBLANK(B1287),ISBLANK(C1287),B1287=0),"",(C1287-B1287)/B1287)</x:f>
        <x:v>0.1</x:v>
      </x:c>
      <x:c r="E1287" s="22" t="str">
        <x:f>IF(ISBLANK(C1287),"AmountIncludingTax缺失",IF(ABS(B1287-C1287)&lt;0.005,"一致","不一致"))</x:f>
        <x:v>不一致</x:v>
      </x:c>
      <x:c r="F1287" s="19" t="str">
        <x:v>approved</x:v>
      </x:c>
      <x:c r="G1287" s="19" t="str">
        <x:v>Repairer Invoiced Processed</x:v>
      </x:c>
      <x:c r="H1287" s="19" t="str">
        <x:v>In Field</x:v>
      </x:c>
      <x:c r="I1287" s="37" t="n">
        <x:v>46155</x:v>
      </x:c>
      <x:c r="J1287" s="37" t="n">
        <x:v>46155</x:v>
      </x:c>
      <x:c r="K1287" s="19" t="str">
        <x:v>Auswide Caravans - South Nowra</x:v>
      </x:c>
      <x:c r="L1287" s="19" t="str">
        <x:v>Z006</x:v>
      </x:c>
      <x:c r="M1287" s="19" t="str">
        <x:v>In Field Warranty Claims</x:v>
      </x:c>
      <x:c r="N1287" s="37" t="n">
        <x:v>46155</x:v>
      </x:c>
      <x:c r="O1287" s="37"/>
      <x:c r="P1287" s="34" t="n">
        <x:v>462</x:v>
      </x:c>
      <x:c r="Q1287" s="37" t="n">
        <x:v>46155.521875</x:v>
      </x:c>
    </x:row>
    <x:row r="1288">
      <x:c r="A1288" s="22" t="n">
        <x:v>34837</x:v>
      </x:c>
      <x:c r="B1288" s="28" t="n">
        <x:v>420</x:v>
      </x:c>
      <x:c r="C1288" s="28" t="n">
        <x:v>462</x:v>
      </x:c>
      <x:c r="D1288" s="31" t="n">
        <x:f>IF(OR(ISBLANK(B1288),ISBLANK(C1288),B1288=0),"",(C1288-B1288)/B1288)</x:f>
        <x:v>0.1</x:v>
      </x:c>
      <x:c r="E1288" s="22" t="str">
        <x:f>IF(ISBLANK(C1288),"AmountIncludingTax缺失",IF(ABS(B1288-C1288)&lt;0.005,"一致","不一致"))</x:f>
        <x:v>不一致</x:v>
      </x:c>
      <x:c r="F1288" s="19" t="str">
        <x:v>approved</x:v>
      </x:c>
      <x:c r="G1288" s="19" t="str">
        <x:v>Repairer Invoiced Processed</x:v>
      </x:c>
      <x:c r="H1288" s="19" t="str">
        <x:v>In Field</x:v>
      </x:c>
      <x:c r="I1288" s="37" t="n">
        <x:v>46156</x:v>
      </x:c>
      <x:c r="J1288" s="37" t="n">
        <x:v>46156</x:v>
      </x:c>
      <x:c r="K1288" s="19" t="str">
        <x:v>Regent RV - Frankston</x:v>
      </x:c>
      <x:c r="L1288" s="19" t="str">
        <x:v>Z006</x:v>
      </x:c>
      <x:c r="M1288" s="19" t="str">
        <x:v>In Field Warranty Claims</x:v>
      </x:c>
      <x:c r="N1288" s="37" t="n">
        <x:v>46155</x:v>
      </x:c>
      <x:c r="O1288" s="37"/>
      <x:c r="P1288" s="34" t="n">
        <x:v>462</x:v>
      </x:c>
      <x:c r="Q1288" s="37" t="n">
        <x:v>46156.22503472222</x:v>
      </x:c>
    </x:row>
    <x:row r="1289">
      <x:c r="A1289" s="22" t="n">
        <x:v>34835</x:v>
      </x:c>
      <x:c r="B1289" s="28" t="n">
        <x:v>420</x:v>
      </x:c>
      <x:c r="C1289" s="28" t="n">
        <x:v>462</x:v>
      </x:c>
      <x:c r="D1289" s="31" t="n">
        <x:f>IF(OR(ISBLANK(B1289),ISBLANK(C1289),B1289=0),"",(C1289-B1289)/B1289)</x:f>
        <x:v>0.1</x:v>
      </x:c>
      <x:c r="E1289" s="22" t="str">
        <x:f>IF(ISBLANK(C1289),"AmountIncludingTax缺失",IF(ABS(B1289-C1289)&lt;0.005,"一致","不一致"))</x:f>
        <x:v>不一致</x:v>
      </x:c>
      <x:c r="F1289" s="19" t="str">
        <x:v>approved</x:v>
      </x:c>
      <x:c r="G1289" s="19" t="str">
        <x:v>Repairer Invoiced Processed</x:v>
      </x:c>
      <x:c r="H1289" s="19" t="str">
        <x:v>In Field</x:v>
      </x:c>
      <x:c r="I1289" s="37" t="n">
        <x:v>46155</x:v>
      </x:c>
      <x:c r="J1289" s="37" t="n">
        <x:v>46155</x:v>
      </x:c>
      <x:c r="K1289" s="19" t="str">
        <x:v>Regent RV - Traralgon</x:v>
      </x:c>
      <x:c r="L1289" s="19" t="str">
        <x:v>Z006</x:v>
      </x:c>
      <x:c r="M1289" s="19" t="str">
        <x:v>In Field Warranty Claims</x:v>
      </x:c>
      <x:c r="N1289" s="37" t="n">
        <x:v>46155</x:v>
      </x:c>
      <x:c r="O1289" s="37"/>
      <x:c r="P1289" s="34" t="n">
        <x:v>462</x:v>
      </x:c>
      <x:c r="Q1289" s="37" t="n">
        <x:v>46155.52324074074</x:v>
      </x:c>
    </x:row>
    <x:row r="1290">
      <x:c r="A1290" s="22" t="n">
        <x:v>34830</x:v>
      </x:c>
      <x:c r="B1290" s="28" t="n">
        <x:v>101.25</x:v>
      </x:c>
      <x:c r="C1290" s="28"/>
      <x:c r="D1290" s="31" t="str">
        <x:f>IF(OR(ISBLANK(B1290),ISBLANK(C1290),B1290=0),"",(C1290-B1290)/B1290)</x:f>
      </x:c>
      <x:c r="E1290" s="22" t="str">
        <x:f>IF(ISBLANK(C1290),"AmountIncludingTax缺失",IF(ABS(B1290-C1290)&lt;0.005,"一致","不一致"))</x:f>
        <x:v>AmountIncludingTax缺失</x:v>
      </x:c>
      <x:c r="F1290" s="19" t="str">
        <x:v>approved</x:v>
      </x:c>
      <x:c r="G1290" s="19" t="str">
        <x:v>Repair in Progress</x:v>
      </x:c>
      <x:c r="H1290" s="19" t="str">
        <x:v>Pre Delivery</x:v>
      </x:c>
      <x:c r="I1290" s="37" t="n">
        <x:v>46161</x:v>
      </x:c>
      <x:c r="J1290" s="37" t="n">
        <x:v>46161</x:v>
      </x:c>
      <x:c r="K1290" s="19" t="str">
        <x:v>Snowy River Wangaratta</x:v>
      </x:c>
      <x:c r="L1290" s="19" t="str">
        <x:v>Z005</x:v>
      </x:c>
      <x:c r="M1290" s="19" t="str">
        <x:v>Pre Delivery Warranty Claims</x:v>
      </x:c>
      <x:c r="N1290" s="37" t="n">
        <x:v>46154</x:v>
      </x:c>
      <x:c r="O1290" s="37"/>
      <x:c r="P1290" s="34" t="n">
        <x:v>0</x:v>
      </x:c>
      <x:c r="Q1290" s="37" t="n">
        <x:v>46161.02980324074</x:v>
      </x:c>
    </x:row>
    <x:row r="1291">
      <x:c r="A1291" s="22" t="n">
        <x:v>34829</x:v>
      </x:c>
      <x:c r="B1291" s="28" t="n">
        <x:v>827.5</x:v>
      </x:c>
      <x:c r="C1291" s="28"/>
      <x:c r="D1291" s="31" t="str">
        <x:f>IF(OR(ISBLANK(B1291),ISBLANK(C1291),B1291=0),"",(C1291-B1291)/B1291)</x:f>
      </x:c>
      <x:c r="E1291" s="22" t="str">
        <x:f>IF(ISBLANK(C1291),"AmountIncludingTax缺失",IF(ABS(B1291-C1291)&lt;0.005,"一致","不一致"))</x:f>
        <x:v>AmountIncludingTax缺失</x:v>
      </x:c>
      <x:c r="F1291" s="19" t="str">
        <x:v>approved</x:v>
      </x:c>
      <x:c r="G1291" s="19" t="str">
        <x:v>Repair in Progress</x:v>
      </x:c>
      <x:c r="H1291" s="19" t="str">
        <x:v>In Field</x:v>
      </x:c>
      <x:c r="I1291" s="37" t="n">
        <x:v>46155</x:v>
      </x:c>
      <x:c r="J1291" s="37" t="n">
        <x:v>46155</x:v>
      </x:c>
      <x:c r="K1291" s="19" t="str">
        <x:v>Green RV - Forest Glen</x:v>
      </x:c>
      <x:c r="L1291" s="19" t="str">
        <x:v>Z006</x:v>
      </x:c>
      <x:c r="M1291" s="19" t="str">
        <x:v>In Field Warranty Claims</x:v>
      </x:c>
      <x:c r="N1291" s="37" t="n">
        <x:v>46154</x:v>
      </x:c>
      <x:c r="O1291" s="37"/>
      <x:c r="P1291" s="34" t="n">
        <x:v>0</x:v>
      </x:c>
      <x:c r="Q1291" s="37" t="n">
        <x:v>46155.19430555555</x:v>
      </x:c>
    </x:row>
    <x:row r="1292">
      <x:c r="A1292" s="22" t="n">
        <x:v>34825</x:v>
      </x:c>
      <x:c r="B1292" s="28" t="n">
        <x:v>502.5</x:v>
      </x:c>
      <x:c r="C1292" s="28"/>
      <x:c r="D1292" s="31" t="str">
        <x:f>IF(OR(ISBLANK(B1292),ISBLANK(C1292),B1292=0),"",(C1292-B1292)/B1292)</x:f>
      </x:c>
      <x:c r="E1292" s="22" t="str">
        <x:f>IF(ISBLANK(C1292),"AmountIncludingTax缺失",IF(ABS(B1292-C1292)&lt;0.005,"一致","不一致"))</x:f>
        <x:v>AmountIncludingTax缺失</x:v>
      </x:c>
      <x:c r="F1292" s="19" t="str">
        <x:v>approved</x:v>
      </x:c>
      <x:c r="G1292" s="19" t="str">
        <x:v>Sales Order Approved</x:v>
      </x:c>
      <x:c r="H1292" s="19" t="str">
        <x:v>Pre Delivery</x:v>
      </x:c>
      <x:c r="I1292" s="37" t="n">
        <x:v>46156</x:v>
      </x:c>
      <x:c r="J1292" s="37" t="n">
        <x:v>46156</x:v>
      </x:c>
      <x:c r="K1292" s="19" t="str">
        <x:v>Snowy River Wangaratta</x:v>
      </x:c>
      <x:c r="L1292" s="19" t="str">
        <x:v>Z005</x:v>
      </x:c>
      <x:c r="M1292" s="19" t="str">
        <x:v>Pre Delivery Warranty Claims</x:v>
      </x:c>
      <x:c r="N1292" s="37" t="n">
        <x:v>46154</x:v>
      </x:c>
      <x:c r="O1292" s="37"/>
      <x:c r="P1292" s="34" t="n">
        <x:v>0</x:v>
      </x:c>
      <x:c r="Q1292" s="37" t="n">
        <x:v>46155.92270833333</x:v>
      </x:c>
    </x:row>
    <x:row r="1293">
      <x:c r="A1293" s="22" t="n">
        <x:v>34824</x:v>
      </x:c>
      <x:c r="B1293" s="28" t="n">
        <x:v>868.77</x:v>
      </x:c>
      <x:c r="C1293" s="28" t="n">
        <x:v>955.65</x:v>
      </x:c>
      <x:c r="D1293" s="31" t="n">
        <x:f>IF(OR(ISBLANK(B1293),ISBLANK(C1293),B1293=0),"",(C1293-B1293)/B1293)</x:f>
        <x:v>0.10000345315791291</x:v>
      </x:c>
      <x:c r="E1293" s="22" t="str">
        <x:f>IF(ISBLANK(C1293),"AmountIncludingTax缺失",IF(ABS(B1293-C1293)&lt;0.005,"一致","不一致"))</x:f>
        <x:v>不一致</x:v>
      </x:c>
      <x:c r="F1293" s="19" t="str">
        <x:v>approved</x:v>
      </x:c>
      <x:c r="G1293" s="19" t="str">
        <x:v>Repair in Progress</x:v>
      </x:c>
      <x:c r="H1293" s="19" t="str">
        <x:v>In Field</x:v>
      </x:c>
      <x:c r="I1293" s="37" t="n">
        <x:v>46156</x:v>
      </x:c>
      <x:c r="J1293" s="37" t="n">
        <x:v>46156</x:v>
      </x:c>
      <x:c r="K1293" s="19" t="str">
        <x:v>Green RV - Slacks Creek</x:v>
      </x:c>
      <x:c r="L1293" s="19" t="str">
        <x:v>Z006</x:v>
      </x:c>
      <x:c r="M1293" s="19" t="str">
        <x:v>In Field Warranty Claims</x:v>
      </x:c>
      <x:c r="N1293" s="37" t="n">
        <x:v>46154</x:v>
      </x:c>
      <x:c r="O1293" s="37"/>
      <x:c r="P1293" s="34" t="n">
        <x:v>955.65</x:v>
      </x:c>
      <x:c r="Q1293" s="37" t="n">
        <x:v>46156.06010416667</x:v>
      </x:c>
    </x:row>
    <x:row r="1294">
      <x:c r="A1294" s="22" t="n">
        <x:v>34823</x:v>
      </x:c>
      <x:c r="B1294" s="28" t="n">
        <x:v>787.05</x:v>
      </x:c>
      <x:c r="C1294" s="28"/>
      <x:c r="D1294" s="31" t="str">
        <x:f>IF(OR(ISBLANK(B1294),ISBLANK(C1294),B1294=0),"",(C1294-B1294)/B1294)</x:f>
      </x:c>
      <x:c r="E1294" s="22" t="str">
        <x:f>IF(ISBLANK(C1294),"AmountIncludingTax缺失",IF(ABS(B1294-C1294)&lt;0.005,"一致","不一致"))</x:f>
        <x:v>AmountIncludingTax缺失</x:v>
      </x:c>
      <x:c r="F1294" s="19" t="str">
        <x:v>approved</x:v>
      </x:c>
      <x:c r="G1294" s="19" t="str">
        <x:v>Partially Picked</x:v>
      </x:c>
      <x:c r="H1294" s="19" t="str">
        <x:v>In Field</x:v>
      </x:c>
      <x:c r="I1294" s="37" t="n">
        <x:v>46162</x:v>
      </x:c>
      <x:c r="J1294" s="37" t="n">
        <x:v>46162</x:v>
      </x:c>
      <x:c r="K1294" s="19" t="str">
        <x:v>Green RV - Forest Glen</x:v>
      </x:c>
      <x:c r="L1294" s="19" t="str">
        <x:v>Z006</x:v>
      </x:c>
      <x:c r="M1294" s="19" t="str">
        <x:v>In Field Warranty Claims</x:v>
      </x:c>
      <x:c r="N1294" s="37" t="n">
        <x:v>46154</x:v>
      </x:c>
      <x:c r="O1294" s="37"/>
      <x:c r="P1294" s="34" t="n">
        <x:v>0</x:v>
      </x:c>
      <x:c r="Q1294" s="37" t="n">
        <x:v>46162.12829861111</x:v>
      </x:c>
    </x:row>
    <x:row r="1295">
      <x:c r="A1295" s="22" t="n">
        <x:v>34821</x:v>
      </x:c>
      <x:c r="B1295" s="28" t="n">
        <x:v>762.5</x:v>
      </x:c>
      <x:c r="C1295" s="28"/>
      <x:c r="D1295" s="31" t="str">
        <x:f>IF(OR(ISBLANK(B1295),ISBLANK(C1295),B1295=0),"",(C1295-B1295)/B1295)</x:f>
      </x:c>
      <x:c r="E1295" s="22" t="str">
        <x:f>IF(ISBLANK(C1295),"AmountIncludingTax缺失",IF(ABS(B1295-C1295)&lt;0.005,"一致","不一致"))</x:f>
        <x:v>AmountIncludingTax缺失</x:v>
      </x:c>
      <x:c r="F1295" s="19" t="str">
        <x:v>approved</x:v>
      </x:c>
      <x:c r="G1295" s="19" t="str">
        <x:v>Repairer Invoiced Processed</x:v>
      </x:c>
      <x:c r="H1295" s="19" t="str">
        <x:v>Pre Delivery</x:v>
      </x:c>
      <x:c r="I1295" s="37" t="n">
        <x:v>46160</x:v>
      </x:c>
      <x:c r="J1295" s="37" t="n">
        <x:v>46160</x:v>
      </x:c>
      <x:c r="K1295" s="19" t="str">
        <x:v>Green RV - Slacks Creek</x:v>
      </x:c>
      <x:c r="L1295" s="19" t="str">
        <x:v>Z005</x:v>
      </x:c>
      <x:c r="M1295" s="19" t="str">
        <x:v>Pre Delivery Warranty Claims</x:v>
      </x:c>
      <x:c r="N1295" s="37" t="n">
        <x:v>46154</x:v>
      </x:c>
      <x:c r="O1295" s="37"/>
      <x:c r="P1295" s="34" t="n">
        <x:v>0</x:v>
      </x:c>
      <x:c r="Q1295" s="37" t="n">
        <x:v>46160.081875</x:v>
      </x:c>
    </x:row>
    <x:row r="1296">
      <x:c r="A1296" s="22" t="n">
        <x:v>34820</x:v>
      </x:c>
      <x:c r="B1296" s="28" t="n">
        <x:v>2530.5</x:v>
      </x:c>
      <x:c r="C1296" s="28"/>
      <x:c r="D1296" s="31" t="str">
        <x:f>IF(OR(ISBLANK(B1296),ISBLANK(C1296),B1296=0),"",(C1296-B1296)/B1296)</x:f>
      </x:c>
      <x:c r="E1296" s="22" t="str">
        <x:f>IF(ISBLANK(C1296),"AmountIncludingTax缺失",IF(ABS(B1296-C1296)&lt;0.005,"一致","不一致"))</x:f>
        <x:v>AmountIncludingTax缺失</x:v>
      </x:c>
      <x:c r="F1296" s="19" t="str">
        <x:v>approved</x:v>
      </x:c>
      <x:c r="G1296" s="19" t="str">
        <x:v>Repair in Progress</x:v>
      </x:c>
      <x:c r="H1296" s="19" t="str">
        <x:v>In Field</x:v>
      </x:c>
      <x:c r="I1296" s="37" t="n">
        <x:v>46164</x:v>
      </x:c>
      <x:c r="J1296" s="37" t="n">
        <x:v>46164</x:v>
      </x:c>
      <x:c r="K1296" s="19" t="str">
        <x:v>Green RV - Forest Glen</x:v>
      </x:c>
      <x:c r="L1296" s="19" t="str">
        <x:v>Z006</x:v>
      </x:c>
      <x:c r="M1296" s="19" t="str">
        <x:v>In Field Warranty Claims</x:v>
      </x:c>
      <x:c r="N1296" s="37" t="n">
        <x:v>46154</x:v>
      </x:c>
      <x:c r="O1296" s="37"/>
      <x:c r="P1296" s="34" t="n">
        <x:v>2783.55</x:v>
      </x:c>
      <x:c r="Q1296" s="37" t="n">
        <x:v>46164.2012962963</x:v>
      </x:c>
    </x:row>
    <x:row r="1297">
      <x:c r="A1297" s="22" t="n">
        <x:v>34818</x:v>
      </x:c>
      <x:c r="B1297" s="28" t="n">
        <x:v>101.25</x:v>
      </x:c>
      <x:c r="C1297" s="28"/>
      <x:c r="D1297" s="31" t="str">
        <x:f>IF(OR(ISBLANK(B1297),ISBLANK(C1297),B1297=0),"",(C1297-B1297)/B1297)</x:f>
      </x:c>
      <x:c r="E1297" s="22" t="str">
        <x:f>IF(ISBLANK(C1297),"AmountIncludingTax缺失",IF(ABS(B1297-C1297)&lt;0.005,"一致","不一致"))</x:f>
        <x:v>AmountIncludingTax缺失</x:v>
      </x:c>
      <x:c r="F1297" s="19" t="str">
        <x:v>approved</x:v>
      </x:c>
      <x:c r="G1297" s="19" t="str">
        <x:v>Sales Order Approved</x:v>
      </x:c>
      <x:c r="H1297" s="19" t="str">
        <x:v>Pre Delivery</x:v>
      </x:c>
      <x:c r="I1297" s="37" t="n">
        <x:v>46161</x:v>
      </x:c>
      <x:c r="J1297" s="37" t="n">
        <x:v>46161</x:v>
      </x:c>
      <x:c r="K1297" s="19" t="str">
        <x:v>Snowy River Wangaratta</x:v>
      </x:c>
      <x:c r="L1297" s="19" t="str">
        <x:v>Z005</x:v>
      </x:c>
      <x:c r="M1297" s="19" t="str">
        <x:v>Pre Delivery Warranty Claims</x:v>
      </x:c>
      <x:c r="N1297" s="37" t="n">
        <x:v>46154</x:v>
      </x:c>
      <x:c r="O1297" s="37"/>
      <x:c r="P1297" s="34" t="n">
        <x:v>0</x:v>
      </x:c>
      <x:c r="Q1297" s="37" t="n">
        <x:v>46161.03234953704</x:v>
      </x:c>
    </x:row>
    <x:row r="1298">
      <x:c r="A1298" s="22" t="n">
        <x:v>34817</x:v>
      </x:c>
      <x:c r="B1298" s="28" t="n">
        <x:v>150</x:v>
      </x:c>
      <x:c r="C1298" s="28"/>
      <x:c r="D1298" s="31" t="str">
        <x:f>IF(OR(ISBLANK(B1298),ISBLANK(C1298),B1298=0),"",(C1298-B1298)/B1298)</x:f>
      </x:c>
      <x:c r="E1298" s="22" t="str">
        <x:f>IF(ISBLANK(C1298),"AmountIncludingTax缺失",IF(ABS(B1298-C1298)&lt;0.005,"一致","不一致"))</x:f>
        <x:v>AmountIncludingTax缺失</x:v>
      </x:c>
      <x:c r="F1298" s="19" t="str">
        <x:v>approved</x:v>
      </x:c>
      <x:c r="G1298" s="19" t="str">
        <x:v>Repairer Invoiced Processed</x:v>
      </x:c>
      <x:c r="H1298" s="19" t="str">
        <x:v>In Field</x:v>
      </x:c>
      <x:c r="I1298" s="37" t="n">
        <x:v>46170</x:v>
      </x:c>
      <x:c r="J1298" s="37" t="n">
        <x:v>46170</x:v>
      </x:c>
      <x:c r="K1298" s="19" t="str">
        <x:v>Green RV - Forest Glen</x:v>
      </x:c>
      <x:c r="L1298" s="19" t="str">
        <x:v>Z006</x:v>
      </x:c>
      <x:c r="M1298" s="19" t="str">
        <x:v>In Field Warranty Claims</x:v>
      </x:c>
      <x:c r="N1298" s="37" t="n">
        <x:v>46154</x:v>
      </x:c>
      <x:c r="O1298" s="37"/>
      <x:c r="P1298" s="34" t="n">
        <x:v>0</x:v>
      </x:c>
      <x:c r="Q1298" s="37" t="n">
        <x:v>46169.97351851852</x:v>
      </x:c>
    </x:row>
    <x:row r="1299">
      <x:c r="A1299" s="22" t="n">
        <x:v>34813</x:v>
      </x:c>
      <x:c r="B1299" s="28" t="n">
        <x:v>236.25</x:v>
      </x:c>
      <x:c r="C1299" s="28"/>
      <x:c r="D1299" s="31" t="str">
        <x:f>IF(OR(ISBLANK(B1299),ISBLANK(C1299),B1299=0),"",(C1299-B1299)/B1299)</x:f>
      </x:c>
      <x:c r="E1299" s="22" t="str">
        <x:f>IF(ISBLANK(C1299),"AmountIncludingTax缺失",IF(ABS(B1299-C1299)&lt;0.005,"一致","不一致"))</x:f>
        <x:v>AmountIncludingTax缺失</x:v>
      </x:c>
      <x:c r="F1299" s="19" t="str">
        <x:v>approved</x:v>
      </x:c>
      <x:c r="G1299" s="19" t="str">
        <x:v>Repair in Progress</x:v>
      </x:c>
      <x:c r="H1299" s="19" t="str">
        <x:v>In Field</x:v>
      </x:c>
      <x:c r="I1299" s="37" t="n">
        <x:v>46155</x:v>
      </x:c>
      <x:c r="J1299" s="37" t="n">
        <x:v>46155</x:v>
      </x:c>
      <x:c r="K1299" s="19" t="str">
        <x:v>Regent RV - Perth</x:v>
      </x:c>
      <x:c r="L1299" s="19" t="str">
        <x:v>Z006</x:v>
      </x:c>
      <x:c r="M1299" s="19" t="str">
        <x:v>In Field Warranty Claims</x:v>
      </x:c>
      <x:c r="N1299" s="37" t="n">
        <x:v>46154</x:v>
      </x:c>
      <x:c r="O1299" s="37"/>
      <x:c r="P1299" s="34" t="n">
        <x:v>0</x:v>
      </x:c>
      <x:c r="Q1299" s="37" t="n">
        <x:v>46154.921747685185</x:v>
      </x:c>
    </x:row>
    <x:row r="1300">
      <x:c r="A1300" s="22" t="n">
        <x:v>34811</x:v>
      </x:c>
      <x:c r="B1300" s="28" t="n">
        <x:v>222.5</x:v>
      </x:c>
      <x:c r="C1300" s="28"/>
      <x:c r="D1300" s="31" t="str">
        <x:f>IF(OR(ISBLANK(B1300),ISBLANK(C1300),B1300=0),"",(C1300-B1300)/B1300)</x:f>
      </x:c>
      <x:c r="E1300" s="22" t="str">
        <x:f>IF(ISBLANK(C1300),"AmountIncludingTax缺失",IF(ABS(B1300-C1300)&lt;0.005,"一致","不一致"))</x:f>
        <x:v>AmountIncludingTax缺失</x:v>
      </x:c>
      <x:c r="F1300" s="19" t="str">
        <x:v>approved</x:v>
      </x:c>
      <x:c r="G1300" s="19" t="str">
        <x:v>Repair in Progress</x:v>
      </x:c>
      <x:c r="H1300" s="19" t="str">
        <x:v>In Field</x:v>
      </x:c>
      <x:c r="I1300" s="37" t="n">
        <x:v>46160</x:v>
      </x:c>
      <x:c r="J1300" s="37" t="n">
        <x:v>46160</x:v>
      </x:c>
      <x:c r="K1300" s="19" t="str">
        <x:v>Regent RV - Perth</x:v>
      </x:c>
      <x:c r="L1300" s="19" t="str">
        <x:v>Z006</x:v>
      </x:c>
      <x:c r="M1300" s="19" t="str">
        <x:v>In Field Warranty Claims</x:v>
      </x:c>
      <x:c r="N1300" s="37" t="n">
        <x:v>46154</x:v>
      </x:c>
      <x:c r="O1300" s="37"/>
      <x:c r="P1300" s="34" t="n">
        <x:v>0</x:v>
      </x:c>
      <x:c r="Q1300" s="37" t="n">
        <x:v>46159.95884259259</x:v>
      </x:c>
    </x:row>
    <x:row r="1301">
      <x:c r="A1301" s="22" t="n">
        <x:v>34810</x:v>
      </x:c>
      <x:c r="B1301" s="28" t="n">
        <x:v>135</x:v>
      </x:c>
      <x:c r="C1301" s="28"/>
      <x:c r="D1301" s="31" t="str">
        <x:f>IF(OR(ISBLANK(B1301),ISBLANK(C1301),B1301=0),"",(C1301-B1301)/B1301)</x:f>
      </x:c>
      <x:c r="E1301" s="22" t="str">
        <x:f>IF(ISBLANK(C1301),"AmountIncludingTax缺失",IF(ABS(B1301-C1301)&lt;0.005,"一致","不一致"))</x:f>
        <x:v>AmountIncludingTax缺失</x:v>
      </x:c>
      <x:c r="F1301" s="19" t="str">
        <x:v>approved</x:v>
      </x:c>
      <x:c r="G1301" s="19" t="str">
        <x:v>Repair in Progress</x:v>
      </x:c>
      <x:c r="H1301" s="19" t="str">
        <x:v>In Field</x:v>
      </x:c>
      <x:c r="I1301" s="37" t="n">
        <x:v>46170</x:v>
      </x:c>
      <x:c r="J1301" s="37" t="n">
        <x:v>46170</x:v>
      </x:c>
      <x:c r="K1301" s="19" t="str">
        <x:v>Regent RV - Perth</x:v>
      </x:c>
      <x:c r="L1301" s="19" t="str">
        <x:v>Z006</x:v>
      </x:c>
      <x:c r="M1301" s="19" t="str">
        <x:v>In Field Warranty Claims</x:v>
      </x:c>
      <x:c r="N1301" s="37" t="n">
        <x:v>46154</x:v>
      </x:c>
      <x:c r="O1301" s="37"/>
      <x:c r="P1301" s="34" t="n">
        <x:v>0</x:v>
      </x:c>
      <x:c r="Q1301" s="37" t="n">
        <x:v>46170.13413194445</x:v>
      </x:c>
    </x:row>
    <x:row r="1302">
      <x:c r="A1302" s="22" t="n">
        <x:v>34808</x:v>
      </x:c>
      <x:c r="B1302" s="28" t="n">
        <x:v>685</x:v>
      </x:c>
      <x:c r="C1302" s="28"/>
      <x:c r="D1302" s="31" t="str">
        <x:f>IF(OR(ISBLANK(B1302),ISBLANK(C1302),B1302=0),"",(C1302-B1302)/B1302)</x:f>
      </x:c>
      <x:c r="E1302" s="22" t="str">
        <x:f>IF(ISBLANK(C1302),"AmountIncludingTax缺失",IF(ABS(B1302-C1302)&lt;0.005,"一致","不一致"))</x:f>
        <x:v>AmountIncludingTax缺失</x:v>
      </x:c>
      <x:c r="F1302" s="19" t="str">
        <x:v>approved</x:v>
      </x:c>
      <x:c r="G1302" s="19" t="str">
        <x:v>Partially Picked</x:v>
      </x:c>
      <x:c r="H1302" s="19" t="str">
        <x:v>In Field</x:v>
      </x:c>
      <x:c r="I1302" s="37" t="n">
        <x:v>46163</x:v>
      </x:c>
      <x:c r="J1302" s="37" t="n">
        <x:v>46163</x:v>
      </x:c>
      <x:c r="K1302" s="19" t="str">
        <x:v>Lesiure Lion-New Castle</x:v>
      </x:c>
      <x:c r="L1302" s="19" t="str">
        <x:v>Z006</x:v>
      </x:c>
      <x:c r="M1302" s="19" t="str">
        <x:v>In Field Warranty Claims</x:v>
      </x:c>
      <x:c r="N1302" s="37" t="n">
        <x:v>46154</x:v>
      </x:c>
      <x:c r="O1302" s="37"/>
      <x:c r="P1302" s="34" t="n">
        <x:v>0</x:v>
      </x:c>
      <x:c r="Q1302" s="37" t="n">
        <x:v>46162.94144675926</x:v>
      </x:c>
    </x:row>
    <x:row r="1303">
      <x:c r="A1303" s="22" t="n">
        <x:v>34807</x:v>
      </x:c>
      <x:c r="B1303" s="28" t="n">
        <x:v>236.47</x:v>
      </x:c>
      <x:c r="C1303" s="28" t="n">
        <x:v>260.12</x:v>
      </x:c>
      <x:c r="D1303" s="31" t="n">
        <x:f>IF(OR(ISBLANK(B1303),ISBLANK(C1303),B1303=0),"",(C1303-B1303)/B1303)</x:f>
        <x:v>0.10001268659872291</x:v>
      </x:c>
      <x:c r="E1303" s="22" t="str">
        <x:f>IF(ISBLANK(C1303),"AmountIncludingTax缺失",IF(ABS(B1303-C1303)&lt;0.005,"一致","不一致"))</x:f>
        <x:v>不一致</x:v>
      </x:c>
      <x:c r="F1303" s="19" t="str">
        <x:v>approved</x:v>
      </x:c>
      <x:c r="G1303" s="19" t="str">
        <x:v>Repairer Invoiced Processed</x:v>
      </x:c>
      <x:c r="H1303" s="19" t="str">
        <x:v>In Field</x:v>
      </x:c>
      <x:c r="I1303" s="37" t="n">
        <x:v>46163</x:v>
      </x:c>
      <x:c r="J1303" s="37" t="n">
        <x:v>46163</x:v>
      </x:c>
      <x:c r="K1303" s="19" t="str">
        <x:v>Green RV - Forest Glen</x:v>
      </x:c>
      <x:c r="L1303" s="19" t="str">
        <x:v>Z006</x:v>
      </x:c>
      <x:c r="M1303" s="19" t="str">
        <x:v>In Field Warranty Claims</x:v>
      </x:c>
      <x:c r="N1303" s="37" t="n">
        <x:v>46154</x:v>
      </x:c>
      <x:c r="O1303" s="37"/>
      <x:c r="P1303" s="34" t="n">
        <x:v>260.12</x:v>
      </x:c>
      <x:c r="Q1303" s="37" t="n">
        <x:v>46163.12907407407</x:v>
      </x:c>
    </x:row>
    <x:row r="1304">
      <x:c r="A1304" s="22" t="n">
        <x:v>34804</x:v>
      </x:c>
      <x:c r="B1304" s="28" t="n">
        <x:v>911.25</x:v>
      </x:c>
      <x:c r="C1304" s="28"/>
      <x:c r="D1304" s="31" t="str">
        <x:f>IF(OR(ISBLANK(B1304),ISBLANK(C1304),B1304=0),"",(C1304-B1304)/B1304)</x:f>
      </x:c>
      <x:c r="E1304" s="22" t="str">
        <x:f>IF(ISBLANK(C1304),"AmountIncludingTax缺失",IF(ABS(B1304-C1304)&lt;0.005,"一致","不一致"))</x:f>
        <x:v>AmountIncludingTax缺失</x:v>
      </x:c>
      <x:c r="F1304" s="19" t="str">
        <x:v>approved</x:v>
      </x:c>
      <x:c r="G1304" s="19" t="str">
        <x:v>Repairer Invoiced Processed</x:v>
      </x:c>
      <x:c r="H1304" s="19" t="str">
        <x:v>In Field</x:v>
      </x:c>
      <x:c r="I1304" s="37" t="n">
        <x:v>46155</x:v>
      </x:c>
      <x:c r="J1304" s="37" t="n">
        <x:v>46155</x:v>
      </x:c>
      <x:c r="K1304" s="19" t="str">
        <x:v>Newcastle RV Super Centre - Beresfield</x:v>
      </x:c>
      <x:c r="L1304" s="19" t="str">
        <x:v>Z006</x:v>
      </x:c>
      <x:c r="M1304" s="19" t="str">
        <x:v>In Field Warranty Claims</x:v>
      </x:c>
      <x:c r="N1304" s="37" t="n">
        <x:v>46154</x:v>
      </x:c>
      <x:c r="O1304" s="37"/>
      <x:c r="P1304" s="34" t="n">
        <x:v>0</x:v>
      </x:c>
      <x:c r="Q1304" s="37" t="n">
        <x:v>46155.19033564815</x:v>
      </x:c>
    </x:row>
    <x:row r="1305">
      <x:c r="A1305" s="22" t="n">
        <x:v>34803</x:v>
      </x:c>
      <x:c r="B1305" s="28" t="n">
        <x:v>3790</x:v>
      </x:c>
      <x:c r="C1305" s="28"/>
      <x:c r="D1305" s="31" t="str">
        <x:f>IF(OR(ISBLANK(B1305),ISBLANK(C1305),B1305=0),"",(C1305-B1305)/B1305)</x:f>
      </x:c>
      <x:c r="E1305" s="22" t="str">
        <x:f>IF(ISBLANK(C1305),"AmountIncludingTax缺失",IF(ABS(B1305-C1305)&lt;0.005,"一致","不一致"))</x:f>
        <x:v>AmountIncludingTax缺失</x:v>
      </x:c>
      <x:c r="F1305" s="19" t="str">
        <x:v>approved</x:v>
      </x:c>
      <x:c r="G1305" s="19" t="str">
        <x:v>Repair in Progress</x:v>
      </x:c>
      <x:c r="H1305" s="19" t="str">
        <x:v>In Field</x:v>
      </x:c>
      <x:c r="I1305" s="37" t="n">
        <x:v>46163</x:v>
      </x:c>
      <x:c r="J1305" s="37" t="n">
        <x:v>46163</x:v>
      </x:c>
      <x:c r="K1305" s="19" t="str">
        <x:v>Regent RV - Perth</x:v>
      </x:c>
      <x:c r="L1305" s="19" t="str">
        <x:v>Z006</x:v>
      </x:c>
      <x:c r="M1305" s="19" t="str">
        <x:v>In Field Warranty Claims</x:v>
      </x:c>
      <x:c r="N1305" s="37" t="n">
        <x:v>46154</x:v>
      </x:c>
      <x:c r="O1305" s="37"/>
      <x:c r="P1305" s="34" t="n">
        <x:v>4169</x:v>
      </x:c>
      <x:c r="Q1305" s="37" t="n">
        <x:v>46163.26150462963</x:v>
      </x:c>
    </x:row>
    <x:row r="1306">
      <x:c r="A1306" s="22" t="n">
        <x:v>34802</x:v>
      </x:c>
      <x:c r="B1306" s="28" t="n">
        <x:v>405</x:v>
      </x:c>
      <x:c r="C1306" s="28"/>
      <x:c r="D1306" s="31" t="str">
        <x:f>IF(OR(ISBLANK(B1306),ISBLANK(C1306),B1306=0),"",(C1306-B1306)/B1306)</x:f>
      </x:c>
      <x:c r="E1306" s="22" t="str">
        <x:f>IF(ISBLANK(C1306),"AmountIncludingTax缺失",IF(ABS(B1306-C1306)&lt;0.005,"一致","不一致"))</x:f>
        <x:v>AmountIncludingTax缺失</x:v>
      </x:c>
      <x:c r="F1306" s="19" t="str">
        <x:v>approved</x:v>
      </x:c>
      <x:c r="G1306" s="19" t="str">
        <x:v>Repair in Progress</x:v>
      </x:c>
      <x:c r="H1306" s="19" t="str">
        <x:v>In Field</x:v>
      </x:c>
      <x:c r="I1306" s="37" t="n">
        <x:v>46160</x:v>
      </x:c>
      <x:c r="J1306" s="37" t="n">
        <x:v>46160</x:v>
      </x:c>
      <x:c r="K1306" s="19" t="str">
        <x:v>Green RV - Slacks Creek</x:v>
      </x:c>
      <x:c r="L1306" s="19" t="str">
        <x:v>Z006</x:v>
      </x:c>
      <x:c r="M1306" s="19" t="str">
        <x:v>In Field Warranty Claims</x:v>
      </x:c>
      <x:c r="N1306" s="37" t="n">
        <x:v>46154</x:v>
      </x:c>
      <x:c r="O1306" s="37"/>
      <x:c r="P1306" s="34" t="n">
        <x:v>0</x:v>
      </x:c>
      <x:c r="Q1306" s="37" t="n">
        <x:v>46160.24784722222</x:v>
      </x:c>
    </x:row>
    <x:row r="1307">
      <x:c r="A1307" s="22" t="n">
        <x:v>34801</x:v>
      </x:c>
      <x:c r="B1307" s="28" t="n">
        <x:v>850</x:v>
      </x:c>
      <x:c r="C1307" s="28"/>
      <x:c r="D1307" s="31" t="str">
        <x:f>IF(OR(ISBLANK(B1307),ISBLANK(C1307),B1307=0),"",(C1307-B1307)/B1307)</x:f>
      </x:c>
      <x:c r="E1307" s="22" t="str">
        <x:f>IF(ISBLANK(C1307),"AmountIncludingTax缺失",IF(ABS(B1307-C1307)&lt;0.005,"一致","不一致"))</x:f>
        <x:v>AmountIncludingTax缺失</x:v>
      </x:c>
      <x:c r="F1307" s="19" t="str">
        <x:v>approved</x:v>
      </x:c>
      <x:c r="G1307" s="19" t="str">
        <x:v>Repairer Invoiced Processed</x:v>
      </x:c>
      <x:c r="H1307" s="19" t="str">
        <x:v>In Field</x:v>
      </x:c>
      <x:c r="I1307" s="37" t="n">
        <x:v>46156</x:v>
      </x:c>
      <x:c r="J1307" s="37" t="n">
        <x:v>46156</x:v>
      </x:c>
      <x:c r="K1307" s="19" t="str">
        <x:v>Green RV - Forest Glen</x:v>
      </x:c>
      <x:c r="L1307" s="19" t="str">
        <x:v>Z006</x:v>
      </x:c>
      <x:c r="M1307" s="19" t="str">
        <x:v>In Field Warranty Claims</x:v>
      </x:c>
      <x:c r="N1307" s="37" t="n">
        <x:v>46154</x:v>
      </x:c>
      <x:c r="O1307" s="37"/>
      <x:c r="P1307" s="34" t="n">
        <x:v>0</x:v>
      </x:c>
      <x:c r="Q1307" s="37" t="n">
        <x:v>46155.949166666665</x:v>
      </x:c>
    </x:row>
    <x:row r="1308">
      <x:c r="A1308" s="22" t="n">
        <x:v>34799</x:v>
      </x:c>
      <x:c r="B1308" s="28" t="n">
        <x:v>327.27</x:v>
      </x:c>
      <x:c r="C1308" s="28" t="n">
        <x:v>360</x:v>
      </x:c>
      <x:c r="D1308" s="31" t="n">
        <x:f>IF(OR(ISBLANK(B1308),ISBLANK(C1308),B1308=0),"",(C1308-B1308)/B1308)</x:f>
        <x:v>0.10000916674305625</x:v>
      </x:c>
      <x:c r="E1308" s="22" t="str">
        <x:f>IF(ISBLANK(C1308),"AmountIncludingTax缺失",IF(ABS(B1308-C1308)&lt;0.005,"一致","不一致"))</x:f>
        <x:v>不一致</x:v>
      </x:c>
      <x:c r="F1308" s="19" t="str">
        <x:v>approved</x:v>
      </x:c>
      <x:c r="G1308" s="19" t="str">
        <x:v>Repairer Invoiced Processed</x:v>
      </x:c>
      <x:c r="H1308" s="19" t="str">
        <x:v>In Field</x:v>
      </x:c>
      <x:c r="I1308" s="37" t="n">
        <x:v>46156</x:v>
      </x:c>
      <x:c r="J1308" s="37" t="n">
        <x:v>46156</x:v>
      </x:c>
      <x:c r="K1308" s="19" t="str">
        <x:v>Green RV - Forest Glen</x:v>
      </x:c>
      <x:c r="L1308" s="19" t="str">
        <x:v>Z006</x:v>
      </x:c>
      <x:c r="M1308" s="19" t="str">
        <x:v>In Field Warranty Claims</x:v>
      </x:c>
      <x:c r="N1308" s="37" t="n">
        <x:v>46154</x:v>
      </x:c>
      <x:c r="O1308" s="37"/>
      <x:c r="P1308" s="34" t="n">
        <x:v>360</x:v>
      </x:c>
      <x:c r="Q1308" s="37" t="n">
        <x:v>46155.87063657407</x:v>
      </x:c>
    </x:row>
    <x:row r="1309">
      <x:c r="A1309" s="22" t="n">
        <x:v>34798</x:v>
      </x:c>
      <x:c r="B1309" s="28" t="n">
        <x:v>1620</x:v>
      </x:c>
      <x:c r="C1309" s="28"/>
      <x:c r="D1309" s="31" t="str">
        <x:f>IF(OR(ISBLANK(B1309),ISBLANK(C1309),B1309=0),"",(C1309-B1309)/B1309)</x:f>
      </x:c>
      <x:c r="E1309" s="22" t="str">
        <x:f>IF(ISBLANK(C1309),"AmountIncludingTax缺失",IF(ABS(B1309-C1309)&lt;0.005,"一致","不一致"))</x:f>
        <x:v>AmountIncludingTax缺失</x:v>
      </x:c>
      <x:c r="F1309" s="19" t="str">
        <x:v>approved</x:v>
      </x:c>
      <x:c r="G1309" s="19" t="str">
        <x:v>Repair in Progress</x:v>
      </x:c>
      <x:c r="H1309" s="19" t="str">
        <x:v>In Field</x:v>
      </x:c>
      <x:c r="I1309" s="37" t="n">
        <x:v>46161</x:v>
      </x:c>
      <x:c r="J1309" s="37" t="n">
        <x:v>46161</x:v>
      </x:c>
      <x:c r="K1309" s="19" t="str">
        <x:v>Green RV - Forest Glen</x:v>
      </x:c>
      <x:c r="L1309" s="19" t="str">
        <x:v>Z006</x:v>
      </x:c>
      <x:c r="M1309" s="19" t="str">
        <x:v>In Field Warranty Claims</x:v>
      </x:c>
      <x:c r="N1309" s="37" t="n">
        <x:v>46154</x:v>
      </x:c>
      <x:c r="O1309" s="37"/>
      <x:c r="P1309" s="34" t="n">
        <x:v>1782</x:v>
      </x:c>
      <x:c r="Q1309" s="37" t="n">
        <x:v>46161.53494212963</x:v>
      </x:c>
    </x:row>
    <x:row r="1310">
      <x:c r="A1310" s="22" t="n">
        <x:v>34797</x:v>
      </x:c>
      <x:c r="B1310" s="28" t="n">
        <x:v>1350</x:v>
      </x:c>
      <x:c r="C1310" s="28"/>
      <x:c r="D1310" s="31" t="str">
        <x:f>IF(OR(ISBLANK(B1310),ISBLANK(C1310),B1310=0),"",(C1310-B1310)/B1310)</x:f>
      </x:c>
      <x:c r="E1310" s="22" t="str">
        <x:f>IF(ISBLANK(C1310),"AmountIncludingTax缺失",IF(ABS(B1310-C1310)&lt;0.005,"一致","不一致"))</x:f>
        <x:v>AmountIncludingTax缺失</x:v>
      </x:c>
      <x:c r="F1310" s="19" t="str">
        <x:v>approved</x:v>
      </x:c>
      <x:c r="G1310" s="19" t="str">
        <x:v>Repairer Invoiced Processed</x:v>
      </x:c>
      <x:c r="H1310" s="19" t="str">
        <x:v>In Field</x:v>
      </x:c>
      <x:c r="I1310" s="37" t="n">
        <x:v>46164</x:v>
      </x:c>
      <x:c r="J1310" s="37" t="n">
        <x:v>46164</x:v>
      </x:c>
      <x:c r="K1310" s="19" t="str">
        <x:v>Regent RV - Perth</x:v>
      </x:c>
      <x:c r="L1310" s="19" t="str">
        <x:v>Z006</x:v>
      </x:c>
      <x:c r="M1310" s="19" t="str">
        <x:v>In Field Warranty Claims</x:v>
      </x:c>
      <x:c r="N1310" s="37" t="n">
        <x:v>46154</x:v>
      </x:c>
      <x:c r="O1310" s="37"/>
      <x:c r="P1310" s="34" t="n">
        <x:v>1485</x:v>
      </x:c>
      <x:c r="Q1310" s="37" t="n">
        <x:v>46163.96263888889</x:v>
      </x:c>
    </x:row>
    <x:row r="1311">
      <x:c r="A1311" s="22" t="n">
        <x:v>34796</x:v>
      </x:c>
      <x:c r="B1311" s="28" t="n">
        <x:v>810</x:v>
      </x:c>
      <x:c r="C1311" s="28"/>
      <x:c r="D1311" s="31" t="str">
        <x:f>IF(OR(ISBLANK(B1311),ISBLANK(C1311),B1311=0),"",(C1311-B1311)/B1311)</x:f>
      </x:c>
      <x:c r="E1311" s="22" t="str">
        <x:f>IF(ISBLANK(C1311),"AmountIncludingTax缺失",IF(ABS(B1311-C1311)&lt;0.005,"一致","不一致"))</x:f>
        <x:v>AmountIncludingTax缺失</x:v>
      </x:c>
      <x:c r="F1311" s="19" t="str">
        <x:v>approved</x:v>
      </x:c>
      <x:c r="G1311" s="19" t="str">
        <x:v>Repair in Progress</x:v>
      </x:c>
      <x:c r="H1311" s="19" t="str">
        <x:v>In Field</x:v>
      </x:c>
      <x:c r="I1311" s="37" t="n">
        <x:v>46156</x:v>
      </x:c>
      <x:c r="J1311" s="37" t="n">
        <x:v>46156</x:v>
      </x:c>
      <x:c r="K1311" s="19" t="str">
        <x:v>Green RV - Forest Glen</x:v>
      </x:c>
      <x:c r="L1311" s="19" t="str">
        <x:v>Z006</x:v>
      </x:c>
      <x:c r="M1311" s="19" t="str">
        <x:v>In Field Warranty Claims</x:v>
      </x:c>
      <x:c r="N1311" s="37" t="n">
        <x:v>46154</x:v>
      </x:c>
      <x:c r="O1311" s="37"/>
      <x:c r="P1311" s="34" t="n">
        <x:v>0</x:v>
      </x:c>
      <x:c r="Q1311" s="37" t="n">
        <x:v>46155.920439814814</x:v>
      </x:c>
    </x:row>
    <x:row r="1312">
      <x:c r="A1312" s="22" t="n">
        <x:v>34795</x:v>
      </x:c>
      <x:c r="B1312" s="28" t="n">
        <x:v>652.5</x:v>
      </x:c>
      <x:c r="C1312" s="28"/>
      <x:c r="D1312" s="31" t="str">
        <x:f>IF(OR(ISBLANK(B1312),ISBLANK(C1312),B1312=0),"",(C1312-B1312)/B1312)</x:f>
      </x:c>
      <x:c r="E1312" s="22" t="str">
        <x:f>IF(ISBLANK(C1312),"AmountIncludingTax缺失",IF(ABS(B1312-C1312)&lt;0.005,"一致","不一致"))</x:f>
        <x:v>AmountIncludingTax缺失</x:v>
      </x:c>
      <x:c r="F1312" s="19" t="str">
        <x:v>approved</x:v>
      </x:c>
      <x:c r="G1312" s="19" t="str">
        <x:v>Partially Picked</x:v>
      </x:c>
      <x:c r="H1312" s="19" t="str">
        <x:v>In Field</x:v>
      </x:c>
      <x:c r="I1312" s="37" t="n">
        <x:v>46155</x:v>
      </x:c>
      <x:c r="J1312" s="37" t="n">
        <x:v>46155</x:v>
      </x:c>
      <x:c r="K1312" s="19" t="str">
        <x:v>Green RV - Slacks Creek</x:v>
      </x:c>
      <x:c r="L1312" s="19" t="str">
        <x:v>Z006</x:v>
      </x:c>
      <x:c r="M1312" s="19" t="str">
        <x:v>In Field Warranty Claims</x:v>
      </x:c>
      <x:c r="N1312" s="37" t="n">
        <x:v>46154</x:v>
      </x:c>
      <x:c r="O1312" s="37"/>
      <x:c r="P1312" s="34" t="n">
        <x:v>0</x:v>
      </x:c>
      <x:c r="Q1312" s="37" t="n">
        <x:v>46155.193020833336</x:v>
      </x:c>
    </x:row>
    <x:row r="1313">
      <x:c r="A1313" s="22" t="n">
        <x:v>34794</x:v>
      </x:c>
      <x:c r="B1313" s="28" t="n">
        <x:v>822.5</x:v>
      </x:c>
      <x:c r="C1313" s="28"/>
      <x:c r="D1313" s="31" t="str">
        <x:f>IF(OR(ISBLANK(B1313),ISBLANK(C1313),B1313=0),"",(C1313-B1313)/B1313)</x:f>
      </x:c>
      <x:c r="E1313" s="22" t="str">
        <x:f>IF(ISBLANK(C1313),"AmountIncludingTax缺失",IF(ABS(B1313-C1313)&lt;0.005,"一致","不一致"))</x:f>
        <x:v>AmountIncludingTax缺失</x:v>
      </x:c>
      <x:c r="F1313" s="19" t="str">
        <x:v>approved</x:v>
      </x:c>
      <x:c r="G1313" s="19" t="str">
        <x:v>Repair in Progress</x:v>
      </x:c>
      <x:c r="H1313" s="19" t="str">
        <x:v>In Field</x:v>
      </x:c>
      <x:c r="I1313" s="37" t="n">
        <x:v>46170</x:v>
      </x:c>
      <x:c r="J1313" s="37" t="n">
        <x:v>46170</x:v>
      </x:c>
      <x:c r="K1313" s="19" t="str">
        <x:v>The Caravan Hub - Townsville</x:v>
      </x:c>
      <x:c r="L1313" s="19" t="str">
        <x:v>Z006</x:v>
      </x:c>
      <x:c r="M1313" s="19" t="str">
        <x:v>In Field Warranty Claims</x:v>
      </x:c>
      <x:c r="N1313" s="37" t="n">
        <x:v>46154</x:v>
      </x:c>
      <x:c r="O1313" s="37"/>
      <x:c r="P1313" s="34" t="n">
        <x:v>0</x:v>
      </x:c>
      <x:c r="Q1313" s="37" t="n">
        <x:v>46169.96861111111</x:v>
      </x:c>
    </x:row>
    <x:row r="1314">
      <x:c r="A1314" s="22" t="n">
        <x:v>34793</x:v>
      </x:c>
      <x:c r="B1314" s="28" t="n">
        <x:v>284.32</x:v>
      </x:c>
      <x:c r="C1314" s="28"/>
      <x:c r="D1314" s="31" t="str">
        <x:f>IF(OR(ISBLANK(B1314),ISBLANK(C1314),B1314=0),"",(C1314-B1314)/B1314)</x:f>
      </x:c>
      <x:c r="E1314" s="22" t="str">
        <x:f>IF(ISBLANK(C1314),"AmountIncludingTax缺失",IF(ABS(B1314-C1314)&lt;0.005,"一致","不一致"))</x:f>
        <x:v>AmountIncludingTax缺失</x:v>
      </x:c>
      <x:c r="F1314" s="19" t="str">
        <x:v>approved</x:v>
      </x:c>
      <x:c r="G1314" s="19" t="str">
        <x:v>Repairer Invoiced Processed</x:v>
      </x:c>
      <x:c r="H1314" s="19" t="str">
        <x:v>In Field</x:v>
      </x:c>
      <x:c r="I1314" s="37" t="n">
        <x:v>46185</x:v>
      </x:c>
      <x:c r="J1314" s="37" t="n">
        <x:v>46163</x:v>
      </x:c>
      <x:c r="K1314" s="19" t="str">
        <x:v>Snowy River Wangaratta</x:v>
      </x:c>
      <x:c r="L1314" s="19" t="str">
        <x:v>Z006</x:v>
      </x:c>
      <x:c r="M1314" s="19" t="str">
        <x:v>In Field Warranty Claims</x:v>
      </x:c>
      <x:c r="N1314" s="37" t="n">
        <x:v>46154</x:v>
      </x:c>
      <x:c r="O1314" s="37"/>
      <x:c r="P1314" s="34" t="n">
        <x:v>0</x:v>
      </x:c>
      <x:c r="Q1314" s="37" t="n">
        <x:v>46185.2715625</x:v>
      </x:c>
    </x:row>
    <x:row r="1315">
      <x:c r="A1315" s="22" t="n">
        <x:v>34792</x:v>
      </x:c>
      <x:c r="B1315" s="28" t="n">
        <x:v>271.36</x:v>
      </x:c>
      <x:c r="C1315" s="28" t="n">
        <x:v>298.5</x:v>
      </x:c>
      <x:c r="D1315" s="31" t="n">
        <x:f>IF(OR(ISBLANK(B1315),ISBLANK(C1315),B1315=0),"",(C1315-B1315)/B1315)</x:f>
        <x:v>0.10001474056603768</x:v>
      </x:c>
      <x:c r="E1315" s="22" t="str">
        <x:f>IF(ISBLANK(C1315),"AmountIncludingTax缺失",IF(ABS(B1315-C1315)&lt;0.005,"一致","不一致"))</x:f>
        <x:v>不一致</x:v>
      </x:c>
      <x:c r="F1315" s="19" t="str">
        <x:v>approved</x:v>
      </x:c>
      <x:c r="G1315" s="19" t="str">
        <x:v>Repair in Progress</x:v>
      </x:c>
      <x:c r="H1315" s="19" t="str">
        <x:v>Pre Delivery</x:v>
      </x:c>
      <x:c r="I1315" s="37" t="n">
        <x:v>46190</x:v>
      </x:c>
      <x:c r="J1315" s="37" t="n">
        <x:v>46190</x:v>
      </x:c>
      <x:c r="K1315" s="19" t="str">
        <x:v>Green RV - Forest Glen</x:v>
      </x:c>
      <x:c r="L1315" s="19" t="str">
        <x:v>Z005</x:v>
      </x:c>
      <x:c r="M1315" s="19" t="str">
        <x:v>Pre Delivery Warranty Claims</x:v>
      </x:c>
      <x:c r="N1315" s="37" t="n">
        <x:v>46154</x:v>
      </x:c>
      <x:c r="O1315" s="37"/>
      <x:c r="P1315" s="34" t="n">
        <x:v>298.5</x:v>
      </x:c>
      <x:c r="Q1315" s="37" t="n">
        <x:v>46190.26388888889</x:v>
      </x:c>
    </x:row>
    <x:row r="1316">
      <x:c r="A1316" s="22" t="n">
        <x:v>34790</x:v>
      </x:c>
      <x:c r="B1316" s="28" t="n">
        <x:v>782.5</x:v>
      </x:c>
      <x:c r="C1316" s="28"/>
      <x:c r="D1316" s="31" t="str">
        <x:f>IF(OR(ISBLANK(B1316),ISBLANK(C1316),B1316=0),"",(C1316-B1316)/B1316)</x:f>
      </x:c>
      <x:c r="E1316" s="22" t="str">
        <x:f>IF(ISBLANK(C1316),"AmountIncludingTax缺失",IF(ABS(B1316-C1316)&lt;0.005,"一致","不一致"))</x:f>
        <x:v>AmountIncludingTax缺失</x:v>
      </x:c>
      <x:c r="F1316" s="19" t="str">
        <x:v>approved</x:v>
      </x:c>
      <x:c r="G1316" s="19" t="str">
        <x:v>Repair in Progress</x:v>
      </x:c>
      <x:c r="H1316" s="19" t="str">
        <x:v>In Field</x:v>
      </x:c>
      <x:c r="I1316" s="37" t="n">
        <x:v>46164</x:v>
      </x:c>
      <x:c r="J1316" s="37" t="n">
        <x:v>46164</x:v>
      </x:c>
      <x:c r="K1316" s="19" t="str">
        <x:v>Snowy River Wangaratta</x:v>
      </x:c>
      <x:c r="L1316" s="19" t="str">
        <x:v>Z006</x:v>
      </x:c>
      <x:c r="M1316" s="19" t="str">
        <x:v>In Field Warranty Claims</x:v>
      </x:c>
      <x:c r="N1316" s="37" t="n">
        <x:v>46154</x:v>
      </x:c>
      <x:c r="O1316" s="37"/>
      <x:c r="P1316" s="34" t="n">
        <x:v>0</x:v>
      </x:c>
      <x:c r="Q1316" s="37" t="n">
        <x:v>46163.96368055556</x:v>
      </x:c>
    </x:row>
    <x:row r="1317">
      <x:c r="A1317" s="22" t="n">
        <x:v>34789</x:v>
      </x:c>
      <x:c r="B1317" s="28" t="n">
        <x:v>72.5</x:v>
      </x:c>
      <x:c r="C1317" s="28"/>
      <x:c r="D1317" s="31" t="str">
        <x:f>IF(OR(ISBLANK(B1317),ISBLANK(C1317),B1317=0),"",(C1317-B1317)/B1317)</x:f>
      </x:c>
      <x:c r="E1317" s="22" t="str">
        <x:f>IF(ISBLANK(C1317),"AmountIncludingTax缺失",IF(ABS(B1317-C1317)&lt;0.005,"一致","不一致"))</x:f>
        <x:v>AmountIncludingTax缺失</x:v>
      </x:c>
      <x:c r="F1317" s="19" t="str">
        <x:v>approved</x:v>
      </x:c>
      <x:c r="G1317" s="19" t="str">
        <x:v>Repairer Invoiced Processed</x:v>
      </x:c>
      <x:c r="H1317" s="19" t="str">
        <x:v>In Field</x:v>
      </x:c>
      <x:c r="I1317" s="37" t="n">
        <x:v>46170</x:v>
      </x:c>
      <x:c r="J1317" s="37" t="n">
        <x:v>46170</x:v>
      </x:c>
      <x:c r="K1317" s="19" t="str">
        <x:v>The Caravan Hub - Townsville</x:v>
      </x:c>
      <x:c r="L1317" s="19" t="str">
        <x:v>Z006</x:v>
      </x:c>
      <x:c r="M1317" s="19" t="str">
        <x:v>In Field Warranty Claims</x:v>
      </x:c>
      <x:c r="N1317" s="37" t="n">
        <x:v>46154</x:v>
      </x:c>
      <x:c r="O1317" s="37"/>
      <x:c r="P1317" s="34" t="n">
        <x:v>0</x:v>
      </x:c>
      <x:c r="Q1317" s="37" t="n">
        <x:v>46169.944710648146</x:v>
      </x:c>
    </x:row>
    <x:row r="1318">
      <x:c r="A1318" s="22" t="n">
        <x:v>34788</x:v>
      </x:c>
      <x:c r="B1318" s="28" t="n">
        <x:v>570.46</x:v>
      </x:c>
      <x:c r="C1318" s="28"/>
      <x:c r="D1318" s="31" t="str">
        <x:f>IF(OR(ISBLANK(B1318),ISBLANK(C1318),B1318=0),"",(C1318-B1318)/B1318)</x:f>
      </x:c>
      <x:c r="E1318" s="22" t="str">
        <x:f>IF(ISBLANK(C1318),"AmountIncludingTax缺失",IF(ABS(B1318-C1318)&lt;0.005,"一致","不一致"))</x:f>
        <x:v>AmountIncludingTax缺失</x:v>
      </x:c>
      <x:c r="F1318" s="19" t="str">
        <x:v>approved</x:v>
      </x:c>
      <x:c r="G1318" s="19" t="str">
        <x:v>Repairer Invoiced Processed</x:v>
      </x:c>
      <x:c r="H1318" s="19" t="str">
        <x:v>Pre Delivery</x:v>
      </x:c>
      <x:c r="I1318" s="37" t="n">
        <x:v>46156</x:v>
      </x:c>
      <x:c r="J1318" s="37" t="n">
        <x:v>46156</x:v>
      </x:c>
      <x:c r="K1318" s="19" t="str">
        <x:v>Green RV - Slacks Creek</x:v>
      </x:c>
      <x:c r="L1318" s="19" t="str">
        <x:v>Z005</x:v>
      </x:c>
      <x:c r="M1318" s="19" t="str">
        <x:v>Pre Delivery Warranty Claims</x:v>
      </x:c>
      <x:c r="N1318" s="37" t="n">
        <x:v>46154</x:v>
      </x:c>
      <x:c r="O1318" s="37"/>
      <x:c r="P1318" s="34" t="n">
        <x:v>0</x:v>
      </x:c>
      <x:c r="Q1318" s="37" t="n">
        <x:v>46155.937430555554</x:v>
      </x:c>
    </x:row>
    <x:row r="1319">
      <x:c r="A1319" s="22" t="n">
        <x:v>34787</x:v>
      </x:c>
      <x:c r="B1319" s="28" t="n">
        <x:v>415</x:v>
      </x:c>
      <x:c r="C1319" s="28"/>
      <x:c r="D1319" s="31" t="str">
        <x:f>IF(OR(ISBLANK(B1319),ISBLANK(C1319),B1319=0),"",(C1319-B1319)/B1319)</x:f>
      </x:c>
      <x:c r="E1319" s="22" t="str">
        <x:f>IF(ISBLANK(C1319),"AmountIncludingTax缺失",IF(ABS(B1319-C1319)&lt;0.005,"一致","不一致"))</x:f>
        <x:v>AmountIncludingTax缺失</x:v>
      </x:c>
      <x:c r="F1319" s="19" t="str">
        <x:v>approved</x:v>
      </x:c>
      <x:c r="G1319" s="19" t="str">
        <x:v>Repairer Invoiced Processed</x:v>
      </x:c>
      <x:c r="H1319" s="19" t="str">
        <x:v>In Field</x:v>
      </x:c>
      <x:c r="I1319" s="37" t="n">
        <x:v>46160</x:v>
      </x:c>
      <x:c r="J1319" s="37" t="n">
        <x:v>46160</x:v>
      </x:c>
      <x:c r="K1319" s="19" t="str">
        <x:v>Green RV - Forest Glen</x:v>
      </x:c>
      <x:c r="L1319" s="19" t="str">
        <x:v>Z006</x:v>
      </x:c>
      <x:c r="M1319" s="19" t="str">
        <x:v>In Field Warranty Claims</x:v>
      </x:c>
      <x:c r="N1319" s="37" t="n">
        <x:v>46154</x:v>
      </x:c>
      <x:c r="O1319" s="37"/>
      <x:c r="P1319" s="34" t="n">
        <x:v>0</x:v>
      </x:c>
      <x:c r="Q1319" s="37" t="n">
        <x:v>46159.96092592592</x:v>
      </x:c>
    </x:row>
    <x:row r="1320">
      <x:c r="A1320" s="22" t="n">
        <x:v>34786</x:v>
      </x:c>
      <x:c r="B1320" s="28" t="n">
        <x:v>828</x:v>
      </x:c>
      <x:c r="C1320" s="28"/>
      <x:c r="D1320" s="31" t="str">
        <x:f>IF(OR(ISBLANK(B1320),ISBLANK(C1320),B1320=0),"",(C1320-B1320)/B1320)</x:f>
      </x:c>
      <x:c r="E1320" s="22" t="str">
        <x:f>IF(ISBLANK(C1320),"AmountIncludingTax缺失",IF(ABS(B1320-C1320)&lt;0.005,"一致","不一致"))</x:f>
        <x:v>AmountIncludingTax缺失</x:v>
      </x:c>
      <x:c r="F1320" s="19" t="str">
        <x:v>approved</x:v>
      </x:c>
      <x:c r="G1320" s="19" t="str">
        <x:v>Repair in Progress</x:v>
      </x:c>
      <x:c r="H1320" s="19" t="str">
        <x:v>In Field</x:v>
      </x:c>
      <x:c r="I1320" s="37" t="n">
        <x:v>46154</x:v>
      </x:c>
      <x:c r="J1320" s="37" t="n">
        <x:v>46154</x:v>
      </x:c>
      <x:c r="K1320" s="19" t="str">
        <x:v>Newcastle RV Super Centre - Beresfield</x:v>
      </x:c>
      <x:c r="L1320" s="19" t="str">
        <x:v>Z006</x:v>
      </x:c>
      <x:c r="M1320" s="19" t="str">
        <x:v>In Field Warranty Claims</x:v>
      </x:c>
      <x:c r="N1320" s="37" t="n">
        <x:v>46154</x:v>
      </x:c>
      <x:c r="O1320" s="37"/>
      <x:c r="P1320" s="34" t="n">
        <x:v>0</x:v>
      </x:c>
      <x:c r="Q1320" s="37" t="n">
        <x:v>46154.24696759259</x:v>
      </x:c>
    </x:row>
    <x:row r="1321">
      <x:c r="A1321" s="22" t="n">
        <x:v>34785</x:v>
      </x:c>
      <x:c r="B1321" s="28" t="n">
        <x:v>67.5</x:v>
      </x:c>
      <x:c r="C1321" s="28"/>
      <x:c r="D1321" s="31" t="str">
        <x:f>IF(OR(ISBLANK(B1321),ISBLANK(C1321),B1321=0),"",(C1321-B1321)/B1321)</x:f>
      </x:c>
      <x:c r="E1321" s="22" t="str">
        <x:f>IF(ISBLANK(C1321),"AmountIncludingTax缺失",IF(ABS(B1321-C1321)&lt;0.005,"一致","不一致"))</x:f>
        <x:v>AmountIncludingTax缺失</x:v>
      </x:c>
      <x:c r="F1321" s="19" t="str">
        <x:v>approved</x:v>
      </x:c>
      <x:c r="G1321" s="19" t="str">
        <x:v>Sales Order Approved</x:v>
      </x:c>
      <x:c r="H1321" s="19" t="str">
        <x:v>Pre Delivery</x:v>
      </x:c>
      <x:c r="I1321" s="37" t="n">
        <x:v>46161</x:v>
      </x:c>
      <x:c r="J1321" s="37" t="n">
        <x:v>46161</x:v>
      </x:c>
      <x:c r="K1321" s="19" t="str">
        <x:v>Green RV - Forest Glen</x:v>
      </x:c>
      <x:c r="L1321" s="19" t="str">
        <x:v>Z005</x:v>
      </x:c>
      <x:c r="M1321" s="19" t="str">
        <x:v>Pre Delivery Warranty Claims</x:v>
      </x:c>
      <x:c r="N1321" s="37" t="n">
        <x:v>46154</x:v>
      </x:c>
      <x:c r="O1321" s="37"/>
      <x:c r="P1321" s="34" t="n">
        <x:v>0</x:v>
      </x:c>
      <x:c r="Q1321" s="37" t="n">
        <x:v>46160.931875</x:v>
      </x:c>
    </x:row>
    <x:row r="1322">
      <x:c r="A1322" s="22" t="n">
        <x:v>34784</x:v>
      </x:c>
      <x:c r="B1322" s="28" t="n">
        <x:v>241.78</x:v>
      </x:c>
      <x:c r="C1322" s="28" t="n">
        <x:v>265.96</x:v>
      </x:c>
      <x:c r="D1322" s="31" t="n">
        <x:f>IF(OR(ISBLANK(B1322),ISBLANK(C1322),B1322=0),"",(C1322-B1322)/B1322)</x:f>
        <x:v>0.10000827198279419</x:v>
      </x:c>
      <x:c r="E1322" s="22" t="str">
        <x:f>IF(ISBLANK(C1322),"AmountIncludingTax缺失",IF(ABS(B1322-C1322)&lt;0.005,"一致","不一致"))</x:f>
        <x:v>不一致</x:v>
      </x:c>
      <x:c r="F1322" s="19" t="str">
        <x:v>approved</x:v>
      </x:c>
      <x:c r="G1322" s="19" t="str">
        <x:v>Repairer Invoiced Processed</x:v>
      </x:c>
      <x:c r="H1322" s="19" t="str">
        <x:v>In Field</x:v>
      </x:c>
      <x:c r="I1322" s="37" t="n">
        <x:v>46155</x:v>
      </x:c>
      <x:c r="J1322" s="37" t="n">
        <x:v>46155</x:v>
      </x:c>
      <x:c r="K1322" s="19" t="str">
        <x:v>Snowy River Launceston</x:v>
      </x:c>
      <x:c r="L1322" s="19" t="str">
        <x:v>Z006</x:v>
      </x:c>
      <x:c r="M1322" s="19" t="str">
        <x:v>In Field Warranty Claims</x:v>
      </x:c>
      <x:c r="N1322" s="37" t="n">
        <x:v>46153</x:v>
      </x:c>
      <x:c r="O1322" s="37"/>
      <x:c r="P1322" s="34" t="n">
        <x:v>265.96</x:v>
      </x:c>
      <x:c r="Q1322" s="37" t="n">
        <x:v>46155.07681712963</x:v>
      </x:c>
    </x:row>
    <x:row r="1323">
      <x:c r="A1323" s="22" t="n">
        <x:v>34782</x:v>
      </x:c>
      <x:c r="B1323" s="28" t="n">
        <x:v>647.5</x:v>
      </x:c>
      <x:c r="C1323" s="28"/>
      <x:c r="D1323" s="31" t="str">
        <x:f>IF(OR(ISBLANK(B1323),ISBLANK(C1323),B1323=0),"",(C1323-B1323)/B1323)</x:f>
      </x:c>
      <x:c r="E1323" s="22" t="str">
        <x:f>IF(ISBLANK(C1323),"AmountIncludingTax缺失",IF(ABS(B1323-C1323)&lt;0.005,"一致","不一致"))</x:f>
        <x:v>AmountIncludingTax缺失</x:v>
      </x:c>
      <x:c r="F1323" s="19" t="str">
        <x:v>approved</x:v>
      </x:c>
      <x:c r="G1323" s="19" t="str">
        <x:v>Repair in Progress</x:v>
      </x:c>
      <x:c r="H1323" s="19" t="str">
        <x:v>In Field</x:v>
      </x:c>
      <x:c r="I1323" s="37" t="n">
        <x:v>46155</x:v>
      </x:c>
      <x:c r="J1323" s="37" t="n">
        <x:v>46155</x:v>
      </x:c>
      <x:c r="K1323" s="19" t="str">
        <x:v>Green RV - Forest Glen</x:v>
      </x:c>
      <x:c r="L1323" s="19" t="str">
        <x:v>Z006</x:v>
      </x:c>
      <x:c r="M1323" s="19" t="str">
        <x:v>In Field Warranty Claims</x:v>
      </x:c>
      <x:c r="N1323" s="37" t="n">
        <x:v>46153</x:v>
      </x:c>
      <x:c r="O1323" s="37"/>
      <x:c r="P1323" s="34" t="n">
        <x:v>0</x:v>
      </x:c>
      <x:c r="Q1323" s="37" t="n">
        <x:v>46155.05962962963</x:v>
      </x:c>
    </x:row>
    <x:row r="1324">
      <x:c r="A1324" s="22" t="n">
        <x:v>34781</x:v>
      </x:c>
      <x:c r="B1324" s="28" t="n">
        <x:v>356.75</x:v>
      </x:c>
      <x:c r="C1324" s="28" t="n">
        <x:v>392.43</x:v>
      </x:c>
      <x:c r="D1324" s="31" t="n">
        <x:f>IF(OR(ISBLANK(B1324),ISBLANK(C1324),B1324=0),"",(C1324-B1324)/B1324)</x:f>
        <x:v>0.10001401541695867</x:v>
      </x:c>
      <x:c r="E1324" s="22" t="str">
        <x:f>IF(ISBLANK(C1324),"AmountIncludingTax缺失",IF(ABS(B1324-C1324)&lt;0.005,"一致","不一致"))</x:f>
        <x:v>不一致</x:v>
      </x:c>
      <x:c r="F1324" s="19" t="str">
        <x:v>approved</x:v>
      </x:c>
      <x:c r="G1324" s="19" t="str">
        <x:v>Repairer Invoiced Processed</x:v>
      </x:c>
      <x:c r="H1324" s="19" t="str">
        <x:v>In Field</x:v>
      </x:c>
      <x:c r="I1324" s="37" t="n">
        <x:v>46154</x:v>
      </x:c>
      <x:c r="J1324" s="37" t="n">
        <x:v>46154</x:v>
      </x:c>
      <x:c r="K1324" s="19" t="str">
        <x:v>Green RV - Forest Glen</x:v>
      </x:c>
      <x:c r="L1324" s="19" t="str">
        <x:v>Z006</x:v>
      </x:c>
      <x:c r="M1324" s="19" t="str">
        <x:v>In Field Warranty Claims</x:v>
      </x:c>
      <x:c r="N1324" s="37" t="n">
        <x:v>46153</x:v>
      </x:c>
      <x:c r="O1324" s="37"/>
      <x:c r="P1324" s="34" t="n">
        <x:v>392.43</x:v>
      </x:c>
      <x:c r="Q1324" s="37" t="n">
        <x:v>46154.045590277776</x:v>
      </x:c>
    </x:row>
    <x:row r="1325">
      <x:c r="A1325" s="22" t="n">
        <x:v>34780</x:v>
      </x:c>
      <x:c r="B1325" s="28" t="n">
        <x:v>666.25</x:v>
      </x:c>
      <x:c r="C1325" s="28"/>
      <x:c r="D1325" s="31" t="str">
        <x:f>IF(OR(ISBLANK(B1325),ISBLANK(C1325),B1325=0),"",(C1325-B1325)/B1325)</x:f>
      </x:c>
      <x:c r="E1325" s="22" t="str">
        <x:f>IF(ISBLANK(C1325),"AmountIncludingTax缺失",IF(ABS(B1325-C1325)&lt;0.005,"一致","不一致"))</x:f>
        <x:v>AmountIncludingTax缺失</x:v>
      </x:c>
      <x:c r="F1325" s="19" t="str">
        <x:v>approved</x:v>
      </x:c>
      <x:c r="G1325" s="19" t="str">
        <x:v>Repairer Invoiced Processed</x:v>
      </x:c>
      <x:c r="H1325" s="19" t="str">
        <x:v>Pre Delivery</x:v>
      </x:c>
      <x:c r="I1325" s="37" t="n">
        <x:v>46161</x:v>
      </x:c>
      <x:c r="J1325" s="37" t="n">
        <x:v>46161</x:v>
      </x:c>
      <x:c r="K1325" s="19" t="str">
        <x:v>Green RV - Slacks Creek</x:v>
      </x:c>
      <x:c r="L1325" s="19" t="str">
        <x:v>Z005</x:v>
      </x:c>
      <x:c r="M1325" s="19" t="str">
        <x:v>Pre Delivery Warranty Claims</x:v>
      </x:c>
      <x:c r="N1325" s="37" t="n">
        <x:v>46154</x:v>
      </x:c>
      <x:c r="O1325" s="37"/>
      <x:c r="P1325" s="34" t="n">
        <x:v>0</x:v>
      </x:c>
      <x:c r="Q1325" s="37" t="n">
        <x:v>46160.92821759259</x:v>
      </x:c>
    </x:row>
    <x:row r="1326">
      <x:c r="A1326" s="22" t="n">
        <x:v>34778</x:v>
      </x:c>
      <x:c r="B1326" s="28" t="n">
        <x:v>135</x:v>
      </x:c>
      <x:c r="C1326" s="28" t="n">
        <x:v>148.5</x:v>
      </x:c>
      <x:c r="D1326" s="31" t="n">
        <x:f>IF(OR(ISBLANK(B1326),ISBLANK(C1326),B1326=0),"",(C1326-B1326)/B1326)</x:f>
        <x:v>0.1</x:v>
      </x:c>
      <x:c r="E1326" s="22" t="str">
        <x:f>IF(ISBLANK(C1326),"AmountIncludingTax缺失",IF(ABS(B1326-C1326)&lt;0.005,"一致","不一致"))</x:f>
        <x:v>不一致</x:v>
      </x:c>
      <x:c r="F1326" s="19" t="str">
        <x:v>approved</x:v>
      </x:c>
      <x:c r="G1326" s="19" t="str">
        <x:v>Repair in Progress</x:v>
      </x:c>
      <x:c r="H1326" s="19" t="str">
        <x:v>In Field</x:v>
      </x:c>
      <x:c r="I1326" s="37" t="n">
        <x:v>46156</x:v>
      </x:c>
      <x:c r="J1326" s="37" t="n">
        <x:v>46156</x:v>
      </x:c>
      <x:c r="K1326" s="19" t="str">
        <x:v>Regent RV - Toowoomba</x:v>
      </x:c>
      <x:c r="L1326" s="19" t="str">
        <x:v>Z006</x:v>
      </x:c>
      <x:c r="M1326" s="19" t="str">
        <x:v>In Field Warranty Claims</x:v>
      </x:c>
      <x:c r="N1326" s="37" t="n">
        <x:v>46154</x:v>
      </x:c>
      <x:c r="O1326" s="37"/>
      <x:c r="P1326" s="34" t="n">
        <x:v>148.5</x:v>
      </x:c>
      <x:c r="Q1326" s="37" t="n">
        <x:v>46155.94988425926</x:v>
      </x:c>
    </x:row>
    <x:row r="1327">
      <x:c r="A1327" s="22" t="n">
        <x:v>34777</x:v>
      </x:c>
      <x:c r="B1327" s="28" t="n">
        <x:v>565.92</x:v>
      </x:c>
      <x:c r="C1327" s="28"/>
      <x:c r="D1327" s="31" t="str">
        <x:f>IF(OR(ISBLANK(B1327),ISBLANK(C1327),B1327=0),"",(C1327-B1327)/B1327)</x:f>
      </x:c>
      <x:c r="E1327" s="22" t="str">
        <x:f>IF(ISBLANK(C1327),"AmountIncludingTax缺失",IF(ABS(B1327-C1327)&lt;0.005,"一致","不一致"))</x:f>
        <x:v>AmountIncludingTax缺失</x:v>
      </x:c>
      <x:c r="F1327" s="19" t="str">
        <x:v>approved</x:v>
      </x:c>
      <x:c r="G1327" s="19" t="str">
        <x:v>Repairer Invoiced Processed</x:v>
      </x:c>
      <x:c r="H1327" s="19" t="str">
        <x:v>Pre Delivery</x:v>
      </x:c>
      <x:c r="I1327" s="37" t="n">
        <x:v>46156</x:v>
      </x:c>
      <x:c r="J1327" s="37" t="n">
        <x:v>46156</x:v>
      </x:c>
      <x:c r="K1327" s="19" t="str">
        <x:v>Green RV - Slacks Creek</x:v>
      </x:c>
      <x:c r="L1327" s="19" t="str">
        <x:v>Z005</x:v>
      </x:c>
      <x:c r="M1327" s="19" t="str">
        <x:v>Pre Delivery Warranty Claims</x:v>
      </x:c>
      <x:c r="N1327" s="37" t="n">
        <x:v>46153</x:v>
      </x:c>
      <x:c r="O1327" s="37"/>
      <x:c r="P1327" s="34" t="n">
        <x:v>0</x:v>
      </x:c>
      <x:c r="Q1327" s="37" t="n">
        <x:v>46155.94615740741</x:v>
      </x:c>
    </x:row>
    <x:row r="1328">
      <x:c r="A1328" s="22" t="n">
        <x:v>34776</x:v>
      </x:c>
      <x:c r="B1328" s="28" t="n">
        <x:v>1410</x:v>
      </x:c>
      <x:c r="C1328" s="28"/>
      <x:c r="D1328" s="31" t="str">
        <x:f>IF(OR(ISBLANK(B1328),ISBLANK(C1328),B1328=0),"",(C1328-B1328)/B1328)</x:f>
      </x:c>
      <x:c r="E1328" s="22" t="str">
        <x:f>IF(ISBLANK(C1328),"AmountIncludingTax缺失",IF(ABS(B1328-C1328)&lt;0.005,"一致","不一致"))</x:f>
        <x:v>AmountIncludingTax缺失</x:v>
      </x:c>
      <x:c r="F1328" s="19" t="str">
        <x:v>approved</x:v>
      </x:c>
      <x:c r="G1328" s="19" t="str">
        <x:v>Sales Order Approved</x:v>
      </x:c>
      <x:c r="H1328" s="19" t="str">
        <x:v>In Field</x:v>
      </x:c>
      <x:c r="I1328" s="37" t="n">
        <x:v>46205</x:v>
      </x:c>
      <x:c r="J1328" s="37" t="n">
        <x:v>46205</x:v>
      </x:c>
      <x:c r="K1328" s="19" t="str">
        <x:v>Green RV - Forest Glen</x:v>
      </x:c>
      <x:c r="L1328" s="19" t="str">
        <x:v>Z006</x:v>
      </x:c>
      <x:c r="M1328" s="19" t="str">
        <x:v>In Field Warranty Claims</x:v>
      </x:c>
      <x:c r="N1328" s="37" t="n">
        <x:v>46153</x:v>
      </x:c>
      <x:c r="O1328" s="37"/>
      <x:c r="P1328" s="34" t="n">
        <x:v>0</x:v>
      </x:c>
      <x:c r="Q1328" s="37" t="n">
        <x:v>46204.9740625</x:v>
      </x:c>
    </x:row>
    <x:row r="1329">
      <x:c r="A1329" s="22" t="n">
        <x:v>34775</x:v>
      </x:c>
      <x:c r="B1329" s="28" t="n">
        <x:v>222.5</x:v>
      </x:c>
      <x:c r="C1329" s="28"/>
      <x:c r="D1329" s="31" t="str">
        <x:f>IF(OR(ISBLANK(B1329),ISBLANK(C1329),B1329=0),"",(C1329-B1329)/B1329)</x:f>
      </x:c>
      <x:c r="E1329" s="22" t="str">
        <x:f>IF(ISBLANK(C1329),"AmountIncludingTax缺失",IF(ABS(B1329-C1329)&lt;0.005,"一致","不一致"))</x:f>
        <x:v>AmountIncludingTax缺失</x:v>
      </x:c>
      <x:c r="F1329" s="19" t="str">
        <x:v>approved</x:v>
      </x:c>
      <x:c r="G1329" s="19" t="str">
        <x:v>Repair in Progress</x:v>
      </x:c>
      <x:c r="H1329" s="19" t="str">
        <x:v>In Field</x:v>
      </x:c>
      <x:c r="I1329" s="37" t="n">
        <x:v>46160</x:v>
      </x:c>
      <x:c r="J1329" s="37" t="n">
        <x:v>46160</x:v>
      </x:c>
      <x:c r="K1329" s="19" t="str">
        <x:v>Green RV - Forest Glen</x:v>
      </x:c>
      <x:c r="L1329" s="19" t="str">
        <x:v>Z006</x:v>
      </x:c>
      <x:c r="M1329" s="19" t="str">
        <x:v>In Field Warranty Claims</x:v>
      </x:c>
      <x:c r="N1329" s="37" t="n">
        <x:v>46153</x:v>
      </x:c>
      <x:c r="O1329" s="37"/>
      <x:c r="P1329" s="34" t="n">
        <x:v>0</x:v>
      </x:c>
      <x:c r="Q1329" s="37" t="n">
        <x:v>46159.9603125</x:v>
      </x:c>
    </x:row>
    <x:row r="1330">
      <x:c r="A1330" s="22" t="n">
        <x:v>34773</x:v>
      </x:c>
      <x:c r="B1330" s="28" t="n">
        <x:v>540</x:v>
      </x:c>
      <x:c r="C1330" s="28"/>
      <x:c r="D1330" s="31" t="str">
        <x:f>IF(OR(ISBLANK(B1330),ISBLANK(C1330),B1330=0),"",(C1330-B1330)/B1330)</x:f>
      </x:c>
      <x:c r="E1330" s="22" t="str">
        <x:f>IF(ISBLANK(C1330),"AmountIncludingTax缺失",IF(ABS(B1330-C1330)&lt;0.005,"一致","不一致"))</x:f>
        <x:v>AmountIncludingTax缺失</x:v>
      </x:c>
      <x:c r="F1330" s="19" t="str">
        <x:v>approved</x:v>
      </x:c>
      <x:c r="G1330" s="19" t="str">
        <x:v>Repair in Progress</x:v>
      </x:c>
      <x:c r="H1330" s="19" t="str">
        <x:v>In Field</x:v>
      </x:c>
      <x:c r="I1330" s="37" t="n">
        <x:v>46167</x:v>
      </x:c>
      <x:c r="J1330" s="37" t="n">
        <x:v>46167</x:v>
      </x:c>
      <x:c r="K1330" s="19" t="str">
        <x:v>Regent RV - Frankston</x:v>
      </x:c>
      <x:c r="L1330" s="19" t="str">
        <x:v>Z006</x:v>
      </x:c>
      <x:c r="M1330" s="19" t="str">
        <x:v>In Field Warranty Claims</x:v>
      </x:c>
      <x:c r="N1330" s="37" t="n">
        <x:v>46153</x:v>
      </x:c>
      <x:c r="O1330" s="37"/>
      <x:c r="P1330" s="34" t="n">
        <x:v>0</x:v>
      </x:c>
      <x:c r="Q1330" s="37" t="n">
        <x:v>46167.169699074075</x:v>
      </x:c>
    </x:row>
    <x:row r="1331">
      <x:c r="A1331" s="22" t="n">
        <x:v>34772</x:v>
      </x:c>
      <x:c r="B1331" s="28" t="n">
        <x:v>897.5</x:v>
      </x:c>
      <x:c r="C1331" s="28"/>
      <x:c r="D1331" s="31" t="str">
        <x:f>IF(OR(ISBLANK(B1331),ISBLANK(C1331),B1331=0),"",(C1331-B1331)/B1331)</x:f>
      </x:c>
      <x:c r="E1331" s="22" t="str">
        <x:f>IF(ISBLANK(C1331),"AmountIncludingTax缺失",IF(ABS(B1331-C1331)&lt;0.005,"一致","不一致"))</x:f>
        <x:v>AmountIncludingTax缺失</x:v>
      </x:c>
      <x:c r="F1331" s="19" t="str">
        <x:v>approved</x:v>
      </x:c>
      <x:c r="G1331" s="19" t="str">
        <x:v>Partially Picked</x:v>
      </x:c>
      <x:c r="H1331" s="19" t="str">
        <x:v>Pre Delivery</x:v>
      </x:c>
      <x:c r="I1331" s="37" t="n">
        <x:v>46154</x:v>
      </x:c>
      <x:c r="J1331" s="37" t="n">
        <x:v>46154</x:v>
      </x:c>
      <x:c r="K1331" s="19" t="str">
        <x:v>Green RV - Slacks Creek</x:v>
      </x:c>
      <x:c r="L1331" s="19" t="str">
        <x:v>Z005</x:v>
      </x:c>
      <x:c r="M1331" s="19" t="str">
        <x:v>Pre Delivery Warranty Claims</x:v>
      </x:c>
      <x:c r="N1331" s="37" t="n">
        <x:v>46153</x:v>
      </x:c>
      <x:c r="O1331" s="37"/>
      <x:c r="P1331" s="34" t="n">
        <x:v>0</x:v>
      </x:c>
      <x:c r="Q1331" s="37" t="n">
        <x:v>46154.175358796296</x:v>
      </x:c>
    </x:row>
    <x:row r="1332">
      <x:c r="A1332" s="22" t="n">
        <x:v>34771</x:v>
      </x:c>
      <x:c r="B1332" s="28" t="n">
        <x:v>2571.25</x:v>
      </x:c>
      <x:c r="C1332" s="28"/>
      <x:c r="D1332" s="31" t="str">
        <x:f>IF(OR(ISBLANK(B1332),ISBLANK(C1332),B1332=0),"",(C1332-B1332)/B1332)</x:f>
      </x:c>
      <x:c r="E1332" s="22" t="str">
        <x:f>IF(ISBLANK(C1332),"AmountIncludingTax缺失",IF(ABS(B1332-C1332)&lt;0.005,"一致","不一致"))</x:f>
        <x:v>AmountIncludingTax缺失</x:v>
      </x:c>
      <x:c r="F1332" s="19" t="str">
        <x:v>approved</x:v>
      </x:c>
      <x:c r="G1332" s="19" t="str">
        <x:v>Repair in Progress</x:v>
      </x:c>
      <x:c r="H1332" s="19" t="str">
        <x:v>In Field</x:v>
      </x:c>
      <x:c r="I1332" s="37" t="n">
        <x:v>46164</x:v>
      </x:c>
      <x:c r="J1332" s="37" t="n">
        <x:v>46164</x:v>
      </x:c>
      <x:c r="K1332" s="19" t="str">
        <x:v>Regent RV - Perth</x:v>
      </x:c>
      <x:c r="L1332" s="19" t="str">
        <x:v>Z006</x:v>
      </x:c>
      <x:c r="M1332" s="19" t="str">
        <x:v>In Field Warranty Claims</x:v>
      </x:c>
      <x:c r="N1332" s="37" t="n">
        <x:v>46153</x:v>
      </x:c>
      <x:c r="O1332" s="37"/>
      <x:c r="P1332" s="34" t="n">
        <x:v>0</x:v>
      </x:c>
      <x:c r="Q1332" s="37" t="n">
        <x:v>46163.96487268519</x:v>
      </x:c>
    </x:row>
    <x:row r="1333">
      <x:c r="A1333" s="22" t="n">
        <x:v>34770</x:v>
      </x:c>
      <x:c r="B1333" s="28" t="n">
        <x:v>135</x:v>
      </x:c>
      <x:c r="C1333" s="28"/>
      <x:c r="D1333" s="31" t="str">
        <x:f>IF(OR(ISBLANK(B1333),ISBLANK(C1333),B1333=0),"",(C1333-B1333)/B1333)</x:f>
      </x:c>
      <x:c r="E1333" s="22" t="str">
        <x:f>IF(ISBLANK(C1333),"AmountIncludingTax缺失",IF(ABS(B1333-C1333)&lt;0.005,"一致","不一致"))</x:f>
        <x:v>AmountIncludingTax缺失</x:v>
      </x:c>
      <x:c r="F1333" s="19" t="str">
        <x:v>approved</x:v>
      </x:c>
      <x:c r="G1333" s="19" t="str">
        <x:v>Repairer Invoiced Processed</x:v>
      </x:c>
      <x:c r="H1333" s="19" t="str">
        <x:v>In Field</x:v>
      </x:c>
      <x:c r="I1333" s="37" t="n">
        <x:v>46163</x:v>
      </x:c>
      <x:c r="J1333" s="37" t="n">
        <x:v>46163</x:v>
      </x:c>
      <x:c r="K1333" s="19" t="str">
        <x:v>Lesiure Lion-New Castle</x:v>
      </x:c>
      <x:c r="L1333" s="19" t="str">
        <x:v>Z006</x:v>
      </x:c>
      <x:c r="M1333" s="19" t="str">
        <x:v>In Field Warranty Claims</x:v>
      </x:c>
      <x:c r="N1333" s="37" t="n">
        <x:v>46153</x:v>
      </x:c>
      <x:c r="O1333" s="37"/>
      <x:c r="P1333" s="34" t="n">
        <x:v>0</x:v>
      </x:c>
      <x:c r="Q1333" s="37" t="n">
        <x:v>46162.940034722225</x:v>
      </x:c>
    </x:row>
    <x:row r="1334">
      <x:c r="A1334" s="22" t="n">
        <x:v>34768</x:v>
      </x:c>
      <x:c r="B1334" s="28" t="n">
        <x:v>67.5</x:v>
      </x:c>
      <x:c r="C1334" s="28"/>
      <x:c r="D1334" s="31" t="str">
        <x:f>IF(OR(ISBLANK(B1334),ISBLANK(C1334),B1334=0),"",(C1334-B1334)/B1334)</x:f>
      </x:c>
      <x:c r="E1334" s="22" t="str">
        <x:f>IF(ISBLANK(C1334),"AmountIncludingTax缺失",IF(ABS(B1334-C1334)&lt;0.005,"一致","不一致"))</x:f>
        <x:v>AmountIncludingTax缺失</x:v>
      </x:c>
      <x:c r="F1334" s="19" t="str">
        <x:v>approved</x:v>
      </x:c>
      <x:c r="G1334" s="19" t="str">
        <x:v>Repairer Invoiced Processed</x:v>
      </x:c>
      <x:c r="H1334" s="19" t="str">
        <x:v>In Field</x:v>
      </x:c>
      <x:c r="I1334" s="37" t="n">
        <x:v>46154</x:v>
      </x:c>
      <x:c r="J1334" s="37" t="n">
        <x:v>46154</x:v>
      </x:c>
      <x:c r="K1334" s="19" t="str">
        <x:v>QCCC - Gympie</x:v>
      </x:c>
      <x:c r="L1334" s="19" t="str">
        <x:v>Z006</x:v>
      </x:c>
      <x:c r="M1334" s="19" t="str">
        <x:v>In Field Warranty Claims</x:v>
      </x:c>
      <x:c r="N1334" s="37" t="n">
        <x:v>46153</x:v>
      </x:c>
      <x:c r="O1334" s="37"/>
      <x:c r="P1334" s="34" t="n">
        <x:v>0</x:v>
      </x:c>
      <x:c r="Q1334" s="37" t="n">
        <x:v>46154.059699074074</x:v>
      </x:c>
    </x:row>
    <x:row r="1335">
      <x:c r="A1335" s="22" t="n">
        <x:v>34767</x:v>
      </x:c>
      <x:c r="B1335" s="28" t="n">
        <x:v>67.5</x:v>
      </x:c>
      <x:c r="C1335" s="28"/>
      <x:c r="D1335" s="31" t="str">
        <x:f>IF(OR(ISBLANK(B1335),ISBLANK(C1335),B1335=0),"",(C1335-B1335)/B1335)</x:f>
      </x:c>
      <x:c r="E1335" s="22" t="str">
        <x:f>IF(ISBLANK(C1335),"AmountIncludingTax缺失",IF(ABS(B1335-C1335)&lt;0.005,"一致","不一致"))</x:f>
        <x:v>AmountIncludingTax缺失</x:v>
      </x:c>
      <x:c r="F1335" s="19" t="str">
        <x:v>approved</x:v>
      </x:c>
      <x:c r="G1335" s="19" t="str">
        <x:v>Repairer Invoiced Processed</x:v>
      </x:c>
      <x:c r="H1335" s="19" t="str">
        <x:v>Pre Delivery</x:v>
      </x:c>
      <x:c r="I1335" s="37" t="n">
        <x:v>46161</x:v>
      </x:c>
      <x:c r="J1335" s="37" t="n">
        <x:v>46161</x:v>
      </x:c>
      <x:c r="K1335" s="19" t="str">
        <x:v>Green RV - Slacks Creek</x:v>
      </x:c>
      <x:c r="L1335" s="19" t="str">
        <x:v>Z005</x:v>
      </x:c>
      <x:c r="M1335" s="19" t="str">
        <x:v>Pre Delivery Warranty Claims</x:v>
      </x:c>
      <x:c r="N1335" s="37" t="n">
        <x:v>46153</x:v>
      </x:c>
      <x:c r="O1335" s="37"/>
      <x:c r="P1335" s="34" t="n">
        <x:v>0</x:v>
      </x:c>
      <x:c r="Q1335" s="37" t="n">
        <x:v>46160.932604166665</x:v>
      </x:c>
    </x:row>
    <x:row r="1336">
      <x:c r="A1336" s="22" t="n">
        <x:v>34766</x:v>
      </x:c>
      <x:c r="B1336" s="28" t="n">
        <x:v>318.75</x:v>
      </x:c>
      <x:c r="C1336" s="28"/>
      <x:c r="D1336" s="31" t="str">
        <x:f>IF(OR(ISBLANK(B1336),ISBLANK(C1336),B1336=0),"",(C1336-B1336)/B1336)</x:f>
      </x:c>
      <x:c r="E1336" s="22" t="str">
        <x:f>IF(ISBLANK(C1336),"AmountIncludingTax缺失",IF(ABS(B1336-C1336)&lt;0.005,"一致","不一致"))</x:f>
        <x:v>AmountIncludingTax缺失</x:v>
      </x:c>
      <x:c r="F1336" s="19" t="str">
        <x:v>approved</x:v>
      </x:c>
      <x:c r="G1336" s="19" t="str">
        <x:v>Repairer Invoiced Processed</x:v>
      </x:c>
      <x:c r="H1336" s="19" t="str">
        <x:v>In Field</x:v>
      </x:c>
      <x:c r="I1336" s="37" t="n">
        <x:v>46156</x:v>
      </x:c>
      <x:c r="J1336" s="37" t="n">
        <x:v>46156</x:v>
      </x:c>
      <x:c r="K1336" s="19" t="str">
        <x:v>Dario Caravans -St.Marys</x:v>
      </x:c>
      <x:c r="L1336" s="19" t="str">
        <x:v>Z006</x:v>
      </x:c>
      <x:c r="M1336" s="19" t="str">
        <x:v>In Field Warranty Claims</x:v>
      </x:c>
      <x:c r="N1336" s="37" t="n">
        <x:v>46153</x:v>
      </x:c>
      <x:c r="O1336" s="37"/>
      <x:c r="P1336" s="34" t="n">
        <x:v>0</x:v>
      </x:c>
      <x:c r="Q1336" s="37" t="n">
        <x:v>46156.04615740741</x:v>
      </x:c>
    </x:row>
    <x:row r="1337">
      <x:c r="A1337" s="22" t="n">
        <x:v>34765</x:v>
      </x:c>
      <x:c r="B1337" s="28" t="n">
        <x:v>945</x:v>
      </x:c>
      <x:c r="C1337" s="28"/>
      <x:c r="D1337" s="31" t="str">
        <x:f>IF(OR(ISBLANK(B1337),ISBLANK(C1337),B1337=0),"",(C1337-B1337)/B1337)</x:f>
      </x:c>
      <x:c r="E1337" s="22" t="str">
        <x:f>IF(ISBLANK(C1337),"AmountIncludingTax缺失",IF(ABS(B1337-C1337)&lt;0.005,"一致","不一致"))</x:f>
        <x:v>AmountIncludingTax缺失</x:v>
      </x:c>
      <x:c r="F1337" s="19" t="str">
        <x:v>approved</x:v>
      </x:c>
      <x:c r="G1337" s="19" t="str">
        <x:v>Repair in Progress</x:v>
      </x:c>
      <x:c r="H1337" s="19" t="str">
        <x:v>In Field</x:v>
      </x:c>
      <x:c r="I1337" s="37" t="n">
        <x:v>46155</x:v>
      </x:c>
      <x:c r="J1337" s="37" t="n">
        <x:v>46155</x:v>
      </x:c>
      <x:c r="K1337" s="19" t="str">
        <x:v>Green RV - Slacks Creek</x:v>
      </x:c>
      <x:c r="L1337" s="19" t="str">
        <x:v>Z006</x:v>
      </x:c>
      <x:c r="M1337" s="19" t="str">
        <x:v>In Field Warranty Claims</x:v>
      </x:c>
      <x:c r="N1337" s="37" t="n">
        <x:v>46153</x:v>
      </x:c>
      <x:c r="O1337" s="37"/>
      <x:c r="P1337" s="34" t="n">
        <x:v>0</x:v>
      </x:c>
      <x:c r="Q1337" s="37" t="n">
        <x:v>46155.23863425926</x:v>
      </x:c>
    </x:row>
    <x:row r="1338">
      <x:c r="A1338" s="22" t="n">
        <x:v>34764</x:v>
      </x:c>
      <x:c r="B1338" s="28" t="n">
        <x:v>270</x:v>
      </x:c>
      <x:c r="C1338" s="28"/>
      <x:c r="D1338" s="31" t="str">
        <x:f>IF(OR(ISBLANK(B1338),ISBLANK(C1338),B1338=0),"",(C1338-B1338)/B1338)</x:f>
      </x:c>
      <x:c r="E1338" s="22" t="str">
        <x:f>IF(ISBLANK(C1338),"AmountIncludingTax缺失",IF(ABS(B1338-C1338)&lt;0.005,"一致","不一致"))</x:f>
        <x:v>AmountIncludingTax缺失</x:v>
      </x:c>
      <x:c r="F1338" s="19" t="str">
        <x:v>approved</x:v>
      </x:c>
      <x:c r="G1338" s="19" t="str">
        <x:v>Sales Order Approved</x:v>
      </x:c>
      <x:c r="H1338" s="19" t="str">
        <x:v>In Field</x:v>
      </x:c>
      <x:c r="I1338" s="37" t="n">
        <x:v>46163</x:v>
      </x:c>
      <x:c r="J1338" s="37" t="n">
        <x:v>46163</x:v>
      </x:c>
      <x:c r="K1338" s="19" t="str">
        <x:v>Lesiure Lion-New Castle</x:v>
      </x:c>
      <x:c r="L1338" s="19" t="str">
        <x:v>Z006</x:v>
      </x:c>
      <x:c r="M1338" s="19" t="str">
        <x:v>In Field Warranty Claims</x:v>
      </x:c>
      <x:c r="N1338" s="37" t="n">
        <x:v>46153</x:v>
      </x:c>
      <x:c r="O1338" s="37"/>
      <x:c r="P1338" s="34" t="n">
        <x:v>0</x:v>
      </x:c>
      <x:c r="Q1338" s="37" t="n">
        <x:v>46162.89046296296</x:v>
      </x:c>
    </x:row>
    <x:row r="1339">
      <x:c r="A1339" s="22" t="n">
        <x:v>34762</x:v>
      </x:c>
      <x:c r="B1339" s="28" t="n">
        <x:v>540</x:v>
      </x:c>
      <x:c r="C1339" s="28"/>
      <x:c r="D1339" s="31" t="str">
        <x:f>IF(OR(ISBLANK(B1339),ISBLANK(C1339),B1339=0),"",(C1339-B1339)/B1339)</x:f>
      </x:c>
      <x:c r="E1339" s="22" t="str">
        <x:f>IF(ISBLANK(C1339),"AmountIncludingTax缺失",IF(ABS(B1339-C1339)&lt;0.005,"一致","不一致"))</x:f>
        <x:v>AmountIncludingTax缺失</x:v>
      </x:c>
      <x:c r="F1339" s="19" t="str">
        <x:v>approved</x:v>
      </x:c>
      <x:c r="G1339" s="19" t="str">
        <x:v>Repair in Progress</x:v>
      </x:c>
      <x:c r="H1339" s="19" t="str">
        <x:v>In Field</x:v>
      </x:c>
      <x:c r="I1339" s="37" t="n">
        <x:v>46161</x:v>
      </x:c>
      <x:c r="J1339" s="37" t="n">
        <x:v>46161</x:v>
      </x:c>
      <x:c r="K1339" s="19" t="str">
        <x:v>Regent RV - Perth</x:v>
      </x:c>
      <x:c r="L1339" s="19" t="str">
        <x:v>Z006</x:v>
      </x:c>
      <x:c r="M1339" s="19" t="str">
        <x:v>In Field Warranty Claims</x:v>
      </x:c>
      <x:c r="N1339" s="37" t="n">
        <x:v>46153</x:v>
      </x:c>
      <x:c r="O1339" s="37"/>
      <x:c r="P1339" s="34" t="n">
        <x:v>0</x:v>
      </x:c>
      <x:c r="Q1339" s="37" t="n">
        <x:v>46161.538506944446</x:v>
      </x:c>
    </x:row>
    <x:row r="1340">
      <x:c r="A1340" s="22" t="n">
        <x:v>34761</x:v>
      </x:c>
      <x:c r="B1340" s="28" t="n">
        <x:v>636.37</x:v>
      </x:c>
      <x:c r="C1340" s="28"/>
      <x:c r="D1340" s="31" t="str">
        <x:f>IF(OR(ISBLANK(B1340),ISBLANK(C1340),B1340=0),"",(C1340-B1340)/B1340)</x:f>
      </x:c>
      <x:c r="E1340" s="22" t="str">
        <x:f>IF(ISBLANK(C1340),"AmountIncludingTax缺失",IF(ABS(B1340-C1340)&lt;0.005,"一致","不一致"))</x:f>
        <x:v>AmountIncludingTax缺失</x:v>
      </x:c>
      <x:c r="F1340" s="19" t="str">
        <x:v>approved</x:v>
      </x:c>
      <x:c r="G1340" s="19" t="str">
        <x:v>Repairer Invoiced Processed</x:v>
      </x:c>
      <x:c r="H1340" s="19" t="str">
        <x:v>Pre Delivery</x:v>
      </x:c>
      <x:c r="I1340" s="37" t="n">
        <x:v>46157</x:v>
      </x:c>
      <x:c r="J1340" s="37" t="n">
        <x:v>46157</x:v>
      </x:c>
      <x:c r="K1340" s="19" t="str">
        <x:v>Green RV - Slacks Creek</x:v>
      </x:c>
      <x:c r="L1340" s="19" t="str">
        <x:v>Z005</x:v>
      </x:c>
      <x:c r="M1340" s="19" t="str">
        <x:v>Pre Delivery Warranty Claims</x:v>
      </x:c>
      <x:c r="N1340" s="37" t="n">
        <x:v>46153</x:v>
      </x:c>
      <x:c r="O1340" s="37"/>
      <x:c r="P1340" s="34" t="n">
        <x:v>0</x:v>
      </x:c>
      <x:c r="Q1340" s="37" t="n">
        <x:v>46156.96129629629</x:v>
      </x:c>
    </x:row>
    <x:row r="1341">
      <x:c r="A1341" s="22" t="n">
        <x:v>34760</x:v>
      </x:c>
      <x:c r="B1341" s="28" t="n">
        <x:v>135</x:v>
      </x:c>
      <x:c r="C1341" s="28"/>
      <x:c r="D1341" s="31" t="str">
        <x:f>IF(OR(ISBLANK(B1341),ISBLANK(C1341),B1341=0),"",(C1341-B1341)/B1341)</x:f>
      </x:c>
      <x:c r="E1341" s="22" t="str">
        <x:f>IF(ISBLANK(C1341),"AmountIncludingTax缺失",IF(ABS(B1341-C1341)&lt;0.005,"一致","不一致"))</x:f>
        <x:v>AmountIncludingTax缺失</x:v>
      </x:c>
      <x:c r="F1341" s="19" t="str">
        <x:v>approved</x:v>
      </x:c>
      <x:c r="G1341" s="19" t="str">
        <x:v>Repair in Progress</x:v>
      </x:c>
      <x:c r="H1341" s="19" t="str">
        <x:v>In Field</x:v>
      </x:c>
      <x:c r="I1341" s="37" t="n">
        <x:v>46157</x:v>
      </x:c>
      <x:c r="J1341" s="37" t="n">
        <x:v>46157</x:v>
      </x:c>
      <x:c r="K1341" s="19" t="str">
        <x:v>Leisure Lion - Bundaberg</x:v>
      </x:c>
      <x:c r="L1341" s="19" t="str">
        <x:v>Z006</x:v>
      </x:c>
      <x:c r="M1341" s="19" t="str">
        <x:v>In Field Warranty Claims</x:v>
      </x:c>
      <x:c r="N1341" s="37" t="n">
        <x:v>46153</x:v>
      </x:c>
      <x:c r="O1341" s="37"/>
      <x:c r="P1341" s="34" t="n">
        <x:v>0</x:v>
      </x:c>
      <x:c r="Q1341" s="37" t="n">
        <x:v>46157.048414351855</x:v>
      </x:c>
    </x:row>
    <x:row r="1342">
      <x:c r="A1342" s="22" t="n">
        <x:v>34759</x:v>
      </x:c>
      <x:c r="B1342" s="28" t="n">
        <x:v>526.5</x:v>
      </x:c>
      <x:c r="C1342" s="28"/>
      <x:c r="D1342" s="31" t="str">
        <x:f>IF(OR(ISBLANK(B1342),ISBLANK(C1342),B1342=0),"",(C1342-B1342)/B1342)</x:f>
      </x:c>
      <x:c r="E1342" s="22" t="str">
        <x:f>IF(ISBLANK(C1342),"AmountIncludingTax缺失",IF(ABS(B1342-C1342)&lt;0.005,"一致","不一致"))</x:f>
        <x:v>AmountIncludingTax缺失</x:v>
      </x:c>
      <x:c r="F1342" s="19" t="str">
        <x:v>approved</x:v>
      </x:c>
      <x:c r="G1342" s="19" t="str">
        <x:v>Repair in Progress</x:v>
      </x:c>
      <x:c r="H1342" s="19" t="str">
        <x:v>In Field</x:v>
      </x:c>
      <x:c r="I1342" s="37" t="n">
        <x:v>46160</x:v>
      </x:c>
      <x:c r="J1342" s="37" t="n">
        <x:v>46160</x:v>
      </x:c>
      <x:c r="K1342" s="19" t="str">
        <x:v>Snowy River Frankston</x:v>
      </x:c>
      <x:c r="L1342" s="19" t="str">
        <x:v>Z006</x:v>
      </x:c>
      <x:c r="M1342" s="19" t="str">
        <x:v>In Field Warranty Claims</x:v>
      </x:c>
      <x:c r="N1342" s="37" t="n">
        <x:v>46153</x:v>
      </x:c>
      <x:c r="O1342" s="37"/>
      <x:c r="P1342" s="34" t="n">
        <x:v>0</x:v>
      </x:c>
      <x:c r="Q1342" s="37" t="n">
        <x:v>46160.12857638889</x:v>
      </x:c>
    </x:row>
    <x:row r="1343">
      <x:c r="A1343" s="22" t="n">
        <x:v>34758</x:v>
      </x:c>
      <x:c r="B1343" s="28" t="n">
        <x:v>180.01</x:v>
      </x:c>
      <x:c r="C1343" s="28"/>
      <x:c r="D1343" s="31" t="str">
        <x:f>IF(OR(ISBLANK(B1343),ISBLANK(C1343),B1343=0),"",(C1343-B1343)/B1343)</x:f>
      </x:c>
      <x:c r="E1343" s="22" t="str">
        <x:f>IF(ISBLANK(C1343),"AmountIncludingTax缺失",IF(ABS(B1343-C1343)&lt;0.005,"一致","不一致"))</x:f>
        <x:v>AmountIncludingTax缺失</x:v>
      </x:c>
      <x:c r="F1343" s="19" t="str">
        <x:v>approved</x:v>
      </x:c>
      <x:c r="G1343" s="19" t="str">
        <x:v>Repair in Progress</x:v>
      </x:c>
      <x:c r="H1343" s="19" t="str">
        <x:v>In Field</x:v>
      </x:c>
      <x:c r="I1343" s="37" t="n">
        <x:v>46160</x:v>
      </x:c>
      <x:c r="J1343" s="37" t="n">
        <x:v>46160</x:v>
      </x:c>
      <x:c r="K1343" s="19" t="str">
        <x:v>Regent RV - Frankston</x:v>
      </x:c>
      <x:c r="L1343" s="19" t="str">
        <x:v>Z006</x:v>
      </x:c>
      <x:c r="M1343" s="19" t="str">
        <x:v>In Field Warranty Claims</x:v>
      </x:c>
      <x:c r="N1343" s="37" t="n">
        <x:v>46153</x:v>
      </x:c>
      <x:c r="O1343" s="37"/>
      <x:c r="P1343" s="34" t="n">
        <x:v>0</x:v>
      </x:c>
      <x:c r="Q1343" s="37" t="n">
        <x:v>46160.16886574074</x:v>
      </x:c>
    </x:row>
    <x:row r="1344">
      <x:c r="A1344" s="22" t="n">
        <x:v>34757</x:v>
      </x:c>
      <x:c r="B1344" s="28" t="n">
        <x:v>101.25</x:v>
      </x:c>
      <x:c r="C1344" s="28"/>
      <x:c r="D1344" s="31" t="str">
        <x:f>IF(OR(ISBLANK(B1344),ISBLANK(C1344),B1344=0),"",(C1344-B1344)/B1344)</x:f>
      </x:c>
      <x:c r="E1344" s="22" t="str">
        <x:f>IF(ISBLANK(C1344),"AmountIncludingTax缺失",IF(ABS(B1344-C1344)&lt;0.005,"一致","不一致"))</x:f>
        <x:v>AmountIncludingTax缺失</x:v>
      </x:c>
      <x:c r="F1344" s="19" t="str">
        <x:v>approved</x:v>
      </x:c>
      <x:c r="G1344" s="19" t="str">
        <x:v>Sales Order Approved</x:v>
      </x:c>
      <x:c r="H1344" s="19" t="str">
        <x:v>In Field</x:v>
      </x:c>
      <x:c r="I1344" s="37" t="n">
        <x:v>46154</x:v>
      </x:c>
      <x:c r="J1344" s="37" t="n">
        <x:v>46154</x:v>
      </x:c>
      <x:c r="K1344" s="19" t="str">
        <x:v>Green RV - Forest Glen</x:v>
      </x:c>
      <x:c r="L1344" s="19" t="str">
        <x:v>Z006</x:v>
      </x:c>
      <x:c r="M1344" s="19" t="str">
        <x:v>In Field Warranty Claims</x:v>
      </x:c>
      <x:c r="N1344" s="37" t="n">
        <x:v>46153</x:v>
      </x:c>
      <x:c r="O1344" s="37"/>
      <x:c r="P1344" s="34" t="n">
        <x:v>0</x:v>
      </x:c>
      <x:c r="Q1344" s="37" t="n">
        <x:v>46154.05021990741</x:v>
      </x:c>
    </x:row>
    <x:row r="1345">
      <x:c r="A1345" s="22" t="n">
        <x:v>34756</x:v>
      </x:c>
      <x:c r="B1345" s="28" t="n">
        <x:v>246.32</x:v>
      </x:c>
      <x:c r="C1345" s="28" t="n">
        <x:v>270.95</x:v>
      </x:c>
      <x:c r="D1345" s="31" t="n">
        <x:f>IF(OR(ISBLANK(B1345),ISBLANK(C1345),B1345=0),"",(C1345-B1345)/B1345)</x:f>
        <x:v>0.09999188048067553</x:v>
      </x:c>
      <x:c r="E1345" s="22" t="str">
        <x:f>IF(ISBLANK(C1345),"AmountIncludingTax缺失",IF(ABS(B1345-C1345)&lt;0.005,"一致","不一致"))</x:f>
        <x:v>不一致</x:v>
      </x:c>
      <x:c r="F1345" s="19" t="str">
        <x:v>approved</x:v>
      </x:c>
      <x:c r="G1345" s="19" t="str">
        <x:v>Repairer Invoiced Processed</x:v>
      </x:c>
      <x:c r="H1345" s="19" t="str">
        <x:v>In Field</x:v>
      </x:c>
      <x:c r="I1345" s="37" t="n">
        <x:v>46176</x:v>
      </x:c>
      <x:c r="J1345" s="37" t="n">
        <x:v>46176</x:v>
      </x:c>
      <x:c r="K1345" s="19" t="str">
        <x:v>Lesiure Lion-New Castle</x:v>
      </x:c>
      <x:c r="L1345" s="19" t="str">
        <x:v>Z006</x:v>
      </x:c>
      <x:c r="M1345" s="19" t="str">
        <x:v>In Field Warranty Claims</x:v>
      </x:c>
      <x:c r="N1345" s="37" t="n">
        <x:v>46153</x:v>
      </x:c>
      <x:c r="O1345" s="37"/>
      <x:c r="P1345" s="34" t="n">
        <x:v>270.95</x:v>
      </x:c>
      <x:c r="Q1345" s="37" t="n">
        <x:v>46175.95599537037</x:v>
      </x:c>
    </x:row>
    <x:row r="1346">
      <x:c r="A1346" s="22" t="n">
        <x:v>34755</x:v>
      </x:c>
      <x:c r="B1346" s="28" t="n">
        <x:v>270</x:v>
      </x:c>
      <x:c r="C1346" s="28" t="n">
        <x:v>297</x:v>
      </x:c>
      <x:c r="D1346" s="31" t="n">
        <x:f>IF(OR(ISBLANK(B1346),ISBLANK(C1346),B1346=0),"",(C1346-B1346)/B1346)</x:f>
        <x:v>0.1</x:v>
      </x:c>
      <x:c r="E1346" s="22" t="str">
        <x:f>IF(ISBLANK(C1346),"AmountIncludingTax缺失",IF(ABS(B1346-C1346)&lt;0.005,"一致","不一致"))</x:f>
        <x:v>不一致</x:v>
      </x:c>
      <x:c r="F1346" s="19" t="str">
        <x:v>approved</x:v>
      </x:c>
      <x:c r="G1346" s="19" t="str">
        <x:v>Repair in Progress</x:v>
      </x:c>
      <x:c r="H1346" s="19" t="str">
        <x:v>Pre Delivery</x:v>
      </x:c>
      <x:c r="I1346" s="37" t="n">
        <x:v>46160</x:v>
      </x:c>
      <x:c r="J1346" s="37" t="n">
        <x:v>46160</x:v>
      </x:c>
      <x:c r="K1346" s="19" t="str">
        <x:v>Regent RV - Frankston</x:v>
      </x:c>
      <x:c r="L1346" s="19" t="str">
        <x:v>Z005</x:v>
      </x:c>
      <x:c r="M1346" s="19" t="str">
        <x:v>Pre Delivery Warranty Claims</x:v>
      </x:c>
      <x:c r="N1346" s="37" t="n">
        <x:v>46153</x:v>
      </x:c>
      <x:c r="O1346" s="37"/>
      <x:c r="P1346" s="34" t="n">
        <x:v>297</x:v>
      </x:c>
      <x:c r="Q1346" s="37" t="n">
        <x:v>46160.15484953704</x:v>
      </x:c>
    </x:row>
    <x:row r="1347">
      <x:c r="A1347" s="22" t="n">
        <x:v>34754</x:v>
      </x:c>
      <x:c r="B1347" s="28" t="n">
        <x:v>661.25</x:v>
      </x:c>
      <x:c r="C1347" s="28"/>
      <x:c r="D1347" s="31" t="str">
        <x:f>IF(OR(ISBLANK(B1347),ISBLANK(C1347),B1347=0),"",(C1347-B1347)/B1347)</x:f>
      </x:c>
      <x:c r="E1347" s="22" t="str">
        <x:f>IF(ISBLANK(C1347),"AmountIncludingTax缺失",IF(ABS(B1347-C1347)&lt;0.005,"一致","不一致"))</x:f>
        <x:v>AmountIncludingTax缺失</x:v>
      </x:c>
      <x:c r="F1347" s="19" t="str">
        <x:v>approved</x:v>
      </x:c>
      <x:c r="G1347" s="19" t="str">
        <x:v>Sales Order Approved</x:v>
      </x:c>
      <x:c r="H1347" s="19" t="str">
        <x:v>Pre Delivery</x:v>
      </x:c>
      <x:c r="I1347" s="37" t="n">
        <x:v>46161</x:v>
      </x:c>
      <x:c r="J1347" s="37" t="n">
        <x:v>46161</x:v>
      </x:c>
      <x:c r="K1347" s="19" t="str">
        <x:v>Regent RV - Frankston</x:v>
      </x:c>
      <x:c r="L1347" s="19" t="str">
        <x:v>Z005</x:v>
      </x:c>
      <x:c r="M1347" s="19" t="str">
        <x:v>Pre Delivery Warranty Claims</x:v>
      </x:c>
      <x:c r="N1347" s="37" t="n">
        <x:v>46153</x:v>
      </x:c>
      <x:c r="O1347" s="37"/>
      <x:c r="P1347" s="34" t="n">
        <x:v>0</x:v>
      </x:c>
      <x:c r="Q1347" s="37" t="n">
        <x:v>46161.04634259259</x:v>
      </x:c>
    </x:row>
    <x:row r="1348">
      <x:c r="A1348" s="22" t="n">
        <x:v>34753</x:v>
      </x:c>
      <x:c r="B1348" s="28" t="n">
        <x:v>111.25</x:v>
      </x:c>
      <x:c r="C1348" s="28"/>
      <x:c r="D1348" s="31" t="str">
        <x:f>IF(OR(ISBLANK(B1348),ISBLANK(C1348),B1348=0),"",(C1348-B1348)/B1348)</x:f>
      </x:c>
      <x:c r="E1348" s="22" t="str">
        <x:f>IF(ISBLANK(C1348),"AmountIncludingTax缺失",IF(ABS(B1348-C1348)&lt;0.005,"一致","不一致"))</x:f>
        <x:v>AmountIncludingTax缺失</x:v>
      </x:c>
      <x:c r="F1348" s="19" t="str">
        <x:v>approved</x:v>
      </x:c>
      <x:c r="G1348" s="19" t="str">
        <x:v>Repairer Invoiced Processed</x:v>
      </x:c>
      <x:c r="H1348" s="19" t="str">
        <x:v>Pre Delivery</x:v>
      </x:c>
      <x:c r="I1348" s="37" t="n">
        <x:v>46161</x:v>
      </x:c>
      <x:c r="J1348" s="37" t="n">
        <x:v>46161</x:v>
      </x:c>
      <x:c r="K1348" s="19" t="str">
        <x:v>Lesiure Lion-New Castle</x:v>
      </x:c>
      <x:c r="L1348" s="19" t="str">
        <x:v>Z005</x:v>
      </x:c>
      <x:c r="M1348" s="19" t="str">
        <x:v>Pre Delivery Warranty Claims</x:v>
      </x:c>
      <x:c r="N1348" s="37" t="n">
        <x:v>46153</x:v>
      </x:c>
      <x:c r="O1348" s="37"/>
      <x:c r="P1348" s="34" t="n">
        <x:v>0</x:v>
      </x:c>
      <x:c r="Q1348" s="37" t="n">
        <x:v>46161.05395833333</x:v>
      </x:c>
    </x:row>
    <x:row r="1349">
      <x:c r="A1349" s="22" t="n">
        <x:v>34750</x:v>
      </x:c>
      <x:c r="B1349" s="28" t="n">
        <x:v>1080</x:v>
      </x:c>
      <x:c r="C1349" s="28"/>
      <x:c r="D1349" s="31" t="str">
        <x:f>IF(OR(ISBLANK(B1349),ISBLANK(C1349),B1349=0),"",(C1349-B1349)/B1349)</x:f>
      </x:c>
      <x:c r="E1349" s="22" t="str">
        <x:f>IF(ISBLANK(C1349),"AmountIncludingTax缺失",IF(ABS(B1349-C1349)&lt;0.005,"一致","不一致"))</x:f>
        <x:v>AmountIncludingTax缺失</x:v>
      </x:c>
      <x:c r="F1349" s="19" t="str">
        <x:v>approved</x:v>
      </x:c>
      <x:c r="G1349" s="19" t="str">
        <x:v>Repair in Progress</x:v>
      </x:c>
      <x:c r="H1349" s="19" t="str">
        <x:v>In Field</x:v>
      </x:c>
      <x:c r="I1349" s="37" t="n">
        <x:v>46161</x:v>
      </x:c>
      <x:c r="J1349" s="37" t="n">
        <x:v>46161</x:v>
      </x:c>
      <x:c r="K1349" s="19" t="str">
        <x:v>Regent RV - Frankston</x:v>
      </x:c>
      <x:c r="L1349" s="19" t="str">
        <x:v>Z006</x:v>
      </x:c>
      <x:c r="M1349" s="19" t="str">
        <x:v>In Field Warranty Claims</x:v>
      </x:c>
      <x:c r="N1349" s="37" t="n">
        <x:v>46153</x:v>
      </x:c>
      <x:c r="O1349" s="37"/>
      <x:c r="P1349" s="34" t="n">
        <x:v>0</x:v>
      </x:c>
      <x:c r="Q1349" s="37" t="n">
        <x:v>46160.98650462963</x:v>
      </x:c>
    </x:row>
    <x:row r="1350">
      <x:c r="A1350" s="22" t="n">
        <x:v>34749</x:v>
      </x:c>
      <x:c r="B1350" s="28" t="n">
        <x:v>135</x:v>
      </x:c>
      <x:c r="C1350" s="28"/>
      <x:c r="D1350" s="31" t="str">
        <x:f>IF(OR(ISBLANK(B1350),ISBLANK(C1350),B1350=0),"",(C1350-B1350)/B1350)</x:f>
      </x:c>
      <x:c r="E1350" s="22" t="str">
        <x:f>IF(ISBLANK(C1350),"AmountIncludingTax缺失",IF(ABS(B1350-C1350)&lt;0.005,"一致","不一致"))</x:f>
        <x:v>AmountIncludingTax缺失</x:v>
      </x:c>
      <x:c r="F1350" s="19" t="str">
        <x:v>approved_closed</x:v>
      </x:c>
      <x:c r="G1350" s="19" t="str">
        <x:v>Approved Claims Closed (Closed)</x:v>
      </x:c>
      <x:c r="H1350" s="19" t="str">
        <x:v>In Field</x:v>
      </x:c>
      <x:c r="I1350" s="37" t="n">
        <x:v>46154</x:v>
      </x:c>
      <x:c r="J1350" s="37" t="n">
        <x:v>46154</x:v>
      </x:c>
      <x:c r="K1350" s="19" t="str">
        <x:v>Destiny RV - South Australia</x:v>
      </x:c>
      <x:c r="L1350" s="19" t="str">
        <x:v>Z006</x:v>
      </x:c>
      <x:c r="M1350" s="19" t="str">
        <x:v>In Field Warranty Claims</x:v>
      </x:c>
      <x:c r="N1350" s="37" t="n">
        <x:v>46153</x:v>
      </x:c>
      <x:c r="O1350" s="37" t="n">
        <x:v>46197</x:v>
      </x:c>
      <x:c r="P1350" s="34" t="n">
        <x:v>0</x:v>
      </x:c>
      <x:c r="Q1350" s="37" t="n">
        <x:v>46154.23243055555</x:v>
      </x:c>
    </x:row>
    <x:row r="1351">
      <x:c r="A1351" s="22" t="n">
        <x:v>34748</x:v>
      </x:c>
      <x:c r="B1351" s="28" t="n">
        <x:v>418.75</x:v>
      </x:c>
      <x:c r="C1351" s="28"/>
      <x:c r="D1351" s="31" t="str">
        <x:f>IF(OR(ISBLANK(B1351),ISBLANK(C1351),B1351=0),"",(C1351-B1351)/B1351)</x:f>
      </x:c>
      <x:c r="E1351" s="22" t="str">
        <x:f>IF(ISBLANK(C1351),"AmountIncludingTax缺失",IF(ABS(B1351-C1351)&lt;0.005,"一致","不一致"))</x:f>
        <x:v>AmountIncludingTax缺失</x:v>
      </x:c>
      <x:c r="F1351" s="19" t="str">
        <x:v>approved</x:v>
      </x:c>
      <x:c r="G1351" s="19" t="str">
        <x:v>Sales Order Approved</x:v>
      </x:c>
      <x:c r="H1351" s="19" t="str">
        <x:v>Pre Delivery</x:v>
      </x:c>
      <x:c r="I1351" s="37" t="n">
        <x:v>46153</x:v>
      </x:c>
      <x:c r="J1351" s="37" t="n">
        <x:v>46153</x:v>
      </x:c>
      <x:c r="K1351" s="19" t="str">
        <x:v>The Caravan Hub - Townsville</x:v>
      </x:c>
      <x:c r="L1351" s="19" t="str">
        <x:v>Z005</x:v>
      </x:c>
      <x:c r="M1351" s="19" t="str">
        <x:v>Pre Delivery Warranty Claims</x:v>
      </x:c>
      <x:c r="N1351" s="37" t="n">
        <x:v>46153</x:v>
      </x:c>
      <x:c r="O1351" s="37"/>
      <x:c r="P1351" s="34" t="n">
        <x:v>0</x:v>
      </x:c>
      <x:c r="Q1351" s="37" t="n">
        <x:v>46153.2172337963</x:v>
      </x:c>
    </x:row>
    <x:row r="1352">
      <x:c r="A1352" s="22" t="n">
        <x:v>34747</x:v>
      </x:c>
      <x:c r="B1352" s="28" t="n">
        <x:v>601.14</x:v>
      </x:c>
      <x:c r="C1352" s="28"/>
      <x:c r="D1352" s="31" t="str">
        <x:f>IF(OR(ISBLANK(B1352),ISBLANK(C1352),B1352=0),"",(C1352-B1352)/B1352)</x:f>
      </x:c>
      <x:c r="E1352" s="22" t="str">
        <x:f>IF(ISBLANK(C1352),"AmountIncludingTax缺失",IF(ABS(B1352-C1352)&lt;0.005,"一致","不一致"))</x:f>
        <x:v>AmountIncludingTax缺失</x:v>
      </x:c>
      <x:c r="F1352" s="19" t="str">
        <x:v>approved</x:v>
      </x:c>
      <x:c r="G1352" s="19" t="str">
        <x:v>Repair in Progress</x:v>
      </x:c>
      <x:c r="H1352" s="19" t="str">
        <x:v>Pre Delivery</x:v>
      </x:c>
      <x:c r="I1352" s="37" t="n">
        <x:v>46154</x:v>
      </x:c>
      <x:c r="J1352" s="37" t="n">
        <x:v>46154</x:v>
      </x:c>
      <x:c r="K1352" s="19" t="str">
        <x:v>Green RV - Slacks Creek</x:v>
      </x:c>
      <x:c r="L1352" s="19" t="str">
        <x:v>Z005</x:v>
      </x:c>
      <x:c r="M1352" s="19" t="str">
        <x:v>Pre Delivery Warranty Claims</x:v>
      </x:c>
      <x:c r="N1352" s="37" t="n">
        <x:v>46153</x:v>
      </x:c>
      <x:c r="O1352" s="37"/>
      <x:c r="P1352" s="34" t="n">
        <x:v>0</x:v>
      </x:c>
      <x:c r="Q1352" s="37" t="n">
        <x:v>46154.020682870374</x:v>
      </x:c>
    </x:row>
    <x:row r="1353">
      <x:c r="A1353" s="22" t="n">
        <x:v>34746</x:v>
      </x:c>
      <x:c r="B1353" s="28" t="n">
        <x:v>202.5</x:v>
      </x:c>
      <x:c r="C1353" s="28"/>
      <x:c r="D1353" s="31" t="str">
        <x:f>IF(OR(ISBLANK(B1353),ISBLANK(C1353),B1353=0),"",(C1353-B1353)/B1353)</x:f>
      </x:c>
      <x:c r="E1353" s="22" t="str">
        <x:f>IF(ISBLANK(C1353),"AmountIncludingTax缺失",IF(ABS(B1353-C1353)&lt;0.005,"一致","不一致"))</x:f>
        <x:v>AmountIncludingTax缺失</x:v>
      </x:c>
      <x:c r="F1353" s="19" t="str">
        <x:v>approved</x:v>
      </x:c>
      <x:c r="G1353" s="19" t="str">
        <x:v>Repair in Progress</x:v>
      </x:c>
      <x:c r="H1353" s="19" t="str">
        <x:v>In Field</x:v>
      </x:c>
      <x:c r="I1353" s="37" t="n">
        <x:v>46162</x:v>
      </x:c>
      <x:c r="J1353" s="37" t="n">
        <x:v>46162</x:v>
      </x:c>
      <x:c r="K1353" s="19" t="str">
        <x:v>Snowy River Wangaratta</x:v>
      </x:c>
      <x:c r="L1353" s="19" t="str">
        <x:v>Z006</x:v>
      </x:c>
      <x:c r="M1353" s="19" t="str">
        <x:v>In Field Warranty Claims</x:v>
      </x:c>
      <x:c r="N1353" s="37" t="n">
        <x:v>46153</x:v>
      </x:c>
      <x:c r="O1353" s="37"/>
      <x:c r="P1353" s="34" t="n">
        <x:v>0</x:v>
      </x:c>
      <x:c r="Q1353" s="37" t="n">
        <x:v>46162.12510416667</x:v>
      </x:c>
    </x:row>
    <x:row r="1354">
      <x:c r="A1354" s="22" t="n">
        <x:v>34745</x:v>
      </x:c>
      <x:c r="B1354" s="28" t="n">
        <x:v>405</x:v>
      </x:c>
      <x:c r="C1354" s="28"/>
      <x:c r="D1354" s="31" t="str">
        <x:f>IF(OR(ISBLANK(B1354),ISBLANK(C1354),B1354=0),"",(C1354-B1354)/B1354)</x:f>
      </x:c>
      <x:c r="E1354" s="22" t="str">
        <x:f>IF(ISBLANK(C1354),"AmountIncludingTax缺失",IF(ABS(B1354-C1354)&lt;0.005,"一致","不一致"))</x:f>
        <x:v>AmountIncludingTax缺失</x:v>
      </x:c>
      <x:c r="F1354" s="19" t="str">
        <x:v>approved</x:v>
      </x:c>
      <x:c r="G1354" s="19" t="str">
        <x:v>Repair in Progress</x:v>
      </x:c>
      <x:c r="H1354" s="19" t="str">
        <x:v>Pre Delivery</x:v>
      </x:c>
      <x:c r="I1354" s="37" t="n">
        <x:v>46161</x:v>
      </x:c>
      <x:c r="J1354" s="37" t="n">
        <x:v>46161</x:v>
      </x:c>
      <x:c r="K1354" s="19" t="str">
        <x:v>Regent RV - Frankston</x:v>
      </x:c>
      <x:c r="L1354" s="19" t="str">
        <x:v>Z005</x:v>
      </x:c>
      <x:c r="M1354" s="19" t="str">
        <x:v>Pre Delivery Warranty Claims</x:v>
      </x:c>
      <x:c r="N1354" s="37" t="n">
        <x:v>46153</x:v>
      </x:c>
      <x:c r="O1354" s="37"/>
      <x:c r="P1354" s="34" t="n">
        <x:v>0</x:v>
      </x:c>
      <x:c r="Q1354" s="37" t="n">
        <x:v>46161.05112268519</x:v>
      </x:c>
    </x:row>
    <x:row r="1355">
      <x:c r="A1355" s="22" t="n">
        <x:v>34744</x:v>
      </x:c>
      <x:c r="B1355" s="28" t="n">
        <x:v>67.5</x:v>
      </x:c>
      <x:c r="C1355" s="28"/>
      <x:c r="D1355" s="31" t="str">
        <x:f>IF(OR(ISBLANK(B1355),ISBLANK(C1355),B1355=0),"",(C1355-B1355)/B1355)</x:f>
      </x:c>
      <x:c r="E1355" s="22" t="str">
        <x:f>IF(ISBLANK(C1355),"AmountIncludingTax缺失",IF(ABS(B1355-C1355)&lt;0.005,"一致","不一致"))</x:f>
        <x:v>AmountIncludingTax缺失</x:v>
      </x:c>
      <x:c r="F1355" s="19" t="str">
        <x:v>approved</x:v>
      </x:c>
      <x:c r="G1355" s="19" t="str">
        <x:v>Repair in Progress</x:v>
      </x:c>
      <x:c r="H1355" s="19" t="str">
        <x:v>In Field</x:v>
      </x:c>
      <x:c r="I1355" s="37" t="n">
        <x:v>46162</x:v>
      </x:c>
      <x:c r="J1355" s="37" t="n">
        <x:v>46162</x:v>
      </x:c>
      <x:c r="K1355" s="19" t="str">
        <x:v>Regent RV - Frankston</x:v>
      </x:c>
      <x:c r="L1355" s="19" t="str">
        <x:v>Z006</x:v>
      </x:c>
      <x:c r="M1355" s="19" t="str">
        <x:v>In Field Warranty Claims</x:v>
      </x:c>
      <x:c r="N1355" s="37" t="n">
        <x:v>46153</x:v>
      </x:c>
      <x:c r="O1355" s="37"/>
      <x:c r="P1355" s="34" t="n">
        <x:v>0</x:v>
      </x:c>
      <x:c r="Q1355" s="37" t="n">
        <x:v>46162.124606481484</x:v>
      </x:c>
    </x:row>
    <x:row r="1356">
      <x:c r="A1356" s="22" t="n">
        <x:v>34743</x:v>
      </x:c>
      <x:c r="B1356" s="28" t="n">
        <x:v>77.5</x:v>
      </x:c>
      <x:c r="C1356" s="28"/>
      <x:c r="D1356" s="31" t="str">
        <x:f>IF(OR(ISBLANK(B1356),ISBLANK(C1356),B1356=0),"",(C1356-B1356)/B1356)</x:f>
      </x:c>
      <x:c r="E1356" s="22" t="str">
        <x:f>IF(ISBLANK(C1356),"AmountIncludingTax缺失",IF(ABS(B1356-C1356)&lt;0.005,"一致","不一致"))</x:f>
        <x:v>AmountIncludingTax缺失</x:v>
      </x:c>
      <x:c r="F1356" s="19" t="str">
        <x:v>approved</x:v>
      </x:c>
      <x:c r="G1356" s="19" t="str">
        <x:v>Repairer Invoiced Processed</x:v>
      </x:c>
      <x:c r="H1356" s="19" t="str">
        <x:v>In Field</x:v>
      </x:c>
      <x:c r="I1356" s="37" t="n">
        <x:v>46162</x:v>
      </x:c>
      <x:c r="J1356" s="37" t="n">
        <x:v>46162</x:v>
      </x:c>
      <x:c r="K1356" s="19" t="str">
        <x:v>Regent RV - Toowoomba</x:v>
      </x:c>
      <x:c r="L1356" s="19" t="str">
        <x:v>Z006</x:v>
      </x:c>
      <x:c r="M1356" s="19" t="str">
        <x:v>In Field Warranty Claims</x:v>
      </x:c>
      <x:c r="N1356" s="37" t="n">
        <x:v>46153</x:v>
      </x:c>
      <x:c r="O1356" s="37"/>
      <x:c r="P1356" s="34" t="n">
        <x:v>0</x:v>
      </x:c>
      <x:c r="Q1356" s="37" t="n">
        <x:v>46162.23063657407</x:v>
      </x:c>
    </x:row>
    <x:row r="1357">
      <x:c r="A1357" s="22" t="n">
        <x:v>34742</x:v>
      </x:c>
      <x:c r="B1357" s="28" t="n">
        <x:v>135</x:v>
      </x:c>
      <x:c r="C1357" s="28"/>
      <x:c r="D1357" s="31" t="str">
        <x:f>IF(OR(ISBLANK(B1357),ISBLANK(C1357),B1357=0),"",(C1357-B1357)/B1357)</x:f>
      </x:c>
      <x:c r="E1357" s="22" t="str">
        <x:f>IF(ISBLANK(C1357),"AmountIncludingTax缺失",IF(ABS(B1357-C1357)&lt;0.005,"一致","不一致"))</x:f>
        <x:v>AmountIncludingTax缺失</x:v>
      </x:c>
      <x:c r="F1357" s="19" t="str">
        <x:v>approved</x:v>
      </x:c>
      <x:c r="G1357" s="19" t="str">
        <x:v>Repairer Invoiced Processed</x:v>
      </x:c>
      <x:c r="H1357" s="19" t="str">
        <x:v>In Field</x:v>
      </x:c>
      <x:c r="I1357" s="37" t="n">
        <x:v>46154</x:v>
      </x:c>
      <x:c r="J1357" s="37" t="n">
        <x:v>46154</x:v>
      </x:c>
      <x:c r="K1357" s="19" t="str">
        <x:v>Destiny RV - South Australia</x:v>
      </x:c>
      <x:c r="L1357" s="19" t="str">
        <x:v>Z006</x:v>
      </x:c>
      <x:c r="M1357" s="19" t="str">
        <x:v>In Field Warranty Claims</x:v>
      </x:c>
      <x:c r="N1357" s="37" t="n">
        <x:v>46153</x:v>
      </x:c>
      <x:c r="O1357" s="37"/>
      <x:c r="P1357" s="34" t="n">
        <x:v>0</x:v>
      </x:c>
      <x:c r="Q1357" s="37" t="n">
        <x:v>46154.23364583333</x:v>
      </x:c>
    </x:row>
    <x:row r="1358">
      <x:c r="A1358" s="22" t="n">
        <x:v>34740</x:v>
      </x:c>
      <x:c r="B1358" s="28" t="n">
        <x:v>591.96</x:v>
      </x:c>
      <x:c r="C1358" s="28"/>
      <x:c r="D1358" s="31" t="str">
        <x:f>IF(OR(ISBLANK(B1358),ISBLANK(C1358),B1358=0),"",(C1358-B1358)/B1358)</x:f>
      </x:c>
      <x:c r="E1358" s="22" t="str">
        <x:f>IF(ISBLANK(C1358),"AmountIncludingTax缺失",IF(ABS(B1358-C1358)&lt;0.005,"一致","不一致"))</x:f>
        <x:v>AmountIncludingTax缺失</x:v>
      </x:c>
      <x:c r="F1358" s="19" t="str">
        <x:v>approved</x:v>
      </x:c>
      <x:c r="G1358" s="19" t="str">
        <x:v>Partially Picked</x:v>
      </x:c>
      <x:c r="H1358" s="19" t="str">
        <x:v>In Field</x:v>
      </x:c>
      <x:c r="I1358" s="37" t="n">
        <x:v>46170</x:v>
      </x:c>
      <x:c r="J1358" s="37" t="n">
        <x:v>46170</x:v>
      </x:c>
      <x:c r="K1358" s="19" t="str">
        <x:v>Regent RV - Toowoomba</x:v>
      </x:c>
      <x:c r="L1358" s="19" t="str">
        <x:v>Z006</x:v>
      </x:c>
      <x:c r="M1358" s="19" t="str">
        <x:v>In Field Warranty Claims</x:v>
      </x:c>
      <x:c r="N1358" s="37" t="n">
        <x:v>46153</x:v>
      </x:c>
      <x:c r="O1358" s="37"/>
      <x:c r="P1358" s="34" t="n">
        <x:v>0</x:v>
      </x:c>
      <x:c r="Q1358" s="37" t="n">
        <x:v>46170.101122685184</x:v>
      </x:c>
    </x:row>
    <x:row r="1359">
      <x:c r="A1359" s="22" t="n">
        <x:v>34739</x:v>
      </x:c>
      <x:c r="B1359" s="28" t="n">
        <x:v>652.5</x:v>
      </x:c>
      <x:c r="C1359" s="28"/>
      <x:c r="D1359" s="31" t="str">
        <x:f>IF(OR(ISBLANK(B1359),ISBLANK(C1359),B1359=0),"",(C1359-B1359)/B1359)</x:f>
      </x:c>
      <x:c r="E1359" s="22" t="str">
        <x:f>IF(ISBLANK(C1359),"AmountIncludingTax缺失",IF(ABS(B1359-C1359)&lt;0.005,"一致","不一致"))</x:f>
        <x:v>AmountIncludingTax缺失</x:v>
      </x:c>
      <x:c r="F1359" s="19" t="str">
        <x:v>approved</x:v>
      </x:c>
      <x:c r="G1359" s="19" t="str">
        <x:v>Repair in Progress</x:v>
      </x:c>
      <x:c r="H1359" s="19" t="str">
        <x:v>In Field</x:v>
      </x:c>
      <x:c r="I1359" s="37" t="n">
        <x:v>46153</x:v>
      </x:c>
      <x:c r="J1359" s="37" t="n">
        <x:v>46153</x:v>
      </x:c>
      <x:c r="K1359" s="19" t="str">
        <x:v>Green RV - Slacks Creek</x:v>
      </x:c>
      <x:c r="L1359" s="19" t="str">
        <x:v>Z006</x:v>
      </x:c>
      <x:c r="M1359" s="19" t="str">
        <x:v>In Field Warranty Claims</x:v>
      </x:c>
      <x:c r="N1359" s="37" t="n">
        <x:v>46153</x:v>
      </x:c>
      <x:c r="O1359" s="37"/>
      <x:c r="P1359" s="34" t="n">
        <x:v>0</x:v>
      </x:c>
      <x:c r="Q1359" s="37" t="n">
        <x:v>46153.148831018516</x:v>
      </x:c>
    </x:row>
    <x:row r="1360">
      <x:c r="A1360" s="22" t="n">
        <x:v>34738</x:v>
      </x:c>
      <x:c r="B1360" s="28" t="n">
        <x:v>715</x:v>
      </x:c>
      <x:c r="C1360" s="28"/>
      <x:c r="D1360" s="31" t="str">
        <x:f>IF(OR(ISBLANK(B1360),ISBLANK(C1360),B1360=0),"",(C1360-B1360)/B1360)</x:f>
      </x:c>
      <x:c r="E1360" s="22" t="str">
        <x:f>IF(ISBLANK(C1360),"AmountIncludingTax缺失",IF(ABS(B1360-C1360)&lt;0.005,"一致","不一致"))</x:f>
        <x:v>AmountIncludingTax缺失</x:v>
      </x:c>
      <x:c r="F1360" s="19" t="str">
        <x:v>approved</x:v>
      </x:c>
      <x:c r="G1360" s="19" t="str">
        <x:v>Repairer Invoiced Processed</x:v>
      </x:c>
      <x:c r="H1360" s="19" t="str">
        <x:v>In Field</x:v>
      </x:c>
      <x:c r="I1360" s="37" t="n">
        <x:v>46153</x:v>
      </x:c>
      <x:c r="J1360" s="37" t="n">
        <x:v>46153</x:v>
      </x:c>
      <x:c r="K1360" s="19" t="str">
        <x:v>Regent RV - Toowoomba</x:v>
      </x:c>
      <x:c r="L1360" s="19" t="str">
        <x:v>Z006</x:v>
      </x:c>
      <x:c r="M1360" s="19" t="str">
        <x:v>In Field Warranty Claims</x:v>
      </x:c>
      <x:c r="N1360" s="37" t="n">
        <x:v>46152</x:v>
      </x:c>
      <x:c r="O1360" s="37"/>
      <x:c r="P1360" s="34" t="n">
        <x:v>0</x:v>
      </x:c>
      <x:c r="Q1360" s="37" t="n">
        <x:v>46153.072430555556</x:v>
      </x:c>
    </x:row>
    <x:row r="1361">
      <x:c r="A1361" s="22" t="n">
        <x:v>34737</x:v>
      </x:c>
      <x:c r="B1361" s="28" t="n">
        <x:v>580</x:v>
      </x:c>
      <x:c r="C1361" s="28"/>
      <x:c r="D1361" s="31" t="str">
        <x:f>IF(OR(ISBLANK(B1361),ISBLANK(C1361),B1361=0),"",(C1361-B1361)/B1361)</x:f>
      </x:c>
      <x:c r="E1361" s="22" t="str">
        <x:f>IF(ISBLANK(C1361),"AmountIncludingTax缺失",IF(ABS(B1361-C1361)&lt;0.005,"一致","不一致"))</x:f>
        <x:v>AmountIncludingTax缺失</x:v>
      </x:c>
      <x:c r="F1361" s="19" t="str">
        <x:v>approved</x:v>
      </x:c>
      <x:c r="G1361" s="19" t="str">
        <x:v>Repair in Progress</x:v>
      </x:c>
      <x:c r="H1361" s="19" t="str">
        <x:v>In Field</x:v>
      </x:c>
      <x:c r="I1361" s="37" t="n">
        <x:v>46156</x:v>
      </x:c>
      <x:c r="J1361" s="37" t="n">
        <x:v>46156</x:v>
      </x:c>
      <x:c r="K1361" s="19" t="str">
        <x:v>Green RV - Forest Glen</x:v>
      </x:c>
      <x:c r="L1361" s="19" t="str">
        <x:v>Z006</x:v>
      </x:c>
      <x:c r="M1361" s="19" t="str">
        <x:v>In Field Warranty Claims</x:v>
      </x:c>
      <x:c r="N1361" s="37" t="n">
        <x:v>46152</x:v>
      </x:c>
      <x:c r="O1361" s="37"/>
      <x:c r="P1361" s="34" t="n">
        <x:v>0</x:v>
      </x:c>
      <x:c r="Q1361" s="37" t="n">
        <x:v>46155.94525462963</x:v>
      </x:c>
    </x:row>
    <x:row r="1362">
      <x:c r="A1362" s="22" t="n">
        <x:v>34736</x:v>
      </x:c>
      <x:c r="B1362" s="28" t="n">
        <x:v>1072.5</x:v>
      </x:c>
      <x:c r="C1362" s="28"/>
      <x:c r="D1362" s="31" t="str">
        <x:f>IF(OR(ISBLANK(B1362),ISBLANK(C1362),B1362=0),"",(C1362-B1362)/B1362)</x:f>
      </x:c>
      <x:c r="E1362" s="22" t="str">
        <x:f>IF(ISBLANK(C1362),"AmountIncludingTax缺失",IF(ABS(B1362-C1362)&lt;0.005,"一致","不一致"))</x:f>
        <x:v>AmountIncludingTax缺失</x:v>
      </x:c>
      <x:c r="F1362" s="19" t="str">
        <x:v>approved</x:v>
      </x:c>
      <x:c r="G1362" s="19" t="str">
        <x:v>Repair in Progress</x:v>
      </x:c>
      <x:c r="H1362" s="19" t="str">
        <x:v>In Field</x:v>
      </x:c>
      <x:c r="I1362" s="37" t="n">
        <x:v>46167</x:v>
      </x:c>
      <x:c r="J1362" s="37" t="n">
        <x:v>46167</x:v>
      </x:c>
      <x:c r="K1362" s="19" t="str">
        <x:v>Regent RV - Toowoomba</x:v>
      </x:c>
      <x:c r="L1362" s="19" t="str">
        <x:v>Z006</x:v>
      </x:c>
      <x:c r="M1362" s="19" t="str">
        <x:v>In Field Warranty Claims</x:v>
      </x:c>
      <x:c r="N1362" s="37" t="n">
        <x:v>46152</x:v>
      </x:c>
      <x:c r="O1362" s="37"/>
      <x:c r="P1362" s="34" t="n">
        <x:v>0</x:v>
      </x:c>
      <x:c r="Q1362" s="37" t="n">
        <x:v>46167.03057870371</x:v>
      </x:c>
    </x:row>
    <x:row r="1363">
      <x:c r="A1363" s="22" t="n">
        <x:v>34735</x:v>
      </x:c>
      <x:c r="B1363" s="28" t="n">
        <x:v>368.19</x:v>
      </x:c>
      <x:c r="C1363" s="28"/>
      <x:c r="D1363" s="31" t="str">
        <x:f>IF(OR(ISBLANK(B1363),ISBLANK(C1363),B1363=0),"",(C1363-B1363)/B1363)</x:f>
      </x:c>
      <x:c r="E1363" s="22" t="str">
        <x:f>IF(ISBLANK(C1363),"AmountIncludingTax缺失",IF(ABS(B1363-C1363)&lt;0.005,"一致","不一致"))</x:f>
        <x:v>AmountIncludingTax缺失</x:v>
      </x:c>
      <x:c r="F1363" s="19" t="str">
        <x:v>approved</x:v>
      </x:c>
      <x:c r="G1363" s="19" t="str">
        <x:v>Repairer Invoiced Processed</x:v>
      </x:c>
      <x:c r="H1363" s="19" t="str">
        <x:v>Pre Delivery</x:v>
      </x:c>
      <x:c r="I1363" s="37" t="n">
        <x:v>46168</x:v>
      </x:c>
      <x:c r="J1363" s="37" t="n">
        <x:v>46168</x:v>
      </x:c>
      <x:c r="K1363" s="19" t="str">
        <x:v>Green RV - Slacks Creek</x:v>
      </x:c>
      <x:c r="L1363" s="19" t="str">
        <x:v>Z005</x:v>
      </x:c>
      <x:c r="M1363" s="19" t="str">
        <x:v>Pre Delivery Warranty Claims</x:v>
      </x:c>
      <x:c r="N1363" s="37" t="n">
        <x:v>46152</x:v>
      </x:c>
      <x:c r="O1363" s="37"/>
      <x:c r="P1363" s="34" t="n">
        <x:v>0</x:v>
      </x:c>
      <x:c r="Q1363" s="37" t="n">
        <x:v>46168.26106481482</x:v>
      </x:c>
    </x:row>
    <x:row r="1364">
      <x:c r="A1364" s="22" t="n">
        <x:v>34733</x:v>
      </x:c>
      <x:c r="B1364" s="28" t="n">
        <x:v>145</x:v>
      </x:c>
      <x:c r="C1364" s="28"/>
      <x:c r="D1364" s="31" t="str">
        <x:f>IF(OR(ISBLANK(B1364),ISBLANK(C1364),B1364=0),"",(C1364-B1364)/B1364)</x:f>
      </x:c>
      <x:c r="E1364" s="22" t="str">
        <x:f>IF(ISBLANK(C1364),"AmountIncludingTax缺失",IF(ABS(B1364-C1364)&lt;0.005,"一致","不一致"))</x:f>
        <x:v>AmountIncludingTax缺失</x:v>
      </x:c>
      <x:c r="F1364" s="19" t="str">
        <x:v>approved</x:v>
      </x:c>
      <x:c r="G1364" s="19" t="str">
        <x:v>Repair in Progress</x:v>
      </x:c>
      <x:c r="H1364" s="19" t="str">
        <x:v>In Field</x:v>
      </x:c>
      <x:c r="I1364" s="37" t="n">
        <x:v>46153</x:v>
      </x:c>
      <x:c r="J1364" s="37" t="n">
        <x:v>46153</x:v>
      </x:c>
      <x:c r="K1364" s="19" t="str">
        <x:v>The Caravan Hub - Townsville</x:v>
      </x:c>
      <x:c r="L1364" s="19" t="str">
        <x:v>Z006</x:v>
      </x:c>
      <x:c r="M1364" s="19" t="str">
        <x:v>In Field Warranty Claims</x:v>
      </x:c>
      <x:c r="N1364" s="37" t="n">
        <x:v>46151</x:v>
      </x:c>
      <x:c r="O1364" s="37"/>
      <x:c r="P1364" s="34" t="n">
        <x:v>0</x:v>
      </x:c>
      <x:c r="Q1364" s="37" t="n">
        <x:v>46153.07548611111</x:v>
      </x:c>
    </x:row>
    <x:row r="1365">
      <x:c r="A1365" s="22" t="n">
        <x:v>34730</x:v>
      </x:c>
      <x:c r="B1365" s="28" t="n">
        <x:v>323.75</x:v>
      </x:c>
      <x:c r="C1365" s="28"/>
      <x:c r="D1365" s="31" t="str">
        <x:f>IF(OR(ISBLANK(B1365),ISBLANK(C1365),B1365=0),"",(C1365-B1365)/B1365)</x:f>
      </x:c>
      <x:c r="E1365" s="22" t="str">
        <x:f>IF(ISBLANK(C1365),"AmountIncludingTax缺失",IF(ABS(B1365-C1365)&lt;0.005,"一致","不一致"))</x:f>
        <x:v>AmountIncludingTax缺失</x:v>
      </x:c>
      <x:c r="F1365" s="19" t="str">
        <x:v>approved</x:v>
      </x:c>
      <x:c r="G1365" s="19" t="str">
        <x:v>Repairer Invoiced Processed</x:v>
      </x:c>
      <x:c r="H1365" s="19" t="str">
        <x:v>Pre Delivery</x:v>
      </x:c>
      <x:c r="I1365" s="37" t="n">
        <x:v>46161</x:v>
      </x:c>
      <x:c r="J1365" s="37" t="n">
        <x:v>46161</x:v>
      </x:c>
      <x:c r="K1365" s="19" t="str">
        <x:v>Lesiure Lion-New Castle</x:v>
      </x:c>
      <x:c r="L1365" s="19" t="str">
        <x:v>Z005</x:v>
      </x:c>
      <x:c r="M1365" s="19" t="str">
        <x:v>Pre Delivery Warranty Claims</x:v>
      </x:c>
      <x:c r="N1365" s="37" t="n">
        <x:v>46153</x:v>
      </x:c>
      <x:c r="O1365" s="37"/>
      <x:c r="P1365" s="34" t="n">
        <x:v>0</x:v>
      </x:c>
      <x:c r="Q1365" s="37" t="n">
        <x:v>46161.06512731482</x:v>
      </x:c>
    </x:row>
    <x:row r="1366">
      <x:c r="A1366" s="22" t="n">
        <x:v>34729</x:v>
      </x:c>
      <x:c r="B1366" s="28" t="n">
        <x:v>45</x:v>
      </x:c>
      <x:c r="C1366" s="28"/>
      <x:c r="D1366" s="31" t="str">
        <x:f>IF(OR(ISBLANK(B1366),ISBLANK(C1366),B1366=0),"",(C1366-B1366)/B1366)</x:f>
      </x:c>
      <x:c r="E1366" s="22" t="str">
        <x:f>IF(ISBLANK(C1366),"AmountIncludingTax缺失",IF(ABS(B1366-C1366)&lt;0.005,"一致","不一致"))</x:f>
        <x:v>AmountIncludingTax缺失</x:v>
      </x:c>
      <x:c r="F1366" s="19" t="str">
        <x:v>approved</x:v>
      </x:c>
      <x:c r="G1366" s="19" t="str">
        <x:v>Repairer Invoiced Processed</x:v>
      </x:c>
      <x:c r="H1366" s="19" t="str">
        <x:v>In Field</x:v>
      </x:c>
      <x:c r="I1366" s="37" t="n">
        <x:v>46153</x:v>
      </x:c>
      <x:c r="J1366" s="37" t="n">
        <x:v>46153</x:v>
      </x:c>
      <x:c r="K1366" s="19" t="str">
        <x:v>Green RV - Forest Glen</x:v>
      </x:c>
      <x:c r="L1366" s="19" t="str">
        <x:v>Z006</x:v>
      </x:c>
      <x:c r="M1366" s="19" t="str">
        <x:v>In Field Warranty Claims</x:v>
      </x:c>
      <x:c r="N1366" s="37" t="n">
        <x:v>46152</x:v>
      </x:c>
      <x:c r="O1366" s="37"/>
      <x:c r="P1366" s="34" t="n">
        <x:v>0</x:v>
      </x:c>
      <x:c r="Q1366" s="37" t="n">
        <x:v>46153.05060185185</x:v>
      </x:c>
    </x:row>
    <x:row r="1367">
      <x:c r="A1367" s="22" t="n">
        <x:v>34728</x:v>
      </x:c>
      <x:c r="B1367" s="28" t="n">
        <x:v>1275</x:v>
      </x:c>
      <x:c r="C1367" s="28"/>
      <x:c r="D1367" s="31" t="str">
        <x:f>IF(OR(ISBLANK(B1367),ISBLANK(C1367),B1367=0),"",(C1367-B1367)/B1367)</x:f>
      </x:c>
      <x:c r="E1367" s="22" t="str">
        <x:f>IF(ISBLANK(C1367),"AmountIncludingTax缺失",IF(ABS(B1367-C1367)&lt;0.005,"一致","不一致"))</x:f>
        <x:v>AmountIncludingTax缺失</x:v>
      </x:c>
      <x:c r="F1367" s="19" t="str">
        <x:v>approved</x:v>
      </x:c>
      <x:c r="G1367" s="19" t="str">
        <x:v>Repair in Progress</x:v>
      </x:c>
      <x:c r="H1367" s="19" t="str">
        <x:v>In Field</x:v>
      </x:c>
      <x:c r="I1367" s="37" t="n">
        <x:v>46154</x:v>
      </x:c>
      <x:c r="J1367" s="37" t="n">
        <x:v>46154</x:v>
      </x:c>
      <x:c r="K1367" s="19" t="str">
        <x:v>Green RV - Forest Glen</x:v>
      </x:c>
      <x:c r="L1367" s="19" t="str">
        <x:v>Z006</x:v>
      </x:c>
      <x:c r="M1367" s="19" t="str">
        <x:v>In Field Warranty Claims</x:v>
      </x:c>
      <x:c r="N1367" s="37" t="n">
        <x:v>46152</x:v>
      </x:c>
      <x:c r="O1367" s="37"/>
      <x:c r="P1367" s="34" t="n">
        <x:v>0</x:v>
      </x:c>
      <x:c r="Q1367" s="37" t="n">
        <x:v>46153.97850694445</x:v>
      </x:c>
    </x:row>
    <x:row r="1368">
      <x:c r="A1368" s="22" t="n">
        <x:v>34727</x:v>
      </x:c>
      <x:c r="B1368" s="28" t="n">
        <x:v>281.82</x:v>
      </x:c>
      <x:c r="C1368" s="28" t="n">
        <x:v>310</x:v>
      </x:c>
      <x:c r="D1368" s="31" t="n">
        <x:f>IF(OR(ISBLANK(B1368),ISBLANK(C1368),B1368=0),"",(C1368-B1368)/B1368)</x:f>
        <x:v>0.09999290327159183</x:v>
      </x:c>
      <x:c r="E1368" s="22" t="str">
        <x:f>IF(ISBLANK(C1368),"AmountIncludingTax缺失",IF(ABS(B1368-C1368)&lt;0.005,"一致","不一致"))</x:f>
        <x:v>不一致</x:v>
      </x:c>
      <x:c r="F1368" s="19" t="str">
        <x:v>approved</x:v>
      </x:c>
      <x:c r="G1368" s="19" t="str">
        <x:v>Repairer Invoiced Processed</x:v>
      </x:c>
      <x:c r="H1368" s="19" t="str">
        <x:v>In Field</x:v>
      </x:c>
      <x:c r="I1368" s="37" t="n">
        <x:v>46156</x:v>
      </x:c>
      <x:c r="J1368" s="37" t="n">
        <x:v>46156</x:v>
      </x:c>
      <x:c r="K1368" s="19" t="str">
        <x:v>Green RV - Forest Glen</x:v>
      </x:c>
      <x:c r="L1368" s="19" t="str">
        <x:v>Z006</x:v>
      </x:c>
      <x:c r="M1368" s="19" t="str">
        <x:v>In Field Warranty Claims</x:v>
      </x:c>
      <x:c r="N1368" s="37" t="n">
        <x:v>46152</x:v>
      </x:c>
      <x:c r="O1368" s="37"/>
      <x:c r="P1368" s="34" t="n">
        <x:v>310</x:v>
      </x:c>
      <x:c r="Q1368" s="37" t="n">
        <x:v>46155.8615625</x:v>
      </x:c>
    </x:row>
    <x:row r="1369">
      <x:c r="A1369" s="22" t="n">
        <x:v>34726</x:v>
      </x:c>
      <x:c r="B1369" s="28" t="n">
        <x:v>405</x:v>
      </x:c>
      <x:c r="C1369" s="28" t="n">
        <x:v>445.5</x:v>
      </x:c>
      <x:c r="D1369" s="31" t="n">
        <x:f>IF(OR(ISBLANK(B1369),ISBLANK(C1369),B1369=0),"",(C1369-B1369)/B1369)</x:f>
        <x:v>0.1</x:v>
      </x:c>
      <x:c r="E1369" s="22" t="str">
        <x:f>IF(ISBLANK(C1369),"AmountIncludingTax缺失",IF(ABS(B1369-C1369)&lt;0.005,"一致","不一致"))</x:f>
        <x:v>不一致</x:v>
      </x:c>
      <x:c r="F1369" s="19" t="str">
        <x:v>approved</x:v>
      </x:c>
      <x:c r="G1369" s="19" t="str">
        <x:v>Repair in Progress</x:v>
      </x:c>
      <x:c r="H1369" s="19" t="str">
        <x:v>In Field</x:v>
      </x:c>
      <x:c r="I1369" s="37" t="n">
        <x:v>46154</x:v>
      </x:c>
      <x:c r="J1369" s="37" t="n">
        <x:v>46154</x:v>
      </x:c>
      <x:c r="K1369" s="19" t="str">
        <x:v>Green RV - Forest Glen</x:v>
      </x:c>
      <x:c r="L1369" s="19" t="str">
        <x:v>Z006</x:v>
      </x:c>
      <x:c r="M1369" s="19" t="str">
        <x:v>In Field Warranty Claims</x:v>
      </x:c>
      <x:c r="N1369" s="37" t="n">
        <x:v>46152</x:v>
      </x:c>
      <x:c r="O1369" s="37"/>
      <x:c r="P1369" s="34" t="n">
        <x:v>445.5</x:v>
      </x:c>
      <x:c r="Q1369" s="37" t="n">
        <x:v>46154.02486111111</x:v>
      </x:c>
    </x:row>
    <x:row r="1370">
      <x:c r="A1370" s="22" t="n">
        <x:v>34724</x:v>
      </x:c>
      <x:c r="B1370" s="28" t="n">
        <x:v>270</x:v>
      </x:c>
      <x:c r="C1370" s="28"/>
      <x:c r="D1370" s="31" t="str">
        <x:f>IF(OR(ISBLANK(B1370),ISBLANK(C1370),B1370=0),"",(C1370-B1370)/B1370)</x:f>
      </x:c>
      <x:c r="E1370" s="22" t="str">
        <x:f>IF(ISBLANK(C1370),"AmountIncludingTax缺失",IF(ABS(B1370-C1370)&lt;0.005,"一致","不一致"))</x:f>
        <x:v>AmountIncludingTax缺失</x:v>
      </x:c>
      <x:c r="F1370" s="19" t="str">
        <x:v>approved</x:v>
      </x:c>
      <x:c r="G1370" s="19" t="str">
        <x:v>Partially Picked</x:v>
      </x:c>
      <x:c r="H1370" s="19" t="str">
        <x:v>In Field</x:v>
      </x:c>
      <x:c r="I1370" s="37" t="n">
        <x:v>46205</x:v>
      </x:c>
      <x:c r="J1370" s="37" t="n">
        <x:v>46205</x:v>
      </x:c>
      <x:c r="K1370" s="19" t="str">
        <x:v>Regent RV - Toowoomba</x:v>
      </x:c>
      <x:c r="L1370" s="19" t="str">
        <x:v>Z006</x:v>
      </x:c>
      <x:c r="M1370" s="19" t="str">
        <x:v>In Field Warranty Claims</x:v>
      </x:c>
      <x:c r="N1370" s="37" t="n">
        <x:v>46151</x:v>
      </x:c>
      <x:c r="O1370" s="37"/>
      <x:c r="P1370" s="34" t="n">
        <x:v>0</x:v>
      </x:c>
      <x:c r="Q1370" s="37" t="n">
        <x:v>46205.07032407408</x:v>
      </x:c>
    </x:row>
    <x:row r="1371">
      <x:c r="A1371" s="22" t="n">
        <x:v>34723</x:v>
      </x:c>
      <x:c r="B1371" s="28" t="n">
        <x:v>145</x:v>
      </x:c>
      <x:c r="C1371" s="28"/>
      <x:c r="D1371" s="31" t="str">
        <x:f>IF(OR(ISBLANK(B1371),ISBLANK(C1371),B1371=0),"",(C1371-B1371)/B1371)</x:f>
      </x:c>
      <x:c r="E1371" s="22" t="str">
        <x:f>IF(ISBLANK(C1371),"AmountIncludingTax缺失",IF(ABS(B1371-C1371)&lt;0.005,"一致","不一致"))</x:f>
        <x:v>AmountIncludingTax缺失</x:v>
      </x:c>
      <x:c r="F1371" s="19" t="str">
        <x:v>approved</x:v>
      </x:c>
      <x:c r="G1371" s="19" t="str">
        <x:v>Repair in Progress</x:v>
      </x:c>
      <x:c r="H1371" s="19" t="str">
        <x:v>In Field</x:v>
      </x:c>
      <x:c r="I1371" s="37" t="n">
        <x:v>46153</x:v>
      </x:c>
      <x:c r="J1371" s="37" t="n">
        <x:v>46153</x:v>
      </x:c>
      <x:c r="K1371" s="19" t="str">
        <x:v>Dario Caravans -St.Marys</x:v>
      </x:c>
      <x:c r="L1371" s="19" t="str">
        <x:v>Z006</x:v>
      </x:c>
      <x:c r="M1371" s="19" t="str">
        <x:v>In Field Warranty Claims</x:v>
      </x:c>
      <x:c r="N1371" s="37" t="n">
        <x:v>46151</x:v>
      </x:c>
      <x:c r="O1371" s="37"/>
      <x:c r="P1371" s="34" t="n">
        <x:v>0</x:v>
      </x:c>
      <x:c r="Q1371" s="37" t="n">
        <x:v>46153.07476851852</x:v>
      </x:c>
    </x:row>
    <x:row r="1372">
      <x:c r="A1372" s="22" t="n">
        <x:v>34712</x:v>
      </x:c>
      <x:c r="B1372" s="28" t="n">
        <x:v>650</x:v>
      </x:c>
      <x:c r="C1372" s="28" t="n">
        <x:v>715</x:v>
      </x:c>
      <x:c r="D1372" s="31" t="n">
        <x:f>IF(OR(ISBLANK(B1372),ISBLANK(C1372),B1372=0),"",(C1372-B1372)/B1372)</x:f>
        <x:v>0.1</x:v>
      </x:c>
      <x:c r="E1372" s="22" t="str">
        <x:f>IF(ISBLANK(C1372),"AmountIncludingTax缺失",IF(ABS(B1372-C1372)&lt;0.005,"一致","不一致"))</x:f>
        <x:v>不一致</x:v>
      </x:c>
      <x:c r="F1372" s="19" t="str">
        <x:v>approved</x:v>
      </x:c>
      <x:c r="G1372" s="19" t="str">
        <x:v>Repairer Invoiced Processed</x:v>
      </x:c>
      <x:c r="H1372" s="19" t="str">
        <x:v>In Field</x:v>
      </x:c>
      <x:c r="I1372" s="37" t="n">
        <x:v>46153</x:v>
      </x:c>
      <x:c r="J1372" s="37" t="n">
        <x:v>46153</x:v>
      </x:c>
      <x:c r="K1372" s="19" t="str">
        <x:v>Regent RV Pty Ltd</x:v>
      </x:c>
      <x:c r="L1372" s="19" t="str">
        <x:v>Z006</x:v>
      </x:c>
      <x:c r="M1372" s="19" t="str">
        <x:v>In Field Warranty Claims</x:v>
      </x:c>
      <x:c r="N1372" s="37" t="n">
        <x:v>46150</x:v>
      </x:c>
      <x:c r="O1372" s="37"/>
      <x:c r="P1372" s="34" t="n">
        <x:v>715</x:v>
      </x:c>
      <x:c r="Q1372" s="37" t="n">
        <x:v>46152.93929398148</x:v>
      </x:c>
    </x:row>
    <x:row r="1373">
      <x:c r="A1373" s="22" t="n">
        <x:v>34711</x:v>
      </x:c>
      <x:c r="B1373" s="28" t="n">
        <x:v>1250</x:v>
      </x:c>
      <x:c r="C1373" s="28"/>
      <x:c r="D1373" s="31" t="str">
        <x:f>IF(OR(ISBLANK(B1373),ISBLANK(C1373),B1373=0),"",(C1373-B1373)/B1373)</x:f>
      </x:c>
      <x:c r="E1373" s="22" t="str">
        <x:f>IF(ISBLANK(C1373),"AmountIncludingTax缺失",IF(ABS(B1373-C1373)&lt;0.005,"一致","不一致"))</x:f>
        <x:v>AmountIncludingTax缺失</x:v>
      </x:c>
      <x:c r="F1373" s="19" t="str">
        <x:v>approved</x:v>
      </x:c>
      <x:c r="G1373" s="19" t="str">
        <x:v>Repairer Invoiced Processed</x:v>
      </x:c>
      <x:c r="H1373" s="19" t="str">
        <x:v>In Field</x:v>
      </x:c>
      <x:c r="I1373" s="37" t="n">
        <x:v>46153</x:v>
      </x:c>
      <x:c r="J1373" s="37" t="n">
        <x:v>46153</x:v>
      </x:c>
      <x:c r="K1373" s="19" t="str">
        <x:v>Regent RV Pty Ltd</x:v>
      </x:c>
      <x:c r="L1373" s="19" t="str">
        <x:v>Z006</x:v>
      </x:c>
      <x:c r="M1373" s="19" t="str">
        <x:v>In Field Warranty Claims</x:v>
      </x:c>
      <x:c r="N1373" s="37" t="n">
        <x:v>46150</x:v>
      </x:c>
      <x:c r="O1373" s="37"/>
      <x:c r="P1373" s="34" t="n">
        <x:v>1375</x:v>
      </x:c>
      <x:c r="Q1373" s="37" t="n">
        <x:v>46152.94005787037</x:v>
      </x:c>
    </x:row>
    <x:row r="1374">
      <x:c r="A1374" s="22" t="n">
        <x:v>34707</x:v>
      </x:c>
      <x:c r="B1374" s="28" t="n">
        <x:v>2306.85</x:v>
      </x:c>
      <x:c r="C1374" s="28"/>
      <x:c r="D1374" s="31" t="str">
        <x:f>IF(OR(ISBLANK(B1374),ISBLANK(C1374),B1374=0),"",(C1374-B1374)/B1374)</x:f>
      </x:c>
      <x:c r="E1374" s="22" t="str">
        <x:f>IF(ISBLANK(C1374),"AmountIncludingTax缺失",IF(ABS(B1374-C1374)&lt;0.005,"一致","不一致"))</x:f>
        <x:v>AmountIncludingTax缺失</x:v>
      </x:c>
      <x:c r="F1374" s="19" t="str">
        <x:v>approved</x:v>
      </x:c>
      <x:c r="G1374" s="19" t="str">
        <x:v>Repair in Progress</x:v>
      </x:c>
      <x:c r="H1374" s="19" t="str">
        <x:v>In Field</x:v>
      </x:c>
      <x:c r="I1374" s="37" t="n">
        <x:v>46154</x:v>
      </x:c>
      <x:c r="J1374" s="37" t="n">
        <x:v>46154</x:v>
      </x:c>
      <x:c r="K1374" s="19" t="str">
        <x:v>Regent RV - Perth</x:v>
      </x:c>
      <x:c r="L1374" s="19" t="str">
        <x:v>Z006</x:v>
      </x:c>
      <x:c r="M1374" s="19" t="str">
        <x:v>In Field Warranty Claims</x:v>
      </x:c>
      <x:c r="N1374" s="37" t="n">
        <x:v>46153</x:v>
      </x:c>
      <x:c r="O1374" s="37"/>
      <x:c r="P1374" s="34" t="n">
        <x:v>0</x:v>
      </x:c>
      <x:c r="Q1374" s="37" t="n">
        <x:v>46153.977534722224</x:v>
      </x:c>
    </x:row>
    <x:row r="1375">
      <x:c r="A1375" s="22" t="n">
        <x:v>34706</x:v>
      </x:c>
      <x:c r="B1375" s="28" t="n">
        <x:v>247.73</x:v>
      </x:c>
      <x:c r="C1375" s="28" t="n">
        <x:v>272.5</x:v>
      </x:c>
      <x:c r="D1375" s="31" t="n">
        <x:f>IF(OR(ISBLANK(B1375),ISBLANK(C1375),B1375=0),"",(C1375-B1375)/B1375)</x:f>
        <x:v>0.09998789004157757</x:v>
      </x:c>
      <x:c r="E1375" s="22" t="str">
        <x:f>IF(ISBLANK(C1375),"AmountIncludingTax缺失",IF(ABS(B1375-C1375)&lt;0.005,"一致","不一致"))</x:f>
        <x:v>不一致</x:v>
      </x:c>
      <x:c r="F1375" s="19" t="str">
        <x:v>approved</x:v>
      </x:c>
      <x:c r="G1375" s="19" t="str">
        <x:v>Repairer Invoiced Processed</x:v>
      </x:c>
      <x:c r="H1375" s="19" t="str">
        <x:v>In Field</x:v>
      </x:c>
      <x:c r="I1375" s="37" t="n">
        <x:v>46153</x:v>
      </x:c>
      <x:c r="J1375" s="37" t="n">
        <x:v>46153</x:v>
      </x:c>
      <x:c r="K1375" s="19" t="str">
        <x:v>Auswide Caravans - South Nowra</x:v>
      </x:c>
      <x:c r="L1375" s="19" t="str">
        <x:v>Z006</x:v>
      </x:c>
      <x:c r="M1375" s="19" t="str">
        <x:v>In Field Warranty Claims</x:v>
      </x:c>
      <x:c r="N1375" s="37" t="n">
        <x:v>46153</x:v>
      </x:c>
      <x:c r="O1375" s="37"/>
      <x:c r="P1375" s="34" t="n">
        <x:v>272.5</x:v>
      </x:c>
      <x:c r="Q1375" s="37" t="n">
        <x:v>46153.1953125</x:v>
      </x:c>
    </x:row>
    <x:row r="1376">
      <x:c r="A1376" s="22" t="n">
        <x:v>34704</x:v>
      </x:c>
      <x:c r="B1376" s="28" t="n">
        <x:v>2272.73</x:v>
      </x:c>
      <x:c r="C1376" s="28"/>
      <x:c r="D1376" s="31" t="str">
        <x:f>IF(OR(ISBLANK(B1376),ISBLANK(C1376),B1376=0),"",(C1376-B1376)/B1376)</x:f>
      </x:c>
      <x:c r="E1376" s="22" t="str">
        <x:f>IF(ISBLANK(C1376),"AmountIncludingTax缺失",IF(ABS(B1376-C1376)&lt;0.005,"一致","不一致"))</x:f>
        <x:v>AmountIncludingTax缺失</x:v>
      </x:c>
      <x:c r="F1376" s="19" t="str">
        <x:v>approved</x:v>
      </x:c>
      <x:c r="G1376" s="19" t="str">
        <x:v>Repair in Progress</x:v>
      </x:c>
      <x:c r="H1376" s="19" t="str">
        <x:v>In Field</x:v>
      </x:c>
      <x:c r="I1376" s="37" t="n">
        <x:v>46192</x:v>
      </x:c>
      <x:c r="J1376" s="37" t="n">
        <x:v>46192</x:v>
      </x:c>
      <x:c r="K1376" s="19" t="str">
        <x:v>Green RV - Forest Glen</x:v>
      </x:c>
      <x:c r="L1376" s="19" t="str">
        <x:v>Z006</x:v>
      </x:c>
      <x:c r="M1376" s="19" t="str">
        <x:v>In Field Warranty Claims</x:v>
      </x:c>
      <x:c r="N1376" s="37" t="n">
        <x:v>46153</x:v>
      </x:c>
      <x:c r="O1376" s="37"/>
      <x:c r="P1376" s="34" t="n">
        <x:v>2500</x:v>
      </x:c>
      <x:c r="Q1376" s="37" t="n">
        <x:v>46192.037210648145</x:v>
      </x:c>
    </x:row>
    <x:row r="1377">
      <x:c r="A1377" s="22" t="n">
        <x:v>34702</x:v>
      </x:c>
      <x:c r="B1377" s="28" t="n">
        <x:v>202.85</x:v>
      </x:c>
      <x:c r="C1377" s="28" t="n">
        <x:v>183.66</x:v>
      </x:c>
      <x:c r="D1377" s="31" t="n">
        <x:f>IF(OR(ISBLANK(B1377),ISBLANK(C1377),B1377=0),"",(C1377-B1377)/B1377)</x:f>
        <x:v>-0.09460192260290855</x:v>
      </x:c>
      <x:c r="E1377" s="22" t="str">
        <x:f>IF(ISBLANK(C1377),"AmountIncludingTax缺失",IF(ABS(B1377-C1377)&lt;0.005,"一致","不一致"))</x:f>
        <x:v>不一致</x:v>
      </x:c>
      <x:c r="F1377" s="19" t="str">
        <x:v>approved</x:v>
      </x:c>
      <x:c r="G1377" s="19" t="str">
        <x:v>Repairer Invoiced Processed</x:v>
      </x:c>
      <x:c r="H1377" s="19" t="str">
        <x:v>In Field</x:v>
      </x:c>
      <x:c r="I1377" s="37" t="n">
        <x:v>46157</x:v>
      </x:c>
      <x:c r="J1377" s="37" t="n">
        <x:v>46153</x:v>
      </x:c>
      <x:c r="K1377" s="19" t="str">
        <x:v>Vanari Caravans - Marden Point</x:v>
      </x:c>
      <x:c r="L1377" s="19" t="str">
        <x:v>Z006</x:v>
      </x:c>
      <x:c r="M1377" s="19" t="str">
        <x:v>In Field Warranty Claims</x:v>
      </x:c>
      <x:c r="N1377" s="37" t="n">
        <x:v>46152</x:v>
      </x:c>
      <x:c r="O1377" s="37"/>
      <x:c r="P1377" s="34" t="n">
        <x:v>183.66</x:v>
      </x:c>
      <x:c r="Q1377" s="37" t="n">
        <x:v>46157.247766203705</x:v>
      </x:c>
    </x:row>
    <x:row r="1378">
      <x:c r="A1378" s="22" t="n">
        <x:v>34700</x:v>
      </x:c>
      <x:c r="B1378" s="28" t="n">
        <x:v>303.75</x:v>
      </x:c>
      <x:c r="C1378" s="28"/>
      <x:c r="D1378" s="31" t="str">
        <x:f>IF(OR(ISBLANK(B1378),ISBLANK(C1378),B1378=0),"",(C1378-B1378)/B1378)</x:f>
      </x:c>
      <x:c r="E1378" s="22" t="str">
        <x:f>IF(ISBLANK(C1378),"AmountIncludingTax缺失",IF(ABS(B1378-C1378)&lt;0.005,"一致","不一致"))</x:f>
        <x:v>AmountIncludingTax缺失</x:v>
      </x:c>
      <x:c r="F1378" s="19" t="str">
        <x:v>approved</x:v>
      </x:c>
      <x:c r="G1378" s="19" t="str">
        <x:v>Repair in Progress</x:v>
      </x:c>
      <x:c r="H1378" s="19" t="str">
        <x:v>In Field</x:v>
      </x:c>
      <x:c r="I1378" s="37" t="n">
        <x:v>46153</x:v>
      </x:c>
      <x:c r="J1378" s="37" t="n">
        <x:v>46153</x:v>
      </x:c>
      <x:c r="K1378" s="19" t="str">
        <x:v>Green RV - Forest Glen</x:v>
      </x:c>
      <x:c r="L1378" s="19" t="str">
        <x:v>Z006</x:v>
      </x:c>
      <x:c r="M1378" s="19" t="str">
        <x:v>In Field Warranty Claims</x:v>
      </x:c>
      <x:c r="N1378" s="37" t="n">
        <x:v>46150</x:v>
      </x:c>
      <x:c r="O1378" s="37"/>
      <x:c r="P1378" s="34" t="n">
        <x:v>0</x:v>
      </x:c>
      <x:c r="Q1378" s="37" t="n">
        <x:v>46153.01855324074</x:v>
      </x:c>
    </x:row>
    <x:row r="1379">
      <x:c r="A1379" s="22" t="n">
        <x:v>34699</x:v>
      </x:c>
      <x:c r="B1379" s="28" t="n">
        <x:v>296</x:v>
      </x:c>
      <x:c r="C1379" s="28"/>
      <x:c r="D1379" s="31" t="str">
        <x:f>IF(OR(ISBLANK(B1379),ISBLANK(C1379),B1379=0),"",(C1379-B1379)/B1379)</x:f>
      </x:c>
      <x:c r="E1379" s="22" t="str">
        <x:f>IF(ISBLANK(C1379),"AmountIncludingTax缺失",IF(ABS(B1379-C1379)&lt;0.005,"一致","不一致"))</x:f>
        <x:v>AmountIncludingTax缺失</x:v>
      </x:c>
      <x:c r="F1379" s="19" t="str">
        <x:v>approved</x:v>
      </x:c>
      <x:c r="G1379" s="19" t="str">
        <x:v>Sales Order Approved</x:v>
      </x:c>
      <x:c r="H1379" s="19" t="str">
        <x:v>In Field</x:v>
      </x:c>
      <x:c r="I1379" s="37" t="n">
        <x:v>46188</x:v>
      </x:c>
      <x:c r="J1379" s="37" t="n">
        <x:v>46188</x:v>
      </x:c>
      <x:c r="K1379" s="19" t="str">
        <x:v>Snowy River Wangaratta</x:v>
      </x:c>
      <x:c r="L1379" s="19" t="str">
        <x:v>Z006</x:v>
      </x:c>
      <x:c r="M1379" s="19" t="str">
        <x:v>In Field Warranty Claims</x:v>
      </x:c>
      <x:c r="N1379" s="37" t="n">
        <x:v>46150</x:v>
      </x:c>
      <x:c r="O1379" s="37"/>
      <x:c r="P1379" s="34" t="n">
        <x:v>0</x:v>
      </x:c>
      <x:c r="Q1379" s="37" t="n">
        <x:v>46188.247881944444</x:v>
      </x:c>
    </x:row>
    <x:row r="1380">
      <x:c r="A1380" s="22" t="n">
        <x:v>34698</x:v>
      </x:c>
      <x:c r="B1380" s="28" t="n">
        <x:v>270</x:v>
      </x:c>
      <x:c r="C1380" s="28"/>
      <x:c r="D1380" s="31" t="str">
        <x:f>IF(OR(ISBLANK(B1380),ISBLANK(C1380),B1380=0),"",(C1380-B1380)/B1380)</x:f>
      </x:c>
      <x:c r="E1380" s="22" t="str">
        <x:f>IF(ISBLANK(C1380),"AmountIncludingTax缺失",IF(ABS(B1380-C1380)&lt;0.005,"一致","不一致"))</x:f>
        <x:v>AmountIncludingTax缺失</x:v>
      </x:c>
      <x:c r="F1380" s="19" t="str">
        <x:v>approved</x:v>
      </x:c>
      <x:c r="G1380" s="19" t="str">
        <x:v>Repairer Invoiced Processed</x:v>
      </x:c>
      <x:c r="H1380" s="19" t="str">
        <x:v>In Field</x:v>
      </x:c>
      <x:c r="I1380" s="37" t="n">
        <x:v>46154</x:v>
      </x:c>
      <x:c r="J1380" s="37" t="n">
        <x:v>46154</x:v>
      </x:c>
      <x:c r="K1380" s="19" t="str">
        <x:v>QCCC - Gympie</x:v>
      </x:c>
      <x:c r="L1380" s="19" t="str">
        <x:v>Z006</x:v>
      </x:c>
      <x:c r="M1380" s="19" t="str">
        <x:v>In Field Warranty Claims</x:v>
      </x:c>
      <x:c r="N1380" s="37" t="n">
        <x:v>46150</x:v>
      </x:c>
      <x:c r="O1380" s="37"/>
      <x:c r="P1380" s="34" t="n">
        <x:v>0</x:v>
      </x:c>
      <x:c r="Q1380" s="37" t="n">
        <x:v>46154.02594907407</x:v>
      </x:c>
    </x:row>
    <x:row r="1381">
      <x:c r="A1381" s="22" t="n">
        <x:v>34697</x:v>
      </x:c>
      <x:c r="B1381" s="28" t="n">
        <x:v>1620</x:v>
      </x:c>
      <x:c r="C1381" s="28"/>
      <x:c r="D1381" s="31" t="str">
        <x:f>IF(OR(ISBLANK(B1381),ISBLANK(C1381),B1381=0),"",(C1381-B1381)/B1381)</x:f>
      </x:c>
      <x:c r="E1381" s="22" t="str">
        <x:f>IF(ISBLANK(C1381),"AmountIncludingTax缺失",IF(ABS(B1381-C1381)&lt;0.005,"一致","不一致"))</x:f>
        <x:v>AmountIncludingTax缺失</x:v>
      </x:c>
      <x:c r="F1381" s="19" t="str">
        <x:v>approved</x:v>
      </x:c>
      <x:c r="G1381" s="19" t="str">
        <x:v>Repair in Progress</x:v>
      </x:c>
      <x:c r="H1381" s="19" t="str">
        <x:v>In Field</x:v>
      </x:c>
      <x:c r="I1381" s="37" t="n">
        <x:v>46176</x:v>
      </x:c>
      <x:c r="J1381" s="37" t="n">
        <x:v>46176</x:v>
      </x:c>
      <x:c r="K1381" s="19" t="str">
        <x:v>Regent RV - Toowoomba</x:v>
      </x:c>
      <x:c r="L1381" s="19" t="str">
        <x:v>Z006</x:v>
      </x:c>
      <x:c r="M1381" s="19" t="str">
        <x:v>In Field Warranty Claims</x:v>
      </x:c>
      <x:c r="N1381" s="37" t="n">
        <x:v>46150</x:v>
      </x:c>
      <x:c r="O1381" s="37"/>
      <x:c r="P1381" s="34" t="n">
        <x:v>0</x:v>
      </x:c>
      <x:c r="Q1381" s="37" t="n">
        <x:v>46176.041354166664</x:v>
      </x:c>
    </x:row>
    <x:row r="1382">
      <x:c r="A1382" s="22" t="n">
        <x:v>34696</x:v>
      </x:c>
      <x:c r="B1382" s="28" t="n">
        <x:v>607.5</x:v>
      </x:c>
      <x:c r="C1382" s="28"/>
      <x:c r="D1382" s="31" t="str">
        <x:f>IF(OR(ISBLANK(B1382),ISBLANK(C1382),B1382=0),"",(C1382-B1382)/B1382)</x:f>
      </x:c>
      <x:c r="E1382" s="22" t="str">
        <x:f>IF(ISBLANK(C1382),"AmountIncludingTax缺失",IF(ABS(B1382-C1382)&lt;0.005,"一致","不一致"))</x:f>
        <x:v>AmountIncludingTax缺失</x:v>
      </x:c>
      <x:c r="F1382" s="19" t="str">
        <x:v>approved</x:v>
      </x:c>
      <x:c r="G1382" s="19" t="str">
        <x:v>Repairer Invoiced Processed</x:v>
      </x:c>
      <x:c r="H1382" s="19" t="str">
        <x:v>Pre Delivery</x:v>
      </x:c>
      <x:c r="I1382" s="37" t="n">
        <x:v>46156</x:v>
      </x:c>
      <x:c r="J1382" s="37" t="n">
        <x:v>46156</x:v>
      </x:c>
      <x:c r="K1382" s="19" t="str">
        <x:v>Green RV - Forest Glen</x:v>
      </x:c>
      <x:c r="L1382" s="19" t="str">
        <x:v>Z005</x:v>
      </x:c>
      <x:c r="M1382" s="19" t="str">
        <x:v>Pre Delivery Warranty Claims</x:v>
      </x:c>
      <x:c r="N1382" s="37" t="n">
        <x:v>46150</x:v>
      </x:c>
      <x:c r="O1382" s="37"/>
      <x:c r="P1382" s="34" t="n">
        <x:v>0</x:v>
      </x:c>
      <x:c r="Q1382" s="37" t="n">
        <x:v>46155.92994212963</x:v>
      </x:c>
    </x:row>
    <x:row r="1383">
      <x:c r="A1383" s="22" t="n">
        <x:v>34695</x:v>
      </x:c>
      <x:c r="B1383" s="28" t="n">
        <x:v>1197.5</x:v>
      </x:c>
      <x:c r="C1383" s="28"/>
      <x:c r="D1383" s="31" t="str">
        <x:f>IF(OR(ISBLANK(B1383),ISBLANK(C1383),B1383=0),"",(C1383-B1383)/B1383)</x:f>
      </x:c>
      <x:c r="E1383" s="22" t="str">
        <x:f>IF(ISBLANK(C1383),"AmountIncludingTax缺失",IF(ABS(B1383-C1383)&lt;0.005,"一致","不一致"))</x:f>
        <x:v>AmountIncludingTax缺失</x:v>
      </x:c>
      <x:c r="F1383" s="19" t="str">
        <x:v>approved</x:v>
      </x:c>
      <x:c r="G1383" s="19" t="str">
        <x:v>Repairer Invoiced Processed</x:v>
      </x:c>
      <x:c r="H1383" s="19" t="str">
        <x:v>Pre Delivery</x:v>
      </x:c>
      <x:c r="I1383" s="37" t="n">
        <x:v>46199</x:v>
      </x:c>
      <x:c r="J1383" s="37" t="n">
        <x:v>46199</x:v>
      </x:c>
      <x:c r="K1383" s="19" t="str">
        <x:v>Leisure Lion - Bundaberg</x:v>
      </x:c>
      <x:c r="L1383" s="19" t="str">
        <x:v>Z005</x:v>
      </x:c>
      <x:c r="M1383" s="19" t="str">
        <x:v>Pre Delivery Warranty Claims</x:v>
      </x:c>
      <x:c r="N1383" s="37" t="n">
        <x:v>46150</x:v>
      </x:c>
      <x:c r="O1383" s="37"/>
      <x:c r="P1383" s="34" t="n">
        <x:v>0</x:v>
      </x:c>
      <x:c r="Q1383" s="37" t="n">
        <x:v>46198.916180555556</x:v>
      </x:c>
    </x:row>
    <x:row r="1384">
      <x:c r="A1384" s="22" t="n">
        <x:v>34693</x:v>
      </x:c>
      <x:c r="B1384" s="28" t="n">
        <x:v>481.83</x:v>
      </x:c>
      <x:c r="C1384" s="28"/>
      <x:c r="D1384" s="31" t="str">
        <x:f>IF(OR(ISBLANK(B1384),ISBLANK(C1384),B1384=0),"",(C1384-B1384)/B1384)</x:f>
      </x:c>
      <x:c r="E1384" s="22" t="str">
        <x:f>IF(ISBLANK(C1384),"AmountIncludingTax缺失",IF(ABS(B1384-C1384)&lt;0.005,"一致","不一致"))</x:f>
        <x:v>AmountIncludingTax缺失</x:v>
      </x:c>
      <x:c r="F1384" s="19" t="str">
        <x:v>approved</x:v>
      </x:c>
      <x:c r="G1384" s="19" t="str">
        <x:v>Repairer Invoiced Processed</x:v>
      </x:c>
      <x:c r="H1384" s="19" t="str">
        <x:v>Pre Delivery</x:v>
      </x:c>
      <x:c r="I1384" s="37" t="n">
        <x:v>46168</x:v>
      </x:c>
      <x:c r="J1384" s="37" t="n">
        <x:v>46168</x:v>
      </x:c>
      <x:c r="K1384" s="19" t="str">
        <x:v>Green RV - Slacks Creek</x:v>
      </x:c>
      <x:c r="L1384" s="19" t="str">
        <x:v>Z005</x:v>
      </x:c>
      <x:c r="M1384" s="19" t="str">
        <x:v>Pre Delivery Warranty Claims</x:v>
      </x:c>
      <x:c r="N1384" s="37" t="n">
        <x:v>46150</x:v>
      </x:c>
      <x:c r="O1384" s="37"/>
      <x:c r="P1384" s="34" t="n">
        <x:v>0</x:v>
      </x:c>
      <x:c r="Q1384" s="37" t="n">
        <x:v>46168.26322916667</x:v>
      </x:c>
    </x:row>
    <x:row r="1385">
      <x:c r="A1385" s="22" t="n">
        <x:v>34692</x:v>
      </x:c>
      <x:c r="B1385" s="28" t="n">
        <x:v>135</x:v>
      </x:c>
      <x:c r="C1385" s="28"/>
      <x:c r="D1385" s="31" t="str">
        <x:f>IF(OR(ISBLANK(B1385),ISBLANK(C1385),B1385=0),"",(C1385-B1385)/B1385)</x:f>
      </x:c>
      <x:c r="E1385" s="22" t="str">
        <x:f>IF(ISBLANK(C1385),"AmountIncludingTax缺失",IF(ABS(B1385-C1385)&lt;0.005,"一致","不一致"))</x:f>
        <x:v>AmountIncludingTax缺失</x:v>
      </x:c>
      <x:c r="F1385" s="19" t="str">
        <x:v>approved</x:v>
      </x:c>
      <x:c r="G1385" s="19" t="str">
        <x:v>Repair in Progress</x:v>
      </x:c>
      <x:c r="H1385" s="19" t="str">
        <x:v>In Field</x:v>
      </x:c>
      <x:c r="I1385" s="37" t="n">
        <x:v>46153</x:v>
      </x:c>
      <x:c r="J1385" s="37" t="n">
        <x:v>46153</x:v>
      </x:c>
      <x:c r="K1385" s="19" t="str">
        <x:v>Green RV - Forest Glen</x:v>
      </x:c>
      <x:c r="L1385" s="19" t="str">
        <x:v>Z006</x:v>
      </x:c>
      <x:c r="M1385" s="19" t="str">
        <x:v>In Field Warranty Claims</x:v>
      </x:c>
      <x:c r="N1385" s="37" t="n">
        <x:v>46150</x:v>
      </x:c>
      <x:c r="O1385" s="37"/>
      <x:c r="P1385" s="34" t="n">
        <x:v>0</x:v>
      </x:c>
      <x:c r="Q1385" s="37" t="n">
        <x:v>46152.892916666664</x:v>
      </x:c>
    </x:row>
    <x:row r="1386">
      <x:c r="A1386" s="22" t="n">
        <x:v>34689</x:v>
      </x:c>
      <x:c r="B1386" s="28" t="n">
        <x:v>357.5</x:v>
      </x:c>
      <x:c r="C1386" s="28"/>
      <x:c r="D1386" s="31" t="str">
        <x:f>IF(OR(ISBLANK(B1386),ISBLANK(C1386),B1386=0),"",(C1386-B1386)/B1386)</x:f>
      </x:c>
      <x:c r="E1386" s="22" t="str">
        <x:f>IF(ISBLANK(C1386),"AmountIncludingTax缺失",IF(ABS(B1386-C1386)&lt;0.005,"一致","不一致"))</x:f>
        <x:v>AmountIncludingTax缺失</x:v>
      </x:c>
      <x:c r="F1386" s="19" t="str">
        <x:v>approved</x:v>
      </x:c>
      <x:c r="G1386" s="19" t="str">
        <x:v>Repair in Progress</x:v>
      </x:c>
      <x:c r="H1386" s="19" t="str">
        <x:v>In Field</x:v>
      </x:c>
      <x:c r="I1386" s="37" t="n">
        <x:v>46155</x:v>
      </x:c>
      <x:c r="J1386" s="37" t="n">
        <x:v>46155</x:v>
      </x:c>
      <x:c r="K1386" s="19" t="str">
        <x:v>Dario Caravans - Pooraka</x:v>
      </x:c>
      <x:c r="L1386" s="19" t="str">
        <x:v>Z006</x:v>
      </x:c>
      <x:c r="M1386" s="19" t="str">
        <x:v>In Field Warranty Claims</x:v>
      </x:c>
      <x:c r="N1386" s="37" t="n">
        <x:v>46150</x:v>
      </x:c>
      <x:c r="O1386" s="37" t="n">
        <x:v>46154</x:v>
      </x:c>
      <x:c r="P1386" s="34" t="n">
        <x:v>0</x:v>
      </x:c>
      <x:c r="Q1386" s="37" t="n">
        <x:v>46155.533530092594</x:v>
      </x:c>
    </x:row>
    <x:row r="1387">
      <x:c r="A1387" s="22" t="n">
        <x:v>34688</x:v>
      </x:c>
      <x:c r="B1387" s="28" t="n">
        <x:v>950.14</x:v>
      </x:c>
      <x:c r="C1387" s="28"/>
      <x:c r="D1387" s="31" t="str">
        <x:f>IF(OR(ISBLANK(B1387),ISBLANK(C1387),B1387=0),"",(C1387-B1387)/B1387)</x:f>
      </x:c>
      <x:c r="E1387" s="22" t="str">
        <x:f>IF(ISBLANK(C1387),"AmountIncludingTax缺失",IF(ABS(B1387-C1387)&lt;0.005,"一致","不一致"))</x:f>
        <x:v>AmountIncludingTax缺失</x:v>
      </x:c>
      <x:c r="F1387" s="19" t="str">
        <x:v>approved</x:v>
      </x:c>
      <x:c r="G1387" s="19" t="str">
        <x:v>Repair in Progress</x:v>
      </x:c>
      <x:c r="H1387" s="19" t="str">
        <x:v>In Field</x:v>
      </x:c>
      <x:c r="I1387" s="37" t="n">
        <x:v>46160</x:v>
      </x:c>
      <x:c r="J1387" s="37" t="n">
        <x:v>46160</x:v>
      </x:c>
      <x:c r="K1387" s="19" t="str">
        <x:v>Green RV - Forest Glen</x:v>
      </x:c>
      <x:c r="L1387" s="19" t="str">
        <x:v>Z006</x:v>
      </x:c>
      <x:c r="M1387" s="19" t="str">
        <x:v>In Field Warranty Claims</x:v>
      </x:c>
      <x:c r="N1387" s="37" t="n">
        <x:v>46150</x:v>
      </x:c>
      <x:c r="O1387" s="37"/>
      <x:c r="P1387" s="34" t="n">
        <x:v>0</x:v>
      </x:c>
      <x:c r="Q1387" s="37" t="n">
        <x:v>46160.021527777775</x:v>
      </x:c>
    </x:row>
    <x:row r="1388">
      <x:c r="A1388" s="22" t="n">
        <x:v>34686</x:v>
      </x:c>
      <x:c r="B1388" s="28" t="n">
        <x:v>782.5</x:v>
      </x:c>
      <x:c r="C1388" s="28"/>
      <x:c r="D1388" s="31" t="str">
        <x:f>IF(OR(ISBLANK(B1388),ISBLANK(C1388),B1388=0),"",(C1388-B1388)/B1388)</x:f>
      </x:c>
      <x:c r="E1388" s="22" t="str">
        <x:f>IF(ISBLANK(C1388),"AmountIncludingTax缺失",IF(ABS(B1388-C1388)&lt;0.005,"一致","不一致"))</x:f>
        <x:v>AmountIncludingTax缺失</x:v>
      </x:c>
      <x:c r="F1388" s="19" t="str">
        <x:v>approved</x:v>
      </x:c>
      <x:c r="G1388" s="19" t="str">
        <x:v>Repair in Progress</x:v>
      </x:c>
      <x:c r="H1388" s="19" t="str">
        <x:v>In Field</x:v>
      </x:c>
      <x:c r="I1388" s="37" t="n">
        <x:v>46153</x:v>
      </x:c>
      <x:c r="J1388" s="37" t="n">
        <x:v>46153</x:v>
      </x:c>
      <x:c r="K1388" s="19" t="str">
        <x:v>Green RV - Forest Glen</x:v>
      </x:c>
      <x:c r="L1388" s="19" t="str">
        <x:v>Z006</x:v>
      </x:c>
      <x:c r="M1388" s="19" t="str">
        <x:v>In Field Warranty Claims</x:v>
      </x:c>
      <x:c r="N1388" s="37" t="n">
        <x:v>46150</x:v>
      </x:c>
      <x:c r="O1388" s="37"/>
      <x:c r="P1388" s="34" t="n">
        <x:v>0</x:v>
      </x:c>
      <x:c r="Q1388" s="37" t="n">
        <x:v>46153.02322916667</x:v>
      </x:c>
    </x:row>
    <x:row r="1389">
      <x:c r="A1389" s="22" t="n">
        <x:v>34685</x:v>
      </x:c>
      <x:c r="B1389" s="28" t="n">
        <x:v>145</x:v>
      </x:c>
      <x:c r="C1389" s="28"/>
      <x:c r="D1389" s="31" t="str">
        <x:f>IF(OR(ISBLANK(B1389),ISBLANK(C1389),B1389=0),"",(C1389-B1389)/B1389)</x:f>
      </x:c>
      <x:c r="E1389" s="22" t="str">
        <x:f>IF(ISBLANK(C1389),"AmountIncludingTax缺失",IF(ABS(B1389-C1389)&lt;0.005,"一致","不一致"))</x:f>
        <x:v>AmountIncludingTax缺失</x:v>
      </x:c>
      <x:c r="F1389" s="19" t="str">
        <x:v>approved</x:v>
      </x:c>
      <x:c r="G1389" s="19" t="str">
        <x:v>Repair in Progress</x:v>
      </x:c>
      <x:c r="H1389" s="19" t="str">
        <x:v>Pre Delivery</x:v>
      </x:c>
      <x:c r="I1389" s="37" t="n">
        <x:v>46154</x:v>
      </x:c>
      <x:c r="J1389" s="37" t="n">
        <x:v>46154</x:v>
      </x:c>
      <x:c r="K1389" s="19" t="str">
        <x:v>Green RV - Forest Glen</x:v>
      </x:c>
      <x:c r="L1389" s="19" t="str">
        <x:v>Z005</x:v>
      </x:c>
      <x:c r="M1389" s="19" t="str">
        <x:v>Pre Delivery Warranty Claims</x:v>
      </x:c>
      <x:c r="N1389" s="37" t="n">
        <x:v>46150</x:v>
      </x:c>
      <x:c r="O1389" s="37"/>
      <x:c r="P1389" s="34" t="n">
        <x:v>0</x:v>
      </x:c>
      <x:c r="Q1389" s="37" t="n">
        <x:v>46154.0281712963</x:v>
      </x:c>
    </x:row>
    <x:row r="1390">
      <x:c r="A1390" s="22" t="n">
        <x:v>34684</x:v>
      </x:c>
      <x:c r="B1390" s="28" t="n">
        <x:v>135</x:v>
      </x:c>
      <x:c r="C1390" s="28" t="n">
        <x:v>148.5</x:v>
      </x:c>
      <x:c r="D1390" s="31" t="n">
        <x:f>IF(OR(ISBLANK(B1390),ISBLANK(C1390),B1390=0),"",(C1390-B1390)/B1390)</x:f>
        <x:v>0.1</x:v>
      </x:c>
      <x:c r="E1390" s="22" t="str">
        <x:f>IF(ISBLANK(C1390),"AmountIncludingTax缺失",IF(ABS(B1390-C1390)&lt;0.005,"一致","不一致"))</x:f>
        <x:v>不一致</x:v>
      </x:c>
      <x:c r="F1390" s="19" t="str">
        <x:v>approved</x:v>
      </x:c>
      <x:c r="G1390" s="19" t="str">
        <x:v>Repair in Progress</x:v>
      </x:c>
      <x:c r="H1390" s="19" t="str">
        <x:v>In Field</x:v>
      </x:c>
      <x:c r="I1390" s="37" t="n">
        <x:v>46176</x:v>
      </x:c>
      <x:c r="J1390" s="37" t="n">
        <x:v>46176</x:v>
      </x:c>
      <x:c r="K1390" s="19" t="str">
        <x:v>Regent RV - Perth</x:v>
      </x:c>
      <x:c r="L1390" s="19" t="str">
        <x:v>Z006</x:v>
      </x:c>
      <x:c r="M1390" s="19" t="str">
        <x:v>In Field Warranty Claims</x:v>
      </x:c>
      <x:c r="N1390" s="37" t="n">
        <x:v>46150</x:v>
      </x:c>
      <x:c r="O1390" s="37"/>
      <x:c r="P1390" s="34" t="n">
        <x:v>148.5</x:v>
      </x:c>
      <x:c r="Q1390" s="37" t="n">
        <x:v>46176.04574074074</x:v>
      </x:c>
    </x:row>
    <x:row r="1391">
      <x:c r="A1391" s="22" t="n">
        <x:v>34683</x:v>
      </x:c>
      <x:c r="B1391" s="28" t="n">
        <x:v>202.5</x:v>
      </x:c>
      <x:c r="C1391" s="28"/>
      <x:c r="D1391" s="31" t="str">
        <x:f>IF(OR(ISBLANK(B1391),ISBLANK(C1391),B1391=0),"",(C1391-B1391)/B1391)</x:f>
      </x:c>
      <x:c r="E1391" s="22" t="str">
        <x:f>IF(ISBLANK(C1391),"AmountIncludingTax缺失",IF(ABS(B1391-C1391)&lt;0.005,"一致","不一致"))</x:f>
        <x:v>AmountIncludingTax缺失</x:v>
      </x:c>
      <x:c r="F1391" s="19" t="str">
        <x:v>approved</x:v>
      </x:c>
      <x:c r="G1391" s="19" t="str">
        <x:v>Repair in Progress</x:v>
      </x:c>
      <x:c r="H1391" s="19" t="str">
        <x:v>Pre Delivery</x:v>
      </x:c>
      <x:c r="I1391" s="37" t="n">
        <x:v>46155</x:v>
      </x:c>
      <x:c r="J1391" s="37" t="n">
        <x:v>46155</x:v>
      </x:c>
      <x:c r="K1391" s="19" t="str">
        <x:v>Green RV - Forest Glen</x:v>
      </x:c>
      <x:c r="L1391" s="19" t="str">
        <x:v>Z005</x:v>
      </x:c>
      <x:c r="M1391" s="19" t="str">
        <x:v>Pre Delivery Warranty Claims</x:v>
      </x:c>
      <x:c r="N1391" s="37" t="n">
        <x:v>46150</x:v>
      </x:c>
      <x:c r="O1391" s="37"/>
      <x:c r="P1391" s="34" t="n">
        <x:v>0</x:v>
      </x:c>
      <x:c r="Q1391" s="37" t="n">
        <x:v>46155.50119212963</x:v>
      </x:c>
    </x:row>
    <x:row r="1392">
      <x:c r="A1392" s="22" t="n">
        <x:v>34682</x:v>
      </x:c>
      <x:c r="B1392" s="28" t="n">
        <x:v>929</x:v>
      </x:c>
      <x:c r="C1392" s="28" t="n">
        <x:v>841.12</x:v>
      </x:c>
      <x:c r="D1392" s="31" t="n">
        <x:f>IF(OR(ISBLANK(B1392),ISBLANK(C1392),B1392=0),"",(C1392-B1392)/B1392)</x:f>
        <x:v>-0.09459634015069968</x:v>
      </x:c>
      <x:c r="E1392" s="22" t="str">
        <x:f>IF(ISBLANK(C1392),"AmountIncludingTax缺失",IF(ABS(B1392-C1392)&lt;0.005,"一致","不一致"))</x:f>
        <x:v>不一致</x:v>
      </x:c>
      <x:c r="F1392" s="19" t="str">
        <x:v>approved</x:v>
      </x:c>
      <x:c r="G1392" s="19" t="str">
        <x:v>Repairer Invoiced Processed</x:v>
      </x:c>
      <x:c r="H1392" s="19" t="str">
        <x:v>In Field</x:v>
      </x:c>
      <x:c r="I1392" s="37" t="n">
        <x:v>46162</x:v>
      </x:c>
      <x:c r="J1392" s="37" t="n">
        <x:v>46162</x:v>
      </x:c>
      <x:c r="K1392" s="19" t="str">
        <x:v>Vanari Caravans - Marden Point</x:v>
      </x:c>
      <x:c r="L1392" s="19" t="str">
        <x:v>Z006</x:v>
      </x:c>
      <x:c r="M1392" s="19" t="str">
        <x:v>In Field Warranty Claims</x:v>
      </x:c>
      <x:c r="N1392" s="37" t="n">
        <x:v>46150</x:v>
      </x:c>
      <x:c r="O1392" s="37"/>
      <x:c r="P1392" s="34" t="n">
        <x:v>841.12</x:v>
      </x:c>
      <x:c r="Q1392" s="37" t="n">
        <x:v>46162.14728009259</x:v>
      </x:c>
    </x:row>
    <x:row r="1393">
      <x:c r="A1393" s="22" t="n">
        <x:v>34681</x:v>
      </x:c>
      <x:c r="B1393" s="28" t="n">
        <x:v>135</x:v>
      </x:c>
      <x:c r="C1393" s="28"/>
      <x:c r="D1393" s="31" t="str">
        <x:f>IF(OR(ISBLANK(B1393),ISBLANK(C1393),B1393=0),"",(C1393-B1393)/B1393)</x:f>
      </x:c>
      <x:c r="E1393" s="22" t="str">
        <x:f>IF(ISBLANK(C1393),"AmountIncludingTax缺失",IF(ABS(B1393-C1393)&lt;0.005,"一致","不一致"))</x:f>
        <x:v>AmountIncludingTax缺失</x:v>
      </x:c>
      <x:c r="F1393" s="19" t="str">
        <x:v>approved</x:v>
      </x:c>
      <x:c r="G1393" s="19" t="str">
        <x:v>Repair in Progress</x:v>
      </x:c>
      <x:c r="H1393" s="19" t="str">
        <x:v>In Field</x:v>
      </x:c>
      <x:c r="I1393" s="37" t="n">
        <x:v>46156</x:v>
      </x:c>
      <x:c r="J1393" s="37" t="n">
        <x:v>46156</x:v>
      </x:c>
      <x:c r="K1393" s="19" t="str">
        <x:v>Green RV - Forest Glen</x:v>
      </x:c>
      <x:c r="L1393" s="19" t="str">
        <x:v>Z006</x:v>
      </x:c>
      <x:c r="M1393" s="19" t="str">
        <x:v>In Field Warranty Claims</x:v>
      </x:c>
      <x:c r="N1393" s="37" t="n">
        <x:v>46150</x:v>
      </x:c>
      <x:c r="O1393" s="37"/>
      <x:c r="P1393" s="34" t="n">
        <x:v>0</x:v>
      </x:c>
      <x:c r="Q1393" s="37" t="n">
        <x:v>46156.14513888889</x:v>
      </x:c>
    </x:row>
    <x:row r="1394">
      <x:c r="A1394" s="22" t="n">
        <x:v>34678</x:v>
      </x:c>
      <x:c r="B1394" s="28" t="n">
        <x:v>1822.5</x:v>
      </x:c>
      <x:c r="C1394" s="28"/>
      <x:c r="D1394" s="31" t="str">
        <x:f>IF(OR(ISBLANK(B1394),ISBLANK(C1394),B1394=0),"",(C1394-B1394)/B1394)</x:f>
      </x:c>
      <x:c r="E1394" s="22" t="str">
        <x:f>IF(ISBLANK(C1394),"AmountIncludingTax缺失",IF(ABS(B1394-C1394)&lt;0.005,"一致","不一致"))</x:f>
        <x:v>AmountIncludingTax缺失</x:v>
      </x:c>
      <x:c r="F1394" s="19" t="str">
        <x:v>approved</x:v>
      </x:c>
      <x:c r="G1394" s="19" t="str">
        <x:v>Sales Order Approved</x:v>
      </x:c>
      <x:c r="H1394" s="19" t="str">
        <x:v>In Field</x:v>
      </x:c>
      <x:c r="I1394" s="37" t="n">
        <x:v>46191</x:v>
      </x:c>
      <x:c r="J1394" s="37" t="n">
        <x:v>46191</x:v>
      </x:c>
      <x:c r="K1394" s="19" t="str">
        <x:v>Auswide Caravans - South Nowra</x:v>
      </x:c>
      <x:c r="L1394" s="19" t="str">
        <x:v>Z006</x:v>
      </x:c>
      <x:c r="M1394" s="19" t="str">
        <x:v>In Field Warranty Claims</x:v>
      </x:c>
      <x:c r="N1394" s="37" t="n">
        <x:v>46150</x:v>
      </x:c>
      <x:c r="O1394" s="37"/>
      <x:c r="P1394" s="34" t="n">
        <x:v>0</x:v>
      </x:c>
      <x:c r="Q1394" s="37" t="n">
        <x:v>46190.97792824074</x:v>
      </x:c>
    </x:row>
    <x:row r="1395">
      <x:c r="A1395" s="22" t="n">
        <x:v>34672</x:v>
      </x:c>
      <x:c r="B1395" s="28" t="n">
        <x:v>1432.5</x:v>
      </x:c>
      <x:c r="C1395" s="28"/>
      <x:c r="D1395" s="31" t="str">
        <x:f>IF(OR(ISBLANK(B1395),ISBLANK(C1395),B1395=0),"",(C1395-B1395)/B1395)</x:f>
      </x:c>
      <x:c r="E1395" s="22" t="str">
        <x:f>IF(ISBLANK(C1395),"AmountIncludingTax缺失",IF(ABS(B1395-C1395)&lt;0.005,"一致","不一致"))</x:f>
        <x:v>AmountIncludingTax缺失</x:v>
      </x:c>
      <x:c r="F1395" s="19" t="str">
        <x:v>approved</x:v>
      </x:c>
      <x:c r="G1395" s="19" t="str">
        <x:v>Repair in Progress</x:v>
      </x:c>
      <x:c r="H1395" s="19" t="str">
        <x:v>In Field</x:v>
      </x:c>
      <x:c r="I1395" s="37" t="n">
        <x:v>46150</x:v>
      </x:c>
      <x:c r="J1395" s="37" t="n">
        <x:v>46150</x:v>
      </x:c>
      <x:c r="K1395" s="19" t="str">
        <x:v>Regent RV - Perth</x:v>
      </x:c>
      <x:c r="L1395" s="19" t="str">
        <x:v>Z006</x:v>
      </x:c>
      <x:c r="M1395" s="19" t="str">
        <x:v>In Field Warranty Claims</x:v>
      </x:c>
      <x:c r="N1395" s="37" t="n">
        <x:v>46150</x:v>
      </x:c>
      <x:c r="O1395" s="37"/>
      <x:c r="P1395" s="34" t="n">
        <x:v>1575.75</x:v>
      </x:c>
      <x:c r="Q1395" s="37" t="n">
        <x:v>46150.20479166666</x:v>
      </x:c>
    </x:row>
    <x:row r="1396">
      <x:c r="A1396" s="22" t="n">
        <x:v>34670</x:v>
      </x:c>
      <x:c r="B1396" s="28" t="n">
        <x:v>135</x:v>
      </x:c>
      <x:c r="C1396" s="28"/>
      <x:c r="D1396" s="31" t="str">
        <x:f>IF(OR(ISBLANK(B1396),ISBLANK(C1396),B1396=0),"",(C1396-B1396)/B1396)</x:f>
      </x:c>
      <x:c r="E1396" s="22" t="str">
        <x:f>IF(ISBLANK(C1396),"AmountIncludingTax缺失",IF(ABS(B1396-C1396)&lt;0.005,"一致","不一致"))</x:f>
        <x:v>AmountIncludingTax缺失</x:v>
      </x:c>
      <x:c r="F1396" s="19" t="str">
        <x:v>approved</x:v>
      </x:c>
      <x:c r="G1396" s="19" t="str">
        <x:v>Repairer Invoiced Processed</x:v>
      </x:c>
      <x:c r="H1396" s="19" t="str">
        <x:v>In Field</x:v>
      </x:c>
      <x:c r="I1396" s="37" t="n">
        <x:v>46157</x:v>
      </x:c>
      <x:c r="J1396" s="37" t="n">
        <x:v>46157</x:v>
      </x:c>
      <x:c r="K1396" s="19" t="str">
        <x:v>Regent RV - Toowoomba</x:v>
      </x:c>
      <x:c r="L1396" s="19" t="str">
        <x:v>Z006</x:v>
      </x:c>
      <x:c r="M1396" s="19" t="str">
        <x:v>In Field Warranty Claims</x:v>
      </x:c>
      <x:c r="N1396" s="37" t="n">
        <x:v>46150</x:v>
      </x:c>
      <x:c r="O1396" s="37"/>
      <x:c r="P1396" s="34" t="n">
        <x:v>0</x:v>
      </x:c>
      <x:c r="Q1396" s="37" t="n">
        <x:v>46157.07061342592</x:v>
      </x:c>
    </x:row>
    <x:row r="1397">
      <x:c r="A1397" s="22" t="n">
        <x:v>34669</x:v>
      </x:c>
      <x:c r="B1397" s="28" t="n">
        <x:v>38.75</x:v>
      </x:c>
      <x:c r="C1397" s="28"/>
      <x:c r="D1397" s="31" t="str">
        <x:f>IF(OR(ISBLANK(B1397),ISBLANK(C1397),B1397=0),"",(C1397-B1397)/B1397)</x:f>
      </x:c>
      <x:c r="E1397" s="22" t="str">
        <x:f>IF(ISBLANK(C1397),"AmountIncludingTax缺失",IF(ABS(B1397-C1397)&lt;0.005,"一致","不一致"))</x:f>
        <x:v>AmountIncludingTax缺失</x:v>
      </x:c>
      <x:c r="F1397" s="19" t="str">
        <x:v>approved</x:v>
      </x:c>
      <x:c r="G1397" s="19" t="str">
        <x:v>Repair in Progress</x:v>
      </x:c>
      <x:c r="H1397" s="19" t="str">
        <x:v>Pre Delivery</x:v>
      </x:c>
      <x:c r="I1397" s="37" t="n">
        <x:v>46190</x:v>
      </x:c>
      <x:c r="J1397" s="37" t="n">
        <x:v>46190</x:v>
      </x:c>
      <x:c r="K1397" s="19" t="str">
        <x:v>Regent RV - Perth</x:v>
      </x:c>
      <x:c r="L1397" s="19" t="str">
        <x:v>Z005</x:v>
      </x:c>
      <x:c r="M1397" s="19" t="str">
        <x:v>Pre Delivery Warranty Claims</x:v>
      </x:c>
      <x:c r="N1397" s="37" t="n">
        <x:v>46150</x:v>
      </x:c>
      <x:c r="O1397" s="37"/>
      <x:c r="P1397" s="34" t="n">
        <x:v>0</x:v>
      </x:c>
      <x:c r="Q1397" s="37" t="n">
        <x:v>46190.21045138889</x:v>
      </x:c>
    </x:row>
    <x:row r="1398">
      <x:c r="A1398" s="22" t="n">
        <x:v>34668</x:v>
      </x:c>
      <x:c r="B1398" s="28" t="n">
        <x:v>135</x:v>
      </x:c>
      <x:c r="C1398" s="28"/>
      <x:c r="D1398" s="31" t="str">
        <x:f>IF(OR(ISBLANK(B1398),ISBLANK(C1398),B1398=0),"",(C1398-B1398)/B1398)</x:f>
      </x:c>
      <x:c r="E1398" s="22" t="str">
        <x:f>IF(ISBLANK(C1398),"AmountIncludingTax缺失",IF(ABS(B1398-C1398)&lt;0.005,"一致","不一致"))</x:f>
        <x:v>AmountIncludingTax缺失</x:v>
      </x:c>
      <x:c r="F1398" s="19" t="str">
        <x:v>approved</x:v>
      </x:c>
      <x:c r="G1398" s="19" t="str">
        <x:v>Repair in Progress</x:v>
      </x:c>
      <x:c r="H1398" s="19" t="str">
        <x:v>In Field</x:v>
      </x:c>
      <x:c r="I1398" s="37" t="n">
        <x:v>46157</x:v>
      </x:c>
      <x:c r="J1398" s="37" t="n">
        <x:v>46157</x:v>
      </x:c>
      <x:c r="K1398" s="19" t="str">
        <x:v>Regent RV - Toowoomba</x:v>
      </x:c>
      <x:c r="L1398" s="19" t="str">
        <x:v>Z006</x:v>
      </x:c>
      <x:c r="M1398" s="19" t="str">
        <x:v>In Field Warranty Claims</x:v>
      </x:c>
      <x:c r="N1398" s="37" t="n">
        <x:v>46150</x:v>
      </x:c>
      <x:c r="O1398" s="37"/>
      <x:c r="P1398" s="34" t="n">
        <x:v>0</x:v>
      </x:c>
      <x:c r="Q1398" s="37" t="n">
        <x:v>46157.20429398148</x:v>
      </x:c>
    </x:row>
    <x:row r="1399">
      <x:c r="A1399" s="22" t="n">
        <x:v>34667</x:v>
      </x:c>
      <x:c r="B1399" s="28" t="n">
        <x:v>405</x:v>
      </x:c>
      <x:c r="C1399" s="28"/>
      <x:c r="D1399" s="31" t="str">
        <x:f>IF(OR(ISBLANK(B1399),ISBLANK(C1399),B1399=0),"",(C1399-B1399)/B1399)</x:f>
      </x:c>
      <x:c r="E1399" s="22" t="str">
        <x:f>IF(ISBLANK(C1399),"AmountIncludingTax缺失",IF(ABS(B1399-C1399)&lt;0.005,"一致","不一致"))</x:f>
        <x:v>AmountIncludingTax缺失</x:v>
      </x:c>
      <x:c r="F1399" s="19" t="str">
        <x:v>approved</x:v>
      </x:c>
      <x:c r="G1399" s="19" t="str">
        <x:v>Repair in Progress</x:v>
      </x:c>
      <x:c r="H1399" s="19" t="str">
        <x:v>In Field</x:v>
      </x:c>
      <x:c r="I1399" s="37" t="n">
        <x:v>46188</x:v>
      </x:c>
      <x:c r="J1399" s="37" t="n">
        <x:v>46188</x:v>
      </x:c>
      <x:c r="K1399" s="19" t="str">
        <x:v>Green RV - Forest Glen</x:v>
      </x:c>
      <x:c r="L1399" s="19" t="str">
        <x:v>Z006</x:v>
      </x:c>
      <x:c r="M1399" s="19" t="str">
        <x:v>In Field Warranty Claims</x:v>
      </x:c>
      <x:c r="N1399" s="37" t="n">
        <x:v>46150</x:v>
      </x:c>
      <x:c r="O1399" s="37"/>
      <x:c r="P1399" s="34" t="n">
        <x:v>0</x:v>
      </x:c>
      <x:c r="Q1399" s="37" t="n">
        <x:v>46187.89923611111</x:v>
      </x:c>
    </x:row>
    <x:row r="1400">
      <x:c r="A1400" s="22" t="n">
        <x:v>34666</x:v>
      </x:c>
      <x:c r="B1400" s="28" t="n">
        <x:v>976.25</x:v>
      </x:c>
      <x:c r="C1400" s="28"/>
      <x:c r="D1400" s="31" t="str">
        <x:f>IF(OR(ISBLANK(B1400),ISBLANK(C1400),B1400=0),"",(C1400-B1400)/B1400)</x:f>
      </x:c>
      <x:c r="E1400" s="22" t="str">
        <x:f>IF(ISBLANK(C1400),"AmountIncludingTax缺失",IF(ABS(B1400-C1400)&lt;0.005,"一致","不一致"))</x:f>
        <x:v>AmountIncludingTax缺失</x:v>
      </x:c>
      <x:c r="F1400" s="19" t="str">
        <x:v>approved</x:v>
      </x:c>
      <x:c r="G1400" s="19" t="str">
        <x:v>Repairer Invoiced Processed</x:v>
      </x:c>
      <x:c r="H1400" s="19" t="str">
        <x:v>In Field</x:v>
      </x:c>
      <x:c r="I1400" s="37" t="n">
        <x:v>46177</x:v>
      </x:c>
      <x:c r="J1400" s="37" t="n">
        <x:v>46177</x:v>
      </x:c>
      <x:c r="K1400" s="19" t="str">
        <x:v>Newcastle RV Super Centre - Beresfield</x:v>
      </x:c>
      <x:c r="L1400" s="19" t="str">
        <x:v>Z006</x:v>
      </x:c>
      <x:c r="M1400" s="19" t="str">
        <x:v>In Field Warranty Claims</x:v>
      </x:c>
      <x:c r="N1400" s="37" t="n">
        <x:v>46150</x:v>
      </x:c>
      <x:c r="O1400" s="37"/>
      <x:c r="P1400" s="34" t="n">
        <x:v>0</x:v>
      </x:c>
      <x:c r="Q1400" s="37" t="n">
        <x:v>46176.89664351852</x:v>
      </x:c>
    </x:row>
    <x:row r="1401">
      <x:c r="A1401" s="22" t="n">
        <x:v>34665</x:v>
      </x:c>
      <x:c r="B1401" s="28" t="n">
        <x:v>627.5</x:v>
      </x:c>
      <x:c r="C1401" s="28"/>
      <x:c r="D1401" s="31" t="str">
        <x:f>IF(OR(ISBLANK(B1401),ISBLANK(C1401),B1401=0),"",(C1401-B1401)/B1401)</x:f>
      </x:c>
      <x:c r="E1401" s="22" t="str">
        <x:f>IF(ISBLANK(C1401),"AmountIncludingTax缺失",IF(ABS(B1401-C1401)&lt;0.005,"一致","不一致"))</x:f>
        <x:v>AmountIncludingTax缺失</x:v>
      </x:c>
      <x:c r="F1401" s="19" t="str">
        <x:v>approved</x:v>
      </x:c>
      <x:c r="G1401" s="19" t="str">
        <x:v>Repairer Invoiced Processed</x:v>
      </x:c>
      <x:c r="H1401" s="19" t="str">
        <x:v>In Field</x:v>
      </x:c>
      <x:c r="I1401" s="37" t="n">
        <x:v>46150</x:v>
      </x:c>
      <x:c r="J1401" s="37" t="n">
        <x:v>46150</x:v>
      </x:c>
      <x:c r="K1401" s="19" t="str">
        <x:v>Green RV - Forest Glen</x:v>
      </x:c>
      <x:c r="L1401" s="19" t="str">
        <x:v>Z006</x:v>
      </x:c>
      <x:c r="M1401" s="19" t="str">
        <x:v>In Field Warranty Claims</x:v>
      </x:c>
      <x:c r="N1401" s="37" t="n">
        <x:v>46150</x:v>
      </x:c>
      <x:c r="O1401" s="37"/>
      <x:c r="P1401" s="34" t="n">
        <x:v>0</x:v>
      </x:c>
      <x:c r="Q1401" s="37" t="n">
        <x:v>46150.16753472222</x:v>
      </x:c>
    </x:row>
    <x:row r="1402">
      <x:c r="A1402" s="22" t="n">
        <x:v>34664</x:v>
      </x:c>
      <x:c r="B1402" s="28" t="n">
        <x:v>280</x:v>
      </x:c>
      <x:c r="C1402" s="28"/>
      <x:c r="D1402" s="31" t="str">
        <x:f>IF(OR(ISBLANK(B1402),ISBLANK(C1402),B1402=0),"",(C1402-B1402)/B1402)</x:f>
      </x:c>
      <x:c r="E1402" s="22" t="str">
        <x:f>IF(ISBLANK(C1402),"AmountIncludingTax缺失",IF(ABS(B1402-C1402)&lt;0.005,"一致","不一致"))</x:f>
        <x:v>AmountIncludingTax缺失</x:v>
      </x:c>
      <x:c r="F1402" s="19" t="str">
        <x:v>approved</x:v>
      </x:c>
      <x:c r="G1402" s="19" t="str">
        <x:v>Repair in Progress</x:v>
      </x:c>
      <x:c r="H1402" s="19" t="str">
        <x:v>In Field</x:v>
      </x:c>
      <x:c r="I1402" s="37" t="n">
        <x:v>46169</x:v>
      </x:c>
      <x:c r="J1402" s="37" t="n">
        <x:v>46169</x:v>
      </x:c>
      <x:c r="K1402" s="19" t="str">
        <x:v>Green RV - Forest Glen</x:v>
      </x:c>
      <x:c r="L1402" s="19" t="str">
        <x:v>Z006</x:v>
      </x:c>
      <x:c r="M1402" s="19" t="str">
        <x:v>In Field Warranty Claims</x:v>
      </x:c>
      <x:c r="N1402" s="37" t="n">
        <x:v>46150</x:v>
      </x:c>
      <x:c r="O1402" s="37"/>
      <x:c r="P1402" s="34" t="n">
        <x:v>0</x:v>
      </x:c>
      <x:c r="Q1402" s="37" t="n">
        <x:v>46169.07576388889</x:v>
      </x:c>
    </x:row>
    <x:row r="1403">
      <x:c r="A1403" s="22" t="n">
        <x:v>34663</x:v>
      </x:c>
      <x:c r="B1403" s="28" t="n">
        <x:v>270</x:v>
      </x:c>
      <x:c r="C1403" s="28"/>
      <x:c r="D1403" s="31" t="str">
        <x:f>IF(OR(ISBLANK(B1403),ISBLANK(C1403),B1403=0),"",(C1403-B1403)/B1403)</x:f>
      </x:c>
      <x:c r="E1403" s="22" t="str">
        <x:f>IF(ISBLANK(C1403),"AmountIncludingTax缺失",IF(ABS(B1403-C1403)&lt;0.005,"一致","不一致"))</x:f>
        <x:v>AmountIncludingTax缺失</x:v>
      </x:c>
      <x:c r="F1403" s="19" t="str">
        <x:v>approved</x:v>
      </x:c>
      <x:c r="G1403" s="19" t="str">
        <x:v>Repair in Progress</x:v>
      </x:c>
      <x:c r="H1403" s="19" t="str">
        <x:v>In Field</x:v>
      </x:c>
      <x:c r="I1403" s="37" t="n">
        <x:v>46176</x:v>
      </x:c>
      <x:c r="J1403" s="37" t="n">
        <x:v>46176</x:v>
      </x:c>
      <x:c r="K1403" s="19" t="str">
        <x:v>Auswide Caravans - South Nowra</x:v>
      </x:c>
      <x:c r="L1403" s="19" t="str">
        <x:v>Z006</x:v>
      </x:c>
      <x:c r="M1403" s="19" t="str">
        <x:v>In Field Warranty Claims</x:v>
      </x:c>
      <x:c r="N1403" s="37" t="n">
        <x:v>46150</x:v>
      </x:c>
      <x:c r="O1403" s="37"/>
      <x:c r="P1403" s="34" t="n">
        <x:v>0</x:v>
      </x:c>
      <x:c r="Q1403" s="37" t="n">
        <x:v>46176.147314814814</x:v>
      </x:c>
    </x:row>
    <x:row r="1404">
      <x:c r="A1404" s="22" t="n">
        <x:v>34662</x:v>
      </x:c>
      <x:c r="B1404" s="28" t="n">
        <x:v>1130</x:v>
      </x:c>
      <x:c r="C1404" s="28"/>
      <x:c r="D1404" s="31" t="str">
        <x:f>IF(OR(ISBLANK(B1404),ISBLANK(C1404),B1404=0),"",(C1404-B1404)/B1404)</x:f>
      </x:c>
      <x:c r="E1404" s="22" t="str">
        <x:f>IF(ISBLANK(C1404),"AmountIncludingTax缺失",IF(ABS(B1404-C1404)&lt;0.005,"一致","不一致"))</x:f>
        <x:v>AmountIncludingTax缺失</x:v>
      </x:c>
      <x:c r="F1404" s="19" t="str">
        <x:v>approved</x:v>
      </x:c>
      <x:c r="G1404" s="19" t="str">
        <x:v>Repair in Progress</x:v>
      </x:c>
      <x:c r="H1404" s="19" t="str">
        <x:v>In Field</x:v>
      </x:c>
      <x:c r="I1404" s="37" t="n">
        <x:v>46156</x:v>
      </x:c>
      <x:c r="J1404" s="37" t="n">
        <x:v>46156</x:v>
      </x:c>
      <x:c r="K1404" s="19" t="str">
        <x:v>Regent RV - Perth</x:v>
      </x:c>
      <x:c r="L1404" s="19" t="str">
        <x:v>Z006</x:v>
      </x:c>
      <x:c r="M1404" s="19" t="str">
        <x:v>In Field Warranty Claims</x:v>
      </x:c>
      <x:c r="N1404" s="37" t="n">
        <x:v>46150</x:v>
      </x:c>
      <x:c r="O1404" s="37"/>
      <x:c r="P1404" s="34" t="n">
        <x:v>0</x:v>
      </x:c>
      <x:c r="Q1404" s="37" t="n">
        <x:v>46156.160995370374</x:v>
      </x:c>
    </x:row>
    <x:row r="1405">
      <x:c r="A1405" s="22" t="n">
        <x:v>34660</x:v>
      </x:c>
      <x:c r="B1405" s="28" t="n">
        <x:v>67.5</x:v>
      </x:c>
      <x:c r="C1405" s="28"/>
      <x:c r="D1405" s="31" t="str">
        <x:f>IF(OR(ISBLANK(B1405),ISBLANK(C1405),B1405=0),"",(C1405-B1405)/B1405)</x:f>
      </x:c>
      <x:c r="E1405" s="22" t="str">
        <x:f>IF(ISBLANK(C1405),"AmountIncludingTax缺失",IF(ABS(B1405-C1405)&lt;0.005,"一致","不一致"))</x:f>
        <x:v>AmountIncludingTax缺失</x:v>
      </x:c>
      <x:c r="F1405" s="19" t="str">
        <x:v>approved</x:v>
      </x:c>
      <x:c r="G1405" s="19" t="str">
        <x:v>Sales Order Approved</x:v>
      </x:c>
      <x:c r="H1405" s="19" t="str">
        <x:v>In Field</x:v>
      </x:c>
      <x:c r="I1405" s="37" t="n">
        <x:v>46211</x:v>
      </x:c>
      <x:c r="J1405" s="37" t="n">
        <x:v>46211</x:v>
      </x:c>
      <x:c r="K1405" s="19" t="str">
        <x:v>Newcastle RV Super Centre - Beresfield</x:v>
      </x:c>
      <x:c r="L1405" s="19" t="str">
        <x:v>Z006</x:v>
      </x:c>
      <x:c r="M1405" s="19" t="str">
        <x:v>In Field Warranty Claims</x:v>
      </x:c>
      <x:c r="N1405" s="37" t="n">
        <x:v>46150</x:v>
      </x:c>
      <x:c r="O1405" s="37"/>
      <x:c r="P1405" s="34" t="n">
        <x:v>0</x:v>
      </x:c>
      <x:c r="Q1405" s="37" t="n">
        <x:v>46211.1877662037</x:v>
      </x:c>
    </x:row>
    <x:row r="1406">
      <x:c r="A1406" s="22" t="n">
        <x:v>34658</x:v>
      </x:c>
      <x:c r="B1406" s="28" t="n">
        <x:v>202.5</x:v>
      </x:c>
      <x:c r="C1406" s="28"/>
      <x:c r="D1406" s="31" t="str">
        <x:f>IF(OR(ISBLANK(B1406),ISBLANK(C1406),B1406=0),"",(C1406-B1406)/B1406)</x:f>
      </x:c>
      <x:c r="E1406" s="22" t="str">
        <x:f>IF(ISBLANK(C1406),"AmountIncludingTax缺失",IF(ABS(B1406-C1406)&lt;0.005,"一致","不一致"))</x:f>
        <x:v>AmountIncludingTax缺失</x:v>
      </x:c>
      <x:c r="F1406" s="19" t="str">
        <x:v>approved</x:v>
      </x:c>
      <x:c r="G1406" s="19" t="str">
        <x:v>Repair in Progress</x:v>
      </x:c>
      <x:c r="H1406" s="19" t="str">
        <x:v>In Field</x:v>
      </x:c>
      <x:c r="I1406" s="37" t="n">
        <x:v>46153</x:v>
      </x:c>
      <x:c r="J1406" s="37" t="n">
        <x:v>46153</x:v>
      </x:c>
      <x:c r="K1406" s="19" t="str">
        <x:v>Regent RV - Perth</x:v>
      </x:c>
      <x:c r="L1406" s="19" t="str">
        <x:v>Z006</x:v>
      </x:c>
      <x:c r="M1406" s="19" t="str">
        <x:v>In Field Warranty Claims</x:v>
      </x:c>
      <x:c r="N1406" s="37" t="n">
        <x:v>46150</x:v>
      </x:c>
      <x:c r="O1406" s="37"/>
      <x:c r="P1406" s="34" t="n">
        <x:v>0</x:v>
      </x:c>
      <x:c r="Q1406" s="37" t="n">
        <x:v>46153.05011574074</x:v>
      </x:c>
    </x:row>
    <x:row r="1407">
      <x:c r="A1407" s="22" t="n">
        <x:v>34657</x:v>
      </x:c>
      <x:c r="B1407" s="28" t="n">
        <x:v>340</x:v>
      </x:c>
      <x:c r="C1407" s="28"/>
      <x:c r="D1407" s="31" t="str">
        <x:f>IF(OR(ISBLANK(B1407),ISBLANK(C1407),B1407=0),"",(C1407-B1407)/B1407)</x:f>
      </x:c>
      <x:c r="E1407" s="22" t="str">
        <x:f>IF(ISBLANK(C1407),"AmountIncludingTax缺失",IF(ABS(B1407-C1407)&lt;0.005,"一致","不一致"))</x:f>
        <x:v>AmountIncludingTax缺失</x:v>
      </x:c>
      <x:c r="F1407" s="19" t="str">
        <x:v>approved</x:v>
      </x:c>
      <x:c r="G1407" s="19" t="str">
        <x:v>Repairer Invoiced Processed</x:v>
      </x:c>
      <x:c r="H1407" s="19" t="str">
        <x:v>In Field</x:v>
      </x:c>
      <x:c r="I1407" s="37" t="n">
        <x:v>46157</x:v>
      </x:c>
      <x:c r="J1407" s="37" t="n">
        <x:v>46183</x:v>
      </x:c>
      <x:c r="K1407" s="19" t="str">
        <x:v>Regent RV - Toowoomba</x:v>
      </x:c>
      <x:c r="L1407" s="19" t="str">
        <x:v>Z006</x:v>
      </x:c>
      <x:c r="M1407" s="19" t="str">
        <x:v>In Field Warranty Claims</x:v>
      </x:c>
      <x:c r="N1407" s="37" t="n">
        <x:v>46150</x:v>
      </x:c>
      <x:c r="O1407" s="37"/>
      <x:c r="P1407" s="34" t="n">
        <x:v>0</x:v>
      </x:c>
      <x:c r="Q1407" s="37" t="n">
        <x:v>46157.09885416667</x:v>
      </x:c>
    </x:row>
    <x:row r="1408">
      <x:c r="A1408" s="22" t="n">
        <x:v>34656</x:v>
      </x:c>
      <x:c r="B1408" s="28" t="n">
        <x:v>1588.8</x:v>
      </x:c>
      <x:c r="C1408" s="28"/>
      <x:c r="D1408" s="31" t="str">
        <x:f>IF(OR(ISBLANK(B1408),ISBLANK(C1408),B1408=0),"",(C1408-B1408)/B1408)</x:f>
      </x:c>
      <x:c r="E1408" s="22" t="str">
        <x:f>IF(ISBLANK(C1408),"AmountIncludingTax缺失",IF(ABS(B1408-C1408)&lt;0.005,"一致","不一致"))</x:f>
        <x:v>AmountIncludingTax缺失</x:v>
      </x:c>
      <x:c r="F1408" s="19" t="str">
        <x:v>approved</x:v>
      </x:c>
      <x:c r="G1408" s="19" t="str">
        <x:v>Repair in Progress</x:v>
      </x:c>
      <x:c r="H1408" s="19" t="str">
        <x:v>Pre Delivery</x:v>
      </x:c>
      <x:c r="I1408" s="37" t="n">
        <x:v>46154</x:v>
      </x:c>
      <x:c r="J1408" s="37" t="n">
        <x:v>46154</x:v>
      </x:c>
      <x:c r="K1408" s="19" t="str">
        <x:v>Vanari Caravans - Marden Point</x:v>
      </x:c>
      <x:c r="L1408" s="19" t="str">
        <x:v>Z005</x:v>
      </x:c>
      <x:c r="M1408" s="19" t="str">
        <x:v>Pre Delivery Warranty Claims</x:v>
      </x:c>
      <x:c r="N1408" s="37" t="n">
        <x:v>46150</x:v>
      </x:c>
      <x:c r="O1408" s="37"/>
      <x:c r="P1408" s="34" t="n">
        <x:v>1438.5</x:v>
      </x:c>
      <x:c r="Q1408" s="37" t="n">
        <x:v>46154.23515046296</x:v>
      </x:c>
    </x:row>
    <x:row r="1409">
      <x:c r="A1409" s="22" t="n">
        <x:v>34655</x:v>
      </x:c>
      <x:c r="B1409" s="28" t="n">
        <x:v>101.25</x:v>
      </x:c>
      <x:c r="C1409" s="28"/>
      <x:c r="D1409" s="31" t="str">
        <x:f>IF(OR(ISBLANK(B1409),ISBLANK(C1409),B1409=0),"",(C1409-B1409)/B1409)</x:f>
      </x:c>
      <x:c r="E1409" s="22" t="str">
        <x:f>IF(ISBLANK(C1409),"AmountIncludingTax缺失",IF(ABS(B1409-C1409)&lt;0.005,"一致","不一致"))</x:f>
        <x:v>AmountIncludingTax缺失</x:v>
      </x:c>
      <x:c r="F1409" s="19" t="str">
        <x:v>approved</x:v>
      </x:c>
      <x:c r="G1409" s="19" t="str">
        <x:v>Sales Order Approved</x:v>
      </x:c>
      <x:c r="H1409" s="19" t="str">
        <x:v>Pre Delivery</x:v>
      </x:c>
      <x:c r="I1409" s="37" t="n">
        <x:v>46184</x:v>
      </x:c>
      <x:c r="J1409" s="37" t="n">
        <x:v>46184</x:v>
      </x:c>
      <x:c r="K1409" s="19" t="str">
        <x:v>Green RV - Forest Glen</x:v>
      </x:c>
      <x:c r="L1409" s="19" t="str">
        <x:v>Z005</x:v>
      </x:c>
      <x:c r="M1409" s="19" t="str">
        <x:v>Pre Delivery Warranty Claims</x:v>
      </x:c>
      <x:c r="N1409" s="37" t="n">
        <x:v>46150</x:v>
      </x:c>
      <x:c r="O1409" s="37"/>
      <x:c r="P1409" s="34" t="n">
        <x:v>0</x:v>
      </x:c>
      <x:c r="Q1409" s="37" t="n">
        <x:v>46184.04958333333</x:v>
      </x:c>
    </x:row>
    <x:row r="1410">
      <x:c r="A1410" s="22" t="n">
        <x:v>34653</x:v>
      </x:c>
      <x:c r="B1410" s="28" t="n">
        <x:v>1027.5</x:v>
      </x:c>
      <x:c r="C1410" s="28" t="n">
        <x:v>930.3</x:v>
      </x:c>
      <x:c r="D1410" s="31" t="n">
        <x:f>IF(OR(ISBLANK(B1410),ISBLANK(C1410),B1410=0),"",(C1410-B1410)/B1410)</x:f>
        <x:v>-0.09459854014598544</x:v>
      </x:c>
      <x:c r="E1410" s="22" t="str">
        <x:f>IF(ISBLANK(C1410),"AmountIncludingTax缺失",IF(ABS(B1410-C1410)&lt;0.005,"一致","不一致"))</x:f>
        <x:v>不一致</x:v>
      </x:c>
      <x:c r="F1410" s="19" t="str">
        <x:v>approved</x:v>
      </x:c>
      <x:c r="G1410" s="19" t="str">
        <x:v>Repairer Invoiced Processed</x:v>
      </x:c>
      <x:c r="H1410" s="19" t="str">
        <x:v>In Field</x:v>
      </x:c>
      <x:c r="I1410" s="37" t="n">
        <x:v>46161</x:v>
      </x:c>
      <x:c r="J1410" s="37" t="n">
        <x:v>46161</x:v>
      </x:c>
      <x:c r="K1410" s="19" t="str">
        <x:v>Vanari Caravans - Marden Point</x:v>
      </x:c>
      <x:c r="L1410" s="19" t="str">
        <x:v>Z006</x:v>
      </x:c>
      <x:c r="M1410" s="19" t="str">
        <x:v>In Field Warranty Claims</x:v>
      </x:c>
      <x:c r="N1410" s="37" t="n">
        <x:v>46150</x:v>
      </x:c>
      <x:c r="O1410" s="37"/>
      <x:c r="P1410" s="34" t="n">
        <x:v>930.3</x:v>
      </x:c>
      <x:c r="Q1410" s="37" t="n">
        <x:v>46161.535787037035</x:v>
      </x:c>
    </x:row>
    <x:row r="1411">
      <x:c r="A1411" s="22" t="n">
        <x:v>34651</x:v>
      </x:c>
      <x:c r="B1411" s="28" t="n">
        <x:v>33.75</x:v>
      </x:c>
      <x:c r="C1411" s="28"/>
      <x:c r="D1411" s="31" t="str">
        <x:f>IF(OR(ISBLANK(B1411),ISBLANK(C1411),B1411=0),"",(C1411-B1411)/B1411)</x:f>
      </x:c>
      <x:c r="E1411" s="22" t="str">
        <x:f>IF(ISBLANK(C1411),"AmountIncludingTax缺失",IF(ABS(B1411-C1411)&lt;0.005,"一致","不一致"))</x:f>
        <x:v>AmountIncludingTax缺失</x:v>
      </x:c>
      <x:c r="F1411" s="19" t="str">
        <x:v>approved</x:v>
      </x:c>
      <x:c r="G1411" s="19" t="str">
        <x:v>Sales Order Approved</x:v>
      </x:c>
      <x:c r="H1411" s="19" t="str">
        <x:v>Pre Delivery</x:v>
      </x:c>
      <x:c r="I1411" s="37" t="n">
        <x:v>46183</x:v>
      </x:c>
      <x:c r="J1411" s="37" t="n">
        <x:v>46183</x:v>
      </x:c>
      <x:c r="K1411" s="19" t="str">
        <x:v>Green RV - Forest Glen</x:v>
      </x:c>
      <x:c r="L1411" s="19" t="str">
        <x:v>Z005</x:v>
      </x:c>
      <x:c r="M1411" s="19" t="str">
        <x:v>Pre Delivery Warranty Claims</x:v>
      </x:c>
      <x:c r="N1411" s="37" t="n">
        <x:v>46150</x:v>
      </x:c>
      <x:c r="O1411" s="37"/>
      <x:c r="P1411" s="34" t="n">
        <x:v>0</x:v>
      </x:c>
      <x:c r="Q1411" s="37" t="n">
        <x:v>46183.154340277775</x:v>
      </x:c>
    </x:row>
    <x:row r="1412">
      <x:c r="A1412" s="22" t="n">
        <x:v>34648</x:v>
      </x:c>
      <x:c r="B1412" s="28" t="n">
        <x:v>236.25</x:v>
      </x:c>
      <x:c r="C1412" s="28"/>
      <x:c r="D1412" s="31" t="str">
        <x:f>IF(OR(ISBLANK(B1412),ISBLANK(C1412),B1412=0),"",(C1412-B1412)/B1412)</x:f>
      </x:c>
      <x:c r="E1412" s="22" t="str">
        <x:f>IF(ISBLANK(C1412),"AmountIncludingTax缺失",IF(ABS(B1412-C1412)&lt;0.005,"一致","不一致"))</x:f>
        <x:v>AmountIncludingTax缺失</x:v>
      </x:c>
      <x:c r="F1412" s="19" t="str">
        <x:v>approved</x:v>
      </x:c>
      <x:c r="G1412" s="19" t="str">
        <x:v>Repair in Progress</x:v>
      </x:c>
      <x:c r="H1412" s="19" t="str">
        <x:v>In Field</x:v>
      </x:c>
      <x:c r="I1412" s="37" t="n">
        <x:v>46161</x:v>
      </x:c>
      <x:c r="J1412" s="37" t="n">
        <x:v>46161</x:v>
      </x:c>
      <x:c r="K1412" s="19" t="str">
        <x:v>Destiny RV - South Australia</x:v>
      </x:c>
      <x:c r="L1412" s="19" t="str">
        <x:v>Z006</x:v>
      </x:c>
      <x:c r="M1412" s="19" t="str">
        <x:v>In Field Warranty Claims</x:v>
      </x:c>
      <x:c r="N1412" s="37" t="n">
        <x:v>46150</x:v>
      </x:c>
      <x:c r="O1412" s="37"/>
      <x:c r="P1412" s="34" t="n">
        <x:v>0</x:v>
      </x:c>
      <x:c r="Q1412" s="37" t="n">
        <x:v>46161.52787037037</x:v>
      </x:c>
    </x:row>
    <x:row r="1413">
      <x:c r="A1413" s="22" t="n">
        <x:v>34647</x:v>
      </x:c>
      <x:c r="B1413" s="28" t="n">
        <x:v>101.25</x:v>
      </x:c>
      <x:c r="C1413" s="28"/>
      <x:c r="D1413" s="31" t="str">
        <x:f>IF(OR(ISBLANK(B1413),ISBLANK(C1413),B1413=0),"",(C1413-B1413)/B1413)</x:f>
      </x:c>
      <x:c r="E1413" s="22" t="str">
        <x:f>IF(ISBLANK(C1413),"AmountIncludingTax缺失",IF(ABS(B1413-C1413)&lt;0.005,"一致","不一致"))</x:f>
        <x:v>AmountIncludingTax缺失</x:v>
      </x:c>
      <x:c r="F1413" s="19" t="str">
        <x:v>approved</x:v>
      </x:c>
      <x:c r="G1413" s="19" t="str">
        <x:v>Sales Order Approved</x:v>
      </x:c>
      <x:c r="H1413" s="19" t="str">
        <x:v>Pre Delivery</x:v>
      </x:c>
      <x:c r="I1413" s="37" t="n">
        <x:v>46161</x:v>
      </x:c>
      <x:c r="J1413" s="37" t="n">
        <x:v>46161</x:v>
      </x:c>
      <x:c r="K1413" s="19" t="str">
        <x:v>Snowy River Wangaratta</x:v>
      </x:c>
      <x:c r="L1413" s="19" t="str">
        <x:v>Z005</x:v>
      </x:c>
      <x:c r="M1413" s="19" t="str">
        <x:v>Pre Delivery Warranty Claims</x:v>
      </x:c>
      <x:c r="N1413" s="37" t="n">
        <x:v>46149</x:v>
      </x:c>
      <x:c r="O1413" s="37"/>
      <x:c r="P1413" s="34" t="n">
        <x:v>0</x:v>
      </x:c>
      <x:c r="Q1413" s="37" t="n">
        <x:v>46161.209444444445</x:v>
      </x:c>
    </x:row>
    <x:row r="1414">
      <x:c r="A1414" s="22" t="n">
        <x:v>34646</x:v>
      </x:c>
      <x:c r="B1414" s="28" t="n">
        <x:v>207.5</x:v>
      </x:c>
      <x:c r="C1414" s="28"/>
      <x:c r="D1414" s="31" t="str">
        <x:f>IF(OR(ISBLANK(B1414),ISBLANK(C1414),B1414=0),"",(C1414-B1414)/B1414)</x:f>
      </x:c>
      <x:c r="E1414" s="22" t="str">
        <x:f>IF(ISBLANK(C1414),"AmountIncludingTax缺失",IF(ABS(B1414-C1414)&lt;0.005,"一致","不一致"))</x:f>
        <x:v>AmountIncludingTax缺失</x:v>
      </x:c>
      <x:c r="F1414" s="19" t="str">
        <x:v>approved</x:v>
      </x:c>
      <x:c r="G1414" s="19" t="str">
        <x:v>Sales Order Approved</x:v>
      </x:c>
      <x:c r="H1414" s="19" t="str">
        <x:v>In Field</x:v>
      </x:c>
      <x:c r="I1414" s="37" t="n">
        <x:v>46176</x:v>
      </x:c>
      <x:c r="J1414" s="37" t="n">
        <x:v>46176</x:v>
      </x:c>
      <x:c r="K1414" s="19" t="str">
        <x:v>Green RV - Forest Glen</x:v>
      </x:c>
      <x:c r="L1414" s="19" t="str">
        <x:v>Z006</x:v>
      </x:c>
      <x:c r="M1414" s="19" t="str">
        <x:v>In Field Warranty Claims</x:v>
      </x:c>
      <x:c r="N1414" s="37" t="n">
        <x:v>46149</x:v>
      </x:c>
      <x:c r="O1414" s="37"/>
      <x:c r="P1414" s="34" t="n">
        <x:v>0</x:v>
      </x:c>
      <x:c r="Q1414" s="37" t="n">
        <x:v>46176.02584490741</x:v>
      </x:c>
    </x:row>
    <x:row r="1415">
      <x:c r="A1415" s="22" t="n">
        <x:v>34645</x:v>
      </x:c>
      <x:c r="B1415" s="28" t="n">
        <x:v>543.75</x:v>
      </x:c>
      <x:c r="C1415" s="28"/>
      <x:c r="D1415" s="31" t="str">
        <x:f>IF(OR(ISBLANK(B1415),ISBLANK(C1415),B1415=0),"",(C1415-B1415)/B1415)</x:f>
      </x:c>
      <x:c r="E1415" s="22" t="str">
        <x:f>IF(ISBLANK(C1415),"AmountIncludingTax缺失",IF(ABS(B1415-C1415)&lt;0.005,"一致","不一致"))</x:f>
        <x:v>AmountIncludingTax缺失</x:v>
      </x:c>
      <x:c r="F1415" s="19" t="str">
        <x:v>approved</x:v>
      </x:c>
      <x:c r="G1415" s="19" t="str">
        <x:v>Repair in Progress</x:v>
      </x:c>
      <x:c r="H1415" s="19" t="str">
        <x:v>In Field</x:v>
      </x:c>
      <x:c r="I1415" s="37" t="n">
        <x:v>46150</x:v>
      </x:c>
      <x:c r="J1415" s="37" t="n">
        <x:v>46150</x:v>
      </x:c>
      <x:c r="K1415" s="19" t="str">
        <x:v>Regent RV - Toowoomba</x:v>
      </x:c>
      <x:c r="L1415" s="19" t="str">
        <x:v>Z006</x:v>
      </x:c>
      <x:c r="M1415" s="19" t="str">
        <x:v>In Field Warranty Claims</x:v>
      </x:c>
      <x:c r="N1415" s="37" t="n">
        <x:v>46149</x:v>
      </x:c>
      <x:c r="O1415" s="37"/>
      <x:c r="P1415" s="34" t="n">
        <x:v>0</x:v>
      </x:c>
      <x:c r="Q1415" s="37" t="n">
        <x:v>46150.199016203704</x:v>
      </x:c>
    </x:row>
    <x:row r="1416">
      <x:c r="A1416" s="22" t="n">
        <x:v>34644</x:v>
      </x:c>
      <x:c r="B1416" s="28" t="n">
        <x:v>495</x:v>
      </x:c>
      <x:c r="C1416" s="28"/>
      <x:c r="D1416" s="31" t="str">
        <x:f>IF(OR(ISBLANK(B1416),ISBLANK(C1416),B1416=0),"",(C1416-B1416)/B1416)</x:f>
      </x:c>
      <x:c r="E1416" s="22" t="str">
        <x:f>IF(ISBLANK(C1416),"AmountIncludingTax缺失",IF(ABS(B1416-C1416)&lt;0.005,"一致","不一致"))</x:f>
        <x:v>AmountIncludingTax缺失</x:v>
      </x:c>
      <x:c r="F1416" s="19" t="str">
        <x:v>approved</x:v>
      </x:c>
      <x:c r="G1416" s="19" t="str">
        <x:v>Sales Order Approved</x:v>
      </x:c>
      <x:c r="H1416" s="19" t="str">
        <x:v>Pre Delivery</x:v>
      </x:c>
      <x:c r="I1416" s="37" t="n">
        <x:v>46155</x:v>
      </x:c>
      <x:c r="J1416" s="37" t="n">
        <x:v>46155</x:v>
      </x:c>
      <x:c r="K1416" s="19" t="str">
        <x:v>Vanari Caravans - Marden Point</x:v>
      </x:c>
      <x:c r="L1416" s="19" t="str">
        <x:v>Z005</x:v>
      </x:c>
      <x:c r="M1416" s="19" t="str">
        <x:v>Pre Delivery Warranty Claims</x:v>
      </x:c>
      <x:c r="N1416" s="37" t="n">
        <x:v>46149</x:v>
      </x:c>
      <x:c r="O1416" s="37"/>
      <x:c r="P1416" s="34" t="n">
        <x:v>0</x:v>
      </x:c>
      <x:c r="Q1416" s="37" t="n">
        <x:v>46155.501805555556</x:v>
      </x:c>
    </x:row>
    <x:row r="1417">
      <x:c r="A1417" s="22" t="n">
        <x:v>34640</x:v>
      </x:c>
      <x:c r="B1417" s="28" t="n">
        <x:v>569.26</x:v>
      </x:c>
      <x:c r="C1417" s="28" t="n">
        <x:v>515.41</x:v>
      </x:c>
      <x:c r="D1417" s="31" t="n">
        <x:f>IF(OR(ISBLANK(B1417),ISBLANK(C1417),B1417=0),"",(C1417-B1417)/B1417)</x:f>
        <x:v>-0.09459649369356712</x:v>
      </x:c>
      <x:c r="E1417" s="22" t="str">
        <x:f>IF(ISBLANK(C1417),"AmountIncludingTax缺失",IF(ABS(B1417-C1417)&lt;0.005,"一致","不一致"))</x:f>
        <x:v>不一致</x:v>
      </x:c>
      <x:c r="F1417" s="19" t="str">
        <x:v>approved</x:v>
      </x:c>
      <x:c r="G1417" s="19" t="str">
        <x:v>Repair in Progress</x:v>
      </x:c>
      <x:c r="H1417" s="19" t="str">
        <x:v>In Field</x:v>
      </x:c>
      <x:c r="I1417" s="37" t="n">
        <x:v>46150</x:v>
      </x:c>
      <x:c r="J1417" s="37" t="n">
        <x:v>46150</x:v>
      </x:c>
      <x:c r="K1417" s="19" t="str">
        <x:v>Vanari Caravans - Marden Point</x:v>
      </x:c>
      <x:c r="L1417" s="19" t="str">
        <x:v>Z006</x:v>
      </x:c>
      <x:c r="M1417" s="19" t="str">
        <x:v>In Field Warranty Claims</x:v>
      </x:c>
      <x:c r="N1417" s="37" t="n">
        <x:v>46150</x:v>
      </x:c>
      <x:c r="O1417" s="37"/>
      <x:c r="P1417" s="34" t="n">
        <x:v>515.41</x:v>
      </x:c>
      <x:c r="Q1417" s="37" t="n">
        <x:v>46150.06039351852</x:v>
      </x:c>
    </x:row>
    <x:row r="1418">
      <x:c r="A1418" s="22" t="n">
        <x:v>34639</x:v>
      </x:c>
      <x:c r="B1418" s="28" t="n">
        <x:v>133.84</x:v>
      </x:c>
      <x:c r="C1418" s="28" t="n">
        <x:v>147.22</x:v>
      </x:c>
      <x:c r="D1418" s="31" t="n">
        <x:f>IF(OR(ISBLANK(B1418),ISBLANK(C1418),B1418=0),"",(C1418-B1418)/B1418)</x:f>
        <x:v>0.09997011356843989</x:v>
      </x:c>
      <x:c r="E1418" s="22" t="str">
        <x:f>IF(ISBLANK(C1418),"AmountIncludingTax缺失",IF(ABS(B1418-C1418)&lt;0.005,"一致","不一致"))</x:f>
        <x:v>不一致</x:v>
      </x:c>
      <x:c r="F1418" s="19" t="str">
        <x:v>approved</x:v>
      </x:c>
      <x:c r="G1418" s="19" t="str">
        <x:v>Repair in Progress</x:v>
      </x:c>
      <x:c r="H1418" s="19" t="str">
        <x:v>In Field</x:v>
      </x:c>
      <x:c r="I1418" s="37" t="n">
        <x:v>46153</x:v>
      </x:c>
      <x:c r="J1418" s="37" t="n">
        <x:v>46153</x:v>
      </x:c>
      <x:c r="K1418" s="19" t="str">
        <x:v>Regent RV - Frankston</x:v>
      </x:c>
      <x:c r="L1418" s="19" t="str">
        <x:v>Z006</x:v>
      </x:c>
      <x:c r="M1418" s="19" t="str">
        <x:v>In Field Warranty Claims</x:v>
      </x:c>
      <x:c r="N1418" s="37" t="n">
        <x:v>46150</x:v>
      </x:c>
      <x:c r="O1418" s="37"/>
      <x:c r="P1418" s="34" t="n">
        <x:v>147.22</x:v>
      </x:c>
      <x:c r="Q1418" s="37" t="n">
        <x:v>46153.1641087963</x:v>
      </x:c>
    </x:row>
    <x:row r="1419">
      <x:c r="A1419" s="22" t="n">
        <x:v>34637</x:v>
      </x:c>
      <x:c r="B1419" s="28" t="n">
        <x:v>425.35</x:v>
      </x:c>
      <x:c r="C1419" s="28" t="n">
        <x:v>467.89</x:v>
      </x:c>
      <x:c r="D1419" s="31" t="n">
        <x:f>IF(OR(ISBLANK(B1419),ISBLANK(C1419),B1419=0),"",(C1419-B1419)/B1419)</x:f>
        <x:v>0.10001175502527321</x:v>
      </x:c>
      <x:c r="E1419" s="22" t="str">
        <x:f>IF(ISBLANK(C1419),"AmountIncludingTax缺失",IF(ABS(B1419-C1419)&lt;0.005,"一致","不一致"))</x:f>
        <x:v>不一致</x:v>
      </x:c>
      <x:c r="F1419" s="19" t="str">
        <x:v>approved</x:v>
      </x:c>
      <x:c r="G1419" s="19" t="str">
        <x:v>Repairer Invoiced Processed</x:v>
      </x:c>
      <x:c r="H1419" s="19" t="str">
        <x:v>In Field</x:v>
      </x:c>
      <x:c r="I1419" s="37" t="n">
        <x:v>46160</x:v>
      </x:c>
      <x:c r="J1419" s="37" t="n">
        <x:v>46160</x:v>
      </x:c>
      <x:c r="K1419" s="19" t="str">
        <x:v>Snowy River Wangaratta</x:v>
      </x:c>
      <x:c r="L1419" s="19" t="str">
        <x:v>Z006</x:v>
      </x:c>
      <x:c r="M1419" s="19" t="str">
        <x:v>In Field Warranty Claims</x:v>
      </x:c>
      <x:c r="N1419" s="37" t="n">
        <x:v>46150</x:v>
      </x:c>
      <x:c r="O1419" s="37"/>
      <x:c r="P1419" s="34" t="n">
        <x:v>467.89</x:v>
      </x:c>
      <x:c r="Q1419" s="37" t="n">
        <x:v>46160.1244212963</x:v>
      </x:c>
    </x:row>
    <x:row r="1420">
      <x:c r="A1420" s="22" t="n">
        <x:v>34620</x:v>
      </x:c>
      <x:c r="B1420" s="28" t="n">
        <x:v>67.5</x:v>
      </x:c>
      <x:c r="C1420" s="28"/>
      <x:c r="D1420" s="31" t="str">
        <x:f>IF(OR(ISBLANK(B1420),ISBLANK(C1420),B1420=0),"",(C1420-B1420)/B1420)</x:f>
      </x:c>
      <x:c r="E1420" s="22" t="str">
        <x:f>IF(ISBLANK(C1420),"AmountIncludingTax缺失",IF(ABS(B1420-C1420)&lt;0.005,"一致","不一致"))</x:f>
        <x:v>AmountIncludingTax缺失</x:v>
      </x:c>
      <x:c r="F1420" s="19" t="str">
        <x:v>approved</x:v>
      </x:c>
      <x:c r="G1420" s="19" t="str">
        <x:v>Sales Order Approved</x:v>
      </x:c>
      <x:c r="H1420" s="19" t="str">
        <x:v>Pre Delivery</x:v>
      </x:c>
      <x:c r="I1420" s="37" t="n">
        <x:v>46211</x:v>
      </x:c>
      <x:c r="J1420" s="37" t="n">
        <x:v>46211</x:v>
      </x:c>
      <x:c r="K1420" s="19" t="str">
        <x:v>Green RV - Forest Glen</x:v>
      </x:c>
      <x:c r="L1420" s="19" t="str">
        <x:v>Z005</x:v>
      </x:c>
      <x:c r="M1420" s="19" t="str">
        <x:v>Pre Delivery Warranty Claims</x:v>
      </x:c>
      <x:c r="N1420" s="37" t="n">
        <x:v>46150</x:v>
      </x:c>
      <x:c r="O1420" s="37"/>
      <x:c r="P1420" s="34" t="n">
        <x:v>0</x:v>
      </x:c>
      <x:c r="Q1420" s="37" t="n">
        <x:v>46210.89114583333</x:v>
      </x:c>
    </x:row>
    <x:row r="1421">
      <x:c r="A1421" s="22" t="n">
        <x:v>34619</x:v>
      </x:c>
      <x:c r="B1421" s="28" t="n">
        <x:v>1167.5</x:v>
      </x:c>
      <x:c r="C1421" s="28"/>
      <x:c r="D1421" s="31" t="str">
        <x:f>IF(OR(ISBLANK(B1421),ISBLANK(C1421),B1421=0),"",(C1421-B1421)/B1421)</x:f>
      </x:c>
      <x:c r="E1421" s="22" t="str">
        <x:f>IF(ISBLANK(C1421),"AmountIncludingTax缺失",IF(ABS(B1421-C1421)&lt;0.005,"一致","不一致"))</x:f>
        <x:v>AmountIncludingTax缺失</x:v>
      </x:c>
      <x:c r="F1421" s="19" t="str">
        <x:v>approved</x:v>
      </x:c>
      <x:c r="G1421" s="19" t="str">
        <x:v>Repair in Progress</x:v>
      </x:c>
      <x:c r="H1421" s="19" t="str">
        <x:v>In Field</x:v>
      </x:c>
      <x:c r="I1421" s="37" t="n">
        <x:v>46150</x:v>
      </x:c>
      <x:c r="J1421" s="37" t="n">
        <x:v>46150</x:v>
      </x:c>
      <x:c r="K1421" s="19" t="str">
        <x:v>Regent RV - Toowoomba</x:v>
      </x:c>
      <x:c r="L1421" s="19" t="str">
        <x:v>Z006</x:v>
      </x:c>
      <x:c r="M1421" s="19" t="str">
        <x:v>In Field Warranty Claims</x:v>
      </x:c>
      <x:c r="N1421" s="37" t="n">
        <x:v>46150</x:v>
      </x:c>
      <x:c r="O1421" s="37"/>
      <x:c r="P1421" s="34" t="n">
        <x:v>0</x:v>
      </x:c>
      <x:c r="Q1421" s="37" t="n">
        <x:v>46150.20385416667</x:v>
      </x:c>
    </x:row>
    <x:row r="1422">
      <x:c r="A1422" s="22" t="n">
        <x:v>34618</x:v>
      </x:c>
      <x:c r="B1422" s="28" t="n">
        <x:v>122.5</x:v>
      </x:c>
      <x:c r="C1422" s="28"/>
      <x:c r="D1422" s="31" t="str">
        <x:f>IF(OR(ISBLANK(B1422),ISBLANK(C1422),B1422=0),"",(C1422-B1422)/B1422)</x:f>
      </x:c>
      <x:c r="E1422" s="22" t="str">
        <x:f>IF(ISBLANK(C1422),"AmountIncludingTax缺失",IF(ABS(B1422-C1422)&lt;0.005,"一致","不一致"))</x:f>
        <x:v>AmountIncludingTax缺失</x:v>
      </x:c>
      <x:c r="F1422" s="19" t="str">
        <x:v>approved</x:v>
      </x:c>
      <x:c r="G1422" s="19" t="str">
        <x:v>Sales Order Approved</x:v>
      </x:c>
      <x:c r="H1422" s="19" t="str">
        <x:v>Pre Delivery</x:v>
      </x:c>
      <x:c r="I1422" s="37" t="n">
        <x:v>46178</x:v>
      </x:c>
      <x:c r="J1422" s="37" t="n">
        <x:v>46178</x:v>
      </x:c>
      <x:c r="K1422" s="19" t="str">
        <x:v>Snowy River Wangaratta</x:v>
      </x:c>
      <x:c r="L1422" s="19" t="str">
        <x:v>Z005</x:v>
      </x:c>
      <x:c r="M1422" s="19" t="str">
        <x:v>Pre Delivery Warranty Claims</x:v>
      </x:c>
      <x:c r="N1422" s="37" t="n">
        <x:v>46150</x:v>
      </x:c>
      <x:c r="O1422" s="37"/>
      <x:c r="P1422" s="34" t="n">
        <x:v>0</x:v>
      </x:c>
      <x:c r="Q1422" s="37" t="n">
        <x:v>46178.13552083333</x:v>
      </x:c>
    </x:row>
    <x:row r="1423">
      <x:c r="A1423" s="22" t="n">
        <x:v>34617</x:v>
      </x:c>
      <x:c r="B1423" s="28" t="n">
        <x:v>101.25</x:v>
      </x:c>
      <x:c r="C1423" s="28" t="n">
        <x:v>111.38</x:v>
      </x:c>
      <x:c r="D1423" s="31" t="n">
        <x:f>IF(OR(ISBLANK(B1423),ISBLANK(C1423),B1423=0),"",(C1423-B1423)/B1423)</x:f>
        <x:v>0.10004938271604934</x:v>
      </x:c>
      <x:c r="E1423" s="22" t="str">
        <x:f>IF(ISBLANK(C1423),"AmountIncludingTax缺失",IF(ABS(B1423-C1423)&lt;0.005,"一致","不一致"))</x:f>
        <x:v>不一致</x:v>
      </x:c>
      <x:c r="F1423" s="19" t="str">
        <x:v>approved</x:v>
      </x:c>
      <x:c r="G1423" s="19" t="str">
        <x:v>Repair in Progress</x:v>
      </x:c>
      <x:c r="H1423" s="19" t="str">
        <x:v>Pre Delivery</x:v>
      </x:c>
      <x:c r="I1423" s="37" t="n">
        <x:v>46161</x:v>
      </x:c>
      <x:c r="J1423" s="37" t="n">
        <x:v>46161</x:v>
      </x:c>
      <x:c r="K1423" s="19" t="str">
        <x:v>Snowy River Wangaratta</x:v>
      </x:c>
      <x:c r="L1423" s="19" t="str">
        <x:v>Z005</x:v>
      </x:c>
      <x:c r="M1423" s="19" t="str">
        <x:v>Pre Delivery Warranty Claims</x:v>
      </x:c>
      <x:c r="N1423" s="37" t="n">
        <x:v>46149</x:v>
      </x:c>
      <x:c r="O1423" s="37"/>
      <x:c r="P1423" s="34" t="n">
        <x:v>111.38</x:v>
      </x:c>
      <x:c r="Q1423" s="37" t="n">
        <x:v>46161.206875</x:v>
      </x:c>
    </x:row>
    <x:row r="1424">
      <x:c r="A1424" s="22" t="n">
        <x:v>34616</x:v>
      </x:c>
      <x:c r="B1424" s="28" t="n">
        <x:v>1320</x:v>
      </x:c>
      <x:c r="C1424" s="28"/>
      <x:c r="D1424" s="31" t="str">
        <x:f>IF(OR(ISBLANK(B1424),ISBLANK(C1424),B1424=0),"",(C1424-B1424)/B1424)</x:f>
      </x:c>
      <x:c r="E1424" s="22" t="str">
        <x:f>IF(ISBLANK(C1424),"AmountIncludingTax缺失",IF(ABS(B1424-C1424)&lt;0.005,"一致","不一致"))</x:f>
        <x:v>AmountIncludingTax缺失</x:v>
      </x:c>
      <x:c r="F1424" s="19" t="str">
        <x:v>approved</x:v>
      </x:c>
      <x:c r="G1424" s="19" t="str">
        <x:v>Repair in Progress</x:v>
      </x:c>
      <x:c r="H1424" s="19" t="str">
        <x:v>In Field</x:v>
      </x:c>
      <x:c r="I1424" s="37" t="n">
        <x:v>46150</x:v>
      </x:c>
      <x:c r="J1424" s="37" t="n">
        <x:v>46150</x:v>
      </x:c>
      <x:c r="K1424" s="19" t="str">
        <x:v>Green RV - Slacks Creek</x:v>
      </x:c>
      <x:c r="L1424" s="19" t="str">
        <x:v>Z006</x:v>
      </x:c>
      <x:c r="M1424" s="19" t="str">
        <x:v>In Field Warranty Claims</x:v>
      </x:c>
      <x:c r="N1424" s="37" t="n">
        <x:v>46149</x:v>
      </x:c>
      <x:c r="O1424" s="37"/>
      <x:c r="P1424" s="34" t="n">
        <x:v>0</x:v>
      </x:c>
      <x:c r="Q1424" s="37" t="n">
        <x:v>46150.082291666666</x:v>
      </x:c>
    </x:row>
    <x:row r="1425">
      <x:c r="A1425" s="22" t="n">
        <x:v>34614</x:v>
      </x:c>
      <x:c r="B1425" s="28" t="n">
        <x:v>135</x:v>
      </x:c>
      <x:c r="C1425" s="28"/>
      <x:c r="D1425" s="31" t="str">
        <x:f>IF(OR(ISBLANK(B1425),ISBLANK(C1425),B1425=0),"",(C1425-B1425)/B1425)</x:f>
      </x:c>
      <x:c r="E1425" s="22" t="str">
        <x:f>IF(ISBLANK(C1425),"AmountIncludingTax缺失",IF(ABS(B1425-C1425)&lt;0.005,"一致","不一致"))</x:f>
        <x:v>AmountIncludingTax缺失</x:v>
      </x:c>
      <x:c r="F1425" s="19" t="str">
        <x:v>approved</x:v>
      </x:c>
      <x:c r="G1425" s="19" t="str">
        <x:v>Sales Order Approved</x:v>
      </x:c>
      <x:c r="H1425" s="19" t="str">
        <x:v>In Field</x:v>
      </x:c>
      <x:c r="I1425" s="37" t="n">
        <x:v>46167</x:v>
      </x:c>
      <x:c r="J1425" s="37" t="n">
        <x:v>46167</x:v>
      </x:c>
      <x:c r="K1425" s="19" t="str">
        <x:v>Auswide Caravans - South Nowra</x:v>
      </x:c>
      <x:c r="L1425" s="19" t="str">
        <x:v>Z006</x:v>
      </x:c>
      <x:c r="M1425" s="19" t="str">
        <x:v>In Field Warranty Claims</x:v>
      </x:c>
      <x:c r="N1425" s="37" t="n">
        <x:v>46149</x:v>
      </x:c>
      <x:c r="O1425" s="37"/>
      <x:c r="P1425" s="34" t="n">
        <x:v>0</x:v>
      </x:c>
      <x:c r="Q1425" s="37" t="n">
        <x:v>46167.03693287037</x:v>
      </x:c>
    </x:row>
    <x:row r="1426">
      <x:c r="A1426" s="22" t="n">
        <x:v>34613</x:v>
      </x:c>
      <x:c r="B1426" s="28" t="n">
        <x:v>48.34</x:v>
      </x:c>
      <x:c r="C1426" s="28"/>
      <x:c r="D1426" s="31" t="str">
        <x:f>IF(OR(ISBLANK(B1426),ISBLANK(C1426),B1426=0),"",(C1426-B1426)/B1426)</x:f>
      </x:c>
      <x:c r="E1426" s="22" t="str">
        <x:f>IF(ISBLANK(C1426),"AmountIncludingTax缺失",IF(ABS(B1426-C1426)&lt;0.005,"一致","不一致"))</x:f>
        <x:v>AmountIncludingTax缺失</x:v>
      </x:c>
      <x:c r="F1426" s="19" t="str">
        <x:v>approved</x:v>
      </x:c>
      <x:c r="G1426" s="19" t="str">
        <x:v>Sales Order Approved</x:v>
      </x:c>
      <x:c r="H1426" s="19" t="str">
        <x:v>In Field</x:v>
      </x:c>
      <x:c r="I1426" s="37" t="n">
        <x:v>46170</x:v>
      </x:c>
      <x:c r="J1426" s="37" t="n">
        <x:v>46170</x:v>
      </x:c>
      <x:c r="K1426" s="19" t="str">
        <x:v>Regent RV - Townsville</x:v>
      </x:c>
      <x:c r="L1426" s="19" t="str">
        <x:v>Z006</x:v>
      </x:c>
      <x:c r="M1426" s="19" t="str">
        <x:v>In Field Warranty Claims</x:v>
      </x:c>
      <x:c r="N1426" s="37" t="n">
        <x:v>46149</x:v>
      </x:c>
      <x:c r="O1426" s="37"/>
      <x:c r="P1426" s="34" t="n">
        <x:v>0</x:v>
      </x:c>
      <x:c r="Q1426" s="37" t="n">
        <x:v>46169.94569444445</x:v>
      </x:c>
    </x:row>
    <x:row r="1427">
      <x:c r="A1427" s="22" t="n">
        <x:v>34611</x:v>
      </x:c>
      <x:c r="B1427" s="28" t="n">
        <x:v>203.57</x:v>
      </x:c>
      <x:c r="C1427" s="28" t="n">
        <x:v>223.93</x:v>
      </x:c>
      <x:c r="D1427" s="31" t="n">
        <x:f>IF(OR(ISBLANK(B1427),ISBLANK(C1427),B1427=0),"",(C1427-B1427)/B1427)</x:f>
        <x:v>0.1000147369455225</x:v>
      </x:c>
      <x:c r="E1427" s="22" t="str">
        <x:f>IF(ISBLANK(C1427),"AmountIncludingTax缺失",IF(ABS(B1427-C1427)&lt;0.005,"一致","不一致"))</x:f>
        <x:v>不一致</x:v>
      </x:c>
      <x:c r="F1427" s="19" t="str">
        <x:v>approved</x:v>
      </x:c>
      <x:c r="G1427" s="19" t="str">
        <x:v>Repairer Invoiced Processed</x:v>
      </x:c>
      <x:c r="H1427" s="19" t="str">
        <x:v>In Field</x:v>
      </x:c>
      <x:c r="I1427" s="37" t="n">
        <x:v>46149</x:v>
      </x:c>
      <x:c r="J1427" s="37" t="n">
        <x:v>46149</x:v>
      </x:c>
      <x:c r="K1427" s="19" t="str">
        <x:v>Green RV - Forest Glen</x:v>
      </x:c>
      <x:c r="L1427" s="19" t="str">
        <x:v>Z006</x:v>
      </x:c>
      <x:c r="M1427" s="19" t="str">
        <x:v>In Field Warranty Claims</x:v>
      </x:c>
      <x:c r="N1427" s="37" t="n">
        <x:v>46149</x:v>
      </x:c>
      <x:c r="O1427" s="37"/>
      <x:c r="P1427" s="34" t="n">
        <x:v>223.93</x:v>
      </x:c>
      <x:c r="Q1427" s="37" t="n">
        <x:v>46149.25795138889</x:v>
      </x:c>
    </x:row>
    <x:row r="1428">
      <x:c r="A1428" s="22" t="n">
        <x:v>34610</x:v>
      </x:c>
      <x:c r="B1428" s="28" t="n">
        <x:v>1542.5</x:v>
      </x:c>
      <x:c r="C1428" s="28"/>
      <x:c r="D1428" s="31" t="str">
        <x:f>IF(OR(ISBLANK(B1428),ISBLANK(C1428),B1428=0),"",(C1428-B1428)/B1428)</x:f>
      </x:c>
      <x:c r="E1428" s="22" t="str">
        <x:f>IF(ISBLANK(C1428),"AmountIncludingTax缺失",IF(ABS(B1428-C1428)&lt;0.005,"一致","不一致"))</x:f>
        <x:v>AmountIncludingTax缺失</x:v>
      </x:c>
      <x:c r="F1428" s="19" t="str">
        <x:v>approved</x:v>
      </x:c>
      <x:c r="G1428" s="19" t="str">
        <x:v>Repair in Progress</x:v>
      </x:c>
      <x:c r="H1428" s="19" t="str">
        <x:v>In Field</x:v>
      </x:c>
      <x:c r="I1428" s="37" t="n">
        <x:v>46174</x:v>
      </x:c>
      <x:c r="J1428" s="37" t="n">
        <x:v>46174</x:v>
      </x:c>
      <x:c r="K1428" s="19" t="str">
        <x:v>Destiny RV - South Australia</x:v>
      </x:c>
      <x:c r="L1428" s="19" t="str">
        <x:v>Z006</x:v>
      </x:c>
      <x:c r="M1428" s="19" t="str">
        <x:v>In Field Warranty Claims</x:v>
      </x:c>
      <x:c r="N1428" s="37" t="n">
        <x:v>46149</x:v>
      </x:c>
      <x:c r="O1428" s="37"/>
      <x:c r="P1428" s="34" t="n">
        <x:v>0</x:v>
      </x:c>
      <x:c r="Q1428" s="37" t="n">
        <x:v>46173.991643518515</x:v>
      </x:c>
    </x:row>
    <x:row r="1429">
      <x:c r="A1429" s="22" t="n">
        <x:v>34606</x:v>
      </x:c>
      <x:c r="B1429" s="28" t="n">
        <x:v>77.5</x:v>
      </x:c>
      <x:c r="C1429" s="28"/>
      <x:c r="D1429" s="31" t="str">
        <x:f>IF(OR(ISBLANK(B1429),ISBLANK(C1429),B1429=0),"",(C1429-B1429)/B1429)</x:f>
      </x:c>
      <x:c r="E1429" s="22" t="str">
        <x:f>IF(ISBLANK(C1429),"AmountIncludingTax缺失",IF(ABS(B1429-C1429)&lt;0.005,"一致","不一致"))</x:f>
        <x:v>AmountIncludingTax缺失</x:v>
      </x:c>
      <x:c r="F1429" s="19" t="str">
        <x:v>approved</x:v>
      </x:c>
      <x:c r="G1429" s="19" t="str">
        <x:v>Repair in Progress</x:v>
      </x:c>
      <x:c r="H1429" s="19" t="str">
        <x:v>Pre Delivery</x:v>
      </x:c>
      <x:c r="I1429" s="37" t="n">
        <x:v>46149</x:v>
      </x:c>
      <x:c r="J1429" s="37" t="n">
        <x:v>46149</x:v>
      </x:c>
      <x:c r="K1429" s="19" t="str">
        <x:v>Snowy River Geelong</x:v>
      </x:c>
      <x:c r="L1429" s="19" t="str">
        <x:v>Z005</x:v>
      </x:c>
      <x:c r="M1429" s="19" t="str">
        <x:v>Pre Delivery Warranty Claims</x:v>
      </x:c>
      <x:c r="N1429" s="37" t="n">
        <x:v>46149</x:v>
      </x:c>
      <x:c r="O1429" s="37"/>
      <x:c r="P1429" s="34" t="n">
        <x:v>0</x:v>
      </x:c>
      <x:c r="Q1429" s="37" t="n">
        <x:v>46149.438055555554</x:v>
      </x:c>
    </x:row>
    <x:row r="1430">
      <x:c r="A1430" s="22" t="n">
        <x:v>34605</x:v>
      </x:c>
      <x:c r="B1430" s="28" t="n">
        <x:v>290</x:v>
      </x:c>
      <x:c r="C1430" s="28"/>
      <x:c r="D1430" s="31" t="str">
        <x:f>IF(OR(ISBLANK(B1430),ISBLANK(C1430),B1430=0),"",(C1430-B1430)/B1430)</x:f>
      </x:c>
      <x:c r="E1430" s="22" t="str">
        <x:f>IF(ISBLANK(C1430),"AmountIncludingTax缺失",IF(ABS(B1430-C1430)&lt;0.005,"一致","不一致"))</x:f>
        <x:v>AmountIncludingTax缺失</x:v>
      </x:c>
      <x:c r="F1430" s="19" t="str">
        <x:v>approved</x:v>
      </x:c>
      <x:c r="G1430" s="19" t="str">
        <x:v>Partially Picked</x:v>
      </x:c>
      <x:c r="H1430" s="19" t="str">
        <x:v>Pre Delivery</x:v>
      </x:c>
      <x:c r="I1430" s="37" t="n">
        <x:v>46149</x:v>
      </x:c>
      <x:c r="J1430" s="37" t="n">
        <x:v>46149</x:v>
      </x:c>
      <x:c r="K1430" s="19" t="str">
        <x:v>Snowy River Geelong</x:v>
      </x:c>
      <x:c r="L1430" s="19" t="str">
        <x:v>Z005</x:v>
      </x:c>
      <x:c r="M1430" s="19" t="str">
        <x:v>Pre Delivery Warranty Claims</x:v>
      </x:c>
      <x:c r="N1430" s="37" t="n">
        <x:v>46149</x:v>
      </x:c>
      <x:c r="O1430" s="37"/>
      <x:c r="P1430" s="34" t="n">
        <x:v>0</x:v>
      </x:c>
      <x:c r="Q1430" s="37" t="n">
        <x:v>46149.43783564815</x:v>
      </x:c>
    </x:row>
    <x:row r="1431">
      <x:c r="A1431" s="22" t="n">
        <x:v>34604</x:v>
      </x:c>
      <x:c r="B1431" s="28" t="n">
        <x:v>1202.5</x:v>
      </x:c>
      <x:c r="C1431" s="28"/>
      <x:c r="D1431" s="31" t="str">
        <x:f>IF(OR(ISBLANK(B1431),ISBLANK(C1431),B1431=0),"",(C1431-B1431)/B1431)</x:f>
      </x:c>
      <x:c r="E1431" s="22" t="str">
        <x:f>IF(ISBLANK(C1431),"AmountIncludingTax缺失",IF(ABS(B1431-C1431)&lt;0.005,"一致","不一致"))</x:f>
        <x:v>AmountIncludingTax缺失</x:v>
      </x:c>
      <x:c r="F1431" s="19" t="str">
        <x:v>approved</x:v>
      </x:c>
      <x:c r="G1431" s="19" t="str">
        <x:v>Partially Picked</x:v>
      </x:c>
      <x:c r="H1431" s="19" t="str">
        <x:v>Pre Delivery</x:v>
      </x:c>
      <x:c r="I1431" s="37" t="n">
        <x:v>46150</x:v>
      </x:c>
      <x:c r="J1431" s="37" t="n">
        <x:v>46150</x:v>
      </x:c>
      <x:c r="K1431" s="19" t="str">
        <x:v>Snowy River Geelong</x:v>
      </x:c>
      <x:c r="L1431" s="19" t="str">
        <x:v>Z005</x:v>
      </x:c>
      <x:c r="M1431" s="19" t="str">
        <x:v>Pre Delivery Warranty Claims</x:v>
      </x:c>
      <x:c r="N1431" s="37" t="n">
        <x:v>46149</x:v>
      </x:c>
      <x:c r="O1431" s="37"/>
      <x:c r="P1431" s="34" t="n">
        <x:v>0</x:v>
      </x:c>
      <x:c r="Q1431" s="37" t="n">
        <x:v>46149.84202546296</x:v>
      </x:c>
    </x:row>
    <x:row r="1432">
      <x:c r="A1432" s="22" t="n">
        <x:v>34603</x:v>
      </x:c>
      <x:c r="B1432" s="28" t="n">
        <x:v>202.5</x:v>
      </x:c>
      <x:c r="C1432" s="28"/>
      <x:c r="D1432" s="31" t="str">
        <x:f>IF(OR(ISBLANK(B1432),ISBLANK(C1432),B1432=0),"",(C1432-B1432)/B1432)</x:f>
      </x:c>
      <x:c r="E1432" s="22" t="str">
        <x:f>IF(ISBLANK(C1432),"AmountIncludingTax缺失",IF(ABS(B1432-C1432)&lt;0.005,"一致","不一致"))</x:f>
        <x:v>AmountIncludingTax缺失</x:v>
      </x:c>
      <x:c r="F1432" s="19" t="str">
        <x:v>approved</x:v>
      </x:c>
      <x:c r="G1432" s="19" t="str">
        <x:v>Repairer Invoiced Processed</x:v>
      </x:c>
      <x:c r="H1432" s="19" t="str">
        <x:v>In Field</x:v>
      </x:c>
      <x:c r="I1432" s="37" t="n">
        <x:v>46170</x:v>
      </x:c>
      <x:c r="J1432" s="37" t="n">
        <x:v>46170</x:v>
      </x:c>
      <x:c r="K1432" s="19" t="str">
        <x:v>Leisure Lion - Bundaberg</x:v>
      </x:c>
      <x:c r="L1432" s="19" t="str">
        <x:v>Z006</x:v>
      </x:c>
      <x:c r="M1432" s="19" t="str">
        <x:v>In Field Warranty Claims</x:v>
      </x:c>
      <x:c r="N1432" s="37" t="n">
        <x:v>46149</x:v>
      </x:c>
      <x:c r="O1432" s="37"/>
      <x:c r="P1432" s="34" t="n">
        <x:v>0</x:v>
      </x:c>
      <x:c r="Q1432" s="37" t="n">
        <x:v>46170.11788194445</x:v>
      </x:c>
    </x:row>
    <x:row r="1433">
      <x:c r="A1433" s="22" t="n">
        <x:v>34601</x:v>
      </x:c>
      <x:c r="B1433" s="28" t="n">
        <x:v>2430</x:v>
      </x:c>
      <x:c r="C1433" s="28"/>
      <x:c r="D1433" s="31" t="str">
        <x:f>IF(OR(ISBLANK(B1433),ISBLANK(C1433),B1433=0),"",(C1433-B1433)/B1433)</x:f>
      </x:c>
      <x:c r="E1433" s="22" t="str">
        <x:f>IF(ISBLANK(C1433),"AmountIncludingTax缺失",IF(ABS(B1433-C1433)&lt;0.005,"一致","不一致"))</x:f>
        <x:v>AmountIncludingTax缺失</x:v>
      </x:c>
      <x:c r="F1433" s="19" t="str">
        <x:v>approved</x:v>
      </x:c>
      <x:c r="G1433" s="19" t="str">
        <x:v>Repairer Invoiced Processed</x:v>
      </x:c>
      <x:c r="H1433" s="19" t="str">
        <x:v>In Field</x:v>
      </x:c>
      <x:c r="I1433" s="37" t="n">
        <x:v>46150</x:v>
      </x:c>
      <x:c r="J1433" s="37" t="n">
        <x:v>46150</x:v>
      </x:c>
      <x:c r="K1433" s="19" t="str">
        <x:v>Green RV - Slacks Creek</x:v>
      </x:c>
      <x:c r="L1433" s="19" t="str">
        <x:v>Z006</x:v>
      </x:c>
      <x:c r="M1433" s="19" t="str">
        <x:v>In Field Warranty Claims</x:v>
      </x:c>
      <x:c r="N1433" s="37" t="n">
        <x:v>46149</x:v>
      </x:c>
      <x:c r="O1433" s="37"/>
      <x:c r="P1433" s="34" t="n">
        <x:v>2673</x:v>
      </x:c>
      <x:c r="Q1433" s="37" t="n">
        <x:v>46150.02560185185</x:v>
      </x:c>
    </x:row>
    <x:row r="1434">
      <x:c r="A1434" s="22" t="n">
        <x:v>34600</x:v>
      </x:c>
      <x:c r="B1434" s="28" t="n">
        <x:v>512.5</x:v>
      </x:c>
      <x:c r="C1434" s="28"/>
      <x:c r="D1434" s="31" t="str">
        <x:f>IF(OR(ISBLANK(B1434),ISBLANK(C1434),B1434=0),"",(C1434-B1434)/B1434)</x:f>
      </x:c>
      <x:c r="E1434" s="22" t="str">
        <x:f>IF(ISBLANK(C1434),"AmountIncludingTax缺失",IF(ABS(B1434-C1434)&lt;0.005,"一致","不一致"))</x:f>
        <x:v>AmountIncludingTax缺失</x:v>
      </x:c>
      <x:c r="F1434" s="19" t="str">
        <x:v>approved</x:v>
      </x:c>
      <x:c r="G1434" s="19" t="str">
        <x:v>Partially Picked</x:v>
      </x:c>
      <x:c r="H1434" s="19" t="str">
        <x:v>Pre Delivery</x:v>
      </x:c>
      <x:c r="I1434" s="37" t="n">
        <x:v>46150</x:v>
      </x:c>
      <x:c r="J1434" s="37" t="n">
        <x:v>46150</x:v>
      </x:c>
      <x:c r="K1434" s="19" t="str">
        <x:v>Snowy River Geelong</x:v>
      </x:c>
      <x:c r="L1434" s="19" t="str">
        <x:v>Z005</x:v>
      </x:c>
      <x:c r="M1434" s="19" t="str">
        <x:v>Pre Delivery Warranty Claims</x:v>
      </x:c>
      <x:c r="N1434" s="37" t="n">
        <x:v>46149</x:v>
      </x:c>
      <x:c r="O1434" s="37"/>
      <x:c r="P1434" s="34" t="n">
        <x:v>0</x:v>
      </x:c>
      <x:c r="Q1434" s="37" t="n">
        <x:v>46149.94930555556</x:v>
      </x:c>
    </x:row>
    <x:row r="1435">
      <x:c r="A1435" s="22" t="n">
        <x:v>34599</x:v>
      </x:c>
      <x:c r="B1435" s="28" t="n">
        <x:v>246.25</x:v>
      </x:c>
      <x:c r="C1435" s="28"/>
      <x:c r="D1435" s="31" t="str">
        <x:f>IF(OR(ISBLANK(B1435),ISBLANK(C1435),B1435=0),"",(C1435-B1435)/B1435)</x:f>
      </x:c>
      <x:c r="E1435" s="22" t="str">
        <x:f>IF(ISBLANK(C1435),"AmountIncludingTax缺失",IF(ABS(B1435-C1435)&lt;0.005,"一致","不一致"))</x:f>
        <x:v>AmountIncludingTax缺失</x:v>
      </x:c>
      <x:c r="F1435" s="19" t="str">
        <x:v>approved</x:v>
      </x:c>
      <x:c r="G1435" s="19" t="str">
        <x:v>Repair in Progress</x:v>
      </x:c>
      <x:c r="H1435" s="19" t="str">
        <x:v>Pre Delivery</x:v>
      </x:c>
      <x:c r="I1435" s="37" t="n">
        <x:v>46149</x:v>
      </x:c>
      <x:c r="J1435" s="37" t="n">
        <x:v>46149</x:v>
      </x:c>
      <x:c r="K1435" s="19" t="str">
        <x:v>Snowy River Geelong</x:v>
      </x:c>
      <x:c r="L1435" s="19" t="str">
        <x:v>Z005</x:v>
      </x:c>
      <x:c r="M1435" s="19" t="str">
        <x:v>Pre Delivery Warranty Claims</x:v>
      </x:c>
      <x:c r="N1435" s="37" t="n">
        <x:v>46149</x:v>
      </x:c>
      <x:c r="O1435" s="37"/>
      <x:c r="P1435" s="34" t="n">
        <x:v>0</x:v>
      </x:c>
      <x:c r="Q1435" s="37" t="n">
        <x:v>46149.43761574074</x:v>
      </x:c>
    </x:row>
    <x:row r="1436">
      <x:c r="A1436" s="22" t="n">
        <x:v>34595</x:v>
      </x:c>
      <x:c r="B1436" s="28" t="n">
        <x:v>3426.6</x:v>
      </x:c>
      <x:c r="C1436" s="28"/>
      <x:c r="D1436" s="31" t="str">
        <x:f>IF(OR(ISBLANK(B1436),ISBLANK(C1436),B1436=0),"",(C1436-B1436)/B1436)</x:f>
      </x:c>
      <x:c r="E1436" s="22" t="str">
        <x:f>IF(ISBLANK(C1436),"AmountIncludingTax缺失",IF(ABS(B1436-C1436)&lt;0.005,"一致","不一致"))</x:f>
        <x:v>AmountIncludingTax缺失</x:v>
      </x:c>
      <x:c r="F1436" s="19" t="str">
        <x:v>approved</x:v>
      </x:c>
      <x:c r="G1436" s="19" t="str">
        <x:v>Repair in Progress</x:v>
      </x:c>
      <x:c r="H1436" s="19" t="str">
        <x:v>In Field</x:v>
      </x:c>
      <x:c r="I1436" s="37" t="n">
        <x:v>46203</x:v>
      </x:c>
      <x:c r="J1436" s="37" t="n">
        <x:v>46203</x:v>
      </x:c>
      <x:c r="K1436" s="19" t="str">
        <x:v>CMG Campers - Christchurch</x:v>
      </x:c>
      <x:c r="L1436" s="19" t="str">
        <x:v>Z006</x:v>
      </x:c>
      <x:c r="M1436" s="19" t="str">
        <x:v>In Field Warranty Claims</x:v>
      </x:c>
      <x:c r="N1436" s="37" t="n">
        <x:v>46149</x:v>
      </x:c>
      <x:c r="O1436" s="37"/>
      <x:c r="P1436" s="34" t="n">
        <x:v>3102.44</x:v>
      </x:c>
      <x:c r="Q1436" s="37" t="n">
        <x:v>46203.099814814814</x:v>
      </x:c>
    </x:row>
    <x:row r="1437">
      <x:c r="A1437" s="22" t="n">
        <x:v>34593</x:v>
      </x:c>
      <x:c r="B1437" s="28" t="n">
        <x:v>212.5</x:v>
      </x:c>
      <x:c r="C1437" s="28"/>
      <x:c r="D1437" s="31" t="str">
        <x:f>IF(OR(ISBLANK(B1437),ISBLANK(C1437),B1437=0),"",(C1437-B1437)/B1437)</x:f>
      </x:c>
      <x:c r="E1437" s="22" t="str">
        <x:f>IF(ISBLANK(C1437),"AmountIncludingTax缺失",IF(ABS(B1437-C1437)&lt;0.005,"一致","不一致"))</x:f>
        <x:v>AmountIncludingTax缺失</x:v>
      </x:c>
      <x:c r="F1437" s="19" t="str">
        <x:v>approved</x:v>
      </x:c>
      <x:c r="G1437" s="19" t="str">
        <x:v>Sales Order Approved</x:v>
      </x:c>
      <x:c r="H1437" s="19" t="str">
        <x:v>Pre Delivery</x:v>
      </x:c>
      <x:c r="I1437" s="37" t="n">
        <x:v>46149</x:v>
      </x:c>
      <x:c r="J1437" s="37" t="n">
        <x:v>46149</x:v>
      </x:c>
      <x:c r="K1437" s="19" t="str">
        <x:v>Snowy River Geelong</x:v>
      </x:c>
      <x:c r="L1437" s="19" t="str">
        <x:v>Z005</x:v>
      </x:c>
      <x:c r="M1437" s="19" t="str">
        <x:v>Pre Delivery Warranty Claims</x:v>
      </x:c>
      <x:c r="N1437" s="37" t="n">
        <x:v>46149</x:v>
      </x:c>
      <x:c r="O1437" s="37"/>
      <x:c r="P1437" s="34" t="n">
        <x:v>0</x:v>
      </x:c>
      <x:c r="Q1437" s="37" t="n">
        <x:v>46149.43724537037</x:v>
      </x:c>
    </x:row>
    <x:row r="1438">
      <x:c r="A1438" s="22" t="n">
        <x:v>34592</x:v>
      </x:c>
      <x:c r="B1438" s="28" t="n">
        <x:v>212.5</x:v>
      </x:c>
      <x:c r="C1438" s="28"/>
      <x:c r="D1438" s="31" t="str">
        <x:f>IF(OR(ISBLANK(B1438),ISBLANK(C1438),B1438=0),"",(C1438-B1438)/B1438)</x:f>
      </x:c>
      <x:c r="E1438" s="22" t="str">
        <x:f>IF(ISBLANK(C1438),"AmountIncludingTax缺失",IF(ABS(B1438-C1438)&lt;0.005,"一致","不一致"))</x:f>
        <x:v>AmountIncludingTax缺失</x:v>
      </x:c>
      <x:c r="F1438" s="19" t="str">
        <x:v>approved</x:v>
      </x:c>
      <x:c r="G1438" s="19" t="str">
        <x:v>Sales Order Approved</x:v>
      </x:c>
      <x:c r="H1438" s="19" t="str">
        <x:v>Pre Delivery</x:v>
      </x:c>
      <x:c r="I1438" s="37" t="n">
        <x:v>46149</x:v>
      </x:c>
      <x:c r="J1438" s="37" t="n">
        <x:v>46149</x:v>
      </x:c>
      <x:c r="K1438" s="19" t="str">
        <x:v>Snowy River Geelong</x:v>
      </x:c>
      <x:c r="L1438" s="19" t="str">
        <x:v>Z005</x:v>
      </x:c>
      <x:c r="M1438" s="19" t="str">
        <x:v>Pre Delivery Warranty Claims</x:v>
      </x:c>
      <x:c r="N1438" s="37" t="n">
        <x:v>46149</x:v>
      </x:c>
      <x:c r="O1438" s="37"/>
      <x:c r="P1438" s="34" t="n">
        <x:v>0</x:v>
      </x:c>
      <x:c r="Q1438" s="37" t="n">
        <x:v>46149.436898148146</x:v>
      </x:c>
    </x:row>
    <x:row r="1439">
      <x:c r="A1439" s="22" t="n">
        <x:v>34591</x:v>
      </x:c>
      <x:c r="B1439" s="28" t="n">
        <x:v>38.75</x:v>
      </x:c>
      <x:c r="C1439" s="28"/>
      <x:c r="D1439" s="31" t="str">
        <x:f>IF(OR(ISBLANK(B1439),ISBLANK(C1439),B1439=0),"",(C1439-B1439)/B1439)</x:f>
      </x:c>
      <x:c r="E1439" s="22" t="str">
        <x:f>IF(ISBLANK(C1439),"AmountIncludingTax缺失",IF(ABS(B1439-C1439)&lt;0.005,"一致","不一致"))</x:f>
        <x:v>AmountIncludingTax缺失</x:v>
      </x:c>
      <x:c r="F1439" s="19" t="str">
        <x:v>approved</x:v>
      </x:c>
      <x:c r="G1439" s="19" t="str">
        <x:v>Repair in Progress</x:v>
      </x:c>
      <x:c r="H1439" s="19" t="str">
        <x:v>In Field</x:v>
      </x:c>
      <x:c r="I1439" s="37" t="n">
        <x:v>46150</x:v>
      </x:c>
      <x:c r="J1439" s="37" t="n">
        <x:v>46150</x:v>
      </x:c>
      <x:c r="K1439" s="19" t="str">
        <x:v>Regent RV - Perth</x:v>
      </x:c>
      <x:c r="L1439" s="19" t="str">
        <x:v>Z006</x:v>
      </x:c>
      <x:c r="M1439" s="19" t="str">
        <x:v>In Field Warranty Claims</x:v>
      </x:c>
      <x:c r="N1439" s="37" t="n">
        <x:v>46149</x:v>
      </x:c>
      <x:c r="O1439" s="37"/>
      <x:c r="P1439" s="34" t="n">
        <x:v>0</x:v>
      </x:c>
      <x:c r="Q1439" s="37" t="n">
        <x:v>46150.00833333333</x:v>
      </x:c>
    </x:row>
    <x:row r="1440">
      <x:c r="A1440" s="22" t="n">
        <x:v>34590</x:v>
      </x:c>
      <x:c r="B1440" s="28" t="n">
        <x:v>212.5</x:v>
      </x:c>
      <x:c r="C1440" s="28"/>
      <x:c r="D1440" s="31" t="str">
        <x:f>IF(OR(ISBLANK(B1440),ISBLANK(C1440),B1440=0),"",(C1440-B1440)/B1440)</x:f>
      </x:c>
      <x:c r="E1440" s="22" t="str">
        <x:f>IF(ISBLANK(C1440),"AmountIncludingTax缺失",IF(ABS(B1440-C1440)&lt;0.005,"一致","不一致"))</x:f>
        <x:v>AmountIncludingTax缺失</x:v>
      </x:c>
      <x:c r="F1440" s="19" t="str">
        <x:v>approved</x:v>
      </x:c>
      <x:c r="G1440" s="19" t="str">
        <x:v>Sales Order Approved</x:v>
      </x:c>
      <x:c r="H1440" s="19" t="str">
        <x:v>Pre Delivery</x:v>
      </x:c>
      <x:c r="I1440" s="37" t="n">
        <x:v>46149</x:v>
      </x:c>
      <x:c r="J1440" s="37" t="n">
        <x:v>46149</x:v>
      </x:c>
      <x:c r="K1440" s="19" t="str">
        <x:v>Snowy River Geelong</x:v>
      </x:c>
      <x:c r="L1440" s="19" t="str">
        <x:v>Z005</x:v>
      </x:c>
      <x:c r="M1440" s="19" t="str">
        <x:v>Pre Delivery Warranty Claims</x:v>
      </x:c>
      <x:c r="N1440" s="37" t="n">
        <x:v>46149</x:v>
      </x:c>
      <x:c r="O1440" s="37"/>
      <x:c r="P1440" s="34" t="n">
        <x:v>0</x:v>
      </x:c>
      <x:c r="Q1440" s="37" t="n">
        <x:v>46149.43667824074</x:v>
      </x:c>
    </x:row>
    <x:row r="1441">
      <x:c r="A1441" s="22" t="n">
        <x:v>34589</x:v>
      </x:c>
      <x:c r="B1441" s="28" t="n">
        <x:v>337.5</x:v>
      </x:c>
      <x:c r="C1441" s="28" t="n">
        <x:v>371.25</x:v>
      </x:c>
      <x:c r="D1441" s="31" t="n">
        <x:f>IF(OR(ISBLANK(B1441),ISBLANK(C1441),B1441=0),"",(C1441-B1441)/B1441)</x:f>
        <x:v>0.1</x:v>
      </x:c>
      <x:c r="E1441" s="22" t="str">
        <x:f>IF(ISBLANK(C1441),"AmountIncludingTax缺失",IF(ABS(B1441-C1441)&lt;0.005,"一致","不一致"))</x:f>
        <x:v>不一致</x:v>
      </x:c>
      <x:c r="F1441" s="19" t="str">
        <x:v>approved</x:v>
      </x:c>
      <x:c r="G1441" s="19" t="str">
        <x:v>Repairer Invoiced Processed</x:v>
      </x:c>
      <x:c r="H1441" s="19" t="str">
        <x:v>Pre Delivery</x:v>
      </x:c>
      <x:c r="I1441" s="37" t="n">
        <x:v>46170</x:v>
      </x:c>
      <x:c r="J1441" s="37" t="n">
        <x:v>46170</x:v>
      </x:c>
      <x:c r="K1441" s="19" t="str">
        <x:v>Leisure Lion - Bundaberg</x:v>
      </x:c>
      <x:c r="L1441" s="19" t="str">
        <x:v>Z005</x:v>
      </x:c>
      <x:c r="M1441" s="19" t="str">
        <x:v>Pre Delivery Warranty Claims</x:v>
      </x:c>
      <x:c r="N1441" s="37" t="n">
        <x:v>46149</x:v>
      </x:c>
      <x:c r="O1441" s="37"/>
      <x:c r="P1441" s="34" t="n">
        <x:v>371.25</x:v>
      </x:c>
      <x:c r="Q1441" s="37" t="n">
        <x:v>46170.109456018516</x:v>
      </x:c>
    </x:row>
    <x:row r="1442">
      <x:c r="A1442" s="22" t="n">
        <x:v>34588</x:v>
      </x:c>
      <x:c r="B1442" s="28" t="n">
        <x:v>246.25</x:v>
      </x:c>
      <x:c r="C1442" s="28"/>
      <x:c r="D1442" s="31" t="str">
        <x:f>IF(OR(ISBLANK(B1442),ISBLANK(C1442),B1442=0),"",(C1442-B1442)/B1442)</x:f>
      </x:c>
      <x:c r="E1442" s="22" t="str">
        <x:f>IF(ISBLANK(C1442),"AmountIncludingTax缺失",IF(ABS(B1442-C1442)&lt;0.005,"一致","不一致"))</x:f>
        <x:v>AmountIncludingTax缺失</x:v>
      </x:c>
      <x:c r="F1442" s="19" t="str">
        <x:v>approved</x:v>
      </x:c>
      <x:c r="G1442" s="19" t="str">
        <x:v>Repair in Progress</x:v>
      </x:c>
      <x:c r="H1442" s="19" t="str">
        <x:v>Pre Delivery</x:v>
      </x:c>
      <x:c r="I1442" s="37" t="n">
        <x:v>46149</x:v>
      </x:c>
      <x:c r="J1442" s="37" t="n">
        <x:v>46149</x:v>
      </x:c>
      <x:c r="K1442" s="19" t="str">
        <x:v>Snowy River Geelong</x:v>
      </x:c>
      <x:c r="L1442" s="19" t="str">
        <x:v>Z005</x:v>
      </x:c>
      <x:c r="M1442" s="19" t="str">
        <x:v>Pre Delivery Warranty Claims</x:v>
      </x:c>
      <x:c r="N1442" s="37" t="n">
        <x:v>46149</x:v>
      </x:c>
      <x:c r="O1442" s="37"/>
      <x:c r="P1442" s="34" t="n">
        <x:v>0</x:v>
      </x:c>
      <x:c r="Q1442" s="37" t="n">
        <x:v>46149.43641203704</x:v>
      </x:c>
    </x:row>
    <x:row r="1443">
      <x:c r="A1443" s="22" t="n">
        <x:v>34586</x:v>
      </x:c>
      <x:c r="B1443" s="28" t="n">
        <x:v>246.25</x:v>
      </x:c>
      <x:c r="C1443" s="28"/>
      <x:c r="D1443" s="31" t="str">
        <x:f>IF(OR(ISBLANK(B1443),ISBLANK(C1443),B1443=0),"",(C1443-B1443)/B1443)</x:f>
      </x:c>
      <x:c r="E1443" s="22" t="str">
        <x:f>IF(ISBLANK(C1443),"AmountIncludingTax缺失",IF(ABS(B1443-C1443)&lt;0.005,"一致","不一致"))</x:f>
        <x:v>AmountIncludingTax缺失</x:v>
      </x:c>
      <x:c r="F1443" s="19" t="str">
        <x:v>approved</x:v>
      </x:c>
      <x:c r="G1443" s="19" t="str">
        <x:v>Repair in Progress</x:v>
      </x:c>
      <x:c r="H1443" s="19" t="str">
        <x:v>Pre Delivery</x:v>
      </x:c>
      <x:c r="I1443" s="37" t="n">
        <x:v>46149</x:v>
      </x:c>
      <x:c r="J1443" s="37" t="n">
        <x:v>46149</x:v>
      </x:c>
      <x:c r="K1443" s="19" t="str">
        <x:v>Snowy River Geelong</x:v>
      </x:c>
      <x:c r="L1443" s="19" t="str">
        <x:v>Z005</x:v>
      </x:c>
      <x:c r="M1443" s="19" t="str">
        <x:v>Pre Delivery Warranty Claims</x:v>
      </x:c>
      <x:c r="N1443" s="37" t="n">
        <x:v>46149</x:v>
      </x:c>
      <x:c r="O1443" s="37"/>
      <x:c r="P1443" s="34" t="n">
        <x:v>0</x:v>
      </x:c>
      <x:c r="Q1443" s="37" t="n">
        <x:v>46149.43577546296</x:v>
      </x:c>
    </x:row>
    <x:row r="1444">
      <x:c r="A1444" s="22" t="n">
        <x:v>34584</x:v>
      </x:c>
      <x:c r="B1444" s="28" t="n">
        <x:v>1352.5</x:v>
      </x:c>
      <x:c r="C1444" s="28"/>
      <x:c r="D1444" s="31" t="str">
        <x:f>IF(OR(ISBLANK(B1444),ISBLANK(C1444),B1444=0),"",(C1444-B1444)/B1444)</x:f>
      </x:c>
      <x:c r="E1444" s="22" t="str">
        <x:f>IF(ISBLANK(C1444),"AmountIncludingTax缺失",IF(ABS(B1444-C1444)&lt;0.005,"一致","不一致"))</x:f>
        <x:v>AmountIncludingTax缺失</x:v>
      </x:c>
      <x:c r="F1444" s="19" t="str">
        <x:v>approved</x:v>
      </x:c>
      <x:c r="G1444" s="19" t="str">
        <x:v>Repair in Progress</x:v>
      </x:c>
      <x:c r="H1444" s="19" t="str">
        <x:v>Pre Delivery</x:v>
      </x:c>
      <x:c r="I1444" s="37" t="n">
        <x:v>46150</x:v>
      </x:c>
      <x:c r="J1444" s="37" t="n">
        <x:v>46150</x:v>
      </x:c>
      <x:c r="K1444" s="19" t="str">
        <x:v>Snowy River Geelong</x:v>
      </x:c>
      <x:c r="L1444" s="19" t="str">
        <x:v>Z005</x:v>
      </x:c>
      <x:c r="M1444" s="19" t="str">
        <x:v>Pre Delivery Warranty Claims</x:v>
      </x:c>
      <x:c r="N1444" s="37" t="n">
        <x:v>46149</x:v>
      </x:c>
      <x:c r="O1444" s="37"/>
      <x:c r="P1444" s="34" t="n">
        <x:v>0</x:v>
      </x:c>
      <x:c r="Q1444" s="37" t="n">
        <x:v>46150.135659722226</x:v>
      </x:c>
    </x:row>
    <x:row r="1445">
      <x:c r="A1445" s="22" t="n">
        <x:v>34583</x:v>
      </x:c>
      <x:c r="B1445" s="28" t="n">
        <x:v>68.27</x:v>
      </x:c>
      <x:c r="C1445" s="28" t="n">
        <x:v>75.1</x:v>
      </x:c>
      <x:c r="D1445" s="31" t="n">
        <x:f>IF(OR(ISBLANK(B1445),ISBLANK(C1445),B1445=0),"",(C1445-B1445)/B1445)</x:f>
        <x:v>0.10004394316683754</x:v>
      </x:c>
      <x:c r="E1445" s="22" t="str">
        <x:f>IF(ISBLANK(C1445),"AmountIncludingTax缺失",IF(ABS(B1445-C1445)&lt;0.005,"一致","不一致"))</x:f>
        <x:v>不一致</x:v>
      </x:c>
      <x:c r="F1445" s="19" t="str">
        <x:v>approved</x:v>
      </x:c>
      <x:c r="G1445" s="19" t="str">
        <x:v>Repair in Progress</x:v>
      </x:c>
      <x:c r="H1445" s="19" t="str">
        <x:v>In Field</x:v>
      </x:c>
      <x:c r="I1445" s="37" t="n">
        <x:v>46167</x:v>
      </x:c>
      <x:c r="J1445" s="37" t="n">
        <x:v>46167</x:v>
      </x:c>
      <x:c r="K1445" s="19" t="str">
        <x:v>Regent RV - Toowoomba</x:v>
      </x:c>
      <x:c r="L1445" s="19" t="str">
        <x:v>Z006</x:v>
      </x:c>
      <x:c r="M1445" s="19" t="str">
        <x:v>In Field Warranty Claims</x:v>
      </x:c>
      <x:c r="N1445" s="37" t="n">
        <x:v>46149</x:v>
      </x:c>
      <x:c r="O1445" s="37"/>
      <x:c r="P1445" s="34" t="n">
        <x:v>75.1</x:v>
      </x:c>
      <x:c r="Q1445" s="37" t="n">
        <x:v>46166.953310185185</x:v>
      </x:c>
    </x:row>
    <x:row r="1446">
      <x:c r="A1446" s="22" t="n">
        <x:v>34581</x:v>
      </x:c>
      <x:c r="B1446" s="28" t="n">
        <x:v>990</x:v>
      </x:c>
      <x:c r="C1446" s="28" t="n">
        <x:v>896.35</x:v>
      </x:c>
      <x:c r="D1446" s="31" t="n">
        <x:f>IF(OR(ISBLANK(B1446),ISBLANK(C1446),B1446=0),"",(C1446-B1446)/B1446)</x:f>
        <x:v>-0.09459595959595957</x:v>
      </x:c>
      <x:c r="E1446" s="22" t="str">
        <x:f>IF(ISBLANK(C1446),"AmountIncludingTax缺失",IF(ABS(B1446-C1446)&lt;0.005,"一致","不一致"))</x:f>
        <x:v>不一致</x:v>
      </x:c>
      <x:c r="F1446" s="19" t="str">
        <x:v>approved</x:v>
      </x:c>
      <x:c r="G1446" s="19" t="str">
        <x:v>Repairer Invoiced Processed</x:v>
      </x:c>
      <x:c r="H1446" s="19" t="str">
        <x:v>In Field</x:v>
      </x:c>
      <x:c r="I1446" s="37" t="n">
        <x:v>46190</x:v>
      </x:c>
      <x:c r="J1446" s="37" t="n">
        <x:v>46190</x:v>
      </x:c>
      <x:c r="K1446" s="19" t="str">
        <x:v>Vanari Caravans - Marden Point</x:v>
      </x:c>
      <x:c r="L1446" s="19" t="str">
        <x:v>Z006</x:v>
      </x:c>
      <x:c r="M1446" s="19" t="str">
        <x:v>In Field Warranty Claims</x:v>
      </x:c>
      <x:c r="N1446" s="37" t="n">
        <x:v>46149</x:v>
      </x:c>
      <x:c r="O1446" s="37"/>
      <x:c r="P1446" s="34" t="n">
        <x:v>896.35</x:v>
      </x:c>
      <x:c r="Q1446" s="37" t="n">
        <x:v>46190.070023148146</x:v>
      </x:c>
    </x:row>
    <x:row r="1447">
      <x:c r="A1447" s="22" t="n">
        <x:v>34580</x:v>
      </x:c>
      <x:c r="B1447" s="28" t="n">
        <x:v>320</x:v>
      </x:c>
      <x:c r="C1447" s="28" t="n">
        <x:v>352</x:v>
      </x:c>
      <x:c r="D1447" s="31" t="n">
        <x:f>IF(OR(ISBLANK(B1447),ISBLANK(C1447),B1447=0),"",(C1447-B1447)/B1447)</x:f>
        <x:v>0.1</x:v>
      </x:c>
      <x:c r="E1447" s="22" t="str">
        <x:f>IF(ISBLANK(C1447),"AmountIncludingTax缺失",IF(ABS(B1447-C1447)&lt;0.005,"一致","不一致"))</x:f>
        <x:v>不一致</x:v>
      </x:c>
      <x:c r="F1447" s="19" t="str">
        <x:v>approved</x:v>
      </x:c>
      <x:c r="G1447" s="19" t="str">
        <x:v>Repairer Invoiced Processed</x:v>
      </x:c>
      <x:c r="H1447" s="19" t="str">
        <x:v>In Field</x:v>
      </x:c>
      <x:c r="I1447" s="37" t="n">
        <x:v>46164</x:v>
      </x:c>
      <x:c r="J1447" s="37" t="n">
        <x:v>46164</x:v>
      </x:c>
      <x:c r="K1447" s="19" t="str">
        <x:v>Green RV - Forest Glen</x:v>
      </x:c>
      <x:c r="L1447" s="19" t="str">
        <x:v>Z006</x:v>
      </x:c>
      <x:c r="M1447" s="19" t="str">
        <x:v>In Field Warranty Claims</x:v>
      </x:c>
      <x:c r="N1447" s="37" t="n">
        <x:v>46149</x:v>
      </x:c>
      <x:c r="O1447" s="37"/>
      <x:c r="P1447" s="34" t="n">
        <x:v>352</x:v>
      </x:c>
      <x:c r="Q1447" s="37" t="n">
        <x:v>46163.9921875</x:v>
      </x:c>
    </x:row>
    <x:row r="1448">
      <x:c r="A1448" s="22" t="n">
        <x:v>34579</x:v>
      </x:c>
      <x:c r="B1448" s="28" t="n">
        <x:v>135</x:v>
      </x:c>
      <x:c r="C1448" s="28"/>
      <x:c r="D1448" s="31" t="str">
        <x:f>IF(OR(ISBLANK(B1448),ISBLANK(C1448),B1448=0),"",(C1448-B1448)/B1448)</x:f>
      </x:c>
      <x:c r="E1448" s="22" t="str">
        <x:f>IF(ISBLANK(C1448),"AmountIncludingTax缺失",IF(ABS(B1448-C1448)&lt;0.005,"一致","不一致"))</x:f>
        <x:v>AmountIncludingTax缺失</x:v>
      </x:c>
      <x:c r="F1448" s="19" t="str">
        <x:v>approved</x:v>
      </x:c>
      <x:c r="G1448" s="19" t="str">
        <x:v>Repairer Invoiced Processed</x:v>
      </x:c>
      <x:c r="H1448" s="19" t="str">
        <x:v>In Field</x:v>
      </x:c>
      <x:c r="I1448" s="37" t="n">
        <x:v>46153</x:v>
      </x:c>
      <x:c r="J1448" s="37" t="n">
        <x:v>46153</x:v>
      </x:c>
      <x:c r="K1448" s="19" t="str">
        <x:v>Destiny RV - South Australia</x:v>
      </x:c>
      <x:c r="L1448" s="19" t="str">
        <x:v>Z006</x:v>
      </x:c>
      <x:c r="M1448" s="19" t="str">
        <x:v>In Field Warranty Claims</x:v>
      </x:c>
      <x:c r="N1448" s="37" t="n">
        <x:v>46149</x:v>
      </x:c>
      <x:c r="O1448" s="37"/>
      <x:c r="P1448" s="34" t="n">
        <x:v>0</x:v>
      </x:c>
      <x:c r="Q1448" s="37" t="n">
        <x:v>46153.04960648148</x:v>
      </x:c>
    </x:row>
    <x:row r="1449">
      <x:c r="A1449" s="22" t="n">
        <x:v>34578</x:v>
      </x:c>
      <x:c r="B1449" s="28" t="n">
        <x:v>617.5</x:v>
      </x:c>
      <x:c r="C1449" s="28"/>
      <x:c r="D1449" s="31" t="str">
        <x:f>IF(OR(ISBLANK(B1449),ISBLANK(C1449),B1449=0),"",(C1449-B1449)/B1449)</x:f>
      </x:c>
      <x:c r="E1449" s="22" t="str">
        <x:f>IF(ISBLANK(C1449),"AmountIncludingTax缺失",IF(ABS(B1449-C1449)&lt;0.005,"一致","不一致"))</x:f>
        <x:v>AmountIncludingTax缺失</x:v>
      </x:c>
      <x:c r="F1449" s="19" t="str">
        <x:v>approved</x:v>
      </x:c>
      <x:c r="G1449" s="19" t="str">
        <x:v>Repair in Progress</x:v>
      </x:c>
      <x:c r="H1449" s="19" t="str">
        <x:v>Pre Delivery</x:v>
      </x:c>
      <x:c r="I1449" s="37" t="n">
        <x:v>46150</x:v>
      </x:c>
      <x:c r="J1449" s="37" t="n">
        <x:v>46150</x:v>
      </x:c>
      <x:c r="K1449" s="19" t="str">
        <x:v>Snowy River Geelong</x:v>
      </x:c>
      <x:c r="L1449" s="19" t="str">
        <x:v>Z005</x:v>
      </x:c>
      <x:c r="M1449" s="19" t="str">
        <x:v>Pre Delivery Warranty Claims</x:v>
      </x:c>
      <x:c r="N1449" s="37" t="n">
        <x:v>46149</x:v>
      </x:c>
      <x:c r="O1449" s="37"/>
      <x:c r="P1449" s="34" t="n">
        <x:v>0</x:v>
      </x:c>
      <x:c r="Q1449" s="37" t="n">
        <x:v>46150.101875</x:v>
      </x:c>
    </x:row>
    <x:row r="1450">
      <x:c r="A1450" s="22" t="n">
        <x:v>34576</x:v>
      </x:c>
      <x:c r="B1450" s="28" t="n">
        <x:v>951.25</x:v>
      </x:c>
      <x:c r="C1450" s="28"/>
      <x:c r="D1450" s="31" t="str">
        <x:f>IF(OR(ISBLANK(B1450),ISBLANK(C1450),B1450=0),"",(C1450-B1450)/B1450)</x:f>
      </x:c>
      <x:c r="E1450" s="22" t="str">
        <x:f>IF(ISBLANK(C1450),"AmountIncludingTax缺失",IF(ABS(B1450-C1450)&lt;0.005,"一致","不一致"))</x:f>
        <x:v>AmountIncludingTax缺失</x:v>
      </x:c>
      <x:c r="F1450" s="19" t="str">
        <x:v>approved</x:v>
      </x:c>
      <x:c r="G1450" s="19" t="str">
        <x:v>Repair in Progress</x:v>
      </x:c>
      <x:c r="H1450" s="19" t="str">
        <x:v>In Field</x:v>
      </x:c>
      <x:c r="I1450" s="37" t="n">
        <x:v>46167</x:v>
      </x:c>
      <x:c r="J1450" s="37" t="n">
        <x:v>46167</x:v>
      </x:c>
      <x:c r="K1450" s="19" t="str">
        <x:v>Regent RV - Toowoomba</x:v>
      </x:c>
      <x:c r="L1450" s="19" t="str">
        <x:v>Z006</x:v>
      </x:c>
      <x:c r="M1450" s="19" t="str">
        <x:v>In Field Warranty Claims</x:v>
      </x:c>
      <x:c r="N1450" s="37" t="n">
        <x:v>46149</x:v>
      </x:c>
      <x:c r="O1450" s="37"/>
      <x:c r="P1450" s="34" t="n">
        <x:v>0</x:v>
      </x:c>
      <x:c r="Q1450" s="37" t="n">
        <x:v>46167.029699074075</x:v>
      </x:c>
    </x:row>
    <x:row r="1451">
      <x:c r="A1451" s="22" t="n">
        <x:v>34575</x:v>
      </x:c>
      <x:c r="B1451" s="28" t="n">
        <x:v>514.1</x:v>
      </x:c>
      <x:c r="C1451" s="28"/>
      <x:c r="D1451" s="31" t="str">
        <x:f>IF(OR(ISBLANK(B1451),ISBLANK(C1451),B1451=0),"",(C1451-B1451)/B1451)</x:f>
      </x:c>
      <x:c r="E1451" s="22" t="str">
        <x:f>IF(ISBLANK(C1451),"AmountIncludingTax缺失",IF(ABS(B1451-C1451)&lt;0.005,"一致","不一致"))</x:f>
        <x:v>AmountIncludingTax缺失</x:v>
      </x:c>
      <x:c r="F1451" s="19" t="str">
        <x:v>approved</x:v>
      </x:c>
      <x:c r="G1451" s="19" t="str">
        <x:v>Sales Order Approved</x:v>
      </x:c>
      <x:c r="H1451" s="19" t="str">
        <x:v>Pre Delivery</x:v>
      </x:c>
      <x:c r="I1451" s="37" t="n">
        <x:v>46206</x:v>
      </x:c>
      <x:c r="J1451" s="37" t="n">
        <x:v>46206</x:v>
      </x:c>
      <x:c r="K1451" s="19" t="str">
        <x:v>Destiny RV - South Australia</x:v>
      </x:c>
      <x:c r="L1451" s="19" t="str">
        <x:v>Z005</x:v>
      </x:c>
      <x:c r="M1451" s="19" t="str">
        <x:v>Pre Delivery Warranty Claims</x:v>
      </x:c>
      <x:c r="N1451" s="37" t="n">
        <x:v>46149</x:v>
      </x:c>
      <x:c r="O1451" s="37" t="n">
        <x:v>46199</x:v>
      </x:c>
      <x:c r="P1451" s="34" t="n">
        <x:v>0</x:v>
      </x:c>
      <x:c r="Q1451" s="37" t="n">
        <x:v>46206.225173611114</x:v>
      </x:c>
    </x:row>
    <x:row r="1452">
      <x:c r="A1452" s="22" t="n">
        <x:v>34574</x:v>
      </x:c>
      <x:c r="B1452" s="28" t="n">
        <x:v>38.75</x:v>
      </x:c>
      <x:c r="C1452" s="28"/>
      <x:c r="D1452" s="31" t="str">
        <x:f>IF(OR(ISBLANK(B1452),ISBLANK(C1452),B1452=0),"",(C1452-B1452)/B1452)</x:f>
      </x:c>
      <x:c r="E1452" s="22" t="str">
        <x:f>IF(ISBLANK(C1452),"AmountIncludingTax缺失",IF(ABS(B1452-C1452)&lt;0.005,"一致","不一致"))</x:f>
        <x:v>AmountIncludingTax缺失</x:v>
      </x:c>
      <x:c r="F1452" s="19" t="str">
        <x:v>approved</x:v>
      </x:c>
      <x:c r="G1452" s="19" t="str">
        <x:v>Repair in Progress</x:v>
      </x:c>
      <x:c r="H1452" s="19" t="str">
        <x:v>Pre Delivery</x:v>
      </x:c>
      <x:c r="I1452" s="37" t="n">
        <x:v>46149</x:v>
      </x:c>
      <x:c r="J1452" s="37" t="n">
        <x:v>46149</x:v>
      </x:c>
      <x:c r="K1452" s="19" t="str">
        <x:v>Snowy River Geelong</x:v>
      </x:c>
      <x:c r="L1452" s="19" t="str">
        <x:v>Z005</x:v>
      </x:c>
      <x:c r="M1452" s="19" t="str">
        <x:v>Pre Delivery Warranty Claims</x:v>
      </x:c>
      <x:c r="N1452" s="37" t="n">
        <x:v>46149</x:v>
      </x:c>
      <x:c r="O1452" s="37"/>
      <x:c r="P1452" s="34" t="n">
        <x:v>0</x:v>
      </x:c>
      <x:c r="Q1452" s="37" t="n">
        <x:v>46149.43418981481</x:v>
      </x:c>
    </x:row>
    <x:row r="1453">
      <x:c r="A1453" s="22" t="n">
        <x:v>34572</x:v>
      </x:c>
      <x:c r="B1453" s="28" t="n">
        <x:v>165</x:v>
      </x:c>
      <x:c r="C1453" s="28" t="n">
        <x:v>149.39</x:v>
      </x:c>
      <x:c r="D1453" s="31" t="n">
        <x:f>IF(OR(ISBLANK(B1453),ISBLANK(C1453),B1453=0),"",(C1453-B1453)/B1453)</x:f>
        <x:v>-0.0946060606060607</x:v>
      </x:c>
      <x:c r="E1453" s="22" t="str">
        <x:f>IF(ISBLANK(C1453),"AmountIncludingTax缺失",IF(ABS(B1453-C1453)&lt;0.005,"一致","不一致"))</x:f>
        <x:v>不一致</x:v>
      </x:c>
      <x:c r="F1453" s="19" t="str">
        <x:v>approved</x:v>
      </x:c>
      <x:c r="G1453" s="19" t="str">
        <x:v>Repairer Invoiced Processed</x:v>
      </x:c>
      <x:c r="H1453" s="19" t="str">
        <x:v>Pre Delivery</x:v>
      </x:c>
      <x:c r="I1453" s="37" t="n">
        <x:v>46154</x:v>
      </x:c>
      <x:c r="J1453" s="37" t="n">
        <x:v>46154</x:v>
      </x:c>
      <x:c r="K1453" s="19" t="str">
        <x:v>Vanari Caravans - Marden Point</x:v>
      </x:c>
      <x:c r="L1453" s="19" t="str">
        <x:v>Z005</x:v>
      </x:c>
      <x:c r="M1453" s="19" t="str">
        <x:v>Pre Delivery Warranty Claims</x:v>
      </x:c>
      <x:c r="N1453" s="37" t="n">
        <x:v>46149</x:v>
      </x:c>
      <x:c r="O1453" s="37"/>
      <x:c r="P1453" s="34" t="n">
        <x:v>149.39</x:v>
      </x:c>
      <x:c r="Q1453" s="37" t="n">
        <x:v>46154.063784722224</x:v>
      </x:c>
    </x:row>
    <x:row r="1454">
      <x:c r="A1454" s="22" t="n">
        <x:v>34571</x:v>
      </x:c>
      <x:c r="B1454" s="28" t="n">
        <x:v>2048.25</x:v>
      </x:c>
      <x:c r="C1454" s="28"/>
      <x:c r="D1454" s="31" t="str">
        <x:f>IF(OR(ISBLANK(B1454),ISBLANK(C1454),B1454=0),"",(C1454-B1454)/B1454)</x:f>
      </x:c>
      <x:c r="E1454" s="22" t="str">
        <x:f>IF(ISBLANK(C1454),"AmountIncludingTax缺失",IF(ABS(B1454-C1454)&lt;0.005,"一致","不一致"))</x:f>
        <x:v>AmountIncludingTax缺失</x:v>
      </x:c>
      <x:c r="F1454" s="19" t="str">
        <x:v>approved</x:v>
      </x:c>
      <x:c r="G1454" s="19" t="str">
        <x:v>Repair in Progress</x:v>
      </x:c>
      <x:c r="H1454" s="19" t="str">
        <x:v>In Field</x:v>
      </x:c>
      <x:c r="I1454" s="37" t="n">
        <x:v>46153</x:v>
      </x:c>
      <x:c r="J1454" s="37" t="n">
        <x:v>46153</x:v>
      </x:c>
      <x:c r="K1454" s="19" t="str">
        <x:v>Regent RV - Perth</x:v>
      </x:c>
      <x:c r="L1454" s="19" t="str">
        <x:v>Z006</x:v>
      </x:c>
      <x:c r="M1454" s="19" t="str">
        <x:v>In Field Warranty Claims</x:v>
      </x:c>
      <x:c r="N1454" s="37" t="n">
        <x:v>46148</x:v>
      </x:c>
      <x:c r="O1454" s="37"/>
      <x:c r="P1454" s="34" t="n">
        <x:v>2253.08</x:v>
      </x:c>
      <x:c r="Q1454" s="37" t="n">
        <x:v>46153.028125</x:v>
      </x:c>
    </x:row>
    <x:row r="1455">
      <x:c r="A1455" s="22" t="n">
        <x:v>34570</x:v>
      </x:c>
      <x:c r="B1455" s="28" t="n">
        <x:v>405</x:v>
      </x:c>
      <x:c r="C1455" s="28" t="n">
        <x:v>445.5</x:v>
      </x:c>
      <x:c r="D1455" s="31" t="n">
        <x:f>IF(OR(ISBLANK(B1455),ISBLANK(C1455),B1455=0),"",(C1455-B1455)/B1455)</x:f>
        <x:v>0.1</x:v>
      </x:c>
      <x:c r="E1455" s="22" t="str">
        <x:f>IF(ISBLANK(C1455),"AmountIncludingTax缺失",IF(ABS(B1455-C1455)&lt;0.005,"一致","不一致"))</x:f>
        <x:v>不一致</x:v>
      </x:c>
      <x:c r="F1455" s="19" t="str">
        <x:v>approved</x:v>
      </x:c>
      <x:c r="G1455" s="19" t="str">
        <x:v>Repair in Progress</x:v>
      </x:c>
      <x:c r="H1455" s="19" t="str">
        <x:v>Pre Delivery</x:v>
      </x:c>
      <x:c r="I1455" s="37" t="n">
        <x:v>46212</x:v>
      </x:c>
      <x:c r="J1455" s="37" t="n">
        <x:v>46212</x:v>
      </x:c>
      <x:c r="K1455" s="19" t="str">
        <x:v>Leisure Lion - Bundaberg</x:v>
      </x:c>
      <x:c r="L1455" s="19" t="str">
        <x:v>Z005</x:v>
      </x:c>
      <x:c r="M1455" s="19" t="str">
        <x:v>Pre Delivery Warranty Claims</x:v>
      </x:c>
      <x:c r="N1455" s="37" t="n">
        <x:v>46149</x:v>
      </x:c>
      <x:c r="O1455" s="37"/>
      <x:c r="P1455" s="34" t="n">
        <x:v>445.5</x:v>
      </x:c>
      <x:c r="Q1455" s="37" t="n">
        <x:v>46212.05905092593</x:v>
      </x:c>
    </x:row>
    <x:row r="1456">
      <x:c r="A1456" s="22" t="n">
        <x:v>34569</x:v>
      </x:c>
      <x:c r="B1456" s="28" t="n">
        <x:v>512.5</x:v>
      </x:c>
      <x:c r="C1456" s="28"/>
      <x:c r="D1456" s="31" t="str">
        <x:f>IF(OR(ISBLANK(B1456),ISBLANK(C1456),B1456=0),"",(C1456-B1456)/B1456)</x:f>
      </x:c>
      <x:c r="E1456" s="22" t="str">
        <x:f>IF(ISBLANK(C1456),"AmountIncludingTax缺失",IF(ABS(B1456-C1456)&lt;0.005,"一致","不一致"))</x:f>
        <x:v>AmountIncludingTax缺失</x:v>
      </x:c>
      <x:c r="F1456" s="19" t="str">
        <x:v>approved</x:v>
      </x:c>
      <x:c r="G1456" s="19" t="str">
        <x:v>Repair in Progress</x:v>
      </x:c>
      <x:c r="H1456" s="19" t="str">
        <x:v>Pre Delivery</x:v>
      </x:c>
      <x:c r="I1456" s="37" t="n">
        <x:v>46149</x:v>
      </x:c>
      <x:c r="J1456" s="37" t="n">
        <x:v>46149</x:v>
      </x:c>
      <x:c r="K1456" s="19" t="str">
        <x:v>Snowy River Geelong</x:v>
      </x:c>
      <x:c r="L1456" s="19" t="str">
        <x:v>Z005</x:v>
      </x:c>
      <x:c r="M1456" s="19" t="str">
        <x:v>Pre Delivery Warranty Claims</x:v>
      </x:c>
      <x:c r="N1456" s="37" t="n">
        <x:v>46149</x:v>
      </x:c>
      <x:c r="O1456" s="37"/>
      <x:c r="P1456" s="34" t="n">
        <x:v>0</x:v>
      </x:c>
      <x:c r="Q1456" s="37" t="n">
        <x:v>46149.434016203704</x:v>
      </x:c>
    </x:row>
    <x:row r="1457">
      <x:c r="A1457" s="22" t="n">
        <x:v>34567</x:v>
      </x:c>
      <x:c r="B1457" s="28" t="n">
        <x:v>992.5</x:v>
      </x:c>
      <x:c r="C1457" s="28"/>
      <x:c r="D1457" s="31" t="str">
        <x:f>IF(OR(ISBLANK(B1457),ISBLANK(C1457),B1457=0),"",(C1457-B1457)/B1457)</x:f>
      </x:c>
      <x:c r="E1457" s="22" t="str">
        <x:f>IF(ISBLANK(C1457),"AmountIncludingTax缺失",IF(ABS(B1457-C1457)&lt;0.005,"一致","不一致"))</x:f>
        <x:v>AmountIncludingTax缺失</x:v>
      </x:c>
      <x:c r="F1457" s="19" t="str">
        <x:v>approved</x:v>
      </x:c>
      <x:c r="G1457" s="19" t="str">
        <x:v>Repair in Progress</x:v>
      </x:c>
      <x:c r="H1457" s="19" t="str">
        <x:v>In Field</x:v>
      </x:c>
      <x:c r="I1457" s="37" t="n">
        <x:v>46155</x:v>
      </x:c>
      <x:c r="J1457" s="37" t="n">
        <x:v>46155</x:v>
      </x:c>
      <x:c r="K1457" s="19" t="str">
        <x:v>Destiny RV - South Australia</x:v>
      </x:c>
      <x:c r="L1457" s="19" t="str">
        <x:v>Z006</x:v>
      </x:c>
      <x:c r="M1457" s="19" t="str">
        <x:v>In Field Warranty Claims</x:v>
      </x:c>
      <x:c r="N1457" s="37" t="n">
        <x:v>46149</x:v>
      </x:c>
      <x:c r="O1457" s="37"/>
      <x:c r="P1457" s="34" t="n">
        <x:v>0</x:v>
      </x:c>
      <x:c r="Q1457" s="37" t="n">
        <x:v>46155.20298611111</x:v>
      </x:c>
    </x:row>
    <x:row r="1458">
      <x:c r="A1458" s="22" t="n">
        <x:v>34566</x:v>
      </x:c>
      <x:c r="B1458" s="28" t="n">
        <x:v>77.5</x:v>
      </x:c>
      <x:c r="C1458" s="28"/>
      <x:c r="D1458" s="31" t="str">
        <x:f>IF(OR(ISBLANK(B1458),ISBLANK(C1458),B1458=0),"",(C1458-B1458)/B1458)</x:f>
      </x:c>
      <x:c r="E1458" s="22" t="str">
        <x:f>IF(ISBLANK(C1458),"AmountIncludingTax缺失",IF(ABS(B1458-C1458)&lt;0.005,"一致","不一致"))</x:f>
        <x:v>AmountIncludingTax缺失</x:v>
      </x:c>
      <x:c r="F1458" s="19" t="str">
        <x:v>approved</x:v>
      </x:c>
      <x:c r="G1458" s="19" t="str">
        <x:v>Repair in Progress</x:v>
      </x:c>
      <x:c r="H1458" s="19" t="str">
        <x:v>Pre Delivery</x:v>
      </x:c>
      <x:c r="I1458" s="37" t="n">
        <x:v>46149</x:v>
      </x:c>
      <x:c r="J1458" s="37" t="n">
        <x:v>46149</x:v>
      </x:c>
      <x:c r="K1458" s="19" t="str">
        <x:v>Snowy River Geelong</x:v>
      </x:c>
      <x:c r="L1458" s="19" t="str">
        <x:v>Z005</x:v>
      </x:c>
      <x:c r="M1458" s="19" t="str">
        <x:v>Pre Delivery Warranty Claims</x:v>
      </x:c>
      <x:c r="N1458" s="37" t="n">
        <x:v>46149</x:v>
      </x:c>
      <x:c r="O1458" s="37"/>
      <x:c r="P1458" s="34" t="n">
        <x:v>0</x:v>
      </x:c>
      <x:c r="Q1458" s="37" t="n">
        <x:v>46149.433854166666</x:v>
      </x:c>
    </x:row>
    <x:row r="1459">
      <x:c r="A1459" s="22" t="n">
        <x:v>34565</x:v>
      </x:c>
      <x:c r="B1459" s="28" t="n">
        <x:v>435</x:v>
      </x:c>
      <x:c r="C1459" s="28"/>
      <x:c r="D1459" s="31" t="str">
        <x:f>IF(OR(ISBLANK(B1459),ISBLANK(C1459),B1459=0),"",(C1459-B1459)/B1459)</x:f>
      </x:c>
      <x:c r="E1459" s="22" t="str">
        <x:f>IF(ISBLANK(C1459),"AmountIncludingTax缺失",IF(ABS(B1459-C1459)&lt;0.005,"一致","不一致"))</x:f>
        <x:v>AmountIncludingTax缺失</x:v>
      </x:c>
      <x:c r="F1459" s="19" t="str">
        <x:v>approved</x:v>
      </x:c>
      <x:c r="G1459" s="19" t="str">
        <x:v>Repair in Progress</x:v>
      </x:c>
      <x:c r="H1459" s="19" t="str">
        <x:v>Pre Delivery</x:v>
      </x:c>
      <x:c r="I1459" s="37" t="n">
        <x:v>46149</x:v>
      </x:c>
      <x:c r="J1459" s="37" t="n">
        <x:v>46149</x:v>
      </x:c>
      <x:c r="K1459" s="19" t="str">
        <x:v>Snowy River Geelong</x:v>
      </x:c>
      <x:c r="L1459" s="19" t="str">
        <x:v>Z005</x:v>
      </x:c>
      <x:c r="M1459" s="19" t="str">
        <x:v>Pre Delivery Warranty Claims</x:v>
      </x:c>
      <x:c r="N1459" s="37" t="n">
        <x:v>46148</x:v>
      </x:c>
      <x:c r="O1459" s="37"/>
      <x:c r="P1459" s="34" t="n">
        <x:v>0</x:v>
      </x:c>
      <x:c r="Q1459" s="37" t="n">
        <x:v>46149.433657407404</x:v>
      </x:c>
    </x:row>
    <x:row r="1460">
      <x:c r="A1460" s="22" t="n">
        <x:v>34564</x:v>
      </x:c>
      <x:c r="B1460" s="28" t="n">
        <x:v>780</x:v>
      </x:c>
      <x:c r="C1460" s="28"/>
      <x:c r="D1460" s="31" t="str">
        <x:f>IF(OR(ISBLANK(B1460),ISBLANK(C1460),B1460=0),"",(C1460-B1460)/B1460)</x:f>
      </x:c>
      <x:c r="E1460" s="22" t="str">
        <x:f>IF(ISBLANK(C1460),"AmountIncludingTax缺失",IF(ABS(B1460-C1460)&lt;0.005,"一致","不一致"))</x:f>
        <x:v>AmountIncludingTax缺失</x:v>
      </x:c>
      <x:c r="F1460" s="19" t="str">
        <x:v>approved</x:v>
      </x:c>
      <x:c r="G1460" s="19" t="str">
        <x:v>Repair in Progress</x:v>
      </x:c>
      <x:c r="H1460" s="19" t="str">
        <x:v>In Field</x:v>
      </x:c>
      <x:c r="I1460" s="37" t="n">
        <x:v>46150</x:v>
      </x:c>
      <x:c r="J1460" s="37" t="n">
        <x:v>46150</x:v>
      </x:c>
      <x:c r="K1460" s="19" t="str">
        <x:v>Snowy River Wangaratta</x:v>
      </x:c>
      <x:c r="L1460" s="19" t="str">
        <x:v>Z006</x:v>
      </x:c>
      <x:c r="M1460" s="19" t="str">
        <x:v>In Field Warranty Claims</x:v>
      </x:c>
      <x:c r="N1460" s="37" t="n">
        <x:v>46148</x:v>
      </x:c>
      <x:c r="O1460" s="37"/>
      <x:c r="P1460" s="34" t="n">
        <x:v>0</x:v>
      </x:c>
      <x:c r="Q1460" s="37" t="n">
        <x:v>46150.19201388889</x:v>
      </x:c>
    </x:row>
    <x:row r="1461">
      <x:c r="A1461" s="22" t="n">
        <x:v>34562</x:v>
      </x:c>
      <x:c r="B1461" s="28" t="n">
        <x:v>405</x:v>
      </x:c>
      <x:c r="C1461" s="28"/>
      <x:c r="D1461" s="31" t="str">
        <x:f>IF(OR(ISBLANK(B1461),ISBLANK(C1461),B1461=0),"",(C1461-B1461)/B1461)</x:f>
      </x:c>
      <x:c r="E1461" s="22" t="str">
        <x:f>IF(ISBLANK(C1461),"AmountIncludingTax缺失",IF(ABS(B1461-C1461)&lt;0.005,"一致","不一致"))</x:f>
        <x:v>AmountIncludingTax缺失</x:v>
      </x:c>
      <x:c r="F1461" s="19" t="str">
        <x:v>approved</x:v>
      </x:c>
      <x:c r="G1461" s="19" t="str">
        <x:v>Sales Order Approved</x:v>
      </x:c>
      <x:c r="H1461" s="19" t="str">
        <x:v>Pre Delivery</x:v>
      </x:c>
      <x:c r="I1461" s="37" t="n">
        <x:v>46162</x:v>
      </x:c>
      <x:c r="J1461" s="37" t="n">
        <x:v>46162</x:v>
      </x:c>
      <x:c r="K1461" s="19" t="str">
        <x:v>Green RV - Forest Glen</x:v>
      </x:c>
      <x:c r="L1461" s="19" t="str">
        <x:v>Z005</x:v>
      </x:c>
      <x:c r="M1461" s="19" t="str">
        <x:v>Pre Delivery Warranty Claims</x:v>
      </x:c>
      <x:c r="N1461" s="37" t="n">
        <x:v>46148</x:v>
      </x:c>
      <x:c r="O1461" s="37"/>
      <x:c r="P1461" s="34" t="n">
        <x:v>0</x:v>
      </x:c>
      <x:c r="Q1461" s="37" t="n">
        <x:v>46162.23060185185</x:v>
      </x:c>
    </x:row>
    <x:row r="1462">
      <x:c r="A1462" s="22" t="n">
        <x:v>34561</x:v>
      </x:c>
      <x:c r="B1462" s="28" t="n">
        <x:v>135</x:v>
      </x:c>
      <x:c r="C1462" s="28"/>
      <x:c r="D1462" s="31" t="str">
        <x:f>IF(OR(ISBLANK(B1462),ISBLANK(C1462),B1462=0),"",(C1462-B1462)/B1462)</x:f>
      </x:c>
      <x:c r="E1462" s="22" t="str">
        <x:f>IF(ISBLANK(C1462),"AmountIncludingTax缺失",IF(ABS(B1462-C1462)&lt;0.005,"一致","不一致"))</x:f>
        <x:v>AmountIncludingTax缺失</x:v>
      </x:c>
      <x:c r="F1462" s="19" t="str">
        <x:v>approved</x:v>
      </x:c>
      <x:c r="G1462" s="19" t="str">
        <x:v>Repair in Progress</x:v>
      </x:c>
      <x:c r="H1462" s="19" t="str">
        <x:v>In Field</x:v>
      </x:c>
      <x:c r="I1462" s="37" t="n">
        <x:v>46149</x:v>
      </x:c>
      <x:c r="J1462" s="37" t="n">
        <x:v>46149</x:v>
      </x:c>
      <x:c r="K1462" s="19" t="str">
        <x:v>Dario Caravans -St.Marys</x:v>
      </x:c>
      <x:c r="L1462" s="19" t="str">
        <x:v>Z006</x:v>
      </x:c>
      <x:c r="M1462" s="19" t="str">
        <x:v>In Field Warranty Claims</x:v>
      </x:c>
      <x:c r="N1462" s="37" t="n">
        <x:v>46148</x:v>
      </x:c>
      <x:c r="O1462" s="37"/>
      <x:c r="P1462" s="34" t="n">
        <x:v>0</x:v>
      </x:c>
      <x:c r="Q1462" s="37" t="n">
        <x:v>46149.43318287037</x:v>
      </x:c>
    </x:row>
    <x:row r="1463">
      <x:c r="A1463" s="22" t="n">
        <x:v>34560</x:v>
      </x:c>
      <x:c r="B1463" s="28" t="n">
        <x:v>222.5</x:v>
      </x:c>
      <x:c r="C1463" s="28"/>
      <x:c r="D1463" s="31" t="str">
        <x:f>IF(OR(ISBLANK(B1463),ISBLANK(C1463),B1463=0),"",(C1463-B1463)/B1463)</x:f>
      </x:c>
      <x:c r="E1463" s="22" t="str">
        <x:f>IF(ISBLANK(C1463),"AmountIncludingTax缺失",IF(ABS(B1463-C1463)&lt;0.005,"一致","不一致"))</x:f>
        <x:v>AmountIncludingTax缺失</x:v>
      </x:c>
      <x:c r="F1463" s="19" t="str">
        <x:v>approved</x:v>
      </x:c>
      <x:c r="G1463" s="19" t="str">
        <x:v>Repair in Progress</x:v>
      </x:c>
      <x:c r="H1463" s="19" t="str">
        <x:v>Pre Delivery</x:v>
      </x:c>
      <x:c r="I1463" s="37" t="n">
        <x:v>46149</x:v>
      </x:c>
      <x:c r="J1463" s="37" t="n">
        <x:v>46149</x:v>
      </x:c>
      <x:c r="K1463" s="19" t="str">
        <x:v>Snowy River Geelong</x:v>
      </x:c>
      <x:c r="L1463" s="19" t="str">
        <x:v>Z005</x:v>
      </x:c>
      <x:c r="M1463" s="19" t="str">
        <x:v>Pre Delivery Warranty Claims</x:v>
      </x:c>
      <x:c r="N1463" s="37" t="n">
        <x:v>46148</x:v>
      </x:c>
      <x:c r="O1463" s="37"/>
      <x:c r="P1463" s="34" t="n">
        <x:v>0</x:v>
      </x:c>
      <x:c r="Q1463" s="37" t="n">
        <x:v>46149.432754629626</x:v>
      </x:c>
    </x:row>
    <x:row r="1464">
      <x:c r="A1464" s="22" t="n">
        <x:v>34559</x:v>
      </x:c>
      <x:c r="B1464" s="28" t="n">
        <x:v>2752.5</x:v>
      </x:c>
      <x:c r="C1464" s="28"/>
      <x:c r="D1464" s="31" t="str">
        <x:f>IF(OR(ISBLANK(B1464),ISBLANK(C1464),B1464=0),"",(C1464-B1464)/B1464)</x:f>
      </x:c>
      <x:c r="E1464" s="22" t="str">
        <x:f>IF(ISBLANK(C1464),"AmountIncludingTax缺失",IF(ABS(B1464-C1464)&lt;0.005,"一致","不一致"))</x:f>
        <x:v>AmountIncludingTax缺失</x:v>
      </x:c>
      <x:c r="F1464" s="19" t="str">
        <x:v>approved</x:v>
      </x:c>
      <x:c r="G1464" s="19" t="str">
        <x:v>Repairer Invoiced Processed</x:v>
      </x:c>
      <x:c r="H1464" s="19" t="str">
        <x:v>In Field</x:v>
      </x:c>
      <x:c r="I1464" s="37" t="n">
        <x:v>46167</x:v>
      </x:c>
      <x:c r="J1464" s="37" t="n">
        <x:v>46167</x:v>
      </x:c>
      <x:c r="K1464" s="19" t="str">
        <x:v>Green RV - Forest Glen</x:v>
      </x:c>
      <x:c r="L1464" s="19" t="str">
        <x:v>Z006</x:v>
      </x:c>
      <x:c r="M1464" s="19" t="str">
        <x:v>In Field Warranty Claims</x:v>
      </x:c>
      <x:c r="N1464" s="37" t="n">
        <x:v>46148</x:v>
      </x:c>
      <x:c r="O1464" s="37"/>
      <x:c r="P1464" s="34" t="n">
        <x:v>0</x:v>
      </x:c>
      <x:c r="Q1464" s="37" t="n">
        <x:v>46167.09479166667</x:v>
      </x:c>
    </x:row>
    <x:row r="1465">
      <x:c r="A1465" s="22" t="n">
        <x:v>34558</x:v>
      </x:c>
      <x:c r="B1465" s="28" t="n">
        <x:v>3510</x:v>
      </x:c>
      <x:c r="C1465" s="28"/>
      <x:c r="D1465" s="31" t="str">
        <x:f>IF(OR(ISBLANK(B1465),ISBLANK(C1465),B1465=0),"",(C1465-B1465)/B1465)</x:f>
      </x:c>
      <x:c r="E1465" s="22" t="str">
        <x:f>IF(ISBLANK(C1465),"AmountIncludingTax缺失",IF(ABS(B1465-C1465)&lt;0.005,"一致","不一致"))</x:f>
        <x:v>AmountIncludingTax缺失</x:v>
      </x:c>
      <x:c r="F1465" s="19" t="str">
        <x:v>approved</x:v>
      </x:c>
      <x:c r="G1465" s="19" t="str">
        <x:v>Repairer Invoiced Processed</x:v>
      </x:c>
      <x:c r="H1465" s="19" t="str">
        <x:v>In Field</x:v>
      </x:c>
      <x:c r="I1465" s="37" t="n">
        <x:v>46183</x:v>
      </x:c>
      <x:c r="J1465" s="37" t="n">
        <x:v>46183</x:v>
      </x:c>
      <x:c r="K1465" s="19" t="str">
        <x:v>Regent RV - Perth</x:v>
      </x:c>
      <x:c r="L1465" s="19" t="str">
        <x:v>Z006</x:v>
      </x:c>
      <x:c r="M1465" s="19" t="str">
        <x:v>In Field Warranty Claims</x:v>
      </x:c>
      <x:c r="N1465" s="37" t="n">
        <x:v>46148</x:v>
      </x:c>
      <x:c r="O1465" s="37"/>
      <x:c r="P1465" s="34" t="n">
        <x:v>3861</x:v>
      </x:c>
      <x:c r="Q1465" s="37" t="n">
        <x:v>46182.97</x:v>
      </x:c>
    </x:row>
    <x:row r="1466">
      <x:c r="A1466" s="22" t="n">
        <x:v>34557</x:v>
      </x:c>
      <x:c r="B1466" s="28" t="n">
        <x:v>436.36</x:v>
      </x:c>
      <x:c r="C1466" s="28"/>
      <x:c r="D1466" s="31" t="str">
        <x:f>IF(OR(ISBLANK(B1466),ISBLANK(C1466),B1466=0),"",(C1466-B1466)/B1466)</x:f>
      </x:c>
      <x:c r="E1466" s="22" t="str">
        <x:f>IF(ISBLANK(C1466),"AmountIncludingTax缺失",IF(ABS(B1466-C1466)&lt;0.005,"一致","不一致"))</x:f>
        <x:v>AmountIncludingTax缺失</x:v>
      </x:c>
      <x:c r="F1466" s="19" t="str">
        <x:v>approved</x:v>
      </x:c>
      <x:c r="G1466" s="19" t="str">
        <x:v>Repair in Progress</x:v>
      </x:c>
      <x:c r="H1466" s="19" t="str">
        <x:v>In Field</x:v>
      </x:c>
      <x:c r="I1466" s="37" t="n">
        <x:v>46154</x:v>
      </x:c>
      <x:c r="J1466" s="37" t="n">
        <x:v>46154</x:v>
      </x:c>
      <x:c r="K1466" s="19" t="str">
        <x:v>ABCO Caravans - Boambee Valley</x:v>
      </x:c>
      <x:c r="L1466" s="19" t="str">
        <x:v>Z006</x:v>
      </x:c>
      <x:c r="M1466" s="19" t="str">
        <x:v>In Field Warranty Claims</x:v>
      </x:c>
      <x:c r="N1466" s="37" t="n">
        <x:v>46148</x:v>
      </x:c>
      <x:c r="O1466" s="37"/>
      <x:c r="P1466" s="34" t="n">
        <x:v>0</x:v>
      </x:c>
      <x:c r="Q1466" s="37" t="n">
        <x:v>46153.97212962963</x:v>
      </x:c>
    </x:row>
    <x:row r="1467">
      <x:c r="A1467" s="22" t="n">
        <x:v>34556</x:v>
      </x:c>
      <x:c r="B1467" s="28" t="n">
        <x:v>67.5</x:v>
      </x:c>
      <x:c r="C1467" s="28"/>
      <x:c r="D1467" s="31" t="str">
        <x:f>IF(OR(ISBLANK(B1467),ISBLANK(C1467),B1467=0),"",(C1467-B1467)/B1467)</x:f>
      </x:c>
      <x:c r="E1467" s="22" t="str">
        <x:f>IF(ISBLANK(C1467),"AmountIncludingTax缺失",IF(ABS(B1467-C1467)&lt;0.005,"一致","不一致"))</x:f>
        <x:v>AmountIncludingTax缺失</x:v>
      </x:c>
      <x:c r="F1467" s="19" t="str">
        <x:v>approved</x:v>
      </x:c>
      <x:c r="G1467" s="19" t="str">
        <x:v>Repair in Progress</x:v>
      </x:c>
      <x:c r="H1467" s="19" t="str">
        <x:v>In Field</x:v>
      </x:c>
      <x:c r="I1467" s="37" t="n">
        <x:v>46160</x:v>
      </x:c>
      <x:c r="J1467" s="37" t="n">
        <x:v>46160</x:v>
      </x:c>
      <x:c r="K1467" s="19" t="str">
        <x:v>Snowy River Wangaratta</x:v>
      </x:c>
      <x:c r="L1467" s="19" t="str">
        <x:v>Z006</x:v>
      </x:c>
      <x:c r="M1467" s="19" t="str">
        <x:v>In Field Warranty Claims</x:v>
      </x:c>
      <x:c r="N1467" s="37" t="n">
        <x:v>46148</x:v>
      </x:c>
      <x:c r="O1467" s="37"/>
      <x:c r="P1467" s="34" t="n">
        <x:v>0</x:v>
      </x:c>
      <x:c r="Q1467" s="37" t="n">
        <x:v>46160.129537037035</x:v>
      </x:c>
    </x:row>
    <x:row r="1468">
      <x:c r="A1468" s="22" t="n">
        <x:v>34555</x:v>
      </x:c>
      <x:c r="B1468" s="28" t="n">
        <x:v>270</x:v>
      </x:c>
      <x:c r="C1468" s="28"/>
      <x:c r="D1468" s="31" t="str">
        <x:f>IF(OR(ISBLANK(B1468),ISBLANK(C1468),B1468=0),"",(C1468-B1468)/B1468)</x:f>
      </x:c>
      <x:c r="E1468" s="22" t="str">
        <x:f>IF(ISBLANK(C1468),"AmountIncludingTax缺失",IF(ABS(B1468-C1468)&lt;0.005,"一致","不一致"))</x:f>
        <x:v>AmountIncludingTax缺失</x:v>
      </x:c>
      <x:c r="F1468" s="19" t="str">
        <x:v>approved</x:v>
      </x:c>
      <x:c r="G1468" s="19" t="str">
        <x:v>Repairer Invoiced Processed</x:v>
      </x:c>
      <x:c r="H1468" s="19" t="str">
        <x:v>In Field</x:v>
      </x:c>
      <x:c r="I1468" s="37" t="n">
        <x:v>46149</x:v>
      </x:c>
      <x:c r="J1468" s="37" t="n">
        <x:v>46149</x:v>
      </x:c>
      <x:c r="K1468" s="19" t="str">
        <x:v>Green RV - Forest Glen</x:v>
      </x:c>
      <x:c r="L1468" s="19" t="str">
        <x:v>Z006</x:v>
      </x:c>
      <x:c r="M1468" s="19" t="str">
        <x:v>In Field Warranty Claims</x:v>
      </x:c>
      <x:c r="N1468" s="37" t="n">
        <x:v>46148</x:v>
      </x:c>
      <x:c r="O1468" s="37"/>
      <x:c r="P1468" s="34" t="n">
        <x:v>0</x:v>
      </x:c>
      <x:c r="Q1468" s="37" t="n">
        <x:v>46149.072743055556</x:v>
      </x:c>
    </x:row>
    <x:row r="1469">
      <x:c r="A1469" s="22" t="n">
        <x:v>34554</x:v>
      </x:c>
      <x:c r="B1469" s="28" t="n">
        <x:v>67.5</x:v>
      </x:c>
      <x:c r="C1469" s="28"/>
      <x:c r="D1469" s="31" t="str">
        <x:f>IF(OR(ISBLANK(B1469),ISBLANK(C1469),B1469=0),"",(C1469-B1469)/B1469)</x:f>
      </x:c>
      <x:c r="E1469" s="22" t="str">
        <x:f>IF(ISBLANK(C1469),"AmountIncludingTax缺失",IF(ABS(B1469-C1469)&lt;0.005,"一致","不一致"))</x:f>
        <x:v>AmountIncludingTax缺失</x:v>
      </x:c>
      <x:c r="F1469" s="19" t="str">
        <x:v>approved</x:v>
      </x:c>
      <x:c r="G1469" s="19" t="str">
        <x:v>Repair in Progress</x:v>
      </x:c>
      <x:c r="H1469" s="19" t="str">
        <x:v>Pre Delivery</x:v>
      </x:c>
      <x:c r="I1469" s="37" t="n">
        <x:v>46161</x:v>
      </x:c>
      <x:c r="J1469" s="37" t="n">
        <x:v>46161</x:v>
      </x:c>
      <x:c r="K1469" s="19" t="str">
        <x:v>Regent RV - Perth</x:v>
      </x:c>
      <x:c r="L1469" s="19" t="str">
        <x:v>Z005</x:v>
      </x:c>
      <x:c r="M1469" s="19" t="str">
        <x:v>Pre Delivery Warranty Claims</x:v>
      </x:c>
      <x:c r="N1469" s="37" t="n">
        <x:v>46148</x:v>
      </x:c>
      <x:c r="O1469" s="37"/>
      <x:c r="P1469" s="34" t="n">
        <x:v>0</x:v>
      </x:c>
      <x:c r="Q1469" s="37" t="n">
        <x:v>46161.06747685185</x:v>
      </x:c>
    </x:row>
    <x:row r="1470">
      <x:c r="A1470" s="22" t="n">
        <x:v>34553</x:v>
      </x:c>
      <x:c r="B1470" s="28" t="n">
        <x:v>165</x:v>
      </x:c>
      <x:c r="C1470" s="28"/>
      <x:c r="D1470" s="31" t="str">
        <x:f>IF(OR(ISBLANK(B1470),ISBLANK(C1470),B1470=0),"",(C1470-B1470)/B1470)</x:f>
      </x:c>
      <x:c r="E1470" s="22" t="str">
        <x:f>IF(ISBLANK(C1470),"AmountIncludingTax缺失",IF(ABS(B1470-C1470)&lt;0.005,"一致","不一致"))</x:f>
        <x:v>AmountIncludingTax缺失</x:v>
      </x:c>
      <x:c r="F1470" s="19" t="str">
        <x:v>approved</x:v>
      </x:c>
      <x:c r="G1470" s="19" t="str">
        <x:v>Sales Order Approved</x:v>
      </x:c>
      <x:c r="H1470" s="19" t="str">
        <x:v>Pre Delivery</x:v>
      </x:c>
      <x:c r="I1470" s="37" t="n">
        <x:v>46155</x:v>
      </x:c>
      <x:c r="J1470" s="37" t="n">
        <x:v>46155</x:v>
      </x:c>
      <x:c r="K1470" s="19" t="str">
        <x:v>Vanari Caravans - Marden Point</x:v>
      </x:c>
      <x:c r="L1470" s="19" t="str">
        <x:v>Z005</x:v>
      </x:c>
      <x:c r="M1470" s="19" t="str">
        <x:v>Pre Delivery Warranty Claims</x:v>
      </x:c>
      <x:c r="N1470" s="37" t="n">
        <x:v>46148</x:v>
      </x:c>
      <x:c r="O1470" s="37"/>
      <x:c r="P1470" s="34" t="n">
        <x:v>0</x:v>
      </x:c>
      <x:c r="Q1470" s="37" t="n">
        <x:v>46155.50271990741</x:v>
      </x:c>
    </x:row>
    <x:row r="1471">
      <x:c r="A1471" s="22" t="n">
        <x:v>34552</x:v>
      </x:c>
      <x:c r="B1471" s="28" t="n">
        <x:v>270</x:v>
      </x:c>
      <x:c r="C1471" s="28" t="n">
        <x:v>297</x:v>
      </x:c>
      <x:c r="D1471" s="31" t="n">
        <x:f>IF(OR(ISBLANK(B1471),ISBLANK(C1471),B1471=0),"",(C1471-B1471)/B1471)</x:f>
        <x:v>0.1</x:v>
      </x:c>
      <x:c r="E1471" s="22" t="str">
        <x:f>IF(ISBLANK(C1471),"AmountIncludingTax缺失",IF(ABS(B1471-C1471)&lt;0.005,"一致","不一致"))</x:f>
        <x:v>不一致</x:v>
      </x:c>
      <x:c r="F1471" s="19" t="str">
        <x:v>approved</x:v>
      </x:c>
      <x:c r="G1471" s="19" t="str">
        <x:v>Repair in Progress</x:v>
      </x:c>
      <x:c r="H1471" s="19" t="str">
        <x:v>Pre Delivery</x:v>
      </x:c>
      <x:c r="I1471" s="37" t="n">
        <x:v>46160</x:v>
      </x:c>
      <x:c r="J1471" s="37" t="n">
        <x:v>46160</x:v>
      </x:c>
      <x:c r="K1471" s="19" t="str">
        <x:v>Regent RV - Frankston</x:v>
      </x:c>
      <x:c r="L1471" s="19" t="str">
        <x:v>Z005</x:v>
      </x:c>
      <x:c r="M1471" s="19" t="str">
        <x:v>Pre Delivery Warranty Claims</x:v>
      </x:c>
      <x:c r="N1471" s="37" t="n">
        <x:v>46148</x:v>
      </x:c>
      <x:c r="O1471" s="37"/>
      <x:c r="P1471" s="34" t="n">
        <x:v>297</x:v>
      </x:c>
      <x:c r="Q1471" s="37" t="n">
        <x:v>46160.13365740741</x:v>
      </x:c>
    </x:row>
    <x:row r="1472">
      <x:c r="A1472" s="22" t="n">
        <x:v>34551</x:v>
      </x:c>
      <x:c r="B1472" s="28" t="n">
        <x:v>67.5</x:v>
      </x:c>
      <x:c r="C1472" s="28"/>
      <x:c r="D1472" s="31" t="str">
        <x:f>IF(OR(ISBLANK(B1472),ISBLANK(C1472),B1472=0),"",(C1472-B1472)/B1472)</x:f>
      </x:c>
      <x:c r="E1472" s="22" t="str">
        <x:f>IF(ISBLANK(C1472),"AmountIncludingTax缺失",IF(ABS(B1472-C1472)&lt;0.005,"一致","不一致"))</x:f>
        <x:v>AmountIncludingTax缺失</x:v>
      </x:c>
      <x:c r="F1472" s="19" t="str">
        <x:v>approved</x:v>
      </x:c>
      <x:c r="G1472" s="19" t="str">
        <x:v>Sales Order Approved</x:v>
      </x:c>
      <x:c r="H1472" s="19" t="str">
        <x:v>Pre Delivery</x:v>
      </x:c>
      <x:c r="I1472" s="37" t="n">
        <x:v>46199</x:v>
      </x:c>
      <x:c r="J1472" s="37" t="n">
        <x:v>46199</x:v>
      </x:c>
      <x:c r="K1472" s="19" t="str">
        <x:v>Regent RV - Perth</x:v>
      </x:c>
      <x:c r="L1472" s="19" t="str">
        <x:v>Z005</x:v>
      </x:c>
      <x:c r="M1472" s="19" t="str">
        <x:v>Pre Delivery Warranty Claims</x:v>
      </x:c>
      <x:c r="N1472" s="37" t="n">
        <x:v>46148</x:v>
      </x:c>
      <x:c r="O1472" s="37"/>
      <x:c r="P1472" s="34" t="n">
        <x:v>0</x:v>
      </x:c>
      <x:c r="Q1472" s="37" t="n">
        <x:v>46199.231574074074</x:v>
      </x:c>
    </x:row>
    <x:row r="1473">
      <x:c r="A1473" s="22" t="n">
        <x:v>34539</x:v>
      </x:c>
      <x:c r="B1473" s="28" t="n">
        <x:v>155.25</x:v>
      </x:c>
      <x:c r="C1473" s="28" t="n">
        <x:v>154.62</x:v>
      </x:c>
      <x:c r="D1473" s="31" t="n">
        <x:f>IF(OR(ISBLANK(B1473),ISBLANK(C1473),B1473=0),"",(C1473-B1473)/B1473)</x:f>
        <x:v>-0.004057971014492724</x:v>
      </x:c>
      <x:c r="E1473" s="22" t="str">
        <x:f>IF(ISBLANK(C1473),"AmountIncludingTax缺失",IF(ABS(B1473-C1473)&lt;0.005,"一致","不一致"))</x:f>
        <x:v>不一致</x:v>
      </x:c>
      <x:c r="F1473" s="19" t="str">
        <x:v>approved</x:v>
      </x:c>
      <x:c r="G1473" s="19" t="str">
        <x:v>Repairer Invoiced Processed</x:v>
      </x:c>
      <x:c r="H1473" s="19" t="str">
        <x:v>In Field</x:v>
      </x:c>
      <x:c r="I1473" s="37" t="n">
        <x:v>46174</x:v>
      </x:c>
      <x:c r="J1473" s="37" t="n">
        <x:v>46174</x:v>
      </x:c>
      <x:c r="K1473" s="19" t="str">
        <x:v>CMG Campers - Christchurch</x:v>
      </x:c>
      <x:c r="L1473" s="19" t="str">
        <x:v>Z006</x:v>
      </x:c>
      <x:c r="M1473" s="19" t="str">
        <x:v>In Field Warranty Claims</x:v>
      </x:c>
      <x:c r="N1473" s="37" t="n">
        <x:v>46149</x:v>
      </x:c>
      <x:c r="O1473" s="37"/>
      <x:c r="P1473" s="34" t="n">
        <x:v>154.62</x:v>
      </x:c>
      <x:c r="Q1473" s="37" t="n">
        <x:v>46174.13898148148</x:v>
      </x:c>
    </x:row>
    <x:row r="1474">
      <x:c r="A1474" s="22" t="n">
        <x:v>34530</x:v>
      </x:c>
      <x:c r="B1474" s="28" t="n">
        <x:v>850</x:v>
      </x:c>
      <x:c r="C1474" s="28"/>
      <x:c r="D1474" s="31" t="str">
        <x:f>IF(OR(ISBLANK(B1474),ISBLANK(C1474),B1474=0),"",(C1474-B1474)/B1474)</x:f>
      </x:c>
      <x:c r="E1474" s="22" t="str">
        <x:f>IF(ISBLANK(C1474),"AmountIncludingTax缺失",IF(ABS(B1474-C1474)&lt;0.005,"一致","不一致"))</x:f>
        <x:v>AmountIncludingTax缺失</x:v>
      </x:c>
      <x:c r="F1474" s="19" t="str">
        <x:v>approved</x:v>
      </x:c>
      <x:c r="G1474" s="19" t="str">
        <x:v>Sales Order Approved</x:v>
      </x:c>
      <x:c r="H1474" s="19" t="str">
        <x:v>In Field</x:v>
      </x:c>
      <x:c r="I1474" s="37" t="n">
        <x:v>46167</x:v>
      </x:c>
      <x:c r="J1474" s="37" t="n">
        <x:v>46167</x:v>
      </x:c>
      <x:c r="K1474" s="19" t="str">
        <x:v>Regent RV - Toowoomba</x:v>
      </x:c>
      <x:c r="L1474" s="19" t="str">
        <x:v>Z006</x:v>
      </x:c>
      <x:c r="M1474" s="19" t="str">
        <x:v>In Field Warranty Claims</x:v>
      </x:c>
      <x:c r="N1474" s="37" t="n">
        <x:v>46148</x:v>
      </x:c>
      <x:c r="O1474" s="37"/>
      <x:c r="P1474" s="34" t="n">
        <x:v>0</x:v>
      </x:c>
      <x:c r="Q1474" s="37" t="n">
        <x:v>46167.01787037037</x:v>
      </x:c>
    </x:row>
    <x:row r="1475">
      <x:c r="A1475" s="22" t="n">
        <x:v>34529</x:v>
      </x:c>
      <x:c r="B1475" s="28" t="n">
        <x:v>300</x:v>
      </x:c>
      <x:c r="C1475" s="28" t="n">
        <x:v>330</x:v>
      </x:c>
      <x:c r="D1475" s="31" t="n">
        <x:f>IF(OR(ISBLANK(B1475),ISBLANK(C1475),B1475=0),"",(C1475-B1475)/B1475)</x:f>
        <x:v>0.1</x:v>
      </x:c>
      <x:c r="E1475" s="22" t="str">
        <x:f>IF(ISBLANK(C1475),"AmountIncludingTax缺失",IF(ABS(B1475-C1475)&lt;0.005,"一致","不一致"))</x:f>
        <x:v>不一致</x:v>
      </x:c>
      <x:c r="F1475" s="19" t="str">
        <x:v>approved</x:v>
      </x:c>
      <x:c r="G1475" s="19" t="str">
        <x:v>Repairer Invoiced Processed</x:v>
      </x:c>
      <x:c r="H1475" s="19" t="str">
        <x:v>In Field</x:v>
      </x:c>
      <x:c r="I1475" s="37" t="n">
        <x:v>46148</x:v>
      </x:c>
      <x:c r="J1475" s="37" t="n">
        <x:v>46148</x:v>
      </x:c>
      <x:c r="K1475" s="19" t="str">
        <x:v>Regent RV - Townsville</x:v>
      </x:c>
      <x:c r="L1475" s="19" t="str">
        <x:v>Z006</x:v>
      </x:c>
      <x:c r="M1475" s="19" t="str">
        <x:v>In Field Warranty Claims</x:v>
      </x:c>
      <x:c r="N1475" s="37" t="n">
        <x:v>46148</x:v>
      </x:c>
      <x:c r="O1475" s="37"/>
      <x:c r="P1475" s="34" t="n">
        <x:v>330</x:v>
      </x:c>
      <x:c r="Q1475" s="37" t="n">
        <x:v>46148.23447916667</x:v>
      </x:c>
    </x:row>
    <x:row r="1476">
      <x:c r="A1476" s="22" t="n">
        <x:v>34528</x:v>
      </x:c>
      <x:c r="B1476" s="28" t="n">
        <x:v>145</x:v>
      </x:c>
      <x:c r="C1476" s="28"/>
      <x:c r="D1476" s="31" t="str">
        <x:f>IF(OR(ISBLANK(B1476),ISBLANK(C1476),B1476=0),"",(C1476-B1476)/B1476)</x:f>
      </x:c>
      <x:c r="E1476" s="22" t="str">
        <x:f>IF(ISBLANK(C1476),"AmountIncludingTax缺失",IF(ABS(B1476-C1476)&lt;0.005,"一致","不一致"))</x:f>
        <x:v>AmountIncludingTax缺失</x:v>
      </x:c>
      <x:c r="F1476" s="19" t="str">
        <x:v>approved</x:v>
      </x:c>
      <x:c r="G1476" s="19" t="str">
        <x:v>Repair in Progress</x:v>
      </x:c>
      <x:c r="H1476" s="19" t="str">
        <x:v>In Field</x:v>
      </x:c>
      <x:c r="I1476" s="37" t="n">
        <x:v>46163</x:v>
      </x:c>
      <x:c r="J1476" s="37" t="n">
        <x:v>46149</x:v>
      </x:c>
      <x:c r="K1476" s="19" t="str">
        <x:v>Lesiure Lion-New Castle</x:v>
      </x:c>
      <x:c r="L1476" s="19" t="str">
        <x:v>Z006</x:v>
      </x:c>
      <x:c r="M1476" s="19" t="str">
        <x:v>In Field Warranty Claims</x:v>
      </x:c>
      <x:c r="N1476" s="37" t="n">
        <x:v>46148</x:v>
      </x:c>
      <x:c r="O1476" s="37"/>
      <x:c r="P1476" s="34" t="n">
        <x:v>0</x:v>
      </x:c>
      <x:c r="Q1476" s="37" t="n">
        <x:v>46163.273460648146</x:v>
      </x:c>
    </x:row>
    <x:row r="1477">
      <x:c r="A1477" s="22" t="n">
        <x:v>34526</x:v>
      </x:c>
      <x:c r="B1477" s="28" t="n">
        <x:v>695</x:v>
      </x:c>
      <x:c r="C1477" s="28"/>
      <x:c r="D1477" s="31" t="str">
        <x:f>IF(OR(ISBLANK(B1477),ISBLANK(C1477),B1477=0),"",(C1477-B1477)/B1477)</x:f>
      </x:c>
      <x:c r="E1477" s="22" t="str">
        <x:f>IF(ISBLANK(C1477),"AmountIncludingTax缺失",IF(ABS(B1477-C1477)&lt;0.005,"一致","不一致"))</x:f>
        <x:v>AmountIncludingTax缺失</x:v>
      </x:c>
      <x:c r="F1477" s="19" t="str">
        <x:v>approved</x:v>
      </x:c>
      <x:c r="G1477" s="19" t="str">
        <x:v>Repairer Invoiced Processed</x:v>
      </x:c>
      <x:c r="H1477" s="19" t="str">
        <x:v>In Field</x:v>
      </x:c>
      <x:c r="I1477" s="37" t="n">
        <x:v>46149</x:v>
      </x:c>
      <x:c r="J1477" s="37" t="n">
        <x:v>46149</x:v>
      </x:c>
      <x:c r="K1477" s="19" t="str">
        <x:v>Regent RV - Toowoomba</x:v>
      </x:c>
      <x:c r="L1477" s="19" t="str">
        <x:v>Z006</x:v>
      </x:c>
      <x:c r="M1477" s="19" t="str">
        <x:v>In Field Warranty Claims</x:v>
      </x:c>
      <x:c r="N1477" s="37" t="n">
        <x:v>46148</x:v>
      </x:c>
      <x:c r="O1477" s="37"/>
      <x:c r="P1477" s="34" t="n">
        <x:v>0</x:v>
      </x:c>
      <x:c r="Q1477" s="37" t="n">
        <x:v>46148.91174768518</x:v>
      </x:c>
    </x:row>
    <x:row r="1478">
      <x:c r="A1478" s="22" t="n">
        <x:v>34525</x:v>
      </x:c>
      <x:c r="B1478" s="28" t="n">
        <x:v>830</x:v>
      </x:c>
      <x:c r="C1478" s="28"/>
      <x:c r="D1478" s="31" t="str">
        <x:f>IF(OR(ISBLANK(B1478),ISBLANK(C1478),B1478=0),"",(C1478-B1478)/B1478)</x:f>
      </x:c>
      <x:c r="E1478" s="22" t="str">
        <x:f>IF(ISBLANK(C1478),"AmountIncludingTax缺失",IF(ABS(B1478-C1478)&lt;0.005,"一致","不一致"))</x:f>
        <x:v>AmountIncludingTax缺失</x:v>
      </x:c>
      <x:c r="F1478" s="19" t="str">
        <x:v>approved</x:v>
      </x:c>
      <x:c r="G1478" s="19" t="str">
        <x:v>Sales Order Approved</x:v>
      </x:c>
      <x:c r="H1478" s="19" t="str">
        <x:v>In Field</x:v>
      </x:c>
      <x:c r="I1478" s="37" t="n">
        <x:v>46149</x:v>
      </x:c>
      <x:c r="J1478" s="37" t="n">
        <x:v>46149</x:v>
      </x:c>
      <x:c r="K1478" s="19" t="str">
        <x:v>QCCC - Gympie</x:v>
      </x:c>
      <x:c r="L1478" s="19" t="str">
        <x:v>Z006</x:v>
      </x:c>
      <x:c r="M1478" s="19" t="str">
        <x:v>In Field Warranty Claims</x:v>
      </x:c>
      <x:c r="N1478" s="37" t="n">
        <x:v>46148</x:v>
      </x:c>
      <x:c r="O1478" s="37"/>
      <x:c r="P1478" s="34" t="n">
        <x:v>0</x:v>
      </x:c>
      <x:c r="Q1478" s="37" t="n">
        <x:v>46149.17092592592</x:v>
      </x:c>
    </x:row>
    <x:row r="1479">
      <x:c r="A1479" s="22" t="n">
        <x:v>34524</x:v>
      </x:c>
      <x:c r="B1479" s="28" t="n">
        <x:v>988.75</x:v>
      </x:c>
      <x:c r="C1479" s="28"/>
      <x:c r="D1479" s="31" t="str">
        <x:f>IF(OR(ISBLANK(B1479),ISBLANK(C1479),B1479=0),"",(C1479-B1479)/B1479)</x:f>
      </x:c>
      <x:c r="E1479" s="22" t="str">
        <x:f>IF(ISBLANK(C1479),"AmountIncludingTax缺失",IF(ABS(B1479-C1479)&lt;0.005,"一致","不一致"))</x:f>
        <x:v>AmountIncludingTax缺失</x:v>
      </x:c>
      <x:c r="F1479" s="19" t="str">
        <x:v>approved</x:v>
      </x:c>
      <x:c r="G1479" s="19" t="str">
        <x:v>Sales Order Approved</x:v>
      </x:c>
      <x:c r="H1479" s="19" t="str">
        <x:v>Pre Delivery</x:v>
      </x:c>
      <x:c r="I1479" s="37" t="n">
        <x:v>46198</x:v>
      </x:c>
      <x:c r="J1479" s="37" t="n">
        <x:v>46198</x:v>
      </x:c>
      <x:c r="K1479" s="19" t="str">
        <x:v>The Caravan Hub - Townsville</x:v>
      </x:c>
      <x:c r="L1479" s="19" t="str">
        <x:v>Z005</x:v>
      </x:c>
      <x:c r="M1479" s="19" t="str">
        <x:v>Pre Delivery Warranty Claims</x:v>
      </x:c>
      <x:c r="N1479" s="37" t="n">
        <x:v>46148</x:v>
      </x:c>
      <x:c r="O1479" s="37"/>
      <x:c r="P1479" s="34" t="n">
        <x:v>0</x:v>
      </x:c>
      <x:c r="Q1479" s="37" t="n">
        <x:v>46197.945856481485</x:v>
      </x:c>
    </x:row>
    <x:row r="1480">
      <x:c r="A1480" s="22" t="n">
        <x:v>34523</x:v>
      </x:c>
      <x:c r="B1480" s="28" t="n">
        <x:v>33.75</x:v>
      </x:c>
      <x:c r="C1480" s="28"/>
      <x:c r="D1480" s="31" t="str">
        <x:f>IF(OR(ISBLANK(B1480),ISBLANK(C1480),B1480=0),"",(C1480-B1480)/B1480)</x:f>
      </x:c>
      <x:c r="E1480" s="22" t="str">
        <x:f>IF(ISBLANK(C1480),"AmountIncludingTax缺失",IF(ABS(B1480-C1480)&lt;0.005,"一致","不一致"))</x:f>
        <x:v>AmountIncludingTax缺失</x:v>
      </x:c>
      <x:c r="F1480" s="19" t="str">
        <x:v>approved</x:v>
      </x:c>
      <x:c r="G1480" s="19" t="str">
        <x:v>Repair in Progress</x:v>
      </x:c>
      <x:c r="H1480" s="19" t="str">
        <x:v>In Field</x:v>
      </x:c>
      <x:c r="I1480" s="37" t="n">
        <x:v>46149</x:v>
      </x:c>
      <x:c r="J1480" s="37" t="n">
        <x:v>46149</x:v>
      </x:c>
      <x:c r="K1480" s="19" t="str">
        <x:v>Leisure Lion - Bundaberg</x:v>
      </x:c>
      <x:c r="L1480" s="19" t="str">
        <x:v>Z006</x:v>
      </x:c>
      <x:c r="M1480" s="19" t="str">
        <x:v>In Field Warranty Claims</x:v>
      </x:c>
      <x:c r="N1480" s="37" t="n">
        <x:v>46148</x:v>
      </x:c>
      <x:c r="O1480" s="37"/>
      <x:c r="P1480" s="34" t="n">
        <x:v>0</x:v>
      </x:c>
      <x:c r="Q1480" s="37" t="n">
        <x:v>46149.2124537037</x:v>
      </x:c>
    </x:row>
    <x:row r="1481">
      <x:c r="A1481" s="22" t="n">
        <x:v>34522</x:v>
      </x:c>
      <x:c r="B1481" s="28" t="n">
        <x:v>236.36</x:v>
      </x:c>
      <x:c r="C1481" s="28" t="n">
        <x:v>260</x:v>
      </x:c>
      <x:c r="D1481" s="31" t="n">
        <x:f>IF(OR(ISBLANK(B1481),ISBLANK(C1481),B1481=0),"",(C1481-B1481)/B1481)</x:f>
        <x:v>0.10001692333728204</x:v>
      </x:c>
      <x:c r="E1481" s="22" t="str">
        <x:f>IF(ISBLANK(C1481),"AmountIncludingTax缺失",IF(ABS(B1481-C1481)&lt;0.005,"一致","不一致"))</x:f>
        <x:v>不一致</x:v>
      </x:c>
      <x:c r="F1481" s="19" t="str">
        <x:v>approved</x:v>
      </x:c>
      <x:c r="G1481" s="19" t="str">
        <x:v>Repairer Invoiced Processed</x:v>
      </x:c>
      <x:c r="H1481" s="19" t="str">
        <x:v>In Field</x:v>
      </x:c>
      <x:c r="I1481" s="37" t="n">
        <x:v>46154</x:v>
      </x:c>
      <x:c r="J1481" s="37" t="n">
        <x:v>46154</x:v>
      </x:c>
      <x:c r="K1481" s="19" t="str">
        <x:v>Green RV - Slacks Creek</x:v>
      </x:c>
      <x:c r="L1481" s="19" t="str">
        <x:v>Z006</x:v>
      </x:c>
      <x:c r="M1481" s="19" t="str">
        <x:v>In Field Warranty Claims</x:v>
      </x:c>
      <x:c r="N1481" s="37" t="n">
        <x:v>46148</x:v>
      </x:c>
      <x:c r="O1481" s="37"/>
      <x:c r="P1481" s="34" t="n">
        <x:v>260</x:v>
      </x:c>
      <x:c r="Q1481" s="37" t="n">
        <x:v>46153.89099537037</x:v>
      </x:c>
    </x:row>
    <x:row r="1482">
      <x:c r="A1482" s="22" t="n">
        <x:v>34521</x:v>
      </x:c>
      <x:c r="B1482" s="28" t="n">
        <x:v>662.5</x:v>
      </x:c>
      <x:c r="C1482" s="28"/>
      <x:c r="D1482" s="31" t="str">
        <x:f>IF(OR(ISBLANK(B1482),ISBLANK(C1482),B1482=0),"",(C1482-B1482)/B1482)</x:f>
      </x:c>
      <x:c r="E1482" s="22" t="str">
        <x:f>IF(ISBLANK(C1482),"AmountIncludingTax缺失",IF(ABS(B1482-C1482)&lt;0.005,"一致","不一致"))</x:f>
        <x:v>AmountIncludingTax缺失</x:v>
      </x:c>
      <x:c r="F1482" s="19" t="str">
        <x:v>approved</x:v>
      </x:c>
      <x:c r="G1482" s="19" t="str">
        <x:v>Sales Order Approved</x:v>
      </x:c>
      <x:c r="H1482" s="19" t="str">
        <x:v>Pre Delivery</x:v>
      </x:c>
      <x:c r="I1482" s="37" t="n">
        <x:v>46191</x:v>
      </x:c>
      <x:c r="J1482" s="37" t="n">
        <x:v>46191</x:v>
      </x:c>
      <x:c r="K1482" s="19" t="str">
        <x:v>The Caravan Hub - Townsville</x:v>
      </x:c>
      <x:c r="L1482" s="19" t="str">
        <x:v>Z005</x:v>
      </x:c>
      <x:c r="M1482" s="19" t="str">
        <x:v>Pre Delivery Warranty Claims</x:v>
      </x:c>
      <x:c r="N1482" s="37" t="n">
        <x:v>46148</x:v>
      </x:c>
      <x:c r="O1482" s="37"/>
      <x:c r="P1482" s="34" t="n">
        <x:v>0</x:v>
      </x:c>
      <x:c r="Q1482" s="37" t="n">
        <x:v>46191.23771990741</x:v>
      </x:c>
    </x:row>
    <x:row r="1483">
      <x:c r="A1483" s="22" t="n">
        <x:v>34520</x:v>
      </x:c>
      <x:c r="B1483" s="28" t="n">
        <x:v>685</x:v>
      </x:c>
      <x:c r="C1483" s="28"/>
      <x:c r="D1483" s="31" t="str">
        <x:f>IF(OR(ISBLANK(B1483),ISBLANK(C1483),B1483=0),"",(C1483-B1483)/B1483)</x:f>
      </x:c>
      <x:c r="E1483" s="22" t="str">
        <x:f>IF(ISBLANK(C1483),"AmountIncludingTax缺失",IF(ABS(B1483-C1483)&lt;0.005,"一致","不一致"))</x:f>
        <x:v>AmountIncludingTax缺失</x:v>
      </x:c>
      <x:c r="F1483" s="19" t="str">
        <x:v>approved</x:v>
      </x:c>
      <x:c r="G1483" s="19" t="str">
        <x:v>Repair in Progress</x:v>
      </x:c>
      <x:c r="H1483" s="19" t="str">
        <x:v>In Field</x:v>
      </x:c>
      <x:c r="I1483" s="37" t="n">
        <x:v>46160</x:v>
      </x:c>
      <x:c r="J1483" s="37" t="n">
        <x:v>46160</x:v>
      </x:c>
      <x:c r="K1483" s="19" t="str">
        <x:v>Regent RV - Perth</x:v>
      </x:c>
      <x:c r="L1483" s="19" t="str">
        <x:v>Z006</x:v>
      </x:c>
      <x:c r="M1483" s="19" t="str">
        <x:v>In Field Warranty Claims</x:v>
      </x:c>
      <x:c r="N1483" s="37" t="n">
        <x:v>46148</x:v>
      </x:c>
      <x:c r="O1483" s="37"/>
      <x:c r="P1483" s="34" t="n">
        <x:v>0</x:v>
      </x:c>
      <x:c r="Q1483" s="37" t="n">
        <x:v>46160.25373842593</x:v>
      </x:c>
    </x:row>
    <x:row r="1484">
      <x:c r="A1484" s="22" t="n">
        <x:v>34519</x:v>
      </x:c>
      <x:c r="B1484" s="28" t="n">
        <x:v>45</x:v>
      </x:c>
      <x:c r="C1484" s="28"/>
      <x:c r="D1484" s="31" t="str">
        <x:f>IF(OR(ISBLANK(B1484),ISBLANK(C1484),B1484=0),"",(C1484-B1484)/B1484)</x:f>
      </x:c>
      <x:c r="E1484" s="22" t="str">
        <x:f>IF(ISBLANK(C1484),"AmountIncludingTax缺失",IF(ABS(B1484-C1484)&lt;0.005,"一致","不一致"))</x:f>
        <x:v>AmountIncludingTax缺失</x:v>
      </x:c>
      <x:c r="F1484" s="19" t="str">
        <x:v>approved</x:v>
      </x:c>
      <x:c r="G1484" s="19" t="str">
        <x:v>Repair in Progress</x:v>
      </x:c>
      <x:c r="H1484" s="19" t="str">
        <x:v>In Field</x:v>
      </x:c>
      <x:c r="I1484" s="37" t="n">
        <x:v>46149</x:v>
      </x:c>
      <x:c r="J1484" s="37" t="n">
        <x:v>46149</x:v>
      </x:c>
      <x:c r="K1484" s="19" t="str">
        <x:v>Green RV - Forest Glen</x:v>
      </x:c>
      <x:c r="L1484" s="19" t="str">
        <x:v>Z006</x:v>
      </x:c>
      <x:c r="M1484" s="19" t="str">
        <x:v>In Field Warranty Claims</x:v>
      </x:c>
      <x:c r="N1484" s="37" t="n">
        <x:v>46148</x:v>
      </x:c>
      <x:c r="O1484" s="37"/>
      <x:c r="P1484" s="34" t="n">
        <x:v>0</x:v>
      </x:c>
      <x:c r="Q1484" s="37" t="n">
        <x:v>46148.981527777774</x:v>
      </x:c>
    </x:row>
    <x:row r="1485">
      <x:c r="A1485" s="22" t="n">
        <x:v>34517</x:v>
      </x:c>
      <x:c r="B1485" s="28" t="n">
        <x:v>135</x:v>
      </x:c>
      <x:c r="C1485" s="28"/>
      <x:c r="D1485" s="31" t="str">
        <x:f>IF(OR(ISBLANK(B1485),ISBLANK(C1485),B1485=0),"",(C1485-B1485)/B1485)</x:f>
      </x:c>
      <x:c r="E1485" s="22" t="str">
        <x:f>IF(ISBLANK(C1485),"AmountIncludingTax缺失",IF(ABS(B1485-C1485)&lt;0.005,"一致","不一致"))</x:f>
        <x:v>AmountIncludingTax缺失</x:v>
      </x:c>
      <x:c r="F1485" s="19" t="str">
        <x:v>approved</x:v>
      </x:c>
      <x:c r="G1485" s="19" t="str">
        <x:v>Repair in Progress</x:v>
      </x:c>
      <x:c r="H1485" s="19" t="str">
        <x:v>In Field</x:v>
      </x:c>
      <x:c r="I1485" s="37" t="n">
        <x:v>46167</x:v>
      </x:c>
      <x:c r="J1485" s="37" t="n">
        <x:v>46167</x:v>
      </x:c>
      <x:c r="K1485" s="19" t="str">
        <x:v>Newcastle RV Super Centre - Beresfield</x:v>
      </x:c>
      <x:c r="L1485" s="19" t="str">
        <x:v>Z006</x:v>
      </x:c>
      <x:c r="M1485" s="19" t="str">
        <x:v>In Field Warranty Claims</x:v>
      </x:c>
      <x:c r="N1485" s="37" t="n">
        <x:v>46148</x:v>
      </x:c>
      <x:c r="O1485" s="37"/>
      <x:c r="P1485" s="34" t="n">
        <x:v>0</x:v>
      </x:c>
      <x:c r="Q1485" s="37" t="n">
        <x:v>46167.03988425926</x:v>
      </x:c>
    </x:row>
    <x:row r="1486">
      <x:c r="A1486" s="22" t="n">
        <x:v>34516</x:v>
      </x:c>
      <x:c r="B1486" s="28" t="n">
        <x:v>1890</x:v>
      </x:c>
      <x:c r="C1486" s="28"/>
      <x:c r="D1486" s="31" t="str">
        <x:f>IF(OR(ISBLANK(B1486),ISBLANK(C1486),B1486=0),"",(C1486-B1486)/B1486)</x:f>
      </x:c>
      <x:c r="E1486" s="22" t="str">
        <x:f>IF(ISBLANK(C1486),"AmountIncludingTax缺失",IF(ABS(B1486-C1486)&lt;0.005,"一致","不一致"))</x:f>
        <x:v>AmountIncludingTax缺失</x:v>
      </x:c>
      <x:c r="F1486" s="19" t="str">
        <x:v>approved</x:v>
      </x:c>
      <x:c r="G1486" s="19" t="str">
        <x:v>Repair in Progress</x:v>
      </x:c>
      <x:c r="H1486" s="19" t="str">
        <x:v>In Field</x:v>
      </x:c>
      <x:c r="I1486" s="37" t="n">
        <x:v>46167</x:v>
      </x:c>
      <x:c r="J1486" s="37" t="n">
        <x:v>46167</x:v>
      </x:c>
      <x:c r="K1486" s="19" t="str">
        <x:v>Newcastle RV Super Centre - Beresfield</x:v>
      </x:c>
      <x:c r="L1486" s="19" t="str">
        <x:v>Z006</x:v>
      </x:c>
      <x:c r="M1486" s="19" t="str">
        <x:v>In Field Warranty Claims</x:v>
      </x:c>
      <x:c r="N1486" s="37" t="n">
        <x:v>46148</x:v>
      </x:c>
      <x:c r="O1486" s="37"/>
      <x:c r="P1486" s="34" t="n">
        <x:v>0</x:v>
      </x:c>
      <x:c r="Q1486" s="37" t="n">
        <x:v>46166.92826388889</x:v>
      </x:c>
    </x:row>
    <x:row r="1487">
      <x:c r="A1487" s="22" t="n">
        <x:v>34514</x:v>
      </x:c>
      <x:c r="B1487" s="28" t="n">
        <x:v>67.5</x:v>
      </x:c>
      <x:c r="C1487" s="28"/>
      <x:c r="D1487" s="31" t="str">
        <x:f>IF(OR(ISBLANK(B1487),ISBLANK(C1487),B1487=0),"",(C1487-B1487)/B1487)</x:f>
      </x:c>
      <x:c r="E1487" s="22" t="str">
        <x:f>IF(ISBLANK(C1487),"AmountIncludingTax缺失",IF(ABS(B1487-C1487)&lt;0.005,"一致","不一致"))</x:f>
        <x:v>AmountIncludingTax缺失</x:v>
      </x:c>
      <x:c r="F1487" s="19" t="str">
        <x:v>approved</x:v>
      </x:c>
      <x:c r="G1487" s="19" t="str">
        <x:v>Repair in Progress</x:v>
      </x:c>
      <x:c r="H1487" s="19" t="str">
        <x:v>In Field</x:v>
      </x:c>
      <x:c r="I1487" s="37" t="n">
        <x:v>46148</x:v>
      </x:c>
      <x:c r="J1487" s="37" t="n">
        <x:v>46148</x:v>
      </x:c>
      <x:c r="K1487" s="19" t="str">
        <x:v>Green RV - Slacks Creek</x:v>
      </x:c>
      <x:c r="L1487" s="19" t="str">
        <x:v>Z006</x:v>
      </x:c>
      <x:c r="M1487" s="19" t="str">
        <x:v>In Field Warranty Claims</x:v>
      </x:c>
      <x:c r="N1487" s="37" t="n">
        <x:v>46148</x:v>
      </x:c>
      <x:c r="O1487" s="37"/>
      <x:c r="P1487" s="34" t="n">
        <x:v>0</x:v>
      </x:c>
      <x:c r="Q1487" s="37" t="n">
        <x:v>46148.18814814815</x:v>
      </x:c>
    </x:row>
    <x:row r="1488">
      <x:c r="A1488" s="22" t="n">
        <x:v>34511</x:v>
      </x:c>
      <x:c r="B1488" s="28" t="n">
        <x:v>836.36</x:v>
      </x:c>
      <x:c r="C1488" s="28"/>
      <x:c r="D1488" s="31" t="str">
        <x:f>IF(OR(ISBLANK(B1488),ISBLANK(C1488),B1488=0),"",(C1488-B1488)/B1488)</x:f>
      </x:c>
      <x:c r="E1488" s="22" t="str">
        <x:f>IF(ISBLANK(C1488),"AmountIncludingTax缺失",IF(ABS(B1488-C1488)&lt;0.005,"一致","不一致"))</x:f>
        <x:v>AmountIncludingTax缺失</x:v>
      </x:c>
      <x:c r="F1488" s="19" t="str">
        <x:v>approved</x:v>
      </x:c>
      <x:c r="G1488" s="19" t="str">
        <x:v>Repairer Invoiced Processed</x:v>
      </x:c>
      <x:c r="H1488" s="19" t="str">
        <x:v>In Field</x:v>
      </x:c>
      <x:c r="I1488" s="37" t="n">
        <x:v>46211</x:v>
      </x:c>
      <x:c r="J1488" s="37" t="n">
        <x:v>46211</x:v>
      </x:c>
      <x:c r="K1488" s="19" t="str">
        <x:v>Regent RV - Frankston</x:v>
      </x:c>
      <x:c r="L1488" s="19" t="str">
        <x:v>Z006</x:v>
      </x:c>
      <x:c r="M1488" s="19" t="str">
        <x:v>In Field Warranty Claims</x:v>
      </x:c>
      <x:c r="N1488" s="37" t="n">
        <x:v>46148</x:v>
      </x:c>
      <x:c r="O1488" s="37"/>
      <x:c r="P1488" s="34" t="n">
        <x:v>0</x:v>
      </x:c>
      <x:c r="Q1488" s="37" t="n">
        <x:v>46210.93494212963</x:v>
      </x:c>
    </x:row>
    <x:row r="1489">
      <x:c r="A1489" s="22" t="n">
        <x:v>34508</x:v>
      </x:c>
      <x:c r="B1489" s="28" t="n">
        <x:v>1282.5</x:v>
      </x:c>
      <x:c r="C1489" s="28"/>
      <x:c r="D1489" s="31" t="str">
        <x:f>IF(OR(ISBLANK(B1489),ISBLANK(C1489),B1489=0),"",(C1489-B1489)/B1489)</x:f>
      </x:c>
      <x:c r="E1489" s="22" t="str">
        <x:f>IF(ISBLANK(C1489),"AmountIncludingTax缺失",IF(ABS(B1489-C1489)&lt;0.005,"一致","不一致"))</x:f>
        <x:v>AmountIncludingTax缺失</x:v>
      </x:c>
      <x:c r="F1489" s="19" t="str">
        <x:v>approved</x:v>
      </x:c>
      <x:c r="G1489" s="19" t="str">
        <x:v>Partially Picked</x:v>
      </x:c>
      <x:c r="H1489" s="19" t="str">
        <x:v>In Field</x:v>
      </x:c>
      <x:c r="I1489" s="37" t="n">
        <x:v>46170</x:v>
      </x:c>
      <x:c r="J1489" s="37" t="n">
        <x:v>46170</x:v>
      </x:c>
      <x:c r="K1489" s="19" t="str">
        <x:v>Regent RV - Frankston</x:v>
      </x:c>
      <x:c r="L1489" s="19" t="str">
        <x:v>Z006</x:v>
      </x:c>
      <x:c r="M1489" s="19" t="str">
        <x:v>In Field Warranty Claims</x:v>
      </x:c>
      <x:c r="N1489" s="37" t="n">
        <x:v>46148</x:v>
      </x:c>
      <x:c r="O1489" s="37"/>
      <x:c r="P1489" s="34" t="n">
        <x:v>0</x:v>
      </x:c>
      <x:c r="Q1489" s="37" t="n">
        <x:v>46170.03847222222</x:v>
      </x:c>
    </x:row>
    <x:row r="1490">
      <x:c r="A1490" s="22" t="n">
        <x:v>34507</x:v>
      </x:c>
      <x:c r="B1490" s="28" t="n">
        <x:v>202.5</x:v>
      </x:c>
      <x:c r="C1490" s="28"/>
      <x:c r="D1490" s="31" t="str">
        <x:f>IF(OR(ISBLANK(B1490),ISBLANK(C1490),B1490=0),"",(C1490-B1490)/B1490)</x:f>
      </x:c>
      <x:c r="E1490" s="22" t="str">
        <x:f>IF(ISBLANK(C1490),"AmountIncludingTax缺失",IF(ABS(B1490-C1490)&lt;0.005,"一致","不一致"))</x:f>
        <x:v>AmountIncludingTax缺失</x:v>
      </x:c>
      <x:c r="F1490" s="19" t="str">
        <x:v>approved</x:v>
      </x:c>
      <x:c r="G1490" s="19" t="str">
        <x:v>Repair in Progress</x:v>
      </x:c>
      <x:c r="H1490" s="19" t="str">
        <x:v>In Field</x:v>
      </x:c>
      <x:c r="I1490" s="37" t="n">
        <x:v>46149</x:v>
      </x:c>
      <x:c r="J1490" s="37" t="n">
        <x:v>46149</x:v>
      </x:c>
      <x:c r="K1490" s="19" t="str">
        <x:v>Regent RV - Frankston</x:v>
      </x:c>
      <x:c r="L1490" s="19" t="str">
        <x:v>Z006</x:v>
      </x:c>
      <x:c r="M1490" s="19" t="str">
        <x:v>In Field Warranty Claims</x:v>
      </x:c>
      <x:c r="N1490" s="37" t="n">
        <x:v>46148</x:v>
      </x:c>
      <x:c r="O1490" s="37"/>
      <x:c r="P1490" s="34" t="n">
        <x:v>0</x:v>
      </x:c>
      <x:c r="Q1490" s="37" t="n">
        <x:v>46149.21482638889</x:v>
      </x:c>
    </x:row>
    <x:row r="1491">
      <x:c r="A1491" s="22" t="n">
        <x:v>34506</x:v>
      </x:c>
      <x:c r="B1491" s="28" t="n">
        <x:v>405</x:v>
      </x:c>
      <x:c r="C1491" s="28"/>
      <x:c r="D1491" s="31" t="str">
        <x:f>IF(OR(ISBLANK(B1491),ISBLANK(C1491),B1491=0),"",(C1491-B1491)/B1491)</x:f>
      </x:c>
      <x:c r="E1491" s="22" t="str">
        <x:f>IF(ISBLANK(C1491),"AmountIncludingTax缺失",IF(ABS(B1491-C1491)&lt;0.005,"一致","不一致"))</x:f>
        <x:v>AmountIncludingTax缺失</x:v>
      </x:c>
      <x:c r="F1491" s="19" t="str">
        <x:v>approved</x:v>
      </x:c>
      <x:c r="G1491" s="19" t="str">
        <x:v>Repair in Progress</x:v>
      </x:c>
      <x:c r="H1491" s="19" t="str">
        <x:v>In Field</x:v>
      </x:c>
      <x:c r="I1491" s="37" t="n">
        <x:v>46155</x:v>
      </x:c>
      <x:c r="J1491" s="37" t="n">
        <x:v>46155</x:v>
      </x:c>
      <x:c r="K1491" s="19" t="str">
        <x:v>Green RV - Forest Glen</x:v>
      </x:c>
      <x:c r="L1491" s="19" t="str">
        <x:v>Z006</x:v>
      </x:c>
      <x:c r="M1491" s="19" t="str">
        <x:v>In Field Warranty Claims</x:v>
      </x:c>
      <x:c r="N1491" s="37" t="n">
        <x:v>46148</x:v>
      </x:c>
      <x:c r="O1491" s="37"/>
      <x:c r="P1491" s="34" t="n">
        <x:v>0</x:v>
      </x:c>
      <x:c r="Q1491" s="37" t="n">
        <x:v>46155.11898148148</x:v>
      </x:c>
    </x:row>
    <x:row r="1492">
      <x:c r="A1492" s="22" t="n">
        <x:v>34505</x:v>
      </x:c>
      <x:c r="B1492" s="28" t="n">
        <x:v>270</x:v>
      </x:c>
      <x:c r="C1492" s="28"/>
      <x:c r="D1492" s="31" t="str">
        <x:f>IF(OR(ISBLANK(B1492),ISBLANK(C1492),B1492=0),"",(C1492-B1492)/B1492)</x:f>
      </x:c>
      <x:c r="E1492" s="22" t="str">
        <x:f>IF(ISBLANK(C1492),"AmountIncludingTax缺失",IF(ABS(B1492-C1492)&lt;0.005,"一致","不一致"))</x:f>
        <x:v>AmountIncludingTax缺失</x:v>
      </x:c>
      <x:c r="F1492" s="19" t="str">
        <x:v>approved</x:v>
      </x:c>
      <x:c r="G1492" s="19" t="str">
        <x:v>Sales Order Approved</x:v>
      </x:c>
      <x:c r="H1492" s="19" t="str">
        <x:v>Pre Delivery</x:v>
      </x:c>
      <x:c r="I1492" s="37" t="n">
        <x:v>46186</x:v>
      </x:c>
      <x:c r="J1492" s="37" t="n">
        <x:v>46186</x:v>
      </x:c>
      <x:c r="K1492" s="19" t="str">
        <x:v>Lesiure Lion-New Castle</x:v>
      </x:c>
      <x:c r="L1492" s="19" t="str">
        <x:v>Z005</x:v>
      </x:c>
      <x:c r="M1492" s="19" t="str">
        <x:v>Pre Delivery Warranty Claims</x:v>
      </x:c>
      <x:c r="N1492" s="37" t="n">
        <x:v>46148</x:v>
      </x:c>
      <x:c r="O1492" s="37"/>
      <x:c r="P1492" s="34" t="n">
        <x:v>0</x:v>
      </x:c>
      <x:c r="Q1492" s="37" t="n">
        <x:v>46185.97403935185</x:v>
      </x:c>
    </x:row>
    <x:row r="1493">
      <x:c r="A1493" s="22" t="n">
        <x:v>34504</x:v>
      </x:c>
      <x:c r="B1493" s="28" t="n">
        <x:v>1124.31</x:v>
      </x:c>
      <x:c r="C1493" s="28"/>
      <x:c r="D1493" s="31" t="str">
        <x:f>IF(OR(ISBLANK(B1493),ISBLANK(C1493),B1493=0),"",(C1493-B1493)/B1493)</x:f>
      </x:c>
      <x:c r="E1493" s="22" t="str">
        <x:f>IF(ISBLANK(C1493),"AmountIncludingTax缺失",IF(ABS(B1493-C1493)&lt;0.005,"一致","不一致"))</x:f>
        <x:v>AmountIncludingTax缺失</x:v>
      </x:c>
      <x:c r="F1493" s="19" t="str">
        <x:v>approved</x:v>
      </x:c>
      <x:c r="G1493" s="19" t="str">
        <x:v>Partially Picked</x:v>
      </x:c>
      <x:c r="H1493" s="19" t="str">
        <x:v>In Field</x:v>
      </x:c>
      <x:c r="I1493" s="37" t="n">
        <x:v>46148</x:v>
      </x:c>
      <x:c r="J1493" s="37" t="n">
        <x:v>46148</x:v>
      </x:c>
      <x:c r="K1493" s="19" t="str">
        <x:v>Green RV - Forest Glen</x:v>
      </x:c>
      <x:c r="L1493" s="19" t="str">
        <x:v>Z006</x:v>
      </x:c>
      <x:c r="M1493" s="19" t="str">
        <x:v>In Field Warranty Claims</x:v>
      </x:c>
      <x:c r="N1493" s="37" t="n">
        <x:v>46148</x:v>
      </x:c>
      <x:c r="O1493" s="37"/>
      <x:c r="P1493" s="34" t="n">
        <x:v>0</x:v>
      </x:c>
      <x:c r="Q1493" s="37" t="n">
        <x:v>46148.268541666665</x:v>
      </x:c>
    </x:row>
    <x:row r="1494">
      <x:c r="A1494" s="22" t="n">
        <x:v>34503</x:v>
      </x:c>
      <x:c r="B1494" s="28" t="n">
        <x:v>260</x:v>
      </x:c>
      <x:c r="C1494" s="28"/>
      <x:c r="D1494" s="31" t="str">
        <x:f>IF(OR(ISBLANK(B1494),ISBLANK(C1494),B1494=0),"",(C1494-B1494)/B1494)</x:f>
      </x:c>
      <x:c r="E1494" s="22" t="str">
        <x:f>IF(ISBLANK(C1494),"AmountIncludingTax缺失",IF(ABS(B1494-C1494)&lt;0.005,"一致","不一致"))</x:f>
        <x:v>AmountIncludingTax缺失</x:v>
      </x:c>
      <x:c r="F1494" s="19" t="str">
        <x:v>approved</x:v>
      </x:c>
      <x:c r="G1494" s="19" t="str">
        <x:v>Repair in Progress</x:v>
      </x:c>
      <x:c r="H1494" s="19" t="str">
        <x:v>In Field</x:v>
      </x:c>
      <x:c r="I1494" s="37" t="n">
        <x:v>46160</x:v>
      </x:c>
      <x:c r="J1494" s="37" t="n">
        <x:v>46160</x:v>
      </x:c>
      <x:c r="K1494" s="19" t="str">
        <x:v>Green RV - Forest Glen</x:v>
      </x:c>
      <x:c r="L1494" s="19" t="str">
        <x:v>Z006</x:v>
      </x:c>
      <x:c r="M1494" s="19" t="str">
        <x:v>In Field Warranty Claims</x:v>
      </x:c>
      <x:c r="N1494" s="37" t="n">
        <x:v>46148</x:v>
      </x:c>
      <x:c r="O1494" s="37"/>
      <x:c r="P1494" s="34" t="n">
        <x:v>0</x:v>
      </x:c>
      <x:c r="Q1494" s="37" t="n">
        <x:v>46159.959652777776</x:v>
      </x:c>
    </x:row>
    <x:row r="1495">
      <x:c r="A1495" s="22" t="n">
        <x:v>34502</x:v>
      </x:c>
      <x:c r="B1495" s="28" t="n">
        <x:v>425</x:v>
      </x:c>
      <x:c r="C1495" s="28"/>
      <x:c r="D1495" s="31" t="str">
        <x:f>IF(OR(ISBLANK(B1495),ISBLANK(C1495),B1495=0),"",(C1495-B1495)/B1495)</x:f>
      </x:c>
      <x:c r="E1495" s="22" t="str">
        <x:f>IF(ISBLANK(C1495),"AmountIncludingTax缺失",IF(ABS(B1495-C1495)&lt;0.005,"一致","不一致"))</x:f>
        <x:v>AmountIncludingTax缺失</x:v>
      </x:c>
      <x:c r="F1495" s="19" t="str">
        <x:v>approved</x:v>
      </x:c>
      <x:c r="G1495" s="19" t="str">
        <x:v>Sales Order Approved</x:v>
      </x:c>
      <x:c r="H1495" s="19" t="str">
        <x:v>Pre Delivery</x:v>
      </x:c>
      <x:c r="I1495" s="37" t="n">
        <x:v>46199</x:v>
      </x:c>
      <x:c r="J1495" s="37" t="n">
        <x:v>46199</x:v>
      </x:c>
      <x:c r="K1495" s="19" t="str">
        <x:v>Lesiure Lion-New Castle</x:v>
      </x:c>
      <x:c r="L1495" s="19" t="str">
        <x:v>Z005</x:v>
      </x:c>
      <x:c r="M1495" s="19" t="str">
        <x:v>Pre Delivery Warranty Claims</x:v>
      </x:c>
      <x:c r="N1495" s="37" t="n">
        <x:v>46148</x:v>
      </x:c>
      <x:c r="O1495" s="37"/>
      <x:c r="P1495" s="34" t="n">
        <x:v>0</x:v>
      </x:c>
      <x:c r="Q1495" s="37" t="n">
        <x:v>46199.122094907405</x:v>
      </x:c>
    </x:row>
    <x:row r="1496">
      <x:c r="A1496" s="22" t="n">
        <x:v>34501</x:v>
      </x:c>
      <x:c r="B1496" s="28" t="n">
        <x:v>67.5</x:v>
      </x:c>
      <x:c r="C1496" s="28"/>
      <x:c r="D1496" s="31" t="str">
        <x:f>IF(OR(ISBLANK(B1496),ISBLANK(C1496),B1496=0),"",(C1496-B1496)/B1496)</x:f>
      </x:c>
      <x:c r="E1496" s="22" t="str">
        <x:f>IF(ISBLANK(C1496),"AmountIncludingTax缺失",IF(ABS(B1496-C1496)&lt;0.005,"一致","不一致"))</x:f>
        <x:v>AmountIncludingTax缺失</x:v>
      </x:c>
      <x:c r="F1496" s="19" t="str">
        <x:v>approved</x:v>
      </x:c>
      <x:c r="G1496" s="19" t="str">
        <x:v>Repair in Progress</x:v>
      </x:c>
      <x:c r="H1496" s="19" t="str">
        <x:v>In Field</x:v>
      </x:c>
      <x:c r="I1496" s="37" t="n">
        <x:v>46150</x:v>
      </x:c>
      <x:c r="J1496" s="37" t="n">
        <x:v>46150</x:v>
      </x:c>
      <x:c r="K1496" s="19" t="str">
        <x:v>Sherrif Caravans &amp; Traliers - Prospect Vale</x:v>
      </x:c>
      <x:c r="L1496" s="19" t="str">
        <x:v>Z006</x:v>
      </x:c>
      <x:c r="M1496" s="19" t="str">
        <x:v>In Field Warranty Claims</x:v>
      </x:c>
      <x:c r="N1496" s="37" t="n">
        <x:v>46148</x:v>
      </x:c>
      <x:c r="O1496" s="37"/>
      <x:c r="P1496" s="34" t="n">
        <x:v>0</x:v>
      </x:c>
      <x:c r="Q1496" s="37" t="n">
        <x:v>46150.21988425926</x:v>
      </x:c>
    </x:row>
    <x:row r="1497">
      <x:c r="A1497" s="22" t="n">
        <x:v>34500</x:v>
      </x:c>
      <x:c r="B1497" s="28" t="n">
        <x:v>285</x:v>
      </x:c>
      <x:c r="C1497" s="28"/>
      <x:c r="D1497" s="31" t="str">
        <x:f>IF(OR(ISBLANK(B1497),ISBLANK(C1497),B1497=0),"",(C1497-B1497)/B1497)</x:f>
      </x:c>
      <x:c r="E1497" s="22" t="str">
        <x:f>IF(ISBLANK(C1497),"AmountIncludingTax缺失",IF(ABS(B1497-C1497)&lt;0.005,"一致","不一致"))</x:f>
        <x:v>AmountIncludingTax缺失</x:v>
      </x:c>
      <x:c r="F1497" s="19" t="str">
        <x:v>approved</x:v>
      </x:c>
      <x:c r="G1497" s="19" t="str">
        <x:v>Repair in Progress</x:v>
      </x:c>
      <x:c r="H1497" s="19" t="str">
        <x:v>In Field</x:v>
      </x:c>
      <x:c r="I1497" s="37" t="n">
        <x:v>46150</x:v>
      </x:c>
      <x:c r="J1497" s="37" t="n">
        <x:v>46150</x:v>
      </x:c>
      <x:c r="K1497" s="19" t="str">
        <x:v>Regent RV - Perth</x:v>
      </x:c>
      <x:c r="L1497" s="19" t="str">
        <x:v>Z006</x:v>
      </x:c>
      <x:c r="M1497" s="19" t="str">
        <x:v>In Field Warranty Claims</x:v>
      </x:c>
      <x:c r="N1497" s="37" t="n">
        <x:v>46148</x:v>
      </x:c>
      <x:c r="O1497" s="37"/>
      <x:c r="P1497" s="34" t="n">
        <x:v>0</x:v>
      </x:c>
      <x:c r="Q1497" s="37" t="n">
        <x:v>46149.962685185186</x:v>
      </x:c>
    </x:row>
    <x:row r="1498">
      <x:c r="A1498" s="22" t="n">
        <x:v>34498</x:v>
      </x:c>
      <x:c r="B1498" s="28" t="n">
        <x:v>44.39</x:v>
      </x:c>
      <x:c r="C1498" s="28" t="n">
        <x:v>40.19</x:v>
      </x:c>
      <x:c r="D1498" s="31" t="n">
        <x:f>IF(OR(ISBLANK(B1498),ISBLANK(C1498),B1498=0),"",(C1498-B1498)/B1498)</x:f>
        <x:v>-0.09461590448299173</x:v>
      </x:c>
      <x:c r="E1498" s="22" t="str">
        <x:f>IF(ISBLANK(C1498),"AmountIncludingTax缺失",IF(ABS(B1498-C1498)&lt;0.005,"一致","不一致"))</x:f>
        <x:v>不一致</x:v>
      </x:c>
      <x:c r="F1498" s="19" t="str">
        <x:v>approved_closed</x:v>
      </x:c>
      <x:c r="G1498" s="19" t="str">
        <x:v>Approved Claims Closed (Closed)</x:v>
      </x:c>
      <x:c r="H1498" s="19" t="str">
        <x:v>In Field</x:v>
      </x:c>
      <x:c r="I1498" s="37" t="n">
        <x:v>46148</x:v>
      </x:c>
      <x:c r="J1498" s="37" t="n">
        <x:v>46148</x:v>
      </x:c>
      <x:c r="K1498" s="19" t="str">
        <x:v>Vanari Caravans - Marden Point</x:v>
      </x:c>
      <x:c r="L1498" s="19" t="str">
        <x:v>Z006</x:v>
      </x:c>
      <x:c r="M1498" s="19" t="str">
        <x:v>In Field Warranty Claims</x:v>
      </x:c>
      <x:c r="N1498" s="37" t="n">
        <x:v>46148</x:v>
      </x:c>
      <x:c r="O1498" s="37" t="n">
        <x:v>46148</x:v>
      </x:c>
      <x:c r="P1498" s="34" t="n">
        <x:v>40.19</x:v>
      </x:c>
      <x:c r="Q1498" s="37" t="n">
        <x:v>46148.04039351852</x:v>
      </x:c>
    </x:row>
    <x:row r="1499">
      <x:c r="A1499" s="22" t="n">
        <x:v>34497</x:v>
      </x:c>
      <x:c r="B1499" s="28" t="n">
        <x:v>89.68</x:v>
      </x:c>
      <x:c r="C1499" s="28" t="n">
        <x:v>81.2</x:v>
      </x:c>
      <x:c r="D1499" s="31" t="n">
        <x:f>IF(OR(ISBLANK(B1499),ISBLANK(C1499),B1499=0),"",(C1499-B1499)/B1499)</x:f>
        <x:v>-0.09455842997323821</x:v>
      </x:c>
      <x:c r="E1499" s="22" t="str">
        <x:f>IF(ISBLANK(C1499),"AmountIncludingTax缺失",IF(ABS(B1499-C1499)&lt;0.005,"一致","不一致"))</x:f>
        <x:v>不一致</x:v>
      </x:c>
      <x:c r="F1499" s="19" t="str">
        <x:v>approved_closed</x:v>
      </x:c>
      <x:c r="G1499" s="19" t="str">
        <x:v>Approved Claims Closed (Closed)</x:v>
      </x:c>
      <x:c r="H1499" s="19" t="str">
        <x:v>In Field</x:v>
      </x:c>
      <x:c r="I1499" s="37" t="n">
        <x:v>46148</x:v>
      </x:c>
      <x:c r="J1499" s="37" t="n">
        <x:v>46148</x:v>
      </x:c>
      <x:c r="K1499" s="19" t="str">
        <x:v>Vanari Caravans - Marden Point</x:v>
      </x:c>
      <x:c r="L1499" s="19" t="str">
        <x:v>Z006</x:v>
      </x:c>
      <x:c r="M1499" s="19" t="str">
        <x:v>In Field Warranty Claims</x:v>
      </x:c>
      <x:c r="N1499" s="37" t="n">
        <x:v>46148</x:v>
      </x:c>
      <x:c r="O1499" s="37" t="n">
        <x:v>46148</x:v>
      </x:c>
      <x:c r="P1499" s="34" t="n">
        <x:v>81.2</x:v>
      </x:c>
      <x:c r="Q1499" s="37" t="n">
        <x:v>46148.035104166665</x:v>
      </x:c>
    </x:row>
    <x:row r="1500">
      <x:c r="A1500" s="22" t="n">
        <x:v>34496</x:v>
      </x:c>
      <x:c r="B1500" s="28" t="n">
        <x:v>53.15</x:v>
      </x:c>
      <x:c r="C1500" s="28" t="n">
        <x:v>48.12</x:v>
      </x:c>
      <x:c r="D1500" s="31" t="n">
        <x:f>IF(OR(ISBLANK(B1500),ISBLANK(C1500),B1500=0),"",(C1500-B1500)/B1500)</x:f>
        <x:v>-0.09463781749764819</x:v>
      </x:c>
      <x:c r="E1500" s="22" t="str">
        <x:f>IF(ISBLANK(C1500),"AmountIncludingTax缺失",IF(ABS(B1500-C1500)&lt;0.005,"一致","不一致"))</x:f>
        <x:v>不一致</x:v>
      </x:c>
      <x:c r="F1500" s="19" t="str">
        <x:v>approved</x:v>
      </x:c>
      <x:c r="G1500" s="19" t="str">
        <x:v>Repairer Invoiced Processed</x:v>
      </x:c>
      <x:c r="H1500" s="19" t="str">
        <x:v>In Field</x:v>
      </x:c>
      <x:c r="I1500" s="37" t="n">
        <x:v>46148</x:v>
      </x:c>
      <x:c r="J1500" s="37" t="n">
        <x:v>46148</x:v>
      </x:c>
      <x:c r="K1500" s="19" t="str">
        <x:v>Vanari Caravans - Marden Point</x:v>
      </x:c>
      <x:c r="L1500" s="19" t="str">
        <x:v>Z006</x:v>
      </x:c>
      <x:c r="M1500" s="19" t="str">
        <x:v>In Field Warranty Claims</x:v>
      </x:c>
      <x:c r="N1500" s="37" t="n">
        <x:v>46148</x:v>
      </x:c>
      <x:c r="O1500" s="37"/>
      <x:c r="P1500" s="34" t="n">
        <x:v>48.12</x:v>
      </x:c>
      <x:c r="Q1500" s="37" t="n">
        <x:v>46148.112129629626</x:v>
      </x:c>
    </x:row>
    <x:row r="1501">
      <x:c r="A1501" s="22" t="n">
        <x:v>34495</x:v>
      </x:c>
      <x:c r="B1501" s="28" t="n">
        <x:v>34.39</x:v>
      </x:c>
      <x:c r="C1501" s="28" t="n">
        <x:v>31.14</x:v>
      </x:c>
      <x:c r="D1501" s="31" t="n">
        <x:f>IF(OR(ISBLANK(B1501),ISBLANK(C1501),B1501=0),"",(C1501-B1501)/B1501)</x:f>
        <x:v>-0.09450421634195987</x:v>
      </x:c>
      <x:c r="E1501" s="22" t="str">
        <x:f>IF(ISBLANK(C1501),"AmountIncludingTax缺失",IF(ABS(B1501-C1501)&lt;0.005,"一致","不一致"))</x:f>
        <x:v>不一致</x:v>
      </x:c>
      <x:c r="F1501" s="19" t="str">
        <x:v>approved</x:v>
      </x:c>
      <x:c r="G1501" s="19" t="str">
        <x:v>Repairer Invoiced Processed</x:v>
      </x:c>
      <x:c r="H1501" s="19" t="str">
        <x:v>In Field</x:v>
      </x:c>
      <x:c r="I1501" s="37" t="n">
        <x:v>46148</x:v>
      </x:c>
      <x:c r="J1501" s="37" t="n">
        <x:v>46148</x:v>
      </x:c>
      <x:c r="K1501" s="19" t="str">
        <x:v>Vanari Caravans - Marden Point</x:v>
      </x:c>
      <x:c r="L1501" s="19" t="str">
        <x:v>Z006</x:v>
      </x:c>
      <x:c r="M1501" s="19" t="str">
        <x:v>In Field Warranty Claims</x:v>
      </x:c>
      <x:c r="N1501" s="37" t="n">
        <x:v>46147</x:v>
      </x:c>
      <x:c r="O1501" s="37"/>
      <x:c r="P1501" s="34" t="n">
        <x:v>31.14</x:v>
      </x:c>
      <x:c r="Q1501" s="37" t="n">
        <x:v>46147.985868055555</x:v>
      </x:c>
    </x:row>
    <x:row r="1502">
      <x:c r="A1502" s="22" t="n">
        <x:v>34494</x:v>
      </x:c>
      <x:c r="B1502" s="28" t="n">
        <x:v>46.57</x:v>
      </x:c>
      <x:c r="C1502" s="28" t="n">
        <x:v>42.16</x:v>
      </x:c>
      <x:c r="D1502" s="31" t="n">
        <x:f>IF(OR(ISBLANK(B1502),ISBLANK(C1502),B1502=0),"",(C1502-B1502)/B1502)</x:f>
        <x:v>-0.09469615632381369</x:v>
      </x:c>
      <x:c r="E1502" s="22" t="str">
        <x:f>IF(ISBLANK(C1502),"AmountIncludingTax缺失",IF(ABS(B1502-C1502)&lt;0.005,"一致","不一致"))</x:f>
        <x:v>不一致</x:v>
      </x:c>
      <x:c r="F1502" s="19" t="str">
        <x:v>approved</x:v>
      </x:c>
      <x:c r="G1502" s="19" t="str">
        <x:v>Repairer Invoiced Processed</x:v>
      </x:c>
      <x:c r="H1502" s="19" t="str">
        <x:v>In Field</x:v>
      </x:c>
      <x:c r="I1502" s="37" t="n">
        <x:v>46148</x:v>
      </x:c>
      <x:c r="J1502" s="37" t="n">
        <x:v>46148</x:v>
      </x:c>
      <x:c r="K1502" s="19" t="str">
        <x:v>Vanari Caravans - Marden Point</x:v>
      </x:c>
      <x:c r="L1502" s="19" t="str">
        <x:v>Z006</x:v>
      </x:c>
      <x:c r="M1502" s="19" t="str">
        <x:v>In Field Warranty Claims</x:v>
      </x:c>
      <x:c r="N1502" s="37" t="n">
        <x:v>46147</x:v>
      </x:c>
      <x:c r="O1502" s="37" t="n">
        <x:v>46148</x:v>
      </x:c>
      <x:c r="P1502" s="34" t="n">
        <x:v>42.16</x:v>
      </x:c>
      <x:c r="Q1502" s="37" t="n">
        <x:v>46147.97724537037</x:v>
      </x:c>
    </x:row>
    <x:row r="1503">
      <x:c r="A1503" s="22" t="n">
        <x:v>34493</x:v>
      </x:c>
      <x:c r="B1503" s="28" t="n">
        <x:v>169.51</x:v>
      </x:c>
      <x:c r="C1503" s="28" t="n">
        <x:v>153.47</x:v>
      </x:c>
      <x:c r="D1503" s="31" t="n">
        <x:f>IF(OR(ISBLANK(B1503),ISBLANK(C1503),B1503=0),"",(C1503-B1503)/B1503)</x:f>
        <x:v>-0.09462568580024773</x:v>
      </x:c>
      <x:c r="E1503" s="22" t="str">
        <x:f>IF(ISBLANK(C1503),"AmountIncludingTax缺失",IF(ABS(B1503-C1503)&lt;0.005,"一致","不一致"))</x:f>
        <x:v>不一致</x:v>
      </x:c>
      <x:c r="F1503" s="19" t="str">
        <x:v>approved_closed</x:v>
      </x:c>
      <x:c r="G1503" s="19" t="str">
        <x:v>Approved Claims Closed (Closed)</x:v>
      </x:c>
      <x:c r="H1503" s="19" t="str">
        <x:v>In Field</x:v>
      </x:c>
      <x:c r="I1503" s="37" t="n">
        <x:v>46148</x:v>
      </x:c>
      <x:c r="J1503" s="37" t="n">
        <x:v>46148</x:v>
      </x:c>
      <x:c r="K1503" s="19" t="str">
        <x:v>Vanari Caravans - Marden Point</x:v>
      </x:c>
      <x:c r="L1503" s="19" t="str">
        <x:v>Z006</x:v>
      </x:c>
      <x:c r="M1503" s="19" t="str">
        <x:v>In Field Warranty Claims</x:v>
      </x:c>
      <x:c r="N1503" s="37" t="n">
        <x:v>46147</x:v>
      </x:c>
      <x:c r="O1503" s="37" t="n">
        <x:v>46148</x:v>
      </x:c>
      <x:c r="P1503" s="34" t="n">
        <x:v>153.47</x:v>
      </x:c>
      <x:c r="Q1503" s="37" t="n">
        <x:v>46147.96638888889</x:v>
      </x:c>
    </x:row>
    <x:row r="1504">
      <x:c r="A1504" s="22" t="n">
        <x:v>34492</x:v>
      </x:c>
      <x:c r="B1504" s="28" t="n">
        <x:v>51.92</x:v>
      </x:c>
      <x:c r="C1504" s="28" t="n">
        <x:v>47.01</x:v>
      </x:c>
      <x:c r="D1504" s="31" t="n">
        <x:f>IF(OR(ISBLANK(B1504),ISBLANK(C1504),B1504=0),"",(C1504-B1504)/B1504)</x:f>
        <x:v>-0.09456856702619422</x:v>
      </x:c>
      <x:c r="E1504" s="22" t="str">
        <x:f>IF(ISBLANK(C1504),"AmountIncludingTax缺失",IF(ABS(B1504-C1504)&lt;0.005,"一致","不一致"))</x:f>
        <x:v>不一致</x:v>
      </x:c>
      <x:c r="F1504" s="19" t="str">
        <x:v>approved</x:v>
      </x:c>
      <x:c r="G1504" s="19" t="str">
        <x:v>Repairer Invoiced Processed</x:v>
      </x:c>
      <x:c r="H1504" s="19" t="str">
        <x:v>In Field</x:v>
      </x:c>
      <x:c r="I1504" s="37" t="n">
        <x:v>46148</x:v>
      </x:c>
      <x:c r="J1504" s="37" t="n">
        <x:v>46148</x:v>
      </x:c>
      <x:c r="K1504" s="19" t="str">
        <x:v>Vanari Caravans - Marden Point</x:v>
      </x:c>
      <x:c r="L1504" s="19" t="str">
        <x:v>Z006</x:v>
      </x:c>
      <x:c r="M1504" s="19" t="str">
        <x:v>In Field Warranty Claims</x:v>
      </x:c>
      <x:c r="N1504" s="37" t="n">
        <x:v>46147</x:v>
      </x:c>
      <x:c r="O1504" s="37" t="n">
        <x:v>46148</x:v>
      </x:c>
      <x:c r="P1504" s="34" t="n">
        <x:v>47.01</x:v>
      </x:c>
      <x:c r="Q1504" s="37" t="n">
        <x:v>46148.06774305556</x:v>
      </x:c>
    </x:row>
    <x:row r="1505">
      <x:c r="A1505" s="22" t="n">
        <x:v>34491</x:v>
      </x:c>
      <x:c r="B1505" s="28" t="n">
        <x:v>49.29</x:v>
      </x:c>
      <x:c r="C1505" s="28" t="n">
        <x:v>44.63</x:v>
      </x:c>
      <x:c r="D1505" s="31" t="n">
        <x:f>IF(OR(ISBLANK(B1505),ISBLANK(C1505),B1505=0),"",(C1505-B1505)/B1505)</x:f>
        <x:v>-0.09454250355041584</x:v>
      </x:c>
      <x:c r="E1505" s="22" t="str">
        <x:f>IF(ISBLANK(C1505),"AmountIncludingTax缺失",IF(ABS(B1505-C1505)&lt;0.005,"一致","不一致"))</x:f>
        <x:v>不一致</x:v>
      </x:c>
      <x:c r="F1505" s="19" t="str">
        <x:v>unapproved_closed</x:v>
      </x:c>
      <x:c r="G1505" s="19" t="str">
        <x:v>Unapproved Claims Closed (Closed)</x:v>
      </x:c>
      <x:c r="H1505" s="19" t="str">
        <x:v>In Field</x:v>
      </x:c>
      <x:c r="I1505" s="37" t="n">
        <x:v>46148</x:v>
      </x:c>
      <x:c r="J1505" s="37" t="n">
        <x:v>46148</x:v>
      </x:c>
      <x:c r="K1505" s="19" t="str">
        <x:v>Not Assigned</x:v>
      </x:c>
      <x:c r="L1505" s="19" t="str">
        <x:v>Z006</x:v>
      </x:c>
      <x:c r="M1505" s="19" t="str">
        <x:v>In Field Warranty Claims</x:v>
      </x:c>
      <x:c r="N1505" s="37" t="n">
        <x:v>46147</x:v>
      </x:c>
      <x:c r="O1505" s="37" t="n">
        <x:v>46148</x:v>
      </x:c>
      <x:c r="P1505" s="34" t="n">
        <x:v>44.63</x:v>
      </x:c>
      <x:c r="Q1505" s="37" t="n">
        <x:v>46147.94362268518</x:v>
      </x:c>
    </x:row>
    <x:row r="1506">
      <x:c r="A1506" s="22" t="n">
        <x:v>34488</x:v>
      </x:c>
      <x:c r="B1506" s="28" t="n">
        <x:v>41.25</x:v>
      </x:c>
      <x:c r="C1506" s="28"/>
      <x:c r="D1506" s="31" t="str">
        <x:f>IF(OR(ISBLANK(B1506),ISBLANK(C1506),B1506=0),"",(C1506-B1506)/B1506)</x:f>
      </x:c>
      <x:c r="E1506" s="22" t="str">
        <x:f>IF(ISBLANK(C1506),"AmountIncludingTax缺失",IF(ABS(B1506-C1506)&lt;0.005,"一致","不一致"))</x:f>
        <x:v>AmountIncludingTax缺失</x:v>
      </x:c>
      <x:c r="F1506" s="19" t="str">
        <x:v>approved</x:v>
      </x:c>
      <x:c r="G1506" s="19" t="str">
        <x:v>Repair in Progress</x:v>
      </x:c>
      <x:c r="H1506" s="19" t="str">
        <x:v>In Field</x:v>
      </x:c>
      <x:c r="I1506" s="37" t="n">
        <x:v>46170</x:v>
      </x:c>
      <x:c r="J1506" s="37" t="n">
        <x:v>46170</x:v>
      </x:c>
      <x:c r="K1506" s="19" t="str">
        <x:v>Regent RV - Townsville</x:v>
      </x:c>
      <x:c r="L1506" s="19" t="str">
        <x:v>Z006</x:v>
      </x:c>
      <x:c r="M1506" s="19" t="str">
        <x:v>In Field Warranty Claims</x:v>
      </x:c>
      <x:c r="N1506" s="37" t="n">
        <x:v>46148</x:v>
      </x:c>
      <x:c r="O1506" s="37"/>
      <x:c r="P1506" s="34" t="n">
        <x:v>0</x:v>
      </x:c>
      <x:c r="Q1506" s="37" t="n">
        <x:v>46169.913831018515</x:v>
      </x:c>
    </x:row>
    <x:row r="1507">
      <x:c r="A1507" s="22" t="n">
        <x:v>34486</x:v>
      </x:c>
      <x:c r="B1507" s="28" t="n">
        <x:v>720</x:v>
      </x:c>
      <x:c r="C1507" s="28"/>
      <x:c r="D1507" s="31" t="str">
        <x:f>IF(OR(ISBLANK(B1507),ISBLANK(C1507),B1507=0),"",(C1507-B1507)/B1507)</x:f>
      </x:c>
      <x:c r="E1507" s="22" t="str">
        <x:f>IF(ISBLANK(C1507),"AmountIncludingTax缺失",IF(ABS(B1507-C1507)&lt;0.005,"一致","不一致"))</x:f>
        <x:v>AmountIncludingTax缺失</x:v>
      </x:c>
      <x:c r="F1507" s="19" t="str">
        <x:v>approved</x:v>
      </x:c>
      <x:c r="G1507" s="19" t="str">
        <x:v>Repairer Invoiced Processed</x:v>
      </x:c>
      <x:c r="H1507" s="19" t="str">
        <x:v>Pre Delivery</x:v>
      </x:c>
      <x:c r="I1507" s="37" t="n">
        <x:v>46183</x:v>
      </x:c>
      <x:c r="J1507" s="37" t="n">
        <x:v>46183</x:v>
      </x:c>
      <x:c r="K1507" s="19" t="str">
        <x:v>Leisure Lion - Bundaberg</x:v>
      </x:c>
      <x:c r="L1507" s="19" t="str">
        <x:v>Z005</x:v>
      </x:c>
      <x:c r="M1507" s="19" t="str">
        <x:v>Pre Delivery Warranty Claims</x:v>
      </x:c>
      <x:c r="N1507" s="37" t="n">
        <x:v>46147</x:v>
      </x:c>
      <x:c r="O1507" s="37"/>
      <x:c r="P1507" s="34" t="n">
        <x:v>0</x:v>
      </x:c>
      <x:c r="Q1507" s="37" t="n">
        <x:v>46183.19415509259</x:v>
      </x:c>
    </x:row>
    <x:row r="1508">
      <x:c r="A1508" s="22" t="n">
        <x:v>34484</x:v>
      </x:c>
      <x:c r="B1508" s="28" t="n">
        <x:v>1451.25</x:v>
      </x:c>
      <x:c r="C1508" s="28"/>
      <x:c r="D1508" s="31" t="str">
        <x:f>IF(OR(ISBLANK(B1508),ISBLANK(C1508),B1508=0),"",(C1508-B1508)/B1508)</x:f>
      </x:c>
      <x:c r="E1508" s="22" t="str">
        <x:f>IF(ISBLANK(C1508),"AmountIncludingTax缺失",IF(ABS(B1508-C1508)&lt;0.005,"一致","不一致"))</x:f>
        <x:v>AmountIncludingTax缺失</x:v>
      </x:c>
      <x:c r="F1508" s="19" t="str">
        <x:v>approved</x:v>
      </x:c>
      <x:c r="G1508" s="19" t="str">
        <x:v>Repairer Invoiced Processed</x:v>
      </x:c>
      <x:c r="H1508" s="19" t="str">
        <x:v>In Field</x:v>
      </x:c>
      <x:c r="I1508" s="37" t="n">
        <x:v>46149</x:v>
      </x:c>
      <x:c r="J1508" s="37" t="n">
        <x:v>46149</x:v>
      </x:c>
      <x:c r="K1508" s="19" t="str">
        <x:v>Green RV - Forest Glen</x:v>
      </x:c>
      <x:c r="L1508" s="19" t="str">
        <x:v>Z006</x:v>
      </x:c>
      <x:c r="M1508" s="19" t="str">
        <x:v>In Field Warranty Claims</x:v>
      </x:c>
      <x:c r="N1508" s="37" t="n">
        <x:v>46147</x:v>
      </x:c>
      <x:c r="O1508" s="37"/>
      <x:c r="P1508" s="34" t="n">
        <x:v>0</x:v>
      </x:c>
      <x:c r="Q1508" s="37" t="n">
        <x:v>46149.06744212963</x:v>
      </x:c>
    </x:row>
    <x:row r="1509">
      <x:c r="A1509" s="22" t="n">
        <x:v>34483</x:v>
      </x:c>
      <x:c r="B1509" s="28" t="n">
        <x:v>1558.75</x:v>
      </x:c>
      <x:c r="C1509" s="28"/>
      <x:c r="D1509" s="31" t="str">
        <x:f>IF(OR(ISBLANK(B1509),ISBLANK(C1509),B1509=0),"",(C1509-B1509)/B1509)</x:f>
      </x:c>
      <x:c r="E1509" s="22" t="str">
        <x:f>IF(ISBLANK(C1509),"AmountIncludingTax缺失",IF(ABS(B1509-C1509)&lt;0.005,"一致","不一致"))</x:f>
        <x:v>AmountIncludingTax缺失</x:v>
      </x:c>
      <x:c r="F1509" s="19" t="str">
        <x:v>approved</x:v>
      </x:c>
      <x:c r="G1509" s="19" t="str">
        <x:v>Repairer Invoiced Processed</x:v>
      </x:c>
      <x:c r="H1509" s="19" t="str">
        <x:v>Pre Delivery</x:v>
      </x:c>
      <x:c r="I1509" s="37" t="n">
        <x:v>46195</x:v>
      </x:c>
      <x:c r="J1509" s="37" t="n">
        <x:v>46150</x:v>
      </x:c>
      <x:c r="K1509" s="19" t="str">
        <x:v>Lesiure Lion-New Castle</x:v>
      </x:c>
      <x:c r="L1509" s="19" t="str">
        <x:v>Z005</x:v>
      </x:c>
      <x:c r="M1509" s="19" t="str">
        <x:v>Pre Delivery Warranty Claims</x:v>
      </x:c>
      <x:c r="N1509" s="37" t="n">
        <x:v>46147</x:v>
      </x:c>
      <x:c r="O1509" s="37"/>
      <x:c r="P1509" s="34" t="n">
        <x:v>0</x:v>
      </x:c>
      <x:c r="Q1509" s="37" t="n">
        <x:v>46195.13804398148</x:v>
      </x:c>
    </x:row>
    <x:row r="1510">
      <x:c r="A1510" s="22" t="n">
        <x:v>34482</x:v>
      </x:c>
      <x:c r="B1510" s="28" t="n">
        <x:v>1080</x:v>
      </x:c>
      <x:c r="C1510" s="28"/>
      <x:c r="D1510" s="31" t="str">
        <x:f>IF(OR(ISBLANK(B1510),ISBLANK(C1510),B1510=0),"",(C1510-B1510)/B1510)</x:f>
      </x:c>
      <x:c r="E1510" s="22" t="str">
        <x:f>IF(ISBLANK(C1510),"AmountIncludingTax缺失",IF(ABS(B1510-C1510)&lt;0.005,"一致","不一致"))</x:f>
        <x:v>AmountIncludingTax缺失</x:v>
      </x:c>
      <x:c r="F1510" s="19" t="str">
        <x:v>approved</x:v>
      </x:c>
      <x:c r="G1510" s="19" t="str">
        <x:v>Repair in Progress</x:v>
      </x:c>
      <x:c r="H1510" s="19" t="str">
        <x:v>In Field</x:v>
      </x:c>
      <x:c r="I1510" s="37" t="n">
        <x:v>46168</x:v>
      </x:c>
      <x:c r="J1510" s="37" t="n">
        <x:v>46168</x:v>
      </x:c>
      <x:c r="K1510" s="19" t="str">
        <x:v>Green RV - Slacks Creek</x:v>
      </x:c>
      <x:c r="L1510" s="19" t="str">
        <x:v>Z006</x:v>
      </x:c>
      <x:c r="M1510" s="19" t="str">
        <x:v>In Field Warranty Claims</x:v>
      </x:c>
      <x:c r="N1510" s="37" t="n">
        <x:v>46147</x:v>
      </x:c>
      <x:c r="O1510" s="37"/>
      <x:c r="P1510" s="34" t="n">
        <x:v>0</x:v>
      </x:c>
      <x:c r="Q1510" s="37" t="n">
        <x:v>46167.89947916667</x:v>
      </x:c>
    </x:row>
    <x:row r="1511">
      <x:c r="A1511" s="22" t="n">
        <x:v>34481</x:v>
      </x:c>
      <x:c r="B1511" s="28" t="n">
        <x:v>313.75</x:v>
      </x:c>
      <x:c r="C1511" s="28"/>
      <x:c r="D1511" s="31" t="str">
        <x:f>IF(OR(ISBLANK(B1511),ISBLANK(C1511),B1511=0),"",(C1511-B1511)/B1511)</x:f>
      </x:c>
      <x:c r="E1511" s="22" t="str">
        <x:f>IF(ISBLANK(C1511),"AmountIncludingTax缺失",IF(ABS(B1511-C1511)&lt;0.005,"一致","不一致"))</x:f>
        <x:v>AmountIncludingTax缺失</x:v>
      </x:c>
      <x:c r="F1511" s="19" t="str">
        <x:v>approved</x:v>
      </x:c>
      <x:c r="G1511" s="19" t="str">
        <x:v>Repair in Progress</x:v>
      </x:c>
      <x:c r="H1511" s="19" t="str">
        <x:v>In Field</x:v>
      </x:c>
      <x:c r="I1511" s="37" t="n">
        <x:v>46150</x:v>
      </x:c>
      <x:c r="J1511" s="37" t="n">
        <x:v>46150</x:v>
      </x:c>
      <x:c r="K1511" s="19" t="str">
        <x:v>Regent RV - Perth</x:v>
      </x:c>
      <x:c r="L1511" s="19" t="str">
        <x:v>Z006</x:v>
      </x:c>
      <x:c r="M1511" s="19" t="str">
        <x:v>In Field Warranty Claims</x:v>
      </x:c>
      <x:c r="N1511" s="37" t="n">
        <x:v>46147</x:v>
      </x:c>
      <x:c r="O1511" s="37"/>
      <x:c r="P1511" s="34" t="n">
        <x:v>0</x:v>
      </x:c>
      <x:c r="Q1511" s="37" t="n">
        <x:v>46150.01405092593</x:v>
      </x:c>
    </x:row>
    <x:row r="1512">
      <x:c r="A1512" s="22" t="n">
        <x:v>34480</x:v>
      </x:c>
      <x:c r="B1512" s="28" t="n">
        <x:v>3379.09</x:v>
      </x:c>
      <x:c r="C1512" s="28"/>
      <x:c r="D1512" s="31" t="str">
        <x:f>IF(OR(ISBLANK(B1512),ISBLANK(C1512),B1512=0),"",(C1512-B1512)/B1512)</x:f>
      </x:c>
      <x:c r="E1512" s="22" t="str">
        <x:f>IF(ISBLANK(C1512),"AmountIncludingTax缺失",IF(ABS(B1512-C1512)&lt;0.005,"一致","不一致"))</x:f>
        <x:v>AmountIncludingTax缺失</x:v>
      </x:c>
      <x:c r="F1512" s="19" t="str">
        <x:v>approved</x:v>
      </x:c>
      <x:c r="G1512" s="19" t="str">
        <x:v>Repair in Progress</x:v>
      </x:c>
      <x:c r="H1512" s="19" t="str">
        <x:v>In Field</x:v>
      </x:c>
      <x:c r="I1512" s="37" t="n">
        <x:v>46190</x:v>
      </x:c>
      <x:c r="J1512" s="37" t="n">
        <x:v>46190</x:v>
      </x:c>
      <x:c r="K1512" s="19" t="str">
        <x:v>Green RV - Forest Glen</x:v>
      </x:c>
      <x:c r="L1512" s="19" t="str">
        <x:v>Z006</x:v>
      </x:c>
      <x:c r="M1512" s="19" t="str">
        <x:v>In Field Warranty Claims</x:v>
      </x:c>
      <x:c r="N1512" s="37" t="n">
        <x:v>46147</x:v>
      </x:c>
      <x:c r="O1512" s="37"/>
      <x:c r="P1512" s="34" t="n">
        <x:v>3717</x:v>
      </x:c>
      <x:c r="Q1512" s="37" t="n">
        <x:v>46190.21256944445</x:v>
      </x:c>
    </x:row>
    <x:row r="1513">
      <x:c r="A1513" s="22" t="n">
        <x:v>34479</x:v>
      </x:c>
      <x:c r="B1513" s="28" t="n">
        <x:v>67.5</x:v>
      </x:c>
      <x:c r="C1513" s="28"/>
      <x:c r="D1513" s="31" t="str">
        <x:f>IF(OR(ISBLANK(B1513),ISBLANK(C1513),B1513=0),"",(C1513-B1513)/B1513)</x:f>
      </x:c>
      <x:c r="E1513" s="22" t="str">
        <x:f>IF(ISBLANK(C1513),"AmountIncludingTax缺失",IF(ABS(B1513-C1513)&lt;0.005,"一致","不一致"))</x:f>
        <x:v>AmountIncludingTax缺失</x:v>
      </x:c>
      <x:c r="F1513" s="19" t="str">
        <x:v>approved</x:v>
      </x:c>
      <x:c r="G1513" s="19" t="str">
        <x:v>Repairer Invoiced Processed</x:v>
      </x:c>
      <x:c r="H1513" s="19" t="str">
        <x:v>In Field</x:v>
      </x:c>
      <x:c r="I1513" s="37" t="n">
        <x:v>46149</x:v>
      </x:c>
      <x:c r="J1513" s="37" t="n">
        <x:v>46149</x:v>
      </x:c>
      <x:c r="K1513" s="19" t="str">
        <x:v>Green RV - Forest Glen</x:v>
      </x:c>
      <x:c r="L1513" s="19" t="str">
        <x:v>Z006</x:v>
      </x:c>
      <x:c r="M1513" s="19" t="str">
        <x:v>In Field Warranty Claims</x:v>
      </x:c>
      <x:c r="N1513" s="37" t="n">
        <x:v>46147</x:v>
      </x:c>
      <x:c r="O1513" s="37"/>
      <x:c r="P1513" s="34" t="n">
        <x:v>0</x:v>
      </x:c>
      <x:c r="Q1513" s="37" t="n">
        <x:v>46148.87304398148</x:v>
      </x:c>
    </x:row>
    <x:row r="1514">
      <x:c r="A1514" s="22" t="n">
        <x:v>34478</x:v>
      </x:c>
      <x:c r="B1514" s="28" t="n">
        <x:v>135</x:v>
      </x:c>
      <x:c r="C1514" s="28" t="n">
        <x:v>148.5</x:v>
      </x:c>
      <x:c r="D1514" s="31" t="n">
        <x:f>IF(OR(ISBLANK(B1514),ISBLANK(C1514),B1514=0),"",(C1514-B1514)/B1514)</x:f>
        <x:v>0.1</x:v>
      </x:c>
      <x:c r="E1514" s="22" t="str">
        <x:f>IF(ISBLANK(C1514),"AmountIncludingTax缺失",IF(ABS(B1514-C1514)&lt;0.005,"一致","不一致"))</x:f>
        <x:v>不一致</x:v>
      </x:c>
      <x:c r="F1514" s="19" t="str">
        <x:v>approved</x:v>
      </x:c>
      <x:c r="G1514" s="19" t="str">
        <x:v>Repair in Progress</x:v>
      </x:c>
      <x:c r="H1514" s="19" t="str">
        <x:v>In Field</x:v>
      </x:c>
      <x:c r="I1514" s="37" t="n">
        <x:v>46149</x:v>
      </x:c>
      <x:c r="J1514" s="37" t="n">
        <x:v>46149</x:v>
      </x:c>
      <x:c r="K1514" s="19" t="str">
        <x:v>Dario Caravans - Pooraka</x:v>
      </x:c>
      <x:c r="L1514" s="19" t="str">
        <x:v>Z006</x:v>
      </x:c>
      <x:c r="M1514" s="19" t="str">
        <x:v>In Field Warranty Claims</x:v>
      </x:c>
      <x:c r="N1514" s="37" t="n">
        <x:v>46147</x:v>
      </x:c>
      <x:c r="O1514" s="37"/>
      <x:c r="P1514" s="34" t="n">
        <x:v>148.5</x:v>
      </x:c>
      <x:c r="Q1514" s="37" t="n">
        <x:v>46149.426724537036</x:v>
      </x:c>
    </x:row>
    <x:row r="1515">
      <x:c r="A1515" s="22" t="n">
        <x:v>34476</x:v>
      </x:c>
      <x:c r="B1515" s="28" t="n">
        <x:v>30</x:v>
      </x:c>
      <x:c r="C1515" s="28" t="n">
        <x:v>33</x:v>
      </x:c>
      <x:c r="D1515" s="31" t="n">
        <x:f>IF(OR(ISBLANK(B1515),ISBLANK(C1515),B1515=0),"",(C1515-B1515)/B1515)</x:f>
        <x:v>0.1</x:v>
      </x:c>
      <x:c r="E1515" s="22" t="str">
        <x:f>IF(ISBLANK(C1515),"AmountIncludingTax缺失",IF(ABS(B1515-C1515)&lt;0.005,"一致","不一致"))</x:f>
        <x:v>不一致</x:v>
      </x:c>
      <x:c r="F1515" s="19" t="str">
        <x:v>approved</x:v>
      </x:c>
      <x:c r="G1515" s="19" t="str">
        <x:v>Repair in Progress</x:v>
      </x:c>
      <x:c r="H1515" s="19" t="str">
        <x:v>In Field</x:v>
      </x:c>
      <x:c r="I1515" s="37" t="n">
        <x:v>46149</x:v>
      </x:c>
      <x:c r="J1515" s="37" t="n">
        <x:v>46149</x:v>
      </x:c>
      <x:c r="K1515" s="19" t="str">
        <x:v>QCCC - Gympie</x:v>
      </x:c>
      <x:c r="L1515" s="19" t="str">
        <x:v>Z006</x:v>
      </x:c>
      <x:c r="M1515" s="19" t="str">
        <x:v>In Field Warranty Claims</x:v>
      </x:c>
      <x:c r="N1515" s="37" t="n">
        <x:v>46147</x:v>
      </x:c>
      <x:c r="O1515" s="37"/>
      <x:c r="P1515" s="34" t="n">
        <x:v>33</x:v>
      </x:c>
      <x:c r="Q1515" s="37" t="n">
        <x:v>46149.12930555556</x:v>
      </x:c>
    </x:row>
    <x:row r="1516">
      <x:c r="A1516" s="22" t="n">
        <x:v>34475</x:v>
      </x:c>
      <x:c r="B1516" s="28" t="n">
        <x:v>830</x:v>
      </x:c>
      <x:c r="C1516" s="28"/>
      <x:c r="D1516" s="31" t="str">
        <x:f>IF(OR(ISBLANK(B1516),ISBLANK(C1516),B1516=0),"",(C1516-B1516)/B1516)</x:f>
      </x:c>
      <x:c r="E1516" s="22" t="str">
        <x:f>IF(ISBLANK(C1516),"AmountIncludingTax缺失",IF(ABS(B1516-C1516)&lt;0.005,"一致","不一致"))</x:f>
        <x:v>AmountIncludingTax缺失</x:v>
      </x:c>
      <x:c r="F1516" s="19" t="str">
        <x:v>approved</x:v>
      </x:c>
      <x:c r="G1516" s="19" t="str">
        <x:v>Repair in Progress</x:v>
      </x:c>
      <x:c r="H1516" s="19" t="str">
        <x:v>In Field</x:v>
      </x:c>
      <x:c r="I1516" s="37" t="n">
        <x:v>46153</x:v>
      </x:c>
      <x:c r="J1516" s="37" t="n">
        <x:v>46153</x:v>
      </x:c>
      <x:c r="K1516" s="19" t="str">
        <x:v>Green RV - Slacks Creek</x:v>
      </x:c>
      <x:c r="L1516" s="19" t="str">
        <x:v>Z006</x:v>
      </x:c>
      <x:c r="M1516" s="19" t="str">
        <x:v>In Field Warranty Claims</x:v>
      </x:c>
      <x:c r="N1516" s="37" t="n">
        <x:v>46147</x:v>
      </x:c>
      <x:c r="O1516" s="37"/>
      <x:c r="P1516" s="34" t="n">
        <x:v>0</x:v>
      </x:c>
      <x:c r="Q1516" s="37" t="n">
        <x:v>46153.04914351852</x:v>
      </x:c>
    </x:row>
    <x:row r="1517">
      <x:c r="A1517" s="22" t="n">
        <x:v>34473</x:v>
      </x:c>
      <x:c r="B1517" s="28" t="n">
        <x:v>762.5</x:v>
      </x:c>
      <x:c r="C1517" s="28"/>
      <x:c r="D1517" s="31" t="str">
        <x:f>IF(OR(ISBLANK(B1517),ISBLANK(C1517),B1517=0),"",(C1517-B1517)/B1517)</x:f>
      </x:c>
      <x:c r="E1517" s="22" t="str">
        <x:f>IF(ISBLANK(C1517),"AmountIncludingTax缺失",IF(ABS(B1517-C1517)&lt;0.005,"一致","不一致"))</x:f>
        <x:v>AmountIncludingTax缺失</x:v>
      </x:c>
      <x:c r="F1517" s="19" t="str">
        <x:v>approved</x:v>
      </x:c>
      <x:c r="G1517" s="19" t="str">
        <x:v>Repair in Progress</x:v>
      </x:c>
      <x:c r="H1517" s="19" t="str">
        <x:v>In Field</x:v>
      </x:c>
      <x:c r="I1517" s="37" t="n">
        <x:v>46149</x:v>
      </x:c>
      <x:c r="J1517" s="37" t="n">
        <x:v>46149</x:v>
      </x:c>
      <x:c r="K1517" s="19" t="str">
        <x:v>Green RV - Forest Glen</x:v>
      </x:c>
      <x:c r="L1517" s="19" t="str">
        <x:v>Z006</x:v>
      </x:c>
      <x:c r="M1517" s="19" t="str">
        <x:v>In Field Warranty Claims</x:v>
      </x:c>
      <x:c r="N1517" s="37" t="n">
        <x:v>46147</x:v>
      </x:c>
      <x:c r="O1517" s="37"/>
      <x:c r="P1517" s="34" t="n">
        <x:v>0</x:v>
      </x:c>
      <x:c r="Q1517" s="37" t="n">
        <x:v>46149.1765625</x:v>
      </x:c>
    </x:row>
    <x:row r="1518">
      <x:c r="A1518" s="22" t="n">
        <x:v>34472</x:v>
      </x:c>
      <x:c r="B1518" s="28" t="n">
        <x:v>415.12</x:v>
      </x:c>
      <x:c r="C1518" s="28" t="n">
        <x:v>456.63</x:v>
      </x:c>
      <x:c r="D1518" s="31" t="n">
        <x:f>IF(OR(ISBLANK(B1518),ISBLANK(C1518),B1518=0),"",(C1518-B1518)/B1518)</x:f>
        <x:v>0.09999518211601462</x:v>
      </x:c>
      <x:c r="E1518" s="22" t="str">
        <x:f>IF(ISBLANK(C1518),"AmountIncludingTax缺失",IF(ABS(B1518-C1518)&lt;0.005,"一致","不一致"))</x:f>
        <x:v>不一致</x:v>
      </x:c>
      <x:c r="F1518" s="19" t="str">
        <x:v>approved</x:v>
      </x:c>
      <x:c r="G1518" s="19" t="str">
        <x:v>Repair in Progress</x:v>
      </x:c>
      <x:c r="H1518" s="19" t="str">
        <x:v>In Field</x:v>
      </x:c>
      <x:c r="I1518" s="37" t="n">
        <x:v>46150</x:v>
      </x:c>
      <x:c r="J1518" s="37" t="n">
        <x:v>46150</x:v>
      </x:c>
      <x:c r="K1518" s="19" t="str">
        <x:v>Regent RV - Perth</x:v>
      </x:c>
      <x:c r="L1518" s="19" t="str">
        <x:v>Z006</x:v>
      </x:c>
      <x:c r="M1518" s="19" t="str">
        <x:v>In Field Warranty Claims</x:v>
      </x:c>
      <x:c r="N1518" s="37" t="n">
        <x:v>46147</x:v>
      </x:c>
      <x:c r="O1518" s="37"/>
      <x:c r="P1518" s="34" t="n">
        <x:v>456.63</x:v>
      </x:c>
      <x:c r="Q1518" s="37" t="n">
        <x:v>46150.16439814815</x:v>
      </x:c>
    </x:row>
    <x:row r="1519">
      <x:c r="A1519" s="22" t="n">
        <x:v>34471</x:v>
      </x:c>
      <x:c r="B1519" s="28" t="n">
        <x:v>94.77</x:v>
      </x:c>
      <x:c r="C1519" s="28" t="n">
        <x:v>104.25</x:v>
      </x:c>
      <x:c r="D1519" s="31" t="n">
        <x:f>IF(OR(ISBLANK(B1519),ISBLANK(C1519),B1519=0),"",(C1519-B1519)/B1519)</x:f>
        <x:v>0.1000316555872112</x:v>
      </x:c>
      <x:c r="E1519" s="22" t="str">
        <x:f>IF(ISBLANK(C1519),"AmountIncludingTax缺失",IF(ABS(B1519-C1519)&lt;0.005,"一致","不一致"))</x:f>
        <x:v>不一致</x:v>
      </x:c>
      <x:c r="F1519" s="19" t="str">
        <x:v>approved</x:v>
      </x:c>
      <x:c r="G1519" s="19" t="str">
        <x:v>Repair in Progress</x:v>
      </x:c>
      <x:c r="H1519" s="19" t="str">
        <x:v>Pre Delivery</x:v>
      </x:c>
      <x:c r="I1519" s="37" t="n">
        <x:v>46198</x:v>
      </x:c>
      <x:c r="J1519" s="37" t="n">
        <x:v>46198</x:v>
      </x:c>
      <x:c r="K1519" s="19" t="str">
        <x:v>Destiny RV - South Australia</x:v>
      </x:c>
      <x:c r="L1519" s="19" t="str">
        <x:v>Z005</x:v>
      </x:c>
      <x:c r="M1519" s="19" t="str">
        <x:v>Pre Delivery Warranty Claims</x:v>
      </x:c>
      <x:c r="N1519" s="37" t="n">
        <x:v>46147</x:v>
      </x:c>
      <x:c r="O1519" s="37"/>
      <x:c r="P1519" s="34" t="n">
        <x:v>104.25</x:v>
      </x:c>
      <x:c r="Q1519" s="37" t="n">
        <x:v>46198.191400462965</x:v>
      </x:c>
    </x:row>
    <x:row r="1520">
      <x:c r="A1520" s="22" t="n">
        <x:v>34470</x:v>
      </x:c>
      <x:c r="B1520" s="28" t="n">
        <x:v>344.55</x:v>
      </x:c>
      <x:c r="C1520" s="28" t="n">
        <x:v>379.01</x:v>
      </x:c>
      <x:c r="D1520" s="31" t="n">
        <x:f>IF(OR(ISBLANK(B1520),ISBLANK(C1520),B1520=0),"",(C1520-B1520)/B1520)</x:f>
        <x:v>0.10001451168190387</x:v>
      </x:c>
      <x:c r="E1520" s="22" t="str">
        <x:f>IF(ISBLANK(C1520),"AmountIncludingTax缺失",IF(ABS(B1520-C1520)&lt;0.005,"一致","不一致"))</x:f>
        <x:v>不一致</x:v>
      </x:c>
      <x:c r="F1520" s="19" t="str">
        <x:v>approved</x:v>
      </x:c>
      <x:c r="G1520" s="19" t="str">
        <x:v>Repairer Invoiced Processed</x:v>
      </x:c>
      <x:c r="H1520" s="19" t="str">
        <x:v>In Field</x:v>
      </x:c>
      <x:c r="I1520" s="37" t="n">
        <x:v>46157</x:v>
      </x:c>
      <x:c r="J1520" s="37" t="n">
        <x:v>46157</x:v>
      </x:c>
      <x:c r="K1520" s="19" t="str">
        <x:v>Green RV - Slacks Creek</x:v>
      </x:c>
      <x:c r="L1520" s="19" t="str">
        <x:v>Z006</x:v>
      </x:c>
      <x:c r="M1520" s="19" t="str">
        <x:v>In Field Warranty Claims</x:v>
      </x:c>
      <x:c r="N1520" s="37" t="n">
        <x:v>46147</x:v>
      </x:c>
      <x:c r="O1520" s="37"/>
      <x:c r="P1520" s="34" t="n">
        <x:v>379.01</x:v>
      </x:c>
      <x:c r="Q1520" s="37" t="n">
        <x:v>46157.21908564815</x:v>
      </x:c>
    </x:row>
    <x:row r="1521">
      <x:c r="A1521" s="22" t="n">
        <x:v>34469</x:v>
      </x:c>
      <x:c r="B1521" s="28" t="n">
        <x:v>45</x:v>
      </x:c>
      <x:c r="C1521" s="28"/>
      <x:c r="D1521" s="31" t="str">
        <x:f>IF(OR(ISBLANK(B1521),ISBLANK(C1521),B1521=0),"",(C1521-B1521)/B1521)</x:f>
      </x:c>
      <x:c r="E1521" s="22" t="str">
        <x:f>IF(ISBLANK(C1521),"AmountIncludingTax缺失",IF(ABS(B1521-C1521)&lt;0.005,"一致","不一致"))</x:f>
        <x:v>AmountIncludingTax缺失</x:v>
      </x:c>
      <x:c r="F1521" s="19" t="str">
        <x:v>approved</x:v>
      </x:c>
      <x:c r="G1521" s="19" t="str">
        <x:v>Sales Order Approved</x:v>
      </x:c>
      <x:c r="H1521" s="19" t="str">
        <x:v>In Field</x:v>
      </x:c>
      <x:c r="I1521" s="37" t="n">
        <x:v>46149</x:v>
      </x:c>
      <x:c r="J1521" s="37" t="n">
        <x:v>46149</x:v>
      </x:c>
      <x:c r="K1521" s="19" t="str">
        <x:v>Destiny RV - South Australia</x:v>
      </x:c>
      <x:c r="L1521" s="19" t="str">
        <x:v>Z006</x:v>
      </x:c>
      <x:c r="M1521" s="19" t="str">
        <x:v>In Field Warranty Claims</x:v>
      </x:c>
      <x:c r="N1521" s="37" t="n">
        <x:v>46147</x:v>
      </x:c>
      <x:c r="O1521" s="37"/>
      <x:c r="P1521" s="34" t="n">
        <x:v>0</x:v>
      </x:c>
      <x:c r="Q1521" s="37" t="n">
        <x:v>46149.43920138889</x:v>
      </x:c>
    </x:row>
    <x:row r="1522">
      <x:c r="A1522" s="22" t="n">
        <x:v>34468</x:v>
      </x:c>
      <x:c r="B1522" s="28" t="n">
        <x:v>2073.3</x:v>
      </x:c>
      <x:c r="C1522" s="28"/>
      <x:c r="D1522" s="31" t="str">
        <x:f>IF(OR(ISBLANK(B1522),ISBLANK(C1522),B1522=0),"",(C1522-B1522)/B1522)</x:f>
      </x:c>
      <x:c r="E1522" s="22" t="str">
        <x:f>IF(ISBLANK(C1522),"AmountIncludingTax缺失",IF(ABS(B1522-C1522)&lt;0.005,"一致","不一致"))</x:f>
        <x:v>AmountIncludingTax缺失</x:v>
      </x:c>
      <x:c r="F1522" s="19" t="str">
        <x:v>approved</x:v>
      </x:c>
      <x:c r="G1522" s="19" t="str">
        <x:v>Repairer Invoiced Processed</x:v>
      </x:c>
      <x:c r="H1522" s="19" t="str">
        <x:v>Pre Delivery</x:v>
      </x:c>
      <x:c r="I1522" s="37" t="n">
        <x:v>46201</x:v>
      </x:c>
      <x:c r="J1522" s="37" t="n">
        <x:v>46201</x:v>
      </x:c>
      <x:c r="K1522" s="19" t="str">
        <x:v>The Caravan Hub - Townsville</x:v>
      </x:c>
      <x:c r="L1522" s="19" t="str">
        <x:v>Z005</x:v>
      </x:c>
      <x:c r="M1522" s="19" t="str">
        <x:v>Pre Delivery Warranty Claims</x:v>
      </x:c>
      <x:c r="N1522" s="37" t="n">
        <x:v>46147</x:v>
      </x:c>
      <x:c r="O1522" s="37"/>
      <x:c r="P1522" s="34" t="n">
        <x:v>0</x:v>
      </x:c>
      <x:c r="Q1522" s="37" t="n">
        <x:v>46200.97803240741</x:v>
      </x:c>
    </x:row>
    <x:row r="1523">
      <x:c r="A1523" s="22" t="n">
        <x:v>34466</x:v>
      </x:c>
      <x:c r="B1523" s="28" t="n">
        <x:v>850</x:v>
      </x:c>
      <x:c r="C1523" s="28"/>
      <x:c r="D1523" s="31" t="str">
        <x:f>IF(OR(ISBLANK(B1523),ISBLANK(C1523),B1523=0),"",(C1523-B1523)/B1523)</x:f>
      </x:c>
      <x:c r="E1523" s="22" t="str">
        <x:f>IF(ISBLANK(C1523),"AmountIncludingTax缺失",IF(ABS(B1523-C1523)&lt;0.005,"一致","不一致"))</x:f>
        <x:v>AmountIncludingTax缺失</x:v>
      </x:c>
      <x:c r="F1523" s="19" t="str">
        <x:v>approved</x:v>
      </x:c>
      <x:c r="G1523" s="19" t="str">
        <x:v>Repairer Invoiced Processed</x:v>
      </x:c>
      <x:c r="H1523" s="19" t="str">
        <x:v>In Field</x:v>
      </x:c>
      <x:c r="I1523" s="37" t="n">
        <x:v>46148</x:v>
      </x:c>
      <x:c r="J1523" s="37" t="n">
        <x:v>46148</x:v>
      </x:c>
      <x:c r="K1523" s="19" t="str">
        <x:v>Green RV - Forest Glen</x:v>
      </x:c>
      <x:c r="L1523" s="19" t="str">
        <x:v>Z006</x:v>
      </x:c>
      <x:c r="M1523" s="19" t="str">
        <x:v>In Field Warranty Claims</x:v>
      </x:c>
      <x:c r="N1523" s="37" t="n">
        <x:v>46147</x:v>
      </x:c>
      <x:c r="O1523" s="37"/>
      <x:c r="P1523" s="34" t="n">
        <x:v>0</x:v>
      </x:c>
      <x:c r="Q1523" s="37" t="n">
        <x:v>46147.88633101852</x:v>
      </x:c>
    </x:row>
    <x:row r="1524">
      <x:c r="A1524" s="22" t="n">
        <x:v>34464</x:v>
      </x:c>
      <x:c r="B1524" s="28" t="n">
        <x:v>580</x:v>
      </x:c>
      <x:c r="C1524" s="28"/>
      <x:c r="D1524" s="31" t="str">
        <x:f>IF(OR(ISBLANK(B1524),ISBLANK(C1524),B1524=0),"",(C1524-B1524)/B1524)</x:f>
      </x:c>
      <x:c r="E1524" s="22" t="str">
        <x:f>IF(ISBLANK(C1524),"AmountIncludingTax缺失",IF(ABS(B1524-C1524)&lt;0.005,"一致","不一致"))</x:f>
        <x:v>AmountIncludingTax缺失</x:v>
      </x:c>
      <x:c r="F1524" s="19" t="str">
        <x:v>approved</x:v>
      </x:c>
      <x:c r="G1524" s="19" t="str">
        <x:v>Repair in Progress</x:v>
      </x:c>
      <x:c r="H1524" s="19" t="str">
        <x:v>In Field</x:v>
      </x:c>
      <x:c r="I1524" s="37" t="n">
        <x:v>46149</x:v>
      </x:c>
      <x:c r="J1524" s="37" t="n">
        <x:v>46149</x:v>
      </x:c>
      <x:c r="K1524" s="19" t="str">
        <x:v>Green RV - Forest Glen</x:v>
      </x:c>
      <x:c r="L1524" s="19" t="str">
        <x:v>Z006</x:v>
      </x:c>
      <x:c r="M1524" s="19" t="str">
        <x:v>In Field Warranty Claims</x:v>
      </x:c>
      <x:c r="N1524" s="37" t="n">
        <x:v>46147</x:v>
      </x:c>
      <x:c r="O1524" s="37"/>
      <x:c r="P1524" s="34" t="n">
        <x:v>0</x:v>
      </x:c>
      <x:c r="Q1524" s="37" t="n">
        <x:v>46149.16532407407</x:v>
      </x:c>
    </x:row>
    <x:row r="1525">
      <x:c r="A1525" s="22" t="n">
        <x:v>34463</x:v>
      </x:c>
      <x:c r="B1525" s="28" t="n">
        <x:v>354.1</x:v>
      </x:c>
      <x:c r="C1525" s="28" t="n">
        <x:v>389.51</x:v>
      </x:c>
      <x:c r="D1525" s="31" t="n">
        <x:f>IF(OR(ISBLANK(B1525),ISBLANK(C1525),B1525=0),"",(C1525-B1525)/B1525)</x:f>
        <x:v>0.09999999999999991</x:v>
      </x:c>
      <x:c r="E1525" s="22" t="str">
        <x:f>IF(ISBLANK(C1525),"AmountIncludingTax缺失",IF(ABS(B1525-C1525)&lt;0.005,"一致","不一致"))</x:f>
        <x:v>不一致</x:v>
      </x:c>
      <x:c r="F1525" s="19" t="str">
        <x:v>approved</x:v>
      </x:c>
      <x:c r="G1525" s="19" t="str">
        <x:v>Repair in Progress</x:v>
      </x:c>
      <x:c r="H1525" s="19" t="str">
        <x:v>In Field</x:v>
      </x:c>
      <x:c r="I1525" s="37" t="n">
        <x:v>46162</x:v>
      </x:c>
      <x:c r="J1525" s="37" t="n">
        <x:v>46162</x:v>
      </x:c>
      <x:c r="K1525" s="19" t="str">
        <x:v>Regent RV - Perth</x:v>
      </x:c>
      <x:c r="L1525" s="19" t="str">
        <x:v>Z006</x:v>
      </x:c>
      <x:c r="M1525" s="19" t="str">
        <x:v>In Field Warranty Claims</x:v>
      </x:c>
      <x:c r="N1525" s="37" t="n">
        <x:v>46147</x:v>
      </x:c>
      <x:c r="O1525" s="37"/>
      <x:c r="P1525" s="34" t="n">
        <x:v>389.51</x:v>
      </x:c>
      <x:c r="Q1525" s="37" t="n">
        <x:v>46162.018483796295</x:v>
      </x:c>
    </x:row>
    <x:row r="1526">
      <x:c r="A1526" s="22" t="n">
        <x:v>34462</x:v>
      </x:c>
      <x:c r="B1526" s="28" t="n">
        <x:v>371.25</x:v>
      </x:c>
      <x:c r="C1526" s="28"/>
      <x:c r="D1526" s="31" t="str">
        <x:f>IF(OR(ISBLANK(B1526),ISBLANK(C1526),B1526=0),"",(C1526-B1526)/B1526)</x:f>
      </x:c>
      <x:c r="E1526" s="22" t="str">
        <x:f>IF(ISBLANK(C1526),"AmountIncludingTax缺失",IF(ABS(B1526-C1526)&lt;0.005,"一致","不一致"))</x:f>
        <x:v>AmountIncludingTax缺失</x:v>
      </x:c>
      <x:c r="F1526" s="19" t="str">
        <x:v>approved</x:v>
      </x:c>
      <x:c r="G1526" s="19" t="str">
        <x:v>Repairer Invoiced Processed</x:v>
      </x:c>
      <x:c r="H1526" s="19" t="str">
        <x:v>In Field</x:v>
      </x:c>
      <x:c r="I1526" s="37" t="n">
        <x:v>46153</x:v>
      </x:c>
      <x:c r="J1526" s="37" t="n">
        <x:v>46153</x:v>
      </x:c>
      <x:c r="K1526" s="19" t="str">
        <x:v>The Caravan Hub - Townsville</x:v>
      </x:c>
      <x:c r="L1526" s="19" t="str">
        <x:v>Z006</x:v>
      </x:c>
      <x:c r="M1526" s="19" t="str">
        <x:v>In Field Warranty Claims</x:v>
      </x:c>
      <x:c r="N1526" s="37" t="n">
        <x:v>46147</x:v>
      </x:c>
      <x:c r="O1526" s="37"/>
      <x:c r="P1526" s="34" t="n">
        <x:v>0</x:v>
      </x:c>
      <x:c r="Q1526" s="37" t="n">
        <x:v>46153.03024305555</x:v>
      </x:c>
    </x:row>
    <x:row r="1527">
      <x:c r="A1527" s="22" t="n">
        <x:v>34461</x:v>
      </x:c>
      <x:c r="B1527" s="28" t="n">
        <x:v>1302.5</x:v>
      </x:c>
      <x:c r="C1527" s="28"/>
      <x:c r="D1527" s="31" t="str">
        <x:f>IF(OR(ISBLANK(B1527),ISBLANK(C1527),B1527=0),"",(C1527-B1527)/B1527)</x:f>
      </x:c>
      <x:c r="E1527" s="22" t="str">
        <x:f>IF(ISBLANK(C1527),"AmountIncludingTax缺失",IF(ABS(B1527-C1527)&lt;0.005,"一致","不一致"))</x:f>
        <x:v>AmountIncludingTax缺失</x:v>
      </x:c>
      <x:c r="F1527" s="19" t="str">
        <x:v>approved</x:v>
      </x:c>
      <x:c r="G1527" s="19" t="str">
        <x:v>Repairer Invoiced Processed</x:v>
      </x:c>
      <x:c r="H1527" s="19" t="str">
        <x:v>In Field</x:v>
      </x:c>
      <x:c r="I1527" s="37" t="n">
        <x:v>46206</x:v>
      </x:c>
      <x:c r="J1527" s="37" t="n">
        <x:v>46148</x:v>
      </x:c>
      <x:c r="K1527" s="19" t="str">
        <x:v>Green RV - Slacks Creek</x:v>
      </x:c>
      <x:c r="L1527" s="19" t="str">
        <x:v>Z006</x:v>
      </x:c>
      <x:c r="M1527" s="19" t="str">
        <x:v>In Field Warranty Claims</x:v>
      </x:c>
      <x:c r="N1527" s="37" t="n">
        <x:v>46147</x:v>
      </x:c>
      <x:c r="O1527" s="37"/>
      <x:c r="P1527" s="34" t="n">
        <x:v>0</x:v>
      </x:c>
      <x:c r="Q1527" s="37" t="n">
        <x:v>46206.141388888886</x:v>
      </x:c>
    </x:row>
    <x:row r="1528">
      <x:c r="A1528" s="22" t="n">
        <x:v>34460</x:v>
      </x:c>
      <x:c r="B1528" s="28" t="n">
        <x:v>1390</x:v>
      </x:c>
      <x:c r="C1528" s="28"/>
      <x:c r="D1528" s="31" t="str">
        <x:f>IF(OR(ISBLANK(B1528),ISBLANK(C1528),B1528=0),"",(C1528-B1528)/B1528)</x:f>
      </x:c>
      <x:c r="E1528" s="22" t="str">
        <x:f>IF(ISBLANK(C1528),"AmountIncludingTax缺失",IF(ABS(B1528-C1528)&lt;0.005,"一致","不一致"))</x:f>
        <x:v>AmountIncludingTax缺失</x:v>
      </x:c>
      <x:c r="F1528" s="19" t="str">
        <x:v>approved</x:v>
      </x:c>
      <x:c r="G1528" s="19" t="str">
        <x:v>Repair in Progress</x:v>
      </x:c>
      <x:c r="H1528" s="19" t="str">
        <x:v>In Field</x:v>
      </x:c>
      <x:c r="I1528" s="37" t="n">
        <x:v>46148</x:v>
      </x:c>
      <x:c r="J1528" s="37" t="n">
        <x:v>46148</x:v>
      </x:c>
      <x:c r="K1528" s="19" t="str">
        <x:v>Regent RV - Frankston</x:v>
      </x:c>
      <x:c r="L1528" s="19" t="str">
        <x:v>Z006</x:v>
      </x:c>
      <x:c r="M1528" s="19" t="str">
        <x:v>In Field Warranty Claims</x:v>
      </x:c>
      <x:c r="N1528" s="37" t="n">
        <x:v>46147</x:v>
      </x:c>
      <x:c r="O1528" s="37"/>
      <x:c r="P1528" s="34" t="n">
        <x:v>0</x:v>
      </x:c>
      <x:c r="Q1528" s="37" t="n">
        <x:v>46148.03537037037</x:v>
      </x:c>
    </x:row>
    <x:row r="1529">
      <x:c r="A1529" s="22" t="n">
        <x:v>34459</x:v>
      </x:c>
      <x:c r="B1529" s="28" t="n">
        <x:v>218.9</x:v>
      </x:c>
      <x:c r="C1529" s="28"/>
      <x:c r="D1529" s="31" t="str">
        <x:f>IF(OR(ISBLANK(B1529),ISBLANK(C1529),B1529=0),"",(C1529-B1529)/B1529)</x:f>
      </x:c>
      <x:c r="E1529" s="22" t="str">
        <x:f>IF(ISBLANK(C1529),"AmountIncludingTax缺失",IF(ABS(B1529-C1529)&lt;0.005,"一致","不一致"))</x:f>
        <x:v>AmountIncludingTax缺失</x:v>
      </x:c>
      <x:c r="F1529" s="19" t="str">
        <x:v>approved</x:v>
      </x:c>
      <x:c r="G1529" s="19" t="str">
        <x:v>Sales Order Approved</x:v>
      </x:c>
      <x:c r="H1529" s="19" t="str">
        <x:v>Pre Delivery</x:v>
      </x:c>
      <x:c r="I1529" s="37" t="n">
        <x:v>46196</x:v>
      </x:c>
      <x:c r="J1529" s="37" t="n">
        <x:v>46196</x:v>
      </x:c>
      <x:c r="K1529" s="19" t="str">
        <x:v>The Caravan Hub - Townsville</x:v>
      </x:c>
      <x:c r="L1529" s="19" t="str">
        <x:v>Z005</x:v>
      </x:c>
      <x:c r="M1529" s="19" t="str">
        <x:v>Pre Delivery Warranty Claims</x:v>
      </x:c>
      <x:c r="N1529" s="37" t="n">
        <x:v>46147</x:v>
      </x:c>
      <x:c r="O1529" s="37"/>
      <x:c r="P1529" s="34" t="n">
        <x:v>0</x:v>
      </x:c>
      <x:c r="Q1529" s="37" t="n">
        <x:v>46196.26880787037</x:v>
      </x:c>
    </x:row>
    <x:row r="1530">
      <x:c r="A1530" s="22" t="n">
        <x:v>34457</x:v>
      </x:c>
      <x:c r="B1530" s="28" t="n">
        <x:v>362.5</x:v>
      </x:c>
      <x:c r="C1530" s="28"/>
      <x:c r="D1530" s="31" t="str">
        <x:f>IF(OR(ISBLANK(B1530),ISBLANK(C1530),B1530=0),"",(C1530-B1530)/B1530)</x:f>
      </x:c>
      <x:c r="E1530" s="22" t="str">
        <x:f>IF(ISBLANK(C1530),"AmountIncludingTax缺失",IF(ABS(B1530-C1530)&lt;0.005,"一致","不一致"))</x:f>
        <x:v>AmountIncludingTax缺失</x:v>
      </x:c>
      <x:c r="F1530" s="19" t="str">
        <x:v>approved</x:v>
      </x:c>
      <x:c r="G1530" s="19" t="str">
        <x:v>Sales Order Approved</x:v>
      </x:c>
      <x:c r="H1530" s="19" t="str">
        <x:v>Pre Delivery</x:v>
      </x:c>
      <x:c r="I1530" s="37" t="n">
        <x:v>46196</x:v>
      </x:c>
      <x:c r="J1530" s="37" t="n">
        <x:v>46196</x:v>
      </x:c>
      <x:c r="K1530" s="19" t="str">
        <x:v>The Caravan Hub - Townsville</x:v>
      </x:c>
      <x:c r="L1530" s="19" t="str">
        <x:v>Z005</x:v>
      </x:c>
      <x:c r="M1530" s="19" t="str">
        <x:v>Pre Delivery Warranty Claims</x:v>
      </x:c>
      <x:c r="N1530" s="37" t="n">
        <x:v>46147</x:v>
      </x:c>
      <x:c r="O1530" s="37"/>
      <x:c r="P1530" s="34" t="n">
        <x:v>0</x:v>
      </x:c>
      <x:c r="Q1530" s="37" t="n">
        <x:v>46196.268125</x:v>
      </x:c>
    </x:row>
    <x:row r="1531">
      <x:c r="A1531" s="22" t="n">
        <x:v>34456</x:v>
      </x:c>
      <x:c r="B1531" s="28" t="n">
        <x:v>810</x:v>
      </x:c>
      <x:c r="C1531" s="28"/>
      <x:c r="D1531" s="31" t="str">
        <x:f>IF(OR(ISBLANK(B1531),ISBLANK(C1531),B1531=0),"",(C1531-B1531)/B1531)</x:f>
      </x:c>
      <x:c r="E1531" s="22" t="str">
        <x:f>IF(ISBLANK(C1531),"AmountIncludingTax缺失",IF(ABS(B1531-C1531)&lt;0.005,"一致","不一致"))</x:f>
        <x:v>AmountIncludingTax缺失</x:v>
      </x:c>
      <x:c r="F1531" s="19" t="str">
        <x:v>approved</x:v>
      </x:c>
      <x:c r="G1531" s="19" t="str">
        <x:v>Repair in Progress</x:v>
      </x:c>
      <x:c r="H1531" s="19" t="str">
        <x:v>In Field</x:v>
      </x:c>
      <x:c r="I1531" s="37" t="n">
        <x:v>46174</x:v>
      </x:c>
      <x:c r="J1531" s="37" t="n">
        <x:v>46174</x:v>
      </x:c>
      <x:c r="K1531" s="19" t="str">
        <x:v>Auswide Caravans - South Nowra</x:v>
      </x:c>
      <x:c r="L1531" s="19" t="str">
        <x:v>Z006</x:v>
      </x:c>
      <x:c r="M1531" s="19" t="str">
        <x:v>In Field Warranty Claims</x:v>
      </x:c>
      <x:c r="N1531" s="37" t="n">
        <x:v>46147</x:v>
      </x:c>
      <x:c r="O1531" s="37"/>
      <x:c r="P1531" s="34" t="n">
        <x:v>0</x:v>
      </x:c>
      <x:c r="Q1531" s="37" t="n">
        <x:v>46173.93939814815</x:v>
      </x:c>
    </x:row>
    <x:row r="1532">
      <x:c r="A1532" s="22" t="n">
        <x:v>34455</x:v>
      </x:c>
      <x:c r="B1532" s="28" t="n">
        <x:v>265.45</x:v>
      </x:c>
      <x:c r="C1532" s="28" t="n">
        <x:v>292</x:v>
      </x:c>
      <x:c r="D1532" s="31" t="n">
        <x:f>IF(OR(ISBLANK(B1532),ISBLANK(C1532),B1532=0),"",(C1532-B1532)/B1532)</x:f>
        <x:v>0.10001883593897161</x:v>
      </x:c>
      <x:c r="E1532" s="22" t="str">
        <x:f>IF(ISBLANK(C1532),"AmountIncludingTax缺失",IF(ABS(B1532-C1532)&lt;0.005,"一致","不一致"))</x:f>
        <x:v>不一致</x:v>
      </x:c>
      <x:c r="F1532" s="19" t="str">
        <x:v>approved</x:v>
      </x:c>
      <x:c r="G1532" s="19" t="str">
        <x:v>Repairer Invoiced Processed</x:v>
      </x:c>
      <x:c r="H1532" s="19" t="str">
        <x:v>In Field</x:v>
      </x:c>
      <x:c r="I1532" s="37" t="n">
        <x:v>46170</x:v>
      </x:c>
      <x:c r="J1532" s="37" t="n">
        <x:v>46170</x:v>
      </x:c>
      <x:c r="K1532" s="19" t="str">
        <x:v>Not Assigned</x:v>
      </x:c>
      <x:c r="L1532" s="19" t="str">
        <x:v>Z006</x:v>
      </x:c>
      <x:c r="M1532" s="19" t="str">
        <x:v>In Field Warranty Claims</x:v>
      </x:c>
      <x:c r="N1532" s="37" t="n">
        <x:v>46147</x:v>
      </x:c>
      <x:c r="O1532" s="37"/>
      <x:c r="P1532" s="34" t="n">
        <x:v>292</x:v>
      </x:c>
      <x:c r="Q1532" s="37" t="n">
        <x:v>46169.88774305556</x:v>
      </x:c>
    </x:row>
    <x:row r="1533">
      <x:c r="A1533" s="22" t="n">
        <x:v>34454</x:v>
      </x:c>
      <x:c r="B1533" s="28" t="n">
        <x:v>1525</x:v>
      </x:c>
      <x:c r="C1533" s="28"/>
      <x:c r="D1533" s="31" t="str">
        <x:f>IF(OR(ISBLANK(B1533),ISBLANK(C1533),B1533=0),"",(C1533-B1533)/B1533)</x:f>
      </x:c>
      <x:c r="E1533" s="22" t="str">
        <x:f>IF(ISBLANK(C1533),"AmountIncludingTax缺失",IF(ABS(B1533-C1533)&lt;0.005,"一致","不一致"))</x:f>
        <x:v>AmountIncludingTax缺失</x:v>
      </x:c>
      <x:c r="F1533" s="19" t="str">
        <x:v>approved</x:v>
      </x:c>
      <x:c r="G1533" s="19" t="str">
        <x:v>Repair in Progress</x:v>
      </x:c>
      <x:c r="H1533" s="19" t="str">
        <x:v>In Field</x:v>
      </x:c>
      <x:c r="I1533" s="37" t="n">
        <x:v>46150</x:v>
      </x:c>
      <x:c r="J1533" s="37" t="n">
        <x:v>46150</x:v>
      </x:c>
      <x:c r="K1533" s="19" t="str">
        <x:v>Green RV - Forest Glen</x:v>
      </x:c>
      <x:c r="L1533" s="19" t="str">
        <x:v>Z006</x:v>
      </x:c>
      <x:c r="M1533" s="19" t="str">
        <x:v>In Field Warranty Claims</x:v>
      </x:c>
      <x:c r="N1533" s="37" t="n">
        <x:v>46147</x:v>
      </x:c>
      <x:c r="O1533" s="37"/>
      <x:c r="P1533" s="34" t="n">
        <x:v>0</x:v>
      </x:c>
      <x:c r="Q1533" s="37" t="n">
        <x:v>46150.02636574074</x:v>
      </x:c>
    </x:row>
    <x:row r="1534">
      <x:c r="A1534" s="22" t="n">
        <x:v>34453</x:v>
      </x:c>
      <x:c r="B1534" s="28" t="n">
        <x:v>135</x:v>
      </x:c>
      <x:c r="C1534" s="28" t="n">
        <x:v>148.5</x:v>
      </x:c>
      <x:c r="D1534" s="31" t="n">
        <x:f>IF(OR(ISBLANK(B1534),ISBLANK(C1534),B1534=0),"",(C1534-B1534)/B1534)</x:f>
        <x:v>0.1</x:v>
      </x:c>
      <x:c r="E1534" s="22" t="str">
        <x:f>IF(ISBLANK(C1534),"AmountIncludingTax缺失",IF(ABS(B1534-C1534)&lt;0.005,"一致","不一致"))</x:f>
        <x:v>不一致</x:v>
      </x:c>
      <x:c r="F1534" s="19" t="str">
        <x:v>approved</x:v>
      </x:c>
      <x:c r="G1534" s="19" t="str">
        <x:v>Repairer Invoiced Processed</x:v>
      </x:c>
      <x:c r="H1534" s="19" t="str">
        <x:v>In Field</x:v>
      </x:c>
      <x:c r="I1534" s="37" t="n">
        <x:v>46161</x:v>
      </x:c>
      <x:c r="J1534" s="37" t="n">
        <x:v>46161</x:v>
      </x:c>
      <x:c r="K1534" s="19" t="str">
        <x:v>Dario Caravans -St.Marys</x:v>
      </x:c>
      <x:c r="L1534" s="19" t="str">
        <x:v>Z006</x:v>
      </x:c>
      <x:c r="M1534" s="19" t="str">
        <x:v>In Field Warranty Claims</x:v>
      </x:c>
      <x:c r="N1534" s="37" t="n">
        <x:v>46147</x:v>
      </x:c>
      <x:c r="O1534" s="37"/>
      <x:c r="P1534" s="34" t="n">
        <x:v>148.5</x:v>
      </x:c>
      <x:c r="Q1534" s="37" t="n">
        <x:v>46161.52716435185</x:v>
      </x:c>
    </x:row>
    <x:row r="1535">
      <x:c r="A1535" s="22" t="n">
        <x:v>34452</x:v>
      </x:c>
      <x:c r="B1535" s="28" t="n">
        <x:v>77.5</x:v>
      </x:c>
      <x:c r="C1535" s="28"/>
      <x:c r="D1535" s="31" t="str">
        <x:f>IF(OR(ISBLANK(B1535),ISBLANK(C1535),B1535=0),"",(C1535-B1535)/B1535)</x:f>
      </x:c>
      <x:c r="E1535" s="22" t="str">
        <x:f>IF(ISBLANK(C1535),"AmountIncludingTax缺失",IF(ABS(B1535-C1535)&lt;0.005,"一致","不一致"))</x:f>
        <x:v>AmountIncludingTax缺失</x:v>
      </x:c>
      <x:c r="F1535" s="19" t="str">
        <x:v>approved</x:v>
      </x:c>
      <x:c r="G1535" s="19" t="str">
        <x:v>Repair in Progress</x:v>
      </x:c>
      <x:c r="H1535" s="19" t="str">
        <x:v>Pre Delivery</x:v>
      </x:c>
      <x:c r="I1535" s="37" t="n">
        <x:v>46147</x:v>
      </x:c>
      <x:c r="J1535" s="37" t="n">
        <x:v>46147</x:v>
      </x:c>
      <x:c r="K1535" s="19" t="str">
        <x:v>Snowy River Geelong</x:v>
      </x:c>
      <x:c r="L1535" s="19" t="str">
        <x:v>Z005</x:v>
      </x:c>
      <x:c r="M1535" s="19" t="str">
        <x:v>Pre Delivery Warranty Claims</x:v>
      </x:c>
      <x:c r="N1535" s="37" t="n">
        <x:v>46147</x:v>
      </x:c>
      <x:c r="O1535" s="37"/>
      <x:c r="P1535" s="34" t="n">
        <x:v>0</x:v>
      </x:c>
      <x:c r="Q1535" s="37" t="n">
        <x:v>46147.20484953704</x:v>
      </x:c>
    </x:row>
    <x:row r="1536">
      <x:c r="A1536" s="22" t="n">
        <x:v>34451</x:v>
      </x:c>
      <x:c r="B1536" s="28" t="n">
        <x:v>453.75</x:v>
      </x:c>
      <x:c r="C1536" s="28"/>
      <x:c r="D1536" s="31" t="str">
        <x:f>IF(OR(ISBLANK(B1536),ISBLANK(C1536),B1536=0),"",(C1536-B1536)/B1536)</x:f>
      </x:c>
      <x:c r="E1536" s="22" t="str">
        <x:f>IF(ISBLANK(C1536),"AmountIncludingTax缺失",IF(ABS(B1536-C1536)&lt;0.005,"一致","不一致"))</x:f>
        <x:v>AmountIncludingTax缺失</x:v>
      </x:c>
      <x:c r="F1536" s="19" t="str">
        <x:v>approved</x:v>
      </x:c>
      <x:c r="G1536" s="19" t="str">
        <x:v>Repair in Progress</x:v>
      </x:c>
      <x:c r="H1536" s="19" t="str">
        <x:v>Pre Delivery</x:v>
      </x:c>
      <x:c r="I1536" s="37" t="n">
        <x:v>46147</x:v>
      </x:c>
      <x:c r="J1536" s="37" t="n">
        <x:v>46147</x:v>
      </x:c>
      <x:c r="K1536" s="19" t="str">
        <x:v>Snowy River Geelong</x:v>
      </x:c>
      <x:c r="L1536" s="19" t="str">
        <x:v>Z005</x:v>
      </x:c>
      <x:c r="M1536" s="19" t="str">
        <x:v>Pre Delivery Warranty Claims</x:v>
      </x:c>
      <x:c r="N1536" s="37" t="n">
        <x:v>46147</x:v>
      </x:c>
      <x:c r="O1536" s="37"/>
      <x:c r="P1536" s="34" t="n">
        <x:v>0</x:v>
      </x:c>
      <x:c r="Q1536" s="37" t="n">
        <x:v>46147.196851851855</x:v>
      </x:c>
    </x:row>
    <x:row r="1537">
      <x:c r="A1537" s="22" t="n">
        <x:v>34450</x:v>
      </x:c>
      <x:c r="B1537" s="28" t="n">
        <x:v>135</x:v>
      </x:c>
      <x:c r="C1537" s="28"/>
      <x:c r="D1537" s="31" t="str">
        <x:f>IF(OR(ISBLANK(B1537),ISBLANK(C1537),B1537=0),"",(C1537-B1537)/B1537)</x:f>
      </x:c>
      <x:c r="E1537" s="22" t="str">
        <x:f>IF(ISBLANK(C1537),"AmountIncludingTax缺失",IF(ABS(B1537-C1537)&lt;0.005,"一致","不一致"))</x:f>
        <x:v>AmountIncludingTax缺失</x:v>
      </x:c>
      <x:c r="F1537" s="19" t="str">
        <x:v>approved</x:v>
      </x:c>
      <x:c r="G1537" s="19" t="str">
        <x:v>Sales Order Approved</x:v>
      </x:c>
      <x:c r="H1537" s="19" t="str">
        <x:v>Pre Delivery</x:v>
      </x:c>
      <x:c r="I1537" s="37" t="n">
        <x:v>46155</x:v>
      </x:c>
      <x:c r="J1537" s="37" t="n">
        <x:v>46155</x:v>
      </x:c>
      <x:c r="K1537" s="19" t="str">
        <x:v>Green RV - Forest Glen</x:v>
      </x:c>
      <x:c r="L1537" s="19" t="str">
        <x:v>Z005</x:v>
      </x:c>
      <x:c r="M1537" s="19" t="str">
        <x:v>Pre Delivery Warranty Claims</x:v>
      </x:c>
      <x:c r="N1537" s="37" t="n">
        <x:v>46147</x:v>
      </x:c>
      <x:c r="O1537" s="37"/>
      <x:c r="P1537" s="34" t="n">
        <x:v>0</x:v>
      </x:c>
      <x:c r="Q1537" s="37" t="n">
        <x:v>46155.18193287037</x:v>
      </x:c>
    </x:row>
    <x:row r="1538">
      <x:c r="A1538" s="22" t="n">
        <x:v>34448</x:v>
      </x:c>
      <x:c r="B1538" s="28" t="n">
        <x:v>135</x:v>
      </x:c>
      <x:c r="C1538" s="28"/>
      <x:c r="D1538" s="31" t="str">
        <x:f>IF(OR(ISBLANK(B1538),ISBLANK(C1538),B1538=0),"",(C1538-B1538)/B1538)</x:f>
      </x:c>
      <x:c r="E1538" s="22" t="str">
        <x:f>IF(ISBLANK(C1538),"AmountIncludingTax缺失",IF(ABS(B1538-C1538)&lt;0.005,"一致","不一致"))</x:f>
        <x:v>AmountIncludingTax缺失</x:v>
      </x:c>
      <x:c r="F1538" s="19" t="str">
        <x:v>approved</x:v>
      </x:c>
      <x:c r="G1538" s="19" t="str">
        <x:v>Sales Order Approved</x:v>
      </x:c>
      <x:c r="H1538" s="19" t="str">
        <x:v>Pre Delivery</x:v>
      </x:c>
      <x:c r="I1538" s="37" t="n">
        <x:v>46162</x:v>
      </x:c>
      <x:c r="J1538" s="37" t="n">
        <x:v>46162</x:v>
      </x:c>
      <x:c r="K1538" s="19" t="str">
        <x:v>Green RV - Forest Glen</x:v>
      </x:c>
      <x:c r="L1538" s="19" t="str">
        <x:v>Z005</x:v>
      </x:c>
      <x:c r="M1538" s="19" t="str">
        <x:v>Pre Delivery Warranty Claims</x:v>
      </x:c>
      <x:c r="N1538" s="37" t="n">
        <x:v>46147</x:v>
      </x:c>
      <x:c r="O1538" s="37"/>
      <x:c r="P1538" s="34" t="n">
        <x:v>0</x:v>
      </x:c>
      <x:c r="Q1538" s="37" t="n">
        <x:v>46162.227858796294</x:v>
      </x:c>
    </x:row>
    <x:row r="1539">
      <x:c r="A1539" s="22" t="n">
        <x:v>34447</x:v>
      </x:c>
      <x:c r="B1539" s="28" t="n">
        <x:v>270</x:v>
      </x:c>
      <x:c r="C1539" s="28" t="n">
        <x:v>297</x:v>
      </x:c>
      <x:c r="D1539" s="31" t="n">
        <x:f>IF(OR(ISBLANK(B1539),ISBLANK(C1539),B1539=0),"",(C1539-B1539)/B1539)</x:f>
        <x:v>0.1</x:v>
      </x:c>
      <x:c r="E1539" s="22" t="str">
        <x:f>IF(ISBLANK(C1539),"AmountIncludingTax缺失",IF(ABS(B1539-C1539)&lt;0.005,"一致","不一致"))</x:f>
        <x:v>不一致</x:v>
      </x:c>
      <x:c r="F1539" s="19" t="str">
        <x:v>approved</x:v>
      </x:c>
      <x:c r="G1539" s="19" t="str">
        <x:v>Repairer Invoiced Processed</x:v>
      </x:c>
      <x:c r="H1539" s="19" t="str">
        <x:v>In Field</x:v>
      </x:c>
      <x:c r="I1539" s="37" t="n">
        <x:v>46164</x:v>
      </x:c>
      <x:c r="J1539" s="37" t="n">
        <x:v>46164</x:v>
      </x:c>
      <x:c r="K1539" s="19" t="str">
        <x:v>Newcastle RV Super Centre - Beresfield</x:v>
      </x:c>
      <x:c r="L1539" s="19" t="str">
        <x:v>Z006</x:v>
      </x:c>
      <x:c r="M1539" s="19" t="str">
        <x:v>In Field Warranty Claims</x:v>
      </x:c>
      <x:c r="N1539" s="37" t="n">
        <x:v>46147</x:v>
      </x:c>
      <x:c r="O1539" s="37"/>
      <x:c r="P1539" s="34" t="n">
        <x:v>297</x:v>
      </x:c>
      <x:c r="Q1539" s="37" t="n">
        <x:v>46164.23966435185</x:v>
      </x:c>
    </x:row>
    <x:row r="1540">
      <x:c r="A1540" s="22" t="n">
        <x:v>34446</x:v>
      </x:c>
      <x:c r="B1540" s="28" t="n">
        <x:v>337.5</x:v>
      </x:c>
      <x:c r="C1540" s="28"/>
      <x:c r="D1540" s="31" t="str">
        <x:f>IF(OR(ISBLANK(B1540),ISBLANK(C1540),B1540=0),"",(C1540-B1540)/B1540)</x:f>
      </x:c>
      <x:c r="E1540" s="22" t="str">
        <x:f>IF(ISBLANK(C1540),"AmountIncludingTax缺失",IF(ABS(B1540-C1540)&lt;0.005,"一致","不一致"))</x:f>
        <x:v>AmountIncludingTax缺失</x:v>
      </x:c>
      <x:c r="F1540" s="19" t="str">
        <x:v>approved</x:v>
      </x:c>
      <x:c r="G1540" s="19" t="str">
        <x:v>Repairer Invoiced Processed</x:v>
      </x:c>
      <x:c r="H1540" s="19" t="str">
        <x:v>In Field</x:v>
      </x:c>
      <x:c r="I1540" s="37" t="n">
        <x:v>46148</x:v>
      </x:c>
      <x:c r="J1540" s="37" t="n">
        <x:v>46148</x:v>
      </x:c>
      <x:c r="K1540" s="19" t="str">
        <x:v>Green RV - Forest Glen</x:v>
      </x:c>
      <x:c r="L1540" s="19" t="str">
        <x:v>Z006</x:v>
      </x:c>
      <x:c r="M1540" s="19" t="str">
        <x:v>In Field Warranty Claims</x:v>
      </x:c>
      <x:c r="N1540" s="37" t="n">
        <x:v>46147</x:v>
      </x:c>
      <x:c r="O1540" s="37"/>
      <x:c r="P1540" s="34" t="n">
        <x:v>0</x:v>
      </x:c>
      <x:c r="Q1540" s="37" t="n">
        <x:v>46147.89424768519</x:v>
      </x:c>
    </x:row>
    <x:row r="1541">
      <x:c r="A1541" s="22" t="n">
        <x:v>34445</x:v>
      </x:c>
      <x:c r="B1541" s="28" t="n">
        <x:v>135</x:v>
      </x:c>
      <x:c r="C1541" s="28" t="n">
        <x:v>148.5</x:v>
      </x:c>
      <x:c r="D1541" s="31" t="n">
        <x:f>IF(OR(ISBLANK(B1541),ISBLANK(C1541),B1541=0),"",(C1541-B1541)/B1541)</x:f>
        <x:v>0.1</x:v>
      </x:c>
      <x:c r="E1541" s="22" t="str">
        <x:f>IF(ISBLANK(C1541),"AmountIncludingTax缺失",IF(ABS(B1541-C1541)&lt;0.005,"一致","不一致"))</x:f>
        <x:v>不一致</x:v>
      </x:c>
      <x:c r="F1541" s="19" t="str">
        <x:v>approved</x:v>
      </x:c>
      <x:c r="G1541" s="19" t="str">
        <x:v>Repairer Invoiced Processed</x:v>
      </x:c>
      <x:c r="H1541" s="19" t="str">
        <x:v>In Field</x:v>
      </x:c>
      <x:c r="I1541" s="37" t="n">
        <x:v>46147</x:v>
      </x:c>
      <x:c r="J1541" s="37" t="n">
        <x:v>46147</x:v>
      </x:c>
      <x:c r="K1541" s="19" t="str">
        <x:v>Green RV - Slacks Creek</x:v>
      </x:c>
      <x:c r="L1541" s="19" t="str">
        <x:v>Z006</x:v>
      </x:c>
      <x:c r="M1541" s="19" t="str">
        <x:v>In Field Warranty Claims</x:v>
      </x:c>
      <x:c r="N1541" s="37" t="n">
        <x:v>46147</x:v>
      </x:c>
      <x:c r="O1541" s="37"/>
      <x:c r="P1541" s="34" t="n">
        <x:v>148.5</x:v>
      </x:c>
      <x:c r="Q1541" s="37" t="n">
        <x:v>46147.14824074074</x:v>
      </x:c>
    </x:row>
    <x:row r="1542">
      <x:c r="A1542" s="22" t="n">
        <x:v>34444</x:v>
      </x:c>
      <x:c r="B1542" s="28" t="n">
        <x:v>222.5</x:v>
      </x:c>
      <x:c r="C1542" s="28"/>
      <x:c r="D1542" s="31" t="str">
        <x:f>IF(OR(ISBLANK(B1542),ISBLANK(C1542),B1542=0),"",(C1542-B1542)/B1542)</x:f>
      </x:c>
      <x:c r="E1542" s="22" t="str">
        <x:f>IF(ISBLANK(C1542),"AmountIncludingTax缺失",IF(ABS(B1542-C1542)&lt;0.005,"一致","不一致"))</x:f>
        <x:v>AmountIncludingTax缺失</x:v>
      </x:c>
      <x:c r="F1542" s="19" t="str">
        <x:v>approved</x:v>
      </x:c>
      <x:c r="G1542" s="19" t="str">
        <x:v>Repair in Progress</x:v>
      </x:c>
      <x:c r="H1542" s="19" t="str">
        <x:v>In Field</x:v>
      </x:c>
      <x:c r="I1542" s="37" t="n">
        <x:v>46148</x:v>
      </x:c>
      <x:c r="J1542" s="37" t="n">
        <x:v>46148</x:v>
      </x:c>
      <x:c r="K1542" s="19" t="str">
        <x:v>Green RV - Forest Glen</x:v>
      </x:c>
      <x:c r="L1542" s="19" t="str">
        <x:v>Z006</x:v>
      </x:c>
      <x:c r="M1542" s="19" t="str">
        <x:v>In Field Warranty Claims</x:v>
      </x:c>
      <x:c r="N1542" s="37" t="n">
        <x:v>46147</x:v>
      </x:c>
      <x:c r="O1542" s="37"/>
      <x:c r="P1542" s="34" t="n">
        <x:v>0</x:v>
      </x:c>
      <x:c r="Q1542" s="37" t="n">
        <x:v>46147.89465277778</x:v>
      </x:c>
    </x:row>
    <x:row r="1543">
      <x:c r="A1543" s="22" t="n">
        <x:v>34443</x:v>
      </x:c>
      <x:c r="B1543" s="28" t="n">
        <x:v>580</x:v>
      </x:c>
      <x:c r="C1543" s="28"/>
      <x:c r="D1543" s="31" t="str">
        <x:f>IF(OR(ISBLANK(B1543),ISBLANK(C1543),B1543=0),"",(C1543-B1543)/B1543)</x:f>
      </x:c>
      <x:c r="E1543" s="22" t="str">
        <x:f>IF(ISBLANK(C1543),"AmountIncludingTax缺失",IF(ABS(B1543-C1543)&lt;0.005,"一致","不一致"))</x:f>
        <x:v>AmountIncludingTax缺失</x:v>
      </x:c>
      <x:c r="F1543" s="19" t="str">
        <x:v>approved</x:v>
      </x:c>
      <x:c r="G1543" s="19" t="str">
        <x:v>Repair in Progress</x:v>
      </x:c>
      <x:c r="H1543" s="19" t="str">
        <x:v>In Field</x:v>
      </x:c>
      <x:c r="I1543" s="37" t="n">
        <x:v>46161</x:v>
      </x:c>
      <x:c r="J1543" s="37" t="n">
        <x:v>46161</x:v>
      </x:c>
      <x:c r="K1543" s="19" t="str">
        <x:v>Snowy River Wangaratta</x:v>
      </x:c>
      <x:c r="L1543" s="19" t="str">
        <x:v>Z006</x:v>
      </x:c>
      <x:c r="M1543" s="19" t="str">
        <x:v>In Field Warranty Claims</x:v>
      </x:c>
      <x:c r="N1543" s="37" t="n">
        <x:v>46147</x:v>
      </x:c>
      <x:c r="O1543" s="37"/>
      <x:c r="P1543" s="34" t="n">
        <x:v>0</x:v>
      </x:c>
      <x:c r="Q1543" s="37" t="n">
        <x:v>46161.20329861111</x:v>
      </x:c>
    </x:row>
    <x:row r="1544">
      <x:c r="A1544" s="22" t="n">
        <x:v>34442</x:v>
      </x:c>
      <x:c r="B1544" s="28" t="n">
        <x:v>588.16</x:v>
      </x:c>
      <x:c r="C1544" s="28"/>
      <x:c r="D1544" s="31" t="str">
        <x:f>IF(OR(ISBLANK(B1544),ISBLANK(C1544),B1544=0),"",(C1544-B1544)/B1544)</x:f>
      </x:c>
      <x:c r="E1544" s="22" t="str">
        <x:f>IF(ISBLANK(C1544),"AmountIncludingTax缺失",IF(ABS(B1544-C1544)&lt;0.005,"一致","不一致"))</x:f>
        <x:v>AmountIncludingTax缺失</x:v>
      </x:c>
      <x:c r="F1544" s="19" t="str">
        <x:v>approved</x:v>
      </x:c>
      <x:c r="G1544" s="19" t="str">
        <x:v>Repair in Progress</x:v>
      </x:c>
      <x:c r="H1544" s="19" t="str">
        <x:v>In Field</x:v>
      </x:c>
      <x:c r="I1544" s="37" t="n">
        <x:v>46170</x:v>
      </x:c>
      <x:c r="J1544" s="37" t="n">
        <x:v>46170</x:v>
      </x:c>
      <x:c r="K1544" s="19" t="str">
        <x:v>The Caravan Hub - Townsville</x:v>
      </x:c>
      <x:c r="L1544" s="19" t="str">
        <x:v>Z006</x:v>
      </x:c>
      <x:c r="M1544" s="19" t="str">
        <x:v>In Field Warranty Claims</x:v>
      </x:c>
      <x:c r="N1544" s="37" t="n">
        <x:v>46147</x:v>
      </x:c>
      <x:c r="O1544" s="37"/>
      <x:c r="P1544" s="34" t="n">
        <x:v>0</x:v>
      </x:c>
      <x:c r="Q1544" s="37" t="n">
        <x:v>46169.91306712963</x:v>
      </x:c>
    </x:row>
    <x:row r="1545">
      <x:c r="A1545" s="22" t="n">
        <x:v>34440</x:v>
      </x:c>
      <x:c r="B1545" s="28" t="n">
        <x:v>283.07</x:v>
      </x:c>
      <x:c r="C1545" s="28"/>
      <x:c r="D1545" s="31" t="str">
        <x:f>IF(OR(ISBLANK(B1545),ISBLANK(C1545),B1545=0),"",(C1545-B1545)/B1545)</x:f>
      </x:c>
      <x:c r="E1545" s="22" t="str">
        <x:f>IF(ISBLANK(C1545),"AmountIncludingTax缺失",IF(ABS(B1545-C1545)&lt;0.005,"一致","不一致"))</x:f>
        <x:v>AmountIncludingTax缺失</x:v>
      </x:c>
      <x:c r="F1545" s="19" t="str">
        <x:v>approved</x:v>
      </x:c>
      <x:c r="G1545" s="19" t="str">
        <x:v>Repair in Progress</x:v>
      </x:c>
      <x:c r="H1545" s="19" t="str">
        <x:v>In Field</x:v>
      </x:c>
      <x:c r="I1545" s="37" t="n">
        <x:v>46147</x:v>
      </x:c>
      <x:c r="J1545" s="37" t="n">
        <x:v>46147</x:v>
      </x:c>
      <x:c r="K1545" s="19" t="str">
        <x:v>Green RV - Slacks Creek</x:v>
      </x:c>
      <x:c r="L1545" s="19" t="str">
        <x:v>Z006</x:v>
      </x:c>
      <x:c r="M1545" s="19" t="str">
        <x:v>In Field Warranty Claims</x:v>
      </x:c>
      <x:c r="N1545" s="37" t="n">
        <x:v>46147</x:v>
      </x:c>
      <x:c r="O1545" s="37"/>
      <x:c r="P1545" s="34" t="n">
        <x:v>0</x:v>
      </x:c>
      <x:c r="Q1545" s="37" t="n">
        <x:v>46147.20292824074</x:v>
      </x:c>
    </x:row>
    <x:row r="1546">
      <x:c r="A1546" s="22" t="n">
        <x:v>34439</x:v>
      </x:c>
      <x:c r="B1546" s="28" t="n">
        <x:v>135</x:v>
      </x:c>
      <x:c r="C1546" s="28"/>
      <x:c r="D1546" s="31" t="str">
        <x:f>IF(OR(ISBLANK(B1546),ISBLANK(C1546),B1546=0),"",(C1546-B1546)/B1546)</x:f>
      </x:c>
      <x:c r="E1546" s="22" t="str">
        <x:f>IF(ISBLANK(C1546),"AmountIncludingTax缺失",IF(ABS(B1546-C1546)&lt;0.005,"一致","不一致"))</x:f>
        <x:v>AmountIncludingTax缺失</x:v>
      </x:c>
      <x:c r="F1546" s="19" t="str">
        <x:v>approved</x:v>
      </x:c>
      <x:c r="G1546" s="19" t="str">
        <x:v>Repair in Progress</x:v>
      </x:c>
      <x:c r="H1546" s="19" t="str">
        <x:v>Pre Delivery</x:v>
      </x:c>
      <x:c r="I1546" s="37" t="n">
        <x:v>46150</x:v>
      </x:c>
      <x:c r="J1546" s="37" t="n">
        <x:v>46150</x:v>
      </x:c>
      <x:c r="K1546" s="19" t="str">
        <x:v>Green RV - Forest Glen</x:v>
      </x:c>
      <x:c r="L1546" s="19" t="str">
        <x:v>Z005</x:v>
      </x:c>
      <x:c r="M1546" s="19" t="str">
        <x:v>Pre Delivery Warranty Claims</x:v>
      </x:c>
      <x:c r="N1546" s="37" t="n">
        <x:v>46147</x:v>
      </x:c>
      <x:c r="O1546" s="37"/>
      <x:c r="P1546" s="34" t="n">
        <x:v>0</x:v>
      </x:c>
      <x:c r="Q1546" s="37" t="n">
        <x:v>46150.160416666666</x:v>
      </x:c>
    </x:row>
    <x:row r="1547">
      <x:c r="A1547" s="22" t="n">
        <x:v>34438</x:v>
      </x:c>
      <x:c r="B1547" s="28" t="n">
        <x:v>560</x:v>
      </x:c>
      <x:c r="C1547" s="28"/>
      <x:c r="D1547" s="31" t="str">
        <x:f>IF(OR(ISBLANK(B1547),ISBLANK(C1547),B1547=0),"",(C1547-B1547)/B1547)</x:f>
      </x:c>
      <x:c r="E1547" s="22" t="str">
        <x:f>IF(ISBLANK(C1547),"AmountIncludingTax缺失",IF(ABS(B1547-C1547)&lt;0.005,"一致","不一致"))</x:f>
        <x:v>AmountIncludingTax缺失</x:v>
      </x:c>
      <x:c r="F1547" s="19" t="str">
        <x:v>approved</x:v>
      </x:c>
      <x:c r="G1547" s="19" t="str">
        <x:v>Repair in Progress</x:v>
      </x:c>
      <x:c r="H1547" s="19" t="str">
        <x:v>In Field</x:v>
      </x:c>
      <x:c r="I1547" s="37" t="n">
        <x:v>46150</x:v>
      </x:c>
      <x:c r="J1547" s="37" t="n">
        <x:v>46150</x:v>
      </x:c>
      <x:c r="K1547" s="19" t="str">
        <x:v>Green RV - Forest Glen</x:v>
      </x:c>
      <x:c r="L1547" s="19" t="str">
        <x:v>Z006</x:v>
      </x:c>
      <x:c r="M1547" s="19" t="str">
        <x:v>In Field Warranty Claims</x:v>
      </x:c>
      <x:c r="N1547" s="37" t="n">
        <x:v>46147</x:v>
      </x:c>
      <x:c r="O1547" s="37"/>
      <x:c r="P1547" s="34" t="n">
        <x:v>0</x:v>
      </x:c>
      <x:c r="Q1547" s="37" t="n">
        <x:v>46149.893645833334</x:v>
      </x:c>
    </x:row>
    <x:row r="1548">
      <x:c r="A1548" s="22" t="n">
        <x:v>34437</x:v>
      </x:c>
      <x:c r="B1548" s="28" t="n">
        <x:v>101.25</x:v>
      </x:c>
      <x:c r="C1548" s="28"/>
      <x:c r="D1548" s="31" t="str">
        <x:f>IF(OR(ISBLANK(B1548),ISBLANK(C1548),B1548=0),"",(C1548-B1548)/B1548)</x:f>
      </x:c>
      <x:c r="E1548" s="22" t="str">
        <x:f>IF(ISBLANK(C1548),"AmountIncludingTax缺失",IF(ABS(B1548-C1548)&lt;0.005,"一致","不一致"))</x:f>
        <x:v>AmountIncludingTax缺失</x:v>
      </x:c>
      <x:c r="F1548" s="19" t="str">
        <x:v>approved</x:v>
      </x:c>
      <x:c r="G1548" s="19" t="str">
        <x:v>Repair in Progress</x:v>
      </x:c>
      <x:c r="H1548" s="19" t="str">
        <x:v>In Field</x:v>
      </x:c>
      <x:c r="I1548" s="37" t="n">
        <x:v>46150</x:v>
      </x:c>
      <x:c r="J1548" s="37" t="n">
        <x:v>46150</x:v>
      </x:c>
      <x:c r="K1548" s="19" t="str">
        <x:v>Green RV - Forest Glen</x:v>
      </x:c>
      <x:c r="L1548" s="19" t="str">
        <x:v>Z006</x:v>
      </x:c>
      <x:c r="M1548" s="19" t="str">
        <x:v>In Field Warranty Claims</x:v>
      </x:c>
      <x:c r="N1548" s="37" t="n">
        <x:v>46147</x:v>
      </x:c>
      <x:c r="O1548" s="37"/>
      <x:c r="P1548" s="34" t="n">
        <x:v>0</x:v>
      </x:c>
      <x:c r="Q1548" s="37" t="n">
        <x:v>46149.90100694444</x:v>
      </x:c>
    </x:row>
    <x:row r="1549">
      <x:c r="A1549" s="22" t="n">
        <x:v>34436</x:v>
      </x:c>
      <x:c r="B1549" s="28" t="n">
        <x:v>67.5</x:v>
      </x:c>
      <x:c r="C1549" s="28"/>
      <x:c r="D1549" s="31" t="str">
        <x:f>IF(OR(ISBLANK(B1549),ISBLANK(C1549),B1549=0),"",(C1549-B1549)/B1549)</x:f>
      </x:c>
      <x:c r="E1549" s="22" t="str">
        <x:f>IF(ISBLANK(C1549),"AmountIncludingTax缺失",IF(ABS(B1549-C1549)&lt;0.005,"一致","不一致"))</x:f>
        <x:v>AmountIncludingTax缺失</x:v>
      </x:c>
      <x:c r="F1549" s="19" t="str">
        <x:v>approved</x:v>
      </x:c>
      <x:c r="G1549" s="19" t="str">
        <x:v>Sales Order Approved</x:v>
      </x:c>
      <x:c r="H1549" s="19" t="str">
        <x:v>Pre Delivery</x:v>
      </x:c>
      <x:c r="I1549" s="37" t="n">
        <x:v>46162</x:v>
      </x:c>
      <x:c r="J1549" s="37" t="n">
        <x:v>46162</x:v>
      </x:c>
      <x:c r="K1549" s="19" t="str">
        <x:v>Green RV - Forest Glen</x:v>
      </x:c>
      <x:c r="L1549" s="19" t="str">
        <x:v>Z005</x:v>
      </x:c>
      <x:c r="M1549" s="19" t="str">
        <x:v>Pre Delivery Warranty Claims</x:v>
      </x:c>
      <x:c r="N1549" s="37" t="n">
        <x:v>46147</x:v>
      </x:c>
      <x:c r="O1549" s="37"/>
      <x:c r="P1549" s="34" t="n">
        <x:v>0</x:v>
      </x:c>
      <x:c r="Q1549" s="37" t="n">
        <x:v>46162.22608796296</x:v>
      </x:c>
    </x:row>
    <x:row r="1550">
      <x:c r="A1550" s="22" t="n">
        <x:v>34435</x:v>
      </x:c>
      <x:c r="B1550" s="28" t="n">
        <x:v>1410</x:v>
      </x:c>
      <x:c r="C1550" s="28"/>
      <x:c r="D1550" s="31" t="str">
        <x:f>IF(OR(ISBLANK(B1550),ISBLANK(C1550),B1550=0),"",(C1550-B1550)/B1550)</x:f>
      </x:c>
      <x:c r="E1550" s="22" t="str">
        <x:f>IF(ISBLANK(C1550),"AmountIncludingTax缺失",IF(ABS(B1550-C1550)&lt;0.005,"一致","不一致"))</x:f>
        <x:v>AmountIncludingTax缺失</x:v>
      </x:c>
      <x:c r="F1550" s="19" t="str">
        <x:v>approved</x:v>
      </x:c>
      <x:c r="G1550" s="19" t="str">
        <x:v>Repair in Progress</x:v>
      </x:c>
      <x:c r="H1550" s="19" t="str">
        <x:v>In Field</x:v>
      </x:c>
      <x:c r="I1550" s="37" t="n">
        <x:v>46147</x:v>
      </x:c>
      <x:c r="J1550" s="37" t="n">
        <x:v>46147</x:v>
      </x:c>
      <x:c r="K1550" s="19" t="str">
        <x:v>Green RV - Slacks Creek</x:v>
      </x:c>
      <x:c r="L1550" s="19" t="str">
        <x:v>Z006</x:v>
      </x:c>
      <x:c r="M1550" s="19" t="str">
        <x:v>In Field Warranty Claims</x:v>
      </x:c>
      <x:c r="N1550" s="37" t="n">
        <x:v>46147</x:v>
      </x:c>
      <x:c r="O1550" s="37"/>
      <x:c r="P1550" s="34" t="n">
        <x:v>0</x:v>
      </x:c>
      <x:c r="Q1550" s="37" t="n">
        <x:v>46147.1765625</x:v>
      </x:c>
    </x:row>
    <x:row r="1551">
      <x:c r="A1551" s="22" t="n">
        <x:v>34434</x:v>
      </x:c>
      <x:c r="B1551" s="28" t="n">
        <x:v>1295</x:v>
      </x:c>
      <x:c r="C1551" s="28"/>
      <x:c r="D1551" s="31" t="str">
        <x:f>IF(OR(ISBLANK(B1551),ISBLANK(C1551),B1551=0),"",(C1551-B1551)/B1551)</x:f>
      </x:c>
      <x:c r="E1551" s="22" t="str">
        <x:f>IF(ISBLANK(C1551),"AmountIncludingTax缺失",IF(ABS(B1551-C1551)&lt;0.005,"一致","不一致"))</x:f>
        <x:v>AmountIncludingTax缺失</x:v>
      </x:c>
      <x:c r="F1551" s="19" t="str">
        <x:v>approved</x:v>
      </x:c>
      <x:c r="G1551" s="19" t="str">
        <x:v>Repair in Progress</x:v>
      </x:c>
      <x:c r="H1551" s="19" t="str">
        <x:v>Pre Delivery</x:v>
      </x:c>
      <x:c r="I1551" s="37" t="n">
        <x:v>46147</x:v>
      </x:c>
      <x:c r="J1551" s="37" t="n">
        <x:v>46147</x:v>
      </x:c>
      <x:c r="K1551" s="19" t="str">
        <x:v>Snowy River Geelong</x:v>
      </x:c>
      <x:c r="L1551" s="19" t="str">
        <x:v>Z005</x:v>
      </x:c>
      <x:c r="M1551" s="19" t="str">
        <x:v>Pre Delivery Warranty Claims</x:v>
      </x:c>
      <x:c r="N1551" s="37" t="n">
        <x:v>46147</x:v>
      </x:c>
      <x:c r="O1551" s="37"/>
      <x:c r="P1551" s="34" t="n">
        <x:v>0</x:v>
      </x:c>
      <x:c r="Q1551" s="37" t="n">
        <x:v>46147.08912037037</x:v>
      </x:c>
    </x:row>
    <x:row r="1552">
      <x:c r="A1552" s="22" t="n">
        <x:v>34431</x:v>
      </x:c>
      <x:c r="B1552" s="28" t="n">
        <x:v>770</x:v>
      </x:c>
      <x:c r="C1552" s="28"/>
      <x:c r="D1552" s="31" t="str">
        <x:f>IF(OR(ISBLANK(B1552),ISBLANK(C1552),B1552=0),"",(C1552-B1552)/B1552)</x:f>
      </x:c>
      <x:c r="E1552" s="22" t="str">
        <x:f>IF(ISBLANK(C1552),"AmountIncludingTax缺失",IF(ABS(B1552-C1552)&lt;0.005,"一致","不一致"))</x:f>
        <x:v>AmountIncludingTax缺失</x:v>
      </x:c>
      <x:c r="F1552" s="19" t="str">
        <x:v>approved</x:v>
      </x:c>
      <x:c r="G1552" s="19" t="str">
        <x:v>Repair in Progress</x:v>
      </x:c>
      <x:c r="H1552" s="19" t="str">
        <x:v>Pre Delivery</x:v>
      </x:c>
      <x:c r="I1552" s="37" t="n">
        <x:v>46147</x:v>
      </x:c>
      <x:c r="J1552" s="37" t="n">
        <x:v>46147</x:v>
      </x:c>
      <x:c r="K1552" s="19" t="str">
        <x:v>Snowy River Geelong</x:v>
      </x:c>
      <x:c r="L1552" s="19" t="str">
        <x:v>Z005</x:v>
      </x:c>
      <x:c r="M1552" s="19" t="str">
        <x:v>Pre Delivery Warranty Claims</x:v>
      </x:c>
      <x:c r="N1552" s="37" t="n">
        <x:v>46147</x:v>
      </x:c>
      <x:c r="O1552" s="37"/>
      <x:c r="P1552" s="34" t="n">
        <x:v>0</x:v>
      </x:c>
      <x:c r="Q1552" s="37" t="n">
        <x:v>46147.07298611111</x:v>
      </x:c>
    </x:row>
    <x:row r="1553">
      <x:c r="A1553" s="22" t="n">
        <x:v>34430</x:v>
      </x:c>
      <x:c r="B1553" s="28" t="n">
        <x:v>290</x:v>
      </x:c>
      <x:c r="C1553" s="28"/>
      <x:c r="D1553" s="31" t="str">
        <x:f>IF(OR(ISBLANK(B1553),ISBLANK(C1553),B1553=0),"",(C1553-B1553)/B1553)</x:f>
      </x:c>
      <x:c r="E1553" s="22" t="str">
        <x:f>IF(ISBLANK(C1553),"AmountIncludingTax缺失",IF(ABS(B1553-C1553)&lt;0.005,"一致","不一致"))</x:f>
        <x:v>AmountIncludingTax缺失</x:v>
      </x:c>
      <x:c r="F1553" s="19" t="str">
        <x:v>approved</x:v>
      </x:c>
      <x:c r="G1553" s="19" t="str">
        <x:v>Repair in Progress</x:v>
      </x:c>
      <x:c r="H1553" s="19" t="str">
        <x:v>In Field</x:v>
      </x:c>
      <x:c r="I1553" s="37" t="n">
        <x:v>46150</x:v>
      </x:c>
      <x:c r="J1553" s="37" t="n">
        <x:v>46150</x:v>
      </x:c>
      <x:c r="K1553" s="19" t="str">
        <x:v>Green RV - Forest Glen</x:v>
      </x:c>
      <x:c r="L1553" s="19" t="str">
        <x:v>Z006</x:v>
      </x:c>
      <x:c r="M1553" s="19" t="str">
        <x:v>In Field Warranty Claims</x:v>
      </x:c>
      <x:c r="N1553" s="37" t="n">
        <x:v>46147</x:v>
      </x:c>
      <x:c r="O1553" s="37"/>
      <x:c r="P1553" s="34" t="n">
        <x:v>0</x:v>
      </x:c>
      <x:c r="Q1553" s="37" t="n">
        <x:v>46149.90482638889</x:v>
      </x:c>
    </x:row>
    <x:row r="1554">
      <x:c r="A1554" s="22" t="n">
        <x:v>34429</x:v>
      </x:c>
      <x:c r="B1554" s="28" t="n">
        <x:v>270</x:v>
      </x:c>
      <x:c r="C1554" s="28"/>
      <x:c r="D1554" s="31" t="str">
        <x:f>IF(OR(ISBLANK(B1554),ISBLANK(C1554),B1554=0),"",(C1554-B1554)/B1554)</x:f>
      </x:c>
      <x:c r="E1554" s="22" t="str">
        <x:f>IF(ISBLANK(C1554),"AmountIncludingTax缺失",IF(ABS(B1554-C1554)&lt;0.005,"一致","不一致"))</x:f>
        <x:v>AmountIncludingTax缺失</x:v>
      </x:c>
      <x:c r="F1554" s="19" t="str">
        <x:v>approved</x:v>
      </x:c>
      <x:c r="G1554" s="19" t="str">
        <x:v>Repair in Progress</x:v>
      </x:c>
      <x:c r="H1554" s="19" t="str">
        <x:v>In Field</x:v>
      </x:c>
      <x:c r="I1554" s="37" t="n">
        <x:v>46153</x:v>
      </x:c>
      <x:c r="J1554" s="37" t="n">
        <x:v>46153</x:v>
      </x:c>
      <x:c r="K1554" s="19" t="str">
        <x:v>Auswide Caravans - South Nowra</x:v>
      </x:c>
      <x:c r="L1554" s="19" t="str">
        <x:v>Z006</x:v>
      </x:c>
      <x:c r="M1554" s="19" t="str">
        <x:v>In Field Warranty Claims</x:v>
      </x:c>
      <x:c r="N1554" s="37" t="n">
        <x:v>46147</x:v>
      </x:c>
      <x:c r="O1554" s="37"/>
      <x:c r="P1554" s="34" t="n">
        <x:v>0</x:v>
      </x:c>
      <x:c r="Q1554" s="37" t="n">
        <x:v>46153.04785879629</x:v>
      </x:c>
    </x:row>
    <x:row r="1555">
      <x:c r="A1555" s="22" t="n">
        <x:v>34428</x:v>
      </x:c>
      <x:c r="B1555" s="28" t="n">
        <x:v>951.25</x:v>
      </x:c>
      <x:c r="C1555" s="28"/>
      <x:c r="D1555" s="31" t="str">
        <x:f>IF(OR(ISBLANK(B1555),ISBLANK(C1555),B1555=0),"",(C1555-B1555)/B1555)</x:f>
      </x:c>
      <x:c r="E1555" s="22" t="str">
        <x:f>IF(ISBLANK(C1555),"AmountIncludingTax缺失",IF(ABS(B1555-C1555)&lt;0.005,"一致","不一致"))</x:f>
        <x:v>AmountIncludingTax缺失</x:v>
      </x:c>
      <x:c r="F1555" s="19" t="str">
        <x:v>approved</x:v>
      </x:c>
      <x:c r="G1555" s="19" t="str">
        <x:v>Repair in Progress</x:v>
      </x:c>
      <x:c r="H1555" s="19" t="str">
        <x:v>In Field</x:v>
      </x:c>
      <x:c r="I1555" s="37" t="n">
        <x:v>46162</x:v>
      </x:c>
      <x:c r="J1555" s="37" t="n">
        <x:v>46161</x:v>
      </x:c>
      <x:c r="K1555" s="19" t="str">
        <x:v>Regent RV - Frankston</x:v>
      </x:c>
      <x:c r="L1555" s="19" t="str">
        <x:v>Z006</x:v>
      </x:c>
      <x:c r="M1555" s="19" t="str">
        <x:v>In Field Warranty Claims</x:v>
      </x:c>
      <x:c r="N1555" s="37" t="n">
        <x:v>46147</x:v>
      </x:c>
      <x:c r="O1555" s="37"/>
      <x:c r="P1555" s="34" t="n">
        <x:v>0</x:v>
      </x:c>
      <x:c r="Q1555" s="37" t="n">
        <x:v>46162.171435185184</x:v>
      </x:c>
    </x:row>
    <x:row r="1556">
      <x:c r="A1556" s="22" t="n">
        <x:v>34427</x:v>
      </x:c>
      <x:c r="B1556" s="28" t="n">
        <x:v>1147.5</x:v>
      </x:c>
      <x:c r="C1556" s="28"/>
      <x:c r="D1556" s="31" t="str">
        <x:f>IF(OR(ISBLANK(B1556),ISBLANK(C1556),B1556=0),"",(C1556-B1556)/B1556)</x:f>
      </x:c>
      <x:c r="E1556" s="22" t="str">
        <x:f>IF(ISBLANK(C1556),"AmountIncludingTax缺失",IF(ABS(B1556-C1556)&lt;0.005,"一致","不一致"))</x:f>
        <x:v>AmountIncludingTax缺失</x:v>
      </x:c>
      <x:c r="F1556" s="19" t="str">
        <x:v>approved</x:v>
      </x:c>
      <x:c r="G1556" s="19" t="str">
        <x:v>Repair in Progress</x:v>
      </x:c>
      <x:c r="H1556" s="19" t="str">
        <x:v>In Field</x:v>
      </x:c>
      <x:c r="I1556" s="37" t="n">
        <x:v>46147</x:v>
      </x:c>
      <x:c r="J1556" s="37" t="n">
        <x:v>46147</x:v>
      </x:c>
      <x:c r="K1556" s="19" t="str">
        <x:v>Green RV - Forest Glen</x:v>
      </x:c>
      <x:c r="L1556" s="19" t="str">
        <x:v>Z006</x:v>
      </x:c>
      <x:c r="M1556" s="19" t="str">
        <x:v>In Field Warranty Claims</x:v>
      </x:c>
      <x:c r="N1556" s="37" t="n">
        <x:v>46147</x:v>
      </x:c>
      <x:c r="O1556" s="37"/>
      <x:c r="P1556" s="34" t="n">
        <x:v>1262.25</x:v>
      </x:c>
      <x:c r="Q1556" s="37" t="n">
        <x:v>46147.059953703705</x:v>
      </x:c>
    </x:row>
    <x:row r="1557">
      <x:c r="A1557" s="22" t="n">
        <x:v>34426</x:v>
      </x:c>
      <x:c r="B1557" s="28" t="n">
        <x:v>77.5</x:v>
      </x:c>
      <x:c r="C1557" s="28"/>
      <x:c r="D1557" s="31" t="str">
        <x:f>IF(OR(ISBLANK(B1557),ISBLANK(C1557),B1557=0),"",(C1557-B1557)/B1557)</x:f>
      </x:c>
      <x:c r="E1557" s="22" t="str">
        <x:f>IF(ISBLANK(C1557),"AmountIncludingTax缺失",IF(ABS(B1557-C1557)&lt;0.005,"一致","不一致"))</x:f>
        <x:v>AmountIncludingTax缺失</x:v>
      </x:c>
      <x:c r="F1557" s="19" t="str">
        <x:v>approved</x:v>
      </x:c>
      <x:c r="G1557" s="19" t="str">
        <x:v>Repair in Progress</x:v>
      </x:c>
      <x:c r="H1557" s="19" t="str">
        <x:v>Pre Delivery</x:v>
      </x:c>
      <x:c r="I1557" s="37" t="n">
        <x:v>46147</x:v>
      </x:c>
      <x:c r="J1557" s="37" t="n">
        <x:v>46147</x:v>
      </x:c>
      <x:c r="K1557" s="19" t="str">
        <x:v>Snowy River Geelong</x:v>
      </x:c>
      <x:c r="L1557" s="19" t="str">
        <x:v>Z005</x:v>
      </x:c>
      <x:c r="M1557" s="19" t="str">
        <x:v>Pre Delivery Warranty Claims</x:v>
      </x:c>
      <x:c r="N1557" s="37" t="n">
        <x:v>46147</x:v>
      </x:c>
      <x:c r="O1557" s="37"/>
      <x:c r="P1557" s="34" t="n">
        <x:v>0</x:v>
      </x:c>
      <x:c r="Q1557" s="37" t="n">
        <x:v>46147.06996527778</x:v>
      </x:c>
    </x:row>
    <x:row r="1558">
      <x:c r="A1558" s="22" t="n">
        <x:v>34425</x:v>
      </x:c>
      <x:c r="B1558" s="28" t="n">
        <x:v>421.32</x:v>
      </x:c>
      <x:c r="C1558" s="28" t="n">
        <x:v>463.45</x:v>
      </x:c>
      <x:c r="D1558" s="31" t="n">
        <x:f>IF(OR(ISBLANK(B1558),ISBLANK(C1558),B1558=0),"",(C1558-B1558)/B1558)</x:f>
        <x:v>0.09999525301433589</x:v>
      </x:c>
      <x:c r="E1558" s="22" t="str">
        <x:f>IF(ISBLANK(C1558),"AmountIncludingTax缺失",IF(ABS(B1558-C1558)&lt;0.005,"一致","不一致"))</x:f>
        <x:v>不一致</x:v>
      </x:c>
      <x:c r="F1558" s="19" t="str">
        <x:v>approved</x:v>
      </x:c>
      <x:c r="G1558" s="19" t="str">
        <x:v>Repairer Invoiced Processed</x:v>
      </x:c>
      <x:c r="H1558" s="19" t="str">
        <x:v>In Field</x:v>
      </x:c>
      <x:c r="I1558" s="37" t="n">
        <x:v>46154</x:v>
      </x:c>
      <x:c r="J1558" s="37" t="n">
        <x:v>46154</x:v>
      </x:c>
      <x:c r="K1558" s="19" t="str">
        <x:v>Newcastle RV Super Centre - Beresfield</x:v>
      </x:c>
      <x:c r="L1558" s="19" t="str">
        <x:v>Z006</x:v>
      </x:c>
      <x:c r="M1558" s="19" t="str">
        <x:v>In Field Warranty Claims</x:v>
      </x:c>
      <x:c r="N1558" s="37" t="n">
        <x:v>46147</x:v>
      </x:c>
      <x:c r="O1558" s="37"/>
      <x:c r="P1558" s="34" t="n">
        <x:v>463.45</x:v>
      </x:c>
      <x:c r="Q1558" s="37" t="n">
        <x:v>46153.990324074075</x:v>
      </x:c>
    </x:row>
    <x:row r="1559">
      <x:c r="A1559" s="22" t="n">
        <x:v>34424</x:v>
      </x:c>
      <x:c r="B1559" s="28" t="n">
        <x:v>2266</x:v>
      </x:c>
      <x:c r="C1559" s="28"/>
      <x:c r="D1559" s="31" t="str">
        <x:f>IF(OR(ISBLANK(B1559),ISBLANK(C1559),B1559=0),"",(C1559-B1559)/B1559)</x:f>
      </x:c>
      <x:c r="E1559" s="22" t="str">
        <x:f>IF(ISBLANK(C1559),"AmountIncludingTax缺失",IF(ABS(B1559-C1559)&lt;0.005,"一致","不一致"))</x:f>
        <x:v>AmountIncludingTax缺失</x:v>
      </x:c>
      <x:c r="F1559" s="19" t="str">
        <x:v>approved</x:v>
      </x:c>
      <x:c r="G1559" s="19" t="str">
        <x:v>Repair in Progress</x:v>
      </x:c>
      <x:c r="H1559" s="19" t="str">
        <x:v>Pre Delivery</x:v>
      </x:c>
      <x:c r="I1559" s="37" t="n">
        <x:v>46155</x:v>
      </x:c>
      <x:c r="J1559" s="37" t="n">
        <x:v>46155</x:v>
      </x:c>
      <x:c r="K1559" s="19" t="str">
        <x:v>Vanari Caravans - Marden Point</x:v>
      </x:c>
      <x:c r="L1559" s="19" t="str">
        <x:v>Z005</x:v>
      </x:c>
      <x:c r="M1559" s="19" t="str">
        <x:v>Pre Delivery Warranty Claims</x:v>
      </x:c>
      <x:c r="N1559" s="37" t="n">
        <x:v>46146</x:v>
      </x:c>
      <x:c r="O1559" s="37"/>
      <x:c r="P1559" s="34" t="n">
        <x:v>0</x:v>
      </x:c>
      <x:c r="Q1559" s="37" t="n">
        <x:v>46155.189780092594</x:v>
      </x:c>
    </x:row>
    <x:row r="1560">
      <x:c r="A1560" s="22" t="n">
        <x:v>34423</x:v>
      </x:c>
      <x:c r="B1560" s="28" t="n">
        <x:v>782.5</x:v>
      </x:c>
      <x:c r="C1560" s="28"/>
      <x:c r="D1560" s="31" t="str">
        <x:f>IF(OR(ISBLANK(B1560),ISBLANK(C1560),B1560=0),"",(C1560-B1560)/B1560)</x:f>
      </x:c>
      <x:c r="E1560" s="22" t="str">
        <x:f>IF(ISBLANK(C1560),"AmountIncludingTax缺失",IF(ABS(B1560-C1560)&lt;0.005,"一致","不一致"))</x:f>
        <x:v>AmountIncludingTax缺失</x:v>
      </x:c>
      <x:c r="F1560" s="19" t="str">
        <x:v>approved</x:v>
      </x:c>
      <x:c r="G1560" s="19" t="str">
        <x:v>Repair in Progress</x:v>
      </x:c>
      <x:c r="H1560" s="19" t="str">
        <x:v>In Field</x:v>
      </x:c>
      <x:c r="I1560" s="37" t="n">
        <x:v>46160</x:v>
      </x:c>
      <x:c r="J1560" s="37" t="n">
        <x:v>46160</x:v>
      </x:c>
      <x:c r="K1560" s="19" t="str">
        <x:v>Regent RV - Frankston</x:v>
      </x:c>
      <x:c r="L1560" s="19" t="str">
        <x:v>Z006</x:v>
      </x:c>
      <x:c r="M1560" s="19" t="str">
        <x:v>In Field Warranty Claims</x:v>
      </x:c>
      <x:c r="N1560" s="37" t="n">
        <x:v>46146</x:v>
      </x:c>
      <x:c r="O1560" s="37"/>
      <x:c r="P1560" s="34" t="n">
        <x:v>0</x:v>
      </x:c>
      <x:c r="Q1560" s="37" t="n">
        <x:v>46160.255636574075</x:v>
      </x:c>
    </x:row>
    <x:row r="1561">
      <x:c r="A1561" s="22" t="n">
        <x:v>34421</x:v>
      </x:c>
      <x:c r="B1561" s="28" t="n">
        <x:v>357.5</x:v>
      </x:c>
      <x:c r="C1561" s="28"/>
      <x:c r="D1561" s="31" t="str">
        <x:f>IF(OR(ISBLANK(B1561),ISBLANK(C1561),B1561=0),"",(C1561-B1561)/B1561)</x:f>
      </x:c>
      <x:c r="E1561" s="22" t="str">
        <x:f>IF(ISBLANK(C1561),"AmountIncludingTax缺失",IF(ABS(B1561-C1561)&lt;0.005,"一致","不一致"))</x:f>
        <x:v>AmountIncludingTax缺失</x:v>
      </x:c>
      <x:c r="F1561" s="19" t="str">
        <x:v>approved</x:v>
      </x:c>
      <x:c r="G1561" s="19" t="str">
        <x:v>Repair in Progress</x:v>
      </x:c>
      <x:c r="H1561" s="19" t="str">
        <x:v>Pre Delivery</x:v>
      </x:c>
      <x:c r="I1561" s="37" t="n">
        <x:v>46148</x:v>
      </x:c>
      <x:c r="J1561" s="37" t="n">
        <x:v>46148</x:v>
      </x:c>
      <x:c r="K1561" s="19" t="str">
        <x:v>Regent RV - Frankston</x:v>
      </x:c>
      <x:c r="L1561" s="19" t="str">
        <x:v>Z005</x:v>
      </x:c>
      <x:c r="M1561" s="19" t="str">
        <x:v>Pre Delivery Warranty Claims</x:v>
      </x:c>
      <x:c r="N1561" s="37" t="n">
        <x:v>46146</x:v>
      </x:c>
      <x:c r="O1561" s="37"/>
      <x:c r="P1561" s="34" t="n">
        <x:v>0</x:v>
      </x:c>
      <x:c r="Q1561" s="37" t="n">
        <x:v>46147.91898148148</x:v>
      </x:c>
    </x:row>
    <x:row r="1562">
      <x:c r="A1562" s="22" t="n">
        <x:v>34420</x:v>
      </x:c>
      <x:c r="B1562" s="28" t="n">
        <x:v>33.75</x:v>
      </x:c>
      <x:c r="C1562" s="28"/>
      <x:c r="D1562" s="31" t="str">
        <x:f>IF(OR(ISBLANK(B1562),ISBLANK(C1562),B1562=0),"",(C1562-B1562)/B1562)</x:f>
      </x:c>
      <x:c r="E1562" s="22" t="str">
        <x:f>IF(ISBLANK(C1562),"AmountIncludingTax缺失",IF(ABS(B1562-C1562)&lt;0.005,"一致","不一致"))</x:f>
        <x:v>AmountIncludingTax缺失</x:v>
      </x:c>
      <x:c r="F1562" s="19" t="str">
        <x:v>approved</x:v>
      </x:c>
      <x:c r="G1562" s="19" t="str">
        <x:v>Repairer Invoiced Processed</x:v>
      </x:c>
      <x:c r="H1562" s="19" t="str">
        <x:v>In Field</x:v>
      </x:c>
      <x:c r="I1562" s="37" t="n">
        <x:v>46147</x:v>
      </x:c>
      <x:c r="J1562" s="37" t="n">
        <x:v>46147</x:v>
      </x:c>
      <x:c r="K1562" s="19" t="str">
        <x:v>Green RV - Forest Glen</x:v>
      </x:c>
      <x:c r="L1562" s="19" t="str">
        <x:v>Z006</x:v>
      </x:c>
      <x:c r="M1562" s="19" t="str">
        <x:v>In Field Warranty Claims</x:v>
      </x:c>
      <x:c r="N1562" s="37" t="n">
        <x:v>46147</x:v>
      </x:c>
      <x:c r="O1562" s="37"/>
      <x:c r="P1562" s="34" t="n">
        <x:v>0</x:v>
      </x:c>
      <x:c r="Q1562" s="37" t="n">
        <x:v>46147.17474537037</x:v>
      </x:c>
    </x:row>
    <x:row r="1563">
      <x:c r="A1563" s="22" t="n">
        <x:v>34419</x:v>
      </x:c>
      <x:c r="B1563" s="28" t="n">
        <x:v>405</x:v>
      </x:c>
      <x:c r="C1563" s="28"/>
      <x:c r="D1563" s="31" t="str">
        <x:f>IF(OR(ISBLANK(B1563),ISBLANK(C1563),B1563=0),"",(C1563-B1563)/B1563)</x:f>
      </x:c>
      <x:c r="E1563" s="22" t="str">
        <x:f>IF(ISBLANK(C1563),"AmountIncludingTax缺失",IF(ABS(B1563-C1563)&lt;0.005,"一致","不一致"))</x:f>
        <x:v>AmountIncludingTax缺失</x:v>
      </x:c>
      <x:c r="F1563" s="19" t="str">
        <x:v>approved</x:v>
      </x:c>
      <x:c r="G1563" s="19" t="str">
        <x:v>Repair in Progress</x:v>
      </x:c>
      <x:c r="H1563" s="19" t="str">
        <x:v>In Field</x:v>
      </x:c>
      <x:c r="I1563" s="37" t="n">
        <x:v>46147</x:v>
      </x:c>
      <x:c r="J1563" s="37" t="n">
        <x:v>46147</x:v>
      </x:c>
      <x:c r="K1563" s="19" t="str">
        <x:v>Green RV - Forest Glen</x:v>
      </x:c>
      <x:c r="L1563" s="19" t="str">
        <x:v>Z006</x:v>
      </x:c>
      <x:c r="M1563" s="19" t="str">
        <x:v>In Field Warranty Claims</x:v>
      </x:c>
      <x:c r="N1563" s="37" t="n">
        <x:v>46147</x:v>
      </x:c>
      <x:c r="O1563" s="37"/>
      <x:c r="P1563" s="34" t="n">
        <x:v>0</x:v>
      </x:c>
      <x:c r="Q1563" s="37" t="n">
        <x:v>46147.081724537034</x:v>
      </x:c>
    </x:row>
    <x:row r="1564">
      <x:c r="A1564" s="22" t="n">
        <x:v>34417</x:v>
      </x:c>
      <x:c r="B1564" s="28" t="n">
        <x:v>101.25</x:v>
      </x:c>
      <x:c r="C1564" s="28"/>
      <x:c r="D1564" s="31" t="str">
        <x:f>IF(OR(ISBLANK(B1564),ISBLANK(C1564),B1564=0),"",(C1564-B1564)/B1564)</x:f>
      </x:c>
      <x:c r="E1564" s="22" t="str">
        <x:f>IF(ISBLANK(C1564),"AmountIncludingTax缺失",IF(ABS(B1564-C1564)&lt;0.005,"一致","不一致"))</x:f>
        <x:v>AmountIncludingTax缺失</x:v>
      </x:c>
      <x:c r="F1564" s="19" t="str">
        <x:v>approved</x:v>
      </x:c>
      <x:c r="G1564" s="19" t="str">
        <x:v>Repairer Invoiced Processed</x:v>
      </x:c>
      <x:c r="H1564" s="19" t="str">
        <x:v>In Field</x:v>
      </x:c>
      <x:c r="I1564" s="37" t="n">
        <x:v>46153</x:v>
      </x:c>
      <x:c r="J1564" s="37" t="n">
        <x:v>46153</x:v>
      </x:c>
      <x:c r="K1564" s="19" t="str">
        <x:v>Dario Caravans -St.Marys</x:v>
      </x:c>
      <x:c r="L1564" s="19" t="str">
        <x:v>Z006</x:v>
      </x:c>
      <x:c r="M1564" s="19" t="str">
        <x:v>In Field Warranty Claims</x:v>
      </x:c>
      <x:c r="N1564" s="37" t="n">
        <x:v>46146</x:v>
      </x:c>
      <x:c r="O1564" s="37"/>
      <x:c r="P1564" s="34" t="n">
        <x:v>0</x:v>
      </x:c>
      <x:c r="Q1564" s="37" t="n">
        <x:v>46153.17445601852</x:v>
      </x:c>
    </x:row>
    <x:row r="1565">
      <x:c r="A1565" s="22" t="n">
        <x:v>34414</x:v>
      </x:c>
      <x:c r="B1565" s="28" t="n">
        <x:v>1660.36</x:v>
      </x:c>
      <x:c r="C1565" s="28"/>
      <x:c r="D1565" s="31" t="str">
        <x:f>IF(OR(ISBLANK(B1565),ISBLANK(C1565),B1565=0),"",(C1565-B1565)/B1565)</x:f>
      </x:c>
      <x:c r="E1565" s="22" t="str">
        <x:f>IF(ISBLANK(C1565),"AmountIncludingTax缺失",IF(ABS(B1565-C1565)&lt;0.005,"一致","不一致"))</x:f>
        <x:v>AmountIncludingTax缺失</x:v>
      </x:c>
      <x:c r="F1565" s="19" t="str">
        <x:v>approved</x:v>
      </x:c>
      <x:c r="G1565" s="19" t="str">
        <x:v>Repairer Invoiced Processed</x:v>
      </x:c>
      <x:c r="H1565" s="19" t="str">
        <x:v>In Field</x:v>
      </x:c>
      <x:c r="I1565" s="37" t="n">
        <x:v>46174</x:v>
      </x:c>
      <x:c r="J1565" s="37" t="n">
        <x:v>46174</x:v>
      </x:c>
      <x:c r="K1565" s="19" t="str">
        <x:v>Auswide Caravans - South Nowra</x:v>
      </x:c>
      <x:c r="L1565" s="19" t="str">
        <x:v>Z006</x:v>
      </x:c>
      <x:c r="M1565" s="19" t="str">
        <x:v>In Field Warranty Claims</x:v>
      </x:c>
      <x:c r="N1565" s="37" t="n">
        <x:v>46146</x:v>
      </x:c>
      <x:c r="O1565" s="37"/>
      <x:c r="P1565" s="34" t="n">
        <x:v>1826.4</x:v>
      </x:c>
      <x:c r="Q1565" s="37" t="n">
        <x:v>46173.933657407404</x:v>
      </x:c>
    </x:row>
    <x:row r="1566">
      <x:c r="A1566" s="22" t="n">
        <x:v>34413</x:v>
      </x:c>
      <x:c r="B1566" s="28" t="n">
        <x:v>135</x:v>
      </x:c>
      <x:c r="C1566" s="28"/>
      <x:c r="D1566" s="31" t="str">
        <x:f>IF(OR(ISBLANK(B1566),ISBLANK(C1566),B1566=0),"",(C1566-B1566)/B1566)</x:f>
      </x:c>
      <x:c r="E1566" s="22" t="str">
        <x:f>IF(ISBLANK(C1566),"AmountIncludingTax缺失",IF(ABS(B1566-C1566)&lt;0.005,"一致","不一致"))</x:f>
        <x:v>AmountIncludingTax缺失</x:v>
      </x:c>
      <x:c r="F1566" s="19" t="str">
        <x:v>approved</x:v>
      </x:c>
      <x:c r="G1566" s="19" t="str">
        <x:v>Repairer Invoiced Processed</x:v>
      </x:c>
      <x:c r="H1566" s="19" t="str">
        <x:v>In Field</x:v>
      </x:c>
      <x:c r="I1566" s="37" t="n">
        <x:v>46148</x:v>
      </x:c>
      <x:c r="J1566" s="37" t="n">
        <x:v>46148</x:v>
      </x:c>
      <x:c r="K1566" s="19" t="str">
        <x:v>Destiny RV - South Australia</x:v>
      </x:c>
      <x:c r="L1566" s="19" t="str">
        <x:v>Z006</x:v>
      </x:c>
      <x:c r="M1566" s="19" t="str">
        <x:v>In Field Warranty Claims</x:v>
      </x:c>
      <x:c r="N1566" s="37" t="n">
        <x:v>46146</x:v>
      </x:c>
      <x:c r="O1566" s="37"/>
      <x:c r="P1566" s="34" t="n">
        <x:v>0</x:v>
      </x:c>
      <x:c r="Q1566" s="37" t="n">
        <x:v>46148.06288194445</x:v>
      </x:c>
    </x:row>
    <x:row r="1567">
      <x:c r="A1567" s="22" t="n">
        <x:v>34412</x:v>
      </x:c>
      <x:c r="B1567" s="28" t="n">
        <x:v>285</x:v>
      </x:c>
      <x:c r="C1567" s="28"/>
      <x:c r="D1567" s="31" t="str">
        <x:f>IF(OR(ISBLANK(B1567),ISBLANK(C1567),B1567=0),"",(C1567-B1567)/B1567)</x:f>
      </x:c>
      <x:c r="E1567" s="22" t="str">
        <x:f>IF(ISBLANK(C1567),"AmountIncludingTax缺失",IF(ABS(B1567-C1567)&lt;0.005,"一致","不一致"))</x:f>
        <x:v>AmountIncludingTax缺失</x:v>
      </x:c>
      <x:c r="F1567" s="19" t="str">
        <x:v>approved</x:v>
      </x:c>
      <x:c r="G1567" s="19" t="str">
        <x:v>Sales Order Approved</x:v>
      </x:c>
      <x:c r="H1567" s="19" t="str">
        <x:v>In Field</x:v>
      </x:c>
      <x:c r="I1567" s="37" t="n">
        <x:v>46153</x:v>
      </x:c>
      <x:c r="J1567" s="37" t="n">
        <x:v>46153</x:v>
      </x:c>
      <x:c r="K1567" s="19" t="str">
        <x:v>Regent RV - Frankston</x:v>
      </x:c>
      <x:c r="L1567" s="19" t="str">
        <x:v>Z006</x:v>
      </x:c>
      <x:c r="M1567" s="19" t="str">
        <x:v>In Field Warranty Claims</x:v>
      </x:c>
      <x:c r="N1567" s="37" t="n">
        <x:v>46146</x:v>
      </x:c>
      <x:c r="O1567" s="37"/>
      <x:c r="P1567" s="34" t="n">
        <x:v>0</x:v>
      </x:c>
      <x:c r="Q1567" s="37" t="n">
        <x:v>46153.2133912037</x:v>
      </x:c>
    </x:row>
    <x:row r="1568">
      <x:c r="A1568" s="22" t="n">
        <x:v>34411</x:v>
      </x:c>
      <x:c r="B1568" s="28" t="n">
        <x:v>2048.25</x:v>
      </x:c>
      <x:c r="C1568" s="28"/>
      <x:c r="D1568" s="31" t="str">
        <x:f>IF(OR(ISBLANK(B1568),ISBLANK(C1568),B1568=0),"",(C1568-B1568)/B1568)</x:f>
      </x:c>
      <x:c r="E1568" s="22" t="str">
        <x:f>IF(ISBLANK(C1568),"AmountIncludingTax缺失",IF(ABS(B1568-C1568)&lt;0.005,"一致","不一致"))</x:f>
        <x:v>AmountIncludingTax缺失</x:v>
      </x:c>
      <x:c r="F1568" s="19" t="str">
        <x:v>approved</x:v>
      </x:c>
      <x:c r="G1568" s="19" t="str">
        <x:v>Repair in Progress</x:v>
      </x:c>
      <x:c r="H1568" s="19" t="str">
        <x:v>In Field</x:v>
      </x:c>
      <x:c r="I1568" s="37" t="n">
        <x:v>46161</x:v>
      </x:c>
      <x:c r="J1568" s="37" t="n">
        <x:v>46161</x:v>
      </x:c>
      <x:c r="K1568" s="19" t="str">
        <x:v>Green RV - Forest Glen</x:v>
      </x:c>
      <x:c r="L1568" s="19" t="str">
        <x:v>Z006</x:v>
      </x:c>
      <x:c r="M1568" s="19" t="str">
        <x:v>In Field Warranty Claims</x:v>
      </x:c>
      <x:c r="N1568" s="37" t="n">
        <x:v>46146</x:v>
      </x:c>
      <x:c r="O1568" s="37"/>
      <x:c r="P1568" s="34" t="n">
        <x:v>2253.08</x:v>
      </x:c>
      <x:c r="Q1568" s="37" t="n">
        <x:v>46161.045590277776</x:v>
      </x:c>
    </x:row>
    <x:row r="1569">
      <x:c r="A1569" s="22" t="n">
        <x:v>34410</x:v>
      </x:c>
      <x:c r="B1569" s="28" t="n">
        <x:v>140</x:v>
      </x:c>
      <x:c r="C1569" s="28"/>
      <x:c r="D1569" s="31" t="str">
        <x:f>IF(OR(ISBLANK(B1569),ISBLANK(C1569),B1569=0),"",(C1569-B1569)/B1569)</x:f>
      </x:c>
      <x:c r="E1569" s="22" t="str">
        <x:f>IF(ISBLANK(C1569),"AmountIncludingTax缺失",IF(ABS(B1569-C1569)&lt;0.005,"一致","不一致"))</x:f>
        <x:v>AmountIncludingTax缺失</x:v>
      </x:c>
      <x:c r="F1569" s="19" t="str">
        <x:v>approved</x:v>
      </x:c>
      <x:c r="G1569" s="19" t="str">
        <x:v>Repair in Progress</x:v>
      </x:c>
      <x:c r="H1569" s="19" t="str">
        <x:v>In Field</x:v>
      </x:c>
      <x:c r="I1569" s="37" t="n">
        <x:v>46154</x:v>
      </x:c>
      <x:c r="J1569" s="37" t="n">
        <x:v>46148</x:v>
      </x:c>
      <x:c r="K1569" s="19" t="str">
        <x:v>ABCO Caravans - Boambee Valley</x:v>
      </x:c>
      <x:c r="L1569" s="19" t="str">
        <x:v>Z006</x:v>
      </x:c>
      <x:c r="M1569" s="19" t="str">
        <x:v>In Field Warranty Claims</x:v>
      </x:c>
      <x:c r="N1569" s="37" t="n">
        <x:v>46148</x:v>
      </x:c>
      <x:c r="O1569" s="37"/>
      <x:c r="P1569" s="34" t="n">
        <x:v>0</x:v>
      </x:c>
      <x:c r="Q1569" s="37" t="n">
        <x:v>46154.0652662037</x:v>
      </x:c>
    </x:row>
    <x:row r="1570">
      <x:c r="A1570" s="22" t="n">
        <x:v>34398</x:v>
      </x:c>
      <x:c r="B1570" s="28" t="n">
        <x:v>87.87</x:v>
      </x:c>
      <x:c r="C1570" s="28" t="n">
        <x:v>79.56</x:v>
      </x:c>
      <x:c r="D1570" s="31" t="n">
        <x:f>IF(OR(ISBLANK(B1570),ISBLANK(C1570),B1570=0),"",(C1570-B1570)/B1570)</x:f>
        <x:v>-0.09457152611812908</x:v>
      </x:c>
      <x:c r="E1570" s="22" t="str">
        <x:f>IF(ISBLANK(C1570),"AmountIncludingTax缺失",IF(ABS(B1570-C1570)&lt;0.005,"一致","不一致"))</x:f>
        <x:v>不一致</x:v>
      </x:c>
      <x:c r="F1570" s="19" t="str">
        <x:v>approved_closed</x:v>
      </x:c>
      <x:c r="G1570" s="19" t="str">
        <x:v>Approved Claims Closed (Closed)</x:v>
      </x:c>
      <x:c r="H1570" s="19" t="str">
        <x:v>In Field</x:v>
      </x:c>
      <x:c r="I1570" s="37" t="n">
        <x:v>46148</x:v>
      </x:c>
      <x:c r="J1570" s="37" t="n">
        <x:v>46147</x:v>
      </x:c>
      <x:c r="K1570" s="19" t="str">
        <x:v>Vanari Caravans - Marden Point</x:v>
      </x:c>
      <x:c r="L1570" s="19" t="str">
        <x:v>Z006</x:v>
      </x:c>
      <x:c r="M1570" s="19" t="str">
        <x:v>In Field Warranty Claims</x:v>
      </x:c>
      <x:c r="N1570" s="37" t="n">
        <x:v>46147</x:v>
      </x:c>
      <x:c r="O1570" s="37" t="n">
        <x:v>46148</x:v>
      </x:c>
      <x:c r="P1570" s="34" t="n">
        <x:v>79.56</x:v>
      </x:c>
      <x:c r="Q1570" s="37" t="n">
        <x:v>46147.905381944445</x:v>
      </x:c>
    </x:row>
    <x:row r="1571">
      <x:c r="A1571" s="22" t="n">
        <x:v>34391</x:v>
      </x:c>
      <x:c r="B1571" s="28" t="n">
        <x:v>2160</x:v>
      </x:c>
      <x:c r="C1571" s="28"/>
      <x:c r="D1571" s="31" t="str">
        <x:f>IF(OR(ISBLANK(B1571),ISBLANK(C1571),B1571=0),"",(C1571-B1571)/B1571)</x:f>
      </x:c>
      <x:c r="E1571" s="22" t="str">
        <x:f>IF(ISBLANK(C1571),"AmountIncludingTax缺失",IF(ABS(B1571-C1571)&lt;0.005,"一致","不一致"))</x:f>
        <x:v>AmountIncludingTax缺失</x:v>
      </x:c>
      <x:c r="F1571" s="19" t="str">
        <x:v>approved</x:v>
      </x:c>
      <x:c r="G1571" s="19" t="str">
        <x:v>Sales Order Approved</x:v>
      </x:c>
      <x:c r="H1571" s="19" t="str">
        <x:v>In Field</x:v>
      </x:c>
      <x:c r="I1571" s="37" t="n">
        <x:v>46147</x:v>
      </x:c>
      <x:c r="J1571" s="37" t="n">
        <x:v>46147</x:v>
      </x:c>
      <x:c r="K1571" s="19" t="str">
        <x:v>Snowy River Launceston</x:v>
      </x:c>
      <x:c r="L1571" s="19" t="str">
        <x:v>Z006</x:v>
      </x:c>
      <x:c r="M1571" s="19" t="str">
        <x:v>In Field Warranty Claims</x:v>
      </x:c>
      <x:c r="N1571" s="37" t="n">
        <x:v>46146</x:v>
      </x:c>
      <x:c r="O1571" s="37"/>
      <x:c r="P1571" s="34" t="n">
        <x:v>0</x:v>
      </x:c>
      <x:c r="Q1571" s="37" t="n">
        <x:v>46147.11314814815</x:v>
      </x:c>
    </x:row>
    <x:row r="1572">
      <x:c r="A1572" s="22" t="n">
        <x:v>34390</x:v>
      </x:c>
      <x:c r="B1572" s="28" t="n">
        <x:v>860</x:v>
      </x:c>
      <x:c r="C1572" s="28"/>
      <x:c r="D1572" s="31" t="str">
        <x:f>IF(OR(ISBLANK(B1572),ISBLANK(C1572),B1572=0),"",(C1572-B1572)/B1572)</x:f>
      </x:c>
      <x:c r="E1572" s="22" t="str">
        <x:f>IF(ISBLANK(C1572),"AmountIncludingTax缺失",IF(ABS(B1572-C1572)&lt;0.005,"一致","不一致"))</x:f>
        <x:v>AmountIncludingTax缺失</x:v>
      </x:c>
      <x:c r="F1572" s="19" t="str">
        <x:v>approved</x:v>
      </x:c>
      <x:c r="G1572" s="19" t="str">
        <x:v>Repairer Invoiced Processed</x:v>
      </x:c>
      <x:c r="H1572" s="19" t="str">
        <x:v>In Field</x:v>
      </x:c>
      <x:c r="I1572" s="37" t="n">
        <x:v>46147</x:v>
      </x:c>
      <x:c r="J1572" s="37" t="n">
        <x:v>46147</x:v>
      </x:c>
      <x:c r="K1572" s="19" t="str">
        <x:v>Destiny RV - South Australia</x:v>
      </x:c>
      <x:c r="L1572" s="19" t="str">
        <x:v>Z006</x:v>
      </x:c>
      <x:c r="M1572" s="19" t="str">
        <x:v>In Field Warranty Claims</x:v>
      </x:c>
      <x:c r="N1572" s="37" t="n">
        <x:v>46146</x:v>
      </x:c>
      <x:c r="O1572" s="37"/>
      <x:c r="P1572" s="34" t="n">
        <x:v>0</x:v>
      </x:c>
      <x:c r="Q1572" s="37" t="n">
        <x:v>46147.211805555555</x:v>
      </x:c>
    </x:row>
    <x:row r="1573">
      <x:c r="A1573" s="22" t="n">
        <x:v>34388</x:v>
      </x:c>
      <x:c r="B1573" s="28" t="n">
        <x:v>67.5</x:v>
      </x:c>
      <x:c r="C1573" s="28"/>
      <x:c r="D1573" s="31" t="str">
        <x:f>IF(OR(ISBLANK(B1573),ISBLANK(C1573),B1573=0),"",(C1573-B1573)/B1573)</x:f>
      </x:c>
      <x:c r="E1573" s="22" t="str">
        <x:f>IF(ISBLANK(C1573),"AmountIncludingTax缺失",IF(ABS(B1573-C1573)&lt;0.005,"一致","不一致"))</x:f>
        <x:v>AmountIncludingTax缺失</x:v>
      </x:c>
      <x:c r="F1573" s="19" t="str">
        <x:v>approved</x:v>
      </x:c>
      <x:c r="G1573" s="19" t="str">
        <x:v>Repair in Progress</x:v>
      </x:c>
      <x:c r="H1573" s="19" t="str">
        <x:v>In Field</x:v>
      </x:c>
      <x:c r="I1573" s="37" t="n">
        <x:v>46162</x:v>
      </x:c>
      <x:c r="J1573" s="37" t="n">
        <x:v>46162</x:v>
      </x:c>
      <x:c r="K1573" s="19" t="str">
        <x:v>Regent RV - Perth</x:v>
      </x:c>
      <x:c r="L1573" s="19" t="str">
        <x:v>Z006</x:v>
      </x:c>
      <x:c r="M1573" s="19" t="str">
        <x:v>In Field Warranty Claims</x:v>
      </x:c>
      <x:c r="N1573" s="37" t="n">
        <x:v>46146</x:v>
      </x:c>
      <x:c r="O1573" s="37"/>
      <x:c r="P1573" s="34" t="n">
        <x:v>0</x:v>
      </x:c>
      <x:c r="Q1573" s="37" t="n">
        <x:v>46162.19284722222</x:v>
      </x:c>
    </x:row>
    <x:row r="1574">
      <x:c r="A1574" s="22" t="n">
        <x:v>34387</x:v>
      </x:c>
      <x:c r="B1574" s="28" t="n">
        <x:v>90.45</x:v>
      </x:c>
      <x:c r="C1574" s="28"/>
      <x:c r="D1574" s="31" t="str">
        <x:f>IF(OR(ISBLANK(B1574),ISBLANK(C1574),B1574=0),"",(C1574-B1574)/B1574)</x:f>
      </x:c>
      <x:c r="E1574" s="22" t="str">
        <x:f>IF(ISBLANK(C1574),"AmountIncludingTax缺失",IF(ABS(B1574-C1574)&lt;0.005,"一致","不一致"))</x:f>
        <x:v>AmountIncludingTax缺失</x:v>
      </x:c>
      <x:c r="F1574" s="19" t="str">
        <x:v>approved</x:v>
      </x:c>
      <x:c r="G1574" s="19" t="str">
        <x:v>Repair in Progress</x:v>
      </x:c>
      <x:c r="H1574" s="19" t="str">
        <x:v>In Field</x:v>
      </x:c>
      <x:c r="I1574" s="37" t="n">
        <x:v>46174</x:v>
      </x:c>
      <x:c r="J1574" s="37" t="n">
        <x:v>46174</x:v>
      </x:c>
      <x:c r="K1574" s="19" t="str">
        <x:v>Auswide Caravans - South Nowra</x:v>
      </x:c>
      <x:c r="L1574" s="19" t="str">
        <x:v>Z006</x:v>
      </x:c>
      <x:c r="M1574" s="19" t="str">
        <x:v>In Field Warranty Claims</x:v>
      </x:c>
      <x:c r="N1574" s="37" t="n">
        <x:v>46146</x:v>
      </x:c>
      <x:c r="O1574" s="37"/>
      <x:c r="P1574" s="34" t="n">
        <x:v>0</x:v>
      </x:c>
      <x:c r="Q1574" s="37" t="n">
        <x:v>46173.94354166667</x:v>
      </x:c>
    </x:row>
    <x:row r="1575">
      <x:c r="A1575" s="22" t="n">
        <x:v>34386</x:v>
      </x:c>
      <x:c r="B1575" s="28" t="n">
        <x:v>168.75</x:v>
      </x:c>
      <x:c r="C1575" s="28"/>
      <x:c r="D1575" s="31" t="str">
        <x:f>IF(OR(ISBLANK(B1575),ISBLANK(C1575),B1575=0),"",(C1575-B1575)/B1575)</x:f>
      </x:c>
      <x:c r="E1575" s="22" t="str">
        <x:f>IF(ISBLANK(C1575),"AmountIncludingTax缺失",IF(ABS(B1575-C1575)&lt;0.005,"一致","不一致"))</x:f>
        <x:v>AmountIncludingTax缺失</x:v>
      </x:c>
      <x:c r="F1575" s="19" t="str">
        <x:v>approved</x:v>
      </x:c>
      <x:c r="G1575" s="19" t="str">
        <x:v>Repair in Progress</x:v>
      </x:c>
      <x:c r="H1575" s="19" t="str">
        <x:v>In Field</x:v>
      </x:c>
      <x:c r="I1575" s="37" t="n">
        <x:v>46162</x:v>
      </x:c>
      <x:c r="J1575" s="37" t="n">
        <x:v>46162</x:v>
      </x:c>
      <x:c r="K1575" s="19" t="str">
        <x:v>Regent RV - Perth</x:v>
      </x:c>
      <x:c r="L1575" s="19" t="str">
        <x:v>Z006</x:v>
      </x:c>
      <x:c r="M1575" s="19" t="str">
        <x:v>In Field Warranty Claims</x:v>
      </x:c>
      <x:c r="N1575" s="37" t="n">
        <x:v>46146</x:v>
      </x:c>
      <x:c r="O1575" s="37"/>
      <x:c r="P1575" s="34" t="n">
        <x:v>0</x:v>
      </x:c>
      <x:c r="Q1575" s="37" t="n">
        <x:v>46162.200208333335</x:v>
      </x:c>
    </x:row>
    <x:row r="1576">
      <x:c r="A1576" s="22" t="n">
        <x:v>34385</x:v>
      </x:c>
      <x:c r="B1576" s="28" t="n">
        <x:v>101.25</x:v>
      </x:c>
      <x:c r="C1576" s="28"/>
      <x:c r="D1576" s="31" t="str">
        <x:f>IF(OR(ISBLANK(B1576),ISBLANK(C1576),B1576=0),"",(C1576-B1576)/B1576)</x:f>
      </x:c>
      <x:c r="E1576" s="22" t="str">
        <x:f>IF(ISBLANK(C1576),"AmountIncludingTax缺失",IF(ABS(B1576-C1576)&lt;0.005,"一致","不一致"))</x:f>
        <x:v>AmountIncludingTax缺失</x:v>
      </x:c>
      <x:c r="F1576" s="19" t="str">
        <x:v>approved</x:v>
      </x:c>
      <x:c r="G1576" s="19" t="str">
        <x:v>Repair in Progress</x:v>
      </x:c>
      <x:c r="H1576" s="19" t="str">
        <x:v>In Field</x:v>
      </x:c>
      <x:c r="I1576" s="37" t="n">
        <x:v>46161</x:v>
      </x:c>
      <x:c r="J1576" s="37" t="n">
        <x:v>46161</x:v>
      </x:c>
      <x:c r="K1576" s="19" t="str">
        <x:v>Regent RV - Perth</x:v>
      </x:c>
      <x:c r="L1576" s="19" t="str">
        <x:v>Z006</x:v>
      </x:c>
      <x:c r="M1576" s="19" t="str">
        <x:v>In Field Warranty Claims</x:v>
      </x:c>
      <x:c r="N1576" s="37" t="n">
        <x:v>46146</x:v>
      </x:c>
      <x:c r="O1576" s="37"/>
      <x:c r="P1576" s="34" t="n">
        <x:v>0</x:v>
      </x:c>
      <x:c r="Q1576" s="37" t="n">
        <x:v>46160.90891203703</x:v>
      </x:c>
    </x:row>
    <x:row r="1577">
      <x:c r="A1577" s="22" t="n">
        <x:v>34383</x:v>
      </x:c>
      <x:c r="B1577" s="28" t="n">
        <x:v>2109.37</x:v>
      </x:c>
      <x:c r="C1577" s="28"/>
      <x:c r="D1577" s="31" t="str">
        <x:f>IF(OR(ISBLANK(B1577),ISBLANK(C1577),B1577=0),"",(C1577-B1577)/B1577)</x:f>
      </x:c>
      <x:c r="E1577" s="22" t="str">
        <x:f>IF(ISBLANK(C1577),"AmountIncludingTax缺失",IF(ABS(B1577-C1577)&lt;0.005,"一致","不一致"))</x:f>
        <x:v>AmountIncludingTax缺失</x:v>
      </x:c>
      <x:c r="F1577" s="19" t="str">
        <x:v>approved</x:v>
      </x:c>
      <x:c r="G1577" s="19" t="str">
        <x:v>Repairer Invoiced Processed</x:v>
      </x:c>
      <x:c r="H1577" s="19" t="str">
        <x:v>In Field</x:v>
      </x:c>
      <x:c r="I1577" s="37" t="n">
        <x:v>46176</x:v>
      </x:c>
      <x:c r="J1577" s="37" t="n">
        <x:v>46176</x:v>
      </x:c>
      <x:c r="K1577" s="19" t="str">
        <x:v>Auswide Caravans - South Nowra</x:v>
      </x:c>
      <x:c r="L1577" s="19" t="str">
        <x:v>Z006</x:v>
      </x:c>
      <x:c r="M1577" s="19" t="str">
        <x:v>In Field Warranty Claims</x:v>
      </x:c>
      <x:c r="N1577" s="37" t="n">
        <x:v>46146</x:v>
      </x:c>
      <x:c r="O1577" s="37"/>
      <x:c r="P1577" s="34" t="n">
        <x:v>2320.31</x:v>
      </x:c>
      <x:c r="Q1577" s="37" t="n">
        <x:v>46175.960752314815</x:v>
      </x:c>
    </x:row>
    <x:row r="1578">
      <x:c r="A1578" s="22" t="n">
        <x:v>34382</x:v>
      </x:c>
      <x:c r="B1578" s="28" t="n">
        <x:v>145</x:v>
      </x:c>
      <x:c r="C1578" s="28"/>
      <x:c r="D1578" s="31" t="str">
        <x:f>IF(OR(ISBLANK(B1578),ISBLANK(C1578),B1578=0),"",(C1578-B1578)/B1578)</x:f>
      </x:c>
      <x:c r="E1578" s="22" t="str">
        <x:f>IF(ISBLANK(C1578),"AmountIncludingTax缺失",IF(ABS(B1578-C1578)&lt;0.005,"一致","不一致"))</x:f>
        <x:v>AmountIncludingTax缺失</x:v>
      </x:c>
      <x:c r="F1578" s="19" t="str">
        <x:v>approved</x:v>
      </x:c>
      <x:c r="G1578" s="19" t="str">
        <x:v>Repair in Progress</x:v>
      </x:c>
      <x:c r="H1578" s="19" t="str">
        <x:v>In Field</x:v>
      </x:c>
      <x:c r="I1578" s="37" t="n">
        <x:v>46160</x:v>
      </x:c>
      <x:c r="J1578" s="37" t="n">
        <x:v>46160</x:v>
      </x:c>
      <x:c r="K1578" s="19" t="str">
        <x:v>Snowy River Wangaratta</x:v>
      </x:c>
      <x:c r="L1578" s="19" t="str">
        <x:v>Z006</x:v>
      </x:c>
      <x:c r="M1578" s="19" t="str">
        <x:v>In Field Warranty Claims</x:v>
      </x:c>
      <x:c r="N1578" s="37" t="n">
        <x:v>46146</x:v>
      </x:c>
      <x:c r="O1578" s="37"/>
      <x:c r="P1578" s="34" t="n">
        <x:v>0</x:v>
      </x:c>
      <x:c r="Q1578" s="37" t="n">
        <x:v>46160.14957175926</x:v>
      </x:c>
    </x:row>
    <x:row r="1579">
      <x:c r="A1579" s="22" t="n">
        <x:v>34381</x:v>
      </x:c>
      <x:c r="B1579" s="28" t="n">
        <x:v>627.5</x:v>
      </x:c>
      <x:c r="C1579" s="28"/>
      <x:c r="D1579" s="31" t="str">
        <x:f>IF(OR(ISBLANK(B1579),ISBLANK(C1579),B1579=0),"",(C1579-B1579)/B1579)</x:f>
      </x:c>
      <x:c r="E1579" s="22" t="str">
        <x:f>IF(ISBLANK(C1579),"AmountIncludingTax缺失",IF(ABS(B1579-C1579)&lt;0.005,"一致","不一致"))</x:f>
        <x:v>AmountIncludingTax缺失</x:v>
      </x:c>
      <x:c r="F1579" s="19" t="str">
        <x:v>approved</x:v>
      </x:c>
      <x:c r="G1579" s="19" t="str">
        <x:v>Repair in Progress</x:v>
      </x:c>
      <x:c r="H1579" s="19" t="str">
        <x:v>In Field</x:v>
      </x:c>
      <x:c r="I1579" s="37" t="n">
        <x:v>46160</x:v>
      </x:c>
      <x:c r="J1579" s="37" t="n">
        <x:v>46160</x:v>
      </x:c>
      <x:c r="K1579" s="19" t="str">
        <x:v>Regent RV - Perth</x:v>
      </x:c>
      <x:c r="L1579" s="19" t="str">
        <x:v>Z006</x:v>
      </x:c>
      <x:c r="M1579" s="19" t="str">
        <x:v>In Field Warranty Claims</x:v>
      </x:c>
      <x:c r="N1579" s="37" t="n">
        <x:v>46146</x:v>
      </x:c>
      <x:c r="O1579" s="37"/>
      <x:c r="P1579" s="34" t="n">
        <x:v>0</x:v>
      </x:c>
      <x:c r="Q1579" s="37" t="n">
        <x:v>46160.141388888886</x:v>
      </x:c>
    </x:row>
    <x:row r="1580">
      <x:c r="A1580" s="22" t="n">
        <x:v>34380</x:v>
      </x:c>
      <x:c r="B1580" s="28" t="n">
        <x:v>101.25</x:v>
      </x:c>
      <x:c r="C1580" s="28"/>
      <x:c r="D1580" s="31" t="str">
        <x:f>IF(OR(ISBLANK(B1580),ISBLANK(C1580),B1580=0),"",(C1580-B1580)/B1580)</x:f>
      </x:c>
      <x:c r="E1580" s="22" t="str">
        <x:f>IF(ISBLANK(C1580),"AmountIncludingTax缺失",IF(ABS(B1580-C1580)&lt;0.005,"一致","不一致"))</x:f>
        <x:v>AmountIncludingTax缺失</x:v>
      </x:c>
      <x:c r="F1580" s="19" t="str">
        <x:v>approved</x:v>
      </x:c>
      <x:c r="G1580" s="19" t="str">
        <x:v>Repairer Invoiced Processed</x:v>
      </x:c>
      <x:c r="H1580" s="19" t="str">
        <x:v>Pre Delivery</x:v>
      </x:c>
      <x:c r="I1580" s="37" t="n">
        <x:v>46148</x:v>
      </x:c>
      <x:c r="J1580" s="37" t="n">
        <x:v>46148</x:v>
      </x:c>
      <x:c r="K1580" s="19" t="str">
        <x:v>Lesiure Lion-New Castle</x:v>
      </x:c>
      <x:c r="L1580" s="19" t="str">
        <x:v>Z005</x:v>
      </x:c>
      <x:c r="M1580" s="19" t="str">
        <x:v>Pre Delivery Warranty Claims</x:v>
      </x:c>
      <x:c r="N1580" s="37" t="n">
        <x:v>46146</x:v>
      </x:c>
      <x:c r="O1580" s="37"/>
      <x:c r="P1580" s="34" t="n">
        <x:v>0</x:v>
      </x:c>
      <x:c r="Q1580" s="37" t="n">
        <x:v>46148.2115625</x:v>
      </x:c>
    </x:row>
    <x:row r="1581">
      <x:c r="A1581" s="22" t="n">
        <x:v>34379</x:v>
      </x:c>
      <x:c r="B1581" s="28" t="n">
        <x:v>708.75</x:v>
      </x:c>
      <x:c r="C1581" s="28"/>
      <x:c r="D1581" s="31" t="str">
        <x:f>IF(OR(ISBLANK(B1581),ISBLANK(C1581),B1581=0),"",(C1581-B1581)/B1581)</x:f>
      </x:c>
      <x:c r="E1581" s="22" t="str">
        <x:f>IF(ISBLANK(C1581),"AmountIncludingTax缺失",IF(ABS(B1581-C1581)&lt;0.005,"一致","不一致"))</x:f>
        <x:v>AmountIncludingTax缺失</x:v>
      </x:c>
      <x:c r="F1581" s="19" t="str">
        <x:v>approved</x:v>
      </x:c>
      <x:c r="G1581" s="19" t="str">
        <x:v>Repair in Progress</x:v>
      </x:c>
      <x:c r="H1581" s="19" t="str">
        <x:v>Pre Delivery</x:v>
      </x:c>
      <x:c r="I1581" s="37" t="n">
        <x:v>46148</x:v>
      </x:c>
      <x:c r="J1581" s="37" t="n">
        <x:v>46148</x:v>
      </x:c>
      <x:c r="K1581" s="19" t="str">
        <x:v>Regent RV - Frankston</x:v>
      </x:c>
      <x:c r="L1581" s="19" t="str">
        <x:v>Z005</x:v>
      </x:c>
      <x:c r="M1581" s="19" t="str">
        <x:v>Pre Delivery Warranty Claims</x:v>
      </x:c>
      <x:c r="N1581" s="37" t="n">
        <x:v>46146</x:v>
      </x:c>
      <x:c r="O1581" s="37"/>
      <x:c r="P1581" s="34" t="n">
        <x:v>0</x:v>
      </x:c>
      <x:c r="Q1581" s="37" t="n">
        <x:v>46148.227106481485</x:v>
      </x:c>
    </x:row>
    <x:row r="1582">
      <x:c r="A1582" s="22" t="n">
        <x:v>34378</x:v>
      </x:c>
      <x:c r="B1582" s="28" t="n">
        <x:v>270</x:v>
      </x:c>
      <x:c r="C1582" s="28"/>
      <x:c r="D1582" s="31" t="str">
        <x:f>IF(OR(ISBLANK(B1582),ISBLANK(C1582),B1582=0),"",(C1582-B1582)/B1582)</x:f>
      </x:c>
      <x:c r="E1582" s="22" t="str">
        <x:f>IF(ISBLANK(C1582),"AmountIncludingTax缺失",IF(ABS(B1582-C1582)&lt;0.005,"一致","不一致"))</x:f>
        <x:v>AmountIncludingTax缺失</x:v>
      </x:c>
      <x:c r="F1582" s="19" t="str">
        <x:v>approved</x:v>
      </x:c>
      <x:c r="G1582" s="19" t="str">
        <x:v>Sales Order Approved</x:v>
      </x:c>
      <x:c r="H1582" s="19" t="str">
        <x:v>Pre Delivery</x:v>
      </x:c>
      <x:c r="I1582" s="37" t="n">
        <x:v>46148</x:v>
      </x:c>
      <x:c r="J1582" s="37" t="n">
        <x:v>46148</x:v>
      </x:c>
      <x:c r="K1582" s="19" t="str">
        <x:v>Regent RV - Frankston</x:v>
      </x:c>
      <x:c r="L1582" s="19" t="str">
        <x:v>Z005</x:v>
      </x:c>
      <x:c r="M1582" s="19" t="str">
        <x:v>Pre Delivery Warranty Claims</x:v>
      </x:c>
      <x:c r="N1582" s="37" t="n">
        <x:v>46146</x:v>
      </x:c>
      <x:c r="O1582" s="37"/>
      <x:c r="P1582" s="34" t="n">
        <x:v>0</x:v>
      </x:c>
      <x:c r="Q1582" s="37" t="n">
        <x:v>46148.224375</x:v>
      </x:c>
    </x:row>
    <x:row r="1583">
      <x:c r="A1583" s="22" t="n">
        <x:v>34377</x:v>
      </x:c>
      <x:c r="B1583" s="28" t="n">
        <x:v>357.5</x:v>
      </x:c>
      <x:c r="C1583" s="28"/>
      <x:c r="D1583" s="31" t="str">
        <x:f>IF(OR(ISBLANK(B1583),ISBLANK(C1583),B1583=0),"",(C1583-B1583)/B1583)</x:f>
      </x:c>
      <x:c r="E1583" s="22" t="str">
        <x:f>IF(ISBLANK(C1583),"AmountIncludingTax缺失",IF(ABS(B1583-C1583)&lt;0.005,"一致","不一致"))</x:f>
        <x:v>AmountIncludingTax缺失</x:v>
      </x:c>
      <x:c r="F1583" s="19" t="str">
        <x:v>approved</x:v>
      </x:c>
      <x:c r="G1583" s="19" t="str">
        <x:v>Repair in Progress</x:v>
      </x:c>
      <x:c r="H1583" s="19" t="str">
        <x:v>Pre Delivery</x:v>
      </x:c>
      <x:c r="I1583" s="37" t="n">
        <x:v>46148</x:v>
      </x:c>
      <x:c r="J1583" s="37" t="n">
        <x:v>46148</x:v>
      </x:c>
      <x:c r="K1583" s="19" t="str">
        <x:v>Regent RV - Frankston</x:v>
      </x:c>
      <x:c r="L1583" s="19" t="str">
        <x:v>Z005</x:v>
      </x:c>
      <x:c r="M1583" s="19" t="str">
        <x:v>Pre Delivery Warranty Claims</x:v>
      </x:c>
      <x:c r="N1583" s="37" t="n">
        <x:v>46146</x:v>
      </x:c>
      <x:c r="O1583" s="37"/>
      <x:c r="P1583" s="34" t="n">
        <x:v>0</x:v>
      </x:c>
      <x:c r="Q1583" s="37" t="n">
        <x:v>46147.92451388889</x:v>
      </x:c>
    </x:row>
    <x:row r="1584">
      <x:c r="A1584" s="22" t="n">
        <x:v>34376</x:v>
      </x:c>
      <x:c r="B1584" s="28" t="n">
        <x:v>135</x:v>
      </x:c>
      <x:c r="C1584" s="28"/>
      <x:c r="D1584" s="31" t="str">
        <x:f>IF(OR(ISBLANK(B1584),ISBLANK(C1584),B1584=0),"",(C1584-B1584)/B1584)</x:f>
      </x:c>
      <x:c r="E1584" s="22" t="str">
        <x:f>IF(ISBLANK(C1584),"AmountIncludingTax缺失",IF(ABS(B1584-C1584)&lt;0.005,"一致","不一致"))</x:f>
        <x:v>AmountIncludingTax缺失</x:v>
      </x:c>
      <x:c r="F1584" s="19" t="str">
        <x:v>approved</x:v>
      </x:c>
      <x:c r="G1584" s="19" t="str">
        <x:v>Repair in Progress</x:v>
      </x:c>
      <x:c r="H1584" s="19" t="str">
        <x:v>In Field</x:v>
      </x:c>
      <x:c r="I1584" s="37" t="n">
        <x:v>46147</x:v>
      </x:c>
      <x:c r="J1584" s="37" t="n">
        <x:v>46147</x:v>
      </x:c>
      <x:c r="K1584" s="19" t="str">
        <x:v>Regent RV - Frankston</x:v>
      </x:c>
      <x:c r="L1584" s="19" t="str">
        <x:v>Z006</x:v>
      </x:c>
      <x:c r="M1584" s="19" t="str">
        <x:v>In Field Warranty Claims</x:v>
      </x:c>
      <x:c r="N1584" s="37" t="n">
        <x:v>46146</x:v>
      </x:c>
      <x:c r="O1584" s="37"/>
      <x:c r="P1584" s="34" t="n">
        <x:v>0</x:v>
      </x:c>
      <x:c r="Q1584" s="37" t="n">
        <x:v>46147.21204861111</x:v>
      </x:c>
    </x:row>
    <x:row r="1585">
      <x:c r="A1585" s="22" t="n">
        <x:v>34374</x:v>
      </x:c>
      <x:c r="B1585" s="28" t="n">
        <x:v>810</x:v>
      </x:c>
      <x:c r="C1585" s="28"/>
      <x:c r="D1585" s="31" t="str">
        <x:f>IF(OR(ISBLANK(B1585),ISBLANK(C1585),B1585=0),"",(C1585-B1585)/B1585)</x:f>
      </x:c>
      <x:c r="E1585" s="22" t="str">
        <x:f>IF(ISBLANK(C1585),"AmountIncludingTax缺失",IF(ABS(B1585-C1585)&lt;0.005,"一致","不一致"))</x:f>
        <x:v>AmountIncludingTax缺失</x:v>
      </x:c>
      <x:c r="F1585" s="19" t="str">
        <x:v>approved</x:v>
      </x:c>
      <x:c r="G1585" s="19" t="str">
        <x:v>Repair in Progress</x:v>
      </x:c>
      <x:c r="H1585" s="19" t="str">
        <x:v>In Field</x:v>
      </x:c>
      <x:c r="I1585" s="37" t="n">
        <x:v>46156</x:v>
      </x:c>
      <x:c r="J1585" s="37" t="n">
        <x:v>46156</x:v>
      </x:c>
      <x:c r="K1585" s="19" t="str">
        <x:v>Regent RV - Perth</x:v>
      </x:c>
      <x:c r="L1585" s="19" t="str">
        <x:v>Z006</x:v>
      </x:c>
      <x:c r="M1585" s="19" t="str">
        <x:v>In Field Warranty Claims</x:v>
      </x:c>
      <x:c r="N1585" s="37" t="n">
        <x:v>46146</x:v>
      </x:c>
      <x:c r="O1585" s="37"/>
      <x:c r="P1585" s="34" t="n">
        <x:v>0</x:v>
      </x:c>
      <x:c r="Q1585" s="37" t="n">
        <x:v>46156.14787037037</x:v>
      </x:c>
    </x:row>
    <x:row r="1586">
      <x:c r="A1586" s="22" t="n">
        <x:v>34372</x:v>
      </x:c>
      <x:c r="B1586" s="28" t="n">
        <x:v>169.55</x:v>
      </x:c>
      <x:c r="C1586" s="28" t="n">
        <x:v>186.51</x:v>
      </x:c>
      <x:c r="D1586" s="31" t="n">
        <x:f>IF(OR(ISBLANK(B1586),ISBLANK(C1586),B1586=0),"",(C1586-B1586)/B1586)</x:f>
        <x:v>0.1000294898260099</x:v>
      </x:c>
      <x:c r="E1586" s="22" t="str">
        <x:f>IF(ISBLANK(C1586),"AmountIncludingTax缺失",IF(ABS(B1586-C1586)&lt;0.005,"一致","不一致"))</x:f>
        <x:v>不一致</x:v>
      </x:c>
      <x:c r="F1586" s="19" t="str">
        <x:v>approved</x:v>
      </x:c>
      <x:c r="G1586" s="19" t="str">
        <x:v>Repairer Invoiced Processed</x:v>
      </x:c>
      <x:c r="H1586" s="19" t="str">
        <x:v>In Field</x:v>
      </x:c>
      <x:c r="I1586" s="37" t="n">
        <x:v>46163</x:v>
      </x:c>
      <x:c r="J1586" s="37" t="n">
        <x:v>46163</x:v>
      </x:c>
      <x:c r="K1586" s="19" t="str">
        <x:v>Lesiure Lion-New Castle</x:v>
      </x:c>
      <x:c r="L1586" s="19" t="str">
        <x:v>Z006</x:v>
      </x:c>
      <x:c r="M1586" s="19" t="str">
        <x:v>In Field Warranty Claims</x:v>
      </x:c>
      <x:c r="N1586" s="37" t="n">
        <x:v>46146</x:v>
      </x:c>
      <x:c r="O1586" s="37"/>
      <x:c r="P1586" s="34" t="n">
        <x:v>186.51</x:v>
      </x:c>
      <x:c r="Q1586" s="37" t="n">
        <x:v>46163.19016203703</x:v>
      </x:c>
    </x:row>
    <x:row r="1587">
      <x:c r="A1587" s="22" t="n">
        <x:v>34371</x:v>
      </x:c>
      <x:c r="B1587" s="28" t="n">
        <x:v>810</x:v>
      </x:c>
      <x:c r="C1587" s="28"/>
      <x:c r="D1587" s="31" t="str">
        <x:f>IF(OR(ISBLANK(B1587),ISBLANK(C1587),B1587=0),"",(C1587-B1587)/B1587)</x:f>
      </x:c>
      <x:c r="E1587" s="22" t="str">
        <x:f>IF(ISBLANK(C1587),"AmountIncludingTax缺失",IF(ABS(B1587-C1587)&lt;0.005,"一致","不一致"))</x:f>
        <x:v>AmountIncludingTax缺失</x:v>
      </x:c>
      <x:c r="F1587" s="19" t="str">
        <x:v>approved</x:v>
      </x:c>
      <x:c r="G1587" s="19" t="str">
        <x:v>Repair in Progress</x:v>
      </x:c>
      <x:c r="H1587" s="19" t="str">
        <x:v>In Field</x:v>
      </x:c>
      <x:c r="I1587" s="37" t="n">
        <x:v>46161</x:v>
      </x:c>
      <x:c r="J1587" s="37" t="n">
        <x:v>46161</x:v>
      </x:c>
      <x:c r="K1587" s="19" t="str">
        <x:v>Regent RV - Frankston</x:v>
      </x:c>
      <x:c r="L1587" s="19" t="str">
        <x:v>Z006</x:v>
      </x:c>
      <x:c r="M1587" s="19" t="str">
        <x:v>In Field Warranty Claims</x:v>
      </x:c>
      <x:c r="N1587" s="37" t="n">
        <x:v>46146</x:v>
      </x:c>
      <x:c r="O1587" s="37"/>
      <x:c r="P1587" s="34" t="n">
        <x:v>0</x:v>
      </x:c>
      <x:c r="Q1587" s="37" t="n">
        <x:v>46161.119837962964</x:v>
      </x:c>
    </x:row>
    <x:row r="1588">
      <x:c r="A1588" s="22" t="n">
        <x:v>34369</x:v>
      </x:c>
      <x:c r="B1588" s="28" t="n">
        <x:v>391.25</x:v>
      </x:c>
      <x:c r="C1588" s="28"/>
      <x:c r="D1588" s="31" t="str">
        <x:f>IF(OR(ISBLANK(B1588),ISBLANK(C1588),B1588=0),"",(C1588-B1588)/B1588)</x:f>
      </x:c>
      <x:c r="E1588" s="22" t="str">
        <x:f>IF(ISBLANK(C1588),"AmountIncludingTax缺失",IF(ABS(B1588-C1588)&lt;0.005,"一致","不一致"))</x:f>
        <x:v>AmountIncludingTax缺失</x:v>
      </x:c>
      <x:c r="F1588" s="19" t="str">
        <x:v>approved</x:v>
      </x:c>
      <x:c r="G1588" s="19" t="str">
        <x:v>Repair in Progress</x:v>
      </x:c>
      <x:c r="H1588" s="19" t="str">
        <x:v>In Field</x:v>
      </x:c>
      <x:c r="I1588" s="37" t="n">
        <x:v>46157</x:v>
      </x:c>
      <x:c r="J1588" s="37" t="n">
        <x:v>46157</x:v>
      </x:c>
      <x:c r="K1588" s="19" t="str">
        <x:v>Regent RV - Frankston</x:v>
      </x:c>
      <x:c r="L1588" s="19" t="str">
        <x:v>Z006</x:v>
      </x:c>
      <x:c r="M1588" s="19" t="str">
        <x:v>In Field Warranty Claims</x:v>
      </x:c>
      <x:c r="N1588" s="37" t="n">
        <x:v>46146</x:v>
      </x:c>
      <x:c r="O1588" s="37"/>
      <x:c r="P1588" s="34" t="n">
        <x:v>0</x:v>
      </x:c>
      <x:c r="Q1588" s="37" t="n">
        <x:v>46157.105787037035</x:v>
      </x:c>
    </x:row>
    <x:row r="1589">
      <x:c r="A1589" s="22" t="n">
        <x:v>34368</x:v>
      </x:c>
      <x:c r="B1589" s="28" t="n">
        <x:v>202.5</x:v>
      </x:c>
      <x:c r="C1589" s="28"/>
      <x:c r="D1589" s="31" t="str">
        <x:f>IF(OR(ISBLANK(B1589),ISBLANK(C1589),B1589=0),"",(C1589-B1589)/B1589)</x:f>
      </x:c>
      <x:c r="E1589" s="22" t="str">
        <x:f>IF(ISBLANK(C1589),"AmountIncludingTax缺失",IF(ABS(B1589-C1589)&lt;0.005,"一致","不一致"))</x:f>
        <x:v>AmountIncludingTax缺失</x:v>
      </x:c>
      <x:c r="F1589" s="19" t="str">
        <x:v>approved</x:v>
      </x:c>
      <x:c r="G1589" s="19" t="str">
        <x:v>Sales Order Approved</x:v>
      </x:c>
      <x:c r="H1589" s="19" t="str">
        <x:v>Pre Delivery</x:v>
      </x:c>
      <x:c r="I1589" s="37" t="n">
        <x:v>46148</x:v>
      </x:c>
      <x:c r="J1589" s="37" t="n">
        <x:v>46148</x:v>
      </x:c>
      <x:c r="K1589" s="19" t="str">
        <x:v>Regent RV - Frankston</x:v>
      </x:c>
      <x:c r="L1589" s="19" t="str">
        <x:v>Z005</x:v>
      </x:c>
      <x:c r="M1589" s="19" t="str">
        <x:v>Pre Delivery Warranty Claims</x:v>
      </x:c>
      <x:c r="N1589" s="37" t="n">
        <x:v>46146</x:v>
      </x:c>
      <x:c r="O1589" s="37"/>
      <x:c r="P1589" s="34" t="n">
        <x:v>0</x:v>
      </x:c>
      <x:c r="Q1589" s="37" t="n">
        <x:v>46148.21569444444</x:v>
      </x:c>
    </x:row>
    <x:row r="1590">
      <x:c r="A1590" s="22" t="n">
        <x:v>34366</x:v>
      </x:c>
      <x:c r="B1590" s="28" t="n">
        <x:v>331.56</x:v>
      </x:c>
      <x:c r="C1590" s="28" t="n">
        <x:v>364.72</x:v>
      </x:c>
      <x:c r="D1590" s="31" t="n">
        <x:f>IF(OR(ISBLANK(B1590),ISBLANK(C1590),B1590=0),"",(C1590-B1590)/B1590)</x:f>
        <x:v>0.10001206418144537</x:v>
      </x:c>
      <x:c r="E1590" s="22" t="str">
        <x:f>IF(ISBLANK(C1590),"AmountIncludingTax缺失",IF(ABS(B1590-C1590)&lt;0.005,"一致","不一致"))</x:f>
        <x:v>不一致</x:v>
      </x:c>
      <x:c r="F1590" s="19" t="str">
        <x:v>approved</x:v>
      </x:c>
      <x:c r="G1590" s="19" t="str">
        <x:v>Repairer Invoiced Processed</x:v>
      </x:c>
      <x:c r="H1590" s="19" t="str">
        <x:v>In Field</x:v>
      </x:c>
      <x:c r="I1590" s="37" t="n">
        <x:v>46209</x:v>
      </x:c>
      <x:c r="J1590" s="37" t="n">
        <x:v>46209</x:v>
      </x:c>
      <x:c r="K1590" s="19" t="str">
        <x:v>Regent RV - Perth</x:v>
      </x:c>
      <x:c r="L1590" s="19" t="str">
        <x:v>Z006</x:v>
      </x:c>
      <x:c r="M1590" s="19" t="str">
        <x:v>In Field Warranty Claims</x:v>
      </x:c>
      <x:c r="N1590" s="37" t="n">
        <x:v>46145</x:v>
      </x:c>
      <x:c r="O1590" s="37"/>
      <x:c r="P1590" s="34" t="n">
        <x:v>364.72</x:v>
      </x:c>
      <x:c r="Q1590" s="37" t="n">
        <x:v>46209.04</x:v>
      </x:c>
    </x:row>
    <x:row r="1591">
      <x:c r="A1591" s="22" t="n">
        <x:v>34365</x:v>
      </x:c>
      <x:c r="B1591" s="28" t="n">
        <x:v>170</x:v>
      </x:c>
      <x:c r="C1591" s="28"/>
      <x:c r="D1591" s="31" t="str">
        <x:f>IF(OR(ISBLANK(B1591),ISBLANK(C1591),B1591=0),"",(C1591-B1591)/B1591)</x:f>
      </x:c>
      <x:c r="E1591" s="22" t="str">
        <x:f>IF(ISBLANK(C1591),"AmountIncludingTax缺失",IF(ABS(B1591-C1591)&lt;0.005,"一致","不一致"))</x:f>
        <x:v>AmountIncludingTax缺失</x:v>
      </x:c>
      <x:c r="F1591" s="19" t="str">
        <x:v>approved</x:v>
      </x:c>
      <x:c r="G1591" s="19" t="str">
        <x:v>Repair in Progress</x:v>
      </x:c>
      <x:c r="H1591" s="19" t="str">
        <x:v>In Field</x:v>
      </x:c>
      <x:c r="I1591" s="37" t="n">
        <x:v>46176</x:v>
      </x:c>
      <x:c r="J1591" s="37" t="n">
        <x:v>46176</x:v>
      </x:c>
      <x:c r="K1591" s="19" t="str">
        <x:v>Green RV - Forest Glen</x:v>
      </x:c>
      <x:c r="L1591" s="19" t="str">
        <x:v>Z006</x:v>
      </x:c>
      <x:c r="M1591" s="19" t="str">
        <x:v>In Field Warranty Claims</x:v>
      </x:c>
      <x:c r="N1591" s="37" t="n">
        <x:v>46145</x:v>
      </x:c>
      <x:c r="O1591" s="37"/>
      <x:c r="P1591" s="34" t="n">
        <x:v>0</x:v>
      </x:c>
      <x:c r="Q1591" s="37" t="n">
        <x:v>46176.14923611111</x:v>
      </x:c>
    </x:row>
    <x:row r="1592">
      <x:c r="A1592" s="22" t="n">
        <x:v>34364</x:v>
      </x:c>
      <x:c r="B1592" s="28" t="n">
        <x:v>794.75</x:v>
      </x:c>
      <x:c r="C1592" s="28"/>
      <x:c r="D1592" s="31" t="str">
        <x:f>IF(OR(ISBLANK(B1592),ISBLANK(C1592),B1592=0),"",(C1592-B1592)/B1592)</x:f>
      </x:c>
      <x:c r="E1592" s="22" t="str">
        <x:f>IF(ISBLANK(C1592),"AmountIncludingTax缺失",IF(ABS(B1592-C1592)&lt;0.005,"一致","不一致"))</x:f>
        <x:v>AmountIncludingTax缺失</x:v>
      </x:c>
      <x:c r="F1592" s="19" t="str">
        <x:v>approved</x:v>
      </x:c>
      <x:c r="G1592" s="19" t="str">
        <x:v>Partially Picked</x:v>
      </x:c>
      <x:c r="H1592" s="19" t="str">
        <x:v>In Field</x:v>
      </x:c>
      <x:c r="I1592" s="37" t="n">
        <x:v>46199</x:v>
      </x:c>
      <x:c r="J1592" s="37" t="n">
        <x:v>46199</x:v>
      </x:c>
      <x:c r="K1592" s="19" t="str">
        <x:v>Lesiure Lion-New Castle</x:v>
      </x:c>
      <x:c r="L1592" s="19" t="str">
        <x:v>Z006</x:v>
      </x:c>
      <x:c r="M1592" s="19" t="str">
        <x:v>In Field Warranty Claims</x:v>
      </x:c>
      <x:c r="N1592" s="37" t="n">
        <x:v>46145</x:v>
      </x:c>
      <x:c r="O1592" s="37"/>
      <x:c r="P1592" s="34" t="n">
        <x:v>0</x:v>
      </x:c>
      <x:c r="Q1592" s="37" t="n">
        <x:v>46198.957604166666</x:v>
      </x:c>
    </x:row>
    <x:row r="1593">
      <x:c r="A1593" s="22" t="n">
        <x:v>34361</x:v>
      </x:c>
      <x:c r="B1593" s="28" t="n">
        <x:v>135</x:v>
      </x:c>
      <x:c r="C1593" s="28"/>
      <x:c r="D1593" s="31" t="str">
        <x:f>IF(OR(ISBLANK(B1593),ISBLANK(C1593),B1593=0),"",(C1593-B1593)/B1593)</x:f>
      </x:c>
      <x:c r="E1593" s="22" t="str">
        <x:f>IF(ISBLANK(C1593),"AmountIncludingTax缺失",IF(ABS(B1593-C1593)&lt;0.005,"一致","不一致"))</x:f>
        <x:v>AmountIncludingTax缺失</x:v>
      </x:c>
      <x:c r="F1593" s="19" t="str">
        <x:v>approved</x:v>
      </x:c>
      <x:c r="G1593" s="19" t="str">
        <x:v>Repairer Invoiced Processed</x:v>
      </x:c>
      <x:c r="H1593" s="19" t="str">
        <x:v>In Field</x:v>
      </x:c>
      <x:c r="I1593" s="37" t="n">
        <x:v>46148</x:v>
      </x:c>
      <x:c r="J1593" s="37" t="n">
        <x:v>46148</x:v>
      </x:c>
      <x:c r="K1593" s="19" t="str">
        <x:v>Regent RV - Frankston</x:v>
      </x:c>
      <x:c r="L1593" s="19" t="str">
        <x:v>Z006</x:v>
      </x:c>
      <x:c r="M1593" s="19" t="str">
        <x:v>In Field Warranty Claims</x:v>
      </x:c>
      <x:c r="N1593" s="37" t="n">
        <x:v>46145</x:v>
      </x:c>
      <x:c r="O1593" s="37"/>
      <x:c r="P1593" s="34" t="n">
        <x:v>0</x:v>
      </x:c>
      <x:c r="Q1593" s="37" t="n">
        <x:v>46148.059212962966</x:v>
      </x:c>
    </x:row>
    <x:row r="1594">
      <x:c r="A1594" s="22" t="n">
        <x:v>34359</x:v>
      </x:c>
      <x:c r="B1594" s="28" t="n">
        <x:v>222.5</x:v>
      </x:c>
      <x:c r="C1594" s="28"/>
      <x:c r="D1594" s="31" t="str">
        <x:f>IF(OR(ISBLANK(B1594),ISBLANK(C1594),B1594=0),"",(C1594-B1594)/B1594)</x:f>
      </x:c>
      <x:c r="E1594" s="22" t="str">
        <x:f>IF(ISBLANK(C1594),"AmountIncludingTax缺失",IF(ABS(B1594-C1594)&lt;0.005,"一致","不一致"))</x:f>
        <x:v>AmountIncludingTax缺失</x:v>
      </x:c>
      <x:c r="F1594" s="19" t="str">
        <x:v>approved</x:v>
      </x:c>
      <x:c r="G1594" s="19" t="str">
        <x:v>Repair in Progress</x:v>
      </x:c>
      <x:c r="H1594" s="19" t="str">
        <x:v>In Field</x:v>
      </x:c>
      <x:c r="I1594" s="37" t="n">
        <x:v>46147</x:v>
      </x:c>
      <x:c r="J1594" s="37" t="n">
        <x:v>46147</x:v>
      </x:c>
      <x:c r="K1594" s="19" t="str">
        <x:v>Snowy River Wangaratta</x:v>
      </x:c>
      <x:c r="L1594" s="19" t="str">
        <x:v>Z006</x:v>
      </x:c>
      <x:c r="M1594" s="19" t="str">
        <x:v>In Field Warranty Claims</x:v>
      </x:c>
      <x:c r="N1594" s="37" t="n">
        <x:v>46146</x:v>
      </x:c>
      <x:c r="O1594" s="37"/>
      <x:c r="P1594" s="34" t="n">
        <x:v>0</x:v>
      </x:c>
      <x:c r="Q1594" s="37" t="n">
        <x:v>46146.98388888889</x:v>
      </x:c>
    </x:row>
    <x:row r="1595">
      <x:c r="A1595" s="22" t="n">
        <x:v>34358</x:v>
      </x:c>
      <x:c r="B1595" s="28" t="n">
        <x:v>1274.05</x:v>
      </x:c>
      <x:c r="C1595" s="28"/>
      <x:c r="D1595" s="31" t="str">
        <x:f>IF(OR(ISBLANK(B1595),ISBLANK(C1595),B1595=0),"",(C1595-B1595)/B1595)</x:f>
      </x:c>
      <x:c r="E1595" s="22" t="str">
        <x:f>IF(ISBLANK(C1595),"AmountIncludingTax缺失",IF(ABS(B1595-C1595)&lt;0.005,"一致","不一致"))</x:f>
        <x:v>AmountIncludingTax缺失</x:v>
      </x:c>
      <x:c r="F1595" s="19" t="str">
        <x:v>approved</x:v>
      </x:c>
      <x:c r="G1595" s="19" t="str">
        <x:v>Repair in Progress</x:v>
      </x:c>
      <x:c r="H1595" s="19" t="str">
        <x:v>Pre Delivery</x:v>
      </x:c>
      <x:c r="I1595" s="37" t="n">
        <x:v>46155</x:v>
      </x:c>
      <x:c r="J1595" s="37" t="n">
        <x:v>46155</x:v>
      </x:c>
      <x:c r="K1595" s="19" t="str">
        <x:v>Vanari Caravans - Marden Point</x:v>
      </x:c>
      <x:c r="L1595" s="19" t="str">
        <x:v>Z005</x:v>
      </x:c>
      <x:c r="M1595" s="19" t="str">
        <x:v>Pre Delivery Warranty Claims</x:v>
      </x:c>
      <x:c r="N1595" s="37" t="n">
        <x:v>46145</x:v>
      </x:c>
      <x:c r="O1595" s="37"/>
      <x:c r="P1595" s="34" t="n">
        <x:v>1153.52</x:v>
      </x:c>
      <x:c r="Q1595" s="37" t="n">
        <x:v>46155.18869212963</x:v>
      </x:c>
    </x:row>
    <x:row r="1596">
      <x:c r="A1596" s="22" t="n">
        <x:v>34357</x:v>
      </x:c>
      <x:c r="B1596" s="28" t="n">
        <x:v>543</x:v>
      </x:c>
      <x:c r="C1596" s="28" t="n">
        <x:v>491.63</x:v>
      </x:c>
      <x:c r="D1596" s="31" t="n">
        <x:f>IF(OR(ISBLANK(B1596),ISBLANK(C1596),B1596=0),"",(C1596-B1596)/B1596)</x:f>
        <x:v>-0.09460405156537754</x:v>
      </x:c>
      <x:c r="E1596" s="22" t="str">
        <x:f>IF(ISBLANK(C1596),"AmountIncludingTax缺失",IF(ABS(B1596-C1596)&lt;0.005,"一致","不一致"))</x:f>
        <x:v>不一致</x:v>
      </x:c>
      <x:c r="F1596" s="19" t="str">
        <x:v>approved</x:v>
      </x:c>
      <x:c r="G1596" s="19" t="str">
        <x:v>Repair in Progress</x:v>
      </x:c>
      <x:c r="H1596" s="19" t="str">
        <x:v>In Field</x:v>
      </x:c>
      <x:c r="I1596" s="37" t="n">
        <x:v>46197</x:v>
      </x:c>
      <x:c r="J1596" s="37" t="n">
        <x:v>46197</x:v>
      </x:c>
      <x:c r="K1596" s="19" t="str">
        <x:v>CMG Campers - Christchurch</x:v>
      </x:c>
      <x:c r="L1596" s="19" t="str">
        <x:v>Z006</x:v>
      </x:c>
      <x:c r="M1596" s="19" t="str">
        <x:v>In Field Warranty Claims</x:v>
      </x:c>
      <x:c r="N1596" s="37" t="n">
        <x:v>46145</x:v>
      </x:c>
      <x:c r="O1596" s="37"/>
      <x:c r="P1596" s="34" t="n">
        <x:v>491.63</x:v>
      </x:c>
      <x:c r="Q1596" s="37" t="n">
        <x:v>46197.16793981481</x:v>
      </x:c>
    </x:row>
    <x:row r="1597">
      <x:c r="A1597" s="22" t="n">
        <x:v>34355</x:v>
      </x:c>
      <x:c r="B1597" s="28" t="n">
        <x:v>67.5</x:v>
      </x:c>
      <x:c r="C1597" s="28" t="n">
        <x:v>74.25</x:v>
      </x:c>
      <x:c r="D1597" s="31" t="n">
        <x:f>IF(OR(ISBLANK(B1597),ISBLANK(C1597),B1597=0),"",(C1597-B1597)/B1597)</x:f>
        <x:v>0.1</x:v>
      </x:c>
      <x:c r="E1597" s="22" t="str">
        <x:f>IF(ISBLANK(C1597),"AmountIncludingTax缺失",IF(ABS(B1597-C1597)&lt;0.005,"一致","不一致"))</x:f>
        <x:v>不一致</x:v>
      </x:c>
      <x:c r="F1597" s="19" t="str">
        <x:v>approved</x:v>
      </x:c>
      <x:c r="G1597" s="19" t="str">
        <x:v>Repair in Progress</x:v>
      </x:c>
      <x:c r="H1597" s="19" t="str">
        <x:v>In Field</x:v>
      </x:c>
      <x:c r="I1597" s="37" t="n">
        <x:v>46148</x:v>
      </x:c>
      <x:c r="J1597" s="37" t="n">
        <x:v>46148</x:v>
      </x:c>
      <x:c r="K1597" s="19" t="str">
        <x:v>Destiny RV - South Australia</x:v>
      </x:c>
      <x:c r="L1597" s="19" t="str">
        <x:v>Z006</x:v>
      </x:c>
      <x:c r="M1597" s="19" t="str">
        <x:v>In Field Warranty Claims</x:v>
      </x:c>
      <x:c r="N1597" s="37" t="n">
        <x:v>46144</x:v>
      </x:c>
      <x:c r="O1597" s="37"/>
      <x:c r="P1597" s="34" t="n">
        <x:v>74.25</x:v>
      </x:c>
      <x:c r="Q1597" s="37" t="n">
        <x:v>46148.05479166667</x:v>
      </x:c>
    </x:row>
    <x:row r="1598">
      <x:c r="A1598" s="22" t="n">
        <x:v>34353</x:v>
      </x:c>
      <x:c r="B1598" s="28" t="n">
        <x:v>1062.5</x:v>
      </x:c>
      <x:c r="C1598" s="28"/>
      <x:c r="D1598" s="31" t="str">
        <x:f>IF(OR(ISBLANK(B1598),ISBLANK(C1598),B1598=0),"",(C1598-B1598)/B1598)</x:f>
      </x:c>
      <x:c r="E1598" s="22" t="str">
        <x:f>IF(ISBLANK(C1598),"AmountIncludingTax缺失",IF(ABS(B1598-C1598)&lt;0.005,"一致","不一致"))</x:f>
        <x:v>AmountIncludingTax缺失</x:v>
      </x:c>
      <x:c r="F1598" s="19" t="str">
        <x:v>approved</x:v>
      </x:c>
      <x:c r="G1598" s="19" t="str">
        <x:v>Repair in Progress</x:v>
      </x:c>
      <x:c r="H1598" s="19" t="str">
        <x:v>In Field</x:v>
      </x:c>
      <x:c r="I1598" s="37" t="n">
        <x:v>46153</x:v>
      </x:c>
      <x:c r="J1598" s="37" t="n">
        <x:v>46153</x:v>
      </x:c>
      <x:c r="K1598" s="19" t="str">
        <x:v>Great Ocean Road RV &amp; Caravans - Warrnambool</x:v>
      </x:c>
      <x:c r="L1598" s="19" t="str">
        <x:v>Z006</x:v>
      </x:c>
      <x:c r="M1598" s="19" t="str">
        <x:v>In Field Warranty Claims</x:v>
      </x:c>
      <x:c r="N1598" s="37" t="n">
        <x:v>46144</x:v>
      </x:c>
      <x:c r="O1598" s="37"/>
      <x:c r="P1598" s="34" t="n">
        <x:v>0</x:v>
      </x:c>
      <x:c r="Q1598" s="37" t="n">
        <x:v>46153.06873842593</x:v>
      </x:c>
    </x:row>
    <x:row r="1599">
      <x:c r="A1599" s="22" t="n">
        <x:v>34352</x:v>
      </x:c>
      <x:c r="B1599" s="28" t="n">
        <x:v>230</x:v>
      </x:c>
      <x:c r="C1599" s="28" t="n">
        <x:v>253</x:v>
      </x:c>
      <x:c r="D1599" s="31" t="n">
        <x:f>IF(OR(ISBLANK(B1599),ISBLANK(C1599),B1599=0),"",(C1599-B1599)/B1599)</x:f>
        <x:v>0.1</x:v>
      </x:c>
      <x:c r="E1599" s="22" t="str">
        <x:f>IF(ISBLANK(C1599),"AmountIncludingTax缺失",IF(ABS(B1599-C1599)&lt;0.005,"一致","不一致"))</x:f>
        <x:v>不一致</x:v>
      </x:c>
      <x:c r="F1599" s="19" t="str">
        <x:v>approved</x:v>
      </x:c>
      <x:c r="G1599" s="19" t="str">
        <x:v>Repairer Invoiced Processed</x:v>
      </x:c>
      <x:c r="H1599" s="19" t="str">
        <x:v>In Field</x:v>
      </x:c>
      <x:c r="I1599" s="37" t="n">
        <x:v>46164</x:v>
      </x:c>
      <x:c r="J1599" s="37" t="n">
        <x:v>46164</x:v>
      </x:c>
      <x:c r="K1599" s="19" t="str">
        <x:v>Regent RV - Townsville</x:v>
      </x:c>
      <x:c r="L1599" s="19" t="str">
        <x:v>Z006</x:v>
      </x:c>
      <x:c r="M1599" s="19" t="str">
        <x:v>In Field Warranty Claims</x:v>
      </x:c>
      <x:c r="N1599" s="37" t="n">
        <x:v>46143</x:v>
      </x:c>
      <x:c r="O1599" s="37"/>
      <x:c r="P1599" s="34" t="n">
        <x:v>253</x:v>
      </x:c>
      <x:c r="Q1599" s="37" t="n">
        <x:v>46164.280173611114</x:v>
      </x:c>
    </x:row>
    <x:row r="1600">
      <x:c r="A1600" s="22" t="n">
        <x:v>34351</x:v>
      </x:c>
      <x:c r="B1600" s="28" t="n">
        <x:v>1320</x:v>
      </x:c>
      <x:c r="C1600" s="28"/>
      <x:c r="D1600" s="31" t="str">
        <x:f>IF(OR(ISBLANK(B1600),ISBLANK(C1600),B1600=0),"",(C1600-B1600)/B1600)</x:f>
      </x:c>
      <x:c r="E1600" s="22" t="str">
        <x:f>IF(ISBLANK(C1600),"AmountIncludingTax缺失",IF(ABS(B1600-C1600)&lt;0.005,"一致","不一致"))</x:f>
        <x:v>AmountIncludingTax缺失</x:v>
      </x:c>
      <x:c r="F1600" s="19" t="str">
        <x:v>approved</x:v>
      </x:c>
      <x:c r="G1600" s="19" t="str">
        <x:v>Repair in Progress</x:v>
      </x:c>
      <x:c r="H1600" s="19" t="str">
        <x:v>In Field</x:v>
      </x:c>
      <x:c r="I1600" s="37" t="n">
        <x:v>46147</x:v>
      </x:c>
      <x:c r="J1600" s="37" t="n">
        <x:v>46147</x:v>
      </x:c>
      <x:c r="K1600" s="19" t="str">
        <x:v>Dario Caravans -St.Marys</x:v>
      </x:c>
      <x:c r="L1600" s="19" t="str">
        <x:v>Z006</x:v>
      </x:c>
      <x:c r="M1600" s="19" t="str">
        <x:v>In Field Warranty Claims</x:v>
      </x:c>
      <x:c r="N1600" s="37" t="n">
        <x:v>46143</x:v>
      </x:c>
      <x:c r="O1600" s="37"/>
      <x:c r="P1600" s="34" t="n">
        <x:v>0</x:v>
      </x:c>
      <x:c r="Q1600" s="37" t="n">
        <x:v>46147.22728009259</x:v>
      </x:c>
    </x:row>
    <x:row r="1601">
      <x:c r="A1601" s="22" t="n">
        <x:v>34348</x:v>
      </x:c>
      <x:c r="B1601" s="28" t="n">
        <x:v>945</x:v>
      </x:c>
      <x:c r="C1601" s="28"/>
      <x:c r="D1601" s="31" t="str">
        <x:f>IF(OR(ISBLANK(B1601),ISBLANK(C1601),B1601=0),"",(C1601-B1601)/B1601)</x:f>
      </x:c>
      <x:c r="E1601" s="22" t="str">
        <x:f>IF(ISBLANK(C1601),"AmountIncludingTax缺失",IF(ABS(B1601-C1601)&lt;0.005,"一致","不一致"))</x:f>
        <x:v>AmountIncludingTax缺失</x:v>
      </x:c>
      <x:c r="F1601" s="19" t="str">
        <x:v>approved</x:v>
      </x:c>
      <x:c r="G1601" s="19" t="str">
        <x:v>Repair in Progress</x:v>
      </x:c>
      <x:c r="H1601" s="19" t="str">
        <x:v>In Field</x:v>
      </x:c>
      <x:c r="I1601" s="37" t="n">
        <x:v>46147</x:v>
      </x:c>
      <x:c r="J1601" s="37" t="n">
        <x:v>46147</x:v>
      </x:c>
      <x:c r="K1601" s="19" t="str">
        <x:v>Regent RV - Perth</x:v>
      </x:c>
      <x:c r="L1601" s="19" t="str">
        <x:v>Z006</x:v>
      </x:c>
      <x:c r="M1601" s="19" t="str">
        <x:v>In Field Warranty Claims</x:v>
      </x:c>
      <x:c r="N1601" s="37" t="n">
        <x:v>46146</x:v>
      </x:c>
      <x:c r="O1601" s="37"/>
      <x:c r="P1601" s="34" t="n">
        <x:v>1039.5</x:v>
      </x:c>
      <x:c r="Q1601" s="37" t="n">
        <x:v>46147.214849537035</x:v>
      </x:c>
    </x:row>
    <x:row r="1602">
      <x:c r="A1602" s="22" t="n">
        <x:v>34341</x:v>
      </x:c>
      <x:c r="B1602" s="28" t="n">
        <x:v>532.5</x:v>
      </x:c>
      <x:c r="C1602" s="28"/>
      <x:c r="D1602" s="31" t="str">
        <x:f>IF(OR(ISBLANK(B1602),ISBLANK(C1602),B1602=0),"",(C1602-B1602)/B1602)</x:f>
      </x:c>
      <x:c r="E1602" s="22" t="str">
        <x:f>IF(ISBLANK(C1602),"AmountIncludingTax缺失",IF(ABS(B1602-C1602)&lt;0.005,"一致","不一致"))</x:f>
        <x:v>AmountIncludingTax缺失</x:v>
      </x:c>
      <x:c r="F1602" s="19" t="str">
        <x:v>approved</x:v>
      </x:c>
      <x:c r="G1602" s="19" t="str">
        <x:v>Repair in Progress</x:v>
      </x:c>
      <x:c r="H1602" s="19" t="str">
        <x:v>In Field</x:v>
      </x:c>
      <x:c r="I1602" s="37" t="n">
        <x:v>46143</x:v>
      </x:c>
      <x:c r="J1602" s="37" t="n">
        <x:v>46143</x:v>
      </x:c>
      <x:c r="K1602" s="19" t="str">
        <x:v>Regent RV - Perth</x:v>
      </x:c>
      <x:c r="L1602" s="19" t="str">
        <x:v>Z006</x:v>
      </x:c>
      <x:c r="M1602" s="19" t="str">
        <x:v>In Field Warranty Claims</x:v>
      </x:c>
      <x:c r="N1602" s="37" t="n">
        <x:v>46143</x:v>
      </x:c>
      <x:c r="O1602" s="37"/>
      <x:c r="P1602" s="34" t="n">
        <x:v>0</x:v>
      </x:c>
      <x:c r="Q1602" s="37" t="n">
        <x:v>46143.17506944444</x:v>
      </x:c>
    </x:row>
    <x:row r="1603">
      <x:c r="A1603" s="22" t="n">
        <x:v>34338</x:v>
      </x:c>
      <x:c r="B1603" s="28" t="n">
        <x:v>830.91</x:v>
      </x:c>
      <x:c r="C1603" s="28" t="n">
        <x:v>914</x:v>
      </x:c>
      <x:c r="D1603" s="31" t="n">
        <x:f>IF(OR(ISBLANK(B1603),ISBLANK(C1603),B1603=0),"",(C1603-B1603)/B1603)</x:f>
        <x:v>0.09999879650022268</x:v>
      </x:c>
      <x:c r="E1603" s="22" t="str">
        <x:f>IF(ISBLANK(C1603),"AmountIncludingTax缺失",IF(ABS(B1603-C1603)&lt;0.005,"一致","不一致"))</x:f>
        <x:v>不一致</x:v>
      </x:c>
      <x:c r="F1603" s="19" t="str">
        <x:v>approved</x:v>
      </x:c>
      <x:c r="G1603" s="19" t="str">
        <x:v>Repairer Invoiced Processed</x:v>
      </x:c>
      <x:c r="H1603" s="19" t="str">
        <x:v>In Field</x:v>
      </x:c>
      <x:c r="I1603" s="37" t="n">
        <x:v>46147</x:v>
      </x:c>
      <x:c r="J1603" s="37" t="n">
        <x:v>46147</x:v>
      </x:c>
      <x:c r="K1603" s="19" t="str">
        <x:v>Green RV - Forest Glen</x:v>
      </x:c>
      <x:c r="L1603" s="19" t="str">
        <x:v>Z006</x:v>
      </x:c>
      <x:c r="M1603" s="19" t="str">
        <x:v>In Field Warranty Claims</x:v>
      </x:c>
      <x:c r="N1603" s="37" t="n">
        <x:v>46143</x:v>
      </x:c>
      <x:c r="O1603" s="37"/>
      <x:c r="P1603" s="34" t="n">
        <x:v>914</x:v>
      </x:c>
      <x:c r="Q1603" s="37" t="n">
        <x:v>46147.15399305556</x:v>
      </x:c>
    </x:row>
    <x:row r="1604">
      <x:c r="A1604" s="22" t="n">
        <x:v>34333</x:v>
      </x:c>
      <x:c r="B1604" s="28" t="n">
        <x:v>280</x:v>
      </x:c>
      <x:c r="C1604" s="28" t="n">
        <x:v>308</x:v>
      </x:c>
      <x:c r="D1604" s="31" t="n">
        <x:f>IF(OR(ISBLANK(B1604),ISBLANK(C1604),B1604=0),"",(C1604-B1604)/B1604)</x:f>
        <x:v>0.1</x:v>
      </x:c>
      <x:c r="E1604" s="22" t="str">
        <x:f>IF(ISBLANK(C1604),"AmountIncludingTax缺失",IF(ABS(B1604-C1604)&lt;0.005,"一致","不一致"))</x:f>
        <x:v>不一致</x:v>
      </x:c>
      <x:c r="F1604" s="19" t="str">
        <x:v>approved</x:v>
      </x:c>
      <x:c r="G1604" s="19" t="str">
        <x:v>Repairer Invoiced Processed</x:v>
      </x:c>
      <x:c r="H1604" s="19" t="str">
        <x:v>In Field</x:v>
      </x:c>
      <x:c r="I1604" s="37" t="n">
        <x:v>46146</x:v>
      </x:c>
      <x:c r="J1604" s="37" t="n">
        <x:v>46146</x:v>
      </x:c>
      <x:c r="K1604" s="19" t="str">
        <x:v>Green RV - Forest Glen</x:v>
      </x:c>
      <x:c r="L1604" s="19" t="str">
        <x:v>Z006</x:v>
      </x:c>
      <x:c r="M1604" s="19" t="str">
        <x:v>In Field Warranty Claims</x:v>
      </x:c>
      <x:c r="N1604" s="37" t="n">
        <x:v>46143</x:v>
      </x:c>
      <x:c r="O1604" s="37" t="n">
        <x:v>46143</x:v>
      </x:c>
      <x:c r="P1604" s="34" t="n">
        <x:v>308</x:v>
      </x:c>
      <x:c r="Q1604" s="37" t="n">
        <x:v>46145.99060185185</x:v>
      </x:c>
    </x:row>
    <x:row r="1605">
      <x:c r="A1605" s="22" t="n">
        <x:v>34331</x:v>
      </x:c>
      <x:c r="B1605" s="28" t="n">
        <x:v>695</x:v>
      </x:c>
      <x:c r="C1605" s="28"/>
      <x:c r="D1605" s="31" t="str">
        <x:f>IF(OR(ISBLANK(B1605),ISBLANK(C1605),B1605=0),"",(C1605-B1605)/B1605)</x:f>
      </x:c>
      <x:c r="E1605" s="22" t="str">
        <x:f>IF(ISBLANK(C1605),"AmountIncludingTax缺失",IF(ABS(B1605-C1605)&lt;0.005,"一致","不一致"))</x:f>
        <x:v>AmountIncludingTax缺失</x:v>
      </x:c>
      <x:c r="F1605" s="19" t="str">
        <x:v>approved</x:v>
      </x:c>
      <x:c r="G1605" s="19" t="str">
        <x:v>Repairer Invoiced Processed</x:v>
      </x:c>
      <x:c r="H1605" s="19" t="str">
        <x:v>In Field</x:v>
      </x:c>
      <x:c r="I1605" s="37" t="n">
        <x:v>46146</x:v>
      </x:c>
      <x:c r="J1605" s="37" t="n">
        <x:v>46146</x:v>
      </x:c>
      <x:c r="K1605" s="19" t="str">
        <x:v>Green RV - Forest Glen</x:v>
      </x:c>
      <x:c r="L1605" s="19" t="str">
        <x:v>Z006</x:v>
      </x:c>
      <x:c r="M1605" s="19" t="str">
        <x:v>In Field Warranty Claims</x:v>
      </x:c>
      <x:c r="N1605" s="37" t="n">
        <x:v>46143</x:v>
      </x:c>
      <x:c r="O1605" s="37"/>
      <x:c r="P1605" s="34" t="n">
        <x:v>0</x:v>
      </x:c>
      <x:c r="Q1605" s="37" t="n">
        <x:v>46145.97520833334</x:v>
      </x:c>
    </x:row>
    <x:row r="1606">
      <x:c r="A1606" s="22" t="n">
        <x:v>34330</x:v>
      </x:c>
      <x:c r="B1606" s="28" t="n">
        <x:v>301.82</x:v>
      </x:c>
      <x:c r="C1606" s="28" t="n">
        <x:v>332</x:v>
      </x:c>
      <x:c r="D1606" s="31" t="n">
        <x:f>IF(OR(ISBLANK(B1606),ISBLANK(C1606),B1606=0),"",(C1606-B1606)/B1606)</x:f>
        <x:v>0.0999933735338944</x:v>
      </x:c>
      <x:c r="E1606" s="22" t="str">
        <x:f>IF(ISBLANK(C1606),"AmountIncludingTax缺失",IF(ABS(B1606-C1606)&lt;0.005,"一致","不一致"))</x:f>
        <x:v>不一致</x:v>
      </x:c>
      <x:c r="F1606" s="19" t="str">
        <x:v>approved</x:v>
      </x:c>
      <x:c r="G1606" s="19" t="str">
        <x:v>Repairer Invoiced Processed</x:v>
      </x:c>
      <x:c r="H1606" s="19" t="str">
        <x:v>In Field</x:v>
      </x:c>
      <x:c r="I1606" s="37" t="n">
        <x:v>46197</x:v>
      </x:c>
      <x:c r="J1606" s="37" t="n">
        <x:v>46197</x:v>
      </x:c>
      <x:c r="K1606" s="19" t="str">
        <x:v>Lesiure Lion-New Castle</x:v>
      </x:c>
      <x:c r="L1606" s="19" t="str">
        <x:v>Z006</x:v>
      </x:c>
      <x:c r="M1606" s="19" t="str">
        <x:v>In Field Warranty Claims</x:v>
      </x:c>
      <x:c r="N1606" s="37" t="n">
        <x:v>46143</x:v>
      </x:c>
      <x:c r="O1606" s="37"/>
      <x:c r="P1606" s="34" t="n">
        <x:v>332</x:v>
      </x:c>
      <x:c r="Q1606" s="37" t="n">
        <x:v>46197.164351851854</x:v>
      </x:c>
    </x:row>
    <x:row r="1607">
      <x:c r="A1607" s="22" t="n">
        <x:v>34327</x:v>
      </x:c>
      <x:c r="B1607" s="28" t="n">
        <x:v>372.5</x:v>
      </x:c>
      <x:c r="C1607" s="28"/>
      <x:c r="D1607" s="31" t="str">
        <x:f>IF(OR(ISBLANK(B1607),ISBLANK(C1607),B1607=0),"",(C1607-B1607)/B1607)</x:f>
      </x:c>
      <x:c r="E1607" s="22" t="str">
        <x:f>IF(ISBLANK(C1607),"AmountIncludingTax缺失",IF(ABS(B1607-C1607)&lt;0.005,"一致","不一致"))</x:f>
        <x:v>AmountIncludingTax缺失</x:v>
      </x:c>
      <x:c r="F1607" s="19" t="str">
        <x:v>approved</x:v>
      </x:c>
      <x:c r="G1607" s="19" t="str">
        <x:v>Repair in Progress</x:v>
      </x:c>
      <x:c r="H1607" s="19" t="str">
        <x:v>In Field</x:v>
      </x:c>
      <x:c r="I1607" s="37" t="n">
        <x:v>46202</x:v>
      </x:c>
      <x:c r="J1607" s="37" t="n">
        <x:v>46202</x:v>
      </x:c>
      <x:c r="K1607" s="19" t="str">
        <x:v>Green RV - Slacks Creek</x:v>
      </x:c>
      <x:c r="L1607" s="19" t="str">
        <x:v>Z006</x:v>
      </x:c>
      <x:c r="M1607" s="19" t="str">
        <x:v>In Field Warranty Claims</x:v>
      </x:c>
      <x:c r="N1607" s="37" t="n">
        <x:v>46143</x:v>
      </x:c>
      <x:c r="O1607" s="37"/>
      <x:c r="P1607" s="34" t="n">
        <x:v>0</x:v>
      </x:c>
      <x:c r="Q1607" s="37" t="n">
        <x:v>46201.88796296297</x:v>
      </x:c>
    </x:row>
    <x:row r="1608">
      <x:c r="A1608" s="22" t="n">
        <x:v>34326</x:v>
      </x:c>
      <x:c r="B1608" s="28" t="n">
        <x:v>1312.5</x:v>
      </x:c>
      <x:c r="C1608" s="28"/>
      <x:c r="D1608" s="31" t="str">
        <x:f>IF(OR(ISBLANK(B1608),ISBLANK(C1608),B1608=0),"",(C1608-B1608)/B1608)</x:f>
      </x:c>
      <x:c r="E1608" s="22" t="str">
        <x:f>IF(ISBLANK(C1608),"AmountIncludingTax缺失",IF(ABS(B1608-C1608)&lt;0.005,"一致","不一致"))</x:f>
        <x:v>AmountIncludingTax缺失</x:v>
      </x:c>
      <x:c r="F1608" s="19" t="str">
        <x:v>approved</x:v>
      </x:c>
      <x:c r="G1608" s="19" t="str">
        <x:v>Repair in Progress</x:v>
      </x:c>
      <x:c r="H1608" s="19" t="str">
        <x:v>In Field</x:v>
      </x:c>
      <x:c r="I1608" s="37" t="n">
        <x:v>46184</x:v>
      </x:c>
      <x:c r="J1608" s="37" t="n">
        <x:v>46184</x:v>
      </x:c>
      <x:c r="K1608" s="19" t="str">
        <x:v>Regent RV - Perth</x:v>
      </x:c>
      <x:c r="L1608" s="19" t="str">
        <x:v>Z006</x:v>
      </x:c>
      <x:c r="M1608" s="19" t="str">
        <x:v>In Field Warranty Claims</x:v>
      </x:c>
      <x:c r="N1608" s="37" t="n">
        <x:v>46143</x:v>
      </x:c>
      <x:c r="O1608" s="37"/>
      <x:c r="P1608" s="34" t="n">
        <x:v>1443.75</x:v>
      </x:c>
      <x:c r="Q1608" s="37" t="n">
        <x:v>46184.083020833335</x:v>
      </x:c>
    </x:row>
    <x:row r="1609">
      <x:c r="A1609" s="22" t="n">
        <x:v>34324</x:v>
      </x:c>
      <x:c r="B1609" s="28" t="n">
        <x:v>101.25</x:v>
      </x:c>
      <x:c r="C1609" s="28"/>
      <x:c r="D1609" s="31" t="str">
        <x:f>IF(OR(ISBLANK(B1609),ISBLANK(C1609),B1609=0),"",(C1609-B1609)/B1609)</x:f>
      </x:c>
      <x:c r="E1609" s="22" t="str">
        <x:f>IF(ISBLANK(C1609),"AmountIncludingTax缺失",IF(ABS(B1609-C1609)&lt;0.005,"一致","不一致"))</x:f>
        <x:v>AmountIncludingTax缺失</x:v>
      </x:c>
      <x:c r="F1609" s="19" t="str">
        <x:v>approved</x:v>
      </x:c>
      <x:c r="G1609" s="19" t="str">
        <x:v>Repairer Invoiced Processed</x:v>
      </x:c>
      <x:c r="H1609" s="19" t="str">
        <x:v>In Field</x:v>
      </x:c>
      <x:c r="I1609" s="37" t="n">
        <x:v>46146</x:v>
      </x:c>
      <x:c r="J1609" s="37" t="n">
        <x:v>46146</x:v>
      </x:c>
      <x:c r="K1609" s="19" t="str">
        <x:v>Regent RV - Frankston</x:v>
      </x:c>
      <x:c r="L1609" s="19" t="str">
        <x:v>Z006</x:v>
      </x:c>
      <x:c r="M1609" s="19" t="str">
        <x:v>In Field Warranty Claims</x:v>
      </x:c>
      <x:c r="N1609" s="37" t="n">
        <x:v>46143</x:v>
      </x:c>
      <x:c r="O1609" s="37"/>
      <x:c r="P1609" s="34" t="n">
        <x:v>0</x:v>
      </x:c>
      <x:c r="Q1609" s="37" t="n">
        <x:v>46145.979363425926</x:v>
      </x:c>
    </x:row>
    <x:row r="1610">
      <x:c r="A1610" s="22" t="n">
        <x:v>34323</x:v>
      </x:c>
      <x:c r="B1610" s="28" t="n">
        <x:v>1153.75</x:v>
      </x:c>
      <x:c r="C1610" s="28"/>
      <x:c r="D1610" s="31" t="str">
        <x:f>IF(OR(ISBLANK(B1610),ISBLANK(C1610),B1610=0),"",(C1610-B1610)/B1610)</x:f>
      </x:c>
      <x:c r="E1610" s="22" t="str">
        <x:f>IF(ISBLANK(C1610),"AmountIncludingTax缺失",IF(ABS(B1610-C1610)&lt;0.005,"一致","不一致"))</x:f>
        <x:v>AmountIncludingTax缺失</x:v>
      </x:c>
      <x:c r="F1610" s="19" t="str">
        <x:v>approved</x:v>
      </x:c>
      <x:c r="G1610" s="19" t="str">
        <x:v>Repairer Invoiced Processed</x:v>
      </x:c>
      <x:c r="H1610" s="19" t="str">
        <x:v>Pre Delivery</x:v>
      </x:c>
      <x:c r="I1610" s="37" t="n">
        <x:v>46143</x:v>
      </x:c>
      <x:c r="J1610" s="37" t="n">
        <x:v>46143</x:v>
      </x:c>
      <x:c r="K1610" s="19" t="str">
        <x:v>Leisure Lion - Bundaberg</x:v>
      </x:c>
      <x:c r="L1610" s="19" t="str">
        <x:v>Z005</x:v>
      </x:c>
      <x:c r="M1610" s="19" t="str">
        <x:v>Pre Delivery Warranty Claims</x:v>
      </x:c>
      <x:c r="N1610" s="37" t="n">
        <x:v>46143</x:v>
      </x:c>
      <x:c r="O1610" s="37"/>
      <x:c r="P1610" s="34" t="n">
        <x:v>0</x:v>
      </x:c>
      <x:c r="Q1610" s="37" t="n">
        <x:v>46143.15925925926</x:v>
      </x:c>
    </x:row>
    <x:row r="1611">
      <x:c r="A1611" s="22" t="n">
        <x:v>34322</x:v>
      </x:c>
      <x:c r="B1611" s="28" t="n">
        <x:v>38.75</x:v>
      </x:c>
      <x:c r="C1611" s="28"/>
      <x:c r="D1611" s="31" t="str">
        <x:f>IF(OR(ISBLANK(B1611),ISBLANK(C1611),B1611=0),"",(C1611-B1611)/B1611)</x:f>
      </x:c>
      <x:c r="E1611" s="22" t="str">
        <x:f>IF(ISBLANK(C1611),"AmountIncludingTax缺失",IF(ABS(B1611-C1611)&lt;0.005,"一致","不一致"))</x:f>
        <x:v>AmountIncludingTax缺失</x:v>
      </x:c>
      <x:c r="F1611" s="19" t="str">
        <x:v>approved</x:v>
      </x:c>
      <x:c r="G1611" s="19" t="str">
        <x:v>Repairer Invoiced Processed</x:v>
      </x:c>
      <x:c r="H1611" s="19" t="str">
        <x:v>Pre Delivery</x:v>
      </x:c>
      <x:c r="I1611" s="37" t="n">
        <x:v>46148</x:v>
      </x:c>
      <x:c r="J1611" s="37" t="n">
        <x:v>46148</x:v>
      </x:c>
      <x:c r="K1611" s="19" t="str">
        <x:v>Lesiure Lion-New Castle</x:v>
      </x:c>
      <x:c r="L1611" s="19" t="str">
        <x:v>Z005</x:v>
      </x:c>
      <x:c r="M1611" s="19" t="str">
        <x:v>Pre Delivery Warranty Claims</x:v>
      </x:c>
      <x:c r="N1611" s="37" t="n">
        <x:v>46142</x:v>
      </x:c>
      <x:c r="O1611" s="37"/>
      <x:c r="P1611" s="34" t="n">
        <x:v>0</x:v>
      </x:c>
      <x:c r="Q1611" s="37" t="n">
        <x:v>46148.158125</x:v>
      </x:c>
    </x:row>
    <x:row r="1612">
      <x:c r="A1612" s="22" t="n">
        <x:v>34321</x:v>
      </x:c>
      <x:c r="B1612" s="28" t="n">
        <x:v>492.5</x:v>
      </x:c>
      <x:c r="C1612" s="28"/>
      <x:c r="D1612" s="31" t="str">
        <x:f>IF(OR(ISBLANK(B1612),ISBLANK(C1612),B1612=0),"",(C1612-B1612)/B1612)</x:f>
      </x:c>
      <x:c r="E1612" s="22" t="str">
        <x:f>IF(ISBLANK(C1612),"AmountIncludingTax缺失",IF(ABS(B1612-C1612)&lt;0.005,"一致","不一致"))</x:f>
        <x:v>AmountIncludingTax缺失</x:v>
      </x:c>
      <x:c r="F1612" s="19" t="str">
        <x:v>approved</x:v>
      </x:c>
      <x:c r="G1612" s="19" t="str">
        <x:v>Sales Order Approved</x:v>
      </x:c>
      <x:c r="H1612" s="19" t="str">
        <x:v>Pre Delivery</x:v>
      </x:c>
      <x:c r="I1612" s="37" t="n">
        <x:v>46147</x:v>
      </x:c>
      <x:c r="J1612" s="37" t="n">
        <x:v>46147</x:v>
      </x:c>
      <x:c r="K1612" s="19" t="str">
        <x:v>Snowy River Wangaratta</x:v>
      </x:c>
      <x:c r="L1612" s="19" t="str">
        <x:v>Z005</x:v>
      </x:c>
      <x:c r="M1612" s="19" t="str">
        <x:v>Pre Delivery Warranty Claims</x:v>
      </x:c>
      <x:c r="N1612" s="37" t="n">
        <x:v>46142</x:v>
      </x:c>
      <x:c r="O1612" s="37"/>
      <x:c r="P1612" s="34" t="n">
        <x:v>0</x:v>
      </x:c>
      <x:c r="Q1612" s="37" t="n">
        <x:v>46146.99302083333</x:v>
      </x:c>
    </x:row>
    <x:row r="1613">
      <x:c r="A1613" s="22" t="n">
        <x:v>34316</x:v>
      </x:c>
      <x:c r="B1613" s="28" t="n">
        <x:v>1327.5</x:v>
      </x:c>
      <x:c r="C1613" s="28"/>
      <x:c r="D1613" s="31" t="str">
        <x:f>IF(OR(ISBLANK(B1613),ISBLANK(C1613),B1613=0),"",(C1613-B1613)/B1613)</x:f>
      </x:c>
      <x:c r="E1613" s="22" t="str">
        <x:f>IF(ISBLANK(C1613),"AmountIncludingTax缺失",IF(ABS(B1613-C1613)&lt;0.005,"一致","不一致"))</x:f>
        <x:v>AmountIncludingTax缺失</x:v>
      </x:c>
      <x:c r="F1613" s="19" t="str">
        <x:v>approved</x:v>
      </x:c>
      <x:c r="G1613" s="19" t="str">
        <x:v>Partially Picked</x:v>
      </x:c>
      <x:c r="H1613" s="19" t="str">
        <x:v>In Field</x:v>
      </x:c>
      <x:c r="I1613" s="37" t="n">
        <x:v>46147</x:v>
      </x:c>
      <x:c r="J1613" s="37" t="n">
        <x:v>46147</x:v>
      </x:c>
      <x:c r="K1613" s="19" t="str">
        <x:v>Auswide Caravans - South Nowra</x:v>
      </x:c>
      <x:c r="L1613" s="19" t="str">
        <x:v>Z006</x:v>
      </x:c>
      <x:c r="M1613" s="19" t="str">
        <x:v>In Field Warranty Claims</x:v>
      </x:c>
      <x:c r="N1613" s="37" t="n">
        <x:v>46143</x:v>
      </x:c>
      <x:c r="O1613" s="37"/>
      <x:c r="P1613" s="34" t="n">
        <x:v>0</x:v>
      </x:c>
      <x:c r="Q1613" s="37" t="n">
        <x:v>46147.188310185185</x:v>
      </x:c>
    </x:row>
    <x:row r="1614">
      <x:c r="A1614" s="22" t="n">
        <x:v>34315</x:v>
      </x:c>
      <x:c r="B1614" s="28" t="n">
        <x:v>270</x:v>
      </x:c>
      <x:c r="C1614" s="28"/>
      <x:c r="D1614" s="31" t="str">
        <x:f>IF(OR(ISBLANK(B1614),ISBLANK(C1614),B1614=0),"",(C1614-B1614)/B1614)</x:f>
      </x:c>
      <x:c r="E1614" s="22" t="str">
        <x:f>IF(ISBLANK(C1614),"AmountIncludingTax缺失",IF(ABS(B1614-C1614)&lt;0.005,"一致","不一致"))</x:f>
        <x:v>AmountIncludingTax缺失</x:v>
      </x:c>
      <x:c r="F1614" s="19" t="str">
        <x:v>approved</x:v>
      </x:c>
      <x:c r="G1614" s="19" t="str">
        <x:v>Repairer Invoiced Processed</x:v>
      </x:c>
      <x:c r="H1614" s="19" t="str">
        <x:v>In Field</x:v>
      </x:c>
      <x:c r="I1614" s="37" t="n">
        <x:v>46143</x:v>
      </x:c>
      <x:c r="J1614" s="37" t="n">
        <x:v>46143</x:v>
      </x:c>
      <x:c r="K1614" s="19" t="str">
        <x:v>Newcastle RV Super Centre - Beresfield</x:v>
      </x:c>
      <x:c r="L1614" s="19" t="str">
        <x:v>Z006</x:v>
      </x:c>
      <x:c r="M1614" s="19" t="str">
        <x:v>In Field Warranty Claims</x:v>
      </x:c>
      <x:c r="N1614" s="37" t="n">
        <x:v>46143</x:v>
      </x:c>
      <x:c r="O1614" s="37"/>
      <x:c r="P1614" s="34" t="n">
        <x:v>0</x:v>
      </x:c>
      <x:c r="Q1614" s="37" t="n">
        <x:v>46143.12734953704</x:v>
      </x:c>
    </x:row>
    <x:row r="1615">
      <x:c r="A1615" s="22" t="n">
        <x:v>34306</x:v>
      </x:c>
      <x:c r="B1615" s="28" t="n">
        <x:v>236.25</x:v>
      </x:c>
      <x:c r="C1615" s="28"/>
      <x:c r="D1615" s="31" t="str">
        <x:f>IF(OR(ISBLANK(B1615),ISBLANK(C1615),B1615=0),"",(C1615-B1615)/B1615)</x:f>
      </x:c>
      <x:c r="E1615" s="22" t="str">
        <x:f>IF(ISBLANK(C1615),"AmountIncludingTax缺失",IF(ABS(B1615-C1615)&lt;0.005,"一致","不一致"))</x:f>
        <x:v>AmountIncludingTax缺失</x:v>
      </x:c>
      <x:c r="F1615" s="19" t="str">
        <x:v>approved</x:v>
      </x:c>
      <x:c r="G1615" s="19" t="str">
        <x:v>Sales Order Approved</x:v>
      </x:c>
      <x:c r="H1615" s="19" t="str">
        <x:v>In Field</x:v>
      </x:c>
      <x:c r="I1615" s="37" t="n">
        <x:v>46143</x:v>
      </x:c>
      <x:c r="J1615" s="37" t="n">
        <x:v>46143</x:v>
      </x:c>
      <x:c r="K1615" s="19" t="str">
        <x:v>Auswide Caravans - South Nowra</x:v>
      </x:c>
      <x:c r="L1615" s="19" t="str">
        <x:v>Z006</x:v>
      </x:c>
      <x:c r="M1615" s="19" t="str">
        <x:v>In Field Warranty Claims</x:v>
      </x:c>
      <x:c r="N1615" s="37" t="n">
        <x:v>46142</x:v>
      </x:c>
      <x:c r="O1615" s="37"/>
      <x:c r="P1615" s="34" t="n">
        <x:v>0</x:v>
      </x:c>
      <x:c r="Q1615" s="37" t="n">
        <x:v>46143.01866898148</x:v>
      </x:c>
    </x:row>
    <x:row r="1616">
      <x:c r="A1616" s="22" t="n">
        <x:v>34299</x:v>
      </x:c>
      <x:c r="B1616" s="28" t="n">
        <x:v>3790</x:v>
      </x:c>
      <x:c r="C1616" s="28"/>
      <x:c r="D1616" s="31" t="str">
        <x:f>IF(OR(ISBLANK(B1616),ISBLANK(C1616),B1616=0),"",(C1616-B1616)/B1616)</x:f>
      </x:c>
      <x:c r="E1616" s="22" t="str">
        <x:f>IF(ISBLANK(C1616),"AmountIncludingTax缺失",IF(ABS(B1616-C1616)&lt;0.005,"一致","不一致"))</x:f>
        <x:v>AmountIncludingTax缺失</x:v>
      </x:c>
      <x:c r="F1616" s="19" t="str">
        <x:v>approved</x:v>
      </x:c>
      <x:c r="G1616" s="19" t="str">
        <x:v>Repairer Invoiced Processed</x:v>
      </x:c>
      <x:c r="H1616" s="19" t="str">
        <x:v>In Field</x:v>
      </x:c>
      <x:c r="I1616" s="37" t="n">
        <x:v>46183</x:v>
      </x:c>
      <x:c r="J1616" s="37" t="n">
        <x:v>46183</x:v>
      </x:c>
      <x:c r="K1616" s="19" t="str">
        <x:v>Vanari Caravans - Marden Point</x:v>
      </x:c>
      <x:c r="L1616" s="19" t="str">
        <x:v>Z006</x:v>
      </x:c>
      <x:c r="M1616" s="19" t="str">
        <x:v>In Field Warranty Claims</x:v>
      </x:c>
      <x:c r="N1616" s="37" t="n">
        <x:v>46142</x:v>
      </x:c>
      <x:c r="O1616" s="37"/>
      <x:c r="P1616" s="34" t="n">
        <x:v>3431.47</x:v>
      </x:c>
      <x:c r="Q1616" s="37" t="n">
        <x:v>46182.96890046296</x:v>
      </x:c>
    </x:row>
    <x:row r="1617">
      <x:c r="A1617" s="22" t="n">
        <x:v>34298</x:v>
      </x:c>
      <x:c r="B1617" s="28" t="n">
        <x:v>202.5</x:v>
      </x:c>
      <x:c r="C1617" s="28"/>
      <x:c r="D1617" s="31" t="str">
        <x:f>IF(OR(ISBLANK(B1617),ISBLANK(C1617),B1617=0),"",(C1617-B1617)/B1617)</x:f>
      </x:c>
      <x:c r="E1617" s="22" t="str">
        <x:f>IF(ISBLANK(C1617),"AmountIncludingTax缺失",IF(ABS(B1617-C1617)&lt;0.005,"一致","不一致"))</x:f>
        <x:v>AmountIncludingTax缺失</x:v>
      </x:c>
      <x:c r="F1617" s="19" t="str">
        <x:v>approved</x:v>
      </x:c>
      <x:c r="G1617" s="19" t="str">
        <x:v>Repair in Progress</x:v>
      </x:c>
      <x:c r="H1617" s="19" t="str">
        <x:v>In Field</x:v>
      </x:c>
      <x:c r="I1617" s="37" t="n">
        <x:v>46191</x:v>
      </x:c>
      <x:c r="J1617" s="37" t="n">
        <x:v>46191</x:v>
      </x:c>
      <x:c r="K1617" s="19" t="str">
        <x:v>Snowy River Wangaratta</x:v>
      </x:c>
      <x:c r="L1617" s="19" t="str">
        <x:v>Z006</x:v>
      </x:c>
      <x:c r="M1617" s="19" t="str">
        <x:v>In Field Warranty Claims</x:v>
      </x:c>
      <x:c r="N1617" s="37" t="n">
        <x:v>46142</x:v>
      </x:c>
      <x:c r="O1617" s="37"/>
      <x:c r="P1617" s="34" t="n">
        <x:v>0</x:v>
      </x:c>
      <x:c r="Q1617" s="37" t="n">
        <x:v>46190.89538194444</x:v>
      </x:c>
    </x:row>
    <x:row r="1618">
      <x:c r="A1618" s="22" t="n">
        <x:v>34297</x:v>
      </x:c>
      <x:c r="B1618" s="28" t="n">
        <x:v>1865.7</x:v>
      </x:c>
      <x:c r="C1618" s="28"/>
      <x:c r="D1618" s="31" t="str">
        <x:f>IF(OR(ISBLANK(B1618),ISBLANK(C1618),B1618=0),"",(C1618-B1618)/B1618)</x:f>
      </x:c>
      <x:c r="E1618" s="22" t="str">
        <x:f>IF(ISBLANK(C1618),"AmountIncludingTax缺失",IF(ABS(B1618-C1618)&lt;0.005,"一致","不一致"))</x:f>
        <x:v>AmountIncludingTax缺失</x:v>
      </x:c>
      <x:c r="F1618" s="19" t="str">
        <x:v>approved</x:v>
      </x:c>
      <x:c r="G1618" s="19" t="str">
        <x:v>Repair in Progress</x:v>
      </x:c>
      <x:c r="H1618" s="19" t="str">
        <x:v>In Field</x:v>
      </x:c>
      <x:c r="I1618" s="37" t="n">
        <x:v>46184</x:v>
      </x:c>
      <x:c r="J1618" s="37" t="n">
        <x:v>46161</x:v>
      </x:c>
      <x:c r="K1618" s="19" t="str">
        <x:v>Vanari Caravans - Marden Point</x:v>
      </x:c>
      <x:c r="L1618" s="19" t="str">
        <x:v>Z006</x:v>
      </x:c>
      <x:c r="M1618" s="19" t="str">
        <x:v>In Field Warranty Claims</x:v>
      </x:c>
      <x:c r="N1618" s="37" t="n">
        <x:v>46142</x:v>
      </x:c>
      <x:c r="O1618" s="37"/>
      <x:c r="P1618" s="34" t="n">
        <x:v>1689.2</x:v>
      </x:c>
      <x:c r="Q1618" s="37" t="n">
        <x:v>46183.94391203704</x:v>
      </x:c>
    </x:row>
    <x:row r="1619">
      <x:c r="A1619" s="22" t="n">
        <x:v>34296</x:v>
      </x:c>
      <x:c r="B1619" s="28" t="n">
        <x:v>689.58</x:v>
      </x:c>
      <x:c r="C1619" s="28"/>
      <x:c r="D1619" s="31" t="str">
        <x:f>IF(OR(ISBLANK(B1619),ISBLANK(C1619),B1619=0),"",(C1619-B1619)/B1619)</x:f>
      </x:c>
      <x:c r="E1619" s="22" t="str">
        <x:f>IF(ISBLANK(C1619),"AmountIncludingTax缺失",IF(ABS(B1619-C1619)&lt;0.005,"一致","不一致"))</x:f>
        <x:v>AmountIncludingTax缺失</x:v>
      </x:c>
      <x:c r="F1619" s="19" t="str">
        <x:v>approved</x:v>
      </x:c>
      <x:c r="G1619" s="19" t="str">
        <x:v>Repairer Invoiced Processed</x:v>
      </x:c>
      <x:c r="H1619" s="19" t="str">
        <x:v>In Field</x:v>
      </x:c>
      <x:c r="I1619" s="37" t="n">
        <x:v>46149</x:v>
      </x:c>
      <x:c r="J1619" s="37" t="n">
        <x:v>46149</x:v>
      </x:c>
      <x:c r="K1619" s="19" t="str">
        <x:v>Auswide Caravans - South Nowra</x:v>
      </x:c>
      <x:c r="L1619" s="19" t="str">
        <x:v>Z006</x:v>
      </x:c>
      <x:c r="M1619" s="19" t="str">
        <x:v>In Field Warranty Claims</x:v>
      </x:c>
      <x:c r="N1619" s="37" t="n">
        <x:v>46142</x:v>
      </x:c>
      <x:c r="O1619" s="37"/>
      <x:c r="P1619" s="34" t="n">
        <x:v>0</x:v>
      </x:c>
      <x:c r="Q1619" s="37" t="n">
        <x:v>46148.995891203704</x:v>
      </x:c>
    </x:row>
    <x:row r="1620">
      <x:c r="A1620" s="22" t="n">
        <x:v>34294</x:v>
      </x:c>
      <x:c r="B1620" s="28" t="n">
        <x:v>1477.5</x:v>
      </x:c>
      <x:c r="C1620" s="28"/>
      <x:c r="D1620" s="31" t="str">
        <x:f>IF(OR(ISBLANK(B1620),ISBLANK(C1620),B1620=0),"",(C1620-B1620)/B1620)</x:f>
      </x:c>
      <x:c r="E1620" s="22" t="str">
        <x:f>IF(ISBLANK(C1620),"AmountIncludingTax缺失",IF(ABS(B1620-C1620)&lt;0.005,"一致","不一致"))</x:f>
        <x:v>AmountIncludingTax缺失</x:v>
      </x:c>
      <x:c r="F1620" s="19" t="str">
        <x:v>approved</x:v>
      </x:c>
      <x:c r="G1620" s="19" t="str">
        <x:v>Repair in Progress</x:v>
      </x:c>
      <x:c r="H1620" s="19" t="str">
        <x:v>In Field</x:v>
      </x:c>
      <x:c r="I1620" s="37" t="n">
        <x:v>46143</x:v>
      </x:c>
      <x:c r="J1620" s="37" t="n">
        <x:v>46143</x:v>
      </x:c>
      <x:c r="K1620" s="19" t="str">
        <x:v>Green RV - Slacks Creek</x:v>
      </x:c>
      <x:c r="L1620" s="19" t="str">
        <x:v>Z006</x:v>
      </x:c>
      <x:c r="M1620" s="19" t="str">
        <x:v>In Field Warranty Claims</x:v>
      </x:c>
      <x:c r="N1620" s="37" t="n">
        <x:v>46142</x:v>
      </x:c>
      <x:c r="O1620" s="37"/>
      <x:c r="P1620" s="34" t="n">
        <x:v>0</x:v>
      </x:c>
      <x:c r="Q1620" s="37" t="n">
        <x:v>46142.92606481481</x:v>
      </x:c>
    </x:row>
    <x:row r="1621">
      <x:c r="A1621" s="22" t="n">
        <x:v>34291</x:v>
      </x:c>
      <x:c r="B1621" s="28" t="n">
        <x:v>202.5</x:v>
      </x:c>
      <x:c r="C1621" s="28"/>
      <x:c r="D1621" s="31" t="str">
        <x:f>IF(OR(ISBLANK(B1621),ISBLANK(C1621),B1621=0),"",(C1621-B1621)/B1621)</x:f>
      </x:c>
      <x:c r="E1621" s="22" t="str">
        <x:f>IF(ISBLANK(C1621),"AmountIncludingTax缺失",IF(ABS(B1621-C1621)&lt;0.005,"一致","不一致"))</x:f>
        <x:v>AmountIncludingTax缺失</x:v>
      </x:c>
      <x:c r="F1621" s="19" t="str">
        <x:v>approved</x:v>
      </x:c>
      <x:c r="G1621" s="19" t="str">
        <x:v>Repair in Progress</x:v>
      </x:c>
      <x:c r="H1621" s="19" t="str">
        <x:v>In Field</x:v>
      </x:c>
      <x:c r="I1621" s="37" t="n">
        <x:v>46154</x:v>
      </x:c>
      <x:c r="J1621" s="37" t="n">
        <x:v>46154</x:v>
      </x:c>
      <x:c r="K1621" s="19" t="str">
        <x:v>Snowy River Launceston</x:v>
      </x:c>
      <x:c r="L1621" s="19" t="str">
        <x:v>Z006</x:v>
      </x:c>
      <x:c r="M1621" s="19" t="str">
        <x:v>In Field Warranty Claims</x:v>
      </x:c>
      <x:c r="N1621" s="37" t="n">
        <x:v>46142</x:v>
      </x:c>
      <x:c r="O1621" s="37"/>
      <x:c r="P1621" s="34" t="n">
        <x:v>0</x:v>
      </x:c>
      <x:c r="Q1621" s="37" t="n">
        <x:v>46153.92450231482</x:v>
      </x:c>
    </x:row>
    <x:row r="1622">
      <x:c r="A1622" s="22" t="n">
        <x:v>34290</x:v>
      </x:c>
      <x:c r="B1622" s="28" t="n">
        <x:v>280</x:v>
      </x:c>
      <x:c r="C1622" s="28"/>
      <x:c r="D1622" s="31" t="str">
        <x:f>IF(OR(ISBLANK(B1622),ISBLANK(C1622),B1622=0),"",(C1622-B1622)/B1622)</x:f>
      </x:c>
      <x:c r="E1622" s="22" t="str">
        <x:f>IF(ISBLANK(C1622),"AmountIncludingTax缺失",IF(ABS(B1622-C1622)&lt;0.005,"一致","不一致"))</x:f>
        <x:v>AmountIncludingTax缺失</x:v>
      </x:c>
      <x:c r="F1622" s="19" t="str">
        <x:v>approved</x:v>
      </x:c>
      <x:c r="G1622" s="19" t="str">
        <x:v>Repair in Progress</x:v>
      </x:c>
      <x:c r="H1622" s="19" t="str">
        <x:v>In Field</x:v>
      </x:c>
      <x:c r="I1622" s="37" t="n">
        <x:v>46148</x:v>
      </x:c>
      <x:c r="J1622" s="37" t="n">
        <x:v>46148</x:v>
      </x:c>
      <x:c r="K1622" s="19" t="str">
        <x:v>Not Assigned</x:v>
      </x:c>
      <x:c r="L1622" s="19" t="str">
        <x:v>Z006</x:v>
      </x:c>
      <x:c r="M1622" s="19" t="str">
        <x:v>In Field Warranty Claims</x:v>
      </x:c>
      <x:c r="N1622" s="37" t="n">
        <x:v>46142</x:v>
      </x:c>
      <x:c r="O1622" s="37"/>
      <x:c r="P1622" s="34" t="n">
        <x:v>0</x:v>
      </x:c>
      <x:c r="Q1622" s="37" t="n">
        <x:v>46148.05613425926</x:v>
      </x:c>
    </x:row>
    <x:row r="1623">
      <x:c r="A1623" s="22" t="n">
        <x:v>34285</x:v>
      </x:c>
      <x:c r="B1623" s="28" t="n">
        <x:v>826.18</x:v>
      </x:c>
      <x:c r="C1623" s="28" t="n">
        <x:v>908.8</x:v>
      </x:c>
      <x:c r="D1623" s="31" t="n">
        <x:f>IF(OR(ISBLANK(B1623),ISBLANK(C1623),B1623=0),"",(C1623-B1623)/B1623)</x:f>
        <x:v>0.10000242077997532</x:v>
      </x:c>
      <x:c r="E1623" s="22" t="str">
        <x:f>IF(ISBLANK(C1623),"AmountIncludingTax缺失",IF(ABS(B1623-C1623)&lt;0.005,"一致","不一致"))</x:f>
        <x:v>不一致</x:v>
      </x:c>
      <x:c r="F1623" s="19" t="str">
        <x:v>approved</x:v>
      </x:c>
      <x:c r="G1623" s="19" t="str">
        <x:v>Repairer Invoiced Processed</x:v>
      </x:c>
      <x:c r="H1623" s="19" t="str">
        <x:v>In Field</x:v>
      </x:c>
      <x:c r="I1623" s="37" t="n">
        <x:v>46142</x:v>
      </x:c>
      <x:c r="J1623" s="37" t="n">
        <x:v>46142</x:v>
      </x:c>
      <x:c r="K1623" s="19" t="str">
        <x:v>Green RV - Forest Glen</x:v>
      </x:c>
      <x:c r="L1623" s="19" t="str">
        <x:v>Z006</x:v>
      </x:c>
      <x:c r="M1623" s="19" t="str">
        <x:v>In Field Warranty Claims</x:v>
      </x:c>
      <x:c r="N1623" s="37" t="n">
        <x:v>46142</x:v>
      </x:c>
      <x:c r="O1623" s="37"/>
      <x:c r="P1623" s="34" t="n">
        <x:v>908.8</x:v>
      </x:c>
      <x:c r="Q1623" s="37" t="n">
        <x:v>46142.144166666665</x:v>
      </x:c>
    </x:row>
    <x:row r="1624">
      <x:c r="A1624" s="22" t="n">
        <x:v>34280</x:v>
      </x:c>
      <x:c r="B1624" s="28" t="n">
        <x:v>540</x:v>
      </x:c>
      <x:c r="C1624" s="28" t="n">
        <x:v>594</x:v>
      </x:c>
      <x:c r="D1624" s="31" t="n">
        <x:f>IF(OR(ISBLANK(B1624),ISBLANK(C1624),B1624=0),"",(C1624-B1624)/B1624)</x:f>
        <x:v>0.1</x:v>
      </x:c>
      <x:c r="E1624" s="22" t="str">
        <x:f>IF(ISBLANK(C1624),"AmountIncludingTax缺失",IF(ABS(B1624-C1624)&lt;0.005,"一致","不一致"))</x:f>
        <x:v>不一致</x:v>
      </x:c>
      <x:c r="F1624" s="19" t="str">
        <x:v>approved</x:v>
      </x:c>
      <x:c r="G1624" s="19" t="str">
        <x:v>Repair in Progress</x:v>
      </x:c>
      <x:c r="H1624" s="19" t="str">
        <x:v>In Field</x:v>
      </x:c>
      <x:c r="I1624" s="37" t="n">
        <x:v>46168</x:v>
      </x:c>
      <x:c r="J1624" s="37" t="n">
        <x:v>46168</x:v>
      </x:c>
      <x:c r="K1624" s="19" t="str">
        <x:v>Regent RV - Perth</x:v>
      </x:c>
      <x:c r="L1624" s="19" t="str">
        <x:v>Z006</x:v>
      </x:c>
      <x:c r="M1624" s="19" t="str">
        <x:v>In Field Warranty Claims</x:v>
      </x:c>
      <x:c r="N1624" s="37" t="n">
        <x:v>46143</x:v>
      </x:c>
      <x:c r="O1624" s="37"/>
      <x:c r="P1624" s="34" t="n">
        <x:v>594</x:v>
      </x:c>
      <x:c r="Q1624" s="37" t="n">
        <x:v>46168.23944444444</x:v>
      </x:c>
    </x:row>
    <x:row r="1625">
      <x:c r="A1625" s="22" t="n">
        <x:v>34279</x:v>
      </x:c>
      <x:c r="B1625" s="28" t="n">
        <x:v>3733</x:v>
      </x:c>
      <x:c r="C1625" s="28"/>
      <x:c r="D1625" s="31" t="str">
        <x:f>IF(OR(ISBLANK(B1625),ISBLANK(C1625),B1625=0),"",(C1625-B1625)/B1625)</x:f>
      </x:c>
      <x:c r="E1625" s="22" t="str">
        <x:f>IF(ISBLANK(C1625),"AmountIncludingTax缺失",IF(ABS(B1625-C1625)&lt;0.005,"一致","不一致"))</x:f>
        <x:v>AmountIncludingTax缺失</x:v>
      </x:c>
      <x:c r="F1625" s="19" t="str">
        <x:v>approved</x:v>
      </x:c>
      <x:c r="G1625" s="19" t="str">
        <x:v>Repair in Progress</x:v>
      </x:c>
      <x:c r="H1625" s="19" t="str">
        <x:v>In Field</x:v>
      </x:c>
      <x:c r="I1625" s="37" t="n">
        <x:v>46146</x:v>
      </x:c>
      <x:c r="J1625" s="37" t="n">
        <x:v>46146</x:v>
      </x:c>
      <x:c r="K1625" s="19" t="str">
        <x:v>Regent RV Pty Ltd</x:v>
      </x:c>
      <x:c r="L1625" s="19" t="str">
        <x:v>Z006</x:v>
      </x:c>
      <x:c r="M1625" s="19" t="str">
        <x:v>In Field Warranty Claims</x:v>
      </x:c>
      <x:c r="N1625" s="37" t="n">
        <x:v>46143</x:v>
      </x:c>
      <x:c r="O1625" s="37"/>
      <x:c r="P1625" s="34" t="n">
        <x:v>0</x:v>
      </x:c>
      <x:c r="Q1625" s="37" t="n">
        <x:v>46146.00377314815</x:v>
      </x:c>
    </x:row>
    <x:row r="1626">
      <x:c r="A1626" s="22" t="n">
        <x:v>34278</x:v>
      </x:c>
      <x:c r="B1626" s="28" t="n">
        <x:v>155</x:v>
      </x:c>
      <x:c r="C1626" s="28"/>
      <x:c r="D1626" s="31" t="str">
        <x:f>IF(OR(ISBLANK(B1626),ISBLANK(C1626),B1626=0),"",(C1626-B1626)/B1626)</x:f>
      </x:c>
      <x:c r="E1626" s="22" t="str">
        <x:f>IF(ISBLANK(C1626),"AmountIncludingTax缺失",IF(ABS(B1626-C1626)&lt;0.005,"一致","不一致"))</x:f>
        <x:v>AmountIncludingTax缺失</x:v>
      </x:c>
      <x:c r="F1626" s="19" t="str">
        <x:v>approved</x:v>
      </x:c>
      <x:c r="G1626" s="19" t="str">
        <x:v>Sales Order Approved</x:v>
      </x:c>
      <x:c r="H1626" s="19" t="str">
        <x:v>Pre Delivery</x:v>
      </x:c>
      <x:c r="I1626" s="37" t="n">
        <x:v>46197</x:v>
      </x:c>
      <x:c r="J1626" s="37" t="n">
        <x:v>46191</x:v>
      </x:c>
      <x:c r="K1626" s="19" t="str">
        <x:v>Destiny RV - South Australia</x:v>
      </x:c>
      <x:c r="L1626" s="19" t="str">
        <x:v>Z005</x:v>
      </x:c>
      <x:c r="M1626" s="19" t="str">
        <x:v>Pre Delivery Warranty Claims</x:v>
      </x:c>
      <x:c r="N1626" s="37" t="n">
        <x:v>46142</x:v>
      </x:c>
      <x:c r="O1626" s="37"/>
      <x:c r="P1626" s="34" t="n">
        <x:v>0</x:v>
      </x:c>
      <x:c r="Q1626" s="37" t="n">
        <x:v>46196.98454861111</x:v>
      </x:c>
    </x:row>
    <x:row r="1627">
      <x:c r="A1627" s="22" t="n">
        <x:v>34277</x:v>
      </x:c>
      <x:c r="B1627" s="28" t="n">
        <x:v>420</x:v>
      </x:c>
      <x:c r="C1627" s="28" t="n">
        <x:v>380.27</x:v>
      </x:c>
      <x:c r="D1627" s="31" t="n">
        <x:f>IF(OR(ISBLANK(B1627),ISBLANK(C1627),B1627=0),"",(C1627-B1627)/B1627)</x:f>
        <x:v>-0.09459523809523813</x:v>
      </x:c>
      <x:c r="E1627" s="22" t="str">
        <x:f>IF(ISBLANK(C1627),"AmountIncludingTax缺失",IF(ABS(B1627-C1627)&lt;0.005,"一致","不一致"))</x:f>
        <x:v>不一致</x:v>
      </x:c>
      <x:c r="F1627" s="19" t="str">
        <x:v>approved</x:v>
      </x:c>
      <x:c r="G1627" s="19" t="str">
        <x:v>Repairer Invoiced Processed</x:v>
      </x:c>
      <x:c r="H1627" s="19" t="str">
        <x:v>In Field</x:v>
      </x:c>
      <x:c r="I1627" s="37" t="n">
        <x:v>46164</x:v>
      </x:c>
      <x:c r="J1627" s="37" t="n">
        <x:v>46164</x:v>
      </x:c>
      <x:c r="K1627" s="19" t="str">
        <x:v>Vanari Caravans - Marden Point</x:v>
      </x:c>
      <x:c r="L1627" s="19" t="str">
        <x:v>Z006</x:v>
      </x:c>
      <x:c r="M1627" s="19" t="str">
        <x:v>In Field Warranty Claims</x:v>
      </x:c>
      <x:c r="N1627" s="37" t="n">
        <x:v>46142</x:v>
      </x:c>
      <x:c r="O1627" s="37"/>
      <x:c r="P1627" s="34" t="n">
        <x:v>380.27</x:v>
      </x:c>
      <x:c r="Q1627" s="37" t="n">
        <x:v>46163.93890046296</x:v>
      </x:c>
    </x:row>
    <x:row r="1628">
      <x:c r="A1628" s="22" t="n">
        <x:v>34276</x:v>
      </x:c>
      <x:c r="B1628" s="28" t="n">
        <x:v>492.5</x:v>
      </x:c>
      <x:c r="C1628" s="28"/>
      <x:c r="D1628" s="31" t="str">
        <x:f>IF(OR(ISBLANK(B1628),ISBLANK(C1628),B1628=0),"",(C1628-B1628)/B1628)</x:f>
      </x:c>
      <x:c r="E1628" s="22" t="str">
        <x:f>IF(ISBLANK(C1628),"AmountIncludingTax缺失",IF(ABS(B1628-C1628)&lt;0.005,"一致","不一致"))</x:f>
        <x:v>AmountIncludingTax缺失</x:v>
      </x:c>
      <x:c r="F1628" s="19" t="str">
        <x:v>approved</x:v>
      </x:c>
      <x:c r="G1628" s="19" t="str">
        <x:v>Sales Order Approved</x:v>
      </x:c>
      <x:c r="H1628" s="19" t="str">
        <x:v>Pre Delivery</x:v>
      </x:c>
      <x:c r="I1628" s="37" t="n">
        <x:v>46147</x:v>
      </x:c>
      <x:c r="J1628" s="37" t="n">
        <x:v>46147</x:v>
      </x:c>
      <x:c r="K1628" s="19" t="str">
        <x:v>Snowy River Wangaratta</x:v>
      </x:c>
      <x:c r="L1628" s="19" t="str">
        <x:v>Z005</x:v>
      </x:c>
      <x:c r="M1628" s="19" t="str">
        <x:v>Pre Delivery Warranty Claims</x:v>
      </x:c>
      <x:c r="N1628" s="37" t="n">
        <x:v>46142</x:v>
      </x:c>
      <x:c r="O1628" s="37"/>
      <x:c r="P1628" s="34" t="n">
        <x:v>0</x:v>
      </x:c>
      <x:c r="Q1628" s="37" t="n">
        <x:v>46146.98653935185</x:v>
      </x:c>
    </x:row>
    <x:row r="1629">
      <x:c r="A1629" s="22" t="n">
        <x:v>34274</x:v>
      </x:c>
      <x:c r="B1629" s="28" t="n">
        <x:v>303.75</x:v>
      </x:c>
      <x:c r="C1629" s="28"/>
      <x:c r="D1629" s="31" t="str">
        <x:f>IF(OR(ISBLANK(B1629),ISBLANK(C1629),B1629=0),"",(C1629-B1629)/B1629)</x:f>
      </x:c>
      <x:c r="E1629" s="22" t="str">
        <x:f>IF(ISBLANK(C1629),"AmountIncludingTax缺失",IF(ABS(B1629-C1629)&lt;0.005,"一致","不一致"))</x:f>
        <x:v>AmountIncludingTax缺失</x:v>
      </x:c>
      <x:c r="F1629" s="19" t="str">
        <x:v>approved</x:v>
      </x:c>
      <x:c r="G1629" s="19" t="str">
        <x:v>Sales Order Approved</x:v>
      </x:c>
      <x:c r="H1629" s="19" t="str">
        <x:v>In Field</x:v>
      </x:c>
      <x:c r="I1629" s="37" t="n">
        <x:v>46176</x:v>
      </x:c>
      <x:c r="J1629" s="37" t="n">
        <x:v>46176</x:v>
      </x:c>
      <x:c r="K1629" s="19" t="str">
        <x:v>Green RV - Forest Glen</x:v>
      </x:c>
      <x:c r="L1629" s="19" t="str">
        <x:v>Z006</x:v>
      </x:c>
      <x:c r="M1629" s="19" t="str">
        <x:v>In Field Warranty Claims</x:v>
      </x:c>
      <x:c r="N1629" s="37" t="n">
        <x:v>46142</x:v>
      </x:c>
      <x:c r="O1629" s="37"/>
      <x:c r="P1629" s="34" t="n">
        <x:v>0</x:v>
      </x:c>
      <x:c r="Q1629" s="37" t="n">
        <x:v>46176.27490740741</x:v>
      </x:c>
    </x:row>
    <x:row r="1630">
      <x:c r="A1630" s="22" t="n">
        <x:v>34272</x:v>
      </x:c>
      <x:c r="B1630" s="28" t="n">
        <x:v>661.25</x:v>
      </x:c>
      <x:c r="C1630" s="28"/>
      <x:c r="D1630" s="31" t="str">
        <x:f>IF(OR(ISBLANK(B1630),ISBLANK(C1630),B1630=0),"",(C1630-B1630)/B1630)</x:f>
      </x:c>
      <x:c r="E1630" s="22" t="str">
        <x:f>IF(ISBLANK(C1630),"AmountIncludingTax缺失",IF(ABS(B1630-C1630)&lt;0.005,"一致","不一致"))</x:f>
        <x:v>AmountIncludingTax缺失</x:v>
      </x:c>
      <x:c r="F1630" s="19" t="str">
        <x:v>approved</x:v>
      </x:c>
      <x:c r="G1630" s="19" t="str">
        <x:v>Repair in Progress</x:v>
      </x:c>
      <x:c r="H1630" s="19" t="str">
        <x:v>In Field</x:v>
      </x:c>
      <x:c r="I1630" s="37" t="n">
        <x:v>46146</x:v>
      </x:c>
      <x:c r="J1630" s="37" t="n">
        <x:v>46146</x:v>
      </x:c>
      <x:c r="K1630" s="19" t="str">
        <x:v>Regent RV - Toowoomba</x:v>
      </x:c>
      <x:c r="L1630" s="19" t="str">
        <x:v>Z006</x:v>
      </x:c>
      <x:c r="M1630" s="19" t="str">
        <x:v>In Field Warranty Claims</x:v>
      </x:c>
      <x:c r="N1630" s="37" t="n">
        <x:v>46142</x:v>
      </x:c>
      <x:c r="O1630" s="37"/>
      <x:c r="P1630" s="34" t="n">
        <x:v>0</x:v>
      </x:c>
      <x:c r="Q1630" s="37" t="n">
        <x:v>46146.16957175926</x:v>
      </x:c>
    </x:row>
    <x:row r="1631">
      <x:c r="A1631" s="22" t="n">
        <x:v>34271</x:v>
      </x:c>
      <x:c r="B1631" s="28" t="n">
        <x:v>2414.05</x:v>
      </x:c>
      <x:c r="C1631" s="28"/>
      <x:c r="D1631" s="31" t="str">
        <x:f>IF(OR(ISBLANK(B1631),ISBLANK(C1631),B1631=0),"",(C1631-B1631)/B1631)</x:f>
      </x:c>
      <x:c r="E1631" s="22" t="str">
        <x:f>IF(ISBLANK(C1631),"AmountIncludingTax缺失",IF(ABS(B1631-C1631)&lt;0.005,"一致","不一致"))</x:f>
        <x:v>AmountIncludingTax缺失</x:v>
      </x:c>
      <x:c r="F1631" s="19" t="str">
        <x:v>approved</x:v>
      </x:c>
      <x:c r="G1631" s="19" t="str">
        <x:v>Repair in Progress</x:v>
      </x:c>
      <x:c r="H1631" s="19" t="str">
        <x:v>In Field</x:v>
      </x:c>
      <x:c r="I1631" s="37" t="n">
        <x:v>46148</x:v>
      </x:c>
      <x:c r="J1631" s="37" t="n">
        <x:v>46148</x:v>
      </x:c>
      <x:c r="K1631" s="19" t="str">
        <x:v>Vanari Caravans - Marden Point</x:v>
      </x:c>
      <x:c r="L1631" s="19" t="str">
        <x:v>Z006</x:v>
      </x:c>
      <x:c r="M1631" s="19" t="str">
        <x:v>In Field Warranty Claims</x:v>
      </x:c>
      <x:c r="N1631" s="37" t="n">
        <x:v>46142</x:v>
      </x:c>
      <x:c r="O1631" s="37"/>
      <x:c r="P1631" s="34" t="n">
        <x:v>2185.68</x:v>
      </x:c>
      <x:c r="Q1631" s="37" t="n">
        <x:v>46148.26733796296</x:v>
      </x:c>
    </x:row>
    <x:row r="1632">
      <x:c r="A1632" s="22" t="n">
        <x:v>34270</x:v>
      </x:c>
      <x:c r="B1632" s="28" t="n">
        <x:v>33.75</x:v>
      </x:c>
      <x:c r="C1632" s="28"/>
      <x:c r="D1632" s="31" t="str">
        <x:f>IF(OR(ISBLANK(B1632),ISBLANK(C1632),B1632=0),"",(C1632-B1632)/B1632)</x:f>
      </x:c>
      <x:c r="E1632" s="22" t="str">
        <x:f>IF(ISBLANK(C1632),"AmountIncludingTax缺失",IF(ABS(B1632-C1632)&lt;0.005,"一致","不一致"))</x:f>
        <x:v>AmountIncludingTax缺失</x:v>
      </x:c>
      <x:c r="F1632" s="19" t="str">
        <x:v>approved</x:v>
      </x:c>
      <x:c r="G1632" s="19" t="str">
        <x:v>Repair in Progress</x:v>
      </x:c>
      <x:c r="H1632" s="19" t="str">
        <x:v>In Field</x:v>
      </x:c>
      <x:c r="I1632" s="37" t="n">
        <x:v>46154</x:v>
      </x:c>
      <x:c r="J1632" s="37" t="n">
        <x:v>46154</x:v>
      </x:c>
      <x:c r="K1632" s="19" t="str">
        <x:v>Sherrif Caravans &amp; Traliers - Prospect Vale</x:v>
      </x:c>
      <x:c r="L1632" s="19" t="str">
        <x:v>Z006</x:v>
      </x:c>
      <x:c r="M1632" s="19" t="str">
        <x:v>In Field Warranty Claims</x:v>
      </x:c>
      <x:c r="N1632" s="37" t="n">
        <x:v>46142</x:v>
      </x:c>
      <x:c r="O1632" s="37"/>
      <x:c r="P1632" s="34" t="n">
        <x:v>0</x:v>
      </x:c>
      <x:c r="Q1632" s="37" t="n">
        <x:v>46153.95960648148</x:v>
      </x:c>
    </x:row>
    <x:row r="1633">
      <x:c r="A1633" s="22" t="n">
        <x:v>34268</x:v>
      </x:c>
      <x:c r="B1633" s="28" t="n">
        <x:v>67.5</x:v>
      </x:c>
      <x:c r="C1633" s="28" t="n">
        <x:v>74.25</x:v>
      </x:c>
      <x:c r="D1633" s="31" t="n">
        <x:f>IF(OR(ISBLANK(B1633),ISBLANK(C1633),B1633=0),"",(C1633-B1633)/B1633)</x:f>
        <x:v>0.1</x:v>
      </x:c>
      <x:c r="E1633" s="22" t="str">
        <x:f>IF(ISBLANK(C1633),"AmountIncludingTax缺失",IF(ABS(B1633-C1633)&lt;0.005,"一致","不一致"))</x:f>
        <x:v>不一致</x:v>
      </x:c>
      <x:c r="F1633" s="19" t="str">
        <x:v>approved</x:v>
      </x:c>
      <x:c r="G1633" s="19" t="str">
        <x:v>Repair in Progress</x:v>
      </x:c>
      <x:c r="H1633" s="19" t="str">
        <x:v>Pre Delivery</x:v>
      </x:c>
      <x:c r="I1633" s="37" t="n">
        <x:v>46153</x:v>
      </x:c>
      <x:c r="J1633" s="37" t="n">
        <x:v>46153</x:v>
      </x:c>
      <x:c r="K1633" s="19" t="str">
        <x:v>Leisure Lion - Bundaberg</x:v>
      </x:c>
      <x:c r="L1633" s="19" t="str">
        <x:v>Z005</x:v>
      </x:c>
      <x:c r="M1633" s="19" t="str">
        <x:v>Pre Delivery Warranty Claims</x:v>
      </x:c>
      <x:c r="N1633" s="37" t="n">
        <x:v>46142</x:v>
      </x:c>
      <x:c r="O1633" s="37"/>
      <x:c r="P1633" s="34" t="n">
        <x:v>74.25</x:v>
      </x:c>
      <x:c r="Q1633" s="37" t="n">
        <x:v>46153.24391203704</x:v>
      </x:c>
    </x:row>
    <x:row r="1634">
      <x:c r="A1634" s="22" t="n">
        <x:v>34266</x:v>
      </x:c>
      <x:c r="B1634" s="28" t="n">
        <x:v>472.5</x:v>
      </x:c>
      <x:c r="C1634" s="28"/>
      <x:c r="D1634" s="31" t="str">
        <x:f>IF(OR(ISBLANK(B1634),ISBLANK(C1634),B1634=0),"",(C1634-B1634)/B1634)</x:f>
      </x:c>
      <x:c r="E1634" s="22" t="str">
        <x:f>IF(ISBLANK(C1634),"AmountIncludingTax缺失",IF(ABS(B1634-C1634)&lt;0.005,"一致","不一致"))</x:f>
        <x:v>AmountIncludingTax缺失</x:v>
      </x:c>
      <x:c r="F1634" s="19" t="str">
        <x:v>approved</x:v>
      </x:c>
      <x:c r="G1634" s="19" t="str">
        <x:v>Repair in Progress</x:v>
      </x:c>
      <x:c r="H1634" s="19" t="str">
        <x:v>In Field</x:v>
      </x:c>
      <x:c r="I1634" s="37" t="n">
        <x:v>46163</x:v>
      </x:c>
      <x:c r="J1634" s="37" t="n">
        <x:v>46163</x:v>
      </x:c>
      <x:c r="K1634" s="19" t="str">
        <x:v>Lesiure Lion-New Castle</x:v>
      </x:c>
      <x:c r="L1634" s="19" t="str">
        <x:v>Z006</x:v>
      </x:c>
      <x:c r="M1634" s="19" t="str">
        <x:v>In Field Warranty Claims</x:v>
      </x:c>
      <x:c r="N1634" s="37" t="n">
        <x:v>46142</x:v>
      </x:c>
      <x:c r="O1634" s="37"/>
      <x:c r="P1634" s="34" t="n">
        <x:v>0</x:v>
      </x:c>
      <x:c r="Q1634" s="37" t="n">
        <x:v>46162.93069444445</x:v>
      </x:c>
    </x:row>
    <x:row r="1635">
      <x:c r="A1635" s="22" t="n">
        <x:v>34264</x:v>
      </x:c>
      <x:c r="B1635" s="28" t="n">
        <x:v>947.5</x:v>
      </x:c>
      <x:c r="C1635" s="28"/>
      <x:c r="D1635" s="31" t="str">
        <x:f>IF(OR(ISBLANK(B1635),ISBLANK(C1635),B1635=0),"",(C1635-B1635)/B1635)</x:f>
      </x:c>
      <x:c r="E1635" s="22" t="str">
        <x:f>IF(ISBLANK(C1635),"AmountIncludingTax缺失",IF(ABS(B1635-C1635)&lt;0.005,"一致","不一致"))</x:f>
        <x:v>AmountIncludingTax缺失</x:v>
      </x:c>
      <x:c r="F1635" s="19" t="str">
        <x:v>approved</x:v>
      </x:c>
      <x:c r="G1635" s="19" t="str">
        <x:v>Repair in Progress</x:v>
      </x:c>
      <x:c r="H1635" s="19" t="str">
        <x:v>In Field</x:v>
      </x:c>
      <x:c r="I1635" s="37" t="n">
        <x:v>46148</x:v>
      </x:c>
      <x:c r="J1635" s="37" t="n">
        <x:v>46148</x:v>
      </x:c>
      <x:c r="K1635" s="19" t="str">
        <x:v>Regent RV - Perth</x:v>
      </x:c>
      <x:c r="L1635" s="19" t="str">
        <x:v>Z006</x:v>
      </x:c>
      <x:c r="M1635" s="19" t="str">
        <x:v>In Field Warranty Claims</x:v>
      </x:c>
      <x:c r="N1635" s="37" t="n">
        <x:v>46142</x:v>
      </x:c>
      <x:c r="O1635" s="37" t="n">
        <x:v>46146</x:v>
      </x:c>
      <x:c r="P1635" s="34" t="n">
        <x:v>0</x:v>
      </x:c>
      <x:c r="Q1635" s="37" t="n">
        <x:v>46148.2690162037</x:v>
      </x:c>
    </x:row>
    <x:row r="1636">
      <x:c r="A1636" s="22" t="n">
        <x:v>34262</x:v>
      </x:c>
      <x:c r="B1636" s="28" t="n">
        <x:v>1125.9</x:v>
      </x:c>
      <x:c r="C1636" s="28"/>
      <x:c r="D1636" s="31" t="str">
        <x:f>IF(OR(ISBLANK(B1636),ISBLANK(C1636),B1636=0),"",(C1636-B1636)/B1636)</x:f>
      </x:c>
      <x:c r="E1636" s="22" t="str">
        <x:f>IF(ISBLANK(C1636),"AmountIncludingTax缺失",IF(ABS(B1636-C1636)&lt;0.005,"一致","不一致"))</x:f>
        <x:v>AmountIncludingTax缺失</x:v>
      </x:c>
      <x:c r="F1636" s="19" t="str">
        <x:v>approved</x:v>
      </x:c>
      <x:c r="G1636" s="19" t="str">
        <x:v>Repairer Invoiced Processed</x:v>
      </x:c>
      <x:c r="H1636" s="19" t="str">
        <x:v>In Field</x:v>
      </x:c>
      <x:c r="I1636" s="37" t="n">
        <x:v>46143</x:v>
      </x:c>
      <x:c r="J1636" s="37" t="n">
        <x:v>46143</x:v>
      </x:c>
      <x:c r="K1636" s="19" t="str">
        <x:v>Green RV - Forest Glen</x:v>
      </x:c>
      <x:c r="L1636" s="19" t="str">
        <x:v>Z006</x:v>
      </x:c>
      <x:c r="M1636" s="19" t="str">
        <x:v>In Field Warranty Claims</x:v>
      </x:c>
      <x:c r="N1636" s="37" t="n">
        <x:v>46142</x:v>
      </x:c>
      <x:c r="O1636" s="37"/>
      <x:c r="P1636" s="34" t="n">
        <x:v>0</x:v>
      </x:c>
      <x:c r="Q1636" s="37" t="n">
        <x:v>46143.224340277775</x:v>
      </x:c>
    </x:row>
    <x:row r="1637">
      <x:c r="A1637" s="22" t="n">
        <x:v>34261</x:v>
      </x:c>
      <x:c r="B1637" s="28" t="n">
        <x:v>77.5</x:v>
      </x:c>
      <x:c r="C1637" s="28"/>
      <x:c r="D1637" s="31" t="str">
        <x:f>IF(OR(ISBLANK(B1637),ISBLANK(C1637),B1637=0),"",(C1637-B1637)/B1637)</x:f>
      </x:c>
      <x:c r="E1637" s="22" t="str">
        <x:f>IF(ISBLANK(C1637),"AmountIncludingTax缺失",IF(ABS(B1637-C1637)&lt;0.005,"一致","不一致"))</x:f>
        <x:v>AmountIncludingTax缺失</x:v>
      </x:c>
      <x:c r="F1637" s="19" t="str">
        <x:v>approved</x:v>
      </x:c>
      <x:c r="G1637" s="19" t="str">
        <x:v>Repairer Invoiced Processed</x:v>
      </x:c>
      <x:c r="H1637" s="19" t="str">
        <x:v>In Field</x:v>
      </x:c>
      <x:c r="I1637" s="37" t="n">
        <x:v>46163</x:v>
      </x:c>
      <x:c r="J1637" s="37" t="n">
        <x:v>46163</x:v>
      </x:c>
      <x:c r="K1637" s="19" t="str">
        <x:v>Lesiure Lion-New Castle</x:v>
      </x:c>
      <x:c r="L1637" s="19" t="str">
        <x:v>Z006</x:v>
      </x:c>
      <x:c r="M1637" s="19" t="str">
        <x:v>In Field Warranty Claims</x:v>
      </x:c>
      <x:c r="N1637" s="37" t="n">
        <x:v>46142</x:v>
      </x:c>
      <x:c r="O1637" s="37"/>
      <x:c r="P1637" s="34" t="n">
        <x:v>0</x:v>
      </x:c>
      <x:c r="Q1637" s="37" t="n">
        <x:v>46162.92827546296</x:v>
      </x:c>
    </x:row>
    <x:row r="1638">
      <x:c r="A1638" s="22" t="n">
        <x:v>34260</x:v>
      </x:c>
      <x:c r="B1638" s="28" t="n">
        <x:v>106.25</x:v>
      </x:c>
      <x:c r="C1638" s="28"/>
      <x:c r="D1638" s="31" t="str">
        <x:f>IF(OR(ISBLANK(B1638),ISBLANK(C1638),B1638=0),"",(C1638-B1638)/B1638)</x:f>
      </x:c>
      <x:c r="E1638" s="22" t="str">
        <x:f>IF(ISBLANK(C1638),"AmountIncludingTax缺失",IF(ABS(B1638-C1638)&lt;0.005,"一致","不一致"))</x:f>
        <x:v>AmountIncludingTax缺失</x:v>
      </x:c>
      <x:c r="F1638" s="19" t="str">
        <x:v>approved</x:v>
      </x:c>
      <x:c r="G1638" s="19" t="str">
        <x:v>Repair in Progress</x:v>
      </x:c>
      <x:c r="H1638" s="19" t="str">
        <x:v>In Field</x:v>
      </x:c>
      <x:c r="I1638" s="37" t="n">
        <x:v>46177</x:v>
      </x:c>
      <x:c r="J1638" s="37" t="n">
        <x:v>46177</x:v>
      </x:c>
      <x:c r="K1638" s="19" t="str">
        <x:v>Leisure Lion - Bundaberg</x:v>
      </x:c>
      <x:c r="L1638" s="19" t="str">
        <x:v>Z006</x:v>
      </x:c>
      <x:c r="M1638" s="19" t="str">
        <x:v>In Field Warranty Claims</x:v>
      </x:c>
      <x:c r="N1638" s="37" t="n">
        <x:v>46142</x:v>
      </x:c>
      <x:c r="O1638" s="37"/>
      <x:c r="P1638" s="34" t="n">
        <x:v>0</x:v>
      </x:c>
      <x:c r="Q1638" s="37" t="n">
        <x:v>46176.96199074074</x:v>
      </x:c>
    </x:row>
    <x:row r="1639">
      <x:c r="A1639" s="22" t="n">
        <x:v>34258</x:v>
      </x:c>
      <x:c r="B1639" s="28" t="n">
        <x:v>695</x:v>
      </x:c>
      <x:c r="C1639" s="28"/>
      <x:c r="D1639" s="31" t="str">
        <x:f>IF(OR(ISBLANK(B1639),ISBLANK(C1639),B1639=0),"",(C1639-B1639)/B1639)</x:f>
      </x:c>
      <x:c r="E1639" s="22" t="str">
        <x:f>IF(ISBLANK(C1639),"AmountIncludingTax缺失",IF(ABS(B1639-C1639)&lt;0.005,"一致","不一致"))</x:f>
        <x:v>AmountIncludingTax缺失</x:v>
      </x:c>
      <x:c r="F1639" s="19" t="str">
        <x:v>approved</x:v>
      </x:c>
      <x:c r="G1639" s="19" t="str">
        <x:v>Repairer Invoiced Processed</x:v>
      </x:c>
      <x:c r="H1639" s="19" t="str">
        <x:v>In Field</x:v>
      </x:c>
      <x:c r="I1639" s="37" t="n">
        <x:v>46147</x:v>
      </x:c>
      <x:c r="J1639" s="37" t="n">
        <x:v>46147</x:v>
      </x:c>
      <x:c r="K1639" s="19" t="str">
        <x:v>Regent RV - Toowoomba</x:v>
      </x:c>
      <x:c r="L1639" s="19" t="str">
        <x:v>Z006</x:v>
      </x:c>
      <x:c r="M1639" s="19" t="str">
        <x:v>In Field Warranty Claims</x:v>
      </x:c>
      <x:c r="N1639" s="37" t="n">
        <x:v>46142</x:v>
      </x:c>
      <x:c r="O1639" s="37"/>
      <x:c r="P1639" s="34" t="n">
        <x:v>0</x:v>
      </x:c>
      <x:c r="Q1639" s="37" t="n">
        <x:v>46146.900555555556</x:v>
      </x:c>
    </x:row>
    <x:row r="1640">
      <x:c r="A1640" s="22" t="n">
        <x:v>34257</x:v>
      </x:c>
      <x:c r="B1640" s="28" t="n">
        <x:v>135</x:v>
      </x:c>
      <x:c r="C1640" s="28"/>
      <x:c r="D1640" s="31" t="str">
        <x:f>IF(OR(ISBLANK(B1640),ISBLANK(C1640),B1640=0),"",(C1640-B1640)/B1640)</x:f>
      </x:c>
      <x:c r="E1640" s="22" t="str">
        <x:f>IF(ISBLANK(C1640),"AmountIncludingTax缺失",IF(ABS(B1640-C1640)&lt;0.005,"一致","不一致"))</x:f>
        <x:v>AmountIncludingTax缺失</x:v>
      </x:c>
      <x:c r="F1640" s="19" t="str">
        <x:v>approved</x:v>
      </x:c>
      <x:c r="G1640" s="19" t="str">
        <x:v>Repair in Progress</x:v>
      </x:c>
      <x:c r="H1640" s="19" t="str">
        <x:v>In Field</x:v>
      </x:c>
      <x:c r="I1640" s="37" t="n">
        <x:v>46170</x:v>
      </x:c>
      <x:c r="J1640" s="37" t="n">
        <x:v>46170</x:v>
      </x:c>
      <x:c r="K1640" s="19" t="str">
        <x:v>Newcastle RV Super Centre - Beresfield</x:v>
      </x:c>
      <x:c r="L1640" s="19" t="str">
        <x:v>Z006</x:v>
      </x:c>
      <x:c r="M1640" s="19" t="str">
        <x:v>In Field Warranty Claims</x:v>
      </x:c>
      <x:c r="N1640" s="37" t="n">
        <x:v>46142</x:v>
      </x:c>
      <x:c r="O1640" s="37"/>
      <x:c r="P1640" s="34" t="n">
        <x:v>0</x:v>
      </x:c>
      <x:c r="Q1640" s="37" t="n">
        <x:v>46170.1099537037</x:v>
      </x:c>
    </x:row>
    <x:row r="1641">
      <x:c r="A1641" s="22" t="n">
        <x:v>34256</x:v>
      </x:c>
      <x:c r="B1641" s="28" t="n">
        <x:v>863.75</x:v>
      </x:c>
      <x:c r="C1641" s="28"/>
      <x:c r="D1641" s="31" t="str">
        <x:f>IF(OR(ISBLANK(B1641),ISBLANK(C1641),B1641=0),"",(C1641-B1641)/B1641)</x:f>
      </x:c>
      <x:c r="E1641" s="22" t="str">
        <x:f>IF(ISBLANK(C1641),"AmountIncludingTax缺失",IF(ABS(B1641-C1641)&lt;0.005,"一致","不一致"))</x:f>
        <x:v>AmountIncludingTax缺失</x:v>
      </x:c>
      <x:c r="F1641" s="19" t="str">
        <x:v>approved</x:v>
      </x:c>
      <x:c r="G1641" s="19" t="str">
        <x:v>Repair in Progress</x:v>
      </x:c>
      <x:c r="H1641" s="19" t="str">
        <x:v>In Field</x:v>
      </x:c>
      <x:c r="I1641" s="37" t="n">
        <x:v>46147</x:v>
      </x:c>
      <x:c r="J1641" s="37" t="n">
        <x:v>46147</x:v>
      </x:c>
      <x:c r="K1641" s="19" t="str">
        <x:v>Regent RV - Toowoomba</x:v>
      </x:c>
      <x:c r="L1641" s="19" t="str">
        <x:v>Z006</x:v>
      </x:c>
      <x:c r="M1641" s="19" t="str">
        <x:v>In Field Warranty Claims</x:v>
      </x:c>
      <x:c r="N1641" s="37" t="n">
        <x:v>46142</x:v>
      </x:c>
      <x:c r="O1641" s="37"/>
      <x:c r="P1641" s="34" t="n">
        <x:v>0</x:v>
      </x:c>
      <x:c r="Q1641" s="37" t="n">
        <x:v>46147.18347222222</x:v>
      </x:c>
    </x:row>
    <x:row r="1642">
      <x:c r="A1642" s="22" t="n">
        <x:v>34255</x:v>
      </x:c>
      <x:c r="B1642" s="28" t="n">
        <x:v>300</x:v>
      </x:c>
      <x:c r="C1642" s="28" t="n">
        <x:v>330</x:v>
      </x:c>
      <x:c r="D1642" s="31" t="n">
        <x:f>IF(OR(ISBLANK(B1642),ISBLANK(C1642),B1642=0),"",(C1642-B1642)/B1642)</x:f>
        <x:v>0.1</x:v>
      </x:c>
      <x:c r="E1642" s="22" t="str">
        <x:f>IF(ISBLANK(C1642),"AmountIncludingTax缺失",IF(ABS(B1642-C1642)&lt;0.005,"一致","不一致"))</x:f>
        <x:v>不一致</x:v>
      </x:c>
      <x:c r="F1642" s="19" t="str">
        <x:v>approved</x:v>
      </x:c>
      <x:c r="G1642" s="19" t="str">
        <x:v>Repair in Progress</x:v>
      </x:c>
      <x:c r="H1642" s="19" t="str">
        <x:v>In Field</x:v>
      </x:c>
      <x:c r="I1642" s="37" t="n">
        <x:v>46142</x:v>
      </x:c>
      <x:c r="J1642" s="37" t="n">
        <x:v>46142</x:v>
      </x:c>
      <x:c r="K1642" s="19" t="str">
        <x:v>Regent RV - Perth</x:v>
      </x:c>
      <x:c r="L1642" s="19" t="str">
        <x:v>Z006</x:v>
      </x:c>
      <x:c r="M1642" s="19" t="str">
        <x:v>In Field Warranty Claims</x:v>
      </x:c>
      <x:c r="N1642" s="37" t="n">
        <x:v>46142</x:v>
      </x:c>
      <x:c r="O1642" s="37"/>
      <x:c r="P1642" s="34" t="n">
        <x:v>330</x:v>
      </x:c>
      <x:c r="Q1642" s="37" t="n">
        <x:v>46142.47284722222</x:v>
      </x:c>
    </x:row>
    <x:row r="1643">
      <x:c r="A1643" s="22" t="n">
        <x:v>34254</x:v>
      </x:c>
      <x:c r="B1643" s="28" t="n">
        <x:v>1171.6</x:v>
      </x:c>
      <x:c r="C1643" s="28"/>
      <x:c r="D1643" s="31" t="str">
        <x:f>IF(OR(ISBLANK(B1643),ISBLANK(C1643),B1643=0),"",(C1643-B1643)/B1643)</x:f>
      </x:c>
      <x:c r="E1643" s="22" t="str">
        <x:f>IF(ISBLANK(C1643),"AmountIncludingTax缺失",IF(ABS(B1643-C1643)&lt;0.005,"一致","不一致"))</x:f>
        <x:v>AmountIncludingTax缺失</x:v>
      </x:c>
      <x:c r="F1643" s="19" t="str">
        <x:v>approved</x:v>
      </x:c>
      <x:c r="G1643" s="19" t="str">
        <x:v>Repairer Invoiced Processed</x:v>
      </x:c>
      <x:c r="H1643" s="19" t="str">
        <x:v>In Field</x:v>
      </x:c>
      <x:c r="I1643" s="37" t="n">
        <x:v>46148</x:v>
      </x:c>
      <x:c r="J1643" s="37" t="n">
        <x:v>46148</x:v>
      </x:c>
      <x:c r="K1643" s="19" t="str">
        <x:v>Vanari Caravans - Marden Point</x:v>
      </x:c>
      <x:c r="L1643" s="19" t="str">
        <x:v>Z006</x:v>
      </x:c>
      <x:c r="M1643" s="19" t="str">
        <x:v>In Field Warranty Claims</x:v>
      </x:c>
      <x:c r="N1643" s="37" t="n">
        <x:v>46141</x:v>
      </x:c>
      <x:c r="O1643" s="37"/>
      <x:c r="P1643" s="34" t="n">
        <x:v>1060.77</x:v>
      </x:c>
      <x:c r="Q1643" s="37" t="n">
        <x:v>46148.26648148148</x:v>
      </x:c>
    </x:row>
    <x:row r="1644">
      <x:c r="A1644" s="22" t="n">
        <x:v>34251</x:v>
      </x:c>
      <x:c r="B1644" s="28" t="n">
        <x:v>135</x:v>
      </x:c>
      <x:c r="C1644" s="28"/>
      <x:c r="D1644" s="31" t="str">
        <x:f>IF(OR(ISBLANK(B1644),ISBLANK(C1644),B1644=0),"",(C1644-B1644)/B1644)</x:f>
      </x:c>
      <x:c r="E1644" s="22" t="str">
        <x:f>IF(ISBLANK(C1644),"AmountIncludingTax缺失",IF(ABS(B1644-C1644)&lt;0.005,"一致","不一致"))</x:f>
        <x:v>AmountIncludingTax缺失</x:v>
      </x:c>
      <x:c r="F1644" s="19" t="str">
        <x:v>approved</x:v>
      </x:c>
      <x:c r="G1644" s="19" t="str">
        <x:v>Repair in Progress</x:v>
      </x:c>
      <x:c r="H1644" s="19" t="str">
        <x:v>In Field</x:v>
      </x:c>
      <x:c r="I1644" s="37" t="n">
        <x:v>46163</x:v>
      </x:c>
      <x:c r="J1644" s="37" t="n">
        <x:v>46163</x:v>
      </x:c>
      <x:c r="K1644" s="19" t="str">
        <x:v>Newcastle RV Super Centre - Beresfield</x:v>
      </x:c>
      <x:c r="L1644" s="19" t="str">
        <x:v>Z006</x:v>
      </x:c>
      <x:c r="M1644" s="19" t="str">
        <x:v>In Field Warranty Claims</x:v>
      </x:c>
      <x:c r="N1644" s="37" t="n">
        <x:v>46141</x:v>
      </x:c>
      <x:c r="O1644" s="37"/>
      <x:c r="P1644" s="34" t="n">
        <x:v>0</x:v>
      </x:c>
      <x:c r="Q1644" s="37" t="n">
        <x:v>46162.92784722222</x:v>
      </x:c>
    </x:row>
    <x:row r="1645">
      <x:c r="A1645" s="22" t="n">
        <x:v>34240</x:v>
      </x:c>
      <x:c r="B1645" s="28" t="n">
        <x:v>141</x:v>
      </x:c>
      <x:c r="C1645" s="28" t="n">
        <x:v>127.66</x:v>
      </x:c>
      <x:c r="D1645" s="31" t="n">
        <x:f>IF(OR(ISBLANK(B1645),ISBLANK(C1645),B1645=0),"",(C1645-B1645)/B1645)</x:f>
        <x:v>-0.09460992907801422</x:v>
      </x:c>
      <x:c r="E1645" s="22" t="str">
        <x:f>IF(ISBLANK(C1645),"AmountIncludingTax缺失",IF(ABS(B1645-C1645)&lt;0.005,"一致","不一致"))</x:f>
        <x:v>不一致</x:v>
      </x:c>
      <x:c r="F1645" s="19" t="str">
        <x:v>approved</x:v>
      </x:c>
      <x:c r="G1645" s="19" t="str">
        <x:v>Repairer Invoiced Processed</x:v>
      </x:c>
      <x:c r="H1645" s="19" t="str">
        <x:v>In Field</x:v>
      </x:c>
      <x:c r="I1645" s="37" t="n">
        <x:v>46169</x:v>
      </x:c>
      <x:c r="J1645" s="37" t="n">
        <x:v>46161</x:v>
      </x:c>
      <x:c r="K1645" s="19" t="str">
        <x:v>Vanari Caravans - Marden Point</x:v>
      </x:c>
      <x:c r="L1645" s="19" t="str">
        <x:v>Z006</x:v>
      </x:c>
      <x:c r="M1645" s="19" t="str">
        <x:v>In Field Warranty Claims</x:v>
      </x:c>
      <x:c r="N1645" s="37" t="n">
        <x:v>46141</x:v>
      </x:c>
      <x:c r="O1645" s="37"/>
      <x:c r="P1645" s="34" t="n">
        <x:v>127.66</x:v>
      </x:c>
      <x:c r="Q1645" s="37" t="n">
        <x:v>46169.156168981484</x:v>
      </x:c>
    </x:row>
    <x:row r="1646">
      <x:c r="A1646" s="22" t="n">
        <x:v>34239</x:v>
      </x:c>
      <x:c r="B1646" s="28" t="n">
        <x:v>1227.5</x:v>
      </x:c>
      <x:c r="C1646" s="28"/>
      <x:c r="D1646" s="31" t="str">
        <x:f>IF(OR(ISBLANK(B1646),ISBLANK(C1646),B1646=0),"",(C1646-B1646)/B1646)</x:f>
      </x:c>
      <x:c r="E1646" s="22" t="str">
        <x:f>IF(ISBLANK(C1646),"AmountIncludingTax缺失",IF(ABS(B1646-C1646)&lt;0.005,"一致","不一致"))</x:f>
        <x:v>AmountIncludingTax缺失</x:v>
      </x:c>
      <x:c r="F1646" s="19" t="str">
        <x:v>approved</x:v>
      </x:c>
      <x:c r="G1646" s="19" t="str">
        <x:v>Repairer Invoiced Processed</x:v>
      </x:c>
      <x:c r="H1646" s="19" t="str">
        <x:v>In Field</x:v>
      </x:c>
      <x:c r="I1646" s="37" t="n">
        <x:v>46209</x:v>
      </x:c>
      <x:c r="J1646" s="37" t="n">
        <x:v>46174</x:v>
      </x:c>
      <x:c r="K1646" s="19" t="str">
        <x:v>Leisure Lion - Bundaberg</x:v>
      </x:c>
      <x:c r="L1646" s="19" t="str">
        <x:v>Z006</x:v>
      </x:c>
      <x:c r="M1646" s="19" t="str">
        <x:v>In Field Warranty Claims</x:v>
      </x:c>
      <x:c r="N1646" s="37" t="n">
        <x:v>46141</x:v>
      </x:c>
      <x:c r="O1646" s="37"/>
      <x:c r="P1646" s="34" t="n">
        <x:v>0</x:v>
      </x:c>
      <x:c r="Q1646" s="37" t="n">
        <x:v>46209.099652777775</x:v>
      </x:c>
    </x:row>
    <x:row r="1647">
      <x:c r="A1647" s="22" t="n">
        <x:v>34238</x:v>
      </x:c>
      <x:c r="B1647" s="28" t="n">
        <x:v>212.5</x:v>
      </x:c>
      <x:c r="C1647" s="28"/>
      <x:c r="D1647" s="31" t="str">
        <x:f>IF(OR(ISBLANK(B1647),ISBLANK(C1647),B1647=0),"",(C1647-B1647)/B1647)</x:f>
      </x:c>
      <x:c r="E1647" s="22" t="str">
        <x:f>IF(ISBLANK(C1647),"AmountIncludingTax缺失",IF(ABS(B1647-C1647)&lt;0.005,"一致","不一致"))</x:f>
        <x:v>AmountIncludingTax缺失</x:v>
      </x:c>
      <x:c r="F1647" s="19" t="str">
        <x:v>approved</x:v>
      </x:c>
      <x:c r="G1647" s="19" t="str">
        <x:v>Repair in Progress</x:v>
      </x:c>
      <x:c r="H1647" s="19" t="str">
        <x:v>In Field</x:v>
      </x:c>
      <x:c r="I1647" s="37" t="n">
        <x:v>46143</x:v>
      </x:c>
      <x:c r="J1647" s="37" t="n">
        <x:v>46143</x:v>
      </x:c>
      <x:c r="K1647" s="19" t="str">
        <x:v>Green RV - Forest Glen</x:v>
      </x:c>
      <x:c r="L1647" s="19" t="str">
        <x:v>Z006</x:v>
      </x:c>
      <x:c r="M1647" s="19" t="str">
        <x:v>In Field Warranty Claims</x:v>
      </x:c>
      <x:c r="N1647" s="37" t="n">
        <x:v>46141</x:v>
      </x:c>
      <x:c r="O1647" s="37"/>
      <x:c r="P1647" s="34" t="n">
        <x:v>0</x:v>
      </x:c>
      <x:c r="Q1647" s="37" t="n">
        <x:v>46143.16820601852</x:v>
      </x:c>
    </x:row>
    <x:row r="1648">
      <x:c r="A1648" s="22" t="n">
        <x:v>34237</x:v>
      </x:c>
      <x:c r="B1648" s="28" t="n">
        <x:v>1140</x:v>
      </x:c>
      <x:c r="C1648" s="28"/>
      <x:c r="D1648" s="31" t="str">
        <x:f>IF(OR(ISBLANK(B1648),ISBLANK(C1648),B1648=0),"",(C1648-B1648)/B1648)</x:f>
      </x:c>
      <x:c r="E1648" s="22" t="str">
        <x:f>IF(ISBLANK(C1648),"AmountIncludingTax缺失",IF(ABS(B1648-C1648)&lt;0.005,"一致","不一致"))</x:f>
        <x:v>AmountIncludingTax缺失</x:v>
      </x:c>
      <x:c r="F1648" s="19" t="str">
        <x:v>approved</x:v>
      </x:c>
      <x:c r="G1648" s="19" t="str">
        <x:v>Repair in Progress</x:v>
      </x:c>
      <x:c r="H1648" s="19" t="str">
        <x:v>In Field</x:v>
      </x:c>
      <x:c r="I1648" s="37" t="n">
        <x:v>46143</x:v>
      </x:c>
      <x:c r="J1648" s="37" t="n">
        <x:v>46143</x:v>
      </x:c>
      <x:c r="K1648" s="19" t="str">
        <x:v>Green RV - Forest Glen</x:v>
      </x:c>
      <x:c r="L1648" s="19" t="str">
        <x:v>Z006</x:v>
      </x:c>
      <x:c r="M1648" s="19" t="str">
        <x:v>In Field Warranty Claims</x:v>
      </x:c>
      <x:c r="N1648" s="37" t="n">
        <x:v>46141</x:v>
      </x:c>
      <x:c r="O1648" s="37"/>
      <x:c r="P1648" s="34" t="n">
        <x:v>0</x:v>
      </x:c>
      <x:c r="Q1648" s="37" t="n">
        <x:v>46143.22484953704</x:v>
      </x:c>
    </x:row>
    <x:row r="1649">
      <x:c r="A1649" s="22" t="n">
        <x:v>34236</x:v>
      </x:c>
      <x:c r="B1649" s="28" t="n">
        <x:v>145</x:v>
      </x:c>
      <x:c r="C1649" s="28"/>
      <x:c r="D1649" s="31" t="str">
        <x:f>IF(OR(ISBLANK(B1649),ISBLANK(C1649),B1649=0),"",(C1649-B1649)/B1649)</x:f>
      </x:c>
      <x:c r="E1649" s="22" t="str">
        <x:f>IF(ISBLANK(C1649),"AmountIncludingTax缺失",IF(ABS(B1649-C1649)&lt;0.005,"一致","不一致"))</x:f>
        <x:v>AmountIncludingTax缺失</x:v>
      </x:c>
      <x:c r="F1649" s="19" t="str">
        <x:v>approved</x:v>
      </x:c>
      <x:c r="G1649" s="19" t="str">
        <x:v>Repairer Invoiced Processed</x:v>
      </x:c>
      <x:c r="H1649" s="19" t="str">
        <x:v>In Field</x:v>
      </x:c>
      <x:c r="I1649" s="37" t="n">
        <x:v>46143</x:v>
      </x:c>
      <x:c r="J1649" s="37" t="n">
        <x:v>46143</x:v>
      </x:c>
      <x:c r="K1649" s="19" t="str">
        <x:v>Green RV - Forest Glen</x:v>
      </x:c>
      <x:c r="L1649" s="19" t="str">
        <x:v>Z006</x:v>
      </x:c>
      <x:c r="M1649" s="19" t="str">
        <x:v>In Field Warranty Claims</x:v>
      </x:c>
      <x:c r="N1649" s="37" t="n">
        <x:v>46141</x:v>
      </x:c>
      <x:c r="O1649" s="37"/>
      <x:c r="P1649" s="34" t="n">
        <x:v>0</x:v>
      </x:c>
      <x:c r="Q1649" s="37" t="n">
        <x:v>46143.07543981481</x:v>
      </x:c>
    </x:row>
    <x:row r="1650">
      <x:c r="A1650" s="22" t="n">
        <x:v>34235</x:v>
      </x:c>
      <x:c r="B1650" s="28" t="n">
        <x:v>405</x:v>
      </x:c>
      <x:c r="C1650" s="28"/>
      <x:c r="D1650" s="31" t="str">
        <x:f>IF(OR(ISBLANK(B1650),ISBLANK(C1650),B1650=0),"",(C1650-B1650)/B1650)</x:f>
      </x:c>
      <x:c r="E1650" s="22" t="str">
        <x:f>IF(ISBLANK(C1650),"AmountIncludingTax缺失",IF(ABS(B1650-C1650)&lt;0.005,"一致","不一致"))</x:f>
        <x:v>AmountIncludingTax缺失</x:v>
      </x:c>
      <x:c r="F1650" s="19" t="str">
        <x:v>approved</x:v>
      </x:c>
      <x:c r="G1650" s="19" t="str">
        <x:v>Sales Order Approved</x:v>
      </x:c>
      <x:c r="H1650" s="19" t="str">
        <x:v>In Field</x:v>
      </x:c>
      <x:c r="I1650" s="37" t="n">
        <x:v>46211</x:v>
      </x:c>
      <x:c r="J1650" s="37" t="n">
        <x:v>46211</x:v>
      </x:c>
      <x:c r="K1650" s="19" t="str">
        <x:v>Regent RV - Frankston</x:v>
      </x:c>
      <x:c r="L1650" s="19" t="str">
        <x:v>Z006</x:v>
      </x:c>
      <x:c r="M1650" s="19" t="str">
        <x:v>In Field Warranty Claims</x:v>
      </x:c>
      <x:c r="N1650" s="37" t="n">
        <x:v>46141</x:v>
      </x:c>
      <x:c r="O1650" s="37"/>
      <x:c r="P1650" s="34" t="n">
        <x:v>0</x:v>
      </x:c>
      <x:c r="Q1650" s="37" t="n">
        <x:v>46211.07539351852</x:v>
      </x:c>
    </x:row>
    <x:row r="1651">
      <x:c r="A1651" s="22" t="n">
        <x:v>34233</x:v>
      </x:c>
      <x:c r="B1651" s="28" t="n">
        <x:v>168.75</x:v>
      </x:c>
      <x:c r="C1651" s="28"/>
      <x:c r="D1651" s="31" t="str">
        <x:f>IF(OR(ISBLANK(B1651),ISBLANK(C1651),B1651=0),"",(C1651-B1651)/B1651)</x:f>
      </x:c>
      <x:c r="E1651" s="22" t="str">
        <x:f>IF(ISBLANK(C1651),"AmountIncludingTax缺失",IF(ABS(B1651-C1651)&lt;0.005,"一致","不一致"))</x:f>
        <x:v>AmountIncludingTax缺失</x:v>
      </x:c>
      <x:c r="F1651" s="19" t="str">
        <x:v>approved</x:v>
      </x:c>
      <x:c r="G1651" s="19" t="str">
        <x:v>Repairer Invoiced Processed</x:v>
      </x:c>
      <x:c r="H1651" s="19" t="str">
        <x:v>In Field</x:v>
      </x:c>
      <x:c r="I1651" s="37" t="n">
        <x:v>46148</x:v>
      </x:c>
      <x:c r="J1651" s="37" t="n">
        <x:v>46148</x:v>
      </x:c>
      <x:c r="K1651" s="19" t="str">
        <x:v>Green RV - Slacks Creek</x:v>
      </x:c>
      <x:c r="L1651" s="19" t="str">
        <x:v>Z006</x:v>
      </x:c>
      <x:c r="M1651" s="19" t="str">
        <x:v>In Field Warranty Claims</x:v>
      </x:c>
      <x:c r="N1651" s="37" t="n">
        <x:v>46141</x:v>
      </x:c>
      <x:c r="O1651" s="37"/>
      <x:c r="P1651" s="34" t="n">
        <x:v>0</x:v>
      </x:c>
      <x:c r="Q1651" s="37" t="n">
        <x:v>46148.048854166664</x:v>
      </x:c>
    </x:row>
    <x:row r="1652">
      <x:c r="A1652" s="22" t="n">
        <x:v>34230</x:v>
      </x:c>
      <x:c r="B1652" s="28" t="n">
        <x:v>135</x:v>
      </x:c>
      <x:c r="C1652" s="28"/>
      <x:c r="D1652" s="31" t="str">
        <x:f>IF(OR(ISBLANK(B1652),ISBLANK(C1652),B1652=0),"",(C1652-B1652)/B1652)</x:f>
      </x:c>
      <x:c r="E1652" s="22" t="str">
        <x:f>IF(ISBLANK(C1652),"AmountIncludingTax缺失",IF(ABS(B1652-C1652)&lt;0.005,"一致","不一致"))</x:f>
        <x:v>AmountIncludingTax缺失</x:v>
      </x:c>
      <x:c r="F1652" s="19" t="str">
        <x:v>approved</x:v>
      </x:c>
      <x:c r="G1652" s="19" t="str">
        <x:v>Repair in Progress</x:v>
      </x:c>
      <x:c r="H1652" s="19" t="str">
        <x:v>In Field</x:v>
      </x:c>
      <x:c r="I1652" s="37" t="n">
        <x:v>46177</x:v>
      </x:c>
      <x:c r="J1652" s="37" t="n">
        <x:v>46177</x:v>
      </x:c>
      <x:c r="K1652" s="19" t="str">
        <x:v>Newcastle RV Super Centre - Beresfield</x:v>
      </x:c>
      <x:c r="L1652" s="19" t="str">
        <x:v>Z006</x:v>
      </x:c>
      <x:c r="M1652" s="19" t="str">
        <x:v>In Field Warranty Claims</x:v>
      </x:c>
      <x:c r="N1652" s="37" t="n">
        <x:v>46142</x:v>
      </x:c>
      <x:c r="O1652" s="37"/>
      <x:c r="P1652" s="34" t="n">
        <x:v>0</x:v>
      </x:c>
      <x:c r="Q1652" s="37" t="n">
        <x:v>46177.097349537034</x:v>
      </x:c>
    </x:row>
    <x:row r="1653">
      <x:c r="A1653" s="22" t="n">
        <x:v>34225</x:v>
      </x:c>
      <x:c r="B1653" s="28" t="n">
        <x:v>405</x:v>
      </x:c>
      <x:c r="C1653" s="28" t="n">
        <x:v>445.5</x:v>
      </x:c>
      <x:c r="D1653" s="31" t="n">
        <x:f>IF(OR(ISBLANK(B1653),ISBLANK(C1653),B1653=0),"",(C1653-B1653)/B1653)</x:f>
        <x:v>0.1</x:v>
      </x:c>
      <x:c r="E1653" s="22" t="str">
        <x:f>IF(ISBLANK(C1653),"AmountIncludingTax缺失",IF(ABS(B1653-C1653)&lt;0.005,"一致","不一致"))</x:f>
        <x:v>不一致</x:v>
      </x:c>
      <x:c r="F1653" s="19" t="str">
        <x:v>approved</x:v>
      </x:c>
      <x:c r="G1653" s="19" t="str">
        <x:v>Repair in Progress</x:v>
      </x:c>
      <x:c r="H1653" s="19" t="str">
        <x:v>In Field</x:v>
      </x:c>
      <x:c r="I1653" s="37" t="n">
        <x:v>46142</x:v>
      </x:c>
      <x:c r="J1653" s="37" t="n">
        <x:v>46142</x:v>
      </x:c>
      <x:c r="K1653" s="19" t="str">
        <x:v>Newcastle RV Super Centre - Beresfield</x:v>
      </x:c>
      <x:c r="L1653" s="19" t="str">
        <x:v>Z006</x:v>
      </x:c>
      <x:c r="M1653" s="19" t="str">
        <x:v>In Field Warranty Claims</x:v>
      </x:c>
      <x:c r="N1653" s="37" t="n">
        <x:v>46142</x:v>
      </x:c>
      <x:c r="O1653" s="37"/>
      <x:c r="P1653" s="34" t="n">
        <x:v>445.5</x:v>
      </x:c>
      <x:c r="Q1653" s="37" t="n">
        <x:v>46142.08021990741</x:v>
      </x:c>
    </x:row>
    <x:row r="1654">
      <x:c r="A1654" s="22" t="n">
        <x:v>34218</x:v>
      </x:c>
      <x:c r="B1654" s="28" t="n">
        <x:v>135</x:v>
      </x:c>
      <x:c r="C1654" s="28"/>
      <x:c r="D1654" s="31" t="str">
        <x:f>IF(OR(ISBLANK(B1654),ISBLANK(C1654),B1654=0),"",(C1654-B1654)/B1654)</x:f>
      </x:c>
      <x:c r="E1654" s="22" t="str">
        <x:f>IF(ISBLANK(C1654),"AmountIncludingTax缺失",IF(ABS(B1654-C1654)&lt;0.005,"一致","不一致"))</x:f>
        <x:v>AmountIncludingTax缺失</x:v>
      </x:c>
      <x:c r="F1654" s="19" t="str">
        <x:v>approved</x:v>
      </x:c>
      <x:c r="G1654" s="19" t="str">
        <x:v>Sales Order Approved</x:v>
      </x:c>
      <x:c r="H1654" s="19" t="str">
        <x:v>In Field</x:v>
      </x:c>
      <x:c r="I1654" s="37" t="n">
        <x:v>46174</x:v>
      </x:c>
      <x:c r="J1654" s="37" t="n">
        <x:v>46174</x:v>
      </x:c>
      <x:c r="K1654" s="19" t="str">
        <x:v>Regent RV - Frankston</x:v>
      </x:c>
      <x:c r="L1654" s="19" t="str">
        <x:v>Z006</x:v>
      </x:c>
      <x:c r="M1654" s="19" t="str">
        <x:v>In Field Warranty Claims</x:v>
      </x:c>
      <x:c r="N1654" s="37" t="n">
        <x:v>46141</x:v>
      </x:c>
      <x:c r="O1654" s="37"/>
      <x:c r="P1654" s="34" t="n">
        <x:v>0</x:v>
      </x:c>
      <x:c r="Q1654" s="37" t="n">
        <x:v>46174.12762731482</x:v>
      </x:c>
    </x:row>
    <x:row r="1655">
      <x:c r="A1655" s="22" t="n">
        <x:v>34216</x:v>
      </x:c>
      <x:c r="B1655" s="28" t="n">
        <x:v>63.75</x:v>
      </x:c>
      <x:c r="C1655" s="28" t="n">
        <x:v>70.13</x:v>
      </x:c>
      <x:c r="D1655" s="31" t="n">
        <x:f>IF(OR(ISBLANK(B1655),ISBLANK(C1655),B1655=0),"",(C1655-B1655)/B1655)</x:f>
        <x:v>0.10007843137254895</x:v>
      </x:c>
      <x:c r="E1655" s="22" t="str">
        <x:f>IF(ISBLANK(C1655),"AmountIncludingTax缺失",IF(ABS(B1655-C1655)&lt;0.005,"一致","不一致"))</x:f>
        <x:v>不一致</x:v>
      </x:c>
      <x:c r="F1655" s="19" t="str">
        <x:v>approved</x:v>
      </x:c>
      <x:c r="G1655" s="19" t="str">
        <x:v>Repair in Progress</x:v>
      </x:c>
      <x:c r="H1655" s="19" t="str">
        <x:v>Pre Delivery</x:v>
      </x:c>
      <x:c r="I1655" s="37" t="n">
        <x:v>46183</x:v>
      </x:c>
      <x:c r="J1655" s="37" t="n">
        <x:v>46183</x:v>
      </x:c>
      <x:c r="K1655" s="19" t="str">
        <x:v>Destiny RV - South Australia</x:v>
      </x:c>
      <x:c r="L1655" s="19" t="str">
        <x:v>Z005</x:v>
      </x:c>
      <x:c r="M1655" s="19" t="str">
        <x:v>Pre Delivery Warranty Claims</x:v>
      </x:c>
      <x:c r="N1655" s="37" t="n">
        <x:v>46141</x:v>
      </x:c>
      <x:c r="O1655" s="37"/>
      <x:c r="P1655" s="34" t="n">
        <x:v>70.13</x:v>
      </x:c>
      <x:c r="Q1655" s="37" t="n">
        <x:v>46183.1928125</x:v>
      </x:c>
    </x:row>
    <x:row r="1656">
      <x:c r="A1656" s="22" t="n">
        <x:v>34215</x:v>
      </x:c>
      <x:c r="B1656" s="28" t="n">
        <x:v>101.25</x:v>
      </x:c>
      <x:c r="C1656" s="28"/>
      <x:c r="D1656" s="31" t="str">
        <x:f>IF(OR(ISBLANK(B1656),ISBLANK(C1656),B1656=0),"",(C1656-B1656)/B1656)</x:f>
      </x:c>
      <x:c r="E1656" s="22" t="str">
        <x:f>IF(ISBLANK(C1656),"AmountIncludingTax缺失",IF(ABS(B1656-C1656)&lt;0.005,"一致","不一致"))</x:f>
        <x:v>AmountIncludingTax缺失</x:v>
      </x:c>
      <x:c r="F1656" s="19" t="str">
        <x:v>approved</x:v>
      </x:c>
      <x:c r="G1656" s="19" t="str">
        <x:v>Sales Order Approved</x:v>
      </x:c>
      <x:c r="H1656" s="19" t="str">
        <x:v>Pre Delivery</x:v>
      </x:c>
      <x:c r="I1656" s="37" t="n">
        <x:v>46206</x:v>
      </x:c>
      <x:c r="J1656" s="37" t="n">
        <x:v>46206</x:v>
      </x:c>
      <x:c r="K1656" s="19" t="str">
        <x:v>Auswide Caravans - South Nowra</x:v>
      </x:c>
      <x:c r="L1656" s="19" t="str">
        <x:v>Z005</x:v>
      </x:c>
      <x:c r="M1656" s="19" t="str">
        <x:v>Pre Delivery Warranty Claims</x:v>
      </x:c>
      <x:c r="N1656" s="37" t="n">
        <x:v>46141</x:v>
      </x:c>
      <x:c r="O1656" s="37"/>
      <x:c r="P1656" s="34" t="n">
        <x:v>0</x:v>
      </x:c>
      <x:c r="Q1656" s="37" t="n">
        <x:v>46205.98810185185</x:v>
      </x:c>
    </x:row>
    <x:row r="1657">
      <x:c r="A1657" s="22" t="n">
        <x:v>34214</x:v>
      </x:c>
      <x:c r="B1657" s="28" t="n">
        <x:v>101.25</x:v>
      </x:c>
      <x:c r="C1657" s="28"/>
      <x:c r="D1657" s="31" t="str">
        <x:f>IF(OR(ISBLANK(B1657),ISBLANK(C1657),B1657=0),"",(C1657-B1657)/B1657)</x:f>
      </x:c>
      <x:c r="E1657" s="22" t="str">
        <x:f>IF(ISBLANK(C1657),"AmountIncludingTax缺失",IF(ABS(B1657-C1657)&lt;0.005,"一致","不一致"))</x:f>
        <x:v>AmountIncludingTax缺失</x:v>
      </x:c>
      <x:c r="F1657" s="19" t="str">
        <x:v>approved</x:v>
      </x:c>
      <x:c r="G1657" s="19" t="str">
        <x:v>Repairer Invoiced Processed</x:v>
      </x:c>
      <x:c r="H1657" s="19" t="str">
        <x:v>In Field</x:v>
      </x:c>
      <x:c r="I1657" s="37" t="n">
        <x:v>46146</x:v>
      </x:c>
      <x:c r="J1657" s="37" t="n">
        <x:v>46146</x:v>
      </x:c>
      <x:c r="K1657" s="19" t="str">
        <x:v>Green RV - Forest Glen</x:v>
      </x:c>
      <x:c r="L1657" s="19" t="str">
        <x:v>Z006</x:v>
      </x:c>
      <x:c r="M1657" s="19" t="str">
        <x:v>In Field Warranty Claims</x:v>
      </x:c>
      <x:c r="N1657" s="37" t="n">
        <x:v>46141</x:v>
      </x:c>
      <x:c r="O1657" s="37"/>
      <x:c r="P1657" s="34" t="n">
        <x:v>0</x:v>
      </x:c>
      <x:c r="Q1657" s="37" t="n">
        <x:v>46146.12851851852</x:v>
      </x:c>
    </x:row>
    <x:row r="1658">
      <x:c r="A1658" s="22" t="n">
        <x:v>34213</x:v>
      </x:c>
      <x:c r="B1658" s="28" t="n">
        <x:v>958.86</x:v>
      </x:c>
      <x:c r="C1658" s="28"/>
      <x:c r="D1658" s="31" t="str">
        <x:f>IF(OR(ISBLANK(B1658),ISBLANK(C1658),B1658=0),"",(C1658-B1658)/B1658)</x:f>
      </x:c>
      <x:c r="E1658" s="22" t="str">
        <x:f>IF(ISBLANK(C1658),"AmountIncludingTax缺失",IF(ABS(B1658-C1658)&lt;0.005,"一致","不一致"))</x:f>
        <x:v>AmountIncludingTax缺失</x:v>
      </x:c>
      <x:c r="F1658" s="19" t="str">
        <x:v>approved</x:v>
      </x:c>
      <x:c r="G1658" s="19" t="str">
        <x:v>Repair in Progress</x:v>
      </x:c>
      <x:c r="H1658" s="19" t="str">
        <x:v>In Field</x:v>
      </x:c>
      <x:c r="I1658" s="37" t="n">
        <x:v>46189</x:v>
      </x:c>
      <x:c r="J1658" s="37" t="n">
        <x:v>46147</x:v>
      </x:c>
      <x:c r="K1658" s="19" t="str">
        <x:v>Green RV - Forest Glen</x:v>
      </x:c>
      <x:c r="L1658" s="19" t="str">
        <x:v>Z006</x:v>
      </x:c>
      <x:c r="M1658" s="19" t="str">
        <x:v>In Field Warranty Claims</x:v>
      </x:c>
      <x:c r="N1658" s="37" t="n">
        <x:v>46141</x:v>
      </x:c>
      <x:c r="O1658" s="37"/>
      <x:c r="P1658" s="34" t="n">
        <x:v>0</x:v>
      </x:c>
      <x:c r="Q1658" s="37" t="n">
        <x:v>46189.07534722222</x:v>
      </x:c>
    </x:row>
    <x:row r="1659">
      <x:c r="A1659" s="22" t="n">
        <x:v>34212</x:v>
      </x:c>
      <x:c r="B1659" s="28" t="n">
        <x:v>135</x:v>
      </x:c>
      <x:c r="C1659" s="28" t="n">
        <x:v>227.41</x:v>
      </x:c>
      <x:c r="D1659" s="31" t="n">
        <x:f>IF(OR(ISBLANK(B1659),ISBLANK(C1659),B1659=0),"",(C1659-B1659)/B1659)</x:f>
        <x:v>0.6845185185185185</x:v>
      </x:c>
      <x:c r="E1659" s="22" t="str">
        <x:f>IF(ISBLANK(C1659),"AmountIncludingTax缺失",IF(ABS(B1659-C1659)&lt;0.005,"一致","不一致"))</x:f>
        <x:v>不一致</x:v>
      </x:c>
      <x:c r="F1659" s="19" t="str">
        <x:v>approved</x:v>
      </x:c>
      <x:c r="G1659" s="19" t="str">
        <x:v>Repairer Invoiced Processed</x:v>
      </x:c>
      <x:c r="H1659" s="19" t="str">
        <x:v>In Field</x:v>
      </x:c>
      <x:c r="I1659" s="37" t="n">
        <x:v>46142</x:v>
      </x:c>
      <x:c r="J1659" s="37" t="n">
        <x:v>46141</x:v>
      </x:c>
      <x:c r="K1659" s="19" t="str">
        <x:v>Destiny RV - South Australia</x:v>
      </x:c>
      <x:c r="L1659" s="19" t="str">
        <x:v>Z006</x:v>
      </x:c>
      <x:c r="M1659" s="19" t="str">
        <x:v>In Field Warranty Claims</x:v>
      </x:c>
      <x:c r="N1659" s="37" t="n">
        <x:v>46141</x:v>
      </x:c>
      <x:c r="O1659" s="37"/>
      <x:c r="P1659" s="34" t="n">
        <x:v>227.41</x:v>
      </x:c>
      <x:c r="Q1659" s="37" t="n">
        <x:v>46142.27525462963</x:v>
      </x:c>
    </x:row>
    <x:row r="1660">
      <x:c r="A1660" s="22" t="n">
        <x:v>34211</x:v>
      </x:c>
      <x:c r="B1660" s="28" t="n">
        <x:v>202.5</x:v>
      </x:c>
      <x:c r="C1660" s="28"/>
      <x:c r="D1660" s="31" t="str">
        <x:f>IF(OR(ISBLANK(B1660),ISBLANK(C1660),B1660=0),"",(C1660-B1660)/B1660)</x:f>
      </x:c>
      <x:c r="E1660" s="22" t="str">
        <x:f>IF(ISBLANK(C1660),"AmountIncludingTax缺失",IF(ABS(B1660-C1660)&lt;0.005,"一致","不一致"))</x:f>
        <x:v>AmountIncludingTax缺失</x:v>
      </x:c>
      <x:c r="F1660" s="19" t="str">
        <x:v>approved</x:v>
      </x:c>
      <x:c r="G1660" s="19" t="str">
        <x:v>Sales Order Approved</x:v>
      </x:c>
      <x:c r="H1660" s="19" t="str">
        <x:v>Pre Delivery</x:v>
      </x:c>
      <x:c r="I1660" s="37" t="n">
        <x:v>46209</x:v>
      </x:c>
      <x:c r="J1660" s="37" t="n">
        <x:v>46209</x:v>
      </x:c>
      <x:c r="K1660" s="19" t="str">
        <x:v>Destiny RV - South Australia</x:v>
      </x:c>
      <x:c r="L1660" s="19" t="str">
        <x:v>Z005</x:v>
      </x:c>
      <x:c r="M1660" s="19" t="str">
        <x:v>Pre Delivery Warranty Claims</x:v>
      </x:c>
      <x:c r="N1660" s="37" t="n">
        <x:v>46141</x:v>
      </x:c>
      <x:c r="O1660" s="37"/>
      <x:c r="P1660" s="34" t="n">
        <x:v>0</x:v>
      </x:c>
      <x:c r="Q1660" s="37" t="n">
        <x:v>46209.045266203706</x:v>
      </x:c>
    </x:row>
    <x:row r="1661">
      <x:c r="A1661" s="22" t="n">
        <x:v>34210</x:v>
      </x:c>
      <x:c r="B1661" s="28" t="n">
        <x:v>145</x:v>
      </x:c>
      <x:c r="C1661" s="28"/>
      <x:c r="D1661" s="31" t="str">
        <x:f>IF(OR(ISBLANK(B1661),ISBLANK(C1661),B1661=0),"",(C1661-B1661)/B1661)</x:f>
      </x:c>
      <x:c r="E1661" s="22" t="str">
        <x:f>IF(ISBLANK(C1661),"AmountIncludingTax缺失",IF(ABS(B1661-C1661)&lt;0.005,"一致","不一致"))</x:f>
        <x:v>AmountIncludingTax缺失</x:v>
      </x:c>
      <x:c r="F1661" s="19" t="str">
        <x:v>approved</x:v>
      </x:c>
      <x:c r="G1661" s="19" t="str">
        <x:v>Repair in Progress</x:v>
      </x:c>
      <x:c r="H1661" s="19" t="str">
        <x:v>In Field</x:v>
      </x:c>
      <x:c r="I1661" s="37" t="n">
        <x:v>46143</x:v>
      </x:c>
      <x:c r="J1661" s="37" t="n">
        <x:v>46143</x:v>
      </x:c>
      <x:c r="K1661" s="19" t="str">
        <x:v>Green RV - Slacks Creek</x:v>
      </x:c>
      <x:c r="L1661" s="19" t="str">
        <x:v>Z006</x:v>
      </x:c>
      <x:c r="M1661" s="19" t="str">
        <x:v>In Field Warranty Claims</x:v>
      </x:c>
      <x:c r="N1661" s="37" t="n">
        <x:v>46141</x:v>
      </x:c>
      <x:c r="O1661" s="37"/>
      <x:c r="P1661" s="34" t="n">
        <x:v>0</x:v>
      </x:c>
      <x:c r="Q1661" s="37" t="n">
        <x:v>46143.079409722224</x:v>
      </x:c>
    </x:row>
    <x:row r="1662">
      <x:c r="A1662" s="22" t="n">
        <x:v>34209</x:v>
      </x:c>
      <x:c r="B1662" s="28" t="n">
        <x:v>202.5</x:v>
      </x:c>
      <x:c r="C1662" s="28"/>
      <x:c r="D1662" s="31" t="str">
        <x:f>IF(OR(ISBLANK(B1662),ISBLANK(C1662),B1662=0),"",(C1662-B1662)/B1662)</x:f>
      </x:c>
      <x:c r="E1662" s="22" t="str">
        <x:f>IF(ISBLANK(C1662),"AmountIncludingTax缺失",IF(ABS(B1662-C1662)&lt;0.005,"一致","不一致"))</x:f>
        <x:v>AmountIncludingTax缺失</x:v>
      </x:c>
      <x:c r="F1662" s="19" t="str">
        <x:v>approved</x:v>
      </x:c>
      <x:c r="G1662" s="19" t="str">
        <x:v>Sales Order Approved</x:v>
      </x:c>
      <x:c r="H1662" s="19" t="str">
        <x:v>Pre Delivery</x:v>
      </x:c>
      <x:c r="I1662" s="37" t="n">
        <x:v>46192</x:v>
      </x:c>
      <x:c r="J1662" s="37" t="n">
        <x:v>46192</x:v>
      </x:c>
      <x:c r="K1662" s="19" t="str">
        <x:v>Destiny RV - South Australia</x:v>
      </x:c>
      <x:c r="L1662" s="19" t="str">
        <x:v>Z005</x:v>
      </x:c>
      <x:c r="M1662" s="19" t="str">
        <x:v>Pre Delivery Warranty Claims</x:v>
      </x:c>
      <x:c r="N1662" s="37" t="n">
        <x:v>46141</x:v>
      </x:c>
      <x:c r="O1662" s="37"/>
      <x:c r="P1662" s="34" t="n">
        <x:v>0</x:v>
      </x:c>
      <x:c r="Q1662" s="37" t="n">
        <x:v>46192.115219907406</x:v>
      </x:c>
    </x:row>
    <x:row r="1663">
      <x:c r="A1663" s="22" t="n">
        <x:v>34208</x:v>
      </x:c>
      <x:c r="B1663" s="28" t="n">
        <x:v>1106.25</x:v>
      </x:c>
      <x:c r="C1663" s="28"/>
      <x:c r="D1663" s="31" t="str">
        <x:f>IF(OR(ISBLANK(B1663),ISBLANK(C1663),B1663=0),"",(C1663-B1663)/B1663)</x:f>
      </x:c>
      <x:c r="E1663" s="22" t="str">
        <x:f>IF(ISBLANK(C1663),"AmountIncludingTax缺失",IF(ABS(B1663-C1663)&lt;0.005,"一致","不一致"))</x:f>
        <x:v>AmountIncludingTax缺失</x:v>
      </x:c>
      <x:c r="F1663" s="19" t="str">
        <x:v>approved</x:v>
      </x:c>
      <x:c r="G1663" s="19" t="str">
        <x:v>Repair in Progress</x:v>
      </x:c>
      <x:c r="H1663" s="19" t="str">
        <x:v>In Field</x:v>
      </x:c>
      <x:c r="I1663" s="37" t="n">
        <x:v>46142</x:v>
      </x:c>
      <x:c r="J1663" s="37" t="n">
        <x:v>46142</x:v>
      </x:c>
      <x:c r="K1663" s="19" t="str">
        <x:v>Dario Caravans -St.Marys</x:v>
      </x:c>
      <x:c r="L1663" s="19" t="str">
        <x:v>Z006</x:v>
      </x:c>
      <x:c r="M1663" s="19" t="str">
        <x:v>In Field Warranty Claims</x:v>
      </x:c>
      <x:c r="N1663" s="37" t="n">
        <x:v>46141</x:v>
      </x:c>
      <x:c r="O1663" s="37"/>
      <x:c r="P1663" s="34" t="n">
        <x:v>0</x:v>
      </x:c>
      <x:c r="Q1663" s="37" t="n">
        <x:v>46142.116585648146</x:v>
      </x:c>
    </x:row>
    <x:row r="1664">
      <x:c r="A1664" s="22" t="n">
        <x:v>34207</x:v>
      </x:c>
      <x:c r="B1664" s="28" t="n">
        <x:v>135</x:v>
      </x:c>
      <x:c r="C1664" s="28"/>
      <x:c r="D1664" s="31" t="str">
        <x:f>IF(OR(ISBLANK(B1664),ISBLANK(C1664),B1664=0),"",(C1664-B1664)/B1664)</x:f>
      </x:c>
      <x:c r="E1664" s="22" t="str">
        <x:f>IF(ISBLANK(C1664),"AmountIncludingTax缺失",IF(ABS(B1664-C1664)&lt;0.005,"一致","不一致"))</x:f>
        <x:v>AmountIncludingTax缺失</x:v>
      </x:c>
      <x:c r="F1664" s="19" t="str">
        <x:v>approved</x:v>
      </x:c>
      <x:c r="G1664" s="19" t="str">
        <x:v>Repair in Progress</x:v>
      </x:c>
      <x:c r="H1664" s="19" t="str">
        <x:v>Pre Delivery</x:v>
      </x:c>
      <x:c r="I1664" s="37" t="n">
        <x:v>46192</x:v>
      </x:c>
      <x:c r="J1664" s="37" t="n">
        <x:v>46192</x:v>
      </x:c>
      <x:c r="K1664" s="19" t="str">
        <x:v>Destiny RV - South Australia</x:v>
      </x:c>
      <x:c r="L1664" s="19" t="str">
        <x:v>Z005</x:v>
      </x:c>
      <x:c r="M1664" s="19" t="str">
        <x:v>Pre Delivery Warranty Claims</x:v>
      </x:c>
      <x:c r="N1664" s="37" t="n">
        <x:v>46141</x:v>
      </x:c>
      <x:c r="O1664" s="37"/>
      <x:c r="P1664" s="34" t="n">
        <x:v>0</x:v>
      </x:c>
      <x:c r="Q1664" s="37" t="n">
        <x:v>46192.08112268519</x:v>
      </x:c>
    </x:row>
    <x:row r="1665">
      <x:c r="A1665" s="22" t="n">
        <x:v>34206</x:v>
      </x:c>
      <x:c r="B1665" s="28" t="n">
        <x:v>2390.11</x:v>
      </x:c>
      <x:c r="C1665" s="28"/>
      <x:c r="D1665" s="31" t="str">
        <x:f>IF(OR(ISBLANK(B1665),ISBLANK(C1665),B1665=0),"",(C1665-B1665)/B1665)</x:f>
      </x:c>
      <x:c r="E1665" s="22" t="str">
        <x:f>IF(ISBLANK(C1665),"AmountIncludingTax缺失",IF(ABS(B1665-C1665)&lt;0.005,"一致","不一致"))</x:f>
        <x:v>AmountIncludingTax缺失</x:v>
      </x:c>
      <x:c r="F1665" s="19" t="str">
        <x:v>approved</x:v>
      </x:c>
      <x:c r="G1665" s="19" t="str">
        <x:v>Repair in Progress</x:v>
      </x:c>
      <x:c r="H1665" s="19" t="str">
        <x:v>In Field</x:v>
      </x:c>
      <x:c r="I1665" s="37" t="n">
        <x:v>46147</x:v>
      </x:c>
      <x:c r="J1665" s="37" t="n">
        <x:v>46147</x:v>
      </x:c>
      <x:c r="K1665" s="19" t="str">
        <x:v>Regent RV - Toowoomba</x:v>
      </x:c>
      <x:c r="L1665" s="19" t="str">
        <x:v>Z006</x:v>
      </x:c>
      <x:c r="M1665" s="19" t="str">
        <x:v>In Field Warranty Claims</x:v>
      </x:c>
      <x:c r="N1665" s="37" t="n">
        <x:v>46141</x:v>
      </x:c>
      <x:c r="O1665" s="37"/>
      <x:c r="P1665" s="34" t="n">
        <x:v>2629.12</x:v>
      </x:c>
      <x:c r="Q1665" s="37" t="n">
        <x:v>46147.182800925926</x:v>
      </x:c>
    </x:row>
    <x:row r="1666">
      <x:c r="A1666" s="22" t="n">
        <x:v>34205</x:v>
      </x:c>
      <x:c r="B1666" s="28" t="n">
        <x:v>607.5</x:v>
      </x:c>
      <x:c r="C1666" s="28"/>
      <x:c r="D1666" s="31" t="str">
        <x:f>IF(OR(ISBLANK(B1666),ISBLANK(C1666),B1666=0),"",(C1666-B1666)/B1666)</x:f>
      </x:c>
      <x:c r="E1666" s="22" t="str">
        <x:f>IF(ISBLANK(C1666),"AmountIncludingTax缺失",IF(ABS(B1666-C1666)&lt;0.005,"一致","不一致"))</x:f>
        <x:v>AmountIncludingTax缺失</x:v>
      </x:c>
      <x:c r="F1666" s="19" t="str">
        <x:v>approved</x:v>
      </x:c>
      <x:c r="G1666" s="19" t="str">
        <x:v>Repair in Progress</x:v>
      </x:c>
      <x:c r="H1666" s="19" t="str">
        <x:v>In Field</x:v>
      </x:c>
      <x:c r="I1666" s="37" t="n">
        <x:v>46155</x:v>
      </x:c>
      <x:c r="J1666" s="37" t="n">
        <x:v>46155</x:v>
      </x:c>
      <x:c r="K1666" s="19" t="str">
        <x:v>Regent RV - Perth</x:v>
      </x:c>
      <x:c r="L1666" s="19" t="str">
        <x:v>Z006</x:v>
      </x:c>
      <x:c r="M1666" s="19" t="str">
        <x:v>In Field Warranty Claims</x:v>
      </x:c>
      <x:c r="N1666" s="37" t="n">
        <x:v>46141</x:v>
      </x:c>
      <x:c r="O1666" s="37"/>
      <x:c r="P1666" s="34" t="n">
        <x:v>0</x:v>
      </x:c>
      <x:c r="Q1666" s="37" t="n">
        <x:v>46155.19818287037</x:v>
      </x:c>
    </x:row>
    <x:row r="1667">
      <x:c r="A1667" s="22" t="n">
        <x:v>34204</x:v>
      </x:c>
      <x:c r="B1667" s="28" t="n">
        <x:v>2079.7</x:v>
      </x:c>
      <x:c r="C1667" s="28"/>
      <x:c r="D1667" s="31" t="str">
        <x:f>IF(OR(ISBLANK(B1667),ISBLANK(C1667),B1667=0),"",(C1667-B1667)/B1667)</x:f>
      </x:c>
      <x:c r="E1667" s="22" t="str">
        <x:f>IF(ISBLANK(C1667),"AmountIncludingTax缺失",IF(ABS(B1667-C1667)&lt;0.005,"一致","不一致"))</x:f>
        <x:v>AmountIncludingTax缺失</x:v>
      </x:c>
      <x:c r="F1667" s="19" t="str">
        <x:v>approved</x:v>
      </x:c>
      <x:c r="G1667" s="19" t="str">
        <x:v>Repairer Invoiced Processed</x:v>
      </x:c>
      <x:c r="H1667" s="19" t="str">
        <x:v>In Field</x:v>
      </x:c>
      <x:c r="I1667" s="37" t="n">
        <x:v>46142</x:v>
      </x:c>
      <x:c r="J1667" s="37" t="n">
        <x:v>46142</x:v>
      </x:c>
      <x:c r="K1667" s="19" t="str">
        <x:v>Green RV - Slacks Creek</x:v>
      </x:c>
      <x:c r="L1667" s="19" t="str">
        <x:v>Z006</x:v>
      </x:c>
      <x:c r="M1667" s="19" t="str">
        <x:v>In Field Warranty Claims</x:v>
      </x:c>
      <x:c r="N1667" s="37" t="n">
        <x:v>46141</x:v>
      </x:c>
      <x:c r="O1667" s="37"/>
      <x:c r="P1667" s="34" t="n">
        <x:v>2287.67</x:v>
      </x:c>
      <x:c r="Q1667" s="37" t="n">
        <x:v>46142.45446759259</x:v>
      </x:c>
    </x:row>
    <x:row r="1668">
      <x:c r="A1668" s="22" t="n">
        <x:v>34203</x:v>
      </x:c>
      <x:c r="B1668" s="28" t="n">
        <x:v>202.5</x:v>
      </x:c>
      <x:c r="C1668" s="28"/>
      <x:c r="D1668" s="31" t="str">
        <x:f>IF(OR(ISBLANK(B1668),ISBLANK(C1668),B1668=0),"",(C1668-B1668)/B1668)</x:f>
      </x:c>
      <x:c r="E1668" s="22" t="str">
        <x:f>IF(ISBLANK(C1668),"AmountIncludingTax缺失",IF(ABS(B1668-C1668)&lt;0.005,"一致","不一致"))</x:f>
        <x:v>AmountIncludingTax缺失</x:v>
      </x:c>
      <x:c r="F1668" s="19" t="str">
        <x:v>approved</x:v>
      </x:c>
      <x:c r="G1668" s="19" t="str">
        <x:v>Repair in Progress</x:v>
      </x:c>
      <x:c r="H1668" s="19" t="str">
        <x:v>Pre Delivery</x:v>
      </x:c>
      <x:c r="I1668" s="37" t="n">
        <x:v>46183</x:v>
      </x:c>
      <x:c r="J1668" s="37" t="n">
        <x:v>46183</x:v>
      </x:c>
      <x:c r="K1668" s="19" t="str">
        <x:v>Destiny RV - South Australia</x:v>
      </x:c>
      <x:c r="L1668" s="19" t="str">
        <x:v>Z005</x:v>
      </x:c>
      <x:c r="M1668" s="19" t="str">
        <x:v>Pre Delivery Warranty Claims</x:v>
      </x:c>
      <x:c r="N1668" s="37" t="n">
        <x:v>46141</x:v>
      </x:c>
      <x:c r="O1668" s="37"/>
      <x:c r="P1668" s="34" t="n">
        <x:v>0</x:v>
      </x:c>
      <x:c r="Q1668" s="37" t="n">
        <x:v>46183.19149305556</x:v>
      </x:c>
    </x:row>
    <x:row r="1669">
      <x:c r="A1669" s="22" t="n">
        <x:v>34202</x:v>
      </x:c>
      <x:c r="B1669" s="28" t="n">
        <x:v>381.25</x:v>
      </x:c>
      <x:c r="C1669" s="28"/>
      <x:c r="D1669" s="31" t="str">
        <x:f>IF(OR(ISBLANK(B1669),ISBLANK(C1669),B1669=0),"",(C1669-B1669)/B1669)</x:f>
      </x:c>
      <x:c r="E1669" s="22" t="str">
        <x:f>IF(ISBLANK(C1669),"AmountIncludingTax缺失",IF(ABS(B1669-C1669)&lt;0.005,"一致","不一致"))</x:f>
        <x:v>AmountIncludingTax缺失</x:v>
      </x:c>
      <x:c r="F1669" s="19" t="str">
        <x:v>approved</x:v>
      </x:c>
      <x:c r="G1669" s="19" t="str">
        <x:v>Partially Picked</x:v>
      </x:c>
      <x:c r="H1669" s="19" t="str">
        <x:v>In Field</x:v>
      </x:c>
      <x:c r="I1669" s="37" t="n">
        <x:v>46154</x:v>
      </x:c>
      <x:c r="J1669" s="37" t="n">
        <x:v>46154</x:v>
      </x:c>
      <x:c r="K1669" s="19" t="str">
        <x:v>Snowy River Wangaratta</x:v>
      </x:c>
      <x:c r="L1669" s="19" t="str">
        <x:v>Z006</x:v>
      </x:c>
      <x:c r="M1669" s="19" t="str">
        <x:v>In Field Warranty Claims</x:v>
      </x:c>
      <x:c r="N1669" s="37" t="n">
        <x:v>46141</x:v>
      </x:c>
      <x:c r="O1669" s="37"/>
      <x:c r="P1669" s="34" t="n">
        <x:v>0</x:v>
      </x:c>
      <x:c r="Q1669" s="37" t="n">
        <x:v>46154.06597222222</x:v>
      </x:c>
    </x:row>
    <x:row r="1670">
      <x:c r="A1670" s="22" t="n">
        <x:v>34201</x:v>
      </x:c>
      <x:c r="B1670" s="28" t="n">
        <x:v>101.25</x:v>
      </x:c>
      <x:c r="C1670" s="28"/>
      <x:c r="D1670" s="31" t="str">
        <x:f>IF(OR(ISBLANK(B1670),ISBLANK(C1670),B1670=0),"",(C1670-B1670)/B1670)</x:f>
      </x:c>
      <x:c r="E1670" s="22" t="str">
        <x:f>IF(ISBLANK(C1670),"AmountIncludingTax缺失",IF(ABS(B1670-C1670)&lt;0.005,"一致","不一致"))</x:f>
        <x:v>AmountIncludingTax缺失</x:v>
      </x:c>
      <x:c r="F1670" s="19" t="str">
        <x:v>approved</x:v>
      </x:c>
      <x:c r="G1670" s="19" t="str">
        <x:v>Repair in Progress</x:v>
      </x:c>
      <x:c r="H1670" s="19" t="str">
        <x:v>In Field</x:v>
      </x:c>
      <x:c r="I1670" s="37" t="n">
        <x:v>46153</x:v>
      </x:c>
      <x:c r="J1670" s="37" t="n">
        <x:v>46153</x:v>
      </x:c>
      <x:c r="K1670" s="19" t="str">
        <x:v>Regent RV - Perth</x:v>
      </x:c>
      <x:c r="L1670" s="19" t="str">
        <x:v>Z006</x:v>
      </x:c>
      <x:c r="M1670" s="19" t="str">
        <x:v>In Field Warranty Claims</x:v>
      </x:c>
      <x:c r="N1670" s="37" t="n">
        <x:v>46141</x:v>
      </x:c>
      <x:c r="O1670" s="37"/>
      <x:c r="P1670" s="34" t="n">
        <x:v>0</x:v>
      </x:c>
      <x:c r="Q1670" s="37" t="n">
        <x:v>46153.02637731482</x:v>
      </x:c>
    </x:row>
    <x:row r="1671">
      <x:c r="A1671" s="22" t="n">
        <x:v>34200</x:v>
      </x:c>
      <x:c r="B1671" s="28" t="n">
        <x:v>1515</x:v>
      </x:c>
      <x:c r="C1671" s="28"/>
      <x:c r="D1671" s="31" t="str">
        <x:f>IF(OR(ISBLANK(B1671),ISBLANK(C1671),B1671=0),"",(C1671-B1671)/B1671)</x:f>
      </x:c>
      <x:c r="E1671" s="22" t="str">
        <x:f>IF(ISBLANK(C1671),"AmountIncludingTax缺失",IF(ABS(B1671-C1671)&lt;0.005,"一致","不一致"))</x:f>
        <x:v>AmountIncludingTax缺失</x:v>
      </x:c>
      <x:c r="F1671" s="19" t="str">
        <x:v>approved</x:v>
      </x:c>
      <x:c r="G1671" s="19" t="str">
        <x:v>Repairer Invoiced Processed</x:v>
      </x:c>
      <x:c r="H1671" s="19" t="str">
        <x:v>Pre Delivery</x:v>
      </x:c>
      <x:c r="I1671" s="37" t="n">
        <x:v>46157</x:v>
      </x:c>
      <x:c r="J1671" s="37" t="n">
        <x:v>46157</x:v>
      </x:c>
      <x:c r="K1671" s="19" t="str">
        <x:v>Lesiure Lion-New Castle</x:v>
      </x:c>
      <x:c r="L1671" s="19" t="str">
        <x:v>Z005</x:v>
      </x:c>
      <x:c r="M1671" s="19" t="str">
        <x:v>Pre Delivery Warranty Claims</x:v>
      </x:c>
      <x:c r="N1671" s="37" t="n">
        <x:v>46140</x:v>
      </x:c>
      <x:c r="O1671" s="37"/>
      <x:c r="P1671" s="34" t="n">
        <x:v>0</x:v>
      </x:c>
      <x:c r="Q1671" s="37" t="n">
        <x:v>46156.95746527778</x:v>
      </x:c>
    </x:row>
    <x:row r="1672">
      <x:c r="A1672" s="22" t="n">
        <x:v>34198</x:v>
      </x:c>
      <x:c r="B1672" s="28" t="n">
        <x:v>425</x:v>
      </x:c>
      <x:c r="C1672" s="28"/>
      <x:c r="D1672" s="31" t="str">
        <x:f>IF(OR(ISBLANK(B1672),ISBLANK(C1672),B1672=0),"",(C1672-B1672)/B1672)</x:f>
      </x:c>
      <x:c r="E1672" s="22" t="str">
        <x:f>IF(ISBLANK(C1672),"AmountIncludingTax缺失",IF(ABS(B1672-C1672)&lt;0.005,"一致","不一致"))</x:f>
        <x:v>AmountIncludingTax缺失</x:v>
      </x:c>
      <x:c r="F1672" s="19" t="str">
        <x:v>approved</x:v>
      </x:c>
      <x:c r="G1672" s="19" t="str">
        <x:v>Repairer Invoiced Processed</x:v>
      </x:c>
      <x:c r="H1672" s="19" t="str">
        <x:v>In Field</x:v>
      </x:c>
      <x:c r="I1672" s="37" t="n">
        <x:v>46176</x:v>
      </x:c>
      <x:c r="J1672" s="37" t="n">
        <x:v>46176</x:v>
      </x:c>
      <x:c r="K1672" s="19" t="str">
        <x:v>Regent RV - Toowoomba</x:v>
      </x:c>
      <x:c r="L1672" s="19" t="str">
        <x:v>Z006</x:v>
      </x:c>
      <x:c r="M1672" s="19" t="str">
        <x:v>In Field Warranty Claims</x:v>
      </x:c>
      <x:c r="N1672" s="37" t="n">
        <x:v>46140</x:v>
      </x:c>
      <x:c r="O1672" s="37"/>
      <x:c r="P1672" s="34" t="n">
        <x:v>0</x:v>
      </x:c>
      <x:c r="Q1672" s="37" t="n">
        <x:v>46176.124560185184</x:v>
      </x:c>
    </x:row>
    <x:row r="1673">
      <x:c r="A1673" s="22" t="n">
        <x:v>34197</x:v>
      </x:c>
      <x:c r="B1673" s="28" t="n">
        <x:v>135</x:v>
      </x:c>
      <x:c r="C1673" s="28"/>
      <x:c r="D1673" s="31" t="str">
        <x:f>IF(OR(ISBLANK(B1673),ISBLANK(C1673),B1673=0),"",(C1673-B1673)/B1673)</x:f>
      </x:c>
      <x:c r="E1673" s="22" t="str">
        <x:f>IF(ISBLANK(C1673),"AmountIncludingTax缺失",IF(ABS(B1673-C1673)&lt;0.005,"一致","不一致"))</x:f>
        <x:v>AmountIncludingTax缺失</x:v>
      </x:c>
      <x:c r="F1673" s="19" t="str">
        <x:v>approved</x:v>
      </x:c>
      <x:c r="G1673" s="19" t="str">
        <x:v>Repair in Progress</x:v>
      </x:c>
      <x:c r="H1673" s="19" t="str">
        <x:v>In Field</x:v>
      </x:c>
      <x:c r="I1673" s="37" t="n">
        <x:v>46149</x:v>
      </x:c>
      <x:c r="J1673" s="37" t="n">
        <x:v>46149</x:v>
      </x:c>
      <x:c r="K1673" s="19" t="str">
        <x:v>Regent RV - Frankston</x:v>
      </x:c>
      <x:c r="L1673" s="19" t="str">
        <x:v>Z006</x:v>
      </x:c>
      <x:c r="M1673" s="19" t="str">
        <x:v>In Field Warranty Claims</x:v>
      </x:c>
      <x:c r="N1673" s="37" t="n">
        <x:v>46140</x:v>
      </x:c>
      <x:c r="O1673" s="37"/>
      <x:c r="P1673" s="34" t="n">
        <x:v>0</x:v>
      </x:c>
      <x:c r="Q1673" s="37" t="n">
        <x:v>46149.10891203704</x:v>
      </x:c>
    </x:row>
    <x:row r="1674">
      <x:c r="A1674" s="22" t="n">
        <x:v>34196</x:v>
      </x:c>
      <x:c r="B1674" s="28" t="n">
        <x:v>527.77</x:v>
      </x:c>
      <x:c r="C1674" s="28" t="n">
        <x:v>580.55</x:v>
      </x:c>
      <x:c r="D1674" s="31" t="n">
        <x:f>IF(OR(ISBLANK(B1674),ISBLANK(C1674),B1674=0),"",(C1674-B1674)/B1674)</x:f>
        <x:v>0.10000568429429481</x:v>
      </x:c>
      <x:c r="E1674" s="22" t="str">
        <x:f>IF(ISBLANK(C1674),"AmountIncludingTax缺失",IF(ABS(B1674-C1674)&lt;0.005,"一致","不一致"))</x:f>
        <x:v>不一致</x:v>
      </x:c>
      <x:c r="F1674" s="19" t="str">
        <x:v>approved</x:v>
      </x:c>
      <x:c r="G1674" s="19" t="str">
        <x:v>Repair in Progress</x:v>
      </x:c>
      <x:c r="H1674" s="19" t="str">
        <x:v>In Field</x:v>
      </x:c>
      <x:c r="I1674" s="37" t="n">
        <x:v>46149</x:v>
      </x:c>
      <x:c r="J1674" s="37" t="n">
        <x:v>46149</x:v>
      </x:c>
      <x:c r="K1674" s="19" t="str">
        <x:v>Regent RV - Perth</x:v>
      </x:c>
      <x:c r="L1674" s="19" t="str">
        <x:v>Z006</x:v>
      </x:c>
      <x:c r="M1674" s="19" t="str">
        <x:v>In Field Warranty Claims</x:v>
      </x:c>
      <x:c r="N1674" s="37" t="n">
        <x:v>46140</x:v>
      </x:c>
      <x:c r="O1674" s="37"/>
      <x:c r="P1674" s="34" t="n">
        <x:v>580.55</x:v>
      </x:c>
      <x:c r="Q1674" s="37" t="n">
        <x:v>46149.08765046296</x:v>
      </x:c>
    </x:row>
    <x:row r="1675">
      <x:c r="A1675" s="22" t="n">
        <x:v>34195</x:v>
      </x:c>
      <x:c r="B1675" s="28" t="n">
        <x:v>375.18</x:v>
      </x:c>
      <x:c r="C1675" s="28" t="n">
        <x:v>412.7</x:v>
      </x:c>
      <x:c r="D1675" s="31" t="n">
        <x:f>IF(OR(ISBLANK(B1675),ISBLANK(C1675),B1675=0),"",(C1675-B1675)/B1675)</x:f>
        <x:v>0.10000533077456149</x:v>
      </x:c>
      <x:c r="E1675" s="22" t="str">
        <x:f>IF(ISBLANK(C1675),"AmountIncludingTax缺失",IF(ABS(B1675-C1675)&lt;0.005,"一致","不一致"))</x:f>
        <x:v>不一致</x:v>
      </x:c>
      <x:c r="F1675" s="19" t="str">
        <x:v>approved</x:v>
      </x:c>
      <x:c r="G1675" s="19" t="str">
        <x:v>Repair in Progress</x:v>
      </x:c>
      <x:c r="H1675" s="19" t="str">
        <x:v>In Field</x:v>
      </x:c>
      <x:c r="I1675" s="37" t="n">
        <x:v>46149</x:v>
      </x:c>
      <x:c r="J1675" s="37" t="n">
        <x:v>46149</x:v>
      </x:c>
      <x:c r="K1675" s="19" t="str">
        <x:v>Regent RV - Perth</x:v>
      </x:c>
      <x:c r="L1675" s="19" t="str">
        <x:v>Z006</x:v>
      </x:c>
      <x:c r="M1675" s="19" t="str">
        <x:v>In Field Warranty Claims</x:v>
      </x:c>
      <x:c r="N1675" s="37" t="n">
        <x:v>46140</x:v>
      </x:c>
      <x:c r="O1675" s="37"/>
      <x:c r="P1675" s="34" t="n">
        <x:v>412.7</x:v>
      </x:c>
      <x:c r="Q1675" s="37" t="n">
        <x:v>46149.03402777778</x:v>
      </x:c>
    </x:row>
    <x:row r="1676">
      <x:c r="A1676" s="22" t="n">
        <x:v>34194</x:v>
      </x:c>
      <x:c r="B1676" s="28" t="n">
        <x:v>962.49</x:v>
      </x:c>
      <x:c r="C1676" s="28"/>
      <x:c r="D1676" s="31" t="str">
        <x:f>IF(OR(ISBLANK(B1676),ISBLANK(C1676),B1676=0),"",(C1676-B1676)/B1676)</x:f>
      </x:c>
      <x:c r="E1676" s="22" t="str">
        <x:f>IF(ISBLANK(C1676),"AmountIncludingTax缺失",IF(ABS(B1676-C1676)&lt;0.005,"一致","不一致"))</x:f>
        <x:v>AmountIncludingTax缺失</x:v>
      </x:c>
      <x:c r="F1676" s="19" t="str">
        <x:v>approved</x:v>
      </x:c>
      <x:c r="G1676" s="19" t="str">
        <x:v>Repair in Progress</x:v>
      </x:c>
      <x:c r="H1676" s="19" t="str">
        <x:v>In Field</x:v>
      </x:c>
      <x:c r="I1676" s="37" t="n">
        <x:v>46142</x:v>
      </x:c>
      <x:c r="J1676" s="37" t="n">
        <x:v>46142</x:v>
      </x:c>
      <x:c r="K1676" s="19" t="str">
        <x:v>Green RV - Forest Glen</x:v>
      </x:c>
      <x:c r="L1676" s="19" t="str">
        <x:v>Z006</x:v>
      </x:c>
      <x:c r="M1676" s="19" t="str">
        <x:v>In Field Warranty Claims</x:v>
      </x:c>
      <x:c r="N1676" s="37" t="n">
        <x:v>46140</x:v>
      </x:c>
      <x:c r="O1676" s="37"/>
      <x:c r="P1676" s="34" t="n">
        <x:v>0</x:v>
      </x:c>
      <x:c r="Q1676" s="37" t="n">
        <x:v>46142.11748842592</x:v>
      </x:c>
    </x:row>
    <x:row r="1677">
      <x:c r="A1677" s="22" t="n">
        <x:v>34193</x:v>
      </x:c>
      <x:c r="B1677" s="28" t="n">
        <x:v>435</x:v>
      </x:c>
      <x:c r="C1677" s="28" t="n">
        <x:v>478.5</x:v>
      </x:c>
      <x:c r="D1677" s="31" t="n">
        <x:f>IF(OR(ISBLANK(B1677),ISBLANK(C1677),B1677=0),"",(C1677-B1677)/B1677)</x:f>
        <x:v>0.1</x:v>
      </x:c>
      <x:c r="E1677" s="22" t="str">
        <x:f>IF(ISBLANK(C1677),"AmountIncludingTax缺失",IF(ABS(B1677-C1677)&lt;0.005,"一致","不一致"))</x:f>
        <x:v>不一致</x:v>
      </x:c>
      <x:c r="F1677" s="19" t="str">
        <x:v>approved</x:v>
      </x:c>
      <x:c r="G1677" s="19" t="str">
        <x:v>Repairer Invoiced Processed</x:v>
      </x:c>
      <x:c r="H1677" s="19" t="str">
        <x:v>In Field</x:v>
      </x:c>
      <x:c r="I1677" s="37" t="n">
        <x:v>46141</x:v>
      </x:c>
      <x:c r="J1677" s="37" t="n">
        <x:v>46141</x:v>
      </x:c>
      <x:c r="K1677" s="19" t="str">
        <x:v>QCCC - Gympie</x:v>
      </x:c>
      <x:c r="L1677" s="19" t="str">
        <x:v>Z006</x:v>
      </x:c>
      <x:c r="M1677" s="19" t="str">
        <x:v>In Field Warranty Claims</x:v>
      </x:c>
      <x:c r="N1677" s="37" t="n">
        <x:v>46140</x:v>
      </x:c>
      <x:c r="O1677" s="37"/>
      <x:c r="P1677" s="34" t="n">
        <x:v>478.5</x:v>
      </x:c>
      <x:c r="Q1677" s="37" t="n">
        <x:v>46141.12265046296</x:v>
      </x:c>
    </x:row>
    <x:row r="1678">
      <x:c r="A1678" s="22" t="n">
        <x:v>34191</x:v>
      </x:c>
      <x:c r="B1678" s="28" t="n">
        <x:v>1206.36</x:v>
      </x:c>
      <x:c r="C1678" s="28"/>
      <x:c r="D1678" s="31" t="str">
        <x:f>IF(OR(ISBLANK(B1678),ISBLANK(C1678),B1678=0),"",(C1678-B1678)/B1678)</x:f>
      </x:c>
      <x:c r="E1678" s="22" t="str">
        <x:f>IF(ISBLANK(C1678),"AmountIncludingTax缺失",IF(ABS(B1678-C1678)&lt;0.005,"一致","不一致"))</x:f>
        <x:v>AmountIncludingTax缺失</x:v>
      </x:c>
      <x:c r="F1678" s="19" t="str">
        <x:v>approved</x:v>
      </x:c>
      <x:c r="G1678" s="19" t="str">
        <x:v>Repairer Invoiced Processed</x:v>
      </x:c>
      <x:c r="H1678" s="19" t="str">
        <x:v>In Field</x:v>
      </x:c>
      <x:c r="I1678" s="37" t="n">
        <x:v>46142</x:v>
      </x:c>
      <x:c r="J1678" s="37" t="n">
        <x:v>46142</x:v>
      </x:c>
      <x:c r="K1678" s="19" t="str">
        <x:v>Green RV - Slacks Creek</x:v>
      </x:c>
      <x:c r="L1678" s="19" t="str">
        <x:v>Z006</x:v>
      </x:c>
      <x:c r="M1678" s="19" t="str">
        <x:v>In Field Warranty Claims</x:v>
      </x:c>
      <x:c r="N1678" s="37" t="n">
        <x:v>46140</x:v>
      </x:c>
      <x:c r="O1678" s="37"/>
      <x:c r="P1678" s="34" t="n">
        <x:v>0</x:v>
      </x:c>
      <x:c r="Q1678" s="37" t="n">
        <x:v>46142.45359953704</x:v>
      </x:c>
    </x:row>
    <x:row r="1679">
      <x:c r="A1679" s="22" t="n">
        <x:v>34189</x:v>
      </x:c>
      <x:c r="B1679" s="28" t="n">
        <x:v>645</x:v>
      </x:c>
      <x:c r="C1679" s="28" t="n">
        <x:v>709.5</x:v>
      </x:c>
      <x:c r="D1679" s="31" t="n">
        <x:f>IF(OR(ISBLANK(B1679),ISBLANK(C1679),B1679=0),"",(C1679-B1679)/B1679)</x:f>
        <x:v>0.1</x:v>
      </x:c>
      <x:c r="E1679" s="22" t="str">
        <x:f>IF(ISBLANK(C1679),"AmountIncludingTax缺失",IF(ABS(B1679-C1679)&lt;0.005,"一致","不一致"))</x:f>
        <x:v>不一致</x:v>
      </x:c>
      <x:c r="F1679" s="19" t="str">
        <x:v>approved</x:v>
      </x:c>
      <x:c r="G1679" s="19" t="str">
        <x:v>Repairer Invoiced Processed</x:v>
      </x:c>
      <x:c r="H1679" s="19" t="str">
        <x:v>In Field</x:v>
      </x:c>
      <x:c r="I1679" s="37" t="n">
        <x:v>46163</x:v>
      </x:c>
      <x:c r="J1679" s="37" t="n">
        <x:v>46163</x:v>
      </x:c>
      <x:c r="K1679" s="19" t="str">
        <x:v>Not Assigned</x:v>
      </x:c>
      <x:c r="L1679" s="19" t="str">
        <x:v>Z006</x:v>
      </x:c>
      <x:c r="M1679" s="19" t="str">
        <x:v>In Field Warranty Claims</x:v>
      </x:c>
      <x:c r="N1679" s="37" t="n">
        <x:v>46141</x:v>
      </x:c>
      <x:c r="O1679" s="37"/>
      <x:c r="P1679" s="34" t="n">
        <x:v>709.5</x:v>
      </x:c>
      <x:c r="Q1679" s="37" t="n">
        <x:v>46163.12265046296</x:v>
      </x:c>
    </x:row>
    <x:row r="1680">
      <x:c r="A1680" s="22" t="n">
        <x:v>34188</x:v>
      </x:c>
      <x:c r="B1680" s="28" t="n">
        <x:v>492.5</x:v>
      </x:c>
      <x:c r="C1680" s="28"/>
      <x:c r="D1680" s="31" t="str">
        <x:f>IF(OR(ISBLANK(B1680),ISBLANK(C1680),B1680=0),"",(C1680-B1680)/B1680)</x:f>
      </x:c>
      <x:c r="E1680" s="22" t="str">
        <x:f>IF(ISBLANK(C1680),"AmountIncludingTax缺失",IF(ABS(B1680-C1680)&lt;0.005,"一致","不一致"))</x:f>
        <x:v>AmountIncludingTax缺失</x:v>
      </x:c>
      <x:c r="F1680" s="19" t="str">
        <x:v>approved</x:v>
      </x:c>
      <x:c r="G1680" s="19" t="str">
        <x:v>Repair in Progress</x:v>
      </x:c>
      <x:c r="H1680" s="19" t="str">
        <x:v>Pre Delivery</x:v>
      </x:c>
      <x:c r="I1680" s="37" t="n">
        <x:v>46147</x:v>
      </x:c>
      <x:c r="J1680" s="37" t="n">
        <x:v>46147</x:v>
      </x:c>
      <x:c r="K1680" s="19" t="str">
        <x:v>Snowy River Wangaratta</x:v>
      </x:c>
      <x:c r="L1680" s="19" t="str">
        <x:v>Z005</x:v>
      </x:c>
      <x:c r="M1680" s="19" t="str">
        <x:v>Pre Delivery Warranty Claims</x:v>
      </x:c>
      <x:c r="N1680" s="37" t="n">
        <x:v>46140</x:v>
      </x:c>
      <x:c r="O1680" s="37"/>
      <x:c r="P1680" s="34" t="n">
        <x:v>0</x:v>
      </x:c>
      <x:c r="Q1680" s="37" t="n">
        <x:v>46146.98090277778</x:v>
      </x:c>
    </x:row>
    <x:row r="1681">
      <x:c r="A1681" s="22" t="n">
        <x:v>34187</x:v>
      </x:c>
      <x:c r="B1681" s="28" t="n">
        <x:v>675</x:v>
      </x:c>
      <x:c r="C1681" s="28" t="n">
        <x:v>742.5</x:v>
      </x:c>
      <x:c r="D1681" s="31" t="n">
        <x:f>IF(OR(ISBLANK(B1681),ISBLANK(C1681),B1681=0),"",(C1681-B1681)/B1681)</x:f>
        <x:v>0.1</x:v>
      </x:c>
      <x:c r="E1681" s="22" t="str">
        <x:f>IF(ISBLANK(C1681),"AmountIncludingTax缺失",IF(ABS(B1681-C1681)&lt;0.005,"一致","不一致"))</x:f>
        <x:v>不一致</x:v>
      </x:c>
      <x:c r="F1681" s="19" t="str">
        <x:v>approved</x:v>
      </x:c>
      <x:c r="G1681" s="19" t="str">
        <x:v>Repairer Invoiced Processed</x:v>
      </x:c>
      <x:c r="H1681" s="19" t="str">
        <x:v>In Field</x:v>
      </x:c>
      <x:c r="I1681" s="37" t="n">
        <x:v>46141</x:v>
      </x:c>
      <x:c r="J1681" s="37" t="n">
        <x:v>46141</x:v>
      </x:c>
      <x:c r="K1681" s="19" t="str">
        <x:v>Green RV - Forest Glen</x:v>
      </x:c>
      <x:c r="L1681" s="19" t="str">
        <x:v>Z006</x:v>
      </x:c>
      <x:c r="M1681" s="19" t="str">
        <x:v>In Field Warranty Claims</x:v>
      </x:c>
      <x:c r="N1681" s="37" t="n">
        <x:v>46140</x:v>
      </x:c>
      <x:c r="O1681" s="37"/>
      <x:c r="P1681" s="34" t="n">
        <x:v>742.5</x:v>
      </x:c>
      <x:c r="Q1681" s="37" t="n">
        <x:v>46141.199583333335</x:v>
      </x:c>
    </x:row>
    <x:row r="1682">
      <x:c r="A1682" s="22" t="n">
        <x:v>34186</x:v>
      </x:c>
      <x:c r="B1682" s="28" t="n">
        <x:v>1201.6</x:v>
      </x:c>
      <x:c r="C1682" s="28"/>
      <x:c r="D1682" s="31" t="str">
        <x:f>IF(OR(ISBLANK(B1682),ISBLANK(C1682),B1682=0),"",(C1682-B1682)/B1682)</x:f>
      </x:c>
      <x:c r="E1682" s="22" t="str">
        <x:f>IF(ISBLANK(C1682),"AmountIncludingTax缺失",IF(ABS(B1682-C1682)&lt;0.005,"一致","不一致"))</x:f>
        <x:v>AmountIncludingTax缺失</x:v>
      </x:c>
      <x:c r="F1682" s="19" t="str">
        <x:v>approved</x:v>
      </x:c>
      <x:c r="G1682" s="19" t="str">
        <x:v>Repair in Progress</x:v>
      </x:c>
      <x:c r="H1682" s="19" t="str">
        <x:v>In Field</x:v>
      </x:c>
      <x:c r="I1682" s="37" t="n">
        <x:v>46148</x:v>
      </x:c>
      <x:c r="J1682" s="37" t="n">
        <x:v>46148</x:v>
      </x:c>
      <x:c r="K1682" s="19" t="str">
        <x:v>Vanari Caravans - Marden Point</x:v>
      </x:c>
      <x:c r="L1682" s="19" t="str">
        <x:v>Z006</x:v>
      </x:c>
      <x:c r="M1682" s="19" t="str">
        <x:v>In Field Warranty Claims</x:v>
      </x:c>
      <x:c r="N1682" s="37" t="n">
        <x:v>46140</x:v>
      </x:c>
      <x:c r="O1682" s="37"/>
      <x:c r="P1682" s="34" t="n">
        <x:v>1087.93</x:v>
      </x:c>
      <x:c r="Q1682" s="37" t="n">
        <x:v>46148.25916666666</x:v>
      </x:c>
    </x:row>
    <x:row r="1683">
      <x:c r="A1683" s="22" t="n">
        <x:v>34185</x:v>
      </x:c>
      <x:c r="B1683" s="28" t="n">
        <x:v>122.75</x:v>
      </x:c>
      <x:c r="C1683" s="28" t="n">
        <x:v>111.14</x:v>
      </x:c>
      <x:c r="D1683" s="31" t="n">
        <x:f>IF(OR(ISBLANK(B1683),ISBLANK(C1683),B1683=0),"",(C1683-B1683)/B1683)</x:f>
        <x:v>-0.09458248472505092</x:v>
      </x:c>
      <x:c r="E1683" s="22" t="str">
        <x:f>IF(ISBLANK(C1683),"AmountIncludingTax缺失",IF(ABS(B1683-C1683)&lt;0.005,"一致","不一致"))</x:f>
        <x:v>不一致</x:v>
      </x:c>
      <x:c r="F1683" s="19" t="str">
        <x:v>approved</x:v>
      </x:c>
      <x:c r="G1683" s="19" t="str">
        <x:v>Repairer Invoiced Processed</x:v>
      </x:c>
      <x:c r="H1683" s="19" t="str">
        <x:v>In Field</x:v>
      </x:c>
      <x:c r="I1683" s="37" t="n">
        <x:v>46162</x:v>
      </x:c>
      <x:c r="J1683" s="37" t="n">
        <x:v>46162</x:v>
      </x:c>
      <x:c r="K1683" s="19" t="str">
        <x:v>Vanari Caravans - Marden Point</x:v>
      </x:c>
      <x:c r="L1683" s="19" t="str">
        <x:v>Z006</x:v>
      </x:c>
      <x:c r="M1683" s="19" t="str">
        <x:v>In Field Warranty Claims</x:v>
      </x:c>
      <x:c r="N1683" s="37" t="n">
        <x:v>46140</x:v>
      </x:c>
      <x:c r="O1683" s="37"/>
      <x:c r="P1683" s="34" t="n">
        <x:v>111.14</x:v>
      </x:c>
      <x:c r="Q1683" s="37" t="n">
        <x:v>46162.12399305555</x:v>
      </x:c>
    </x:row>
    <x:row r="1684">
      <x:c r="A1684" s="22" t="n">
        <x:v>34184</x:v>
      </x:c>
      <x:c r="B1684" s="28" t="n">
        <x:v>1501.46</x:v>
      </x:c>
      <x:c r="C1684" s="28"/>
      <x:c r="D1684" s="31" t="str">
        <x:f>IF(OR(ISBLANK(B1684),ISBLANK(C1684),B1684=0),"",(C1684-B1684)/B1684)</x:f>
      </x:c>
      <x:c r="E1684" s="22" t="str">
        <x:f>IF(ISBLANK(C1684),"AmountIncludingTax缺失",IF(ABS(B1684-C1684)&lt;0.005,"一致","不一致"))</x:f>
        <x:v>AmountIncludingTax缺失</x:v>
      </x:c>
      <x:c r="F1684" s="19" t="str">
        <x:v>approved</x:v>
      </x:c>
      <x:c r="G1684" s="19" t="str">
        <x:v>Repairer Invoiced Processed</x:v>
      </x:c>
      <x:c r="H1684" s="19" t="str">
        <x:v>In Field</x:v>
      </x:c>
      <x:c r="I1684" s="37" t="n">
        <x:v>46203</x:v>
      </x:c>
      <x:c r="J1684" s="37" t="n">
        <x:v>46196</x:v>
      </x:c>
      <x:c r="K1684" s="19" t="str">
        <x:v>Regent RV - Perth</x:v>
      </x:c>
      <x:c r="L1684" s="19" t="str">
        <x:v>Z006</x:v>
      </x:c>
      <x:c r="M1684" s="19" t="str">
        <x:v>In Field Warranty Claims</x:v>
      </x:c>
      <x:c r="N1684" s="37" t="n">
        <x:v>46140</x:v>
      </x:c>
      <x:c r="O1684" s="37"/>
      <x:c r="P1684" s="34" t="n">
        <x:v>1651.61</x:v>
      </x:c>
      <x:c r="Q1684" s="37" t="n">
        <x:v>46203.19949074074</x:v>
      </x:c>
    </x:row>
    <x:row r="1685">
      <x:c r="A1685" s="22" t="n">
        <x:v>34182</x:v>
      </x:c>
      <x:c r="B1685" s="28" t="n">
        <x:v>33.75</x:v>
      </x:c>
      <x:c r="C1685" s="28" t="n">
        <x:v>37.13</x:v>
      </x:c>
      <x:c r="D1685" s="31" t="n">
        <x:f>IF(OR(ISBLANK(B1685),ISBLANK(C1685),B1685=0),"",(C1685-B1685)/B1685)</x:f>
        <x:v>0.10014814814814822</x:v>
      </x:c>
      <x:c r="E1685" s="22" t="str">
        <x:f>IF(ISBLANK(C1685),"AmountIncludingTax缺失",IF(ABS(B1685-C1685)&lt;0.005,"一致","不一致"))</x:f>
        <x:v>不一致</x:v>
      </x:c>
      <x:c r="F1685" s="19" t="str">
        <x:v>approved</x:v>
      </x:c>
      <x:c r="G1685" s="19" t="str">
        <x:v>Repair in Progress</x:v>
      </x:c>
      <x:c r="H1685" s="19" t="str">
        <x:v>In Field</x:v>
      </x:c>
      <x:c r="I1685" s="37" t="n">
        <x:v>46143</x:v>
      </x:c>
      <x:c r="J1685" s="37" t="n">
        <x:v>46143</x:v>
      </x:c>
      <x:c r="K1685" s="19" t="str">
        <x:v>Green RV - Forest Glen</x:v>
      </x:c>
      <x:c r="L1685" s="19" t="str">
        <x:v>Z006</x:v>
      </x:c>
      <x:c r="M1685" s="19" t="str">
        <x:v>In Field Warranty Claims</x:v>
      </x:c>
      <x:c r="N1685" s="37" t="n">
        <x:v>46140</x:v>
      </x:c>
      <x:c r="O1685" s="37"/>
      <x:c r="P1685" s="34" t="n">
        <x:v>37.13</x:v>
      </x:c>
      <x:c r="Q1685" s="37" t="n">
        <x:v>46143.191979166666</x:v>
      </x:c>
    </x:row>
    <x:row r="1686">
      <x:c r="A1686" s="22" t="n">
        <x:v>34181</x:v>
      </x:c>
      <x:c r="B1686" s="28" t="n">
        <x:v>850</x:v>
      </x:c>
      <x:c r="C1686" s="28"/>
      <x:c r="D1686" s="31" t="str">
        <x:f>IF(OR(ISBLANK(B1686),ISBLANK(C1686),B1686=0),"",(C1686-B1686)/B1686)</x:f>
      </x:c>
      <x:c r="E1686" s="22" t="str">
        <x:f>IF(ISBLANK(C1686),"AmountIncludingTax缺失",IF(ABS(B1686-C1686)&lt;0.005,"一致","不一致"))</x:f>
        <x:v>AmountIncludingTax缺失</x:v>
      </x:c>
      <x:c r="F1686" s="19" t="str">
        <x:v>approved</x:v>
      </x:c>
      <x:c r="G1686" s="19" t="str">
        <x:v>Repairer Invoiced Processed</x:v>
      </x:c>
      <x:c r="H1686" s="19" t="str">
        <x:v>In Field</x:v>
      </x:c>
      <x:c r="I1686" s="37" t="n">
        <x:v>46146</x:v>
      </x:c>
      <x:c r="J1686" s="37" t="n">
        <x:v>46146</x:v>
      </x:c>
      <x:c r="K1686" s="19" t="str">
        <x:v>Regent RV - Frankston</x:v>
      </x:c>
      <x:c r="L1686" s="19" t="str">
        <x:v>Z006</x:v>
      </x:c>
      <x:c r="M1686" s="19" t="str">
        <x:v>In Field Warranty Claims</x:v>
      </x:c>
      <x:c r="N1686" s="37" t="n">
        <x:v>46140</x:v>
      </x:c>
      <x:c r="O1686" s="37"/>
      <x:c r="P1686" s="34" t="n">
        <x:v>0</x:v>
      </x:c>
      <x:c r="Q1686" s="37" t="n">
        <x:v>46145.99009259259</x:v>
      </x:c>
    </x:row>
    <x:row r="1687">
      <x:c r="A1687" s="22" t="n">
        <x:v>34180</x:v>
      </x:c>
      <x:c r="B1687" s="28" t="n">
        <x:v>5400</x:v>
      </x:c>
      <x:c r="C1687" s="28"/>
      <x:c r="D1687" s="31" t="str">
        <x:f>IF(OR(ISBLANK(B1687),ISBLANK(C1687),B1687=0),"",(C1687-B1687)/B1687)</x:f>
      </x:c>
      <x:c r="E1687" s="22" t="str">
        <x:f>IF(ISBLANK(C1687),"AmountIncludingTax缺失",IF(ABS(B1687-C1687)&lt;0.005,"一致","不一致"))</x:f>
        <x:v>AmountIncludingTax缺失</x:v>
      </x:c>
      <x:c r="F1687" s="19" t="str">
        <x:v>approved</x:v>
      </x:c>
      <x:c r="G1687" s="19" t="str">
        <x:v>Repairer Invoiced Processed</x:v>
      </x:c>
      <x:c r="H1687" s="19" t="str">
        <x:v>Pre Delivery</x:v>
      </x:c>
      <x:c r="I1687" s="37" t="n">
        <x:v>46150</x:v>
      </x:c>
      <x:c r="J1687" s="37" t="n">
        <x:v>46150</x:v>
      </x:c>
      <x:c r="K1687" s="19" t="str">
        <x:v>Green RV - Forest Glen</x:v>
      </x:c>
      <x:c r="L1687" s="19" t="str">
        <x:v>Z005</x:v>
      </x:c>
      <x:c r="M1687" s="19" t="str">
        <x:v>Pre Delivery Warranty Claims</x:v>
      </x:c>
      <x:c r="N1687" s="37" t="n">
        <x:v>46140</x:v>
      </x:c>
      <x:c r="O1687" s="37"/>
      <x:c r="P1687" s="34" t="n">
        <x:v>5940</x:v>
      </x:c>
      <x:c r="Q1687" s="37" t="n">
        <x:v>46150.0759375</x:v>
      </x:c>
    </x:row>
    <x:row r="1688">
      <x:c r="A1688" s="22" t="n">
        <x:v>34179</x:v>
      </x:c>
      <x:c r="B1688" s="28" t="n">
        <x:v>492.5</x:v>
      </x:c>
      <x:c r="C1688" s="28"/>
      <x:c r="D1688" s="31" t="str">
        <x:f>IF(OR(ISBLANK(B1688),ISBLANK(C1688),B1688=0),"",(C1688-B1688)/B1688)</x:f>
      </x:c>
      <x:c r="E1688" s="22" t="str">
        <x:f>IF(ISBLANK(C1688),"AmountIncludingTax缺失",IF(ABS(B1688-C1688)&lt;0.005,"一致","不一致"))</x:f>
        <x:v>AmountIncludingTax缺失</x:v>
      </x:c>
      <x:c r="F1688" s="19" t="str">
        <x:v>approved</x:v>
      </x:c>
      <x:c r="G1688" s="19" t="str">
        <x:v>Sales Order Approved</x:v>
      </x:c>
      <x:c r="H1688" s="19" t="str">
        <x:v>In Field</x:v>
      </x:c>
      <x:c r="I1688" s="37" t="n">
        <x:v>46204</x:v>
      </x:c>
      <x:c r="J1688" s="37" t="n">
        <x:v>46204</x:v>
      </x:c>
      <x:c r="K1688" s="19" t="str">
        <x:v>Not Assigned</x:v>
      </x:c>
      <x:c r="L1688" s="19" t="str">
        <x:v>Z006</x:v>
      </x:c>
      <x:c r="M1688" s="19" t="str">
        <x:v>In Field Warranty Claims</x:v>
      </x:c>
      <x:c r="N1688" s="37" t="n">
        <x:v>46140</x:v>
      </x:c>
      <x:c r="O1688" s="37"/>
      <x:c r="P1688" s="34" t="n">
        <x:v>0</x:v>
      </x:c>
      <x:c r="Q1688" s="37" t="n">
        <x:v>46204.20513888889</x:v>
      </x:c>
    </x:row>
    <x:row r="1689">
      <x:c r="A1689" s="22" t="n">
        <x:v>34177</x:v>
      </x:c>
      <x:c r="B1689" s="28" t="n">
        <x:v>1590</x:v>
      </x:c>
      <x:c r="C1689" s="28"/>
      <x:c r="D1689" s="31" t="str">
        <x:f>IF(OR(ISBLANK(B1689),ISBLANK(C1689),B1689=0),"",(C1689-B1689)/B1689)</x:f>
      </x:c>
      <x:c r="E1689" s="22" t="str">
        <x:f>IF(ISBLANK(C1689),"AmountIncludingTax缺失",IF(ABS(B1689-C1689)&lt;0.005,"一致","不一致"))</x:f>
        <x:v>AmountIncludingTax缺失</x:v>
      </x:c>
      <x:c r="F1689" s="19" t="str">
        <x:v>approved</x:v>
      </x:c>
      <x:c r="G1689" s="19" t="str">
        <x:v>Repair in Progress</x:v>
      </x:c>
      <x:c r="H1689" s="19" t="str">
        <x:v>In Field</x:v>
      </x:c>
      <x:c r="I1689" s="37" t="n">
        <x:v>46142</x:v>
      </x:c>
      <x:c r="J1689" s="37" t="n">
        <x:v>46142</x:v>
      </x:c>
      <x:c r="K1689" s="19" t="str">
        <x:v>Green RV - Forest Glen</x:v>
      </x:c>
      <x:c r="L1689" s="19" t="str">
        <x:v>Z006</x:v>
      </x:c>
      <x:c r="M1689" s="19" t="str">
        <x:v>In Field Warranty Claims</x:v>
      </x:c>
      <x:c r="N1689" s="37" t="n">
        <x:v>46140</x:v>
      </x:c>
      <x:c r="O1689" s="37"/>
      <x:c r="P1689" s="34" t="n">
        <x:v>0</x:v>
      </x:c>
      <x:c r="Q1689" s="37" t="n">
        <x:v>46142.118310185186</x:v>
      </x:c>
    </x:row>
    <x:row r="1690">
      <x:c r="A1690" s="22" t="n">
        <x:v>34176</x:v>
      </x:c>
      <x:c r="B1690" s="28" t="n">
        <x:v>1066.95</x:v>
      </x:c>
      <x:c r="C1690" s="28" t="n">
        <x:v>966.02</x:v>
      </x:c>
      <x:c r="D1690" s="31" t="n">
        <x:f>IF(OR(ISBLANK(B1690),ISBLANK(C1690),B1690=0),"",(C1690-B1690)/B1690)</x:f>
        <x:v>-0.09459674773888191</x:v>
      </x:c>
      <x:c r="E1690" s="22" t="str">
        <x:f>IF(ISBLANK(C1690),"AmountIncludingTax缺失",IF(ABS(B1690-C1690)&lt;0.005,"一致","不一致"))</x:f>
        <x:v>不一致</x:v>
      </x:c>
      <x:c r="F1690" s="19" t="str">
        <x:v>approved</x:v>
      </x:c>
      <x:c r="G1690" s="19" t="str">
        <x:v>Repair in Progress</x:v>
      </x:c>
      <x:c r="H1690" s="19" t="str">
        <x:v>In Field</x:v>
      </x:c>
      <x:c r="I1690" s="37" t="n">
        <x:v>46148</x:v>
      </x:c>
      <x:c r="J1690" s="37" t="n">
        <x:v>46148</x:v>
      </x:c>
      <x:c r="K1690" s="19" t="str">
        <x:v>Vanari Caravans - Marden Point</x:v>
      </x:c>
      <x:c r="L1690" s="19" t="str">
        <x:v>Z006</x:v>
      </x:c>
      <x:c r="M1690" s="19" t="str">
        <x:v>In Field Warranty Claims</x:v>
      </x:c>
      <x:c r="N1690" s="37" t="n">
        <x:v>46140</x:v>
      </x:c>
      <x:c r="O1690" s="37"/>
      <x:c r="P1690" s="34" t="n">
        <x:v>966.02</x:v>
      </x:c>
      <x:c r="Q1690" s="37" t="n">
        <x:v>46148.255833333336</x:v>
      </x:c>
    </x:row>
    <x:row r="1691">
      <x:c r="A1691" s="22" t="n">
        <x:v>34173</x:v>
      </x:c>
      <x:c r="B1691" s="28" t="n">
        <x:v>387.5</x:v>
      </x:c>
      <x:c r="C1691" s="28"/>
      <x:c r="D1691" s="31" t="str">
        <x:f>IF(OR(ISBLANK(B1691),ISBLANK(C1691),B1691=0),"",(C1691-B1691)/B1691)</x:f>
      </x:c>
      <x:c r="E1691" s="22" t="str">
        <x:f>IF(ISBLANK(C1691),"AmountIncludingTax缺失",IF(ABS(B1691-C1691)&lt;0.005,"一致","不一致"))</x:f>
        <x:v>AmountIncludingTax缺失</x:v>
      </x:c>
      <x:c r="F1691" s="19" t="str">
        <x:v>approved</x:v>
      </x:c>
      <x:c r="G1691" s="19" t="str">
        <x:v>Repair in Progress</x:v>
      </x:c>
      <x:c r="H1691" s="19" t="str">
        <x:v>In Field</x:v>
      </x:c>
      <x:c r="I1691" s="37" t="n">
        <x:v>46161</x:v>
      </x:c>
      <x:c r="J1691" s="37" t="n">
        <x:v>46161</x:v>
      </x:c>
      <x:c r="K1691" s="19" t="str">
        <x:v>Vanari Caravans - Marden Point</x:v>
      </x:c>
      <x:c r="L1691" s="19" t="str">
        <x:v>Z006</x:v>
      </x:c>
      <x:c r="M1691" s="19" t="str">
        <x:v>In Field Warranty Claims</x:v>
      </x:c>
      <x:c r="N1691" s="37" t="n">
        <x:v>46140</x:v>
      </x:c>
      <x:c r="O1691" s="37"/>
      <x:c r="P1691" s="34" t="n">
        <x:v>0</x:v>
      </x:c>
      <x:c r="Q1691" s="37" t="n">
        <x:v>46161.15524305555</x:v>
      </x:c>
    </x:row>
    <x:row r="1692">
      <x:c r="A1692" s="22" t="n">
        <x:v>34172</x:v>
      </x:c>
      <x:c r="B1692" s="28" t="n">
        <x:v>1442</x:v>
      </x:c>
      <x:c r="C1692" s="28"/>
      <x:c r="D1692" s="31" t="str">
        <x:f>IF(OR(ISBLANK(B1692),ISBLANK(C1692),B1692=0),"",(C1692-B1692)/B1692)</x:f>
      </x:c>
      <x:c r="E1692" s="22" t="str">
        <x:f>IF(ISBLANK(C1692),"AmountIncludingTax缺失",IF(ABS(B1692-C1692)&lt;0.005,"一致","不一致"))</x:f>
        <x:v>AmountIncludingTax缺失</x:v>
      </x:c>
      <x:c r="F1692" s="19" t="str">
        <x:v>approved</x:v>
      </x:c>
      <x:c r="G1692" s="19" t="str">
        <x:v>Repair in Progress</x:v>
      </x:c>
      <x:c r="H1692" s="19" t="str">
        <x:v>In Field</x:v>
      </x:c>
      <x:c r="I1692" s="37" t="n">
        <x:v>46162</x:v>
      </x:c>
      <x:c r="J1692" s="37" t="n">
        <x:v>46162</x:v>
      </x:c>
      <x:c r="K1692" s="19" t="str">
        <x:v>Vanari Caravans - Marden Point</x:v>
      </x:c>
      <x:c r="L1692" s="19" t="str">
        <x:v>Z006</x:v>
      </x:c>
      <x:c r="M1692" s="19" t="str">
        <x:v>In Field Warranty Claims</x:v>
      </x:c>
      <x:c r="N1692" s="37" t="n">
        <x:v>46140</x:v>
      </x:c>
      <x:c r="O1692" s="37"/>
      <x:c r="P1692" s="34" t="n">
        <x:v>1305.59</x:v>
      </x:c>
      <x:c r="Q1692" s="37" t="n">
        <x:v>46162.133993055555</x:v>
      </x:c>
    </x:row>
    <x:row r="1693">
      <x:c r="A1693" s="22" t="n">
        <x:v>34171</x:v>
      </x:c>
      <x:c r="B1693" s="28" t="n">
        <x:v>202.5</x:v>
      </x:c>
      <x:c r="C1693" s="28"/>
      <x:c r="D1693" s="31" t="str">
        <x:f>IF(OR(ISBLANK(B1693),ISBLANK(C1693),B1693=0),"",(C1693-B1693)/B1693)</x:f>
      </x:c>
      <x:c r="E1693" s="22" t="str">
        <x:f>IF(ISBLANK(C1693),"AmountIncludingTax缺失",IF(ABS(B1693-C1693)&lt;0.005,"一致","不一致"))</x:f>
        <x:v>AmountIncludingTax缺失</x:v>
      </x:c>
      <x:c r="F1693" s="19" t="str">
        <x:v>approved</x:v>
      </x:c>
      <x:c r="G1693" s="19" t="str">
        <x:v>Repair in Progress</x:v>
      </x:c>
      <x:c r="H1693" s="19" t="str">
        <x:v>In Field</x:v>
      </x:c>
      <x:c r="I1693" s="37" t="n">
        <x:v>46149</x:v>
      </x:c>
      <x:c r="J1693" s="37" t="n">
        <x:v>46149</x:v>
      </x:c>
      <x:c r="K1693" s="19" t="str">
        <x:v>Snowy River Geelong</x:v>
      </x:c>
      <x:c r="L1693" s="19" t="str">
        <x:v>Z006</x:v>
      </x:c>
      <x:c r="M1693" s="19" t="str">
        <x:v>In Field Warranty Claims</x:v>
      </x:c>
      <x:c r="N1693" s="37" t="n">
        <x:v>46140</x:v>
      </x:c>
      <x:c r="O1693" s="37"/>
      <x:c r="P1693" s="34" t="n">
        <x:v>0</x:v>
      </x:c>
      <x:c r="Q1693" s="37" t="n">
        <x:v>46149.02483796296</x:v>
      </x:c>
    </x:row>
    <x:row r="1694">
      <x:c r="A1694" s="22" t="n">
        <x:v>34170</x:v>
      </x:c>
      <x:c r="B1694" s="28" t="n">
        <x:v>4435.5</x:v>
      </x:c>
      <x:c r="C1694" s="28"/>
      <x:c r="D1694" s="31" t="str">
        <x:f>IF(OR(ISBLANK(B1694),ISBLANK(C1694),B1694=0),"",(C1694-B1694)/B1694)</x:f>
      </x:c>
      <x:c r="E1694" s="22" t="str">
        <x:f>IF(ISBLANK(C1694),"AmountIncludingTax缺失",IF(ABS(B1694-C1694)&lt;0.005,"一致","不一致"))</x:f>
        <x:v>AmountIncludingTax缺失</x:v>
      </x:c>
      <x:c r="F1694" s="19" t="str">
        <x:v>approved</x:v>
      </x:c>
      <x:c r="G1694" s="19" t="str">
        <x:v>Repairer Invoiced Processed</x:v>
      </x:c>
      <x:c r="H1694" s="19" t="str">
        <x:v>In Field</x:v>
      </x:c>
      <x:c r="I1694" s="37" t="n">
        <x:v>46185</x:v>
      </x:c>
      <x:c r="J1694" s="37" t="n">
        <x:v>46185</x:v>
      </x:c>
      <x:c r="K1694" s="19" t="str">
        <x:v>Green RV - Forest Glen</x:v>
      </x:c>
      <x:c r="L1694" s="19" t="str">
        <x:v>Z006</x:v>
      </x:c>
      <x:c r="M1694" s="19" t="str">
        <x:v>In Field Warranty Claims</x:v>
      </x:c>
      <x:c r="N1694" s="37" t="n">
        <x:v>46140</x:v>
      </x:c>
      <x:c r="O1694" s="37"/>
      <x:c r="P1694" s="34" t="n">
        <x:v>4879.05</x:v>
      </x:c>
      <x:c r="Q1694" s="37" t="n">
        <x:v>46185.220034722224</x:v>
      </x:c>
    </x:row>
    <x:row r="1695">
      <x:c r="A1695" s="22" t="n">
        <x:v>34169</x:v>
      </x:c>
      <x:c r="B1695" s="28" t="n">
        <x:v>1018.18</x:v>
      </x:c>
      <x:c r="C1695" s="28"/>
      <x:c r="D1695" s="31" t="str">
        <x:f>IF(OR(ISBLANK(B1695),ISBLANK(C1695),B1695=0),"",(C1695-B1695)/B1695)</x:f>
      </x:c>
      <x:c r="E1695" s="22" t="str">
        <x:f>IF(ISBLANK(C1695),"AmountIncludingTax缺失",IF(ABS(B1695-C1695)&lt;0.005,"一致","不一致"))</x:f>
        <x:v>AmountIncludingTax缺失</x:v>
      </x:c>
      <x:c r="F1695" s="19" t="str">
        <x:v>approved</x:v>
      </x:c>
      <x:c r="G1695" s="19" t="str">
        <x:v>Repair in Progress</x:v>
      </x:c>
      <x:c r="H1695" s="19" t="str">
        <x:v>In Field</x:v>
      </x:c>
      <x:c r="I1695" s="37" t="n">
        <x:v>46153</x:v>
      </x:c>
      <x:c r="J1695" s="37" t="n">
        <x:v>46153</x:v>
      </x:c>
      <x:c r="K1695" s="19" t="str">
        <x:v>Regent RV - Perth</x:v>
      </x:c>
      <x:c r="L1695" s="19" t="str">
        <x:v>Z006</x:v>
      </x:c>
      <x:c r="M1695" s="19" t="str">
        <x:v>In Field Warranty Claims</x:v>
      </x:c>
      <x:c r="N1695" s="37" t="n">
        <x:v>46140</x:v>
      </x:c>
      <x:c r="O1695" s="37" t="n">
        <x:v>46149</x:v>
      </x:c>
      <x:c r="P1695" s="34" t="n">
        <x:v>1120</x:v>
      </x:c>
      <x:c r="Q1695" s="37" t="n">
        <x:v>46153.02724537037</x:v>
      </x:c>
    </x:row>
    <x:row r="1696">
      <x:c r="A1696" s="22" t="n">
        <x:v>34168</x:v>
      </x:c>
      <x:c r="B1696" s="28" t="n">
        <x:v>101.25</x:v>
      </x:c>
      <x:c r="C1696" s="28" t="n">
        <x:v>111.38</x:v>
      </x:c>
      <x:c r="D1696" s="31" t="n">
        <x:f>IF(OR(ISBLANK(B1696),ISBLANK(C1696),B1696=0),"",(C1696-B1696)/B1696)</x:f>
        <x:v>0.10004938271604934</x:v>
      </x:c>
      <x:c r="E1696" s="22" t="str">
        <x:f>IF(ISBLANK(C1696),"AmountIncludingTax缺失",IF(ABS(B1696-C1696)&lt;0.005,"一致","不一致"))</x:f>
        <x:v>不一致</x:v>
      </x:c>
      <x:c r="F1696" s="19" t="str">
        <x:v>approved</x:v>
      </x:c>
      <x:c r="G1696" s="19" t="str">
        <x:v>Repairer Invoiced Processed</x:v>
      </x:c>
      <x:c r="H1696" s="19" t="str">
        <x:v>In Field</x:v>
      </x:c>
      <x:c r="I1696" s="37" t="n">
        <x:v>46142</x:v>
      </x:c>
      <x:c r="J1696" s="37" t="n">
        <x:v>46142</x:v>
      </x:c>
      <x:c r="K1696" s="19" t="str">
        <x:v>Destiny RV - South Australia</x:v>
      </x:c>
      <x:c r="L1696" s="19" t="str">
        <x:v>Z006</x:v>
      </x:c>
      <x:c r="M1696" s="19" t="str">
        <x:v>In Field Warranty Claims</x:v>
      </x:c>
      <x:c r="N1696" s="37" t="n">
        <x:v>46140</x:v>
      </x:c>
      <x:c r="O1696" s="37"/>
      <x:c r="P1696" s="34" t="n">
        <x:v>111.38</x:v>
      </x:c>
      <x:c r="Q1696" s="37" t="n">
        <x:v>46142.470509259256</x:v>
      </x:c>
    </x:row>
    <x:row r="1697">
      <x:c r="A1697" s="22" t="n">
        <x:v>34167</x:v>
      </x:c>
      <x:c r="B1697" s="28" t="n">
        <x:v>405</x:v>
      </x:c>
      <x:c r="C1697" s="28"/>
      <x:c r="D1697" s="31" t="str">
        <x:f>IF(OR(ISBLANK(B1697),ISBLANK(C1697),B1697=0),"",(C1697-B1697)/B1697)</x:f>
      </x:c>
      <x:c r="E1697" s="22" t="str">
        <x:f>IF(ISBLANK(C1697),"AmountIncludingTax缺失",IF(ABS(B1697-C1697)&lt;0.005,"一致","不一致"))</x:f>
        <x:v>AmountIncludingTax缺失</x:v>
      </x:c>
      <x:c r="F1697" s="19" t="str">
        <x:v>approved</x:v>
      </x:c>
      <x:c r="G1697" s="19" t="str">
        <x:v>Sales Order Approved</x:v>
      </x:c>
      <x:c r="H1697" s="19" t="str">
        <x:v>In Field</x:v>
      </x:c>
      <x:c r="I1697" s="37" t="n">
        <x:v>46142</x:v>
      </x:c>
      <x:c r="J1697" s="37" t="n">
        <x:v>46142</x:v>
      </x:c>
      <x:c r="K1697" s="19" t="str">
        <x:v>Green RV - Forest Glen</x:v>
      </x:c>
      <x:c r="L1697" s="19" t="str">
        <x:v>Z006</x:v>
      </x:c>
      <x:c r="M1697" s="19" t="str">
        <x:v>In Field Warranty Claims</x:v>
      </x:c>
      <x:c r="N1697" s="37" t="n">
        <x:v>46140</x:v>
      </x:c>
      <x:c r="O1697" s="37"/>
      <x:c r="P1697" s="34" t="n">
        <x:v>0</x:v>
      </x:c>
      <x:c r="Q1697" s="37" t="n">
        <x:v>46142.45758101852</x:v>
      </x:c>
    </x:row>
    <x:row r="1698">
      <x:c r="A1698" s="22" t="n">
        <x:v>34164</x:v>
      </x:c>
      <x:c r="B1698" s="28" t="n">
        <x:v>135</x:v>
      </x:c>
      <x:c r="C1698" s="28"/>
      <x:c r="D1698" s="31" t="str">
        <x:f>IF(OR(ISBLANK(B1698),ISBLANK(C1698),B1698=0),"",(C1698-B1698)/B1698)</x:f>
      </x:c>
      <x:c r="E1698" s="22" t="str">
        <x:f>IF(ISBLANK(C1698),"AmountIncludingTax缺失",IF(ABS(B1698-C1698)&lt;0.005,"一致","不一致"))</x:f>
        <x:v>AmountIncludingTax缺失</x:v>
      </x:c>
      <x:c r="F1698" s="19" t="str">
        <x:v>approved</x:v>
      </x:c>
      <x:c r="G1698" s="19" t="str">
        <x:v>Repair in Progress</x:v>
      </x:c>
      <x:c r="H1698" s="19" t="str">
        <x:v>In Field</x:v>
      </x:c>
      <x:c r="I1698" s="37" t="n">
        <x:v>46143</x:v>
      </x:c>
      <x:c r="J1698" s="37" t="n">
        <x:v>46143</x:v>
      </x:c>
      <x:c r="K1698" s="19" t="str">
        <x:v>Green RV - Slacks Creek</x:v>
      </x:c>
      <x:c r="L1698" s="19" t="str">
        <x:v>Z006</x:v>
      </x:c>
      <x:c r="M1698" s="19" t="str">
        <x:v>In Field Warranty Claims</x:v>
      </x:c>
      <x:c r="N1698" s="37" t="n">
        <x:v>46140</x:v>
      </x:c>
      <x:c r="O1698" s="37"/>
      <x:c r="P1698" s="34" t="n">
        <x:v>0</x:v>
      </x:c>
      <x:c r="Q1698" s="37" t="n">
        <x:v>46143.205046296294</x:v>
      </x:c>
    </x:row>
    <x:row r="1699">
      <x:c r="A1699" s="22" t="n">
        <x:v>34163</x:v>
      </x:c>
      <x:c r="B1699" s="28" t="n">
        <x:v>400</x:v>
      </x:c>
      <x:c r="C1699" s="28" t="n">
        <x:v>440</x:v>
      </x:c>
      <x:c r="D1699" s="31" t="n">
        <x:f>IF(OR(ISBLANK(B1699),ISBLANK(C1699),B1699=0),"",(C1699-B1699)/B1699)</x:f>
        <x:v>0.1</x:v>
      </x:c>
      <x:c r="E1699" s="22" t="str">
        <x:f>IF(ISBLANK(C1699),"AmountIncludingTax缺失",IF(ABS(B1699-C1699)&lt;0.005,"一致","不一致"))</x:f>
        <x:v>不一致</x:v>
      </x:c>
      <x:c r="F1699" s="19" t="str">
        <x:v>approved</x:v>
      </x:c>
      <x:c r="G1699" s="19" t="str">
        <x:v>Repair in Progress</x:v>
      </x:c>
      <x:c r="H1699" s="19" t="str">
        <x:v>In Field</x:v>
      </x:c>
      <x:c r="I1699" s="37" t="n">
        <x:v>46146</x:v>
      </x:c>
      <x:c r="J1699" s="37" t="n">
        <x:v>46146</x:v>
      </x:c>
      <x:c r="K1699" s="19" t="str">
        <x:v>Green RV - Forest Glen</x:v>
      </x:c>
      <x:c r="L1699" s="19" t="str">
        <x:v>Z006</x:v>
      </x:c>
      <x:c r="M1699" s="19" t="str">
        <x:v>In Field Warranty Claims</x:v>
      </x:c>
      <x:c r="N1699" s="37" t="n">
        <x:v>46140</x:v>
      </x:c>
      <x:c r="O1699" s="37"/>
      <x:c r="P1699" s="34" t="n">
        <x:v>440</x:v>
      </x:c>
      <x:c r="Q1699" s="37" t="n">
        <x:v>46145.92049768518</x:v>
      </x:c>
    </x:row>
    <x:row r="1700">
      <x:c r="A1700" s="22" t="n">
        <x:v>34162</x:v>
      </x:c>
      <x:c r="B1700" s="28" t="n">
        <x:v>400</x:v>
      </x:c>
      <x:c r="C1700" s="28" t="n">
        <x:v>362.16</x:v>
      </x:c>
      <x:c r="D1700" s="31" t="n">
        <x:f>IF(OR(ISBLANK(B1700),ISBLANK(C1700),B1700=0),"",(C1700-B1700)/B1700)</x:f>
        <x:v>-0.09459999999999993</x:v>
      </x:c>
      <x:c r="E1700" s="22" t="str">
        <x:f>IF(ISBLANK(C1700),"AmountIncludingTax缺失",IF(ABS(B1700-C1700)&lt;0.005,"一致","不一致"))</x:f>
        <x:v>不一致</x:v>
      </x:c>
      <x:c r="F1700" s="19" t="str">
        <x:v>approved</x:v>
      </x:c>
      <x:c r="G1700" s="19" t="str">
        <x:v>Repairer Invoiced Processed</x:v>
      </x:c>
      <x:c r="H1700" s="19" t="str">
        <x:v>In Field</x:v>
      </x:c>
      <x:c r="I1700" s="37" t="n">
        <x:v>46148</x:v>
      </x:c>
      <x:c r="J1700" s="37" t="n">
        <x:v>46148</x:v>
      </x:c>
      <x:c r="K1700" s="19" t="str">
        <x:v>Vanari Caravans - Marden Point</x:v>
      </x:c>
      <x:c r="L1700" s="19" t="str">
        <x:v>Z006</x:v>
      </x:c>
      <x:c r="M1700" s="19" t="str">
        <x:v>In Field Warranty Claims</x:v>
      </x:c>
      <x:c r="N1700" s="37" t="n">
        <x:v>46140</x:v>
      </x:c>
      <x:c r="O1700" s="37"/>
      <x:c r="P1700" s="34" t="n">
        <x:v>362.16</x:v>
      </x:c>
      <x:c r="Q1700" s="37" t="n">
        <x:v>46148.15746527778</x:v>
      </x:c>
    </x:row>
    <x:row r="1701">
      <x:c r="A1701" s="22" t="n">
        <x:v>34161</x:v>
      </x:c>
      <x:c r="B1701" s="28" t="n">
        <x:v>145</x:v>
      </x:c>
      <x:c r="C1701" s="28"/>
      <x:c r="D1701" s="31" t="str">
        <x:f>IF(OR(ISBLANK(B1701),ISBLANK(C1701),B1701=0),"",(C1701-B1701)/B1701)</x:f>
      </x:c>
      <x:c r="E1701" s="22" t="str">
        <x:f>IF(ISBLANK(C1701),"AmountIncludingTax缺失",IF(ABS(B1701-C1701)&lt;0.005,"一致","不一致"))</x:f>
        <x:v>AmountIncludingTax缺失</x:v>
      </x:c>
      <x:c r="F1701" s="19" t="str">
        <x:v>approved</x:v>
      </x:c>
      <x:c r="G1701" s="19" t="str">
        <x:v>Repair in Progress</x:v>
      </x:c>
      <x:c r="H1701" s="19" t="str">
        <x:v>In Field</x:v>
      </x:c>
      <x:c r="I1701" s="37" t="n">
        <x:v>46142</x:v>
      </x:c>
      <x:c r="J1701" s="37" t="n">
        <x:v>46142</x:v>
      </x:c>
      <x:c r="K1701" s="19" t="str">
        <x:v>Regent RV - Perth</x:v>
      </x:c>
      <x:c r="L1701" s="19" t="str">
        <x:v>Z006</x:v>
      </x:c>
      <x:c r="M1701" s="19" t="str">
        <x:v>In Field Warranty Claims</x:v>
      </x:c>
      <x:c r="N1701" s="37" t="n">
        <x:v>46140</x:v>
      </x:c>
      <x:c r="O1701" s="37"/>
      <x:c r="P1701" s="34" t="n">
        <x:v>0</x:v>
      </x:c>
      <x:c r="Q1701" s="37" t="n">
        <x:v>46142.46976851852</x:v>
      </x:c>
    </x:row>
    <x:row r="1702">
      <x:c r="A1702" s="22" t="n">
        <x:v>34159</x:v>
      </x:c>
      <x:c r="B1702" s="28" t="n">
        <x:v>710.91</x:v>
      </x:c>
      <x:c r="C1702" s="28"/>
      <x:c r="D1702" s="31" t="str">
        <x:f>IF(OR(ISBLANK(B1702),ISBLANK(C1702),B1702=0),"",(C1702-B1702)/B1702)</x:f>
      </x:c>
      <x:c r="E1702" s="22" t="str">
        <x:f>IF(ISBLANK(C1702),"AmountIncludingTax缺失",IF(ABS(B1702-C1702)&lt;0.005,"一致","不一致"))</x:f>
        <x:v>AmountIncludingTax缺失</x:v>
      </x:c>
      <x:c r="F1702" s="19" t="str">
        <x:v>approved</x:v>
      </x:c>
      <x:c r="G1702" s="19" t="str">
        <x:v>Repairer Invoiced Processed</x:v>
      </x:c>
      <x:c r="H1702" s="19" t="str">
        <x:v>In Field</x:v>
      </x:c>
      <x:c r="I1702" s="37" t="n">
        <x:v>46140</x:v>
      </x:c>
      <x:c r="J1702" s="37" t="n">
        <x:v>46140</x:v>
      </x:c>
      <x:c r="K1702" s="19" t="str">
        <x:v>Green RV - Forest Glen</x:v>
      </x:c>
      <x:c r="L1702" s="19" t="str">
        <x:v>Z006</x:v>
      </x:c>
      <x:c r="M1702" s="19" t="str">
        <x:v>In Field Warranty Claims</x:v>
      </x:c>
      <x:c r="N1702" s="37" t="n">
        <x:v>46140</x:v>
      </x:c>
      <x:c r="O1702" s="37"/>
      <x:c r="P1702" s="34" t="n">
        <x:v>0</x:v>
      </x:c>
      <x:c r="Q1702" s="37" t="n">
        <x:v>46140.209965277776</x:v>
      </x:c>
    </x:row>
    <x:row r="1703">
      <x:c r="A1703" s="22" t="n">
        <x:v>34158</x:v>
      </x:c>
      <x:c r="B1703" s="28" t="n">
        <x:v>405</x:v>
      </x:c>
      <x:c r="C1703" s="28" t="n">
        <x:v>445.5</x:v>
      </x:c>
      <x:c r="D1703" s="31" t="n">
        <x:f>IF(OR(ISBLANK(B1703),ISBLANK(C1703),B1703=0),"",(C1703-B1703)/B1703)</x:f>
        <x:v>0.1</x:v>
      </x:c>
      <x:c r="E1703" s="22" t="str">
        <x:f>IF(ISBLANK(C1703),"AmountIncludingTax缺失",IF(ABS(B1703-C1703)&lt;0.005,"一致","不一致"))</x:f>
        <x:v>不一致</x:v>
      </x:c>
      <x:c r="F1703" s="19" t="str">
        <x:v>approved</x:v>
      </x:c>
      <x:c r="G1703" s="19" t="str">
        <x:v>Repairer Invoiced Processed</x:v>
      </x:c>
      <x:c r="H1703" s="19" t="str">
        <x:v>In Field</x:v>
      </x:c>
      <x:c r="I1703" s="37" t="n">
        <x:v>46140</x:v>
      </x:c>
      <x:c r="J1703" s="37" t="n">
        <x:v>46140</x:v>
      </x:c>
      <x:c r="K1703" s="19" t="str">
        <x:v>Regent RV - Toowoomba</x:v>
      </x:c>
      <x:c r="L1703" s="19" t="str">
        <x:v>Z006</x:v>
      </x:c>
      <x:c r="M1703" s="19" t="str">
        <x:v>In Field Warranty Claims</x:v>
      </x:c>
      <x:c r="N1703" s="37" t="n">
        <x:v>46140</x:v>
      </x:c>
      <x:c r="O1703" s="37"/>
      <x:c r="P1703" s="34" t="n">
        <x:v>445.5</x:v>
      </x:c>
      <x:c r="Q1703" s="37" t="n">
        <x:v>46140.222592592596</x:v>
      </x:c>
    </x:row>
    <x:row r="1704">
      <x:c r="A1704" s="22" t="n">
        <x:v>34157</x:v>
      </x:c>
      <x:c r="B1704" s="28" t="n">
        <x:v>387.46</x:v>
      </x:c>
      <x:c r="C1704" s="28" t="n">
        <x:v>426.21</x:v>
      </x:c>
      <x:c r="D1704" s="31" t="n">
        <x:f>IF(OR(ISBLANK(B1704),ISBLANK(C1704),B1704=0),"",(C1704-B1704)/B1704)</x:f>
        <x:v>0.10001032364631188</x:v>
      </x:c>
      <x:c r="E1704" s="22" t="str">
        <x:f>IF(ISBLANK(C1704),"AmountIncludingTax缺失",IF(ABS(B1704-C1704)&lt;0.005,"一致","不一致"))</x:f>
        <x:v>不一致</x:v>
      </x:c>
      <x:c r="F1704" s="19" t="str">
        <x:v>approved</x:v>
      </x:c>
      <x:c r="G1704" s="19" t="str">
        <x:v>Repairer Invoiced Processed</x:v>
      </x:c>
      <x:c r="H1704" s="19" t="str">
        <x:v>In Field</x:v>
      </x:c>
      <x:c r="I1704" s="37" t="n">
        <x:v>46164</x:v>
      </x:c>
      <x:c r="J1704" s="37" t="n">
        <x:v>46164</x:v>
      </x:c>
      <x:c r="K1704" s="19" t="str">
        <x:v>Regent RV - Perth</x:v>
      </x:c>
      <x:c r="L1704" s="19" t="str">
        <x:v>Z006</x:v>
      </x:c>
      <x:c r="M1704" s="19" t="str">
        <x:v>In Field Warranty Claims</x:v>
      </x:c>
      <x:c r="N1704" s="37" t="n">
        <x:v>46140</x:v>
      </x:c>
      <x:c r="O1704" s="37"/>
      <x:c r="P1704" s="34" t="n">
        <x:v>426.21</x:v>
      </x:c>
      <x:c r="Q1704" s="37" t="n">
        <x:v>46163.945335648146</x:v>
      </x:c>
    </x:row>
    <x:row r="1705">
      <x:c r="A1705" s="22" t="n">
        <x:v>34155</x:v>
      </x:c>
      <x:c r="B1705" s="28" t="n">
        <x:v>113.75</x:v>
      </x:c>
      <x:c r="C1705" s="28"/>
      <x:c r="D1705" s="31" t="str">
        <x:f>IF(OR(ISBLANK(B1705),ISBLANK(C1705),B1705=0),"",(C1705-B1705)/B1705)</x:f>
      </x:c>
      <x:c r="E1705" s="22" t="str">
        <x:f>IF(ISBLANK(C1705),"AmountIncludingTax缺失",IF(ABS(B1705-C1705)&lt;0.005,"一致","不一致"))</x:f>
        <x:v>AmountIncludingTax缺失</x:v>
      </x:c>
      <x:c r="F1705" s="19" t="str">
        <x:v>approved</x:v>
      </x:c>
      <x:c r="G1705" s="19" t="str">
        <x:v>Repair in Progress</x:v>
      </x:c>
      <x:c r="H1705" s="19" t="str">
        <x:v>In Field</x:v>
      </x:c>
      <x:c r="I1705" s="37" t="n">
        <x:v>46167</x:v>
      </x:c>
      <x:c r="J1705" s="37" t="n">
        <x:v>46167</x:v>
      </x:c>
      <x:c r="K1705" s="19" t="str">
        <x:v>The Caravan Hub - Townsville</x:v>
      </x:c>
      <x:c r="L1705" s="19" t="str">
        <x:v>Z006</x:v>
      </x:c>
      <x:c r="M1705" s="19" t="str">
        <x:v>In Field Warranty Claims</x:v>
      </x:c>
      <x:c r="N1705" s="37" t="n">
        <x:v>46140</x:v>
      </x:c>
      <x:c r="O1705" s="37"/>
      <x:c r="P1705" s="34" t="n">
        <x:v>0</x:v>
      </x:c>
      <x:c r="Q1705" s="37" t="n">
        <x:v>46167.047326388885</x:v>
      </x:c>
    </x:row>
    <x:row r="1706">
      <x:c r="A1706" s="22" t="n">
        <x:v>34154</x:v>
      </x:c>
      <x:c r="B1706" s="28" t="n">
        <x:v>326.25</x:v>
      </x:c>
      <x:c r="C1706" s="28" t="n">
        <x:v>295.39</x:v>
      </x:c>
      <x:c r="D1706" s="31" t="n">
        <x:f>IF(OR(ISBLANK(B1706),ISBLANK(C1706),B1706=0),"",(C1706-B1706)/B1706)</x:f>
        <x:v>-0.09459003831417628</x:v>
      </x:c>
      <x:c r="E1706" s="22" t="str">
        <x:f>IF(ISBLANK(C1706),"AmountIncludingTax缺失",IF(ABS(B1706-C1706)&lt;0.005,"一致","不一致"))</x:f>
        <x:v>不一致</x:v>
      </x:c>
      <x:c r="F1706" s="19" t="str">
        <x:v>approved</x:v>
      </x:c>
      <x:c r="G1706" s="19" t="str">
        <x:v>Repair in Progress</x:v>
      </x:c>
      <x:c r="H1706" s="19" t="str">
        <x:v>In Field</x:v>
      </x:c>
      <x:c r="I1706" s="37" t="n">
        <x:v>46161</x:v>
      </x:c>
      <x:c r="J1706" s="37" t="n">
        <x:v>46161</x:v>
      </x:c>
      <x:c r="K1706" s="19" t="str">
        <x:v>Vanari Caravans - Marden Point</x:v>
      </x:c>
      <x:c r="L1706" s="19" t="str">
        <x:v>Z006</x:v>
      </x:c>
      <x:c r="M1706" s="19" t="str">
        <x:v>In Field Warranty Claims</x:v>
      </x:c>
      <x:c r="N1706" s="37" t="n">
        <x:v>46140</x:v>
      </x:c>
      <x:c r="O1706" s="37"/>
      <x:c r="P1706" s="34" t="n">
        <x:v>295.39</x:v>
      </x:c>
      <x:c r="Q1706" s="37" t="n">
        <x:v>46161.11035879629</x:v>
      </x:c>
    </x:row>
    <x:row r="1707">
      <x:c r="A1707" s="22" t="n">
        <x:v>34153</x:v>
      </x:c>
      <x:c r="B1707" s="28" t="n">
        <x:v>1350</x:v>
      </x:c>
      <x:c r="C1707" s="28"/>
      <x:c r="D1707" s="31" t="str">
        <x:f>IF(OR(ISBLANK(B1707),ISBLANK(C1707),B1707=0),"",(C1707-B1707)/B1707)</x:f>
      </x:c>
      <x:c r="E1707" s="22" t="str">
        <x:f>IF(ISBLANK(C1707),"AmountIncludingTax缺失",IF(ABS(B1707-C1707)&lt;0.005,"一致","不一致"))</x:f>
        <x:v>AmountIncludingTax缺失</x:v>
      </x:c>
      <x:c r="F1707" s="19" t="str">
        <x:v>approved</x:v>
      </x:c>
      <x:c r="G1707" s="19" t="str">
        <x:v>Repairer Invoiced Processed</x:v>
      </x:c>
      <x:c r="H1707" s="19" t="str">
        <x:v>In Field</x:v>
      </x:c>
      <x:c r="I1707" s="37" t="n">
        <x:v>46142</x:v>
      </x:c>
      <x:c r="J1707" s="37" t="n">
        <x:v>46142</x:v>
      </x:c>
      <x:c r="K1707" s="19" t="str">
        <x:v>Dario Caravans - Pooraka</x:v>
      </x:c>
      <x:c r="L1707" s="19" t="str">
        <x:v>Z006</x:v>
      </x:c>
      <x:c r="M1707" s="19" t="str">
        <x:v>In Field Warranty Claims</x:v>
      </x:c>
      <x:c r="N1707" s="37" t="n">
        <x:v>46140</x:v>
      </x:c>
      <x:c r="O1707" s="37"/>
      <x:c r="P1707" s="34" t="n">
        <x:v>1485</x:v>
      </x:c>
      <x:c r="Q1707" s="37" t="n">
        <x:v>46141.862175925926</x:v>
      </x:c>
    </x:row>
    <x:row r="1708">
      <x:c r="A1708" s="22" t="n">
        <x:v>34152</x:v>
      </x:c>
      <x:c r="B1708" s="28" t="n">
        <x:v>405</x:v>
      </x:c>
      <x:c r="C1708" s="28"/>
      <x:c r="D1708" s="31" t="str">
        <x:f>IF(OR(ISBLANK(B1708),ISBLANK(C1708),B1708=0),"",(C1708-B1708)/B1708)</x:f>
      </x:c>
      <x:c r="E1708" s="22" t="str">
        <x:f>IF(ISBLANK(C1708),"AmountIncludingTax缺失",IF(ABS(B1708-C1708)&lt;0.005,"一致","不一致"))</x:f>
        <x:v>AmountIncludingTax缺失</x:v>
      </x:c>
      <x:c r="F1708" s="19" t="str">
        <x:v>approved</x:v>
      </x:c>
      <x:c r="G1708" s="19" t="str">
        <x:v>Repair in Progress</x:v>
      </x:c>
      <x:c r="H1708" s="19" t="str">
        <x:v>In Field</x:v>
      </x:c>
      <x:c r="I1708" s="37" t="n">
        <x:v>46140</x:v>
      </x:c>
      <x:c r="J1708" s="37" t="n">
        <x:v>46140</x:v>
      </x:c>
      <x:c r="K1708" s="19" t="str">
        <x:v>Green RV - Slacks Creek</x:v>
      </x:c>
      <x:c r="L1708" s="19" t="str">
        <x:v>Z006</x:v>
      </x:c>
      <x:c r="M1708" s="19" t="str">
        <x:v>In Field Warranty Claims</x:v>
      </x:c>
      <x:c r="N1708" s="37" t="n">
        <x:v>46139</x:v>
      </x:c>
      <x:c r="O1708" s="37"/>
      <x:c r="P1708" s="34" t="n">
        <x:v>0</x:v>
      </x:c>
      <x:c r="Q1708" s="37" t="n">
        <x:v>46140.09815972222</x:v>
      </x:c>
    </x:row>
    <x:row r="1709">
      <x:c r="A1709" s="22" t="n">
        <x:v>34150</x:v>
      </x:c>
      <x:c r="B1709" s="28" t="n">
        <x:v>67.5</x:v>
      </x:c>
      <x:c r="C1709" s="28"/>
      <x:c r="D1709" s="31" t="str">
        <x:f>IF(OR(ISBLANK(B1709),ISBLANK(C1709),B1709=0),"",(C1709-B1709)/B1709)</x:f>
      </x:c>
      <x:c r="E1709" s="22" t="str">
        <x:f>IF(ISBLANK(C1709),"AmountIncludingTax缺失",IF(ABS(B1709-C1709)&lt;0.005,"一致","不一致"))</x:f>
        <x:v>AmountIncludingTax缺失</x:v>
      </x:c>
      <x:c r="F1709" s="19" t="str">
        <x:v>approved</x:v>
      </x:c>
      <x:c r="G1709" s="19" t="str">
        <x:v>Repair in Progress</x:v>
      </x:c>
      <x:c r="H1709" s="19" t="str">
        <x:v>In Field</x:v>
      </x:c>
      <x:c r="I1709" s="37" t="n">
        <x:v>46167</x:v>
      </x:c>
      <x:c r="J1709" s="37" t="n">
        <x:v>46167</x:v>
      </x:c>
      <x:c r="K1709" s="19" t="str">
        <x:v>Auswide Caravans - South Nowra</x:v>
      </x:c>
      <x:c r="L1709" s="19" t="str">
        <x:v>Z006</x:v>
      </x:c>
      <x:c r="M1709" s="19" t="str">
        <x:v>In Field Warranty Claims</x:v>
      </x:c>
      <x:c r="N1709" s="37" t="n">
        <x:v>46140</x:v>
      </x:c>
      <x:c r="O1709" s="37"/>
      <x:c r="P1709" s="34" t="n">
        <x:v>0</x:v>
      </x:c>
      <x:c r="Q1709" s="37" t="n">
        <x:v>46167.11167824074</x:v>
      </x:c>
    </x:row>
    <x:row r="1710">
      <x:c r="A1710" s="22" t="n">
        <x:v>34148</x:v>
      </x:c>
      <x:c r="B1710" s="28" t="n">
        <x:v>850</x:v>
      </x:c>
      <x:c r="C1710" s="28"/>
      <x:c r="D1710" s="31" t="str">
        <x:f>IF(OR(ISBLANK(B1710),ISBLANK(C1710),B1710=0),"",(C1710-B1710)/B1710)</x:f>
      </x:c>
      <x:c r="E1710" s="22" t="str">
        <x:f>IF(ISBLANK(C1710),"AmountIncludingTax缺失",IF(ABS(B1710-C1710)&lt;0.005,"一致","不一致"))</x:f>
        <x:v>AmountIncludingTax缺失</x:v>
      </x:c>
      <x:c r="F1710" s="19" t="str">
        <x:v>approved</x:v>
      </x:c>
      <x:c r="G1710" s="19" t="str">
        <x:v>Repairer Invoiced Processed</x:v>
      </x:c>
      <x:c r="H1710" s="19" t="str">
        <x:v>In Field</x:v>
      </x:c>
      <x:c r="I1710" s="37" t="n">
        <x:v>46167</x:v>
      </x:c>
      <x:c r="J1710" s="37" t="n">
        <x:v>46167</x:v>
      </x:c>
      <x:c r="K1710" s="19" t="str">
        <x:v>Auswide Caravans - South Nowra</x:v>
      </x:c>
      <x:c r="L1710" s="19" t="str">
        <x:v>Z006</x:v>
      </x:c>
      <x:c r="M1710" s="19" t="str">
        <x:v>In Field Warranty Claims</x:v>
      </x:c>
      <x:c r="N1710" s="37" t="n">
        <x:v>46140</x:v>
      </x:c>
      <x:c r="O1710" s="37"/>
      <x:c r="P1710" s="34" t="n">
        <x:v>0</x:v>
      </x:c>
      <x:c r="Q1710" s="37" t="n">
        <x:v>46167.01672453704</x:v>
      </x:c>
    </x:row>
    <x:row r="1711">
      <x:c r="A1711" s="22" t="n">
        <x:v>34147</x:v>
      </x:c>
      <x:c r="B1711" s="28" t="n">
        <x:v>897.5</x:v>
      </x:c>
      <x:c r="C1711" s="28"/>
      <x:c r="D1711" s="31" t="str">
        <x:f>IF(OR(ISBLANK(B1711),ISBLANK(C1711),B1711=0),"",(C1711-B1711)/B1711)</x:f>
      </x:c>
      <x:c r="E1711" s="22" t="str">
        <x:f>IF(ISBLANK(C1711),"AmountIncludingTax缺失",IF(ABS(B1711-C1711)&lt;0.005,"一致","不一致"))</x:f>
        <x:v>AmountIncludingTax缺失</x:v>
      </x:c>
      <x:c r="F1711" s="19" t="str">
        <x:v>approved</x:v>
      </x:c>
      <x:c r="G1711" s="19" t="str">
        <x:v>Sales Order Approved</x:v>
      </x:c>
      <x:c r="H1711" s="19" t="str">
        <x:v>Pre Delivery</x:v>
      </x:c>
      <x:c r="I1711" s="37" t="n">
        <x:v>46150</x:v>
      </x:c>
      <x:c r="J1711" s="37" t="n">
        <x:v>46150</x:v>
      </x:c>
      <x:c r="K1711" s="19" t="str">
        <x:v>Leisure Lion - Bundaberg</x:v>
      </x:c>
      <x:c r="L1711" s="19" t="str">
        <x:v>Z005</x:v>
      </x:c>
      <x:c r="M1711" s="19" t="str">
        <x:v>Pre Delivery Warranty Claims</x:v>
      </x:c>
      <x:c r="N1711" s="37" t="n">
        <x:v>46140</x:v>
      </x:c>
      <x:c r="O1711" s="37"/>
      <x:c r="P1711" s="34" t="n">
        <x:v>0</x:v>
      </x:c>
      <x:c r="Q1711" s="37" t="n">
        <x:v>46150.14641203704</x:v>
      </x:c>
    </x:row>
    <x:row r="1712">
      <x:c r="A1712" s="22" t="n">
        <x:v>34146</x:v>
      </x:c>
      <x:c r="B1712" s="28" t="n">
        <x:v>560</x:v>
      </x:c>
      <x:c r="C1712" s="28"/>
      <x:c r="D1712" s="31" t="str">
        <x:f>IF(OR(ISBLANK(B1712),ISBLANK(C1712),B1712=0),"",(C1712-B1712)/B1712)</x:f>
      </x:c>
      <x:c r="E1712" s="22" t="str">
        <x:f>IF(ISBLANK(C1712),"AmountIncludingTax缺失",IF(ABS(B1712-C1712)&lt;0.005,"一致","不一致"))</x:f>
        <x:v>AmountIncludingTax缺失</x:v>
      </x:c>
      <x:c r="F1712" s="19" t="str">
        <x:v>approved</x:v>
      </x:c>
      <x:c r="G1712" s="19" t="str">
        <x:v>Repairer Invoiced Processed</x:v>
      </x:c>
      <x:c r="H1712" s="19" t="str">
        <x:v>In Field</x:v>
      </x:c>
      <x:c r="I1712" s="37" t="n">
        <x:v>46140</x:v>
      </x:c>
      <x:c r="J1712" s="37" t="n">
        <x:v>46140</x:v>
      </x:c>
      <x:c r="K1712" s="19" t="str">
        <x:v>Lesiure Lion-New Castle</x:v>
      </x:c>
      <x:c r="L1712" s="19" t="str">
        <x:v>Z006</x:v>
      </x:c>
      <x:c r="M1712" s="19" t="str">
        <x:v>In Field Warranty Claims</x:v>
      </x:c>
      <x:c r="N1712" s="37" t="n">
        <x:v>46139</x:v>
      </x:c>
      <x:c r="O1712" s="37"/>
      <x:c r="P1712" s="34" t="n">
        <x:v>0</x:v>
      </x:c>
      <x:c r="Q1712" s="37" t="n">
        <x:v>46140.02916666667</x:v>
      </x:c>
    </x:row>
    <x:row r="1713">
      <x:c r="A1713" s="22" t="n">
        <x:v>34145</x:v>
      </x:c>
      <x:c r="B1713" s="28" t="n">
        <x:v>327.27</x:v>
      </x:c>
      <x:c r="C1713" s="28" t="n">
        <x:v>360</x:v>
      </x:c>
      <x:c r="D1713" s="31" t="n">
        <x:f>IF(OR(ISBLANK(B1713),ISBLANK(C1713),B1713=0),"",(C1713-B1713)/B1713)</x:f>
        <x:v>0.10000916674305625</x:v>
      </x:c>
      <x:c r="E1713" s="22" t="str">
        <x:f>IF(ISBLANK(C1713),"AmountIncludingTax缺失",IF(ABS(B1713-C1713)&lt;0.005,"一致","不一致"))</x:f>
        <x:v>不一致</x:v>
      </x:c>
      <x:c r="F1713" s="19" t="str">
        <x:v>approved</x:v>
      </x:c>
      <x:c r="G1713" s="19" t="str">
        <x:v>Repairer Invoiced Processed</x:v>
      </x:c>
      <x:c r="H1713" s="19" t="str">
        <x:v>In Field</x:v>
      </x:c>
      <x:c r="I1713" s="37" t="n">
        <x:v>46143</x:v>
      </x:c>
      <x:c r="J1713" s="37" t="n">
        <x:v>46143</x:v>
      </x:c>
      <x:c r="K1713" s="19" t="str">
        <x:v>Green RV - Forest Glen</x:v>
      </x:c>
      <x:c r="L1713" s="19" t="str">
        <x:v>Z006</x:v>
      </x:c>
      <x:c r="M1713" s="19" t="str">
        <x:v>In Field Warranty Claims</x:v>
      </x:c>
      <x:c r="N1713" s="37" t="n">
        <x:v>46139</x:v>
      </x:c>
      <x:c r="O1713" s="37"/>
      <x:c r="P1713" s="34" t="n">
        <x:v>360</x:v>
      </x:c>
      <x:c r="Q1713" s="37" t="n">
        <x:v>46142.954618055555</x:v>
      </x:c>
    </x:row>
    <x:row r="1714">
      <x:c r="A1714" s="22" t="n">
        <x:v>34144</x:v>
      </x:c>
      <x:c r="B1714" s="28" t="n">
        <x:v>3613.15</x:v>
      </x:c>
      <x:c r="C1714" s="28"/>
      <x:c r="D1714" s="31" t="str">
        <x:f>IF(OR(ISBLANK(B1714),ISBLANK(C1714),B1714=0),"",(C1714-B1714)/B1714)</x:f>
      </x:c>
      <x:c r="E1714" s="22" t="str">
        <x:f>IF(ISBLANK(C1714),"AmountIncludingTax缺失",IF(ABS(B1714-C1714)&lt;0.005,"一致","不一致"))</x:f>
        <x:v>AmountIncludingTax缺失</x:v>
      </x:c>
      <x:c r="F1714" s="19" t="str">
        <x:v>approved</x:v>
      </x:c>
      <x:c r="G1714" s="19" t="str">
        <x:v>Repairer Invoiced Processed</x:v>
      </x:c>
      <x:c r="H1714" s="19" t="str">
        <x:v>In Field</x:v>
      </x:c>
      <x:c r="I1714" s="37" t="n">
        <x:v>46199</x:v>
      </x:c>
      <x:c r="J1714" s="37" t="n">
        <x:v>46150</x:v>
      </x:c>
      <x:c r="K1714" s="19" t="str">
        <x:v>Vanari Caravans - Marden Point</x:v>
      </x:c>
      <x:c r="L1714" s="19" t="str">
        <x:v>Z006</x:v>
      </x:c>
      <x:c r="M1714" s="19" t="str">
        <x:v>In Field Warranty Claims</x:v>
      </x:c>
      <x:c r="N1714" s="37" t="n">
        <x:v>46139</x:v>
      </x:c>
      <x:c r="O1714" s="37"/>
      <x:c r="P1714" s="34" t="n">
        <x:v>3271.35</x:v>
      </x:c>
      <x:c r="Q1714" s="37" t="n">
        <x:v>46199.18851851852</x:v>
      </x:c>
    </x:row>
    <x:row r="1715">
      <x:c r="A1715" s="22" t="n">
        <x:v>34142</x:v>
      </x:c>
      <x:c r="B1715" s="28" t="n">
        <x:v>101.25</x:v>
      </x:c>
      <x:c r="C1715" s="28" t="n">
        <x:v>111.38</x:v>
      </x:c>
      <x:c r="D1715" s="31" t="n">
        <x:f>IF(OR(ISBLANK(B1715),ISBLANK(C1715),B1715=0),"",(C1715-B1715)/B1715)</x:f>
        <x:v>0.10004938271604934</x:v>
      </x:c>
      <x:c r="E1715" s="22" t="str">
        <x:f>IF(ISBLANK(C1715),"AmountIncludingTax缺失",IF(ABS(B1715-C1715)&lt;0.005,"一致","不一致"))</x:f>
        <x:v>不一致</x:v>
      </x:c>
      <x:c r="F1715" s="19" t="str">
        <x:v>approved</x:v>
      </x:c>
      <x:c r="G1715" s="19" t="str">
        <x:v>Repairer Invoiced Processed</x:v>
      </x:c>
      <x:c r="H1715" s="19" t="str">
        <x:v>In Field</x:v>
      </x:c>
      <x:c r="I1715" s="37" t="n">
        <x:v>46142</x:v>
      </x:c>
      <x:c r="J1715" s="37" t="n">
        <x:v>46142</x:v>
      </x:c>
      <x:c r="K1715" s="19" t="str">
        <x:v>Destiny RV - South Australia</x:v>
      </x:c>
      <x:c r="L1715" s="19" t="str">
        <x:v>Z006</x:v>
      </x:c>
      <x:c r="M1715" s="19" t="str">
        <x:v>In Field Warranty Claims</x:v>
      </x:c>
      <x:c r="N1715" s="37" t="n">
        <x:v>46139</x:v>
      </x:c>
      <x:c r="O1715" s="37"/>
      <x:c r="P1715" s="34" t="n">
        <x:v>111.38</x:v>
      </x:c>
      <x:c r="Q1715" s="37" t="n">
        <x:v>46142.46875</x:v>
      </x:c>
    </x:row>
    <x:row r="1716">
      <x:c r="A1716" s="22" t="n">
        <x:v>34139</x:v>
      </x:c>
      <x:c r="B1716" s="28" t="n">
        <x:v>145</x:v>
      </x:c>
      <x:c r="C1716" s="28"/>
      <x:c r="D1716" s="31" t="str">
        <x:f>IF(OR(ISBLANK(B1716),ISBLANK(C1716),B1716=0),"",(C1716-B1716)/B1716)</x:f>
      </x:c>
      <x:c r="E1716" s="22" t="str">
        <x:f>IF(ISBLANK(C1716),"AmountIncludingTax缺失",IF(ABS(B1716-C1716)&lt;0.005,"一致","不一致"))</x:f>
        <x:v>AmountIncludingTax缺失</x:v>
      </x:c>
      <x:c r="F1716" s="19" t="str">
        <x:v>approved</x:v>
      </x:c>
      <x:c r="G1716" s="19" t="str">
        <x:v>Repair in Progress</x:v>
      </x:c>
      <x:c r="H1716" s="19" t="str">
        <x:v>In Field</x:v>
      </x:c>
      <x:c r="I1716" s="37" t="n">
        <x:v>46175</x:v>
      </x:c>
      <x:c r="J1716" s="37" t="n">
        <x:v>46175</x:v>
      </x:c>
      <x:c r="K1716" s="19" t="str">
        <x:v>Snowy River Wangaratta</x:v>
      </x:c>
      <x:c r="L1716" s="19" t="str">
        <x:v>Z006</x:v>
      </x:c>
      <x:c r="M1716" s="19" t="str">
        <x:v>In Field Warranty Claims</x:v>
      </x:c>
      <x:c r="N1716" s="37" t="n">
        <x:v>46139</x:v>
      </x:c>
      <x:c r="O1716" s="37"/>
      <x:c r="P1716" s="34" t="n">
        <x:v>0</x:v>
      </x:c>
      <x:c r="Q1716" s="37" t="n">
        <x:v>46175.24101851852</x:v>
      </x:c>
    </x:row>
    <x:row r="1717">
      <x:c r="A1717" s="22" t="n">
        <x:v>34138</x:v>
      </x:c>
      <x:c r="B1717" s="28" t="n">
        <x:v>7425</x:v>
      </x:c>
      <x:c r="C1717" s="28"/>
      <x:c r="D1717" s="31" t="str">
        <x:f>IF(OR(ISBLANK(B1717),ISBLANK(C1717),B1717=0),"",(C1717-B1717)/B1717)</x:f>
      </x:c>
      <x:c r="E1717" s="22" t="str">
        <x:f>IF(ISBLANK(C1717),"AmountIncludingTax缺失",IF(ABS(B1717-C1717)&lt;0.005,"一致","不一致"))</x:f>
        <x:v>AmountIncludingTax缺失</x:v>
      </x:c>
      <x:c r="F1717" s="19" t="str">
        <x:v>approved</x:v>
      </x:c>
      <x:c r="G1717" s="19" t="str">
        <x:v>Repair in Progress</x:v>
      </x:c>
      <x:c r="H1717" s="19" t="str">
        <x:v>In Field</x:v>
      </x:c>
      <x:c r="I1717" s="37" t="n">
        <x:v>46150</x:v>
      </x:c>
      <x:c r="J1717" s="37" t="n">
        <x:v>46150</x:v>
      </x:c>
      <x:c r="K1717" s="19" t="str">
        <x:v>QCCC - Gympie</x:v>
      </x:c>
      <x:c r="L1717" s="19" t="str">
        <x:v>Z006</x:v>
      </x:c>
      <x:c r="M1717" s="19" t="str">
        <x:v>In Field Warranty Claims</x:v>
      </x:c>
      <x:c r="N1717" s="37" t="n">
        <x:v>46139</x:v>
      </x:c>
      <x:c r="O1717" s="37"/>
      <x:c r="P1717" s="34" t="n">
        <x:v>0</x:v>
      </x:c>
      <x:c r="Q1717" s="37" t="n">
        <x:v>46150.075590277775</x:v>
      </x:c>
    </x:row>
    <x:row r="1718">
      <x:c r="A1718" s="22" t="n">
        <x:v>34137</x:v>
      </x:c>
      <x:c r="B1718" s="28" t="n">
        <x:v>405</x:v>
      </x:c>
      <x:c r="C1718" s="28"/>
      <x:c r="D1718" s="31" t="str">
        <x:f>IF(OR(ISBLANK(B1718),ISBLANK(C1718),B1718=0),"",(C1718-B1718)/B1718)</x:f>
      </x:c>
      <x:c r="E1718" s="22" t="str">
        <x:f>IF(ISBLANK(C1718),"AmountIncludingTax缺失",IF(ABS(B1718-C1718)&lt;0.005,"一致","不一致"))</x:f>
        <x:v>AmountIncludingTax缺失</x:v>
      </x:c>
      <x:c r="F1718" s="19" t="str">
        <x:v>approved</x:v>
      </x:c>
      <x:c r="G1718" s="19" t="str">
        <x:v>Sales Order Approved</x:v>
      </x:c>
      <x:c r="H1718" s="19" t="str">
        <x:v>Pre Delivery</x:v>
      </x:c>
      <x:c r="I1718" s="37" t="n">
        <x:v>46150</x:v>
      </x:c>
      <x:c r="J1718" s="37" t="n">
        <x:v>46150</x:v>
      </x:c>
      <x:c r="K1718" s="19" t="str">
        <x:v>Green RV - Forest Glen</x:v>
      </x:c>
      <x:c r="L1718" s="19" t="str">
        <x:v>Z005</x:v>
      </x:c>
      <x:c r="M1718" s="19" t="str">
        <x:v>Pre Delivery Warranty Claims</x:v>
      </x:c>
      <x:c r="N1718" s="37" t="n">
        <x:v>46139</x:v>
      </x:c>
      <x:c r="O1718" s="37"/>
      <x:c r="P1718" s="34" t="n">
        <x:v>0</x:v>
      </x:c>
      <x:c r="Q1718" s="37" t="n">
        <x:v>46149.948842592596</x:v>
      </x:c>
    </x:row>
    <x:row r="1719">
      <x:c r="A1719" s="22" t="n">
        <x:v>34136</x:v>
      </x:c>
      <x:c r="B1719" s="28" t="n">
        <x:v>540</x:v>
      </x:c>
      <x:c r="C1719" s="28"/>
      <x:c r="D1719" s="31" t="str">
        <x:f>IF(OR(ISBLANK(B1719),ISBLANK(C1719),B1719=0),"",(C1719-B1719)/B1719)</x:f>
      </x:c>
      <x:c r="E1719" s="22" t="str">
        <x:f>IF(ISBLANK(C1719),"AmountIncludingTax缺失",IF(ABS(B1719-C1719)&lt;0.005,"一致","不一致"))</x:f>
        <x:v>AmountIncludingTax缺失</x:v>
      </x:c>
      <x:c r="F1719" s="19" t="str">
        <x:v>approved</x:v>
      </x:c>
      <x:c r="G1719" s="19" t="str">
        <x:v>Repair in Progress</x:v>
      </x:c>
      <x:c r="H1719" s="19" t="str">
        <x:v>In Field</x:v>
      </x:c>
      <x:c r="I1719" s="37" t="n">
        <x:v>46139</x:v>
      </x:c>
      <x:c r="J1719" s="37" t="n">
        <x:v>46139</x:v>
      </x:c>
      <x:c r="K1719" s="19" t="str">
        <x:v>Auswide Caravans - South Nowra</x:v>
      </x:c>
      <x:c r="L1719" s="19" t="str">
        <x:v>Z006</x:v>
      </x:c>
      <x:c r="M1719" s="19" t="str">
        <x:v>In Field Warranty Claims</x:v>
      </x:c>
      <x:c r="N1719" s="37" t="n">
        <x:v>46139</x:v>
      </x:c>
      <x:c r="O1719" s="37"/>
      <x:c r="P1719" s="34" t="n">
        <x:v>0</x:v>
      </x:c>
      <x:c r="Q1719" s="37" t="n">
        <x:v>46139.51193287037</x:v>
      </x:c>
    </x:row>
    <x:row r="1720">
      <x:c r="A1720" s="22" t="n">
        <x:v>34134</x:v>
      </x:c>
      <x:c r="B1720" s="28" t="n">
        <x:v>540</x:v>
      </x:c>
      <x:c r="C1720" s="28"/>
      <x:c r="D1720" s="31" t="str">
        <x:f>IF(OR(ISBLANK(B1720),ISBLANK(C1720),B1720=0),"",(C1720-B1720)/B1720)</x:f>
      </x:c>
      <x:c r="E1720" s="22" t="str">
        <x:f>IF(ISBLANK(C1720),"AmountIncludingTax缺失",IF(ABS(B1720-C1720)&lt;0.005,"一致","不一致"))</x:f>
        <x:v>AmountIncludingTax缺失</x:v>
      </x:c>
      <x:c r="F1720" s="19" t="str">
        <x:v>approved</x:v>
      </x:c>
      <x:c r="G1720" s="19" t="str">
        <x:v>Repair in Progress</x:v>
      </x:c>
      <x:c r="H1720" s="19" t="str">
        <x:v>In Field</x:v>
      </x:c>
      <x:c r="I1720" s="37" t="n">
        <x:v>46139</x:v>
      </x:c>
      <x:c r="J1720" s="37" t="n">
        <x:v>46139</x:v>
      </x:c>
      <x:c r="K1720" s="19" t="str">
        <x:v>Regent RV - Frankston</x:v>
      </x:c>
      <x:c r="L1720" s="19" t="str">
        <x:v>Z006</x:v>
      </x:c>
      <x:c r="M1720" s="19" t="str">
        <x:v>In Field Warranty Claims</x:v>
      </x:c>
      <x:c r="N1720" s="37" t="n">
        <x:v>46139</x:v>
      </x:c>
      <x:c r="O1720" s="37"/>
      <x:c r="P1720" s="34" t="n">
        <x:v>0</x:v>
      </x:c>
      <x:c r="Q1720" s="37" t="n">
        <x:v>46139.1862962963</x:v>
      </x:c>
    </x:row>
    <x:row r="1721">
      <x:c r="A1721" s="22" t="n">
        <x:v>34133</x:v>
      </x:c>
      <x:c r="B1721" s="28" t="n">
        <x:v>3570</x:v>
      </x:c>
      <x:c r="C1721" s="28"/>
      <x:c r="D1721" s="31" t="str">
        <x:f>IF(OR(ISBLANK(B1721),ISBLANK(C1721),B1721=0),"",(C1721-B1721)/B1721)</x:f>
      </x:c>
      <x:c r="E1721" s="22" t="str">
        <x:f>IF(ISBLANK(C1721),"AmountIncludingTax缺失",IF(ABS(B1721-C1721)&lt;0.005,"一致","不一致"))</x:f>
        <x:v>AmountIncludingTax缺失</x:v>
      </x:c>
      <x:c r="F1721" s="19" t="str">
        <x:v>approved</x:v>
      </x:c>
      <x:c r="G1721" s="19" t="str">
        <x:v>Repairer Invoiced Processed</x:v>
      </x:c>
      <x:c r="H1721" s="19" t="str">
        <x:v>In Field</x:v>
      </x:c>
      <x:c r="I1721" s="37" t="n">
        <x:v>46146</x:v>
      </x:c>
      <x:c r="J1721" s="37" t="n">
        <x:v>46146</x:v>
      </x:c>
      <x:c r="K1721" s="19" t="str">
        <x:v>Green RV - Slacks Creek</x:v>
      </x:c>
      <x:c r="L1721" s="19" t="str">
        <x:v>Z006</x:v>
      </x:c>
      <x:c r="M1721" s="19" t="str">
        <x:v>In Field Warranty Claims</x:v>
      </x:c>
      <x:c r="N1721" s="37" t="n">
        <x:v>46138</x:v>
      </x:c>
      <x:c r="O1721" s="37"/>
      <x:c r="P1721" s="34" t="n">
        <x:v>0</x:v>
      </x:c>
      <x:c r="Q1721" s="37" t="n">
        <x:v>46146.0025</x:v>
      </x:c>
    </x:row>
    <x:row r="1722">
      <x:c r="A1722" s="22" t="n">
        <x:v>34132</x:v>
      </x:c>
      <x:c r="B1722" s="28" t="n">
        <x:v>438.75</x:v>
      </x:c>
      <x:c r="C1722" s="28"/>
      <x:c r="D1722" s="31" t="str">
        <x:f>IF(OR(ISBLANK(B1722),ISBLANK(C1722),B1722=0),"",(C1722-B1722)/B1722)</x:f>
      </x:c>
      <x:c r="E1722" s="22" t="str">
        <x:f>IF(ISBLANK(C1722),"AmountIncludingTax缺失",IF(ABS(B1722-C1722)&lt;0.005,"一致","不一致"))</x:f>
        <x:v>AmountIncludingTax缺失</x:v>
      </x:c>
      <x:c r="F1722" s="19" t="str">
        <x:v>approved</x:v>
      </x:c>
      <x:c r="G1722" s="19" t="str">
        <x:v>Partially Picked</x:v>
      </x:c>
      <x:c r="H1722" s="19" t="str">
        <x:v>In Field</x:v>
      </x:c>
      <x:c r="I1722" s="37" t="n">
        <x:v>46184</x:v>
      </x:c>
      <x:c r="J1722" s="37" t="n">
        <x:v>46184</x:v>
      </x:c>
      <x:c r="K1722" s="19" t="str">
        <x:v>Regent RV - Frankston</x:v>
      </x:c>
      <x:c r="L1722" s="19" t="str">
        <x:v>Z006</x:v>
      </x:c>
      <x:c r="M1722" s="19" t="str">
        <x:v>In Field Warranty Claims</x:v>
      </x:c>
      <x:c r="N1722" s="37" t="n">
        <x:v>46138</x:v>
      </x:c>
      <x:c r="O1722" s="37"/>
      <x:c r="P1722" s="34" t="n">
        <x:v>0</x:v>
      </x:c>
      <x:c r="Q1722" s="37" t="n">
        <x:v>46184.19084490741</x:v>
      </x:c>
    </x:row>
    <x:row r="1723">
      <x:c r="A1723" s="22" t="n">
        <x:v>34131</x:v>
      </x:c>
      <x:c r="B1723" s="28" t="n">
        <x:v>830</x:v>
      </x:c>
      <x:c r="C1723" s="28"/>
      <x:c r="D1723" s="31" t="str">
        <x:f>IF(OR(ISBLANK(B1723),ISBLANK(C1723),B1723=0),"",(C1723-B1723)/B1723)</x:f>
      </x:c>
      <x:c r="E1723" s="22" t="str">
        <x:f>IF(ISBLANK(C1723),"AmountIncludingTax缺失",IF(ABS(B1723-C1723)&lt;0.005,"一致","不一致"))</x:f>
        <x:v>AmountIncludingTax缺失</x:v>
      </x:c>
      <x:c r="F1723" s="19" t="str">
        <x:v>approved</x:v>
      </x:c>
      <x:c r="G1723" s="19" t="str">
        <x:v>Repair in Progress</x:v>
      </x:c>
      <x:c r="H1723" s="19" t="str">
        <x:v>In Field</x:v>
      </x:c>
      <x:c r="I1723" s="37" t="n">
        <x:v>46163</x:v>
      </x:c>
      <x:c r="J1723" s="37" t="n">
        <x:v>46163</x:v>
      </x:c>
      <x:c r="K1723" s="19" t="str">
        <x:v>Auswide Caravans - South Nowra</x:v>
      </x:c>
      <x:c r="L1723" s="19" t="str">
        <x:v>Z006</x:v>
      </x:c>
      <x:c r="M1723" s="19" t="str">
        <x:v>In Field Warranty Claims</x:v>
      </x:c>
      <x:c r="N1723" s="37" t="n">
        <x:v>46138</x:v>
      </x:c>
      <x:c r="O1723" s="37"/>
      <x:c r="P1723" s="34" t="n">
        <x:v>0</x:v>
      </x:c>
      <x:c r="Q1723" s="37" t="n">
        <x:v>46163.09657407407</x:v>
      </x:c>
    </x:row>
    <x:row r="1724">
      <x:c r="A1724" s="22" t="n">
        <x:v>34125</x:v>
      </x:c>
      <x:c r="B1724" s="28" t="n">
        <x:v>270</x:v>
      </x:c>
      <x:c r="C1724" s="28"/>
      <x:c r="D1724" s="31" t="str">
        <x:f>IF(OR(ISBLANK(B1724),ISBLANK(C1724),B1724=0),"",(C1724-B1724)/B1724)</x:f>
      </x:c>
      <x:c r="E1724" s="22" t="str">
        <x:f>IF(ISBLANK(C1724),"AmountIncludingTax缺失",IF(ABS(B1724-C1724)&lt;0.005,"一致","不一致"))</x:f>
        <x:v>AmountIncludingTax缺失</x:v>
      </x:c>
      <x:c r="F1724" s="19" t="str">
        <x:v>approved</x:v>
      </x:c>
      <x:c r="G1724" s="19" t="str">
        <x:v>Repairer Invoiced Processed</x:v>
      </x:c>
      <x:c r="H1724" s="19" t="str">
        <x:v>In Field</x:v>
      </x:c>
      <x:c r="I1724" s="37" t="n">
        <x:v>46139</x:v>
      </x:c>
      <x:c r="J1724" s="37" t="n">
        <x:v>46139</x:v>
      </x:c>
      <x:c r="K1724" s="19" t="str">
        <x:v>Dario Caravans -St.Marys</x:v>
      </x:c>
      <x:c r="L1724" s="19" t="str">
        <x:v>Z006</x:v>
      </x:c>
      <x:c r="M1724" s="19" t="str">
        <x:v>In Field Warranty Claims</x:v>
      </x:c>
      <x:c r="N1724" s="37" t="n">
        <x:v>46139</x:v>
      </x:c>
      <x:c r="O1724" s="37"/>
      <x:c r="P1724" s="34" t="n">
        <x:v>0</x:v>
      </x:c>
      <x:c r="Q1724" s="37" t="n">
        <x:v>46139.516875</x:v>
      </x:c>
    </x:row>
    <x:row r="1725">
      <x:c r="A1725" s="22" t="n">
        <x:v>34116</x:v>
      </x:c>
      <x:c r="B1725" s="28" t="n">
        <x:v>263.64</x:v>
      </x:c>
      <x:c r="C1725" s="28" t="n">
        <x:v>290</x:v>
      </x:c>
      <x:c r="D1725" s="31" t="n">
        <x:f>IF(OR(ISBLANK(B1725),ISBLANK(C1725),B1725=0),"",(C1725-B1725)/B1725)</x:f>
        <x:v>0.09998482779547874</x:v>
      </x:c>
      <x:c r="E1725" s="22" t="str">
        <x:f>IF(ISBLANK(C1725),"AmountIncludingTax缺失",IF(ABS(B1725-C1725)&lt;0.005,"一致","不一致"))</x:f>
        <x:v>不一致</x:v>
      </x:c>
      <x:c r="F1725" s="19" t="str">
        <x:v>approved</x:v>
      </x:c>
      <x:c r="G1725" s="19" t="str">
        <x:v>Repairer Invoiced Processed</x:v>
      </x:c>
      <x:c r="H1725" s="19" t="str">
        <x:v>In Field</x:v>
      </x:c>
      <x:c r="I1725" s="37" t="n">
        <x:v>46197</x:v>
      </x:c>
      <x:c r="J1725" s="37" t="n">
        <x:v>46197</x:v>
      </x:c>
      <x:c r="K1725" s="19" t="str">
        <x:v>QCCC - Gympie</x:v>
      </x:c>
      <x:c r="L1725" s="19" t="str">
        <x:v>Z006</x:v>
      </x:c>
      <x:c r="M1725" s="19" t="str">
        <x:v>In Field Warranty Claims</x:v>
      </x:c>
      <x:c r="N1725" s="37" t="n">
        <x:v>46137</x:v>
      </x:c>
      <x:c r="O1725" s="37"/>
      <x:c r="P1725" s="34" t="n">
        <x:v>290</x:v>
      </x:c>
      <x:c r="Q1725" s="37" t="n">
        <x:v>46197.11402777778</x:v>
      </x:c>
    </x:row>
    <x:row r="1726">
      <x:c r="A1726" s="22" t="n">
        <x:v>34112</x:v>
      </x:c>
      <x:c r="B1726" s="28" t="n">
        <x:v>1072.5</x:v>
      </x:c>
      <x:c r="C1726" s="28"/>
      <x:c r="D1726" s="31" t="str">
        <x:f>IF(OR(ISBLANK(B1726),ISBLANK(C1726),B1726=0),"",(C1726-B1726)/B1726)</x:f>
      </x:c>
      <x:c r="E1726" s="22" t="str">
        <x:f>IF(ISBLANK(C1726),"AmountIncludingTax缺失",IF(ABS(B1726-C1726)&lt;0.005,"一致","不一致"))</x:f>
        <x:v>AmountIncludingTax缺失</x:v>
      </x:c>
      <x:c r="F1726" s="19" t="str">
        <x:v>approved</x:v>
      </x:c>
      <x:c r="G1726" s="19" t="str">
        <x:v>Repair in Progress</x:v>
      </x:c>
      <x:c r="H1726" s="19" t="str">
        <x:v>In Field</x:v>
      </x:c>
      <x:c r="I1726" s="37" t="n">
        <x:v>46139</x:v>
      </x:c>
      <x:c r="J1726" s="37" t="n">
        <x:v>46139</x:v>
      </x:c>
      <x:c r="K1726" s="19" t="str">
        <x:v>Green RV - Forest Glen</x:v>
      </x:c>
      <x:c r="L1726" s="19" t="str">
        <x:v>Z006</x:v>
      </x:c>
      <x:c r="M1726" s="19" t="str">
        <x:v>In Field Warranty Claims</x:v>
      </x:c>
      <x:c r="N1726" s="37" t="n">
        <x:v>46136</x:v>
      </x:c>
      <x:c r="O1726" s="37"/>
      <x:c r="P1726" s="34" t="n">
        <x:v>0</x:v>
      </x:c>
      <x:c r="Q1726" s="37" t="n">
        <x:v>46138.90126157407</x:v>
      </x:c>
    </x:row>
    <x:row r="1727">
      <x:c r="A1727" s="22" t="n">
        <x:v>34111</x:v>
      </x:c>
      <x:c r="B1727" s="28" t="n">
        <x:v>67.5</x:v>
      </x:c>
      <x:c r="C1727" s="28"/>
      <x:c r="D1727" s="31" t="str">
        <x:f>IF(OR(ISBLANK(B1727),ISBLANK(C1727),B1727=0),"",(C1727-B1727)/B1727)</x:f>
      </x:c>
      <x:c r="E1727" s="22" t="str">
        <x:f>IF(ISBLANK(C1727),"AmountIncludingTax缺失",IF(ABS(B1727-C1727)&lt;0.005,"一致","不一致"))</x:f>
        <x:v>AmountIncludingTax缺失</x:v>
      </x:c>
      <x:c r="F1727" s="19" t="str">
        <x:v>approved</x:v>
      </x:c>
      <x:c r="G1727" s="19" t="str">
        <x:v>Repairer Invoiced Processed</x:v>
      </x:c>
      <x:c r="H1727" s="19" t="str">
        <x:v>In Field</x:v>
      </x:c>
      <x:c r="I1727" s="37" t="n">
        <x:v>46142</x:v>
      </x:c>
      <x:c r="J1727" s="37" t="n">
        <x:v>46142</x:v>
      </x:c>
      <x:c r="K1727" s="19" t="str">
        <x:v>QCCC - Gympie</x:v>
      </x:c>
      <x:c r="L1727" s="19" t="str">
        <x:v>Z006</x:v>
      </x:c>
      <x:c r="M1727" s="19" t="str">
        <x:v>In Field Warranty Claims</x:v>
      </x:c>
      <x:c r="N1727" s="37" t="n">
        <x:v>46136</x:v>
      </x:c>
      <x:c r="O1727" s="37"/>
      <x:c r="P1727" s="34" t="n">
        <x:v>0</x:v>
      </x:c>
      <x:c r="Q1727" s="37" t="n">
        <x:v>46141.86509259259</x:v>
      </x:c>
    </x:row>
    <x:row r="1728">
      <x:c r="A1728" s="22" t="n">
        <x:v>34110</x:v>
      </x:c>
      <x:c r="B1728" s="28" t="n">
        <x:v>477.91</x:v>
      </x:c>
      <x:c r="C1728" s="28" t="n">
        <x:v>525.7</x:v>
      </x:c>
      <x:c r="D1728" s="31" t="n">
        <x:f>IF(OR(ISBLANK(B1728),ISBLANK(C1728),B1728=0),"",(C1728-B1728)/B1728)</x:f>
        <x:v>0.09999790755581599</x:v>
      </x:c>
      <x:c r="E1728" s="22" t="str">
        <x:f>IF(ISBLANK(C1728),"AmountIncludingTax缺失",IF(ABS(B1728-C1728)&lt;0.005,"一致","不一致"))</x:f>
        <x:v>不一致</x:v>
      </x:c>
      <x:c r="F1728" s="19" t="str">
        <x:v>approved</x:v>
      </x:c>
      <x:c r="G1728" s="19" t="str">
        <x:v>Repairer Invoiced Processed</x:v>
      </x:c>
      <x:c r="H1728" s="19" t="str">
        <x:v>In Field</x:v>
      </x:c>
      <x:c r="I1728" s="37" t="n">
        <x:v>46150</x:v>
      </x:c>
      <x:c r="J1728" s="37" t="n">
        <x:v>46150</x:v>
      </x:c>
      <x:c r="K1728" s="19" t="str">
        <x:v>Regent RV - Frankston</x:v>
      </x:c>
      <x:c r="L1728" s="19" t="str">
        <x:v>Z006</x:v>
      </x:c>
      <x:c r="M1728" s="19" t="str">
        <x:v>In Field Warranty Claims</x:v>
      </x:c>
      <x:c r="N1728" s="37" t="n">
        <x:v>46138</x:v>
      </x:c>
      <x:c r="O1728" s="37"/>
      <x:c r="P1728" s="34" t="n">
        <x:v>525.7</x:v>
      </x:c>
      <x:c r="Q1728" s="37" t="n">
        <x:v>46150.06774305556</x:v>
      </x:c>
    </x:row>
    <x:row r="1729">
      <x:c r="A1729" s="22" t="n">
        <x:v>34108</x:v>
      </x:c>
      <x:c r="B1729" s="28" t="n">
        <x:v>135</x:v>
      </x:c>
      <x:c r="C1729" s="28" t="n">
        <x:v>148.5</x:v>
      </x:c>
      <x:c r="D1729" s="31" t="n">
        <x:f>IF(OR(ISBLANK(B1729),ISBLANK(C1729),B1729=0),"",(C1729-B1729)/B1729)</x:f>
        <x:v>0.1</x:v>
      </x:c>
      <x:c r="E1729" s="22" t="str">
        <x:f>IF(ISBLANK(C1729),"AmountIncludingTax缺失",IF(ABS(B1729-C1729)&lt;0.005,"一致","不一致"))</x:f>
        <x:v>不一致</x:v>
      </x:c>
      <x:c r="F1729" s="19" t="str">
        <x:v>approved</x:v>
      </x:c>
      <x:c r="G1729" s="19" t="str">
        <x:v>Repair in Progress</x:v>
      </x:c>
      <x:c r="H1729" s="19" t="str">
        <x:v>In Field</x:v>
      </x:c>
      <x:c r="I1729" s="37" t="n">
        <x:v>46142</x:v>
      </x:c>
      <x:c r="J1729" s="37" t="n">
        <x:v>46142</x:v>
      </x:c>
      <x:c r="K1729" s="19" t="str">
        <x:v>Regent RV - Perth</x:v>
      </x:c>
      <x:c r="L1729" s="19" t="str">
        <x:v>Z006</x:v>
      </x:c>
      <x:c r="M1729" s="19" t="str">
        <x:v>In Field Warranty Claims</x:v>
      </x:c>
      <x:c r="N1729" s="37" t="n">
        <x:v>46136</x:v>
      </x:c>
      <x:c r="O1729" s="37"/>
      <x:c r="P1729" s="34" t="n">
        <x:v>148.5</x:v>
      </x:c>
      <x:c r="Q1729" s="37" t="n">
        <x:v>46142.46784722222</x:v>
      </x:c>
    </x:row>
    <x:row r="1730">
      <x:c r="A1730" s="22" t="n">
        <x:v>34107</x:v>
      </x:c>
      <x:c r="B1730" s="28" t="n">
        <x:v>1410</x:v>
      </x:c>
      <x:c r="C1730" s="28"/>
      <x:c r="D1730" s="31" t="str">
        <x:f>IF(OR(ISBLANK(B1730),ISBLANK(C1730),B1730=0),"",(C1730-B1730)/B1730)</x:f>
      </x:c>
      <x:c r="E1730" s="22" t="str">
        <x:f>IF(ISBLANK(C1730),"AmountIncludingTax缺失",IF(ABS(B1730-C1730)&lt;0.005,"一致","不一致"))</x:f>
        <x:v>AmountIncludingTax缺失</x:v>
      </x:c>
      <x:c r="F1730" s="19" t="str">
        <x:v>approved</x:v>
      </x:c>
      <x:c r="G1730" s="19" t="str">
        <x:v>Repairer Invoiced Processed</x:v>
      </x:c>
      <x:c r="H1730" s="19" t="str">
        <x:v>In Field</x:v>
      </x:c>
      <x:c r="I1730" s="37" t="n">
        <x:v>46161</x:v>
      </x:c>
      <x:c r="J1730" s="37" t="n">
        <x:v>46161</x:v>
      </x:c>
      <x:c r="K1730" s="19" t="str">
        <x:v>Auswide Caravans - South Nowra</x:v>
      </x:c>
      <x:c r="L1730" s="19" t="str">
        <x:v>Z006</x:v>
      </x:c>
      <x:c r="M1730" s="19" t="str">
        <x:v>In Field Warranty Claims</x:v>
      </x:c>
      <x:c r="N1730" s="37" t="n">
        <x:v>46136</x:v>
      </x:c>
      <x:c r="O1730" s="37"/>
      <x:c r="P1730" s="34" t="n">
        <x:v>0</x:v>
      </x:c>
      <x:c r="Q1730" s="37" t="n">
        <x:v>46161.23881944444</x:v>
      </x:c>
    </x:row>
    <x:row r="1731">
      <x:c r="A1731" s="22" t="n">
        <x:v>34105</x:v>
      </x:c>
      <x:c r="B1731" s="28" t="n">
        <x:v>1866.25</x:v>
      </x:c>
      <x:c r="C1731" s="28"/>
      <x:c r="D1731" s="31" t="str">
        <x:f>IF(OR(ISBLANK(B1731),ISBLANK(C1731),B1731=0),"",(C1731-B1731)/B1731)</x:f>
      </x:c>
      <x:c r="E1731" s="22" t="str">
        <x:f>IF(ISBLANK(C1731),"AmountIncludingTax缺失",IF(ABS(B1731-C1731)&lt;0.005,"一致","不一致"))</x:f>
        <x:v>AmountIncludingTax缺失</x:v>
      </x:c>
      <x:c r="F1731" s="19" t="str">
        <x:v>approved</x:v>
      </x:c>
      <x:c r="G1731" s="19" t="str">
        <x:v>Repairer Invoiced Processed</x:v>
      </x:c>
      <x:c r="H1731" s="19" t="str">
        <x:v>In Field</x:v>
      </x:c>
      <x:c r="I1731" s="37" t="n">
        <x:v>46141</x:v>
      </x:c>
      <x:c r="J1731" s="37" t="n">
        <x:v>46141</x:v>
      </x:c>
      <x:c r="K1731" s="19" t="str">
        <x:v>Green RV - Slacks Creek</x:v>
      </x:c>
      <x:c r="L1731" s="19" t="str">
        <x:v>Z006</x:v>
      </x:c>
      <x:c r="M1731" s="19" t="str">
        <x:v>In Field Warranty Claims</x:v>
      </x:c>
      <x:c r="N1731" s="37" t="n">
        <x:v>46136</x:v>
      </x:c>
      <x:c r="O1731" s="37"/>
      <x:c r="P1731" s="34" t="n">
        <x:v>0</x:v>
      </x:c>
      <x:c r="Q1731" s="37" t="n">
        <x:v>46140.9059837963</x:v>
      </x:c>
    </x:row>
    <x:row r="1732">
      <x:c r="A1732" s="22" t="n">
        <x:v>34104</x:v>
      </x:c>
      <x:c r="B1732" s="28" t="n">
        <x:v>115.4</x:v>
      </x:c>
      <x:c r="C1732" s="28"/>
      <x:c r="D1732" s="31" t="str">
        <x:f>IF(OR(ISBLANK(B1732),ISBLANK(C1732),B1732=0),"",(C1732-B1732)/B1732)</x:f>
      </x:c>
      <x:c r="E1732" s="22" t="str">
        <x:f>IF(ISBLANK(C1732),"AmountIncludingTax缺失",IF(ABS(B1732-C1732)&lt;0.005,"一致","不一致"))</x:f>
        <x:v>AmountIncludingTax缺失</x:v>
      </x:c>
      <x:c r="F1732" s="19" t="str">
        <x:v>approved</x:v>
      </x:c>
      <x:c r="G1732" s="19" t="str">
        <x:v>Repair in Progress</x:v>
      </x:c>
      <x:c r="H1732" s="19" t="str">
        <x:v>In Field</x:v>
      </x:c>
      <x:c r="I1732" s="37" t="n">
        <x:v>46184</x:v>
      </x:c>
      <x:c r="J1732" s="37" t="n">
        <x:v>46184</x:v>
      </x:c>
      <x:c r="K1732" s="19" t="str">
        <x:v>Newcastle RV Super Centre - Beresfield</x:v>
      </x:c>
      <x:c r="L1732" s="19" t="str">
        <x:v>Z006</x:v>
      </x:c>
      <x:c r="M1732" s="19" t="str">
        <x:v>In Field Warranty Claims</x:v>
      </x:c>
      <x:c r="N1732" s="37" t="n">
        <x:v>46136</x:v>
      </x:c>
      <x:c r="O1732" s="37"/>
      <x:c r="P1732" s="34" t="n">
        <x:v>0</x:v>
      </x:c>
      <x:c r="Q1732" s="37" t="n">
        <x:v>46184.264016203706</x:v>
      </x:c>
    </x:row>
    <x:row r="1733">
      <x:c r="A1733" s="22" t="n">
        <x:v>34103</x:v>
      </x:c>
      <x:c r="B1733" s="28" t="n">
        <x:v>27.23</x:v>
      </x:c>
      <x:c r="C1733" s="28" t="n">
        <x:v>29.95</x:v>
      </x:c>
      <x:c r="D1733" s="31" t="n">
        <x:f>IF(OR(ISBLANK(B1733),ISBLANK(C1733),B1733=0),"",(C1733-B1733)/B1733)</x:f>
        <x:v>0.09988982739625409</x:v>
      </x:c>
      <x:c r="E1733" s="22" t="str">
        <x:f>IF(ISBLANK(C1733),"AmountIncludingTax缺失",IF(ABS(B1733-C1733)&lt;0.005,"一致","不一致"))</x:f>
        <x:v>不一致</x:v>
      </x:c>
      <x:c r="F1733" s="19" t="str">
        <x:v>approved</x:v>
      </x:c>
      <x:c r="G1733" s="19" t="str">
        <x:v>Repairer Invoiced Processed</x:v>
      </x:c>
      <x:c r="H1733" s="19" t="str">
        <x:v>In Field</x:v>
      </x:c>
      <x:c r="I1733" s="37" t="n">
        <x:v>46172</x:v>
      </x:c>
      <x:c r="J1733" s="37" t="n">
        <x:v>46172</x:v>
      </x:c>
      <x:c r="K1733" s="19" t="str">
        <x:v>Lesiure Lion-New Castle</x:v>
      </x:c>
      <x:c r="L1733" s="19" t="str">
        <x:v>Z006</x:v>
      </x:c>
      <x:c r="M1733" s="19" t="str">
        <x:v>In Field Warranty Claims</x:v>
      </x:c>
      <x:c r="N1733" s="37" t="n">
        <x:v>46136</x:v>
      </x:c>
      <x:c r="O1733" s="37"/>
      <x:c r="P1733" s="34" t="n">
        <x:v>29.95</x:v>
      </x:c>
      <x:c r="Q1733" s="37" t="n">
        <x:v>46172.3230787037</x:v>
      </x:c>
    </x:row>
    <x:row r="1734">
      <x:c r="A1734" s="22" t="n">
        <x:v>34100</x:v>
      </x:c>
      <x:c r="B1734" s="28" t="n">
        <x:v>1604.43</x:v>
      </x:c>
      <x:c r="C1734" s="28"/>
      <x:c r="D1734" s="31" t="str">
        <x:f>IF(OR(ISBLANK(B1734),ISBLANK(C1734),B1734=0),"",(C1734-B1734)/B1734)</x:f>
      </x:c>
      <x:c r="E1734" s="22" t="str">
        <x:f>IF(ISBLANK(C1734),"AmountIncludingTax缺失",IF(ABS(B1734-C1734)&lt;0.005,"一致","不一致"))</x:f>
        <x:v>AmountIncludingTax缺失</x:v>
      </x:c>
      <x:c r="F1734" s="19" t="str">
        <x:v>approved</x:v>
      </x:c>
      <x:c r="G1734" s="19" t="str">
        <x:v>Repair in Progress</x:v>
      </x:c>
      <x:c r="H1734" s="19" t="str">
        <x:v>Pre Delivery</x:v>
      </x:c>
      <x:c r="I1734" s="37" t="n">
        <x:v>46139</x:v>
      </x:c>
      <x:c r="J1734" s="37" t="n">
        <x:v>46139</x:v>
      </x:c>
      <x:c r="K1734" s="19" t="str">
        <x:v>Leisure Lion - Bundaberg</x:v>
      </x:c>
      <x:c r="L1734" s="19" t="str">
        <x:v>Z005</x:v>
      </x:c>
      <x:c r="M1734" s="19" t="str">
        <x:v>Pre Delivery Warranty Claims</x:v>
      </x:c>
      <x:c r="N1734" s="37" t="n">
        <x:v>46136</x:v>
      </x:c>
      <x:c r="O1734" s="37"/>
      <x:c r="P1734" s="34" t="n">
        <x:v>0</x:v>
      </x:c>
      <x:c r="Q1734" s="37" t="n">
        <x:v>46139.50732638889</x:v>
      </x:c>
    </x:row>
    <x:row r="1735">
      <x:c r="A1735" s="22" t="n">
        <x:v>34096</x:v>
      </x:c>
      <x:c r="B1735" s="28" t="n">
        <x:v>405</x:v>
      </x:c>
      <x:c r="C1735" s="28"/>
      <x:c r="D1735" s="31" t="str">
        <x:f>IF(OR(ISBLANK(B1735),ISBLANK(C1735),B1735=0),"",(C1735-B1735)/B1735)</x:f>
      </x:c>
      <x:c r="E1735" s="22" t="str">
        <x:f>IF(ISBLANK(C1735),"AmountIncludingTax缺失",IF(ABS(B1735-C1735)&lt;0.005,"一致","不一致"))</x:f>
        <x:v>AmountIncludingTax缺失</x:v>
      </x:c>
      <x:c r="F1735" s="19" t="str">
        <x:v>approved</x:v>
      </x:c>
      <x:c r="G1735" s="19" t="str">
        <x:v>Repairer Invoiced Processed</x:v>
      </x:c>
      <x:c r="H1735" s="19" t="str">
        <x:v>In Field</x:v>
      </x:c>
      <x:c r="I1735" s="37" t="n">
        <x:v>46142</x:v>
      </x:c>
      <x:c r="J1735" s="37" t="n">
        <x:v>46142</x:v>
      </x:c>
      <x:c r="K1735" s="19" t="str">
        <x:v>Green RV - Forest Glen</x:v>
      </x:c>
      <x:c r="L1735" s="19" t="str">
        <x:v>Z006</x:v>
      </x:c>
      <x:c r="M1735" s="19" t="str">
        <x:v>In Field Warranty Claims</x:v>
      </x:c>
      <x:c r="N1735" s="37" t="n">
        <x:v>46136</x:v>
      </x:c>
      <x:c r="O1735" s="37"/>
      <x:c r="P1735" s="34" t="n">
        <x:v>0</x:v>
      </x:c>
      <x:c r="Q1735" s="37" t="n">
        <x:v>46142.19236111111</x:v>
      </x:c>
    </x:row>
    <x:row r="1736">
      <x:c r="A1736" s="22" t="n">
        <x:v>34094</x:v>
      </x:c>
      <x:c r="B1736" s="28" t="n">
        <x:v>540</x:v>
      </x:c>
      <x:c r="C1736" s="28" t="n">
        <x:v>594</x:v>
      </x:c>
      <x:c r="D1736" s="31" t="n">
        <x:f>IF(OR(ISBLANK(B1736),ISBLANK(C1736),B1736=0),"",(C1736-B1736)/B1736)</x:f>
        <x:v>0.1</x:v>
      </x:c>
      <x:c r="E1736" s="22" t="str">
        <x:f>IF(ISBLANK(C1736),"AmountIncludingTax缺失",IF(ABS(B1736-C1736)&lt;0.005,"一致","不一致"))</x:f>
        <x:v>不一致</x:v>
      </x:c>
      <x:c r="F1736" s="19" t="str">
        <x:v>approved</x:v>
      </x:c>
      <x:c r="G1736" s="19" t="str">
        <x:v>Repair in Progress</x:v>
      </x:c>
      <x:c r="H1736" s="19" t="str">
        <x:v>In Field</x:v>
      </x:c>
      <x:c r="I1736" s="37" t="n">
        <x:v>46143</x:v>
      </x:c>
      <x:c r="J1736" s="37" t="n">
        <x:v>46143</x:v>
      </x:c>
      <x:c r="K1736" s="19" t="str">
        <x:v>Green RV - Forest Glen</x:v>
      </x:c>
      <x:c r="L1736" s="19" t="str">
        <x:v>Z006</x:v>
      </x:c>
      <x:c r="M1736" s="19" t="str">
        <x:v>In Field Warranty Claims</x:v>
      </x:c>
      <x:c r="N1736" s="37" t="n">
        <x:v>46136</x:v>
      </x:c>
      <x:c r="O1736" s="37"/>
      <x:c r="P1736" s="34" t="n">
        <x:v>594</x:v>
      </x:c>
      <x:c r="Q1736" s="37" t="n">
        <x:v>46143.037824074076</x:v>
      </x:c>
    </x:row>
    <x:row r="1737">
      <x:c r="A1737" s="22" t="n">
        <x:v>34093</x:v>
      </x:c>
      <x:c r="B1737" s="28" t="n">
        <x:v>257.5</x:v>
      </x:c>
      <x:c r="C1737" s="28"/>
      <x:c r="D1737" s="31" t="str">
        <x:f>IF(OR(ISBLANK(B1737),ISBLANK(C1737),B1737=0),"",(C1737-B1737)/B1737)</x:f>
      </x:c>
      <x:c r="E1737" s="22" t="str">
        <x:f>IF(ISBLANK(C1737),"AmountIncludingTax缺失",IF(ABS(B1737-C1737)&lt;0.005,"一致","不一致"))</x:f>
        <x:v>AmountIncludingTax缺失</x:v>
      </x:c>
      <x:c r="F1737" s="19" t="str">
        <x:v>approved</x:v>
      </x:c>
      <x:c r="G1737" s="19" t="str">
        <x:v>Repair in Progress</x:v>
      </x:c>
      <x:c r="H1737" s="19" t="str">
        <x:v>In Field</x:v>
      </x:c>
      <x:c r="I1737" s="37" t="n">
        <x:v>46140</x:v>
      </x:c>
      <x:c r="J1737" s="37" t="n">
        <x:v>46140</x:v>
      </x:c>
      <x:c r="K1737" s="19" t="str">
        <x:v>Green RV - Forest Glen</x:v>
      </x:c>
      <x:c r="L1737" s="19" t="str">
        <x:v>Z006</x:v>
      </x:c>
      <x:c r="M1737" s="19" t="str">
        <x:v>In Field Warranty Claims</x:v>
      </x:c>
      <x:c r="N1737" s="37" t="n">
        <x:v>46136</x:v>
      </x:c>
      <x:c r="O1737" s="37"/>
      <x:c r="P1737" s="34" t="n">
        <x:v>0</x:v>
      </x:c>
      <x:c r="Q1737" s="37" t="n">
        <x:v>46139.84385416667</x:v>
      </x:c>
    </x:row>
    <x:row r="1738">
      <x:c r="A1738" s="22" t="n">
        <x:v>34092</x:v>
      </x:c>
      <x:c r="B1738" s="28" t="n">
        <x:v>2185.07</x:v>
      </x:c>
      <x:c r="C1738" s="28"/>
      <x:c r="D1738" s="31" t="str">
        <x:f>IF(OR(ISBLANK(B1738),ISBLANK(C1738),B1738=0),"",(C1738-B1738)/B1738)</x:f>
      </x:c>
      <x:c r="E1738" s="22" t="str">
        <x:f>IF(ISBLANK(C1738),"AmountIncludingTax缺失",IF(ABS(B1738-C1738)&lt;0.005,"一致","不一致"))</x:f>
        <x:v>AmountIncludingTax缺失</x:v>
      </x:c>
      <x:c r="F1738" s="19" t="str">
        <x:v>approved</x:v>
      </x:c>
      <x:c r="G1738" s="19" t="str">
        <x:v>Repair in Progress</x:v>
      </x:c>
      <x:c r="H1738" s="19" t="str">
        <x:v>In Field</x:v>
      </x:c>
      <x:c r="I1738" s="37" t="n">
        <x:v>46178</x:v>
      </x:c>
      <x:c r="J1738" s="37" t="n">
        <x:v>46178</x:v>
      </x:c>
      <x:c r="K1738" s="19" t="str">
        <x:v>Green RV - Forest Glen</x:v>
      </x:c>
      <x:c r="L1738" s="19" t="str">
        <x:v>Z006</x:v>
      </x:c>
      <x:c r="M1738" s="19" t="str">
        <x:v>In Field Warranty Claims</x:v>
      </x:c>
      <x:c r="N1738" s="37" t="n">
        <x:v>46136</x:v>
      </x:c>
      <x:c r="O1738" s="37"/>
      <x:c r="P1738" s="34" t="n">
        <x:v>0</x:v>
      </x:c>
      <x:c r="Q1738" s="37" t="n">
        <x:v>46178.08498842592</x:v>
      </x:c>
    </x:row>
    <x:row r="1739">
      <x:c r="A1739" s="22" t="n">
        <x:v>34091</x:v>
      </x:c>
      <x:c r="B1739" s="28" t="n">
        <x:v>418.19</x:v>
      </x:c>
      <x:c r="C1739" s="28"/>
      <x:c r="D1739" s="31" t="str">
        <x:f>IF(OR(ISBLANK(B1739),ISBLANK(C1739),B1739=0),"",(C1739-B1739)/B1739)</x:f>
      </x:c>
      <x:c r="E1739" s="22" t="str">
        <x:f>IF(ISBLANK(C1739),"AmountIncludingTax缺失",IF(ABS(B1739-C1739)&lt;0.005,"一致","不一致"))</x:f>
        <x:v>AmountIncludingTax缺失</x:v>
      </x:c>
      <x:c r="F1739" s="19" t="str">
        <x:v>approved</x:v>
      </x:c>
      <x:c r="G1739" s="19" t="str">
        <x:v>Repair in Progress</x:v>
      </x:c>
      <x:c r="H1739" s="19" t="str">
        <x:v>In Field</x:v>
      </x:c>
      <x:c r="I1739" s="37" t="n">
        <x:v>46167</x:v>
      </x:c>
      <x:c r="J1739" s="37" t="n">
        <x:v>46167</x:v>
      </x:c>
      <x:c r="K1739" s="19" t="str">
        <x:v>ABCO Caravans - Boambee Valley</x:v>
      </x:c>
      <x:c r="L1739" s="19" t="str">
        <x:v>Z006</x:v>
      </x:c>
      <x:c r="M1739" s="19" t="str">
        <x:v>In Field Warranty Claims</x:v>
      </x:c>
      <x:c r="N1739" s="37" t="n">
        <x:v>46136</x:v>
      </x:c>
      <x:c r="O1739" s="37"/>
      <x:c r="P1739" s="34" t="n">
        <x:v>0</x:v>
      </x:c>
      <x:c r="Q1739" s="37" t="n">
        <x:v>46167.04840277778</x:v>
      </x:c>
    </x:row>
    <x:row r="1740">
      <x:c r="A1740" s="22" t="n">
        <x:v>34090</x:v>
      </x:c>
      <x:c r="B1740" s="28" t="n">
        <x:v>472.5</x:v>
      </x:c>
      <x:c r="C1740" s="28"/>
      <x:c r="D1740" s="31" t="str">
        <x:f>IF(OR(ISBLANK(B1740),ISBLANK(C1740),B1740=0),"",(C1740-B1740)/B1740)</x:f>
      </x:c>
      <x:c r="E1740" s="22" t="str">
        <x:f>IF(ISBLANK(C1740),"AmountIncludingTax缺失",IF(ABS(B1740-C1740)&lt;0.005,"一致","不一致"))</x:f>
        <x:v>AmountIncludingTax缺失</x:v>
      </x:c>
      <x:c r="F1740" s="19" t="str">
        <x:v>approved</x:v>
      </x:c>
      <x:c r="G1740" s="19" t="str">
        <x:v>Repairer Invoiced Processed</x:v>
      </x:c>
      <x:c r="H1740" s="19" t="str">
        <x:v>Pre Delivery</x:v>
      </x:c>
      <x:c r="I1740" s="37" t="n">
        <x:v>46142</x:v>
      </x:c>
      <x:c r="J1740" s="37" t="n">
        <x:v>46142</x:v>
      </x:c>
      <x:c r="K1740" s="19" t="str">
        <x:v>Green RV - Forest Glen</x:v>
      </x:c>
      <x:c r="L1740" s="19" t="str">
        <x:v>Z005</x:v>
      </x:c>
      <x:c r="M1740" s="19" t="str">
        <x:v>Pre Delivery Warranty Claims</x:v>
      </x:c>
      <x:c r="N1740" s="37" t="n">
        <x:v>46136</x:v>
      </x:c>
      <x:c r="O1740" s="37"/>
      <x:c r="P1740" s="34" t="n">
        <x:v>0</x:v>
      </x:c>
      <x:c r="Q1740" s="37" t="n">
        <x:v>46142.17606481481</x:v>
      </x:c>
    </x:row>
    <x:row r="1741">
      <x:c r="A1741" s="22" t="n">
        <x:v>34088</x:v>
      </x:c>
      <x:c r="B1741" s="28" t="n">
        <x:v>135</x:v>
      </x:c>
      <x:c r="C1741" s="28"/>
      <x:c r="D1741" s="31" t="str">
        <x:f>IF(OR(ISBLANK(B1741),ISBLANK(C1741),B1741=0),"",(C1741-B1741)/B1741)</x:f>
      </x:c>
      <x:c r="E1741" s="22" t="str">
        <x:f>IF(ISBLANK(C1741),"AmountIncludingTax缺失",IF(ABS(B1741-C1741)&lt;0.005,"一致","不一致"))</x:f>
        <x:v>AmountIncludingTax缺失</x:v>
      </x:c>
      <x:c r="F1741" s="19" t="str">
        <x:v>approved</x:v>
      </x:c>
      <x:c r="G1741" s="19" t="str">
        <x:v>Repairer Invoiced Processed</x:v>
      </x:c>
      <x:c r="H1741" s="19" t="str">
        <x:v>In Field</x:v>
      </x:c>
      <x:c r="I1741" s="37" t="n">
        <x:v>46142</x:v>
      </x:c>
      <x:c r="J1741" s="37" t="n">
        <x:v>46142</x:v>
      </x:c>
      <x:c r="K1741" s="19" t="str">
        <x:v>Lesiure Lion-New Castle</x:v>
      </x:c>
      <x:c r="L1741" s="19" t="str">
        <x:v>Z006</x:v>
      </x:c>
      <x:c r="M1741" s="19" t="str">
        <x:v>In Field Warranty Claims</x:v>
      </x:c>
      <x:c r="N1741" s="37" t="n">
        <x:v>46136</x:v>
      </x:c>
      <x:c r="O1741" s="37"/>
      <x:c r="P1741" s="34" t="n">
        <x:v>0</x:v>
      </x:c>
      <x:c r="Q1741" s="37" t="n">
        <x:v>46142.46681712963</x:v>
      </x:c>
    </x:row>
    <x:row r="1742">
      <x:c r="A1742" s="22" t="n">
        <x:v>34087</x:v>
      </x:c>
      <x:c r="B1742" s="28" t="n">
        <x:v>67.5</x:v>
      </x:c>
      <x:c r="C1742" s="28"/>
      <x:c r="D1742" s="31" t="str">
        <x:f>IF(OR(ISBLANK(B1742),ISBLANK(C1742),B1742=0),"",(C1742-B1742)/B1742)</x:f>
      </x:c>
      <x:c r="E1742" s="22" t="str">
        <x:f>IF(ISBLANK(C1742),"AmountIncludingTax缺失",IF(ABS(B1742-C1742)&lt;0.005,"一致","不一致"))</x:f>
        <x:v>AmountIncludingTax缺失</x:v>
      </x:c>
      <x:c r="F1742" s="19" t="str">
        <x:v>approved</x:v>
      </x:c>
      <x:c r="G1742" s="19" t="str">
        <x:v>Repairer Invoiced Processed</x:v>
      </x:c>
      <x:c r="H1742" s="19" t="str">
        <x:v>In Field</x:v>
      </x:c>
      <x:c r="I1742" s="37" t="n">
        <x:v>46139</x:v>
      </x:c>
      <x:c r="J1742" s="37" t="n">
        <x:v>46139</x:v>
      </x:c>
      <x:c r="K1742" s="19" t="str">
        <x:v>Green RV - Forest Glen</x:v>
      </x:c>
      <x:c r="L1742" s="19" t="str">
        <x:v>Z006</x:v>
      </x:c>
      <x:c r="M1742" s="19" t="str">
        <x:v>In Field Warranty Claims</x:v>
      </x:c>
      <x:c r="N1742" s="37" t="n">
        <x:v>46136</x:v>
      </x:c>
      <x:c r="O1742" s="37"/>
      <x:c r="P1742" s="34" t="n">
        <x:v>0</x:v>
      </x:c>
      <x:c r="Q1742" s="37" t="n">
        <x:v>46139.155856481484</x:v>
      </x:c>
    </x:row>
    <x:row r="1743">
      <x:c r="A1743" s="22" t="n">
        <x:v>34084</x:v>
      </x:c>
      <x:c r="B1743" s="28" t="n">
        <x:v>914.55</x:v>
      </x:c>
      <x:c r="C1743" s="28"/>
      <x:c r="D1743" s="31" t="str">
        <x:f>IF(OR(ISBLANK(B1743),ISBLANK(C1743),B1743=0),"",(C1743-B1743)/B1743)</x:f>
      </x:c>
      <x:c r="E1743" s="22" t="str">
        <x:f>IF(ISBLANK(C1743),"AmountIncludingTax缺失",IF(ABS(B1743-C1743)&lt;0.005,"一致","不一致"))</x:f>
        <x:v>AmountIncludingTax缺失</x:v>
      </x:c>
      <x:c r="F1743" s="19" t="str">
        <x:v>approved</x:v>
      </x:c>
      <x:c r="G1743" s="19" t="str">
        <x:v>Repair in Progress</x:v>
      </x:c>
      <x:c r="H1743" s="19" t="str">
        <x:v>In Field</x:v>
      </x:c>
      <x:c r="I1743" s="37" t="n">
        <x:v>46139</x:v>
      </x:c>
      <x:c r="J1743" s="37" t="n">
        <x:v>46139</x:v>
      </x:c>
      <x:c r="K1743" s="19" t="str">
        <x:v>Green RV - Forest Glen</x:v>
      </x:c>
      <x:c r="L1743" s="19" t="str">
        <x:v>Z006</x:v>
      </x:c>
      <x:c r="M1743" s="19" t="str">
        <x:v>In Field Warranty Claims</x:v>
      </x:c>
      <x:c r="N1743" s="37" t="n">
        <x:v>46136</x:v>
      </x:c>
      <x:c r="O1743" s="37"/>
      <x:c r="P1743" s="34" t="n">
        <x:v>0</x:v>
      </x:c>
      <x:c r="Q1743" s="37" t="n">
        <x:v>46138.87663194445</x:v>
      </x:c>
    </x:row>
    <x:row r="1744">
      <x:c r="A1744" s="22" t="n">
        <x:v>34083</x:v>
      </x:c>
      <x:c r="B1744" s="28" t="n">
        <x:v>607.5</x:v>
      </x:c>
      <x:c r="C1744" s="28"/>
      <x:c r="D1744" s="31" t="str">
        <x:f>IF(OR(ISBLANK(B1744),ISBLANK(C1744),B1744=0),"",(C1744-B1744)/B1744)</x:f>
      </x:c>
      <x:c r="E1744" s="22" t="str">
        <x:f>IF(ISBLANK(C1744),"AmountIncludingTax缺失",IF(ABS(B1744-C1744)&lt;0.005,"一致","不一致"))</x:f>
        <x:v>AmountIncludingTax缺失</x:v>
      </x:c>
      <x:c r="F1744" s="19" t="str">
        <x:v>approved</x:v>
      </x:c>
      <x:c r="G1744" s="19" t="str">
        <x:v>Repairer Invoiced Processed</x:v>
      </x:c>
      <x:c r="H1744" s="19" t="str">
        <x:v>In Field</x:v>
      </x:c>
      <x:c r="I1744" s="37" t="n">
        <x:v>46139</x:v>
      </x:c>
      <x:c r="J1744" s="37" t="n">
        <x:v>46139</x:v>
      </x:c>
      <x:c r="K1744" s="19" t="str">
        <x:v>Green RV - Forest Glen</x:v>
      </x:c>
      <x:c r="L1744" s="19" t="str">
        <x:v>Z006</x:v>
      </x:c>
      <x:c r="M1744" s="19" t="str">
        <x:v>In Field Warranty Claims</x:v>
      </x:c>
      <x:c r="N1744" s="37" t="n">
        <x:v>46136</x:v>
      </x:c>
      <x:c r="O1744" s="37"/>
      <x:c r="P1744" s="34" t="n">
        <x:v>0</x:v>
      </x:c>
      <x:c r="Q1744" s="37" t="n">
        <x:v>46139.025925925926</x:v>
      </x:c>
    </x:row>
    <x:row r="1745">
      <x:c r="A1745" s="22" t="n">
        <x:v>34080</x:v>
      </x:c>
      <x:c r="B1745" s="28" t="n">
        <x:v>830</x:v>
      </x:c>
      <x:c r="C1745" s="28"/>
      <x:c r="D1745" s="31" t="str">
        <x:f>IF(OR(ISBLANK(B1745),ISBLANK(C1745),B1745=0),"",(C1745-B1745)/B1745)</x:f>
      </x:c>
      <x:c r="E1745" s="22" t="str">
        <x:f>IF(ISBLANK(C1745),"AmountIncludingTax缺失",IF(ABS(B1745-C1745)&lt;0.005,"一致","不一致"))</x:f>
        <x:v>AmountIncludingTax缺失</x:v>
      </x:c>
      <x:c r="F1745" s="19" t="str">
        <x:v>approved</x:v>
      </x:c>
      <x:c r="G1745" s="19" t="str">
        <x:v>Partially Picked</x:v>
      </x:c>
      <x:c r="H1745" s="19" t="str">
        <x:v>In Field</x:v>
      </x:c>
      <x:c r="I1745" s="37" t="n">
        <x:v>46203</x:v>
      </x:c>
      <x:c r="J1745" s="37" t="n">
        <x:v>46190</x:v>
      </x:c>
      <x:c r="K1745" s="19" t="str">
        <x:v>Regent RV - Toowoomba</x:v>
      </x:c>
      <x:c r="L1745" s="19" t="str">
        <x:v>Z006</x:v>
      </x:c>
      <x:c r="M1745" s="19" t="str">
        <x:v>In Field Warranty Claims</x:v>
      </x:c>
      <x:c r="N1745" s="37" t="n">
        <x:v>46136</x:v>
      </x:c>
      <x:c r="O1745" s="37" t="n">
        <x:v>46176</x:v>
      </x:c>
      <x:c r="P1745" s="34" t="n">
        <x:v>0</x:v>
      </x:c>
      <x:c r="Q1745" s="37" t="n">
        <x:v>46202.937569444446</x:v>
      </x:c>
    </x:row>
    <x:row r="1746">
      <x:c r="A1746" s="22" t="n">
        <x:v>34078</x:v>
      </x:c>
      <x:c r="B1746" s="28" t="n">
        <x:v>540</x:v>
      </x:c>
      <x:c r="C1746" s="28"/>
      <x:c r="D1746" s="31" t="str">
        <x:f>IF(OR(ISBLANK(B1746),ISBLANK(C1746),B1746=0),"",(C1746-B1746)/B1746)</x:f>
      </x:c>
      <x:c r="E1746" s="22" t="str">
        <x:f>IF(ISBLANK(C1746),"AmountIncludingTax缺失",IF(ABS(B1746-C1746)&lt;0.005,"一致","不一致"))</x:f>
        <x:v>AmountIncludingTax缺失</x:v>
      </x:c>
      <x:c r="F1746" s="19" t="str">
        <x:v>approved</x:v>
      </x:c>
      <x:c r="G1746" s="19" t="str">
        <x:v>Repairer Invoiced Processed</x:v>
      </x:c>
      <x:c r="H1746" s="19" t="str">
        <x:v>In Field</x:v>
      </x:c>
      <x:c r="I1746" s="37" t="n">
        <x:v>46142</x:v>
      </x:c>
      <x:c r="J1746" s="37" t="n">
        <x:v>46142</x:v>
      </x:c>
      <x:c r="K1746" s="19" t="str">
        <x:v>Green RV - Forest Glen</x:v>
      </x:c>
      <x:c r="L1746" s="19" t="str">
        <x:v>Z006</x:v>
      </x:c>
      <x:c r="M1746" s="19" t="str">
        <x:v>In Field Warranty Claims</x:v>
      </x:c>
      <x:c r="N1746" s="37" t="n">
        <x:v>46136</x:v>
      </x:c>
      <x:c r="O1746" s="37"/>
      <x:c r="P1746" s="34" t="n">
        <x:v>0</x:v>
      </x:c>
      <x:c r="Q1746" s="37" t="n">
        <x:v>46141.86072916666</x:v>
      </x:c>
    </x:row>
    <x:row r="1747">
      <x:c r="A1747" s="22" t="n">
        <x:v>34077</x:v>
      </x:c>
      <x:c r="B1747" s="28" t="n">
        <x:v>438.75</x:v>
      </x:c>
      <x:c r="C1747" s="28"/>
      <x:c r="D1747" s="31" t="str">
        <x:f>IF(OR(ISBLANK(B1747),ISBLANK(C1747),B1747=0),"",(C1747-B1747)/B1747)</x:f>
      </x:c>
      <x:c r="E1747" s="22" t="str">
        <x:f>IF(ISBLANK(C1747),"AmountIncludingTax缺失",IF(ABS(B1747-C1747)&lt;0.005,"一致","不一致"))</x:f>
        <x:v>AmountIncludingTax缺失</x:v>
      </x:c>
      <x:c r="F1747" s="19" t="str">
        <x:v>approved</x:v>
      </x:c>
      <x:c r="G1747" s="19" t="str">
        <x:v>Repairer Invoiced Processed</x:v>
      </x:c>
      <x:c r="H1747" s="19" t="str">
        <x:v>In Field</x:v>
      </x:c>
      <x:c r="I1747" s="37" t="n">
        <x:v>46140</x:v>
      </x:c>
      <x:c r="J1747" s="37" t="n">
        <x:v>46140</x:v>
      </x:c>
      <x:c r="K1747" s="19" t="str">
        <x:v>Dario Caravans - Pooraka</x:v>
      </x:c>
      <x:c r="L1747" s="19" t="str">
        <x:v>Z006</x:v>
      </x:c>
      <x:c r="M1747" s="19" t="str">
        <x:v>In Field Warranty Claims</x:v>
      </x:c>
      <x:c r="N1747" s="37" t="n">
        <x:v>46136</x:v>
      </x:c>
      <x:c r="O1747" s="37"/>
      <x:c r="P1747" s="34" t="n">
        <x:v>0</x:v>
      </x:c>
      <x:c r="Q1747" s="37" t="n">
        <x:v>46139.841770833336</x:v>
      </x:c>
    </x:row>
    <x:row r="1748">
      <x:c r="A1748" s="22" t="n">
        <x:v>34076</x:v>
      </x:c>
      <x:c r="B1748" s="28" t="n">
        <x:v>277.75</x:v>
      </x:c>
      <x:c r="C1748" s="28" t="n">
        <x:v>251.47</x:v>
      </x:c>
      <x:c r="D1748" s="31" t="n">
        <x:f>IF(OR(ISBLANK(B1748),ISBLANK(C1748),B1748=0),"",(C1748-B1748)/B1748)</x:f>
        <x:v>-0.09461746174617462</x:v>
      </x:c>
      <x:c r="E1748" s="22" t="str">
        <x:f>IF(ISBLANK(C1748),"AmountIncludingTax缺失",IF(ABS(B1748-C1748)&lt;0.005,"一致","不一致"))</x:f>
        <x:v>不一致</x:v>
      </x:c>
      <x:c r="F1748" s="19" t="str">
        <x:v>approved</x:v>
      </x:c>
      <x:c r="G1748" s="19" t="str">
        <x:v>Repairer Invoiced Processed</x:v>
      </x:c>
      <x:c r="H1748" s="19" t="str">
        <x:v>In Field</x:v>
      </x:c>
      <x:c r="I1748" s="37" t="n">
        <x:v>46148</x:v>
      </x:c>
      <x:c r="J1748" s="37" t="n">
        <x:v>46148</x:v>
      </x:c>
      <x:c r="K1748" s="19" t="str">
        <x:v>Vanari Caravans - Marden Point</x:v>
      </x:c>
      <x:c r="L1748" s="19" t="str">
        <x:v>Z006</x:v>
      </x:c>
      <x:c r="M1748" s="19" t="str">
        <x:v>In Field Warranty Claims</x:v>
      </x:c>
      <x:c r="N1748" s="37" t="n">
        <x:v>46135</x:v>
      </x:c>
      <x:c r="O1748" s="37"/>
      <x:c r="P1748" s="34" t="n">
        <x:v>251.47</x:v>
      </x:c>
      <x:c r="Q1748" s="37" t="n">
        <x:v>46147.98956018518</x:v>
      </x:c>
    </x:row>
    <x:row r="1749">
      <x:c r="A1749" s="22" t="n">
        <x:v>34074</x:v>
      </x:c>
      <x:c r="B1749" s="28" t="n">
        <x:v>270</x:v>
      </x:c>
      <x:c r="C1749" s="28" t="n">
        <x:v>297</x:v>
      </x:c>
      <x:c r="D1749" s="31" t="n">
        <x:f>IF(OR(ISBLANK(B1749),ISBLANK(C1749),B1749=0),"",(C1749-B1749)/B1749)</x:f>
        <x:v>0.1</x:v>
      </x:c>
      <x:c r="E1749" s="22" t="str">
        <x:f>IF(ISBLANK(C1749),"AmountIncludingTax缺失",IF(ABS(B1749-C1749)&lt;0.005,"一致","不一致"))</x:f>
        <x:v>不一致</x:v>
      </x:c>
      <x:c r="F1749" s="19" t="str">
        <x:v>approved</x:v>
      </x:c>
      <x:c r="G1749" s="19" t="str">
        <x:v>Repair in Progress</x:v>
      </x:c>
      <x:c r="H1749" s="19" t="str">
        <x:v>In Field</x:v>
      </x:c>
      <x:c r="I1749" s="37" t="n">
        <x:v>46147</x:v>
      </x:c>
      <x:c r="J1749" s="37" t="n">
        <x:v>46147</x:v>
      </x:c>
      <x:c r="K1749" s="19" t="str">
        <x:v>Regent RV - Frankston</x:v>
      </x:c>
      <x:c r="L1749" s="19" t="str">
        <x:v>Z006</x:v>
      </x:c>
      <x:c r="M1749" s="19" t="str">
        <x:v>In Field Warranty Claims</x:v>
      </x:c>
      <x:c r="N1749" s="37" t="n">
        <x:v>46135</x:v>
      </x:c>
      <x:c r="O1749" s="37"/>
      <x:c r="P1749" s="34" t="n">
        <x:v>297</x:v>
      </x:c>
      <x:c r="Q1749" s="37" t="n">
        <x:v>46147.22814814815</x:v>
      </x:c>
    </x:row>
    <x:row r="1750">
      <x:c r="A1750" s="22" t="n">
        <x:v>34072</x:v>
      </x:c>
      <x:c r="B1750" s="28" t="n">
        <x:v>202.5</x:v>
      </x:c>
      <x:c r="C1750" s="28"/>
      <x:c r="D1750" s="31" t="str">
        <x:f>IF(OR(ISBLANK(B1750),ISBLANK(C1750),B1750=0),"",(C1750-B1750)/B1750)</x:f>
      </x:c>
      <x:c r="E1750" s="22" t="str">
        <x:f>IF(ISBLANK(C1750),"AmountIncludingTax缺失",IF(ABS(B1750-C1750)&lt;0.005,"一致","不一致"))</x:f>
        <x:v>AmountIncludingTax缺失</x:v>
      </x:c>
      <x:c r="F1750" s="19" t="str">
        <x:v>approved</x:v>
      </x:c>
      <x:c r="G1750" s="19" t="str">
        <x:v>Repair in Progress</x:v>
      </x:c>
      <x:c r="H1750" s="19" t="str">
        <x:v>In Field</x:v>
      </x:c>
      <x:c r="I1750" s="37" t="n">
        <x:v>46168</x:v>
      </x:c>
      <x:c r="J1750" s="37" t="n">
        <x:v>46168</x:v>
      </x:c>
      <x:c r="K1750" s="19" t="str">
        <x:v>Lesiure Lion-New Castle</x:v>
      </x:c>
      <x:c r="L1750" s="19" t="str">
        <x:v>Z006</x:v>
      </x:c>
      <x:c r="M1750" s="19" t="str">
        <x:v>In Field Warranty Claims</x:v>
      </x:c>
      <x:c r="N1750" s="37" t="n">
        <x:v>46135</x:v>
      </x:c>
      <x:c r="O1750" s="37" t="n">
        <x:v>46162</x:v>
      </x:c>
      <x:c r="P1750" s="34" t="n">
        <x:v>0</x:v>
      </x:c>
      <x:c r="Q1750" s="37" t="n">
        <x:v>46167.935532407406</x:v>
      </x:c>
    </x:row>
    <x:row r="1751">
      <x:c r="A1751" s="22" t="n">
        <x:v>34071</x:v>
      </x:c>
      <x:c r="B1751" s="28" t="n">
        <x:v>492.5</x:v>
      </x:c>
      <x:c r="C1751" s="28"/>
      <x:c r="D1751" s="31" t="str">
        <x:f>IF(OR(ISBLANK(B1751),ISBLANK(C1751),B1751=0),"",(C1751-B1751)/B1751)</x:f>
      </x:c>
      <x:c r="E1751" s="22" t="str">
        <x:f>IF(ISBLANK(C1751),"AmountIncludingTax缺失",IF(ABS(B1751-C1751)&lt;0.005,"一致","不一致"))</x:f>
        <x:v>AmountIncludingTax缺失</x:v>
      </x:c>
      <x:c r="F1751" s="19" t="str">
        <x:v>approved</x:v>
      </x:c>
      <x:c r="G1751" s="19" t="str">
        <x:v>Repair in Progress</x:v>
      </x:c>
      <x:c r="H1751" s="19" t="str">
        <x:v>Pre Delivery</x:v>
      </x:c>
      <x:c r="I1751" s="37" t="n">
        <x:v>46136</x:v>
      </x:c>
      <x:c r="J1751" s="37" t="n">
        <x:v>46136</x:v>
      </x:c>
      <x:c r="K1751" s="19" t="str">
        <x:v>Snowy River Wangaratta</x:v>
      </x:c>
      <x:c r="L1751" s="19" t="str">
        <x:v>Z005</x:v>
      </x:c>
      <x:c r="M1751" s="19" t="str">
        <x:v>Pre Delivery Warranty Claims</x:v>
      </x:c>
      <x:c r="N1751" s="37" t="n">
        <x:v>46135</x:v>
      </x:c>
      <x:c r="O1751" s="37"/>
      <x:c r="P1751" s="34" t="n">
        <x:v>0</x:v>
      </x:c>
      <x:c r="Q1751" s="37" t="n">
        <x:v>46135.990011574075</x:v>
      </x:c>
    </x:row>
    <x:row r="1752">
      <x:c r="A1752" s="22" t="n">
        <x:v>34070</x:v>
      </x:c>
      <x:c r="B1752" s="28" t="n">
        <x:v>675</x:v>
      </x:c>
      <x:c r="C1752" s="28" t="n">
        <x:v>742.5</x:v>
      </x:c>
      <x:c r="D1752" s="31" t="n">
        <x:f>IF(OR(ISBLANK(B1752),ISBLANK(C1752),B1752=0),"",(C1752-B1752)/B1752)</x:f>
        <x:v>0.1</x:v>
      </x:c>
      <x:c r="E1752" s="22" t="str">
        <x:f>IF(ISBLANK(C1752),"AmountIncludingTax缺失",IF(ABS(B1752-C1752)&lt;0.005,"一致","不一致"))</x:f>
        <x:v>不一致</x:v>
      </x:c>
      <x:c r="F1752" s="19" t="str">
        <x:v>approved</x:v>
      </x:c>
      <x:c r="G1752" s="19" t="str">
        <x:v>Repairer Invoiced Processed</x:v>
      </x:c>
      <x:c r="H1752" s="19" t="str">
        <x:v>Pre Delivery</x:v>
      </x:c>
      <x:c r="I1752" s="37" t="n">
        <x:v>46142</x:v>
      </x:c>
      <x:c r="J1752" s="37" t="n">
        <x:v>46142</x:v>
      </x:c>
      <x:c r="K1752" s="19" t="str">
        <x:v>Green RV - Forest Glen</x:v>
      </x:c>
      <x:c r="L1752" s="19" t="str">
        <x:v>Z005</x:v>
      </x:c>
      <x:c r="M1752" s="19" t="str">
        <x:v>Pre Delivery Warranty Claims</x:v>
      </x:c>
      <x:c r="N1752" s="37" t="n">
        <x:v>46136</x:v>
      </x:c>
      <x:c r="O1752" s="37"/>
      <x:c r="P1752" s="34" t="n">
        <x:v>742.5</x:v>
      </x:c>
      <x:c r="Q1752" s="37" t="n">
        <x:v>46142.17561342593</x:v>
      </x:c>
    </x:row>
    <x:row r="1753">
      <x:c r="A1753" s="22" t="n">
        <x:v>34068</x:v>
      </x:c>
      <x:c r="B1753" s="28" t="n">
        <x:v>1100</x:v>
      </x:c>
      <x:c r="C1753" s="28"/>
      <x:c r="D1753" s="31" t="str">
        <x:f>IF(OR(ISBLANK(B1753),ISBLANK(C1753),B1753=0),"",(C1753-B1753)/B1753)</x:f>
      </x:c>
      <x:c r="E1753" s="22" t="str">
        <x:f>IF(ISBLANK(C1753),"AmountIncludingTax缺失",IF(ABS(B1753-C1753)&lt;0.005,"一致","不一致"))</x:f>
        <x:v>AmountIncludingTax缺失</x:v>
      </x:c>
      <x:c r="F1753" s="19" t="str">
        <x:v>approved</x:v>
      </x:c>
      <x:c r="G1753" s="19" t="str">
        <x:v>Sales Order Approved</x:v>
      </x:c>
      <x:c r="H1753" s="19" t="str">
        <x:v>In Field</x:v>
      </x:c>
      <x:c r="I1753" s="37" t="n">
        <x:v>46199</x:v>
      </x:c>
      <x:c r="J1753" s="37" t="n">
        <x:v>46199</x:v>
      </x:c>
      <x:c r="K1753" s="19" t="str">
        <x:v>Green RV - Forest Glen</x:v>
      </x:c>
      <x:c r="L1753" s="19" t="str">
        <x:v>Z006</x:v>
      </x:c>
      <x:c r="M1753" s="19" t="str">
        <x:v>In Field Warranty Claims</x:v>
      </x:c>
      <x:c r="N1753" s="37" t="n">
        <x:v>46136</x:v>
      </x:c>
      <x:c r="O1753" s="37"/>
      <x:c r="P1753" s="34" t="n">
        <x:v>0</x:v>
      </x:c>
      <x:c r="Q1753" s="37" t="n">
        <x:v>46198.95858796296</x:v>
      </x:c>
    </x:row>
    <x:row r="1754">
      <x:c r="A1754" s="22" t="n">
        <x:v>34067</x:v>
      </x:c>
      <x:c r="B1754" s="28" t="n">
        <x:v>202.5</x:v>
      </x:c>
      <x:c r="C1754" s="28"/>
      <x:c r="D1754" s="31" t="str">
        <x:f>IF(OR(ISBLANK(B1754),ISBLANK(C1754),B1754=0),"",(C1754-B1754)/B1754)</x:f>
      </x:c>
      <x:c r="E1754" s="22" t="str">
        <x:f>IF(ISBLANK(C1754),"AmountIncludingTax缺失",IF(ABS(B1754-C1754)&lt;0.005,"一致","不一致"))</x:f>
        <x:v>AmountIncludingTax缺失</x:v>
      </x:c>
      <x:c r="F1754" s="19" t="str">
        <x:v>approved</x:v>
      </x:c>
      <x:c r="G1754" s="19" t="str">
        <x:v>Repair in Progress</x:v>
      </x:c>
      <x:c r="H1754" s="19" t="str">
        <x:v>In Field</x:v>
      </x:c>
      <x:c r="I1754" s="37" t="n">
        <x:v>46170</x:v>
      </x:c>
      <x:c r="J1754" s="37" t="n">
        <x:v>46170</x:v>
      </x:c>
      <x:c r="K1754" s="19" t="str">
        <x:v>ABCO Caravans - Boambee Valley</x:v>
      </x:c>
      <x:c r="L1754" s="19" t="str">
        <x:v>Z006</x:v>
      </x:c>
      <x:c r="M1754" s="19" t="str">
        <x:v>In Field Warranty Claims</x:v>
      </x:c>
      <x:c r="N1754" s="37" t="n">
        <x:v>46135</x:v>
      </x:c>
      <x:c r="O1754" s="37"/>
      <x:c r="P1754" s="34" t="n">
        <x:v>0</x:v>
      </x:c>
      <x:c r="Q1754" s="37" t="n">
        <x:v>46170.07077546296</x:v>
      </x:c>
    </x:row>
    <x:row r="1755">
      <x:c r="A1755" s="22" t="n">
        <x:v>34066</x:v>
      </x:c>
      <x:c r="B1755" s="28" t="n">
        <x:v>135</x:v>
      </x:c>
      <x:c r="C1755" s="28"/>
      <x:c r="D1755" s="31" t="str">
        <x:f>IF(OR(ISBLANK(B1755),ISBLANK(C1755),B1755=0),"",(C1755-B1755)/B1755)</x:f>
      </x:c>
      <x:c r="E1755" s="22" t="str">
        <x:f>IF(ISBLANK(C1755),"AmountIncludingTax缺失",IF(ABS(B1755-C1755)&lt;0.005,"一致","不一致"))</x:f>
        <x:v>AmountIncludingTax缺失</x:v>
      </x:c>
      <x:c r="F1755" s="19" t="str">
        <x:v>approved</x:v>
      </x:c>
      <x:c r="G1755" s="19" t="str">
        <x:v>Repair in Progress</x:v>
      </x:c>
      <x:c r="H1755" s="19" t="str">
        <x:v>In Field</x:v>
      </x:c>
      <x:c r="I1755" s="37" t="n">
        <x:v>46153</x:v>
      </x:c>
      <x:c r="J1755" s="37" t="n">
        <x:v>46153</x:v>
      </x:c>
      <x:c r="K1755" s="19" t="str">
        <x:v>ABCO Caravans - Boambee Valley</x:v>
      </x:c>
      <x:c r="L1755" s="19" t="str">
        <x:v>Z006</x:v>
      </x:c>
      <x:c r="M1755" s="19" t="str">
        <x:v>In Field Warranty Claims</x:v>
      </x:c>
      <x:c r="N1755" s="37" t="n">
        <x:v>46135</x:v>
      </x:c>
      <x:c r="O1755" s="37"/>
      <x:c r="P1755" s="34" t="n">
        <x:v>0</x:v>
      </x:c>
      <x:c r="Q1755" s="37" t="n">
        <x:v>46153.04722222222</x:v>
      </x:c>
    </x:row>
    <x:row r="1756">
      <x:c r="A1756" s="22" t="n">
        <x:v>34064</x:v>
      </x:c>
      <x:c r="B1756" s="28" t="n">
        <x:v>333.41</x:v>
      </x:c>
      <x:c r="C1756" s="28" t="n">
        <x:v>301.87</x:v>
      </x:c>
      <x:c r="D1756" s="31" t="n">
        <x:f>IF(OR(ISBLANK(B1756),ISBLANK(C1756),B1756=0),"",(C1756-B1756)/B1756)</x:f>
        <x:v>-0.09459824240424708</x:v>
      </x:c>
      <x:c r="E1756" s="22" t="str">
        <x:f>IF(ISBLANK(C1756),"AmountIncludingTax缺失",IF(ABS(B1756-C1756)&lt;0.005,"一致","不一致"))</x:f>
        <x:v>不一致</x:v>
      </x:c>
      <x:c r="F1756" s="19" t="str">
        <x:v>approved</x:v>
      </x:c>
      <x:c r="G1756" s="19" t="str">
        <x:v>Repair in Progress</x:v>
      </x:c>
      <x:c r="H1756" s="19" t="str">
        <x:v>In Field</x:v>
      </x:c>
      <x:c r="I1756" s="37" t="n">
        <x:v>46162</x:v>
      </x:c>
      <x:c r="J1756" s="37" t="n">
        <x:v>46162</x:v>
      </x:c>
      <x:c r="K1756" s="19" t="str">
        <x:v>Vanari Caravans - Marden Point</x:v>
      </x:c>
      <x:c r="L1756" s="19" t="str">
        <x:v>Z006</x:v>
      </x:c>
      <x:c r="M1756" s="19" t="str">
        <x:v>In Field Warranty Claims</x:v>
      </x:c>
      <x:c r="N1756" s="37" t="n">
        <x:v>46135</x:v>
      </x:c>
      <x:c r="O1756" s="37"/>
      <x:c r="P1756" s="34" t="n">
        <x:v>301.87</x:v>
      </x:c>
      <x:c r="Q1756" s="37" t="n">
        <x:v>46162.22482638889</x:v>
      </x:c>
    </x:row>
    <x:row r="1757">
      <x:c r="A1757" s="22" t="n">
        <x:v>34062</x:v>
      </x:c>
      <x:c r="B1757" s="28" t="n">
        <x:v>502.5</x:v>
      </x:c>
      <x:c r="C1757" s="28"/>
      <x:c r="D1757" s="31" t="str">
        <x:f>IF(OR(ISBLANK(B1757),ISBLANK(C1757),B1757=0),"",(C1757-B1757)/B1757)</x:f>
      </x:c>
      <x:c r="E1757" s="22" t="str">
        <x:f>IF(ISBLANK(C1757),"AmountIncludingTax缺失",IF(ABS(B1757-C1757)&lt;0.005,"一致","不一致"))</x:f>
        <x:v>AmountIncludingTax缺失</x:v>
      </x:c>
      <x:c r="F1757" s="19" t="str">
        <x:v>approved</x:v>
      </x:c>
      <x:c r="G1757" s="19" t="str">
        <x:v>Sales Order Approved</x:v>
      </x:c>
      <x:c r="H1757" s="19" t="str">
        <x:v>Pre Delivery</x:v>
      </x:c>
      <x:c r="I1757" s="37" t="n">
        <x:v>46142</x:v>
      </x:c>
      <x:c r="J1757" s="37" t="n">
        <x:v>46142</x:v>
      </x:c>
      <x:c r="K1757" s="19" t="str">
        <x:v>Snowy River Wangaratta</x:v>
      </x:c>
      <x:c r="L1757" s="19" t="str">
        <x:v>Z005</x:v>
      </x:c>
      <x:c r="M1757" s="19" t="str">
        <x:v>Pre Delivery Warranty Claims</x:v>
      </x:c>
      <x:c r="N1757" s="37" t="n">
        <x:v>46135</x:v>
      </x:c>
      <x:c r="O1757" s="37"/>
      <x:c r="P1757" s="34" t="n">
        <x:v>0</x:v>
      </x:c>
      <x:c r="Q1757" s="37" t="n">
        <x:v>46141.97696759259</x:v>
      </x:c>
    </x:row>
    <x:row r="1758">
      <x:c r="A1758" s="22" t="n">
        <x:v>34059</x:v>
      </x:c>
      <x:c r="B1758" s="28" t="n">
        <x:v>1666.25</x:v>
      </x:c>
      <x:c r="C1758" s="28"/>
      <x:c r="D1758" s="31" t="str">
        <x:f>IF(OR(ISBLANK(B1758),ISBLANK(C1758),B1758=0),"",(C1758-B1758)/B1758)</x:f>
      </x:c>
      <x:c r="E1758" s="22" t="str">
        <x:f>IF(ISBLANK(C1758),"AmountIncludingTax缺失",IF(ABS(B1758-C1758)&lt;0.005,"一致","不一致"))</x:f>
        <x:v>AmountIncludingTax缺失</x:v>
      </x:c>
      <x:c r="F1758" s="19" t="str">
        <x:v>approved</x:v>
      </x:c>
      <x:c r="G1758" s="19" t="str">
        <x:v>Repairer Invoiced Processed</x:v>
      </x:c>
      <x:c r="H1758" s="19" t="str">
        <x:v>Pre Delivery</x:v>
      </x:c>
      <x:c r="I1758" s="37" t="n">
        <x:v>46192</x:v>
      </x:c>
      <x:c r="J1758" s="37" t="n">
        <x:v>46192</x:v>
      </x:c>
      <x:c r="K1758" s="19" t="str">
        <x:v>Leisure Lion - Bundaberg</x:v>
      </x:c>
      <x:c r="L1758" s="19" t="str">
        <x:v>Z005</x:v>
      </x:c>
      <x:c r="M1758" s="19" t="str">
        <x:v>Pre Delivery Warranty Claims</x:v>
      </x:c>
      <x:c r="N1758" s="37" t="n">
        <x:v>46135</x:v>
      </x:c>
      <x:c r="O1758" s="37"/>
      <x:c r="P1758" s="34" t="n">
        <x:v>0</x:v>
      </x:c>
      <x:c r="Q1758" s="37" t="n">
        <x:v>46192.061377314814</x:v>
      </x:c>
    </x:row>
    <x:row r="1759">
      <x:c r="A1759" s="22" t="n">
        <x:v>34058</x:v>
      </x:c>
      <x:c r="B1759" s="28" t="n">
        <x:v>715</x:v>
      </x:c>
      <x:c r="C1759" s="28"/>
      <x:c r="D1759" s="31" t="str">
        <x:f>IF(OR(ISBLANK(B1759),ISBLANK(C1759),B1759=0),"",(C1759-B1759)/B1759)</x:f>
      </x:c>
      <x:c r="E1759" s="22" t="str">
        <x:f>IF(ISBLANK(C1759),"AmountIncludingTax缺失",IF(ABS(B1759-C1759)&lt;0.005,"一致","不一致"))</x:f>
        <x:v>AmountIncludingTax缺失</x:v>
      </x:c>
      <x:c r="F1759" s="19" t="str">
        <x:v>approved</x:v>
      </x:c>
      <x:c r="G1759" s="19" t="str">
        <x:v>Sales Order Approved</x:v>
      </x:c>
      <x:c r="H1759" s="19" t="str">
        <x:v>In Field</x:v>
      </x:c>
      <x:c r="I1759" s="37" t="n">
        <x:v>46204</x:v>
      </x:c>
      <x:c r="J1759" s="37" t="n">
        <x:v>46204</x:v>
      </x:c>
      <x:c r="K1759" s="19" t="str">
        <x:v>Regent RV - Frankston</x:v>
      </x:c>
      <x:c r="L1759" s="19" t="str">
        <x:v>Z006</x:v>
      </x:c>
      <x:c r="M1759" s="19" t="str">
        <x:v>In Field Warranty Claims</x:v>
      </x:c>
      <x:c r="N1759" s="37" t="n">
        <x:v>46135</x:v>
      </x:c>
      <x:c r="O1759" s="37"/>
      <x:c r="P1759" s="34" t="n">
        <x:v>0</x:v>
      </x:c>
      <x:c r="Q1759" s="37" t="n">
        <x:v>46204.16538194445</x:v>
      </x:c>
    </x:row>
    <x:row r="1760">
      <x:c r="A1760" s="22" t="n">
        <x:v>34057</x:v>
      </x:c>
      <x:c r="B1760" s="28" t="n">
        <x:v>135</x:v>
      </x:c>
      <x:c r="C1760" s="28"/>
      <x:c r="D1760" s="31" t="str">
        <x:f>IF(OR(ISBLANK(B1760),ISBLANK(C1760),B1760=0),"",(C1760-B1760)/B1760)</x:f>
      </x:c>
      <x:c r="E1760" s="22" t="str">
        <x:f>IF(ISBLANK(C1760),"AmountIncludingTax缺失",IF(ABS(B1760-C1760)&lt;0.005,"一致","不一致"))</x:f>
        <x:v>AmountIncludingTax缺失</x:v>
      </x:c>
      <x:c r="F1760" s="19" t="str">
        <x:v>approved</x:v>
      </x:c>
      <x:c r="G1760" s="19" t="str">
        <x:v>Repairer Invoiced Processed</x:v>
      </x:c>
      <x:c r="H1760" s="19" t="str">
        <x:v>In Field</x:v>
      </x:c>
      <x:c r="I1760" s="37" t="n">
        <x:v>46147</x:v>
      </x:c>
      <x:c r="J1760" s="37" t="n">
        <x:v>46147</x:v>
      </x:c>
      <x:c r="K1760" s="19" t="str">
        <x:v>Regent RV - Frankston</x:v>
      </x:c>
      <x:c r="L1760" s="19" t="str">
        <x:v>Z006</x:v>
      </x:c>
      <x:c r="M1760" s="19" t="str">
        <x:v>In Field Warranty Claims</x:v>
      </x:c>
      <x:c r="N1760" s="37" t="n">
        <x:v>46135</x:v>
      </x:c>
      <x:c r="O1760" s="37"/>
      <x:c r="P1760" s="34" t="n">
        <x:v>0</x:v>
      </x:c>
      <x:c r="Q1760" s="37" t="n">
        <x:v>46147.21596064815</x:v>
      </x:c>
    </x:row>
    <x:row r="1761">
      <x:c r="A1761" s="22" t="n">
        <x:v>34056</x:v>
      </x:c>
      <x:c r="B1761" s="28" t="n">
        <x:v>212.5</x:v>
      </x:c>
      <x:c r="C1761" s="28"/>
      <x:c r="D1761" s="31" t="str">
        <x:f>IF(OR(ISBLANK(B1761),ISBLANK(C1761),B1761=0),"",(C1761-B1761)/B1761)</x:f>
      </x:c>
      <x:c r="E1761" s="22" t="str">
        <x:f>IF(ISBLANK(C1761),"AmountIncludingTax缺失",IF(ABS(B1761-C1761)&lt;0.005,"一致","不一致"))</x:f>
        <x:v>AmountIncludingTax缺失</x:v>
      </x:c>
      <x:c r="F1761" s="19" t="str">
        <x:v>approved</x:v>
      </x:c>
      <x:c r="G1761" s="19" t="str">
        <x:v>Repairer Invoiced Processed</x:v>
      </x:c>
      <x:c r="H1761" s="19" t="str">
        <x:v>In Field</x:v>
      </x:c>
      <x:c r="I1761" s="37" t="n">
        <x:v>46141</x:v>
      </x:c>
      <x:c r="J1761" s="37" t="n">
        <x:v>46141</x:v>
      </x:c>
      <x:c r="K1761" s="19" t="str">
        <x:v>Dario Caravans -St.Marys</x:v>
      </x:c>
      <x:c r="L1761" s="19" t="str">
        <x:v>Z006</x:v>
      </x:c>
      <x:c r="M1761" s="19" t="str">
        <x:v>In Field Warranty Claims</x:v>
      </x:c>
      <x:c r="N1761" s="37" t="n">
        <x:v>46135</x:v>
      </x:c>
      <x:c r="O1761" s="37"/>
      <x:c r="P1761" s="34" t="n">
        <x:v>0</x:v>
      </x:c>
      <x:c r="Q1761" s="37" t="n">
        <x:v>46141.23583333333</x:v>
      </x:c>
    </x:row>
    <x:row r="1762">
      <x:c r="A1762" s="22" t="n">
        <x:v>34054</x:v>
      </x:c>
      <x:c r="B1762" s="28" t="n">
        <x:v>455</x:v>
      </x:c>
      <x:c r="C1762" s="28"/>
      <x:c r="D1762" s="31" t="str">
        <x:f>IF(OR(ISBLANK(B1762),ISBLANK(C1762),B1762=0),"",(C1762-B1762)/B1762)</x:f>
      </x:c>
      <x:c r="E1762" s="22" t="str">
        <x:f>IF(ISBLANK(C1762),"AmountIncludingTax缺失",IF(ABS(B1762-C1762)&lt;0.005,"一致","不一致"))</x:f>
        <x:v>AmountIncludingTax缺失</x:v>
      </x:c>
      <x:c r="F1762" s="19" t="str">
        <x:v>approved</x:v>
      </x:c>
      <x:c r="G1762" s="19" t="str">
        <x:v>Repair in Progress</x:v>
      </x:c>
      <x:c r="H1762" s="19" t="str">
        <x:v>In Field</x:v>
      </x:c>
      <x:c r="I1762" s="37" t="n">
        <x:v>46167</x:v>
      </x:c>
      <x:c r="J1762" s="37" t="n">
        <x:v>46167</x:v>
      </x:c>
      <x:c r="K1762" s="19" t="str">
        <x:v>Regent RV - Townsville</x:v>
      </x:c>
      <x:c r="L1762" s="19" t="str">
        <x:v>Z006</x:v>
      </x:c>
      <x:c r="M1762" s="19" t="str">
        <x:v>In Field Warranty Claims</x:v>
      </x:c>
      <x:c r="N1762" s="37" t="n">
        <x:v>46135</x:v>
      </x:c>
      <x:c r="O1762" s="37"/>
      <x:c r="P1762" s="34" t="n">
        <x:v>0</x:v>
      </x:c>
      <x:c r="Q1762" s="37" t="n">
        <x:v>46167.049166666664</x:v>
      </x:c>
    </x:row>
    <x:row r="1763">
      <x:c r="A1763" s="22" t="n">
        <x:v>34053</x:v>
      </x:c>
      <x:c r="B1763" s="28" t="n">
        <x:v>708.75</x:v>
      </x:c>
      <x:c r="C1763" s="28"/>
      <x:c r="D1763" s="31" t="str">
        <x:f>IF(OR(ISBLANK(B1763),ISBLANK(C1763),B1763=0),"",(C1763-B1763)/B1763)</x:f>
      </x:c>
      <x:c r="E1763" s="22" t="str">
        <x:f>IF(ISBLANK(C1763),"AmountIncludingTax缺失",IF(ABS(B1763-C1763)&lt;0.005,"一致","不一致"))</x:f>
        <x:v>AmountIncludingTax缺失</x:v>
      </x:c>
      <x:c r="F1763" s="19" t="str">
        <x:v>approved</x:v>
      </x:c>
      <x:c r="G1763" s="19" t="str">
        <x:v>Repair in Progress</x:v>
      </x:c>
      <x:c r="H1763" s="19" t="str">
        <x:v>In Field</x:v>
      </x:c>
      <x:c r="I1763" s="37" t="n">
        <x:v>46148</x:v>
      </x:c>
      <x:c r="J1763" s="37" t="n">
        <x:v>46148</x:v>
      </x:c>
      <x:c r="K1763" s="19" t="str">
        <x:v>Regent RV Pty Ltd</x:v>
      </x:c>
      <x:c r="L1763" s="19" t="str">
        <x:v>Z006</x:v>
      </x:c>
      <x:c r="M1763" s="19" t="str">
        <x:v>In Field Warranty Claims</x:v>
      </x:c>
      <x:c r="N1763" s="37" t="n">
        <x:v>46135</x:v>
      </x:c>
      <x:c r="O1763" s="37"/>
      <x:c r="P1763" s="34" t="n">
        <x:v>0</x:v>
      </x:c>
      <x:c r="Q1763" s="37" t="n">
        <x:v>46148.15560185185</x:v>
      </x:c>
    </x:row>
    <x:row r="1764">
      <x:c r="A1764" s="22" t="n">
        <x:v>34052</x:v>
      </x:c>
      <x:c r="B1764" s="28" t="n">
        <x:v>202.5</x:v>
      </x:c>
      <x:c r="C1764" s="28" t="n">
        <x:v>222.75</x:v>
      </x:c>
      <x:c r="D1764" s="31" t="n">
        <x:f>IF(OR(ISBLANK(B1764),ISBLANK(C1764),B1764=0),"",(C1764-B1764)/B1764)</x:f>
        <x:v>0.1</x:v>
      </x:c>
      <x:c r="E1764" s="22" t="str">
        <x:f>IF(ISBLANK(C1764),"AmountIncludingTax缺失",IF(ABS(B1764-C1764)&lt;0.005,"一致","不一致"))</x:f>
        <x:v>不一致</x:v>
      </x:c>
      <x:c r="F1764" s="19" t="str">
        <x:v>approved</x:v>
      </x:c>
      <x:c r="G1764" s="19" t="str">
        <x:v>Repairer Invoiced Processed</x:v>
      </x:c>
      <x:c r="H1764" s="19" t="str">
        <x:v>In Field</x:v>
      </x:c>
      <x:c r="I1764" s="37" t="n">
        <x:v>46147</x:v>
      </x:c>
      <x:c r="J1764" s="37" t="n">
        <x:v>46147</x:v>
      </x:c>
      <x:c r="K1764" s="19" t="str">
        <x:v>Snowy River Wangaratta</x:v>
      </x:c>
      <x:c r="L1764" s="19" t="str">
        <x:v>Z006</x:v>
      </x:c>
      <x:c r="M1764" s="19" t="str">
        <x:v>In Field Warranty Claims</x:v>
      </x:c>
      <x:c r="N1764" s="37" t="n">
        <x:v>46135</x:v>
      </x:c>
      <x:c r="O1764" s="37"/>
      <x:c r="P1764" s="34" t="n">
        <x:v>222.75</x:v>
      </x:c>
      <x:c r="Q1764" s="37" t="n">
        <x:v>46147.18119212963</x:v>
      </x:c>
    </x:row>
    <x:row r="1765">
      <x:c r="A1765" s="22" t="n">
        <x:v>34051</x:v>
      </x:c>
      <x:c r="B1765" s="28" t="n">
        <x:v>67.5</x:v>
      </x:c>
      <x:c r="C1765" s="28"/>
      <x:c r="D1765" s="31" t="str">
        <x:f>IF(OR(ISBLANK(B1765),ISBLANK(C1765),B1765=0),"",(C1765-B1765)/B1765)</x:f>
      </x:c>
      <x:c r="E1765" s="22" t="str">
        <x:f>IF(ISBLANK(C1765),"AmountIncludingTax缺失",IF(ABS(B1765-C1765)&lt;0.005,"一致","不一致"))</x:f>
        <x:v>AmountIncludingTax缺失</x:v>
      </x:c>
      <x:c r="F1765" s="19" t="str">
        <x:v>approved</x:v>
      </x:c>
      <x:c r="G1765" s="19" t="str">
        <x:v>Repairer Invoiced Processed</x:v>
      </x:c>
      <x:c r="H1765" s="19" t="str">
        <x:v>In Field</x:v>
      </x:c>
      <x:c r="I1765" s="37" t="n">
        <x:v>46139</x:v>
      </x:c>
      <x:c r="J1765" s="37" t="n">
        <x:v>46139</x:v>
      </x:c>
      <x:c r="K1765" s="19" t="str">
        <x:v>Green RV - Forest Glen</x:v>
      </x:c>
      <x:c r="L1765" s="19" t="str">
        <x:v>Z006</x:v>
      </x:c>
      <x:c r="M1765" s="19" t="str">
        <x:v>In Field Warranty Claims</x:v>
      </x:c>
      <x:c r="N1765" s="37" t="n">
        <x:v>46135</x:v>
      </x:c>
      <x:c r="O1765" s="37"/>
      <x:c r="P1765" s="34" t="n">
        <x:v>0</x:v>
      </x:c>
      <x:c r="Q1765" s="37" t="n">
        <x:v>46139.03145833333</x:v>
      </x:c>
    </x:row>
    <x:row r="1766">
      <x:c r="A1766" s="22" t="n">
        <x:v>34049</x:v>
      </x:c>
      <x:c r="B1766" s="28" t="n">
        <x:v>742.5</x:v>
      </x:c>
      <x:c r="C1766" s="28"/>
      <x:c r="D1766" s="31" t="str">
        <x:f>IF(OR(ISBLANK(B1766),ISBLANK(C1766),B1766=0),"",(C1766-B1766)/B1766)</x:f>
      </x:c>
      <x:c r="E1766" s="22" t="str">
        <x:f>IF(ISBLANK(C1766),"AmountIncludingTax缺失",IF(ABS(B1766-C1766)&lt;0.005,"一致","不一致"))</x:f>
        <x:v>AmountIncludingTax缺失</x:v>
      </x:c>
      <x:c r="F1766" s="19" t="str">
        <x:v>approved</x:v>
      </x:c>
      <x:c r="G1766" s="19" t="str">
        <x:v>Repair in Progress</x:v>
      </x:c>
      <x:c r="H1766" s="19" t="str">
        <x:v>In Field</x:v>
      </x:c>
      <x:c r="I1766" s="37" t="n">
        <x:v>46156</x:v>
      </x:c>
      <x:c r="J1766" s="37" t="n">
        <x:v>46156</x:v>
      </x:c>
      <x:c r="K1766" s="19" t="str">
        <x:v>Regent RV - Perth</x:v>
      </x:c>
      <x:c r="L1766" s="19" t="str">
        <x:v>Z006</x:v>
      </x:c>
      <x:c r="M1766" s="19" t="str">
        <x:v>In Field Warranty Claims</x:v>
      </x:c>
      <x:c r="N1766" s="37" t="n">
        <x:v>46136</x:v>
      </x:c>
      <x:c r="O1766" s="37"/>
      <x:c r="P1766" s="34" t="n">
        <x:v>0</x:v>
      </x:c>
      <x:c r="Q1766" s="37" t="n">
        <x:v>46155.92894675926</x:v>
      </x:c>
    </x:row>
    <x:row r="1767">
      <x:c r="A1767" s="22" t="n">
        <x:v>34048</x:v>
      </x:c>
      <x:c r="B1767" s="28" t="n">
        <x:v>1701.81</x:v>
      </x:c>
      <x:c r="C1767" s="28"/>
      <x:c r="D1767" s="31" t="str">
        <x:f>IF(OR(ISBLANK(B1767),ISBLANK(C1767),B1767=0),"",(C1767-B1767)/B1767)</x:f>
      </x:c>
      <x:c r="E1767" s="22" t="str">
        <x:f>IF(ISBLANK(C1767),"AmountIncludingTax缺失",IF(ABS(B1767-C1767)&lt;0.005,"一致","不一致"))</x:f>
        <x:v>AmountIncludingTax缺失</x:v>
      </x:c>
      <x:c r="F1767" s="19" t="str">
        <x:v>approved</x:v>
      </x:c>
      <x:c r="G1767" s="19" t="str">
        <x:v>Repairer Invoiced Processed</x:v>
      </x:c>
      <x:c r="H1767" s="19" t="str">
        <x:v>In Field</x:v>
      </x:c>
      <x:c r="I1767" s="37" t="n">
        <x:v>46156</x:v>
      </x:c>
      <x:c r="J1767" s="37" t="n">
        <x:v>46156</x:v>
      </x:c>
      <x:c r="K1767" s="19" t="str">
        <x:v>Regent RV - Perth</x:v>
      </x:c>
      <x:c r="L1767" s="19" t="str">
        <x:v>Z006</x:v>
      </x:c>
      <x:c r="M1767" s="19" t="str">
        <x:v>In Field Warranty Claims</x:v>
      </x:c>
      <x:c r="N1767" s="37" t="n">
        <x:v>46135</x:v>
      </x:c>
      <x:c r="O1767" s="37"/>
      <x:c r="P1767" s="34" t="n">
        <x:v>1871.99</x:v>
      </x:c>
      <x:c r="Q1767" s="37" t="n">
        <x:v>46155.96359953703</x:v>
      </x:c>
    </x:row>
    <x:row r="1768">
      <x:c r="A1768" s="22" t="n">
        <x:v>34042</x:v>
      </x:c>
      <x:c r="B1768" s="28" t="n">
        <x:v>201.45</x:v>
      </x:c>
      <x:c r="C1768" s="28" t="n">
        <x:v>221.6</x:v>
      </x:c>
      <x:c r="D1768" s="31" t="n">
        <x:f>IF(OR(ISBLANK(B1768),ISBLANK(C1768),B1768=0),"",(C1768-B1768)/B1768)</x:f>
        <x:v>0.10002482005460415</x:v>
      </x:c>
      <x:c r="E1768" s="22" t="str">
        <x:f>IF(ISBLANK(C1768),"AmountIncludingTax缺失",IF(ABS(B1768-C1768)&lt;0.005,"一致","不一致"))</x:f>
        <x:v>不一致</x:v>
      </x:c>
      <x:c r="F1768" s="19" t="str">
        <x:v>approved</x:v>
      </x:c>
      <x:c r="G1768" s="19" t="str">
        <x:v>Repair in Progress</x:v>
      </x:c>
      <x:c r="H1768" s="19" t="str">
        <x:v>In Field</x:v>
      </x:c>
      <x:c r="I1768" s="37" t="n">
        <x:v>46135</x:v>
      </x:c>
      <x:c r="J1768" s="37" t="n">
        <x:v>46135</x:v>
      </x:c>
      <x:c r="K1768" s="19" t="str">
        <x:v>Green RV - Forest Glen</x:v>
      </x:c>
      <x:c r="L1768" s="19" t="str">
        <x:v>Z006</x:v>
      </x:c>
      <x:c r="M1768" s="19" t="str">
        <x:v>In Field Warranty Claims</x:v>
      </x:c>
      <x:c r="N1768" s="37" t="n">
        <x:v>46135</x:v>
      </x:c>
      <x:c r="O1768" s="37"/>
      <x:c r="P1768" s="34" t="n">
        <x:v>221.6</x:v>
      </x:c>
      <x:c r="Q1768" s="37" t="n">
        <x:v>46135.092453703706</x:v>
      </x:c>
    </x:row>
    <x:row r="1769">
      <x:c r="A1769" s="22" t="n">
        <x:v>34040</x:v>
      </x:c>
      <x:c r="B1769" s="28" t="n">
        <x:v>897.5</x:v>
      </x:c>
      <x:c r="C1769" s="28" t="n">
        <x:v>987.25</x:v>
      </x:c>
      <x:c r="D1769" s="31" t="n">
        <x:f>IF(OR(ISBLANK(B1769),ISBLANK(C1769),B1769=0),"",(C1769-B1769)/B1769)</x:f>
        <x:v>0.1</x:v>
      </x:c>
      <x:c r="E1769" s="22" t="str">
        <x:f>IF(ISBLANK(C1769),"AmountIncludingTax缺失",IF(ABS(B1769-C1769)&lt;0.005,"一致","不一致"))</x:f>
        <x:v>不一致</x:v>
      </x:c>
      <x:c r="F1769" s="19" t="str">
        <x:v>approved</x:v>
      </x:c>
      <x:c r="G1769" s="19" t="str">
        <x:v>Repairer Invoiced Processed</x:v>
      </x:c>
      <x:c r="H1769" s="19" t="str">
        <x:v>In Field</x:v>
      </x:c>
      <x:c r="I1769" s="37" t="n">
        <x:v>46141</x:v>
      </x:c>
      <x:c r="J1769" s="37" t="n">
        <x:v>46141</x:v>
      </x:c>
      <x:c r="K1769" s="19" t="str">
        <x:v>Newcastle RV Super Centre - Beresfield</x:v>
      </x:c>
      <x:c r="L1769" s="19" t="str">
        <x:v>Z006</x:v>
      </x:c>
      <x:c r="M1769" s="19" t="str">
        <x:v>In Field Warranty Claims</x:v>
      </x:c>
      <x:c r="N1769" s="37" t="n">
        <x:v>46141</x:v>
      </x:c>
      <x:c r="O1769" s="37"/>
      <x:c r="P1769" s="34" t="n">
        <x:v>987.25</x:v>
      </x:c>
      <x:c r="Q1769" s="37" t="n">
        <x:v>46141.12241898148</x:v>
      </x:c>
    </x:row>
    <x:row r="1770">
      <x:c r="A1770" s="22" t="n">
        <x:v>34039</x:v>
      </x:c>
      <x:c r="B1770" s="28" t="n">
        <x:v>250</x:v>
      </x:c>
      <x:c r="C1770" s="28" t="n">
        <x:v>275</x:v>
      </x:c>
      <x:c r="D1770" s="31" t="n">
        <x:f>IF(OR(ISBLANK(B1770),ISBLANK(C1770),B1770=0),"",(C1770-B1770)/B1770)</x:f>
        <x:v>0.1</x:v>
      </x:c>
      <x:c r="E1770" s="22" t="str">
        <x:f>IF(ISBLANK(C1770),"AmountIncludingTax缺失",IF(ABS(B1770-C1770)&lt;0.005,"一致","不一致"))</x:f>
        <x:v>不一致</x:v>
      </x:c>
      <x:c r="F1770" s="19" t="str">
        <x:v>approved</x:v>
      </x:c>
      <x:c r="G1770" s="19" t="str">
        <x:v>Repair in Progress</x:v>
      </x:c>
      <x:c r="H1770" s="19" t="str">
        <x:v>In Field</x:v>
      </x:c>
      <x:c r="I1770" s="37" t="n">
        <x:v>46142</x:v>
      </x:c>
      <x:c r="J1770" s="37" t="n">
        <x:v>46142</x:v>
      </x:c>
      <x:c r="K1770" s="19" t="str">
        <x:v>Snowy River Wangaratta</x:v>
      </x:c>
      <x:c r="L1770" s="19" t="str">
        <x:v>Z006</x:v>
      </x:c>
      <x:c r="M1770" s="19" t="str">
        <x:v>In Field Warranty Claims</x:v>
      </x:c>
      <x:c r="N1770" s="37" t="n">
        <x:v>46141</x:v>
      </x:c>
      <x:c r="O1770" s="37"/>
      <x:c r="P1770" s="34" t="n">
        <x:v>275</x:v>
      </x:c>
      <x:c r="Q1770" s="37" t="n">
        <x:v>46142.2403587963</x:v>
      </x:c>
    </x:row>
    <x:row r="1771">
      <x:c r="A1771" s="22" t="n">
        <x:v>34037</x:v>
      </x:c>
      <x:c r="B1771" s="28" t="n">
        <x:v>1760</x:v>
      </x:c>
      <x:c r="C1771" s="28"/>
      <x:c r="D1771" s="31" t="str">
        <x:f>IF(OR(ISBLANK(B1771),ISBLANK(C1771),B1771=0),"",(C1771-B1771)/B1771)</x:f>
      </x:c>
      <x:c r="E1771" s="22" t="str">
        <x:f>IF(ISBLANK(C1771),"AmountIncludingTax缺失",IF(ABS(B1771-C1771)&lt;0.005,"一致","不一致"))</x:f>
        <x:v>AmountIncludingTax缺失</x:v>
      </x:c>
      <x:c r="F1771" s="19" t="str">
        <x:v>approved</x:v>
      </x:c>
      <x:c r="G1771" s="19" t="str">
        <x:v>Repair in Progress</x:v>
      </x:c>
      <x:c r="H1771" s="19" t="str">
        <x:v>In Field</x:v>
      </x:c>
      <x:c r="I1771" s="37" t="n">
        <x:v>46156</x:v>
      </x:c>
      <x:c r="J1771" s="37" t="n">
        <x:v>46156</x:v>
      </x:c>
      <x:c r="K1771" s="19" t="str">
        <x:v>Green RV - Forest Glen</x:v>
      </x:c>
      <x:c r="L1771" s="19" t="str">
        <x:v>Z006</x:v>
      </x:c>
      <x:c r="M1771" s="19" t="str">
        <x:v>In Field Warranty Claims</x:v>
      </x:c>
      <x:c r="N1771" s="37" t="n">
        <x:v>46140</x:v>
      </x:c>
      <x:c r="O1771" s="37"/>
      <x:c r="P1771" s="34" t="n">
        <x:v>1936</x:v>
      </x:c>
      <x:c r="Q1771" s="37" t="n">
        <x:v>46155.94809027778</x:v>
      </x:c>
    </x:row>
    <x:row r="1772">
      <x:c r="A1772" s="22" t="n">
        <x:v>34034</x:v>
      </x:c>
      <x:c r="B1772" s="28" t="n">
        <x:v>1130</x:v>
      </x:c>
      <x:c r="C1772" s="28"/>
      <x:c r="D1772" s="31" t="str">
        <x:f>IF(OR(ISBLANK(B1772),ISBLANK(C1772),B1772=0),"",(C1772-B1772)/B1772)</x:f>
      </x:c>
      <x:c r="E1772" s="22" t="str">
        <x:f>IF(ISBLANK(C1772),"AmountIncludingTax缺失",IF(ABS(B1772-C1772)&lt;0.005,"一致","不一致"))</x:f>
        <x:v>AmountIncludingTax缺失</x:v>
      </x:c>
      <x:c r="F1772" s="19" t="str">
        <x:v>approved</x:v>
      </x:c>
      <x:c r="G1772" s="19" t="str">
        <x:v>Repair in Progress</x:v>
      </x:c>
      <x:c r="H1772" s="19" t="str">
        <x:v>In Field</x:v>
      </x:c>
      <x:c r="I1772" s="37" t="n">
        <x:v>46142</x:v>
      </x:c>
      <x:c r="J1772" s="37" t="n">
        <x:v>46142</x:v>
      </x:c>
      <x:c r="K1772" s="19" t="str">
        <x:v>Leisure Lion - Bundaberg</x:v>
      </x:c>
      <x:c r="L1772" s="19" t="str">
        <x:v>Z006</x:v>
      </x:c>
      <x:c r="M1772" s="19" t="str">
        <x:v>In Field Warranty Claims</x:v>
      </x:c>
      <x:c r="N1772" s="37" t="n">
        <x:v>46139</x:v>
      </x:c>
      <x:c r="O1772" s="37"/>
      <x:c r="P1772" s="34" t="n">
        <x:v>0</x:v>
      </x:c>
      <x:c r="Q1772" s="37" t="n">
        <x:v>46141.85826388889</x:v>
      </x:c>
    </x:row>
    <x:row r="1773">
      <x:c r="A1773" s="22" t="n">
        <x:v>34029</x:v>
      </x:c>
      <x:c r="B1773" s="28" t="n">
        <x:v>288.18</x:v>
      </x:c>
      <x:c r="C1773" s="28" t="n">
        <x:v>317</x:v>
      </x:c>
      <x:c r="D1773" s="31" t="n">
        <x:f>IF(OR(ISBLANK(B1773),ISBLANK(C1773),B1773=0),"",(C1773-B1773)/B1773)</x:f>
        <x:v>0.10000694010687762</x:v>
      </x:c>
      <x:c r="E1773" s="22" t="str">
        <x:f>IF(ISBLANK(C1773),"AmountIncludingTax缺失",IF(ABS(B1773-C1773)&lt;0.005,"一致","不一致"))</x:f>
        <x:v>不一致</x:v>
      </x:c>
      <x:c r="F1773" s="19" t="str">
        <x:v>approved</x:v>
      </x:c>
      <x:c r="G1773" s="19" t="str">
        <x:v>Repairer Invoiced Processed</x:v>
      </x:c>
      <x:c r="H1773" s="19" t="str">
        <x:v>In Field</x:v>
      </x:c>
      <x:c r="I1773" s="37" t="n">
        <x:v>46148</x:v>
      </x:c>
      <x:c r="J1773" s="37" t="n">
        <x:v>46148</x:v>
      </x:c>
      <x:c r="K1773" s="19" t="str">
        <x:v>Snowy River Wangaratta</x:v>
      </x:c>
      <x:c r="L1773" s="19" t="str">
        <x:v>Z006</x:v>
      </x:c>
      <x:c r="M1773" s="19" t="str">
        <x:v>In Field Warranty Claims</x:v>
      </x:c>
      <x:c r="N1773" s="37" t="n">
        <x:v>46135</x:v>
      </x:c>
      <x:c r="O1773" s="37"/>
      <x:c r="P1773" s="34" t="n">
        <x:v>317</x:v>
      </x:c>
      <x:c r="Q1773" s="37" t="n">
        <x:v>46148.176770833335</x:v>
      </x:c>
    </x:row>
    <x:row r="1774">
      <x:c r="A1774" s="22" t="n">
        <x:v>34027</x:v>
      </x:c>
      <x:c r="B1774" s="28" t="n">
        <x:v>67.5</x:v>
      </x:c>
      <x:c r="C1774" s="28" t="n">
        <x:v>74.25</x:v>
      </x:c>
      <x:c r="D1774" s="31" t="n">
        <x:f>IF(OR(ISBLANK(B1774),ISBLANK(C1774),B1774=0),"",(C1774-B1774)/B1774)</x:f>
        <x:v>0.1</x:v>
      </x:c>
      <x:c r="E1774" s="22" t="str">
        <x:f>IF(ISBLANK(C1774),"AmountIncludingTax缺失",IF(ABS(B1774-C1774)&lt;0.005,"一致","不一致"))</x:f>
        <x:v>不一致</x:v>
      </x:c>
      <x:c r="F1774" s="19" t="str">
        <x:v>approved</x:v>
      </x:c>
      <x:c r="G1774" s="19" t="str">
        <x:v>Repair in Progress</x:v>
      </x:c>
      <x:c r="H1774" s="19" t="str">
        <x:v>In Field</x:v>
      </x:c>
      <x:c r="I1774" s="37" t="n">
        <x:v>46170</x:v>
      </x:c>
      <x:c r="J1774" s="37" t="n">
        <x:v>46170</x:v>
      </x:c>
      <x:c r="K1774" s="19" t="str">
        <x:v>Auswide Caravans - South Nowra</x:v>
      </x:c>
      <x:c r="L1774" s="19" t="str">
        <x:v>Z006</x:v>
      </x:c>
      <x:c r="M1774" s="19" t="str">
        <x:v>In Field Warranty Claims</x:v>
      </x:c>
      <x:c r="N1774" s="37" t="n">
        <x:v>46135</x:v>
      </x:c>
      <x:c r="O1774" s="37"/>
      <x:c r="P1774" s="34" t="n">
        <x:v>74.25</x:v>
      </x:c>
      <x:c r="Q1774" s="37" t="n">
        <x:v>46169.99041666667</x:v>
      </x:c>
    </x:row>
    <x:row r="1775">
      <x:c r="A1775" s="22" t="n">
        <x:v>34026</x:v>
      </x:c>
      <x:c r="B1775" s="28" t="n">
        <x:v>1299</x:v>
      </x:c>
      <x:c r="C1775" s="28"/>
      <x:c r="D1775" s="31" t="str">
        <x:f>IF(OR(ISBLANK(B1775),ISBLANK(C1775),B1775=0),"",(C1775-B1775)/B1775)</x:f>
      </x:c>
      <x:c r="E1775" s="22" t="str">
        <x:f>IF(ISBLANK(C1775),"AmountIncludingTax缺失",IF(ABS(B1775-C1775)&lt;0.005,"一致","不一致"))</x:f>
        <x:v>AmountIncludingTax缺失</x:v>
      </x:c>
      <x:c r="F1775" s="19" t="str">
        <x:v>approved</x:v>
      </x:c>
      <x:c r="G1775" s="19" t="str">
        <x:v>Repairer Invoiced Processed</x:v>
      </x:c>
      <x:c r="H1775" s="19" t="str">
        <x:v>In Field</x:v>
      </x:c>
      <x:c r="I1775" s="37" t="n">
        <x:v>46184</x:v>
      </x:c>
      <x:c r="J1775" s="37" t="n">
        <x:v>46156</x:v>
      </x:c>
      <x:c r="K1775" s="19" t="str">
        <x:v>Regent RV - Perth</x:v>
      </x:c>
      <x:c r="L1775" s="19" t="str">
        <x:v>Z006</x:v>
      </x:c>
      <x:c r="M1775" s="19" t="str">
        <x:v>In Field Warranty Claims</x:v>
      </x:c>
      <x:c r="N1775" s="37" t="n">
        <x:v>46135</x:v>
      </x:c>
      <x:c r="O1775" s="37"/>
      <x:c r="P1775" s="34" t="n">
        <x:v>1428.9</x:v>
      </x:c>
      <x:c r="Q1775" s="37" t="n">
        <x:v>46184.2109375</x:v>
      </x:c>
    </x:row>
    <x:row r="1776">
      <x:c r="A1776" s="22" t="n">
        <x:v>34025</x:v>
      </x:c>
      <x:c r="B1776" s="28" t="n">
        <x:v>405</x:v>
      </x:c>
      <x:c r="C1776" s="28" t="n">
        <x:v>445.5</x:v>
      </x:c>
      <x:c r="D1776" s="31" t="n">
        <x:f>IF(OR(ISBLANK(B1776),ISBLANK(C1776),B1776=0),"",(C1776-B1776)/B1776)</x:f>
        <x:v>0.1</x:v>
      </x:c>
      <x:c r="E1776" s="22" t="str">
        <x:f>IF(ISBLANK(C1776),"AmountIncludingTax缺失",IF(ABS(B1776-C1776)&lt;0.005,"一致","不一致"))</x:f>
        <x:v>不一致</x:v>
      </x:c>
      <x:c r="F1776" s="19" t="str">
        <x:v>approved</x:v>
      </x:c>
      <x:c r="G1776" s="19" t="str">
        <x:v>Repair in Progress</x:v>
      </x:c>
      <x:c r="H1776" s="19" t="str">
        <x:v>In Field</x:v>
      </x:c>
      <x:c r="I1776" s="37" t="n">
        <x:v>46136</x:v>
      </x:c>
      <x:c r="J1776" s="37" t="n">
        <x:v>46136</x:v>
      </x:c>
      <x:c r="K1776" s="19" t="str">
        <x:v>Regent RV - Perth</x:v>
      </x:c>
      <x:c r="L1776" s="19" t="str">
        <x:v>Z006</x:v>
      </x:c>
      <x:c r="M1776" s="19" t="str">
        <x:v>In Field Warranty Claims</x:v>
      </x:c>
      <x:c r="N1776" s="37" t="n">
        <x:v>46135</x:v>
      </x:c>
      <x:c r="O1776" s="37"/>
      <x:c r="P1776" s="34" t="n">
        <x:v>445.5</x:v>
      </x:c>
      <x:c r="Q1776" s="37" t="n">
        <x:v>46135.99700231481</x:v>
      </x:c>
    </x:row>
    <x:row r="1777">
      <x:c r="A1777" s="22" t="n">
        <x:v>34023</x:v>
      </x:c>
      <x:c r="B1777" s="28" t="n">
        <x:v>405</x:v>
      </x:c>
      <x:c r="C1777" s="28"/>
      <x:c r="D1777" s="31" t="str">
        <x:f>IF(OR(ISBLANK(B1777),ISBLANK(C1777),B1777=0),"",(C1777-B1777)/B1777)</x:f>
      </x:c>
      <x:c r="E1777" s="22" t="str">
        <x:f>IF(ISBLANK(C1777),"AmountIncludingTax缺失",IF(ABS(B1777-C1777)&lt;0.005,"一致","不一致"))</x:f>
        <x:v>AmountIncludingTax缺失</x:v>
      </x:c>
      <x:c r="F1777" s="19" t="str">
        <x:v>approved</x:v>
      </x:c>
      <x:c r="G1777" s="19" t="str">
        <x:v>Partially Picked</x:v>
      </x:c>
      <x:c r="H1777" s="19" t="str">
        <x:v>In Field</x:v>
      </x:c>
      <x:c r="I1777" s="37" t="n">
        <x:v>46148</x:v>
      </x:c>
      <x:c r="J1777" s="37" t="n">
        <x:v>46148</x:v>
      </x:c>
      <x:c r="K1777" s="19" t="str">
        <x:v>Regent RV - Perth</x:v>
      </x:c>
      <x:c r="L1777" s="19" t="str">
        <x:v>Z006</x:v>
      </x:c>
      <x:c r="M1777" s="19" t="str">
        <x:v>In Field Warranty Claims</x:v>
      </x:c>
      <x:c r="N1777" s="37" t="n">
        <x:v>46135</x:v>
      </x:c>
      <x:c r="O1777" s="37"/>
      <x:c r="P1777" s="34" t="n">
        <x:v>0</x:v>
      </x:c>
      <x:c r="Q1777" s="37" t="n">
        <x:v>46148.03121527778</x:v>
      </x:c>
    </x:row>
    <x:row r="1778">
      <x:c r="A1778" s="22" t="n">
        <x:v>34021</x:v>
      </x:c>
      <x:c r="B1778" s="28" t="n">
        <x:v>168.75</x:v>
      </x:c>
      <x:c r="C1778" s="28"/>
      <x:c r="D1778" s="31" t="str">
        <x:f>IF(OR(ISBLANK(B1778),ISBLANK(C1778),B1778=0),"",(C1778-B1778)/B1778)</x:f>
      </x:c>
      <x:c r="E1778" s="22" t="str">
        <x:f>IF(ISBLANK(C1778),"AmountIncludingTax缺失",IF(ABS(B1778-C1778)&lt;0.005,"一致","不一致"))</x:f>
        <x:v>AmountIncludingTax缺失</x:v>
      </x:c>
      <x:c r="F1778" s="19" t="str">
        <x:v>approved</x:v>
      </x:c>
      <x:c r="G1778" s="19" t="str">
        <x:v>Repairer Invoiced Processed</x:v>
      </x:c>
      <x:c r="H1778" s="19" t="str">
        <x:v>In Field</x:v>
      </x:c>
      <x:c r="I1778" s="37" t="n">
        <x:v>46175</x:v>
      </x:c>
      <x:c r="J1778" s="37" t="n">
        <x:v>46175</x:v>
      </x:c>
      <x:c r="K1778" s="19" t="str">
        <x:v>Newcastle RV Super Centre - Beresfield</x:v>
      </x:c>
      <x:c r="L1778" s="19" t="str">
        <x:v>Z006</x:v>
      </x:c>
      <x:c r="M1778" s="19" t="str">
        <x:v>In Field Warranty Claims</x:v>
      </x:c>
      <x:c r="N1778" s="37" t="n">
        <x:v>46134</x:v>
      </x:c>
      <x:c r="O1778" s="37"/>
      <x:c r="P1778" s="34" t="n">
        <x:v>0</x:v>
      </x:c>
      <x:c r="Q1778" s="37" t="n">
        <x:v>46175.23601851852</x:v>
      </x:c>
    </x:row>
    <x:row r="1779">
      <x:c r="A1779" s="22" t="n">
        <x:v>34020</x:v>
      </x:c>
      <x:c r="B1779" s="28" t="n">
        <x:v>623.18</x:v>
      </x:c>
      <x:c r="C1779" s="28"/>
      <x:c r="D1779" s="31" t="str">
        <x:f>IF(OR(ISBLANK(B1779),ISBLANK(C1779),B1779=0),"",(C1779-B1779)/B1779)</x:f>
      </x:c>
      <x:c r="E1779" s="22" t="str">
        <x:f>IF(ISBLANK(C1779),"AmountIncludingTax缺失",IF(ABS(B1779-C1779)&lt;0.005,"一致","不一致"))</x:f>
        <x:v>AmountIncludingTax缺失</x:v>
      </x:c>
      <x:c r="F1779" s="19" t="str">
        <x:v>approved</x:v>
      </x:c>
      <x:c r="G1779" s="19" t="str">
        <x:v>Partially Picked</x:v>
      </x:c>
      <x:c r="H1779" s="19" t="str">
        <x:v>In Field</x:v>
      </x:c>
      <x:c r="I1779" s="37" t="n">
        <x:v>46167</x:v>
      </x:c>
      <x:c r="J1779" s="37" t="n">
        <x:v>46167</x:v>
      </x:c>
      <x:c r="K1779" s="19" t="str">
        <x:v>The Caravan Hub - Townsville</x:v>
      </x:c>
      <x:c r="L1779" s="19" t="str">
        <x:v>Z006</x:v>
      </x:c>
      <x:c r="M1779" s="19" t="str">
        <x:v>In Field Warranty Claims</x:v>
      </x:c>
      <x:c r="N1779" s="37" t="n">
        <x:v>46135</x:v>
      </x:c>
      <x:c r="O1779" s="37"/>
      <x:c r="P1779" s="34" t="n">
        <x:v>0</x:v>
      </x:c>
      <x:c r="Q1779" s="37" t="n">
        <x:v>46167.04284722222</x:v>
      </x:c>
    </x:row>
    <x:row r="1780">
      <x:c r="A1780" s="22" t="n">
        <x:v>34019</x:v>
      </x:c>
      <x:c r="B1780" s="28" t="n">
        <x:v>782.5</x:v>
      </x:c>
      <x:c r="C1780" s="28"/>
      <x:c r="D1780" s="31" t="str">
        <x:f>IF(OR(ISBLANK(B1780),ISBLANK(C1780),B1780=0),"",(C1780-B1780)/B1780)</x:f>
      </x:c>
      <x:c r="E1780" s="22" t="str">
        <x:f>IF(ISBLANK(C1780),"AmountIncludingTax缺失",IF(ABS(B1780-C1780)&lt;0.005,"一致","不一致"))</x:f>
        <x:v>AmountIncludingTax缺失</x:v>
      </x:c>
      <x:c r="F1780" s="19" t="str">
        <x:v>approved</x:v>
      </x:c>
      <x:c r="G1780" s="19" t="str">
        <x:v>Repair in Progress</x:v>
      </x:c>
      <x:c r="H1780" s="19" t="str">
        <x:v>In Field</x:v>
      </x:c>
      <x:c r="I1780" s="37" t="n">
        <x:v>46147</x:v>
      </x:c>
      <x:c r="J1780" s="37" t="n">
        <x:v>46147</x:v>
      </x:c>
      <x:c r="K1780" s="19" t="str">
        <x:v>Regent RV - Perth</x:v>
      </x:c>
      <x:c r="L1780" s="19" t="str">
        <x:v>Z006</x:v>
      </x:c>
      <x:c r="M1780" s="19" t="str">
        <x:v>In Field Warranty Claims</x:v>
      </x:c>
      <x:c r="N1780" s="37" t="n">
        <x:v>46135</x:v>
      </x:c>
      <x:c r="O1780" s="37"/>
      <x:c r="P1780" s="34" t="n">
        <x:v>0</x:v>
      </x:c>
      <x:c r="Q1780" s="37" t="n">
        <x:v>46147.220659722225</x:v>
      </x:c>
    </x:row>
    <x:row r="1781">
      <x:c r="A1781" s="22" t="n">
        <x:v>34018</x:v>
      </x:c>
      <x:c r="B1781" s="28" t="n">
        <x:v>304</x:v>
      </x:c>
      <x:c r="C1781" s="28"/>
      <x:c r="D1781" s="31" t="str">
        <x:f>IF(OR(ISBLANK(B1781),ISBLANK(C1781),B1781=0),"",(C1781-B1781)/B1781)</x:f>
      </x:c>
      <x:c r="E1781" s="22" t="str">
        <x:f>IF(ISBLANK(C1781),"AmountIncludingTax缺失",IF(ABS(B1781-C1781)&lt;0.005,"一致","不一致"))</x:f>
        <x:v>AmountIncludingTax缺失</x:v>
      </x:c>
      <x:c r="F1781" s="19" t="str">
        <x:v>approved</x:v>
      </x:c>
      <x:c r="G1781" s="19" t="str">
        <x:v>Repair in Progress</x:v>
      </x:c>
      <x:c r="H1781" s="19" t="str">
        <x:v>In Field</x:v>
      </x:c>
      <x:c r="I1781" s="37" t="n">
        <x:v>46164</x:v>
      </x:c>
      <x:c r="J1781" s="37" t="n">
        <x:v>46164</x:v>
      </x:c>
      <x:c r="K1781" s="19" t="str">
        <x:v>Auswide Caravans - South Nowra</x:v>
      </x:c>
      <x:c r="L1781" s="19" t="str">
        <x:v>Z006</x:v>
      </x:c>
      <x:c r="M1781" s="19" t="str">
        <x:v>In Field Warranty Claims</x:v>
      </x:c>
      <x:c r="N1781" s="37" t="n">
        <x:v>46135</x:v>
      </x:c>
      <x:c r="O1781" s="37"/>
      <x:c r="P1781" s="34" t="n">
        <x:v>0</x:v>
      </x:c>
      <x:c r="Q1781" s="37" t="n">
        <x:v>46163.97782407407</x:v>
      </x:c>
    </x:row>
    <x:row r="1782">
      <x:c r="A1782" s="22" t="n">
        <x:v>34017</x:v>
      </x:c>
      <x:c r="B1782" s="28" t="n">
        <x:v>1100</x:v>
      </x:c>
      <x:c r="C1782" s="28"/>
      <x:c r="D1782" s="31" t="str">
        <x:f>IF(OR(ISBLANK(B1782),ISBLANK(C1782),B1782=0),"",(C1782-B1782)/B1782)</x:f>
      </x:c>
      <x:c r="E1782" s="22" t="str">
        <x:f>IF(ISBLANK(C1782),"AmountIncludingTax缺失",IF(ABS(B1782-C1782)&lt;0.005,"一致","不一致"))</x:f>
        <x:v>AmountIncludingTax缺失</x:v>
      </x:c>
      <x:c r="F1782" s="19" t="str">
        <x:v>approved</x:v>
      </x:c>
      <x:c r="G1782" s="19" t="str">
        <x:v>Repair in Progress</x:v>
      </x:c>
      <x:c r="H1782" s="19" t="str">
        <x:v>In Field</x:v>
      </x:c>
      <x:c r="I1782" s="37" t="n">
        <x:v>46163</x:v>
      </x:c>
      <x:c r="J1782" s="37" t="n">
        <x:v>46163</x:v>
      </x:c>
      <x:c r="K1782" s="19" t="str">
        <x:v>Regent RV - Perth</x:v>
      </x:c>
      <x:c r="L1782" s="19" t="str">
        <x:v>Z006</x:v>
      </x:c>
      <x:c r="M1782" s="19" t="str">
        <x:v>In Field Warranty Claims</x:v>
      </x:c>
      <x:c r="N1782" s="37" t="n">
        <x:v>46135</x:v>
      </x:c>
      <x:c r="O1782" s="37"/>
      <x:c r="P1782" s="34" t="n">
        <x:v>0</x:v>
      </x:c>
      <x:c r="Q1782" s="37" t="n">
        <x:v>46163.14108796296</x:v>
      </x:c>
    </x:row>
    <x:row r="1783">
      <x:c r="A1783" s="22" t="n">
        <x:v>34016</x:v>
      </x:c>
      <x:c r="B1783" s="28" t="n">
        <x:v>405</x:v>
      </x:c>
      <x:c r="C1783" s="28" t="n">
        <x:v>445.5</x:v>
      </x:c>
      <x:c r="D1783" s="31" t="n">
        <x:f>IF(OR(ISBLANK(B1783),ISBLANK(C1783),B1783=0),"",(C1783-B1783)/B1783)</x:f>
        <x:v>0.1</x:v>
      </x:c>
      <x:c r="E1783" s="22" t="str">
        <x:f>IF(ISBLANK(C1783),"AmountIncludingTax缺失",IF(ABS(B1783-C1783)&lt;0.005,"一致","不一致"))</x:f>
        <x:v>不一致</x:v>
      </x:c>
      <x:c r="F1783" s="19" t="str">
        <x:v>approved</x:v>
      </x:c>
      <x:c r="G1783" s="19" t="str">
        <x:v>Repairer Invoiced Processed</x:v>
      </x:c>
      <x:c r="H1783" s="19" t="str">
        <x:v>In Field</x:v>
      </x:c>
      <x:c r="I1783" s="37" t="n">
        <x:v>46182</x:v>
      </x:c>
      <x:c r="J1783" s="37" t="n">
        <x:v>46147</x:v>
      </x:c>
      <x:c r="K1783" s="19" t="str">
        <x:v>Snowy River Wangaratta</x:v>
      </x:c>
      <x:c r="L1783" s="19" t="str">
        <x:v>Z006</x:v>
      </x:c>
      <x:c r="M1783" s="19" t="str">
        <x:v>In Field Warranty Claims</x:v>
      </x:c>
      <x:c r="N1783" s="37" t="n">
        <x:v>46134</x:v>
      </x:c>
      <x:c r="O1783" s="37"/>
      <x:c r="P1783" s="34" t="n">
        <x:v>445.5</x:v>
      </x:c>
      <x:c r="Q1783" s="37" t="n">
        <x:v>46182.26975694444</x:v>
      </x:c>
    </x:row>
    <x:row r="1784">
      <x:c r="A1784" s="22" t="n">
        <x:v>34015</x:v>
      </x:c>
      <x:c r="B1784" s="28" t="n">
        <x:v>1336.25</x:v>
      </x:c>
      <x:c r="C1784" s="28"/>
      <x:c r="D1784" s="31" t="str">
        <x:f>IF(OR(ISBLANK(B1784),ISBLANK(C1784),B1784=0),"",(C1784-B1784)/B1784)</x:f>
      </x:c>
      <x:c r="E1784" s="22" t="str">
        <x:f>IF(ISBLANK(C1784),"AmountIncludingTax缺失",IF(ABS(B1784-C1784)&lt;0.005,"一致","不一致"))</x:f>
        <x:v>AmountIncludingTax缺失</x:v>
      </x:c>
      <x:c r="F1784" s="19" t="str">
        <x:v>approved</x:v>
      </x:c>
      <x:c r="G1784" s="19" t="str">
        <x:v>Repair in Progress</x:v>
      </x:c>
      <x:c r="H1784" s="19" t="str">
        <x:v>Pre Delivery</x:v>
      </x:c>
      <x:c r="I1784" s="37" t="n">
        <x:v>46135</x:v>
      </x:c>
      <x:c r="J1784" s="37" t="n">
        <x:v>46135</x:v>
      </x:c>
      <x:c r="K1784" s="19" t="str">
        <x:v>Lesiure Lion-New Castle</x:v>
      </x:c>
      <x:c r="L1784" s="19" t="str">
        <x:v>Z005</x:v>
      </x:c>
      <x:c r="M1784" s="19" t="str">
        <x:v>Pre Delivery Warranty Claims</x:v>
      </x:c>
      <x:c r="N1784" s="37" t="n">
        <x:v>46134</x:v>
      </x:c>
      <x:c r="O1784" s="37"/>
      <x:c r="P1784" s="34" t="n">
        <x:v>0</x:v>
      </x:c>
      <x:c r="Q1784" s="37" t="n">
        <x:v>46135.23506944445</x:v>
      </x:c>
    </x:row>
    <x:row r="1785">
      <x:c r="A1785" s="22" t="n">
        <x:v>34014</x:v>
      </x:c>
      <x:c r="B1785" s="28" t="n">
        <x:v>540</x:v>
      </x:c>
      <x:c r="C1785" s="28"/>
      <x:c r="D1785" s="31" t="str">
        <x:f>IF(OR(ISBLANK(B1785),ISBLANK(C1785),B1785=0),"",(C1785-B1785)/B1785)</x:f>
      </x:c>
      <x:c r="E1785" s="22" t="str">
        <x:f>IF(ISBLANK(C1785),"AmountIncludingTax缺失",IF(ABS(B1785-C1785)&lt;0.005,"一致","不一致"))</x:f>
        <x:v>AmountIncludingTax缺失</x:v>
      </x:c>
      <x:c r="F1785" s="19" t="str">
        <x:v>approved</x:v>
      </x:c>
      <x:c r="G1785" s="19" t="str">
        <x:v>Repair in Progress</x:v>
      </x:c>
      <x:c r="H1785" s="19" t="str">
        <x:v>In Field</x:v>
      </x:c>
      <x:c r="I1785" s="37" t="n">
        <x:v>46147</x:v>
      </x:c>
      <x:c r="J1785" s="37" t="n">
        <x:v>46147</x:v>
      </x:c>
      <x:c r="K1785" s="19" t="str">
        <x:v>Regent RV - Frankston</x:v>
      </x:c>
      <x:c r="L1785" s="19" t="str">
        <x:v>Z006</x:v>
      </x:c>
      <x:c r="M1785" s="19" t="str">
        <x:v>In Field Warranty Claims</x:v>
      </x:c>
      <x:c r="N1785" s="37" t="n">
        <x:v>46134</x:v>
      </x:c>
      <x:c r="O1785" s="37"/>
      <x:c r="P1785" s="34" t="n">
        <x:v>0</x:v>
      </x:c>
      <x:c r="Q1785" s="37" t="n">
        <x:v>46146.91758101852</x:v>
      </x:c>
    </x:row>
    <x:row r="1786">
      <x:c r="A1786" s="22" t="n">
        <x:v>34013</x:v>
      </x:c>
      <x:c r="B1786" s="28" t="n">
        <x:v>33.75</x:v>
      </x:c>
      <x:c r="C1786" s="28"/>
      <x:c r="D1786" s="31" t="str">
        <x:f>IF(OR(ISBLANK(B1786),ISBLANK(C1786),B1786=0),"",(C1786-B1786)/B1786)</x:f>
      </x:c>
      <x:c r="E1786" s="22" t="str">
        <x:f>IF(ISBLANK(C1786),"AmountIncludingTax缺失",IF(ABS(B1786-C1786)&lt;0.005,"一致","不一致"))</x:f>
        <x:v>AmountIncludingTax缺失</x:v>
      </x:c>
      <x:c r="F1786" s="19" t="str">
        <x:v>approved</x:v>
      </x:c>
      <x:c r="G1786" s="19" t="str">
        <x:v>Repairer Invoiced Processed</x:v>
      </x:c>
      <x:c r="H1786" s="19" t="str">
        <x:v>Pre Delivery</x:v>
      </x:c>
      <x:c r="I1786" s="37" t="n">
        <x:v>46148</x:v>
      </x:c>
      <x:c r="J1786" s="37" t="n">
        <x:v>46148</x:v>
      </x:c>
      <x:c r="K1786" s="19" t="str">
        <x:v>Lesiure Lion-New Castle</x:v>
      </x:c>
      <x:c r="L1786" s="19" t="str">
        <x:v>Z005</x:v>
      </x:c>
      <x:c r="M1786" s="19" t="str">
        <x:v>Pre Delivery Warranty Claims</x:v>
      </x:c>
      <x:c r="N1786" s="37" t="n">
        <x:v>46134</x:v>
      </x:c>
      <x:c r="O1786" s="37"/>
      <x:c r="P1786" s="34" t="n">
        <x:v>0</x:v>
      </x:c>
      <x:c r="Q1786" s="37" t="n">
        <x:v>46148.153275462966</x:v>
      </x:c>
    </x:row>
    <x:row r="1787">
      <x:c r="A1787" s="22" t="n">
        <x:v>34012</x:v>
      </x:c>
      <x:c r="B1787" s="28" t="n">
        <x:v>962.95</x:v>
      </x:c>
      <x:c r="C1787" s="28" t="n">
        <x:v>871.85</x:v>
      </x:c>
      <x:c r="D1787" s="31" t="n">
        <x:f>IF(OR(ISBLANK(B1787),ISBLANK(C1787),B1787=0),"",(C1787-B1787)/B1787)</x:f>
        <x:v>-0.09460511968430346</x:v>
      </x:c>
      <x:c r="E1787" s="22" t="str">
        <x:f>IF(ISBLANK(C1787),"AmountIncludingTax缺失",IF(ABS(B1787-C1787)&lt;0.005,"一致","不一致"))</x:f>
        <x:v>不一致</x:v>
      </x:c>
      <x:c r="F1787" s="19" t="str">
        <x:v>approved</x:v>
      </x:c>
      <x:c r="G1787" s="19" t="str">
        <x:v>Repair in Progress</x:v>
      </x:c>
      <x:c r="H1787" s="19" t="str">
        <x:v>In Field</x:v>
      </x:c>
      <x:c r="I1787" s="37" t="n">
        <x:v>46161</x:v>
      </x:c>
      <x:c r="J1787" s="37" t="n">
        <x:v>46161</x:v>
      </x:c>
      <x:c r="K1787" s="19" t="str">
        <x:v>Vanari Caravans - Marden Point</x:v>
      </x:c>
      <x:c r="L1787" s="19" t="str">
        <x:v>Z006</x:v>
      </x:c>
      <x:c r="M1787" s="19" t="str">
        <x:v>In Field Warranty Claims</x:v>
      </x:c>
      <x:c r="N1787" s="37" t="n">
        <x:v>46134</x:v>
      </x:c>
      <x:c r="O1787" s="37"/>
      <x:c r="P1787" s="34" t="n">
        <x:v>871.85</x:v>
      </x:c>
      <x:c r="Q1787" s="37" t="n">
        <x:v>46161.07824074074</x:v>
      </x:c>
    </x:row>
    <x:row r="1788">
      <x:c r="A1788" s="22" t="n">
        <x:v>34010</x:v>
      </x:c>
      <x:c r="B1788" s="28" t="n">
        <x:v>323.75</x:v>
      </x:c>
      <x:c r="C1788" s="28"/>
      <x:c r="D1788" s="31" t="str">
        <x:f>IF(OR(ISBLANK(B1788),ISBLANK(C1788),B1788=0),"",(C1788-B1788)/B1788)</x:f>
      </x:c>
      <x:c r="E1788" s="22" t="str">
        <x:f>IF(ISBLANK(C1788),"AmountIncludingTax缺失",IF(ABS(B1788-C1788)&lt;0.005,"一致","不一致"))</x:f>
        <x:v>AmountIncludingTax缺失</x:v>
      </x:c>
      <x:c r="F1788" s="19" t="str">
        <x:v>approved</x:v>
      </x:c>
      <x:c r="G1788" s="19" t="str">
        <x:v>Repair in Progress</x:v>
      </x:c>
      <x:c r="H1788" s="19" t="str">
        <x:v>In Field</x:v>
      </x:c>
      <x:c r="I1788" s="37" t="n">
        <x:v>46148</x:v>
      </x:c>
      <x:c r="J1788" s="37" t="n">
        <x:v>46148</x:v>
      </x:c>
      <x:c r="K1788" s="19" t="str">
        <x:v>Dario Caravans - Pooraka</x:v>
      </x:c>
      <x:c r="L1788" s="19" t="str">
        <x:v>Z006</x:v>
      </x:c>
      <x:c r="M1788" s="19" t="str">
        <x:v>In Field Warranty Claims</x:v>
      </x:c>
      <x:c r="N1788" s="37" t="n">
        <x:v>46134</x:v>
      </x:c>
      <x:c r="O1788" s="37"/>
      <x:c r="P1788" s="34" t="n">
        <x:v>0</x:v>
      </x:c>
      <x:c r="Q1788" s="37" t="n">
        <x:v>46148.06097222222</x:v>
      </x:c>
    </x:row>
    <x:row r="1789">
      <x:c r="A1789" s="22" t="n">
        <x:v>34008</x:v>
      </x:c>
      <x:c r="B1789" s="28" t="n">
        <x:v>938.95</x:v>
      </x:c>
      <x:c r="C1789" s="28" t="n">
        <x:v>850.13</x:v>
      </x:c>
      <x:c r="D1789" s="31" t="n">
        <x:f>IF(OR(ISBLANK(B1789),ISBLANK(C1789),B1789=0),"",(C1789-B1789)/B1789)</x:f>
        <x:v>-0.0945950263592311</x:v>
      </x:c>
      <x:c r="E1789" s="22" t="str">
        <x:f>IF(ISBLANK(C1789),"AmountIncludingTax缺失",IF(ABS(B1789-C1789)&lt;0.005,"一致","不一致"))</x:f>
        <x:v>不一致</x:v>
      </x:c>
      <x:c r="F1789" s="19" t="str">
        <x:v>approved</x:v>
      </x:c>
      <x:c r="G1789" s="19" t="str">
        <x:v>Repairer Invoiced Processed</x:v>
      </x:c>
      <x:c r="H1789" s="19" t="str">
        <x:v>In Field</x:v>
      </x:c>
      <x:c r="I1789" s="37" t="n">
        <x:v>46161</x:v>
      </x:c>
      <x:c r="J1789" s="37" t="n">
        <x:v>46161</x:v>
      </x:c>
      <x:c r="K1789" s="19" t="str">
        <x:v>Vanari Caravans - Marden Point</x:v>
      </x:c>
      <x:c r="L1789" s="19" t="str">
        <x:v>Z006</x:v>
      </x:c>
      <x:c r="M1789" s="19" t="str">
        <x:v>In Field Warranty Claims</x:v>
      </x:c>
      <x:c r="N1789" s="37" t="n">
        <x:v>46134</x:v>
      </x:c>
      <x:c r="O1789" s="37"/>
      <x:c r="P1789" s="34" t="n">
        <x:v>850.13</x:v>
      </x:c>
      <x:c r="Q1789" s="37" t="n">
        <x:v>46161.07261574074</x:v>
      </x:c>
    </x:row>
    <x:row r="1790">
      <x:c r="A1790" s="22" t="n">
        <x:v>34007</x:v>
      </x:c>
      <x:c r="B1790" s="28" t="n">
        <x:v>135</x:v>
      </x:c>
      <x:c r="C1790" s="28"/>
      <x:c r="D1790" s="31" t="str">
        <x:f>IF(OR(ISBLANK(B1790),ISBLANK(C1790),B1790=0),"",(C1790-B1790)/B1790)</x:f>
      </x:c>
      <x:c r="E1790" s="22" t="str">
        <x:f>IF(ISBLANK(C1790),"AmountIncludingTax缺失",IF(ABS(B1790-C1790)&lt;0.005,"一致","不一致"))</x:f>
        <x:v>AmountIncludingTax缺失</x:v>
      </x:c>
      <x:c r="F1790" s="19" t="str">
        <x:v>approved</x:v>
      </x:c>
      <x:c r="G1790" s="19" t="str">
        <x:v>Repairer Invoiced Processed</x:v>
      </x:c>
      <x:c r="H1790" s="19" t="str">
        <x:v>In Field</x:v>
      </x:c>
      <x:c r="I1790" s="37" t="n">
        <x:v>46168</x:v>
      </x:c>
      <x:c r="J1790" s="37" t="n">
        <x:v>46168</x:v>
      </x:c>
      <x:c r="K1790" s="19" t="str">
        <x:v>Green RV - Forest Glen</x:v>
      </x:c>
      <x:c r="L1790" s="19" t="str">
        <x:v>Z006</x:v>
      </x:c>
      <x:c r="M1790" s="19" t="str">
        <x:v>In Field Warranty Claims</x:v>
      </x:c>
      <x:c r="N1790" s="37" t="n">
        <x:v>46134</x:v>
      </x:c>
      <x:c r="O1790" s="37"/>
      <x:c r="P1790" s="34" t="n">
        <x:v>0</x:v>
      </x:c>
      <x:c r="Q1790" s="37" t="n">
        <x:v>46167.94211805556</x:v>
      </x:c>
    </x:row>
    <x:row r="1791">
      <x:c r="A1791" s="22" t="n">
        <x:v>34004</x:v>
      </x:c>
      <x:c r="B1791" s="28" t="n">
        <x:v>472.5</x:v>
      </x:c>
      <x:c r="C1791" s="28" t="n">
        <x:v>519.75</x:v>
      </x:c>
      <x:c r="D1791" s="31" t="n">
        <x:f>IF(OR(ISBLANK(B1791),ISBLANK(C1791),B1791=0),"",(C1791-B1791)/B1791)</x:f>
        <x:v>0.1</x:v>
      </x:c>
      <x:c r="E1791" s="22" t="str">
        <x:f>IF(ISBLANK(C1791),"AmountIncludingTax缺失",IF(ABS(B1791-C1791)&lt;0.005,"一致","不一致"))</x:f>
        <x:v>不一致</x:v>
      </x:c>
      <x:c r="F1791" s="19" t="str">
        <x:v>approved</x:v>
      </x:c>
      <x:c r="G1791" s="19" t="str">
        <x:v>Repair in Progress</x:v>
      </x:c>
      <x:c r="H1791" s="19" t="str">
        <x:v>In Field</x:v>
      </x:c>
      <x:c r="I1791" s="37" t="n">
        <x:v>46161</x:v>
      </x:c>
      <x:c r="J1791" s="37" t="n">
        <x:v>46161</x:v>
      </x:c>
      <x:c r="K1791" s="19" t="str">
        <x:v>Auswide Caravans - South Nowra</x:v>
      </x:c>
      <x:c r="L1791" s="19" t="str">
        <x:v>Z006</x:v>
      </x:c>
      <x:c r="M1791" s="19" t="str">
        <x:v>In Field Warranty Claims</x:v>
      </x:c>
      <x:c r="N1791" s="37" t="n">
        <x:v>46134</x:v>
      </x:c>
      <x:c r="O1791" s="37"/>
      <x:c r="P1791" s="34" t="n">
        <x:v>519.75</x:v>
      </x:c>
      <x:c r="Q1791" s="37" t="n">
        <x:v>46160.963171296295</x:v>
      </x:c>
    </x:row>
    <x:row r="1792">
      <x:c r="A1792" s="22" t="n">
        <x:v>34003</x:v>
      </x:c>
      <x:c r="B1792" s="28" t="n">
        <x:v>270</x:v>
      </x:c>
      <x:c r="C1792" s="28"/>
      <x:c r="D1792" s="31" t="str">
        <x:f>IF(OR(ISBLANK(B1792),ISBLANK(C1792),B1792=0),"",(C1792-B1792)/B1792)</x:f>
      </x:c>
      <x:c r="E1792" s="22" t="str">
        <x:f>IF(ISBLANK(C1792),"AmountIncludingTax缺失",IF(ABS(B1792-C1792)&lt;0.005,"一致","不一致"))</x:f>
        <x:v>AmountIncludingTax缺失</x:v>
      </x:c>
      <x:c r="F1792" s="19" t="str">
        <x:v>approved</x:v>
      </x:c>
      <x:c r="G1792" s="19" t="str">
        <x:v>Sales Order Approved</x:v>
      </x:c>
      <x:c r="H1792" s="19" t="str">
        <x:v>In Field</x:v>
      </x:c>
      <x:c r="I1792" s="37" t="n">
        <x:v>46211</x:v>
      </x:c>
      <x:c r="J1792" s="37" t="n">
        <x:v>46211</x:v>
      </x:c>
      <x:c r="K1792" s="19" t="str">
        <x:v>Newcastle RV Super Centre - Beresfield</x:v>
      </x:c>
      <x:c r="L1792" s="19" t="str">
        <x:v>Z006</x:v>
      </x:c>
      <x:c r="M1792" s="19" t="str">
        <x:v>In Field Warranty Claims</x:v>
      </x:c>
      <x:c r="N1792" s="37" t="n">
        <x:v>46134</x:v>
      </x:c>
      <x:c r="O1792" s="37"/>
      <x:c r="P1792" s="34" t="n">
        <x:v>0</x:v>
      </x:c>
      <x:c r="Q1792" s="37" t="n">
        <x:v>46211.25181712963</x:v>
      </x:c>
    </x:row>
    <x:row r="1793">
      <x:c r="A1793" s="22" t="n">
        <x:v>34002</x:v>
      </x:c>
      <x:c r="B1793" s="28" t="n">
        <x:v>2048.25</x:v>
      </x:c>
      <x:c r="C1793" s="28"/>
      <x:c r="D1793" s="31" t="str">
        <x:f>IF(OR(ISBLANK(B1793),ISBLANK(C1793),B1793=0),"",(C1793-B1793)/B1793)</x:f>
      </x:c>
      <x:c r="E1793" s="22" t="str">
        <x:f>IF(ISBLANK(C1793),"AmountIncludingTax缺失",IF(ABS(B1793-C1793)&lt;0.005,"一致","不一致"))</x:f>
        <x:v>AmountIncludingTax缺失</x:v>
      </x:c>
      <x:c r="F1793" s="19" t="str">
        <x:v>approved</x:v>
      </x:c>
      <x:c r="G1793" s="19" t="str">
        <x:v>Repair in Progress</x:v>
      </x:c>
      <x:c r="H1793" s="19" t="str">
        <x:v>In Field</x:v>
      </x:c>
      <x:c r="I1793" s="37" t="n">
        <x:v>46139</x:v>
      </x:c>
      <x:c r="J1793" s="37" t="n">
        <x:v>46139</x:v>
      </x:c>
      <x:c r="K1793" s="19" t="str">
        <x:v>Regent RV - Perth</x:v>
      </x:c>
      <x:c r="L1793" s="19" t="str">
        <x:v>Z006</x:v>
      </x:c>
      <x:c r="M1793" s="19" t="str">
        <x:v>In Field Warranty Claims</x:v>
      </x:c>
      <x:c r="N1793" s="37" t="n">
        <x:v>46134</x:v>
      </x:c>
      <x:c r="O1793" s="37"/>
      <x:c r="P1793" s="34" t="n">
        <x:v>2253.08</x:v>
      </x:c>
      <x:c r="Q1793" s="37" t="n">
        <x:v>46139.51283564815</x:v>
      </x:c>
    </x:row>
    <x:row r="1794">
      <x:c r="A1794" s="22" t="n">
        <x:v>34000</x:v>
      </x:c>
      <x:c r="B1794" s="28" t="n">
        <x:v>67.5</x:v>
      </x:c>
      <x:c r="C1794" s="28"/>
      <x:c r="D1794" s="31" t="str">
        <x:f>IF(OR(ISBLANK(B1794),ISBLANK(C1794),B1794=0),"",(C1794-B1794)/B1794)</x:f>
      </x:c>
      <x:c r="E1794" s="22" t="str">
        <x:f>IF(ISBLANK(C1794),"AmountIncludingTax缺失",IF(ABS(B1794-C1794)&lt;0.005,"一致","不一致"))</x:f>
        <x:v>AmountIncludingTax缺失</x:v>
      </x:c>
      <x:c r="F1794" s="19" t="str">
        <x:v>approved</x:v>
      </x:c>
      <x:c r="G1794" s="19" t="str">
        <x:v>Sales Order Approved</x:v>
      </x:c>
      <x:c r="H1794" s="19" t="str">
        <x:v>Pre Delivery</x:v>
      </x:c>
      <x:c r="I1794" s="37" t="n">
        <x:v>46142</x:v>
      </x:c>
      <x:c r="J1794" s="37" t="n">
        <x:v>46142</x:v>
      </x:c>
      <x:c r="K1794" s="19" t="str">
        <x:v>Green RV - Forest Glen</x:v>
      </x:c>
      <x:c r="L1794" s="19" t="str">
        <x:v>Z005</x:v>
      </x:c>
      <x:c r="M1794" s="19" t="str">
        <x:v>Pre Delivery Warranty Claims</x:v>
      </x:c>
      <x:c r="N1794" s="37" t="n">
        <x:v>46134</x:v>
      </x:c>
      <x:c r="O1794" s="37"/>
      <x:c r="P1794" s="34" t="n">
        <x:v>0</x:v>
      </x:c>
      <x:c r="Q1794" s="37" t="n">
        <x:v>46142.16554398148</x:v>
      </x:c>
    </x:row>
    <x:row r="1795">
      <x:c r="A1795" s="22" t="n">
        <x:v>33999</x:v>
      </x:c>
      <x:c r="B1795" s="28" t="n">
        <x:v>257.5</x:v>
      </x:c>
      <x:c r="C1795" s="28"/>
      <x:c r="D1795" s="31" t="str">
        <x:f>IF(OR(ISBLANK(B1795),ISBLANK(C1795),B1795=0),"",(C1795-B1795)/B1795)</x:f>
      </x:c>
      <x:c r="E1795" s="22" t="str">
        <x:f>IF(ISBLANK(C1795),"AmountIncludingTax缺失",IF(ABS(B1795-C1795)&lt;0.005,"一致","不一致"))</x:f>
        <x:v>AmountIncludingTax缺失</x:v>
      </x:c>
      <x:c r="F1795" s="19" t="str">
        <x:v>approved</x:v>
      </x:c>
      <x:c r="G1795" s="19" t="str">
        <x:v>Repairer Invoiced Processed</x:v>
      </x:c>
      <x:c r="H1795" s="19" t="str">
        <x:v>Pre Delivery</x:v>
      </x:c>
      <x:c r="I1795" s="37" t="n">
        <x:v>46154</x:v>
      </x:c>
      <x:c r="J1795" s="37" t="n">
        <x:v>46154</x:v>
      </x:c>
      <x:c r="K1795" s="19" t="str">
        <x:v>Regent RV - Townsville</x:v>
      </x:c>
      <x:c r="L1795" s="19" t="str">
        <x:v>Z005</x:v>
      </x:c>
      <x:c r="M1795" s="19" t="str">
        <x:v>Pre Delivery Warranty Claims</x:v>
      </x:c>
      <x:c r="N1795" s="37" t="n">
        <x:v>46134</x:v>
      </x:c>
      <x:c r="O1795" s="37"/>
      <x:c r="P1795" s="34" t="n">
        <x:v>0</x:v>
      </x:c>
      <x:c r="Q1795" s="37" t="n">
        <x:v>46154.02762731481</x:v>
      </x:c>
    </x:row>
    <x:row r="1796">
      <x:c r="A1796" s="22" t="n">
        <x:v>33998</x:v>
      </x:c>
      <x:c r="B1796" s="28" t="n">
        <x:v>33.75</x:v>
      </x:c>
      <x:c r="C1796" s="28"/>
      <x:c r="D1796" s="31" t="str">
        <x:f>IF(OR(ISBLANK(B1796),ISBLANK(C1796),B1796=0),"",(C1796-B1796)/B1796)</x:f>
      </x:c>
      <x:c r="E1796" s="22" t="str">
        <x:f>IF(ISBLANK(C1796),"AmountIncludingTax缺失",IF(ABS(B1796-C1796)&lt;0.005,"一致","不一致"))</x:f>
        <x:v>AmountIncludingTax缺失</x:v>
      </x:c>
      <x:c r="F1796" s="19" t="str">
        <x:v>approved</x:v>
      </x:c>
      <x:c r="G1796" s="19" t="str">
        <x:v>Repair in Progress</x:v>
      </x:c>
      <x:c r="H1796" s="19" t="str">
        <x:v>In Field</x:v>
      </x:c>
      <x:c r="I1796" s="37" t="n">
        <x:v>46135</x:v>
      </x:c>
      <x:c r="J1796" s="37" t="n">
        <x:v>46135</x:v>
      </x:c>
      <x:c r="K1796" s="19" t="str">
        <x:v>Green RV - Forest Glen</x:v>
      </x:c>
      <x:c r="L1796" s="19" t="str">
        <x:v>Z006</x:v>
      </x:c>
      <x:c r="M1796" s="19" t="str">
        <x:v>In Field Warranty Claims</x:v>
      </x:c>
      <x:c r="N1796" s="37" t="n">
        <x:v>46134</x:v>
      </x:c>
      <x:c r="O1796" s="37"/>
      <x:c r="P1796" s="34" t="n">
        <x:v>0</x:v>
      </x:c>
      <x:c r="Q1796" s="37" t="n">
        <x:v>46135.17151620371</x:v>
      </x:c>
    </x:row>
    <x:row r="1797">
      <x:c r="A1797" s="22" t="n">
        <x:v>33997</x:v>
      </x:c>
      <x:c r="B1797" s="28" t="n">
        <x:v>337.5</x:v>
      </x:c>
      <x:c r="C1797" s="28"/>
      <x:c r="D1797" s="31" t="str">
        <x:f>IF(OR(ISBLANK(B1797),ISBLANK(C1797),B1797=0),"",(C1797-B1797)/B1797)</x:f>
      </x:c>
      <x:c r="E1797" s="22" t="str">
        <x:f>IF(ISBLANK(C1797),"AmountIncludingTax缺失",IF(ABS(B1797-C1797)&lt;0.005,"一致","不一致"))</x:f>
        <x:v>AmountIncludingTax缺失</x:v>
      </x:c>
      <x:c r="F1797" s="19" t="str">
        <x:v>approved</x:v>
      </x:c>
      <x:c r="G1797" s="19" t="str">
        <x:v>Repair in Progress</x:v>
      </x:c>
      <x:c r="H1797" s="19" t="str">
        <x:v>In Field</x:v>
      </x:c>
      <x:c r="I1797" s="37" t="n">
        <x:v>46147</x:v>
      </x:c>
      <x:c r="J1797" s="37" t="n">
        <x:v>46147</x:v>
      </x:c>
      <x:c r="K1797" s="19" t="str">
        <x:v>Regent RV - Frankston</x:v>
      </x:c>
      <x:c r="L1797" s="19" t="str">
        <x:v>Z006</x:v>
      </x:c>
      <x:c r="M1797" s="19" t="str">
        <x:v>In Field Warranty Claims</x:v>
      </x:c>
      <x:c r="N1797" s="37" t="n">
        <x:v>46134</x:v>
      </x:c>
      <x:c r="O1797" s="37"/>
      <x:c r="P1797" s="34" t="n">
        <x:v>0</x:v>
      </x:c>
      <x:c r="Q1797" s="37" t="n">
        <x:v>46147.04765046296</x:v>
      </x:c>
    </x:row>
    <x:row r="1798">
      <x:c r="A1798" s="22" t="n">
        <x:v>33996</x:v>
      </x:c>
      <x:c r="B1798" s="28" t="n">
        <x:v>712.05</x:v>
      </x:c>
      <x:c r="C1798" s="28"/>
      <x:c r="D1798" s="31" t="str">
        <x:f>IF(OR(ISBLANK(B1798),ISBLANK(C1798),B1798=0),"",(C1798-B1798)/B1798)</x:f>
      </x:c>
      <x:c r="E1798" s="22" t="str">
        <x:f>IF(ISBLANK(C1798),"AmountIncludingTax缺失",IF(ABS(B1798-C1798)&lt;0.005,"一致","不一致"))</x:f>
        <x:v>AmountIncludingTax缺失</x:v>
      </x:c>
      <x:c r="F1798" s="19" t="str">
        <x:v>approved</x:v>
      </x:c>
      <x:c r="G1798" s="19" t="str">
        <x:v>Partially Picked</x:v>
      </x:c>
      <x:c r="H1798" s="19" t="str">
        <x:v>In Field</x:v>
      </x:c>
      <x:c r="I1798" s="37" t="n">
        <x:v>46182</x:v>
      </x:c>
      <x:c r="J1798" s="37" t="n">
        <x:v>46182</x:v>
      </x:c>
      <x:c r="K1798" s="19" t="str">
        <x:v>Lesiure Lion-New Castle</x:v>
      </x:c>
      <x:c r="L1798" s="19" t="str">
        <x:v>Z006</x:v>
      </x:c>
      <x:c r="M1798" s="19" t="str">
        <x:v>In Field Warranty Claims</x:v>
      </x:c>
      <x:c r="N1798" s="37" t="n">
        <x:v>46134</x:v>
      </x:c>
      <x:c r="O1798" s="37"/>
      <x:c r="P1798" s="34" t="n">
        <x:v>0</x:v>
      </x:c>
      <x:c r="Q1798" s="37" t="n">
        <x:v>46182.12568287037</x:v>
      </x:c>
    </x:row>
    <x:row r="1799">
      <x:c r="A1799" s="22" t="n">
        <x:v>33995</x:v>
      </x:c>
      <x:c r="B1799" s="28" t="n">
        <x:v>202.5</x:v>
      </x:c>
      <x:c r="C1799" s="28"/>
      <x:c r="D1799" s="31" t="str">
        <x:f>IF(OR(ISBLANK(B1799),ISBLANK(C1799),B1799=0),"",(C1799-B1799)/B1799)</x:f>
      </x:c>
      <x:c r="E1799" s="22" t="str">
        <x:f>IF(ISBLANK(C1799),"AmountIncludingTax缺失",IF(ABS(B1799-C1799)&lt;0.005,"一致","不一致"))</x:f>
        <x:v>AmountIncludingTax缺失</x:v>
      </x:c>
      <x:c r="F1799" s="19" t="str">
        <x:v>approved</x:v>
      </x:c>
      <x:c r="G1799" s="19" t="str">
        <x:v>Repair in Progress</x:v>
      </x:c>
      <x:c r="H1799" s="19" t="str">
        <x:v>In Field</x:v>
      </x:c>
      <x:c r="I1799" s="37" t="n">
        <x:v>46147</x:v>
      </x:c>
      <x:c r="J1799" s="37" t="n">
        <x:v>46147</x:v>
      </x:c>
      <x:c r="K1799" s="19" t="str">
        <x:v>Regent RV - Frankston</x:v>
      </x:c>
      <x:c r="L1799" s="19" t="str">
        <x:v>Z006</x:v>
      </x:c>
      <x:c r="M1799" s="19" t="str">
        <x:v>In Field Warranty Claims</x:v>
      </x:c>
      <x:c r="N1799" s="37" t="n">
        <x:v>46134</x:v>
      </x:c>
      <x:c r="O1799" s="37"/>
      <x:c r="P1799" s="34" t="n">
        <x:v>0</x:v>
      </x:c>
      <x:c r="Q1799" s="37" t="n">
        <x:v>46146.913668981484</x:v>
      </x:c>
    </x:row>
    <x:row r="1800">
      <x:c r="A1800" s="22" t="n">
        <x:v>33994</x:v>
      </x:c>
      <x:c r="B1800" s="28" t="n">
        <x:v>135</x:v>
      </x:c>
      <x:c r="C1800" s="28" t="n">
        <x:v>148.5</x:v>
      </x:c>
      <x:c r="D1800" s="31" t="n">
        <x:f>IF(OR(ISBLANK(B1800),ISBLANK(C1800),B1800=0),"",(C1800-B1800)/B1800)</x:f>
        <x:v>0.1</x:v>
      </x:c>
      <x:c r="E1800" s="22" t="str">
        <x:f>IF(ISBLANK(C1800),"AmountIncludingTax缺失",IF(ABS(B1800-C1800)&lt;0.005,"一致","不一致"))</x:f>
        <x:v>不一致</x:v>
      </x:c>
      <x:c r="F1800" s="19" t="str">
        <x:v>approved</x:v>
      </x:c>
      <x:c r="G1800" s="19" t="str">
        <x:v>Repairer Invoiced Processed</x:v>
      </x:c>
      <x:c r="H1800" s="19" t="str">
        <x:v>In Field</x:v>
      </x:c>
      <x:c r="I1800" s="37" t="n">
        <x:v>46195</x:v>
      </x:c>
      <x:c r="J1800" s="37" t="n">
        <x:v>46195</x:v>
      </x:c>
      <x:c r="K1800" s="19" t="str">
        <x:v>Newcastle RV Super Centre - Beresfield</x:v>
      </x:c>
      <x:c r="L1800" s="19" t="str">
        <x:v>Z006</x:v>
      </x:c>
      <x:c r="M1800" s="19" t="str">
        <x:v>In Field Warranty Claims</x:v>
      </x:c>
      <x:c r="N1800" s="37" t="n">
        <x:v>46134</x:v>
      </x:c>
      <x:c r="O1800" s="37"/>
      <x:c r="P1800" s="34" t="n">
        <x:v>148.5</x:v>
      </x:c>
      <x:c r="Q1800" s="37" t="n">
        <x:v>46195.21375</x:v>
      </x:c>
    </x:row>
    <x:row r="1801">
      <x:c r="A1801" s="22" t="n">
        <x:v>33992</x:v>
      </x:c>
      <x:c r="B1801" s="28" t="n">
        <x:v>33.75</x:v>
      </x:c>
      <x:c r="C1801" s="28"/>
      <x:c r="D1801" s="31" t="str">
        <x:f>IF(OR(ISBLANK(B1801),ISBLANK(C1801),B1801=0),"",(C1801-B1801)/B1801)</x:f>
      </x:c>
      <x:c r="E1801" s="22" t="str">
        <x:f>IF(ISBLANK(C1801),"AmountIncludingTax缺失",IF(ABS(B1801-C1801)&lt;0.005,"一致","不一致"))</x:f>
        <x:v>AmountIncludingTax缺失</x:v>
      </x:c>
      <x:c r="F1801" s="19" t="str">
        <x:v>approved</x:v>
      </x:c>
      <x:c r="G1801" s="19" t="str">
        <x:v>Repairer Invoiced Processed</x:v>
      </x:c>
      <x:c r="H1801" s="19" t="str">
        <x:v>In Field</x:v>
      </x:c>
      <x:c r="I1801" s="37" t="n">
        <x:v>46163</x:v>
      </x:c>
      <x:c r="J1801" s="37" t="n">
        <x:v>46163</x:v>
      </x:c>
      <x:c r="K1801" s="19" t="str">
        <x:v>Lesiure Lion-New Castle</x:v>
      </x:c>
      <x:c r="L1801" s="19" t="str">
        <x:v>Z006</x:v>
      </x:c>
      <x:c r="M1801" s="19" t="str">
        <x:v>In Field Warranty Claims</x:v>
      </x:c>
      <x:c r="N1801" s="37" t="n">
        <x:v>46134</x:v>
      </x:c>
      <x:c r="O1801" s="37"/>
      <x:c r="P1801" s="34" t="n">
        <x:v>0</x:v>
      </x:c>
      <x:c r="Q1801" s="37" t="n">
        <x:v>46162.92570601852</x:v>
      </x:c>
    </x:row>
    <x:row r="1802">
      <x:c r="A1802" s="22" t="n">
        <x:v>33991</x:v>
      </x:c>
      <x:c r="B1802" s="28" t="n">
        <x:v>67.5</x:v>
      </x:c>
      <x:c r="C1802" s="28"/>
      <x:c r="D1802" s="31" t="str">
        <x:f>IF(OR(ISBLANK(B1802),ISBLANK(C1802),B1802=0),"",(C1802-B1802)/B1802)</x:f>
      </x:c>
      <x:c r="E1802" s="22" t="str">
        <x:f>IF(ISBLANK(C1802),"AmountIncludingTax缺失",IF(ABS(B1802-C1802)&lt;0.005,"一致","不一致"))</x:f>
        <x:v>AmountIncludingTax缺失</x:v>
      </x:c>
      <x:c r="F1802" s="19" t="str">
        <x:v>approved</x:v>
      </x:c>
      <x:c r="G1802" s="19" t="str">
        <x:v>Repairer Invoiced Processed</x:v>
      </x:c>
      <x:c r="H1802" s="19" t="str">
        <x:v>In Field</x:v>
      </x:c>
      <x:c r="I1802" s="37" t="n">
        <x:v>46139</x:v>
      </x:c>
      <x:c r="J1802" s="37" t="n">
        <x:v>46139</x:v>
      </x:c>
      <x:c r="K1802" s="19" t="str">
        <x:v>Green RV - Forest Glen</x:v>
      </x:c>
      <x:c r="L1802" s="19" t="str">
        <x:v>Z006</x:v>
      </x:c>
      <x:c r="M1802" s="19" t="str">
        <x:v>In Field Warranty Claims</x:v>
      </x:c>
      <x:c r="N1802" s="37" t="n">
        <x:v>46134</x:v>
      </x:c>
      <x:c r="O1802" s="37"/>
      <x:c r="P1802" s="34" t="n">
        <x:v>0</x:v>
      </x:c>
      <x:c r="Q1802" s="37" t="n">
        <x:v>46138.88086805555</x:v>
      </x:c>
    </x:row>
    <x:row r="1803">
      <x:c r="A1803" s="22" t="n">
        <x:v>33980</x:v>
      </x:c>
      <x:c r="B1803" s="28" t="n">
        <x:v>1602.5</x:v>
      </x:c>
      <x:c r="C1803" s="28"/>
      <x:c r="D1803" s="31" t="str">
        <x:f>IF(OR(ISBLANK(B1803),ISBLANK(C1803),B1803=0),"",(C1803-B1803)/B1803)</x:f>
      </x:c>
      <x:c r="E1803" s="22" t="str">
        <x:f>IF(ISBLANK(C1803),"AmountIncludingTax缺失",IF(ABS(B1803-C1803)&lt;0.005,"一致","不一致"))</x:f>
        <x:v>AmountIncludingTax缺失</x:v>
      </x:c>
      <x:c r="F1803" s="19" t="str">
        <x:v>approved</x:v>
      </x:c>
      <x:c r="G1803" s="19" t="str">
        <x:v>Repair in Progress</x:v>
      </x:c>
      <x:c r="H1803" s="19" t="str">
        <x:v>In Field</x:v>
      </x:c>
      <x:c r="I1803" s="37" t="n">
        <x:v>46167</x:v>
      </x:c>
      <x:c r="J1803" s="37" t="n">
        <x:v>46167</x:v>
      </x:c>
      <x:c r="K1803" s="19" t="str">
        <x:v>Regent RV - Townsville</x:v>
      </x:c>
      <x:c r="L1803" s="19" t="str">
        <x:v>Z006</x:v>
      </x:c>
      <x:c r="M1803" s="19" t="str">
        <x:v>In Field Warranty Claims</x:v>
      </x:c>
      <x:c r="N1803" s="37" t="n">
        <x:v>46134</x:v>
      </x:c>
      <x:c r="O1803" s="37"/>
      <x:c r="P1803" s="34" t="n">
        <x:v>0</x:v>
      </x:c>
      <x:c r="Q1803" s="37" t="n">
        <x:v>46167.015625</x:v>
      </x:c>
    </x:row>
    <x:row r="1804">
      <x:c r="A1804" s="22" t="n">
        <x:v>33979</x:v>
      </x:c>
      <x:c r="B1804" s="28" t="n">
        <x:v>675</x:v>
      </x:c>
      <x:c r="C1804" s="28"/>
      <x:c r="D1804" s="31" t="str">
        <x:f>IF(OR(ISBLANK(B1804),ISBLANK(C1804),B1804=0),"",(C1804-B1804)/B1804)</x:f>
      </x:c>
      <x:c r="E1804" s="22" t="str">
        <x:f>IF(ISBLANK(C1804),"AmountIncludingTax缺失",IF(ABS(B1804-C1804)&lt;0.005,"一致","不一致"))</x:f>
        <x:v>AmountIncludingTax缺失</x:v>
      </x:c>
      <x:c r="F1804" s="19" t="str">
        <x:v>approved</x:v>
      </x:c>
      <x:c r="G1804" s="19" t="str">
        <x:v>Repair in Progress</x:v>
      </x:c>
      <x:c r="H1804" s="19" t="str">
        <x:v>In Field</x:v>
      </x:c>
      <x:c r="I1804" s="37" t="n">
        <x:v>46147</x:v>
      </x:c>
      <x:c r="J1804" s="37" t="n">
        <x:v>46147</x:v>
      </x:c>
      <x:c r="K1804" s="19" t="str">
        <x:v>Regent RV - Frankston</x:v>
      </x:c>
      <x:c r="L1804" s="19" t="str">
        <x:v>Z006</x:v>
      </x:c>
      <x:c r="M1804" s="19" t="str">
        <x:v>In Field Warranty Claims</x:v>
      </x:c>
      <x:c r="N1804" s="37" t="n">
        <x:v>46134</x:v>
      </x:c>
      <x:c r="O1804" s="37"/>
      <x:c r="P1804" s="34" t="n">
        <x:v>0</x:v>
      </x:c>
      <x:c r="Q1804" s="37" t="n">
        <x:v>46146.98673611111</x:v>
      </x:c>
    </x:row>
    <x:row r="1805">
      <x:c r="A1805" s="22" t="n">
        <x:v>33978</x:v>
      </x:c>
      <x:c r="B1805" s="28" t="n">
        <x:v>1060.86</x:v>
      </x:c>
      <x:c r="C1805" s="28"/>
      <x:c r="D1805" s="31" t="str">
        <x:f>IF(OR(ISBLANK(B1805),ISBLANK(C1805),B1805=0),"",(C1805-B1805)/B1805)</x:f>
      </x:c>
      <x:c r="E1805" s="22" t="str">
        <x:f>IF(ISBLANK(C1805),"AmountIncludingTax缺失",IF(ABS(B1805-C1805)&lt;0.005,"一致","不一致"))</x:f>
        <x:v>AmountIncludingTax缺失</x:v>
      </x:c>
      <x:c r="F1805" s="19" t="str">
        <x:v>approved</x:v>
      </x:c>
      <x:c r="G1805" s="19" t="str">
        <x:v>Repairer Invoiced Processed</x:v>
      </x:c>
      <x:c r="H1805" s="19" t="str">
        <x:v>In Field</x:v>
      </x:c>
      <x:c r="I1805" s="37" t="n">
        <x:v>46146</x:v>
      </x:c>
      <x:c r="J1805" s="37" t="n">
        <x:v>46146</x:v>
      </x:c>
      <x:c r="K1805" s="19" t="str">
        <x:v>Sherrif Caravans &amp; Traliers - Prospect Vale</x:v>
      </x:c>
      <x:c r="L1805" s="19" t="str">
        <x:v>Z006</x:v>
      </x:c>
      <x:c r="M1805" s="19" t="str">
        <x:v>In Field Warranty Claims</x:v>
      </x:c>
      <x:c r="N1805" s="37" t="n">
        <x:v>46134</x:v>
      </x:c>
      <x:c r="O1805" s="37"/>
      <x:c r="P1805" s="34" t="n">
        <x:v>1166.95</x:v>
      </x:c>
      <x:c r="Q1805" s="37" t="n">
        <x:v>46145.934386574074</x:v>
      </x:c>
    </x:row>
    <x:row r="1806">
      <x:c r="A1806" s="22" t="n">
        <x:v>33977</x:v>
      </x:c>
      <x:c r="B1806" s="28" t="n">
        <x:v>410</x:v>
      </x:c>
      <x:c r="C1806" s="28"/>
      <x:c r="D1806" s="31" t="str">
        <x:f>IF(OR(ISBLANK(B1806),ISBLANK(C1806),B1806=0),"",(C1806-B1806)/B1806)</x:f>
      </x:c>
      <x:c r="E1806" s="22" t="str">
        <x:f>IF(ISBLANK(C1806),"AmountIncludingTax缺失",IF(ABS(B1806-C1806)&lt;0.005,"一致","不一致"))</x:f>
        <x:v>AmountIncludingTax缺失</x:v>
      </x:c>
      <x:c r="F1806" s="19" t="str">
        <x:v>approved</x:v>
      </x:c>
      <x:c r="G1806" s="19" t="str">
        <x:v>Sales Order Approved</x:v>
      </x:c>
      <x:c r="H1806" s="19" t="str">
        <x:v>Pre Delivery</x:v>
      </x:c>
      <x:c r="I1806" s="37" t="n">
        <x:v>46139</x:v>
      </x:c>
      <x:c r="J1806" s="37" t="n">
        <x:v>46139</x:v>
      </x:c>
      <x:c r="K1806" s="19" t="str">
        <x:v>Snowy River Wangaratta</x:v>
      </x:c>
      <x:c r="L1806" s="19" t="str">
        <x:v>Z005</x:v>
      </x:c>
      <x:c r="M1806" s="19" t="str">
        <x:v>Pre Delivery Warranty Claims</x:v>
      </x:c>
      <x:c r="N1806" s="37" t="n">
        <x:v>46134</x:v>
      </x:c>
      <x:c r="O1806" s="37"/>
      <x:c r="P1806" s="34" t="n">
        <x:v>0</x:v>
      </x:c>
      <x:c r="Q1806" s="37" t="n">
        <x:v>46139.5265162037</x:v>
      </x:c>
    </x:row>
    <x:row r="1807">
      <x:c r="A1807" s="22" t="n">
        <x:v>33976</x:v>
      </x:c>
      <x:c r="B1807" s="28" t="n">
        <x:v>607.5</x:v>
      </x:c>
      <x:c r="C1807" s="28"/>
      <x:c r="D1807" s="31" t="str">
        <x:f>IF(OR(ISBLANK(B1807),ISBLANK(C1807),B1807=0),"",(C1807-B1807)/B1807)</x:f>
      </x:c>
      <x:c r="E1807" s="22" t="str">
        <x:f>IF(ISBLANK(C1807),"AmountIncludingTax缺失",IF(ABS(B1807-C1807)&lt;0.005,"一致","不一致"))</x:f>
        <x:v>AmountIncludingTax缺失</x:v>
      </x:c>
      <x:c r="F1807" s="19" t="str">
        <x:v>approved</x:v>
      </x:c>
      <x:c r="G1807" s="19" t="str">
        <x:v>Partially Picked</x:v>
      </x:c>
      <x:c r="H1807" s="19" t="str">
        <x:v>In Field</x:v>
      </x:c>
      <x:c r="I1807" s="37" t="n">
        <x:v>46135</x:v>
      </x:c>
      <x:c r="J1807" s="37" t="n">
        <x:v>46135</x:v>
      </x:c>
      <x:c r="K1807" s="19" t="str">
        <x:v>Regent RV - Perth</x:v>
      </x:c>
      <x:c r="L1807" s="19" t="str">
        <x:v>Z006</x:v>
      </x:c>
      <x:c r="M1807" s="19" t="str">
        <x:v>In Field Warranty Claims</x:v>
      </x:c>
      <x:c r="N1807" s="37" t="n">
        <x:v>46134</x:v>
      </x:c>
      <x:c r="O1807" s="37"/>
      <x:c r="P1807" s="34" t="n">
        <x:v>0</x:v>
      </x:c>
      <x:c r="Q1807" s="37" t="n">
        <x:v>46134.99428240741</x:v>
      </x:c>
    </x:row>
    <x:row r="1808">
      <x:c r="A1808" s="22" t="n">
        <x:v>33975</x:v>
      </x:c>
      <x:c r="B1808" s="28" t="n">
        <x:v>616.59</x:v>
      </x:c>
      <x:c r="C1808" s="28"/>
      <x:c r="D1808" s="31" t="str">
        <x:f>IF(OR(ISBLANK(B1808),ISBLANK(C1808),B1808=0),"",(C1808-B1808)/B1808)</x:f>
      </x:c>
      <x:c r="E1808" s="22" t="str">
        <x:f>IF(ISBLANK(C1808),"AmountIncludingTax缺失",IF(ABS(B1808-C1808)&lt;0.005,"一致","不一致"))</x:f>
        <x:v>AmountIncludingTax缺失</x:v>
      </x:c>
      <x:c r="F1808" s="19" t="str">
        <x:v>approved</x:v>
      </x:c>
      <x:c r="G1808" s="19" t="str">
        <x:v>Repair in Progress</x:v>
      </x:c>
      <x:c r="H1808" s="19" t="str">
        <x:v>Pre Delivery</x:v>
      </x:c>
      <x:c r="I1808" s="37" t="n">
        <x:v>46139</x:v>
      </x:c>
      <x:c r="J1808" s="37" t="n">
        <x:v>46139</x:v>
      </x:c>
      <x:c r="K1808" s="19" t="str">
        <x:v>Snowy River Wangaratta</x:v>
      </x:c>
      <x:c r="L1808" s="19" t="str">
        <x:v>Z005</x:v>
      </x:c>
      <x:c r="M1808" s="19" t="str">
        <x:v>Pre Delivery Warranty Claims</x:v>
      </x:c>
      <x:c r="N1808" s="37" t="n">
        <x:v>46134</x:v>
      </x:c>
      <x:c r="O1808" s="37"/>
      <x:c r="P1808" s="34" t="n">
        <x:v>0</x:v>
      </x:c>
      <x:c r="Q1808" s="37" t="n">
        <x:v>46139.5059375</x:v>
      </x:c>
    </x:row>
    <x:row r="1809">
      <x:c r="A1809" s="22" t="n">
        <x:v>33973</x:v>
      </x:c>
      <x:c r="B1809" s="28" t="n">
        <x:v>1666.28</x:v>
      </x:c>
      <x:c r="C1809" s="28"/>
      <x:c r="D1809" s="31" t="str">
        <x:f>IF(OR(ISBLANK(B1809),ISBLANK(C1809),B1809=0),"",(C1809-B1809)/B1809)</x:f>
      </x:c>
      <x:c r="E1809" s="22" t="str">
        <x:f>IF(ISBLANK(C1809),"AmountIncludingTax缺失",IF(ABS(B1809-C1809)&lt;0.005,"一致","不一致"))</x:f>
        <x:v>AmountIncludingTax缺失</x:v>
      </x:c>
      <x:c r="F1809" s="19" t="str">
        <x:v>approved</x:v>
      </x:c>
      <x:c r="G1809" s="19" t="str">
        <x:v>Repairer Invoiced Processed</x:v>
      </x:c>
      <x:c r="H1809" s="19" t="str">
        <x:v>In Field</x:v>
      </x:c>
      <x:c r="I1809" s="37" t="n">
        <x:v>46135</x:v>
      </x:c>
      <x:c r="J1809" s="37" t="n">
        <x:v>46135</x:v>
      </x:c>
      <x:c r="K1809" s="19" t="str">
        <x:v>Auswide Caravans - South Nowra</x:v>
      </x:c>
      <x:c r="L1809" s="19" t="str">
        <x:v>Z006</x:v>
      </x:c>
      <x:c r="M1809" s="19" t="str">
        <x:v>In Field Warranty Claims</x:v>
      </x:c>
      <x:c r="N1809" s="37" t="n">
        <x:v>46134</x:v>
      </x:c>
      <x:c r="O1809" s="37"/>
      <x:c r="P1809" s="34" t="n">
        <x:v>1832.91</x:v>
      </x:c>
      <x:c r="Q1809" s="37" t="n">
        <x:v>46134.94065972222</x:v>
      </x:c>
    </x:row>
    <x:row r="1810">
      <x:c r="A1810" s="22" t="n">
        <x:v>33972</x:v>
      </x:c>
      <x:c r="B1810" s="28" t="n">
        <x:v>607.5</x:v>
      </x:c>
      <x:c r="C1810" s="28"/>
      <x:c r="D1810" s="31" t="str">
        <x:f>IF(OR(ISBLANK(B1810),ISBLANK(C1810),B1810=0),"",(C1810-B1810)/B1810)</x:f>
      </x:c>
      <x:c r="E1810" s="22" t="str">
        <x:f>IF(ISBLANK(C1810),"AmountIncludingTax缺失",IF(ABS(B1810-C1810)&lt;0.005,"一致","不一致"))</x:f>
        <x:v>AmountIncludingTax缺失</x:v>
      </x:c>
      <x:c r="F1810" s="19" t="str">
        <x:v>approved_closed</x:v>
      </x:c>
      <x:c r="G1810" s="19" t="str">
        <x:v>Approved Claims Closed (Closed)</x:v>
      </x:c>
      <x:c r="H1810" s="19" t="str">
        <x:v>Pre Delivery</x:v>
      </x:c>
      <x:c r="I1810" s="37" t="n">
        <x:v>46139</x:v>
      </x:c>
      <x:c r="J1810" s="37" t="n">
        <x:v>46139</x:v>
      </x:c>
      <x:c r="K1810" s="19" t="str">
        <x:v>Snowy River Wangaratta</x:v>
      </x:c>
      <x:c r="L1810" s="19" t="str">
        <x:v>Z005</x:v>
      </x:c>
      <x:c r="M1810" s="19" t="str">
        <x:v>Pre Delivery Warranty Claims</x:v>
      </x:c>
      <x:c r="N1810" s="37" t="n">
        <x:v>46134</x:v>
      </x:c>
      <x:c r="O1810" s="37" t="n">
        <x:v>46185</x:v>
      </x:c>
      <x:c r="P1810" s="34" t="n">
        <x:v>0</x:v>
      </x:c>
      <x:c r="Q1810" s="37" t="n">
        <x:v>46139.50795138889</x:v>
      </x:c>
    </x:row>
    <x:row r="1811">
      <x:c r="A1811" s="22" t="n">
        <x:v>33971</x:v>
      </x:c>
      <x:c r="B1811" s="28" t="n">
        <x:v>445</x:v>
      </x:c>
      <x:c r="C1811" s="28"/>
      <x:c r="D1811" s="31" t="str">
        <x:f>IF(OR(ISBLANK(B1811),ISBLANK(C1811),B1811=0),"",(C1811-B1811)/B1811)</x:f>
      </x:c>
      <x:c r="E1811" s="22" t="str">
        <x:f>IF(ISBLANK(C1811),"AmountIncludingTax缺失",IF(ABS(B1811-C1811)&lt;0.005,"一致","不一致"))</x:f>
        <x:v>AmountIncludingTax缺失</x:v>
      </x:c>
      <x:c r="F1811" s="19" t="str">
        <x:v>approved</x:v>
      </x:c>
      <x:c r="G1811" s="19" t="str">
        <x:v>Sales Order Approved</x:v>
      </x:c>
      <x:c r="H1811" s="19" t="str">
        <x:v>Pre Delivery</x:v>
      </x:c>
      <x:c r="I1811" s="37" t="n">
        <x:v>46142</x:v>
      </x:c>
      <x:c r="J1811" s="37" t="n">
        <x:v>46142</x:v>
      </x:c>
      <x:c r="K1811" s="19" t="str">
        <x:v>Snowy River Wangaratta</x:v>
      </x:c>
      <x:c r="L1811" s="19" t="str">
        <x:v>Z005</x:v>
      </x:c>
      <x:c r="M1811" s="19" t="str">
        <x:v>Pre Delivery Warranty Claims</x:v>
      </x:c>
      <x:c r="N1811" s="37" t="n">
        <x:v>46133</x:v>
      </x:c>
      <x:c r="O1811" s="37"/>
      <x:c r="P1811" s="34" t="n">
        <x:v>0</x:v>
      </x:c>
      <x:c r="Q1811" s="37" t="n">
        <x:v>46142.459282407406</x:v>
      </x:c>
    </x:row>
    <x:row r="1812">
      <x:c r="A1812" s="22" t="n">
        <x:v>33970</x:v>
      </x:c>
      <x:c r="B1812" s="28" t="n">
        <x:v>507.5</x:v>
      </x:c>
      <x:c r="C1812" s="28"/>
      <x:c r="D1812" s="31" t="str">
        <x:f>IF(OR(ISBLANK(B1812),ISBLANK(C1812),B1812=0),"",(C1812-B1812)/B1812)</x:f>
      </x:c>
      <x:c r="E1812" s="22" t="str">
        <x:f>IF(ISBLANK(C1812),"AmountIncludingTax缺失",IF(ABS(B1812-C1812)&lt;0.005,"一致","不一致"))</x:f>
        <x:v>AmountIncludingTax缺失</x:v>
      </x:c>
      <x:c r="F1812" s="19" t="str">
        <x:v>approved</x:v>
      </x:c>
      <x:c r="G1812" s="19" t="str">
        <x:v>Repair in Progress</x:v>
      </x:c>
      <x:c r="H1812" s="19" t="str">
        <x:v>In Field</x:v>
      </x:c>
      <x:c r="I1812" s="37" t="n">
        <x:v>46134</x:v>
      </x:c>
      <x:c r="J1812" s="37" t="n">
        <x:v>46134</x:v>
      </x:c>
      <x:c r="K1812" s="19" t="str">
        <x:v>Green RV - Forest Glen</x:v>
      </x:c>
      <x:c r="L1812" s="19" t="str">
        <x:v>Z006</x:v>
      </x:c>
      <x:c r="M1812" s="19" t="str">
        <x:v>In Field Warranty Claims</x:v>
      </x:c>
      <x:c r="N1812" s="37" t="n">
        <x:v>46134</x:v>
      </x:c>
      <x:c r="O1812" s="37"/>
      <x:c r="P1812" s="34" t="n">
        <x:v>0</x:v>
      </x:c>
      <x:c r="Q1812" s="37" t="n">
        <x:v>46134.156064814815</x:v>
      </x:c>
    </x:row>
    <x:row r="1813">
      <x:c r="A1813" s="22" t="n">
        <x:v>33969</x:v>
      </x:c>
      <x:c r="B1813" s="28" t="n">
        <x:v>540</x:v>
      </x:c>
      <x:c r="C1813" s="28"/>
      <x:c r="D1813" s="31" t="str">
        <x:f>IF(OR(ISBLANK(B1813),ISBLANK(C1813),B1813=0),"",(C1813-B1813)/B1813)</x:f>
      </x:c>
      <x:c r="E1813" s="22" t="str">
        <x:f>IF(ISBLANK(C1813),"AmountIncludingTax缺失",IF(ABS(B1813-C1813)&lt;0.005,"一致","不一致"))</x:f>
        <x:v>AmountIncludingTax缺失</x:v>
      </x:c>
      <x:c r="F1813" s="19" t="str">
        <x:v>approved</x:v>
      </x:c>
      <x:c r="G1813" s="19" t="str">
        <x:v>Repair in Progress</x:v>
      </x:c>
      <x:c r="H1813" s="19" t="str">
        <x:v>In Field</x:v>
      </x:c>
      <x:c r="I1813" s="37" t="n">
        <x:v>46146</x:v>
      </x:c>
      <x:c r="J1813" s="37" t="n">
        <x:v>46146</x:v>
      </x:c>
      <x:c r="K1813" s="19" t="str">
        <x:v>Regent RV - Frankston</x:v>
      </x:c>
      <x:c r="L1813" s="19" t="str">
        <x:v>Z006</x:v>
      </x:c>
      <x:c r="M1813" s="19" t="str">
        <x:v>In Field Warranty Claims</x:v>
      </x:c>
      <x:c r="N1813" s="37" t="n">
        <x:v>46134</x:v>
      </x:c>
      <x:c r="O1813" s="37"/>
      <x:c r="P1813" s="34" t="n">
        <x:v>0</x:v>
      </x:c>
      <x:c r="Q1813" s="37" t="n">
        <x:v>46146.083449074074</x:v>
      </x:c>
    </x:row>
    <x:row r="1814">
      <x:c r="A1814" s="22" t="n">
        <x:v>33964</x:v>
      </x:c>
      <x:c r="B1814" s="28" t="n">
        <x:v>1999.95</x:v>
      </x:c>
      <x:c r="C1814" s="28"/>
      <x:c r="D1814" s="31" t="str">
        <x:f>IF(OR(ISBLANK(B1814),ISBLANK(C1814),B1814=0),"",(C1814-B1814)/B1814)</x:f>
      </x:c>
      <x:c r="E1814" s="22" t="str">
        <x:f>IF(ISBLANK(C1814),"AmountIncludingTax缺失",IF(ABS(B1814-C1814)&lt;0.005,"一致","不一致"))</x:f>
        <x:v>AmountIncludingTax缺失</x:v>
      </x:c>
      <x:c r="F1814" s="19" t="str">
        <x:v>approved</x:v>
      </x:c>
      <x:c r="G1814" s="19" t="str">
        <x:v>Repair in Progress</x:v>
      </x:c>
      <x:c r="H1814" s="19" t="str">
        <x:v>Pre Delivery</x:v>
      </x:c>
      <x:c r="I1814" s="37" t="n">
        <x:v>46154</x:v>
      </x:c>
      <x:c r="J1814" s="37" t="n">
        <x:v>46154</x:v>
      </x:c>
      <x:c r="K1814" s="19" t="str">
        <x:v>Vanari Caravans - Marden Point</x:v>
      </x:c>
      <x:c r="L1814" s="19" t="str">
        <x:v>Z005</x:v>
      </x:c>
      <x:c r="M1814" s="19" t="str">
        <x:v>Pre Delivery Warranty Claims</x:v>
      </x:c>
      <x:c r="N1814" s="37" t="n">
        <x:v>46134</x:v>
      </x:c>
      <x:c r="O1814" s="37"/>
      <x:c r="P1814" s="34" t="n">
        <x:v>1810.75</x:v>
      </x:c>
      <x:c r="Q1814" s="37" t="n">
        <x:v>46154.02947916667</x:v>
      </x:c>
    </x:row>
    <x:row r="1815">
      <x:c r="A1815" s="22" t="n">
        <x:v>33963</x:v>
      </x:c>
      <x:c r="B1815" s="28" t="n">
        <x:v>155</x:v>
      </x:c>
      <x:c r="C1815" s="28"/>
      <x:c r="D1815" s="31" t="str">
        <x:f>IF(OR(ISBLANK(B1815),ISBLANK(C1815),B1815=0),"",(C1815-B1815)/B1815)</x:f>
      </x:c>
      <x:c r="E1815" s="22" t="str">
        <x:f>IF(ISBLANK(C1815),"AmountIncludingTax缺失",IF(ABS(B1815-C1815)&lt;0.005,"一致","不一致"))</x:f>
        <x:v>AmountIncludingTax缺失</x:v>
      </x:c>
      <x:c r="F1815" s="19" t="str">
        <x:v>approved</x:v>
      </x:c>
      <x:c r="G1815" s="19" t="str">
        <x:v>Repair in Progress</x:v>
      </x:c>
      <x:c r="H1815" s="19" t="str">
        <x:v>In Field</x:v>
      </x:c>
      <x:c r="I1815" s="37" t="n">
        <x:v>46143</x:v>
      </x:c>
      <x:c r="J1815" s="37" t="n">
        <x:v>46136</x:v>
      </x:c>
      <x:c r="K1815" s="19" t="str">
        <x:v>Green RV - Forest Glen</x:v>
      </x:c>
      <x:c r="L1815" s="19" t="str">
        <x:v>Z006</x:v>
      </x:c>
      <x:c r="M1815" s="19" t="str">
        <x:v>In Field Warranty Claims</x:v>
      </x:c>
      <x:c r="N1815" s="37" t="n">
        <x:v>46134</x:v>
      </x:c>
      <x:c r="O1815" s="37"/>
      <x:c r="P1815" s="34" t="n">
        <x:v>0</x:v>
      </x:c>
      <x:c r="Q1815" s="37" t="n">
        <x:v>46143.21037037037</x:v>
      </x:c>
    </x:row>
    <x:row r="1816">
      <x:c r="A1816" s="22" t="n">
        <x:v>33960</x:v>
      </x:c>
      <x:c r="B1816" s="28" t="n">
        <x:v>1739.45</x:v>
      </x:c>
      <x:c r="C1816" s="28"/>
      <x:c r="D1816" s="31" t="str">
        <x:f>IF(OR(ISBLANK(B1816),ISBLANK(C1816),B1816=0),"",(C1816-B1816)/B1816)</x:f>
      </x:c>
      <x:c r="E1816" s="22" t="str">
        <x:f>IF(ISBLANK(C1816),"AmountIncludingTax缺失",IF(ABS(B1816-C1816)&lt;0.005,"一致","不一致"))</x:f>
        <x:v>AmountIncludingTax缺失</x:v>
      </x:c>
      <x:c r="F1816" s="19" t="str">
        <x:v>approved</x:v>
      </x:c>
      <x:c r="G1816" s="19" t="str">
        <x:v>Repair in Progress</x:v>
      </x:c>
      <x:c r="H1816" s="19" t="str">
        <x:v>In Field</x:v>
      </x:c>
      <x:c r="I1816" s="37" t="n">
        <x:v>46163</x:v>
      </x:c>
      <x:c r="J1816" s="37" t="n">
        <x:v>46163</x:v>
      </x:c>
      <x:c r="K1816" s="19" t="str">
        <x:v>Lesiure Lion-New Castle</x:v>
      </x:c>
      <x:c r="L1816" s="19" t="str">
        <x:v>Z006</x:v>
      </x:c>
      <x:c r="M1816" s="19" t="str">
        <x:v>In Field Warranty Claims</x:v>
      </x:c>
      <x:c r="N1816" s="37" t="n">
        <x:v>46133</x:v>
      </x:c>
      <x:c r="O1816" s="37"/>
      <x:c r="P1816" s="34" t="n">
        <x:v>0</x:v>
      </x:c>
      <x:c r="Q1816" s="37" t="n">
        <x:v>46162.89346064815</x:v>
      </x:c>
    </x:row>
    <x:row r="1817">
      <x:c r="A1817" s="22" t="n">
        <x:v>33959</x:v>
      </x:c>
      <x:c r="B1817" s="28" t="n">
        <x:v>1762.5</x:v>
      </x:c>
      <x:c r="C1817" s="28"/>
      <x:c r="D1817" s="31" t="str">
        <x:f>IF(OR(ISBLANK(B1817),ISBLANK(C1817),B1817=0),"",(C1817-B1817)/B1817)</x:f>
      </x:c>
      <x:c r="E1817" s="22" t="str">
        <x:f>IF(ISBLANK(C1817),"AmountIncludingTax缺失",IF(ABS(B1817-C1817)&lt;0.005,"一致","不一致"))</x:f>
        <x:v>AmountIncludingTax缺失</x:v>
      </x:c>
      <x:c r="F1817" s="19" t="str">
        <x:v>approved</x:v>
      </x:c>
      <x:c r="G1817" s="19" t="str">
        <x:v>Repairer Invoiced Processed</x:v>
      </x:c>
      <x:c r="H1817" s="19" t="str">
        <x:v>In Field</x:v>
      </x:c>
      <x:c r="I1817" s="37" t="n">
        <x:v>46160</x:v>
      </x:c>
      <x:c r="J1817" s="37" t="n">
        <x:v>46141</x:v>
      </x:c>
      <x:c r="K1817" s="19" t="str">
        <x:v>Green RV - Forest Glen</x:v>
      </x:c>
      <x:c r="L1817" s="19" t="str">
        <x:v>Z006</x:v>
      </x:c>
      <x:c r="M1817" s="19" t="str">
        <x:v>In Field Warranty Claims</x:v>
      </x:c>
      <x:c r="N1817" s="37" t="n">
        <x:v>46133</x:v>
      </x:c>
      <x:c r="O1817" s="37"/>
      <x:c r="P1817" s="34" t="n">
        <x:v>0</x:v>
      </x:c>
      <x:c r="Q1817" s="37" t="n">
        <x:v>46160.14329861111</x:v>
      </x:c>
    </x:row>
    <x:row r="1818">
      <x:c r="A1818" s="22" t="n">
        <x:v>33958</x:v>
      </x:c>
      <x:c r="B1818" s="28" t="n">
        <x:v>600</x:v>
      </x:c>
      <x:c r="C1818" s="28"/>
      <x:c r="D1818" s="31" t="str">
        <x:f>IF(OR(ISBLANK(B1818),ISBLANK(C1818),B1818=0),"",(C1818-B1818)/B1818)</x:f>
      </x:c>
      <x:c r="E1818" s="22" t="str">
        <x:f>IF(ISBLANK(C1818),"AmountIncludingTax缺失",IF(ABS(B1818-C1818)&lt;0.005,"一致","不一致"))</x:f>
        <x:v>AmountIncludingTax缺失</x:v>
      </x:c>
      <x:c r="F1818" s="19" t="str">
        <x:v>approved</x:v>
      </x:c>
      <x:c r="G1818" s="19" t="str">
        <x:v>Repair in Progress</x:v>
      </x:c>
      <x:c r="H1818" s="19" t="str">
        <x:v>In Field</x:v>
      </x:c>
      <x:c r="I1818" s="37" t="n">
        <x:v>46140</x:v>
      </x:c>
      <x:c r="J1818" s="37" t="n">
        <x:v>46140</x:v>
      </x:c>
      <x:c r="K1818" s="19" t="str">
        <x:v>Green RV - Forest Glen</x:v>
      </x:c>
      <x:c r="L1818" s="19" t="str">
        <x:v>Z006</x:v>
      </x:c>
      <x:c r="M1818" s="19" t="str">
        <x:v>In Field Warranty Claims</x:v>
      </x:c>
      <x:c r="N1818" s="37" t="n">
        <x:v>46133</x:v>
      </x:c>
      <x:c r="O1818" s="37"/>
      <x:c r="P1818" s="34" t="n">
        <x:v>0</x:v>
      </x:c>
      <x:c r="Q1818" s="37" t="n">
        <x:v>46139.97987268519</x:v>
      </x:c>
    </x:row>
    <x:row r="1819">
      <x:c r="A1819" s="22" t="n">
        <x:v>33957</x:v>
      </x:c>
      <x:c r="B1819" s="28" t="n">
        <x:v>286</x:v>
      </x:c>
      <x:c r="C1819" s="28" t="n">
        <x:v>314.6</x:v>
      </x:c>
      <x:c r="D1819" s="31" t="n">
        <x:f>IF(OR(ISBLANK(B1819),ISBLANK(C1819),B1819=0),"",(C1819-B1819)/B1819)</x:f>
        <x:v>0.10000000000000007</x:v>
      </x:c>
      <x:c r="E1819" s="22" t="str">
        <x:f>IF(ISBLANK(C1819),"AmountIncludingTax缺失",IF(ABS(B1819-C1819)&lt;0.005,"一致","不一致"))</x:f>
        <x:v>不一致</x:v>
      </x:c>
      <x:c r="F1819" s="19" t="str">
        <x:v>approved</x:v>
      </x:c>
      <x:c r="G1819" s="19" t="str">
        <x:v>Repairer Invoiced Processed</x:v>
      </x:c>
      <x:c r="H1819" s="19" t="str">
        <x:v>In Field</x:v>
      </x:c>
      <x:c r="I1819" s="37" t="n">
        <x:v>46146</x:v>
      </x:c>
      <x:c r="J1819" s="37" t="n">
        <x:v>46146</x:v>
      </x:c>
      <x:c r="K1819" s="19" t="str">
        <x:v>Regent RV - Toowoomba</x:v>
      </x:c>
      <x:c r="L1819" s="19" t="str">
        <x:v>Z006</x:v>
      </x:c>
      <x:c r="M1819" s="19" t="str">
        <x:v>In Field Warranty Claims</x:v>
      </x:c>
      <x:c r="N1819" s="37" t="n">
        <x:v>46133</x:v>
      </x:c>
      <x:c r="O1819" s="37"/>
      <x:c r="P1819" s="34" t="n">
        <x:v>314.6</x:v>
      </x:c>
      <x:c r="Q1819" s="37" t="n">
        <x:v>46145.964537037034</x:v>
      </x:c>
    </x:row>
    <x:row r="1820">
      <x:c r="A1820" s="22" t="n">
        <x:v>33956</x:v>
      </x:c>
      <x:c r="B1820" s="28" t="n">
        <x:v>40.91</x:v>
      </x:c>
      <x:c r="C1820" s="28" t="n">
        <x:v>45</x:v>
      </x:c>
      <x:c r="D1820" s="31" t="n">
        <x:f>IF(OR(ISBLANK(B1820),ISBLANK(C1820),B1820=0),"",(C1820-B1820)/B1820)</x:f>
        <x:v>0.09997555609875346</x:v>
      </x:c>
      <x:c r="E1820" s="22" t="str">
        <x:f>IF(ISBLANK(C1820),"AmountIncludingTax缺失",IF(ABS(B1820-C1820)&lt;0.005,"一致","不一致"))</x:f>
        <x:v>不一致</x:v>
      </x:c>
      <x:c r="F1820" s="19" t="str">
        <x:v>approved</x:v>
      </x:c>
      <x:c r="G1820" s="19" t="str">
        <x:v>Repairer Invoiced Processed</x:v>
      </x:c>
      <x:c r="H1820" s="19" t="str">
        <x:v>In Field</x:v>
      </x:c>
      <x:c r="I1820" s="37" t="n">
        <x:v>46167</x:v>
      </x:c>
      <x:c r="J1820" s="37" t="n">
        <x:v>46167</x:v>
      </x:c>
      <x:c r="K1820" s="19" t="str">
        <x:v>Destiny RV - South Australia</x:v>
      </x:c>
      <x:c r="L1820" s="19" t="str">
        <x:v>Z006</x:v>
      </x:c>
      <x:c r="M1820" s="19" t="str">
        <x:v>In Field Warranty Claims</x:v>
      </x:c>
      <x:c r="N1820" s="37" t="n">
        <x:v>46133</x:v>
      </x:c>
      <x:c r="O1820" s="37"/>
      <x:c r="P1820" s="34" t="n">
        <x:v>45</x:v>
      </x:c>
      <x:c r="Q1820" s="37" t="n">
        <x:v>46167.086851851855</x:v>
      </x:c>
    </x:row>
    <x:row r="1821">
      <x:c r="A1821" s="22" t="n">
        <x:v>33955</x:v>
      </x:c>
      <x:c r="B1821" s="28" t="n">
        <x:v>135</x:v>
      </x:c>
      <x:c r="C1821" s="28"/>
      <x:c r="D1821" s="31" t="str">
        <x:f>IF(OR(ISBLANK(B1821),ISBLANK(C1821),B1821=0),"",(C1821-B1821)/B1821)</x:f>
      </x:c>
      <x:c r="E1821" s="22" t="str">
        <x:f>IF(ISBLANK(C1821),"AmountIncludingTax缺失",IF(ABS(B1821-C1821)&lt;0.005,"一致","不一致"))</x:f>
        <x:v>AmountIncludingTax缺失</x:v>
      </x:c>
      <x:c r="F1821" s="19" t="str">
        <x:v>approved</x:v>
      </x:c>
      <x:c r="G1821" s="19" t="str">
        <x:v>Repairer Invoiced Processed</x:v>
      </x:c>
      <x:c r="H1821" s="19" t="str">
        <x:v>In Field</x:v>
      </x:c>
      <x:c r="I1821" s="37" t="n">
        <x:v>46146</x:v>
      </x:c>
      <x:c r="J1821" s="37" t="n">
        <x:v>46146</x:v>
      </x:c>
      <x:c r="K1821" s="19" t="str">
        <x:v>Snowy River Wangaratta</x:v>
      </x:c>
      <x:c r="L1821" s="19" t="str">
        <x:v>Z006</x:v>
      </x:c>
      <x:c r="M1821" s="19" t="str">
        <x:v>In Field Warranty Claims</x:v>
      </x:c>
      <x:c r="N1821" s="37" t="n">
        <x:v>46133</x:v>
      </x:c>
      <x:c r="O1821" s="37"/>
      <x:c r="P1821" s="34" t="n">
        <x:v>0</x:v>
      </x:c>
      <x:c r="Q1821" s="37" t="n">
        <x:v>46146.08163194444</x:v>
      </x:c>
    </x:row>
    <x:row r="1822">
      <x:c r="A1822" s="22" t="n">
        <x:v>33954</x:v>
      </x:c>
      <x:c r="B1822" s="28" t="n">
        <x:v>951.25</x:v>
      </x:c>
      <x:c r="C1822" s="28"/>
      <x:c r="D1822" s="31" t="str">
        <x:f>IF(OR(ISBLANK(B1822),ISBLANK(C1822),B1822=0),"",(C1822-B1822)/B1822)</x:f>
      </x:c>
      <x:c r="E1822" s="22" t="str">
        <x:f>IF(ISBLANK(C1822),"AmountIncludingTax缺失",IF(ABS(B1822-C1822)&lt;0.005,"一致","不一致"))</x:f>
        <x:v>AmountIncludingTax缺失</x:v>
      </x:c>
      <x:c r="F1822" s="19" t="str">
        <x:v>approved</x:v>
      </x:c>
      <x:c r="G1822" s="19" t="str">
        <x:v>Repair in Progress</x:v>
      </x:c>
      <x:c r="H1822" s="19" t="str">
        <x:v>In Field</x:v>
      </x:c>
      <x:c r="I1822" s="37" t="n">
        <x:v>46142</x:v>
      </x:c>
      <x:c r="J1822" s="37" t="n">
        <x:v>46142</x:v>
      </x:c>
      <x:c r="K1822" s="19" t="str">
        <x:v>Regent RV - Perth</x:v>
      </x:c>
      <x:c r="L1822" s="19" t="str">
        <x:v>Z006</x:v>
      </x:c>
      <x:c r="M1822" s="19" t="str">
        <x:v>In Field Warranty Claims</x:v>
      </x:c>
      <x:c r="N1822" s="37" t="n">
        <x:v>46133</x:v>
      </x:c>
      <x:c r="O1822" s="37"/>
      <x:c r="P1822" s="34" t="n">
        <x:v>0</x:v>
      </x:c>
      <x:c r="Q1822" s="37" t="n">
        <x:v>46142.45243055555</x:v>
      </x:c>
    </x:row>
    <x:row r="1823">
      <x:c r="A1823" s="22" t="n">
        <x:v>33953</x:v>
      </x:c>
      <x:c r="B1823" s="28" t="n">
        <x:v>445</x:v>
      </x:c>
      <x:c r="C1823" s="28"/>
      <x:c r="D1823" s="31" t="str">
        <x:f>IF(OR(ISBLANK(B1823),ISBLANK(C1823),B1823=0),"",(C1823-B1823)/B1823)</x:f>
      </x:c>
      <x:c r="E1823" s="22" t="str">
        <x:f>IF(ISBLANK(C1823),"AmountIncludingTax缺失",IF(ABS(B1823-C1823)&lt;0.005,"一致","不一致"))</x:f>
        <x:v>AmountIncludingTax缺失</x:v>
      </x:c>
      <x:c r="F1823" s="19" t="str">
        <x:v>approved</x:v>
      </x:c>
      <x:c r="G1823" s="19" t="str">
        <x:v>Sales Order Approved</x:v>
      </x:c>
      <x:c r="H1823" s="19" t="str">
        <x:v>Pre Delivery</x:v>
      </x:c>
      <x:c r="I1823" s="37" t="n">
        <x:v>46142</x:v>
      </x:c>
      <x:c r="J1823" s="37" t="n">
        <x:v>46142</x:v>
      </x:c>
      <x:c r="K1823" s="19" t="str">
        <x:v>Snowy River Wangaratta</x:v>
      </x:c>
      <x:c r="L1823" s="19" t="str">
        <x:v>Z005</x:v>
      </x:c>
      <x:c r="M1823" s="19" t="str">
        <x:v>Pre Delivery Warranty Claims</x:v>
      </x:c>
      <x:c r="N1823" s="37" t="n">
        <x:v>46133</x:v>
      </x:c>
      <x:c r="O1823" s="37"/>
      <x:c r="P1823" s="34" t="n">
        <x:v>0</x:v>
      </x:c>
      <x:c r="Q1823" s="37" t="n">
        <x:v>46141.9705787037</x:v>
      </x:c>
    </x:row>
    <x:row r="1824">
      <x:c r="A1824" s="22" t="n">
        <x:v>33951</x:v>
      </x:c>
      <x:c r="B1824" s="28" t="n">
        <x:v>1350</x:v>
      </x:c>
      <x:c r="C1824" s="28"/>
      <x:c r="D1824" s="31" t="str">
        <x:f>IF(OR(ISBLANK(B1824),ISBLANK(C1824),B1824=0),"",(C1824-B1824)/B1824)</x:f>
      </x:c>
      <x:c r="E1824" s="22" t="str">
        <x:f>IF(ISBLANK(C1824),"AmountIncludingTax缺失",IF(ABS(B1824-C1824)&lt;0.005,"一致","不一致"))</x:f>
        <x:v>AmountIncludingTax缺失</x:v>
      </x:c>
      <x:c r="F1824" s="19" t="str">
        <x:v>approved</x:v>
      </x:c>
      <x:c r="G1824" s="19" t="str">
        <x:v>Repairer Invoiced Processed</x:v>
      </x:c>
      <x:c r="H1824" s="19" t="str">
        <x:v>In Field</x:v>
      </x:c>
      <x:c r="I1824" s="37" t="n">
        <x:v>46147</x:v>
      </x:c>
      <x:c r="J1824" s="37" t="n">
        <x:v>46147</x:v>
      </x:c>
      <x:c r="K1824" s="19" t="str">
        <x:v>Green RV - Forest Glen</x:v>
      </x:c>
      <x:c r="L1824" s="19" t="str">
        <x:v>Z006</x:v>
      </x:c>
      <x:c r="M1824" s="19" t="str">
        <x:v>In Field Warranty Claims</x:v>
      </x:c>
      <x:c r="N1824" s="37" t="n">
        <x:v>46133</x:v>
      </x:c>
      <x:c r="O1824" s="37"/>
      <x:c r="P1824" s="34" t="n">
        <x:v>1485</x:v>
      </x:c>
      <x:c r="Q1824" s="37" t="n">
        <x:v>46147.1946875</x:v>
      </x:c>
    </x:row>
    <x:row r="1825">
      <x:c r="A1825" s="22" t="n">
        <x:v>33949</x:v>
      </x:c>
      <x:c r="B1825" s="28" t="n">
        <x:v>62.95</x:v>
      </x:c>
      <x:c r="C1825" s="28" t="n">
        <x:v>56.99</x:v>
      </x:c>
      <x:c r="D1825" s="31" t="n">
        <x:f>IF(OR(ISBLANK(B1825),ISBLANK(C1825),B1825=0),"",(C1825-B1825)/B1825)</x:f>
        <x:v>-0.09467831612390787</x:v>
      </x:c>
      <x:c r="E1825" s="22" t="str">
        <x:f>IF(ISBLANK(C1825),"AmountIncludingTax缺失",IF(ABS(B1825-C1825)&lt;0.005,"一致","不一致"))</x:f>
        <x:v>不一致</x:v>
      </x:c>
      <x:c r="F1825" s="19" t="str">
        <x:v>approved</x:v>
      </x:c>
      <x:c r="G1825" s="19" t="str">
        <x:v>Repairer Invoiced Processed</x:v>
      </x:c>
      <x:c r="H1825" s="19" t="str">
        <x:v>In Field</x:v>
      </x:c>
      <x:c r="I1825" s="37" t="n">
        <x:v>46161</x:v>
      </x:c>
      <x:c r="J1825" s="37" t="n">
        <x:v>46161</x:v>
      </x:c>
      <x:c r="K1825" s="19" t="str">
        <x:v>Vanari Caravans - Marden Point</x:v>
      </x:c>
      <x:c r="L1825" s="19" t="str">
        <x:v>Z006</x:v>
      </x:c>
      <x:c r="M1825" s="19" t="str">
        <x:v>In Field Warranty Claims</x:v>
      </x:c>
      <x:c r="N1825" s="37" t="n">
        <x:v>46133</x:v>
      </x:c>
      <x:c r="O1825" s="37"/>
      <x:c r="P1825" s="34" t="n">
        <x:v>56.99</x:v>
      </x:c>
      <x:c r="Q1825" s="37" t="n">
        <x:v>46161.068506944444</x:v>
      </x:c>
    </x:row>
    <x:row r="1826">
      <x:c r="A1826" s="22" t="n">
        <x:v>33948</x:v>
      </x:c>
      <x:c r="B1826" s="28" t="n">
        <x:v>135</x:v>
      </x:c>
      <x:c r="C1826" s="28"/>
      <x:c r="D1826" s="31" t="str">
        <x:f>IF(OR(ISBLANK(B1826),ISBLANK(C1826),B1826=0),"",(C1826-B1826)/B1826)</x:f>
      </x:c>
      <x:c r="E1826" s="22" t="str">
        <x:f>IF(ISBLANK(C1826),"AmountIncludingTax缺失",IF(ABS(B1826-C1826)&lt;0.005,"一致","不一致"))</x:f>
        <x:v>AmountIncludingTax缺失</x:v>
      </x:c>
      <x:c r="F1826" s="19" t="str">
        <x:v>approved</x:v>
      </x:c>
      <x:c r="G1826" s="19" t="str">
        <x:v>Repair in Progress</x:v>
      </x:c>
      <x:c r="H1826" s="19" t="str">
        <x:v>In Field</x:v>
      </x:c>
      <x:c r="I1826" s="37" t="n">
        <x:v>46139</x:v>
      </x:c>
      <x:c r="J1826" s="37" t="n">
        <x:v>46139</x:v>
      </x:c>
      <x:c r="K1826" s="19" t="str">
        <x:v>Destiny RV - South Australia</x:v>
      </x:c>
      <x:c r="L1826" s="19" t="str">
        <x:v>Z006</x:v>
      </x:c>
      <x:c r="M1826" s="19" t="str">
        <x:v>In Field Warranty Claims</x:v>
      </x:c>
      <x:c r="N1826" s="37" t="n">
        <x:v>46133</x:v>
      </x:c>
      <x:c r="O1826" s="37"/>
      <x:c r="P1826" s="34" t="n">
        <x:v>0</x:v>
      </x:c>
      <x:c r="Q1826" s="37" t="n">
        <x:v>46139.20710648148</x:v>
      </x:c>
    </x:row>
    <x:row r="1827">
      <x:c r="A1827" s="22" t="n">
        <x:v>33946</x:v>
      </x:c>
      <x:c r="B1827" s="28" t="n">
        <x:v>270</x:v>
      </x:c>
      <x:c r="C1827" s="28"/>
      <x:c r="D1827" s="31" t="str">
        <x:f>IF(OR(ISBLANK(B1827),ISBLANK(C1827),B1827=0),"",(C1827-B1827)/B1827)</x:f>
      </x:c>
      <x:c r="E1827" s="22" t="str">
        <x:f>IF(ISBLANK(C1827),"AmountIncludingTax缺失",IF(ABS(B1827-C1827)&lt;0.005,"一致","不一致"))</x:f>
        <x:v>AmountIncludingTax缺失</x:v>
      </x:c>
      <x:c r="F1827" s="19" t="str">
        <x:v>approved</x:v>
      </x:c>
      <x:c r="G1827" s="19" t="str">
        <x:v>Sales Order Approved</x:v>
      </x:c>
      <x:c r="H1827" s="19" t="str">
        <x:v>In Field</x:v>
      </x:c>
      <x:c r="I1827" s="37" t="n">
        <x:v>46135</x:v>
      </x:c>
      <x:c r="J1827" s="37" t="n">
        <x:v>46135</x:v>
      </x:c>
      <x:c r="K1827" s="19" t="str">
        <x:v>Green RV - Forest Glen</x:v>
      </x:c>
      <x:c r="L1827" s="19" t="str">
        <x:v>Z006</x:v>
      </x:c>
      <x:c r="M1827" s="19" t="str">
        <x:v>In Field Warranty Claims</x:v>
      </x:c>
      <x:c r="N1827" s="37" t="n">
        <x:v>46133</x:v>
      </x:c>
      <x:c r="O1827" s="37"/>
      <x:c r="P1827" s="34" t="n">
        <x:v>0</x:v>
      </x:c>
      <x:c r="Q1827" s="37" t="n">
        <x:v>46135.204375</x:v>
      </x:c>
    </x:row>
    <x:row r="1828">
      <x:c r="A1828" s="22" t="n">
        <x:v>33945</x:v>
      </x:c>
      <x:c r="B1828" s="28" t="n">
        <x:v>405</x:v>
      </x:c>
      <x:c r="C1828" s="28"/>
      <x:c r="D1828" s="31" t="str">
        <x:f>IF(OR(ISBLANK(B1828),ISBLANK(C1828),B1828=0),"",(C1828-B1828)/B1828)</x:f>
      </x:c>
      <x:c r="E1828" s="22" t="str">
        <x:f>IF(ISBLANK(C1828),"AmountIncludingTax缺失",IF(ABS(B1828-C1828)&lt;0.005,"一致","不一致"))</x:f>
        <x:v>AmountIncludingTax缺失</x:v>
      </x:c>
      <x:c r="F1828" s="19" t="str">
        <x:v>approved</x:v>
      </x:c>
      <x:c r="G1828" s="19" t="str">
        <x:v>Repairer Invoiced Processed</x:v>
      </x:c>
      <x:c r="H1828" s="19" t="str">
        <x:v>In Field</x:v>
      </x:c>
      <x:c r="I1828" s="37" t="n">
        <x:v>46142</x:v>
      </x:c>
      <x:c r="J1828" s="37" t="n">
        <x:v>46142</x:v>
      </x:c>
      <x:c r="K1828" s="19" t="str">
        <x:v>Green RV - Forest Glen</x:v>
      </x:c>
      <x:c r="L1828" s="19" t="str">
        <x:v>Z006</x:v>
      </x:c>
      <x:c r="M1828" s="19" t="str">
        <x:v>In Field Warranty Claims</x:v>
      </x:c>
      <x:c r="N1828" s="37" t="n">
        <x:v>46133</x:v>
      </x:c>
      <x:c r="O1828" s="37"/>
      <x:c r="P1828" s="34" t="n">
        <x:v>0</x:v>
      </x:c>
      <x:c r="Q1828" s="37" t="n">
        <x:v>46141.86869212963</x:v>
      </x:c>
    </x:row>
    <x:row r="1829">
      <x:c r="A1829" s="22" t="n">
        <x:v>33944</x:v>
      </x:c>
      <x:c r="B1829" s="28" t="n">
        <x:v>445</x:v>
      </x:c>
      <x:c r="C1829" s="28"/>
      <x:c r="D1829" s="31" t="str">
        <x:f>IF(OR(ISBLANK(B1829),ISBLANK(C1829),B1829=0),"",(C1829-B1829)/B1829)</x:f>
      </x:c>
      <x:c r="E1829" s="22" t="str">
        <x:f>IF(ISBLANK(C1829),"AmountIncludingTax缺失",IF(ABS(B1829-C1829)&lt;0.005,"一致","不一致"))</x:f>
        <x:v>AmountIncludingTax缺失</x:v>
      </x:c>
      <x:c r="F1829" s="19" t="str">
        <x:v>approved</x:v>
      </x:c>
      <x:c r="G1829" s="19" t="str">
        <x:v>Sales Order Approved</x:v>
      </x:c>
      <x:c r="H1829" s="19" t="str">
        <x:v>Pre Delivery</x:v>
      </x:c>
      <x:c r="I1829" s="37" t="n">
        <x:v>46142</x:v>
      </x:c>
      <x:c r="J1829" s="37" t="n">
        <x:v>46142</x:v>
      </x:c>
      <x:c r="K1829" s="19" t="str">
        <x:v>Snowy River Wangaratta</x:v>
      </x:c>
      <x:c r="L1829" s="19" t="str">
        <x:v>Z005</x:v>
      </x:c>
      <x:c r="M1829" s="19" t="str">
        <x:v>Pre Delivery Warranty Claims</x:v>
      </x:c>
      <x:c r="N1829" s="37" t="n">
        <x:v>46133</x:v>
      </x:c>
      <x:c r="O1829" s="37"/>
      <x:c r="P1829" s="34" t="n">
        <x:v>0</x:v>
      </x:c>
      <x:c r="Q1829" s="37" t="n">
        <x:v>46141.975173611114</x:v>
      </x:c>
    </x:row>
    <x:row r="1830">
      <x:c r="A1830" s="22" t="n">
        <x:v>33941</x:v>
      </x:c>
      <x:c r="B1830" s="28" t="n">
        <x:v>738.75</x:v>
      </x:c>
      <x:c r="C1830" s="28"/>
      <x:c r="D1830" s="31" t="str">
        <x:f>IF(OR(ISBLANK(B1830),ISBLANK(C1830),B1830=0),"",(C1830-B1830)/B1830)</x:f>
      </x:c>
      <x:c r="E1830" s="22" t="str">
        <x:f>IF(ISBLANK(C1830),"AmountIncludingTax缺失",IF(ABS(B1830-C1830)&lt;0.005,"一致","不一致"))</x:f>
        <x:v>AmountIncludingTax缺失</x:v>
      </x:c>
      <x:c r="F1830" s="19" t="str">
        <x:v>approved</x:v>
      </x:c>
      <x:c r="G1830" s="19" t="str">
        <x:v>Sales Order Approved</x:v>
      </x:c>
      <x:c r="H1830" s="19" t="str">
        <x:v>Pre Delivery</x:v>
      </x:c>
      <x:c r="I1830" s="37" t="n">
        <x:v>46192</x:v>
      </x:c>
      <x:c r="J1830" s="37" t="n">
        <x:v>46192</x:v>
      </x:c>
      <x:c r="K1830" s="19" t="str">
        <x:v>The Caravan Hub - Townsville</x:v>
      </x:c>
      <x:c r="L1830" s="19" t="str">
        <x:v>Z005</x:v>
      </x:c>
      <x:c r="M1830" s="19" t="str">
        <x:v>Pre Delivery Warranty Claims</x:v>
      </x:c>
      <x:c r="N1830" s="37" t="n">
        <x:v>46133</x:v>
      </x:c>
      <x:c r="O1830" s="37"/>
      <x:c r="P1830" s="34" t="n">
        <x:v>0</x:v>
      </x:c>
      <x:c r="Q1830" s="37" t="n">
        <x:v>46191.99238425926</x:v>
      </x:c>
    </x:row>
    <x:row r="1831">
      <x:c r="A1831" s="22" t="n">
        <x:v>33940</x:v>
      </x:c>
      <x:c r="B1831" s="28" t="n">
        <x:v>810</x:v>
      </x:c>
      <x:c r="C1831" s="28"/>
      <x:c r="D1831" s="31" t="str">
        <x:f>IF(OR(ISBLANK(B1831),ISBLANK(C1831),B1831=0),"",(C1831-B1831)/B1831)</x:f>
      </x:c>
      <x:c r="E1831" s="22" t="str">
        <x:f>IF(ISBLANK(C1831),"AmountIncludingTax缺失",IF(ABS(B1831-C1831)&lt;0.005,"一致","不一致"))</x:f>
        <x:v>AmountIncludingTax缺失</x:v>
      </x:c>
      <x:c r="F1831" s="19" t="str">
        <x:v>approved</x:v>
      </x:c>
      <x:c r="G1831" s="19" t="str">
        <x:v>Repair in Progress</x:v>
      </x:c>
      <x:c r="H1831" s="19" t="str">
        <x:v>In Field</x:v>
      </x:c>
      <x:c r="I1831" s="37" t="n">
        <x:v>46142</x:v>
      </x:c>
      <x:c r="J1831" s="37" t="n">
        <x:v>46142</x:v>
      </x:c>
      <x:c r="K1831" s="19" t="str">
        <x:v>Regent RV - Traralgon</x:v>
      </x:c>
      <x:c r="L1831" s="19" t="str">
        <x:v>Z006</x:v>
      </x:c>
      <x:c r="M1831" s="19" t="str">
        <x:v>In Field Warranty Claims</x:v>
      </x:c>
      <x:c r="N1831" s="37" t="n">
        <x:v>46133</x:v>
      </x:c>
      <x:c r="O1831" s="37"/>
      <x:c r="P1831" s="34" t="n">
        <x:v>0</x:v>
      </x:c>
      <x:c r="Q1831" s="37" t="n">
        <x:v>46142.1740625</x:v>
      </x:c>
    </x:row>
    <x:row r="1832">
      <x:c r="A1832" s="22" t="n">
        <x:v>33939</x:v>
      </x:c>
      <x:c r="B1832" s="28" t="n">
        <x:v>1739.85</x:v>
      </x:c>
      <x:c r="C1832" s="28"/>
      <x:c r="D1832" s="31" t="str">
        <x:f>IF(OR(ISBLANK(B1832),ISBLANK(C1832),B1832=0),"",(C1832-B1832)/B1832)</x:f>
      </x:c>
      <x:c r="E1832" s="22" t="str">
        <x:f>IF(ISBLANK(C1832),"AmountIncludingTax缺失",IF(ABS(B1832-C1832)&lt;0.005,"一致","不一致"))</x:f>
        <x:v>AmountIncludingTax缺失</x:v>
      </x:c>
      <x:c r="F1832" s="19" t="str">
        <x:v>approved</x:v>
      </x:c>
      <x:c r="G1832" s="19" t="str">
        <x:v>Sales Order Approved</x:v>
      </x:c>
      <x:c r="H1832" s="19" t="str">
        <x:v>Pre Delivery</x:v>
      </x:c>
      <x:c r="I1832" s="37" t="n">
        <x:v>46160</x:v>
      </x:c>
      <x:c r="J1832" s="37" t="n">
        <x:v>46160</x:v>
      </x:c>
      <x:c r="K1832" s="19" t="str">
        <x:v>Vanari Caravans - Marden Point</x:v>
      </x:c>
      <x:c r="L1832" s="19" t="str">
        <x:v>Z005</x:v>
      </x:c>
      <x:c r="M1832" s="19" t="str">
        <x:v>Pre Delivery Warranty Claims</x:v>
      </x:c>
      <x:c r="N1832" s="37" t="n">
        <x:v>46133</x:v>
      </x:c>
      <x:c r="O1832" s="37"/>
      <x:c r="P1832" s="34" t="n">
        <x:v>0</x:v>
      </x:c>
      <x:c r="Q1832" s="37" t="n">
        <x:v>46160.02226851852</x:v>
      </x:c>
    </x:row>
    <x:row r="1833">
      <x:c r="A1833" s="22" t="n">
        <x:v>33938</x:v>
      </x:c>
      <x:c r="B1833" s="28" t="n">
        <x:v>425</x:v>
      </x:c>
      <x:c r="C1833" s="28"/>
      <x:c r="D1833" s="31" t="str">
        <x:f>IF(OR(ISBLANK(B1833),ISBLANK(C1833),B1833=0),"",(C1833-B1833)/B1833)</x:f>
      </x:c>
      <x:c r="E1833" s="22" t="str">
        <x:f>IF(ISBLANK(C1833),"AmountIncludingTax缺失",IF(ABS(B1833-C1833)&lt;0.005,"一致","不一致"))</x:f>
        <x:v>AmountIncludingTax缺失</x:v>
      </x:c>
      <x:c r="F1833" s="19" t="str">
        <x:v>approved</x:v>
      </x:c>
      <x:c r="G1833" s="19" t="str">
        <x:v>Partially Picked</x:v>
      </x:c>
      <x:c r="H1833" s="19" t="str">
        <x:v>Pre Delivery</x:v>
      </x:c>
      <x:c r="I1833" s="37" t="n">
        <x:v>46155</x:v>
      </x:c>
      <x:c r="J1833" s="37" t="n">
        <x:v>46147</x:v>
      </x:c>
      <x:c r="K1833" s="19" t="str">
        <x:v>Snowy River Wangaratta</x:v>
      </x:c>
      <x:c r="L1833" s="19" t="str">
        <x:v>Z005</x:v>
      </x:c>
      <x:c r="M1833" s="19" t="str">
        <x:v>Pre Delivery Warranty Claims</x:v>
      </x:c>
      <x:c r="N1833" s="37" t="n">
        <x:v>46133</x:v>
      </x:c>
      <x:c r="O1833" s="37"/>
      <x:c r="P1833" s="34" t="n">
        <x:v>0</x:v>
      </x:c>
      <x:c r="Q1833" s="37" t="n">
        <x:v>46155.066724537035</x:v>
      </x:c>
    </x:row>
    <x:row r="1834">
      <x:c r="A1834" s="22" t="n">
        <x:v>33936</x:v>
      </x:c>
      <x:c r="B1834" s="28" t="n">
        <x:v>746.15</x:v>
      </x:c>
      <x:c r="C1834" s="28" t="n">
        <x:v>675.56</x:v>
      </x:c>
      <x:c r="D1834" s="31" t="n">
        <x:f>IF(OR(ISBLANK(B1834),ISBLANK(C1834),B1834=0),"",(C1834-B1834)/B1834)</x:f>
        <x:v>-0.09460564229712529</x:v>
      </x:c>
      <x:c r="E1834" s="22" t="str">
        <x:f>IF(ISBLANK(C1834),"AmountIncludingTax缺失",IF(ABS(B1834-C1834)&lt;0.005,"一致","不一致"))</x:f>
        <x:v>不一致</x:v>
      </x:c>
      <x:c r="F1834" s="19" t="str">
        <x:v>approved</x:v>
      </x:c>
      <x:c r="G1834" s="19" t="str">
        <x:v>Repairer Invoiced Processed</x:v>
      </x:c>
      <x:c r="H1834" s="19" t="str">
        <x:v>Pre Delivery</x:v>
      </x:c>
      <x:c r="I1834" s="37" t="n">
        <x:v>46142</x:v>
      </x:c>
      <x:c r="J1834" s="37" t="n">
        <x:v>46142</x:v>
      </x:c>
      <x:c r="K1834" s="19" t="str">
        <x:v>Vanari Caravans - Marden Point</x:v>
      </x:c>
      <x:c r="L1834" s="19" t="str">
        <x:v>Z005</x:v>
      </x:c>
      <x:c r="M1834" s="19" t="str">
        <x:v>Pre Delivery Warranty Claims</x:v>
      </x:c>
      <x:c r="N1834" s="37" t="n">
        <x:v>46133</x:v>
      </x:c>
      <x:c r="O1834" s="37"/>
      <x:c r="P1834" s="34" t="n">
        <x:v>675.56</x:v>
      </x:c>
      <x:c r="Q1834" s="37" t="n">
        <x:v>46142.4608912037</x:v>
      </x:c>
    </x:row>
    <x:row r="1835">
      <x:c r="A1835" s="22" t="n">
        <x:v>33935</x:v>
      </x:c>
      <x:c r="B1835" s="28" t="n">
        <x:v>1350</x:v>
      </x:c>
      <x:c r="C1835" s="28"/>
      <x:c r="D1835" s="31" t="str">
        <x:f>IF(OR(ISBLANK(B1835),ISBLANK(C1835),B1835=0),"",(C1835-B1835)/B1835)</x:f>
      </x:c>
      <x:c r="E1835" s="22" t="str">
        <x:f>IF(ISBLANK(C1835),"AmountIncludingTax缺失",IF(ABS(B1835-C1835)&lt;0.005,"一致","不一致"))</x:f>
        <x:v>AmountIncludingTax缺失</x:v>
      </x:c>
      <x:c r="F1835" s="19" t="str">
        <x:v>approved</x:v>
      </x:c>
      <x:c r="G1835" s="19" t="str">
        <x:v>Repair in Progress</x:v>
      </x:c>
      <x:c r="H1835" s="19" t="str">
        <x:v>In Field</x:v>
      </x:c>
      <x:c r="I1835" s="37" t="n">
        <x:v>46143</x:v>
      </x:c>
      <x:c r="J1835" s="37" t="n">
        <x:v>46143</x:v>
      </x:c>
      <x:c r="K1835" s="19" t="str">
        <x:v>Green RV - Forest Glen</x:v>
      </x:c>
      <x:c r="L1835" s="19" t="str">
        <x:v>Z006</x:v>
      </x:c>
      <x:c r="M1835" s="19" t="str">
        <x:v>In Field Warranty Claims</x:v>
      </x:c>
      <x:c r="N1835" s="37" t="n">
        <x:v>46133</x:v>
      </x:c>
      <x:c r="O1835" s="37"/>
      <x:c r="P1835" s="34" t="n">
        <x:v>1485</x:v>
      </x:c>
      <x:c r="Q1835" s="37" t="n">
        <x:v>46143.25067129629</x:v>
      </x:c>
    </x:row>
    <x:row r="1836">
      <x:c r="A1836" s="22" t="n">
        <x:v>33934</x:v>
      </x:c>
      <x:c r="B1836" s="28" t="n">
        <x:v>425</x:v>
      </x:c>
      <x:c r="C1836" s="28"/>
      <x:c r="D1836" s="31" t="str">
        <x:f>IF(OR(ISBLANK(B1836),ISBLANK(C1836),B1836=0),"",(C1836-B1836)/B1836)</x:f>
      </x:c>
      <x:c r="E1836" s="22" t="str">
        <x:f>IF(ISBLANK(C1836),"AmountIncludingTax缺失",IF(ABS(B1836-C1836)&lt;0.005,"一致","不一致"))</x:f>
        <x:v>AmountIncludingTax缺失</x:v>
      </x:c>
      <x:c r="F1836" s="19" t="str">
        <x:v>approved</x:v>
      </x:c>
      <x:c r="G1836" s="19" t="str">
        <x:v>Sales Order Approved</x:v>
      </x:c>
      <x:c r="H1836" s="19" t="str">
        <x:v>Pre Delivery</x:v>
      </x:c>
      <x:c r="I1836" s="37" t="n">
        <x:v>46147</x:v>
      </x:c>
      <x:c r="J1836" s="37" t="n">
        <x:v>46147</x:v>
      </x:c>
      <x:c r="K1836" s="19" t="str">
        <x:v>Snowy River Wangaratta</x:v>
      </x:c>
      <x:c r="L1836" s="19" t="str">
        <x:v>Z005</x:v>
      </x:c>
      <x:c r="M1836" s="19" t="str">
        <x:v>Pre Delivery Warranty Claims</x:v>
      </x:c>
      <x:c r="N1836" s="37" t="n">
        <x:v>46133</x:v>
      </x:c>
      <x:c r="O1836" s="37"/>
      <x:c r="P1836" s="34" t="n">
        <x:v>0</x:v>
      </x:c>
      <x:c r="Q1836" s="37" t="n">
        <x:v>46146.969930555555</x:v>
      </x:c>
    </x:row>
    <x:row r="1837">
      <x:c r="A1837" s="22" t="n">
        <x:v>33931</x:v>
      </x:c>
      <x:c r="B1837" s="28" t="n">
        <x:v>371.25</x:v>
      </x:c>
      <x:c r="C1837" s="28"/>
      <x:c r="D1837" s="31" t="str">
        <x:f>IF(OR(ISBLANK(B1837),ISBLANK(C1837),B1837=0),"",(C1837-B1837)/B1837)</x:f>
      </x:c>
      <x:c r="E1837" s="22" t="str">
        <x:f>IF(ISBLANK(C1837),"AmountIncludingTax缺失",IF(ABS(B1837-C1837)&lt;0.005,"一致","不一致"))</x:f>
        <x:v>AmountIncludingTax缺失</x:v>
      </x:c>
      <x:c r="F1837" s="19" t="str">
        <x:v>approved</x:v>
      </x:c>
      <x:c r="G1837" s="19" t="str">
        <x:v>Repair in Progress</x:v>
      </x:c>
      <x:c r="H1837" s="19" t="str">
        <x:v>In Field</x:v>
      </x:c>
      <x:c r="I1837" s="37" t="n">
        <x:v>46133</x:v>
      </x:c>
      <x:c r="J1837" s="37" t="n">
        <x:v>46133</x:v>
      </x:c>
      <x:c r="K1837" s="19" t="str">
        <x:v>Regent RV - Frankston</x:v>
      </x:c>
      <x:c r="L1837" s="19" t="str">
        <x:v>Z006</x:v>
      </x:c>
      <x:c r="M1837" s="19" t="str">
        <x:v>In Field Warranty Claims</x:v>
      </x:c>
      <x:c r="N1837" s="37" t="n">
        <x:v>46133</x:v>
      </x:c>
      <x:c r="O1837" s="37"/>
      <x:c r="P1837" s="34" t="n">
        <x:v>0</x:v>
      </x:c>
      <x:c r="Q1837" s="37" t="n">
        <x:v>46133.177395833336</x:v>
      </x:c>
    </x:row>
    <x:row r="1838">
      <x:c r="A1838" s="22" t="n">
        <x:v>33930</x:v>
      </x:c>
      <x:c r="B1838" s="28" t="n">
        <x:v>695</x:v>
      </x:c>
      <x:c r="C1838" s="28"/>
      <x:c r="D1838" s="31" t="str">
        <x:f>IF(OR(ISBLANK(B1838),ISBLANK(C1838),B1838=0),"",(C1838-B1838)/B1838)</x:f>
      </x:c>
      <x:c r="E1838" s="22" t="str">
        <x:f>IF(ISBLANK(C1838),"AmountIncludingTax缺失",IF(ABS(B1838-C1838)&lt;0.005,"一致","不一致"))</x:f>
        <x:v>AmountIncludingTax缺失</x:v>
      </x:c>
      <x:c r="F1838" s="19" t="str">
        <x:v>approved</x:v>
      </x:c>
      <x:c r="G1838" s="19" t="str">
        <x:v>Repair in Progress</x:v>
      </x:c>
      <x:c r="H1838" s="19" t="str">
        <x:v>In Field</x:v>
      </x:c>
      <x:c r="I1838" s="37" t="n">
        <x:v>46142</x:v>
      </x:c>
      <x:c r="J1838" s="37" t="n">
        <x:v>46142</x:v>
      </x:c>
      <x:c r="K1838" s="19" t="str">
        <x:v>Green RV - Forest Glen</x:v>
      </x:c>
      <x:c r="L1838" s="19" t="str">
        <x:v>Z006</x:v>
      </x:c>
      <x:c r="M1838" s="19" t="str">
        <x:v>In Field Warranty Claims</x:v>
      </x:c>
      <x:c r="N1838" s="37" t="n">
        <x:v>46133</x:v>
      </x:c>
      <x:c r="O1838" s="37"/>
      <x:c r="P1838" s="34" t="n">
        <x:v>0</x:v>
      </x:c>
      <x:c r="Q1838" s="37" t="n">
        <x:v>46141.85909722222</x:v>
      </x:c>
    </x:row>
    <x:row r="1839">
      <x:c r="A1839" s="22" t="n">
        <x:v>33928</x:v>
      </x:c>
      <x:c r="B1839" s="28" t="n">
        <x:v>472.5</x:v>
      </x:c>
      <x:c r="C1839" s="28"/>
      <x:c r="D1839" s="31" t="str">
        <x:f>IF(OR(ISBLANK(B1839),ISBLANK(C1839),B1839=0),"",(C1839-B1839)/B1839)</x:f>
      </x:c>
      <x:c r="E1839" s="22" t="str">
        <x:f>IF(ISBLANK(C1839),"AmountIncludingTax缺失",IF(ABS(B1839-C1839)&lt;0.005,"一致","不一致"))</x:f>
        <x:v>AmountIncludingTax缺失</x:v>
      </x:c>
      <x:c r="F1839" s="19" t="str">
        <x:v>approved</x:v>
      </x:c>
      <x:c r="G1839" s="19" t="str">
        <x:v>Repair in Progress</x:v>
      </x:c>
      <x:c r="H1839" s="19" t="str">
        <x:v>In Field</x:v>
      </x:c>
      <x:c r="I1839" s="37" t="n">
        <x:v>46142</x:v>
      </x:c>
      <x:c r="J1839" s="37" t="n">
        <x:v>46142</x:v>
      </x:c>
      <x:c r="K1839" s="19" t="str">
        <x:v>Regent RV - Perth</x:v>
      </x:c>
      <x:c r="L1839" s="19" t="str">
        <x:v>Z006</x:v>
      </x:c>
      <x:c r="M1839" s="19" t="str">
        <x:v>In Field Warranty Claims</x:v>
      </x:c>
      <x:c r="N1839" s="37" t="n">
        <x:v>46133</x:v>
      </x:c>
      <x:c r="O1839" s="37"/>
      <x:c r="P1839" s="34" t="n">
        <x:v>0</x:v>
      </x:c>
      <x:c r="Q1839" s="37" t="n">
        <x:v>46142.170381944445</x:v>
      </x:c>
    </x:row>
    <x:row r="1840">
      <x:c r="A1840" s="22" t="n">
        <x:v>33927</x:v>
      </x:c>
      <x:c r="B1840" s="28" t="n">
        <x:v>886.15</x:v>
      </x:c>
      <x:c r="C1840" s="28" t="n">
        <x:v>802.32</x:v>
      </x:c>
      <x:c r="D1840" s="31" t="n">
        <x:f>IF(OR(ISBLANK(B1840),ISBLANK(C1840),B1840=0),"",(C1840-B1840)/B1840)</x:f>
        <x:v>-0.09460023698019515</x:v>
      </x:c>
      <x:c r="E1840" s="22" t="str">
        <x:f>IF(ISBLANK(C1840),"AmountIncludingTax缺失",IF(ABS(B1840-C1840)&lt;0.005,"一致","不一致"))</x:f>
        <x:v>不一致</x:v>
      </x:c>
      <x:c r="F1840" s="19" t="str">
        <x:v>approved</x:v>
      </x:c>
      <x:c r="G1840" s="19" t="str">
        <x:v>Repairer Invoiced Processed</x:v>
      </x:c>
      <x:c r="H1840" s="19" t="str">
        <x:v>In Field</x:v>
      </x:c>
      <x:c r="I1840" s="37" t="n">
        <x:v>46162</x:v>
      </x:c>
      <x:c r="J1840" s="37" t="n">
        <x:v>46162</x:v>
      </x:c>
      <x:c r="K1840" s="19" t="str">
        <x:v>Vanari Caravans - Marden Point</x:v>
      </x:c>
      <x:c r="L1840" s="19" t="str">
        <x:v>Z006</x:v>
      </x:c>
      <x:c r="M1840" s="19" t="str">
        <x:v>In Field Warranty Claims</x:v>
      </x:c>
      <x:c r="N1840" s="37" t="n">
        <x:v>46133</x:v>
      </x:c>
      <x:c r="O1840" s="37"/>
      <x:c r="P1840" s="34" t="n">
        <x:v>802.32</x:v>
      </x:c>
      <x:c r="Q1840" s="37" t="n">
        <x:v>46162.122407407405</x:v>
      </x:c>
    </x:row>
    <x:row r="1841">
      <x:c r="A1841" s="22" t="n">
        <x:v>33926</x:v>
      </x:c>
      <x:c r="B1841" s="28" t="n">
        <x:v>595</x:v>
      </x:c>
      <x:c r="C1841" s="28"/>
      <x:c r="D1841" s="31" t="str">
        <x:f>IF(OR(ISBLANK(B1841),ISBLANK(C1841),B1841=0),"",(C1841-B1841)/B1841)</x:f>
      </x:c>
      <x:c r="E1841" s="22" t="str">
        <x:f>IF(ISBLANK(C1841),"AmountIncludingTax缺失",IF(ABS(B1841-C1841)&lt;0.005,"一致","不一致"))</x:f>
        <x:v>AmountIncludingTax缺失</x:v>
      </x:c>
      <x:c r="F1841" s="19" t="str">
        <x:v>approved</x:v>
      </x:c>
      <x:c r="G1841" s="19" t="str">
        <x:v>Repair in Progress</x:v>
      </x:c>
      <x:c r="H1841" s="19" t="str">
        <x:v>In Field</x:v>
      </x:c>
      <x:c r="I1841" s="37" t="n">
        <x:v>46148</x:v>
      </x:c>
      <x:c r="J1841" s="37" t="n">
        <x:v>46148</x:v>
      </x:c>
      <x:c r="K1841" s="19" t="str">
        <x:v>Dario Caravans - Pooraka</x:v>
      </x:c>
      <x:c r="L1841" s="19" t="str">
        <x:v>Z006</x:v>
      </x:c>
      <x:c r="M1841" s="19" t="str">
        <x:v>In Field Warranty Claims</x:v>
      </x:c>
      <x:c r="N1841" s="37" t="n">
        <x:v>46133</x:v>
      </x:c>
      <x:c r="O1841" s="37"/>
      <x:c r="P1841" s="34" t="n">
        <x:v>0</x:v>
      </x:c>
      <x:c r="Q1841" s="37" t="n">
        <x:v>46148.06453703704</x:v>
      </x:c>
    </x:row>
    <x:row r="1842">
      <x:c r="A1842" s="22" t="n">
        <x:v>33925</x:v>
      </x:c>
      <x:c r="B1842" s="28" t="n">
        <x:v>306.36</x:v>
      </x:c>
      <x:c r="C1842" s="28"/>
      <x:c r="D1842" s="31" t="str">
        <x:f>IF(OR(ISBLANK(B1842),ISBLANK(C1842),B1842=0),"",(C1842-B1842)/B1842)</x:f>
      </x:c>
      <x:c r="E1842" s="22" t="str">
        <x:f>IF(ISBLANK(C1842),"AmountIncludingTax缺失",IF(ABS(B1842-C1842)&lt;0.005,"一致","不一致"))</x:f>
        <x:v>AmountIncludingTax缺失</x:v>
      </x:c>
      <x:c r="F1842" s="19" t="str">
        <x:v>approved</x:v>
      </x:c>
      <x:c r="G1842" s="19" t="str">
        <x:v>Sales Order Approved</x:v>
      </x:c>
      <x:c r="H1842" s="19" t="str">
        <x:v>Pre Delivery</x:v>
      </x:c>
      <x:c r="I1842" s="37" t="n">
        <x:v>46192</x:v>
      </x:c>
      <x:c r="J1842" s="37" t="n">
        <x:v>46192</x:v>
      </x:c>
      <x:c r="K1842" s="19" t="str">
        <x:v>The Caravan Hub - Townsville</x:v>
      </x:c>
      <x:c r="L1842" s="19" t="str">
        <x:v>Z005</x:v>
      </x:c>
      <x:c r="M1842" s="19" t="str">
        <x:v>Pre Delivery Warranty Claims</x:v>
      </x:c>
      <x:c r="N1842" s="37" t="n">
        <x:v>46133</x:v>
      </x:c>
      <x:c r="O1842" s="37"/>
      <x:c r="P1842" s="34" t="n">
        <x:v>0</x:v>
      </x:c>
      <x:c r="Q1842" s="37" t="n">
        <x:v>46191.99408564815</x:v>
      </x:c>
    </x:row>
    <x:row r="1843">
      <x:c r="A1843" s="22" t="n">
        <x:v>33924</x:v>
      </x:c>
      <x:c r="B1843" s="28" t="n">
        <x:v>270</x:v>
      </x:c>
      <x:c r="C1843" s="28"/>
      <x:c r="D1843" s="31" t="str">
        <x:f>IF(OR(ISBLANK(B1843),ISBLANK(C1843),B1843=0),"",(C1843-B1843)/B1843)</x:f>
      </x:c>
      <x:c r="E1843" s="22" t="str">
        <x:f>IF(ISBLANK(C1843),"AmountIncludingTax缺失",IF(ABS(B1843-C1843)&lt;0.005,"一致","不一致"))</x:f>
        <x:v>AmountIncludingTax缺失</x:v>
      </x:c>
      <x:c r="F1843" s="19" t="str">
        <x:v>approved</x:v>
      </x:c>
      <x:c r="G1843" s="19" t="str">
        <x:v>Repair in Progress</x:v>
      </x:c>
      <x:c r="H1843" s="19" t="str">
        <x:v>In Field</x:v>
      </x:c>
      <x:c r="I1843" s="37" t="n">
        <x:v>46142</x:v>
      </x:c>
      <x:c r="J1843" s="37" t="n">
        <x:v>46142</x:v>
      </x:c>
      <x:c r="K1843" s="19" t="str">
        <x:v>Green RV - Forest Glen</x:v>
      </x:c>
      <x:c r="L1843" s="19" t="str">
        <x:v>Z006</x:v>
      </x:c>
      <x:c r="M1843" s="19" t="str">
        <x:v>In Field Warranty Claims</x:v>
      </x:c>
      <x:c r="N1843" s="37" t="n">
        <x:v>46133</x:v>
      </x:c>
      <x:c r="O1843" s="37"/>
      <x:c r="P1843" s="34" t="n">
        <x:v>0</x:v>
      </x:c>
      <x:c r="Q1843" s="37" t="n">
        <x:v>46141.86922453704</x:v>
      </x:c>
    </x:row>
    <x:row r="1844">
      <x:c r="A1844" s="22" t="n">
        <x:v>33922</x:v>
      </x:c>
      <x:c r="B1844" s="28" t="n">
        <x:v>61.37</x:v>
      </x:c>
      <x:c r="C1844" s="28"/>
      <x:c r="D1844" s="31" t="str">
        <x:f>IF(OR(ISBLANK(B1844),ISBLANK(C1844),B1844=0),"",(C1844-B1844)/B1844)</x:f>
      </x:c>
      <x:c r="E1844" s="22" t="str">
        <x:f>IF(ISBLANK(C1844),"AmountIncludingTax缺失",IF(ABS(B1844-C1844)&lt;0.005,"一致","不一致"))</x:f>
        <x:v>AmountIncludingTax缺失</x:v>
      </x:c>
      <x:c r="F1844" s="19" t="str">
        <x:v>approved</x:v>
      </x:c>
      <x:c r="G1844" s="19" t="str">
        <x:v>Repair in Progress</x:v>
      </x:c>
      <x:c r="H1844" s="19" t="str">
        <x:v>Pre Delivery</x:v>
      </x:c>
      <x:c r="I1844" s="37" t="n">
        <x:v>46142</x:v>
      </x:c>
      <x:c r="J1844" s="37" t="n">
        <x:v>46142</x:v>
      </x:c>
      <x:c r="K1844" s="19" t="str">
        <x:v>Green RV - Forest Glen</x:v>
      </x:c>
      <x:c r="L1844" s="19" t="str">
        <x:v>Z005</x:v>
      </x:c>
      <x:c r="M1844" s="19" t="str">
        <x:v>Pre Delivery Warranty Claims</x:v>
      </x:c>
      <x:c r="N1844" s="37" t="n">
        <x:v>46133</x:v>
      </x:c>
      <x:c r="O1844" s="37"/>
      <x:c r="P1844" s="34" t="n">
        <x:v>0</x:v>
      </x:c>
      <x:c r="Q1844" s="37" t="n">
        <x:v>46141.97346064815</x:v>
      </x:c>
    </x:row>
    <x:row r="1845">
      <x:c r="A1845" s="22" t="n">
        <x:v>33921</x:v>
      </x:c>
      <x:c r="B1845" s="28" t="n">
        <x:v>583.75</x:v>
      </x:c>
      <x:c r="C1845" s="28"/>
      <x:c r="D1845" s="31" t="str">
        <x:f>IF(OR(ISBLANK(B1845),ISBLANK(C1845),B1845=0),"",(C1845-B1845)/B1845)</x:f>
      </x:c>
      <x:c r="E1845" s="22" t="str">
        <x:f>IF(ISBLANK(C1845),"AmountIncludingTax缺失",IF(ABS(B1845-C1845)&lt;0.005,"一致","不一致"))</x:f>
        <x:v>AmountIncludingTax缺失</x:v>
      </x:c>
      <x:c r="F1845" s="19" t="str">
        <x:v>approved</x:v>
      </x:c>
      <x:c r="G1845" s="19" t="str">
        <x:v>Repairer Invoiced Processed</x:v>
      </x:c>
      <x:c r="H1845" s="19" t="str">
        <x:v>Pre Delivery</x:v>
      </x:c>
      <x:c r="I1845" s="37" t="n">
        <x:v>46148</x:v>
      </x:c>
      <x:c r="J1845" s="37" t="n">
        <x:v>46148</x:v>
      </x:c>
      <x:c r="K1845" s="19" t="str">
        <x:v>Green RV - Forest Glen</x:v>
      </x:c>
      <x:c r="L1845" s="19" t="str">
        <x:v>Z005</x:v>
      </x:c>
      <x:c r="M1845" s="19" t="str">
        <x:v>Pre Delivery Warranty Claims</x:v>
      </x:c>
      <x:c r="N1845" s="37" t="n">
        <x:v>46133</x:v>
      </x:c>
      <x:c r="O1845" s="37"/>
      <x:c r="P1845" s="34" t="n">
        <x:v>0</x:v>
      </x:c>
      <x:c r="Q1845" s="37" t="n">
        <x:v>46147.90590277778</x:v>
      </x:c>
    </x:row>
    <x:row r="1846">
      <x:c r="A1846" s="22" t="n">
        <x:v>33918</x:v>
      </x:c>
      <x:c r="B1846" s="28" t="n">
        <x:v>59.09</x:v>
      </x:c>
      <x:c r="C1846" s="28" t="n">
        <x:v>65</x:v>
      </x:c>
      <x:c r="D1846" s="31" t="n">
        <x:f>IF(OR(ISBLANK(B1846),ISBLANK(C1846),B1846=0),"",(C1846-B1846)/B1846)</x:f>
        <x:v>0.10001692333728204</x:v>
      </x:c>
      <x:c r="E1846" s="22" t="str">
        <x:f>IF(ISBLANK(C1846),"AmountIncludingTax缺失",IF(ABS(B1846-C1846)&lt;0.005,"一致","不一致"))</x:f>
        <x:v>不一致</x:v>
      </x:c>
      <x:c r="F1846" s="19" t="str">
        <x:v>approved</x:v>
      </x:c>
      <x:c r="G1846" s="19" t="str">
        <x:v>Repairer Invoiced Processed</x:v>
      </x:c>
      <x:c r="H1846" s="19" t="str">
        <x:v>In Field</x:v>
      </x:c>
      <x:c r="I1846" s="37" t="n">
        <x:v>46135</x:v>
      </x:c>
      <x:c r="J1846" s="37" t="n">
        <x:v>46135</x:v>
      </x:c>
      <x:c r="K1846" s="19" t="str">
        <x:v>Dario Caravans - Pooraka</x:v>
      </x:c>
      <x:c r="L1846" s="19" t="str">
        <x:v>Z006</x:v>
      </x:c>
      <x:c r="M1846" s="19" t="str">
        <x:v>In Field Warranty Claims</x:v>
      </x:c>
      <x:c r="N1846" s="37" t="n">
        <x:v>46134</x:v>
      </x:c>
      <x:c r="O1846" s="37"/>
      <x:c r="P1846" s="34" t="n">
        <x:v>65</x:v>
      </x:c>
      <x:c r="Q1846" s="37" t="n">
        <x:v>46134.91813657407</x:v>
      </x:c>
    </x:row>
    <x:row r="1847">
      <x:c r="A1847" s="22" t="n">
        <x:v>33916</x:v>
      </x:c>
      <x:c r="B1847" s="28" t="n">
        <x:v>207.5</x:v>
      </x:c>
      <x:c r="C1847" s="28"/>
      <x:c r="D1847" s="31" t="str">
        <x:f>IF(OR(ISBLANK(B1847),ISBLANK(C1847),B1847=0),"",(C1847-B1847)/B1847)</x:f>
      </x:c>
      <x:c r="E1847" s="22" t="str">
        <x:f>IF(ISBLANK(C1847),"AmountIncludingTax缺失",IF(ABS(B1847-C1847)&lt;0.005,"一致","不一致"))</x:f>
        <x:v>AmountIncludingTax缺失</x:v>
      </x:c>
      <x:c r="F1847" s="19" t="str">
        <x:v>approved</x:v>
      </x:c>
      <x:c r="G1847" s="19" t="str">
        <x:v>Repair in Progress</x:v>
      </x:c>
      <x:c r="H1847" s="19" t="str">
        <x:v>In Field</x:v>
      </x:c>
      <x:c r="I1847" s="37" t="n">
        <x:v>46135</x:v>
      </x:c>
      <x:c r="J1847" s="37" t="n">
        <x:v>46135</x:v>
      </x:c>
      <x:c r="K1847" s="19" t="str">
        <x:v>Dario Caravans -St.Marys</x:v>
      </x:c>
      <x:c r="L1847" s="19" t="str">
        <x:v>Z006</x:v>
      </x:c>
      <x:c r="M1847" s="19" t="str">
        <x:v>In Field Warranty Claims</x:v>
      </x:c>
      <x:c r="N1847" s="37" t="n">
        <x:v>46134</x:v>
      </x:c>
      <x:c r="O1847" s="37"/>
      <x:c r="P1847" s="34" t="n">
        <x:v>0</x:v>
      </x:c>
      <x:c r="Q1847" s="37" t="n">
        <x:v>46134.95342592592</x:v>
      </x:c>
    </x:row>
    <x:row r="1848">
      <x:c r="A1848" s="22" t="n">
        <x:v>33913</x:v>
      </x:c>
      <x:c r="B1848" s="28" t="n">
        <x:v>136.36</x:v>
      </x:c>
      <x:c r="C1848" s="28" t="n">
        <x:v>150</x:v>
      </x:c>
      <x:c r="D1848" s="31" t="n">
        <x:f>IF(OR(ISBLANK(B1848),ISBLANK(C1848),B1848=0),"",(C1848-B1848)/B1848)</x:f>
        <x:v>0.10002933411557631</x:v>
      </x:c>
      <x:c r="E1848" s="22" t="str">
        <x:f>IF(ISBLANK(C1848),"AmountIncludingTax缺失",IF(ABS(B1848-C1848)&lt;0.005,"一致","不一致"))</x:f>
        <x:v>不一致</x:v>
      </x:c>
      <x:c r="F1848" s="19" t="str">
        <x:v>approved</x:v>
      </x:c>
      <x:c r="G1848" s="19" t="str">
        <x:v>Repairer Invoiced Processed</x:v>
      </x:c>
      <x:c r="H1848" s="19" t="str">
        <x:v>In Field</x:v>
      </x:c>
      <x:c r="I1848" s="37" t="n">
        <x:v>46135</x:v>
      </x:c>
      <x:c r="J1848" s="37" t="n">
        <x:v>46135</x:v>
      </x:c>
      <x:c r="K1848" s="19" t="str">
        <x:v>Regent RV - Perth</x:v>
      </x:c>
      <x:c r="L1848" s="19" t="str">
        <x:v>Z006</x:v>
      </x:c>
      <x:c r="M1848" s="19" t="str">
        <x:v>In Field Warranty Claims</x:v>
      </x:c>
      <x:c r="N1848" s="37" t="n">
        <x:v>46133</x:v>
      </x:c>
      <x:c r="O1848" s="37"/>
      <x:c r="P1848" s="34" t="n">
        <x:v>150</x:v>
      </x:c>
      <x:c r="Q1848" s="37" t="n">
        <x:v>46134.92020833334</x:v>
      </x:c>
    </x:row>
    <x:row r="1849">
      <x:c r="A1849" s="22" t="n">
        <x:v>33911</x:v>
      </x:c>
      <x:c r="B1849" s="28" t="n">
        <x:v>360</x:v>
      </x:c>
      <x:c r="C1849" s="28" t="n">
        <x:v>396</x:v>
      </x:c>
      <x:c r="D1849" s="31" t="n">
        <x:f>IF(OR(ISBLANK(B1849),ISBLANK(C1849),B1849=0),"",(C1849-B1849)/B1849)</x:f>
        <x:v>0.1</x:v>
      </x:c>
      <x:c r="E1849" s="22" t="str">
        <x:f>IF(ISBLANK(C1849),"AmountIncludingTax缺失",IF(ABS(B1849-C1849)&lt;0.005,"一致","不一致"))</x:f>
        <x:v>不一致</x:v>
      </x:c>
      <x:c r="F1849" s="19" t="str">
        <x:v>approved</x:v>
      </x:c>
      <x:c r="G1849" s="19" t="str">
        <x:v>Repairer Invoiced Processed</x:v>
      </x:c>
      <x:c r="H1849" s="19" t="str">
        <x:v>In Field</x:v>
      </x:c>
      <x:c r="I1849" s="37" t="n">
        <x:v>46133</x:v>
      </x:c>
      <x:c r="J1849" s="37" t="n">
        <x:v>46133</x:v>
      </x:c>
      <x:c r="K1849" s="19" t="str">
        <x:v>Lesiure Lion-New Castle</x:v>
      </x:c>
      <x:c r="L1849" s="19" t="str">
        <x:v>Z006</x:v>
      </x:c>
      <x:c r="M1849" s="19" t="str">
        <x:v>In Field Warranty Claims</x:v>
      </x:c>
      <x:c r="N1849" s="37" t="n">
        <x:v>46133</x:v>
      </x:c>
      <x:c r="O1849" s="37"/>
      <x:c r="P1849" s="34" t="n">
        <x:v>396</x:v>
      </x:c>
      <x:c r="Q1849" s="37" t="n">
        <x:v>46133.12611111111</x:v>
      </x:c>
    </x:row>
    <x:row r="1850">
      <x:c r="A1850" s="22" t="n">
        <x:v>33910</x:v>
      </x:c>
      <x:c r="B1850" s="28" t="n">
        <x:v>695</x:v>
      </x:c>
      <x:c r="C1850" s="28"/>
      <x:c r="D1850" s="31" t="str">
        <x:f>IF(OR(ISBLANK(B1850),ISBLANK(C1850),B1850=0),"",(C1850-B1850)/B1850)</x:f>
      </x:c>
      <x:c r="E1850" s="22" t="str">
        <x:f>IF(ISBLANK(C1850),"AmountIncludingTax缺失",IF(ABS(B1850-C1850)&lt;0.005,"一致","不一致"))</x:f>
        <x:v>AmountIncludingTax缺失</x:v>
      </x:c>
      <x:c r="F1850" s="19" t="str">
        <x:v>approved</x:v>
      </x:c>
      <x:c r="G1850" s="19" t="str">
        <x:v>Repairer Invoiced Processed</x:v>
      </x:c>
      <x:c r="H1850" s="19" t="str">
        <x:v>Pre Delivery</x:v>
      </x:c>
      <x:c r="I1850" s="37" t="n">
        <x:v>46142</x:v>
      </x:c>
      <x:c r="J1850" s="37" t="n">
        <x:v>46142</x:v>
      </x:c>
      <x:c r="K1850" s="19" t="str">
        <x:v>Green RV - Forest Glen</x:v>
      </x:c>
      <x:c r="L1850" s="19" t="str">
        <x:v>Z005</x:v>
      </x:c>
      <x:c r="M1850" s="19" t="str">
        <x:v>Pre Delivery Warranty Claims</x:v>
      </x:c>
      <x:c r="N1850" s="37" t="n">
        <x:v>46133</x:v>
      </x:c>
      <x:c r="O1850" s="37"/>
      <x:c r="P1850" s="34" t="n">
        <x:v>0</x:v>
      </x:c>
      <x:c r="Q1850" s="37" t="n">
        <x:v>46141.97765046296</x:v>
      </x:c>
    </x:row>
    <x:row r="1851">
      <x:c r="A1851" s="22" t="n">
        <x:v>33909</x:v>
      </x:c>
      <x:c r="B1851" s="28" t="n">
        <x:v>445</x:v>
      </x:c>
      <x:c r="C1851" s="28"/>
      <x:c r="D1851" s="31" t="str">
        <x:f>IF(OR(ISBLANK(B1851),ISBLANK(C1851),B1851=0),"",(C1851-B1851)/B1851)</x:f>
      </x:c>
      <x:c r="E1851" s="22" t="str">
        <x:f>IF(ISBLANK(C1851),"AmountIncludingTax缺失",IF(ABS(B1851-C1851)&lt;0.005,"一致","不一致"))</x:f>
        <x:v>AmountIncludingTax缺失</x:v>
      </x:c>
      <x:c r="F1851" s="19" t="str">
        <x:v>approved</x:v>
      </x:c>
      <x:c r="G1851" s="19" t="str">
        <x:v>Partially Picked</x:v>
      </x:c>
      <x:c r="H1851" s="19" t="str">
        <x:v>Pre Delivery</x:v>
      </x:c>
      <x:c r="I1851" s="37" t="n">
        <x:v>46142</x:v>
      </x:c>
      <x:c r="J1851" s="37" t="n">
        <x:v>46142</x:v>
      </x:c>
      <x:c r="K1851" s="19" t="str">
        <x:v>Snowy River Wangaratta</x:v>
      </x:c>
      <x:c r="L1851" s="19" t="str">
        <x:v>Z005</x:v>
      </x:c>
      <x:c r="M1851" s="19" t="str">
        <x:v>Pre Delivery Warranty Claims</x:v>
      </x:c>
      <x:c r="N1851" s="37" t="n">
        <x:v>46133</x:v>
      </x:c>
      <x:c r="O1851" s="37"/>
      <x:c r="P1851" s="34" t="n">
        <x:v>0</x:v>
      </x:c>
      <x:c r="Q1851" s="37" t="n">
        <x:v>46141.973032407404</x:v>
      </x:c>
    </x:row>
    <x:row r="1852">
      <x:c r="A1852" s="22" t="n">
        <x:v>33908</x:v>
      </x:c>
      <x:c r="B1852" s="28" t="n">
        <x:v>1373</x:v>
      </x:c>
      <x:c r="C1852" s="28"/>
      <x:c r="D1852" s="31" t="str">
        <x:f>IF(OR(ISBLANK(B1852),ISBLANK(C1852),B1852=0),"",(C1852-B1852)/B1852)</x:f>
      </x:c>
      <x:c r="E1852" s="22" t="str">
        <x:f>IF(ISBLANK(C1852),"AmountIncludingTax缺失",IF(ABS(B1852-C1852)&lt;0.005,"一致","不一致"))</x:f>
        <x:v>AmountIncludingTax缺失</x:v>
      </x:c>
      <x:c r="F1852" s="19" t="str">
        <x:v>approved</x:v>
      </x:c>
      <x:c r="G1852" s="19" t="str">
        <x:v>Repairer Invoiced Processed</x:v>
      </x:c>
      <x:c r="H1852" s="19" t="str">
        <x:v>In Field</x:v>
      </x:c>
      <x:c r="I1852" s="37" t="n">
        <x:v>46189</x:v>
      </x:c>
      <x:c r="J1852" s="37" t="n">
        <x:v>46189</x:v>
      </x:c>
      <x:c r="K1852" s="19" t="str">
        <x:v>Newcastle RV Super Centre - Beresfield</x:v>
      </x:c>
      <x:c r="L1852" s="19" t="str">
        <x:v>Z006</x:v>
      </x:c>
      <x:c r="M1852" s="19" t="str">
        <x:v>In Field Warranty Claims</x:v>
      </x:c>
      <x:c r="N1852" s="37" t="n">
        <x:v>46133</x:v>
      </x:c>
      <x:c r="O1852" s="37"/>
      <x:c r="P1852" s="34" t="n">
        <x:v>1510.3</x:v>
      </x:c>
      <x:c r="Q1852" s="37" t="n">
        <x:v>46188.95302083333</x:v>
      </x:c>
    </x:row>
    <x:row r="1853">
      <x:c r="A1853" s="22" t="n">
        <x:v>33907</x:v>
      </x:c>
      <x:c r="B1853" s="28" t="n">
        <x:v>425</x:v>
      </x:c>
      <x:c r="C1853" s="28"/>
      <x:c r="D1853" s="31" t="str">
        <x:f>IF(OR(ISBLANK(B1853),ISBLANK(C1853),B1853=0),"",(C1853-B1853)/B1853)</x:f>
      </x:c>
      <x:c r="E1853" s="22" t="str">
        <x:f>IF(ISBLANK(C1853),"AmountIncludingTax缺失",IF(ABS(B1853-C1853)&lt;0.005,"一致","不一致"))</x:f>
        <x:v>AmountIncludingTax缺失</x:v>
      </x:c>
      <x:c r="F1853" s="19" t="str">
        <x:v>approved</x:v>
      </x:c>
      <x:c r="G1853" s="19" t="str">
        <x:v>Sales Order Approved</x:v>
      </x:c>
      <x:c r="H1853" s="19" t="str">
        <x:v>Pre Delivery</x:v>
      </x:c>
      <x:c r="I1853" s="37" t="n">
        <x:v>46147</x:v>
      </x:c>
      <x:c r="J1853" s="37" t="n">
        <x:v>46147</x:v>
      </x:c>
      <x:c r="K1853" s="19" t="str">
        <x:v>Snowy River Wangaratta</x:v>
      </x:c>
      <x:c r="L1853" s="19" t="str">
        <x:v>Z005</x:v>
      </x:c>
      <x:c r="M1853" s="19" t="str">
        <x:v>Pre Delivery Warranty Claims</x:v>
      </x:c>
      <x:c r="N1853" s="37" t="n">
        <x:v>46133</x:v>
      </x:c>
      <x:c r="O1853" s="37"/>
      <x:c r="P1853" s="34" t="n">
        <x:v>0</x:v>
      </x:c>
      <x:c r="Q1853" s="37" t="n">
        <x:v>46146.954305555555</x:v>
      </x:c>
    </x:row>
    <x:row r="1854">
      <x:c r="A1854" s="22" t="n">
        <x:v>33906</x:v>
      </x:c>
      <x:c r="B1854" s="28" t="n">
        <x:v>202.5</x:v>
      </x:c>
      <x:c r="C1854" s="28" t="n">
        <x:v>222.75</x:v>
      </x:c>
      <x:c r="D1854" s="31" t="n">
        <x:f>IF(OR(ISBLANK(B1854),ISBLANK(C1854),B1854=0),"",(C1854-B1854)/B1854)</x:f>
        <x:v>0.1</x:v>
      </x:c>
      <x:c r="E1854" s="22" t="str">
        <x:f>IF(ISBLANK(C1854),"AmountIncludingTax缺失",IF(ABS(B1854-C1854)&lt;0.005,"一致","不一致"))</x:f>
        <x:v>不一致</x:v>
      </x:c>
      <x:c r="F1854" s="19" t="str">
        <x:v>approved</x:v>
      </x:c>
      <x:c r="G1854" s="19" t="str">
        <x:v>Repairer Invoiced Processed</x:v>
      </x:c>
      <x:c r="H1854" s="19" t="str">
        <x:v>In Field</x:v>
      </x:c>
      <x:c r="I1854" s="37" t="n">
        <x:v>46202</x:v>
      </x:c>
      <x:c r="J1854" s="37" t="n">
        <x:v>46202</x:v>
      </x:c>
      <x:c r="K1854" s="19" t="str">
        <x:v>Green RV - Forest Glen</x:v>
      </x:c>
      <x:c r="L1854" s="19" t="str">
        <x:v>Z006</x:v>
      </x:c>
      <x:c r="M1854" s="19" t="str">
        <x:v>In Field Warranty Claims</x:v>
      </x:c>
      <x:c r="N1854" s="37" t="n">
        <x:v>46133</x:v>
      </x:c>
      <x:c r="O1854" s="37"/>
      <x:c r="P1854" s="34" t="n">
        <x:v>222.75</x:v>
      </x:c>
      <x:c r="Q1854" s="37" t="n">
        <x:v>46202.20564814815</x:v>
      </x:c>
    </x:row>
    <x:row r="1855">
      <x:c r="A1855" s="22" t="n">
        <x:v>33905</x:v>
      </x:c>
      <x:c r="B1855" s="28" t="n">
        <x:v>1215</x:v>
      </x:c>
      <x:c r="C1855" s="28"/>
      <x:c r="D1855" s="31" t="str">
        <x:f>IF(OR(ISBLANK(B1855),ISBLANK(C1855),B1855=0),"",(C1855-B1855)/B1855)</x:f>
      </x:c>
      <x:c r="E1855" s="22" t="str">
        <x:f>IF(ISBLANK(C1855),"AmountIncludingTax缺失",IF(ABS(B1855-C1855)&lt;0.005,"一致","不一致"))</x:f>
        <x:v>AmountIncludingTax缺失</x:v>
      </x:c>
      <x:c r="F1855" s="19" t="str">
        <x:v>approved</x:v>
      </x:c>
      <x:c r="G1855" s="19" t="str">
        <x:v>Repair in Progress</x:v>
      </x:c>
      <x:c r="H1855" s="19" t="str">
        <x:v>In Field</x:v>
      </x:c>
      <x:c r="I1855" s="37" t="n">
        <x:v>46136</x:v>
      </x:c>
      <x:c r="J1855" s="37" t="n">
        <x:v>46136</x:v>
      </x:c>
      <x:c r="K1855" s="19" t="str">
        <x:v>Green RV - Slacks Creek</x:v>
      </x:c>
      <x:c r="L1855" s="19" t="str">
        <x:v>Z006</x:v>
      </x:c>
      <x:c r="M1855" s="19" t="str">
        <x:v>In Field Warranty Claims</x:v>
      </x:c>
      <x:c r="N1855" s="37" t="n">
        <x:v>46133</x:v>
      </x:c>
      <x:c r="O1855" s="37"/>
      <x:c r="P1855" s="34" t="n">
        <x:v>0</x:v>
      </x:c>
      <x:c r="Q1855" s="37" t="n">
        <x:v>46136.02606481482</x:v>
      </x:c>
    </x:row>
    <x:row r="1856">
      <x:c r="A1856" s="22" t="n">
        <x:v>33904</x:v>
      </x:c>
      <x:c r="B1856" s="28" t="n">
        <x:v>44.55</x:v>
      </x:c>
      <x:c r="C1856" s="28"/>
      <x:c r="D1856" s="31" t="str">
        <x:f>IF(OR(ISBLANK(B1856),ISBLANK(C1856),B1856=0),"",(C1856-B1856)/B1856)</x:f>
      </x:c>
      <x:c r="E1856" s="22" t="str">
        <x:f>IF(ISBLANK(C1856),"AmountIncludingTax缺失",IF(ABS(B1856-C1856)&lt;0.005,"一致","不一致"))</x:f>
        <x:v>AmountIncludingTax缺失</x:v>
      </x:c>
      <x:c r="F1856" s="19" t="str">
        <x:v>approved</x:v>
      </x:c>
      <x:c r="G1856" s="19" t="str">
        <x:v>Repairer Invoiced Processed</x:v>
      </x:c>
      <x:c r="H1856" s="19" t="str">
        <x:v>In Field</x:v>
      </x:c>
      <x:c r="I1856" s="37" t="n">
        <x:v>46150</x:v>
      </x:c>
      <x:c r="J1856" s="37" t="n">
        <x:v>46150</x:v>
      </x:c>
      <x:c r="K1856" s="19" t="str">
        <x:v>Green RV - Forest Glen</x:v>
      </x:c>
      <x:c r="L1856" s="19" t="str">
        <x:v>Z006</x:v>
      </x:c>
      <x:c r="M1856" s="19" t="str">
        <x:v>In Field Warranty Claims</x:v>
      </x:c>
      <x:c r="N1856" s="37" t="n">
        <x:v>46133</x:v>
      </x:c>
      <x:c r="O1856" s="37"/>
      <x:c r="P1856" s="34" t="n">
        <x:v>0</x:v>
      </x:c>
      <x:c r="Q1856" s="37" t="n">
        <x:v>46149.94810185185</x:v>
      </x:c>
    </x:row>
    <x:row r="1857">
      <x:c r="A1857" s="22" t="n">
        <x:v>33903</x:v>
      </x:c>
      <x:c r="B1857" s="28" t="n">
        <x:v>1406.25</x:v>
      </x:c>
      <x:c r="C1857" s="28"/>
      <x:c r="D1857" s="31" t="str">
        <x:f>IF(OR(ISBLANK(B1857),ISBLANK(C1857),B1857=0),"",(C1857-B1857)/B1857)</x:f>
      </x:c>
      <x:c r="E1857" s="22" t="str">
        <x:f>IF(ISBLANK(C1857),"AmountIncludingTax缺失",IF(ABS(B1857-C1857)&lt;0.005,"一致","不一致"))</x:f>
        <x:v>AmountIncludingTax缺失</x:v>
      </x:c>
      <x:c r="F1857" s="19" t="str">
        <x:v>approved</x:v>
      </x:c>
      <x:c r="G1857" s="19" t="str">
        <x:v>Repair in Progress</x:v>
      </x:c>
      <x:c r="H1857" s="19" t="str">
        <x:v>In Field</x:v>
      </x:c>
      <x:c r="I1857" s="37" t="n">
        <x:v>46161</x:v>
      </x:c>
      <x:c r="J1857" s="37" t="n">
        <x:v>46161</x:v>
      </x:c>
      <x:c r="K1857" s="19" t="str">
        <x:v>Regent RV - Townsville</x:v>
      </x:c>
      <x:c r="L1857" s="19" t="str">
        <x:v>Z006</x:v>
      </x:c>
      <x:c r="M1857" s="19" t="str">
        <x:v>In Field Warranty Claims</x:v>
      </x:c>
      <x:c r="N1857" s="37" t="n">
        <x:v>46133</x:v>
      </x:c>
      <x:c r="O1857" s="37"/>
      <x:c r="P1857" s="34" t="n">
        <x:v>0</x:v>
      </x:c>
      <x:c r="Q1857" s="37" t="n">
        <x:v>46160.91378472222</x:v>
      </x:c>
    </x:row>
    <x:row r="1858">
      <x:c r="A1858" s="22" t="n">
        <x:v>33900</x:v>
      </x:c>
      <x:c r="B1858" s="28" t="n">
        <x:v>2130</x:v>
      </x:c>
      <x:c r="C1858" s="28"/>
      <x:c r="D1858" s="31" t="str">
        <x:f>IF(OR(ISBLANK(B1858),ISBLANK(C1858),B1858=0),"",(C1858-B1858)/B1858)</x:f>
      </x:c>
      <x:c r="E1858" s="22" t="str">
        <x:f>IF(ISBLANK(C1858),"AmountIncludingTax缺失",IF(ABS(B1858-C1858)&lt;0.005,"一致","不一致"))</x:f>
        <x:v>AmountIncludingTax缺失</x:v>
      </x:c>
      <x:c r="F1858" s="19" t="str">
        <x:v>approved</x:v>
      </x:c>
      <x:c r="G1858" s="19" t="str">
        <x:v>Sales Order Approved</x:v>
      </x:c>
      <x:c r="H1858" s="19" t="str">
        <x:v>Pre Delivery</x:v>
      </x:c>
      <x:c r="I1858" s="37" t="n">
        <x:v>46209</x:v>
      </x:c>
      <x:c r="J1858" s="37" t="n">
        <x:v>46209</x:v>
      </x:c>
      <x:c r="K1858" s="19" t="str">
        <x:v>The Caravan Hub - Townsville</x:v>
      </x:c>
      <x:c r="L1858" s="19" t="str">
        <x:v>Z005</x:v>
      </x:c>
      <x:c r="M1858" s="19" t="str">
        <x:v>Pre Delivery Warranty Claims</x:v>
      </x:c>
      <x:c r="N1858" s="37" t="n">
        <x:v>46133</x:v>
      </x:c>
      <x:c r="O1858" s="37"/>
      <x:c r="P1858" s="34" t="n">
        <x:v>0</x:v>
      </x:c>
      <x:c r="Q1858" s="37" t="n">
        <x:v>46209.16844907407</x:v>
      </x:c>
    </x:row>
    <x:row r="1859">
      <x:c r="A1859" s="22" t="n">
        <x:v>33899</x:v>
      </x:c>
      <x:c r="B1859" s="28" t="n">
        <x:v>275</x:v>
      </x:c>
      <x:c r="C1859" s="28"/>
      <x:c r="D1859" s="31" t="str">
        <x:f>IF(OR(ISBLANK(B1859),ISBLANK(C1859),B1859=0),"",(C1859-B1859)/B1859)</x:f>
      </x:c>
      <x:c r="E1859" s="22" t="str">
        <x:f>IF(ISBLANK(C1859),"AmountIncludingTax缺失",IF(ABS(B1859-C1859)&lt;0.005,"一致","不一致"))</x:f>
        <x:v>AmountIncludingTax缺失</x:v>
      </x:c>
      <x:c r="F1859" s="19" t="str">
        <x:v>approved</x:v>
      </x:c>
      <x:c r="G1859" s="19" t="str">
        <x:v>Repair in Progress</x:v>
      </x:c>
      <x:c r="H1859" s="19" t="str">
        <x:v>Pre Delivery</x:v>
      </x:c>
      <x:c r="I1859" s="37" t="n">
        <x:v>46136</x:v>
      </x:c>
      <x:c r="J1859" s="37" t="n">
        <x:v>46136</x:v>
      </x:c>
      <x:c r="K1859" s="19" t="str">
        <x:v>Green RV - Forest Glen</x:v>
      </x:c>
      <x:c r="L1859" s="19" t="str">
        <x:v>Z005</x:v>
      </x:c>
      <x:c r="M1859" s="19" t="str">
        <x:v>Pre Delivery Warranty Claims</x:v>
      </x:c>
      <x:c r="N1859" s="37" t="n">
        <x:v>46133</x:v>
      </x:c>
      <x:c r="O1859" s="37"/>
      <x:c r="P1859" s="34" t="n">
        <x:v>0</x:v>
      </x:c>
      <x:c r="Q1859" s="37" t="n">
        <x:v>46136.18193287037</x:v>
      </x:c>
    </x:row>
    <x:row r="1860">
      <x:c r="A1860" s="22" t="n">
        <x:v>33898</x:v>
      </x:c>
      <x:c r="B1860" s="28" t="n">
        <x:v>627.5</x:v>
      </x:c>
      <x:c r="C1860" s="28"/>
      <x:c r="D1860" s="31" t="str">
        <x:f>IF(OR(ISBLANK(B1860),ISBLANK(C1860),B1860=0),"",(C1860-B1860)/B1860)</x:f>
      </x:c>
      <x:c r="E1860" s="22" t="str">
        <x:f>IF(ISBLANK(C1860),"AmountIncludingTax缺失",IF(ABS(B1860-C1860)&lt;0.005,"一致","不一致"))</x:f>
        <x:v>AmountIncludingTax缺失</x:v>
      </x:c>
      <x:c r="F1860" s="19" t="str">
        <x:v>approved</x:v>
      </x:c>
      <x:c r="G1860" s="19" t="str">
        <x:v>Repair in Progress</x:v>
      </x:c>
      <x:c r="H1860" s="19" t="str">
        <x:v>In Field</x:v>
      </x:c>
      <x:c r="I1860" s="37" t="n">
        <x:v>46139</x:v>
      </x:c>
      <x:c r="J1860" s="37" t="n">
        <x:v>46139</x:v>
      </x:c>
      <x:c r="K1860" s="19" t="str">
        <x:v>Green RV - Forest Glen</x:v>
      </x:c>
      <x:c r="L1860" s="19" t="str">
        <x:v>Z006</x:v>
      </x:c>
      <x:c r="M1860" s="19" t="str">
        <x:v>In Field Warranty Claims</x:v>
      </x:c>
      <x:c r="N1860" s="37" t="n">
        <x:v>46133</x:v>
      </x:c>
      <x:c r="O1860" s="37"/>
      <x:c r="P1860" s="34" t="n">
        <x:v>0</x:v>
      </x:c>
      <x:c r="Q1860" s="37" t="n">
        <x:v>46139.16394675926</x:v>
      </x:c>
    </x:row>
    <x:row r="1861">
      <x:c r="A1861" s="22" t="n">
        <x:v>33897</x:v>
      </x:c>
      <x:c r="B1861" s="28" t="n">
        <x:v>279.09</x:v>
      </x:c>
      <x:c r="C1861" s="28"/>
      <x:c r="D1861" s="31" t="str">
        <x:f>IF(OR(ISBLANK(B1861),ISBLANK(C1861),B1861=0),"",(C1861-B1861)/B1861)</x:f>
      </x:c>
      <x:c r="E1861" s="22" t="str">
        <x:f>IF(ISBLANK(C1861),"AmountIncludingTax缺失",IF(ABS(B1861-C1861)&lt;0.005,"一致","不一致"))</x:f>
        <x:v>AmountIncludingTax缺失</x:v>
      </x:c>
      <x:c r="F1861" s="19" t="str">
        <x:v>approved</x:v>
      </x:c>
      <x:c r="G1861" s="19" t="str">
        <x:v>Repair in Progress</x:v>
      </x:c>
      <x:c r="H1861" s="19" t="str">
        <x:v>In Field</x:v>
      </x:c>
      <x:c r="I1861" s="37" t="n">
        <x:v>46149</x:v>
      </x:c>
      <x:c r="J1861" s="37" t="n">
        <x:v>46149</x:v>
      </x:c>
      <x:c r="K1861" s="19" t="str">
        <x:v>Regent RV - Toowoomba</x:v>
      </x:c>
      <x:c r="L1861" s="19" t="str">
        <x:v>Z006</x:v>
      </x:c>
      <x:c r="M1861" s="19" t="str">
        <x:v>In Field Warranty Claims</x:v>
      </x:c>
      <x:c r="N1861" s="37" t="n">
        <x:v>46133</x:v>
      </x:c>
      <x:c r="O1861" s="37"/>
      <x:c r="P1861" s="34" t="n">
        <x:v>0</x:v>
      </x:c>
      <x:c r="Q1861" s="37" t="n">
        <x:v>46149.23818287037</x:v>
      </x:c>
    </x:row>
    <x:row r="1862">
      <x:c r="A1862" s="22" t="n">
        <x:v>33896</x:v>
      </x:c>
      <x:c r="B1862" s="28" t="n">
        <x:v>135</x:v>
      </x:c>
      <x:c r="C1862" s="28"/>
      <x:c r="D1862" s="31" t="str">
        <x:f>IF(OR(ISBLANK(B1862),ISBLANK(C1862),B1862=0),"",(C1862-B1862)/B1862)</x:f>
      </x:c>
      <x:c r="E1862" s="22" t="str">
        <x:f>IF(ISBLANK(C1862),"AmountIncludingTax缺失",IF(ABS(B1862-C1862)&lt;0.005,"一致","不一致"))</x:f>
        <x:v>AmountIncludingTax缺失</x:v>
      </x:c>
      <x:c r="F1862" s="19" t="str">
        <x:v>approved</x:v>
      </x:c>
      <x:c r="G1862" s="19" t="str">
        <x:v>Repair in Progress</x:v>
      </x:c>
      <x:c r="H1862" s="19" t="str">
        <x:v>In Field</x:v>
      </x:c>
      <x:c r="I1862" s="37" t="n">
        <x:v>46160</x:v>
      </x:c>
      <x:c r="J1862" s="37" t="n">
        <x:v>46160</x:v>
      </x:c>
      <x:c r="K1862" s="19" t="str">
        <x:v>Newcastle RV Super Centre - Beresfield</x:v>
      </x:c>
      <x:c r="L1862" s="19" t="str">
        <x:v>Z006</x:v>
      </x:c>
      <x:c r="M1862" s="19" t="str">
        <x:v>In Field Warranty Claims</x:v>
      </x:c>
      <x:c r="N1862" s="37" t="n">
        <x:v>46133</x:v>
      </x:c>
      <x:c r="O1862" s="37"/>
      <x:c r="P1862" s="34" t="n">
        <x:v>0</x:v>
      </x:c>
      <x:c r="Q1862" s="37" t="n">
        <x:v>46160.249340277776</x:v>
      </x:c>
    </x:row>
    <x:row r="1863">
      <x:c r="A1863" s="22" t="n">
        <x:v>33895</x:v>
      </x:c>
      <x:c r="B1863" s="28" t="n">
        <x:v>270</x:v>
      </x:c>
      <x:c r="C1863" s="28"/>
      <x:c r="D1863" s="31" t="str">
        <x:f>IF(OR(ISBLANK(B1863),ISBLANK(C1863),B1863=0),"",(C1863-B1863)/B1863)</x:f>
      </x:c>
      <x:c r="E1863" s="22" t="str">
        <x:f>IF(ISBLANK(C1863),"AmountIncludingTax缺失",IF(ABS(B1863-C1863)&lt;0.005,"一致","不一致"))</x:f>
        <x:v>AmountIncludingTax缺失</x:v>
      </x:c>
      <x:c r="F1863" s="19" t="str">
        <x:v>approved</x:v>
      </x:c>
      <x:c r="G1863" s="19" t="str">
        <x:v>Repair in Progress</x:v>
      </x:c>
      <x:c r="H1863" s="19" t="str">
        <x:v>In Field</x:v>
      </x:c>
      <x:c r="I1863" s="37" t="n">
        <x:v>46133</x:v>
      </x:c>
      <x:c r="J1863" s="37" t="n">
        <x:v>46133</x:v>
      </x:c>
      <x:c r="K1863" s="19" t="str">
        <x:v>Green RV - Forest Glen</x:v>
      </x:c>
      <x:c r="L1863" s="19" t="str">
        <x:v>Z006</x:v>
      </x:c>
      <x:c r="M1863" s="19" t="str">
        <x:v>In Field Warranty Claims</x:v>
      </x:c>
      <x:c r="N1863" s="37" t="n">
        <x:v>46133</x:v>
      </x:c>
      <x:c r="O1863" s="37"/>
      <x:c r="P1863" s="34" t="n">
        <x:v>0</x:v>
      </x:c>
      <x:c r="Q1863" s="37" t="n">
        <x:v>46133.073275462964</x:v>
      </x:c>
    </x:row>
    <x:row r="1864">
      <x:c r="A1864" s="22" t="n">
        <x:v>33894</x:v>
      </x:c>
      <x:c r="B1864" s="28" t="n">
        <x:v>445</x:v>
      </x:c>
      <x:c r="C1864" s="28"/>
      <x:c r="D1864" s="31" t="str">
        <x:f>IF(OR(ISBLANK(B1864),ISBLANK(C1864),B1864=0),"",(C1864-B1864)/B1864)</x:f>
      </x:c>
      <x:c r="E1864" s="22" t="str">
        <x:f>IF(ISBLANK(C1864),"AmountIncludingTax缺失",IF(ABS(B1864-C1864)&lt;0.005,"一致","不一致"))</x:f>
        <x:v>AmountIncludingTax缺失</x:v>
      </x:c>
      <x:c r="F1864" s="19" t="str">
        <x:v>approved</x:v>
      </x:c>
      <x:c r="G1864" s="19" t="str">
        <x:v>Repair in Progress</x:v>
      </x:c>
      <x:c r="H1864" s="19" t="str">
        <x:v>Pre Delivery</x:v>
      </x:c>
      <x:c r="I1864" s="37" t="n">
        <x:v>46142</x:v>
      </x:c>
      <x:c r="J1864" s="37" t="n">
        <x:v>46142</x:v>
      </x:c>
      <x:c r="K1864" s="19" t="str">
        <x:v>Snowy River Wangaratta</x:v>
      </x:c>
      <x:c r="L1864" s="19" t="str">
        <x:v>Z005</x:v>
      </x:c>
      <x:c r="M1864" s="19" t="str">
        <x:v>Pre Delivery Warranty Claims</x:v>
      </x:c>
      <x:c r="N1864" s="37" t="n">
        <x:v>46133</x:v>
      </x:c>
      <x:c r="O1864" s="37"/>
      <x:c r="P1864" s="34" t="n">
        <x:v>0</x:v>
      </x:c>
      <x:c r="Q1864" s="37" t="n">
        <x:v>46141.969988425924</x:v>
      </x:c>
    </x:row>
    <x:row r="1865">
      <x:c r="A1865" s="22" t="n">
        <x:v>33893</x:v>
      </x:c>
      <x:c r="B1865" s="28" t="n">
        <x:v>1108</x:v>
      </x:c>
      <x:c r="C1865" s="28"/>
      <x:c r="D1865" s="31" t="str">
        <x:f>IF(OR(ISBLANK(B1865),ISBLANK(C1865),B1865=0),"",(C1865-B1865)/B1865)</x:f>
      </x:c>
      <x:c r="E1865" s="22" t="str">
        <x:f>IF(ISBLANK(C1865),"AmountIncludingTax缺失",IF(ABS(B1865-C1865)&lt;0.005,"一致","不一致"))</x:f>
        <x:v>AmountIncludingTax缺失</x:v>
      </x:c>
      <x:c r="F1865" s="19" t="str">
        <x:v>approved</x:v>
      </x:c>
      <x:c r="G1865" s="19" t="str">
        <x:v>Repair in Progress</x:v>
      </x:c>
      <x:c r="H1865" s="19" t="str">
        <x:v>In Field</x:v>
      </x:c>
      <x:c r="I1865" s="37" t="n">
        <x:v>46148</x:v>
      </x:c>
      <x:c r="J1865" s="37" t="n">
        <x:v>46148</x:v>
      </x:c>
      <x:c r="K1865" s="19" t="str">
        <x:v>QCCC - Gympie</x:v>
      </x:c>
      <x:c r="L1865" s="19" t="str">
        <x:v>Z006</x:v>
      </x:c>
      <x:c r="M1865" s="19" t="str">
        <x:v>In Field Warranty Claims</x:v>
      </x:c>
      <x:c r="N1865" s="37" t="n">
        <x:v>46133</x:v>
      </x:c>
      <x:c r="O1865" s="37"/>
      <x:c r="P1865" s="34" t="n">
        <x:v>0</x:v>
      </x:c>
      <x:c r="Q1865" s="37" t="n">
        <x:v>46147.88959490741</x:v>
      </x:c>
    </x:row>
    <x:row r="1866">
      <x:c r="A1866" s="22" t="n">
        <x:v>33891</x:v>
      </x:c>
      <x:c r="B1866" s="28" t="n">
        <x:v>982.5</x:v>
      </x:c>
      <x:c r="C1866" s="28"/>
      <x:c r="D1866" s="31" t="str">
        <x:f>IF(OR(ISBLANK(B1866),ISBLANK(C1866),B1866=0),"",(C1866-B1866)/B1866)</x:f>
      </x:c>
      <x:c r="E1866" s="22" t="str">
        <x:f>IF(ISBLANK(C1866),"AmountIncludingTax缺失",IF(ABS(B1866-C1866)&lt;0.005,"一致","不一致"))</x:f>
        <x:v>AmountIncludingTax缺失</x:v>
      </x:c>
      <x:c r="F1866" s="19" t="str">
        <x:v>approved</x:v>
      </x:c>
      <x:c r="G1866" s="19" t="str">
        <x:v>Partially Picked</x:v>
      </x:c>
      <x:c r="H1866" s="19" t="str">
        <x:v>In Field</x:v>
      </x:c>
      <x:c r="I1866" s="37" t="n">
        <x:v>46160</x:v>
      </x:c>
      <x:c r="J1866" s="37" t="n">
        <x:v>46160</x:v>
      </x:c>
      <x:c r="K1866" s="19" t="str">
        <x:v>The Caravan Hub - Townsville</x:v>
      </x:c>
      <x:c r="L1866" s="19" t="str">
        <x:v>Z006</x:v>
      </x:c>
      <x:c r="M1866" s="19" t="str">
        <x:v>In Field Warranty Claims</x:v>
      </x:c>
      <x:c r="N1866" s="37" t="n">
        <x:v>46133</x:v>
      </x:c>
      <x:c r="O1866" s="37"/>
      <x:c r="P1866" s="34" t="n">
        <x:v>0</x:v>
      </x:c>
      <x:c r="Q1866" s="37" t="n">
        <x:v>46160.083287037036</x:v>
      </x:c>
    </x:row>
    <x:row r="1867">
      <x:c r="A1867" s="22" t="n">
        <x:v>33890</x:v>
      </x:c>
      <x:c r="B1867" s="28" t="n">
        <x:v>334.62</x:v>
      </x:c>
      <x:c r="C1867" s="28" t="n">
        <x:v>368.08</x:v>
      </x:c>
      <x:c r="D1867" s="31" t="n">
        <x:f>IF(OR(ISBLANK(B1867),ISBLANK(C1867),B1867=0),"",(C1867-B1867)/B1867)</x:f>
        <x:v>0.09999402307094608</x:v>
      </x:c>
      <x:c r="E1867" s="22" t="str">
        <x:f>IF(ISBLANK(C1867),"AmountIncludingTax缺失",IF(ABS(B1867-C1867)&lt;0.005,"一致","不一致"))</x:f>
        <x:v>不一致</x:v>
      </x:c>
      <x:c r="F1867" s="19" t="str">
        <x:v>approved</x:v>
      </x:c>
      <x:c r="G1867" s="19" t="str">
        <x:v>Repairer Invoiced Processed</x:v>
      </x:c>
      <x:c r="H1867" s="19" t="str">
        <x:v>In Field</x:v>
      </x:c>
      <x:c r="I1867" s="37" t="n">
        <x:v>46171</x:v>
      </x:c>
      <x:c r="J1867" s="37" t="n">
        <x:v>46171</x:v>
      </x:c>
      <x:c r="K1867" s="19" t="str">
        <x:v>ABCO Caravans - Boambee Valley</x:v>
      </x:c>
      <x:c r="L1867" s="19" t="str">
        <x:v>Z006</x:v>
      </x:c>
      <x:c r="M1867" s="19" t="str">
        <x:v>In Field Warranty Claims</x:v>
      </x:c>
      <x:c r="N1867" s="37" t="n">
        <x:v>46133</x:v>
      </x:c>
      <x:c r="O1867" s="37"/>
      <x:c r="P1867" s="34" t="n">
        <x:v>368.08</x:v>
      </x:c>
      <x:c r="Q1867" s="37" t="n">
        <x:v>46170.92702546297</x:v>
      </x:c>
    </x:row>
    <x:row r="1868">
      <x:c r="A1868" s="22" t="n">
        <x:v>33889</x:v>
      </x:c>
      <x:c r="B1868" s="28" t="n">
        <x:v>540</x:v>
      </x:c>
      <x:c r="C1868" s="28"/>
      <x:c r="D1868" s="31" t="str">
        <x:f>IF(OR(ISBLANK(B1868),ISBLANK(C1868),B1868=0),"",(C1868-B1868)/B1868)</x:f>
      </x:c>
      <x:c r="E1868" s="22" t="str">
        <x:f>IF(ISBLANK(C1868),"AmountIncludingTax缺失",IF(ABS(B1868-C1868)&lt;0.005,"一致","不一致"))</x:f>
        <x:v>AmountIncludingTax缺失</x:v>
      </x:c>
      <x:c r="F1868" s="19" t="str">
        <x:v>approved</x:v>
      </x:c>
      <x:c r="G1868" s="19" t="str">
        <x:v>Repair in Progress</x:v>
      </x:c>
      <x:c r="H1868" s="19" t="str">
        <x:v>In Field</x:v>
      </x:c>
      <x:c r="I1868" s="37" t="n">
        <x:v>46148</x:v>
      </x:c>
      <x:c r="J1868" s="37" t="n">
        <x:v>46148</x:v>
      </x:c>
      <x:c r="K1868" s="19" t="str">
        <x:v>Green RV - Forest Glen</x:v>
      </x:c>
      <x:c r="L1868" s="19" t="str">
        <x:v>Z006</x:v>
      </x:c>
      <x:c r="M1868" s="19" t="str">
        <x:v>In Field Warranty Claims</x:v>
      </x:c>
      <x:c r="N1868" s="37" t="n">
        <x:v>46133</x:v>
      </x:c>
      <x:c r="O1868" s="37"/>
      <x:c r="P1868" s="34" t="n">
        <x:v>0</x:v>
      </x:c>
      <x:c r="Q1868" s="37" t="n">
        <x:v>46148.26998842593</x:v>
      </x:c>
    </x:row>
    <x:row r="1869">
      <x:c r="A1869" s="22" t="n">
        <x:v>33888</x:v>
      </x:c>
      <x:c r="B1869" s="28" t="n">
        <x:v>917.5</x:v>
      </x:c>
      <x:c r="C1869" s="28"/>
      <x:c r="D1869" s="31" t="str">
        <x:f>IF(OR(ISBLANK(B1869),ISBLANK(C1869),B1869=0),"",(C1869-B1869)/B1869)</x:f>
      </x:c>
      <x:c r="E1869" s="22" t="str">
        <x:f>IF(ISBLANK(C1869),"AmountIncludingTax缺失",IF(ABS(B1869-C1869)&lt;0.005,"一致","不一致"))</x:f>
        <x:v>AmountIncludingTax缺失</x:v>
      </x:c>
      <x:c r="F1869" s="19" t="str">
        <x:v>approved</x:v>
      </x:c>
      <x:c r="G1869" s="19" t="str">
        <x:v>Repairer Invoiced Processed</x:v>
      </x:c>
      <x:c r="H1869" s="19" t="str">
        <x:v>In Field</x:v>
      </x:c>
      <x:c r="I1869" s="37" t="n">
        <x:v>46142</x:v>
      </x:c>
      <x:c r="J1869" s="37" t="n">
        <x:v>46142</x:v>
      </x:c>
      <x:c r="K1869" s="19" t="str">
        <x:v>Snowy River Wangaratta</x:v>
      </x:c>
      <x:c r="L1869" s="19" t="str">
        <x:v>Z006</x:v>
      </x:c>
      <x:c r="M1869" s="19" t="str">
        <x:v>In Field Warranty Claims</x:v>
      </x:c>
      <x:c r="N1869" s="37" t="n">
        <x:v>46133</x:v>
      </x:c>
      <x:c r="O1869" s="37"/>
      <x:c r="P1869" s="34" t="n">
        <x:v>0</x:v>
      </x:c>
      <x:c r="Q1869" s="37" t="n">
        <x:v>46141.863541666666</x:v>
      </x:c>
    </x:row>
    <x:row r="1870">
      <x:c r="A1870" s="22" t="n">
        <x:v>33886</x:v>
      </x:c>
      <x:c r="B1870" s="28" t="n">
        <x:v>571.6</x:v>
      </x:c>
      <x:c r="C1870" s="28"/>
      <x:c r="D1870" s="31" t="str">
        <x:f>IF(OR(ISBLANK(B1870),ISBLANK(C1870),B1870=0),"",(C1870-B1870)/B1870)</x:f>
      </x:c>
      <x:c r="E1870" s="22" t="str">
        <x:f>IF(ISBLANK(C1870),"AmountIncludingTax缺失",IF(ABS(B1870-C1870)&lt;0.005,"一致","不一致"))</x:f>
        <x:v>AmountIncludingTax缺失</x:v>
      </x:c>
      <x:c r="F1870" s="19" t="str">
        <x:v>approved</x:v>
      </x:c>
      <x:c r="G1870" s="19" t="str">
        <x:v>Repair in Progress</x:v>
      </x:c>
      <x:c r="H1870" s="19" t="str">
        <x:v>Pre Delivery</x:v>
      </x:c>
      <x:c r="I1870" s="37" t="n">
        <x:v>46142</x:v>
      </x:c>
      <x:c r="J1870" s="37" t="n">
        <x:v>46142</x:v>
      </x:c>
      <x:c r="K1870" s="19" t="str">
        <x:v>Regent RV - Toowoomba</x:v>
      </x:c>
      <x:c r="L1870" s="19" t="str">
        <x:v>Z005</x:v>
      </x:c>
      <x:c r="M1870" s="19" t="str">
        <x:v>Pre Delivery Warranty Claims</x:v>
      </x:c>
      <x:c r="N1870" s="37" t="n">
        <x:v>46133</x:v>
      </x:c>
      <x:c r="O1870" s="37"/>
      <x:c r="P1870" s="34" t="n">
        <x:v>0</x:v>
      </x:c>
      <x:c r="Q1870" s="37" t="n">
        <x:v>46141.972650462965</x:v>
      </x:c>
    </x:row>
    <x:row r="1871">
      <x:c r="A1871" s="22" t="n">
        <x:v>33885</x:v>
      </x:c>
      <x:c r="B1871" s="28" t="n">
        <x:v>135</x:v>
      </x:c>
      <x:c r="C1871" s="28"/>
      <x:c r="D1871" s="31" t="str">
        <x:f>IF(OR(ISBLANK(B1871),ISBLANK(C1871),B1871=0),"",(C1871-B1871)/B1871)</x:f>
      </x:c>
      <x:c r="E1871" s="22" t="str">
        <x:f>IF(ISBLANK(C1871),"AmountIncludingTax缺失",IF(ABS(B1871-C1871)&lt;0.005,"一致","不一致"))</x:f>
        <x:v>AmountIncludingTax缺失</x:v>
      </x:c>
      <x:c r="F1871" s="19" t="str">
        <x:v>approved</x:v>
      </x:c>
      <x:c r="G1871" s="19" t="str">
        <x:v>Repair in Progress</x:v>
      </x:c>
      <x:c r="H1871" s="19" t="str">
        <x:v>In Field</x:v>
      </x:c>
      <x:c r="I1871" s="37" t="n">
        <x:v>46139</x:v>
      </x:c>
      <x:c r="J1871" s="37" t="n">
        <x:v>46139</x:v>
      </x:c>
      <x:c r="K1871" s="19" t="str">
        <x:v>Dario Caravans - Pooraka</x:v>
      </x:c>
      <x:c r="L1871" s="19" t="str">
        <x:v>Z006</x:v>
      </x:c>
      <x:c r="M1871" s="19" t="str">
        <x:v>In Field Warranty Claims</x:v>
      </x:c>
      <x:c r="N1871" s="37" t="n">
        <x:v>46132</x:v>
      </x:c>
      <x:c r="O1871" s="37"/>
      <x:c r="P1871" s="34" t="n">
        <x:v>0</x:v>
      </x:c>
      <x:c r="Q1871" s="37" t="n">
        <x:v>46139.20515046296</x:v>
      </x:c>
    </x:row>
    <x:row r="1872">
      <x:c r="A1872" s="22" t="n">
        <x:v>33884</x:v>
      </x:c>
      <x:c r="B1872" s="28" t="n">
        <x:v>121.25</x:v>
      </x:c>
      <x:c r="C1872" s="28"/>
      <x:c r="D1872" s="31" t="str">
        <x:f>IF(OR(ISBLANK(B1872),ISBLANK(C1872),B1872=0),"",(C1872-B1872)/B1872)</x:f>
      </x:c>
      <x:c r="E1872" s="22" t="str">
        <x:f>IF(ISBLANK(C1872),"AmountIncludingTax缺失",IF(ABS(B1872-C1872)&lt;0.005,"一致","不一致"))</x:f>
        <x:v>AmountIncludingTax缺失</x:v>
      </x:c>
      <x:c r="F1872" s="19" t="str">
        <x:v>approved</x:v>
      </x:c>
      <x:c r="G1872" s="19" t="str">
        <x:v>Repair in Progress</x:v>
      </x:c>
      <x:c r="H1872" s="19" t="str">
        <x:v>In Field</x:v>
      </x:c>
      <x:c r="I1872" s="37" t="n">
        <x:v>46147</x:v>
      </x:c>
      <x:c r="J1872" s="37" t="n">
        <x:v>46147</x:v>
      </x:c>
      <x:c r="K1872" s="19" t="str">
        <x:v>Regent RV - Toowoomba</x:v>
      </x:c>
      <x:c r="L1872" s="19" t="str">
        <x:v>Z006</x:v>
      </x:c>
      <x:c r="M1872" s="19" t="str">
        <x:v>In Field Warranty Claims</x:v>
      </x:c>
      <x:c r="N1872" s="37" t="n">
        <x:v>46132</x:v>
      </x:c>
      <x:c r="O1872" s="37"/>
      <x:c r="P1872" s="34" t="n">
        <x:v>0</x:v>
      </x:c>
      <x:c r="Q1872" s="37" t="n">
        <x:v>46146.95806712963</x:v>
      </x:c>
    </x:row>
    <x:row r="1873">
      <x:c r="A1873" s="22" t="n">
        <x:v>33882</x:v>
      </x:c>
      <x:c r="B1873" s="28" t="n">
        <x:v>77.5</x:v>
      </x:c>
      <x:c r="C1873" s="28"/>
      <x:c r="D1873" s="31" t="str">
        <x:f>IF(OR(ISBLANK(B1873),ISBLANK(C1873),B1873=0),"",(C1873-B1873)/B1873)</x:f>
      </x:c>
      <x:c r="E1873" s="22" t="str">
        <x:f>IF(ISBLANK(C1873),"AmountIncludingTax缺失",IF(ABS(B1873-C1873)&lt;0.005,"一致","不一致"))</x:f>
        <x:v>AmountIncludingTax缺失</x:v>
      </x:c>
      <x:c r="F1873" s="19" t="str">
        <x:v>approved</x:v>
      </x:c>
      <x:c r="G1873" s="19" t="str">
        <x:v>Repair in Progress</x:v>
      </x:c>
      <x:c r="H1873" s="19" t="str">
        <x:v>In Field</x:v>
      </x:c>
      <x:c r="I1873" s="37" t="n">
        <x:v>46133</x:v>
      </x:c>
      <x:c r="J1873" s="37" t="n">
        <x:v>46133</x:v>
      </x:c>
      <x:c r="K1873" s="19" t="str">
        <x:v>Green RV - Slacks Creek</x:v>
      </x:c>
      <x:c r="L1873" s="19" t="str">
        <x:v>Z006</x:v>
      </x:c>
      <x:c r="M1873" s="19" t="str">
        <x:v>In Field Warranty Claims</x:v>
      </x:c>
      <x:c r="N1873" s="37" t="n">
        <x:v>46132</x:v>
      </x:c>
      <x:c r="O1873" s="37"/>
      <x:c r="P1873" s="34" t="n">
        <x:v>0</x:v>
      </x:c>
      <x:c r="Q1873" s="37" t="n">
        <x:v>46132.989270833335</x:v>
      </x:c>
    </x:row>
    <x:row r="1874">
      <x:c r="A1874" s="22" t="n">
        <x:v>33881</x:v>
      </x:c>
      <x:c r="B1874" s="28" t="n">
        <x:v>1934</x:v>
      </x:c>
      <x:c r="C1874" s="28"/>
      <x:c r="D1874" s="31" t="str">
        <x:f>IF(OR(ISBLANK(B1874),ISBLANK(C1874),B1874=0),"",(C1874-B1874)/B1874)</x:f>
      </x:c>
      <x:c r="E1874" s="22" t="str">
        <x:f>IF(ISBLANK(C1874),"AmountIncludingTax缺失",IF(ABS(B1874-C1874)&lt;0.005,"一致","不一致"))</x:f>
        <x:v>AmountIncludingTax缺失</x:v>
      </x:c>
      <x:c r="F1874" s="19" t="str">
        <x:v>approved</x:v>
      </x:c>
      <x:c r="G1874" s="19" t="str">
        <x:v>Repairer Invoiced Processed</x:v>
      </x:c>
      <x:c r="H1874" s="19" t="str">
        <x:v>In Field</x:v>
      </x:c>
      <x:c r="I1874" s="37" t="n">
        <x:v>46188</x:v>
      </x:c>
      <x:c r="J1874" s="37" t="n">
        <x:v>46139</x:v>
      </x:c>
      <x:c r="K1874" s="19" t="str">
        <x:v>Green RV - Forest Glen</x:v>
      </x:c>
      <x:c r="L1874" s="19" t="str">
        <x:v>Z006</x:v>
      </x:c>
      <x:c r="M1874" s="19" t="str">
        <x:v>In Field Warranty Claims</x:v>
      </x:c>
      <x:c r="N1874" s="37" t="n">
        <x:v>46132</x:v>
      </x:c>
      <x:c r="O1874" s="37"/>
      <x:c r="P1874" s="34" t="n">
        <x:v>0</x:v>
      </x:c>
      <x:c r="Q1874" s="37" t="n">
        <x:v>46187.95805555556</x:v>
      </x:c>
    </x:row>
    <x:row r="1875">
      <x:c r="A1875" s="22" t="n">
        <x:v>33880</x:v>
      </x:c>
      <x:c r="B1875" s="28" t="n">
        <x:v>270</x:v>
      </x:c>
      <x:c r="C1875" s="28"/>
      <x:c r="D1875" s="31" t="str">
        <x:f>IF(OR(ISBLANK(B1875),ISBLANK(C1875),B1875=0),"",(C1875-B1875)/B1875)</x:f>
      </x:c>
      <x:c r="E1875" s="22" t="str">
        <x:f>IF(ISBLANK(C1875),"AmountIncludingTax缺失",IF(ABS(B1875-C1875)&lt;0.005,"一致","不一致"))</x:f>
        <x:v>AmountIncludingTax缺失</x:v>
      </x:c>
      <x:c r="F1875" s="19" t="str">
        <x:v>approved</x:v>
      </x:c>
      <x:c r="G1875" s="19" t="str">
        <x:v>Repair in Progress</x:v>
      </x:c>
      <x:c r="H1875" s="19" t="str">
        <x:v>In Field</x:v>
      </x:c>
      <x:c r="I1875" s="37" t="n">
        <x:v>46168</x:v>
      </x:c>
      <x:c r="J1875" s="37" t="n">
        <x:v>46168</x:v>
      </x:c>
      <x:c r="K1875" s="19" t="str">
        <x:v>Regent RV - Toowoomba</x:v>
      </x:c>
      <x:c r="L1875" s="19" t="str">
        <x:v>Z006</x:v>
      </x:c>
      <x:c r="M1875" s="19" t="str">
        <x:v>In Field Warranty Claims</x:v>
      </x:c>
      <x:c r="N1875" s="37" t="n">
        <x:v>46133</x:v>
      </x:c>
      <x:c r="O1875" s="37"/>
      <x:c r="P1875" s="34" t="n">
        <x:v>0</x:v>
      </x:c>
      <x:c r="Q1875" s="37" t="n">
        <x:v>46167.94400462963</x:v>
      </x:c>
    </x:row>
    <x:row r="1876">
      <x:c r="A1876" s="22" t="n">
        <x:v>33879</x:v>
      </x:c>
      <x:c r="B1876" s="28" t="n">
        <x:v>5940.9</x:v>
      </x:c>
      <x:c r="C1876" s="28"/>
      <x:c r="D1876" s="31" t="str">
        <x:f>IF(OR(ISBLANK(B1876),ISBLANK(C1876),B1876=0),"",(C1876-B1876)/B1876)</x:f>
      </x:c>
      <x:c r="E1876" s="22" t="str">
        <x:f>IF(ISBLANK(C1876),"AmountIncludingTax缺失",IF(ABS(B1876-C1876)&lt;0.005,"一致","不一致"))</x:f>
        <x:v>AmountIncludingTax缺失</x:v>
      </x:c>
      <x:c r="F1876" s="19" t="str">
        <x:v>approved</x:v>
      </x:c>
      <x:c r="G1876" s="19" t="str">
        <x:v>Repair in Progress</x:v>
      </x:c>
      <x:c r="H1876" s="19" t="str">
        <x:v>In Field</x:v>
      </x:c>
      <x:c r="I1876" s="37" t="n">
        <x:v>46133</x:v>
      </x:c>
      <x:c r="J1876" s="37" t="n">
        <x:v>46133</x:v>
      </x:c>
      <x:c r="K1876" s="19" t="str">
        <x:v>Green RV - Slacks Creek</x:v>
      </x:c>
      <x:c r="L1876" s="19" t="str">
        <x:v>Z006</x:v>
      </x:c>
      <x:c r="M1876" s="19" t="str">
        <x:v>In Field Warranty Claims</x:v>
      </x:c>
      <x:c r="N1876" s="37" t="n">
        <x:v>46133</x:v>
      </x:c>
      <x:c r="O1876" s="37"/>
      <x:c r="P1876" s="34" t="n">
        <x:v>6534.99</x:v>
      </x:c>
      <x:c r="Q1876" s="37" t="n">
        <x:v>46133.12967592593</x:v>
      </x:c>
    </x:row>
    <x:row r="1877">
      <x:c r="A1877" s="22" t="n">
        <x:v>33878</x:v>
      </x:c>
      <x:c r="B1877" s="28" t="n">
        <x:v>435</x:v>
      </x:c>
      <x:c r="C1877" s="28"/>
      <x:c r="D1877" s="31" t="str">
        <x:f>IF(OR(ISBLANK(B1877),ISBLANK(C1877),B1877=0),"",(C1877-B1877)/B1877)</x:f>
      </x:c>
      <x:c r="E1877" s="22" t="str">
        <x:f>IF(ISBLANK(C1877),"AmountIncludingTax缺失",IF(ABS(B1877-C1877)&lt;0.005,"一致","不一致"))</x:f>
        <x:v>AmountIncludingTax缺失</x:v>
      </x:c>
      <x:c r="F1877" s="19" t="str">
        <x:v>approved</x:v>
      </x:c>
      <x:c r="G1877" s="19" t="str">
        <x:v>Repair in Progress</x:v>
      </x:c>
      <x:c r="H1877" s="19" t="str">
        <x:v>In Field</x:v>
      </x:c>
      <x:c r="I1877" s="37" t="n">
        <x:v>46176</x:v>
      </x:c>
      <x:c r="J1877" s="37" t="n">
        <x:v>46176</x:v>
      </x:c>
      <x:c r="K1877" s="19" t="str">
        <x:v>Dario Caravans -St.Marys</x:v>
      </x:c>
      <x:c r="L1877" s="19" t="str">
        <x:v>Z006</x:v>
      </x:c>
      <x:c r="M1877" s="19" t="str">
        <x:v>In Field Warranty Claims</x:v>
      </x:c>
      <x:c r="N1877" s="37" t="n">
        <x:v>46133</x:v>
      </x:c>
      <x:c r="O1877" s="37"/>
      <x:c r="P1877" s="34" t="n">
        <x:v>0</x:v>
      </x:c>
      <x:c r="Q1877" s="37" t="n">
        <x:v>46176.04289351852</x:v>
      </x:c>
    </x:row>
    <x:row r="1878">
      <x:c r="A1878" s="22" t="n">
        <x:v>33876</x:v>
      </x:c>
      <x:c r="B1878" s="28" t="n">
        <x:v>135</x:v>
      </x:c>
      <x:c r="C1878" s="28"/>
      <x:c r="D1878" s="31" t="str">
        <x:f>IF(OR(ISBLANK(B1878),ISBLANK(C1878),B1878=0),"",(C1878-B1878)/B1878)</x:f>
      </x:c>
      <x:c r="E1878" s="22" t="str">
        <x:f>IF(ISBLANK(C1878),"AmountIncludingTax缺失",IF(ABS(B1878-C1878)&lt;0.005,"一致","不一致"))</x:f>
        <x:v>AmountIncludingTax缺失</x:v>
      </x:c>
      <x:c r="F1878" s="19" t="str">
        <x:v>approved</x:v>
      </x:c>
      <x:c r="G1878" s="19" t="str">
        <x:v>Repair in Progress</x:v>
      </x:c>
      <x:c r="H1878" s="19" t="str">
        <x:v>In Field</x:v>
      </x:c>
      <x:c r="I1878" s="37" t="n">
        <x:v>46154</x:v>
      </x:c>
      <x:c r="J1878" s="37" t="n">
        <x:v>46154</x:v>
      </x:c>
      <x:c r="K1878" s="19" t="str">
        <x:v>Regent RV - Perth</x:v>
      </x:c>
      <x:c r="L1878" s="19" t="str">
        <x:v>Z006</x:v>
      </x:c>
      <x:c r="M1878" s="19" t="str">
        <x:v>In Field Warranty Claims</x:v>
      </x:c>
      <x:c r="N1878" s="37" t="n">
        <x:v>46132</x:v>
      </x:c>
      <x:c r="O1878" s="37"/>
      <x:c r="P1878" s="34" t="n">
        <x:v>0</x:v>
      </x:c>
      <x:c r="Q1878" s="37" t="n">
        <x:v>46154.179085648146</x:v>
      </x:c>
    </x:row>
    <x:row r="1879">
      <x:c r="A1879" s="22" t="n">
        <x:v>33875</x:v>
      </x:c>
      <x:c r="B1879" s="28" t="n">
        <x:v>627.5</x:v>
      </x:c>
      <x:c r="C1879" s="28"/>
      <x:c r="D1879" s="31" t="str">
        <x:f>IF(OR(ISBLANK(B1879),ISBLANK(C1879),B1879=0),"",(C1879-B1879)/B1879)</x:f>
      </x:c>
      <x:c r="E1879" s="22" t="str">
        <x:f>IF(ISBLANK(C1879),"AmountIncludingTax缺失",IF(ABS(B1879-C1879)&lt;0.005,"一致","不一致"))</x:f>
        <x:v>AmountIncludingTax缺失</x:v>
      </x:c>
      <x:c r="F1879" s="19" t="str">
        <x:v>approved</x:v>
      </x:c>
      <x:c r="G1879" s="19" t="str">
        <x:v>Sales Order Approved</x:v>
      </x:c>
      <x:c r="H1879" s="19" t="str">
        <x:v>Pre Delivery</x:v>
      </x:c>
      <x:c r="I1879" s="37" t="n">
        <x:v>46189</x:v>
      </x:c>
      <x:c r="J1879" s="37" t="n">
        <x:v>46189</x:v>
      </x:c>
      <x:c r="K1879" s="19" t="str">
        <x:v>Regent RV - Toowoomba</x:v>
      </x:c>
      <x:c r="L1879" s="19" t="str">
        <x:v>Z005</x:v>
      </x:c>
      <x:c r="M1879" s="19" t="str">
        <x:v>Pre Delivery Warranty Claims</x:v>
      </x:c>
      <x:c r="N1879" s="37" t="n">
        <x:v>46132</x:v>
      </x:c>
      <x:c r="O1879" s="37"/>
      <x:c r="P1879" s="34" t="n">
        <x:v>0</x:v>
      </x:c>
      <x:c r="Q1879" s="37" t="n">
        <x:v>46189.30579861111</x:v>
      </x:c>
    </x:row>
    <x:row r="1880">
      <x:c r="A1880" s="22" t="n">
        <x:v>33874</x:v>
      </x:c>
      <x:c r="B1880" s="28" t="n">
        <x:v>713.75</x:v>
      </x:c>
      <x:c r="C1880" s="28"/>
      <x:c r="D1880" s="31" t="str">
        <x:f>IF(OR(ISBLANK(B1880),ISBLANK(C1880),B1880=0),"",(C1880-B1880)/B1880)</x:f>
      </x:c>
      <x:c r="E1880" s="22" t="str">
        <x:f>IF(ISBLANK(C1880),"AmountIncludingTax缺失",IF(ABS(B1880-C1880)&lt;0.005,"一致","不一致"))</x:f>
        <x:v>AmountIncludingTax缺失</x:v>
      </x:c>
      <x:c r="F1880" s="19" t="str">
        <x:v>approved</x:v>
      </x:c>
      <x:c r="G1880" s="19" t="str">
        <x:v>Repair in Progress</x:v>
      </x:c>
      <x:c r="H1880" s="19" t="str">
        <x:v>In Field</x:v>
      </x:c>
      <x:c r="I1880" s="37" t="n">
        <x:v>46161</x:v>
      </x:c>
      <x:c r="J1880" s="37" t="n">
        <x:v>46161</x:v>
      </x:c>
      <x:c r="K1880" s="19" t="str">
        <x:v>Regent RV - Townsville</x:v>
      </x:c>
      <x:c r="L1880" s="19" t="str">
        <x:v>Z006</x:v>
      </x:c>
      <x:c r="M1880" s="19" t="str">
        <x:v>In Field Warranty Claims</x:v>
      </x:c>
      <x:c r="N1880" s="37" t="n">
        <x:v>46132</x:v>
      </x:c>
      <x:c r="O1880" s="37"/>
      <x:c r="P1880" s="34" t="n">
        <x:v>0</x:v>
      </x:c>
      <x:c r="Q1880" s="37" t="n">
        <x:v>46160.92222222222</x:v>
      </x:c>
    </x:row>
    <x:row r="1881">
      <x:c r="A1881" s="22" t="n">
        <x:v>33873</x:v>
      </x:c>
      <x:c r="B1881" s="28" t="n">
        <x:v>671.25</x:v>
      </x:c>
      <x:c r="C1881" s="28"/>
      <x:c r="D1881" s="31" t="str">
        <x:f>IF(OR(ISBLANK(B1881),ISBLANK(C1881),B1881=0),"",(C1881-B1881)/B1881)</x:f>
      </x:c>
      <x:c r="E1881" s="22" t="str">
        <x:f>IF(ISBLANK(C1881),"AmountIncludingTax缺失",IF(ABS(B1881-C1881)&lt;0.005,"一致","不一致"))</x:f>
        <x:v>AmountIncludingTax缺失</x:v>
      </x:c>
      <x:c r="F1881" s="19" t="str">
        <x:v>approved</x:v>
      </x:c>
      <x:c r="G1881" s="19" t="str">
        <x:v>Repairer Invoiced Processed</x:v>
      </x:c>
      <x:c r="H1881" s="19" t="str">
        <x:v>Pre Delivery</x:v>
      </x:c>
      <x:c r="I1881" s="37" t="n">
        <x:v>46142</x:v>
      </x:c>
      <x:c r="J1881" s="37" t="n">
        <x:v>46142</x:v>
      </x:c>
      <x:c r="K1881" s="19" t="str">
        <x:v>Leisure Lion - Bundaberg</x:v>
      </x:c>
      <x:c r="L1881" s="19" t="str">
        <x:v>Z005</x:v>
      </x:c>
      <x:c r="M1881" s="19" t="str">
        <x:v>Pre Delivery Warranty Claims</x:v>
      </x:c>
      <x:c r="N1881" s="37" t="n">
        <x:v>46132</x:v>
      </x:c>
      <x:c r="O1881" s="37"/>
      <x:c r="P1881" s="34" t="n">
        <x:v>0</x:v>
      </x:c>
      <x:c r="Q1881" s="37" t="n">
        <x:v>46142.14366898148</x:v>
      </x:c>
    </x:row>
    <x:row r="1882">
      <x:c r="A1882" s="22" t="n">
        <x:v>33872</x:v>
      </x:c>
      <x:c r="B1882" s="28" t="n">
        <x:v>500</x:v>
      </x:c>
      <x:c r="C1882" s="28"/>
      <x:c r="D1882" s="31" t="str">
        <x:f>IF(OR(ISBLANK(B1882),ISBLANK(C1882),B1882=0),"",(C1882-B1882)/B1882)</x:f>
      </x:c>
      <x:c r="E1882" s="22" t="str">
        <x:f>IF(ISBLANK(C1882),"AmountIncludingTax缺失",IF(ABS(B1882-C1882)&lt;0.005,"一致","不一致"))</x:f>
        <x:v>AmountIncludingTax缺失</x:v>
      </x:c>
      <x:c r="F1882" s="19" t="str">
        <x:v>approved</x:v>
      </x:c>
      <x:c r="G1882" s="19" t="str">
        <x:v>Sales Order Approved</x:v>
      </x:c>
      <x:c r="H1882" s="19" t="str">
        <x:v>Pre Delivery</x:v>
      </x:c>
      <x:c r="I1882" s="37" t="n">
        <x:v>46142</x:v>
      </x:c>
      <x:c r="J1882" s="37" t="n">
        <x:v>46142</x:v>
      </x:c>
      <x:c r="K1882" s="19" t="str">
        <x:v>Green RV - Forest Glen</x:v>
      </x:c>
      <x:c r="L1882" s="19" t="str">
        <x:v>Z005</x:v>
      </x:c>
      <x:c r="M1882" s="19" t="str">
        <x:v>Pre Delivery Warranty Claims</x:v>
      </x:c>
      <x:c r="N1882" s="37" t="n">
        <x:v>46132</x:v>
      </x:c>
      <x:c r="O1882" s="37"/>
      <x:c r="P1882" s="34" t="n">
        <x:v>0</x:v>
      </x:c>
      <x:c r="Q1882" s="37" t="n">
        <x:v>46142.1649537037</x:v>
      </x:c>
    </x:row>
    <x:row r="1883">
      <x:c r="A1883" s="22" t="n">
        <x:v>33871</x:v>
      </x:c>
      <x:c r="B1883" s="28" t="n">
        <x:v>270</x:v>
      </x:c>
      <x:c r="C1883" s="28" t="n">
        <x:v>297</x:v>
      </x:c>
      <x:c r="D1883" s="31" t="n">
        <x:f>IF(OR(ISBLANK(B1883),ISBLANK(C1883),B1883=0),"",(C1883-B1883)/B1883)</x:f>
        <x:v>0.1</x:v>
      </x:c>
      <x:c r="E1883" s="22" t="str">
        <x:f>IF(ISBLANK(C1883),"AmountIncludingTax缺失",IF(ABS(B1883-C1883)&lt;0.005,"一致","不一致"))</x:f>
        <x:v>不一致</x:v>
      </x:c>
      <x:c r="F1883" s="19" t="str">
        <x:v>approved</x:v>
      </x:c>
      <x:c r="G1883" s="19" t="str">
        <x:v>Repairer Invoiced Processed</x:v>
      </x:c>
      <x:c r="H1883" s="19" t="str">
        <x:v>In Field</x:v>
      </x:c>
      <x:c r="I1883" s="37" t="n">
        <x:v>46156</x:v>
      </x:c>
      <x:c r="J1883" s="37" t="n">
        <x:v>46156</x:v>
      </x:c>
      <x:c r="K1883" s="19" t="str">
        <x:v>Lesiure Lion-New Castle</x:v>
      </x:c>
      <x:c r="L1883" s="19" t="str">
        <x:v>Z006</x:v>
      </x:c>
      <x:c r="M1883" s="19" t="str">
        <x:v>In Field Warranty Claims</x:v>
      </x:c>
      <x:c r="N1883" s="37" t="n">
        <x:v>46132</x:v>
      </x:c>
      <x:c r="O1883" s="37" t="n">
        <x:v>46133</x:v>
      </x:c>
      <x:c r="P1883" s="34" t="n">
        <x:v>297</x:v>
      </x:c>
      <x:c r="Q1883" s="37" t="n">
        <x:v>46156.18277777778</x:v>
      </x:c>
    </x:row>
    <x:row r="1884">
      <x:c r="A1884" s="22" t="n">
        <x:v>33870</x:v>
      </x:c>
      <x:c r="B1884" s="28" t="n">
        <x:v>1234.8</x:v>
      </x:c>
      <x:c r="C1884" s="28"/>
      <x:c r="D1884" s="31" t="str">
        <x:f>IF(OR(ISBLANK(B1884),ISBLANK(C1884),B1884=0),"",(C1884-B1884)/B1884)</x:f>
      </x:c>
      <x:c r="E1884" s="22" t="str">
        <x:f>IF(ISBLANK(C1884),"AmountIncludingTax缺失",IF(ABS(B1884-C1884)&lt;0.005,"一致","不一致"))</x:f>
        <x:v>AmountIncludingTax缺失</x:v>
      </x:c>
      <x:c r="F1884" s="19" t="str">
        <x:v>approved</x:v>
      </x:c>
      <x:c r="G1884" s="19" t="str">
        <x:v>Repair in Progress</x:v>
      </x:c>
      <x:c r="H1884" s="19" t="str">
        <x:v>Pre Delivery</x:v>
      </x:c>
      <x:c r="I1884" s="37" t="n">
        <x:v>46135</x:v>
      </x:c>
      <x:c r="J1884" s="37" t="n">
        <x:v>46135</x:v>
      </x:c>
      <x:c r="K1884" s="19" t="str">
        <x:v>Auswide Caravans - South Nowra</x:v>
      </x:c>
      <x:c r="L1884" s="19" t="str">
        <x:v>Z005</x:v>
      </x:c>
      <x:c r="M1884" s="19" t="str">
        <x:v>Pre Delivery Warranty Claims</x:v>
      </x:c>
      <x:c r="N1884" s="37" t="n">
        <x:v>46134</x:v>
      </x:c>
      <x:c r="O1884" s="37"/>
      <x:c r="P1884" s="34" t="n">
        <x:v>1358.28</x:v>
      </x:c>
      <x:c r="Q1884" s="37" t="n">
        <x:v>46134.94322916667</x:v>
      </x:c>
    </x:row>
    <x:row r="1885">
      <x:c r="A1885" s="22" t="n">
        <x:v>33869</x:v>
      </x:c>
      <x:c r="B1885" s="28" t="n">
        <x:v>4822</x:v>
      </x:c>
      <x:c r="C1885" s="28"/>
      <x:c r="D1885" s="31" t="str">
        <x:f>IF(OR(ISBLANK(B1885),ISBLANK(C1885),B1885=0),"",(C1885-B1885)/B1885)</x:f>
      </x:c>
      <x:c r="E1885" s="22" t="str">
        <x:f>IF(ISBLANK(C1885),"AmountIncludingTax缺失",IF(ABS(B1885-C1885)&lt;0.005,"一致","不一致"))</x:f>
        <x:v>AmountIncludingTax缺失</x:v>
      </x:c>
      <x:c r="F1885" s="19" t="str">
        <x:v>approved</x:v>
      </x:c>
      <x:c r="G1885" s="19" t="str">
        <x:v>Repairer Invoiced Processed</x:v>
      </x:c>
      <x:c r="H1885" s="19" t="str">
        <x:v>In Field</x:v>
      </x:c>
      <x:c r="I1885" s="37" t="n">
        <x:v>46205</x:v>
      </x:c>
      <x:c r="J1885" s="37" t="n">
        <x:v>46134</x:v>
      </x:c>
      <x:c r="K1885" s="19" t="str">
        <x:v>Green RV - Forest Glen</x:v>
      </x:c>
      <x:c r="L1885" s="19" t="str">
        <x:v>Z006</x:v>
      </x:c>
      <x:c r="M1885" s="19" t="str">
        <x:v>In Field Warranty Claims</x:v>
      </x:c>
      <x:c r="N1885" s="37" t="n">
        <x:v>46133</x:v>
      </x:c>
      <x:c r="O1885" s="37"/>
      <x:c r="P1885" s="34" t="n">
        <x:v>5304.2</x:v>
      </x:c>
      <x:c r="Q1885" s="37" t="n">
        <x:v>46205.11605324074</x:v>
      </x:c>
    </x:row>
    <x:row r="1886">
      <x:c r="A1886" s="22" t="n">
        <x:v>33868</x:v>
      </x:c>
      <x:c r="B1886" s="28" t="n">
        <x:v>72</x:v>
      </x:c>
      <x:c r="C1886" s="28" t="n">
        <x:v>79.2</x:v>
      </x:c>
      <x:c r="D1886" s="31" t="n">
        <x:f>IF(OR(ISBLANK(B1886),ISBLANK(C1886),B1886=0),"",(C1886-B1886)/B1886)</x:f>
        <x:v>0.10000000000000003</x:v>
      </x:c>
      <x:c r="E1886" s="22" t="str">
        <x:f>IF(ISBLANK(C1886),"AmountIncludingTax缺失",IF(ABS(B1886-C1886)&lt;0.005,"一致","不一致"))</x:f>
        <x:v>不一致</x:v>
      </x:c>
      <x:c r="F1886" s="19" t="str">
        <x:v>approved</x:v>
      </x:c>
      <x:c r="G1886" s="19" t="str">
        <x:v>Repairer Invoiced Processed</x:v>
      </x:c>
      <x:c r="H1886" s="19" t="str">
        <x:v>In Field</x:v>
      </x:c>
      <x:c r="I1886" s="37" t="n">
        <x:v>46134</x:v>
      </x:c>
      <x:c r="J1886" s="37" t="n">
        <x:v>46134</x:v>
      </x:c>
      <x:c r="K1886" s="19" t="str">
        <x:v>Leisure Lion Pty Ltd - Gympie</x:v>
      </x:c>
      <x:c r="L1886" s="19" t="str">
        <x:v>Z006</x:v>
      </x:c>
      <x:c r="M1886" s="19" t="str">
        <x:v>In Field Warranty Claims</x:v>
      </x:c>
      <x:c r="N1886" s="37" t="n">
        <x:v>46133</x:v>
      </x:c>
      <x:c r="O1886" s="37"/>
      <x:c r="P1886" s="34" t="n">
        <x:v>79.2</x:v>
      </x:c>
      <x:c r="Q1886" s="37" t="n">
        <x:v>46133.96407407407</x:v>
      </x:c>
    </x:row>
    <x:row r="1887">
      <x:c r="A1887" s="22" t="n">
        <x:v>33863</x:v>
      </x:c>
      <x:c r="B1887" s="28" t="n">
        <x:v>231.36</x:v>
      </x:c>
      <x:c r="C1887" s="28" t="n">
        <x:v>254.5</x:v>
      </x:c>
      <x:c r="D1887" s="31" t="n">
        <x:f>IF(OR(ISBLANK(B1887),ISBLANK(C1887),B1887=0),"",(C1887-B1887)/B1887)</x:f>
        <x:v>0.1000172890733056</x:v>
      </x:c>
      <x:c r="E1887" s="22" t="str">
        <x:f>IF(ISBLANK(C1887),"AmountIncludingTax缺失",IF(ABS(B1887-C1887)&lt;0.005,"一致","不一致"))</x:f>
        <x:v>不一致</x:v>
      </x:c>
      <x:c r="F1887" s="19" t="str">
        <x:v>approved</x:v>
      </x:c>
      <x:c r="G1887" s="19" t="str">
        <x:v>Repairer Invoiced Processed</x:v>
      </x:c>
      <x:c r="H1887" s="19" t="str">
        <x:v>In Field</x:v>
      </x:c>
      <x:c r="I1887" s="37" t="n">
        <x:v>46133</x:v>
      </x:c>
      <x:c r="J1887" s="37" t="n">
        <x:v>46133</x:v>
      </x:c>
      <x:c r="K1887" s="19" t="str">
        <x:v>Regent RV - Perth</x:v>
      </x:c>
      <x:c r="L1887" s="19" t="str">
        <x:v>Z006</x:v>
      </x:c>
      <x:c r="M1887" s="19" t="str">
        <x:v>In Field Warranty Claims</x:v>
      </x:c>
      <x:c r="N1887" s="37" t="n">
        <x:v>46132</x:v>
      </x:c>
      <x:c r="O1887" s="37"/>
      <x:c r="P1887" s="34" t="n">
        <x:v>254.5</x:v>
      </x:c>
      <x:c r="Q1887" s="37" t="n">
        <x:v>46133.22744212963</x:v>
      </x:c>
    </x:row>
    <x:row r="1888">
      <x:c r="A1888" s="22" t="n">
        <x:v>33859</x:v>
      </x:c>
      <x:c r="B1888" s="28" t="n">
        <x:v>1288.75</x:v>
      </x:c>
      <x:c r="C1888" s="28"/>
      <x:c r="D1888" s="31" t="str">
        <x:f>IF(OR(ISBLANK(B1888),ISBLANK(C1888),B1888=0),"",(C1888-B1888)/B1888)</x:f>
      </x:c>
      <x:c r="E1888" s="22" t="str">
        <x:f>IF(ISBLANK(C1888),"AmountIncludingTax缺失",IF(ABS(B1888-C1888)&lt;0.005,"一致","不一致"))</x:f>
        <x:v>AmountIncludingTax缺失</x:v>
      </x:c>
      <x:c r="F1888" s="19" t="str">
        <x:v>approved</x:v>
      </x:c>
      <x:c r="G1888" s="19" t="str">
        <x:v>Repair in Progress</x:v>
      </x:c>
      <x:c r="H1888" s="19" t="str">
        <x:v>Pre Delivery</x:v>
      </x:c>
      <x:c r="I1888" s="37" t="n">
        <x:v>46142</x:v>
      </x:c>
      <x:c r="J1888" s="37" t="n">
        <x:v>46142</x:v>
      </x:c>
      <x:c r="K1888" s="19" t="str">
        <x:v>Leisure Lion - Bundaberg</x:v>
      </x:c>
      <x:c r="L1888" s="19" t="str">
        <x:v>Z005</x:v>
      </x:c>
      <x:c r="M1888" s="19" t="str">
        <x:v>Pre Delivery Warranty Claims</x:v>
      </x:c>
      <x:c r="N1888" s="37" t="n">
        <x:v>46132</x:v>
      </x:c>
      <x:c r="O1888" s="37"/>
      <x:c r="P1888" s="34" t="n">
        <x:v>0</x:v>
      </x:c>
      <x:c r="Q1888" s="37" t="n">
        <x:v>46141.84553240741</x:v>
      </x:c>
    </x:row>
    <x:row r="1889">
      <x:c r="A1889" s="22" t="n">
        <x:v>33855</x:v>
      </x:c>
      <x:c r="B1889" s="28" t="n">
        <x:v>506.25</x:v>
      </x:c>
      <x:c r="C1889" s="28"/>
      <x:c r="D1889" s="31" t="str">
        <x:f>IF(OR(ISBLANK(B1889),ISBLANK(C1889),B1889=0),"",(C1889-B1889)/B1889)</x:f>
      </x:c>
      <x:c r="E1889" s="22" t="str">
        <x:f>IF(ISBLANK(C1889),"AmountIncludingTax缺失",IF(ABS(B1889-C1889)&lt;0.005,"一致","不一致"))</x:f>
        <x:v>AmountIncludingTax缺失</x:v>
      </x:c>
      <x:c r="F1889" s="19" t="str">
        <x:v>approved</x:v>
      </x:c>
      <x:c r="G1889" s="19" t="str">
        <x:v>Repair in Progress</x:v>
      </x:c>
      <x:c r="H1889" s="19" t="str">
        <x:v>In Field</x:v>
      </x:c>
      <x:c r="I1889" s="37" t="n">
        <x:v>46156</x:v>
      </x:c>
      <x:c r="J1889" s="37" t="n">
        <x:v>46156</x:v>
      </x:c>
      <x:c r="K1889" s="19" t="str">
        <x:v>Regent RV - Perth</x:v>
      </x:c>
      <x:c r="L1889" s="19" t="str">
        <x:v>Z006</x:v>
      </x:c>
      <x:c r="M1889" s="19" t="str">
        <x:v>In Field Warranty Claims</x:v>
      </x:c>
      <x:c r="N1889" s="37" t="n">
        <x:v>46132</x:v>
      </x:c>
      <x:c r="O1889" s="37"/>
      <x:c r="P1889" s="34" t="n">
        <x:v>0</x:v>
      </x:c>
      <x:c r="Q1889" s="37" t="n">
        <x:v>46156.08733796296</x:v>
      </x:c>
    </x:row>
    <x:row r="1890">
      <x:c r="A1890" s="22" t="n">
        <x:v>33854</x:v>
      </x:c>
      <x:c r="B1890" s="28" t="n">
        <x:v>91.84</x:v>
      </x:c>
      <x:c r="C1890" s="28"/>
      <x:c r="D1890" s="31" t="str">
        <x:f>IF(OR(ISBLANK(B1890),ISBLANK(C1890),B1890=0),"",(C1890-B1890)/B1890)</x:f>
      </x:c>
      <x:c r="E1890" s="22" t="str">
        <x:f>IF(ISBLANK(C1890),"AmountIncludingTax缺失",IF(ABS(B1890-C1890)&lt;0.005,"一致","不一致"))</x:f>
        <x:v>AmountIncludingTax缺失</x:v>
      </x:c>
      <x:c r="F1890" s="19" t="str">
        <x:v>approved</x:v>
      </x:c>
      <x:c r="G1890" s="19" t="str">
        <x:v>Sales Order Approved</x:v>
      </x:c>
      <x:c r="H1890" s="19" t="str">
        <x:v>In Field</x:v>
      </x:c>
      <x:c r="I1890" s="37" t="n">
        <x:v>46161</x:v>
      </x:c>
      <x:c r="J1890" s="37" t="n">
        <x:v>46161</x:v>
      </x:c>
      <x:c r="K1890" s="19" t="str">
        <x:v>Regent RV - Townsville</x:v>
      </x:c>
      <x:c r="L1890" s="19" t="str">
        <x:v>Z006</x:v>
      </x:c>
      <x:c r="M1890" s="19" t="str">
        <x:v>In Field Warranty Claims</x:v>
      </x:c>
      <x:c r="N1890" s="37" t="n">
        <x:v>46132</x:v>
      </x:c>
      <x:c r="O1890" s="37"/>
      <x:c r="P1890" s="34" t="n">
        <x:v>0</x:v>
      </x:c>
      <x:c r="Q1890" s="37" t="n">
        <x:v>46160.92525462963</x:v>
      </x:c>
    </x:row>
    <x:row r="1891">
      <x:c r="A1891" s="22" t="n">
        <x:v>33853</x:v>
      </x:c>
      <x:c r="B1891" s="28" t="n">
        <x:v>81.82</x:v>
      </x:c>
      <x:c r="C1891" s="28" t="n">
        <x:v>90</x:v>
      </x:c>
      <x:c r="D1891" s="31" t="n">
        <x:f>IF(OR(ISBLANK(B1891),ISBLANK(C1891),B1891=0),"",(C1891-B1891)/B1891)</x:f>
        <x:v>0.09997555609875346</x:v>
      </x:c>
      <x:c r="E1891" s="22" t="str">
        <x:f>IF(ISBLANK(C1891),"AmountIncludingTax缺失",IF(ABS(B1891-C1891)&lt;0.005,"一致","不一致"))</x:f>
        <x:v>不一致</x:v>
      </x:c>
      <x:c r="F1891" s="19" t="str">
        <x:v>approved</x:v>
      </x:c>
      <x:c r="G1891" s="19" t="str">
        <x:v>Repairer Invoiced Processed</x:v>
      </x:c>
      <x:c r="H1891" s="19" t="str">
        <x:v>In Field</x:v>
      </x:c>
      <x:c r="I1891" s="37" t="n">
        <x:v>46182</x:v>
      </x:c>
      <x:c r="J1891" s="37" t="n">
        <x:v>46182</x:v>
      </x:c>
      <x:c r="K1891" s="19" t="str">
        <x:v>Green RV - Forest Glen</x:v>
      </x:c>
      <x:c r="L1891" s="19" t="str">
        <x:v>Z006</x:v>
      </x:c>
      <x:c r="M1891" s="19" t="str">
        <x:v>In Field Warranty Claims</x:v>
      </x:c>
      <x:c r="N1891" s="37" t="n">
        <x:v>46132</x:v>
      </x:c>
      <x:c r="O1891" s="37"/>
      <x:c r="P1891" s="34" t="n">
        <x:v>90</x:v>
      </x:c>
      <x:c r="Q1891" s="37" t="n">
        <x:v>46182.05131944444</x:v>
      </x:c>
    </x:row>
    <x:row r="1892">
      <x:c r="A1892" s="22" t="n">
        <x:v>33852</x:v>
      </x:c>
      <x:c r="B1892" s="28" t="n">
        <x:v>67.5</x:v>
      </x:c>
      <x:c r="C1892" s="28" t="n">
        <x:v>74.25</x:v>
      </x:c>
      <x:c r="D1892" s="31" t="n">
        <x:f>IF(OR(ISBLANK(B1892),ISBLANK(C1892),B1892=0),"",(C1892-B1892)/B1892)</x:f>
        <x:v>0.1</x:v>
      </x:c>
      <x:c r="E1892" s="22" t="str">
        <x:f>IF(ISBLANK(C1892),"AmountIncludingTax缺失",IF(ABS(B1892-C1892)&lt;0.005,"一致","不一致"))</x:f>
        <x:v>不一致</x:v>
      </x:c>
      <x:c r="F1892" s="19" t="str">
        <x:v>approved</x:v>
      </x:c>
      <x:c r="G1892" s="19" t="str">
        <x:v>Repair in Progress</x:v>
      </x:c>
      <x:c r="H1892" s="19" t="str">
        <x:v>In Field</x:v>
      </x:c>
      <x:c r="I1892" s="37" t="n">
        <x:v>46167</x:v>
      </x:c>
      <x:c r="J1892" s="37" t="n">
        <x:v>46167</x:v>
      </x:c>
      <x:c r="K1892" s="19" t="str">
        <x:v>Leisure Lion Pty Ltd - Toowoomba</x:v>
      </x:c>
      <x:c r="L1892" s="19" t="str">
        <x:v>Z006</x:v>
      </x:c>
      <x:c r="M1892" s="19" t="str">
        <x:v>In Field Warranty Claims</x:v>
      </x:c>
      <x:c r="N1892" s="37" t="n">
        <x:v>46132</x:v>
      </x:c>
      <x:c r="O1892" s="37"/>
      <x:c r="P1892" s="34" t="n">
        <x:v>74.25</x:v>
      </x:c>
      <x:c r="Q1892" s="37" t="n">
        <x:v>46167.38369212963</x:v>
      </x:c>
    </x:row>
    <x:row r="1893">
      <x:c r="A1893" s="22" t="n">
        <x:v>33851</x:v>
      </x:c>
      <x:c r="B1893" s="28" t="n">
        <x:v>280</x:v>
      </x:c>
      <x:c r="C1893" s="28" t="n">
        <x:v>308</x:v>
      </x:c>
      <x:c r="D1893" s="31" t="n">
        <x:f>IF(OR(ISBLANK(B1893),ISBLANK(C1893),B1893=0),"",(C1893-B1893)/B1893)</x:f>
        <x:v>0.1</x:v>
      </x:c>
      <x:c r="E1893" s="22" t="str">
        <x:f>IF(ISBLANK(C1893),"AmountIncludingTax缺失",IF(ABS(B1893-C1893)&lt;0.005,"一致","不一致"))</x:f>
        <x:v>不一致</x:v>
      </x:c>
      <x:c r="F1893" s="19" t="str">
        <x:v>approved</x:v>
      </x:c>
      <x:c r="G1893" s="19" t="str">
        <x:v>Repair in Progress</x:v>
      </x:c>
      <x:c r="H1893" s="19" t="str">
        <x:v>In Field</x:v>
      </x:c>
      <x:c r="I1893" s="37" t="n">
        <x:v>46142</x:v>
      </x:c>
      <x:c r="J1893" s="37" t="n">
        <x:v>46142</x:v>
      </x:c>
      <x:c r="K1893" s="19" t="str">
        <x:v>Destiny RV - South Australia</x:v>
      </x:c>
      <x:c r="L1893" s="19" t="str">
        <x:v>Z006</x:v>
      </x:c>
      <x:c r="M1893" s="19" t="str">
        <x:v>In Field Warranty Claims</x:v>
      </x:c>
      <x:c r="N1893" s="37" t="n">
        <x:v>46132</x:v>
      </x:c>
      <x:c r="O1893" s="37"/>
      <x:c r="P1893" s="34" t="n">
        <x:v>308</x:v>
      </x:c>
      <x:c r="Q1893" s="37" t="n">
        <x:v>46142.46592592593</x:v>
      </x:c>
    </x:row>
    <x:row r="1894">
      <x:c r="A1894" s="22" t="n">
        <x:v>33850</x:v>
      </x:c>
      <x:c r="B1894" s="28" t="n">
        <x:v>190</x:v>
      </x:c>
      <x:c r="C1894" s="28" t="n">
        <x:v>209</x:v>
      </x:c>
      <x:c r="D1894" s="31" t="n">
        <x:f>IF(OR(ISBLANK(B1894),ISBLANK(C1894),B1894=0),"",(C1894-B1894)/B1894)</x:f>
        <x:v>0.1</x:v>
      </x:c>
      <x:c r="E1894" s="22" t="str">
        <x:f>IF(ISBLANK(C1894),"AmountIncludingTax缺失",IF(ABS(B1894-C1894)&lt;0.005,"一致","不一致"))</x:f>
        <x:v>不一致</x:v>
      </x:c>
      <x:c r="F1894" s="19" t="str">
        <x:v>approved</x:v>
      </x:c>
      <x:c r="G1894" s="19" t="str">
        <x:v>Repairer Invoiced Processed</x:v>
      </x:c>
      <x:c r="H1894" s="19" t="str">
        <x:v>In Field</x:v>
      </x:c>
      <x:c r="I1894" s="37" t="n">
        <x:v>46162</x:v>
      </x:c>
      <x:c r="J1894" s="37" t="n">
        <x:v>46162</x:v>
      </x:c>
      <x:c r="K1894" s="19" t="str">
        <x:v>Regent RV - Townsville</x:v>
      </x:c>
      <x:c r="L1894" s="19" t="str">
        <x:v>Z006</x:v>
      </x:c>
      <x:c r="M1894" s="19" t="str">
        <x:v>In Field Warranty Claims</x:v>
      </x:c>
      <x:c r="N1894" s="37" t="n">
        <x:v>46132</x:v>
      </x:c>
      <x:c r="O1894" s="37"/>
      <x:c r="P1894" s="34" t="n">
        <x:v>209</x:v>
      </x:c>
      <x:c r="Q1894" s="37" t="n">
        <x:v>46162.06486111111</x:v>
      </x:c>
    </x:row>
    <x:row r="1895">
      <x:c r="A1895" s="22" t="n">
        <x:v>33848</x:v>
      </x:c>
      <x:c r="B1895" s="28" t="n">
        <x:v>1081.69</x:v>
      </x:c>
      <x:c r="C1895" s="28"/>
      <x:c r="D1895" s="31" t="str">
        <x:f>IF(OR(ISBLANK(B1895),ISBLANK(C1895),B1895=0),"",(C1895-B1895)/B1895)</x:f>
      </x:c>
      <x:c r="E1895" s="22" t="str">
        <x:f>IF(ISBLANK(C1895),"AmountIncludingTax缺失",IF(ABS(B1895-C1895)&lt;0.005,"一致","不一致"))</x:f>
        <x:v>AmountIncludingTax缺失</x:v>
      </x:c>
      <x:c r="F1895" s="19" t="str">
        <x:v>approved</x:v>
      </x:c>
      <x:c r="G1895" s="19" t="str">
        <x:v>Repair in Progress</x:v>
      </x:c>
      <x:c r="H1895" s="19" t="str">
        <x:v>In Field</x:v>
      </x:c>
      <x:c r="I1895" s="37" t="n">
        <x:v>46150</x:v>
      </x:c>
      <x:c r="J1895" s="37" t="n">
        <x:v>46150</x:v>
      </x:c>
      <x:c r="K1895" s="19" t="str">
        <x:v>Green RV - Forest Glen</x:v>
      </x:c>
      <x:c r="L1895" s="19" t="str">
        <x:v>Z006</x:v>
      </x:c>
      <x:c r="M1895" s="19" t="str">
        <x:v>In Field Warranty Claims</x:v>
      </x:c>
      <x:c r="N1895" s="37" t="n">
        <x:v>46132</x:v>
      </x:c>
      <x:c r="O1895" s="37"/>
      <x:c r="P1895" s="34" t="n">
        <x:v>0</x:v>
      </x:c>
      <x:c r="Q1895" s="37" t="n">
        <x:v>46149.84841435185</x:v>
      </x:c>
    </x:row>
    <x:row r="1896">
      <x:c r="A1896" s="22" t="n">
        <x:v>33847</x:v>
      </x:c>
      <x:c r="B1896" s="28" t="n">
        <x:v>2025</x:v>
      </x:c>
      <x:c r="C1896" s="28"/>
      <x:c r="D1896" s="31" t="str">
        <x:f>IF(OR(ISBLANK(B1896),ISBLANK(C1896),B1896=0),"",(C1896-B1896)/B1896)</x:f>
      </x:c>
      <x:c r="E1896" s="22" t="str">
        <x:f>IF(ISBLANK(C1896),"AmountIncludingTax缺失",IF(ABS(B1896-C1896)&lt;0.005,"一致","不一致"))</x:f>
        <x:v>AmountIncludingTax缺失</x:v>
      </x:c>
      <x:c r="F1896" s="19" t="str">
        <x:v>approved</x:v>
      </x:c>
      <x:c r="G1896" s="19" t="str">
        <x:v>Partially Picked</x:v>
      </x:c>
      <x:c r="H1896" s="19" t="str">
        <x:v>In Field</x:v>
      </x:c>
      <x:c r="I1896" s="37" t="n">
        <x:v>46168</x:v>
      </x:c>
      <x:c r="J1896" s="37" t="n">
        <x:v>46168</x:v>
      </x:c>
      <x:c r="K1896" s="19" t="str">
        <x:v>The Caravan Hub - Townsville</x:v>
      </x:c>
      <x:c r="L1896" s="19" t="str">
        <x:v>Z006</x:v>
      </x:c>
      <x:c r="M1896" s="19" t="str">
        <x:v>In Field Warranty Claims</x:v>
      </x:c>
      <x:c r="N1896" s="37" t="n">
        <x:v>46132</x:v>
      </x:c>
      <x:c r="O1896" s="37"/>
      <x:c r="P1896" s="34" t="n">
        <x:v>0</x:v>
      </x:c>
      <x:c r="Q1896" s="37" t="n">
        <x:v>46167.90099537037</x:v>
      </x:c>
    </x:row>
    <x:row r="1897">
      <x:c r="A1897" s="22" t="n">
        <x:v>33846</x:v>
      </x:c>
      <x:c r="B1897" s="28" t="n">
        <x:v>715</x:v>
      </x:c>
      <x:c r="C1897" s="28" t="n">
        <x:v>786.5</x:v>
      </x:c>
      <x:c r="D1897" s="31" t="n">
        <x:f>IF(OR(ISBLANK(B1897),ISBLANK(C1897),B1897=0),"",(C1897-B1897)/B1897)</x:f>
        <x:v>0.1</x:v>
      </x:c>
      <x:c r="E1897" s="22" t="str">
        <x:f>IF(ISBLANK(C1897),"AmountIncludingTax缺失",IF(ABS(B1897-C1897)&lt;0.005,"一致","不一致"))</x:f>
        <x:v>不一致</x:v>
      </x:c>
      <x:c r="F1897" s="19" t="str">
        <x:v>approved</x:v>
      </x:c>
      <x:c r="G1897" s="19" t="str">
        <x:v>Repair in Progress</x:v>
      </x:c>
      <x:c r="H1897" s="19" t="str">
        <x:v>In Field</x:v>
      </x:c>
      <x:c r="I1897" s="37" t="n">
        <x:v>46190</x:v>
      </x:c>
      <x:c r="J1897" s="37" t="n">
        <x:v>46190</x:v>
      </x:c>
      <x:c r="K1897" s="19" t="str">
        <x:v>Green RV - Forest Glen</x:v>
      </x:c>
      <x:c r="L1897" s="19" t="str">
        <x:v>Z006</x:v>
      </x:c>
      <x:c r="M1897" s="19" t="str">
        <x:v>In Field Warranty Claims</x:v>
      </x:c>
      <x:c r="N1897" s="37" t="n">
        <x:v>46132</x:v>
      </x:c>
      <x:c r="O1897" s="37"/>
      <x:c r="P1897" s="34" t="n">
        <x:v>786.5</x:v>
      </x:c>
      <x:c r="Q1897" s="37" t="n">
        <x:v>46189.92358796296</x:v>
      </x:c>
    </x:row>
    <x:row r="1898">
      <x:c r="A1898" s="22" t="n">
        <x:v>33845</x:v>
      </x:c>
      <x:c r="B1898" s="28" t="n">
        <x:v>425</x:v>
      </x:c>
      <x:c r="C1898" s="28"/>
      <x:c r="D1898" s="31" t="str">
        <x:f>IF(OR(ISBLANK(B1898),ISBLANK(C1898),B1898=0),"",(C1898-B1898)/B1898)</x:f>
      </x:c>
      <x:c r="E1898" s="22" t="str">
        <x:f>IF(ISBLANK(C1898),"AmountIncludingTax缺失",IF(ABS(B1898-C1898)&lt;0.005,"一致","不一致"))</x:f>
        <x:v>AmountIncludingTax缺失</x:v>
      </x:c>
      <x:c r="F1898" s="19" t="str">
        <x:v>approved</x:v>
      </x:c>
      <x:c r="G1898" s="19" t="str">
        <x:v>Repairer Invoiced Processed</x:v>
      </x:c>
      <x:c r="H1898" s="19" t="str">
        <x:v>In Field</x:v>
      </x:c>
      <x:c r="I1898" s="37" t="n">
        <x:v>46149</x:v>
      </x:c>
      <x:c r="J1898" s="37" t="n">
        <x:v>46149</x:v>
      </x:c>
      <x:c r="K1898" s="19" t="str">
        <x:v>Regent RV - Perth</x:v>
      </x:c>
      <x:c r="L1898" s="19" t="str">
        <x:v>Z006</x:v>
      </x:c>
      <x:c r="M1898" s="19" t="str">
        <x:v>In Field Warranty Claims</x:v>
      </x:c>
      <x:c r="N1898" s="37" t="n">
        <x:v>46132</x:v>
      </x:c>
      <x:c r="O1898" s="37"/>
      <x:c r="P1898" s="34" t="n">
        <x:v>0</x:v>
      </x:c>
      <x:c r="Q1898" s="37" t="n">
        <x:v>46148.99748842593</x:v>
      </x:c>
    </x:row>
    <x:row r="1899">
      <x:c r="A1899" s="22" t="n">
        <x:v>33843</x:v>
      </x:c>
      <x:c r="B1899" s="28" t="n">
        <x:v>625</x:v>
      </x:c>
      <x:c r="C1899" s="28"/>
      <x:c r="D1899" s="31" t="str">
        <x:f>IF(OR(ISBLANK(B1899),ISBLANK(C1899),B1899=0),"",(C1899-B1899)/B1899)</x:f>
      </x:c>
      <x:c r="E1899" s="22" t="str">
        <x:f>IF(ISBLANK(C1899),"AmountIncludingTax缺失",IF(ABS(B1899-C1899)&lt;0.005,"一致","不一致"))</x:f>
        <x:v>AmountIncludingTax缺失</x:v>
      </x:c>
      <x:c r="F1899" s="19" t="str">
        <x:v>approved</x:v>
      </x:c>
      <x:c r="G1899" s="19" t="str">
        <x:v>Repair in Progress</x:v>
      </x:c>
      <x:c r="H1899" s="19" t="str">
        <x:v>In Field</x:v>
      </x:c>
      <x:c r="I1899" s="37" t="n">
        <x:v>46141</x:v>
      </x:c>
      <x:c r="J1899" s="37" t="n">
        <x:v>46141</x:v>
      </x:c>
      <x:c r="K1899" s="19" t="str">
        <x:v>Regent RV - Frankston</x:v>
      </x:c>
      <x:c r="L1899" s="19" t="str">
        <x:v>Z006</x:v>
      </x:c>
      <x:c r="M1899" s="19" t="str">
        <x:v>In Field Warranty Claims</x:v>
      </x:c>
      <x:c r="N1899" s="37" t="n">
        <x:v>46132</x:v>
      </x:c>
      <x:c r="O1899" s="37"/>
      <x:c r="P1899" s="34" t="n">
        <x:v>0</x:v>
      </x:c>
      <x:c r="Q1899" s="37" t="n">
        <x:v>46141.05373842592</x:v>
      </x:c>
    </x:row>
    <x:row r="1900">
      <x:c r="A1900" s="22" t="n">
        <x:v>33842</x:v>
      </x:c>
      <x:c r="B1900" s="28" t="n">
        <x:v>810</x:v>
      </x:c>
      <x:c r="C1900" s="28"/>
      <x:c r="D1900" s="31" t="str">
        <x:f>IF(OR(ISBLANK(B1900),ISBLANK(C1900),B1900=0),"",(C1900-B1900)/B1900)</x:f>
      </x:c>
      <x:c r="E1900" s="22" t="str">
        <x:f>IF(ISBLANK(C1900),"AmountIncludingTax缺失",IF(ABS(B1900-C1900)&lt;0.005,"一致","不一致"))</x:f>
        <x:v>AmountIncludingTax缺失</x:v>
      </x:c>
      <x:c r="F1900" s="19" t="str">
        <x:v>approved</x:v>
      </x:c>
      <x:c r="G1900" s="19" t="str">
        <x:v>Repair in Progress</x:v>
      </x:c>
      <x:c r="H1900" s="19" t="str">
        <x:v>In Field</x:v>
      </x:c>
      <x:c r="I1900" s="37" t="n">
        <x:v>46139</x:v>
      </x:c>
      <x:c r="J1900" s="37" t="n">
        <x:v>46139</x:v>
      </x:c>
      <x:c r="K1900" s="19" t="str">
        <x:v>Regent RV - Frankston</x:v>
      </x:c>
      <x:c r="L1900" s="19" t="str">
        <x:v>Z006</x:v>
      </x:c>
      <x:c r="M1900" s="19" t="str">
        <x:v>In Field Warranty Claims</x:v>
      </x:c>
      <x:c r="N1900" s="37" t="n">
        <x:v>46132</x:v>
      </x:c>
      <x:c r="O1900" s="37"/>
      <x:c r="P1900" s="34" t="n">
        <x:v>0</x:v>
      </x:c>
      <x:c r="Q1900" s="37" t="n">
        <x:v>46139.513391203705</x:v>
      </x:c>
    </x:row>
    <x:row r="1901">
      <x:c r="A1901" s="22" t="n">
        <x:v>33840</x:v>
      </x:c>
      <x:c r="B1901" s="28" t="n">
        <x:v>2025</x:v>
      </x:c>
      <x:c r="C1901" s="28"/>
      <x:c r="D1901" s="31" t="str">
        <x:f>IF(OR(ISBLANK(B1901),ISBLANK(C1901),B1901=0),"",(C1901-B1901)/B1901)</x:f>
      </x:c>
      <x:c r="E1901" s="22" t="str">
        <x:f>IF(ISBLANK(C1901),"AmountIncludingTax缺失",IF(ABS(B1901-C1901)&lt;0.005,"一致","不一致"))</x:f>
        <x:v>AmountIncludingTax缺失</x:v>
      </x:c>
      <x:c r="F1901" s="19" t="str">
        <x:v>approved</x:v>
      </x:c>
      <x:c r="G1901" s="19" t="str">
        <x:v>Repair in Progress</x:v>
      </x:c>
      <x:c r="H1901" s="19" t="str">
        <x:v>In Field</x:v>
      </x:c>
      <x:c r="I1901" s="37" t="n">
        <x:v>46136</x:v>
      </x:c>
      <x:c r="J1901" s="37" t="n">
        <x:v>46136</x:v>
      </x:c>
      <x:c r="K1901" s="19" t="str">
        <x:v>Green RV - Forest Glen</x:v>
      </x:c>
      <x:c r="L1901" s="19" t="str">
        <x:v>Z006</x:v>
      </x:c>
      <x:c r="M1901" s="19" t="str">
        <x:v>In Field Warranty Claims</x:v>
      </x:c>
      <x:c r="N1901" s="37" t="n">
        <x:v>46132</x:v>
      </x:c>
      <x:c r="O1901" s="37"/>
      <x:c r="P1901" s="34" t="n">
        <x:v>2227.5</x:v>
      </x:c>
      <x:c r="Q1901" s="37" t="n">
        <x:v>46135.96303240741</x:v>
      </x:c>
    </x:row>
    <x:row r="1902">
      <x:c r="A1902" s="22" t="n">
        <x:v>33839</x:v>
      </x:c>
      <x:c r="B1902" s="28" t="n">
        <x:v>111.25</x:v>
      </x:c>
      <x:c r="C1902" s="28"/>
      <x:c r="D1902" s="31" t="str">
        <x:f>IF(OR(ISBLANK(B1902),ISBLANK(C1902),B1902=0),"",(C1902-B1902)/B1902)</x:f>
      </x:c>
      <x:c r="E1902" s="22" t="str">
        <x:f>IF(ISBLANK(C1902),"AmountIncludingTax缺失",IF(ABS(B1902-C1902)&lt;0.005,"一致","不一致"))</x:f>
        <x:v>AmountIncludingTax缺失</x:v>
      </x:c>
      <x:c r="F1902" s="19" t="str">
        <x:v>approved</x:v>
      </x:c>
      <x:c r="G1902" s="19" t="str">
        <x:v>Repairer Invoiced Processed</x:v>
      </x:c>
      <x:c r="H1902" s="19" t="str">
        <x:v>In Field</x:v>
      </x:c>
      <x:c r="I1902" s="37" t="n">
        <x:v>46141</x:v>
      </x:c>
      <x:c r="J1902" s="37" t="n">
        <x:v>46141</x:v>
      </x:c>
      <x:c r="K1902" s="19" t="str">
        <x:v>Snowy River Wangaratta</x:v>
      </x:c>
      <x:c r="L1902" s="19" t="str">
        <x:v>Z006</x:v>
      </x:c>
      <x:c r="M1902" s="19" t="str">
        <x:v>In Field Warranty Claims</x:v>
      </x:c>
      <x:c r="N1902" s="37" t="n">
        <x:v>46132</x:v>
      </x:c>
      <x:c r="O1902" s="37"/>
      <x:c r="P1902" s="34" t="n">
        <x:v>0</x:v>
      </x:c>
      <x:c r="Q1902" s="37" t="n">
        <x:v>46141.087002314816</x:v>
      </x:c>
    </x:row>
    <x:row r="1903">
      <x:c r="A1903" s="22" t="n">
        <x:v>33836</x:v>
      </x:c>
      <x:c r="B1903" s="28" t="n">
        <x:v>405.18</x:v>
      </x:c>
      <x:c r="C1903" s="28" t="n">
        <x:v>445.7</x:v>
      </x:c>
      <x:c r="D1903" s="31" t="n">
        <x:f>IF(OR(ISBLANK(B1903),ISBLANK(C1903),B1903=0),"",(C1903-B1903)/B1903)</x:f>
        <x:v>0.10000493607779254</x:v>
      </x:c>
      <x:c r="E1903" s="22" t="str">
        <x:f>IF(ISBLANK(C1903),"AmountIncludingTax缺失",IF(ABS(B1903-C1903)&lt;0.005,"一致","不一致"))</x:f>
        <x:v>不一致</x:v>
      </x:c>
      <x:c r="F1903" s="19" t="str">
        <x:v>approved</x:v>
      </x:c>
      <x:c r="G1903" s="19" t="str">
        <x:v>Repair in Progress</x:v>
      </x:c>
      <x:c r="H1903" s="19" t="str">
        <x:v>In Field</x:v>
      </x:c>
      <x:c r="I1903" s="37" t="n">
        <x:v>46141</x:v>
      </x:c>
      <x:c r="J1903" s="37" t="n">
        <x:v>46141</x:v>
      </x:c>
      <x:c r="K1903" s="19" t="str">
        <x:v>Regent RV - Perth</x:v>
      </x:c>
      <x:c r="L1903" s="19" t="str">
        <x:v>Z006</x:v>
      </x:c>
      <x:c r="M1903" s="19" t="str">
        <x:v>In Field Warranty Claims</x:v>
      </x:c>
      <x:c r="N1903" s="37" t="n">
        <x:v>46132</x:v>
      </x:c>
      <x:c r="O1903" s="37"/>
      <x:c r="P1903" s="34" t="n">
        <x:v>445.7</x:v>
      </x:c>
      <x:c r="Q1903" s="37" t="n">
        <x:v>46141.227430555555</x:v>
      </x:c>
    </x:row>
    <x:row r="1904">
      <x:c r="A1904" s="22" t="n">
        <x:v>33835</x:v>
      </x:c>
      <x:c r="B1904" s="28" t="n">
        <x:v>517.5</x:v>
      </x:c>
      <x:c r="C1904" s="28"/>
      <x:c r="D1904" s="31" t="str">
        <x:f>IF(OR(ISBLANK(B1904),ISBLANK(C1904),B1904=0),"",(C1904-B1904)/B1904)</x:f>
      </x:c>
      <x:c r="E1904" s="22" t="str">
        <x:f>IF(ISBLANK(C1904),"AmountIncludingTax缺失",IF(ABS(B1904-C1904)&lt;0.005,"一致","不一致"))</x:f>
        <x:v>AmountIncludingTax缺失</x:v>
      </x:c>
      <x:c r="F1904" s="19" t="str">
        <x:v>approved</x:v>
      </x:c>
      <x:c r="G1904" s="19" t="str">
        <x:v>Repairer Invoiced Processed</x:v>
      </x:c>
      <x:c r="H1904" s="19" t="str">
        <x:v>In Field</x:v>
      </x:c>
      <x:c r="I1904" s="37" t="n">
        <x:v>46162</x:v>
      </x:c>
      <x:c r="J1904" s="37" t="n">
        <x:v>46162</x:v>
      </x:c>
      <x:c r="K1904" s="19" t="str">
        <x:v>Regent RV - Townsville</x:v>
      </x:c>
      <x:c r="L1904" s="19" t="str">
        <x:v>Z006</x:v>
      </x:c>
      <x:c r="M1904" s="19" t="str">
        <x:v>In Field Warranty Claims</x:v>
      </x:c>
      <x:c r="N1904" s="37" t="n">
        <x:v>46132</x:v>
      </x:c>
      <x:c r="O1904" s="37"/>
      <x:c r="P1904" s="34" t="n">
        <x:v>0</x:v>
      </x:c>
      <x:c r="Q1904" s="37" t="n">
        <x:v>46162.119675925926</x:v>
      </x:c>
    </x:row>
    <x:row r="1905">
      <x:c r="A1905" s="22" t="n">
        <x:v>33834</x:v>
      </x:c>
      <x:c r="B1905" s="28" t="n">
        <x:v>415</x:v>
      </x:c>
      <x:c r="C1905" s="28"/>
      <x:c r="D1905" s="31" t="str">
        <x:f>IF(OR(ISBLANK(B1905),ISBLANK(C1905),B1905=0),"",(C1905-B1905)/B1905)</x:f>
      </x:c>
      <x:c r="E1905" s="22" t="str">
        <x:f>IF(ISBLANK(C1905),"AmountIncludingTax缺失",IF(ABS(B1905-C1905)&lt;0.005,"一致","不一致"))</x:f>
        <x:v>AmountIncludingTax缺失</x:v>
      </x:c>
      <x:c r="F1905" s="19" t="str">
        <x:v>approved</x:v>
      </x:c>
      <x:c r="G1905" s="19" t="str">
        <x:v>Repair in Progress</x:v>
      </x:c>
      <x:c r="H1905" s="19" t="str">
        <x:v>Pre Delivery</x:v>
      </x:c>
      <x:c r="I1905" s="37" t="n">
        <x:v>46134</x:v>
      </x:c>
      <x:c r="J1905" s="37" t="n">
        <x:v>46134</x:v>
      </x:c>
      <x:c r="K1905" s="19" t="str">
        <x:v>Snowy River Wangaratta</x:v>
      </x:c>
      <x:c r="L1905" s="19" t="str">
        <x:v>Z005</x:v>
      </x:c>
      <x:c r="M1905" s="19" t="str">
        <x:v>Pre Delivery Warranty Claims</x:v>
      </x:c>
      <x:c r="N1905" s="37" t="n">
        <x:v>46132</x:v>
      </x:c>
      <x:c r="O1905" s="37"/>
      <x:c r="P1905" s="34" t="n">
        <x:v>0</x:v>
      </x:c>
      <x:c r="Q1905" s="37" t="n">
        <x:v>46133.98902777778</x:v>
      </x:c>
    </x:row>
    <x:row r="1906">
      <x:c r="A1906" s="22" t="n">
        <x:v>33833</x:v>
      </x:c>
      <x:c r="B1906" s="28" t="n">
        <x:v>343.34</x:v>
      </x:c>
      <x:c r="C1906" s="28"/>
      <x:c r="D1906" s="31" t="str">
        <x:f>IF(OR(ISBLANK(B1906),ISBLANK(C1906),B1906=0),"",(C1906-B1906)/B1906)</x:f>
      </x:c>
      <x:c r="E1906" s="22" t="str">
        <x:f>IF(ISBLANK(C1906),"AmountIncludingTax缺失",IF(ABS(B1906-C1906)&lt;0.005,"一致","不一致"))</x:f>
        <x:v>AmountIncludingTax缺失</x:v>
      </x:c>
      <x:c r="F1906" s="19" t="str">
        <x:v>approved</x:v>
      </x:c>
      <x:c r="G1906" s="19" t="str">
        <x:v>Sales Order Approved</x:v>
      </x:c>
      <x:c r="H1906" s="19" t="str">
        <x:v>In Field</x:v>
      </x:c>
      <x:c r="I1906" s="37" t="n">
        <x:v>46161</x:v>
      </x:c>
      <x:c r="J1906" s="37" t="n">
        <x:v>46161</x:v>
      </x:c>
      <x:c r="K1906" s="19" t="str">
        <x:v>Regent RV - Townsville</x:v>
      </x:c>
      <x:c r="L1906" s="19" t="str">
        <x:v>Z006</x:v>
      </x:c>
      <x:c r="M1906" s="19" t="str">
        <x:v>In Field Warranty Claims</x:v>
      </x:c>
      <x:c r="N1906" s="37" t="n">
        <x:v>46132</x:v>
      </x:c>
      <x:c r="O1906" s="37"/>
      <x:c r="P1906" s="34" t="n">
        <x:v>0</x:v>
      </x:c>
      <x:c r="Q1906" s="37" t="n">
        <x:v>46161.10130787037</x:v>
      </x:c>
    </x:row>
    <x:row r="1907">
      <x:c r="A1907" s="22" t="n">
        <x:v>33832</x:v>
      </x:c>
      <x:c r="B1907" s="28" t="n">
        <x:v>1072.5</x:v>
      </x:c>
      <x:c r="C1907" s="28"/>
      <x:c r="D1907" s="31" t="str">
        <x:f>IF(OR(ISBLANK(B1907),ISBLANK(C1907),B1907=0),"",(C1907-B1907)/B1907)</x:f>
      </x:c>
      <x:c r="E1907" s="22" t="str">
        <x:f>IF(ISBLANK(C1907),"AmountIncludingTax缺失",IF(ABS(B1907-C1907)&lt;0.005,"一致","不一致"))</x:f>
        <x:v>AmountIncludingTax缺失</x:v>
      </x:c>
      <x:c r="F1907" s="19" t="str">
        <x:v>approved</x:v>
      </x:c>
      <x:c r="G1907" s="19" t="str">
        <x:v>Repair in Progress</x:v>
      </x:c>
      <x:c r="H1907" s="19" t="str">
        <x:v>Pre Delivery</x:v>
      </x:c>
      <x:c r="I1907" s="37" t="n">
        <x:v>46133</x:v>
      </x:c>
      <x:c r="J1907" s="37" t="n">
        <x:v>46133</x:v>
      </x:c>
      <x:c r="K1907" s="19" t="str">
        <x:v>Green RV - Slacks Creek</x:v>
      </x:c>
      <x:c r="L1907" s="19" t="str">
        <x:v>Z005</x:v>
      </x:c>
      <x:c r="M1907" s="19" t="str">
        <x:v>Pre Delivery Warranty Claims</x:v>
      </x:c>
      <x:c r="N1907" s="37" t="n">
        <x:v>46132</x:v>
      </x:c>
      <x:c r="O1907" s="37"/>
      <x:c r="P1907" s="34" t="n">
        <x:v>0</x:v>
      </x:c>
      <x:c r="Q1907" s="37" t="n">
        <x:v>46132.8903125</x:v>
      </x:c>
    </x:row>
    <x:row r="1908">
      <x:c r="A1908" s="22" t="n">
        <x:v>33827</x:v>
      </x:c>
      <x:c r="B1908" s="28" t="n">
        <x:v>787</x:v>
      </x:c>
      <x:c r="C1908" s="28"/>
      <x:c r="D1908" s="31" t="str">
        <x:f>IF(OR(ISBLANK(B1908),ISBLANK(C1908),B1908=0),"",(C1908-B1908)/B1908)</x:f>
      </x:c>
      <x:c r="E1908" s="22" t="str">
        <x:f>IF(ISBLANK(C1908),"AmountIncludingTax缺失",IF(ABS(B1908-C1908)&lt;0.005,"一致","不一致"))</x:f>
        <x:v>AmountIncludingTax缺失</x:v>
      </x:c>
      <x:c r="F1908" s="19" t="str">
        <x:v>approved</x:v>
      </x:c>
      <x:c r="G1908" s="19" t="str">
        <x:v>Repairer Invoiced Processed</x:v>
      </x:c>
      <x:c r="H1908" s="19" t="str">
        <x:v>In Field</x:v>
      </x:c>
      <x:c r="I1908" s="37" t="n">
        <x:v>46133</x:v>
      </x:c>
      <x:c r="J1908" s="37" t="n">
        <x:v>46133</x:v>
      </x:c>
      <x:c r="K1908" s="19" t="str">
        <x:v>Lesiure Lion-New Castle</x:v>
      </x:c>
      <x:c r="L1908" s="19" t="str">
        <x:v>Z006</x:v>
      </x:c>
      <x:c r="M1908" s="19" t="str">
        <x:v>In Field Warranty Claims</x:v>
      </x:c>
      <x:c r="N1908" s="37" t="n">
        <x:v>46133</x:v>
      </x:c>
      <x:c r="O1908" s="37"/>
      <x:c r="P1908" s="34" t="n">
        <x:v>0</x:v>
      </x:c>
      <x:c r="Q1908" s="37" t="n">
        <x:v>46133.06922453704</x:v>
      </x:c>
    </x:row>
    <x:row r="1909">
      <x:c r="A1909" s="22" t="n">
        <x:v>33826</x:v>
      </x:c>
      <x:c r="B1909" s="28" t="n">
        <x:v>207.5</x:v>
      </x:c>
      <x:c r="C1909" s="28"/>
      <x:c r="D1909" s="31" t="str">
        <x:f>IF(OR(ISBLANK(B1909),ISBLANK(C1909),B1909=0),"",(C1909-B1909)/B1909)</x:f>
      </x:c>
      <x:c r="E1909" s="22" t="str">
        <x:f>IF(ISBLANK(C1909),"AmountIncludingTax缺失",IF(ABS(B1909-C1909)&lt;0.005,"一致","不一致"))</x:f>
        <x:v>AmountIncludingTax缺失</x:v>
      </x:c>
      <x:c r="F1909" s="19" t="str">
        <x:v>approved</x:v>
      </x:c>
      <x:c r="G1909" s="19" t="str">
        <x:v>Repairer Invoiced Processed</x:v>
      </x:c>
      <x:c r="H1909" s="19" t="str">
        <x:v>In Field</x:v>
      </x:c>
      <x:c r="I1909" s="37" t="n">
        <x:v>46133</x:v>
      </x:c>
      <x:c r="J1909" s="37" t="n">
        <x:v>46133</x:v>
      </x:c>
      <x:c r="K1909" s="19" t="str">
        <x:v>Lesiure Lion-New Castle</x:v>
      </x:c>
      <x:c r="L1909" s="19" t="str">
        <x:v>Z006</x:v>
      </x:c>
      <x:c r="M1909" s="19" t="str">
        <x:v>In Field Warranty Claims</x:v>
      </x:c>
      <x:c r="N1909" s="37" t="n">
        <x:v>46133</x:v>
      </x:c>
      <x:c r="O1909" s="37"/>
      <x:c r="P1909" s="34" t="n">
        <x:v>0</x:v>
      </x:c>
      <x:c r="Q1909" s="37" t="n">
        <x:v>46133.06559027778</x:v>
      </x:c>
    </x:row>
    <x:row r="1910">
      <x:c r="A1910" s="22" t="n">
        <x:v>33821</x:v>
      </x:c>
      <x:c r="B1910" s="28" t="n">
        <x:v>72</x:v>
      </x:c>
      <x:c r="C1910" s="28" t="n">
        <x:v>79.2</x:v>
      </x:c>
      <x:c r="D1910" s="31" t="n">
        <x:f>IF(OR(ISBLANK(B1910),ISBLANK(C1910),B1910=0),"",(C1910-B1910)/B1910)</x:f>
        <x:v>0.10000000000000003</x:v>
      </x:c>
      <x:c r="E1910" s="22" t="str">
        <x:f>IF(ISBLANK(C1910),"AmountIncludingTax缺失",IF(ABS(B1910-C1910)&lt;0.005,"一致","不一致"))</x:f>
        <x:v>不一致</x:v>
      </x:c>
      <x:c r="F1910" s="19" t="str">
        <x:v>approved</x:v>
      </x:c>
      <x:c r="G1910" s="19" t="str">
        <x:v>Repairer Invoiced Processed</x:v>
      </x:c>
      <x:c r="H1910" s="19" t="str">
        <x:v>In Field</x:v>
      </x:c>
      <x:c r="I1910" s="37" t="n">
        <x:v>46132</x:v>
      </x:c>
      <x:c r="J1910" s="37" t="n">
        <x:v>46132</x:v>
      </x:c>
      <x:c r="K1910" s="19" t="str">
        <x:v>Lesiure Lion-New Castle</x:v>
      </x:c>
      <x:c r="L1910" s="19" t="str">
        <x:v>Z006</x:v>
      </x:c>
      <x:c r="M1910" s="19" t="str">
        <x:v>In Field Warranty Claims</x:v>
      </x:c>
      <x:c r="N1910" s="37" t="n">
        <x:v>46132</x:v>
      </x:c>
      <x:c r="O1910" s="37"/>
      <x:c r="P1910" s="34" t="n">
        <x:v>79.2</x:v>
      </x:c>
      <x:c r="Q1910" s="37" t="n">
        <x:v>46132.03671296296</x:v>
      </x:c>
    </x:row>
    <x:row r="1911">
      <x:c r="A1911" s="22" t="n">
        <x:v>33819</x:v>
      </x:c>
      <x:c r="B1911" s="28" t="n">
        <x:v>33.75</x:v>
      </x:c>
      <x:c r="C1911" s="28"/>
      <x:c r="D1911" s="31" t="str">
        <x:f>IF(OR(ISBLANK(B1911),ISBLANK(C1911),B1911=0),"",(C1911-B1911)/B1911)</x:f>
      </x:c>
      <x:c r="E1911" s="22" t="str">
        <x:f>IF(ISBLANK(C1911),"AmountIncludingTax缺失",IF(ABS(B1911-C1911)&lt;0.005,"一致","不一致"))</x:f>
        <x:v>AmountIncludingTax缺失</x:v>
      </x:c>
      <x:c r="F1911" s="19" t="str">
        <x:v>approved</x:v>
      </x:c>
      <x:c r="G1911" s="19" t="str">
        <x:v>Repairer Invoiced Processed</x:v>
      </x:c>
      <x:c r="H1911" s="19" t="str">
        <x:v>In Field</x:v>
      </x:c>
      <x:c r="I1911" s="37" t="n">
        <x:v>46170</x:v>
      </x:c>
      <x:c r="J1911" s="37" t="n">
        <x:v>46170</x:v>
      </x:c>
      <x:c r="K1911" s="19" t="str">
        <x:v>Newcastle RV Super Centre - Beresfield</x:v>
      </x:c>
      <x:c r="L1911" s="19" t="str">
        <x:v>Z006</x:v>
      </x:c>
      <x:c r="M1911" s="19" t="str">
        <x:v>In Field Warranty Claims</x:v>
      </x:c>
      <x:c r="N1911" s="37" t="n">
        <x:v>46132</x:v>
      </x:c>
      <x:c r="O1911" s="37"/>
      <x:c r="P1911" s="34" t="n">
        <x:v>0</x:v>
      </x:c>
      <x:c r="Q1911" s="37" t="n">
        <x:v>46169.91210648148</x:v>
      </x:c>
    </x:row>
    <x:row r="1912">
      <x:c r="A1912" s="22" t="n">
        <x:v>33818</x:v>
      </x:c>
      <x:c r="B1912" s="28" t="n">
        <x:v>280</x:v>
      </x:c>
      <x:c r="C1912" s="28"/>
      <x:c r="D1912" s="31" t="str">
        <x:f>IF(OR(ISBLANK(B1912),ISBLANK(C1912),B1912=0),"",(C1912-B1912)/B1912)</x:f>
      </x:c>
      <x:c r="E1912" s="22" t="str">
        <x:f>IF(ISBLANK(C1912),"AmountIncludingTax缺失",IF(ABS(B1912-C1912)&lt;0.005,"一致","不一致"))</x:f>
        <x:v>AmountIncludingTax缺失</x:v>
      </x:c>
      <x:c r="F1912" s="19" t="str">
        <x:v>approved</x:v>
      </x:c>
      <x:c r="G1912" s="19" t="str">
        <x:v>Repairer Invoiced Processed</x:v>
      </x:c>
      <x:c r="H1912" s="19" t="str">
        <x:v>In Field</x:v>
      </x:c>
      <x:c r="I1912" s="37" t="n">
        <x:v>46136</x:v>
      </x:c>
      <x:c r="J1912" s="37" t="n">
        <x:v>46136</x:v>
      </x:c>
      <x:c r="K1912" s="19" t="str">
        <x:v>Green RV - Slacks Creek</x:v>
      </x:c>
      <x:c r="L1912" s="19" t="str">
        <x:v>Z006</x:v>
      </x:c>
      <x:c r="M1912" s="19" t="str">
        <x:v>In Field Warranty Claims</x:v>
      </x:c>
      <x:c r="N1912" s="37" t="n">
        <x:v>46132</x:v>
      </x:c>
      <x:c r="O1912" s="37"/>
      <x:c r="P1912" s="34" t="n">
        <x:v>0</x:v>
      </x:c>
      <x:c r="Q1912" s="37" t="n">
        <x:v>46135.93717592592</x:v>
      </x:c>
    </x:row>
    <x:row r="1913">
      <x:c r="A1913" s="22" t="n">
        <x:v>33817</x:v>
      </x:c>
      <x:c r="B1913" s="28" t="n">
        <x:v>67.5</x:v>
      </x:c>
      <x:c r="C1913" s="28"/>
      <x:c r="D1913" s="31" t="str">
        <x:f>IF(OR(ISBLANK(B1913),ISBLANK(C1913),B1913=0),"",(C1913-B1913)/B1913)</x:f>
      </x:c>
      <x:c r="E1913" s="22" t="str">
        <x:f>IF(ISBLANK(C1913),"AmountIncludingTax缺失",IF(ABS(B1913-C1913)&lt;0.005,"一致","不一致"))</x:f>
        <x:v>AmountIncludingTax缺失</x:v>
      </x:c>
      <x:c r="F1913" s="19" t="str">
        <x:v>approved</x:v>
      </x:c>
      <x:c r="G1913" s="19" t="str">
        <x:v>Repair in Progress</x:v>
      </x:c>
      <x:c r="H1913" s="19" t="str">
        <x:v>In Field</x:v>
      </x:c>
      <x:c r="I1913" s="37" t="n">
        <x:v>46139</x:v>
      </x:c>
      <x:c r="J1913" s="37" t="n">
        <x:v>46139</x:v>
      </x:c>
      <x:c r="K1913" s="19" t="str">
        <x:v>Regent RV - Perth</x:v>
      </x:c>
      <x:c r="L1913" s="19" t="str">
        <x:v>Z006</x:v>
      </x:c>
      <x:c r="M1913" s="19" t="str">
        <x:v>In Field Warranty Claims</x:v>
      </x:c>
      <x:c r="N1913" s="37" t="n">
        <x:v>46132</x:v>
      </x:c>
      <x:c r="O1913" s="37"/>
      <x:c r="P1913" s="34" t="n">
        <x:v>0</x:v>
      </x:c>
      <x:c r="Q1913" s="37" t="n">
        <x:v>46139.005532407406</x:v>
      </x:c>
    </x:row>
    <x:row r="1914">
      <x:c r="A1914" s="22" t="n">
        <x:v>33816</x:v>
      </x:c>
      <x:c r="B1914" s="28" t="n">
        <x:v>135</x:v>
      </x:c>
      <x:c r="C1914" s="28"/>
      <x:c r="D1914" s="31" t="str">
        <x:f>IF(OR(ISBLANK(B1914),ISBLANK(C1914),B1914=0),"",(C1914-B1914)/B1914)</x:f>
      </x:c>
      <x:c r="E1914" s="22" t="str">
        <x:f>IF(ISBLANK(C1914),"AmountIncludingTax缺失",IF(ABS(B1914-C1914)&lt;0.005,"一致","不一致"))</x:f>
        <x:v>AmountIncludingTax缺失</x:v>
      </x:c>
      <x:c r="F1914" s="19" t="str">
        <x:v>approved</x:v>
      </x:c>
      <x:c r="G1914" s="19" t="str">
        <x:v>Repair in Progress</x:v>
      </x:c>
      <x:c r="H1914" s="19" t="str">
        <x:v>Pre Delivery</x:v>
      </x:c>
      <x:c r="I1914" s="37" t="n">
        <x:v>46143</x:v>
      </x:c>
      <x:c r="J1914" s="37" t="n">
        <x:v>46143</x:v>
      </x:c>
      <x:c r="K1914" s="19" t="str">
        <x:v>Regent RV - Frankston</x:v>
      </x:c>
      <x:c r="L1914" s="19" t="str">
        <x:v>Z005</x:v>
      </x:c>
      <x:c r="M1914" s="19" t="str">
        <x:v>Pre Delivery Warranty Claims</x:v>
      </x:c>
      <x:c r="N1914" s="37" t="n">
        <x:v>46132</x:v>
      </x:c>
      <x:c r="O1914" s="37"/>
      <x:c r="P1914" s="34" t="n">
        <x:v>0</x:v>
      </x:c>
      <x:c r="Q1914" s="37" t="n">
        <x:v>46142.923171296294</x:v>
      </x:c>
    </x:row>
    <x:row r="1915">
      <x:c r="A1915" s="22" t="n">
        <x:v>33815</x:v>
      </x:c>
      <x:c r="B1915" s="28" t="n">
        <x:v>965</x:v>
      </x:c>
      <x:c r="C1915" s="28"/>
      <x:c r="D1915" s="31" t="str">
        <x:f>IF(OR(ISBLANK(B1915),ISBLANK(C1915),B1915=0),"",(C1915-B1915)/B1915)</x:f>
      </x:c>
      <x:c r="E1915" s="22" t="str">
        <x:f>IF(ISBLANK(C1915),"AmountIncludingTax缺失",IF(ABS(B1915-C1915)&lt;0.005,"一致","不一致"))</x:f>
        <x:v>AmountIncludingTax缺失</x:v>
      </x:c>
      <x:c r="F1915" s="19" t="str">
        <x:v>approved</x:v>
      </x:c>
      <x:c r="G1915" s="19" t="str">
        <x:v>Repairer Invoiced Processed</x:v>
      </x:c>
      <x:c r="H1915" s="19" t="str">
        <x:v>In Field</x:v>
      </x:c>
      <x:c r="I1915" s="37" t="n">
        <x:v>46142</x:v>
      </x:c>
      <x:c r="J1915" s="37" t="n">
        <x:v>46142</x:v>
      </x:c>
      <x:c r="K1915" s="19" t="str">
        <x:v>Green RV - Forest Glen</x:v>
      </x:c>
      <x:c r="L1915" s="19" t="str">
        <x:v>Z006</x:v>
      </x:c>
      <x:c r="M1915" s="19" t="str">
        <x:v>In Field Warranty Claims</x:v>
      </x:c>
      <x:c r="N1915" s="37" t="n">
        <x:v>46132</x:v>
      </x:c>
      <x:c r="O1915" s="37"/>
      <x:c r="P1915" s="34" t="n">
        <x:v>0</x:v>
      </x:c>
      <x:c r="Q1915" s="37" t="n">
        <x:v>46141.929664351854</x:v>
      </x:c>
    </x:row>
    <x:row r="1916">
      <x:c r="A1916" s="22" t="n">
        <x:v>33814</x:v>
      </x:c>
      <x:c r="B1916" s="28" t="n">
        <x:v>786.25</x:v>
      </x:c>
      <x:c r="C1916" s="28"/>
      <x:c r="D1916" s="31" t="str">
        <x:f>IF(OR(ISBLANK(B1916),ISBLANK(C1916),B1916=0),"",(C1916-B1916)/B1916)</x:f>
      </x:c>
      <x:c r="E1916" s="22" t="str">
        <x:f>IF(ISBLANK(C1916),"AmountIncludingTax缺失",IF(ABS(B1916-C1916)&lt;0.005,"一致","不一致"))</x:f>
        <x:v>AmountIncludingTax缺失</x:v>
      </x:c>
      <x:c r="F1916" s="19" t="str">
        <x:v>approved</x:v>
      </x:c>
      <x:c r="G1916" s="19" t="str">
        <x:v>Repair in Progress</x:v>
      </x:c>
      <x:c r="H1916" s="19" t="str">
        <x:v>Pre Delivery</x:v>
      </x:c>
      <x:c r="I1916" s="37" t="n">
        <x:v>46162</x:v>
      </x:c>
      <x:c r="J1916" s="37" t="n">
        <x:v>46162</x:v>
      </x:c>
      <x:c r="K1916" s="19" t="str">
        <x:v>Regent RV - Toowoomba</x:v>
      </x:c>
      <x:c r="L1916" s="19" t="str">
        <x:v>Z005</x:v>
      </x:c>
      <x:c r="M1916" s="19" t="str">
        <x:v>Pre Delivery Warranty Claims</x:v>
      </x:c>
      <x:c r="N1916" s="37" t="n">
        <x:v>46131</x:v>
      </x:c>
      <x:c r="O1916" s="37"/>
      <x:c r="P1916" s="34" t="n">
        <x:v>0</x:v>
      </x:c>
      <x:c r="Q1916" s="37" t="n">
        <x:v>46162.163564814815</x:v>
      </x:c>
    </x:row>
    <x:row r="1917">
      <x:c r="A1917" s="22" t="n">
        <x:v>33813</x:v>
      </x:c>
      <x:c r="B1917" s="28" t="n">
        <x:v>310</x:v>
      </x:c>
      <x:c r="C1917" s="28"/>
      <x:c r="D1917" s="31" t="str">
        <x:f>IF(OR(ISBLANK(B1917),ISBLANK(C1917),B1917=0),"",(C1917-B1917)/B1917)</x:f>
      </x:c>
      <x:c r="E1917" s="22" t="str">
        <x:f>IF(ISBLANK(C1917),"AmountIncludingTax缺失",IF(ABS(B1917-C1917)&lt;0.005,"一致","不一致"))</x:f>
        <x:v>AmountIncludingTax缺失</x:v>
      </x:c>
      <x:c r="F1917" s="19" t="str">
        <x:v>approved</x:v>
      </x:c>
      <x:c r="G1917" s="19" t="str">
        <x:v>Sales Order Approved</x:v>
      </x:c>
      <x:c r="H1917" s="19" t="str">
        <x:v>Pre Delivery</x:v>
      </x:c>
      <x:c r="I1917" s="37" t="n">
        <x:v>46191</x:v>
      </x:c>
      <x:c r="J1917" s="37" t="n">
        <x:v>46191</x:v>
      </x:c>
      <x:c r="K1917" s="19" t="str">
        <x:v>The Caravan Hub - Townsville</x:v>
      </x:c>
      <x:c r="L1917" s="19" t="str">
        <x:v>Z005</x:v>
      </x:c>
      <x:c r="M1917" s="19" t="str">
        <x:v>Pre Delivery Warranty Claims</x:v>
      </x:c>
      <x:c r="N1917" s="37" t="n">
        <x:v>46131</x:v>
      </x:c>
      <x:c r="O1917" s="37"/>
      <x:c r="P1917" s="34" t="n">
        <x:v>0</x:v>
      </x:c>
      <x:c r="Q1917" s="37" t="n">
        <x:v>46191.18733796296</x:v>
      </x:c>
    </x:row>
    <x:row r="1918">
      <x:c r="A1918" s="22" t="n">
        <x:v>33812</x:v>
      </x:c>
      <x:c r="B1918" s="28" t="n">
        <x:v>337.5</x:v>
      </x:c>
      <x:c r="C1918" s="28"/>
      <x:c r="D1918" s="31" t="str">
        <x:f>IF(OR(ISBLANK(B1918),ISBLANK(C1918),B1918=0),"",(C1918-B1918)/B1918)</x:f>
      </x:c>
      <x:c r="E1918" s="22" t="str">
        <x:f>IF(ISBLANK(C1918),"AmountIncludingTax缺失",IF(ABS(B1918-C1918)&lt;0.005,"一致","不一致"))</x:f>
        <x:v>AmountIncludingTax缺失</x:v>
      </x:c>
      <x:c r="F1918" s="19" t="str">
        <x:v>approved</x:v>
      </x:c>
      <x:c r="G1918" s="19" t="str">
        <x:v>Repair in Progress</x:v>
      </x:c>
      <x:c r="H1918" s="19" t="str">
        <x:v>In Field</x:v>
      </x:c>
      <x:c r="I1918" s="37" t="n">
        <x:v>46147</x:v>
      </x:c>
      <x:c r="J1918" s="37" t="n">
        <x:v>46147</x:v>
      </x:c>
      <x:c r="K1918" s="19" t="str">
        <x:v>Regent RV - Frankston</x:v>
      </x:c>
      <x:c r="L1918" s="19" t="str">
        <x:v>Z006</x:v>
      </x:c>
      <x:c r="M1918" s="19" t="str">
        <x:v>In Field Warranty Claims</x:v>
      </x:c>
      <x:c r="N1918" s="37" t="n">
        <x:v>46131</x:v>
      </x:c>
      <x:c r="O1918" s="37"/>
      <x:c r="P1918" s="34" t="n">
        <x:v>0</x:v>
      </x:c>
      <x:c r="Q1918" s="37" t="n">
        <x:v>46147.042546296296</x:v>
      </x:c>
    </x:row>
    <x:row r="1919">
      <x:c r="A1919" s="22" t="n">
        <x:v>33811</x:v>
      </x:c>
      <x:c r="B1919" s="28" t="n">
        <x:v>259.91</x:v>
      </x:c>
      <x:c r="C1919" s="28" t="n">
        <x:v>285.9</x:v>
      </x:c>
      <x:c r="D1919" s="31" t="n">
        <x:f>IF(OR(ISBLANK(B1919),ISBLANK(C1919),B1919=0),"",(C1919-B1919)/B1919)</x:f>
        <x:v>0.0999961525143317</x:v>
      </x:c>
      <x:c r="E1919" s="22" t="str">
        <x:f>IF(ISBLANK(C1919),"AmountIncludingTax缺失",IF(ABS(B1919-C1919)&lt;0.005,"一致","不一致"))</x:f>
        <x:v>不一致</x:v>
      </x:c>
      <x:c r="F1919" s="19" t="str">
        <x:v>approved</x:v>
      </x:c>
      <x:c r="G1919" s="19" t="str">
        <x:v>Repairer Invoiced Processed</x:v>
      </x:c>
      <x:c r="H1919" s="19" t="str">
        <x:v>In Field</x:v>
      </x:c>
      <x:c r="I1919" s="37" t="n">
        <x:v>46154</x:v>
      </x:c>
      <x:c r="J1919" s="37" t="n">
        <x:v>46154</x:v>
      </x:c>
      <x:c r="K1919" s="19" t="str">
        <x:v>Green RV - Forest Glen</x:v>
      </x:c>
      <x:c r="L1919" s="19" t="str">
        <x:v>Z006</x:v>
      </x:c>
      <x:c r="M1919" s="19" t="str">
        <x:v>In Field Warranty Claims</x:v>
      </x:c>
      <x:c r="N1919" s="37" t="n">
        <x:v>46131</x:v>
      </x:c>
      <x:c r="O1919" s="37"/>
      <x:c r="P1919" s="34" t="n">
        <x:v>285.9</x:v>
      </x:c>
      <x:c r="Q1919" s="37" t="n">
        <x:v>46153.89475694444</x:v>
      </x:c>
    </x:row>
    <x:row r="1920">
      <x:c r="A1920" s="22" t="n">
        <x:v>33805</x:v>
      </x:c>
      <x:c r="B1920" s="28" t="n">
        <x:v>673.45</x:v>
      </x:c>
      <x:c r="C1920" s="28" t="n">
        <x:v>740.8</x:v>
      </x:c>
      <x:c r="D1920" s="31" t="n">
        <x:f>IF(OR(ISBLANK(B1920),ISBLANK(C1920),B1920=0),"",(C1920-B1920)/B1920)</x:f>
        <x:v>0.10000742445615844</x:v>
      </x:c>
      <x:c r="E1920" s="22" t="str">
        <x:f>IF(ISBLANK(C1920),"AmountIncludingTax缺失",IF(ABS(B1920-C1920)&lt;0.005,"一致","不一致"))</x:f>
        <x:v>不一致</x:v>
      </x:c>
      <x:c r="F1920" s="19" t="str">
        <x:v>approved</x:v>
      </x:c>
      <x:c r="G1920" s="19" t="str">
        <x:v>Repairer Invoiced Processed</x:v>
      </x:c>
      <x:c r="H1920" s="19" t="str">
        <x:v>In Field</x:v>
      </x:c>
      <x:c r="I1920" s="37" t="n">
        <x:v>46132</x:v>
      </x:c>
      <x:c r="J1920" s="37" t="n">
        <x:v>46132</x:v>
      </x:c>
      <x:c r="K1920" s="19" t="str">
        <x:v>Green RV - Forest Glen</x:v>
      </x:c>
      <x:c r="L1920" s="19" t="str">
        <x:v>Z006</x:v>
      </x:c>
      <x:c r="M1920" s="19" t="str">
        <x:v>In Field Warranty Claims</x:v>
      </x:c>
      <x:c r="N1920" s="37" t="n">
        <x:v>46132</x:v>
      </x:c>
      <x:c r="O1920" s="37"/>
      <x:c r="P1920" s="34" t="n">
        <x:v>740.8</x:v>
      </x:c>
      <x:c r="Q1920" s="37" t="n">
        <x:v>46132.032847222225</x:v>
      </x:c>
    </x:row>
    <x:row r="1921">
      <x:c r="A1921" s="22" t="n">
        <x:v>33801</x:v>
      </x:c>
      <x:c r="B1921" s="28" t="n">
        <x:v>1189.5</x:v>
      </x:c>
      <x:c r="C1921" s="28"/>
      <x:c r="D1921" s="31" t="str">
        <x:f>IF(OR(ISBLANK(B1921),ISBLANK(C1921),B1921=0),"",(C1921-B1921)/B1921)</x:f>
      </x:c>
      <x:c r="E1921" s="22" t="str">
        <x:f>IF(ISBLANK(C1921),"AmountIncludingTax缺失",IF(ABS(B1921-C1921)&lt;0.005,"一致","不一致"))</x:f>
        <x:v>AmountIncludingTax缺失</x:v>
      </x:c>
      <x:c r="F1921" s="19" t="str">
        <x:v>approved</x:v>
      </x:c>
      <x:c r="G1921" s="19" t="str">
        <x:v>Repairer Invoiced Processed</x:v>
      </x:c>
      <x:c r="H1921" s="19" t="str">
        <x:v>In Field</x:v>
      </x:c>
      <x:c r="I1921" s="37" t="n">
        <x:v>46131</x:v>
      </x:c>
      <x:c r="J1921" s="37" t="n">
        <x:v>46131</x:v>
      </x:c>
      <x:c r="K1921" s="19" t="str">
        <x:v>Not Assigned</x:v>
      </x:c>
      <x:c r="L1921" s="19" t="str">
        <x:v>Z006</x:v>
      </x:c>
      <x:c r="M1921" s="19" t="str">
        <x:v>In Field Warranty Claims</x:v>
      </x:c>
      <x:c r="N1921" s="37" t="n">
        <x:v>46131</x:v>
      </x:c>
      <x:c r="O1921" s="37"/>
      <x:c r="P1921" s="34" t="n">
        <x:v>1308.45</x:v>
      </x:c>
      <x:c r="Q1921" s="37" t="n">
        <x:v>46131.21270833333</x:v>
      </x:c>
    </x:row>
    <x:row r="1922">
      <x:c r="A1922" s="22" t="n">
        <x:v>33800</x:v>
      </x:c>
      <x:c r="B1922" s="28" t="n">
        <x:v>152</x:v>
      </x:c>
      <x:c r="C1922" s="28" t="n">
        <x:v>167.2</x:v>
      </x:c>
      <x:c r="D1922" s="31" t="n">
        <x:f>IF(OR(ISBLANK(B1922),ISBLANK(C1922),B1922=0),"",(C1922-B1922)/B1922)</x:f>
        <x:v>0.09999999999999992</x:v>
      </x:c>
      <x:c r="E1922" s="22" t="str">
        <x:f>IF(ISBLANK(C1922),"AmountIncludingTax缺失",IF(ABS(B1922-C1922)&lt;0.005,"一致","不一致"))</x:f>
        <x:v>不一致</x:v>
      </x:c>
      <x:c r="F1922" s="19" t="str">
        <x:v>approved</x:v>
      </x:c>
      <x:c r="G1922" s="19" t="str">
        <x:v>Repair in Progress</x:v>
      </x:c>
      <x:c r="H1922" s="19" t="str">
        <x:v>In Field</x:v>
      </x:c>
      <x:c r="I1922" s="37" t="n">
        <x:v>46149</x:v>
      </x:c>
      <x:c r="J1922" s="37" t="n">
        <x:v>46149</x:v>
      </x:c>
      <x:c r="K1922" s="19" t="str">
        <x:v>Green RV - Forest Glen</x:v>
      </x:c>
      <x:c r="L1922" s="19" t="str">
        <x:v>Z006</x:v>
      </x:c>
      <x:c r="M1922" s="19" t="str">
        <x:v>In Field Warranty Claims</x:v>
      </x:c>
      <x:c r="N1922" s="37" t="n">
        <x:v>46132</x:v>
      </x:c>
      <x:c r="O1922" s="37"/>
      <x:c r="P1922" s="34" t="n">
        <x:v>167.2</x:v>
      </x:c>
      <x:c r="Q1922" s="37" t="n">
        <x:v>46149.12944444444</x:v>
      </x:c>
    </x:row>
    <x:row r="1923">
      <x:c r="A1923" s="22" t="n">
        <x:v>33799</x:v>
      </x:c>
      <x:c r="B1923" s="28" t="n">
        <x:v>337.5</x:v>
      </x:c>
      <x:c r="C1923" s="28"/>
      <x:c r="D1923" s="31" t="str">
        <x:f>IF(OR(ISBLANK(B1923),ISBLANK(C1923),B1923=0),"",(C1923-B1923)/B1923)</x:f>
      </x:c>
      <x:c r="E1923" s="22" t="str">
        <x:f>IF(ISBLANK(C1923),"AmountIncludingTax缺失",IF(ABS(B1923-C1923)&lt;0.005,"一致","不一致"))</x:f>
        <x:v>AmountIncludingTax缺失</x:v>
      </x:c>
      <x:c r="F1923" s="19" t="str">
        <x:v>approved</x:v>
      </x:c>
      <x:c r="G1923" s="19" t="str">
        <x:v>Repairer Invoiced Processed</x:v>
      </x:c>
      <x:c r="H1923" s="19" t="str">
        <x:v>In Field</x:v>
      </x:c>
      <x:c r="I1923" s="37" t="n">
        <x:v>46146</x:v>
      </x:c>
      <x:c r="J1923" s="37" t="n">
        <x:v>46146</x:v>
      </x:c>
      <x:c r="K1923" s="19" t="str">
        <x:v>Lesiure Lion-New Castle</x:v>
      </x:c>
      <x:c r="L1923" s="19" t="str">
        <x:v>Z006</x:v>
      </x:c>
      <x:c r="M1923" s="19" t="str">
        <x:v>In Field Warranty Claims</x:v>
      </x:c>
      <x:c r="N1923" s="37" t="n">
        <x:v>46132</x:v>
      </x:c>
      <x:c r="O1923" s="37"/>
      <x:c r="P1923" s="34" t="n">
        <x:v>0</x:v>
      </x:c>
      <x:c r="Q1923" s="37" t="n">
        <x:v>46145.97665509259</x:v>
      </x:c>
    </x:row>
    <x:row r="1924">
      <x:c r="A1924" s="22" t="n">
        <x:v>33798</x:v>
      </x:c>
      <x:c r="B1924" s="28" t="n">
        <x:v>324.41</x:v>
      </x:c>
      <x:c r="C1924" s="28" t="n">
        <x:v>356.85</x:v>
      </x:c>
      <x:c r="D1924" s="31" t="n">
        <x:f>IF(OR(ISBLANK(B1924),ISBLANK(C1924),B1924=0),"",(C1924-B1924)/B1924)</x:f>
        <x:v>0.09999691748096542</x:v>
      </x:c>
      <x:c r="E1924" s="22" t="str">
        <x:f>IF(ISBLANK(C1924),"AmountIncludingTax缺失",IF(ABS(B1924-C1924)&lt;0.005,"一致","不一致"))</x:f>
        <x:v>不一致</x:v>
      </x:c>
      <x:c r="F1924" s="19" t="str">
        <x:v>approved</x:v>
      </x:c>
      <x:c r="G1924" s="19" t="str">
        <x:v>Repair in Progress</x:v>
      </x:c>
      <x:c r="H1924" s="19" t="str">
        <x:v>In Field</x:v>
      </x:c>
      <x:c r="I1924" s="37" t="n">
        <x:v>46160</x:v>
      </x:c>
      <x:c r="J1924" s="37" t="n">
        <x:v>46160</x:v>
      </x:c>
      <x:c r="K1924" s="19" t="str">
        <x:v>Regent RV - Townsville</x:v>
      </x:c>
      <x:c r="L1924" s="19" t="str">
        <x:v>Z006</x:v>
      </x:c>
      <x:c r="M1924" s="19" t="str">
        <x:v>In Field Warranty Claims</x:v>
      </x:c>
      <x:c r="N1924" s="37" t="n">
        <x:v>46132</x:v>
      </x:c>
      <x:c r="O1924" s="37"/>
      <x:c r="P1924" s="34" t="n">
        <x:v>356.85</x:v>
      </x:c>
      <x:c r="Q1924" s="37" t="n">
        <x:v>46160.121458333335</x:v>
      </x:c>
    </x:row>
    <x:row r="1925">
      <x:c r="A1925" s="22" t="n">
        <x:v>33796</x:v>
      </x:c>
      <x:c r="B1925" s="28" t="n">
        <x:v>1241.25</x:v>
      </x:c>
      <x:c r="C1925" s="28"/>
      <x:c r="D1925" s="31" t="str">
        <x:f>IF(OR(ISBLANK(B1925),ISBLANK(C1925),B1925=0),"",(C1925-B1925)/B1925)</x:f>
      </x:c>
      <x:c r="E1925" s="22" t="str">
        <x:f>IF(ISBLANK(C1925),"AmountIncludingTax缺失",IF(ABS(B1925-C1925)&lt;0.005,"一致","不一致"))</x:f>
        <x:v>AmountIncludingTax缺失</x:v>
      </x:c>
      <x:c r="F1925" s="19" t="str">
        <x:v>approved</x:v>
      </x:c>
      <x:c r="G1925" s="19" t="str">
        <x:v>Repair in Progress</x:v>
      </x:c>
      <x:c r="H1925" s="19" t="str">
        <x:v>In Field</x:v>
      </x:c>
      <x:c r="I1925" s="37" t="n">
        <x:v>46140</x:v>
      </x:c>
      <x:c r="J1925" s="37" t="n">
        <x:v>46140</x:v>
      </x:c>
      <x:c r="K1925" s="19" t="str">
        <x:v>Regent RV - Frankston</x:v>
      </x:c>
      <x:c r="L1925" s="19" t="str">
        <x:v>Z006</x:v>
      </x:c>
      <x:c r="M1925" s="19" t="str">
        <x:v>In Field Warranty Claims</x:v>
      </x:c>
      <x:c r="N1925" s="37" t="n">
        <x:v>46132</x:v>
      </x:c>
      <x:c r="O1925" s="37"/>
      <x:c r="P1925" s="34" t="n">
        <x:v>0</x:v>
      </x:c>
      <x:c r="Q1925" s="37" t="n">
        <x:v>46140.21638888889</x:v>
      </x:c>
    </x:row>
    <x:row r="1926">
      <x:c r="A1926" s="22" t="n">
        <x:v>33795</x:v>
      </x:c>
      <x:c r="B1926" s="28" t="n">
        <x:v>151.82</x:v>
      </x:c>
      <x:c r="C1926" s="28"/>
      <x:c r="D1926" s="31" t="str">
        <x:f>IF(OR(ISBLANK(B1926),ISBLANK(C1926),B1926=0),"",(C1926-B1926)/B1926)</x:f>
      </x:c>
      <x:c r="E1926" s="22" t="str">
        <x:f>IF(ISBLANK(C1926),"AmountIncludingTax缺失",IF(ABS(B1926-C1926)&lt;0.005,"一致","不一致"))</x:f>
        <x:v>AmountIncludingTax缺失</x:v>
      </x:c>
      <x:c r="F1926" s="19" t="str">
        <x:v>approved</x:v>
      </x:c>
      <x:c r="G1926" s="19" t="str">
        <x:v>Repair in Progress</x:v>
      </x:c>
      <x:c r="H1926" s="19" t="str">
        <x:v>In Field</x:v>
      </x:c>
      <x:c r="I1926" s="37" t="n">
        <x:v>46164</x:v>
      </x:c>
      <x:c r="J1926" s="37" t="n">
        <x:v>46160</x:v>
      </x:c>
      <x:c r="K1926" s="19" t="str">
        <x:v>Regent RV - Townsville</x:v>
      </x:c>
      <x:c r="L1926" s="19" t="str">
        <x:v>Z006</x:v>
      </x:c>
      <x:c r="M1926" s="19" t="str">
        <x:v>In Field Warranty Claims</x:v>
      </x:c>
      <x:c r="N1926" s="37" t="n">
        <x:v>46132</x:v>
      </x:c>
      <x:c r="O1926" s="37"/>
      <x:c r="P1926" s="34" t="n">
        <x:v>0</x:v>
      </x:c>
      <x:c r="Q1926" s="37" t="n">
        <x:v>46164.118159722224</x:v>
      </x:c>
    </x:row>
    <x:row r="1927">
      <x:c r="A1927" s="22" t="n">
        <x:v>33794</x:v>
      </x:c>
      <x:c r="B1927" s="28" t="n">
        <x:v>168.75</x:v>
      </x:c>
      <x:c r="C1927" s="28"/>
      <x:c r="D1927" s="31" t="str">
        <x:f>IF(OR(ISBLANK(B1927),ISBLANK(C1927),B1927=0),"",(C1927-B1927)/B1927)</x:f>
      </x:c>
      <x:c r="E1927" s="22" t="str">
        <x:f>IF(ISBLANK(C1927),"AmountIncludingTax缺失",IF(ABS(B1927-C1927)&lt;0.005,"一致","不一致"))</x:f>
        <x:v>AmountIncludingTax缺失</x:v>
      </x:c>
      <x:c r="F1927" s="19" t="str">
        <x:v>approved</x:v>
      </x:c>
      <x:c r="G1927" s="19" t="str">
        <x:v>Partially Picked</x:v>
      </x:c>
      <x:c r="H1927" s="19" t="str">
        <x:v>Pre Delivery</x:v>
      </x:c>
      <x:c r="I1927" s="37" t="n">
        <x:v>46142</x:v>
      </x:c>
      <x:c r="J1927" s="37" t="n">
        <x:v>46142</x:v>
      </x:c>
      <x:c r="K1927" s="19" t="str">
        <x:v>Leisure Lion - Bundaberg</x:v>
      </x:c>
      <x:c r="L1927" s="19" t="str">
        <x:v>Z005</x:v>
      </x:c>
      <x:c r="M1927" s="19" t="str">
        <x:v>Pre Delivery Warranty Claims</x:v>
      </x:c>
      <x:c r="N1927" s="37" t="n">
        <x:v>46132</x:v>
      </x:c>
      <x:c r="O1927" s="37"/>
      <x:c r="P1927" s="34" t="n">
        <x:v>0</x:v>
      </x:c>
      <x:c r="Q1927" s="37" t="n">
        <x:v>46141.978159722225</x:v>
      </x:c>
    </x:row>
    <x:row r="1928">
      <x:c r="A1928" s="22" t="n">
        <x:v>33793</x:v>
      </x:c>
      <x:c r="B1928" s="28" t="n">
        <x:v>1314.5</x:v>
      </x:c>
      <x:c r="C1928" s="28"/>
      <x:c r="D1928" s="31" t="str">
        <x:f>IF(OR(ISBLANK(B1928),ISBLANK(C1928),B1928=0),"",(C1928-B1928)/B1928)</x:f>
      </x:c>
      <x:c r="E1928" s="22" t="str">
        <x:f>IF(ISBLANK(C1928),"AmountIncludingTax缺失",IF(ABS(B1928-C1928)&lt;0.005,"一致","不一致"))</x:f>
        <x:v>AmountIncludingTax缺失</x:v>
      </x:c>
      <x:c r="F1928" s="19" t="str">
        <x:v>approved</x:v>
      </x:c>
      <x:c r="G1928" s="19" t="str">
        <x:v>Repairer Invoiced Processed</x:v>
      </x:c>
      <x:c r="H1928" s="19" t="str">
        <x:v>In Field</x:v>
      </x:c>
      <x:c r="I1928" s="37" t="n">
        <x:v>46163</x:v>
      </x:c>
      <x:c r="J1928" s="37" t="n">
        <x:v>46163</x:v>
      </x:c>
      <x:c r="K1928" s="19" t="str">
        <x:v>Lesiure Lion-New Castle</x:v>
      </x:c>
      <x:c r="L1928" s="19" t="str">
        <x:v>Z006</x:v>
      </x:c>
      <x:c r="M1928" s="19" t="str">
        <x:v>In Field Warranty Claims</x:v>
      </x:c>
      <x:c r="N1928" s="37" t="n">
        <x:v>46131</x:v>
      </x:c>
      <x:c r="O1928" s="37"/>
      <x:c r="P1928" s="34" t="n">
        <x:v>1445.95</x:v>
      </x:c>
      <x:c r="Q1928" s="37" t="n">
        <x:v>46163.18958333333</x:v>
      </x:c>
    </x:row>
    <x:row r="1929">
      <x:c r="A1929" s="22" t="n">
        <x:v>33792</x:v>
      </x:c>
      <x:c r="B1929" s="28" t="n">
        <x:v>153.64</x:v>
      </x:c>
      <x:c r="C1929" s="28" t="n">
        <x:v>169</x:v>
      </x:c>
      <x:c r="D1929" s="31" t="n">
        <x:f>IF(OR(ISBLANK(B1929),ISBLANK(C1929),B1929=0),"",(C1929-B1929)/B1929)</x:f>
        <x:v>0.09997396511325185</x:v>
      </x:c>
      <x:c r="E1929" s="22" t="str">
        <x:f>IF(ISBLANK(C1929),"AmountIncludingTax缺失",IF(ABS(B1929-C1929)&lt;0.005,"一致","不一致"))</x:f>
        <x:v>不一致</x:v>
      </x:c>
      <x:c r="F1929" s="19" t="str">
        <x:v>approved</x:v>
      </x:c>
      <x:c r="G1929" s="19" t="str">
        <x:v>Repairer Invoiced Processed</x:v>
      </x:c>
      <x:c r="H1929" s="19" t="str">
        <x:v>In Field</x:v>
      </x:c>
      <x:c r="I1929" s="37" t="n">
        <x:v>46163</x:v>
      </x:c>
      <x:c r="J1929" s="37" t="n">
        <x:v>46163</x:v>
      </x:c>
      <x:c r="K1929" s="19" t="str">
        <x:v>ABCO Caravans - Boambee Valley</x:v>
      </x:c>
      <x:c r="L1929" s="19" t="str">
        <x:v>Z006</x:v>
      </x:c>
      <x:c r="M1929" s="19" t="str">
        <x:v>In Field Warranty Claims</x:v>
      </x:c>
      <x:c r="N1929" s="37" t="n">
        <x:v>46131</x:v>
      </x:c>
      <x:c r="O1929" s="37"/>
      <x:c r="P1929" s="34" t="n">
        <x:v>169</x:v>
      </x:c>
      <x:c r="Q1929" s="37" t="n">
        <x:v>46163.17599537037</x:v>
      </x:c>
    </x:row>
    <x:row r="1930">
      <x:c r="A1930" s="22" t="n">
        <x:v>33791</x:v>
      </x:c>
      <x:c r="B1930" s="28" t="n">
        <x:v>202.5</x:v>
      </x:c>
      <x:c r="C1930" s="28"/>
      <x:c r="D1930" s="31" t="str">
        <x:f>IF(OR(ISBLANK(B1930),ISBLANK(C1930),B1930=0),"",(C1930-B1930)/B1930)</x:f>
      </x:c>
      <x:c r="E1930" s="22" t="str">
        <x:f>IF(ISBLANK(C1930),"AmountIncludingTax缺失",IF(ABS(B1930-C1930)&lt;0.005,"一致","不一致"))</x:f>
        <x:v>AmountIncludingTax缺失</x:v>
      </x:c>
      <x:c r="F1930" s="19" t="str">
        <x:v>approved</x:v>
      </x:c>
      <x:c r="G1930" s="19" t="str">
        <x:v>Repair in Progress</x:v>
      </x:c>
      <x:c r="H1930" s="19" t="str">
        <x:v>In Field</x:v>
      </x:c>
      <x:c r="I1930" s="37" t="n">
        <x:v>46154</x:v>
      </x:c>
      <x:c r="J1930" s="37" t="n">
        <x:v>46154</x:v>
      </x:c>
      <x:c r="K1930" s="19" t="str">
        <x:v>Snowy River Frankston</x:v>
      </x:c>
      <x:c r="L1930" s="19" t="str">
        <x:v>Z006</x:v>
      </x:c>
      <x:c r="M1930" s="19" t="str">
        <x:v>In Field Warranty Claims</x:v>
      </x:c>
      <x:c r="N1930" s="37" t="n">
        <x:v>46131</x:v>
      </x:c>
      <x:c r="O1930" s="37"/>
      <x:c r="P1930" s="34" t="n">
        <x:v>0</x:v>
      </x:c>
      <x:c r="Q1930" s="37" t="n">
        <x:v>46154.06135416667</x:v>
      </x:c>
    </x:row>
    <x:row r="1931">
      <x:c r="A1931" s="22" t="n">
        <x:v>33773</x:v>
      </x:c>
      <x:c r="B1931" s="28" t="n">
        <x:v>81.81</x:v>
      </x:c>
      <x:c r="C1931" s="28" t="n">
        <x:v>89.99</x:v>
      </x:c>
      <x:c r="D1931" s="31" t="n">
        <x:f>IF(OR(ISBLANK(B1931),ISBLANK(C1931),B1931=0),"",(C1931-B1931)/B1931)</x:f>
        <x:v>0.09998777655543323</x:v>
      </x:c>
      <x:c r="E1931" s="22" t="str">
        <x:f>IF(ISBLANK(C1931),"AmountIncludingTax缺失",IF(ABS(B1931-C1931)&lt;0.005,"一致","不一致"))</x:f>
        <x:v>不一致</x:v>
      </x:c>
      <x:c r="F1931" s="19" t="str">
        <x:v>approved</x:v>
      </x:c>
      <x:c r="G1931" s="19" t="str">
        <x:v>Repairer Invoiced Processed</x:v>
      </x:c>
      <x:c r="H1931" s="19" t="str">
        <x:v>In Field</x:v>
      </x:c>
      <x:c r="I1931" s="37" t="n">
        <x:v>46140</x:v>
      </x:c>
      <x:c r="J1931" s="37" t="n">
        <x:v>46140</x:v>
      </x:c>
      <x:c r="K1931" s="19" t="str">
        <x:v>Caravans WA</x:v>
      </x:c>
      <x:c r="L1931" s="19" t="str">
        <x:v>Z006</x:v>
      </x:c>
      <x:c r="M1931" s="19" t="str">
        <x:v>In Field Warranty Claims</x:v>
      </x:c>
      <x:c r="N1931" s="37" t="n">
        <x:v>46130</x:v>
      </x:c>
      <x:c r="O1931" s="37"/>
      <x:c r="P1931" s="34" t="n">
        <x:v>89.99</x:v>
      </x:c>
      <x:c r="Q1931" s="37" t="n">
        <x:v>46140.25136574074</x:v>
      </x:c>
    </x:row>
    <x:row r="1932">
      <x:c r="A1932" s="22" t="n">
        <x:v>33771</x:v>
      </x:c>
      <x:c r="B1932" s="28" t="n">
        <x:v>155.4</x:v>
      </x:c>
      <x:c r="C1932" s="28" t="n">
        <x:v>170.94</x:v>
      </x:c>
      <x:c r="D1932" s="31" t="n">
        <x:f>IF(OR(ISBLANK(B1932),ISBLANK(C1932),B1932=0),"",(C1932-B1932)/B1932)</x:f>
        <x:v>0.09999999999999995</x:v>
      </x:c>
      <x:c r="E1932" s="22" t="str">
        <x:f>IF(ISBLANK(C1932),"AmountIncludingTax缺失",IF(ABS(B1932-C1932)&lt;0.005,"一致","不一致"))</x:f>
        <x:v>不一致</x:v>
      </x:c>
      <x:c r="F1932" s="19" t="str">
        <x:v>approved</x:v>
      </x:c>
      <x:c r="G1932" s="19" t="str">
        <x:v>Repairer Invoiced Processed</x:v>
      </x:c>
      <x:c r="H1932" s="19" t="str">
        <x:v>In Field</x:v>
      </x:c>
      <x:c r="I1932" s="37" t="n">
        <x:v>46134</x:v>
      </x:c>
      <x:c r="J1932" s="37" t="n">
        <x:v>46134</x:v>
      </x:c>
      <x:c r="K1932" s="19" t="str">
        <x:v>Green RV - Slacks Creek</x:v>
      </x:c>
      <x:c r="L1932" s="19" t="str">
        <x:v>Z006</x:v>
      </x:c>
      <x:c r="M1932" s="19" t="str">
        <x:v>In Field Warranty Claims</x:v>
      </x:c>
      <x:c r="N1932" s="37" t="n">
        <x:v>46129</x:v>
      </x:c>
      <x:c r="O1932" s="37"/>
      <x:c r="P1932" s="34" t="n">
        <x:v>170.94</x:v>
      </x:c>
      <x:c r="Q1932" s="37" t="n">
        <x:v>46134.29701388889</x:v>
      </x:c>
    </x:row>
    <x:row r="1933">
      <x:c r="A1933" s="22" t="n">
        <x:v>33769</x:v>
      </x:c>
      <x:c r="B1933" s="28" t="n">
        <x:v>33.75</x:v>
      </x:c>
      <x:c r="C1933" s="28"/>
      <x:c r="D1933" s="31" t="str">
        <x:f>IF(OR(ISBLANK(B1933),ISBLANK(C1933),B1933=0),"",(C1933-B1933)/B1933)</x:f>
      </x:c>
      <x:c r="E1933" s="22" t="str">
        <x:f>IF(ISBLANK(C1933),"AmountIncludingTax缺失",IF(ABS(B1933-C1933)&lt;0.005,"一致","不一致"))</x:f>
        <x:v>AmountIncludingTax缺失</x:v>
      </x:c>
      <x:c r="F1933" s="19" t="str">
        <x:v>approved</x:v>
      </x:c>
      <x:c r="G1933" s="19" t="str">
        <x:v>Repair in Progress</x:v>
      </x:c>
      <x:c r="H1933" s="19" t="str">
        <x:v>In Field</x:v>
      </x:c>
      <x:c r="I1933" s="37" t="n">
        <x:v>46168</x:v>
      </x:c>
      <x:c r="J1933" s="37" t="n">
        <x:v>46168</x:v>
      </x:c>
      <x:c r="K1933" s="19" t="str">
        <x:v>Leisure Lion - Bundaberg</x:v>
      </x:c>
      <x:c r="L1933" s="19" t="str">
        <x:v>Z006</x:v>
      </x:c>
      <x:c r="M1933" s="19" t="str">
        <x:v>In Field Warranty Claims</x:v>
      </x:c>
      <x:c r="N1933" s="37" t="n">
        <x:v>46129</x:v>
      </x:c>
      <x:c r="O1933" s="37"/>
      <x:c r="P1933" s="34" t="n">
        <x:v>0</x:v>
      </x:c>
      <x:c r="Q1933" s="37" t="n">
        <x:v>46167.94599537037</x:v>
      </x:c>
    </x:row>
    <x:row r="1934">
      <x:c r="A1934" s="22" t="n">
        <x:v>33767</x:v>
      </x:c>
      <x:c r="B1934" s="28" t="n">
        <x:v>135</x:v>
      </x:c>
      <x:c r="C1934" s="28"/>
      <x:c r="D1934" s="31" t="str">
        <x:f>IF(OR(ISBLANK(B1934),ISBLANK(C1934),B1934=0),"",(C1934-B1934)/B1934)</x:f>
      </x:c>
      <x:c r="E1934" s="22" t="str">
        <x:f>IF(ISBLANK(C1934),"AmountIncludingTax缺失",IF(ABS(B1934-C1934)&lt;0.005,"一致","不一致"))</x:f>
        <x:v>AmountIncludingTax缺失</x:v>
      </x:c>
      <x:c r="F1934" s="19" t="str">
        <x:v>approved</x:v>
      </x:c>
      <x:c r="G1934" s="19" t="str">
        <x:v>Repairer Invoiced Processed</x:v>
      </x:c>
      <x:c r="H1934" s="19" t="str">
        <x:v>In Field</x:v>
      </x:c>
      <x:c r="I1934" s="37" t="n">
        <x:v>46140</x:v>
      </x:c>
      <x:c r="J1934" s="37" t="n">
        <x:v>46140</x:v>
      </x:c>
      <x:c r="K1934" s="19" t="str">
        <x:v>Snowy River Wangaratta</x:v>
      </x:c>
      <x:c r="L1934" s="19" t="str">
        <x:v>Z006</x:v>
      </x:c>
      <x:c r="M1934" s="19" t="str">
        <x:v>In Field Warranty Claims</x:v>
      </x:c>
      <x:c r="N1934" s="37" t="n">
        <x:v>46129</x:v>
      </x:c>
      <x:c r="O1934" s="37"/>
      <x:c r="P1934" s="34" t="n">
        <x:v>0</x:v>
      </x:c>
      <x:c r="Q1934" s="37" t="n">
        <x:v>46140.128796296296</x:v>
      </x:c>
    </x:row>
    <x:row r="1935">
      <x:c r="A1935" s="22" t="n">
        <x:v>33763</x:v>
      </x:c>
      <x:c r="B1935" s="28" t="n">
        <x:v>791.25</x:v>
      </x:c>
      <x:c r="C1935" s="28"/>
      <x:c r="D1935" s="31" t="str">
        <x:f>IF(OR(ISBLANK(B1935),ISBLANK(C1935),B1935=0),"",(C1935-B1935)/B1935)</x:f>
      </x:c>
      <x:c r="E1935" s="22" t="str">
        <x:f>IF(ISBLANK(C1935),"AmountIncludingTax缺失",IF(ABS(B1935-C1935)&lt;0.005,"一致","不一致"))</x:f>
        <x:v>AmountIncludingTax缺失</x:v>
      </x:c>
      <x:c r="F1935" s="19" t="str">
        <x:v>approved</x:v>
      </x:c>
      <x:c r="G1935" s="19" t="str">
        <x:v>Repair in Progress</x:v>
      </x:c>
      <x:c r="H1935" s="19" t="str">
        <x:v>In Field</x:v>
      </x:c>
      <x:c r="I1935" s="37" t="n">
        <x:v>46160</x:v>
      </x:c>
      <x:c r="J1935" s="37" t="n">
        <x:v>46160</x:v>
      </x:c>
      <x:c r="K1935" s="19" t="str">
        <x:v>Regent RV - Townsville</x:v>
      </x:c>
      <x:c r="L1935" s="19" t="str">
        <x:v>Z006</x:v>
      </x:c>
      <x:c r="M1935" s="19" t="str">
        <x:v>In Field Warranty Claims</x:v>
      </x:c>
      <x:c r="N1935" s="37" t="n">
        <x:v>46129</x:v>
      </x:c>
      <x:c r="O1935" s="37"/>
      <x:c r="P1935" s="34" t="n">
        <x:v>0</x:v>
      </x:c>
      <x:c r="Q1935" s="37" t="n">
        <x:v>46160.14556712963</x:v>
      </x:c>
    </x:row>
    <x:row r="1936">
      <x:c r="A1936" s="22" t="n">
        <x:v>33759</x:v>
      </x:c>
      <x:c r="B1936" s="28" t="n">
        <x:v>996.93</x:v>
      </x:c>
      <x:c r="C1936" s="28"/>
      <x:c r="D1936" s="31" t="str">
        <x:f>IF(OR(ISBLANK(B1936),ISBLANK(C1936),B1936=0),"",(C1936-B1936)/B1936)</x:f>
      </x:c>
      <x:c r="E1936" s="22" t="str">
        <x:f>IF(ISBLANK(C1936),"AmountIncludingTax缺失",IF(ABS(B1936-C1936)&lt;0.005,"一致","不一致"))</x:f>
        <x:v>AmountIncludingTax缺失</x:v>
      </x:c>
      <x:c r="F1936" s="19" t="str">
        <x:v>approved</x:v>
      </x:c>
      <x:c r="G1936" s="19" t="str">
        <x:v>Sales Order Approved</x:v>
      </x:c>
      <x:c r="H1936" s="19" t="str">
        <x:v>Pre Delivery</x:v>
      </x:c>
      <x:c r="I1936" s="37" t="n">
        <x:v>46142</x:v>
      </x:c>
      <x:c r="J1936" s="37" t="n">
        <x:v>46142</x:v>
      </x:c>
      <x:c r="K1936" s="19" t="str">
        <x:v>Green RV - Forest Glen</x:v>
      </x:c>
      <x:c r="L1936" s="19" t="str">
        <x:v>Z005</x:v>
      </x:c>
      <x:c r="M1936" s="19" t="str">
        <x:v>Pre Delivery Warranty Claims</x:v>
      </x:c>
      <x:c r="N1936" s="37" t="n">
        <x:v>46129</x:v>
      </x:c>
      <x:c r="O1936" s="37"/>
      <x:c r="P1936" s="34" t="n">
        <x:v>0</x:v>
      </x:c>
      <x:c r="Q1936" s="37" t="n">
        <x:v>46142.163981481484</x:v>
      </x:c>
    </x:row>
    <x:row r="1937">
      <x:c r="A1937" s="22" t="n">
        <x:v>33758</x:v>
      </x:c>
      <x:c r="B1937" s="28" t="n">
        <x:v>33.75</x:v>
      </x:c>
      <x:c r="C1937" s="28" t="n">
        <x:v>37.13</x:v>
      </x:c>
      <x:c r="D1937" s="31" t="n">
        <x:f>IF(OR(ISBLANK(B1937),ISBLANK(C1937),B1937=0),"",(C1937-B1937)/B1937)</x:f>
        <x:v>0.10014814814814822</x:v>
      </x:c>
      <x:c r="E1937" s="22" t="str">
        <x:f>IF(ISBLANK(C1937),"AmountIncludingTax缺失",IF(ABS(B1937-C1937)&lt;0.005,"一致","不一致"))</x:f>
        <x:v>不一致</x:v>
      </x:c>
      <x:c r="F1937" s="19" t="str">
        <x:v>approved</x:v>
      </x:c>
      <x:c r="G1937" s="19" t="str">
        <x:v>Repair in Progress</x:v>
      </x:c>
      <x:c r="H1937" s="19" t="str">
        <x:v>In Field</x:v>
      </x:c>
      <x:c r="I1937" s="37" t="n">
        <x:v>46135</x:v>
      </x:c>
      <x:c r="J1937" s="37" t="n">
        <x:v>46135</x:v>
      </x:c>
      <x:c r="K1937" s="19" t="str">
        <x:v>Green RV - Forest Glen</x:v>
      </x:c>
      <x:c r="L1937" s="19" t="str">
        <x:v>Z006</x:v>
      </x:c>
      <x:c r="M1937" s="19" t="str">
        <x:v>In Field Warranty Claims</x:v>
      </x:c>
      <x:c r="N1937" s="37" t="n">
        <x:v>46129</x:v>
      </x:c>
      <x:c r="O1937" s="37"/>
      <x:c r="P1937" s="34" t="n">
        <x:v>37.13</x:v>
      </x:c>
      <x:c r="Q1937" s="37" t="n">
        <x:v>46135.143738425926</x:v>
      </x:c>
    </x:row>
    <x:row r="1938">
      <x:c r="A1938" s="22" t="n">
        <x:v>33757</x:v>
      </x:c>
      <x:c r="B1938" s="28" t="n">
        <x:v>179.55</x:v>
      </x:c>
      <x:c r="C1938" s="28"/>
      <x:c r="D1938" s="31" t="str">
        <x:f>IF(OR(ISBLANK(B1938),ISBLANK(C1938),B1938=0),"",(C1938-B1938)/B1938)</x:f>
      </x:c>
      <x:c r="E1938" s="22" t="str">
        <x:f>IF(ISBLANK(C1938),"AmountIncludingTax缺失",IF(ABS(B1938-C1938)&lt;0.005,"一致","不一致"))</x:f>
        <x:v>AmountIncludingTax缺失</x:v>
      </x:c>
      <x:c r="F1938" s="19" t="str">
        <x:v>approved</x:v>
      </x:c>
      <x:c r="G1938" s="19" t="str">
        <x:v>Partially Picked</x:v>
      </x:c>
      <x:c r="H1938" s="19" t="str">
        <x:v>In Field</x:v>
      </x:c>
      <x:c r="I1938" s="37" t="n">
        <x:v>46157</x:v>
      </x:c>
      <x:c r="J1938" s="37" t="n">
        <x:v>46157</x:v>
      </x:c>
      <x:c r="K1938" s="19" t="str">
        <x:v>Green RV - Forest Glen</x:v>
      </x:c>
      <x:c r="L1938" s="19" t="str">
        <x:v>Z006</x:v>
      </x:c>
      <x:c r="M1938" s="19" t="str">
        <x:v>In Field Warranty Claims</x:v>
      </x:c>
      <x:c r="N1938" s="37" t="n">
        <x:v>46129</x:v>
      </x:c>
      <x:c r="O1938" s="37"/>
      <x:c r="P1938" s="34" t="n">
        <x:v>0</x:v>
      </x:c>
      <x:c r="Q1938" s="37" t="n">
        <x:v>46157.12373842593</x:v>
      </x:c>
    </x:row>
    <x:row r="1939">
      <x:c r="A1939" s="22" t="n">
        <x:v>33752</x:v>
      </x:c>
      <x:c r="B1939" s="28" t="n">
        <x:v>810</x:v>
      </x:c>
      <x:c r="C1939" s="28"/>
      <x:c r="D1939" s="31" t="str">
        <x:f>IF(OR(ISBLANK(B1939),ISBLANK(C1939),B1939=0),"",(C1939-B1939)/B1939)</x:f>
      </x:c>
      <x:c r="E1939" s="22" t="str">
        <x:f>IF(ISBLANK(C1939),"AmountIncludingTax缺失",IF(ABS(B1939-C1939)&lt;0.005,"一致","不一致"))</x:f>
        <x:v>AmountIncludingTax缺失</x:v>
      </x:c>
      <x:c r="F1939" s="19" t="str">
        <x:v>approved</x:v>
      </x:c>
      <x:c r="G1939" s="19" t="str">
        <x:v>Repair in Progress</x:v>
      </x:c>
      <x:c r="H1939" s="19" t="str">
        <x:v>In Field</x:v>
      </x:c>
      <x:c r="I1939" s="37" t="n">
        <x:v>46129</x:v>
      </x:c>
      <x:c r="J1939" s="37" t="n">
        <x:v>46129</x:v>
      </x:c>
      <x:c r="K1939" s="19" t="str">
        <x:v>Newcastle RV Super Centre - Beresfield</x:v>
      </x:c>
      <x:c r="L1939" s="19" t="str">
        <x:v>Z006</x:v>
      </x:c>
      <x:c r="M1939" s="19" t="str">
        <x:v>In Field Warranty Claims</x:v>
      </x:c>
      <x:c r="N1939" s="37" t="n">
        <x:v>46129</x:v>
      </x:c>
      <x:c r="O1939" s="37"/>
      <x:c r="P1939" s="34" t="n">
        <x:v>0</x:v>
      </x:c>
      <x:c r="Q1939" s="37" t="n">
        <x:v>46129.16601851852</x:v>
      </x:c>
    </x:row>
    <x:row r="1940">
      <x:c r="A1940" s="22" t="n">
        <x:v>33751</x:v>
      </x:c>
      <x:c r="B1940" s="28" t="n">
        <x:v>108.75</x:v>
      </x:c>
      <x:c r="C1940" s="28"/>
      <x:c r="D1940" s="31" t="str">
        <x:f>IF(OR(ISBLANK(B1940),ISBLANK(C1940),B1940=0),"",(C1940-B1940)/B1940)</x:f>
      </x:c>
      <x:c r="E1940" s="22" t="str">
        <x:f>IF(ISBLANK(C1940),"AmountIncludingTax缺失",IF(ABS(B1940-C1940)&lt;0.005,"一致","不一致"))</x:f>
        <x:v>AmountIncludingTax缺失</x:v>
      </x:c>
      <x:c r="F1940" s="19" t="str">
        <x:v>approved</x:v>
      </x:c>
      <x:c r="G1940" s="19" t="str">
        <x:v>Sales Order Approved</x:v>
      </x:c>
      <x:c r="H1940" s="19" t="str">
        <x:v>Pre Delivery</x:v>
      </x:c>
      <x:c r="I1940" s="37" t="n">
        <x:v>46192</x:v>
      </x:c>
      <x:c r="J1940" s="37" t="n">
        <x:v>46191</x:v>
      </x:c>
      <x:c r="K1940" s="19" t="str">
        <x:v>Regent RV - Townsville</x:v>
      </x:c>
      <x:c r="L1940" s="19" t="str">
        <x:v>Z005</x:v>
      </x:c>
      <x:c r="M1940" s="19" t="str">
        <x:v>Pre Delivery Warranty Claims</x:v>
      </x:c>
      <x:c r="N1940" s="37" t="n">
        <x:v>46129</x:v>
      </x:c>
      <x:c r="O1940" s="37"/>
      <x:c r="P1940" s="34" t="n">
        <x:v>0</x:v>
      </x:c>
      <x:c r="Q1940" s="37" t="n">
        <x:v>46192.12092592593</x:v>
      </x:c>
    </x:row>
    <x:row r="1941">
      <x:c r="A1941" s="22" t="n">
        <x:v>33750</x:v>
      </x:c>
      <x:c r="B1941" s="28" t="n">
        <x:v>641.25</x:v>
      </x:c>
      <x:c r="C1941" s="28"/>
      <x:c r="D1941" s="31" t="str">
        <x:f>IF(OR(ISBLANK(B1941),ISBLANK(C1941),B1941=0),"",(C1941-B1941)/B1941)</x:f>
      </x:c>
      <x:c r="E1941" s="22" t="str">
        <x:f>IF(ISBLANK(C1941),"AmountIncludingTax缺失",IF(ABS(B1941-C1941)&lt;0.005,"一致","不一致"))</x:f>
        <x:v>AmountIncludingTax缺失</x:v>
      </x:c>
      <x:c r="F1941" s="19" t="str">
        <x:v>approved</x:v>
      </x:c>
      <x:c r="G1941" s="19" t="str">
        <x:v>Repair in Progress</x:v>
      </x:c>
      <x:c r="H1941" s="19" t="str">
        <x:v>In Field</x:v>
      </x:c>
      <x:c r="I1941" s="37" t="n">
        <x:v>46163</x:v>
      </x:c>
      <x:c r="J1941" s="37" t="n">
        <x:v>46163</x:v>
      </x:c>
      <x:c r="K1941" s="19" t="str">
        <x:v>Lesiure Lion-New Castle</x:v>
      </x:c>
      <x:c r="L1941" s="19" t="str">
        <x:v>Z006</x:v>
      </x:c>
      <x:c r="M1941" s="19" t="str">
        <x:v>In Field Warranty Claims</x:v>
      </x:c>
      <x:c r="N1941" s="37" t="n">
        <x:v>46129</x:v>
      </x:c>
      <x:c r="O1941" s="37"/>
      <x:c r="P1941" s="34" t="n">
        <x:v>0</x:v>
      </x:c>
      <x:c r="Q1941" s="37" t="n">
        <x:v>46162.9249537037</x:v>
      </x:c>
    </x:row>
    <x:row r="1942">
      <x:c r="A1942" s="22" t="n">
        <x:v>33748</x:v>
      </x:c>
      <x:c r="B1942" s="28" t="n">
        <x:v>900</x:v>
      </x:c>
      <x:c r="C1942" s="28" t="n">
        <x:v>814.86</x:v>
      </x:c>
      <x:c r="D1942" s="31" t="n">
        <x:f>IF(OR(ISBLANK(B1942),ISBLANK(C1942),B1942=0),"",(C1942-B1942)/B1942)</x:f>
        <x:v>-0.09459999999999999</x:v>
      </x:c>
      <x:c r="E1942" s="22" t="str">
        <x:f>IF(ISBLANK(C1942),"AmountIncludingTax缺失",IF(ABS(B1942-C1942)&lt;0.005,"一致","不一致"))</x:f>
        <x:v>不一致</x:v>
      </x:c>
      <x:c r="F1942" s="19" t="str">
        <x:v>approved</x:v>
      </x:c>
      <x:c r="G1942" s="19" t="str">
        <x:v>Repairer Invoiced Processed</x:v>
      </x:c>
      <x:c r="H1942" s="19" t="str">
        <x:v>In Field</x:v>
      </x:c>
      <x:c r="I1942" s="37" t="n">
        <x:v>46163</x:v>
      </x:c>
      <x:c r="J1942" s="37" t="n">
        <x:v>46163</x:v>
      </x:c>
      <x:c r="K1942" s="19" t="str">
        <x:v>Vanari Caravans - Marden Point</x:v>
      </x:c>
      <x:c r="L1942" s="19" t="str">
        <x:v>Z006</x:v>
      </x:c>
      <x:c r="M1942" s="19" t="str">
        <x:v>In Field Warranty Claims</x:v>
      </x:c>
      <x:c r="N1942" s="37" t="n">
        <x:v>46129</x:v>
      </x:c>
      <x:c r="O1942" s="37"/>
      <x:c r="P1942" s="34" t="n">
        <x:v>814.86</x:v>
      </x:c>
      <x:c r="Q1942" s="37" t="n">
        <x:v>46162.931435185186</x:v>
      </x:c>
    </x:row>
    <x:row r="1943">
      <x:c r="A1943" s="22" t="n">
        <x:v>33746</x:v>
      </x:c>
      <x:c r="B1943" s="28" t="n">
        <x:v>72.5</x:v>
      </x:c>
      <x:c r="C1943" s="28"/>
      <x:c r="D1943" s="31" t="str">
        <x:f>IF(OR(ISBLANK(B1943),ISBLANK(C1943),B1943=0),"",(C1943-B1943)/B1943)</x:f>
      </x:c>
      <x:c r="E1943" s="22" t="str">
        <x:f>IF(ISBLANK(C1943),"AmountIncludingTax缺失",IF(ABS(B1943-C1943)&lt;0.005,"一致","不一致"))</x:f>
        <x:v>AmountIncludingTax缺失</x:v>
      </x:c>
      <x:c r="F1943" s="19" t="str">
        <x:v>approved</x:v>
      </x:c>
      <x:c r="G1943" s="19" t="str">
        <x:v>Sales Order Approved</x:v>
      </x:c>
      <x:c r="H1943" s="19" t="str">
        <x:v>In Field</x:v>
      </x:c>
      <x:c r="I1943" s="37" t="n">
        <x:v>46150</x:v>
      </x:c>
      <x:c r="J1943" s="37" t="n">
        <x:v>46150</x:v>
      </x:c>
      <x:c r="K1943" s="19" t="str">
        <x:v>The Caravan Hub - Townsville</x:v>
      </x:c>
      <x:c r="L1943" s="19" t="str">
        <x:v>Z006</x:v>
      </x:c>
      <x:c r="M1943" s="19" t="str">
        <x:v>In Field Warranty Claims</x:v>
      </x:c>
      <x:c r="N1943" s="37" t="n">
        <x:v>46128</x:v>
      </x:c>
      <x:c r="O1943" s="37"/>
      <x:c r="P1943" s="34" t="n">
        <x:v>0</x:v>
      </x:c>
      <x:c r="Q1943" s="37" t="n">
        <x:v>46150.18108796296</x:v>
      </x:c>
    </x:row>
    <x:row r="1944">
      <x:c r="A1944" s="22" t="n">
        <x:v>33745</x:v>
      </x:c>
      <x:c r="B1944" s="28" t="n">
        <x:v>472.5</x:v>
      </x:c>
      <x:c r="C1944" s="28"/>
      <x:c r="D1944" s="31" t="str">
        <x:f>IF(OR(ISBLANK(B1944),ISBLANK(C1944),B1944=0),"",(C1944-B1944)/B1944)</x:f>
      </x:c>
      <x:c r="E1944" s="22" t="str">
        <x:f>IF(ISBLANK(C1944),"AmountIncludingTax缺失",IF(ABS(B1944-C1944)&lt;0.005,"一致","不一致"))</x:f>
        <x:v>AmountIncludingTax缺失</x:v>
      </x:c>
      <x:c r="F1944" s="19" t="str">
        <x:v>approved</x:v>
      </x:c>
      <x:c r="G1944" s="19" t="str">
        <x:v>Repair in Progress</x:v>
      </x:c>
      <x:c r="H1944" s="19" t="str">
        <x:v>In Field</x:v>
      </x:c>
      <x:c r="I1944" s="37" t="n">
        <x:v>46153</x:v>
      </x:c>
      <x:c r="J1944" s="37" t="n">
        <x:v>46153</x:v>
      </x:c>
      <x:c r="K1944" s="19" t="str">
        <x:v>Auswide Caravans - South Nowra</x:v>
      </x:c>
      <x:c r="L1944" s="19" t="str">
        <x:v>Z006</x:v>
      </x:c>
      <x:c r="M1944" s="19" t="str">
        <x:v>In Field Warranty Claims</x:v>
      </x:c>
      <x:c r="N1944" s="37" t="n">
        <x:v>46128</x:v>
      </x:c>
      <x:c r="O1944" s="37"/>
      <x:c r="P1944" s="34" t="n">
        <x:v>0</x:v>
      </x:c>
      <x:c r="Q1944" s="37" t="n">
        <x:v>46152.93699074074</x:v>
      </x:c>
    </x:row>
    <x:row r="1945">
      <x:c r="A1945" s="22" t="n">
        <x:v>33743</x:v>
      </x:c>
      <x:c r="B1945" s="28" t="n">
        <x:v>527.49</x:v>
      </x:c>
      <x:c r="C1945" s="28"/>
      <x:c r="D1945" s="31" t="str">
        <x:f>IF(OR(ISBLANK(B1945),ISBLANK(C1945),B1945=0),"",(C1945-B1945)/B1945)</x:f>
      </x:c>
      <x:c r="E1945" s="22" t="str">
        <x:f>IF(ISBLANK(C1945),"AmountIncludingTax缺失",IF(ABS(B1945-C1945)&lt;0.005,"一致","不一致"))</x:f>
        <x:v>AmountIncludingTax缺失</x:v>
      </x:c>
      <x:c r="F1945" s="19" t="str">
        <x:v>approved</x:v>
      </x:c>
      <x:c r="G1945" s="19" t="str">
        <x:v>Repair in Progress</x:v>
      </x:c>
      <x:c r="H1945" s="19" t="str">
        <x:v>In Field</x:v>
      </x:c>
      <x:c r="I1945" s="37" t="n">
        <x:v>46135</x:v>
      </x:c>
      <x:c r="J1945" s="37" t="n">
        <x:v>46135</x:v>
      </x:c>
      <x:c r="K1945" s="19" t="str">
        <x:v>Green RV - Forest Glen</x:v>
      </x:c>
      <x:c r="L1945" s="19" t="str">
        <x:v>Z006</x:v>
      </x:c>
      <x:c r="M1945" s="19" t="str">
        <x:v>In Field Warranty Claims</x:v>
      </x:c>
      <x:c r="N1945" s="37" t="n">
        <x:v>46128</x:v>
      </x:c>
      <x:c r="O1945" s="37"/>
      <x:c r="P1945" s="34" t="n">
        <x:v>0</x:v>
      </x:c>
      <x:c r="Q1945" s="37" t="n">
        <x:v>46135.02861111111</x:v>
      </x:c>
    </x:row>
    <x:row r="1946">
      <x:c r="A1946" s="22" t="n">
        <x:v>33742</x:v>
      </x:c>
      <x:c r="B1946" s="28" t="n">
        <x:v>67.5</x:v>
      </x:c>
      <x:c r="C1946" s="28"/>
      <x:c r="D1946" s="31" t="str">
        <x:f>IF(OR(ISBLANK(B1946),ISBLANK(C1946),B1946=0),"",(C1946-B1946)/B1946)</x:f>
      </x:c>
      <x:c r="E1946" s="22" t="str">
        <x:f>IF(ISBLANK(C1946),"AmountIncludingTax缺失",IF(ABS(B1946-C1946)&lt;0.005,"一致","不一致"))</x:f>
        <x:v>AmountIncludingTax缺失</x:v>
      </x:c>
      <x:c r="F1946" s="19" t="str">
        <x:v>approved</x:v>
      </x:c>
      <x:c r="G1946" s="19" t="str">
        <x:v>Repairer Invoiced Processed</x:v>
      </x:c>
      <x:c r="H1946" s="19" t="str">
        <x:v>In Field</x:v>
      </x:c>
      <x:c r="I1946" s="37" t="n">
        <x:v>46163</x:v>
      </x:c>
      <x:c r="J1946" s="37" t="n">
        <x:v>46163</x:v>
      </x:c>
      <x:c r="K1946" s="19" t="str">
        <x:v>Lesiure Lion-New Castle</x:v>
      </x:c>
      <x:c r="L1946" s="19" t="str">
        <x:v>Z006</x:v>
      </x:c>
      <x:c r="M1946" s="19" t="str">
        <x:v>In Field Warranty Claims</x:v>
      </x:c>
      <x:c r="N1946" s="37" t="n">
        <x:v>46128</x:v>
      </x:c>
      <x:c r="O1946" s="37"/>
      <x:c r="P1946" s="34" t="n">
        <x:v>0</x:v>
      </x:c>
      <x:c r="Q1946" s="37" t="n">
        <x:v>46162.91494212963</x:v>
      </x:c>
    </x:row>
    <x:row r="1947">
      <x:c r="A1947" s="22" t="n">
        <x:v>33741</x:v>
      </x:c>
      <x:c r="B1947" s="28" t="n">
        <x:v>760.68</x:v>
      </x:c>
      <x:c r="C1947" s="28"/>
      <x:c r="D1947" s="31" t="str">
        <x:f>IF(OR(ISBLANK(B1947),ISBLANK(C1947),B1947=0),"",(C1947-B1947)/B1947)</x:f>
      </x:c>
      <x:c r="E1947" s="22" t="str">
        <x:f>IF(ISBLANK(C1947),"AmountIncludingTax缺失",IF(ABS(B1947-C1947)&lt;0.005,"一致","不一致"))</x:f>
        <x:v>AmountIncludingTax缺失</x:v>
      </x:c>
      <x:c r="F1947" s="19" t="str">
        <x:v>approved</x:v>
      </x:c>
      <x:c r="G1947" s="19" t="str">
        <x:v>Repair in Progress</x:v>
      </x:c>
      <x:c r="H1947" s="19" t="str">
        <x:v>Pre Delivery</x:v>
      </x:c>
      <x:c r="I1947" s="37" t="n">
        <x:v>46149</x:v>
      </x:c>
      <x:c r="J1947" s="37" t="n">
        <x:v>46149</x:v>
      </x:c>
      <x:c r="K1947" s="19" t="str">
        <x:v>Green RV - Forest Glen</x:v>
      </x:c>
      <x:c r="L1947" s="19" t="str">
        <x:v>Z005</x:v>
      </x:c>
      <x:c r="M1947" s="19" t="str">
        <x:v>Pre Delivery Warranty Claims</x:v>
      </x:c>
      <x:c r="N1947" s="37" t="n">
        <x:v>46128</x:v>
      </x:c>
      <x:c r="O1947" s="37"/>
      <x:c r="P1947" s="34" t="n">
        <x:v>0</x:v>
      </x:c>
      <x:c r="Q1947" s="37" t="n">
        <x:v>46149.234189814815</x:v>
      </x:c>
    </x:row>
    <x:row r="1948">
      <x:c r="A1948" s="22" t="n">
        <x:v>33740</x:v>
      </x:c>
      <x:c r="B1948" s="28" t="n">
        <x:v>300</x:v>
      </x:c>
      <x:c r="C1948" s="28" t="n">
        <x:v>330</x:v>
      </x:c>
      <x:c r="D1948" s="31" t="n">
        <x:f>IF(OR(ISBLANK(B1948),ISBLANK(C1948),B1948=0),"",(C1948-B1948)/B1948)</x:f>
        <x:v>0.1</x:v>
      </x:c>
      <x:c r="E1948" s="22" t="str">
        <x:f>IF(ISBLANK(C1948),"AmountIncludingTax缺失",IF(ABS(B1948-C1948)&lt;0.005,"一致","不一致"))</x:f>
        <x:v>不一致</x:v>
      </x:c>
      <x:c r="F1948" s="19" t="str">
        <x:v>approved</x:v>
      </x:c>
      <x:c r="G1948" s="19" t="str">
        <x:v>Repairer Invoiced Processed</x:v>
      </x:c>
      <x:c r="H1948" s="19" t="str">
        <x:v>In Field</x:v>
      </x:c>
      <x:c r="I1948" s="37" t="n">
        <x:v>46134</x:v>
      </x:c>
      <x:c r="J1948" s="37" t="n">
        <x:v>46134</x:v>
      </x:c>
      <x:c r="K1948" s="19" t="str">
        <x:v>Regent RV - Perth</x:v>
      </x:c>
      <x:c r="L1948" s="19" t="str">
        <x:v>Z006</x:v>
      </x:c>
      <x:c r="M1948" s="19" t="str">
        <x:v>In Field Warranty Claims</x:v>
      </x:c>
      <x:c r="N1948" s="37" t="n">
        <x:v>46128</x:v>
      </x:c>
      <x:c r="O1948" s="37"/>
      <x:c r="P1948" s="34" t="n">
        <x:v>330</x:v>
      </x:c>
      <x:c r="Q1948" s="37" t="n">
        <x:v>46133.90591435185</x:v>
      </x:c>
    </x:row>
    <x:row r="1949">
      <x:c r="A1949" s="22" t="n">
        <x:v>33739</x:v>
      </x:c>
      <x:c r="B1949" s="28" t="n">
        <x:v>933.43</x:v>
      </x:c>
      <x:c r="C1949" s="28"/>
      <x:c r="D1949" s="31" t="str">
        <x:f>IF(OR(ISBLANK(B1949),ISBLANK(C1949),B1949=0),"",(C1949-B1949)/B1949)</x:f>
      </x:c>
      <x:c r="E1949" s="22" t="str">
        <x:f>IF(ISBLANK(C1949),"AmountIncludingTax缺失",IF(ABS(B1949-C1949)&lt;0.005,"一致","不一致"))</x:f>
        <x:v>AmountIncludingTax缺失</x:v>
      </x:c>
      <x:c r="F1949" s="19" t="str">
        <x:v>approved</x:v>
      </x:c>
      <x:c r="G1949" s="19" t="str">
        <x:v>Repair in Progress</x:v>
      </x:c>
      <x:c r="H1949" s="19" t="str">
        <x:v>In Field</x:v>
      </x:c>
      <x:c r="I1949" s="37" t="n">
        <x:v>46133</x:v>
      </x:c>
      <x:c r="J1949" s="37" t="n">
        <x:v>46133</x:v>
      </x:c>
      <x:c r="K1949" s="19" t="str">
        <x:v>Green RV - Slacks Creek</x:v>
      </x:c>
      <x:c r="L1949" s="19" t="str">
        <x:v>Z006</x:v>
      </x:c>
      <x:c r="M1949" s="19" t="str">
        <x:v>In Field Warranty Claims</x:v>
      </x:c>
      <x:c r="N1949" s="37" t="n">
        <x:v>46128</x:v>
      </x:c>
      <x:c r="O1949" s="37"/>
      <x:c r="P1949" s="34" t="n">
        <x:v>0</x:v>
      </x:c>
      <x:c r="Q1949" s="37" t="n">
        <x:v>46132.884780092594</x:v>
      </x:c>
    </x:row>
    <x:row r="1950">
      <x:c r="A1950" s="22" t="n">
        <x:v>33737</x:v>
      </x:c>
      <x:c r="B1950" s="28" t="n">
        <x:v>77.5</x:v>
      </x:c>
      <x:c r="C1950" s="28"/>
      <x:c r="D1950" s="31" t="str">
        <x:f>IF(OR(ISBLANK(B1950),ISBLANK(C1950),B1950=0),"",(C1950-B1950)/B1950)</x:f>
      </x:c>
      <x:c r="E1950" s="22" t="str">
        <x:f>IF(ISBLANK(C1950),"AmountIncludingTax缺失",IF(ABS(B1950-C1950)&lt;0.005,"一致","不一致"))</x:f>
        <x:v>AmountIncludingTax缺失</x:v>
      </x:c>
      <x:c r="F1950" s="19" t="str">
        <x:v>approved</x:v>
      </x:c>
      <x:c r="G1950" s="19" t="str">
        <x:v>Repair in Progress</x:v>
      </x:c>
      <x:c r="H1950" s="19" t="str">
        <x:v>In Field</x:v>
      </x:c>
      <x:c r="I1950" s="37" t="n">
        <x:v>46146</x:v>
      </x:c>
      <x:c r="J1950" s="37" t="n">
        <x:v>46146</x:v>
      </x:c>
      <x:c r="K1950" s="19" t="str">
        <x:v>Regent RV - Perth</x:v>
      </x:c>
      <x:c r="L1950" s="19" t="str">
        <x:v>Z006</x:v>
      </x:c>
      <x:c r="M1950" s="19" t="str">
        <x:v>In Field Warranty Claims</x:v>
      </x:c>
      <x:c r="N1950" s="37" t="n">
        <x:v>46128</x:v>
      </x:c>
      <x:c r="O1950" s="37"/>
      <x:c r="P1950" s="34" t="n">
        <x:v>0</x:v>
      </x:c>
      <x:c r="Q1950" s="37" t="n">
        <x:v>46146.16778935185</x:v>
      </x:c>
    </x:row>
    <x:row r="1951">
      <x:c r="A1951" s="22" t="n">
        <x:v>33735</x:v>
      </x:c>
      <x:c r="B1951" s="28" t="n">
        <x:v>145</x:v>
      </x:c>
      <x:c r="C1951" s="28"/>
      <x:c r="D1951" s="31" t="str">
        <x:f>IF(OR(ISBLANK(B1951),ISBLANK(C1951),B1951=0),"",(C1951-B1951)/B1951)</x:f>
      </x:c>
      <x:c r="E1951" s="22" t="str">
        <x:f>IF(ISBLANK(C1951),"AmountIncludingTax缺失",IF(ABS(B1951-C1951)&lt;0.005,"一致","不一致"))</x:f>
        <x:v>AmountIncludingTax缺失</x:v>
      </x:c>
      <x:c r="F1951" s="19" t="str">
        <x:v>approved</x:v>
      </x:c>
      <x:c r="G1951" s="19" t="str">
        <x:v>Repair in Progress</x:v>
      </x:c>
      <x:c r="H1951" s="19" t="str">
        <x:v>In Field</x:v>
      </x:c>
      <x:c r="I1951" s="37" t="n">
        <x:v>46135</x:v>
      </x:c>
      <x:c r="J1951" s="37" t="n">
        <x:v>46135</x:v>
      </x:c>
      <x:c r="K1951" s="19" t="str">
        <x:v>Regent RV - Toowoomba</x:v>
      </x:c>
      <x:c r="L1951" s="19" t="str">
        <x:v>Z006</x:v>
      </x:c>
      <x:c r="M1951" s="19" t="str">
        <x:v>In Field Warranty Claims</x:v>
      </x:c>
      <x:c r="N1951" s="37" t="n">
        <x:v>46128</x:v>
      </x:c>
      <x:c r="O1951" s="37"/>
      <x:c r="P1951" s="34" t="n">
        <x:v>0</x:v>
      </x:c>
      <x:c r="Q1951" s="37" t="n">
        <x:v>46135.127847222226</x:v>
      </x:c>
    </x:row>
    <x:row r="1952">
      <x:c r="A1952" s="22" t="n">
        <x:v>33732</x:v>
      </x:c>
      <x:c r="B1952" s="28" t="n">
        <x:v>204.54</x:v>
      </x:c>
      <x:c r="C1952" s="28"/>
      <x:c r="D1952" s="31" t="str">
        <x:f>IF(OR(ISBLANK(B1952),ISBLANK(C1952),B1952=0),"",(C1952-B1952)/B1952)</x:f>
      </x:c>
      <x:c r="E1952" s="22" t="str">
        <x:f>IF(ISBLANK(C1952),"AmountIncludingTax缺失",IF(ABS(B1952-C1952)&lt;0.005,"一致","不一致"))</x:f>
        <x:v>AmountIncludingTax缺失</x:v>
      </x:c>
      <x:c r="F1952" s="19" t="str">
        <x:v>approved</x:v>
      </x:c>
      <x:c r="G1952" s="19" t="str">
        <x:v>Repair in Progress</x:v>
      </x:c>
      <x:c r="H1952" s="19" t="str">
        <x:v>In Field</x:v>
      </x:c>
      <x:c r="I1952" s="37" t="n">
        <x:v>46129</x:v>
      </x:c>
      <x:c r="J1952" s="37" t="n">
        <x:v>46129</x:v>
      </x:c>
      <x:c r="K1952" s="19" t="str">
        <x:v>Regent RV - Frankston</x:v>
      </x:c>
      <x:c r="L1952" s="19" t="str">
        <x:v>Z006</x:v>
      </x:c>
      <x:c r="M1952" s="19" t="str">
        <x:v>In Field Warranty Claims</x:v>
      </x:c>
      <x:c r="N1952" s="37" t="n">
        <x:v>46128</x:v>
      </x:c>
      <x:c r="O1952" s="37"/>
      <x:c r="P1952" s="34" t="n">
        <x:v>0</x:v>
      </x:c>
      <x:c r="Q1952" s="37" t="n">
        <x:v>46129.01113425926</x:v>
      </x:c>
    </x:row>
    <x:row r="1953">
      <x:c r="A1953" s="22" t="n">
        <x:v>33731</x:v>
      </x:c>
      <x:c r="B1953" s="28" t="n">
        <x:v>67.5</x:v>
      </x:c>
      <x:c r="C1953" s="28"/>
      <x:c r="D1953" s="31" t="str">
        <x:f>IF(OR(ISBLANK(B1953),ISBLANK(C1953),B1953=0),"",(C1953-B1953)/B1953)</x:f>
      </x:c>
      <x:c r="E1953" s="22" t="str">
        <x:f>IF(ISBLANK(C1953),"AmountIncludingTax缺失",IF(ABS(B1953-C1953)&lt;0.005,"一致","不一致"))</x:f>
        <x:v>AmountIncludingTax缺失</x:v>
      </x:c>
      <x:c r="F1953" s="19" t="str">
        <x:v>approved</x:v>
      </x:c>
      <x:c r="G1953" s="19" t="str">
        <x:v>Repair in Progress</x:v>
      </x:c>
      <x:c r="H1953" s="19" t="str">
        <x:v>In Field</x:v>
      </x:c>
      <x:c r="I1953" s="37" t="n">
        <x:v>46135</x:v>
      </x:c>
      <x:c r="J1953" s="37" t="n">
        <x:v>46135</x:v>
      </x:c>
      <x:c r="K1953" s="19" t="str">
        <x:v>Green RV - Forest Glen</x:v>
      </x:c>
      <x:c r="L1953" s="19" t="str">
        <x:v>Z006</x:v>
      </x:c>
      <x:c r="M1953" s="19" t="str">
        <x:v>In Field Warranty Claims</x:v>
      </x:c>
      <x:c r="N1953" s="37" t="n">
        <x:v>46128</x:v>
      </x:c>
      <x:c r="O1953" s="37"/>
      <x:c r="P1953" s="34" t="n">
        <x:v>0</x:v>
      </x:c>
      <x:c r="Q1953" s="37" t="n">
        <x:v>46134.954733796294</x:v>
      </x:c>
    </x:row>
    <x:row r="1954">
      <x:c r="A1954" s="22" t="n">
        <x:v>33721</x:v>
      </x:c>
      <x:c r="B1954" s="28" t="n">
        <x:v>458.75</x:v>
      </x:c>
      <x:c r="C1954" s="28"/>
      <x:c r="D1954" s="31" t="str">
        <x:f>IF(OR(ISBLANK(B1954),ISBLANK(C1954),B1954=0),"",(C1954-B1954)/B1954)</x:f>
      </x:c>
      <x:c r="E1954" s="22" t="str">
        <x:f>IF(ISBLANK(C1954),"AmountIncludingTax缺失",IF(ABS(B1954-C1954)&lt;0.005,"一致","不一致"))</x:f>
        <x:v>AmountIncludingTax缺失</x:v>
      </x:c>
      <x:c r="F1954" s="19" t="str">
        <x:v>approved</x:v>
      </x:c>
      <x:c r="G1954" s="19" t="str">
        <x:v>Repair in Progress</x:v>
      </x:c>
      <x:c r="H1954" s="19" t="str">
        <x:v>In Field</x:v>
      </x:c>
      <x:c r="I1954" s="37" t="n">
        <x:v>46133</x:v>
      </x:c>
      <x:c r="J1954" s="37" t="n">
        <x:v>46133</x:v>
      </x:c>
      <x:c r="K1954" s="19" t="str">
        <x:v>Auswide Caravans - South Nowra</x:v>
      </x:c>
      <x:c r="L1954" s="19" t="str">
        <x:v>Z006</x:v>
      </x:c>
      <x:c r="M1954" s="19" t="str">
        <x:v>In Field Warranty Claims</x:v>
      </x:c>
      <x:c r="N1954" s="37" t="n">
        <x:v>46128</x:v>
      </x:c>
      <x:c r="O1954" s="37"/>
      <x:c r="P1954" s="34" t="n">
        <x:v>0</x:v>
      </x:c>
      <x:c r="Q1954" s="37" t="n">
        <x:v>46132.98540509259</x:v>
      </x:c>
    </x:row>
    <x:row r="1955">
      <x:c r="A1955" s="22" t="n">
        <x:v>33719</x:v>
      </x:c>
      <x:c r="B1955" s="28" t="n">
        <x:v>237.5</x:v>
      </x:c>
      <x:c r="C1955" s="28"/>
      <x:c r="D1955" s="31" t="str">
        <x:f>IF(OR(ISBLANK(B1955),ISBLANK(C1955),B1955=0),"",(C1955-B1955)/B1955)</x:f>
      </x:c>
      <x:c r="E1955" s="22" t="str">
        <x:f>IF(ISBLANK(C1955),"AmountIncludingTax缺失",IF(ABS(B1955-C1955)&lt;0.005,"一致","不一致"))</x:f>
        <x:v>AmountIncludingTax缺失</x:v>
      </x:c>
      <x:c r="F1955" s="19" t="str">
        <x:v>approved</x:v>
      </x:c>
      <x:c r="G1955" s="19" t="str">
        <x:v>Repairer Invoiced Processed</x:v>
      </x:c>
      <x:c r="H1955" s="19" t="str">
        <x:v>In Field</x:v>
      </x:c>
      <x:c r="I1955" s="37" t="n">
        <x:v>46160</x:v>
      </x:c>
      <x:c r="J1955" s="37" t="n">
        <x:v>46160</x:v>
      </x:c>
      <x:c r="K1955" s="19" t="str">
        <x:v>Regent RV - Townsville</x:v>
      </x:c>
      <x:c r="L1955" s="19" t="str">
        <x:v>Z006</x:v>
      </x:c>
      <x:c r="M1955" s="19" t="str">
        <x:v>In Field Warranty Claims</x:v>
      </x:c>
      <x:c r="N1955" s="37" t="n">
        <x:v>46128</x:v>
      </x:c>
      <x:c r="O1955" s="37"/>
      <x:c r="P1955" s="34" t="n">
        <x:v>0</x:v>
      </x:c>
      <x:c r="Q1955" s="37" t="n">
        <x:v>46160.146261574075</x:v>
      </x:c>
    </x:row>
    <x:row r="1956">
      <x:c r="A1956" s="22" t="n">
        <x:v>33718</x:v>
      </x:c>
      <x:c r="B1956" s="28" t="n">
        <x:v>742.5</x:v>
      </x:c>
      <x:c r="C1956" s="28"/>
      <x:c r="D1956" s="31" t="str">
        <x:f>IF(OR(ISBLANK(B1956),ISBLANK(C1956),B1956=0),"",(C1956-B1956)/B1956)</x:f>
      </x:c>
      <x:c r="E1956" s="22" t="str">
        <x:f>IF(ISBLANK(C1956),"AmountIncludingTax缺失",IF(ABS(B1956-C1956)&lt;0.005,"一致","不一致"))</x:f>
        <x:v>AmountIncludingTax缺失</x:v>
      </x:c>
      <x:c r="F1956" s="19" t="str">
        <x:v>approved</x:v>
      </x:c>
      <x:c r="G1956" s="19" t="str">
        <x:v>Sales Order Approved</x:v>
      </x:c>
      <x:c r="H1956" s="19" t="str">
        <x:v>Pre Delivery</x:v>
      </x:c>
      <x:c r="I1956" s="37" t="n">
        <x:v>46190</x:v>
      </x:c>
      <x:c r="J1956" s="37" t="n">
        <x:v>46190</x:v>
      </x:c>
      <x:c r="K1956" s="19" t="str">
        <x:v>Green RV - Forest Glen</x:v>
      </x:c>
      <x:c r="L1956" s="19" t="str">
        <x:v>Z005</x:v>
      </x:c>
      <x:c r="M1956" s="19" t="str">
        <x:v>Pre Delivery Warranty Claims</x:v>
      </x:c>
      <x:c r="N1956" s="37" t="n">
        <x:v>46128</x:v>
      </x:c>
      <x:c r="O1956" s="37"/>
      <x:c r="P1956" s="34" t="n">
        <x:v>0</x:v>
      </x:c>
      <x:c r="Q1956" s="37" t="n">
        <x:v>46190.15568287037</x:v>
      </x:c>
    </x:row>
    <x:row r="1957">
      <x:c r="A1957" s="22" t="n">
        <x:v>33717</x:v>
      </x:c>
      <x:c r="B1957" s="28" t="n">
        <x:v>220</x:v>
      </x:c>
      <x:c r="C1957" s="28"/>
      <x:c r="D1957" s="31" t="str">
        <x:f>IF(OR(ISBLANK(B1957),ISBLANK(C1957),B1957=0),"",(C1957-B1957)/B1957)</x:f>
      </x:c>
      <x:c r="E1957" s="22" t="str">
        <x:f>IF(ISBLANK(C1957),"AmountIncludingTax缺失",IF(ABS(B1957-C1957)&lt;0.005,"一致","不一致"))</x:f>
        <x:v>AmountIncludingTax缺失</x:v>
      </x:c>
      <x:c r="F1957" s="19" t="str">
        <x:v>approved</x:v>
      </x:c>
      <x:c r="G1957" s="19" t="str">
        <x:v>Repair in Progress</x:v>
      </x:c>
      <x:c r="H1957" s="19" t="str">
        <x:v>Pre Delivery</x:v>
      </x:c>
      <x:c r="I1957" s="37" t="n">
        <x:v>46174</x:v>
      </x:c>
      <x:c r="J1957" s="37" t="n">
        <x:v>46174</x:v>
      </x:c>
      <x:c r="K1957" s="19" t="str">
        <x:v>Destiny RV - South Australia</x:v>
      </x:c>
      <x:c r="L1957" s="19" t="str">
        <x:v>Z005</x:v>
      </x:c>
      <x:c r="M1957" s="19" t="str">
        <x:v>Pre Delivery Warranty Claims</x:v>
      </x:c>
      <x:c r="N1957" s="37" t="n">
        <x:v>46128</x:v>
      </x:c>
      <x:c r="O1957" s="37"/>
      <x:c r="P1957" s="34" t="n">
        <x:v>0</x:v>
      </x:c>
      <x:c r="Q1957" s="37" t="n">
        <x:v>46173.98023148148</x:v>
      </x:c>
    </x:row>
    <x:row r="1958">
      <x:c r="A1958" s="22" t="n">
        <x:v>33716</x:v>
      </x:c>
      <x:c r="B1958" s="28" t="n">
        <x:v>108.75</x:v>
      </x:c>
      <x:c r="C1958" s="28"/>
      <x:c r="D1958" s="31" t="str">
        <x:f>IF(OR(ISBLANK(B1958),ISBLANK(C1958),B1958=0),"",(C1958-B1958)/B1958)</x:f>
      </x:c>
      <x:c r="E1958" s="22" t="str">
        <x:f>IF(ISBLANK(C1958),"AmountIncludingTax缺失",IF(ABS(B1958-C1958)&lt;0.005,"一致","不一致"))</x:f>
        <x:v>AmountIncludingTax缺失</x:v>
      </x:c>
      <x:c r="F1958" s="19" t="str">
        <x:v>approved</x:v>
      </x:c>
      <x:c r="G1958" s="19" t="str">
        <x:v>Sales Order Approved</x:v>
      </x:c>
      <x:c r="H1958" s="19" t="str">
        <x:v>Pre Delivery</x:v>
      </x:c>
      <x:c r="I1958" s="37" t="n">
        <x:v>46191</x:v>
      </x:c>
      <x:c r="J1958" s="37" t="n">
        <x:v>46191</x:v>
      </x:c>
      <x:c r="K1958" s="19" t="str">
        <x:v>Regent RV - Townsville</x:v>
      </x:c>
      <x:c r="L1958" s="19" t="str">
        <x:v>Z005</x:v>
      </x:c>
      <x:c r="M1958" s="19" t="str">
        <x:v>Pre Delivery Warranty Claims</x:v>
      </x:c>
      <x:c r="N1958" s="37" t="n">
        <x:v>46128</x:v>
      </x:c>
      <x:c r="O1958" s="37"/>
      <x:c r="P1958" s="34" t="n">
        <x:v>0</x:v>
      </x:c>
      <x:c r="Q1958" s="37" t="n">
        <x:v>46191.147685185184</x:v>
      </x:c>
    </x:row>
    <x:row r="1959">
      <x:c r="A1959" s="22" t="n">
        <x:v>33715</x:v>
      </x:c>
      <x:c r="B1959" s="28" t="n">
        <x:v>135</x:v>
      </x:c>
      <x:c r="C1959" s="28"/>
      <x:c r="D1959" s="31" t="str">
        <x:f>IF(OR(ISBLANK(B1959),ISBLANK(C1959),B1959=0),"",(C1959-B1959)/B1959)</x:f>
      </x:c>
      <x:c r="E1959" s="22" t="str">
        <x:f>IF(ISBLANK(C1959),"AmountIncludingTax缺失",IF(ABS(B1959-C1959)&lt;0.005,"一致","不一致"))</x:f>
        <x:v>AmountIncludingTax缺失</x:v>
      </x:c>
      <x:c r="F1959" s="19" t="str">
        <x:v>approved</x:v>
      </x:c>
      <x:c r="G1959" s="19" t="str">
        <x:v>Repair in Progress</x:v>
      </x:c>
      <x:c r="H1959" s="19" t="str">
        <x:v>In Field</x:v>
      </x:c>
      <x:c r="I1959" s="37" t="n">
        <x:v>46153</x:v>
      </x:c>
      <x:c r="J1959" s="37" t="n">
        <x:v>46153</x:v>
      </x:c>
      <x:c r="K1959" s="19" t="str">
        <x:v>Lesiure Lion-New Castle</x:v>
      </x:c>
      <x:c r="L1959" s="19" t="str">
        <x:v>Z006</x:v>
      </x:c>
      <x:c r="M1959" s="19" t="str">
        <x:v>In Field Warranty Claims</x:v>
      </x:c>
      <x:c r="N1959" s="37" t="n">
        <x:v>46128</x:v>
      </x:c>
      <x:c r="O1959" s="37"/>
      <x:c r="P1959" s="34" t="n">
        <x:v>0</x:v>
      </x:c>
      <x:c r="Q1959" s="37" t="n">
        <x:v>46152.93767361111</x:v>
      </x:c>
    </x:row>
    <x:row r="1960">
      <x:c r="A1960" s="22" t="n">
        <x:v>33714</x:v>
      </x:c>
      <x:c r="B1960" s="28" t="n">
        <x:v>837.05</x:v>
      </x:c>
      <x:c r="C1960" s="28"/>
      <x:c r="D1960" s="31" t="str">
        <x:f>IF(OR(ISBLANK(B1960),ISBLANK(C1960),B1960=0),"",(C1960-B1960)/B1960)</x:f>
      </x:c>
      <x:c r="E1960" s="22" t="str">
        <x:f>IF(ISBLANK(C1960),"AmountIncludingTax缺失",IF(ABS(B1960-C1960)&lt;0.005,"一致","不一致"))</x:f>
        <x:v>AmountIncludingTax缺失</x:v>
      </x:c>
      <x:c r="F1960" s="19" t="str">
        <x:v>approved</x:v>
      </x:c>
      <x:c r="G1960" s="19" t="str">
        <x:v>Repair in Progress</x:v>
      </x:c>
      <x:c r="H1960" s="19" t="str">
        <x:v>In Field</x:v>
      </x:c>
      <x:c r="I1960" s="37" t="n">
        <x:v>46135</x:v>
      </x:c>
      <x:c r="J1960" s="37" t="n">
        <x:v>46135</x:v>
      </x:c>
      <x:c r="K1960" s="19" t="str">
        <x:v>Green RV - Forest Glen</x:v>
      </x:c>
      <x:c r="L1960" s="19" t="str">
        <x:v>Z006</x:v>
      </x:c>
      <x:c r="M1960" s="19" t="str">
        <x:v>In Field Warranty Claims</x:v>
      </x:c>
      <x:c r="N1960" s="37" t="n">
        <x:v>46128</x:v>
      </x:c>
      <x:c r="O1960" s="37"/>
      <x:c r="P1960" s="34" t="n">
        <x:v>0</x:v>
      </x:c>
      <x:c r="Q1960" s="37" t="n">
        <x:v>46134.97069444445</x:v>
      </x:c>
    </x:row>
    <x:row r="1961">
      <x:c r="A1961" s="22" t="n">
        <x:v>33713</x:v>
      </x:c>
      <x:c r="B1961" s="28" t="n">
        <x:v>313.75</x:v>
      </x:c>
      <x:c r="C1961" s="28"/>
      <x:c r="D1961" s="31" t="str">
        <x:f>IF(OR(ISBLANK(B1961),ISBLANK(C1961),B1961=0),"",(C1961-B1961)/B1961)</x:f>
      </x:c>
      <x:c r="E1961" s="22" t="str">
        <x:f>IF(ISBLANK(C1961),"AmountIncludingTax缺失",IF(ABS(B1961-C1961)&lt;0.005,"一致","不一致"))</x:f>
        <x:v>AmountIncludingTax缺失</x:v>
      </x:c>
      <x:c r="F1961" s="19" t="str">
        <x:v>approved</x:v>
      </x:c>
      <x:c r="G1961" s="19" t="str">
        <x:v>Repair in Progress</x:v>
      </x:c>
      <x:c r="H1961" s="19" t="str">
        <x:v>In Field</x:v>
      </x:c>
      <x:c r="I1961" s="37" t="n">
        <x:v>46135</x:v>
      </x:c>
      <x:c r="J1961" s="37" t="n">
        <x:v>46135</x:v>
      </x:c>
      <x:c r="K1961" s="19" t="str">
        <x:v>Green RV - Slacks Creek</x:v>
      </x:c>
      <x:c r="L1961" s="19" t="str">
        <x:v>Z006</x:v>
      </x:c>
      <x:c r="M1961" s="19" t="str">
        <x:v>In Field Warranty Claims</x:v>
      </x:c>
      <x:c r="N1961" s="37" t="n">
        <x:v>46128</x:v>
      </x:c>
      <x:c r="O1961" s="37"/>
      <x:c r="P1961" s="34" t="n">
        <x:v>0</x:v>
      </x:c>
      <x:c r="Q1961" s="37" t="n">
        <x:v>46134.97373842593</x:v>
      </x:c>
    </x:row>
    <x:row r="1962">
      <x:c r="A1962" s="22" t="n">
        <x:v>33712</x:v>
      </x:c>
      <x:c r="B1962" s="28" t="n">
        <x:v>135</x:v>
      </x:c>
      <x:c r="C1962" s="28"/>
      <x:c r="D1962" s="31" t="str">
        <x:f>IF(OR(ISBLANK(B1962),ISBLANK(C1962),B1962=0),"",(C1962-B1962)/B1962)</x:f>
      </x:c>
      <x:c r="E1962" s="22" t="str">
        <x:f>IF(ISBLANK(C1962),"AmountIncludingTax缺失",IF(ABS(B1962-C1962)&lt;0.005,"一致","不一致"))</x:f>
        <x:v>AmountIncludingTax缺失</x:v>
      </x:c>
      <x:c r="F1962" s="19" t="str">
        <x:v>approved</x:v>
      </x:c>
      <x:c r="G1962" s="19" t="str">
        <x:v>Sales Order Approved</x:v>
      </x:c>
      <x:c r="H1962" s="19" t="str">
        <x:v>Pre Delivery</x:v>
      </x:c>
      <x:c r="I1962" s="37" t="n">
        <x:v>46197</x:v>
      </x:c>
      <x:c r="J1962" s="37" t="n">
        <x:v>46197</x:v>
      </x:c>
      <x:c r="K1962" s="19" t="str">
        <x:v>Leisure Lion - Bundaberg</x:v>
      </x:c>
      <x:c r="L1962" s="19" t="str">
        <x:v>Z005</x:v>
      </x:c>
      <x:c r="M1962" s="19" t="str">
        <x:v>Pre Delivery Warranty Claims</x:v>
      </x:c>
      <x:c r="N1962" s="37" t="n">
        <x:v>46128</x:v>
      </x:c>
      <x:c r="O1962" s="37"/>
      <x:c r="P1962" s="34" t="n">
        <x:v>0</x:v>
      </x:c>
      <x:c r="Q1962" s="37" t="n">
        <x:v>46196.897685185184</x:v>
      </x:c>
    </x:row>
    <x:row r="1963">
      <x:c r="A1963" s="22" t="n">
        <x:v>33710</x:v>
      </x:c>
      <x:c r="B1963" s="28" t="n">
        <x:v>627.5</x:v>
      </x:c>
      <x:c r="C1963" s="28"/>
      <x:c r="D1963" s="31" t="str">
        <x:f>IF(OR(ISBLANK(B1963),ISBLANK(C1963),B1963=0),"",(C1963-B1963)/B1963)</x:f>
      </x:c>
      <x:c r="E1963" s="22" t="str">
        <x:f>IF(ISBLANK(C1963),"AmountIncludingTax缺失",IF(ABS(B1963-C1963)&lt;0.005,"一致","不一致"))</x:f>
        <x:v>AmountIncludingTax缺失</x:v>
      </x:c>
      <x:c r="F1963" s="19" t="str">
        <x:v>approved</x:v>
      </x:c>
      <x:c r="G1963" s="19" t="str">
        <x:v>Repairer Invoiced Processed</x:v>
      </x:c>
      <x:c r="H1963" s="19" t="str">
        <x:v>In Field</x:v>
      </x:c>
      <x:c r="I1963" s="37" t="n">
        <x:v>46146</x:v>
      </x:c>
      <x:c r="J1963" s="37" t="n">
        <x:v>46146</x:v>
      </x:c>
      <x:c r="K1963" s="19" t="str">
        <x:v>Leisure Lion - Bundaberg</x:v>
      </x:c>
      <x:c r="L1963" s="19" t="str">
        <x:v>Z006</x:v>
      </x:c>
      <x:c r="M1963" s="19" t="str">
        <x:v>In Field Warranty Claims</x:v>
      </x:c>
      <x:c r="N1963" s="37" t="n">
        <x:v>46128</x:v>
      </x:c>
      <x:c r="O1963" s="37"/>
      <x:c r="P1963" s="34" t="n">
        <x:v>0</x:v>
      </x:c>
      <x:c r="Q1963" s="37" t="n">
        <x:v>46146.21231481482</x:v>
      </x:c>
    </x:row>
    <x:row r="1964">
      <x:c r="A1964" s="22" t="n">
        <x:v>33709</x:v>
      </x:c>
      <x:c r="B1964" s="28" t="n">
        <x:v>405</x:v>
      </x:c>
      <x:c r="C1964" s="28"/>
      <x:c r="D1964" s="31" t="str">
        <x:f>IF(OR(ISBLANK(B1964),ISBLANK(C1964),B1964=0),"",(C1964-B1964)/B1964)</x:f>
      </x:c>
      <x:c r="E1964" s="22" t="str">
        <x:f>IF(ISBLANK(C1964),"AmountIncludingTax缺失",IF(ABS(B1964-C1964)&lt;0.005,"一致","不一致"))</x:f>
        <x:v>AmountIncludingTax缺失</x:v>
      </x:c>
      <x:c r="F1964" s="19" t="str">
        <x:v>approved</x:v>
      </x:c>
      <x:c r="G1964" s="19" t="str">
        <x:v>Repair in Progress</x:v>
      </x:c>
      <x:c r="H1964" s="19" t="str">
        <x:v>Pre Delivery</x:v>
      </x:c>
      <x:c r="I1964" s="37" t="n">
        <x:v>46147</x:v>
      </x:c>
      <x:c r="J1964" s="37" t="n">
        <x:v>46147</x:v>
      </x:c>
      <x:c r="K1964" s="19" t="str">
        <x:v>Snowy River Launceston</x:v>
      </x:c>
      <x:c r="L1964" s="19" t="str">
        <x:v>Z005</x:v>
      </x:c>
      <x:c r="M1964" s="19" t="str">
        <x:v>Pre Delivery Warranty Claims</x:v>
      </x:c>
      <x:c r="N1964" s="37" t="n">
        <x:v>46128</x:v>
      </x:c>
      <x:c r="O1964" s="37"/>
      <x:c r="P1964" s="34" t="n">
        <x:v>0</x:v>
      </x:c>
      <x:c r="Q1964" s="37" t="n">
        <x:v>46146.944872685184</x:v>
      </x:c>
    </x:row>
    <x:row r="1965">
      <x:c r="A1965" s="22" t="n">
        <x:v>33708</x:v>
      </x:c>
      <x:c r="B1965" s="28" t="n">
        <x:v>145</x:v>
      </x:c>
      <x:c r="C1965" s="28"/>
      <x:c r="D1965" s="31" t="str">
        <x:f>IF(OR(ISBLANK(B1965),ISBLANK(C1965),B1965=0),"",(C1965-B1965)/B1965)</x:f>
      </x:c>
      <x:c r="E1965" s="22" t="str">
        <x:f>IF(ISBLANK(C1965),"AmountIncludingTax缺失",IF(ABS(B1965-C1965)&lt;0.005,"一致","不一致"))</x:f>
        <x:v>AmountIncludingTax缺失</x:v>
      </x:c>
      <x:c r="F1965" s="19" t="str">
        <x:v>approved</x:v>
      </x:c>
      <x:c r="G1965" s="19" t="str">
        <x:v>Repair in Progress</x:v>
      </x:c>
      <x:c r="H1965" s="19" t="str">
        <x:v>In Field</x:v>
      </x:c>
      <x:c r="I1965" s="37" t="n">
        <x:v>46156</x:v>
      </x:c>
      <x:c r="J1965" s="37" t="n">
        <x:v>46156</x:v>
      </x:c>
      <x:c r="K1965" s="19" t="str">
        <x:v>The Caravan Hub - Townsville</x:v>
      </x:c>
      <x:c r="L1965" s="19" t="str">
        <x:v>Z006</x:v>
      </x:c>
      <x:c r="M1965" s="19" t="str">
        <x:v>In Field Warranty Claims</x:v>
      </x:c>
      <x:c r="N1965" s="37" t="n">
        <x:v>46128</x:v>
      </x:c>
      <x:c r="O1965" s="37"/>
      <x:c r="P1965" s="34" t="n">
        <x:v>0</x:v>
      </x:c>
      <x:c r="Q1965" s="37" t="n">
        <x:v>46156.08552083333</x:v>
      </x:c>
    </x:row>
    <x:row r="1966">
      <x:c r="A1966" s="22" t="n">
        <x:v>33707</x:v>
      </x:c>
      <x:c r="B1966" s="28" t="n">
        <x:v>492.18</x:v>
      </x:c>
      <x:c r="C1966" s="28" t="n">
        <x:v>541.4</x:v>
      </x:c>
      <x:c r="D1966" s="31" t="n">
        <x:f>IF(OR(ISBLANK(B1966),ISBLANK(C1966),B1966=0),"",(C1966-B1966)/B1966)</x:f>
        <x:v>0.10000406355398425</x:v>
      </x:c>
      <x:c r="E1966" s="22" t="str">
        <x:f>IF(ISBLANK(C1966),"AmountIncludingTax缺失",IF(ABS(B1966-C1966)&lt;0.005,"一致","不一致"))</x:f>
        <x:v>不一致</x:v>
      </x:c>
      <x:c r="F1966" s="19" t="str">
        <x:v>approved</x:v>
      </x:c>
      <x:c r="G1966" s="19" t="str">
        <x:v>Repair in Progress</x:v>
      </x:c>
      <x:c r="H1966" s="19" t="str">
        <x:v>In Field</x:v>
      </x:c>
      <x:c r="I1966" s="37" t="n">
        <x:v>46141</x:v>
      </x:c>
      <x:c r="J1966" s="37" t="n">
        <x:v>46141</x:v>
      </x:c>
      <x:c r="K1966" s="19" t="str">
        <x:v>Regent RV - Perth</x:v>
      </x:c>
      <x:c r="L1966" s="19" t="str">
        <x:v>Z006</x:v>
      </x:c>
      <x:c r="M1966" s="19" t="str">
        <x:v>In Field Warranty Claims</x:v>
      </x:c>
      <x:c r="N1966" s="37" t="n">
        <x:v>46128</x:v>
      </x:c>
      <x:c r="O1966" s="37"/>
      <x:c r="P1966" s="34" t="n">
        <x:v>541.4</x:v>
      </x:c>
      <x:c r="Q1966" s="37" t="n">
        <x:v>46141.22914351852</x:v>
      </x:c>
    </x:row>
    <x:row r="1967">
      <x:c r="A1967" s="22" t="n">
        <x:v>33706</x:v>
      </x:c>
      <x:c r="B1967" s="28" t="n">
        <x:v>1320</x:v>
      </x:c>
      <x:c r="C1967" s="28"/>
      <x:c r="D1967" s="31" t="str">
        <x:f>IF(OR(ISBLANK(B1967),ISBLANK(C1967),B1967=0),"",(C1967-B1967)/B1967)</x:f>
      </x:c>
      <x:c r="E1967" s="22" t="str">
        <x:f>IF(ISBLANK(C1967),"AmountIncludingTax缺失",IF(ABS(B1967-C1967)&lt;0.005,"一致","不一致"))</x:f>
        <x:v>AmountIncludingTax缺失</x:v>
      </x:c>
      <x:c r="F1967" s="19" t="str">
        <x:v>approved</x:v>
      </x:c>
      <x:c r="G1967" s="19" t="str">
        <x:v>Repairer Invoiced Processed</x:v>
      </x:c>
      <x:c r="H1967" s="19" t="str">
        <x:v>In Field</x:v>
      </x:c>
      <x:c r="I1967" s="37" t="n">
        <x:v>46199</x:v>
      </x:c>
      <x:c r="J1967" s="37" t="n">
        <x:v>46162</x:v>
      </x:c>
      <x:c r="K1967" s="19" t="str">
        <x:v>Vanari Caravans - Marden Point</x:v>
      </x:c>
      <x:c r="L1967" s="19" t="str">
        <x:v>Z006</x:v>
      </x:c>
      <x:c r="M1967" s="19" t="str">
        <x:v>In Field Warranty Claims</x:v>
      </x:c>
      <x:c r="N1967" s="37" t="n">
        <x:v>46128</x:v>
      </x:c>
      <x:c r="O1967" s="37"/>
      <x:c r="P1967" s="34" t="n">
        <x:v>1195.13</x:v>
      </x:c>
      <x:c r="Q1967" s="37" t="n">
        <x:v>46199.22925925926</x:v>
      </x:c>
    </x:row>
    <x:row r="1968">
      <x:c r="A1968" s="22" t="n">
        <x:v>33705</x:v>
      </x:c>
      <x:c r="B1968" s="28" t="n">
        <x:v>725</x:v>
      </x:c>
      <x:c r="C1968" s="28"/>
      <x:c r="D1968" s="31" t="str">
        <x:f>IF(OR(ISBLANK(B1968),ISBLANK(C1968),B1968=0),"",(C1968-B1968)/B1968)</x:f>
      </x:c>
      <x:c r="E1968" s="22" t="str">
        <x:f>IF(ISBLANK(C1968),"AmountIncludingTax缺失",IF(ABS(B1968-C1968)&lt;0.005,"一致","不一致"))</x:f>
        <x:v>AmountIncludingTax缺失</x:v>
      </x:c>
      <x:c r="F1968" s="19" t="str">
        <x:v>approved</x:v>
      </x:c>
      <x:c r="G1968" s="19" t="str">
        <x:v>Repairer Invoiced Processed</x:v>
      </x:c>
      <x:c r="H1968" s="19" t="str">
        <x:v>In Field</x:v>
      </x:c>
      <x:c r="I1968" s="37" t="n">
        <x:v>46136</x:v>
      </x:c>
      <x:c r="J1968" s="37" t="n">
        <x:v>46136</x:v>
      </x:c>
      <x:c r="K1968" s="19" t="str">
        <x:v>Sherrif Caravans &amp; Traliers - Prospect Vale</x:v>
      </x:c>
      <x:c r="L1968" s="19" t="str">
        <x:v>Z006</x:v>
      </x:c>
      <x:c r="M1968" s="19" t="str">
        <x:v>In Field Warranty Claims</x:v>
      </x:c>
      <x:c r="N1968" s="37" t="n">
        <x:v>46128</x:v>
      </x:c>
      <x:c r="O1968" s="37"/>
      <x:c r="P1968" s="34" t="n">
        <x:v>0</x:v>
      </x:c>
      <x:c r="Q1968" s="37" t="n">
        <x:v>46136.19862268519</x:v>
      </x:c>
    </x:row>
    <x:row r="1969">
      <x:c r="A1969" s="22" t="n">
        <x:v>33704</x:v>
      </x:c>
      <x:c r="B1969" s="28" t="n">
        <x:v>135</x:v>
      </x:c>
      <x:c r="C1969" s="28"/>
      <x:c r="D1969" s="31" t="str">
        <x:f>IF(OR(ISBLANK(B1969),ISBLANK(C1969),B1969=0),"",(C1969-B1969)/B1969)</x:f>
      </x:c>
      <x:c r="E1969" s="22" t="str">
        <x:f>IF(ISBLANK(C1969),"AmountIncludingTax缺失",IF(ABS(B1969-C1969)&lt;0.005,"一致","不一致"))</x:f>
        <x:v>AmountIncludingTax缺失</x:v>
      </x:c>
      <x:c r="F1969" s="19" t="str">
        <x:v>approved</x:v>
      </x:c>
      <x:c r="G1969" s="19" t="str">
        <x:v>Repair in Progress</x:v>
      </x:c>
      <x:c r="H1969" s="19" t="str">
        <x:v>In Field</x:v>
      </x:c>
      <x:c r="I1969" s="37" t="n">
        <x:v>46164</x:v>
      </x:c>
      <x:c r="J1969" s="37" t="n">
        <x:v>46164</x:v>
      </x:c>
      <x:c r="K1969" s="19" t="str">
        <x:v>Newcastle RV Super Centre - Beresfield</x:v>
      </x:c>
      <x:c r="L1969" s="19" t="str">
        <x:v>Z006</x:v>
      </x:c>
      <x:c r="M1969" s="19" t="str">
        <x:v>In Field Warranty Claims</x:v>
      </x:c>
      <x:c r="N1969" s="37" t="n">
        <x:v>46128</x:v>
      </x:c>
      <x:c r="O1969" s="37"/>
      <x:c r="P1969" s="34" t="n">
        <x:v>0</x:v>
      </x:c>
      <x:c r="Q1969" s="37" t="n">
        <x:v>46164.12244212963</x:v>
      </x:c>
    </x:row>
    <x:row r="1970">
      <x:c r="A1970" s="22" t="n">
        <x:v>33703</x:v>
      </x:c>
      <x:c r="B1970" s="28" t="n">
        <x:v>897.5</x:v>
      </x:c>
      <x:c r="C1970" s="28"/>
      <x:c r="D1970" s="31" t="str">
        <x:f>IF(OR(ISBLANK(B1970),ISBLANK(C1970),B1970=0),"",(C1970-B1970)/B1970)</x:f>
      </x:c>
      <x:c r="E1970" s="22" t="str">
        <x:f>IF(ISBLANK(C1970),"AmountIncludingTax缺失",IF(ABS(B1970-C1970)&lt;0.005,"一致","不一致"))</x:f>
        <x:v>AmountIncludingTax缺失</x:v>
      </x:c>
      <x:c r="F1970" s="19" t="str">
        <x:v>approved</x:v>
      </x:c>
      <x:c r="G1970" s="19" t="str">
        <x:v>Repairer Invoiced Processed</x:v>
      </x:c>
      <x:c r="H1970" s="19" t="str">
        <x:v>Pre Delivery</x:v>
      </x:c>
      <x:c r="I1970" s="37" t="n">
        <x:v>46154</x:v>
      </x:c>
      <x:c r="J1970" s="37" t="n">
        <x:v>46154</x:v>
      </x:c>
      <x:c r="K1970" s="19" t="str">
        <x:v>Leisure Lion - Bundaberg</x:v>
      </x:c>
      <x:c r="L1970" s="19" t="str">
        <x:v>Z005</x:v>
      </x:c>
      <x:c r="M1970" s="19" t="str">
        <x:v>Pre Delivery Warranty Claims</x:v>
      </x:c>
      <x:c r="N1970" s="37" t="n">
        <x:v>46128</x:v>
      </x:c>
      <x:c r="O1970" s="37"/>
      <x:c r="P1970" s="34" t="n">
        <x:v>0</x:v>
      </x:c>
      <x:c r="Q1970" s="37" t="n">
        <x:v>46154.16806712963</x:v>
      </x:c>
    </x:row>
    <x:row r="1971">
      <x:c r="A1971" s="22" t="n">
        <x:v>33702</x:v>
      </x:c>
      <x:c r="B1971" s="28" t="n">
        <x:v>1070.84</x:v>
      </x:c>
      <x:c r="C1971" s="28"/>
      <x:c r="D1971" s="31" t="str">
        <x:f>IF(OR(ISBLANK(B1971),ISBLANK(C1971),B1971=0),"",(C1971-B1971)/B1971)</x:f>
      </x:c>
      <x:c r="E1971" s="22" t="str">
        <x:f>IF(ISBLANK(C1971),"AmountIncludingTax缺失",IF(ABS(B1971-C1971)&lt;0.005,"一致","不一致"))</x:f>
        <x:v>AmountIncludingTax缺失</x:v>
      </x:c>
      <x:c r="F1971" s="19" t="str">
        <x:v>approved</x:v>
      </x:c>
      <x:c r="G1971" s="19" t="str">
        <x:v>Repairer Invoiced Processed</x:v>
      </x:c>
      <x:c r="H1971" s="19" t="str">
        <x:v>In Field</x:v>
      </x:c>
      <x:c r="I1971" s="37" t="n">
        <x:v>46135</x:v>
      </x:c>
      <x:c r="J1971" s="37" t="n">
        <x:v>46135</x:v>
      </x:c>
      <x:c r="K1971" s="19" t="str">
        <x:v>Green RV - Forest Glen</x:v>
      </x:c>
      <x:c r="L1971" s="19" t="str">
        <x:v>Z006</x:v>
      </x:c>
      <x:c r="M1971" s="19" t="str">
        <x:v>In Field Warranty Claims</x:v>
      </x:c>
      <x:c r="N1971" s="37" t="n">
        <x:v>46128</x:v>
      </x:c>
      <x:c r="O1971" s="37"/>
      <x:c r="P1971" s="34" t="n">
        <x:v>0</x:v>
      </x:c>
      <x:c r="Q1971" s="37" t="n">
        <x:v>46134.917719907404</x:v>
      </x:c>
    </x:row>
    <x:row r="1972">
      <x:c r="A1972" s="22" t="n">
        <x:v>33698</x:v>
      </x:c>
      <x:c r="B1972" s="28" t="n">
        <x:v>492.5</x:v>
      </x:c>
      <x:c r="C1972" s="28"/>
      <x:c r="D1972" s="31" t="str">
        <x:f>IF(OR(ISBLANK(B1972),ISBLANK(C1972),B1972=0),"",(C1972-B1972)/B1972)</x:f>
      </x:c>
      <x:c r="E1972" s="22" t="str">
        <x:f>IF(ISBLANK(C1972),"AmountIncludingTax缺失",IF(ABS(B1972-C1972)&lt;0.005,"一致","不一致"))</x:f>
        <x:v>AmountIncludingTax缺失</x:v>
      </x:c>
      <x:c r="F1972" s="19" t="str">
        <x:v>approved</x:v>
      </x:c>
      <x:c r="G1972" s="19" t="str">
        <x:v>Repairer Invoiced Processed</x:v>
      </x:c>
      <x:c r="H1972" s="19" t="str">
        <x:v>In Field</x:v>
      </x:c>
      <x:c r="I1972" s="37" t="n">
        <x:v>46128</x:v>
      </x:c>
      <x:c r="J1972" s="37" t="n">
        <x:v>46128</x:v>
      </x:c>
      <x:c r="K1972" s="19" t="str">
        <x:v>Dario Caravans - Pooraka</x:v>
      </x:c>
      <x:c r="L1972" s="19" t="str">
        <x:v>Z006</x:v>
      </x:c>
      <x:c r="M1972" s="19" t="str">
        <x:v>In Field Warranty Claims</x:v>
      </x:c>
      <x:c r="N1972" s="37" t="n">
        <x:v>46128</x:v>
      </x:c>
      <x:c r="O1972" s="37"/>
      <x:c r="P1972" s="34" t="n">
        <x:v>0</x:v>
      </x:c>
      <x:c r="Q1972" s="37" t="n">
        <x:v>46128.10157407408</x:v>
      </x:c>
    </x:row>
    <x:row r="1973">
      <x:c r="A1973" s="22" t="n">
        <x:v>33692</x:v>
      </x:c>
      <x:c r="B1973" s="28" t="n">
        <x:v>72</x:v>
      </x:c>
      <x:c r="C1973" s="28" t="n">
        <x:v>79.2</x:v>
      </x:c>
      <x:c r="D1973" s="31" t="n">
        <x:f>IF(OR(ISBLANK(B1973),ISBLANK(C1973),B1973=0),"",(C1973-B1973)/B1973)</x:f>
        <x:v>0.10000000000000003</x:v>
      </x:c>
      <x:c r="E1973" s="22" t="str">
        <x:f>IF(ISBLANK(C1973),"AmountIncludingTax缺失",IF(ABS(B1973-C1973)&lt;0.005,"一致","不一致"))</x:f>
        <x:v>不一致</x:v>
      </x:c>
      <x:c r="F1973" s="19" t="str">
        <x:v>approved</x:v>
      </x:c>
      <x:c r="G1973" s="19" t="str">
        <x:v>Repairer Invoiced Processed</x:v>
      </x:c>
      <x:c r="H1973" s="19" t="str">
        <x:v>In Field</x:v>
      </x:c>
      <x:c r="I1973" s="37" t="n">
        <x:v>46128</x:v>
      </x:c>
      <x:c r="J1973" s="37" t="n">
        <x:v>46128</x:v>
      </x:c>
      <x:c r="K1973" s="19" t="str">
        <x:v>Lesiure Lion-New Castle</x:v>
      </x:c>
      <x:c r="L1973" s="19" t="str">
        <x:v>Z006</x:v>
      </x:c>
      <x:c r="M1973" s="19" t="str">
        <x:v>In Field Warranty Claims</x:v>
      </x:c>
      <x:c r="N1973" s="37" t="n">
        <x:v>46128</x:v>
      </x:c>
      <x:c r="O1973" s="37"/>
      <x:c r="P1973" s="34" t="n">
        <x:v>79.2</x:v>
      </x:c>
      <x:c r="Q1973" s="37" t="n">
        <x:v>46128.012766203705</x:v>
      </x:c>
    </x:row>
    <x:row r="1974">
      <x:c r="A1974" s="22" t="n">
        <x:v>33690</x:v>
      </x:c>
      <x:c r="B1974" s="28" t="n">
        <x:v>67.5</x:v>
      </x:c>
      <x:c r="C1974" s="28"/>
      <x:c r="D1974" s="31" t="str">
        <x:f>IF(OR(ISBLANK(B1974),ISBLANK(C1974),B1974=0),"",(C1974-B1974)/B1974)</x:f>
      </x:c>
      <x:c r="E1974" s="22" t="str">
        <x:f>IF(ISBLANK(C1974),"AmountIncludingTax缺失",IF(ABS(B1974-C1974)&lt;0.005,"一致","不一致"))</x:f>
        <x:v>AmountIncludingTax缺失</x:v>
      </x:c>
      <x:c r="F1974" s="19" t="str">
        <x:v>approved</x:v>
      </x:c>
      <x:c r="G1974" s="19" t="str">
        <x:v>Repair in Progress</x:v>
      </x:c>
      <x:c r="H1974" s="19" t="str">
        <x:v>In Field</x:v>
      </x:c>
      <x:c r="I1974" s="37" t="n">
        <x:v>46135</x:v>
      </x:c>
      <x:c r="J1974" s="37" t="n">
        <x:v>46135</x:v>
      </x:c>
      <x:c r="K1974" s="19" t="str">
        <x:v>Newcastle RV Super Centre - Beresfield</x:v>
      </x:c>
      <x:c r="L1974" s="19" t="str">
        <x:v>Z006</x:v>
      </x:c>
      <x:c r="M1974" s="19" t="str">
        <x:v>In Field Warranty Claims</x:v>
      </x:c>
      <x:c r="N1974" s="37" t="n">
        <x:v>46128</x:v>
      </x:c>
      <x:c r="O1974" s="37"/>
      <x:c r="P1974" s="34" t="n">
        <x:v>0</x:v>
      </x:c>
      <x:c r="Q1974" s="37" t="n">
        <x:v>46135.101168981484</x:v>
      </x:c>
    </x:row>
    <x:row r="1975">
      <x:c r="A1975" s="22" t="n">
        <x:v>33688</x:v>
      </x:c>
      <x:c r="B1975" s="28" t="n">
        <x:v>207.5</x:v>
      </x:c>
      <x:c r="C1975" s="28"/>
      <x:c r="D1975" s="31" t="str">
        <x:f>IF(OR(ISBLANK(B1975),ISBLANK(C1975),B1975=0),"",(C1975-B1975)/B1975)</x:f>
      </x:c>
      <x:c r="E1975" s="22" t="str">
        <x:f>IF(ISBLANK(C1975),"AmountIncludingTax缺失",IF(ABS(B1975-C1975)&lt;0.005,"一致","不一致"))</x:f>
        <x:v>AmountIncludingTax缺失</x:v>
      </x:c>
      <x:c r="F1975" s="19" t="str">
        <x:v>approved</x:v>
      </x:c>
      <x:c r="G1975" s="19" t="str">
        <x:v>Repairer Invoiced Processed</x:v>
      </x:c>
      <x:c r="H1975" s="19" t="str">
        <x:v>In Field</x:v>
      </x:c>
      <x:c r="I1975" s="37" t="n">
        <x:v>46163</x:v>
      </x:c>
      <x:c r="J1975" s="37" t="n">
        <x:v>46163</x:v>
      </x:c>
      <x:c r="K1975" s="19" t="str">
        <x:v>Lesiure Lion-New Castle</x:v>
      </x:c>
      <x:c r="L1975" s="19" t="str">
        <x:v>Z006</x:v>
      </x:c>
      <x:c r="M1975" s="19" t="str">
        <x:v>In Field Warranty Claims</x:v>
      </x:c>
      <x:c r="N1975" s="37" t="n">
        <x:v>46128</x:v>
      </x:c>
      <x:c r="O1975" s="37"/>
      <x:c r="P1975" s="34" t="n">
        <x:v>0</x:v>
      </x:c>
      <x:c r="Q1975" s="37" t="n">
        <x:v>46162.91421296296</x:v>
      </x:c>
    </x:row>
    <x:row r="1976">
      <x:c r="A1976" s="22" t="n">
        <x:v>33687</x:v>
      </x:c>
      <x:c r="B1976" s="28" t="n">
        <x:v>318.18</x:v>
      </x:c>
      <x:c r="C1976" s="28"/>
      <x:c r="D1976" s="31" t="str">
        <x:f>IF(OR(ISBLANK(B1976),ISBLANK(C1976),B1976=0),"",(C1976-B1976)/B1976)</x:f>
      </x:c>
      <x:c r="E1976" s="22" t="str">
        <x:f>IF(ISBLANK(C1976),"AmountIncludingTax缺失",IF(ABS(B1976-C1976)&lt;0.005,"一致","不一致"))</x:f>
        <x:v>AmountIncludingTax缺失</x:v>
      </x:c>
      <x:c r="F1976" s="19" t="str">
        <x:v>approved</x:v>
      </x:c>
      <x:c r="G1976" s="19" t="str">
        <x:v>Repairer Invoiced Processed</x:v>
      </x:c>
      <x:c r="H1976" s="19" t="str">
        <x:v>In Field</x:v>
      </x:c>
      <x:c r="I1976" s="37" t="n">
        <x:v>46153</x:v>
      </x:c>
      <x:c r="J1976" s="37" t="n">
        <x:v>46153</x:v>
      </x:c>
      <x:c r="K1976" s="19" t="str">
        <x:v>The Caravan Hub - Townsville</x:v>
      </x:c>
      <x:c r="L1976" s="19" t="str">
        <x:v>Z006</x:v>
      </x:c>
      <x:c r="M1976" s="19" t="str">
        <x:v>In Field Warranty Claims</x:v>
      </x:c>
      <x:c r="N1976" s="37" t="n">
        <x:v>46128</x:v>
      </x:c>
      <x:c r="O1976" s="37"/>
      <x:c r="P1976" s="34" t="n">
        <x:v>0</x:v>
      </x:c>
      <x:c r="Q1976" s="37" t="n">
        <x:v>46152.936203703706</x:v>
      </x:c>
    </x:row>
    <x:row r="1977">
      <x:c r="A1977" s="22" t="n">
        <x:v>33686</x:v>
      </x:c>
      <x:c r="B1977" s="28" t="n">
        <x:v>425</x:v>
      </x:c>
      <x:c r="C1977" s="28"/>
      <x:c r="D1977" s="31" t="str">
        <x:f>IF(OR(ISBLANK(B1977),ISBLANK(C1977),B1977=0),"",(C1977-B1977)/B1977)</x:f>
      </x:c>
      <x:c r="E1977" s="22" t="str">
        <x:f>IF(ISBLANK(C1977),"AmountIncludingTax缺失",IF(ABS(B1977-C1977)&lt;0.005,"一致","不一致"))</x:f>
        <x:v>AmountIncludingTax缺失</x:v>
      </x:c>
      <x:c r="F1977" s="19" t="str">
        <x:v>approved</x:v>
      </x:c>
      <x:c r="G1977" s="19" t="str">
        <x:v>Repairer Invoiced Processed</x:v>
      </x:c>
      <x:c r="H1977" s="19" t="str">
        <x:v>In Field</x:v>
      </x:c>
      <x:c r="I1977" s="37" t="n">
        <x:v>46134</x:v>
      </x:c>
      <x:c r="J1977" s="37" t="n">
        <x:v>46134</x:v>
      </x:c>
      <x:c r="K1977" s="19" t="str">
        <x:v>QCCC - Gympie</x:v>
      </x:c>
      <x:c r="L1977" s="19" t="str">
        <x:v>Z006</x:v>
      </x:c>
      <x:c r="M1977" s="19" t="str">
        <x:v>In Field Warranty Claims</x:v>
      </x:c>
      <x:c r="N1977" s="37" t="n">
        <x:v>46128</x:v>
      </x:c>
      <x:c r="O1977" s="37"/>
      <x:c r="P1977" s="34" t="n">
        <x:v>0</x:v>
      </x:c>
      <x:c r="Q1977" s="37" t="n">
        <x:v>46134.150775462964</x:v>
      </x:c>
    </x:row>
    <x:row r="1978">
      <x:c r="A1978" s="22" t="n">
        <x:v>33685</x:v>
      </x:c>
      <x:c r="B1978" s="28" t="n">
        <x:v>21.75</x:v>
      </x:c>
      <x:c r="C1978" s="28"/>
      <x:c r="D1978" s="31" t="str">
        <x:f>IF(OR(ISBLANK(B1978),ISBLANK(C1978),B1978=0),"",(C1978-B1978)/B1978)</x:f>
      </x:c>
      <x:c r="E1978" s="22" t="str">
        <x:f>IF(ISBLANK(C1978),"AmountIncludingTax缺失",IF(ABS(B1978-C1978)&lt;0.005,"一致","不一致"))</x:f>
        <x:v>AmountIncludingTax缺失</x:v>
      </x:c>
      <x:c r="F1978" s="19" t="str">
        <x:v>approved</x:v>
      </x:c>
      <x:c r="G1978" s="19" t="str">
        <x:v>Repair in Progress</x:v>
      </x:c>
      <x:c r="H1978" s="19" t="str">
        <x:v>In Field</x:v>
      </x:c>
      <x:c r="I1978" s="37" t="n">
        <x:v>46150</x:v>
      </x:c>
      <x:c r="J1978" s="37" t="n">
        <x:v>46150</x:v>
      </x:c>
      <x:c r="K1978" s="19" t="str">
        <x:v>The Caravan Hub - Townsville</x:v>
      </x:c>
      <x:c r="L1978" s="19" t="str">
        <x:v>Z006</x:v>
      </x:c>
      <x:c r="M1978" s="19" t="str">
        <x:v>In Field Warranty Claims</x:v>
      </x:c>
      <x:c r="N1978" s="37" t="n">
        <x:v>46127</x:v>
      </x:c>
      <x:c r="O1978" s="37"/>
      <x:c r="P1978" s="34" t="n">
        <x:v>0</x:v>
      </x:c>
      <x:c r="Q1978" s="37" t="n">
        <x:v>46150.189050925925</x:v>
      </x:c>
    </x:row>
    <x:row r="1979">
      <x:c r="A1979" s="22" t="n">
        <x:v>33684</x:v>
      </x:c>
      <x:c r="B1979" s="28" t="n">
        <x:v>415</x:v>
      </x:c>
      <x:c r="C1979" s="28"/>
      <x:c r="D1979" s="31" t="str">
        <x:f>IF(OR(ISBLANK(B1979),ISBLANK(C1979),B1979=0),"",(C1979-B1979)/B1979)</x:f>
      </x:c>
      <x:c r="E1979" s="22" t="str">
        <x:f>IF(ISBLANK(C1979),"AmountIncludingTax缺失",IF(ABS(B1979-C1979)&lt;0.005,"一致","不一致"))</x:f>
        <x:v>AmountIncludingTax缺失</x:v>
      </x:c>
      <x:c r="F1979" s="19" t="str">
        <x:v>approved</x:v>
      </x:c>
      <x:c r="G1979" s="19" t="str">
        <x:v>Repair in Progress</x:v>
      </x:c>
      <x:c r="H1979" s="19" t="str">
        <x:v>In Field</x:v>
      </x:c>
      <x:c r="I1979" s="37" t="n">
        <x:v>46163</x:v>
      </x:c>
      <x:c r="J1979" s="37" t="n">
        <x:v>46163</x:v>
      </x:c>
      <x:c r="K1979" s="19" t="str">
        <x:v>Lesiure Lion-New Castle</x:v>
      </x:c>
      <x:c r="L1979" s="19" t="str">
        <x:v>Z006</x:v>
      </x:c>
      <x:c r="M1979" s="19" t="str">
        <x:v>In Field Warranty Claims</x:v>
      </x:c>
      <x:c r="N1979" s="37" t="n">
        <x:v>46127</x:v>
      </x:c>
      <x:c r="O1979" s="37"/>
      <x:c r="P1979" s="34" t="n">
        <x:v>0</x:v>
      </x:c>
      <x:c r="Q1979" s="37" t="n">
        <x:v>46162.91107638889</x:v>
      </x:c>
    </x:row>
    <x:row r="1980">
      <x:c r="A1980" s="22" t="n">
        <x:v>33683</x:v>
      </x:c>
      <x:c r="B1980" s="28" t="n">
        <x:v>995</x:v>
      </x:c>
      <x:c r="C1980" s="28"/>
      <x:c r="D1980" s="31" t="str">
        <x:f>IF(OR(ISBLANK(B1980),ISBLANK(C1980),B1980=0),"",(C1980-B1980)/B1980)</x:f>
      </x:c>
      <x:c r="E1980" s="22" t="str">
        <x:f>IF(ISBLANK(C1980),"AmountIncludingTax缺失",IF(ABS(B1980-C1980)&lt;0.005,"一致","不一致"))</x:f>
        <x:v>AmountIncludingTax缺失</x:v>
      </x:c>
      <x:c r="F1980" s="19" t="str">
        <x:v>approved</x:v>
      </x:c>
      <x:c r="G1980" s="19" t="str">
        <x:v>Repairer Invoiced Processed</x:v>
      </x:c>
      <x:c r="H1980" s="19" t="str">
        <x:v>In Field</x:v>
      </x:c>
      <x:c r="I1980" s="37" t="n">
        <x:v>46135</x:v>
      </x:c>
      <x:c r="J1980" s="37" t="n">
        <x:v>46135</x:v>
      </x:c>
      <x:c r="K1980" s="19" t="str">
        <x:v>QCCC - Gympie</x:v>
      </x:c>
      <x:c r="L1980" s="19" t="str">
        <x:v>Z006</x:v>
      </x:c>
      <x:c r="M1980" s="19" t="str">
        <x:v>In Field Warranty Claims</x:v>
      </x:c>
      <x:c r="N1980" s="37" t="n">
        <x:v>46127</x:v>
      </x:c>
      <x:c r="O1980" s="37"/>
      <x:c r="P1980" s="34" t="n">
        <x:v>0</x:v>
      </x:c>
      <x:c r="Q1980" s="37" t="n">
        <x:v>46134.913668981484</x:v>
      </x:c>
    </x:row>
    <x:row r="1981">
      <x:c r="A1981" s="22" t="n">
        <x:v>33682</x:v>
      </x:c>
      <x:c r="B1981" s="28" t="n">
        <x:v>21.75</x:v>
      </x:c>
      <x:c r="C1981" s="28"/>
      <x:c r="D1981" s="31" t="str">
        <x:f>IF(OR(ISBLANK(B1981),ISBLANK(C1981),B1981=0),"",(C1981-B1981)/B1981)</x:f>
      </x:c>
      <x:c r="E1981" s="22" t="str">
        <x:f>IF(ISBLANK(C1981),"AmountIncludingTax缺失",IF(ABS(B1981-C1981)&lt;0.005,"一致","不一致"))</x:f>
        <x:v>AmountIncludingTax缺失</x:v>
      </x:c>
      <x:c r="F1981" s="19" t="str">
        <x:v>approved</x:v>
      </x:c>
      <x:c r="G1981" s="19" t="str">
        <x:v>Repair in Progress</x:v>
      </x:c>
      <x:c r="H1981" s="19" t="str">
        <x:v>In Field</x:v>
      </x:c>
      <x:c r="I1981" s="37" t="n">
        <x:v>46150</x:v>
      </x:c>
      <x:c r="J1981" s="37" t="n">
        <x:v>46150</x:v>
      </x:c>
      <x:c r="K1981" s="19" t="str">
        <x:v>Regent RV - Townsville</x:v>
      </x:c>
      <x:c r="L1981" s="19" t="str">
        <x:v>Z006</x:v>
      </x:c>
      <x:c r="M1981" s="19" t="str">
        <x:v>In Field Warranty Claims</x:v>
      </x:c>
      <x:c r="N1981" s="37" t="n">
        <x:v>46127</x:v>
      </x:c>
      <x:c r="O1981" s="37"/>
      <x:c r="P1981" s="34" t="n">
        <x:v>0</x:v>
      </x:c>
      <x:c r="Q1981" s="37" t="n">
        <x:v>46150.18625</x:v>
      </x:c>
    </x:row>
    <x:row r="1982">
      <x:c r="A1982" s="22" t="n">
        <x:v>33681</x:v>
      </x:c>
      <x:c r="B1982" s="28" t="n">
        <x:v>1282.5</x:v>
      </x:c>
      <x:c r="C1982" s="28"/>
      <x:c r="D1982" s="31" t="str">
        <x:f>IF(OR(ISBLANK(B1982),ISBLANK(C1982),B1982=0),"",(C1982-B1982)/B1982)</x:f>
      </x:c>
      <x:c r="E1982" s="22" t="str">
        <x:f>IF(ISBLANK(C1982),"AmountIncludingTax缺失",IF(ABS(B1982-C1982)&lt;0.005,"一致","不一致"))</x:f>
        <x:v>AmountIncludingTax缺失</x:v>
      </x:c>
      <x:c r="F1982" s="19" t="str">
        <x:v>approved</x:v>
      </x:c>
      <x:c r="G1982" s="19" t="str">
        <x:v>Repair in Progress</x:v>
      </x:c>
      <x:c r="H1982" s="19" t="str">
        <x:v>Pre Delivery</x:v>
      </x:c>
      <x:c r="I1982" s="37" t="n">
        <x:v>46150</x:v>
      </x:c>
      <x:c r="J1982" s="37" t="n">
        <x:v>46150</x:v>
      </x:c>
      <x:c r="K1982" s="19" t="str">
        <x:v>Green RV - Forest Glen</x:v>
      </x:c>
      <x:c r="L1982" s="19" t="str">
        <x:v>Z005</x:v>
      </x:c>
      <x:c r="M1982" s="19" t="str">
        <x:v>Pre Delivery Warranty Claims</x:v>
      </x:c>
      <x:c r="N1982" s="37" t="n">
        <x:v>46127</x:v>
      </x:c>
      <x:c r="O1982" s="37"/>
      <x:c r="P1982" s="34" t="n">
        <x:v>0</x:v>
      </x:c>
      <x:c r="Q1982" s="37" t="n">
        <x:v>46149.847453703704</x:v>
      </x:c>
    </x:row>
    <x:row r="1983">
      <x:c r="A1983" s="22" t="n">
        <x:v>33670</x:v>
      </x:c>
      <x:c r="B1983" s="28" t="n">
        <x:v>211.59</x:v>
      </x:c>
      <x:c r="C1983" s="28"/>
      <x:c r="D1983" s="31" t="str">
        <x:f>IF(OR(ISBLANK(B1983),ISBLANK(C1983),B1983=0),"",(C1983-B1983)/B1983)</x:f>
      </x:c>
      <x:c r="E1983" s="22" t="str">
        <x:f>IF(ISBLANK(C1983),"AmountIncludingTax缺失",IF(ABS(B1983-C1983)&lt;0.005,"一致","不一致"))</x:f>
        <x:v>AmountIncludingTax缺失</x:v>
      </x:c>
      <x:c r="F1983" s="19" t="str">
        <x:v>approved</x:v>
      </x:c>
      <x:c r="G1983" s="19" t="str">
        <x:v>Sales Order Approved</x:v>
      </x:c>
      <x:c r="H1983" s="19" t="str">
        <x:v>In Field</x:v>
      </x:c>
      <x:c r="I1983" s="37" t="n">
        <x:v>46135</x:v>
      </x:c>
      <x:c r="J1983" s="37" t="n">
        <x:v>46135</x:v>
      </x:c>
      <x:c r="K1983" s="19" t="str">
        <x:v>Green RV - Slacks Creek</x:v>
      </x:c>
      <x:c r="L1983" s="19" t="str">
        <x:v>Z006</x:v>
      </x:c>
      <x:c r="M1983" s="19" t="str">
        <x:v>In Field Warranty Claims</x:v>
      </x:c>
      <x:c r="N1983" s="37" t="n">
        <x:v>46128</x:v>
      </x:c>
      <x:c r="O1983" s="37"/>
      <x:c r="P1983" s="34" t="n">
        <x:v>0</x:v>
      </x:c>
      <x:c r="Q1983" s="37" t="n">
        <x:v>46134.957141203704</x:v>
      </x:c>
    </x:row>
    <x:row r="1984">
      <x:c r="A1984" s="22" t="n">
        <x:v>33668</x:v>
      </x:c>
      <x:c r="B1984" s="28" t="n">
        <x:v>476.4</x:v>
      </x:c>
      <x:c r="C1984" s="28" t="n">
        <x:v>524.04</x:v>
      </x:c>
      <x:c r="D1984" s="31" t="n">
        <x:f>IF(OR(ISBLANK(B1984),ISBLANK(C1984),B1984=0),"",(C1984-B1984)/B1984)</x:f>
        <x:v>0.09999999999999998</x:v>
      </x:c>
      <x:c r="E1984" s="22" t="str">
        <x:f>IF(ISBLANK(C1984),"AmountIncludingTax缺失",IF(ABS(B1984-C1984)&lt;0.005,"一致","不一致"))</x:f>
        <x:v>不一致</x:v>
      </x:c>
      <x:c r="F1984" s="19" t="str">
        <x:v>approved</x:v>
      </x:c>
      <x:c r="G1984" s="19" t="str">
        <x:v>Repair in Progress</x:v>
      </x:c>
      <x:c r="H1984" s="19" t="str">
        <x:v>In Field</x:v>
      </x:c>
      <x:c r="I1984" s="37" t="n">
        <x:v>46135</x:v>
      </x:c>
      <x:c r="J1984" s="37" t="n">
        <x:v>46135</x:v>
      </x:c>
      <x:c r="K1984" s="19" t="str">
        <x:v>Regent RV - Perth</x:v>
      </x:c>
      <x:c r="L1984" s="19" t="str">
        <x:v>Z006</x:v>
      </x:c>
      <x:c r="M1984" s="19" t="str">
        <x:v>In Field Warranty Claims</x:v>
      </x:c>
      <x:c r="N1984" s="37" t="n">
        <x:v>46128</x:v>
      </x:c>
      <x:c r="O1984" s="37"/>
      <x:c r="P1984" s="34" t="n">
        <x:v>524.04</x:v>
      </x:c>
      <x:c r="Q1984" s="37" t="n">
        <x:v>46135.17811342593</x:v>
      </x:c>
    </x:row>
    <x:row r="1985">
      <x:c r="A1985" s="22" t="n">
        <x:v>33667</x:v>
      </x:c>
      <x:c r="B1985" s="28" t="n">
        <x:v>955</x:v>
      </x:c>
      <x:c r="C1985" s="28"/>
      <x:c r="D1985" s="31" t="str">
        <x:f>IF(OR(ISBLANK(B1985),ISBLANK(C1985),B1985=0),"",(C1985-B1985)/B1985)</x:f>
      </x:c>
      <x:c r="E1985" s="22" t="str">
        <x:f>IF(ISBLANK(C1985),"AmountIncludingTax缺失",IF(ABS(B1985-C1985)&lt;0.005,"一致","不一致"))</x:f>
        <x:v>AmountIncludingTax缺失</x:v>
      </x:c>
      <x:c r="F1985" s="19" t="str">
        <x:v>approved</x:v>
      </x:c>
      <x:c r="G1985" s="19" t="str">
        <x:v>Repair in Progress</x:v>
      </x:c>
      <x:c r="H1985" s="19" t="str">
        <x:v>In Field</x:v>
      </x:c>
      <x:c r="I1985" s="37" t="n">
        <x:v>46134</x:v>
      </x:c>
      <x:c r="J1985" s="37" t="n">
        <x:v>46134</x:v>
      </x:c>
      <x:c r="K1985" s="19" t="str">
        <x:v>Green RV - Forest Glen</x:v>
      </x:c>
      <x:c r="L1985" s="19" t="str">
        <x:v>Z006</x:v>
      </x:c>
      <x:c r="M1985" s="19" t="str">
        <x:v>In Field Warranty Claims</x:v>
      </x:c>
      <x:c r="N1985" s="37" t="n">
        <x:v>46128</x:v>
      </x:c>
      <x:c r="O1985" s="37"/>
      <x:c r="P1985" s="34" t="n">
        <x:v>0</x:v>
      </x:c>
      <x:c r="Q1985" s="37" t="n">
        <x:v>46134.18997685185</x:v>
      </x:c>
    </x:row>
    <x:row r="1986">
      <x:c r="A1986" s="22" t="n">
        <x:v>33666</x:v>
      </x:c>
      <x:c r="B1986" s="28" t="n">
        <x:v>1156.59</x:v>
      </x:c>
      <x:c r="C1986" s="28"/>
      <x:c r="D1986" s="31" t="str">
        <x:f>IF(OR(ISBLANK(B1986),ISBLANK(C1986),B1986=0),"",(C1986-B1986)/B1986)</x:f>
      </x:c>
      <x:c r="E1986" s="22" t="str">
        <x:f>IF(ISBLANK(C1986),"AmountIncludingTax缺失",IF(ABS(B1986-C1986)&lt;0.005,"一致","不一致"))</x:f>
        <x:v>AmountIncludingTax缺失</x:v>
      </x:c>
      <x:c r="F1986" s="19" t="str">
        <x:v>approved</x:v>
      </x:c>
      <x:c r="G1986" s="19" t="str">
        <x:v>Repairer Invoiced Processed</x:v>
      </x:c>
      <x:c r="H1986" s="19" t="str">
        <x:v>In Field</x:v>
      </x:c>
      <x:c r="I1986" s="37" t="n">
        <x:v>46136</x:v>
      </x:c>
      <x:c r="J1986" s="37" t="n">
        <x:v>46136</x:v>
      </x:c>
      <x:c r="K1986" s="19" t="str">
        <x:v>QCCC - Gympie</x:v>
      </x:c>
      <x:c r="L1986" s="19" t="str">
        <x:v>Z006</x:v>
      </x:c>
      <x:c r="M1986" s="19" t="str">
        <x:v>In Field Warranty Claims</x:v>
      </x:c>
      <x:c r="N1986" s="37" t="n">
        <x:v>46128</x:v>
      </x:c>
      <x:c r="O1986" s="37"/>
      <x:c r="P1986" s="34" t="n">
        <x:v>0</x:v>
      </x:c>
      <x:c r="Q1986" s="37" t="n">
        <x:v>46136.12353009259</x:v>
      </x:c>
    </x:row>
    <x:row r="1987">
      <x:c r="A1987" s="22" t="n">
        <x:v>33663</x:v>
      </x:c>
      <x:c r="B1987" s="28" t="n">
        <x:v>67.5</x:v>
      </x:c>
      <x:c r="C1987" s="28"/>
      <x:c r="D1987" s="31" t="str">
        <x:f>IF(OR(ISBLANK(B1987),ISBLANK(C1987),B1987=0),"",(C1987-B1987)/B1987)</x:f>
      </x:c>
      <x:c r="E1987" s="22" t="str">
        <x:f>IF(ISBLANK(C1987),"AmountIncludingTax缺失",IF(ABS(B1987-C1987)&lt;0.005,"一致","不一致"))</x:f>
        <x:v>AmountIncludingTax缺失</x:v>
      </x:c>
      <x:c r="F1987" s="19" t="str">
        <x:v>approved</x:v>
      </x:c>
      <x:c r="G1987" s="19" t="str">
        <x:v>Repairer Invoiced Processed</x:v>
      </x:c>
      <x:c r="H1987" s="19" t="str">
        <x:v>In Field</x:v>
      </x:c>
      <x:c r="I1987" s="37" t="n">
        <x:v>46134</x:v>
      </x:c>
      <x:c r="J1987" s="37" t="n">
        <x:v>46134</x:v>
      </x:c>
      <x:c r="K1987" s="19" t="str">
        <x:v>Green RV - Forest Glen</x:v>
      </x:c>
      <x:c r="L1987" s="19" t="str">
        <x:v>Z006</x:v>
      </x:c>
      <x:c r="M1987" s="19" t="str">
        <x:v>In Field Warranty Claims</x:v>
      </x:c>
      <x:c r="N1987" s="37" t="n">
        <x:v>46127</x:v>
      </x:c>
      <x:c r="O1987" s="37"/>
      <x:c r="P1987" s="34" t="n">
        <x:v>0</x:v>
      </x:c>
      <x:c r="Q1987" s="37" t="n">
        <x:v>46134.306875</x:v>
      </x:c>
    </x:row>
    <x:row r="1988">
      <x:c r="A1988" s="22" t="n">
        <x:v>33661</x:v>
      </x:c>
      <x:c r="B1988" s="28" t="n">
        <x:v>945</x:v>
      </x:c>
      <x:c r="C1988" s="28"/>
      <x:c r="D1988" s="31" t="str">
        <x:f>IF(OR(ISBLANK(B1988),ISBLANK(C1988),B1988=0),"",(C1988-B1988)/B1988)</x:f>
      </x:c>
      <x:c r="E1988" s="22" t="str">
        <x:f>IF(ISBLANK(C1988),"AmountIncludingTax缺失",IF(ABS(B1988-C1988)&lt;0.005,"一致","不一致"))</x:f>
        <x:v>AmountIncludingTax缺失</x:v>
      </x:c>
      <x:c r="F1988" s="19" t="str">
        <x:v>approved</x:v>
      </x:c>
      <x:c r="G1988" s="19" t="str">
        <x:v>Partially Picked</x:v>
      </x:c>
      <x:c r="H1988" s="19" t="str">
        <x:v>In Field</x:v>
      </x:c>
      <x:c r="I1988" s="37" t="n">
        <x:v>46135</x:v>
      </x:c>
      <x:c r="J1988" s="37" t="n">
        <x:v>46135</x:v>
      </x:c>
      <x:c r="K1988" s="19" t="str">
        <x:v>Green RV - Forest Glen</x:v>
      </x:c>
      <x:c r="L1988" s="19" t="str">
        <x:v>Z006</x:v>
      </x:c>
      <x:c r="M1988" s="19" t="str">
        <x:v>In Field Warranty Claims</x:v>
      </x:c>
      <x:c r="N1988" s="37" t="n">
        <x:v>46127</x:v>
      </x:c>
      <x:c r="O1988" s="37"/>
      <x:c r="P1988" s="34" t="n">
        <x:v>0</x:v>
      </x:c>
      <x:c r="Q1988" s="37" t="n">
        <x:v>46134.96130787037</x:v>
      </x:c>
    </x:row>
    <x:row r="1989">
      <x:c r="A1989" s="22" t="n">
        <x:v>33660</x:v>
      </x:c>
      <x:c r="B1989" s="28" t="n">
        <x:v>274.55</x:v>
      </x:c>
      <x:c r="C1989" s="28"/>
      <x:c r="D1989" s="31" t="str">
        <x:f>IF(OR(ISBLANK(B1989),ISBLANK(C1989),B1989=0),"",(C1989-B1989)/B1989)</x:f>
      </x:c>
      <x:c r="E1989" s="22" t="str">
        <x:f>IF(ISBLANK(C1989),"AmountIncludingTax缺失",IF(ABS(B1989-C1989)&lt;0.005,"一致","不一致"))</x:f>
        <x:v>AmountIncludingTax缺失</x:v>
      </x:c>
      <x:c r="F1989" s="19" t="str">
        <x:v>approved</x:v>
      </x:c>
      <x:c r="G1989" s="19" t="str">
        <x:v>Repair in Progress</x:v>
      </x:c>
      <x:c r="H1989" s="19" t="str">
        <x:v>In Field</x:v>
      </x:c>
      <x:c r="I1989" s="37" t="n">
        <x:v>46134</x:v>
      </x:c>
      <x:c r="J1989" s="37" t="n">
        <x:v>46134</x:v>
      </x:c>
      <x:c r="K1989" s="19" t="str">
        <x:v>Green RV - Forest Glen</x:v>
      </x:c>
      <x:c r="L1989" s="19" t="str">
        <x:v>Z006</x:v>
      </x:c>
      <x:c r="M1989" s="19" t="str">
        <x:v>In Field Warranty Claims</x:v>
      </x:c>
      <x:c r="N1989" s="37" t="n">
        <x:v>46127</x:v>
      </x:c>
      <x:c r="O1989" s="37"/>
      <x:c r="P1989" s="34" t="n">
        <x:v>0</x:v>
      </x:c>
      <x:c r="Q1989" s="37" t="n">
        <x:v>46134.30678240741</x:v>
      </x:c>
    </x:row>
    <x:row r="1990">
      <x:c r="A1990" s="22" t="n">
        <x:v>33659</x:v>
      </x:c>
      <x:c r="B1990" s="28" t="n">
        <x:v>1072.5</x:v>
      </x:c>
      <x:c r="C1990" s="28"/>
      <x:c r="D1990" s="31" t="str">
        <x:f>IF(OR(ISBLANK(B1990),ISBLANK(C1990),B1990=0),"",(C1990-B1990)/B1990)</x:f>
      </x:c>
      <x:c r="E1990" s="22" t="str">
        <x:f>IF(ISBLANK(C1990),"AmountIncludingTax缺失",IF(ABS(B1990-C1990)&lt;0.005,"一致","不一致"))</x:f>
        <x:v>AmountIncludingTax缺失</x:v>
      </x:c>
      <x:c r="F1990" s="19" t="str">
        <x:v>approved</x:v>
      </x:c>
      <x:c r="G1990" s="19" t="str">
        <x:v>Repairer Invoiced Processed</x:v>
      </x:c>
      <x:c r="H1990" s="19" t="str">
        <x:v>In Field</x:v>
      </x:c>
      <x:c r="I1990" s="37" t="n">
        <x:v>46134</x:v>
      </x:c>
      <x:c r="J1990" s="37" t="n">
        <x:v>46134</x:v>
      </x:c>
      <x:c r="K1990" s="19" t="str">
        <x:v>Green RV - Slacks Creek</x:v>
      </x:c>
      <x:c r="L1990" s="19" t="str">
        <x:v>Z006</x:v>
      </x:c>
      <x:c r="M1990" s="19" t="str">
        <x:v>In Field Warranty Claims</x:v>
      </x:c>
      <x:c r="N1990" s="37" t="n">
        <x:v>46127</x:v>
      </x:c>
      <x:c r="O1990" s="37"/>
      <x:c r="P1990" s="34" t="n">
        <x:v>0</x:v>
      </x:c>
      <x:c r="Q1990" s="37" t="n">
        <x:v>46133.892175925925</x:v>
      </x:c>
    </x:row>
    <x:row r="1991">
      <x:c r="A1991" s="22" t="n">
        <x:v>33658</x:v>
      </x:c>
      <x:c r="B1991" s="28" t="n">
        <x:v>600</x:v>
      </x:c>
      <x:c r="C1991" s="28"/>
      <x:c r="D1991" s="31" t="str">
        <x:f>IF(OR(ISBLANK(B1991),ISBLANK(C1991),B1991=0),"",(C1991-B1991)/B1991)</x:f>
      </x:c>
      <x:c r="E1991" s="22" t="str">
        <x:f>IF(ISBLANK(C1991),"AmountIncludingTax缺失",IF(ABS(B1991-C1991)&lt;0.005,"一致","不一致"))</x:f>
        <x:v>AmountIncludingTax缺失</x:v>
      </x:c>
      <x:c r="F1991" s="19" t="str">
        <x:v>approved</x:v>
      </x:c>
      <x:c r="G1991" s="19" t="str">
        <x:v>Repair in Progress</x:v>
      </x:c>
      <x:c r="H1991" s="19" t="str">
        <x:v>In Field</x:v>
      </x:c>
      <x:c r="I1991" s="37" t="n">
        <x:v>46174</x:v>
      </x:c>
      <x:c r="J1991" s="37" t="n">
        <x:v>46174</x:v>
      </x:c>
      <x:c r="K1991" s="19" t="str">
        <x:v>Green RV - Forest Glen</x:v>
      </x:c>
      <x:c r="L1991" s="19" t="str">
        <x:v>Z006</x:v>
      </x:c>
      <x:c r="M1991" s="19" t="str">
        <x:v>In Field Warranty Claims</x:v>
      </x:c>
      <x:c r="N1991" s="37" t="n">
        <x:v>46127</x:v>
      </x:c>
      <x:c r="O1991" s="37"/>
      <x:c r="P1991" s="34" t="n">
        <x:v>0</x:v>
      </x:c>
      <x:c r="Q1991" s="37" t="n">
        <x:v>46174.16574074074</x:v>
      </x:c>
    </x:row>
    <x:row r="1992">
      <x:c r="A1992" s="22" t="n">
        <x:v>33657</x:v>
      </x:c>
      <x:c r="B1992" s="28" t="n">
        <x:v>1016.25</x:v>
      </x:c>
      <x:c r="C1992" s="28"/>
      <x:c r="D1992" s="31" t="str">
        <x:f>IF(OR(ISBLANK(B1992),ISBLANK(C1992),B1992=0),"",(C1992-B1992)/B1992)</x:f>
      </x:c>
      <x:c r="E1992" s="22" t="str">
        <x:f>IF(ISBLANK(C1992),"AmountIncludingTax缺失",IF(ABS(B1992-C1992)&lt;0.005,"一致","不一致"))</x:f>
        <x:v>AmountIncludingTax缺失</x:v>
      </x:c>
      <x:c r="F1992" s="19" t="str">
        <x:v>approved</x:v>
      </x:c>
      <x:c r="G1992" s="19" t="str">
        <x:v>Partially Picked</x:v>
      </x:c>
      <x:c r="H1992" s="19" t="str">
        <x:v>In Field</x:v>
      </x:c>
      <x:c r="I1992" s="37" t="n">
        <x:v>46154</x:v>
      </x:c>
      <x:c r="J1992" s="37" t="n">
        <x:v>46154</x:v>
      </x:c>
      <x:c r="K1992" s="19" t="str">
        <x:v>Dario Caravans - Pooraka</x:v>
      </x:c>
      <x:c r="L1992" s="19" t="str">
        <x:v>Z006</x:v>
      </x:c>
      <x:c r="M1992" s="19" t="str">
        <x:v>In Field Warranty Claims</x:v>
      </x:c>
      <x:c r="N1992" s="37" t="n">
        <x:v>46127</x:v>
      </x:c>
      <x:c r="O1992" s="37"/>
      <x:c r="P1992" s="34" t="n">
        <x:v>0</x:v>
      </x:c>
      <x:c r="Q1992" s="37" t="n">
        <x:v>46153.979421296295</x:v>
      </x:c>
    </x:row>
    <x:row r="1993">
      <x:c r="A1993" s="22" t="n">
        <x:v>33656</x:v>
      </x:c>
      <x:c r="B1993" s="28" t="n">
        <x:v>482.5</x:v>
      </x:c>
      <x:c r="C1993" s="28"/>
      <x:c r="D1993" s="31" t="str">
        <x:f>IF(OR(ISBLANK(B1993),ISBLANK(C1993),B1993=0),"",(C1993-B1993)/B1993)</x:f>
      </x:c>
      <x:c r="E1993" s="22" t="str">
        <x:f>IF(ISBLANK(C1993),"AmountIncludingTax缺失",IF(ABS(B1993-C1993)&lt;0.005,"一致","不一致"))</x:f>
        <x:v>AmountIncludingTax缺失</x:v>
      </x:c>
      <x:c r="F1993" s="19" t="str">
        <x:v>approved</x:v>
      </x:c>
      <x:c r="G1993" s="19" t="str">
        <x:v>Repairer Invoiced Processed</x:v>
      </x:c>
      <x:c r="H1993" s="19" t="str">
        <x:v>In Field</x:v>
      </x:c>
      <x:c r="I1993" s="37" t="n">
        <x:v>46134</x:v>
      </x:c>
      <x:c r="J1993" s="37" t="n">
        <x:v>46134</x:v>
      </x:c>
      <x:c r="K1993" s="19" t="str">
        <x:v>Green RV - Forest Glen</x:v>
      </x:c>
      <x:c r="L1993" s="19" t="str">
        <x:v>Z006</x:v>
      </x:c>
      <x:c r="M1993" s="19" t="str">
        <x:v>In Field Warranty Claims</x:v>
      </x:c>
      <x:c r="N1993" s="37" t="n">
        <x:v>46127</x:v>
      </x:c>
      <x:c r="O1993" s="37"/>
      <x:c r="P1993" s="34" t="n">
        <x:v>0</x:v>
      </x:c>
      <x:c r="Q1993" s="37" t="n">
        <x:v>46134.306655092594</x:v>
      </x:c>
    </x:row>
    <x:row r="1994">
      <x:c r="A1994" s="22" t="n">
        <x:v>33655</x:v>
      </x:c>
      <x:c r="B1994" s="28" t="n">
        <x:v>615</x:v>
      </x:c>
      <x:c r="C1994" s="28"/>
      <x:c r="D1994" s="31" t="str">
        <x:f>IF(OR(ISBLANK(B1994),ISBLANK(C1994),B1994=0),"",(C1994-B1994)/B1994)</x:f>
      </x:c>
      <x:c r="E1994" s="22" t="str">
        <x:f>IF(ISBLANK(C1994),"AmountIncludingTax缺失",IF(ABS(B1994-C1994)&lt;0.005,"一致","不一致"))</x:f>
        <x:v>AmountIncludingTax缺失</x:v>
      </x:c>
      <x:c r="F1994" s="19" t="str">
        <x:v>approved</x:v>
      </x:c>
      <x:c r="G1994" s="19" t="str">
        <x:v>Partially Picked</x:v>
      </x:c>
      <x:c r="H1994" s="19" t="str">
        <x:v>Pre Delivery</x:v>
      </x:c>
      <x:c r="I1994" s="37" t="n">
        <x:v>46134</x:v>
      </x:c>
      <x:c r="J1994" s="37" t="n">
        <x:v>46134</x:v>
      </x:c>
      <x:c r="K1994" s="19" t="str">
        <x:v>Regent RV - Perth</x:v>
      </x:c>
      <x:c r="L1994" s="19" t="str">
        <x:v>Z005</x:v>
      </x:c>
      <x:c r="M1994" s="19" t="str">
        <x:v>Pre Delivery Warranty Claims</x:v>
      </x:c>
      <x:c r="N1994" s="37" t="n">
        <x:v>46127</x:v>
      </x:c>
      <x:c r="O1994" s="37"/>
      <x:c r="P1994" s="34" t="n">
        <x:v>0</x:v>
      </x:c>
      <x:c r="Q1994" s="37" t="n">
        <x:v>46134.06333333333</x:v>
      </x:c>
    </x:row>
    <x:row r="1995">
      <x:c r="A1995" s="22" t="n">
        <x:v>33654</x:v>
      </x:c>
      <x:c r="B1995" s="28" t="n">
        <x:v>675</x:v>
      </x:c>
      <x:c r="C1995" s="28"/>
      <x:c r="D1995" s="31" t="str">
        <x:f>IF(OR(ISBLANK(B1995),ISBLANK(C1995),B1995=0),"",(C1995-B1995)/B1995)</x:f>
      </x:c>
      <x:c r="E1995" s="22" t="str">
        <x:f>IF(ISBLANK(C1995),"AmountIncludingTax缺失",IF(ABS(B1995-C1995)&lt;0.005,"一致","不一致"))</x:f>
        <x:v>AmountIncludingTax缺失</x:v>
      </x:c>
      <x:c r="F1995" s="19" t="str">
        <x:v>approved</x:v>
      </x:c>
      <x:c r="G1995" s="19" t="str">
        <x:v>Repair in Progress</x:v>
      </x:c>
      <x:c r="H1995" s="19" t="str">
        <x:v>In Field</x:v>
      </x:c>
      <x:c r="I1995" s="37" t="n">
        <x:v>46140</x:v>
      </x:c>
      <x:c r="J1995" s="37" t="n">
        <x:v>46140</x:v>
      </x:c>
      <x:c r="K1995" s="19" t="str">
        <x:v>Regent RV Pty Ltd</x:v>
      </x:c>
      <x:c r="L1995" s="19" t="str">
        <x:v>Z006</x:v>
      </x:c>
      <x:c r="M1995" s="19" t="str">
        <x:v>In Field Warranty Claims</x:v>
      </x:c>
      <x:c r="N1995" s="37" t="n">
        <x:v>46127</x:v>
      </x:c>
      <x:c r="O1995" s="37"/>
      <x:c r="P1995" s="34" t="n">
        <x:v>0</x:v>
      </x:c>
      <x:c r="Q1995" s="37" t="n">
        <x:v>46139.97141203703</x:v>
      </x:c>
    </x:row>
    <x:row r="1996">
      <x:c r="A1996" s="22" t="n">
        <x:v>33652</x:v>
      </x:c>
      <x:c r="B1996" s="28" t="n">
        <x:v>207.5</x:v>
      </x:c>
      <x:c r="C1996" s="28"/>
      <x:c r="D1996" s="31" t="str">
        <x:f>IF(OR(ISBLANK(B1996),ISBLANK(C1996),B1996=0),"",(C1996-B1996)/B1996)</x:f>
      </x:c>
      <x:c r="E1996" s="22" t="str">
        <x:f>IF(ISBLANK(C1996),"AmountIncludingTax缺失",IF(ABS(B1996-C1996)&lt;0.005,"一致","不一致"))</x:f>
        <x:v>AmountIncludingTax缺失</x:v>
      </x:c>
      <x:c r="F1996" s="19" t="str">
        <x:v>approved</x:v>
      </x:c>
      <x:c r="G1996" s="19" t="str">
        <x:v>Sales Order Approved</x:v>
      </x:c>
      <x:c r="H1996" s="19" t="str">
        <x:v>Pre Delivery</x:v>
      </x:c>
      <x:c r="I1996" s="37" t="n">
        <x:v>46134</x:v>
      </x:c>
      <x:c r="J1996" s="37" t="n">
        <x:v>46134</x:v>
      </x:c>
      <x:c r="K1996" s="19" t="str">
        <x:v>Regent RV - Perth</x:v>
      </x:c>
      <x:c r="L1996" s="19" t="str">
        <x:v>Z005</x:v>
      </x:c>
      <x:c r="M1996" s="19" t="str">
        <x:v>Pre Delivery Warranty Claims</x:v>
      </x:c>
      <x:c r="N1996" s="37" t="n">
        <x:v>46127</x:v>
      </x:c>
      <x:c r="O1996" s="37"/>
      <x:c r="P1996" s="34" t="n">
        <x:v>0</x:v>
      </x:c>
      <x:c r="Q1996" s="37" t="n">
        <x:v>46134.07462962963</x:v>
      </x:c>
    </x:row>
    <x:row r="1997">
      <x:c r="A1997" s="22" t="n">
        <x:v>33651</x:v>
      </x:c>
      <x:c r="B1997" s="28" t="n">
        <x:v>145</x:v>
      </x:c>
      <x:c r="C1997" s="28"/>
      <x:c r="D1997" s="31" t="str">
        <x:f>IF(OR(ISBLANK(B1997),ISBLANK(C1997),B1997=0),"",(C1997-B1997)/B1997)</x:f>
      </x:c>
      <x:c r="E1997" s="22" t="str">
        <x:f>IF(ISBLANK(C1997),"AmountIncludingTax缺失",IF(ABS(B1997-C1997)&lt;0.005,"一致","不一致"))</x:f>
        <x:v>AmountIncludingTax缺失</x:v>
      </x:c>
      <x:c r="F1997" s="19" t="str">
        <x:v>approved</x:v>
      </x:c>
      <x:c r="G1997" s="19" t="str">
        <x:v>Repairer Invoiced Processed</x:v>
      </x:c>
      <x:c r="H1997" s="19" t="str">
        <x:v>In Field</x:v>
      </x:c>
      <x:c r="I1997" s="37" t="n">
        <x:v>46136</x:v>
      </x:c>
      <x:c r="J1997" s="37" t="n">
        <x:v>46136</x:v>
      </x:c>
      <x:c r="K1997" s="19" t="str">
        <x:v>Destiny RV - South Australia</x:v>
      </x:c>
      <x:c r="L1997" s="19" t="str">
        <x:v>Z006</x:v>
      </x:c>
      <x:c r="M1997" s="19" t="str">
        <x:v>In Field Warranty Claims</x:v>
      </x:c>
      <x:c r="N1997" s="37" t="n">
        <x:v>46127</x:v>
      </x:c>
      <x:c r="O1997" s="37"/>
      <x:c r="P1997" s="34" t="n">
        <x:v>0</x:v>
      </x:c>
      <x:c r="Q1997" s="37" t="n">
        <x:v>46136.195752314816</x:v>
      </x:c>
    </x:row>
    <x:row r="1998">
      <x:c r="A1998" s="22" t="n">
        <x:v>33650</x:v>
      </x:c>
      <x:c r="B1998" s="28" t="n">
        <x:v>67.5</x:v>
      </x:c>
      <x:c r="C1998" s="28"/>
      <x:c r="D1998" s="31" t="str">
        <x:f>IF(OR(ISBLANK(B1998),ISBLANK(C1998),B1998=0),"",(C1998-B1998)/B1998)</x:f>
      </x:c>
      <x:c r="E1998" s="22" t="str">
        <x:f>IF(ISBLANK(C1998),"AmountIncludingTax缺失",IF(ABS(B1998-C1998)&lt;0.005,"一致","不一致"))</x:f>
        <x:v>AmountIncludingTax缺失</x:v>
      </x:c>
      <x:c r="F1998" s="19" t="str">
        <x:v>approved</x:v>
      </x:c>
      <x:c r="G1998" s="19" t="str">
        <x:v>Sales Order Approved</x:v>
      </x:c>
      <x:c r="H1998" s="19" t="str">
        <x:v>Pre Delivery</x:v>
      </x:c>
      <x:c r="I1998" s="37" t="n">
        <x:v>46205</x:v>
      </x:c>
      <x:c r="J1998" s="37" t="n">
        <x:v>46205</x:v>
      </x:c>
      <x:c r="K1998" s="19" t="str">
        <x:v>Auswide Caravans - South Nowra</x:v>
      </x:c>
      <x:c r="L1998" s="19" t="str">
        <x:v>Z005</x:v>
      </x:c>
      <x:c r="M1998" s="19" t="str">
        <x:v>Pre Delivery Warranty Claims</x:v>
      </x:c>
      <x:c r="N1998" s="37" t="n">
        <x:v>46127</x:v>
      </x:c>
      <x:c r="O1998" s="37"/>
      <x:c r="P1998" s="34" t="n">
        <x:v>0</x:v>
      </x:c>
      <x:c r="Q1998" s="37" t="n">
        <x:v>46205.13280092592</x:v>
      </x:c>
    </x:row>
    <x:row r="1999">
      <x:c r="A1999" s="22" t="n">
        <x:v>33649</x:v>
      </x:c>
      <x:c r="B1999" s="28" t="n">
        <x:v>506.25</x:v>
      </x:c>
      <x:c r="C1999" s="28"/>
      <x:c r="D1999" s="31" t="str">
        <x:f>IF(OR(ISBLANK(B1999),ISBLANK(C1999),B1999=0),"",(C1999-B1999)/B1999)</x:f>
      </x:c>
      <x:c r="E1999" s="22" t="str">
        <x:f>IF(ISBLANK(C1999),"AmountIncludingTax缺失",IF(ABS(B1999-C1999)&lt;0.005,"一致","不一致"))</x:f>
        <x:v>AmountIncludingTax缺失</x:v>
      </x:c>
      <x:c r="F1999" s="19" t="str">
        <x:v>approved</x:v>
      </x:c>
      <x:c r="G1999" s="19" t="str">
        <x:v>Repairer Invoiced Processed</x:v>
      </x:c>
      <x:c r="H1999" s="19" t="str">
        <x:v>In Field</x:v>
      </x:c>
      <x:c r="I1999" s="37" t="n">
        <x:v>46134</x:v>
      </x:c>
      <x:c r="J1999" s="37" t="n">
        <x:v>46134</x:v>
      </x:c>
      <x:c r="K1999" s="19" t="str">
        <x:v>Green RV - Forest Glen</x:v>
      </x:c>
      <x:c r="L1999" s="19" t="str">
        <x:v>Z006</x:v>
      </x:c>
      <x:c r="M1999" s="19" t="str">
        <x:v>In Field Warranty Claims</x:v>
      </x:c>
      <x:c r="N1999" s="37" t="n">
        <x:v>46127</x:v>
      </x:c>
      <x:c r="O1999" s="37"/>
      <x:c r="P1999" s="34" t="n">
        <x:v>0</x:v>
      </x:c>
      <x:c r="Q1999" s="37" t="n">
        <x:v>46134.11209490741</x:v>
      </x:c>
    </x:row>
    <x:row r="2000">
      <x:c r="A2000" s="22" t="n">
        <x:v>33648</x:v>
      </x:c>
      <x:c r="B2000" s="28" t="n">
        <x:v>337.5</x:v>
      </x:c>
      <x:c r="C2000" s="28" t="n">
        <x:v>371.25</x:v>
      </x:c>
      <x:c r="D2000" s="31" t="n">
        <x:f>IF(OR(ISBLANK(B2000),ISBLANK(C2000),B2000=0),"",(C2000-B2000)/B2000)</x:f>
        <x:v>0.1</x:v>
      </x:c>
      <x:c r="E2000" s="22" t="str">
        <x:f>IF(ISBLANK(C2000),"AmountIncludingTax缺失",IF(ABS(B2000-C2000)&lt;0.005,"一致","不一致"))</x:f>
        <x:v>不一致</x:v>
      </x:c>
      <x:c r="F2000" s="19" t="str">
        <x:v>approved</x:v>
      </x:c>
      <x:c r="G2000" s="19" t="str">
        <x:v>Repairer Invoiced Processed</x:v>
      </x:c>
      <x:c r="H2000" s="19" t="str">
        <x:v>In Field</x:v>
      </x:c>
      <x:c r="I2000" s="37" t="n">
        <x:v>46129</x:v>
      </x:c>
      <x:c r="J2000" s="37" t="n">
        <x:v>46129</x:v>
      </x:c>
      <x:c r="K2000" s="19" t="str">
        <x:v>Great Ocean Road RV &amp; Caravans - Warrnambool</x:v>
      </x:c>
      <x:c r="L2000" s="19" t="str">
        <x:v>Z006</x:v>
      </x:c>
      <x:c r="M2000" s="19" t="str">
        <x:v>In Field Warranty Claims</x:v>
      </x:c>
      <x:c r="N2000" s="37" t="n">
        <x:v>46127</x:v>
      </x:c>
      <x:c r="O2000" s="37"/>
      <x:c r="P2000" s="34" t="n">
        <x:v>371.25</x:v>
      </x:c>
      <x:c r="Q2000" s="37" t="n">
        <x:v>46128.84924768518</x:v>
      </x:c>
    </x:row>
    <x:row r="2001">
      <x:c r="A2001" s="22" t="n">
        <x:v>33647</x:v>
      </x:c>
      <x:c r="B2001" s="28" t="n">
        <x:v>695</x:v>
      </x:c>
      <x:c r="C2001" s="28"/>
      <x:c r="D2001" s="31" t="str">
        <x:f>IF(OR(ISBLANK(B2001),ISBLANK(C2001),B2001=0),"",(C2001-B2001)/B2001)</x:f>
      </x:c>
      <x:c r="E2001" s="22" t="str">
        <x:f>IF(ISBLANK(C2001),"AmountIncludingTax缺失",IF(ABS(B2001-C2001)&lt;0.005,"一致","不一致"))</x:f>
        <x:v>AmountIncludingTax缺失</x:v>
      </x:c>
      <x:c r="F2001" s="19" t="str">
        <x:v>approved</x:v>
      </x:c>
      <x:c r="G2001" s="19" t="str">
        <x:v>Repairer Invoiced Processed</x:v>
      </x:c>
      <x:c r="H2001" s="19" t="str">
        <x:v>In Field</x:v>
      </x:c>
      <x:c r="I2001" s="37" t="n">
        <x:v>46142</x:v>
      </x:c>
      <x:c r="J2001" s="37" t="n">
        <x:v>46142</x:v>
      </x:c>
      <x:c r="K2001" s="19" t="str">
        <x:v>Green RV - Forest Glen</x:v>
      </x:c>
      <x:c r="L2001" s="19" t="str">
        <x:v>Z006</x:v>
      </x:c>
      <x:c r="M2001" s="19" t="str">
        <x:v>In Field Warranty Claims</x:v>
      </x:c>
      <x:c r="N2001" s="37" t="n">
        <x:v>46127</x:v>
      </x:c>
      <x:c r="O2001" s="37"/>
      <x:c r="P2001" s="34" t="n">
        <x:v>0</x:v>
      </x:c>
      <x:c r="Q2001" s="37" t="n">
        <x:v>46141.85988425926</x:v>
      </x:c>
    </x:row>
    <x:row r="2002">
      <x:c r="A2002" s="22" t="n">
        <x:v>33645</x:v>
      </x:c>
      <x:c r="B2002" s="28" t="n">
        <x:v>832.5</x:v>
      </x:c>
      <x:c r="C2002" s="28"/>
      <x:c r="D2002" s="31" t="str">
        <x:f>IF(OR(ISBLANK(B2002),ISBLANK(C2002),B2002=0),"",(C2002-B2002)/B2002)</x:f>
      </x:c>
      <x:c r="E2002" s="22" t="str">
        <x:f>IF(ISBLANK(C2002),"AmountIncludingTax缺失",IF(ABS(B2002-C2002)&lt;0.005,"一致","不一致"))</x:f>
        <x:v>AmountIncludingTax缺失</x:v>
      </x:c>
      <x:c r="F2002" s="19" t="str">
        <x:v>approved</x:v>
      </x:c>
      <x:c r="G2002" s="19" t="str">
        <x:v>Repair in Progress</x:v>
      </x:c>
      <x:c r="H2002" s="19" t="str">
        <x:v>In Field</x:v>
      </x:c>
      <x:c r="I2002" s="37" t="n">
        <x:v>46135</x:v>
      </x:c>
      <x:c r="J2002" s="37" t="n">
        <x:v>46135</x:v>
      </x:c>
      <x:c r="K2002" s="19" t="str">
        <x:v>QCCC - Gympie</x:v>
      </x:c>
      <x:c r="L2002" s="19" t="str">
        <x:v>Z006</x:v>
      </x:c>
      <x:c r="M2002" s="19" t="str">
        <x:v>In Field Warranty Claims</x:v>
      </x:c>
      <x:c r="N2002" s="37" t="n">
        <x:v>46127</x:v>
      </x:c>
      <x:c r="O2002" s="37"/>
      <x:c r="P2002" s="34" t="n">
        <x:v>0</x:v>
      </x:c>
      <x:c r="Q2002" s="37" t="n">
        <x:v>46134.97144675926</x:v>
      </x:c>
    </x:row>
    <x:row r="2003">
      <x:c r="A2003" s="22" t="n">
        <x:v>33644</x:v>
      </x:c>
      <x:c r="B2003" s="28" t="n">
        <x:v>794.45</x:v>
      </x:c>
      <x:c r="C2003" s="28"/>
      <x:c r="D2003" s="31" t="str">
        <x:f>IF(OR(ISBLANK(B2003),ISBLANK(C2003),B2003=0),"",(C2003-B2003)/B2003)</x:f>
      </x:c>
      <x:c r="E2003" s="22" t="str">
        <x:f>IF(ISBLANK(C2003),"AmountIncludingTax缺失",IF(ABS(B2003-C2003)&lt;0.005,"一致","不一致"))</x:f>
        <x:v>AmountIncludingTax缺失</x:v>
      </x:c>
      <x:c r="F2003" s="19" t="str">
        <x:v>approved</x:v>
      </x:c>
      <x:c r="G2003" s="19" t="str">
        <x:v>Repair in Progress</x:v>
      </x:c>
      <x:c r="H2003" s="19" t="str">
        <x:v>In Field</x:v>
      </x:c>
      <x:c r="I2003" s="37" t="n">
        <x:v>46163</x:v>
      </x:c>
      <x:c r="J2003" s="37" t="n">
        <x:v>46163</x:v>
      </x:c>
      <x:c r="K2003" s="19" t="str">
        <x:v>Newcastle RV Super Centre - Beresfield</x:v>
      </x:c>
      <x:c r="L2003" s="19" t="str">
        <x:v>Z006</x:v>
      </x:c>
      <x:c r="M2003" s="19" t="str">
        <x:v>In Field Warranty Claims</x:v>
      </x:c>
      <x:c r="N2003" s="37" t="n">
        <x:v>46127</x:v>
      </x:c>
      <x:c r="O2003" s="37"/>
      <x:c r="P2003" s="34" t="n">
        <x:v>0</x:v>
      </x:c>
      <x:c r="Q2003" s="37" t="n">
        <x:v>46162.91017361111</x:v>
      </x:c>
    </x:row>
    <x:row r="2004">
      <x:c r="A2004" s="22" t="n">
        <x:v>33643</x:v>
      </x:c>
      <x:c r="B2004" s="28" t="n">
        <x:v>742.5</x:v>
      </x:c>
      <x:c r="C2004" s="28"/>
      <x:c r="D2004" s="31" t="str">
        <x:f>IF(OR(ISBLANK(B2004),ISBLANK(C2004),B2004=0),"",(C2004-B2004)/B2004)</x:f>
      </x:c>
      <x:c r="E2004" s="22" t="str">
        <x:f>IF(ISBLANK(C2004),"AmountIncludingTax缺失",IF(ABS(B2004-C2004)&lt;0.005,"一致","不一致"))</x:f>
        <x:v>AmountIncludingTax缺失</x:v>
      </x:c>
      <x:c r="F2004" s="19" t="str">
        <x:v>approved</x:v>
      </x:c>
      <x:c r="G2004" s="19" t="str">
        <x:v>Repair in Progress</x:v>
      </x:c>
      <x:c r="H2004" s="19" t="str">
        <x:v>In Field</x:v>
      </x:c>
      <x:c r="I2004" s="37" t="n">
        <x:v>46128</x:v>
      </x:c>
      <x:c r="J2004" s="37" t="n">
        <x:v>46128</x:v>
      </x:c>
      <x:c r="K2004" s="19" t="str">
        <x:v>Newcastle RV Super Centre - Beresfield</x:v>
      </x:c>
      <x:c r="L2004" s="19" t="str">
        <x:v>Z006</x:v>
      </x:c>
      <x:c r="M2004" s="19" t="str">
        <x:v>In Field Warranty Claims</x:v>
      </x:c>
      <x:c r="N2004" s="37" t="n">
        <x:v>46127</x:v>
      </x:c>
      <x:c r="O2004" s="37"/>
      <x:c r="P2004" s="34" t="n">
        <x:v>0</x:v>
      </x:c>
      <x:c r="Q2004" s="37" t="n">
        <x:v>46127.87299768518</x:v>
      </x:c>
    </x:row>
    <x:row r="2005">
      <x:c r="A2005" s="22" t="n">
        <x:v>33642</x:v>
      </x:c>
      <x:c r="B2005" s="28" t="n">
        <x:v>168.75</x:v>
      </x:c>
      <x:c r="C2005" s="28"/>
      <x:c r="D2005" s="31" t="str">
        <x:f>IF(OR(ISBLANK(B2005),ISBLANK(C2005),B2005=0),"",(C2005-B2005)/B2005)</x:f>
      </x:c>
      <x:c r="E2005" s="22" t="str">
        <x:f>IF(ISBLANK(C2005),"AmountIncludingTax缺失",IF(ABS(B2005-C2005)&lt;0.005,"一致","不一致"))</x:f>
        <x:v>AmountIncludingTax缺失</x:v>
      </x:c>
      <x:c r="F2005" s="19" t="str">
        <x:v>approved</x:v>
      </x:c>
      <x:c r="G2005" s="19" t="str">
        <x:v>Repair in Progress</x:v>
      </x:c>
      <x:c r="H2005" s="19" t="str">
        <x:v>In Field</x:v>
      </x:c>
      <x:c r="I2005" s="37" t="n">
        <x:v>46139</x:v>
      </x:c>
      <x:c r="J2005" s="37" t="n">
        <x:v>46139</x:v>
      </x:c>
      <x:c r="K2005" s="19" t="str">
        <x:v>Leisure Lion - Bundaberg</x:v>
      </x:c>
      <x:c r="L2005" s="19" t="str">
        <x:v>Z006</x:v>
      </x:c>
      <x:c r="M2005" s="19" t="str">
        <x:v>In Field Warranty Claims</x:v>
      </x:c>
      <x:c r="N2005" s="37" t="n">
        <x:v>46127</x:v>
      </x:c>
      <x:c r="O2005" s="37"/>
      <x:c r="P2005" s="34" t="n">
        <x:v>0</x:v>
      </x:c>
      <x:c r="Q2005" s="37" t="n">
        <x:v>46139.14491898148</x:v>
      </x:c>
    </x:row>
    <x:row r="2006">
      <x:c r="A2006" s="22" t="n">
        <x:v>33641</x:v>
      </x:c>
      <x:c r="B2006" s="28" t="n">
        <x:v>135</x:v>
      </x:c>
      <x:c r="C2006" s="28"/>
      <x:c r="D2006" s="31" t="str">
        <x:f>IF(OR(ISBLANK(B2006),ISBLANK(C2006),B2006=0),"",(C2006-B2006)/B2006)</x:f>
      </x:c>
      <x:c r="E2006" s="22" t="str">
        <x:f>IF(ISBLANK(C2006),"AmountIncludingTax缺失",IF(ABS(B2006-C2006)&lt;0.005,"一致","不一致"))</x:f>
        <x:v>AmountIncludingTax缺失</x:v>
      </x:c>
      <x:c r="F2006" s="19" t="str">
        <x:v>approved</x:v>
      </x:c>
      <x:c r="G2006" s="19" t="str">
        <x:v>Sales Order Approved</x:v>
      </x:c>
      <x:c r="H2006" s="19" t="str">
        <x:v>Pre Delivery</x:v>
      </x:c>
      <x:c r="I2006" s="37" t="n">
        <x:v>46155</x:v>
      </x:c>
      <x:c r="J2006" s="37" t="n">
        <x:v>46155</x:v>
      </x:c>
      <x:c r="K2006" s="19" t="str">
        <x:v>Regent RV - Perth</x:v>
      </x:c>
      <x:c r="L2006" s="19" t="str">
        <x:v>Z005</x:v>
      </x:c>
      <x:c r="M2006" s="19" t="str">
        <x:v>Pre Delivery Warranty Claims</x:v>
      </x:c>
      <x:c r="N2006" s="37" t="n">
        <x:v>46127</x:v>
      </x:c>
      <x:c r="O2006" s="37"/>
      <x:c r="P2006" s="34" t="n">
        <x:v>0</x:v>
      </x:c>
      <x:c r="Q2006" s="37" t="n">
        <x:v>46155.14618055556</x:v>
      </x:c>
    </x:row>
    <x:row r="2007">
      <x:c r="A2007" s="22" t="n">
        <x:v>33640</x:v>
      </x:c>
      <x:c r="B2007" s="28" t="n">
        <x:v>1426.2</x:v>
      </x:c>
      <x:c r="C2007" s="28"/>
      <x:c r="D2007" s="31" t="str">
        <x:f>IF(OR(ISBLANK(B2007),ISBLANK(C2007),B2007=0),"",(C2007-B2007)/B2007)</x:f>
      </x:c>
      <x:c r="E2007" s="22" t="str">
        <x:f>IF(ISBLANK(C2007),"AmountIncludingTax缺失",IF(ABS(B2007-C2007)&lt;0.005,"一致","不一致"))</x:f>
        <x:v>AmountIncludingTax缺失</x:v>
      </x:c>
      <x:c r="F2007" s="19" t="str">
        <x:v>approved</x:v>
      </x:c>
      <x:c r="G2007" s="19" t="str">
        <x:v>Repairer Invoiced Processed</x:v>
      </x:c>
      <x:c r="H2007" s="19" t="str">
        <x:v>In Field</x:v>
      </x:c>
      <x:c r="I2007" s="37" t="n">
        <x:v>46205</x:v>
      </x:c>
      <x:c r="J2007" s="37" t="n">
        <x:v>46153</x:v>
      </x:c>
      <x:c r="K2007" s="19" t="str">
        <x:v>Vanari Caravans - Marden Point</x:v>
      </x:c>
      <x:c r="L2007" s="19" t="str">
        <x:v>Z006</x:v>
      </x:c>
      <x:c r="M2007" s="19" t="str">
        <x:v>In Field Warranty Claims</x:v>
      </x:c>
      <x:c r="N2007" s="37" t="n">
        <x:v>46127</x:v>
      </x:c>
      <x:c r="O2007" s="37"/>
      <x:c r="P2007" s="34" t="n">
        <x:v>1291.28</x:v>
      </x:c>
      <x:c r="Q2007" s="37" t="n">
        <x:v>46205.181435185186</x:v>
      </x:c>
    </x:row>
    <x:row r="2008">
      <x:c r="A2008" s="22" t="n">
        <x:v>33639</x:v>
      </x:c>
      <x:c r="B2008" s="28" t="n">
        <x:v>122.5</x:v>
      </x:c>
      <x:c r="C2008" s="28"/>
      <x:c r="D2008" s="31" t="str">
        <x:f>IF(OR(ISBLANK(B2008),ISBLANK(C2008),B2008=0),"",(C2008-B2008)/B2008)</x:f>
      </x:c>
      <x:c r="E2008" s="22" t="str">
        <x:f>IF(ISBLANK(C2008),"AmountIncludingTax缺失",IF(ABS(B2008-C2008)&lt;0.005,"一致","不一致"))</x:f>
        <x:v>AmountIncludingTax缺失</x:v>
      </x:c>
      <x:c r="F2008" s="19" t="str">
        <x:v>approved</x:v>
      </x:c>
      <x:c r="G2008" s="19" t="str">
        <x:v>Sales Order Approved</x:v>
      </x:c>
      <x:c r="H2008" s="19" t="str">
        <x:v>Pre Delivery</x:v>
      </x:c>
      <x:c r="I2008" s="37" t="n">
        <x:v>46134</x:v>
      </x:c>
      <x:c r="J2008" s="37" t="n">
        <x:v>46134</x:v>
      </x:c>
      <x:c r="K2008" s="19" t="str">
        <x:v>Regent RV - Perth</x:v>
      </x:c>
      <x:c r="L2008" s="19" t="str">
        <x:v>Z005</x:v>
      </x:c>
      <x:c r="M2008" s="19" t="str">
        <x:v>Pre Delivery Warranty Claims</x:v>
      </x:c>
      <x:c r="N2008" s="37" t="n">
        <x:v>46127</x:v>
      </x:c>
      <x:c r="O2008" s="37"/>
      <x:c r="P2008" s="34" t="n">
        <x:v>0</x:v>
      </x:c>
      <x:c r="Q2008" s="37" t="n">
        <x:v>46134.07815972222</x:v>
      </x:c>
    </x:row>
    <x:row r="2009">
      <x:c r="A2009" s="22" t="n">
        <x:v>33637</x:v>
      </x:c>
      <x:c r="B2009" s="28" t="n">
        <x:v>67.5</x:v>
      </x:c>
      <x:c r="C2009" s="28"/>
      <x:c r="D2009" s="31" t="str">
        <x:f>IF(OR(ISBLANK(B2009),ISBLANK(C2009),B2009=0),"",(C2009-B2009)/B2009)</x:f>
      </x:c>
      <x:c r="E2009" s="22" t="str">
        <x:f>IF(ISBLANK(C2009),"AmountIncludingTax缺失",IF(ABS(B2009-C2009)&lt;0.005,"一致","不一致"))</x:f>
        <x:v>AmountIncludingTax缺失</x:v>
      </x:c>
      <x:c r="F2009" s="19" t="str">
        <x:v>approved</x:v>
      </x:c>
      <x:c r="G2009" s="19" t="str">
        <x:v>Repair in Progress</x:v>
      </x:c>
      <x:c r="H2009" s="19" t="str">
        <x:v>In Field</x:v>
      </x:c>
      <x:c r="I2009" s="37" t="n">
        <x:v>46164</x:v>
      </x:c>
      <x:c r="J2009" s="37" t="n">
        <x:v>46164</x:v>
      </x:c>
      <x:c r="K2009" s="19" t="str">
        <x:v>Newcastle RV Super Centre - Beresfield</x:v>
      </x:c>
      <x:c r="L2009" s="19" t="str">
        <x:v>Z006</x:v>
      </x:c>
      <x:c r="M2009" s="19" t="str">
        <x:v>In Field Warranty Claims</x:v>
      </x:c>
      <x:c r="N2009" s="37" t="n">
        <x:v>46127</x:v>
      </x:c>
      <x:c r="O2009" s="37"/>
      <x:c r="P2009" s="34" t="n">
        <x:v>0</x:v>
      </x:c>
      <x:c r="Q2009" s="37" t="n">
        <x:v>46164.12173611111</x:v>
      </x:c>
    </x:row>
    <x:row r="2010">
      <x:c r="A2010" s="22" t="n">
        <x:v>33636</x:v>
      </x:c>
      <x:c r="B2010" s="28" t="n">
        <x:v>420</x:v>
      </x:c>
      <x:c r="C2010" s="28"/>
      <x:c r="D2010" s="31" t="str">
        <x:f>IF(OR(ISBLANK(B2010),ISBLANK(C2010),B2010=0),"",(C2010-B2010)/B2010)</x:f>
      </x:c>
      <x:c r="E2010" s="22" t="str">
        <x:f>IF(ISBLANK(C2010),"AmountIncludingTax缺失",IF(ABS(B2010-C2010)&lt;0.005,"一致","不一致"))</x:f>
        <x:v>AmountIncludingTax缺失</x:v>
      </x:c>
      <x:c r="F2010" s="19" t="str">
        <x:v>approved</x:v>
      </x:c>
      <x:c r="G2010" s="19" t="str">
        <x:v>Sales Order Approved</x:v>
      </x:c>
      <x:c r="H2010" s="19" t="str">
        <x:v>Pre Delivery</x:v>
      </x:c>
      <x:c r="I2010" s="37" t="n">
        <x:v>46134</x:v>
      </x:c>
      <x:c r="J2010" s="37" t="n">
        <x:v>46134</x:v>
      </x:c>
      <x:c r="K2010" s="19" t="str">
        <x:v>Regent RV - Perth</x:v>
      </x:c>
      <x:c r="L2010" s="19" t="str">
        <x:v>Z005</x:v>
      </x:c>
      <x:c r="M2010" s="19" t="str">
        <x:v>Pre Delivery Warranty Claims</x:v>
      </x:c>
      <x:c r="N2010" s="37" t="n">
        <x:v>46127</x:v>
      </x:c>
      <x:c r="O2010" s="37"/>
      <x:c r="P2010" s="34" t="n">
        <x:v>0</x:v>
      </x:c>
      <x:c r="Q2010" s="37" t="n">
        <x:v>46134.08002314815</x:v>
      </x:c>
    </x:row>
    <x:row r="2011">
      <x:c r="A2011" s="22" t="n">
        <x:v>33635</x:v>
      </x:c>
      <x:c r="B2011" s="28" t="n">
        <x:v>135</x:v>
      </x:c>
      <x:c r="C2011" s="28"/>
      <x:c r="D2011" s="31" t="str">
        <x:f>IF(OR(ISBLANK(B2011),ISBLANK(C2011),B2011=0),"",(C2011-B2011)/B2011)</x:f>
      </x:c>
      <x:c r="E2011" s="22" t="str">
        <x:f>IF(ISBLANK(C2011),"AmountIncludingTax缺失",IF(ABS(B2011-C2011)&lt;0.005,"一致","不一致"))</x:f>
        <x:v>AmountIncludingTax缺失</x:v>
      </x:c>
      <x:c r="F2011" s="19" t="str">
        <x:v>approved</x:v>
      </x:c>
      <x:c r="G2011" s="19" t="str">
        <x:v>Repair in Progress</x:v>
      </x:c>
      <x:c r="H2011" s="19" t="str">
        <x:v>In Field</x:v>
      </x:c>
      <x:c r="I2011" s="37" t="n">
        <x:v>46164</x:v>
      </x:c>
      <x:c r="J2011" s="37" t="n">
        <x:v>46164</x:v>
      </x:c>
      <x:c r="K2011" s="19" t="str">
        <x:v>Newcastle RV Super Centre - Beresfield</x:v>
      </x:c>
      <x:c r="L2011" s="19" t="str">
        <x:v>Z006</x:v>
      </x:c>
      <x:c r="M2011" s="19" t="str">
        <x:v>In Field Warranty Claims</x:v>
      </x:c>
      <x:c r="N2011" s="37" t="n">
        <x:v>46127</x:v>
      </x:c>
      <x:c r="O2011" s="37"/>
      <x:c r="P2011" s="34" t="n">
        <x:v>0</x:v>
      </x:c>
      <x:c r="Q2011" s="37" t="n">
        <x:v>46164.12130787037</x:v>
      </x:c>
    </x:row>
    <x:row r="2012">
      <x:c r="A2012" s="22" t="n">
        <x:v>33634</x:v>
      </x:c>
      <x:c r="B2012" s="28" t="n">
        <x:v>851.59</x:v>
      </x:c>
      <x:c r="C2012" s="28"/>
      <x:c r="D2012" s="31" t="str">
        <x:f>IF(OR(ISBLANK(B2012),ISBLANK(C2012),B2012=0),"",(C2012-B2012)/B2012)</x:f>
      </x:c>
      <x:c r="E2012" s="22" t="str">
        <x:f>IF(ISBLANK(C2012),"AmountIncludingTax缺失",IF(ABS(B2012-C2012)&lt;0.005,"一致","不一致"))</x:f>
        <x:v>AmountIncludingTax缺失</x:v>
      </x:c>
      <x:c r="F2012" s="19" t="str">
        <x:v>approved</x:v>
      </x:c>
      <x:c r="G2012" s="19" t="str">
        <x:v>Repair in Progress</x:v>
      </x:c>
      <x:c r="H2012" s="19" t="str">
        <x:v>In Field</x:v>
      </x:c>
      <x:c r="I2012" s="37" t="n">
        <x:v>46182</x:v>
      </x:c>
      <x:c r="J2012" s="37" t="n">
        <x:v>46182</x:v>
      </x:c>
      <x:c r="K2012" s="19" t="str">
        <x:v>Regent RV - Toowoomba</x:v>
      </x:c>
      <x:c r="L2012" s="19" t="str">
        <x:v>Z006</x:v>
      </x:c>
      <x:c r="M2012" s="19" t="str">
        <x:v>In Field Warranty Claims</x:v>
      </x:c>
      <x:c r="N2012" s="37" t="n">
        <x:v>46127</x:v>
      </x:c>
      <x:c r="O2012" s="37"/>
      <x:c r="P2012" s="34" t="n">
        <x:v>0</x:v>
      </x:c>
      <x:c r="Q2012" s="37" t="n">
        <x:v>46182.13086805555</x:v>
      </x:c>
    </x:row>
    <x:row r="2013">
      <x:c r="A2013" s="22" t="n">
        <x:v>33633</x:v>
      </x:c>
      <x:c r="B2013" s="28" t="n">
        <x:v>357.75</x:v>
      </x:c>
      <x:c r="C2013" s="28"/>
      <x:c r="D2013" s="31" t="str">
        <x:f>IF(OR(ISBLANK(B2013),ISBLANK(C2013),B2013=0),"",(C2013-B2013)/B2013)</x:f>
      </x:c>
      <x:c r="E2013" s="22" t="str">
        <x:f>IF(ISBLANK(C2013),"AmountIncludingTax缺失",IF(ABS(B2013-C2013)&lt;0.005,"一致","不一致"))</x:f>
        <x:v>AmountIncludingTax缺失</x:v>
      </x:c>
      <x:c r="F2013" s="19" t="str">
        <x:v>approved</x:v>
      </x:c>
      <x:c r="G2013" s="19" t="str">
        <x:v>Repair in Progress</x:v>
      </x:c>
      <x:c r="H2013" s="19" t="str">
        <x:v>In Field</x:v>
      </x:c>
      <x:c r="I2013" s="37" t="n">
        <x:v>46129</x:v>
      </x:c>
      <x:c r="J2013" s="37" t="n">
        <x:v>46129</x:v>
      </x:c>
      <x:c r="K2013" s="19" t="str">
        <x:v>Snowy River Launceston</x:v>
      </x:c>
      <x:c r="L2013" s="19" t="str">
        <x:v>Z006</x:v>
      </x:c>
      <x:c r="M2013" s="19" t="str">
        <x:v>In Field Warranty Claims</x:v>
      </x:c>
      <x:c r="N2013" s="37" t="n">
        <x:v>46127</x:v>
      </x:c>
      <x:c r="O2013" s="37"/>
      <x:c r="P2013" s="34" t="n">
        <x:v>0</x:v>
      </x:c>
      <x:c r="Q2013" s="37" t="n">
        <x:v>46129.15393518518</x:v>
      </x:c>
    </x:row>
    <x:row r="2014">
      <x:c r="A2014" s="22" t="n">
        <x:v>33632</x:v>
      </x:c>
      <x:c r="B2014" s="28" t="n">
        <x:v>1035.5</x:v>
      </x:c>
      <x:c r="C2014" s="28"/>
      <x:c r="D2014" s="31" t="str">
        <x:f>IF(OR(ISBLANK(B2014),ISBLANK(C2014),B2014=0),"",(C2014-B2014)/B2014)</x:f>
      </x:c>
      <x:c r="E2014" s="22" t="str">
        <x:f>IF(ISBLANK(C2014),"AmountIncludingTax缺失",IF(ABS(B2014-C2014)&lt;0.005,"一致","不一致"))</x:f>
        <x:v>AmountIncludingTax缺失</x:v>
      </x:c>
      <x:c r="F2014" s="19" t="str">
        <x:v>approved</x:v>
      </x:c>
      <x:c r="G2014" s="19" t="str">
        <x:v>Repair in Progress</x:v>
      </x:c>
      <x:c r="H2014" s="19" t="str">
        <x:v>In Field</x:v>
      </x:c>
      <x:c r="I2014" s="37" t="n">
        <x:v>46162</x:v>
      </x:c>
      <x:c r="J2014" s="37" t="n">
        <x:v>46162</x:v>
      </x:c>
      <x:c r="K2014" s="19" t="str">
        <x:v>Newcastle RV Super Centre - Beresfield</x:v>
      </x:c>
      <x:c r="L2014" s="19" t="str">
        <x:v>Z006</x:v>
      </x:c>
      <x:c r="M2014" s="19" t="str">
        <x:v>In Field Warranty Claims</x:v>
      </x:c>
      <x:c r="N2014" s="37" t="n">
        <x:v>46127</x:v>
      </x:c>
      <x:c r="O2014" s="37"/>
      <x:c r="P2014" s="34" t="n">
        <x:v>0</x:v>
      </x:c>
      <x:c r="Q2014" s="37" t="n">
        <x:v>46162.22635416667</x:v>
      </x:c>
    </x:row>
    <x:row r="2015">
      <x:c r="A2015" s="22" t="n">
        <x:v>33631</x:v>
      </x:c>
      <x:c r="B2015" s="28" t="n">
        <x:v>1306</x:v>
      </x:c>
      <x:c r="C2015" s="28"/>
      <x:c r="D2015" s="31" t="str">
        <x:f>IF(OR(ISBLANK(B2015),ISBLANK(C2015),B2015=0),"",(C2015-B2015)/B2015)</x:f>
      </x:c>
      <x:c r="E2015" s="22" t="str">
        <x:f>IF(ISBLANK(C2015),"AmountIncludingTax缺失",IF(ABS(B2015-C2015)&lt;0.005,"一致","不一致"))</x:f>
        <x:v>AmountIncludingTax缺失</x:v>
      </x:c>
      <x:c r="F2015" s="19" t="str">
        <x:v>approved</x:v>
      </x:c>
      <x:c r="G2015" s="19" t="str">
        <x:v>Repairer Invoiced Processed</x:v>
      </x:c>
      <x:c r="H2015" s="19" t="str">
        <x:v>Pre Delivery</x:v>
      </x:c>
      <x:c r="I2015" s="37" t="n">
        <x:v>46154</x:v>
      </x:c>
      <x:c r="J2015" s="37" t="n">
        <x:v>46154</x:v>
      </x:c>
      <x:c r="K2015" s="19" t="str">
        <x:v>Vanari Caravans - Marden Point</x:v>
      </x:c>
      <x:c r="L2015" s="19" t="str">
        <x:v>Z005</x:v>
      </x:c>
      <x:c r="M2015" s="19" t="str">
        <x:v>Pre Delivery Warranty Claims</x:v>
      </x:c>
      <x:c r="N2015" s="37" t="n">
        <x:v>46127</x:v>
      </x:c>
      <x:c r="O2015" s="37"/>
      <x:c r="P2015" s="34" t="n">
        <x:v>1182.45</x:v>
      </x:c>
      <x:c r="Q2015" s="37" t="n">
        <x:v>46154.00533564815</x:v>
      </x:c>
    </x:row>
    <x:row r="2016">
      <x:c r="A2016" s="22" t="n">
        <x:v>33624</x:v>
      </x:c>
      <x:c r="B2016" s="28" t="n">
        <x:v>140.91</x:v>
      </x:c>
      <x:c r="C2016" s="28"/>
      <x:c r="D2016" s="31" t="str">
        <x:f>IF(OR(ISBLANK(B2016),ISBLANK(C2016),B2016=0),"",(C2016-B2016)/B2016)</x:f>
      </x:c>
      <x:c r="E2016" s="22" t="str">
        <x:f>IF(ISBLANK(C2016),"AmountIncludingTax缺失",IF(ABS(B2016-C2016)&lt;0.005,"一致","不一致"))</x:f>
        <x:v>AmountIncludingTax缺失</x:v>
      </x:c>
      <x:c r="F2016" s="19" t="str">
        <x:v>approved</x:v>
      </x:c>
      <x:c r="G2016" s="19" t="str">
        <x:v>Repair in Progress</x:v>
      </x:c>
      <x:c r="H2016" s="19" t="str">
        <x:v>In Field</x:v>
      </x:c>
      <x:c r="I2016" s="37" t="n">
        <x:v>46127</x:v>
      </x:c>
      <x:c r="J2016" s="37" t="n">
        <x:v>46127</x:v>
      </x:c>
      <x:c r="K2016" s="19" t="str">
        <x:v>Regent RV - Perth</x:v>
      </x:c>
      <x:c r="L2016" s="19" t="str">
        <x:v>Z006</x:v>
      </x:c>
      <x:c r="M2016" s="19" t="str">
        <x:v>In Field Warranty Claims</x:v>
      </x:c>
      <x:c r="N2016" s="37" t="n">
        <x:v>46127</x:v>
      </x:c>
      <x:c r="O2016" s="37"/>
      <x:c r="P2016" s="34" t="n">
        <x:v>0</x:v>
      </x:c>
      <x:c r="Q2016" s="37" t="n">
        <x:v>46127.174837962964</x:v>
      </x:c>
    </x:row>
    <x:row r="2017">
      <x:c r="A2017" s="22" t="n">
        <x:v>33620</x:v>
      </x:c>
      <x:c r="B2017" s="28" t="n">
        <x:v>1905.73</x:v>
      </x:c>
      <x:c r="C2017" s="28"/>
      <x:c r="D2017" s="31" t="str">
        <x:f>IF(OR(ISBLANK(B2017),ISBLANK(C2017),B2017=0),"",(C2017-B2017)/B2017)</x:f>
      </x:c>
      <x:c r="E2017" s="22" t="str">
        <x:f>IF(ISBLANK(C2017),"AmountIncludingTax缺失",IF(ABS(B2017-C2017)&lt;0.005,"一致","不一致"))</x:f>
        <x:v>AmountIncludingTax缺失</x:v>
      </x:c>
      <x:c r="F2017" s="19" t="str">
        <x:v>approved</x:v>
      </x:c>
      <x:c r="G2017" s="19" t="str">
        <x:v>Repair in Progress</x:v>
      </x:c>
      <x:c r="H2017" s="19" t="str">
        <x:v>In Field</x:v>
      </x:c>
      <x:c r="I2017" s="37" t="n">
        <x:v>46148</x:v>
      </x:c>
      <x:c r="J2017" s="37" t="n">
        <x:v>46148</x:v>
      </x:c>
      <x:c r="K2017" s="19" t="str">
        <x:v>Vanari Caravans - Marden Point</x:v>
      </x:c>
      <x:c r="L2017" s="19" t="str">
        <x:v>Z006</x:v>
      </x:c>
      <x:c r="M2017" s="19" t="str">
        <x:v>In Field Warranty Claims</x:v>
      </x:c>
      <x:c r="N2017" s="37" t="n">
        <x:v>46127</x:v>
      </x:c>
      <x:c r="O2017" s="37"/>
      <x:c r="P2017" s="34" t="n">
        <x:v>1725.45</x:v>
      </x:c>
      <x:c r="Q2017" s="37" t="n">
        <x:v>46148.03803240741</x:v>
      </x:c>
    </x:row>
    <x:row r="2018">
      <x:c r="A2018" s="22" t="n">
        <x:v>33618</x:v>
      </x:c>
      <x:c r="B2018" s="28" t="n">
        <x:v>2700</x:v>
      </x:c>
      <x:c r="C2018" s="28"/>
      <x:c r="D2018" s="31" t="str">
        <x:f>IF(OR(ISBLANK(B2018),ISBLANK(C2018),B2018=0),"",(C2018-B2018)/B2018)</x:f>
      </x:c>
      <x:c r="E2018" s="22" t="str">
        <x:f>IF(ISBLANK(C2018),"AmountIncludingTax缺失",IF(ABS(B2018-C2018)&lt;0.005,"一致","不一致"))</x:f>
        <x:v>AmountIncludingTax缺失</x:v>
      </x:c>
      <x:c r="F2018" s="19" t="str">
        <x:v>approved</x:v>
      </x:c>
      <x:c r="G2018" s="19" t="str">
        <x:v>Repairer Invoiced Processed</x:v>
      </x:c>
      <x:c r="H2018" s="19" t="str">
        <x:v>In Field</x:v>
      </x:c>
      <x:c r="I2018" s="37" t="n">
        <x:v>46135</x:v>
      </x:c>
      <x:c r="J2018" s="37" t="n">
        <x:v>46135</x:v>
      </x:c>
      <x:c r="K2018" s="19" t="str">
        <x:v>Green RV - Forest Glen</x:v>
      </x:c>
      <x:c r="L2018" s="19" t="str">
        <x:v>Z006</x:v>
      </x:c>
      <x:c r="M2018" s="19" t="str">
        <x:v>In Field Warranty Claims</x:v>
      </x:c>
      <x:c r="N2018" s="37" t="n">
        <x:v>46127</x:v>
      </x:c>
      <x:c r="O2018" s="37"/>
      <x:c r="P2018" s="34" t="n">
        <x:v>2970</x:v>
      </x:c>
      <x:c r="Q2018" s="37" t="n">
        <x:v>46134.97195601852</x:v>
      </x:c>
    </x:row>
    <x:row r="2019">
      <x:c r="A2019" s="22" t="n">
        <x:v>33617</x:v>
      </x:c>
      <x:c r="B2019" s="28" t="n">
        <x:v>482.5</x:v>
      </x:c>
      <x:c r="C2019" s="28"/>
      <x:c r="D2019" s="31" t="str">
        <x:f>IF(OR(ISBLANK(B2019),ISBLANK(C2019),B2019=0),"",(C2019-B2019)/B2019)</x:f>
      </x:c>
      <x:c r="E2019" s="22" t="str">
        <x:f>IF(ISBLANK(C2019),"AmountIncludingTax缺失",IF(ABS(B2019-C2019)&lt;0.005,"一致","不一致"))</x:f>
        <x:v>AmountIncludingTax缺失</x:v>
      </x:c>
      <x:c r="F2019" s="19" t="str">
        <x:v>approved</x:v>
      </x:c>
      <x:c r="G2019" s="19" t="str">
        <x:v>Repairer Invoiced Processed</x:v>
      </x:c>
      <x:c r="H2019" s="19" t="str">
        <x:v>In Field</x:v>
      </x:c>
      <x:c r="I2019" s="37" t="n">
        <x:v>46150</x:v>
      </x:c>
      <x:c r="J2019" s="37" t="n">
        <x:v>46150</x:v>
      </x:c>
      <x:c r="K2019" s="19" t="str">
        <x:v>Green RV - Forest Glen</x:v>
      </x:c>
      <x:c r="L2019" s="19" t="str">
        <x:v>Z006</x:v>
      </x:c>
      <x:c r="M2019" s="19" t="str">
        <x:v>In Field Warranty Claims</x:v>
      </x:c>
      <x:c r="N2019" s="37" t="n">
        <x:v>46127</x:v>
      </x:c>
      <x:c r="O2019" s="37"/>
      <x:c r="P2019" s="34" t="n">
        <x:v>0</x:v>
      </x:c>
      <x:c r="Q2019" s="37" t="n">
        <x:v>46149.846400462964</x:v>
      </x:c>
    </x:row>
    <x:row r="2020">
      <x:c r="A2020" s="22" t="n">
        <x:v>33616</x:v>
      </x:c>
      <x:c r="B2020" s="28" t="n">
        <x:v>1888.75</x:v>
      </x:c>
      <x:c r="C2020" s="28"/>
      <x:c r="D2020" s="31" t="str">
        <x:f>IF(OR(ISBLANK(B2020),ISBLANK(C2020),B2020=0),"",(C2020-B2020)/B2020)</x:f>
      </x:c>
      <x:c r="E2020" s="22" t="str">
        <x:f>IF(ISBLANK(C2020),"AmountIncludingTax缺失",IF(ABS(B2020-C2020)&lt;0.005,"一致","不一致"))</x:f>
        <x:v>AmountIncludingTax缺失</x:v>
      </x:c>
      <x:c r="F2020" s="19" t="str">
        <x:v>approved</x:v>
      </x:c>
      <x:c r="G2020" s="19" t="str">
        <x:v>Sales Order Approved</x:v>
      </x:c>
      <x:c r="H2020" s="19" t="str">
        <x:v>Pre Delivery</x:v>
      </x:c>
      <x:c r="I2020" s="37" t="n">
        <x:v>46196</x:v>
      </x:c>
      <x:c r="J2020" s="37" t="n">
        <x:v>46196</x:v>
      </x:c>
      <x:c r="K2020" s="19" t="str">
        <x:v>Leisure Lion - Bundaberg</x:v>
      </x:c>
      <x:c r="L2020" s="19" t="str">
        <x:v>Z005</x:v>
      </x:c>
      <x:c r="M2020" s="19" t="str">
        <x:v>Pre Delivery Warranty Claims</x:v>
      </x:c>
      <x:c r="N2020" s="37" t="n">
        <x:v>46127</x:v>
      </x:c>
      <x:c r="O2020" s="37"/>
      <x:c r="P2020" s="34" t="n">
        <x:v>0</x:v>
      </x:c>
      <x:c r="Q2020" s="37" t="n">
        <x:v>46196.24003472222</x:v>
      </x:c>
    </x:row>
    <x:row r="2021">
      <x:c r="A2021" s="22" t="n">
        <x:v>33615</x:v>
      </x:c>
      <x:c r="B2021" s="28" t="n">
        <x:v>1193.75</x:v>
      </x:c>
      <x:c r="C2021" s="28"/>
      <x:c r="D2021" s="31" t="str">
        <x:f>IF(OR(ISBLANK(B2021),ISBLANK(C2021),B2021=0),"",(C2021-B2021)/B2021)</x:f>
      </x:c>
      <x:c r="E2021" s="22" t="str">
        <x:f>IF(ISBLANK(C2021),"AmountIncludingTax缺失",IF(ABS(B2021-C2021)&lt;0.005,"一致","不一致"))</x:f>
        <x:v>AmountIncludingTax缺失</x:v>
      </x:c>
      <x:c r="F2021" s="19" t="str">
        <x:v>approved</x:v>
      </x:c>
      <x:c r="G2021" s="19" t="str">
        <x:v>Repairer Invoiced Processed</x:v>
      </x:c>
      <x:c r="H2021" s="19" t="str">
        <x:v>Pre Delivery</x:v>
      </x:c>
      <x:c r="I2021" s="37" t="n">
        <x:v>46178</x:v>
      </x:c>
      <x:c r="J2021" s="37" t="n">
        <x:v>46177</x:v>
      </x:c>
      <x:c r="K2021" s="19" t="str">
        <x:v>Leisure Lion - Bundaberg</x:v>
      </x:c>
      <x:c r="L2021" s="19" t="str">
        <x:v>Z005</x:v>
      </x:c>
      <x:c r="M2021" s="19" t="str">
        <x:v>Pre Delivery Warranty Claims</x:v>
      </x:c>
      <x:c r="N2021" s="37" t="n">
        <x:v>46127</x:v>
      </x:c>
      <x:c r="O2021" s="37"/>
      <x:c r="P2021" s="34" t="n">
        <x:v>0</x:v>
      </x:c>
      <x:c r="Q2021" s="37" t="n">
        <x:v>46178.22939814815</x:v>
      </x:c>
    </x:row>
    <x:row r="2022">
      <x:c r="A2022" s="22" t="n">
        <x:v>33614</x:v>
      </x:c>
      <x:c r="B2022" s="28" t="n">
        <x:v>202.5</x:v>
      </x:c>
      <x:c r="C2022" s="28"/>
      <x:c r="D2022" s="31" t="str">
        <x:f>IF(OR(ISBLANK(B2022),ISBLANK(C2022),B2022=0),"",(C2022-B2022)/B2022)</x:f>
      </x:c>
      <x:c r="E2022" s="22" t="str">
        <x:f>IF(ISBLANK(C2022),"AmountIncludingTax缺失",IF(ABS(B2022-C2022)&lt;0.005,"一致","不一致"))</x:f>
        <x:v>AmountIncludingTax缺失</x:v>
      </x:c>
      <x:c r="F2022" s="19" t="str">
        <x:v>approved</x:v>
      </x:c>
      <x:c r="G2022" s="19" t="str">
        <x:v>Repair in Progress</x:v>
      </x:c>
      <x:c r="H2022" s="19" t="str">
        <x:v>In Field</x:v>
      </x:c>
      <x:c r="I2022" s="37" t="n">
        <x:v>46139</x:v>
      </x:c>
      <x:c r="J2022" s="37" t="n">
        <x:v>46139</x:v>
      </x:c>
      <x:c r="K2022" s="19" t="str">
        <x:v>Regent RV - Perth</x:v>
      </x:c>
      <x:c r="L2022" s="19" t="str">
        <x:v>Z006</x:v>
      </x:c>
      <x:c r="M2022" s="19" t="str">
        <x:v>In Field Warranty Claims</x:v>
      </x:c>
      <x:c r="N2022" s="37" t="n">
        <x:v>46127</x:v>
      </x:c>
      <x:c r="O2022" s="37"/>
      <x:c r="P2022" s="34" t="n">
        <x:v>0</x:v>
      </x:c>
      <x:c r="Q2022" s="37" t="n">
        <x:v>46139.00030092592</x:v>
      </x:c>
    </x:row>
    <x:row r="2023">
      <x:c r="A2023" s="22" t="n">
        <x:v>33613</x:v>
      </x:c>
      <x:c r="B2023" s="28" t="n">
        <x:v>900</x:v>
      </x:c>
      <x:c r="C2023" s="28" t="n">
        <x:v>814.86</x:v>
      </x:c>
      <x:c r="D2023" s="31" t="n">
        <x:f>IF(OR(ISBLANK(B2023),ISBLANK(C2023),B2023=0),"",(C2023-B2023)/B2023)</x:f>
        <x:v>-0.09459999999999999</x:v>
      </x:c>
      <x:c r="E2023" s="22" t="str">
        <x:f>IF(ISBLANK(C2023),"AmountIncludingTax缺失",IF(ABS(B2023-C2023)&lt;0.005,"一致","不一致"))</x:f>
        <x:v>不一致</x:v>
      </x:c>
      <x:c r="F2023" s="19" t="str">
        <x:v>approved</x:v>
      </x:c>
      <x:c r="G2023" s="19" t="str">
        <x:v>Repairer Invoiced Processed</x:v>
      </x:c>
      <x:c r="H2023" s="19" t="str">
        <x:v>In Field</x:v>
      </x:c>
      <x:c r="I2023" s="37" t="n">
        <x:v>46174</x:v>
      </x:c>
      <x:c r="J2023" s="37" t="n">
        <x:v>46174</x:v>
      </x:c>
      <x:c r="K2023" s="19" t="str">
        <x:v>Vanari Caravans - Marden Point</x:v>
      </x:c>
      <x:c r="L2023" s="19" t="str">
        <x:v>Z006</x:v>
      </x:c>
      <x:c r="M2023" s="19" t="str">
        <x:v>In Field Warranty Claims</x:v>
      </x:c>
      <x:c r="N2023" s="37" t="n">
        <x:v>46127</x:v>
      </x:c>
      <x:c r="O2023" s="37"/>
      <x:c r="P2023" s="34" t="n">
        <x:v>814.86</x:v>
      </x:c>
      <x:c r="Q2023" s="37" t="n">
        <x:v>46173.914293981485</x:v>
      </x:c>
    </x:row>
    <x:row r="2024">
      <x:c r="A2024" s="22" t="n">
        <x:v>33612</x:v>
      </x:c>
      <x:c r="B2024" s="28" t="n">
        <x:v>810</x:v>
      </x:c>
      <x:c r="C2024" s="28"/>
      <x:c r="D2024" s="31" t="str">
        <x:f>IF(OR(ISBLANK(B2024),ISBLANK(C2024),B2024=0),"",(C2024-B2024)/B2024)</x:f>
      </x:c>
      <x:c r="E2024" s="22" t="str">
        <x:f>IF(ISBLANK(C2024),"AmountIncludingTax缺失",IF(ABS(B2024-C2024)&lt;0.005,"一致","不一致"))</x:f>
        <x:v>AmountIncludingTax缺失</x:v>
      </x:c>
      <x:c r="F2024" s="19" t="str">
        <x:v>approved</x:v>
      </x:c>
      <x:c r="G2024" s="19" t="str">
        <x:v>Repairer Invoiced Processed</x:v>
      </x:c>
      <x:c r="H2024" s="19" t="str">
        <x:v>In Field</x:v>
      </x:c>
      <x:c r="I2024" s="37" t="n">
        <x:v>46133</x:v>
      </x:c>
      <x:c r="J2024" s="37" t="n">
        <x:v>46133</x:v>
      </x:c>
      <x:c r="K2024" s="19" t="str">
        <x:v>Green RV - Forest Glen</x:v>
      </x:c>
      <x:c r="L2024" s="19" t="str">
        <x:v>Z006</x:v>
      </x:c>
      <x:c r="M2024" s="19" t="str">
        <x:v>In Field Warranty Claims</x:v>
      </x:c>
      <x:c r="N2024" s="37" t="n">
        <x:v>46126</x:v>
      </x:c>
      <x:c r="O2024" s="37"/>
      <x:c r="P2024" s="34" t="n">
        <x:v>0</x:v>
      </x:c>
      <x:c r="Q2024" s="37" t="n">
        <x:v>46133.20563657407</x:v>
      </x:c>
    </x:row>
    <x:row r="2025">
      <x:c r="A2025" s="22" t="n">
        <x:v>33611</x:v>
      </x:c>
      <x:c r="B2025" s="28" t="n">
        <x:v>236.25</x:v>
      </x:c>
      <x:c r="C2025" s="28"/>
      <x:c r="D2025" s="31" t="str">
        <x:f>IF(OR(ISBLANK(B2025),ISBLANK(C2025),B2025=0),"",(C2025-B2025)/B2025)</x:f>
      </x:c>
      <x:c r="E2025" s="22" t="str">
        <x:f>IF(ISBLANK(C2025),"AmountIncludingTax缺失",IF(ABS(B2025-C2025)&lt;0.005,"一致","不一致"))</x:f>
        <x:v>AmountIncludingTax缺失</x:v>
      </x:c>
      <x:c r="F2025" s="19" t="str">
        <x:v>approved</x:v>
      </x:c>
      <x:c r="G2025" s="19" t="str">
        <x:v>Repair in Progress</x:v>
      </x:c>
      <x:c r="H2025" s="19" t="str">
        <x:v>In Field</x:v>
      </x:c>
      <x:c r="I2025" s="37" t="n">
        <x:v>46134</x:v>
      </x:c>
      <x:c r="J2025" s="37" t="n">
        <x:v>46134</x:v>
      </x:c>
      <x:c r="K2025" s="19" t="str">
        <x:v>Green RV - Slacks Creek</x:v>
      </x:c>
      <x:c r="L2025" s="19" t="str">
        <x:v>Z006</x:v>
      </x:c>
      <x:c r="M2025" s="19" t="str">
        <x:v>In Field Warranty Claims</x:v>
      </x:c>
      <x:c r="N2025" s="37" t="n">
        <x:v>46126</x:v>
      </x:c>
      <x:c r="O2025" s="37"/>
      <x:c r="P2025" s="34" t="n">
        <x:v>0</x:v>
      </x:c>
      <x:c r="Q2025" s="37" t="n">
        <x:v>46134.11158564815</x:v>
      </x:c>
    </x:row>
    <x:row r="2026">
      <x:c r="A2026" s="22" t="n">
        <x:v>33610</x:v>
      </x:c>
      <x:c r="B2026" s="28" t="n">
        <x:v>1245</x:v>
      </x:c>
      <x:c r="C2026" s="28"/>
      <x:c r="D2026" s="31" t="str">
        <x:f>IF(OR(ISBLANK(B2026),ISBLANK(C2026),B2026=0),"",(C2026-B2026)/B2026)</x:f>
      </x:c>
      <x:c r="E2026" s="22" t="str">
        <x:f>IF(ISBLANK(C2026),"AmountIncludingTax缺失",IF(ABS(B2026-C2026)&lt;0.005,"一致","不一致"))</x:f>
        <x:v>AmountIncludingTax缺失</x:v>
      </x:c>
      <x:c r="F2026" s="19" t="str">
        <x:v>approved</x:v>
      </x:c>
      <x:c r="G2026" s="19" t="str">
        <x:v>Repairer Invoiced Processed</x:v>
      </x:c>
      <x:c r="H2026" s="19" t="str">
        <x:v>Pre Delivery</x:v>
      </x:c>
      <x:c r="I2026" s="37" t="n">
        <x:v>46156</x:v>
      </x:c>
      <x:c r="J2026" s="37" t="n">
        <x:v>46156</x:v>
      </x:c>
      <x:c r="K2026" s="19" t="str">
        <x:v>Lesiure Lion-New Castle</x:v>
      </x:c>
      <x:c r="L2026" s="19" t="str">
        <x:v>Z005</x:v>
      </x:c>
      <x:c r="M2026" s="19" t="str">
        <x:v>Pre Delivery Warranty Claims</x:v>
      </x:c>
      <x:c r="N2026" s="37" t="n">
        <x:v>46127</x:v>
      </x:c>
      <x:c r="O2026" s="37"/>
      <x:c r="P2026" s="34" t="n">
        <x:v>0</x:v>
      </x:c>
      <x:c r="Q2026" s="37" t="n">
        <x:v>46156.21542824074</x:v>
      </x:c>
    </x:row>
    <x:row r="2027">
      <x:c r="A2027" s="22" t="n">
        <x:v>33609</x:v>
      </x:c>
      <x:c r="B2027" s="28" t="n">
        <x:v>72.5</x:v>
      </x:c>
      <x:c r="C2027" s="28" t="n">
        <x:v>79.75</x:v>
      </x:c>
      <x:c r="D2027" s="31" t="n">
        <x:f>IF(OR(ISBLANK(B2027),ISBLANK(C2027),B2027=0),"",(C2027-B2027)/B2027)</x:f>
        <x:v>0.1</x:v>
      </x:c>
      <x:c r="E2027" s="22" t="str">
        <x:f>IF(ISBLANK(C2027),"AmountIncludingTax缺失",IF(ABS(B2027-C2027)&lt;0.005,"一致","不一致"))</x:f>
        <x:v>不一致</x:v>
      </x:c>
      <x:c r="F2027" s="19" t="str">
        <x:v>approved</x:v>
      </x:c>
      <x:c r="G2027" s="19" t="str">
        <x:v>Repair in Progress</x:v>
      </x:c>
      <x:c r="H2027" s="19" t="str">
        <x:v>Pre Delivery</x:v>
      </x:c>
      <x:c r="I2027" s="37" t="n">
        <x:v>46192</x:v>
      </x:c>
      <x:c r="J2027" s="37" t="n">
        <x:v>46192</x:v>
      </x:c>
      <x:c r="K2027" s="19" t="str">
        <x:v>The Caravan Hub - Townsville</x:v>
      </x:c>
      <x:c r="L2027" s="19" t="str">
        <x:v>Z005</x:v>
      </x:c>
      <x:c r="M2027" s="19" t="str">
        <x:v>Pre Delivery Warranty Claims</x:v>
      </x:c>
      <x:c r="N2027" s="37" t="n">
        <x:v>46127</x:v>
      </x:c>
      <x:c r="O2027" s="37"/>
      <x:c r="P2027" s="34" t="n">
        <x:v>79.75</x:v>
      </x:c>
      <x:c r="Q2027" s="37" t="n">
        <x:v>46192.08025462963</x:v>
      </x:c>
    </x:row>
    <x:row r="2028">
      <x:c r="A2028" s="22" t="n">
        <x:v>33608</x:v>
      </x:c>
      <x:c r="B2028" s="28" t="n">
        <x:v>135</x:v>
      </x:c>
      <x:c r="C2028" s="28"/>
      <x:c r="D2028" s="31" t="str">
        <x:f>IF(OR(ISBLANK(B2028),ISBLANK(C2028),B2028=0),"",(C2028-B2028)/B2028)</x:f>
      </x:c>
      <x:c r="E2028" s="22" t="str">
        <x:f>IF(ISBLANK(C2028),"AmountIncludingTax缺失",IF(ABS(B2028-C2028)&lt;0.005,"一致","不一致"))</x:f>
        <x:v>AmountIncludingTax缺失</x:v>
      </x:c>
      <x:c r="F2028" s="19" t="str">
        <x:v>approved</x:v>
      </x:c>
      <x:c r="G2028" s="19" t="str">
        <x:v>Repair in Progress</x:v>
      </x:c>
      <x:c r="H2028" s="19" t="str">
        <x:v>In Field</x:v>
      </x:c>
      <x:c r="I2028" s="37" t="n">
        <x:v>46162</x:v>
      </x:c>
      <x:c r="J2028" s="37" t="n">
        <x:v>46162</x:v>
      </x:c>
      <x:c r="K2028" s="19" t="str">
        <x:v>Lesiure Lion-New Castle</x:v>
      </x:c>
      <x:c r="L2028" s="19" t="str">
        <x:v>Z006</x:v>
      </x:c>
      <x:c r="M2028" s="19" t="str">
        <x:v>In Field Warranty Claims</x:v>
      </x:c>
      <x:c r="N2028" s="37" t="n">
        <x:v>46127</x:v>
      </x:c>
      <x:c r="O2028" s="37"/>
      <x:c r="P2028" s="34" t="n">
        <x:v>0</x:v>
      </x:c>
      <x:c r="Q2028" s="37" t="n">
        <x:v>46162.22834490741</x:v>
      </x:c>
    </x:row>
    <x:row r="2029">
      <x:c r="A2029" s="22" t="n">
        <x:v>33607</x:v>
      </x:c>
      <x:c r="B2029" s="28" t="n">
        <x:v>67.5</x:v>
      </x:c>
      <x:c r="C2029" s="28"/>
      <x:c r="D2029" s="31" t="str">
        <x:f>IF(OR(ISBLANK(B2029),ISBLANK(C2029),B2029=0),"",(C2029-B2029)/B2029)</x:f>
      </x:c>
      <x:c r="E2029" s="22" t="str">
        <x:f>IF(ISBLANK(C2029),"AmountIncludingTax缺失",IF(ABS(B2029-C2029)&lt;0.005,"一致","不一致"))</x:f>
        <x:v>AmountIncludingTax缺失</x:v>
      </x:c>
      <x:c r="F2029" s="19" t="str">
        <x:v>approved</x:v>
      </x:c>
      <x:c r="G2029" s="19" t="str">
        <x:v>Repairer Invoiced Processed</x:v>
      </x:c>
      <x:c r="H2029" s="19" t="str">
        <x:v>Pre Delivery</x:v>
      </x:c>
      <x:c r="I2029" s="37" t="n">
        <x:v>46161</x:v>
      </x:c>
      <x:c r="J2029" s="37" t="n">
        <x:v>46161</x:v>
      </x:c>
      <x:c r="K2029" s="19" t="str">
        <x:v>Leisure Lion - Bundaberg</x:v>
      </x:c>
      <x:c r="L2029" s="19" t="str">
        <x:v>Z005</x:v>
      </x:c>
      <x:c r="M2029" s="19" t="str">
        <x:v>Pre Delivery Warranty Claims</x:v>
      </x:c>
      <x:c r="N2029" s="37" t="n">
        <x:v>46127</x:v>
      </x:c>
      <x:c r="O2029" s="37"/>
      <x:c r="P2029" s="34" t="n">
        <x:v>0</x:v>
      </x:c>
      <x:c r="Q2029" s="37" t="n">
        <x:v>46161.07119212963</x:v>
      </x:c>
    </x:row>
    <x:row r="2030">
      <x:c r="A2030" s="22" t="n">
        <x:v>33606</x:v>
      </x:c>
      <x:c r="B2030" s="28" t="n">
        <x:v>1755</x:v>
      </x:c>
      <x:c r="C2030" s="28"/>
      <x:c r="D2030" s="31" t="str">
        <x:f>IF(OR(ISBLANK(B2030),ISBLANK(C2030),B2030=0),"",(C2030-B2030)/B2030)</x:f>
      </x:c>
      <x:c r="E2030" s="22" t="str">
        <x:f>IF(ISBLANK(C2030),"AmountIncludingTax缺失",IF(ABS(B2030-C2030)&lt;0.005,"一致","不一致"))</x:f>
        <x:v>AmountIncludingTax缺失</x:v>
      </x:c>
      <x:c r="F2030" s="19" t="str">
        <x:v>approved</x:v>
      </x:c>
      <x:c r="G2030" s="19" t="str">
        <x:v>Repairer Invoiced Processed</x:v>
      </x:c>
      <x:c r="H2030" s="19" t="str">
        <x:v>Pre Delivery</x:v>
      </x:c>
      <x:c r="I2030" s="37" t="n">
        <x:v>46170</x:v>
      </x:c>
      <x:c r="J2030" s="37" t="n">
        <x:v>46161</x:v>
      </x:c>
      <x:c r="K2030" s="19" t="str">
        <x:v>Lesiure Lion-New Castle</x:v>
      </x:c>
      <x:c r="L2030" s="19" t="str">
        <x:v>Z005</x:v>
      </x:c>
      <x:c r="M2030" s="19" t="str">
        <x:v>Pre Delivery Warranty Claims</x:v>
      </x:c>
      <x:c r="N2030" s="37" t="n">
        <x:v>46127</x:v>
      </x:c>
      <x:c r="O2030" s="37"/>
      <x:c r="P2030" s="34" t="n">
        <x:v>0</x:v>
      </x:c>
      <x:c r="Q2030" s="37" t="n">
        <x:v>46170.033900462964</x:v>
      </x:c>
    </x:row>
    <x:row r="2031">
      <x:c r="A2031" s="22" t="n">
        <x:v>33605</x:v>
      </x:c>
      <x:c r="B2031" s="28" t="n">
        <x:v>931.25</x:v>
      </x:c>
      <x:c r="C2031" s="28"/>
      <x:c r="D2031" s="31" t="str">
        <x:f>IF(OR(ISBLANK(B2031),ISBLANK(C2031),B2031=0),"",(C2031-B2031)/B2031)</x:f>
      </x:c>
      <x:c r="E2031" s="22" t="str">
        <x:f>IF(ISBLANK(C2031),"AmountIncludingTax缺失",IF(ABS(B2031-C2031)&lt;0.005,"一致","不一致"))</x:f>
        <x:v>AmountIncludingTax缺失</x:v>
      </x:c>
      <x:c r="F2031" s="19" t="str">
        <x:v>approved</x:v>
      </x:c>
      <x:c r="G2031" s="19" t="str">
        <x:v>Repairer Invoiced Processed</x:v>
      </x:c>
      <x:c r="H2031" s="19" t="str">
        <x:v>In Field</x:v>
      </x:c>
      <x:c r="I2031" s="37" t="n">
        <x:v>46168</x:v>
      </x:c>
      <x:c r="J2031" s="37" t="n">
        <x:v>46168</x:v>
      </x:c>
      <x:c r="K2031" s="19" t="str">
        <x:v>Regent RV - Toowoomba</x:v>
      </x:c>
      <x:c r="L2031" s="19" t="str">
        <x:v>Z006</x:v>
      </x:c>
      <x:c r="M2031" s="19" t="str">
        <x:v>In Field Warranty Claims</x:v>
      </x:c>
      <x:c r="N2031" s="37" t="n">
        <x:v>46127</x:v>
      </x:c>
      <x:c r="O2031" s="37"/>
      <x:c r="P2031" s="34" t="n">
        <x:v>0</x:v>
      </x:c>
      <x:c r="Q2031" s="37" t="n">
        <x:v>46167.90898148148</x:v>
      </x:c>
    </x:row>
    <x:row r="2032">
      <x:c r="A2032" s="22" t="n">
        <x:v>33604</x:v>
      </x:c>
      <x:c r="B2032" s="28" t="n">
        <x:v>101.25</x:v>
      </x:c>
      <x:c r="C2032" s="28"/>
      <x:c r="D2032" s="31" t="str">
        <x:f>IF(OR(ISBLANK(B2032),ISBLANK(C2032),B2032=0),"",(C2032-B2032)/B2032)</x:f>
      </x:c>
      <x:c r="E2032" s="22" t="str">
        <x:f>IF(ISBLANK(C2032),"AmountIncludingTax缺失",IF(ABS(B2032-C2032)&lt;0.005,"一致","不一致"))</x:f>
        <x:v>AmountIncludingTax缺失</x:v>
      </x:c>
      <x:c r="F2032" s="19" t="str">
        <x:v>approved</x:v>
      </x:c>
      <x:c r="G2032" s="19" t="str">
        <x:v>Repair in Progress</x:v>
      </x:c>
      <x:c r="H2032" s="19" t="str">
        <x:v>In Field</x:v>
      </x:c>
      <x:c r="I2032" s="37" t="n">
        <x:v>46134</x:v>
      </x:c>
      <x:c r="J2032" s="37" t="n">
        <x:v>46134</x:v>
      </x:c>
      <x:c r="K2032" s="19" t="str">
        <x:v>Green RV - Forest Glen</x:v>
      </x:c>
      <x:c r="L2032" s="19" t="str">
        <x:v>Z006</x:v>
      </x:c>
      <x:c r="M2032" s="19" t="str">
        <x:v>In Field Warranty Claims</x:v>
      </x:c>
      <x:c r="N2032" s="37" t="n">
        <x:v>46127</x:v>
      </x:c>
      <x:c r="O2032" s="37"/>
      <x:c r="P2032" s="34" t="n">
        <x:v>0</x:v>
      </x:c>
      <x:c r="Q2032" s="37" t="n">
        <x:v>46134.110925925925</x:v>
      </x:c>
    </x:row>
    <x:row r="2033">
      <x:c r="A2033" s="22" t="n">
        <x:v>33603</x:v>
      </x:c>
      <x:c r="B2033" s="28" t="n">
        <x:v>101.25</x:v>
      </x:c>
      <x:c r="C2033" s="28"/>
      <x:c r="D2033" s="31" t="str">
        <x:f>IF(OR(ISBLANK(B2033),ISBLANK(C2033),B2033=0),"",(C2033-B2033)/B2033)</x:f>
      </x:c>
      <x:c r="E2033" s="22" t="str">
        <x:f>IF(ISBLANK(C2033),"AmountIncludingTax缺失",IF(ABS(B2033-C2033)&lt;0.005,"一致","不一致"))</x:f>
        <x:v>AmountIncludingTax缺失</x:v>
      </x:c>
      <x:c r="F2033" s="19" t="str">
        <x:v>approved</x:v>
      </x:c>
      <x:c r="G2033" s="19" t="str">
        <x:v>Sales Order Approved</x:v>
      </x:c>
      <x:c r="H2033" s="19" t="str">
        <x:v>In Field</x:v>
      </x:c>
      <x:c r="I2033" s="37" t="n">
        <x:v>46134</x:v>
      </x:c>
      <x:c r="J2033" s="37" t="n">
        <x:v>46134</x:v>
      </x:c>
      <x:c r="K2033" s="19" t="str">
        <x:v>QCCC - Gympie</x:v>
      </x:c>
      <x:c r="L2033" s="19" t="str">
        <x:v>Z006</x:v>
      </x:c>
      <x:c r="M2033" s="19" t="str">
        <x:v>In Field Warranty Claims</x:v>
      </x:c>
      <x:c r="N2033" s="37" t="n">
        <x:v>46126</x:v>
      </x:c>
      <x:c r="O2033" s="37"/>
      <x:c r="P2033" s="34" t="n">
        <x:v>0</x:v>
      </x:c>
      <x:c r="Q2033" s="37" t="n">
        <x:v>46134.110127314816</x:v>
      </x:c>
    </x:row>
    <x:row r="2034">
      <x:c r="A2034" s="22" t="n">
        <x:v>33598</x:v>
      </x:c>
      <x:c r="B2034" s="28" t="n">
        <x:v>67.5</x:v>
      </x:c>
      <x:c r="C2034" s="28"/>
      <x:c r="D2034" s="31" t="str">
        <x:f>IF(OR(ISBLANK(B2034),ISBLANK(C2034),B2034=0),"",(C2034-B2034)/B2034)</x:f>
      </x:c>
      <x:c r="E2034" s="22" t="str">
        <x:f>IF(ISBLANK(C2034),"AmountIncludingTax缺失",IF(ABS(B2034-C2034)&lt;0.005,"一致","不一致"))</x:f>
        <x:v>AmountIncludingTax缺失</x:v>
      </x:c>
      <x:c r="F2034" s="19" t="str">
        <x:v>approved</x:v>
      </x:c>
      <x:c r="G2034" s="19" t="str">
        <x:v>Repair in Progress</x:v>
      </x:c>
      <x:c r="H2034" s="19" t="str">
        <x:v>In Field</x:v>
      </x:c>
      <x:c r="I2034" s="37" t="n">
        <x:v>46134</x:v>
      </x:c>
      <x:c r="J2034" s="37" t="n">
        <x:v>46134</x:v>
      </x:c>
      <x:c r="K2034" s="19" t="str">
        <x:v>Green RV - Forest Glen</x:v>
      </x:c>
      <x:c r="L2034" s="19" t="str">
        <x:v>Z006</x:v>
      </x:c>
      <x:c r="M2034" s="19" t="str">
        <x:v>In Field Warranty Claims</x:v>
      </x:c>
      <x:c r="N2034" s="37" t="n">
        <x:v>46126</x:v>
      </x:c>
      <x:c r="O2034" s="37"/>
      <x:c r="P2034" s="34" t="n">
        <x:v>0</x:v>
      </x:c>
      <x:c r="Q2034" s="37" t="n">
        <x:v>46134.1099537037</x:v>
      </x:c>
    </x:row>
    <x:row r="2035">
      <x:c r="A2035" s="22" t="n">
        <x:v>33597</x:v>
      </x:c>
      <x:c r="B2035" s="28" t="n">
        <x:v>573.86</x:v>
      </x:c>
      <x:c r="C2035" s="28"/>
      <x:c r="D2035" s="31" t="str">
        <x:f>IF(OR(ISBLANK(B2035),ISBLANK(C2035),B2035=0),"",(C2035-B2035)/B2035)</x:f>
      </x:c>
      <x:c r="E2035" s="22" t="str">
        <x:f>IF(ISBLANK(C2035),"AmountIncludingTax缺失",IF(ABS(B2035-C2035)&lt;0.005,"一致","不一致"))</x:f>
        <x:v>AmountIncludingTax缺失</x:v>
      </x:c>
      <x:c r="F2035" s="19" t="str">
        <x:v>approved</x:v>
      </x:c>
      <x:c r="G2035" s="19" t="str">
        <x:v>Repairer Invoiced Processed</x:v>
      </x:c>
      <x:c r="H2035" s="19" t="str">
        <x:v>In Field</x:v>
      </x:c>
      <x:c r="I2035" s="37" t="n">
        <x:v>46134</x:v>
      </x:c>
      <x:c r="J2035" s="37" t="n">
        <x:v>46134</x:v>
      </x:c>
      <x:c r="K2035" s="19" t="str">
        <x:v>Green RV - Forest Glen</x:v>
      </x:c>
      <x:c r="L2035" s="19" t="str">
        <x:v>Z006</x:v>
      </x:c>
      <x:c r="M2035" s="19" t="str">
        <x:v>In Field Warranty Claims</x:v>
      </x:c>
      <x:c r="N2035" s="37" t="n">
        <x:v>46126</x:v>
      </x:c>
      <x:c r="O2035" s="37"/>
      <x:c r="P2035" s="34" t="n">
        <x:v>0</x:v>
      </x:c>
      <x:c r="Q2035" s="37" t="n">
        <x:v>46134.109131944446</x:v>
      </x:c>
    </x:row>
    <x:row r="2036">
      <x:c r="A2036" s="22" t="n">
        <x:v>33596</x:v>
      </x:c>
      <x:c r="B2036" s="28" t="n">
        <x:v>1268.75</x:v>
      </x:c>
      <x:c r="C2036" s="28"/>
      <x:c r="D2036" s="31" t="str">
        <x:f>IF(OR(ISBLANK(B2036),ISBLANK(C2036),B2036=0),"",(C2036-B2036)/B2036)</x:f>
      </x:c>
      <x:c r="E2036" s="22" t="str">
        <x:f>IF(ISBLANK(C2036),"AmountIncludingTax缺失",IF(ABS(B2036-C2036)&lt;0.005,"一致","不一致"))</x:f>
        <x:v>AmountIncludingTax缺失</x:v>
      </x:c>
      <x:c r="F2036" s="19" t="str">
        <x:v>approved</x:v>
      </x:c>
      <x:c r="G2036" s="19" t="str">
        <x:v>Repair in Progress</x:v>
      </x:c>
      <x:c r="H2036" s="19" t="str">
        <x:v>In Field</x:v>
      </x:c>
      <x:c r="I2036" s="37" t="n">
        <x:v>46142</x:v>
      </x:c>
      <x:c r="J2036" s="37" t="n">
        <x:v>46142</x:v>
      </x:c>
      <x:c r="K2036" s="19" t="str">
        <x:v>Green RV - Forest Glen</x:v>
      </x:c>
      <x:c r="L2036" s="19" t="str">
        <x:v>Z006</x:v>
      </x:c>
      <x:c r="M2036" s="19" t="str">
        <x:v>In Field Warranty Claims</x:v>
      </x:c>
      <x:c r="N2036" s="37" t="n">
        <x:v>46126</x:v>
      </x:c>
      <x:c r="O2036" s="37"/>
      <x:c r="P2036" s="34" t="n">
        <x:v>0</x:v>
      </x:c>
      <x:c r="Q2036" s="37" t="n">
        <x:v>46142.13960648148</x:v>
      </x:c>
    </x:row>
    <x:row r="2037">
      <x:c r="A2037" s="22" t="n">
        <x:v>33594</x:v>
      </x:c>
      <x:c r="B2037" s="28" t="n">
        <x:v>122.5</x:v>
      </x:c>
      <x:c r="C2037" s="28"/>
      <x:c r="D2037" s="31" t="str">
        <x:f>IF(OR(ISBLANK(B2037),ISBLANK(C2037),B2037=0),"",(C2037-B2037)/B2037)</x:f>
      </x:c>
      <x:c r="E2037" s="22" t="str">
        <x:f>IF(ISBLANK(C2037),"AmountIncludingTax缺失",IF(ABS(B2037-C2037)&lt;0.005,"一致","不一致"))</x:f>
        <x:v>AmountIncludingTax缺失</x:v>
      </x:c>
      <x:c r="F2037" s="19" t="str">
        <x:v>approved</x:v>
      </x:c>
      <x:c r="G2037" s="19" t="str">
        <x:v>Partially Picked</x:v>
      </x:c>
      <x:c r="H2037" s="19" t="str">
        <x:v>Pre Delivery</x:v>
      </x:c>
      <x:c r="I2037" s="37" t="n">
        <x:v>46134</x:v>
      </x:c>
      <x:c r="J2037" s="37" t="n">
        <x:v>46134</x:v>
      </x:c>
      <x:c r="K2037" s="19" t="str">
        <x:v>Green RV - Slacks Creek</x:v>
      </x:c>
      <x:c r="L2037" s="19" t="str">
        <x:v>Z005</x:v>
      </x:c>
      <x:c r="M2037" s="19" t="str">
        <x:v>Pre Delivery Warranty Claims</x:v>
      </x:c>
      <x:c r="N2037" s="37" t="n">
        <x:v>46126</x:v>
      </x:c>
      <x:c r="O2037" s="37"/>
      <x:c r="P2037" s="34" t="n">
        <x:v>0</x:v>
      </x:c>
      <x:c r="Q2037" s="37" t="n">
        <x:v>46134.08513888889</x:v>
      </x:c>
    </x:row>
    <x:row r="2038">
      <x:c r="A2038" s="22" t="n">
        <x:v>33593</x:v>
      </x:c>
      <x:c r="B2038" s="28" t="n">
        <x:v>232.69</x:v>
      </x:c>
      <x:c r="C2038" s="28" t="n">
        <x:v>255.96</x:v>
      </x:c>
      <x:c r="D2038" s="31" t="n">
        <x:f>IF(OR(ISBLANK(B2038),ISBLANK(C2038),B2038=0),"",(C2038-B2038)/B2038)</x:f>
        <x:v>0.10000429756328166</x:v>
      </x:c>
      <x:c r="E2038" s="22" t="str">
        <x:f>IF(ISBLANK(C2038),"AmountIncludingTax缺失",IF(ABS(B2038-C2038)&lt;0.005,"一致","不一致"))</x:f>
        <x:v>不一致</x:v>
      </x:c>
      <x:c r="F2038" s="19" t="str">
        <x:v>approved</x:v>
      </x:c>
      <x:c r="G2038" s="19" t="str">
        <x:v>Repairer Invoiced Processed</x:v>
      </x:c>
      <x:c r="H2038" s="19" t="str">
        <x:v>In Field</x:v>
      </x:c>
      <x:c r="I2038" s="37" t="n">
        <x:v>46139</x:v>
      </x:c>
      <x:c r="J2038" s="37" t="n">
        <x:v>46139</x:v>
      </x:c>
      <x:c r="K2038" s="19" t="str">
        <x:v>Regent RV - Perth</x:v>
      </x:c>
      <x:c r="L2038" s="19" t="str">
        <x:v>Z006</x:v>
      </x:c>
      <x:c r="M2038" s="19" t="str">
        <x:v>In Field Warranty Claims</x:v>
      </x:c>
      <x:c r="N2038" s="37" t="n">
        <x:v>46126</x:v>
      </x:c>
      <x:c r="O2038" s="37"/>
      <x:c r="P2038" s="34" t="n">
        <x:v>255.96</x:v>
      </x:c>
      <x:c r="Q2038" s="37" t="n">
        <x:v>46138.99982638889</x:v>
      </x:c>
    </x:row>
    <x:row r="2039">
      <x:c r="A2039" s="22" t="n">
        <x:v>33592</x:v>
      </x:c>
      <x:c r="B2039" s="28" t="n">
        <x:v>270</x:v>
      </x:c>
      <x:c r="C2039" s="28"/>
      <x:c r="D2039" s="31" t="str">
        <x:f>IF(OR(ISBLANK(B2039),ISBLANK(C2039),B2039=0),"",(C2039-B2039)/B2039)</x:f>
      </x:c>
      <x:c r="E2039" s="22" t="str">
        <x:f>IF(ISBLANK(C2039),"AmountIncludingTax缺失",IF(ABS(B2039-C2039)&lt;0.005,"一致","不一致"))</x:f>
        <x:v>AmountIncludingTax缺失</x:v>
      </x:c>
      <x:c r="F2039" s="19" t="str">
        <x:v>approved</x:v>
      </x:c>
      <x:c r="G2039" s="19" t="str">
        <x:v>Repairer Invoiced Processed</x:v>
      </x:c>
      <x:c r="H2039" s="19" t="str">
        <x:v>In Field</x:v>
      </x:c>
      <x:c r="I2039" s="37" t="n">
        <x:v>46140</x:v>
      </x:c>
      <x:c r="J2039" s="37" t="n">
        <x:v>46140</x:v>
      </x:c>
      <x:c r="K2039" s="19" t="str">
        <x:v>Regent RV Pty Ltd</x:v>
      </x:c>
      <x:c r="L2039" s="19" t="str">
        <x:v>Z006</x:v>
      </x:c>
      <x:c r="M2039" s="19" t="str">
        <x:v>In Field Warranty Claims</x:v>
      </x:c>
      <x:c r="N2039" s="37" t="n">
        <x:v>46126</x:v>
      </x:c>
      <x:c r="O2039" s="37"/>
      <x:c r="P2039" s="34" t="n">
        <x:v>0</x:v>
      </x:c>
      <x:c r="Q2039" s="37" t="n">
        <x:v>46139.84085648148</x:v>
      </x:c>
    </x:row>
    <x:row r="2040">
      <x:c r="A2040" s="22" t="n">
        <x:v>33591</x:v>
      </x:c>
      <x:c r="B2040" s="28" t="n">
        <x:v>1660</x:v>
      </x:c>
      <x:c r="C2040" s="28"/>
      <x:c r="D2040" s="31" t="str">
        <x:f>IF(OR(ISBLANK(B2040),ISBLANK(C2040),B2040=0),"",(C2040-B2040)/B2040)</x:f>
      </x:c>
      <x:c r="E2040" s="22" t="str">
        <x:f>IF(ISBLANK(C2040),"AmountIncludingTax缺失",IF(ABS(B2040-C2040)&lt;0.005,"一致","不一致"))</x:f>
        <x:v>AmountIncludingTax缺失</x:v>
      </x:c>
      <x:c r="F2040" s="19" t="str">
        <x:v>approved</x:v>
      </x:c>
      <x:c r="G2040" s="19" t="str">
        <x:v>Repair in Progress</x:v>
      </x:c>
      <x:c r="H2040" s="19" t="str">
        <x:v>Pre Delivery</x:v>
      </x:c>
      <x:c r="I2040" s="37" t="n">
        <x:v>46160</x:v>
      </x:c>
      <x:c r="J2040" s="37" t="n">
        <x:v>46160</x:v>
      </x:c>
      <x:c r="K2040" s="19" t="str">
        <x:v>Lesiure Lion-New Castle</x:v>
      </x:c>
      <x:c r="L2040" s="19" t="str">
        <x:v>Z005</x:v>
      </x:c>
      <x:c r="M2040" s="19" t="str">
        <x:v>Pre Delivery Warranty Claims</x:v>
      </x:c>
      <x:c r="N2040" s="37" t="n">
        <x:v>46126</x:v>
      </x:c>
      <x:c r="O2040" s="37"/>
      <x:c r="P2040" s="34" t="n">
        <x:v>0</x:v>
      </x:c>
      <x:c r="Q2040" s="37" t="n">
        <x:v>46160.08537037037</x:v>
      </x:c>
    </x:row>
    <x:row r="2041">
      <x:c r="A2041" s="22" t="n">
        <x:v>33590</x:v>
      </x:c>
      <x:c r="B2041" s="28" t="n">
        <x:v>2154.85</x:v>
      </x:c>
      <x:c r="C2041" s="28"/>
      <x:c r="D2041" s="31" t="str">
        <x:f>IF(OR(ISBLANK(B2041),ISBLANK(C2041),B2041=0),"",(C2041-B2041)/B2041)</x:f>
      </x:c>
      <x:c r="E2041" s="22" t="str">
        <x:f>IF(ISBLANK(C2041),"AmountIncludingTax缺失",IF(ABS(B2041-C2041)&lt;0.005,"一致","不一致"))</x:f>
        <x:v>AmountIncludingTax缺失</x:v>
      </x:c>
      <x:c r="F2041" s="19" t="str">
        <x:v>approved</x:v>
      </x:c>
      <x:c r="G2041" s="19" t="str">
        <x:v>Repair in Progress</x:v>
      </x:c>
      <x:c r="H2041" s="19" t="str">
        <x:v>In Field</x:v>
      </x:c>
      <x:c r="I2041" s="37" t="n">
        <x:v>46169</x:v>
      </x:c>
      <x:c r="J2041" s="37" t="n">
        <x:v>46169</x:v>
      </x:c>
      <x:c r="K2041" s="19" t="str">
        <x:v>Vanari Caravans - Marden Point</x:v>
      </x:c>
      <x:c r="L2041" s="19" t="str">
        <x:v>Z006</x:v>
      </x:c>
      <x:c r="M2041" s="19" t="str">
        <x:v>In Field Warranty Claims</x:v>
      </x:c>
      <x:c r="N2041" s="37" t="n">
        <x:v>46126</x:v>
      </x:c>
      <x:c r="O2041" s="37"/>
      <x:c r="P2041" s="34" t="n">
        <x:v>0</x:v>
      </x:c>
      <x:c r="Q2041" s="37" t="n">
        <x:v>46169.074895833335</x:v>
      </x:c>
    </x:row>
    <x:row r="2042">
      <x:c r="A2042" s="22" t="n">
        <x:v>33588</x:v>
      </x:c>
      <x:c r="B2042" s="28" t="n">
        <x:v>239.91</x:v>
      </x:c>
      <x:c r="C2042" s="28" t="n">
        <x:v>263.9</x:v>
      </x:c>
      <x:c r="D2042" s="31" t="n">
        <x:f>IF(OR(ISBLANK(B2042),ISBLANK(C2042),B2042=0),"",(C2042-B2042)/B2042)</x:f>
        <x:v>0.0999958317702471</x:v>
      </x:c>
      <x:c r="E2042" s="22" t="str">
        <x:f>IF(ISBLANK(C2042),"AmountIncludingTax缺失",IF(ABS(B2042-C2042)&lt;0.005,"一致","不一致"))</x:f>
        <x:v>不一致</x:v>
      </x:c>
      <x:c r="F2042" s="19" t="str">
        <x:v>approved</x:v>
      </x:c>
      <x:c r="G2042" s="19" t="str">
        <x:v>Repairer Invoiced Processed</x:v>
      </x:c>
      <x:c r="H2042" s="19" t="str">
        <x:v>In Field</x:v>
      </x:c>
      <x:c r="I2042" s="37" t="n">
        <x:v>46133</x:v>
      </x:c>
      <x:c r="J2042" s="37" t="n">
        <x:v>46133</x:v>
      </x:c>
      <x:c r="K2042" s="19" t="str">
        <x:v>Snowy River Launceston</x:v>
      </x:c>
      <x:c r="L2042" s="19" t="str">
        <x:v>Z006</x:v>
      </x:c>
      <x:c r="M2042" s="19" t="str">
        <x:v>In Field Warranty Claims</x:v>
      </x:c>
      <x:c r="N2042" s="37" t="n">
        <x:v>46126</x:v>
      </x:c>
      <x:c r="O2042" s="37"/>
      <x:c r="P2042" s="34" t="n">
        <x:v>263.9</x:v>
      </x:c>
      <x:c r="Q2042" s="37" t="n">
        <x:v>46133.17859953704</x:v>
      </x:c>
    </x:row>
    <x:row r="2043">
      <x:c r="A2043" s="22" t="n">
        <x:v>33587</x:v>
      </x:c>
      <x:c r="B2043" s="28" t="n">
        <x:v>135</x:v>
      </x:c>
      <x:c r="C2043" s="28"/>
      <x:c r="D2043" s="31" t="str">
        <x:f>IF(OR(ISBLANK(B2043),ISBLANK(C2043),B2043=0),"",(C2043-B2043)/B2043)</x:f>
      </x:c>
      <x:c r="E2043" s="22" t="str">
        <x:f>IF(ISBLANK(C2043),"AmountIncludingTax缺失",IF(ABS(B2043-C2043)&lt;0.005,"一致","不一致"))</x:f>
        <x:v>AmountIncludingTax缺失</x:v>
      </x:c>
      <x:c r="F2043" s="19" t="str">
        <x:v>approved</x:v>
      </x:c>
      <x:c r="G2043" s="19" t="str">
        <x:v>Repair in Progress</x:v>
      </x:c>
      <x:c r="H2043" s="19" t="str">
        <x:v>In Field</x:v>
      </x:c>
      <x:c r="I2043" s="37" t="n">
        <x:v>46136</x:v>
      </x:c>
      <x:c r="J2043" s="37" t="n">
        <x:v>46136</x:v>
      </x:c>
      <x:c r="K2043" s="19" t="str">
        <x:v>Snowy River Launceston</x:v>
      </x:c>
      <x:c r="L2043" s="19" t="str">
        <x:v>Z006</x:v>
      </x:c>
      <x:c r="M2043" s="19" t="str">
        <x:v>In Field Warranty Claims</x:v>
      </x:c>
      <x:c r="N2043" s="37" t="n">
        <x:v>46126</x:v>
      </x:c>
      <x:c r="O2043" s="37"/>
      <x:c r="P2043" s="34" t="n">
        <x:v>0</x:v>
      </x:c>
      <x:c r="Q2043" s="37" t="n">
        <x:v>46135.935844907406</x:v>
      </x:c>
    </x:row>
    <x:row r="2044">
      <x:c r="A2044" s="22" t="n">
        <x:v>33586</x:v>
      </x:c>
      <x:c r="B2044" s="28" t="n">
        <x:v>532.5</x:v>
      </x:c>
      <x:c r="C2044" s="28"/>
      <x:c r="D2044" s="31" t="str">
        <x:f>IF(OR(ISBLANK(B2044),ISBLANK(C2044),B2044=0),"",(C2044-B2044)/B2044)</x:f>
      </x:c>
      <x:c r="E2044" s="22" t="str">
        <x:f>IF(ISBLANK(C2044),"AmountIncludingTax缺失",IF(ABS(B2044-C2044)&lt;0.005,"一致","不一致"))</x:f>
        <x:v>AmountIncludingTax缺失</x:v>
      </x:c>
      <x:c r="F2044" s="19" t="str">
        <x:v>approved_closed</x:v>
      </x:c>
      <x:c r="G2044" s="19" t="str">
        <x:v>Approved Claims Closed (Closed)</x:v>
      </x:c>
      <x:c r="H2044" s="19" t="str">
        <x:v>In Field</x:v>
      </x:c>
      <x:c r="I2044" s="37" t="n">
        <x:v>46139</x:v>
      </x:c>
      <x:c r="J2044" s="37" t="n">
        <x:v>46139</x:v>
      </x:c>
      <x:c r="K2044" s="19" t="str">
        <x:v>Regent RV - Perth</x:v>
      </x:c>
      <x:c r="L2044" s="19" t="str">
        <x:v>Z006</x:v>
      </x:c>
      <x:c r="M2044" s="19" t="str">
        <x:v>In Field Warranty Claims</x:v>
      </x:c>
      <x:c r="N2044" s="37" t="n">
        <x:v>46126</x:v>
      </x:c>
      <x:c r="O2044" s="37" t="n">
        <x:v>46171</x:v>
      </x:c>
      <x:c r="P2044" s="34" t="n">
        <x:v>0</x:v>
      </x:c>
      <x:c r="Q2044" s="37" t="n">
        <x:v>46139.20384259259</x:v>
      </x:c>
    </x:row>
    <x:row r="2045">
      <x:c r="A2045" s="22" t="n">
        <x:v>33584</x:v>
      </x:c>
      <x:c r="B2045" s="28" t="n">
        <x:v>1100</x:v>
      </x:c>
      <x:c r="C2045" s="28"/>
      <x:c r="D2045" s="31" t="str">
        <x:f>IF(OR(ISBLANK(B2045),ISBLANK(C2045),B2045=0),"",(C2045-B2045)/B2045)</x:f>
      </x:c>
      <x:c r="E2045" s="22" t="str">
        <x:f>IF(ISBLANK(C2045),"AmountIncludingTax缺失",IF(ABS(B2045-C2045)&lt;0.005,"一致","不一致"))</x:f>
        <x:v>AmountIncludingTax缺失</x:v>
      </x:c>
      <x:c r="F2045" s="19" t="str">
        <x:v>approved</x:v>
      </x:c>
      <x:c r="G2045" s="19" t="str">
        <x:v>Repairer Invoiced Processed</x:v>
      </x:c>
      <x:c r="H2045" s="19" t="str">
        <x:v>Pre Delivery</x:v>
      </x:c>
      <x:c r="I2045" s="37" t="n">
        <x:v>46150</x:v>
      </x:c>
      <x:c r="J2045" s="37" t="n">
        <x:v>46150</x:v>
      </x:c>
      <x:c r="K2045" s="19" t="str">
        <x:v>Leisure Lion - Bundaberg</x:v>
      </x:c>
      <x:c r="L2045" s="19" t="str">
        <x:v>Z005</x:v>
      </x:c>
      <x:c r="M2045" s="19" t="str">
        <x:v>Pre Delivery Warranty Claims</x:v>
      </x:c>
      <x:c r="N2045" s="37" t="n">
        <x:v>46126</x:v>
      </x:c>
      <x:c r="O2045" s="37"/>
      <x:c r="P2045" s="34" t="n">
        <x:v>0</x:v>
      </x:c>
      <x:c r="Q2045" s="37" t="n">
        <x:v>46150.13753472222</x:v>
      </x:c>
    </x:row>
    <x:row r="2046">
      <x:c r="A2046" s="22" t="n">
        <x:v>33582</x:v>
      </x:c>
      <x:c r="B2046" s="28" t="n">
        <x:v>222.5</x:v>
      </x:c>
      <x:c r="C2046" s="28"/>
      <x:c r="D2046" s="31" t="str">
        <x:f>IF(OR(ISBLANK(B2046),ISBLANK(C2046),B2046=0),"",(C2046-B2046)/B2046)</x:f>
      </x:c>
      <x:c r="E2046" s="22" t="str">
        <x:f>IF(ISBLANK(C2046),"AmountIncludingTax缺失",IF(ABS(B2046-C2046)&lt;0.005,"一致","不一致"))</x:f>
        <x:v>AmountIncludingTax缺失</x:v>
      </x:c>
      <x:c r="F2046" s="19" t="str">
        <x:v>approved</x:v>
      </x:c>
      <x:c r="G2046" s="19" t="str">
        <x:v>Repair in Progress</x:v>
      </x:c>
      <x:c r="H2046" s="19" t="str">
        <x:v>In Field</x:v>
      </x:c>
      <x:c r="I2046" s="37" t="n">
        <x:v>46135</x:v>
      </x:c>
      <x:c r="J2046" s="37" t="n">
        <x:v>46135</x:v>
      </x:c>
      <x:c r="K2046" s="19" t="str">
        <x:v>Regent RV - Frankston</x:v>
      </x:c>
      <x:c r="L2046" s="19" t="str">
        <x:v>Z006</x:v>
      </x:c>
      <x:c r="M2046" s="19" t="str">
        <x:v>In Field Warranty Claims</x:v>
      </x:c>
      <x:c r="N2046" s="37" t="n">
        <x:v>46126</x:v>
      </x:c>
      <x:c r="O2046" s="37"/>
      <x:c r="P2046" s="34" t="n">
        <x:v>0</x:v>
      </x:c>
      <x:c r="Q2046" s="37" t="n">
        <x:v>46134.935011574074</x:v>
      </x:c>
    </x:row>
    <x:row r="2047">
      <x:c r="A2047" s="22" t="n">
        <x:v>33581</x:v>
      </x:c>
      <x:c r="B2047" s="28" t="n">
        <x:v>202.5</x:v>
      </x:c>
      <x:c r="C2047" s="28"/>
      <x:c r="D2047" s="31" t="str">
        <x:f>IF(OR(ISBLANK(B2047),ISBLANK(C2047),B2047=0),"",(C2047-B2047)/B2047)</x:f>
      </x:c>
      <x:c r="E2047" s="22" t="str">
        <x:f>IF(ISBLANK(C2047),"AmountIncludingTax缺失",IF(ABS(B2047-C2047)&lt;0.005,"一致","不一致"))</x:f>
        <x:v>AmountIncludingTax缺失</x:v>
      </x:c>
      <x:c r="F2047" s="19" t="str">
        <x:v>approved</x:v>
      </x:c>
      <x:c r="G2047" s="19" t="str">
        <x:v>Repair in Progress</x:v>
      </x:c>
      <x:c r="H2047" s="19" t="str">
        <x:v>In Field</x:v>
      </x:c>
      <x:c r="I2047" s="37" t="n">
        <x:v>46136</x:v>
      </x:c>
      <x:c r="J2047" s="37" t="n">
        <x:v>46136</x:v>
      </x:c>
      <x:c r="K2047" s="19" t="str">
        <x:v>Regent RV - Frankston</x:v>
      </x:c>
      <x:c r="L2047" s="19" t="str">
        <x:v>Z006</x:v>
      </x:c>
      <x:c r="M2047" s="19" t="str">
        <x:v>In Field Warranty Claims</x:v>
      </x:c>
      <x:c r="N2047" s="37" t="n">
        <x:v>46126</x:v>
      </x:c>
      <x:c r="O2047" s="37"/>
      <x:c r="P2047" s="34" t="n">
        <x:v>0</x:v>
      </x:c>
      <x:c r="Q2047" s="37" t="n">
        <x:v>46135.93103009259</x:v>
      </x:c>
    </x:row>
    <x:row r="2048">
      <x:c r="A2048" s="22" t="n">
        <x:v>33580</x:v>
      </x:c>
      <x:c r="B2048" s="28" t="n">
        <x:v>113.75</x:v>
      </x:c>
      <x:c r="C2048" s="28"/>
      <x:c r="D2048" s="31" t="str">
        <x:f>IF(OR(ISBLANK(B2048),ISBLANK(C2048),B2048=0),"",(C2048-B2048)/B2048)</x:f>
      </x:c>
      <x:c r="E2048" s="22" t="str">
        <x:f>IF(ISBLANK(C2048),"AmountIncludingTax缺失",IF(ABS(B2048-C2048)&lt;0.005,"一致","不一致"))</x:f>
        <x:v>AmountIncludingTax缺失</x:v>
      </x:c>
      <x:c r="F2048" s="19" t="str">
        <x:v>approved</x:v>
      </x:c>
      <x:c r="G2048" s="19" t="str">
        <x:v>Repair in Progress</x:v>
      </x:c>
      <x:c r="H2048" s="19" t="str">
        <x:v>In Field</x:v>
      </x:c>
      <x:c r="I2048" s="37" t="n">
        <x:v>46150</x:v>
      </x:c>
      <x:c r="J2048" s="37" t="n">
        <x:v>46150</x:v>
      </x:c>
      <x:c r="K2048" s="19" t="str">
        <x:v>The Caravan Hub - Townsville</x:v>
      </x:c>
      <x:c r="L2048" s="19" t="str">
        <x:v>Z006</x:v>
      </x:c>
      <x:c r="M2048" s="19" t="str">
        <x:v>In Field Warranty Claims</x:v>
      </x:c>
      <x:c r="N2048" s="37" t="n">
        <x:v>46126</x:v>
      </x:c>
      <x:c r="O2048" s="37"/>
      <x:c r="P2048" s="34" t="n">
        <x:v>0</x:v>
      </x:c>
      <x:c r="Q2048" s="37" t="n">
        <x:v>46150.164988425924</x:v>
      </x:c>
    </x:row>
    <x:row r="2049">
      <x:c r="A2049" s="22" t="n">
        <x:v>33579</x:v>
      </x:c>
      <x:c r="B2049" s="28" t="n">
        <x:v>1502.49</x:v>
      </x:c>
      <x:c r="C2049" s="28"/>
      <x:c r="D2049" s="31" t="str">
        <x:f>IF(OR(ISBLANK(B2049),ISBLANK(C2049),B2049=0),"",(C2049-B2049)/B2049)</x:f>
      </x:c>
      <x:c r="E2049" s="22" t="str">
        <x:f>IF(ISBLANK(C2049),"AmountIncludingTax缺失",IF(ABS(B2049-C2049)&lt;0.005,"一致","不一致"))</x:f>
        <x:v>AmountIncludingTax缺失</x:v>
      </x:c>
      <x:c r="F2049" s="19" t="str">
        <x:v>approved</x:v>
      </x:c>
      <x:c r="G2049" s="19" t="str">
        <x:v>Repairer Invoiced Processed</x:v>
      </x:c>
      <x:c r="H2049" s="19" t="str">
        <x:v>In Field</x:v>
      </x:c>
      <x:c r="I2049" s="37" t="n">
        <x:v>46133</x:v>
      </x:c>
      <x:c r="J2049" s="37" t="n">
        <x:v>46133</x:v>
      </x:c>
      <x:c r="K2049" s="19" t="str">
        <x:v>Green RV - Forest Glen</x:v>
      </x:c>
      <x:c r="L2049" s="19" t="str">
        <x:v>Z006</x:v>
      </x:c>
      <x:c r="M2049" s="19" t="str">
        <x:v>In Field Warranty Claims</x:v>
      </x:c>
      <x:c r="N2049" s="37" t="n">
        <x:v>46126</x:v>
      </x:c>
      <x:c r="O2049" s="37"/>
      <x:c r="P2049" s="34" t="n">
        <x:v>0</x:v>
      </x:c>
      <x:c r="Q2049" s="37" t="n">
        <x:v>46133.13049768518</x:v>
      </x:c>
    </x:row>
    <x:row r="2050">
      <x:c r="A2050" s="22" t="n">
        <x:v>33578</x:v>
      </x:c>
      <x:c r="B2050" s="28" t="n">
        <x:v>472.5</x:v>
      </x:c>
      <x:c r="C2050" s="28"/>
      <x:c r="D2050" s="31" t="str">
        <x:f>IF(OR(ISBLANK(B2050),ISBLANK(C2050),B2050=0),"",(C2050-B2050)/B2050)</x:f>
      </x:c>
      <x:c r="E2050" s="22" t="str">
        <x:f>IF(ISBLANK(C2050),"AmountIncludingTax缺失",IF(ABS(B2050-C2050)&lt;0.005,"一致","不一致"))</x:f>
        <x:v>AmountIncludingTax缺失</x:v>
      </x:c>
      <x:c r="F2050" s="19" t="str">
        <x:v>approved</x:v>
      </x:c>
      <x:c r="G2050" s="19" t="str">
        <x:v>Repair in Progress</x:v>
      </x:c>
      <x:c r="H2050" s="19" t="str">
        <x:v>In Field</x:v>
      </x:c>
      <x:c r="I2050" s="37" t="n">
        <x:v>46139</x:v>
      </x:c>
      <x:c r="J2050" s="37" t="n">
        <x:v>46139</x:v>
      </x:c>
      <x:c r="K2050" s="19" t="str">
        <x:v>Snowy River Launceston</x:v>
      </x:c>
      <x:c r="L2050" s="19" t="str">
        <x:v>Z006</x:v>
      </x:c>
      <x:c r="M2050" s="19" t="str">
        <x:v>In Field Warranty Claims</x:v>
      </x:c>
      <x:c r="N2050" s="37" t="n">
        <x:v>46126</x:v>
      </x:c>
      <x:c r="O2050" s="37"/>
      <x:c r="P2050" s="34" t="n">
        <x:v>0</x:v>
      </x:c>
      <x:c r="Q2050" s="37" t="n">
        <x:v>46139.20475694445</x:v>
      </x:c>
    </x:row>
    <x:row r="2051">
      <x:c r="A2051" s="22" t="n">
        <x:v>33577</x:v>
      </x:c>
      <x:c r="B2051" s="28" t="n">
        <x:v>607.5</x:v>
      </x:c>
      <x:c r="C2051" s="28"/>
      <x:c r="D2051" s="31" t="str">
        <x:f>IF(OR(ISBLANK(B2051),ISBLANK(C2051),B2051=0),"",(C2051-B2051)/B2051)</x:f>
      </x:c>
      <x:c r="E2051" s="22" t="str">
        <x:f>IF(ISBLANK(C2051),"AmountIncludingTax缺失",IF(ABS(B2051-C2051)&lt;0.005,"一致","不一致"))</x:f>
        <x:v>AmountIncludingTax缺失</x:v>
      </x:c>
      <x:c r="F2051" s="19" t="str">
        <x:v>approved</x:v>
      </x:c>
      <x:c r="G2051" s="19" t="str">
        <x:v>Repair in Progress</x:v>
      </x:c>
      <x:c r="H2051" s="19" t="str">
        <x:v>In Field</x:v>
      </x:c>
      <x:c r="I2051" s="37" t="n">
        <x:v>46139</x:v>
      </x:c>
      <x:c r="J2051" s="37" t="n">
        <x:v>46139</x:v>
      </x:c>
      <x:c r="K2051" s="19" t="str">
        <x:v>Snowy River Launceston</x:v>
      </x:c>
      <x:c r="L2051" s="19" t="str">
        <x:v>Z006</x:v>
      </x:c>
      <x:c r="M2051" s="19" t="str">
        <x:v>In Field Warranty Claims</x:v>
      </x:c>
      <x:c r="N2051" s="37" t="n">
        <x:v>46126</x:v>
      </x:c>
      <x:c r="O2051" s="37"/>
      <x:c r="P2051" s="34" t="n">
        <x:v>0</x:v>
      </x:c>
      <x:c r="Q2051" s="37" t="n">
        <x:v>46139.09887731481</x:v>
      </x:c>
    </x:row>
    <x:row r="2052">
      <x:c r="A2052" s="22" t="n">
        <x:v>33575</x:v>
      </x:c>
      <x:c r="B2052" s="28" t="n">
        <x:v>390</x:v>
      </x:c>
      <x:c r="C2052" s="28"/>
      <x:c r="D2052" s="31" t="str">
        <x:f>IF(OR(ISBLANK(B2052),ISBLANK(C2052),B2052=0),"",(C2052-B2052)/B2052)</x:f>
      </x:c>
      <x:c r="E2052" s="22" t="str">
        <x:f>IF(ISBLANK(C2052),"AmountIncludingTax缺失",IF(ABS(B2052-C2052)&lt;0.005,"一致","不一致"))</x:f>
        <x:v>AmountIncludingTax缺失</x:v>
      </x:c>
      <x:c r="F2052" s="19" t="str">
        <x:v>approved</x:v>
      </x:c>
      <x:c r="G2052" s="19" t="str">
        <x:v>Repair in Progress</x:v>
      </x:c>
      <x:c r="H2052" s="19" t="str">
        <x:v>In Field</x:v>
      </x:c>
      <x:c r="I2052" s="37" t="n">
        <x:v>46163</x:v>
      </x:c>
      <x:c r="J2052" s="37" t="n">
        <x:v>46163</x:v>
      </x:c>
      <x:c r="K2052" s="19" t="str">
        <x:v>Lesiure Lion-New Castle</x:v>
      </x:c>
      <x:c r="L2052" s="19" t="str">
        <x:v>Z006</x:v>
      </x:c>
      <x:c r="M2052" s="19" t="str">
        <x:v>In Field Warranty Claims</x:v>
      </x:c>
      <x:c r="N2052" s="37" t="n">
        <x:v>46126</x:v>
      </x:c>
      <x:c r="O2052" s="37"/>
      <x:c r="P2052" s="34" t="n">
        <x:v>0</x:v>
      </x:c>
      <x:c r="Q2052" s="37" t="n">
        <x:v>46162.968680555554</x:v>
      </x:c>
    </x:row>
    <x:row r="2053">
      <x:c r="A2053" s="22" t="n">
        <x:v>33574</x:v>
      </x:c>
      <x:c r="B2053" s="28" t="n">
        <x:v>1012.5</x:v>
      </x:c>
      <x:c r="C2053" s="28"/>
      <x:c r="D2053" s="31" t="str">
        <x:f>IF(OR(ISBLANK(B2053),ISBLANK(C2053),B2053=0),"",(C2053-B2053)/B2053)</x:f>
      </x:c>
      <x:c r="E2053" s="22" t="str">
        <x:f>IF(ISBLANK(C2053),"AmountIncludingTax缺失",IF(ABS(B2053-C2053)&lt;0.005,"一致","不一致"))</x:f>
        <x:v>AmountIncludingTax缺失</x:v>
      </x:c>
      <x:c r="F2053" s="19" t="str">
        <x:v>approved</x:v>
      </x:c>
      <x:c r="G2053" s="19" t="str">
        <x:v>Repair in Progress</x:v>
      </x:c>
      <x:c r="H2053" s="19" t="str">
        <x:v>In Field</x:v>
      </x:c>
      <x:c r="I2053" s="37" t="n">
        <x:v>46169</x:v>
      </x:c>
      <x:c r="J2053" s="37" t="n">
        <x:v>46169</x:v>
      </x:c>
      <x:c r="K2053" s="19" t="str">
        <x:v>Auswide Caravans - South Nowra</x:v>
      </x:c>
      <x:c r="L2053" s="19" t="str">
        <x:v>Z006</x:v>
      </x:c>
      <x:c r="M2053" s="19" t="str">
        <x:v>In Field Warranty Claims</x:v>
      </x:c>
      <x:c r="N2053" s="37" t="n">
        <x:v>46126</x:v>
      </x:c>
      <x:c r="O2053" s="37"/>
      <x:c r="P2053" s="34" t="n">
        <x:v>0</x:v>
      </x:c>
      <x:c r="Q2053" s="37" t="n">
        <x:v>46169.01707175926</x:v>
      </x:c>
    </x:row>
    <x:row r="2054">
      <x:c r="A2054" s="22" t="n">
        <x:v>33573</x:v>
      </x:c>
      <x:c r="B2054" s="28" t="n">
        <x:v>270</x:v>
      </x:c>
      <x:c r="C2054" s="28"/>
      <x:c r="D2054" s="31" t="str">
        <x:f>IF(OR(ISBLANK(B2054),ISBLANK(C2054),B2054=0),"",(C2054-B2054)/B2054)</x:f>
      </x:c>
      <x:c r="E2054" s="22" t="str">
        <x:f>IF(ISBLANK(C2054),"AmountIncludingTax缺失",IF(ABS(B2054-C2054)&lt;0.005,"一致","不一致"))</x:f>
        <x:v>AmountIncludingTax缺失</x:v>
      </x:c>
      <x:c r="F2054" s="19" t="str">
        <x:v>approved</x:v>
      </x:c>
      <x:c r="G2054" s="19" t="str">
        <x:v>Repair in Progress</x:v>
      </x:c>
      <x:c r="H2054" s="19" t="str">
        <x:v>In Field</x:v>
      </x:c>
      <x:c r="I2054" s="37" t="n">
        <x:v>46136</x:v>
      </x:c>
      <x:c r="J2054" s="37" t="n">
        <x:v>46136</x:v>
      </x:c>
      <x:c r="K2054" s="19" t="str">
        <x:v>Snowy River Launceston</x:v>
      </x:c>
      <x:c r="L2054" s="19" t="str">
        <x:v>Z006</x:v>
      </x:c>
      <x:c r="M2054" s="19" t="str">
        <x:v>In Field Warranty Claims</x:v>
      </x:c>
      <x:c r="N2054" s="37" t="n">
        <x:v>46126</x:v>
      </x:c>
      <x:c r="O2054" s="37"/>
      <x:c r="P2054" s="34" t="n">
        <x:v>0</x:v>
      </x:c>
      <x:c r="Q2054" s="37" t="n">
        <x:v>46135.95239583333</x:v>
      </x:c>
    </x:row>
    <x:row r="2055">
      <x:c r="A2055" s="22" t="n">
        <x:v>33572</x:v>
      </x:c>
      <x:c r="B2055" s="28" t="n">
        <x:v>270</x:v>
      </x:c>
      <x:c r="C2055" s="28"/>
      <x:c r="D2055" s="31" t="str">
        <x:f>IF(OR(ISBLANK(B2055),ISBLANK(C2055),B2055=0),"",(C2055-B2055)/B2055)</x:f>
      </x:c>
      <x:c r="E2055" s="22" t="str">
        <x:f>IF(ISBLANK(C2055),"AmountIncludingTax缺失",IF(ABS(B2055-C2055)&lt;0.005,"一致","不一致"))</x:f>
        <x:v>AmountIncludingTax缺失</x:v>
      </x:c>
      <x:c r="F2055" s="19" t="str">
        <x:v>approved</x:v>
      </x:c>
      <x:c r="G2055" s="19" t="str">
        <x:v>Repairer Invoiced Processed</x:v>
      </x:c>
      <x:c r="H2055" s="19" t="str">
        <x:v>In Field</x:v>
      </x:c>
      <x:c r="I2055" s="37" t="n">
        <x:v>46135</x:v>
      </x:c>
      <x:c r="J2055" s="37" t="n">
        <x:v>46135</x:v>
      </x:c>
      <x:c r="K2055" s="19" t="str">
        <x:v>Snowy River Launceston</x:v>
      </x:c>
      <x:c r="L2055" s="19" t="str">
        <x:v>Z006</x:v>
      </x:c>
      <x:c r="M2055" s="19" t="str">
        <x:v>In Field Warranty Claims</x:v>
      </x:c>
      <x:c r="N2055" s="37" t="n">
        <x:v>46126</x:v>
      </x:c>
      <x:c r="O2055" s="37"/>
      <x:c r="P2055" s="34" t="n">
        <x:v>0</x:v>
      </x:c>
      <x:c r="Q2055" s="37" t="n">
        <x:v>46134.94144675926</x:v>
      </x:c>
    </x:row>
    <x:row r="2056">
      <x:c r="A2056" s="22" t="n">
        <x:v>33571</x:v>
      </x:c>
      <x:c r="B2056" s="28" t="n">
        <x:v>279.32</x:v>
      </x:c>
      <x:c r="C2056" s="28" t="n">
        <x:v>307.25</x:v>
      </x:c>
      <x:c r="D2056" s="31" t="n">
        <x:f>IF(OR(ISBLANK(B2056),ISBLANK(C2056),B2056=0),"",(C2056-B2056)/B2056)</x:f>
        <x:v>0.09999283975368756</x:v>
      </x:c>
      <x:c r="E2056" s="22" t="str">
        <x:f>IF(ISBLANK(C2056),"AmountIncludingTax缺失",IF(ABS(B2056-C2056)&lt;0.005,"一致","不一致"))</x:f>
        <x:v>不一致</x:v>
      </x:c>
      <x:c r="F2056" s="19" t="str">
        <x:v>approved</x:v>
      </x:c>
      <x:c r="G2056" s="19" t="str">
        <x:v>Repairer Invoiced Processed</x:v>
      </x:c>
      <x:c r="H2056" s="19" t="str">
        <x:v>In Field</x:v>
      </x:c>
      <x:c r="I2056" s="37" t="n">
        <x:v>46146</x:v>
      </x:c>
      <x:c r="J2056" s="37" t="n">
        <x:v>46146</x:v>
      </x:c>
      <x:c r="K2056" s="19" t="str">
        <x:v>Leisure Lion Pty Ltd - Toowoomba</x:v>
      </x:c>
      <x:c r="L2056" s="19" t="str">
        <x:v>Z006</x:v>
      </x:c>
      <x:c r="M2056" s="19" t="str">
        <x:v>In Field Warranty Claims</x:v>
      </x:c>
      <x:c r="N2056" s="37" t="n">
        <x:v>46126</x:v>
      </x:c>
      <x:c r="O2056" s="37"/>
      <x:c r="P2056" s="34" t="n">
        <x:v>307.25</x:v>
      </x:c>
      <x:c r="Q2056" s="37" t="n">
        <x:v>46145.93539351852</x:v>
      </x:c>
    </x:row>
    <x:row r="2057">
      <x:c r="A2057" s="22" t="n">
        <x:v>33569</x:v>
      </x:c>
      <x:c r="B2057" s="28" t="n">
        <x:v>453.2</x:v>
      </x:c>
      <x:c r="C2057" s="28" t="n">
        <x:v>498.52</x:v>
      </x:c>
      <x:c r="D2057" s="31" t="n">
        <x:f>IF(OR(ISBLANK(B2057),ISBLANK(C2057),B2057=0),"",(C2057-B2057)/B2057)</x:f>
        <x:v>0.09999999999999999</x:v>
      </x:c>
      <x:c r="E2057" s="22" t="str">
        <x:f>IF(ISBLANK(C2057),"AmountIncludingTax缺失",IF(ABS(B2057-C2057)&lt;0.005,"一致","不一致"))</x:f>
        <x:v>不一致</x:v>
      </x:c>
      <x:c r="F2057" s="19" t="str">
        <x:v>approved</x:v>
      </x:c>
      <x:c r="G2057" s="19" t="str">
        <x:v>Repair in Progress</x:v>
      </x:c>
      <x:c r="H2057" s="19" t="str">
        <x:v>In Field</x:v>
      </x:c>
      <x:c r="I2057" s="37" t="n">
        <x:v>46135</x:v>
      </x:c>
      <x:c r="J2057" s="37" t="n">
        <x:v>46135</x:v>
      </x:c>
      <x:c r="K2057" s="19" t="str">
        <x:v>Snowy River Launceston</x:v>
      </x:c>
      <x:c r="L2057" s="19" t="str">
        <x:v>Z006</x:v>
      </x:c>
      <x:c r="M2057" s="19" t="str">
        <x:v>In Field Warranty Claims</x:v>
      </x:c>
      <x:c r="N2057" s="37" t="n">
        <x:v>46126</x:v>
      </x:c>
      <x:c r="O2057" s="37"/>
      <x:c r="P2057" s="34" t="n">
        <x:v>498.52</x:v>
      </x:c>
      <x:c r="Q2057" s="37" t="n">
        <x:v>46135.16710648148</x:v>
      </x:c>
    </x:row>
    <x:row r="2058">
      <x:c r="A2058" s="22" t="n">
        <x:v>33568</x:v>
      </x:c>
      <x:c r="B2058" s="28" t="n">
        <x:v>830</x:v>
      </x:c>
      <x:c r="C2058" s="28"/>
      <x:c r="D2058" s="31" t="str">
        <x:f>IF(OR(ISBLANK(B2058),ISBLANK(C2058),B2058=0),"",(C2058-B2058)/B2058)</x:f>
      </x:c>
      <x:c r="E2058" s="22" t="str">
        <x:f>IF(ISBLANK(C2058),"AmountIncludingTax缺失",IF(ABS(B2058-C2058)&lt;0.005,"一致","不一致"))</x:f>
        <x:v>AmountIncludingTax缺失</x:v>
      </x:c>
      <x:c r="F2058" s="19" t="str">
        <x:v>approved</x:v>
      </x:c>
      <x:c r="G2058" s="19" t="str">
        <x:v>Repairer Invoiced Processed</x:v>
      </x:c>
      <x:c r="H2058" s="19" t="str">
        <x:v>In Field</x:v>
      </x:c>
      <x:c r="I2058" s="37" t="n">
        <x:v>46146</x:v>
      </x:c>
      <x:c r="J2058" s="37" t="n">
        <x:v>46146</x:v>
      </x:c>
      <x:c r="K2058" s="19" t="str">
        <x:v>Green RV - Forest Glen</x:v>
      </x:c>
      <x:c r="L2058" s="19" t="str">
        <x:v>Z006</x:v>
      </x:c>
      <x:c r="M2058" s="19" t="str">
        <x:v>In Field Warranty Claims</x:v>
      </x:c>
      <x:c r="N2058" s="37" t="n">
        <x:v>46126</x:v>
      </x:c>
      <x:c r="O2058" s="37"/>
      <x:c r="P2058" s="34" t="n">
        <x:v>0</x:v>
      </x:c>
      <x:c r="Q2058" s="37" t="n">
        <x:v>46145.98333333333</x:v>
      </x:c>
    </x:row>
    <x:row r="2059">
      <x:c r="A2059" s="22" t="n">
        <x:v>33567</x:v>
      </x:c>
      <x:c r="B2059" s="28" t="n">
        <x:v>593.75</x:v>
      </x:c>
      <x:c r="C2059" s="28"/>
      <x:c r="D2059" s="31" t="str">
        <x:f>IF(OR(ISBLANK(B2059),ISBLANK(C2059),B2059=0),"",(C2059-B2059)/B2059)</x:f>
      </x:c>
      <x:c r="E2059" s="22" t="str">
        <x:f>IF(ISBLANK(C2059),"AmountIncludingTax缺失",IF(ABS(B2059-C2059)&lt;0.005,"一致","不一致"))</x:f>
        <x:v>AmountIncludingTax缺失</x:v>
      </x:c>
      <x:c r="F2059" s="19" t="str">
        <x:v>approved</x:v>
      </x:c>
      <x:c r="G2059" s="19" t="str">
        <x:v>Repair in Progress</x:v>
      </x:c>
      <x:c r="H2059" s="19" t="str">
        <x:v>In Field</x:v>
      </x:c>
      <x:c r="I2059" s="37" t="n">
        <x:v>46148</x:v>
      </x:c>
      <x:c r="J2059" s="37" t="n">
        <x:v>46148</x:v>
      </x:c>
      <x:c r="K2059" s="19" t="str">
        <x:v>Green RV - Forest Glen</x:v>
      </x:c>
      <x:c r="L2059" s="19" t="str">
        <x:v>Z006</x:v>
      </x:c>
      <x:c r="M2059" s="19" t="str">
        <x:v>In Field Warranty Claims</x:v>
      </x:c>
      <x:c r="N2059" s="37" t="n">
        <x:v>46126</x:v>
      </x:c>
      <x:c r="O2059" s="37"/>
      <x:c r="P2059" s="34" t="n">
        <x:v>0</x:v>
      </x:c>
      <x:c r="Q2059" s="37" t="n">
        <x:v>46148.26938657407</x:v>
      </x:c>
    </x:row>
    <x:row r="2060">
      <x:c r="A2060" s="22" t="n">
        <x:v>33566</x:v>
      </x:c>
      <x:c r="B2060" s="28" t="n">
        <x:v>290</x:v>
      </x:c>
      <x:c r="C2060" s="28" t="n">
        <x:v>319</x:v>
      </x:c>
      <x:c r="D2060" s="31" t="n">
        <x:f>IF(OR(ISBLANK(B2060),ISBLANK(C2060),B2060=0),"",(C2060-B2060)/B2060)</x:f>
        <x:v>0.1</x:v>
      </x:c>
      <x:c r="E2060" s="22" t="str">
        <x:f>IF(ISBLANK(C2060),"AmountIncludingTax缺失",IF(ABS(B2060-C2060)&lt;0.005,"一致","不一致"))</x:f>
        <x:v>不一致</x:v>
      </x:c>
      <x:c r="F2060" s="19" t="str">
        <x:v>approved</x:v>
      </x:c>
      <x:c r="G2060" s="19" t="str">
        <x:v>Repairer Invoiced Processed</x:v>
      </x:c>
      <x:c r="H2060" s="19" t="str">
        <x:v>In Field</x:v>
      </x:c>
      <x:c r="I2060" s="37" t="n">
        <x:v>46134</x:v>
      </x:c>
      <x:c r="J2060" s="37" t="n">
        <x:v>46134</x:v>
      </x:c>
      <x:c r="K2060" s="19" t="str">
        <x:v>Green RV - Forest Glen</x:v>
      </x:c>
      <x:c r="L2060" s="19" t="str">
        <x:v>Z006</x:v>
      </x:c>
      <x:c r="M2060" s="19" t="str">
        <x:v>In Field Warranty Claims</x:v>
      </x:c>
      <x:c r="N2060" s="37" t="n">
        <x:v>46126</x:v>
      </x:c>
      <x:c r="O2060" s="37"/>
      <x:c r="P2060" s="34" t="n">
        <x:v>319</x:v>
      </x:c>
      <x:c r="Q2060" s="37" t="n">
        <x:v>46134.13725694444</x:v>
      </x:c>
    </x:row>
    <x:row r="2061">
      <x:c r="A2061" s="22" t="n">
        <x:v>33565</x:v>
      </x:c>
      <x:c r="B2061" s="28" t="n">
        <x:v>600</x:v>
      </x:c>
      <x:c r="C2061" s="28"/>
      <x:c r="D2061" s="31" t="str">
        <x:f>IF(OR(ISBLANK(B2061),ISBLANK(C2061),B2061=0),"",(C2061-B2061)/B2061)</x:f>
      </x:c>
      <x:c r="E2061" s="22" t="str">
        <x:f>IF(ISBLANK(C2061),"AmountIncludingTax缺失",IF(ABS(B2061-C2061)&lt;0.005,"一致","不一致"))</x:f>
        <x:v>AmountIncludingTax缺失</x:v>
      </x:c>
      <x:c r="F2061" s="19" t="str">
        <x:v>approved</x:v>
      </x:c>
      <x:c r="G2061" s="19" t="str">
        <x:v>Repairer Invoiced Processed</x:v>
      </x:c>
      <x:c r="H2061" s="19" t="str">
        <x:v>In Field</x:v>
      </x:c>
      <x:c r="I2061" s="37" t="n">
        <x:v>46129</x:v>
      </x:c>
      <x:c r="J2061" s="37" t="n">
        <x:v>46129</x:v>
      </x:c>
      <x:c r="K2061" s="19" t="str">
        <x:v>Regent RV Pty Ltd</x:v>
      </x:c>
      <x:c r="L2061" s="19" t="str">
        <x:v>Z006</x:v>
      </x:c>
      <x:c r="M2061" s="19" t="str">
        <x:v>In Field Warranty Claims</x:v>
      </x:c>
      <x:c r="N2061" s="37" t="n">
        <x:v>46126</x:v>
      </x:c>
      <x:c r="O2061" s="37"/>
      <x:c r="P2061" s="34" t="n">
        <x:v>0</x:v>
      </x:c>
      <x:c r="Q2061" s="37" t="n">
        <x:v>46129.11614583333</x:v>
      </x:c>
    </x:row>
    <x:row r="2062">
      <x:c r="A2062" s="22" t="n">
        <x:v>33563</x:v>
      </x:c>
      <x:c r="B2062" s="28" t="n">
        <x:v>202.5</x:v>
      </x:c>
      <x:c r="C2062" s="28"/>
      <x:c r="D2062" s="31" t="str">
        <x:f>IF(OR(ISBLANK(B2062),ISBLANK(C2062),B2062=0),"",(C2062-B2062)/B2062)</x:f>
      </x:c>
      <x:c r="E2062" s="22" t="str">
        <x:f>IF(ISBLANK(C2062),"AmountIncludingTax缺失",IF(ABS(B2062-C2062)&lt;0.005,"一致","不一致"))</x:f>
        <x:v>AmountIncludingTax缺失</x:v>
      </x:c>
      <x:c r="F2062" s="19" t="str">
        <x:v>approved</x:v>
      </x:c>
      <x:c r="G2062" s="19" t="str">
        <x:v>Repair in Progress</x:v>
      </x:c>
      <x:c r="H2062" s="19" t="str">
        <x:v>In Field</x:v>
      </x:c>
      <x:c r="I2062" s="37" t="n">
        <x:v>46136</x:v>
      </x:c>
      <x:c r="J2062" s="37" t="n">
        <x:v>46136</x:v>
      </x:c>
      <x:c r="K2062" s="19" t="str">
        <x:v>Regent RV - Perth</x:v>
      </x:c>
      <x:c r="L2062" s="19" t="str">
        <x:v>Z006</x:v>
      </x:c>
      <x:c r="M2062" s="19" t="str">
        <x:v>In Field Warranty Claims</x:v>
      </x:c>
      <x:c r="N2062" s="37" t="n">
        <x:v>46126</x:v>
      </x:c>
      <x:c r="O2062" s="37"/>
      <x:c r="P2062" s="34" t="n">
        <x:v>0</x:v>
      </x:c>
      <x:c r="Q2062" s="37" t="n">
        <x:v>46136.20096064815</x:v>
      </x:c>
    </x:row>
    <x:row r="2063">
      <x:c r="A2063" s="22" t="n">
        <x:v>33562</x:v>
      </x:c>
      <x:c r="B2063" s="28" t="n">
        <x:v>372.5</x:v>
      </x:c>
      <x:c r="C2063" s="28"/>
      <x:c r="D2063" s="31" t="str">
        <x:f>IF(OR(ISBLANK(B2063),ISBLANK(C2063),B2063=0),"",(C2063-B2063)/B2063)</x:f>
      </x:c>
      <x:c r="E2063" s="22" t="str">
        <x:f>IF(ISBLANK(C2063),"AmountIncludingTax缺失",IF(ABS(B2063-C2063)&lt;0.005,"一致","不一致"))</x:f>
        <x:v>AmountIncludingTax缺失</x:v>
      </x:c>
      <x:c r="F2063" s="19" t="str">
        <x:v>approved</x:v>
      </x:c>
      <x:c r="G2063" s="19" t="str">
        <x:v>Repair in Progress</x:v>
      </x:c>
      <x:c r="H2063" s="19" t="str">
        <x:v>Pre Delivery</x:v>
      </x:c>
      <x:c r="I2063" s="37" t="n">
        <x:v>46156</x:v>
      </x:c>
      <x:c r="J2063" s="37" t="n">
        <x:v>46156</x:v>
      </x:c>
      <x:c r="K2063" s="19" t="str">
        <x:v>The Caravan Hub - Townsville</x:v>
      </x:c>
      <x:c r="L2063" s="19" t="str">
        <x:v>Z005</x:v>
      </x:c>
      <x:c r="M2063" s="19" t="str">
        <x:v>Pre Delivery Warranty Claims</x:v>
      </x:c>
      <x:c r="N2063" s="37" t="n">
        <x:v>46126</x:v>
      </x:c>
      <x:c r="O2063" s="37"/>
      <x:c r="P2063" s="34" t="n">
        <x:v>0</x:v>
      </x:c>
      <x:c r="Q2063" s="37" t="n">
        <x:v>46156.153287037036</x:v>
      </x:c>
    </x:row>
    <x:row r="2064">
      <x:c r="A2064" s="22" t="n">
        <x:v>33561</x:v>
      </x:c>
      <x:c r="B2064" s="28" t="n">
        <x:v>280</x:v>
      </x:c>
      <x:c r="C2064" s="28"/>
      <x:c r="D2064" s="31" t="str">
        <x:f>IF(OR(ISBLANK(B2064),ISBLANK(C2064),B2064=0),"",(C2064-B2064)/B2064)</x:f>
      </x:c>
      <x:c r="E2064" s="22" t="str">
        <x:f>IF(ISBLANK(C2064),"AmountIncludingTax缺失",IF(ABS(B2064-C2064)&lt;0.005,"一致","不一致"))</x:f>
        <x:v>AmountIncludingTax缺失</x:v>
      </x:c>
      <x:c r="F2064" s="19" t="str">
        <x:v>approved</x:v>
      </x:c>
      <x:c r="G2064" s="19" t="str">
        <x:v>Repair in Progress</x:v>
      </x:c>
      <x:c r="H2064" s="19" t="str">
        <x:v>In Field</x:v>
      </x:c>
      <x:c r="I2064" s="37" t="n">
        <x:v>46163</x:v>
      </x:c>
      <x:c r="J2064" s="37" t="n">
        <x:v>46163</x:v>
      </x:c>
      <x:c r="K2064" s="19" t="str">
        <x:v>Newcastle RV Super Centre - Beresfield</x:v>
      </x:c>
      <x:c r="L2064" s="19" t="str">
        <x:v>Z006</x:v>
      </x:c>
      <x:c r="M2064" s="19" t="str">
        <x:v>In Field Warranty Claims</x:v>
      </x:c>
      <x:c r="N2064" s="37" t="n">
        <x:v>46126</x:v>
      </x:c>
      <x:c r="O2064" s="37"/>
      <x:c r="P2064" s="34" t="n">
        <x:v>0</x:v>
      </x:c>
      <x:c r="Q2064" s="37" t="n">
        <x:v>46163.012083333335</x:v>
      </x:c>
    </x:row>
    <x:row r="2065">
      <x:c r="A2065" s="22" t="n">
        <x:v>33560</x:v>
      </x:c>
      <x:c r="B2065" s="28" t="n">
        <x:v>135</x:v>
      </x:c>
      <x:c r="C2065" s="28"/>
      <x:c r="D2065" s="31" t="str">
        <x:f>IF(OR(ISBLANK(B2065),ISBLANK(C2065),B2065=0),"",(C2065-B2065)/B2065)</x:f>
      </x:c>
      <x:c r="E2065" s="22" t="str">
        <x:f>IF(ISBLANK(C2065),"AmountIncludingTax缺失",IF(ABS(B2065-C2065)&lt;0.005,"一致","不一致"))</x:f>
        <x:v>AmountIncludingTax缺失</x:v>
      </x:c>
      <x:c r="F2065" s="19" t="str">
        <x:v>approved</x:v>
      </x:c>
      <x:c r="G2065" s="19" t="str">
        <x:v>Repair in Progress</x:v>
      </x:c>
      <x:c r="H2065" s="19" t="str">
        <x:v>In Field</x:v>
      </x:c>
      <x:c r="I2065" s="37" t="n">
        <x:v>46133</x:v>
      </x:c>
      <x:c r="J2065" s="37" t="n">
        <x:v>46133</x:v>
      </x:c>
      <x:c r="K2065" s="19" t="str">
        <x:v>Snowy River Launceston</x:v>
      </x:c>
      <x:c r="L2065" s="19" t="str">
        <x:v>Z006</x:v>
      </x:c>
      <x:c r="M2065" s="19" t="str">
        <x:v>In Field Warranty Claims</x:v>
      </x:c>
      <x:c r="N2065" s="37" t="n">
        <x:v>46126</x:v>
      </x:c>
      <x:c r="O2065" s="37"/>
      <x:c r="P2065" s="34" t="n">
        <x:v>0</x:v>
      </x:c>
      <x:c r="Q2065" s="37" t="n">
        <x:v>46133.21099537037</x:v>
      </x:c>
    </x:row>
    <x:row r="2066">
      <x:c r="A2066" s="22" t="n">
        <x:v>33559</x:v>
      </x:c>
      <x:c r="B2066" s="28" t="n">
        <x:v>1140</x:v>
      </x:c>
      <x:c r="C2066" s="28"/>
      <x:c r="D2066" s="31" t="str">
        <x:f>IF(OR(ISBLANK(B2066),ISBLANK(C2066),B2066=0),"",(C2066-B2066)/B2066)</x:f>
      </x:c>
      <x:c r="E2066" s="22" t="str">
        <x:f>IF(ISBLANK(C2066),"AmountIncludingTax缺失",IF(ABS(B2066-C2066)&lt;0.005,"一致","不一致"))</x:f>
        <x:v>AmountIncludingTax缺失</x:v>
      </x:c>
      <x:c r="F2066" s="19" t="str">
        <x:v>approved</x:v>
      </x:c>
      <x:c r="G2066" s="19" t="str">
        <x:v>Repairer Invoiced Processed</x:v>
      </x:c>
      <x:c r="H2066" s="19" t="str">
        <x:v>Pre Delivery</x:v>
      </x:c>
      <x:c r="I2066" s="37" t="n">
        <x:v>46190</x:v>
      </x:c>
      <x:c r="J2066" s="37" t="n">
        <x:v>46190</x:v>
      </x:c>
      <x:c r="K2066" s="19" t="str">
        <x:v>Leisure Lion - Bundaberg</x:v>
      </x:c>
      <x:c r="L2066" s="19" t="str">
        <x:v>Z005</x:v>
      </x:c>
      <x:c r="M2066" s="19" t="str">
        <x:v>Pre Delivery Warranty Claims</x:v>
      </x:c>
      <x:c r="N2066" s="37" t="n">
        <x:v>46126</x:v>
      </x:c>
      <x:c r="O2066" s="37"/>
      <x:c r="P2066" s="34" t="n">
        <x:v>0</x:v>
      </x:c>
      <x:c r="Q2066" s="37" t="n">
        <x:v>46190.21673611111</x:v>
      </x:c>
    </x:row>
    <x:row r="2067">
      <x:c r="A2067" s="22" t="n">
        <x:v>33556</x:v>
      </x:c>
      <x:c r="B2067" s="28" t="n">
        <x:v>177.75</x:v>
      </x:c>
      <x:c r="C2067" s="28"/>
      <x:c r="D2067" s="31" t="str">
        <x:f>IF(OR(ISBLANK(B2067),ISBLANK(C2067),B2067=0),"",(C2067-B2067)/B2067)</x:f>
      </x:c>
      <x:c r="E2067" s="22" t="str">
        <x:f>IF(ISBLANK(C2067),"AmountIncludingTax缺失",IF(ABS(B2067-C2067)&lt;0.005,"一致","不一致"))</x:f>
        <x:v>AmountIncludingTax缺失</x:v>
      </x:c>
      <x:c r="F2067" s="19" t="str">
        <x:v>approved</x:v>
      </x:c>
      <x:c r="G2067" s="19" t="str">
        <x:v>Repair in Progress</x:v>
      </x:c>
      <x:c r="H2067" s="19" t="str">
        <x:v>In Field</x:v>
      </x:c>
      <x:c r="I2067" s="37" t="n">
        <x:v>46168</x:v>
      </x:c>
      <x:c r="J2067" s="37" t="n">
        <x:v>46168</x:v>
      </x:c>
      <x:c r="K2067" s="19" t="str">
        <x:v>Green RV - Forest Glen</x:v>
      </x:c>
      <x:c r="L2067" s="19" t="str">
        <x:v>Z006</x:v>
      </x:c>
      <x:c r="M2067" s="19" t="str">
        <x:v>In Field Warranty Claims</x:v>
      </x:c>
      <x:c r="N2067" s="37" t="n">
        <x:v>46126</x:v>
      </x:c>
      <x:c r="O2067" s="37"/>
      <x:c r="P2067" s="34" t="n">
        <x:v>0</x:v>
      </x:c>
      <x:c r="Q2067" s="37" t="n">
        <x:v>46167.95453703704</x:v>
      </x:c>
    </x:row>
    <x:row r="2068">
      <x:c r="A2068" s="22" t="n">
        <x:v>33555</x:v>
      </x:c>
      <x:c r="B2068" s="28" t="n">
        <x:v>585</x:v>
      </x:c>
      <x:c r="C2068" s="28" t="n">
        <x:v>643.5</x:v>
      </x:c>
      <x:c r="D2068" s="31" t="n">
        <x:f>IF(OR(ISBLANK(B2068),ISBLANK(C2068),B2068=0),"",(C2068-B2068)/B2068)</x:f>
        <x:v>0.1</x:v>
      </x:c>
      <x:c r="E2068" s="22" t="str">
        <x:f>IF(ISBLANK(C2068),"AmountIncludingTax缺失",IF(ABS(B2068-C2068)&lt;0.005,"一致","不一致"))</x:f>
        <x:v>不一致</x:v>
      </x:c>
      <x:c r="F2068" s="19" t="str">
        <x:v>approved</x:v>
      </x:c>
      <x:c r="G2068" s="19" t="str">
        <x:v>Repairer Invoiced Processed</x:v>
      </x:c>
      <x:c r="H2068" s="19" t="str">
        <x:v>In Field</x:v>
      </x:c>
      <x:c r="I2068" s="37" t="n">
        <x:v>46133</x:v>
      </x:c>
      <x:c r="J2068" s="37" t="n">
        <x:v>46133</x:v>
      </x:c>
      <x:c r="K2068" s="19" t="str">
        <x:v>Snowy River Launceston</x:v>
      </x:c>
      <x:c r="L2068" s="19" t="str">
        <x:v>Z006</x:v>
      </x:c>
      <x:c r="M2068" s="19" t="str">
        <x:v>In Field Warranty Claims</x:v>
      </x:c>
      <x:c r="N2068" s="37" t="n">
        <x:v>46126</x:v>
      </x:c>
      <x:c r="O2068" s="37"/>
      <x:c r="P2068" s="34" t="n">
        <x:v>643.5</x:v>
      </x:c>
      <x:c r="Q2068" s="37" t="n">
        <x:v>46133.187476851854</x:v>
      </x:c>
    </x:row>
    <x:row r="2069">
      <x:c r="A2069" s="22" t="n">
        <x:v>33554</x:v>
      </x:c>
      <x:c r="B2069" s="28" t="n">
        <x:v>776.25</x:v>
      </x:c>
      <x:c r="C2069" s="28"/>
      <x:c r="D2069" s="31" t="str">
        <x:f>IF(OR(ISBLANK(B2069),ISBLANK(C2069),B2069=0),"",(C2069-B2069)/B2069)</x:f>
      </x:c>
      <x:c r="E2069" s="22" t="str">
        <x:f>IF(ISBLANK(C2069),"AmountIncludingTax缺失",IF(ABS(B2069-C2069)&lt;0.005,"一致","不一致"))</x:f>
        <x:v>AmountIncludingTax缺失</x:v>
      </x:c>
      <x:c r="F2069" s="19" t="str">
        <x:v>approved</x:v>
      </x:c>
      <x:c r="G2069" s="19" t="str">
        <x:v>Repairer Invoiced Processed</x:v>
      </x:c>
      <x:c r="H2069" s="19" t="str">
        <x:v>In Field</x:v>
      </x:c>
      <x:c r="I2069" s="37" t="n">
        <x:v>46162</x:v>
      </x:c>
      <x:c r="J2069" s="37" t="n">
        <x:v>46162</x:v>
      </x:c>
      <x:c r="K2069" s="19" t="str">
        <x:v>Lesiure Lion-New Castle</x:v>
      </x:c>
      <x:c r="L2069" s="19" t="str">
        <x:v>Z006</x:v>
      </x:c>
      <x:c r="M2069" s="19" t="str">
        <x:v>In Field Warranty Claims</x:v>
      </x:c>
      <x:c r="N2069" s="37" t="n">
        <x:v>46126</x:v>
      </x:c>
      <x:c r="O2069" s="37"/>
      <x:c r="P2069" s="34" t="n">
        <x:v>0</x:v>
      </x:c>
      <x:c r="Q2069" s="37" t="n">
        <x:v>46162.178252314814</x:v>
      </x:c>
    </x:row>
    <x:row r="2070">
      <x:c r="A2070" s="22" t="n">
        <x:v>33553</x:v>
      </x:c>
      <x:c r="B2070" s="28" t="n">
        <x:v>1215</x:v>
      </x:c>
      <x:c r="C2070" s="28"/>
      <x:c r="D2070" s="31" t="str">
        <x:f>IF(OR(ISBLANK(B2070),ISBLANK(C2070),B2070=0),"",(C2070-B2070)/B2070)</x:f>
      </x:c>
      <x:c r="E2070" s="22" t="str">
        <x:f>IF(ISBLANK(C2070),"AmountIncludingTax缺失",IF(ABS(B2070-C2070)&lt;0.005,"一致","不一致"))</x:f>
        <x:v>AmountIncludingTax缺失</x:v>
      </x:c>
      <x:c r="F2070" s="19" t="str">
        <x:v>approved</x:v>
      </x:c>
      <x:c r="G2070" s="19" t="str">
        <x:v>Repair in Progress</x:v>
      </x:c>
      <x:c r="H2070" s="19" t="str">
        <x:v>In Field</x:v>
      </x:c>
      <x:c r="I2070" s="37" t="n">
        <x:v>46150</x:v>
      </x:c>
      <x:c r="J2070" s="37" t="n">
        <x:v>46150</x:v>
      </x:c>
      <x:c r="K2070" s="19" t="str">
        <x:v>Regent RV - Frankston</x:v>
      </x:c>
      <x:c r="L2070" s="19" t="str">
        <x:v>Z006</x:v>
      </x:c>
      <x:c r="M2070" s="19" t="str">
        <x:v>In Field Warranty Claims</x:v>
      </x:c>
      <x:c r="N2070" s="37" t="n">
        <x:v>46126</x:v>
      </x:c>
      <x:c r="O2070" s="37"/>
      <x:c r="P2070" s="34" t="n">
        <x:v>0</x:v>
      </x:c>
      <x:c r="Q2070" s="37" t="n">
        <x:v>46150.25813657408</x:v>
      </x:c>
    </x:row>
    <x:row r="2071">
      <x:c r="A2071" s="22" t="n">
        <x:v>33552</x:v>
      </x:c>
      <x:c r="B2071" s="28" t="n">
        <x:v>403.75</x:v>
      </x:c>
      <x:c r="C2071" s="28"/>
      <x:c r="D2071" s="31" t="str">
        <x:f>IF(OR(ISBLANK(B2071),ISBLANK(C2071),B2071=0),"",(C2071-B2071)/B2071)</x:f>
      </x:c>
      <x:c r="E2071" s="22" t="str">
        <x:f>IF(ISBLANK(C2071),"AmountIncludingTax缺失",IF(ABS(B2071-C2071)&lt;0.005,"一致","不一致"))</x:f>
        <x:v>AmountIncludingTax缺失</x:v>
      </x:c>
      <x:c r="F2071" s="19" t="str">
        <x:v>approved</x:v>
      </x:c>
      <x:c r="G2071" s="19" t="str">
        <x:v>Repairer Invoiced Processed</x:v>
      </x:c>
      <x:c r="H2071" s="19" t="str">
        <x:v>In Field</x:v>
      </x:c>
      <x:c r="I2071" s="37" t="n">
        <x:v>46150</x:v>
      </x:c>
      <x:c r="J2071" s="37" t="n">
        <x:v>46150</x:v>
      </x:c>
      <x:c r="K2071" s="19" t="str">
        <x:v>The Caravan Hub - Townsville</x:v>
      </x:c>
      <x:c r="L2071" s="19" t="str">
        <x:v>Z006</x:v>
      </x:c>
      <x:c r="M2071" s="19" t="str">
        <x:v>In Field Warranty Claims</x:v>
      </x:c>
      <x:c r="N2071" s="37" t="n">
        <x:v>46126</x:v>
      </x:c>
      <x:c r="O2071" s="37"/>
      <x:c r="P2071" s="34" t="n">
        <x:v>0</x:v>
      </x:c>
      <x:c r="Q2071" s="37" t="n">
        <x:v>46150.19016203703</x:v>
      </x:c>
    </x:row>
    <x:row r="2072">
      <x:c r="A2072" s="22" t="n">
        <x:v>33551</x:v>
      </x:c>
      <x:c r="B2072" s="28" t="n">
        <x:v>961.25</x:v>
      </x:c>
      <x:c r="C2072" s="28"/>
      <x:c r="D2072" s="31" t="str">
        <x:f>IF(OR(ISBLANK(B2072),ISBLANK(C2072),B2072=0),"",(C2072-B2072)/B2072)</x:f>
      </x:c>
      <x:c r="E2072" s="22" t="str">
        <x:f>IF(ISBLANK(C2072),"AmountIncludingTax缺失",IF(ABS(B2072-C2072)&lt;0.005,"一致","不一致"))</x:f>
        <x:v>AmountIncludingTax缺失</x:v>
      </x:c>
      <x:c r="F2072" s="19" t="str">
        <x:v>approved</x:v>
      </x:c>
      <x:c r="G2072" s="19" t="str">
        <x:v>Repairer Invoiced Processed</x:v>
      </x:c>
      <x:c r="H2072" s="19" t="str">
        <x:v>In Field</x:v>
      </x:c>
      <x:c r="I2072" s="37" t="n">
        <x:v>46129</x:v>
      </x:c>
      <x:c r="J2072" s="37" t="n">
        <x:v>46129</x:v>
      </x:c>
      <x:c r="K2072" s="19" t="str">
        <x:v>Regent RV - Perth</x:v>
      </x:c>
      <x:c r="L2072" s="19" t="str">
        <x:v>Z006</x:v>
      </x:c>
      <x:c r="M2072" s="19" t="str">
        <x:v>In Field Warranty Claims</x:v>
      </x:c>
      <x:c r="N2072" s="37" t="n">
        <x:v>46126</x:v>
      </x:c>
      <x:c r="O2072" s="37"/>
      <x:c r="P2072" s="34" t="n">
        <x:v>0</x:v>
      </x:c>
      <x:c r="Q2072" s="37" t="n">
        <x:v>46128.844409722224</x:v>
      </x:c>
    </x:row>
    <x:row r="2073">
      <x:c r="A2073" s="22" t="n">
        <x:v>33549</x:v>
      </x:c>
      <x:c r="B2073" s="28" t="n">
        <x:v>222.5</x:v>
      </x:c>
      <x:c r="C2073" s="28"/>
      <x:c r="D2073" s="31" t="str">
        <x:f>IF(OR(ISBLANK(B2073),ISBLANK(C2073),B2073=0),"",(C2073-B2073)/B2073)</x:f>
      </x:c>
      <x:c r="E2073" s="22" t="str">
        <x:f>IF(ISBLANK(C2073),"AmountIncludingTax缺失",IF(ABS(B2073-C2073)&lt;0.005,"一致","不一致"))</x:f>
        <x:v>AmountIncludingTax缺失</x:v>
      </x:c>
      <x:c r="F2073" s="19" t="str">
        <x:v>approved</x:v>
      </x:c>
      <x:c r="G2073" s="19" t="str">
        <x:v>Repair in Progress</x:v>
      </x:c>
      <x:c r="H2073" s="19" t="str">
        <x:v>In Field</x:v>
      </x:c>
      <x:c r="I2073" s="37" t="n">
        <x:v>46133</x:v>
      </x:c>
      <x:c r="J2073" s="37" t="n">
        <x:v>46133</x:v>
      </x:c>
      <x:c r="K2073" s="19" t="str">
        <x:v>Regent RV - Frankston</x:v>
      </x:c>
      <x:c r="L2073" s="19" t="str">
        <x:v>Z006</x:v>
      </x:c>
      <x:c r="M2073" s="19" t="str">
        <x:v>In Field Warranty Claims</x:v>
      </x:c>
      <x:c r="N2073" s="37" t="n">
        <x:v>46126</x:v>
      </x:c>
      <x:c r="O2073" s="37"/>
      <x:c r="P2073" s="34" t="n">
        <x:v>0</x:v>
      </x:c>
      <x:c r="Q2073" s="37" t="n">
        <x:v>46133.17334490741</x:v>
      </x:c>
    </x:row>
    <x:row r="2074">
      <x:c r="A2074" s="22" t="n">
        <x:v>33548</x:v>
      </x:c>
      <x:c r="B2074" s="28" t="n">
        <x:v>425</x:v>
      </x:c>
      <x:c r="C2074" s="28"/>
      <x:c r="D2074" s="31" t="str">
        <x:f>IF(OR(ISBLANK(B2074),ISBLANK(C2074),B2074=0),"",(C2074-B2074)/B2074)</x:f>
      </x:c>
      <x:c r="E2074" s="22" t="str">
        <x:f>IF(ISBLANK(C2074),"AmountIncludingTax缺失",IF(ABS(B2074-C2074)&lt;0.005,"一致","不一致"))</x:f>
        <x:v>AmountIncludingTax缺失</x:v>
      </x:c>
      <x:c r="F2074" s="19" t="str">
        <x:v>approved</x:v>
      </x:c>
      <x:c r="G2074" s="19" t="str">
        <x:v>Partially Picked</x:v>
      </x:c>
      <x:c r="H2074" s="19" t="str">
        <x:v>Pre Delivery</x:v>
      </x:c>
      <x:c r="I2074" s="37" t="n">
        <x:v>46139</x:v>
      </x:c>
      <x:c r="J2074" s="37" t="n">
        <x:v>46139</x:v>
      </x:c>
      <x:c r="K2074" s="19" t="str">
        <x:v>Snowy River Wangaratta</x:v>
      </x:c>
      <x:c r="L2074" s="19" t="str">
        <x:v>Z005</x:v>
      </x:c>
      <x:c r="M2074" s="19" t="str">
        <x:v>Pre Delivery Warranty Claims</x:v>
      </x:c>
      <x:c r="N2074" s="37" t="n">
        <x:v>46126</x:v>
      </x:c>
      <x:c r="O2074" s="37"/>
      <x:c r="P2074" s="34" t="n">
        <x:v>0</x:v>
      </x:c>
      <x:c r="Q2074" s="37" t="n">
        <x:v>46138.92219907408</x:v>
      </x:c>
    </x:row>
    <x:row r="2075">
      <x:c r="A2075" s="22" t="n">
        <x:v>33547</x:v>
      </x:c>
      <x:c r="B2075" s="28" t="n">
        <x:v>33.75</x:v>
      </x:c>
      <x:c r="C2075" s="28"/>
      <x:c r="D2075" s="31" t="str">
        <x:f>IF(OR(ISBLANK(B2075),ISBLANK(C2075),B2075=0),"",(C2075-B2075)/B2075)</x:f>
      </x:c>
      <x:c r="E2075" s="22" t="str">
        <x:f>IF(ISBLANK(C2075),"AmountIncludingTax缺失",IF(ABS(B2075-C2075)&lt;0.005,"一致","不一致"))</x:f>
        <x:v>AmountIncludingTax缺失</x:v>
      </x:c>
      <x:c r="F2075" s="19" t="str">
        <x:v>approved</x:v>
      </x:c>
      <x:c r="G2075" s="19" t="str">
        <x:v>Repair in Progress</x:v>
      </x:c>
      <x:c r="H2075" s="19" t="str">
        <x:v>In Field</x:v>
      </x:c>
      <x:c r="I2075" s="37" t="n">
        <x:v>46134</x:v>
      </x:c>
      <x:c r="J2075" s="37" t="n">
        <x:v>46134</x:v>
      </x:c>
      <x:c r="K2075" s="19" t="str">
        <x:v>Green RV - Forest Glen</x:v>
      </x:c>
      <x:c r="L2075" s="19" t="str">
        <x:v>Z006</x:v>
      </x:c>
      <x:c r="M2075" s="19" t="str">
        <x:v>In Field Warranty Claims</x:v>
      </x:c>
      <x:c r="N2075" s="37" t="n">
        <x:v>46125</x:v>
      </x:c>
      <x:c r="O2075" s="37"/>
      <x:c r="P2075" s="34" t="n">
        <x:v>0</x:v>
      </x:c>
      <x:c r="Q2075" s="37" t="n">
        <x:v>46134.05331018518</x:v>
      </x:c>
    </x:row>
    <x:row r="2076">
      <x:c r="A2076" s="22" t="n">
        <x:v>33546</x:v>
      </x:c>
      <x:c r="B2076" s="28" t="n">
        <x:v>425</x:v>
      </x:c>
      <x:c r="C2076" s="28"/>
      <x:c r="D2076" s="31" t="str">
        <x:f>IF(OR(ISBLANK(B2076),ISBLANK(C2076),B2076=0),"",(C2076-B2076)/B2076)</x:f>
      </x:c>
      <x:c r="E2076" s="22" t="str">
        <x:f>IF(ISBLANK(C2076),"AmountIncludingTax缺失",IF(ABS(B2076-C2076)&lt;0.005,"一致","不一致"))</x:f>
        <x:v>AmountIncludingTax缺失</x:v>
      </x:c>
      <x:c r="F2076" s="19" t="str">
        <x:v>approved</x:v>
      </x:c>
      <x:c r="G2076" s="19" t="str">
        <x:v>Repair in Progress</x:v>
      </x:c>
      <x:c r="H2076" s="19" t="str">
        <x:v>Pre Delivery</x:v>
      </x:c>
      <x:c r="I2076" s="37" t="n">
        <x:v>46126</x:v>
      </x:c>
      <x:c r="J2076" s="37" t="n">
        <x:v>46126</x:v>
      </x:c>
      <x:c r="K2076" s="19" t="str">
        <x:v>Snowy River Wangaratta</x:v>
      </x:c>
      <x:c r="L2076" s="19" t="str">
        <x:v>Z005</x:v>
      </x:c>
      <x:c r="M2076" s="19" t="str">
        <x:v>Pre Delivery Warranty Claims</x:v>
      </x:c>
      <x:c r="N2076" s="37" t="n">
        <x:v>46125</x:v>
      </x:c>
      <x:c r="O2076" s="37"/>
      <x:c r="P2076" s="34" t="n">
        <x:v>0</x:v>
      </x:c>
      <x:c r="Q2076" s="37" t="n">
        <x:v>46126.21796296296</x:v>
      </x:c>
    </x:row>
    <x:row r="2077">
      <x:c r="A2077" s="22" t="n">
        <x:v>33545</x:v>
      </x:c>
      <x:c r="B2077" s="28" t="n">
        <x:v>179.55</x:v>
      </x:c>
      <x:c r="C2077" s="28"/>
      <x:c r="D2077" s="31" t="str">
        <x:f>IF(OR(ISBLANK(B2077),ISBLANK(C2077),B2077=0),"",(C2077-B2077)/B2077)</x:f>
      </x:c>
      <x:c r="E2077" s="22" t="str">
        <x:f>IF(ISBLANK(C2077),"AmountIncludingTax缺失",IF(ABS(B2077-C2077)&lt;0.005,"一致","不一致"))</x:f>
        <x:v>AmountIncludingTax缺失</x:v>
      </x:c>
      <x:c r="F2077" s="19" t="str">
        <x:v>approved</x:v>
      </x:c>
      <x:c r="G2077" s="19" t="str">
        <x:v>Repair in Progress</x:v>
      </x:c>
      <x:c r="H2077" s="19" t="str">
        <x:v>In Field</x:v>
      </x:c>
      <x:c r="I2077" s="37" t="n">
        <x:v>46133</x:v>
      </x:c>
      <x:c r="J2077" s="37" t="n">
        <x:v>46133</x:v>
      </x:c>
      <x:c r="K2077" s="19" t="str">
        <x:v>Regent RV - Frankston</x:v>
      </x:c>
      <x:c r="L2077" s="19" t="str">
        <x:v>Z006</x:v>
      </x:c>
      <x:c r="M2077" s="19" t="str">
        <x:v>In Field Warranty Claims</x:v>
      </x:c>
      <x:c r="N2077" s="37" t="n">
        <x:v>46125</x:v>
      </x:c>
      <x:c r="O2077" s="37"/>
      <x:c r="P2077" s="34" t="n">
        <x:v>0</x:v>
      </x:c>
      <x:c r="Q2077" s="37" t="n">
        <x:v>46133.051724537036</x:v>
      </x:c>
    </x:row>
    <x:row r="2078">
      <x:c r="A2078" s="22" t="n">
        <x:v>33544</x:v>
      </x:c>
      <x:c r="B2078" s="28" t="n">
        <x:v>1469.32</x:v>
      </x:c>
      <x:c r="C2078" s="28"/>
      <x:c r="D2078" s="31" t="str">
        <x:f>IF(OR(ISBLANK(B2078),ISBLANK(C2078),B2078=0),"",(C2078-B2078)/B2078)</x:f>
      </x:c>
      <x:c r="E2078" s="22" t="str">
        <x:f>IF(ISBLANK(C2078),"AmountIncludingTax缺失",IF(ABS(B2078-C2078)&lt;0.005,"一致","不一致"))</x:f>
        <x:v>AmountIncludingTax缺失</x:v>
      </x:c>
      <x:c r="F2078" s="19" t="str">
        <x:v>approved</x:v>
      </x:c>
      <x:c r="G2078" s="19" t="str">
        <x:v>Repairer Invoiced Processed</x:v>
      </x:c>
      <x:c r="H2078" s="19" t="str">
        <x:v>Pre Delivery</x:v>
      </x:c>
      <x:c r="I2078" s="37" t="n">
        <x:v>46126</x:v>
      </x:c>
      <x:c r="J2078" s="37" t="n">
        <x:v>46126</x:v>
      </x:c>
      <x:c r="K2078" s="19" t="str">
        <x:v>Lesiure Lion-New Castle</x:v>
      </x:c>
      <x:c r="L2078" s="19" t="str">
        <x:v>Z005</x:v>
      </x:c>
      <x:c r="M2078" s="19" t="str">
        <x:v>Pre Delivery Warranty Claims</x:v>
      </x:c>
      <x:c r="N2078" s="37" t="n">
        <x:v>46125</x:v>
      </x:c>
      <x:c r="O2078" s="37"/>
      <x:c r="P2078" s="34" t="n">
        <x:v>0</x:v>
      </x:c>
      <x:c r="Q2078" s="37" t="n">
        <x:v>46126.13502314815</x:v>
      </x:c>
    </x:row>
    <x:row r="2079">
      <x:c r="A2079" s="22" t="n">
        <x:v>33542</x:v>
      </x:c>
      <x:c r="B2079" s="28" t="n">
        <x:v>872.05</x:v>
      </x:c>
      <x:c r="C2079" s="28"/>
      <x:c r="D2079" s="31" t="str">
        <x:f>IF(OR(ISBLANK(B2079),ISBLANK(C2079),B2079=0),"",(C2079-B2079)/B2079)</x:f>
      </x:c>
      <x:c r="E2079" s="22" t="str">
        <x:f>IF(ISBLANK(C2079),"AmountIncludingTax缺失",IF(ABS(B2079-C2079)&lt;0.005,"一致","不一致"))</x:f>
        <x:v>AmountIncludingTax缺失</x:v>
      </x:c>
      <x:c r="F2079" s="19" t="str">
        <x:v>approved</x:v>
      </x:c>
      <x:c r="G2079" s="19" t="str">
        <x:v>Repairer Invoiced Processed</x:v>
      </x:c>
      <x:c r="H2079" s="19" t="str">
        <x:v>In Field</x:v>
      </x:c>
      <x:c r="I2079" s="37" t="n">
        <x:v>46127</x:v>
      </x:c>
      <x:c r="J2079" s="37" t="n">
        <x:v>46127</x:v>
      </x:c>
      <x:c r="K2079" s="19" t="str">
        <x:v>Green RV - Slacks Creek</x:v>
      </x:c>
      <x:c r="L2079" s="19" t="str">
        <x:v>Z006</x:v>
      </x:c>
      <x:c r="M2079" s="19" t="str">
        <x:v>In Field Warranty Claims</x:v>
      </x:c>
      <x:c r="N2079" s="37" t="n">
        <x:v>46125</x:v>
      </x:c>
      <x:c r="O2079" s="37"/>
      <x:c r="P2079" s="34" t="n">
        <x:v>0</x:v>
      </x:c>
      <x:c r="Q2079" s="37" t="n">
        <x:v>46126.93332175926</x:v>
      </x:c>
    </x:row>
    <x:row r="2080">
      <x:c r="A2080" s="22" t="n">
        <x:v>33541</x:v>
      </x:c>
      <x:c r="B2080" s="28" t="n">
        <x:v>963.2</x:v>
      </x:c>
      <x:c r="C2080" s="28"/>
      <x:c r="D2080" s="31" t="str">
        <x:f>IF(OR(ISBLANK(B2080),ISBLANK(C2080),B2080=0),"",(C2080-B2080)/B2080)</x:f>
      </x:c>
      <x:c r="E2080" s="22" t="str">
        <x:f>IF(ISBLANK(C2080),"AmountIncludingTax缺失",IF(ABS(B2080-C2080)&lt;0.005,"一致","不一致"))</x:f>
        <x:v>AmountIncludingTax缺失</x:v>
      </x:c>
      <x:c r="F2080" s="19" t="str">
        <x:v>approved</x:v>
      </x:c>
      <x:c r="G2080" s="19" t="str">
        <x:v>Repair in Progress</x:v>
      </x:c>
      <x:c r="H2080" s="19" t="str">
        <x:v>In Field</x:v>
      </x:c>
      <x:c r="I2080" s="37" t="n">
        <x:v>46163</x:v>
      </x:c>
      <x:c r="J2080" s="37" t="n">
        <x:v>46163</x:v>
      </x:c>
      <x:c r="K2080" s="19" t="str">
        <x:v>Lesiure Lion-New Castle</x:v>
      </x:c>
      <x:c r="L2080" s="19" t="str">
        <x:v>Z006</x:v>
      </x:c>
      <x:c r="M2080" s="19" t="str">
        <x:v>In Field Warranty Claims</x:v>
      </x:c>
      <x:c r="N2080" s="37" t="n">
        <x:v>46125</x:v>
      </x:c>
      <x:c r="O2080" s="37"/>
      <x:c r="P2080" s="34" t="n">
        <x:v>0</x:v>
      </x:c>
      <x:c r="Q2080" s="37" t="n">
        <x:v>46162.89601851852</x:v>
      </x:c>
    </x:row>
    <x:row r="2081">
      <x:c r="A2081" s="22" t="n">
        <x:v>33540</x:v>
      </x:c>
      <x:c r="B2081" s="28" t="n">
        <x:v>108.75</x:v>
      </x:c>
      <x:c r="C2081" s="28"/>
      <x:c r="D2081" s="31" t="str">
        <x:f>IF(OR(ISBLANK(B2081),ISBLANK(C2081),B2081=0),"",(C2081-B2081)/B2081)</x:f>
      </x:c>
      <x:c r="E2081" s="22" t="str">
        <x:f>IF(ISBLANK(C2081),"AmountIncludingTax缺失",IF(ABS(B2081-C2081)&lt;0.005,"一致","不一致"))</x:f>
        <x:v>AmountIncludingTax缺失</x:v>
      </x:c>
      <x:c r="F2081" s="19" t="str">
        <x:v>approved</x:v>
      </x:c>
      <x:c r="G2081" s="19" t="str">
        <x:v>Sales Order Approved</x:v>
      </x:c>
      <x:c r="H2081" s="19" t="str">
        <x:v>In Field</x:v>
      </x:c>
      <x:c r="I2081" s="37" t="n">
        <x:v>46139</x:v>
      </x:c>
      <x:c r="J2081" s="37" t="n">
        <x:v>46139</x:v>
      </x:c>
      <x:c r="K2081" s="19" t="str">
        <x:v>The Caravan Hub - Townsville</x:v>
      </x:c>
      <x:c r="L2081" s="19" t="str">
        <x:v>Z006</x:v>
      </x:c>
      <x:c r="M2081" s="19" t="str">
        <x:v>In Field Warranty Claims</x:v>
      </x:c>
      <x:c r="N2081" s="37" t="n">
        <x:v>46126</x:v>
      </x:c>
      <x:c r="O2081" s="37"/>
      <x:c r="P2081" s="34" t="n">
        <x:v>0</x:v>
      </x:c>
      <x:c r="Q2081" s="37" t="n">
        <x:v>46138.99434027778</x:v>
      </x:c>
    </x:row>
    <x:row r="2082">
      <x:c r="A2082" s="22" t="n">
        <x:v>33539</x:v>
      </x:c>
      <x:c r="B2082" s="28" t="n">
        <x:v>155</x:v>
      </x:c>
      <x:c r="C2082" s="28" t="n">
        <x:v>170.5</x:v>
      </x:c>
      <x:c r="D2082" s="31" t="n">
        <x:f>IF(OR(ISBLANK(B2082),ISBLANK(C2082),B2082=0),"",(C2082-B2082)/B2082)</x:f>
        <x:v>0.1</x:v>
      </x:c>
      <x:c r="E2082" s="22" t="str">
        <x:f>IF(ISBLANK(C2082),"AmountIncludingTax缺失",IF(ABS(B2082-C2082)&lt;0.005,"一致","不一致"))</x:f>
        <x:v>不一致</x:v>
      </x:c>
      <x:c r="F2082" s="19" t="str">
        <x:v>approved</x:v>
      </x:c>
      <x:c r="G2082" s="19" t="str">
        <x:v>Repairer Invoiced Processed</x:v>
      </x:c>
      <x:c r="H2082" s="19" t="str">
        <x:v>Pre Delivery</x:v>
      </x:c>
      <x:c r="I2082" s="37" t="n">
        <x:v>46202</x:v>
      </x:c>
      <x:c r="J2082" s="37" t="n">
        <x:v>46202</x:v>
      </x:c>
      <x:c r="K2082" s="19" t="str">
        <x:v>Leisure Lion - Bundaberg</x:v>
      </x:c>
      <x:c r="L2082" s="19" t="str">
        <x:v>Z005</x:v>
      </x:c>
      <x:c r="M2082" s="19" t="str">
        <x:v>Pre Delivery Warranty Claims</x:v>
      </x:c>
      <x:c r="N2082" s="37" t="n">
        <x:v>46126</x:v>
      </x:c>
      <x:c r="O2082" s="37"/>
      <x:c r="P2082" s="34" t="n">
        <x:v>170.5</x:v>
      </x:c>
      <x:c r="Q2082" s="37" t="n">
        <x:v>46202.28637731481</x:v>
      </x:c>
    </x:row>
    <x:row r="2083">
      <x:c r="A2083" s="22" t="n">
        <x:v>33537</x:v>
      </x:c>
      <x:c r="B2083" s="28" t="n">
        <x:v>425</x:v>
      </x:c>
      <x:c r="C2083" s="28"/>
      <x:c r="D2083" s="31" t="str">
        <x:f>IF(OR(ISBLANK(B2083),ISBLANK(C2083),B2083=0),"",(C2083-B2083)/B2083)</x:f>
      </x:c>
      <x:c r="E2083" s="22" t="str">
        <x:f>IF(ISBLANK(C2083),"AmountIncludingTax缺失",IF(ABS(B2083-C2083)&lt;0.005,"一致","不一致"))</x:f>
        <x:v>AmountIncludingTax缺失</x:v>
      </x:c>
      <x:c r="F2083" s="19" t="str">
        <x:v>approved</x:v>
      </x:c>
      <x:c r="G2083" s="19" t="str">
        <x:v>Sales Order Approved</x:v>
      </x:c>
      <x:c r="H2083" s="19" t="str">
        <x:v>Pre Delivery</x:v>
      </x:c>
      <x:c r="I2083" s="37" t="n">
        <x:v>46161</x:v>
      </x:c>
      <x:c r="J2083" s="37" t="n">
        <x:v>46161</x:v>
      </x:c>
      <x:c r="K2083" s="19" t="str">
        <x:v>Snowy River Wangaratta</x:v>
      </x:c>
      <x:c r="L2083" s="19" t="str">
        <x:v>Z005</x:v>
      </x:c>
      <x:c r="M2083" s="19" t="str">
        <x:v>Pre Delivery Warranty Claims</x:v>
      </x:c>
      <x:c r="N2083" s="37" t="n">
        <x:v>46126</x:v>
      </x:c>
      <x:c r="O2083" s="37"/>
      <x:c r="P2083" s="34" t="n">
        <x:v>0</x:v>
      </x:c>
      <x:c r="Q2083" s="37" t="n">
        <x:v>46161.0405787037</x:v>
      </x:c>
    </x:row>
    <x:row r="2084">
      <x:c r="A2084" s="22" t="n">
        <x:v>33536</x:v>
      </x:c>
      <x:c r="B2084" s="28" t="n">
        <x:v>285</x:v>
      </x:c>
      <x:c r="C2084" s="28"/>
      <x:c r="D2084" s="31" t="str">
        <x:f>IF(OR(ISBLANK(B2084),ISBLANK(C2084),B2084=0),"",(C2084-B2084)/B2084)</x:f>
      </x:c>
      <x:c r="E2084" s="22" t="str">
        <x:f>IF(ISBLANK(C2084),"AmountIncludingTax缺失",IF(ABS(B2084-C2084)&lt;0.005,"一致","不一致"))</x:f>
        <x:v>AmountIncludingTax缺失</x:v>
      </x:c>
      <x:c r="F2084" s="19" t="str">
        <x:v>approved</x:v>
      </x:c>
      <x:c r="G2084" s="19" t="str">
        <x:v>Repair in Progress</x:v>
      </x:c>
      <x:c r="H2084" s="19" t="str">
        <x:v>In Field</x:v>
      </x:c>
      <x:c r="I2084" s="37" t="n">
        <x:v>46135</x:v>
      </x:c>
      <x:c r="J2084" s="37" t="n">
        <x:v>46135</x:v>
      </x:c>
      <x:c r="K2084" s="19" t="str">
        <x:v>Regent RV - Perth</x:v>
      </x:c>
      <x:c r="L2084" s="19" t="str">
        <x:v>Z006</x:v>
      </x:c>
      <x:c r="M2084" s="19" t="str">
        <x:v>In Field Warranty Claims</x:v>
      </x:c>
      <x:c r="N2084" s="37" t="n">
        <x:v>46126</x:v>
      </x:c>
      <x:c r="O2084" s="37"/>
      <x:c r="P2084" s="34" t="n">
        <x:v>0</x:v>
      </x:c>
      <x:c r="Q2084" s="37" t="n">
        <x:v>46134.94069444444</x:v>
      </x:c>
    </x:row>
    <x:row r="2085">
      <x:c r="A2085" s="22" t="n">
        <x:v>33535</x:v>
      </x:c>
      <x:c r="B2085" s="28" t="n">
        <x:v>135</x:v>
      </x:c>
      <x:c r="C2085" s="28"/>
      <x:c r="D2085" s="31" t="str">
        <x:f>IF(OR(ISBLANK(B2085),ISBLANK(C2085),B2085=0),"",(C2085-B2085)/B2085)</x:f>
      </x:c>
      <x:c r="E2085" s="22" t="str">
        <x:f>IF(ISBLANK(C2085),"AmountIncludingTax缺失",IF(ABS(B2085-C2085)&lt;0.005,"一致","不一致"))</x:f>
        <x:v>AmountIncludingTax缺失</x:v>
      </x:c>
      <x:c r="F2085" s="19" t="str">
        <x:v>approved</x:v>
      </x:c>
      <x:c r="G2085" s="19" t="str">
        <x:v>Repair in Progress</x:v>
      </x:c>
      <x:c r="H2085" s="19" t="str">
        <x:v>In Field</x:v>
      </x:c>
      <x:c r="I2085" s="37" t="n">
        <x:v>46133</x:v>
      </x:c>
      <x:c r="J2085" s="37" t="n">
        <x:v>46133</x:v>
      </x:c>
      <x:c r="K2085" s="19" t="str">
        <x:v>Green RV - Slacks Creek</x:v>
      </x:c>
      <x:c r="L2085" s="19" t="str">
        <x:v>Z006</x:v>
      </x:c>
      <x:c r="M2085" s="19" t="str">
        <x:v>In Field Warranty Claims</x:v>
      </x:c>
      <x:c r="N2085" s="37" t="n">
        <x:v>46125</x:v>
      </x:c>
      <x:c r="O2085" s="37"/>
      <x:c r="P2085" s="34" t="n">
        <x:v>0</x:v>
      </x:c>
      <x:c r="Q2085" s="37" t="n">
        <x:v>46132.89103009259</x:v>
      </x:c>
    </x:row>
    <x:row r="2086">
      <x:c r="A2086" s="22" t="n">
        <x:v>33534</x:v>
      </x:c>
      <x:c r="B2086" s="28" t="n">
        <x:v>425</x:v>
      </x:c>
      <x:c r="C2086" s="28"/>
      <x:c r="D2086" s="31" t="str">
        <x:f>IF(OR(ISBLANK(B2086),ISBLANK(C2086),B2086=0),"",(C2086-B2086)/B2086)</x:f>
      </x:c>
      <x:c r="E2086" s="22" t="str">
        <x:f>IF(ISBLANK(C2086),"AmountIncludingTax缺失",IF(ABS(B2086-C2086)&lt;0.005,"一致","不一致"))</x:f>
        <x:v>AmountIncludingTax缺失</x:v>
      </x:c>
      <x:c r="F2086" s="19" t="str">
        <x:v>approved</x:v>
      </x:c>
      <x:c r="G2086" s="19" t="str">
        <x:v>Repair in Progress</x:v>
      </x:c>
      <x:c r="H2086" s="19" t="str">
        <x:v>In Field</x:v>
      </x:c>
      <x:c r="I2086" s="37" t="n">
        <x:v>46153</x:v>
      </x:c>
      <x:c r="J2086" s="37" t="n">
        <x:v>46153</x:v>
      </x:c>
      <x:c r="K2086" s="19" t="str">
        <x:v>Green RV - Forest Glen</x:v>
      </x:c>
      <x:c r="L2086" s="19" t="str">
        <x:v>Z006</x:v>
      </x:c>
      <x:c r="M2086" s="19" t="str">
        <x:v>In Field Warranty Claims</x:v>
      </x:c>
      <x:c r="N2086" s="37" t="n">
        <x:v>46125</x:v>
      </x:c>
      <x:c r="O2086" s="37"/>
      <x:c r="P2086" s="34" t="n">
        <x:v>0</x:v>
      </x:c>
      <x:c r="Q2086" s="37" t="n">
        <x:v>46153.14784722222</x:v>
      </x:c>
    </x:row>
    <x:row r="2087">
      <x:c r="A2087" s="22" t="n">
        <x:v>33533</x:v>
      </x:c>
      <x:c r="B2087" s="28" t="n">
        <x:v>1471.25</x:v>
      </x:c>
      <x:c r="C2087" s="28"/>
      <x:c r="D2087" s="31" t="str">
        <x:f>IF(OR(ISBLANK(B2087),ISBLANK(C2087),B2087=0),"",(C2087-B2087)/B2087)</x:f>
      </x:c>
      <x:c r="E2087" s="22" t="str">
        <x:f>IF(ISBLANK(C2087),"AmountIncludingTax缺失",IF(ABS(B2087-C2087)&lt;0.005,"一致","不一致"))</x:f>
        <x:v>AmountIncludingTax缺失</x:v>
      </x:c>
      <x:c r="F2087" s="19" t="str">
        <x:v>approved</x:v>
      </x:c>
      <x:c r="G2087" s="19" t="str">
        <x:v>Repairer Invoiced Processed</x:v>
      </x:c>
      <x:c r="H2087" s="19" t="str">
        <x:v>In Field</x:v>
      </x:c>
      <x:c r="I2087" s="37" t="n">
        <x:v>46147</x:v>
      </x:c>
      <x:c r="J2087" s="37" t="n">
        <x:v>46147</x:v>
      </x:c>
      <x:c r="K2087" s="19" t="str">
        <x:v>Regent RV - Toowoomba</x:v>
      </x:c>
      <x:c r="L2087" s="19" t="str">
        <x:v>Z006</x:v>
      </x:c>
      <x:c r="M2087" s="19" t="str">
        <x:v>In Field Warranty Claims</x:v>
      </x:c>
      <x:c r="N2087" s="37" t="n">
        <x:v>46125</x:v>
      </x:c>
      <x:c r="O2087" s="37"/>
      <x:c r="P2087" s="34" t="n">
        <x:v>0</x:v>
      </x:c>
      <x:c r="Q2087" s="37" t="n">
        <x:v>46147.193391203706</x:v>
      </x:c>
    </x:row>
    <x:row r="2088">
      <x:c r="A2088" s="22" t="n">
        <x:v>33532</x:v>
      </x:c>
      <x:c r="B2088" s="28" t="n">
        <x:v>90.45</x:v>
      </x:c>
      <x:c r="C2088" s="28"/>
      <x:c r="D2088" s="31" t="str">
        <x:f>IF(OR(ISBLANK(B2088),ISBLANK(C2088),B2088=0),"",(C2088-B2088)/B2088)</x:f>
      </x:c>
      <x:c r="E2088" s="22" t="str">
        <x:f>IF(ISBLANK(C2088),"AmountIncludingTax缺失",IF(ABS(B2088-C2088)&lt;0.005,"一致","不一致"))</x:f>
        <x:v>AmountIncludingTax缺失</x:v>
      </x:c>
      <x:c r="F2088" s="19" t="str">
        <x:v>approved</x:v>
      </x:c>
      <x:c r="G2088" s="19" t="str">
        <x:v>Sales Order Approved</x:v>
      </x:c>
      <x:c r="H2088" s="19" t="str">
        <x:v>In Field</x:v>
      </x:c>
      <x:c r="I2088" s="37" t="n">
        <x:v>46183</x:v>
      </x:c>
      <x:c r="J2088" s="37" t="n">
        <x:v>46183</x:v>
      </x:c>
      <x:c r="K2088" s="19" t="str">
        <x:v>Regent RV - Perth</x:v>
      </x:c>
      <x:c r="L2088" s="19" t="str">
        <x:v>Z006</x:v>
      </x:c>
      <x:c r="M2088" s="19" t="str">
        <x:v>In Field Warranty Claims</x:v>
      </x:c>
      <x:c r="N2088" s="37" t="n">
        <x:v>46125</x:v>
      </x:c>
      <x:c r="O2088" s="37"/>
      <x:c r="P2088" s="34" t="n">
        <x:v>0</x:v>
      </x:c>
      <x:c r="Q2088" s="37" t="n">
        <x:v>46183.18989583333</x:v>
      </x:c>
    </x:row>
    <x:row r="2089">
      <x:c r="A2089" s="22" t="n">
        <x:v>33531</x:v>
      </x:c>
      <x:c r="B2089" s="28" t="n">
        <x:v>270</x:v>
      </x:c>
      <x:c r="C2089" s="28"/>
      <x:c r="D2089" s="31" t="str">
        <x:f>IF(OR(ISBLANK(B2089),ISBLANK(C2089),B2089=0),"",(C2089-B2089)/B2089)</x:f>
      </x:c>
      <x:c r="E2089" s="22" t="str">
        <x:f>IF(ISBLANK(C2089),"AmountIncludingTax缺失",IF(ABS(B2089-C2089)&lt;0.005,"一致","不一致"))</x:f>
        <x:v>AmountIncludingTax缺失</x:v>
      </x:c>
      <x:c r="F2089" s="19" t="str">
        <x:v>approved</x:v>
      </x:c>
      <x:c r="G2089" s="19" t="str">
        <x:v>Repairer Invoiced Processed</x:v>
      </x:c>
      <x:c r="H2089" s="19" t="str">
        <x:v>In Field</x:v>
      </x:c>
      <x:c r="I2089" s="37" t="n">
        <x:v>46126</x:v>
      </x:c>
      <x:c r="J2089" s="37" t="n">
        <x:v>46126</x:v>
      </x:c>
      <x:c r="K2089" s="19" t="str">
        <x:v>Leisure Lion - Bundaberg</x:v>
      </x:c>
      <x:c r="L2089" s="19" t="str">
        <x:v>Z006</x:v>
      </x:c>
      <x:c r="M2089" s="19" t="str">
        <x:v>In Field Warranty Claims</x:v>
      </x:c>
      <x:c r="N2089" s="37" t="n">
        <x:v>46125</x:v>
      </x:c>
      <x:c r="O2089" s="37"/>
      <x:c r="P2089" s="34" t="n">
        <x:v>0</x:v>
      </x:c>
      <x:c r="Q2089" s="37" t="n">
        <x:v>46125.9640162037</x:v>
      </x:c>
    </x:row>
    <x:row r="2090">
      <x:c r="A2090" s="22" t="n">
        <x:v>33524</x:v>
      </x:c>
      <x:c r="B2090" s="28" t="n">
        <x:v>236.25</x:v>
      </x:c>
      <x:c r="C2090" s="28"/>
      <x:c r="D2090" s="31" t="str">
        <x:f>IF(OR(ISBLANK(B2090),ISBLANK(C2090),B2090=0),"",(C2090-B2090)/B2090)</x:f>
      </x:c>
      <x:c r="E2090" s="22" t="str">
        <x:f>IF(ISBLANK(C2090),"AmountIncludingTax缺失",IF(ABS(B2090-C2090)&lt;0.005,"一致","不一致"))</x:f>
        <x:v>AmountIncludingTax缺失</x:v>
      </x:c>
      <x:c r="F2090" s="19" t="str">
        <x:v>approved</x:v>
      </x:c>
      <x:c r="G2090" s="19" t="str">
        <x:v>Repairer Invoiced Processed</x:v>
      </x:c>
      <x:c r="H2090" s="19" t="str">
        <x:v>In Field</x:v>
      </x:c>
      <x:c r="I2090" s="37" t="n">
        <x:v>46127</x:v>
      </x:c>
      <x:c r="J2090" s="37" t="n">
        <x:v>46127</x:v>
      </x:c>
      <x:c r="K2090" s="19" t="str">
        <x:v>Lesiure Lion-New Castle</x:v>
      </x:c>
      <x:c r="L2090" s="19" t="str">
        <x:v>Z006</x:v>
      </x:c>
      <x:c r="M2090" s="19" t="str">
        <x:v>In Field Warranty Claims</x:v>
      </x:c>
      <x:c r="N2090" s="37" t="n">
        <x:v>46126</x:v>
      </x:c>
      <x:c r="O2090" s="37"/>
      <x:c r="P2090" s="34" t="n">
        <x:v>0</x:v>
      </x:c>
      <x:c r="Q2090" s="37" t="n">
        <x:v>46126.97761574074</x:v>
      </x:c>
    </x:row>
    <x:row r="2091">
      <x:c r="A2091" s="22" t="n">
        <x:v>33522</x:v>
      </x:c>
      <x:c r="B2091" s="28" t="n">
        <x:v>1268</x:v>
      </x:c>
      <x:c r="C2091" s="28"/>
      <x:c r="D2091" s="31" t="str">
        <x:f>IF(OR(ISBLANK(B2091),ISBLANK(C2091),B2091=0),"",(C2091-B2091)/B2091)</x:f>
      </x:c>
      <x:c r="E2091" s="22" t="str">
        <x:f>IF(ISBLANK(C2091),"AmountIncludingTax缺失",IF(ABS(B2091-C2091)&lt;0.005,"一致","不一致"))</x:f>
        <x:v>AmountIncludingTax缺失</x:v>
      </x:c>
      <x:c r="F2091" s="19" t="str">
        <x:v>approved</x:v>
      </x:c>
      <x:c r="G2091" s="19" t="str">
        <x:v>Repairer Invoiced Processed</x:v>
      </x:c>
      <x:c r="H2091" s="19" t="str">
        <x:v>In Field</x:v>
      </x:c>
      <x:c r="I2091" s="37" t="n">
        <x:v>46127</x:v>
      </x:c>
      <x:c r="J2091" s="37" t="n">
        <x:v>46127</x:v>
      </x:c>
      <x:c r="K2091" s="19" t="str">
        <x:v>Vanari Caravans - Marden Point</x:v>
      </x:c>
      <x:c r="L2091" s="19" t="str">
        <x:v>Z006</x:v>
      </x:c>
      <x:c r="M2091" s="19" t="str">
        <x:v>In Field Warranty Claims</x:v>
      </x:c>
      <x:c r="N2091" s="37" t="n">
        <x:v>46126</x:v>
      </x:c>
      <x:c r="O2091" s="37"/>
      <x:c r="P2091" s="34" t="n">
        <x:v>1148.05</x:v>
      </x:c>
      <x:c r="Q2091" s="37" t="n">
        <x:v>46126.93224537037</x:v>
      </x:c>
    </x:row>
    <x:row r="2092">
      <x:c r="A2092" s="22" t="n">
        <x:v>33520</x:v>
      </x:c>
      <x:c r="B2092" s="28" t="n">
        <x:v>391.25</x:v>
      </x:c>
      <x:c r="C2092" s="28"/>
      <x:c r="D2092" s="31" t="str">
        <x:f>IF(OR(ISBLANK(B2092),ISBLANK(C2092),B2092=0),"",(C2092-B2092)/B2092)</x:f>
      </x:c>
      <x:c r="E2092" s="22" t="str">
        <x:f>IF(ISBLANK(C2092),"AmountIncludingTax缺失",IF(ABS(B2092-C2092)&lt;0.005,"一致","不一致"))</x:f>
        <x:v>AmountIncludingTax缺失</x:v>
      </x:c>
      <x:c r="F2092" s="19" t="str">
        <x:v>approved</x:v>
      </x:c>
      <x:c r="G2092" s="19" t="str">
        <x:v>Repair in Progress</x:v>
      </x:c>
      <x:c r="H2092" s="19" t="str">
        <x:v>In Field</x:v>
      </x:c>
      <x:c r="I2092" s="37" t="n">
        <x:v>46126</x:v>
      </x:c>
      <x:c r="J2092" s="37" t="n">
        <x:v>46126</x:v>
      </x:c>
      <x:c r="K2092" s="19" t="str">
        <x:v>Regent RV - Toowoomba</x:v>
      </x:c>
      <x:c r="L2092" s="19" t="str">
        <x:v>Z006</x:v>
      </x:c>
      <x:c r="M2092" s="19" t="str">
        <x:v>In Field Warranty Claims</x:v>
      </x:c>
      <x:c r="N2092" s="37" t="n">
        <x:v>46125</x:v>
      </x:c>
      <x:c r="O2092" s="37"/>
      <x:c r="P2092" s="34" t="n">
        <x:v>0</x:v>
      </x:c>
      <x:c r="Q2092" s="37" t="n">
        <x:v>46126.0084375</x:v>
      </x:c>
    </x:row>
    <x:row r="2093">
      <x:c r="A2093" s="22" t="n">
        <x:v>33518</x:v>
      </x:c>
      <x:c r="B2093" s="28" t="n">
        <x:v>840</x:v>
      </x:c>
      <x:c r="C2093" s="28"/>
      <x:c r="D2093" s="31" t="str">
        <x:f>IF(OR(ISBLANK(B2093),ISBLANK(C2093),B2093=0),"",(C2093-B2093)/B2093)</x:f>
      </x:c>
      <x:c r="E2093" s="22" t="str">
        <x:f>IF(ISBLANK(C2093),"AmountIncludingTax缺失",IF(ABS(B2093-C2093)&lt;0.005,"一致","不一致"))</x:f>
        <x:v>AmountIncludingTax缺失</x:v>
      </x:c>
      <x:c r="F2093" s="19" t="str">
        <x:v>approved</x:v>
      </x:c>
      <x:c r="G2093" s="19" t="str">
        <x:v>Sales Order Approved</x:v>
      </x:c>
      <x:c r="H2093" s="19" t="str">
        <x:v>In Field</x:v>
      </x:c>
      <x:c r="I2093" s="37" t="n">
        <x:v>46211</x:v>
      </x:c>
      <x:c r="J2093" s="37" t="n">
        <x:v>46211</x:v>
      </x:c>
      <x:c r="K2093" s="19" t="str">
        <x:v>Green RV - Forest Glen</x:v>
      </x:c>
      <x:c r="L2093" s="19" t="str">
        <x:v>Z006</x:v>
      </x:c>
      <x:c r="M2093" s="19" t="str">
        <x:v>In Field Warranty Claims</x:v>
      </x:c>
      <x:c r="N2093" s="37" t="n">
        <x:v>46125</x:v>
      </x:c>
      <x:c r="O2093" s="37"/>
      <x:c r="P2093" s="34" t="n">
        <x:v>0</x:v>
      </x:c>
      <x:c r="Q2093" s="37" t="n">
        <x:v>46211.20574074074</x:v>
      </x:c>
    </x:row>
    <x:row r="2094">
      <x:c r="A2094" s="22" t="n">
        <x:v>33516</x:v>
      </x:c>
      <x:c r="B2094" s="28" t="n">
        <x:v>425</x:v>
      </x:c>
      <x:c r="C2094" s="28"/>
      <x:c r="D2094" s="31" t="str">
        <x:f>IF(OR(ISBLANK(B2094),ISBLANK(C2094),B2094=0),"",(C2094-B2094)/B2094)</x:f>
      </x:c>
      <x:c r="E2094" s="22" t="str">
        <x:f>IF(ISBLANK(C2094),"AmountIncludingTax缺失",IF(ABS(B2094-C2094)&lt;0.005,"一致","不一致"))</x:f>
        <x:v>AmountIncludingTax缺失</x:v>
      </x:c>
      <x:c r="F2094" s="19" t="str">
        <x:v>approved</x:v>
      </x:c>
      <x:c r="G2094" s="19" t="str">
        <x:v>Sales Order Approved</x:v>
      </x:c>
      <x:c r="H2094" s="19" t="str">
        <x:v>Pre Delivery</x:v>
      </x:c>
      <x:c r="I2094" s="37" t="n">
        <x:v>46139</x:v>
      </x:c>
      <x:c r="J2094" s="37" t="n">
        <x:v>46139</x:v>
      </x:c>
      <x:c r="K2094" s="19" t="str">
        <x:v>Snowy River Wangaratta</x:v>
      </x:c>
      <x:c r="L2094" s="19" t="str">
        <x:v>Z005</x:v>
      </x:c>
      <x:c r="M2094" s="19" t="str">
        <x:v>Pre Delivery Warranty Claims</x:v>
      </x:c>
      <x:c r="N2094" s="37" t="n">
        <x:v>46125</x:v>
      </x:c>
      <x:c r="O2094" s="37"/>
      <x:c r="P2094" s="34" t="n">
        <x:v>0</x:v>
      </x:c>
      <x:c r="Q2094" s="37" t="n">
        <x:v>46138.924421296295</x:v>
      </x:c>
    </x:row>
    <x:row r="2095">
      <x:c r="A2095" s="22" t="n">
        <x:v>33515</x:v>
      </x:c>
      <x:c r="B2095" s="28" t="n">
        <x:v>675</x:v>
      </x:c>
      <x:c r="C2095" s="28"/>
      <x:c r="D2095" s="31" t="str">
        <x:f>IF(OR(ISBLANK(B2095),ISBLANK(C2095),B2095=0),"",(C2095-B2095)/B2095)</x:f>
      </x:c>
      <x:c r="E2095" s="22" t="str">
        <x:f>IF(ISBLANK(C2095),"AmountIncludingTax缺失",IF(ABS(B2095-C2095)&lt;0.005,"一致","不一致"))</x:f>
        <x:v>AmountIncludingTax缺失</x:v>
      </x:c>
      <x:c r="F2095" s="19" t="str">
        <x:v>approved</x:v>
      </x:c>
      <x:c r="G2095" s="19" t="str">
        <x:v>Repairer Invoiced Processed</x:v>
      </x:c>
      <x:c r="H2095" s="19" t="str">
        <x:v>In Field</x:v>
      </x:c>
      <x:c r="I2095" s="37" t="n">
        <x:v>46126</x:v>
      </x:c>
      <x:c r="J2095" s="37" t="n">
        <x:v>46126</x:v>
      </x:c>
      <x:c r="K2095" s="19" t="str">
        <x:v>Green RV - Forest Glen</x:v>
      </x:c>
      <x:c r="L2095" s="19" t="str">
        <x:v>Z006</x:v>
      </x:c>
      <x:c r="M2095" s="19" t="str">
        <x:v>In Field Warranty Claims</x:v>
      </x:c>
      <x:c r="N2095" s="37" t="n">
        <x:v>46125</x:v>
      </x:c>
      <x:c r="O2095" s="37"/>
      <x:c r="P2095" s="34" t="n">
        <x:v>0</x:v>
      </x:c>
      <x:c r="Q2095" s="37" t="n">
        <x:v>46125.93230324074</x:v>
      </x:c>
    </x:row>
    <x:row r="2096">
      <x:c r="A2096" s="22" t="n">
        <x:v>33514</x:v>
      </x:c>
      <x:c r="B2096" s="28" t="n">
        <x:v>270</x:v>
      </x:c>
      <x:c r="C2096" s="28"/>
      <x:c r="D2096" s="31" t="str">
        <x:f>IF(OR(ISBLANK(B2096),ISBLANK(C2096),B2096=0),"",(C2096-B2096)/B2096)</x:f>
      </x:c>
      <x:c r="E2096" s="22" t="str">
        <x:f>IF(ISBLANK(C2096),"AmountIncludingTax缺失",IF(ABS(B2096-C2096)&lt;0.005,"一致","不一致"))</x:f>
        <x:v>AmountIncludingTax缺失</x:v>
      </x:c>
      <x:c r="F2096" s="19" t="str">
        <x:v>approved</x:v>
      </x:c>
      <x:c r="G2096" s="19" t="str">
        <x:v>Repairer Invoiced Processed</x:v>
      </x:c>
      <x:c r="H2096" s="19" t="str">
        <x:v>Pre Delivery</x:v>
      </x:c>
      <x:c r="I2096" s="37" t="n">
        <x:v>46178</x:v>
      </x:c>
      <x:c r="J2096" s="37" t="n">
        <x:v>46178</x:v>
      </x:c>
      <x:c r="K2096" s="19" t="str">
        <x:v>Green RV - Slacks Creek</x:v>
      </x:c>
      <x:c r="L2096" s="19" t="str">
        <x:v>Z005</x:v>
      </x:c>
      <x:c r="M2096" s="19" t="str">
        <x:v>Pre Delivery Warranty Claims</x:v>
      </x:c>
      <x:c r="N2096" s="37" t="n">
        <x:v>46125</x:v>
      </x:c>
      <x:c r="O2096" s="37"/>
      <x:c r="P2096" s="34" t="n">
        <x:v>0</x:v>
      </x:c>
      <x:c r="Q2096" s="37" t="n">
        <x:v>46178.17581018519</x:v>
      </x:c>
    </x:row>
    <x:row r="2097">
      <x:c r="A2097" s="22" t="n">
        <x:v>33513</x:v>
      </x:c>
      <x:c r="B2097" s="28" t="n">
        <x:v>810</x:v>
      </x:c>
      <x:c r="C2097" s="28"/>
      <x:c r="D2097" s="31" t="str">
        <x:f>IF(OR(ISBLANK(B2097),ISBLANK(C2097),B2097=0),"",(C2097-B2097)/B2097)</x:f>
      </x:c>
      <x:c r="E2097" s="22" t="str">
        <x:f>IF(ISBLANK(C2097),"AmountIncludingTax缺失",IF(ABS(B2097-C2097)&lt;0.005,"一致","不一致"))</x:f>
        <x:v>AmountIncludingTax缺失</x:v>
      </x:c>
      <x:c r="F2097" s="19" t="str">
        <x:v>approved</x:v>
      </x:c>
      <x:c r="G2097" s="19" t="str">
        <x:v>Repairer Invoiced Processed</x:v>
      </x:c>
      <x:c r="H2097" s="19" t="str">
        <x:v>In Field</x:v>
      </x:c>
      <x:c r="I2097" s="37" t="n">
        <x:v>46126</x:v>
      </x:c>
      <x:c r="J2097" s="37" t="n">
        <x:v>46126</x:v>
      </x:c>
      <x:c r="K2097" s="19" t="str">
        <x:v>Green RV - Forest Glen</x:v>
      </x:c>
      <x:c r="L2097" s="19" t="str">
        <x:v>Z006</x:v>
      </x:c>
      <x:c r="M2097" s="19" t="str">
        <x:v>In Field Warranty Claims</x:v>
      </x:c>
      <x:c r="N2097" s="37" t="n">
        <x:v>46125</x:v>
      </x:c>
      <x:c r="O2097" s="37"/>
      <x:c r="P2097" s="34" t="n">
        <x:v>0</x:v>
      </x:c>
      <x:c r="Q2097" s="37" t="n">
        <x:v>46125.84644675926</x:v>
      </x:c>
    </x:row>
    <x:row r="2098">
      <x:c r="A2098" s="22" t="n">
        <x:v>33510</x:v>
      </x:c>
      <x:c r="B2098" s="28" t="n">
        <x:v>161.25</x:v>
      </x:c>
      <x:c r="C2098" s="28"/>
      <x:c r="D2098" s="31" t="str">
        <x:f>IF(OR(ISBLANK(B2098),ISBLANK(C2098),B2098=0),"",(C2098-B2098)/B2098)</x:f>
      </x:c>
      <x:c r="E2098" s="22" t="str">
        <x:f>IF(ISBLANK(C2098),"AmountIncludingTax缺失",IF(ABS(B2098-C2098)&lt;0.005,"一致","不一致"))</x:f>
        <x:v>AmountIncludingTax缺失</x:v>
      </x:c>
      <x:c r="F2098" s="19" t="str">
        <x:v>approved</x:v>
      </x:c>
      <x:c r="G2098" s="19" t="str">
        <x:v>Repair in Progress</x:v>
      </x:c>
      <x:c r="H2098" s="19" t="str">
        <x:v>In Field</x:v>
      </x:c>
      <x:c r="I2098" s="37" t="n">
        <x:v>46134</x:v>
      </x:c>
      <x:c r="J2098" s="37" t="n">
        <x:v>46134</x:v>
      </x:c>
      <x:c r="K2098" s="19" t="str">
        <x:v>Regent RV - Perth</x:v>
      </x:c>
      <x:c r="L2098" s="19" t="str">
        <x:v>Z006</x:v>
      </x:c>
      <x:c r="M2098" s="19" t="str">
        <x:v>In Field Warranty Claims</x:v>
      </x:c>
      <x:c r="N2098" s="37" t="n">
        <x:v>46125</x:v>
      </x:c>
      <x:c r="O2098" s="37"/>
      <x:c r="P2098" s="34" t="n">
        <x:v>0</x:v>
      </x:c>
      <x:c r="Q2098" s="37" t="n">
        <x:v>46134.25412037037</x:v>
      </x:c>
    </x:row>
    <x:row r="2099">
      <x:c r="A2099" s="22" t="n">
        <x:v>33509</x:v>
      </x:c>
      <x:c r="B2099" s="28" t="n">
        <x:v>288</x:v>
      </x:c>
      <x:c r="C2099" s="28"/>
      <x:c r="D2099" s="31" t="str">
        <x:f>IF(OR(ISBLANK(B2099),ISBLANK(C2099),B2099=0),"",(C2099-B2099)/B2099)</x:f>
      </x:c>
      <x:c r="E2099" s="22" t="str">
        <x:f>IF(ISBLANK(C2099),"AmountIncludingTax缺失",IF(ABS(B2099-C2099)&lt;0.005,"一致","不一致"))</x:f>
        <x:v>AmountIncludingTax缺失</x:v>
      </x:c>
      <x:c r="F2099" s="19" t="str">
        <x:v>approved</x:v>
      </x:c>
      <x:c r="G2099" s="19" t="str">
        <x:v>Repair in Progress</x:v>
      </x:c>
      <x:c r="H2099" s="19" t="str">
        <x:v>In Field</x:v>
      </x:c>
      <x:c r="I2099" s="37" t="n">
        <x:v>46133</x:v>
      </x:c>
      <x:c r="J2099" s="37" t="n">
        <x:v>46133</x:v>
      </x:c>
      <x:c r="K2099" s="19" t="str">
        <x:v>Green RV - Slacks Creek</x:v>
      </x:c>
      <x:c r="L2099" s="19" t="str">
        <x:v>Z006</x:v>
      </x:c>
      <x:c r="M2099" s="19" t="str">
        <x:v>In Field Warranty Claims</x:v>
      </x:c>
      <x:c r="N2099" s="37" t="n">
        <x:v>46125</x:v>
      </x:c>
      <x:c r="O2099" s="37"/>
      <x:c r="P2099" s="34" t="n">
        <x:v>0</x:v>
      </x:c>
      <x:c r="Q2099" s="37" t="n">
        <x:v>46132.89709490741</x:v>
      </x:c>
    </x:row>
    <x:row r="2100">
      <x:c r="A2100" s="22" t="n">
        <x:v>33508</x:v>
      </x:c>
      <x:c r="B2100" s="28" t="n">
        <x:v>888.75</x:v>
      </x:c>
      <x:c r="C2100" s="28"/>
      <x:c r="D2100" s="31" t="str">
        <x:f>IF(OR(ISBLANK(B2100),ISBLANK(C2100),B2100=0),"",(C2100-B2100)/B2100)</x:f>
      </x:c>
      <x:c r="E2100" s="22" t="str">
        <x:f>IF(ISBLANK(C2100),"AmountIncludingTax缺失",IF(ABS(B2100-C2100)&lt;0.005,"一致","不一致"))</x:f>
        <x:v>AmountIncludingTax缺失</x:v>
      </x:c>
      <x:c r="F2100" s="19" t="str">
        <x:v>approved</x:v>
      </x:c>
      <x:c r="G2100" s="19" t="str">
        <x:v>Sales Order Approved</x:v>
      </x:c>
      <x:c r="H2100" s="19" t="str">
        <x:v>Pre Delivery</x:v>
      </x:c>
      <x:c r="I2100" s="37" t="n">
        <x:v>46191</x:v>
      </x:c>
      <x:c r="J2100" s="37" t="n">
        <x:v>46190</x:v>
      </x:c>
      <x:c r="K2100" s="19" t="str">
        <x:v>Green RV - Forest Glen</x:v>
      </x:c>
      <x:c r="L2100" s="19" t="str">
        <x:v>Z005</x:v>
      </x:c>
      <x:c r="M2100" s="19" t="str">
        <x:v>Pre Delivery Warranty Claims</x:v>
      </x:c>
      <x:c r="N2100" s="37" t="n">
        <x:v>46125</x:v>
      </x:c>
      <x:c r="O2100" s="37"/>
      <x:c r="P2100" s="34" t="n">
        <x:v>0</x:v>
      </x:c>
      <x:c r="Q2100" s="37" t="n">
        <x:v>46190.979363425926</x:v>
      </x:c>
    </x:row>
    <x:row r="2101">
      <x:c r="A2101" s="22" t="n">
        <x:v>33506</x:v>
      </x:c>
      <x:c r="B2101" s="28" t="n">
        <x:v>830</x:v>
      </x:c>
      <x:c r="C2101" s="28"/>
      <x:c r="D2101" s="31" t="str">
        <x:f>IF(OR(ISBLANK(B2101),ISBLANK(C2101),B2101=0),"",(C2101-B2101)/B2101)</x:f>
      </x:c>
      <x:c r="E2101" s="22" t="str">
        <x:f>IF(ISBLANK(C2101),"AmountIncludingTax缺失",IF(ABS(B2101-C2101)&lt;0.005,"一致","不一致"))</x:f>
        <x:v>AmountIncludingTax缺失</x:v>
      </x:c>
      <x:c r="F2101" s="19" t="str">
        <x:v>approved</x:v>
      </x:c>
      <x:c r="G2101" s="19" t="str">
        <x:v>Repairer Invoiced Processed</x:v>
      </x:c>
      <x:c r="H2101" s="19" t="str">
        <x:v>In Field</x:v>
      </x:c>
      <x:c r="I2101" s="37" t="n">
        <x:v>46156</x:v>
      </x:c>
      <x:c r="J2101" s="37" t="n">
        <x:v>46156</x:v>
      </x:c>
      <x:c r="K2101" s="19" t="str">
        <x:v>Green RV - Forest Glen</x:v>
      </x:c>
      <x:c r="L2101" s="19" t="str">
        <x:v>Z006</x:v>
      </x:c>
      <x:c r="M2101" s="19" t="str">
        <x:v>In Field Warranty Claims</x:v>
      </x:c>
      <x:c r="N2101" s="37" t="n">
        <x:v>46125</x:v>
      </x:c>
      <x:c r="O2101" s="37"/>
      <x:c r="P2101" s="34" t="n">
        <x:v>0</x:v>
      </x:c>
      <x:c r="Q2101" s="37" t="n">
        <x:v>46156.096875</x:v>
      </x:c>
    </x:row>
    <x:row r="2102">
      <x:c r="A2102" s="22" t="n">
        <x:v>33505</x:v>
      </x:c>
      <x:c r="B2102" s="28" t="n">
        <x:v>847.73</x:v>
      </x:c>
      <x:c r="C2102" s="28"/>
      <x:c r="D2102" s="31" t="str">
        <x:f>IF(OR(ISBLANK(B2102),ISBLANK(C2102),B2102=0),"",(C2102-B2102)/B2102)</x:f>
      </x:c>
      <x:c r="E2102" s="22" t="str">
        <x:f>IF(ISBLANK(C2102),"AmountIncludingTax缺失",IF(ABS(B2102-C2102)&lt;0.005,"一致","不一致"))</x:f>
        <x:v>AmountIncludingTax缺失</x:v>
      </x:c>
      <x:c r="F2102" s="19" t="str">
        <x:v>approved</x:v>
      </x:c>
      <x:c r="G2102" s="19" t="str">
        <x:v>Repair in Progress</x:v>
      </x:c>
      <x:c r="H2102" s="19" t="str">
        <x:v>Pre Delivery</x:v>
      </x:c>
      <x:c r="I2102" s="37" t="n">
        <x:v>46136</x:v>
      </x:c>
      <x:c r="J2102" s="37" t="n">
        <x:v>46136</x:v>
      </x:c>
      <x:c r="K2102" s="19" t="str">
        <x:v>Green RV - Forest Glen</x:v>
      </x:c>
      <x:c r="L2102" s="19" t="str">
        <x:v>Z005</x:v>
      </x:c>
      <x:c r="M2102" s="19" t="str">
        <x:v>Pre Delivery Warranty Claims</x:v>
      </x:c>
      <x:c r="N2102" s="37" t="n">
        <x:v>46125</x:v>
      </x:c>
      <x:c r="O2102" s="37"/>
      <x:c r="P2102" s="34" t="n">
        <x:v>0</x:v>
      </x:c>
      <x:c r="Q2102" s="37" t="n">
        <x:v>46136.2703587963</x:v>
      </x:c>
    </x:row>
    <x:row r="2103">
      <x:c r="A2103" s="22" t="n">
        <x:v>33504</x:v>
      </x:c>
      <x:c r="B2103" s="28" t="n">
        <x:v>279.37</x:v>
      </x:c>
      <x:c r="C2103" s="28" t="n">
        <x:v>307.31</x:v>
      </x:c>
      <x:c r="D2103" s="31" t="n">
        <x:f>IF(OR(ISBLANK(B2103),ISBLANK(C2103),B2103=0),"",(C2103-B2103)/B2103)</x:f>
        <x:v>0.10001073844722053</x:v>
      </x:c>
      <x:c r="E2103" s="22" t="str">
        <x:f>IF(ISBLANK(C2103),"AmountIncludingTax缺失",IF(ABS(B2103-C2103)&lt;0.005,"一致","不一致"))</x:f>
        <x:v>不一致</x:v>
      </x:c>
      <x:c r="F2103" s="19" t="str">
        <x:v>approved</x:v>
      </x:c>
      <x:c r="G2103" s="19" t="str">
        <x:v>Repairer Invoiced Processed</x:v>
      </x:c>
      <x:c r="H2103" s="19" t="str">
        <x:v>In Field</x:v>
      </x:c>
      <x:c r="I2103" s="37" t="n">
        <x:v>46127</x:v>
      </x:c>
      <x:c r="J2103" s="37" t="n">
        <x:v>46127</x:v>
      </x:c>
      <x:c r="K2103" s="19" t="str">
        <x:v>Green RV - Slacks Creek</x:v>
      </x:c>
      <x:c r="L2103" s="19" t="str">
        <x:v>Z006</x:v>
      </x:c>
      <x:c r="M2103" s="19" t="str">
        <x:v>In Field Warranty Claims</x:v>
      </x:c>
      <x:c r="N2103" s="37" t="n">
        <x:v>46125</x:v>
      </x:c>
      <x:c r="O2103" s="37"/>
      <x:c r="P2103" s="34" t="n">
        <x:v>307.31</x:v>
      </x:c>
      <x:c r="Q2103" s="37" t="n">
        <x:v>46126.98100694444</x:v>
      </x:c>
    </x:row>
    <x:row r="2104">
      <x:c r="A2104" s="22" t="n">
        <x:v>33503</x:v>
      </x:c>
      <x:c r="B2104" s="28" t="n">
        <x:v>202.5</x:v>
      </x:c>
      <x:c r="C2104" s="28"/>
      <x:c r="D2104" s="31" t="str">
        <x:f>IF(OR(ISBLANK(B2104),ISBLANK(C2104),B2104=0),"",(C2104-B2104)/B2104)</x:f>
      </x:c>
      <x:c r="E2104" s="22" t="str">
        <x:f>IF(ISBLANK(C2104),"AmountIncludingTax缺失",IF(ABS(B2104-C2104)&lt;0.005,"一致","不一致"))</x:f>
        <x:v>AmountIncludingTax缺失</x:v>
      </x:c>
      <x:c r="F2104" s="19" t="str">
        <x:v>approved</x:v>
      </x:c>
      <x:c r="G2104" s="19" t="str">
        <x:v>Repair in Progress</x:v>
      </x:c>
      <x:c r="H2104" s="19" t="str">
        <x:v>In Field</x:v>
      </x:c>
      <x:c r="I2104" s="37" t="n">
        <x:v>46130</x:v>
      </x:c>
      <x:c r="J2104" s="37" t="n">
        <x:v>46130</x:v>
      </x:c>
      <x:c r="K2104" s="19" t="str">
        <x:v>Regent RV - Frankston</x:v>
      </x:c>
      <x:c r="L2104" s="19" t="str">
        <x:v>Z006</x:v>
      </x:c>
      <x:c r="M2104" s="19" t="str">
        <x:v>In Field Warranty Claims</x:v>
      </x:c>
      <x:c r="N2104" s="37" t="n">
        <x:v>46125</x:v>
      </x:c>
      <x:c r="O2104" s="37"/>
      <x:c r="P2104" s="34" t="n">
        <x:v>0</x:v>
      </x:c>
      <x:c r="Q2104" s="37" t="n">
        <x:v>46130.09857638889</x:v>
      </x:c>
    </x:row>
    <x:row r="2105">
      <x:c r="A2105" s="22" t="n">
        <x:v>33499</x:v>
      </x:c>
      <x:c r="B2105" s="28" t="n">
        <x:v>415</x:v>
      </x:c>
      <x:c r="C2105" s="28"/>
      <x:c r="D2105" s="31" t="str">
        <x:f>IF(OR(ISBLANK(B2105),ISBLANK(C2105),B2105=0),"",(C2105-B2105)/B2105)</x:f>
      </x:c>
      <x:c r="E2105" s="22" t="str">
        <x:f>IF(ISBLANK(C2105),"AmountIncludingTax缺失",IF(ABS(B2105-C2105)&lt;0.005,"一致","不一致"))</x:f>
        <x:v>AmountIncludingTax缺失</x:v>
      </x:c>
      <x:c r="F2105" s="19" t="str">
        <x:v>approved</x:v>
      </x:c>
      <x:c r="G2105" s="19" t="str">
        <x:v>Repairer Invoiced Processed</x:v>
      </x:c>
      <x:c r="H2105" s="19" t="str">
        <x:v>Pre Delivery</x:v>
      </x:c>
      <x:c r="I2105" s="37" t="n">
        <x:v>46134</x:v>
      </x:c>
      <x:c r="J2105" s="37" t="n">
        <x:v>46134</x:v>
      </x:c>
      <x:c r="K2105" s="19" t="str">
        <x:v>Snowy River Wangaratta</x:v>
      </x:c>
      <x:c r="L2105" s="19" t="str">
        <x:v>Z005</x:v>
      </x:c>
      <x:c r="M2105" s="19" t="str">
        <x:v>Pre Delivery Warranty Claims</x:v>
      </x:c>
      <x:c r="N2105" s="37" t="n">
        <x:v>46125</x:v>
      </x:c>
      <x:c r="O2105" s="37"/>
      <x:c r="P2105" s="34" t="n">
        <x:v>0</x:v>
      </x:c>
      <x:c r="Q2105" s="37" t="n">
        <x:v>46134.112662037034</x:v>
      </x:c>
    </x:row>
    <x:row r="2106">
      <x:c r="A2106" s="22" t="n">
        <x:v>33498</x:v>
      </x:c>
      <x:c r="B2106" s="28" t="n">
        <x:v>2485.09</x:v>
      </x:c>
      <x:c r="C2106" s="28"/>
      <x:c r="D2106" s="31" t="str">
        <x:f>IF(OR(ISBLANK(B2106),ISBLANK(C2106),B2106=0),"",(C2106-B2106)/B2106)</x:f>
      </x:c>
      <x:c r="E2106" s="22" t="str">
        <x:f>IF(ISBLANK(C2106),"AmountIncludingTax缺失",IF(ABS(B2106-C2106)&lt;0.005,"一致","不一致"))</x:f>
        <x:v>AmountIncludingTax缺失</x:v>
      </x:c>
      <x:c r="F2106" s="19" t="str">
        <x:v>approved</x:v>
      </x:c>
      <x:c r="G2106" s="19" t="str">
        <x:v>Repairer Invoiced Processed</x:v>
      </x:c>
      <x:c r="H2106" s="19" t="str">
        <x:v>In Field</x:v>
      </x:c>
      <x:c r="I2106" s="37" t="n">
        <x:v>46146</x:v>
      </x:c>
      <x:c r="J2106" s="37" t="n">
        <x:v>46146</x:v>
      </x:c>
      <x:c r="K2106" s="19" t="str">
        <x:v>Green RV - Forest Glen</x:v>
      </x:c>
      <x:c r="L2106" s="19" t="str">
        <x:v>Z006</x:v>
      </x:c>
      <x:c r="M2106" s="19" t="str">
        <x:v>In Field Warranty Claims</x:v>
      </x:c>
      <x:c r="N2106" s="37" t="n">
        <x:v>46125</x:v>
      </x:c>
      <x:c r="O2106" s="37"/>
      <x:c r="P2106" s="34" t="n">
        <x:v>2733.6</x:v>
      </x:c>
      <x:c r="Q2106" s="37" t="n">
        <x:v>46145.99091435185</x:v>
      </x:c>
    </x:row>
    <x:row r="2107">
      <x:c r="A2107" s="22" t="n">
        <x:v>33497</x:v>
      </x:c>
      <x:c r="B2107" s="28" t="n">
        <x:v>200</x:v>
      </x:c>
      <x:c r="C2107" s="28"/>
      <x:c r="D2107" s="31" t="str">
        <x:f>IF(OR(ISBLANK(B2107),ISBLANK(C2107),B2107=0),"",(C2107-B2107)/B2107)</x:f>
      </x:c>
      <x:c r="E2107" s="22" t="str">
        <x:f>IF(ISBLANK(C2107),"AmountIncludingTax缺失",IF(ABS(B2107-C2107)&lt;0.005,"一致","不一致"))</x:f>
        <x:v>AmountIncludingTax缺失</x:v>
      </x:c>
      <x:c r="F2107" s="19" t="str">
        <x:v>approved</x:v>
      </x:c>
      <x:c r="G2107" s="19" t="str">
        <x:v>Repairer Invoiced Processed</x:v>
      </x:c>
      <x:c r="H2107" s="19" t="str">
        <x:v>In Field</x:v>
      </x:c>
      <x:c r="I2107" s="37" t="n">
        <x:v>46125</x:v>
      </x:c>
      <x:c r="J2107" s="37" t="n">
        <x:v>46125</x:v>
      </x:c>
      <x:c r="K2107" s="19" t="str">
        <x:v>Green RV - Forest Glen</x:v>
      </x:c>
      <x:c r="L2107" s="19" t="str">
        <x:v>Z006</x:v>
      </x:c>
      <x:c r="M2107" s="19" t="str">
        <x:v>In Field Warranty Claims</x:v>
      </x:c>
      <x:c r="N2107" s="37" t="n">
        <x:v>46125</x:v>
      </x:c>
      <x:c r="O2107" s="37"/>
      <x:c r="P2107" s="34" t="n">
        <x:v>0</x:v>
      </x:c>
      <x:c r="Q2107" s="37" t="n">
        <x:v>46125.36938657407</x:v>
      </x:c>
    </x:row>
    <x:row r="2108">
      <x:c r="A2108" s="22" t="n">
        <x:v>33494</x:v>
      </x:c>
      <x:c r="B2108" s="28" t="n">
        <x:v>222.5</x:v>
      </x:c>
      <x:c r="C2108" s="28"/>
      <x:c r="D2108" s="31" t="str">
        <x:f>IF(OR(ISBLANK(B2108),ISBLANK(C2108),B2108=0),"",(C2108-B2108)/B2108)</x:f>
      </x:c>
      <x:c r="E2108" s="22" t="str">
        <x:f>IF(ISBLANK(C2108),"AmountIncludingTax缺失",IF(ABS(B2108-C2108)&lt;0.005,"一致","不一致"))</x:f>
        <x:v>AmountIncludingTax缺失</x:v>
      </x:c>
      <x:c r="F2108" s="19" t="str">
        <x:v>approved</x:v>
      </x:c>
      <x:c r="G2108" s="19" t="str">
        <x:v>Repair in Progress</x:v>
      </x:c>
      <x:c r="H2108" s="19" t="str">
        <x:v>In Field</x:v>
      </x:c>
      <x:c r="I2108" s="37" t="n">
        <x:v>46125</x:v>
      </x:c>
      <x:c r="J2108" s="37" t="n">
        <x:v>46125</x:v>
      </x:c>
      <x:c r="K2108" s="19" t="str">
        <x:v>Snowy River Wangaratta</x:v>
      </x:c>
      <x:c r="L2108" s="19" t="str">
        <x:v>Z006</x:v>
      </x:c>
      <x:c r="M2108" s="19" t="str">
        <x:v>In Field Warranty Claims</x:v>
      </x:c>
      <x:c r="N2108" s="37" t="n">
        <x:v>46125</x:v>
      </x:c>
      <x:c r="O2108" s="37"/>
      <x:c r="P2108" s="34" t="n">
        <x:v>0</x:v>
      </x:c>
      <x:c r="Q2108" s="37" t="n">
        <x:v>46125.3478125</x:v>
      </x:c>
    </x:row>
    <x:row r="2109">
      <x:c r="A2109" s="22" t="n">
        <x:v>33492</x:v>
      </x:c>
      <x:c r="B2109" s="28" t="n">
        <x:v>425</x:v>
      </x:c>
      <x:c r="C2109" s="28"/>
      <x:c r="D2109" s="31" t="str">
        <x:f>IF(OR(ISBLANK(B2109),ISBLANK(C2109),B2109=0),"",(C2109-B2109)/B2109)</x:f>
      </x:c>
      <x:c r="E2109" s="22" t="str">
        <x:f>IF(ISBLANK(C2109),"AmountIncludingTax缺失",IF(ABS(B2109-C2109)&lt;0.005,"一致","不一致"))</x:f>
        <x:v>AmountIncludingTax缺失</x:v>
      </x:c>
      <x:c r="F2109" s="19" t="str">
        <x:v>approved</x:v>
      </x:c>
      <x:c r="G2109" s="19" t="str">
        <x:v>Repairer Invoiced Processed</x:v>
      </x:c>
      <x:c r="H2109" s="19" t="str">
        <x:v>In Field</x:v>
      </x:c>
      <x:c r="I2109" s="37" t="n">
        <x:v>46142</x:v>
      </x:c>
      <x:c r="J2109" s="37" t="n">
        <x:v>46142</x:v>
      </x:c>
      <x:c r="K2109" s="19" t="str">
        <x:v>Leisure Lion Pty Ltd - Gympie</x:v>
      </x:c>
      <x:c r="L2109" s="19" t="str">
        <x:v>Z006</x:v>
      </x:c>
      <x:c r="M2109" s="19" t="str">
        <x:v>In Field Warranty Claims</x:v>
      </x:c>
      <x:c r="N2109" s="37" t="n">
        <x:v>46125</x:v>
      </x:c>
      <x:c r="O2109" s="37"/>
      <x:c r="P2109" s="34" t="n">
        <x:v>0</x:v>
      </x:c>
      <x:c r="Q2109" s="37" t="n">
        <x:v>46142.17802083334</x:v>
      </x:c>
    </x:row>
    <x:row r="2110">
      <x:c r="A2110" s="22" t="n">
        <x:v>33491</x:v>
      </x:c>
      <x:c r="B2110" s="28" t="n">
        <x:v>67.5</x:v>
      </x:c>
      <x:c r="C2110" s="28"/>
      <x:c r="D2110" s="31" t="str">
        <x:f>IF(OR(ISBLANK(B2110),ISBLANK(C2110),B2110=0),"",(C2110-B2110)/B2110)</x:f>
      </x:c>
      <x:c r="E2110" s="22" t="str">
        <x:f>IF(ISBLANK(C2110),"AmountIncludingTax缺失",IF(ABS(B2110-C2110)&lt;0.005,"一致","不一致"))</x:f>
        <x:v>AmountIncludingTax缺失</x:v>
      </x:c>
      <x:c r="F2110" s="19" t="str">
        <x:v>approved</x:v>
      </x:c>
      <x:c r="G2110" s="19" t="str">
        <x:v>Repair in Progress</x:v>
      </x:c>
      <x:c r="H2110" s="19" t="str">
        <x:v>In Field</x:v>
      </x:c>
      <x:c r="I2110" s="37" t="n">
        <x:v>46170</x:v>
      </x:c>
      <x:c r="J2110" s="37" t="n">
        <x:v>46170</x:v>
      </x:c>
      <x:c r="K2110" s="19" t="str">
        <x:v>QCCC - Gympie</x:v>
      </x:c>
      <x:c r="L2110" s="19" t="str">
        <x:v>Z006</x:v>
      </x:c>
      <x:c r="M2110" s="19" t="str">
        <x:v>In Field Warranty Claims</x:v>
      </x:c>
      <x:c r="N2110" s="37" t="n">
        <x:v>46124</x:v>
      </x:c>
      <x:c r="O2110" s="37"/>
      <x:c r="P2110" s="34" t="n">
        <x:v>0</x:v>
      </x:c>
      <x:c r="Q2110" s="37" t="n">
        <x:v>46169.911574074074</x:v>
      </x:c>
    </x:row>
    <x:row r="2111">
      <x:c r="A2111" s="22" t="n">
        <x:v>33490</x:v>
      </x:c>
      <x:c r="B2111" s="28" t="n">
        <x:v>675</x:v>
      </x:c>
      <x:c r="C2111" s="28"/>
      <x:c r="D2111" s="31" t="str">
        <x:f>IF(OR(ISBLANK(B2111),ISBLANK(C2111),B2111=0),"",(C2111-B2111)/B2111)</x:f>
      </x:c>
      <x:c r="E2111" s="22" t="str">
        <x:f>IF(ISBLANK(C2111),"AmountIncludingTax缺失",IF(ABS(B2111-C2111)&lt;0.005,"一致","不一致"))</x:f>
        <x:v>AmountIncludingTax缺失</x:v>
      </x:c>
      <x:c r="F2111" s="19" t="str">
        <x:v>approved</x:v>
      </x:c>
      <x:c r="G2111" s="19" t="str">
        <x:v>Repair in Progress</x:v>
      </x:c>
      <x:c r="H2111" s="19" t="str">
        <x:v>In Field</x:v>
      </x:c>
      <x:c r="I2111" s="37" t="n">
        <x:v>46133</x:v>
      </x:c>
      <x:c r="J2111" s="37" t="n">
        <x:v>46133</x:v>
      </x:c>
      <x:c r="K2111" s="19" t="str">
        <x:v>Regent RV - Frankston</x:v>
      </x:c>
      <x:c r="L2111" s="19" t="str">
        <x:v>Z006</x:v>
      </x:c>
      <x:c r="M2111" s="19" t="str">
        <x:v>In Field Warranty Claims</x:v>
      </x:c>
      <x:c r="N2111" s="37" t="n">
        <x:v>46124</x:v>
      </x:c>
      <x:c r="O2111" s="37"/>
      <x:c r="P2111" s="34" t="n">
        <x:v>0</x:v>
      </x:c>
      <x:c r="Q2111" s="37" t="n">
        <x:v>46133.12574074074</x:v>
      </x:c>
    </x:row>
    <x:row r="2112">
      <x:c r="A2112" s="22" t="n">
        <x:v>33489</x:v>
      </x:c>
      <x:c r="B2112" s="28" t="n">
        <x:v>101.25</x:v>
      </x:c>
      <x:c r="C2112" s="28"/>
      <x:c r="D2112" s="31" t="str">
        <x:f>IF(OR(ISBLANK(B2112),ISBLANK(C2112),B2112=0),"",(C2112-B2112)/B2112)</x:f>
      </x:c>
      <x:c r="E2112" s="22" t="str">
        <x:f>IF(ISBLANK(C2112),"AmountIncludingTax缺失",IF(ABS(B2112-C2112)&lt;0.005,"一致","不一致"))</x:f>
        <x:v>AmountIncludingTax缺失</x:v>
      </x:c>
      <x:c r="F2112" s="19" t="str">
        <x:v>approved</x:v>
      </x:c>
      <x:c r="G2112" s="19" t="str">
        <x:v>Repairer Invoiced Processed</x:v>
      </x:c>
      <x:c r="H2112" s="19" t="str">
        <x:v>In Field</x:v>
      </x:c>
      <x:c r="I2112" s="37" t="n">
        <x:v>46127</x:v>
      </x:c>
      <x:c r="J2112" s="37" t="n">
        <x:v>46127</x:v>
      </x:c>
      <x:c r="K2112" s="19" t="str">
        <x:v>Green RV - Forest Glen</x:v>
      </x:c>
      <x:c r="L2112" s="19" t="str">
        <x:v>Z006</x:v>
      </x:c>
      <x:c r="M2112" s="19" t="str">
        <x:v>In Field Warranty Claims</x:v>
      </x:c>
      <x:c r="N2112" s="37" t="n">
        <x:v>46124</x:v>
      </x:c>
      <x:c r="O2112" s="37"/>
      <x:c r="P2112" s="34" t="n">
        <x:v>0</x:v>
      </x:c>
      <x:c r="Q2112" s="37" t="n">
        <x:v>46126.987708333334</x:v>
      </x:c>
    </x:row>
    <x:row r="2113">
      <x:c r="A2113" s="22" t="n">
        <x:v>33488</x:v>
      </x:c>
      <x:c r="B2113" s="28" t="n">
        <x:v>493.75</x:v>
      </x:c>
      <x:c r="C2113" s="28" t="n">
        <x:v>543.13</x:v>
      </x:c>
      <x:c r="D2113" s="31" t="n">
        <x:f>IF(OR(ISBLANK(B2113),ISBLANK(C2113),B2113=0),"",(C2113-B2113)/B2113)</x:f>
        <x:v>0.10001012658227847</x:v>
      </x:c>
      <x:c r="E2113" s="22" t="str">
        <x:f>IF(ISBLANK(C2113),"AmountIncludingTax缺失",IF(ABS(B2113-C2113)&lt;0.005,"一致","不一致"))</x:f>
        <x:v>不一致</x:v>
      </x:c>
      <x:c r="F2113" s="19" t="str">
        <x:v>approved</x:v>
      </x:c>
      <x:c r="G2113" s="19" t="str">
        <x:v>Repairer Invoiced Processed</x:v>
      </x:c>
      <x:c r="H2113" s="19" t="str">
        <x:v>In Field</x:v>
      </x:c>
      <x:c r="I2113" s="37" t="n">
        <x:v>46127</x:v>
      </x:c>
      <x:c r="J2113" s="37" t="n">
        <x:v>46127</x:v>
      </x:c>
      <x:c r="K2113" s="19" t="str">
        <x:v>Green RV - Forest Glen</x:v>
      </x:c>
      <x:c r="L2113" s="19" t="str">
        <x:v>Z006</x:v>
      </x:c>
      <x:c r="M2113" s="19" t="str">
        <x:v>In Field Warranty Claims</x:v>
      </x:c>
      <x:c r="N2113" s="37" t="n">
        <x:v>46124</x:v>
      </x:c>
      <x:c r="O2113" s="37"/>
      <x:c r="P2113" s="34" t="n">
        <x:v>543.13</x:v>
      </x:c>
      <x:c r="Q2113" s="37" t="n">
        <x:v>46126.926354166666</x:v>
      </x:c>
    </x:row>
    <x:row r="2114">
      <x:c r="A2114" s="22" t="n">
        <x:v>33486</x:v>
      </x:c>
      <x:c r="B2114" s="28" t="n">
        <x:v>1235</x:v>
      </x:c>
      <x:c r="C2114" s="28"/>
      <x:c r="D2114" s="31" t="str">
        <x:f>IF(OR(ISBLANK(B2114),ISBLANK(C2114),B2114=0),"",(C2114-B2114)/B2114)</x:f>
      </x:c>
      <x:c r="E2114" s="22" t="str">
        <x:f>IF(ISBLANK(C2114),"AmountIncludingTax缺失",IF(ABS(B2114-C2114)&lt;0.005,"一致","不一致"))</x:f>
        <x:v>AmountIncludingTax缺失</x:v>
      </x:c>
      <x:c r="F2114" s="19" t="str">
        <x:v>approved</x:v>
      </x:c>
      <x:c r="G2114" s="19" t="str">
        <x:v>Repair in Progress</x:v>
      </x:c>
      <x:c r="H2114" s="19" t="str">
        <x:v>In Field</x:v>
      </x:c>
      <x:c r="I2114" s="37" t="n">
        <x:v>46190</x:v>
      </x:c>
      <x:c r="J2114" s="37" t="n">
        <x:v>46190</x:v>
      </x:c>
      <x:c r="K2114" s="19" t="str">
        <x:v>Newcastle RV Super Centre - Beresfield</x:v>
      </x:c>
      <x:c r="L2114" s="19" t="str">
        <x:v>Z006</x:v>
      </x:c>
      <x:c r="M2114" s="19" t="str">
        <x:v>In Field Warranty Claims</x:v>
      </x:c>
      <x:c r="N2114" s="37" t="n">
        <x:v>46124</x:v>
      </x:c>
      <x:c r="O2114" s="37"/>
      <x:c r="P2114" s="34" t="n">
        <x:v>0</x:v>
      </x:c>
      <x:c r="Q2114" s="37" t="n">
        <x:v>46190.21965277778</x:v>
      </x:c>
    </x:row>
    <x:row r="2115">
      <x:c r="A2115" s="22" t="n">
        <x:v>33485</x:v>
      </x:c>
      <x:c r="B2115" s="28" t="n">
        <x:v>345.45</x:v>
      </x:c>
      <x:c r="C2115" s="28"/>
      <x:c r="D2115" s="31" t="str">
        <x:f>IF(OR(ISBLANK(B2115),ISBLANK(C2115),B2115=0),"",(C2115-B2115)/B2115)</x:f>
      </x:c>
      <x:c r="E2115" s="22" t="str">
        <x:f>IF(ISBLANK(C2115),"AmountIncludingTax缺失",IF(ABS(B2115-C2115)&lt;0.005,"一致","不一致"))</x:f>
        <x:v>AmountIncludingTax缺失</x:v>
      </x:c>
      <x:c r="F2115" s="19" t="str">
        <x:v>approved</x:v>
      </x:c>
      <x:c r="G2115" s="19" t="str">
        <x:v>Sales Order Approved</x:v>
      </x:c>
      <x:c r="H2115" s="19" t="str">
        <x:v>In Field</x:v>
      </x:c>
      <x:c r="I2115" s="37" t="n">
        <x:v>46204</x:v>
      </x:c>
      <x:c r="J2115" s="37" t="n">
        <x:v>46204</x:v>
      </x:c>
      <x:c r="K2115" s="19" t="str">
        <x:v>Newcastle RV Super Centre - Beresfield</x:v>
      </x:c>
      <x:c r="L2115" s="19" t="str">
        <x:v>Z006</x:v>
      </x:c>
      <x:c r="M2115" s="19" t="str">
        <x:v>In Field Warranty Claims</x:v>
      </x:c>
      <x:c r="N2115" s="37" t="n">
        <x:v>46124</x:v>
      </x:c>
      <x:c r="O2115" s="37"/>
      <x:c r="P2115" s="34" t="n">
        <x:v>0</x:v>
      </x:c>
      <x:c r="Q2115" s="37" t="n">
        <x:v>46204.217685185184</x:v>
      </x:c>
    </x:row>
    <x:row r="2116">
      <x:c r="A2116" s="22" t="n">
        <x:v>33483</x:v>
      </x:c>
      <x:c r="B2116" s="28" t="n">
        <x:v>1740.81</x:v>
      </x:c>
      <x:c r="C2116" s="28"/>
      <x:c r="D2116" s="31" t="str">
        <x:f>IF(OR(ISBLANK(B2116),ISBLANK(C2116),B2116=0),"",(C2116-B2116)/B2116)</x:f>
      </x:c>
      <x:c r="E2116" s="22" t="str">
        <x:f>IF(ISBLANK(C2116),"AmountIncludingTax缺失",IF(ABS(B2116-C2116)&lt;0.005,"一致","不一致"))</x:f>
        <x:v>AmountIncludingTax缺失</x:v>
      </x:c>
      <x:c r="F2116" s="19" t="str">
        <x:v>approved</x:v>
      </x:c>
      <x:c r="G2116" s="19" t="str">
        <x:v>Repairer Invoiced Processed</x:v>
      </x:c>
      <x:c r="H2116" s="19" t="str">
        <x:v>In Field</x:v>
      </x:c>
      <x:c r="I2116" s="37" t="n">
        <x:v>46129</x:v>
      </x:c>
      <x:c r="J2116" s="37" t="n">
        <x:v>46129</x:v>
      </x:c>
      <x:c r="K2116" s="19" t="str">
        <x:v>Vanari Caravans - Marden Point</x:v>
      </x:c>
      <x:c r="L2116" s="19" t="str">
        <x:v>Z006</x:v>
      </x:c>
      <x:c r="M2116" s="19" t="str">
        <x:v>In Field Warranty Claims</x:v>
      </x:c>
      <x:c r="N2116" s="37" t="n">
        <x:v>46124</x:v>
      </x:c>
      <x:c r="O2116" s="37"/>
      <x:c r="P2116" s="34" t="n">
        <x:v>1576.13</x:v>
      </x:c>
      <x:c r="Q2116" s="37" t="n">
        <x:v>46128.84552083333</x:v>
      </x:c>
    </x:row>
    <x:row r="2117">
      <x:c r="A2117" s="22" t="n">
        <x:v>33482</x:v>
      </x:c>
      <x:c r="B2117" s="28" t="n">
        <x:v>810</x:v>
      </x:c>
      <x:c r="C2117" s="28"/>
      <x:c r="D2117" s="31" t="str">
        <x:f>IF(OR(ISBLANK(B2117),ISBLANK(C2117),B2117=0),"",(C2117-B2117)/B2117)</x:f>
      </x:c>
      <x:c r="E2117" s="22" t="str">
        <x:f>IF(ISBLANK(C2117),"AmountIncludingTax缺失",IF(ABS(B2117-C2117)&lt;0.005,"一致","不一致"))</x:f>
        <x:v>AmountIncludingTax缺失</x:v>
      </x:c>
      <x:c r="F2117" s="19" t="str">
        <x:v>approved</x:v>
      </x:c>
      <x:c r="G2117" s="19" t="str">
        <x:v>Repairer Invoiced Processed</x:v>
      </x:c>
      <x:c r="H2117" s="19" t="str">
        <x:v>In Field</x:v>
      </x:c>
      <x:c r="I2117" s="37" t="n">
        <x:v>46133</x:v>
      </x:c>
      <x:c r="J2117" s="37" t="n">
        <x:v>46133</x:v>
      </x:c>
      <x:c r="K2117" s="19" t="str">
        <x:v>Green RV - Slacks Creek</x:v>
      </x:c>
      <x:c r="L2117" s="19" t="str">
        <x:v>Z006</x:v>
      </x:c>
      <x:c r="M2117" s="19" t="str">
        <x:v>In Field Warranty Claims</x:v>
      </x:c>
      <x:c r="N2117" s="37" t="n">
        <x:v>46123</x:v>
      </x:c>
      <x:c r="O2117" s="37"/>
      <x:c r="P2117" s="34" t="n">
        <x:v>0</x:v>
      </x:c>
      <x:c r="Q2117" s="37" t="n">
        <x:v>46133.107395833336</x:v>
      </x:c>
    </x:row>
    <x:row r="2118">
      <x:c r="A2118" s="22" t="n">
        <x:v>33479</x:v>
      </x:c>
      <x:c r="B2118" s="28" t="n">
        <x:v>600</x:v>
      </x:c>
      <x:c r="C2118" s="28"/>
      <x:c r="D2118" s="31" t="str">
        <x:f>IF(OR(ISBLANK(B2118),ISBLANK(C2118),B2118=0),"",(C2118-B2118)/B2118)</x:f>
      </x:c>
      <x:c r="E2118" s="22" t="str">
        <x:f>IF(ISBLANK(C2118),"AmountIncludingTax缺失",IF(ABS(B2118-C2118)&lt;0.005,"一致","不一致"))</x:f>
        <x:v>AmountIncludingTax缺失</x:v>
      </x:c>
      <x:c r="F2118" s="19" t="str">
        <x:v>approved</x:v>
      </x:c>
      <x:c r="G2118" s="19" t="str">
        <x:v>Repair in Progress</x:v>
      </x:c>
      <x:c r="H2118" s="19" t="str">
        <x:v>In Field</x:v>
      </x:c>
      <x:c r="I2118" s="37" t="n">
        <x:v>46150</x:v>
      </x:c>
      <x:c r="J2118" s="37" t="n">
        <x:v>46150</x:v>
      </x:c>
      <x:c r="K2118" s="19" t="str">
        <x:v>The Caravan Hub - Townsville</x:v>
      </x:c>
      <x:c r="L2118" s="19" t="str">
        <x:v>Z006</x:v>
      </x:c>
      <x:c r="M2118" s="19" t="str">
        <x:v>In Field Warranty Claims</x:v>
      </x:c>
      <x:c r="N2118" s="37" t="n">
        <x:v>46124</x:v>
      </x:c>
      <x:c r="O2118" s="37"/>
      <x:c r="P2118" s="34" t="n">
        <x:v>0</x:v>
      </x:c>
      <x:c r="Q2118" s="37" t="n">
        <x:v>46150.18952546296</x:v>
      </x:c>
    </x:row>
    <x:row r="2119">
      <x:c r="A2119" s="22" t="n">
        <x:v>33474</x:v>
      </x:c>
      <x:c r="B2119" s="28" t="n">
        <x:v>352.5</x:v>
      </x:c>
      <x:c r="C2119" s="28"/>
      <x:c r="D2119" s="31" t="str">
        <x:f>IF(OR(ISBLANK(B2119),ISBLANK(C2119),B2119=0),"",(C2119-B2119)/B2119)</x:f>
      </x:c>
      <x:c r="E2119" s="22" t="str">
        <x:f>IF(ISBLANK(C2119),"AmountIncludingTax缺失",IF(ABS(B2119-C2119)&lt;0.005,"一致","不一致"))</x:f>
        <x:v>AmountIncludingTax缺失</x:v>
      </x:c>
      <x:c r="F2119" s="19" t="str">
        <x:v>approved</x:v>
      </x:c>
      <x:c r="G2119" s="19" t="str">
        <x:v>Repair in Progress</x:v>
      </x:c>
      <x:c r="H2119" s="19" t="str">
        <x:v>In Field</x:v>
      </x:c>
      <x:c r="I2119" s="37" t="n">
        <x:v>46136</x:v>
      </x:c>
      <x:c r="J2119" s="37" t="n">
        <x:v>46136</x:v>
      </x:c>
      <x:c r="K2119" s="19" t="str">
        <x:v>Regent RV - Perth</x:v>
      </x:c>
      <x:c r="L2119" s="19" t="str">
        <x:v>Z006</x:v>
      </x:c>
      <x:c r="M2119" s="19" t="str">
        <x:v>In Field Warranty Claims</x:v>
      </x:c>
      <x:c r="N2119" s="37" t="n">
        <x:v>46122</x:v>
      </x:c>
      <x:c r="O2119" s="37"/>
      <x:c r="P2119" s="34" t="n">
        <x:v>0</x:v>
      </x:c>
      <x:c r="Q2119" s="37" t="n">
        <x:v>46136.18976851852</x:v>
      </x:c>
    </x:row>
    <x:row r="2120">
      <x:c r="A2120" s="22" t="n">
        <x:v>33473</x:v>
      </x:c>
      <x:c r="B2120" s="28" t="n">
        <x:v>360</x:v>
      </x:c>
      <x:c r="C2120" s="28" t="n">
        <x:v>396</x:v>
      </x:c>
      <x:c r="D2120" s="31" t="n">
        <x:f>IF(OR(ISBLANK(B2120),ISBLANK(C2120),B2120=0),"",(C2120-B2120)/B2120)</x:f>
        <x:v>0.1</x:v>
      </x:c>
      <x:c r="E2120" s="22" t="str">
        <x:f>IF(ISBLANK(C2120),"AmountIncludingTax缺失",IF(ABS(B2120-C2120)&lt;0.005,"一致","不一致"))</x:f>
        <x:v>不一致</x:v>
      </x:c>
      <x:c r="F2120" s="19" t="str">
        <x:v>approved</x:v>
      </x:c>
      <x:c r="G2120" s="19" t="str">
        <x:v>Repairer Invoiced Processed</x:v>
      </x:c>
      <x:c r="H2120" s="19" t="str">
        <x:v>In Field</x:v>
      </x:c>
      <x:c r="I2120" s="37" t="n">
        <x:v>46156</x:v>
      </x:c>
      <x:c r="J2120" s="37" t="n">
        <x:v>46156</x:v>
      </x:c>
      <x:c r="K2120" s="19" t="str">
        <x:v>Regent RV - Frankston</x:v>
      </x:c>
      <x:c r="L2120" s="19" t="str">
        <x:v>Z006</x:v>
      </x:c>
      <x:c r="M2120" s="19" t="str">
        <x:v>In Field Warranty Claims</x:v>
      </x:c>
      <x:c r="N2120" s="37" t="n">
        <x:v>46122</x:v>
      </x:c>
      <x:c r="O2120" s="37"/>
      <x:c r="P2120" s="34" t="n">
        <x:v>396</x:v>
      </x:c>
      <x:c r="Q2120" s="37" t="n">
        <x:v>46156.23792824074</x:v>
      </x:c>
    </x:row>
    <x:row r="2121">
      <x:c r="A2121" s="22" t="n">
        <x:v>33472</x:v>
      </x:c>
      <x:c r="B2121" s="28" t="n">
        <x:v>607.5</x:v>
      </x:c>
      <x:c r="C2121" s="28"/>
      <x:c r="D2121" s="31" t="str">
        <x:f>IF(OR(ISBLANK(B2121),ISBLANK(C2121),B2121=0),"",(C2121-B2121)/B2121)</x:f>
      </x:c>
      <x:c r="E2121" s="22" t="str">
        <x:f>IF(ISBLANK(C2121),"AmountIncludingTax缺失",IF(ABS(B2121-C2121)&lt;0.005,"一致","不一致"))</x:f>
        <x:v>AmountIncludingTax缺失</x:v>
      </x:c>
      <x:c r="F2121" s="19" t="str">
        <x:v>approved</x:v>
      </x:c>
      <x:c r="G2121" s="19" t="str">
        <x:v>Repair in Progress</x:v>
      </x:c>
      <x:c r="H2121" s="19" t="str">
        <x:v>In Field</x:v>
      </x:c>
      <x:c r="I2121" s="37" t="n">
        <x:v>46134</x:v>
      </x:c>
      <x:c r="J2121" s="37" t="n">
        <x:v>46134</x:v>
      </x:c>
      <x:c r="K2121" s="19" t="str">
        <x:v>Newcastle RV Super Centre - Beresfield</x:v>
      </x:c>
      <x:c r="L2121" s="19" t="str">
        <x:v>Z006</x:v>
      </x:c>
      <x:c r="M2121" s="19" t="str">
        <x:v>In Field Warranty Claims</x:v>
      </x:c>
      <x:c r="N2121" s="37" t="n">
        <x:v>46122</x:v>
      </x:c>
      <x:c r="O2121" s="37"/>
      <x:c r="P2121" s="34" t="n">
        <x:v>0</x:v>
      </x:c>
      <x:c r="Q2121" s="37" t="n">
        <x:v>46134.033587962964</x:v>
      </x:c>
    </x:row>
    <x:row r="2122">
      <x:c r="A2122" s="22" t="n">
        <x:v>33471</x:v>
      </x:c>
      <x:c r="B2122" s="28" t="n">
        <x:v>67.5</x:v>
      </x:c>
      <x:c r="C2122" s="28"/>
      <x:c r="D2122" s="31" t="str">
        <x:f>IF(OR(ISBLANK(B2122),ISBLANK(C2122),B2122=0),"",(C2122-B2122)/B2122)</x:f>
      </x:c>
      <x:c r="E2122" s="22" t="str">
        <x:f>IF(ISBLANK(C2122),"AmountIncludingTax缺失",IF(ABS(B2122-C2122)&lt;0.005,"一致","不一致"))</x:f>
        <x:v>AmountIncludingTax缺失</x:v>
      </x:c>
      <x:c r="F2122" s="19" t="str">
        <x:v>approved</x:v>
      </x:c>
      <x:c r="G2122" s="19" t="str">
        <x:v>Repairer Invoiced Processed</x:v>
      </x:c>
      <x:c r="H2122" s="19" t="str">
        <x:v>In Field</x:v>
      </x:c>
      <x:c r="I2122" s="37" t="n">
        <x:v>46133</x:v>
      </x:c>
      <x:c r="J2122" s="37" t="n">
        <x:v>46133</x:v>
      </x:c>
      <x:c r="K2122" s="19" t="str">
        <x:v>Newcastle RV Super Centre - Beresfield</x:v>
      </x:c>
      <x:c r="L2122" s="19" t="str">
        <x:v>Z006</x:v>
      </x:c>
      <x:c r="M2122" s="19" t="str">
        <x:v>In Field Warranty Claims</x:v>
      </x:c>
      <x:c r="N2122" s="37" t="n">
        <x:v>46122</x:v>
      </x:c>
      <x:c r="O2122" s="37"/>
      <x:c r="P2122" s="34" t="n">
        <x:v>0</x:v>
      </x:c>
      <x:c r="Q2122" s="37" t="n">
        <x:v>46133.01321759259</x:v>
      </x:c>
    </x:row>
    <x:row r="2123">
      <x:c r="A2123" s="22" t="n">
        <x:v>33460</x:v>
      </x:c>
      <x:c r="B2123" s="28" t="n">
        <x:v>5996</x:v>
      </x:c>
      <x:c r="C2123" s="28"/>
      <x:c r="D2123" s="31" t="str">
        <x:f>IF(OR(ISBLANK(B2123),ISBLANK(C2123),B2123=0),"",(C2123-B2123)/B2123)</x:f>
      </x:c>
      <x:c r="E2123" s="22" t="str">
        <x:f>IF(ISBLANK(C2123),"AmountIncludingTax缺失",IF(ABS(B2123-C2123)&lt;0.005,"一致","不一致"))</x:f>
        <x:v>AmountIncludingTax缺失</x:v>
      </x:c>
      <x:c r="F2123" s="19" t="str">
        <x:v>approved</x:v>
      </x:c>
      <x:c r="G2123" s="19" t="str">
        <x:v>Repair in Progress</x:v>
      </x:c>
      <x:c r="H2123" s="19" t="str">
        <x:v>In Field</x:v>
      </x:c>
      <x:c r="I2123" s="37" t="n">
        <x:v>46154</x:v>
      </x:c>
      <x:c r="J2123" s="37" t="n">
        <x:v>46154</x:v>
      </x:c>
      <x:c r="K2123" s="19" t="str">
        <x:v>Green RV - Forest Glen</x:v>
      </x:c>
      <x:c r="L2123" s="19" t="str">
        <x:v>Z006</x:v>
      </x:c>
      <x:c r="M2123" s="19" t="str">
        <x:v>In Field Warranty Claims</x:v>
      </x:c>
      <x:c r="N2123" s="37" t="n">
        <x:v>46122</x:v>
      </x:c>
      <x:c r="O2123" s="37"/>
      <x:c r="P2123" s="34" t="n">
        <x:v>0</x:v>
      </x:c>
      <x:c r="Q2123" s="37" t="n">
        <x:v>46154.31930555555</x:v>
      </x:c>
    </x:row>
    <x:row r="2124">
      <x:c r="A2124" s="22" t="n">
        <x:v>33457</x:v>
      </x:c>
      <x:c r="B2124" s="28" t="n">
        <x:v>270</x:v>
      </x:c>
      <x:c r="C2124" s="28"/>
      <x:c r="D2124" s="31" t="str">
        <x:f>IF(OR(ISBLANK(B2124),ISBLANK(C2124),B2124=0),"",(C2124-B2124)/B2124)</x:f>
      </x:c>
      <x:c r="E2124" s="22" t="str">
        <x:f>IF(ISBLANK(C2124),"AmountIncludingTax缺失",IF(ABS(B2124-C2124)&lt;0.005,"一致","不一致"))</x:f>
        <x:v>AmountIncludingTax缺失</x:v>
      </x:c>
      <x:c r="F2124" s="19" t="str">
        <x:v>approved</x:v>
      </x:c>
      <x:c r="G2124" s="19" t="str">
        <x:v>Repairer Invoiced Processed</x:v>
      </x:c>
      <x:c r="H2124" s="19" t="str">
        <x:v>In Field</x:v>
      </x:c>
      <x:c r="I2124" s="37" t="n">
        <x:v>46139</x:v>
      </x:c>
      <x:c r="J2124" s="37" t="n">
        <x:v>46139</x:v>
      </x:c>
      <x:c r="K2124" s="19" t="str">
        <x:v>Dario Caravans - Pooraka</x:v>
      </x:c>
      <x:c r="L2124" s="19" t="str">
        <x:v>Z006</x:v>
      </x:c>
      <x:c r="M2124" s="19" t="str">
        <x:v>In Field Warranty Claims</x:v>
      </x:c>
      <x:c r="N2124" s="37" t="n">
        <x:v>46122</x:v>
      </x:c>
      <x:c r="O2124" s="37"/>
      <x:c r="P2124" s="34" t="n">
        <x:v>0</x:v>
      </x:c>
      <x:c r="Q2124" s="37" t="n">
        <x:v>46138.99831018518</x:v>
      </x:c>
    </x:row>
    <x:row r="2125">
      <x:c r="A2125" s="22" t="n">
        <x:v>33452</x:v>
      </x:c>
      <x:c r="B2125" s="28" t="n">
        <x:v>347.5</x:v>
      </x:c>
      <x:c r="C2125" s="28"/>
      <x:c r="D2125" s="31" t="str">
        <x:f>IF(OR(ISBLANK(B2125),ISBLANK(C2125),B2125=0),"",(C2125-B2125)/B2125)</x:f>
      </x:c>
      <x:c r="E2125" s="22" t="str">
        <x:f>IF(ISBLANK(C2125),"AmountIncludingTax缺失",IF(ABS(B2125-C2125)&lt;0.005,"一致","不一致"))</x:f>
        <x:v>AmountIncludingTax缺失</x:v>
      </x:c>
      <x:c r="F2125" s="19" t="str">
        <x:v>approved</x:v>
      </x:c>
      <x:c r="G2125" s="19" t="str">
        <x:v>Sales Order Approved</x:v>
      </x:c>
      <x:c r="H2125" s="19" t="str">
        <x:v>Pre Delivery</x:v>
      </x:c>
      <x:c r="I2125" s="37" t="n">
        <x:v>46136</x:v>
      </x:c>
      <x:c r="J2125" s="37" t="n">
        <x:v>46136</x:v>
      </x:c>
      <x:c r="K2125" s="19" t="str">
        <x:v>Regent RV - Toowoomba</x:v>
      </x:c>
      <x:c r="L2125" s="19" t="str">
        <x:v>Z005</x:v>
      </x:c>
      <x:c r="M2125" s="19" t="str">
        <x:v>Pre Delivery Warranty Claims</x:v>
      </x:c>
      <x:c r="N2125" s="37" t="n">
        <x:v>46122</x:v>
      </x:c>
      <x:c r="O2125" s="37"/>
      <x:c r="P2125" s="34" t="n">
        <x:v>0</x:v>
      </x:c>
      <x:c r="Q2125" s="37" t="n">
        <x:v>46136.267905092594</x:v>
      </x:c>
    </x:row>
    <x:row r="2126">
      <x:c r="A2126" s="22" t="n">
        <x:v>33451</x:v>
      </x:c>
      <x:c r="B2126" s="28" t="n">
        <x:v>222.5</x:v>
      </x:c>
      <x:c r="C2126" s="28"/>
      <x:c r="D2126" s="31" t="str">
        <x:f>IF(OR(ISBLANK(B2126),ISBLANK(C2126),B2126=0),"",(C2126-B2126)/B2126)</x:f>
      </x:c>
      <x:c r="E2126" s="22" t="str">
        <x:f>IF(ISBLANK(C2126),"AmountIncludingTax缺失",IF(ABS(B2126-C2126)&lt;0.005,"一致","不一致"))</x:f>
        <x:v>AmountIncludingTax缺失</x:v>
      </x:c>
      <x:c r="F2126" s="19" t="str">
        <x:v>approved</x:v>
      </x:c>
      <x:c r="G2126" s="19" t="str">
        <x:v>Repairer Invoiced Processed</x:v>
      </x:c>
      <x:c r="H2126" s="19" t="str">
        <x:v>Pre Delivery</x:v>
      </x:c>
      <x:c r="I2126" s="37" t="n">
        <x:v>46136</x:v>
      </x:c>
      <x:c r="J2126" s="37" t="n">
        <x:v>46136</x:v>
      </x:c>
      <x:c r="K2126" s="19" t="str">
        <x:v>Regent RV - Toowoomba</x:v>
      </x:c>
      <x:c r="L2126" s="19" t="str">
        <x:v>Z005</x:v>
      </x:c>
      <x:c r="M2126" s="19" t="str">
        <x:v>Pre Delivery Warranty Claims</x:v>
      </x:c>
      <x:c r="N2126" s="37" t="n">
        <x:v>46122</x:v>
      </x:c>
      <x:c r="O2126" s="37"/>
      <x:c r="P2126" s="34" t="n">
        <x:v>0</x:v>
      </x:c>
      <x:c r="Q2126" s="37" t="n">
        <x:v>46136.26600694445</x:v>
      </x:c>
    </x:row>
    <x:row r="2127">
      <x:c r="A2127" s="22" t="n">
        <x:v>33444</x:v>
      </x:c>
      <x:c r="B2127" s="28" t="n">
        <x:v>270</x:v>
      </x:c>
      <x:c r="C2127" s="28"/>
      <x:c r="D2127" s="31" t="str">
        <x:f>IF(OR(ISBLANK(B2127),ISBLANK(C2127),B2127=0),"",(C2127-B2127)/B2127)</x:f>
      </x:c>
      <x:c r="E2127" s="22" t="str">
        <x:f>IF(ISBLANK(C2127),"AmountIncludingTax缺失",IF(ABS(B2127-C2127)&lt;0.005,"一致","不一致"))</x:f>
        <x:v>AmountIncludingTax缺失</x:v>
      </x:c>
      <x:c r="F2127" s="19" t="str">
        <x:v>approved</x:v>
      </x:c>
      <x:c r="G2127" s="19" t="str">
        <x:v>Repairer Invoiced Processed</x:v>
      </x:c>
      <x:c r="H2127" s="19" t="str">
        <x:v>In Field</x:v>
      </x:c>
      <x:c r="I2127" s="37" t="n">
        <x:v>46125</x:v>
      </x:c>
      <x:c r="J2127" s="37" t="n">
        <x:v>46125</x:v>
      </x:c>
      <x:c r="K2127" s="19" t="str">
        <x:v>Lesiure Lion-New Castle</x:v>
      </x:c>
      <x:c r="L2127" s="19" t="str">
        <x:v>Z006</x:v>
      </x:c>
      <x:c r="M2127" s="19" t="str">
        <x:v>In Field Warranty Claims</x:v>
      </x:c>
      <x:c r="N2127" s="37" t="n">
        <x:v>46125</x:v>
      </x:c>
      <x:c r="O2127" s="37"/>
      <x:c r="P2127" s="34" t="n">
        <x:v>0</x:v>
      </x:c>
      <x:c r="Q2127" s="37" t="n">
        <x:v>46125.0803125</x:v>
      </x:c>
    </x:row>
    <x:row r="2128">
      <x:c r="A2128" s="22" t="n">
        <x:v>33440</x:v>
      </x:c>
      <x:c r="B2128" s="28" t="n">
        <x:v>1052.5</x:v>
      </x:c>
      <x:c r="C2128" s="28"/>
      <x:c r="D2128" s="31" t="str">
        <x:f>IF(OR(ISBLANK(B2128),ISBLANK(C2128),B2128=0),"",(C2128-B2128)/B2128)</x:f>
      </x:c>
      <x:c r="E2128" s="22" t="str">
        <x:f>IF(ISBLANK(C2128),"AmountIncludingTax缺失",IF(ABS(B2128-C2128)&lt;0.005,"一致","不一致"))</x:f>
        <x:v>AmountIncludingTax缺失</x:v>
      </x:c>
      <x:c r="F2128" s="19" t="str">
        <x:v>approved</x:v>
      </x:c>
      <x:c r="G2128" s="19" t="str">
        <x:v>Repair in Progress</x:v>
      </x:c>
      <x:c r="H2128" s="19" t="str">
        <x:v>In Field</x:v>
      </x:c>
      <x:c r="I2128" s="37" t="n">
        <x:v>46169</x:v>
      </x:c>
      <x:c r="J2128" s="37" t="n">
        <x:v>46169</x:v>
      </x:c>
      <x:c r="K2128" s="19" t="str">
        <x:v>Newcastle RV Super Centre - Beresfield</x:v>
      </x:c>
      <x:c r="L2128" s="19" t="str">
        <x:v>Z006</x:v>
      </x:c>
      <x:c r="M2128" s="19" t="str">
        <x:v>In Field Warranty Claims</x:v>
      </x:c>
      <x:c r="N2128" s="37" t="n">
        <x:v>46122</x:v>
      </x:c>
      <x:c r="O2128" s="37"/>
      <x:c r="P2128" s="34" t="n">
        <x:v>0</x:v>
      </x:c>
      <x:c r="Q2128" s="37" t="n">
        <x:v>46169.1528587963</x:v>
      </x:c>
    </x:row>
    <x:row r="2129">
      <x:c r="A2129" s="22" t="n">
        <x:v>33438</x:v>
      </x:c>
      <x:c r="B2129" s="28" t="n">
        <x:v>207.5</x:v>
      </x:c>
      <x:c r="C2129" s="28"/>
      <x:c r="D2129" s="31" t="str">
        <x:f>IF(OR(ISBLANK(B2129),ISBLANK(C2129),B2129=0),"",(C2129-B2129)/B2129)</x:f>
      </x:c>
      <x:c r="E2129" s="22" t="str">
        <x:f>IF(ISBLANK(C2129),"AmountIncludingTax缺失",IF(ABS(B2129-C2129)&lt;0.005,"一致","不一致"))</x:f>
        <x:v>AmountIncludingTax缺失</x:v>
      </x:c>
      <x:c r="F2129" s="19" t="str">
        <x:v>approved</x:v>
      </x:c>
      <x:c r="G2129" s="19" t="str">
        <x:v>Repair in Progress</x:v>
      </x:c>
      <x:c r="H2129" s="19" t="str">
        <x:v>In Field</x:v>
      </x:c>
      <x:c r="I2129" s="37" t="n">
        <x:v>46126</x:v>
      </x:c>
      <x:c r="J2129" s="37" t="n">
        <x:v>46126</x:v>
      </x:c>
      <x:c r="K2129" s="19" t="str">
        <x:v>Green RV - Slacks Creek</x:v>
      </x:c>
      <x:c r="L2129" s="19" t="str">
        <x:v>Z006</x:v>
      </x:c>
      <x:c r="M2129" s="19" t="str">
        <x:v>In Field Warranty Claims</x:v>
      </x:c>
      <x:c r="N2129" s="37" t="n">
        <x:v>46122</x:v>
      </x:c>
      <x:c r="O2129" s="37"/>
      <x:c r="P2129" s="34" t="n">
        <x:v>0</x:v>
      </x:c>
      <x:c r="Q2129" s="37" t="n">
        <x:v>46125.980891203704</x:v>
      </x:c>
    </x:row>
    <x:row r="2130">
      <x:c r="A2130" s="22" t="n">
        <x:v>33437</x:v>
      </x:c>
      <x:c r="B2130" s="28" t="n">
        <x:v>270</x:v>
      </x:c>
      <x:c r="C2130" s="28"/>
      <x:c r="D2130" s="31" t="str">
        <x:f>IF(OR(ISBLANK(B2130),ISBLANK(C2130),B2130=0),"",(C2130-B2130)/B2130)</x:f>
      </x:c>
      <x:c r="E2130" s="22" t="str">
        <x:f>IF(ISBLANK(C2130),"AmountIncludingTax缺失",IF(ABS(B2130-C2130)&lt;0.005,"一致","不一致"))</x:f>
        <x:v>AmountIncludingTax缺失</x:v>
      </x:c>
      <x:c r="F2130" s="19" t="str">
        <x:v>approved</x:v>
      </x:c>
      <x:c r="G2130" s="19" t="str">
        <x:v>Repairer Invoiced Processed</x:v>
      </x:c>
      <x:c r="H2130" s="19" t="str">
        <x:v>In Field</x:v>
      </x:c>
      <x:c r="I2130" s="37" t="n">
        <x:v>46163</x:v>
      </x:c>
      <x:c r="J2130" s="37" t="n">
        <x:v>46163</x:v>
      </x:c>
      <x:c r="K2130" s="19" t="str">
        <x:v>Newcastle RV Super Centre - Beresfield</x:v>
      </x:c>
      <x:c r="L2130" s="19" t="str">
        <x:v>Z006</x:v>
      </x:c>
      <x:c r="M2130" s="19" t="str">
        <x:v>In Field Warranty Claims</x:v>
      </x:c>
      <x:c r="N2130" s="37" t="n">
        <x:v>46122</x:v>
      </x:c>
      <x:c r="O2130" s="37"/>
      <x:c r="P2130" s="34" t="n">
        <x:v>0</x:v>
      </x:c>
      <x:c r="Q2130" s="37" t="n">
        <x:v>46162.90398148148</x:v>
      </x:c>
    </x:row>
    <x:row r="2131">
      <x:c r="A2131" s="22" t="n">
        <x:v>33434</x:v>
      </x:c>
      <x:c r="B2131" s="28" t="n">
        <x:v>1030.68</x:v>
      </x:c>
      <x:c r="C2131" s="28"/>
      <x:c r="D2131" s="31" t="str">
        <x:f>IF(OR(ISBLANK(B2131),ISBLANK(C2131),B2131=0),"",(C2131-B2131)/B2131)</x:f>
      </x:c>
      <x:c r="E2131" s="22" t="str">
        <x:f>IF(ISBLANK(C2131),"AmountIncludingTax缺失",IF(ABS(B2131-C2131)&lt;0.005,"一致","不一致"))</x:f>
        <x:v>AmountIncludingTax缺失</x:v>
      </x:c>
      <x:c r="F2131" s="19" t="str">
        <x:v>approved</x:v>
      </x:c>
      <x:c r="G2131" s="19" t="str">
        <x:v>Repair in Progress</x:v>
      </x:c>
      <x:c r="H2131" s="19" t="str">
        <x:v>Pre Delivery</x:v>
      </x:c>
      <x:c r="I2131" s="37" t="n">
        <x:v>46147</x:v>
      </x:c>
      <x:c r="J2131" s="37" t="n">
        <x:v>46147</x:v>
      </x:c>
      <x:c r="K2131" s="19" t="str">
        <x:v>Green RV - Forest Glen</x:v>
      </x:c>
      <x:c r="L2131" s="19" t="str">
        <x:v>Z005</x:v>
      </x:c>
      <x:c r="M2131" s="19" t="str">
        <x:v>Pre Delivery Warranty Claims</x:v>
      </x:c>
      <x:c r="N2131" s="37" t="n">
        <x:v>46122</x:v>
      </x:c>
      <x:c r="O2131" s="37"/>
      <x:c r="P2131" s="34" t="n">
        <x:v>0</x:v>
      </x:c>
      <x:c r="Q2131" s="37" t="n">
        <x:v>46147.189722222225</x:v>
      </x:c>
    </x:row>
    <x:row r="2132">
      <x:c r="A2132" s="22" t="n">
        <x:v>33433</x:v>
      </x:c>
      <x:c r="B2132" s="28" t="n">
        <x:v>963.75</x:v>
      </x:c>
      <x:c r="C2132" s="28"/>
      <x:c r="D2132" s="31" t="str">
        <x:f>IF(OR(ISBLANK(B2132),ISBLANK(C2132),B2132=0),"",(C2132-B2132)/B2132)</x:f>
      </x:c>
      <x:c r="E2132" s="22" t="str">
        <x:f>IF(ISBLANK(C2132),"AmountIncludingTax缺失",IF(ABS(B2132-C2132)&lt;0.005,"一致","不一致"))</x:f>
        <x:v>AmountIncludingTax缺失</x:v>
      </x:c>
      <x:c r="F2132" s="19" t="str">
        <x:v>approved</x:v>
      </x:c>
      <x:c r="G2132" s="19" t="str">
        <x:v>Repair in Progress</x:v>
      </x:c>
      <x:c r="H2132" s="19" t="str">
        <x:v>In Field</x:v>
      </x:c>
      <x:c r="I2132" s="37" t="n">
        <x:v>46148</x:v>
      </x:c>
      <x:c r="J2132" s="37" t="n">
        <x:v>46148</x:v>
      </x:c>
      <x:c r="K2132" s="19" t="str">
        <x:v>Newcastle RV Super Centre - Beresfield</x:v>
      </x:c>
      <x:c r="L2132" s="19" t="str">
        <x:v>Z006</x:v>
      </x:c>
      <x:c r="M2132" s="19" t="str">
        <x:v>In Field Warranty Claims</x:v>
      </x:c>
      <x:c r="N2132" s="37" t="n">
        <x:v>46122</x:v>
      </x:c>
      <x:c r="O2132" s="37"/>
      <x:c r="P2132" s="34" t="n">
        <x:v>0</x:v>
      </x:c>
      <x:c r="Q2132" s="37" t="n">
        <x:v>46148.0434375</x:v>
      </x:c>
    </x:row>
    <x:row r="2133">
      <x:c r="A2133" s="22" t="n">
        <x:v>33431</x:v>
      </x:c>
      <x:c r="B2133" s="28" t="n">
        <x:v>1215</x:v>
      </x:c>
      <x:c r="C2133" s="28"/>
      <x:c r="D2133" s="31" t="str">
        <x:f>IF(OR(ISBLANK(B2133),ISBLANK(C2133),B2133=0),"",(C2133-B2133)/B2133)</x:f>
      </x:c>
      <x:c r="E2133" s="22" t="str">
        <x:f>IF(ISBLANK(C2133),"AmountIncludingTax缺失",IF(ABS(B2133-C2133)&lt;0.005,"一致","不一致"))</x:f>
        <x:v>AmountIncludingTax缺失</x:v>
      </x:c>
      <x:c r="F2133" s="19" t="str">
        <x:v>approved</x:v>
      </x:c>
      <x:c r="G2133" s="19" t="str">
        <x:v>Repair in Progress</x:v>
      </x:c>
      <x:c r="H2133" s="19" t="str">
        <x:v>In Field</x:v>
      </x:c>
      <x:c r="I2133" s="37" t="n">
        <x:v>46133</x:v>
      </x:c>
      <x:c r="J2133" s="37" t="n">
        <x:v>46133</x:v>
      </x:c>
      <x:c r="K2133" s="19" t="str">
        <x:v>Snowy River Frankston</x:v>
      </x:c>
      <x:c r="L2133" s="19" t="str">
        <x:v>Z006</x:v>
      </x:c>
      <x:c r="M2133" s="19" t="str">
        <x:v>In Field Warranty Claims</x:v>
      </x:c>
      <x:c r="N2133" s="37" t="n">
        <x:v>46122</x:v>
      </x:c>
      <x:c r="O2133" s="37"/>
      <x:c r="P2133" s="34" t="n">
        <x:v>0</x:v>
      </x:c>
      <x:c r="Q2133" s="37" t="n">
        <x:v>46133.056909722225</x:v>
      </x:c>
    </x:row>
    <x:row r="2134">
      <x:c r="A2134" s="22" t="n">
        <x:v>33430</x:v>
      </x:c>
      <x:c r="B2134" s="28" t="n">
        <x:v>67.5</x:v>
      </x:c>
      <x:c r="C2134" s="28"/>
      <x:c r="D2134" s="31" t="str">
        <x:f>IF(OR(ISBLANK(B2134),ISBLANK(C2134),B2134=0),"",(C2134-B2134)/B2134)</x:f>
      </x:c>
      <x:c r="E2134" s="22" t="str">
        <x:f>IF(ISBLANK(C2134),"AmountIncludingTax缺失",IF(ABS(B2134-C2134)&lt;0.005,"一致","不一致"))</x:f>
        <x:v>AmountIncludingTax缺失</x:v>
      </x:c>
      <x:c r="F2134" s="19" t="str">
        <x:v>approved</x:v>
      </x:c>
      <x:c r="G2134" s="19" t="str">
        <x:v>Repair in Progress</x:v>
      </x:c>
      <x:c r="H2134" s="19" t="str">
        <x:v>In Field</x:v>
      </x:c>
      <x:c r="I2134" s="37" t="n">
        <x:v>46169</x:v>
      </x:c>
      <x:c r="J2134" s="37" t="n">
        <x:v>46169</x:v>
      </x:c>
      <x:c r="K2134" s="19" t="str">
        <x:v>ABCO Caravans - Boambee Valley</x:v>
      </x:c>
      <x:c r="L2134" s="19" t="str">
        <x:v>Z006</x:v>
      </x:c>
      <x:c r="M2134" s="19" t="str">
        <x:v>In Field Warranty Claims</x:v>
      </x:c>
      <x:c r="N2134" s="37" t="n">
        <x:v>46122</x:v>
      </x:c>
      <x:c r="O2134" s="37"/>
      <x:c r="P2134" s="34" t="n">
        <x:v>0</x:v>
      </x:c>
      <x:c r="Q2134" s="37" t="n">
        <x:v>46169.155706018515</x:v>
      </x:c>
    </x:row>
    <x:row r="2135">
      <x:c r="A2135" s="22" t="n">
        <x:v>33427</x:v>
      </x:c>
      <x:c r="B2135" s="28" t="n">
        <x:v>506.25</x:v>
      </x:c>
      <x:c r="C2135" s="28"/>
      <x:c r="D2135" s="31" t="str">
        <x:f>IF(OR(ISBLANK(B2135),ISBLANK(C2135),B2135=0),"",(C2135-B2135)/B2135)</x:f>
      </x:c>
      <x:c r="E2135" s="22" t="str">
        <x:f>IF(ISBLANK(C2135),"AmountIncludingTax缺失",IF(ABS(B2135-C2135)&lt;0.005,"一致","不一致"))</x:f>
        <x:v>AmountIncludingTax缺失</x:v>
      </x:c>
      <x:c r="F2135" s="19" t="str">
        <x:v>approved</x:v>
      </x:c>
      <x:c r="G2135" s="19" t="str">
        <x:v>Repair in Progress</x:v>
      </x:c>
      <x:c r="H2135" s="19" t="str">
        <x:v>In Field</x:v>
      </x:c>
      <x:c r="I2135" s="37" t="n">
        <x:v>46171</x:v>
      </x:c>
      <x:c r="J2135" s="37" t="n">
        <x:v>46171</x:v>
      </x:c>
      <x:c r="K2135" s="19" t="str">
        <x:v>ABCO Caravans - Boambee Valley</x:v>
      </x:c>
      <x:c r="L2135" s="19" t="str">
        <x:v>Z006</x:v>
      </x:c>
      <x:c r="M2135" s="19" t="str">
        <x:v>In Field Warranty Claims</x:v>
      </x:c>
      <x:c r="N2135" s="37" t="n">
        <x:v>46122</x:v>
      </x:c>
      <x:c r="O2135" s="37"/>
      <x:c r="P2135" s="34" t="n">
        <x:v>0</x:v>
      </x:c>
      <x:c r="Q2135" s="37" t="n">
        <x:v>46171.168761574074</x:v>
      </x:c>
    </x:row>
    <x:row r="2136">
      <x:c r="A2136" s="22" t="n">
        <x:v>33426</x:v>
      </x:c>
      <x:c r="B2136" s="28" t="n">
        <x:v>101.25</x:v>
      </x:c>
      <x:c r="C2136" s="28"/>
      <x:c r="D2136" s="31" t="str">
        <x:f>IF(OR(ISBLANK(B2136),ISBLANK(C2136),B2136=0),"",(C2136-B2136)/B2136)</x:f>
      </x:c>
      <x:c r="E2136" s="22" t="str">
        <x:f>IF(ISBLANK(C2136),"AmountIncludingTax缺失",IF(ABS(B2136-C2136)&lt;0.005,"一致","不一致"))</x:f>
        <x:v>AmountIncludingTax缺失</x:v>
      </x:c>
      <x:c r="F2136" s="19" t="str">
        <x:v>approved</x:v>
      </x:c>
      <x:c r="G2136" s="19" t="str">
        <x:v>Repair in Progress</x:v>
      </x:c>
      <x:c r="H2136" s="19" t="str">
        <x:v>In Field</x:v>
      </x:c>
      <x:c r="I2136" s="37" t="n">
        <x:v>46122</x:v>
      </x:c>
      <x:c r="J2136" s="37" t="n">
        <x:v>46122</x:v>
      </x:c>
      <x:c r="K2136" s="19" t="str">
        <x:v>ABCO Caravans - Boambee Valley</x:v>
      </x:c>
      <x:c r="L2136" s="19" t="str">
        <x:v>Z006</x:v>
      </x:c>
      <x:c r="M2136" s="19" t="str">
        <x:v>In Field Warranty Claims</x:v>
      </x:c>
      <x:c r="N2136" s="37" t="n">
        <x:v>46121</x:v>
      </x:c>
      <x:c r="O2136" s="37"/>
      <x:c r="P2136" s="34" t="n">
        <x:v>0</x:v>
      </x:c>
      <x:c r="Q2136" s="37" t="n">
        <x:v>46122.22209490741</x:v>
      </x:c>
    </x:row>
    <x:row r="2137">
      <x:c r="A2137" s="22" t="n">
        <x:v>33425</x:v>
      </x:c>
      <x:c r="B2137" s="28" t="n">
        <x:v>415</x:v>
      </x:c>
      <x:c r="C2137" s="28"/>
      <x:c r="D2137" s="31" t="str">
        <x:f>IF(OR(ISBLANK(B2137),ISBLANK(C2137),B2137=0),"",(C2137-B2137)/B2137)</x:f>
      </x:c>
      <x:c r="E2137" s="22" t="str">
        <x:f>IF(ISBLANK(C2137),"AmountIncludingTax缺失",IF(ABS(B2137-C2137)&lt;0.005,"一致","不一致"))</x:f>
        <x:v>AmountIncludingTax缺失</x:v>
      </x:c>
      <x:c r="F2137" s="19" t="str">
        <x:v>approved</x:v>
      </x:c>
      <x:c r="G2137" s="19" t="str">
        <x:v>Repairer Invoiced Processed</x:v>
      </x:c>
      <x:c r="H2137" s="19" t="str">
        <x:v>In Field</x:v>
      </x:c>
      <x:c r="I2137" s="37" t="n">
        <x:v>46155</x:v>
      </x:c>
      <x:c r="J2137" s="37" t="n">
        <x:v>46126</x:v>
      </x:c>
      <x:c r="K2137" s="19" t="str">
        <x:v>Green RV - Slacks Creek</x:v>
      </x:c>
      <x:c r="L2137" s="19" t="str">
        <x:v>Z006</x:v>
      </x:c>
      <x:c r="M2137" s="19" t="str">
        <x:v>In Field Warranty Claims</x:v>
      </x:c>
      <x:c r="N2137" s="37" t="n">
        <x:v>46121</x:v>
      </x:c>
      <x:c r="O2137" s="37"/>
      <x:c r="P2137" s="34" t="n">
        <x:v>0</x:v>
      </x:c>
      <x:c r="Q2137" s="37" t="n">
        <x:v>46155.244421296295</x:v>
      </x:c>
    </x:row>
    <x:row r="2138">
      <x:c r="A2138" s="22" t="n">
        <x:v>33424</x:v>
      </x:c>
      <x:c r="B2138" s="28" t="n">
        <x:v>135</x:v>
      </x:c>
      <x:c r="C2138" s="28" t="n">
        <x:v>148.5</x:v>
      </x:c>
      <x:c r="D2138" s="31" t="n">
        <x:f>IF(OR(ISBLANK(B2138),ISBLANK(C2138),B2138=0),"",(C2138-B2138)/B2138)</x:f>
        <x:v>0.1</x:v>
      </x:c>
      <x:c r="E2138" s="22" t="str">
        <x:f>IF(ISBLANK(C2138),"AmountIncludingTax缺失",IF(ABS(B2138-C2138)&lt;0.005,"一致","不一致"))</x:f>
        <x:v>不一致</x:v>
      </x:c>
      <x:c r="F2138" s="19" t="str">
        <x:v>approved</x:v>
      </x:c>
      <x:c r="G2138" s="19" t="str">
        <x:v>Repairer Invoiced Processed</x:v>
      </x:c>
      <x:c r="H2138" s="19" t="str">
        <x:v>In Field</x:v>
      </x:c>
      <x:c r="I2138" s="37" t="n">
        <x:v>46126</x:v>
      </x:c>
      <x:c r="J2138" s="37" t="n">
        <x:v>46126</x:v>
      </x:c>
      <x:c r="K2138" s="19" t="str">
        <x:v>Green RV - Slacks Creek</x:v>
      </x:c>
      <x:c r="L2138" s="19" t="str">
        <x:v>Z006</x:v>
      </x:c>
      <x:c r="M2138" s="19" t="str">
        <x:v>In Field Warranty Claims</x:v>
      </x:c>
      <x:c r="N2138" s="37" t="n">
        <x:v>46121</x:v>
      </x:c>
      <x:c r="O2138" s="37"/>
      <x:c r="P2138" s="34" t="n">
        <x:v>148.5</x:v>
      </x:c>
      <x:c r="Q2138" s="37" t="n">
        <x:v>46125.88967592592</x:v>
      </x:c>
    </x:row>
    <x:row r="2139">
      <x:c r="A2139" s="22" t="n">
        <x:v>33423</x:v>
      </x:c>
      <x:c r="B2139" s="28" t="n">
        <x:v>239.91</x:v>
      </x:c>
      <x:c r="C2139" s="28" t="n">
        <x:v>263.9</x:v>
      </x:c>
      <x:c r="D2139" s="31" t="n">
        <x:f>IF(OR(ISBLANK(B2139),ISBLANK(C2139),B2139=0),"",(C2139-B2139)/B2139)</x:f>
        <x:v>0.0999958317702471</x:v>
      </x:c>
      <x:c r="E2139" s="22" t="str">
        <x:f>IF(ISBLANK(C2139),"AmountIncludingTax缺失",IF(ABS(B2139-C2139)&lt;0.005,"一致","不一致"))</x:f>
        <x:v>不一致</x:v>
      </x:c>
      <x:c r="F2139" s="19" t="str">
        <x:v>approved</x:v>
      </x:c>
      <x:c r="G2139" s="19" t="str">
        <x:v>Repairer Invoiced Processed</x:v>
      </x:c>
      <x:c r="H2139" s="19" t="str">
        <x:v>In Field</x:v>
      </x:c>
      <x:c r="I2139" s="37" t="n">
        <x:v>46133</x:v>
      </x:c>
      <x:c r="J2139" s="37" t="n">
        <x:v>46133</x:v>
      </x:c>
      <x:c r="K2139" s="19" t="str">
        <x:v>Green RV - Slacks Creek</x:v>
      </x:c>
      <x:c r="L2139" s="19" t="str">
        <x:v>Z006</x:v>
      </x:c>
      <x:c r="M2139" s="19" t="str">
        <x:v>In Field Warranty Claims</x:v>
      </x:c>
      <x:c r="N2139" s="37" t="n">
        <x:v>46121</x:v>
      </x:c>
      <x:c r="O2139" s="37"/>
      <x:c r="P2139" s="34" t="n">
        <x:v>263.9</x:v>
      </x:c>
      <x:c r="Q2139" s="37" t="n">
        <x:v>46132.99662037037</x:v>
      </x:c>
    </x:row>
    <x:row r="2140">
      <x:c r="A2140" s="22" t="n">
        <x:v>33422</x:v>
      </x:c>
      <x:c r="B2140" s="28" t="n">
        <x:v>135</x:v>
      </x:c>
      <x:c r="C2140" s="28"/>
      <x:c r="D2140" s="31" t="str">
        <x:f>IF(OR(ISBLANK(B2140),ISBLANK(C2140),B2140=0),"",(C2140-B2140)/B2140)</x:f>
      </x:c>
      <x:c r="E2140" s="22" t="str">
        <x:f>IF(ISBLANK(C2140),"AmountIncludingTax缺失",IF(ABS(B2140-C2140)&lt;0.005,"一致","不一致"))</x:f>
        <x:v>AmountIncludingTax缺失</x:v>
      </x:c>
      <x:c r="F2140" s="19" t="str">
        <x:v>approved</x:v>
      </x:c>
      <x:c r="G2140" s="19" t="str">
        <x:v>Repairer Invoiced Processed</x:v>
      </x:c>
      <x:c r="H2140" s="19" t="str">
        <x:v>In Field</x:v>
      </x:c>
      <x:c r="I2140" s="37" t="n">
        <x:v>46139</x:v>
      </x:c>
      <x:c r="J2140" s="37" t="n">
        <x:v>46139</x:v>
      </x:c>
      <x:c r="K2140" s="19" t="str">
        <x:v>Green RV - Slacks Creek</x:v>
      </x:c>
      <x:c r="L2140" s="19" t="str">
        <x:v>Z006</x:v>
      </x:c>
      <x:c r="M2140" s="19" t="str">
        <x:v>In Field Warranty Claims</x:v>
      </x:c>
      <x:c r="N2140" s="37" t="n">
        <x:v>46121</x:v>
      </x:c>
      <x:c r="O2140" s="37"/>
      <x:c r="P2140" s="34" t="n">
        <x:v>0</x:v>
      </x:c>
      <x:c r="Q2140" s="37" t="n">
        <x:v>46139.03565972222</x:v>
      </x:c>
    </x:row>
    <x:row r="2141">
      <x:c r="A2141" s="22" t="n">
        <x:v>33418</x:v>
      </x:c>
      <x:c r="B2141" s="28" t="n">
        <x:v>135</x:v>
      </x:c>
      <x:c r="C2141" s="28" t="n">
        <x:v>148.5</x:v>
      </x:c>
      <x:c r="D2141" s="31" t="n">
        <x:f>IF(OR(ISBLANK(B2141),ISBLANK(C2141),B2141=0),"",(C2141-B2141)/B2141)</x:f>
        <x:v>0.1</x:v>
      </x:c>
      <x:c r="E2141" s="22" t="str">
        <x:f>IF(ISBLANK(C2141),"AmountIncludingTax缺失",IF(ABS(B2141-C2141)&lt;0.005,"一致","不一致"))</x:f>
        <x:v>不一致</x:v>
      </x:c>
      <x:c r="F2141" s="19" t="str">
        <x:v>approved</x:v>
      </x:c>
      <x:c r="G2141" s="19" t="str">
        <x:v>Repairer Invoiced Processed</x:v>
      </x:c>
      <x:c r="H2141" s="19" t="str">
        <x:v>In Field</x:v>
      </x:c>
      <x:c r="I2141" s="37" t="n">
        <x:v>46125</x:v>
      </x:c>
      <x:c r="J2141" s="37" t="n">
        <x:v>46125</x:v>
      </x:c>
      <x:c r="K2141" s="19" t="str">
        <x:v>Dario Caravans - Pooraka</x:v>
      </x:c>
      <x:c r="L2141" s="19" t="str">
        <x:v>Z006</x:v>
      </x:c>
      <x:c r="M2141" s="19" t="str">
        <x:v>In Field Warranty Claims</x:v>
      </x:c>
      <x:c r="N2141" s="37" t="n">
        <x:v>46122</x:v>
      </x:c>
      <x:c r="O2141" s="37"/>
      <x:c r="P2141" s="34" t="n">
        <x:v>148.5</x:v>
      </x:c>
      <x:c r="Q2141" s="37" t="n">
        <x:v>46124.93755787037</x:v>
      </x:c>
    </x:row>
    <x:row r="2142">
      <x:c r="A2142" s="22" t="n">
        <x:v>33413</x:v>
      </x:c>
      <x:c r="B2142" s="28" t="n">
        <x:v>405</x:v>
      </x:c>
      <x:c r="C2142" s="28"/>
      <x:c r="D2142" s="31" t="str">
        <x:f>IF(OR(ISBLANK(B2142),ISBLANK(C2142),B2142=0),"",(C2142-B2142)/B2142)</x:f>
      </x:c>
      <x:c r="E2142" s="22" t="str">
        <x:f>IF(ISBLANK(C2142),"AmountIncludingTax缺失",IF(ABS(B2142-C2142)&lt;0.005,"一致","不一致"))</x:f>
        <x:v>AmountIncludingTax缺失</x:v>
      </x:c>
      <x:c r="F2142" s="19" t="str">
        <x:v>approved</x:v>
      </x:c>
      <x:c r="G2142" s="19" t="str">
        <x:v>Repair in Progress</x:v>
      </x:c>
      <x:c r="H2142" s="19" t="str">
        <x:v>In Field</x:v>
      </x:c>
      <x:c r="I2142" s="37" t="n">
        <x:v>46122</x:v>
      </x:c>
      <x:c r="J2142" s="37" t="n">
        <x:v>46122</x:v>
      </x:c>
      <x:c r="K2142" s="19" t="str">
        <x:v>Green RV - Forest Glen</x:v>
      </x:c>
      <x:c r="L2142" s="19" t="str">
        <x:v>Z006</x:v>
      </x:c>
      <x:c r="M2142" s="19" t="str">
        <x:v>In Field Warranty Claims</x:v>
      </x:c>
      <x:c r="N2142" s="37" t="n">
        <x:v>46121</x:v>
      </x:c>
      <x:c r="O2142" s="37"/>
      <x:c r="P2142" s="34" t="n">
        <x:v>0</x:v>
      </x:c>
      <x:c r="Q2142" s="37" t="n">
        <x:v>46121.969988425924</x:v>
      </x:c>
    </x:row>
    <x:row r="2143">
      <x:c r="A2143" s="22" t="n">
        <x:v>33410</x:v>
      </x:c>
      <x:c r="B2143" s="28" t="n">
        <x:v>337.5</x:v>
      </x:c>
      <x:c r="C2143" s="28"/>
      <x:c r="D2143" s="31" t="str">
        <x:f>IF(OR(ISBLANK(B2143),ISBLANK(C2143),B2143=0),"",(C2143-B2143)/B2143)</x:f>
      </x:c>
      <x:c r="E2143" s="22" t="str">
        <x:f>IF(ISBLANK(C2143),"AmountIncludingTax缺失",IF(ABS(B2143-C2143)&lt;0.005,"一致","不一致"))</x:f>
        <x:v>AmountIncludingTax缺失</x:v>
      </x:c>
      <x:c r="F2143" s="19" t="str">
        <x:v>approved</x:v>
      </x:c>
      <x:c r="G2143" s="19" t="str">
        <x:v>Repair in Progress</x:v>
      </x:c>
      <x:c r="H2143" s="19" t="str">
        <x:v>In Field</x:v>
      </x:c>
      <x:c r="I2143" s="37" t="n">
        <x:v>46136</x:v>
      </x:c>
      <x:c r="J2143" s="37" t="n">
        <x:v>46136</x:v>
      </x:c>
      <x:c r="K2143" s="19" t="str">
        <x:v>Regent RV - Perth</x:v>
      </x:c>
      <x:c r="L2143" s="19" t="str">
        <x:v>Z006</x:v>
      </x:c>
      <x:c r="M2143" s="19" t="str">
        <x:v>In Field Warranty Claims</x:v>
      </x:c>
      <x:c r="N2143" s="37" t="n">
        <x:v>46122</x:v>
      </x:c>
      <x:c r="O2143" s="37"/>
      <x:c r="P2143" s="34" t="n">
        <x:v>0</x:v>
      </x:c>
      <x:c r="Q2143" s="37" t="n">
        <x:v>46136.20655092593</x:v>
      </x:c>
    </x:row>
    <x:row r="2144">
      <x:c r="A2144" s="22" t="n">
        <x:v>33409</x:v>
      </x:c>
      <x:c r="B2144" s="28" t="n">
        <x:v>101.25</x:v>
      </x:c>
      <x:c r="C2144" s="28"/>
      <x:c r="D2144" s="31" t="str">
        <x:f>IF(OR(ISBLANK(B2144),ISBLANK(C2144),B2144=0),"",(C2144-B2144)/B2144)</x:f>
      </x:c>
      <x:c r="E2144" s="22" t="str">
        <x:f>IF(ISBLANK(C2144),"AmountIncludingTax缺失",IF(ABS(B2144-C2144)&lt;0.005,"一致","不一致"))</x:f>
        <x:v>AmountIncludingTax缺失</x:v>
      </x:c>
      <x:c r="F2144" s="19" t="str">
        <x:v>approved</x:v>
      </x:c>
      <x:c r="G2144" s="19" t="str">
        <x:v>Repairer Invoiced Processed</x:v>
      </x:c>
      <x:c r="H2144" s="19" t="str">
        <x:v>In Field</x:v>
      </x:c>
      <x:c r="I2144" s="37" t="n">
        <x:v>46134</x:v>
      </x:c>
      <x:c r="J2144" s="37" t="n">
        <x:v>46134</x:v>
      </x:c>
      <x:c r="K2144" s="19" t="str">
        <x:v>Dario Caravans -St.Marys</x:v>
      </x:c>
      <x:c r="L2144" s="19" t="str">
        <x:v>Z006</x:v>
      </x:c>
      <x:c r="M2144" s="19" t="str">
        <x:v>In Field Warranty Claims</x:v>
      </x:c>
      <x:c r="N2144" s="37" t="n">
        <x:v>46122</x:v>
      </x:c>
      <x:c r="O2144" s="37"/>
      <x:c r="P2144" s="34" t="n">
        <x:v>0</x:v>
      </x:c>
      <x:c r="Q2144" s="37" t="n">
        <x:v>46134.197916666664</x:v>
      </x:c>
    </x:row>
    <x:row r="2145">
      <x:c r="A2145" s="22" t="n">
        <x:v>33408</x:v>
      </x:c>
      <x:c r="B2145" s="28" t="n">
        <x:v>1245</x:v>
      </x:c>
      <x:c r="C2145" s="28"/>
      <x:c r="D2145" s="31" t="str">
        <x:f>IF(OR(ISBLANK(B2145),ISBLANK(C2145),B2145=0),"",(C2145-B2145)/B2145)</x:f>
      </x:c>
      <x:c r="E2145" s="22" t="str">
        <x:f>IF(ISBLANK(C2145),"AmountIncludingTax缺失",IF(ABS(B2145-C2145)&lt;0.005,"一致","不一致"))</x:f>
        <x:v>AmountIncludingTax缺失</x:v>
      </x:c>
      <x:c r="F2145" s="19" t="str">
        <x:v>approved</x:v>
      </x:c>
      <x:c r="G2145" s="19" t="str">
        <x:v>Repair in Progress</x:v>
      </x:c>
      <x:c r="H2145" s="19" t="str">
        <x:v>In Field</x:v>
      </x:c>
      <x:c r="I2145" s="37" t="n">
        <x:v>46169</x:v>
      </x:c>
      <x:c r="J2145" s="37" t="n">
        <x:v>46169</x:v>
      </x:c>
      <x:c r="K2145" s="19" t="str">
        <x:v>Newcastle RV Super Centre - Beresfield</x:v>
      </x:c>
      <x:c r="L2145" s="19" t="str">
        <x:v>Z006</x:v>
      </x:c>
      <x:c r="M2145" s="19" t="str">
        <x:v>In Field Warranty Claims</x:v>
      </x:c>
      <x:c r="N2145" s="37" t="n">
        <x:v>46122</x:v>
      </x:c>
      <x:c r="O2145" s="37"/>
      <x:c r="P2145" s="34" t="n">
        <x:v>0</x:v>
      </x:c>
      <x:c r="Q2145" s="37" t="n">
        <x:v>46169.016550925924</x:v>
      </x:c>
    </x:row>
    <x:row r="2146">
      <x:c r="A2146" s="22" t="n">
        <x:v>33407</x:v>
      </x:c>
      <x:c r="B2146" s="28" t="n">
        <x:v>877.5</x:v>
      </x:c>
      <x:c r="C2146" s="28"/>
      <x:c r="D2146" s="31" t="str">
        <x:f>IF(OR(ISBLANK(B2146),ISBLANK(C2146),B2146=0),"",(C2146-B2146)/B2146)</x:f>
      </x:c>
      <x:c r="E2146" s="22" t="str">
        <x:f>IF(ISBLANK(C2146),"AmountIncludingTax缺失",IF(ABS(B2146-C2146)&lt;0.005,"一致","不一致"))</x:f>
        <x:v>AmountIncludingTax缺失</x:v>
      </x:c>
      <x:c r="F2146" s="19" t="str">
        <x:v>approved</x:v>
      </x:c>
      <x:c r="G2146" s="19" t="str">
        <x:v>Repair in Progress</x:v>
      </x:c>
      <x:c r="H2146" s="19" t="str">
        <x:v>In Field</x:v>
      </x:c>
      <x:c r="I2146" s="37" t="n">
        <x:v>46169</x:v>
      </x:c>
      <x:c r="J2146" s="37" t="n">
        <x:v>46169</x:v>
      </x:c>
      <x:c r="K2146" s="19" t="str">
        <x:v>ABCO Caravans - Boambee Valley</x:v>
      </x:c>
      <x:c r="L2146" s="19" t="str">
        <x:v>Z006</x:v>
      </x:c>
      <x:c r="M2146" s="19" t="str">
        <x:v>In Field Warranty Claims</x:v>
      </x:c>
      <x:c r="N2146" s="37" t="n">
        <x:v>46122</x:v>
      </x:c>
      <x:c r="O2146" s="37"/>
      <x:c r="P2146" s="34" t="n">
        <x:v>0</x:v>
      </x:c>
      <x:c r="Q2146" s="37" t="n">
        <x:v>46169.015706018516</x:v>
      </x:c>
    </x:row>
    <x:row r="2147">
      <x:c r="A2147" s="22" t="n">
        <x:v>33406</x:v>
      </x:c>
      <x:c r="B2147" s="28" t="n">
        <x:v>67.5</x:v>
      </x:c>
      <x:c r="C2147" s="28"/>
      <x:c r="D2147" s="31" t="str">
        <x:f>IF(OR(ISBLANK(B2147),ISBLANK(C2147),B2147=0),"",(C2147-B2147)/B2147)</x:f>
      </x:c>
      <x:c r="E2147" s="22" t="str">
        <x:f>IF(ISBLANK(C2147),"AmountIncludingTax缺失",IF(ABS(B2147-C2147)&lt;0.005,"一致","不一致"))</x:f>
        <x:v>AmountIncludingTax缺失</x:v>
      </x:c>
      <x:c r="F2147" s="19" t="str">
        <x:v>approved</x:v>
      </x:c>
      <x:c r="G2147" s="19" t="str">
        <x:v>Repair in Progress</x:v>
      </x:c>
      <x:c r="H2147" s="19" t="str">
        <x:v>In Field</x:v>
      </x:c>
      <x:c r="I2147" s="37" t="n">
        <x:v>46129</x:v>
      </x:c>
      <x:c r="J2147" s="37" t="n">
        <x:v>46129</x:v>
      </x:c>
      <x:c r="K2147" s="19" t="str">
        <x:v>Newcastle RV Super Centre - Beresfield</x:v>
      </x:c>
      <x:c r="L2147" s="19" t="str">
        <x:v>Z006</x:v>
      </x:c>
      <x:c r="M2147" s="19" t="str">
        <x:v>In Field Warranty Claims</x:v>
      </x:c>
      <x:c r="N2147" s="37" t="n">
        <x:v>46122</x:v>
      </x:c>
      <x:c r="O2147" s="37"/>
      <x:c r="P2147" s="34" t="n">
        <x:v>0</x:v>
      </x:c>
      <x:c r="Q2147" s="37" t="n">
        <x:v>46129.176840277774</x:v>
      </x:c>
    </x:row>
    <x:row r="2148">
      <x:c r="A2148" s="22" t="n">
        <x:v>33405</x:v>
      </x:c>
      <x:c r="B2148" s="28" t="n">
        <x:v>405</x:v>
      </x:c>
      <x:c r="C2148" s="28"/>
      <x:c r="D2148" s="31" t="str">
        <x:f>IF(OR(ISBLANK(B2148),ISBLANK(C2148),B2148=0),"",(C2148-B2148)/B2148)</x:f>
      </x:c>
      <x:c r="E2148" s="22" t="str">
        <x:f>IF(ISBLANK(C2148),"AmountIncludingTax缺失",IF(ABS(B2148-C2148)&lt;0.005,"一致","不一致"))</x:f>
        <x:v>AmountIncludingTax缺失</x:v>
      </x:c>
      <x:c r="F2148" s="19" t="str">
        <x:v>approved</x:v>
      </x:c>
      <x:c r="G2148" s="19" t="str">
        <x:v>Repairer Invoiced Processed</x:v>
      </x:c>
      <x:c r="H2148" s="19" t="str">
        <x:v>In Field</x:v>
      </x:c>
      <x:c r="I2148" s="37" t="n">
        <x:v>46162</x:v>
      </x:c>
      <x:c r="J2148" s="37" t="n">
        <x:v>46162</x:v>
      </x:c>
      <x:c r="K2148" s="19" t="str">
        <x:v>Lesiure Lion-New Castle</x:v>
      </x:c>
      <x:c r="L2148" s="19" t="str">
        <x:v>Z006</x:v>
      </x:c>
      <x:c r="M2148" s="19" t="str">
        <x:v>In Field Warranty Claims</x:v>
      </x:c>
      <x:c r="N2148" s="37" t="n">
        <x:v>46121</x:v>
      </x:c>
      <x:c r="O2148" s="37"/>
      <x:c r="P2148" s="34" t="n">
        <x:v>0</x:v>
      </x:c>
      <x:c r="Q2148" s="37" t="n">
        <x:v>46162.16619212963</x:v>
      </x:c>
    </x:row>
    <x:row r="2149">
      <x:c r="A2149" s="22" t="n">
        <x:v>33404</x:v>
      </x:c>
      <x:c r="B2149" s="28" t="n">
        <x:v>1268.75</x:v>
      </x:c>
      <x:c r="C2149" s="28"/>
      <x:c r="D2149" s="31" t="str">
        <x:f>IF(OR(ISBLANK(B2149),ISBLANK(C2149),B2149=0),"",(C2149-B2149)/B2149)</x:f>
      </x:c>
      <x:c r="E2149" s="22" t="str">
        <x:f>IF(ISBLANK(C2149),"AmountIncludingTax缺失",IF(ABS(B2149-C2149)&lt;0.005,"一致","不一致"))</x:f>
        <x:v>AmountIncludingTax缺失</x:v>
      </x:c>
      <x:c r="F2149" s="19" t="str">
        <x:v>approved</x:v>
      </x:c>
      <x:c r="G2149" s="19" t="str">
        <x:v>Repair in Progress</x:v>
      </x:c>
      <x:c r="H2149" s="19" t="str">
        <x:v>In Field</x:v>
      </x:c>
      <x:c r="I2149" s="37" t="n">
        <x:v>46142</x:v>
      </x:c>
      <x:c r="J2149" s="37" t="n">
        <x:v>46142</x:v>
      </x:c>
      <x:c r="K2149" s="19" t="str">
        <x:v>Green RV - Forest Glen</x:v>
      </x:c>
      <x:c r="L2149" s="19" t="str">
        <x:v>Z006</x:v>
      </x:c>
      <x:c r="M2149" s="19" t="str">
        <x:v>In Field Warranty Claims</x:v>
      </x:c>
      <x:c r="N2149" s="37" t="n">
        <x:v>46121</x:v>
      </x:c>
      <x:c r="O2149" s="37"/>
      <x:c r="P2149" s="34" t="n">
        <x:v>0</x:v>
      </x:c>
      <x:c r="Q2149" s="37" t="n">
        <x:v>46141.93240740741</x:v>
      </x:c>
    </x:row>
    <x:row r="2150">
      <x:c r="A2150" s="22" t="n">
        <x:v>33402</x:v>
      </x:c>
      <x:c r="B2150" s="28" t="n">
        <x:v>742.5</x:v>
      </x:c>
      <x:c r="C2150" s="28"/>
      <x:c r="D2150" s="31" t="str">
        <x:f>IF(OR(ISBLANK(B2150),ISBLANK(C2150),B2150=0),"",(C2150-B2150)/B2150)</x:f>
      </x:c>
      <x:c r="E2150" s="22" t="str">
        <x:f>IF(ISBLANK(C2150),"AmountIncludingTax缺失",IF(ABS(B2150-C2150)&lt;0.005,"一致","不一致"))</x:f>
        <x:v>AmountIncludingTax缺失</x:v>
      </x:c>
      <x:c r="F2150" s="19" t="str">
        <x:v>approved</x:v>
      </x:c>
      <x:c r="G2150" s="19" t="str">
        <x:v>Repair in Progress</x:v>
      </x:c>
      <x:c r="H2150" s="19" t="str">
        <x:v>In Field</x:v>
      </x:c>
      <x:c r="I2150" s="37" t="n">
        <x:v>46126</x:v>
      </x:c>
      <x:c r="J2150" s="37" t="n">
        <x:v>46126</x:v>
      </x:c>
      <x:c r="K2150" s="19" t="str">
        <x:v>Green RV - Forest Glen</x:v>
      </x:c>
      <x:c r="L2150" s="19" t="str">
        <x:v>Z006</x:v>
      </x:c>
      <x:c r="M2150" s="19" t="str">
        <x:v>In Field Warranty Claims</x:v>
      </x:c>
      <x:c r="N2150" s="37" t="n">
        <x:v>46121</x:v>
      </x:c>
      <x:c r="O2150" s="37"/>
      <x:c r="P2150" s="34" t="n">
        <x:v>0</x:v>
      </x:c>
      <x:c r="Q2150" s="37" t="n">
        <x:v>46125.845717592594</x:v>
      </x:c>
    </x:row>
    <x:row r="2151">
      <x:c r="A2151" s="22" t="n">
        <x:v>33400</x:v>
      </x:c>
      <x:c r="B2151" s="28" t="n">
        <x:v>2340.5</x:v>
      </x:c>
      <x:c r="C2151" s="28"/>
      <x:c r="D2151" s="31" t="str">
        <x:f>IF(OR(ISBLANK(B2151),ISBLANK(C2151),B2151=0),"",(C2151-B2151)/B2151)</x:f>
      </x:c>
      <x:c r="E2151" s="22" t="str">
        <x:f>IF(ISBLANK(C2151),"AmountIncludingTax缺失",IF(ABS(B2151-C2151)&lt;0.005,"一致","不一致"))</x:f>
        <x:v>AmountIncludingTax缺失</x:v>
      </x:c>
      <x:c r="F2151" s="19" t="str">
        <x:v>approved</x:v>
      </x:c>
      <x:c r="G2151" s="19" t="str">
        <x:v>Repair in Progress</x:v>
      </x:c>
      <x:c r="H2151" s="19" t="str">
        <x:v>In Field</x:v>
      </x:c>
      <x:c r="I2151" s="37" t="n">
        <x:v>46153</x:v>
      </x:c>
      <x:c r="J2151" s="37" t="n">
        <x:v>46153</x:v>
      </x:c>
      <x:c r="K2151" s="19" t="str">
        <x:v>Regent RV - Perth</x:v>
      </x:c>
      <x:c r="L2151" s="19" t="str">
        <x:v>Z006</x:v>
      </x:c>
      <x:c r="M2151" s="19" t="str">
        <x:v>In Field Warranty Claims</x:v>
      </x:c>
      <x:c r="N2151" s="37" t="n">
        <x:v>46121</x:v>
      </x:c>
      <x:c r="O2151" s="37"/>
      <x:c r="P2151" s="34" t="n">
        <x:v>0</x:v>
      </x:c>
      <x:c r="Q2151" s="37" t="n">
        <x:v>46153.210694444446</x:v>
      </x:c>
    </x:row>
    <x:row r="2152">
      <x:c r="A2152" s="22" t="n">
        <x:v>33399</x:v>
      </x:c>
      <x:c r="B2152" s="28" t="n">
        <x:v>458.6</x:v>
      </x:c>
      <x:c r="C2152" s="28" t="n">
        <x:v>504.46</x:v>
      </x:c>
      <x:c r="D2152" s="31" t="n">
        <x:f>IF(OR(ISBLANK(B2152),ISBLANK(C2152),B2152=0),"",(C2152-B2152)/B2152)</x:f>
        <x:v>0.0999999999999999</x:v>
      </x:c>
      <x:c r="E2152" s="22" t="str">
        <x:f>IF(ISBLANK(C2152),"AmountIncludingTax缺失",IF(ABS(B2152-C2152)&lt;0.005,"一致","不一致"))</x:f>
        <x:v>不一致</x:v>
      </x:c>
      <x:c r="F2152" s="19" t="str">
        <x:v>approved</x:v>
      </x:c>
      <x:c r="G2152" s="19" t="str">
        <x:v>Repairer Invoiced Processed</x:v>
      </x:c>
      <x:c r="H2152" s="19" t="str">
        <x:v>In Field</x:v>
      </x:c>
      <x:c r="I2152" s="37" t="n">
        <x:v>46176</x:v>
      </x:c>
      <x:c r="J2152" s="37" t="n">
        <x:v>46176</x:v>
      </x:c>
      <x:c r="K2152" s="19" t="str">
        <x:v>Newcastle RV Super Centre - Beresfield</x:v>
      </x:c>
      <x:c r="L2152" s="19" t="str">
        <x:v>Z006</x:v>
      </x:c>
      <x:c r="M2152" s="19" t="str">
        <x:v>In Field Warranty Claims</x:v>
      </x:c>
      <x:c r="N2152" s="37" t="n">
        <x:v>46121</x:v>
      </x:c>
      <x:c r="O2152" s="37"/>
      <x:c r="P2152" s="34" t="n">
        <x:v>504.46</x:v>
      </x:c>
      <x:c r="Q2152" s="37" t="n">
        <x:v>46175.953206018516</x:v>
      </x:c>
    </x:row>
    <x:row r="2153">
      <x:c r="A2153" s="22" t="n">
        <x:v>33398</x:v>
      </x:c>
      <x:c r="B2153" s="28" t="n">
        <x:v>101.25</x:v>
      </x:c>
      <x:c r="C2153" s="28"/>
      <x:c r="D2153" s="31" t="str">
        <x:f>IF(OR(ISBLANK(B2153),ISBLANK(C2153),B2153=0),"",(C2153-B2153)/B2153)</x:f>
      </x:c>
      <x:c r="E2153" s="22" t="str">
        <x:f>IF(ISBLANK(C2153),"AmountIncludingTax缺失",IF(ABS(B2153-C2153)&lt;0.005,"一致","不一致"))</x:f>
        <x:v>AmountIncludingTax缺失</x:v>
      </x:c>
      <x:c r="F2153" s="19" t="str">
        <x:v>approved</x:v>
      </x:c>
      <x:c r="G2153" s="19" t="str">
        <x:v>Repairer Invoiced Processed</x:v>
      </x:c>
      <x:c r="H2153" s="19" t="str">
        <x:v>In Field</x:v>
      </x:c>
      <x:c r="I2153" s="37" t="n">
        <x:v>46141</x:v>
      </x:c>
      <x:c r="J2153" s="37" t="n">
        <x:v>46141</x:v>
      </x:c>
      <x:c r="K2153" s="19" t="str">
        <x:v>Green RV - Forest Glen</x:v>
      </x:c>
      <x:c r="L2153" s="19" t="str">
        <x:v>Z006</x:v>
      </x:c>
      <x:c r="M2153" s="19" t="str">
        <x:v>In Field Warranty Claims</x:v>
      </x:c>
      <x:c r="N2153" s="37" t="n">
        <x:v>46121</x:v>
      </x:c>
      <x:c r="O2153" s="37"/>
      <x:c r="P2153" s="34" t="n">
        <x:v>0</x:v>
      </x:c>
      <x:c r="Q2153" s="37" t="n">
        <x:v>46141.25648148148</x:v>
      </x:c>
    </x:row>
    <x:row r="2154">
      <x:c r="A2154" s="22" t="n">
        <x:v>33397</x:v>
      </x:c>
      <x:c r="B2154" s="28" t="n">
        <x:v>492.5</x:v>
      </x:c>
      <x:c r="C2154" s="28"/>
      <x:c r="D2154" s="31" t="str">
        <x:f>IF(OR(ISBLANK(B2154),ISBLANK(C2154),B2154=0),"",(C2154-B2154)/B2154)</x:f>
      </x:c>
      <x:c r="E2154" s="22" t="str">
        <x:f>IF(ISBLANK(C2154),"AmountIncludingTax缺失",IF(ABS(B2154-C2154)&lt;0.005,"一致","不一致"))</x:f>
        <x:v>AmountIncludingTax缺失</x:v>
      </x:c>
      <x:c r="F2154" s="19" t="str">
        <x:v>approved</x:v>
      </x:c>
      <x:c r="G2154" s="19" t="str">
        <x:v>Repair in Progress</x:v>
      </x:c>
      <x:c r="H2154" s="19" t="str">
        <x:v>In Field</x:v>
      </x:c>
      <x:c r="I2154" s="37" t="n">
        <x:v>46130</x:v>
      </x:c>
      <x:c r="J2154" s="37" t="n">
        <x:v>46130</x:v>
      </x:c>
      <x:c r="K2154" s="19" t="str">
        <x:v>Dario Caravans -St.Marys</x:v>
      </x:c>
      <x:c r="L2154" s="19" t="str">
        <x:v>Z006</x:v>
      </x:c>
      <x:c r="M2154" s="19" t="str">
        <x:v>In Field Warranty Claims</x:v>
      </x:c>
      <x:c r="N2154" s="37" t="n">
        <x:v>46121</x:v>
      </x:c>
      <x:c r="O2154" s="37"/>
      <x:c r="P2154" s="34" t="n">
        <x:v>0</x:v>
      </x:c>
      <x:c r="Q2154" s="37" t="n">
        <x:v>46130.11116898148</x:v>
      </x:c>
    </x:row>
    <x:row r="2155">
      <x:c r="A2155" s="22" t="n">
        <x:v>33396</x:v>
      </x:c>
      <x:c r="B2155" s="28" t="n">
        <x:v>67.5</x:v>
      </x:c>
      <x:c r="C2155" s="28"/>
      <x:c r="D2155" s="31" t="str">
        <x:f>IF(OR(ISBLANK(B2155),ISBLANK(C2155),B2155=0),"",(C2155-B2155)/B2155)</x:f>
      </x:c>
      <x:c r="E2155" s="22" t="str">
        <x:f>IF(ISBLANK(C2155),"AmountIncludingTax缺失",IF(ABS(B2155-C2155)&lt;0.005,"一致","不一致"))</x:f>
        <x:v>AmountIncludingTax缺失</x:v>
      </x:c>
      <x:c r="F2155" s="19" t="str">
        <x:v>approved</x:v>
      </x:c>
      <x:c r="G2155" s="19" t="str">
        <x:v>Repair in Progress</x:v>
      </x:c>
      <x:c r="H2155" s="19" t="str">
        <x:v>In Field</x:v>
      </x:c>
      <x:c r="I2155" s="37" t="n">
        <x:v>46125</x:v>
      </x:c>
      <x:c r="J2155" s="37" t="n">
        <x:v>46125</x:v>
      </x:c>
      <x:c r="K2155" s="19" t="str">
        <x:v>Green RV - Forest Glen</x:v>
      </x:c>
      <x:c r="L2155" s="19" t="str">
        <x:v>Z006</x:v>
      </x:c>
      <x:c r="M2155" s="19" t="str">
        <x:v>In Field Warranty Claims</x:v>
      </x:c>
      <x:c r="N2155" s="37" t="n">
        <x:v>46121</x:v>
      </x:c>
      <x:c r="O2155" s="37"/>
      <x:c r="P2155" s="34" t="n">
        <x:v>0</x:v>
      </x:c>
      <x:c r="Q2155" s="37" t="n">
        <x:v>46125.21425925926</x:v>
      </x:c>
    </x:row>
    <x:row r="2156">
      <x:c r="A2156" s="22" t="n">
        <x:v>33394</x:v>
      </x:c>
      <x:c r="B2156" s="28" t="n">
        <x:v>67.5</x:v>
      </x:c>
      <x:c r="C2156" s="28" t="n">
        <x:v>74.25</x:v>
      </x:c>
      <x:c r="D2156" s="31" t="n">
        <x:f>IF(OR(ISBLANK(B2156),ISBLANK(C2156),B2156=0),"",(C2156-B2156)/B2156)</x:f>
        <x:v>0.1</x:v>
      </x:c>
      <x:c r="E2156" s="22" t="str">
        <x:f>IF(ISBLANK(C2156),"AmountIncludingTax缺失",IF(ABS(B2156-C2156)&lt;0.005,"一致","不一致"))</x:f>
        <x:v>不一致</x:v>
      </x:c>
      <x:c r="F2156" s="19" t="str">
        <x:v>approved</x:v>
      </x:c>
      <x:c r="G2156" s="19" t="str">
        <x:v>Repair in Progress</x:v>
      </x:c>
      <x:c r="H2156" s="19" t="str">
        <x:v>In Field</x:v>
      </x:c>
      <x:c r="I2156" s="37" t="n">
        <x:v>46169</x:v>
      </x:c>
      <x:c r="J2156" s="37" t="n">
        <x:v>46169</x:v>
      </x:c>
      <x:c r="K2156" s="19" t="str">
        <x:v>Regent RV - Toowoomba</x:v>
      </x:c>
      <x:c r="L2156" s="19" t="str">
        <x:v>Z006</x:v>
      </x:c>
      <x:c r="M2156" s="19" t="str">
        <x:v>In Field Warranty Claims</x:v>
      </x:c>
      <x:c r="N2156" s="37" t="n">
        <x:v>46121</x:v>
      </x:c>
      <x:c r="O2156" s="37"/>
      <x:c r="P2156" s="34" t="n">
        <x:v>74.25</x:v>
      </x:c>
      <x:c r="Q2156" s="37" t="n">
        <x:v>46169.18530092593</x:v>
      </x:c>
    </x:row>
    <x:row r="2157">
      <x:c r="A2157" s="22" t="n">
        <x:v>33393</x:v>
      </x:c>
      <x:c r="B2157" s="28" t="n">
        <x:v>67.5</x:v>
      </x:c>
      <x:c r="C2157" s="28"/>
      <x:c r="D2157" s="31" t="str">
        <x:f>IF(OR(ISBLANK(B2157),ISBLANK(C2157),B2157=0),"",(C2157-B2157)/B2157)</x:f>
      </x:c>
      <x:c r="E2157" s="22" t="str">
        <x:f>IF(ISBLANK(C2157),"AmountIncludingTax缺失",IF(ABS(B2157-C2157)&lt;0.005,"一致","不一致"))</x:f>
        <x:v>AmountIncludingTax缺失</x:v>
      </x:c>
      <x:c r="F2157" s="19" t="str">
        <x:v>approved</x:v>
      </x:c>
      <x:c r="G2157" s="19" t="str">
        <x:v>Repair in Progress</x:v>
      </x:c>
      <x:c r="H2157" s="19" t="str">
        <x:v>In Field</x:v>
      </x:c>
      <x:c r="I2157" s="37" t="n">
        <x:v>46149</x:v>
      </x:c>
      <x:c r="J2157" s="37" t="n">
        <x:v>46149</x:v>
      </x:c>
      <x:c r="K2157" s="19" t="str">
        <x:v>Green RV - Slacks Creek</x:v>
      </x:c>
      <x:c r="L2157" s="19" t="str">
        <x:v>Z006</x:v>
      </x:c>
      <x:c r="M2157" s="19" t="str">
        <x:v>In Field Warranty Claims</x:v>
      </x:c>
      <x:c r="N2157" s="37" t="n">
        <x:v>46121</x:v>
      </x:c>
      <x:c r="O2157" s="37"/>
      <x:c r="P2157" s="34" t="n">
        <x:v>0</x:v>
      </x:c>
      <x:c r="Q2157" s="37" t="n">
        <x:v>46149.42543981481</x:v>
      </x:c>
    </x:row>
    <x:row r="2158">
      <x:c r="A2158" s="22" t="n">
        <x:v>33392</x:v>
      </x:c>
      <x:c r="B2158" s="28" t="n">
        <x:v>810</x:v>
      </x:c>
      <x:c r="C2158" s="28"/>
      <x:c r="D2158" s="31" t="str">
        <x:f>IF(OR(ISBLANK(B2158),ISBLANK(C2158),B2158=0),"",(C2158-B2158)/B2158)</x:f>
      </x:c>
      <x:c r="E2158" s="22" t="str">
        <x:f>IF(ISBLANK(C2158),"AmountIncludingTax缺失",IF(ABS(B2158-C2158)&lt;0.005,"一致","不一致"))</x:f>
        <x:v>AmountIncludingTax缺失</x:v>
      </x:c>
      <x:c r="F2158" s="19" t="str">
        <x:v>approved</x:v>
      </x:c>
      <x:c r="G2158" s="19" t="str">
        <x:v>Repair in Progress</x:v>
      </x:c>
      <x:c r="H2158" s="19" t="str">
        <x:v>In Field</x:v>
      </x:c>
      <x:c r="I2158" s="37" t="n">
        <x:v>46122</x:v>
      </x:c>
      <x:c r="J2158" s="37" t="n">
        <x:v>46122</x:v>
      </x:c>
      <x:c r="K2158" s="19" t="str">
        <x:v>Green RV - Slacks Creek</x:v>
      </x:c>
      <x:c r="L2158" s="19" t="str">
        <x:v>Z006</x:v>
      </x:c>
      <x:c r="M2158" s="19" t="str">
        <x:v>In Field Warranty Claims</x:v>
      </x:c>
      <x:c r="N2158" s="37" t="n">
        <x:v>46121</x:v>
      </x:c>
      <x:c r="O2158" s="37"/>
      <x:c r="P2158" s="34" t="n">
        <x:v>0</x:v>
      </x:c>
      <x:c r="Q2158" s="37" t="n">
        <x:v>46122.01122685185</x:v>
      </x:c>
    </x:row>
    <x:row r="2159">
      <x:c r="A2159" s="22" t="n">
        <x:v>33391</x:v>
      </x:c>
      <x:c r="B2159" s="28" t="n">
        <x:v>101.25</x:v>
      </x:c>
      <x:c r="C2159" s="28"/>
      <x:c r="D2159" s="31" t="str">
        <x:f>IF(OR(ISBLANK(B2159),ISBLANK(C2159),B2159=0),"",(C2159-B2159)/B2159)</x:f>
      </x:c>
      <x:c r="E2159" s="22" t="str">
        <x:f>IF(ISBLANK(C2159),"AmountIncludingTax缺失",IF(ABS(B2159-C2159)&lt;0.005,"一致","不一致"))</x:f>
        <x:v>AmountIncludingTax缺失</x:v>
      </x:c>
      <x:c r="F2159" s="19" t="str">
        <x:v>approved</x:v>
      </x:c>
      <x:c r="G2159" s="19" t="str">
        <x:v>Repair in Progress</x:v>
      </x:c>
      <x:c r="H2159" s="19" t="str">
        <x:v>In Field</x:v>
      </x:c>
      <x:c r="I2159" s="37" t="n">
        <x:v>46126</x:v>
      </x:c>
      <x:c r="J2159" s="37" t="n">
        <x:v>46126</x:v>
      </x:c>
      <x:c r="K2159" s="19" t="str">
        <x:v>Green RV - Forest Glen</x:v>
      </x:c>
      <x:c r="L2159" s="19" t="str">
        <x:v>Z006</x:v>
      </x:c>
      <x:c r="M2159" s="19" t="str">
        <x:v>In Field Warranty Claims</x:v>
      </x:c>
      <x:c r="N2159" s="37" t="n">
        <x:v>46121</x:v>
      </x:c>
      <x:c r="O2159" s="37"/>
      <x:c r="P2159" s="34" t="n">
        <x:v>0</x:v>
      </x:c>
      <x:c r="Q2159" s="37" t="n">
        <x:v>46125.841261574074</x:v>
      </x:c>
    </x:row>
    <x:row r="2160">
      <x:c r="A2160" s="22" t="n">
        <x:v>33390</x:v>
      </x:c>
      <x:c r="B2160" s="28" t="n">
        <x:v>202.5</x:v>
      </x:c>
      <x:c r="C2160" s="28"/>
      <x:c r="D2160" s="31" t="str">
        <x:f>IF(OR(ISBLANK(B2160),ISBLANK(C2160),B2160=0),"",(C2160-B2160)/B2160)</x:f>
      </x:c>
      <x:c r="E2160" s="22" t="str">
        <x:f>IF(ISBLANK(C2160),"AmountIncludingTax缺失",IF(ABS(B2160-C2160)&lt;0.005,"一致","不一致"))</x:f>
        <x:v>AmountIncludingTax缺失</x:v>
      </x:c>
      <x:c r="F2160" s="19" t="str">
        <x:v>approved</x:v>
      </x:c>
      <x:c r="G2160" s="19" t="str">
        <x:v>Repair in Progress</x:v>
      </x:c>
      <x:c r="H2160" s="19" t="str">
        <x:v>In Field</x:v>
      </x:c>
      <x:c r="I2160" s="37" t="n">
        <x:v>46141</x:v>
      </x:c>
      <x:c r="J2160" s="37" t="n">
        <x:v>46141</x:v>
      </x:c>
      <x:c r="K2160" s="19" t="str">
        <x:v>Snowy River Frankston</x:v>
      </x:c>
      <x:c r="L2160" s="19" t="str">
        <x:v>Z006</x:v>
      </x:c>
      <x:c r="M2160" s="19" t="str">
        <x:v>In Field Warranty Claims</x:v>
      </x:c>
      <x:c r="N2160" s="37" t="n">
        <x:v>46121</x:v>
      </x:c>
      <x:c r="O2160" s="37"/>
      <x:c r="P2160" s="34" t="n">
        <x:v>0</x:v>
      </x:c>
      <x:c r="Q2160" s="37" t="n">
        <x:v>46141.121412037035</x:v>
      </x:c>
    </x:row>
    <x:row r="2161">
      <x:c r="A2161" s="22" t="n">
        <x:v>33389</x:v>
      </x:c>
      <x:c r="B2161" s="28" t="n">
        <x:v>1000</x:v>
      </x:c>
      <x:c r="C2161" s="28"/>
      <x:c r="D2161" s="31" t="str">
        <x:f>IF(OR(ISBLANK(B2161),ISBLANK(C2161),B2161=0),"",(C2161-B2161)/B2161)</x:f>
      </x:c>
      <x:c r="E2161" s="22" t="str">
        <x:f>IF(ISBLANK(C2161),"AmountIncludingTax缺失",IF(ABS(B2161-C2161)&lt;0.005,"一致","不一致"))</x:f>
        <x:v>AmountIncludingTax缺失</x:v>
      </x:c>
      <x:c r="F2161" s="19" t="str">
        <x:v>approved</x:v>
      </x:c>
      <x:c r="G2161" s="19" t="str">
        <x:v>Repairer Invoiced Processed</x:v>
      </x:c>
      <x:c r="H2161" s="19" t="str">
        <x:v>In Field</x:v>
      </x:c>
      <x:c r="I2161" s="37" t="n">
        <x:v>46154</x:v>
      </x:c>
      <x:c r="J2161" s="37" t="n">
        <x:v>46154</x:v>
      </x:c>
      <x:c r="K2161" s="19" t="str">
        <x:v>Lesiure Lion-New Castle</x:v>
      </x:c>
      <x:c r="L2161" s="19" t="str">
        <x:v>Z006</x:v>
      </x:c>
      <x:c r="M2161" s="19" t="str">
        <x:v>In Field Warranty Claims</x:v>
      </x:c>
      <x:c r="N2161" s="37" t="n">
        <x:v>46121</x:v>
      </x:c>
      <x:c r="O2161" s="37"/>
      <x:c r="P2161" s="34" t="n">
        <x:v>0</x:v>
      </x:c>
      <x:c r="Q2161" s="37" t="n">
        <x:v>46154.23725694444</x:v>
      </x:c>
    </x:row>
    <x:row r="2162">
      <x:c r="A2162" s="22" t="n">
        <x:v>33388</x:v>
      </x:c>
      <x:c r="B2162" s="28" t="n">
        <x:v>345.18</x:v>
      </x:c>
      <x:c r="C2162" s="28" t="n">
        <x:v>379.7</x:v>
      </x:c>
      <x:c r="D2162" s="31" t="n">
        <x:f>IF(OR(ISBLANK(B2162),ISBLANK(C2162),B2162=0),"",(C2162-B2162)/B2162)</x:f>
        <x:v>0.10000579407845177</x:v>
      </x:c>
      <x:c r="E2162" s="22" t="str">
        <x:f>IF(ISBLANK(C2162),"AmountIncludingTax缺失",IF(ABS(B2162-C2162)&lt;0.005,"一致","不一致"))</x:f>
        <x:v>不一致</x:v>
      </x:c>
      <x:c r="F2162" s="19" t="str">
        <x:v>approved</x:v>
      </x:c>
      <x:c r="G2162" s="19" t="str">
        <x:v>Repairer Invoiced Processed</x:v>
      </x:c>
      <x:c r="H2162" s="19" t="str">
        <x:v>In Field</x:v>
      </x:c>
      <x:c r="I2162" s="37" t="n">
        <x:v>46122</x:v>
      </x:c>
      <x:c r="J2162" s="37" t="n">
        <x:v>46122</x:v>
      </x:c>
      <x:c r="K2162" s="19" t="str">
        <x:v>Destiny RV - South Australia</x:v>
      </x:c>
      <x:c r="L2162" s="19" t="str">
        <x:v>Z006</x:v>
      </x:c>
      <x:c r="M2162" s="19" t="str">
        <x:v>In Field Warranty Claims</x:v>
      </x:c>
      <x:c r="N2162" s="37" t="n">
        <x:v>46121</x:v>
      </x:c>
      <x:c r="O2162" s="37"/>
      <x:c r="P2162" s="34" t="n">
        <x:v>379.7</x:v>
      </x:c>
      <x:c r="Q2162" s="37" t="n">
        <x:v>46121.90644675926</x:v>
      </x:c>
    </x:row>
    <x:row r="2163">
      <x:c r="A2163" s="22" t="n">
        <x:v>33387</x:v>
      </x:c>
      <x:c r="B2163" s="28" t="n">
        <x:v>67.5</x:v>
      </x:c>
      <x:c r="C2163" s="28"/>
      <x:c r="D2163" s="31" t="str">
        <x:f>IF(OR(ISBLANK(B2163),ISBLANK(C2163),B2163=0),"",(C2163-B2163)/B2163)</x:f>
      </x:c>
      <x:c r="E2163" s="22" t="str">
        <x:f>IF(ISBLANK(C2163),"AmountIncludingTax缺失",IF(ABS(B2163-C2163)&lt;0.005,"一致","不一致"))</x:f>
        <x:v>AmountIncludingTax缺失</x:v>
      </x:c>
      <x:c r="F2163" s="19" t="str">
        <x:v>approved</x:v>
      </x:c>
      <x:c r="G2163" s="19" t="str">
        <x:v>Repairer Invoiced Processed</x:v>
      </x:c>
      <x:c r="H2163" s="19" t="str">
        <x:v>In Field</x:v>
      </x:c>
      <x:c r="I2163" s="37" t="n">
        <x:v>46125</x:v>
      </x:c>
      <x:c r="J2163" s="37" t="n">
        <x:v>46125</x:v>
      </x:c>
      <x:c r="K2163" s="19" t="str">
        <x:v>Green RV - Forest Glen</x:v>
      </x:c>
      <x:c r="L2163" s="19" t="str">
        <x:v>Z006</x:v>
      </x:c>
      <x:c r="M2163" s="19" t="str">
        <x:v>In Field Warranty Claims</x:v>
      </x:c>
      <x:c r="N2163" s="37" t="n">
        <x:v>46121</x:v>
      </x:c>
      <x:c r="O2163" s="37"/>
      <x:c r="P2163" s="34" t="n">
        <x:v>0</x:v>
      </x:c>
      <x:c r="Q2163" s="37" t="n">
        <x:v>46125.13866898148</x:v>
      </x:c>
    </x:row>
    <x:row r="2164">
      <x:c r="A2164" s="22" t="n">
        <x:v>33386</x:v>
      </x:c>
      <x:c r="B2164" s="28" t="n">
        <x:v>270</x:v>
      </x:c>
      <x:c r="C2164" s="28"/>
      <x:c r="D2164" s="31" t="str">
        <x:f>IF(OR(ISBLANK(B2164),ISBLANK(C2164),B2164=0),"",(C2164-B2164)/B2164)</x:f>
      </x:c>
      <x:c r="E2164" s="22" t="str">
        <x:f>IF(ISBLANK(C2164),"AmountIncludingTax缺失",IF(ABS(B2164-C2164)&lt;0.005,"一致","不一致"))</x:f>
        <x:v>AmountIncludingTax缺失</x:v>
      </x:c>
      <x:c r="F2164" s="19" t="str">
        <x:v>approved</x:v>
      </x:c>
      <x:c r="G2164" s="19" t="str">
        <x:v>Repairer Invoiced Processed</x:v>
      </x:c>
      <x:c r="H2164" s="19" t="str">
        <x:v>In Field</x:v>
      </x:c>
      <x:c r="I2164" s="37" t="n">
        <x:v>46122</x:v>
      </x:c>
      <x:c r="J2164" s="37" t="n">
        <x:v>46122</x:v>
      </x:c>
      <x:c r="K2164" s="19" t="str">
        <x:v>Leisure Lion - Bundaberg</x:v>
      </x:c>
      <x:c r="L2164" s="19" t="str">
        <x:v>Z006</x:v>
      </x:c>
      <x:c r="M2164" s="19" t="str">
        <x:v>In Field Warranty Claims</x:v>
      </x:c>
      <x:c r="N2164" s="37" t="n">
        <x:v>46121</x:v>
      </x:c>
      <x:c r="O2164" s="37"/>
      <x:c r="P2164" s="34" t="n">
        <x:v>0</x:v>
      </x:c>
      <x:c r="Q2164" s="37" t="n">
        <x:v>46122.22324074074</x:v>
      </x:c>
    </x:row>
    <x:row r="2165">
      <x:c r="A2165" s="22" t="n">
        <x:v>33385</x:v>
      </x:c>
      <x:c r="B2165" s="28" t="n">
        <x:v>540</x:v>
      </x:c>
      <x:c r="C2165" s="28"/>
      <x:c r="D2165" s="31" t="str">
        <x:f>IF(OR(ISBLANK(B2165),ISBLANK(C2165),B2165=0),"",(C2165-B2165)/B2165)</x:f>
      </x:c>
      <x:c r="E2165" s="22" t="str">
        <x:f>IF(ISBLANK(C2165),"AmountIncludingTax缺失",IF(ABS(B2165-C2165)&lt;0.005,"一致","不一致"))</x:f>
        <x:v>AmountIncludingTax缺失</x:v>
      </x:c>
      <x:c r="F2165" s="19" t="str">
        <x:v>approved</x:v>
      </x:c>
      <x:c r="G2165" s="19" t="str">
        <x:v>Repairer Invoiced Processed</x:v>
      </x:c>
      <x:c r="H2165" s="19" t="str">
        <x:v>In Field</x:v>
      </x:c>
      <x:c r="I2165" s="37" t="n">
        <x:v>46122</x:v>
      </x:c>
      <x:c r="J2165" s="37" t="n">
        <x:v>46122</x:v>
      </x:c>
      <x:c r="K2165" s="19" t="str">
        <x:v>Green RV - Forest Glen</x:v>
      </x:c>
      <x:c r="L2165" s="19" t="str">
        <x:v>Z006</x:v>
      </x:c>
      <x:c r="M2165" s="19" t="str">
        <x:v>In Field Warranty Claims</x:v>
      </x:c>
      <x:c r="N2165" s="37" t="n">
        <x:v>46121</x:v>
      </x:c>
      <x:c r="O2165" s="37"/>
      <x:c r="P2165" s="34" t="n">
        <x:v>0</x:v>
      </x:c>
      <x:c r="Q2165" s="37" t="n">
        <x:v>46122.010300925926</x:v>
      </x:c>
    </x:row>
    <x:row r="2166">
      <x:c r="A2166" s="22" t="n">
        <x:v>33384</x:v>
      </x:c>
      <x:c r="B2166" s="28" t="n">
        <x:v>830</x:v>
      </x:c>
      <x:c r="C2166" s="28"/>
      <x:c r="D2166" s="31" t="str">
        <x:f>IF(OR(ISBLANK(B2166),ISBLANK(C2166),B2166=0),"",(C2166-B2166)/B2166)</x:f>
      </x:c>
      <x:c r="E2166" s="22" t="str">
        <x:f>IF(ISBLANK(C2166),"AmountIncludingTax缺失",IF(ABS(B2166-C2166)&lt;0.005,"一致","不一致"))</x:f>
        <x:v>AmountIncludingTax缺失</x:v>
      </x:c>
      <x:c r="F2166" s="19" t="str">
        <x:v>approved</x:v>
      </x:c>
      <x:c r="G2166" s="19" t="str">
        <x:v>Repairer Invoiced Processed</x:v>
      </x:c>
      <x:c r="H2166" s="19" t="str">
        <x:v>In Field</x:v>
      </x:c>
      <x:c r="I2166" s="37" t="n">
        <x:v>46142</x:v>
      </x:c>
      <x:c r="J2166" s="37" t="n">
        <x:v>46142</x:v>
      </x:c>
      <x:c r="K2166" s="19" t="str">
        <x:v>Regent RV - Toowoomba</x:v>
      </x:c>
      <x:c r="L2166" s="19" t="str">
        <x:v>Z006</x:v>
      </x:c>
      <x:c r="M2166" s="19" t="str">
        <x:v>In Field Warranty Claims</x:v>
      </x:c>
      <x:c r="N2166" s="37" t="n">
        <x:v>46121</x:v>
      </x:c>
      <x:c r="O2166" s="37"/>
      <x:c r="P2166" s="34" t="n">
        <x:v>0</x:v>
      </x:c>
      <x:c r="Q2166" s="37" t="n">
        <x:v>46142.13644675926</x:v>
      </x:c>
    </x:row>
    <x:row r="2167">
      <x:c r="A2167" s="22" t="n">
        <x:v>33383</x:v>
      </x:c>
      <x:c r="B2167" s="28" t="n">
        <x:v>236.36</x:v>
      </x:c>
      <x:c r="C2167" s="28" t="n">
        <x:v>260</x:v>
      </x:c>
      <x:c r="D2167" s="31" t="n">
        <x:f>IF(OR(ISBLANK(B2167),ISBLANK(C2167),B2167=0),"",(C2167-B2167)/B2167)</x:f>
        <x:v>0.10001692333728204</x:v>
      </x:c>
      <x:c r="E2167" s="22" t="str">
        <x:f>IF(ISBLANK(C2167),"AmountIncludingTax缺失",IF(ABS(B2167-C2167)&lt;0.005,"一致","不一致"))</x:f>
        <x:v>不一致</x:v>
      </x:c>
      <x:c r="F2167" s="19" t="str">
        <x:v>approved</x:v>
      </x:c>
      <x:c r="G2167" s="19" t="str">
        <x:v>Repairer Invoiced Processed</x:v>
      </x:c>
      <x:c r="H2167" s="19" t="str">
        <x:v>In Field</x:v>
      </x:c>
      <x:c r="I2167" s="37" t="n">
        <x:v>46209</x:v>
      </x:c>
      <x:c r="J2167" s="37" t="n">
        <x:v>46209</x:v>
      </x:c>
      <x:c r="K2167" s="19" t="str">
        <x:v>Green RV - Slacks Creek</x:v>
      </x:c>
      <x:c r="L2167" s="19" t="str">
        <x:v>Z006</x:v>
      </x:c>
      <x:c r="M2167" s="19" t="str">
        <x:v>In Field Warranty Claims</x:v>
      </x:c>
      <x:c r="N2167" s="37" t="n">
        <x:v>46121</x:v>
      </x:c>
      <x:c r="O2167" s="37" t="n">
        <x:v>46189</x:v>
      </x:c>
      <x:c r="P2167" s="34" t="n">
        <x:v>260</x:v>
      </x:c>
      <x:c r="Q2167" s="37" t="n">
        <x:v>46208.86898148148</x:v>
      </x:c>
    </x:row>
    <x:row r="2168">
      <x:c r="A2168" s="22" t="n">
        <x:v>33382</x:v>
      </x:c>
      <x:c r="B2168" s="28" t="n">
        <x:v>33.75</x:v>
      </x:c>
      <x:c r="C2168" s="28"/>
      <x:c r="D2168" s="31" t="str">
        <x:f>IF(OR(ISBLANK(B2168),ISBLANK(C2168),B2168=0),"",(C2168-B2168)/B2168)</x:f>
      </x:c>
      <x:c r="E2168" s="22" t="str">
        <x:f>IF(ISBLANK(C2168),"AmountIncludingTax缺失",IF(ABS(B2168-C2168)&lt;0.005,"一致","不一致"))</x:f>
        <x:v>AmountIncludingTax缺失</x:v>
      </x:c>
      <x:c r="F2168" s="19" t="str">
        <x:v>approved</x:v>
      </x:c>
      <x:c r="G2168" s="19" t="str">
        <x:v>Repair in Progress</x:v>
      </x:c>
      <x:c r="H2168" s="19" t="str">
        <x:v>In Field</x:v>
      </x:c>
      <x:c r="I2168" s="37" t="n">
        <x:v>46122</x:v>
      </x:c>
      <x:c r="J2168" s="37" t="n">
        <x:v>46122</x:v>
      </x:c>
      <x:c r="K2168" s="19" t="str">
        <x:v>Green RV - Forest Glen</x:v>
      </x:c>
      <x:c r="L2168" s="19" t="str">
        <x:v>Z006</x:v>
      </x:c>
      <x:c r="M2168" s="19" t="str">
        <x:v>In Field Warranty Claims</x:v>
      </x:c>
      <x:c r="N2168" s="37" t="n">
        <x:v>46121</x:v>
      </x:c>
      <x:c r="O2168" s="37"/>
      <x:c r="P2168" s="34" t="n">
        <x:v>0</x:v>
      </x:c>
      <x:c r="Q2168" s="37" t="n">
        <x:v>46121.91097222222</x:v>
      </x:c>
    </x:row>
    <x:row r="2169">
      <x:c r="A2169" s="22" t="n">
        <x:v>33381</x:v>
      </x:c>
      <x:c r="B2169" s="28" t="n">
        <x:v>681.25</x:v>
      </x:c>
      <x:c r="C2169" s="28"/>
      <x:c r="D2169" s="31" t="str">
        <x:f>IF(OR(ISBLANK(B2169),ISBLANK(C2169),B2169=0),"",(C2169-B2169)/B2169)</x:f>
      </x:c>
      <x:c r="E2169" s="22" t="str">
        <x:f>IF(ISBLANK(C2169),"AmountIncludingTax缺失",IF(ABS(B2169-C2169)&lt;0.005,"一致","不一致"))</x:f>
        <x:v>AmountIncludingTax缺失</x:v>
      </x:c>
      <x:c r="F2169" s="19" t="str">
        <x:v>approved</x:v>
      </x:c>
      <x:c r="G2169" s="19" t="str">
        <x:v>Repairer Invoiced Processed</x:v>
      </x:c>
      <x:c r="H2169" s="19" t="str">
        <x:v>In Field</x:v>
      </x:c>
      <x:c r="I2169" s="37" t="n">
        <x:v>46164</x:v>
      </x:c>
      <x:c r="J2169" s="37" t="n">
        <x:v>46164</x:v>
      </x:c>
      <x:c r="K2169" s="19" t="str">
        <x:v>Green RV - Forest Glen</x:v>
      </x:c>
      <x:c r="L2169" s="19" t="str">
        <x:v>Z006</x:v>
      </x:c>
      <x:c r="M2169" s="19" t="str">
        <x:v>In Field Warranty Claims</x:v>
      </x:c>
      <x:c r="N2169" s="37" t="n">
        <x:v>46121</x:v>
      </x:c>
      <x:c r="O2169" s="37"/>
      <x:c r="P2169" s="34" t="n">
        <x:v>0</x:v>
      </x:c>
      <x:c r="Q2169" s="37" t="n">
        <x:v>46164.035219907404</x:v>
      </x:c>
    </x:row>
    <x:row r="2170">
      <x:c r="A2170" s="22" t="n">
        <x:v>33380</x:v>
      </x:c>
      <x:c r="B2170" s="28" t="n">
        <x:v>558.18</x:v>
      </x:c>
      <x:c r="C2170" s="28"/>
      <x:c r="D2170" s="31" t="str">
        <x:f>IF(OR(ISBLANK(B2170),ISBLANK(C2170),B2170=0),"",(C2170-B2170)/B2170)</x:f>
      </x:c>
      <x:c r="E2170" s="22" t="str">
        <x:f>IF(ISBLANK(C2170),"AmountIncludingTax缺失",IF(ABS(B2170-C2170)&lt;0.005,"一致","不一致"))</x:f>
        <x:v>AmountIncludingTax缺失</x:v>
      </x:c>
      <x:c r="F2170" s="19" t="str">
        <x:v>approved</x:v>
      </x:c>
      <x:c r="G2170" s="19" t="str">
        <x:v>Repairer Invoiced Processed</x:v>
      </x:c>
      <x:c r="H2170" s="19" t="str">
        <x:v>In Field</x:v>
      </x:c>
      <x:c r="I2170" s="37" t="n">
        <x:v>46126</x:v>
      </x:c>
      <x:c r="J2170" s="37" t="n">
        <x:v>46126</x:v>
      </x:c>
      <x:c r="K2170" s="19" t="str">
        <x:v>Green RV - Slacks Creek</x:v>
      </x:c>
      <x:c r="L2170" s="19" t="str">
        <x:v>Z006</x:v>
      </x:c>
      <x:c r="M2170" s="19" t="str">
        <x:v>In Field Warranty Claims</x:v>
      </x:c>
      <x:c r="N2170" s="37" t="n">
        <x:v>46121</x:v>
      </x:c>
      <x:c r="O2170" s="37"/>
      <x:c r="P2170" s="34" t="n">
        <x:v>0</x:v>
      </x:c>
      <x:c r="Q2170" s="37" t="n">
        <x:v>46125.840729166666</x:v>
      </x:c>
    </x:row>
    <x:row r="2171">
      <x:c r="A2171" s="22" t="n">
        <x:v>33379</x:v>
      </x:c>
      <x:c r="B2171" s="28" t="n">
        <x:v>270</x:v>
      </x:c>
      <x:c r="C2171" s="28"/>
      <x:c r="D2171" s="31" t="str">
        <x:f>IF(OR(ISBLANK(B2171),ISBLANK(C2171),B2171=0),"",(C2171-B2171)/B2171)</x:f>
      </x:c>
      <x:c r="E2171" s="22" t="str">
        <x:f>IF(ISBLANK(C2171),"AmountIncludingTax缺失",IF(ABS(B2171-C2171)&lt;0.005,"一致","不一致"))</x:f>
        <x:v>AmountIncludingTax缺失</x:v>
      </x:c>
      <x:c r="F2171" s="19" t="str">
        <x:v>approved</x:v>
      </x:c>
      <x:c r="G2171" s="19" t="str">
        <x:v>Repair in Progress</x:v>
      </x:c>
      <x:c r="H2171" s="19" t="str">
        <x:v>In Field</x:v>
      </x:c>
      <x:c r="I2171" s="37" t="n">
        <x:v>46168</x:v>
      </x:c>
      <x:c r="J2171" s="37" t="n">
        <x:v>46168</x:v>
      </x:c>
      <x:c r="K2171" s="19" t="str">
        <x:v>Newcastle RV Super Centre - Beresfield</x:v>
      </x:c>
      <x:c r="L2171" s="19" t="str">
        <x:v>Z006</x:v>
      </x:c>
      <x:c r="M2171" s="19" t="str">
        <x:v>In Field Warranty Claims</x:v>
      </x:c>
      <x:c r="N2171" s="37" t="n">
        <x:v>46121</x:v>
      </x:c>
      <x:c r="O2171" s="37"/>
      <x:c r="P2171" s="34" t="n">
        <x:v>0</x:v>
      </x:c>
      <x:c r="Q2171" s="37" t="n">
        <x:v>46168.238969907405</x:v>
      </x:c>
    </x:row>
    <x:row r="2172">
      <x:c r="A2172" s="22" t="n">
        <x:v>33378</x:v>
      </x:c>
      <x:c r="B2172" s="28" t="n">
        <x:v>652.5</x:v>
      </x:c>
      <x:c r="C2172" s="28"/>
      <x:c r="D2172" s="31" t="str">
        <x:f>IF(OR(ISBLANK(B2172),ISBLANK(C2172),B2172=0),"",(C2172-B2172)/B2172)</x:f>
      </x:c>
      <x:c r="E2172" s="22" t="str">
        <x:f>IF(ISBLANK(C2172),"AmountIncludingTax缺失",IF(ABS(B2172-C2172)&lt;0.005,"一致","不一致"))</x:f>
        <x:v>AmountIncludingTax缺失</x:v>
      </x:c>
      <x:c r="F2172" s="19" t="str">
        <x:v>approved</x:v>
      </x:c>
      <x:c r="G2172" s="19" t="str">
        <x:v>Sales Order Approved</x:v>
      </x:c>
      <x:c r="H2172" s="19" t="str">
        <x:v>Pre Delivery</x:v>
      </x:c>
      <x:c r="I2172" s="37" t="n">
        <x:v>46191</x:v>
      </x:c>
      <x:c r="J2172" s="37" t="n">
        <x:v>46191</x:v>
      </x:c>
      <x:c r="K2172" s="19" t="str">
        <x:v>The Caravan Hub - Townsville</x:v>
      </x:c>
      <x:c r="L2172" s="19" t="str">
        <x:v>Z005</x:v>
      </x:c>
      <x:c r="M2172" s="19" t="str">
        <x:v>Pre Delivery Warranty Claims</x:v>
      </x:c>
      <x:c r="N2172" s="37" t="n">
        <x:v>46121</x:v>
      </x:c>
      <x:c r="O2172" s="37"/>
      <x:c r="P2172" s="34" t="n">
        <x:v>0</x:v>
      </x:c>
      <x:c r="Q2172" s="37" t="n">
        <x:v>46191.15079861111</x:v>
      </x:c>
    </x:row>
    <x:row r="2173">
      <x:c r="A2173" s="22" t="n">
        <x:v>33376</x:v>
      </x:c>
      <x:c r="B2173" s="28" t="n">
        <x:v>445</x:v>
      </x:c>
      <x:c r="C2173" s="28"/>
      <x:c r="D2173" s="31" t="str">
        <x:f>IF(OR(ISBLANK(B2173),ISBLANK(C2173),B2173=0),"",(C2173-B2173)/B2173)</x:f>
      </x:c>
      <x:c r="E2173" s="22" t="str">
        <x:f>IF(ISBLANK(C2173),"AmountIncludingTax缺失",IF(ABS(B2173-C2173)&lt;0.005,"一致","不一致"))</x:f>
        <x:v>AmountIncludingTax缺失</x:v>
      </x:c>
      <x:c r="F2173" s="19" t="str">
        <x:v>approved</x:v>
      </x:c>
      <x:c r="G2173" s="19" t="str">
        <x:v>Repairer Invoiced Processed</x:v>
      </x:c>
      <x:c r="H2173" s="19" t="str">
        <x:v>Pre Delivery</x:v>
      </x:c>
      <x:c r="I2173" s="37" t="n">
        <x:v>46182</x:v>
      </x:c>
      <x:c r="J2173" s="37" t="n">
        <x:v>46182</x:v>
      </x:c>
      <x:c r="K2173" s="19" t="str">
        <x:v>The Caravan Hub - Townsville</x:v>
      </x:c>
      <x:c r="L2173" s="19" t="str">
        <x:v>Z005</x:v>
      </x:c>
      <x:c r="M2173" s="19" t="str">
        <x:v>Pre Delivery Warranty Claims</x:v>
      </x:c>
      <x:c r="N2173" s="37" t="n">
        <x:v>46121</x:v>
      </x:c>
      <x:c r="O2173" s="37"/>
      <x:c r="P2173" s="34" t="n">
        <x:v>0</x:v>
      </x:c>
      <x:c r="Q2173" s="37" t="n">
        <x:v>46182.12666666666</x:v>
      </x:c>
    </x:row>
    <x:row r="2174">
      <x:c r="A2174" s="22" t="n">
        <x:v>33375</x:v>
      </x:c>
      <x:c r="B2174" s="28" t="n">
        <x:v>202.5</x:v>
      </x:c>
      <x:c r="C2174" s="28"/>
      <x:c r="D2174" s="31" t="str">
        <x:f>IF(OR(ISBLANK(B2174),ISBLANK(C2174),B2174=0),"",(C2174-B2174)/B2174)</x:f>
      </x:c>
      <x:c r="E2174" s="22" t="str">
        <x:f>IF(ISBLANK(C2174),"AmountIncludingTax缺失",IF(ABS(B2174-C2174)&lt;0.005,"一致","不一致"))</x:f>
        <x:v>AmountIncludingTax缺失</x:v>
      </x:c>
      <x:c r="F2174" s="19" t="str">
        <x:v>approved</x:v>
      </x:c>
      <x:c r="G2174" s="19" t="str">
        <x:v>Sales Order Approved</x:v>
      </x:c>
      <x:c r="H2174" s="19" t="str">
        <x:v>In Field</x:v>
      </x:c>
      <x:c r="I2174" s="37" t="n">
        <x:v>46126</x:v>
      </x:c>
      <x:c r="J2174" s="37" t="n">
        <x:v>46126</x:v>
      </x:c>
      <x:c r="K2174" s="19" t="str">
        <x:v>Green RV - Forest Glen</x:v>
      </x:c>
      <x:c r="L2174" s="19" t="str">
        <x:v>Z006</x:v>
      </x:c>
      <x:c r="M2174" s="19" t="str">
        <x:v>In Field Warranty Claims</x:v>
      </x:c>
      <x:c r="N2174" s="37" t="n">
        <x:v>46121</x:v>
      </x:c>
      <x:c r="O2174" s="37"/>
      <x:c r="P2174" s="34" t="n">
        <x:v>0</x:v>
      </x:c>
      <x:c r="Q2174" s="37" t="n">
        <x:v>46125.84013888889</x:v>
      </x:c>
    </x:row>
    <x:row r="2175">
      <x:c r="A2175" s="22" t="n">
        <x:v>33374</x:v>
      </x:c>
      <x:c r="B2175" s="28" t="n">
        <x:v>88.86</x:v>
      </x:c>
      <x:c r="C2175" s="28" t="n">
        <x:v>97.75</x:v>
      </x:c>
      <x:c r="D2175" s="31" t="n">
        <x:f>IF(OR(ISBLANK(B2175),ISBLANK(C2175),B2175=0),"",(C2175-B2175)/B2175)</x:f>
        <x:v>0.10004501462975468</x:v>
      </x:c>
      <x:c r="E2175" s="22" t="str">
        <x:f>IF(ISBLANK(C2175),"AmountIncludingTax缺失",IF(ABS(B2175-C2175)&lt;0.005,"一致","不一致"))</x:f>
        <x:v>不一致</x:v>
      </x:c>
      <x:c r="F2175" s="19" t="str">
        <x:v>approved</x:v>
      </x:c>
      <x:c r="G2175" s="19" t="str">
        <x:v>Repairer Invoiced Processed</x:v>
      </x:c>
      <x:c r="H2175" s="19" t="str">
        <x:v>Pre Delivery</x:v>
      </x:c>
      <x:c r="I2175" s="37" t="n">
        <x:v>46196</x:v>
      </x:c>
      <x:c r="J2175" s="37" t="n">
        <x:v>46196</x:v>
      </x:c>
      <x:c r="K2175" s="19" t="str">
        <x:v>The Caravan Hub - Townsville</x:v>
      </x:c>
      <x:c r="L2175" s="19" t="str">
        <x:v>Z005</x:v>
      </x:c>
      <x:c r="M2175" s="19" t="str">
        <x:v>Pre Delivery Warranty Claims</x:v>
      </x:c>
      <x:c r="N2175" s="37" t="n">
        <x:v>46121</x:v>
      </x:c>
      <x:c r="O2175" s="37"/>
      <x:c r="P2175" s="34" t="n">
        <x:v>97.75</x:v>
      </x:c>
      <x:c r="Q2175" s="37" t="n">
        <x:v>46196.129328703704</x:v>
      </x:c>
    </x:row>
    <x:row r="2176">
      <x:c r="A2176" s="22" t="n">
        <x:v>33373</x:v>
      </x:c>
      <x:c r="B2176" s="28" t="n">
        <x:v>67.5</x:v>
      </x:c>
      <x:c r="C2176" s="28" t="n">
        <x:v>81.51</x:v>
      </x:c>
      <x:c r="D2176" s="31" t="n">
        <x:f>IF(OR(ISBLANK(B2176),ISBLANK(C2176),B2176=0),"",(C2176-B2176)/B2176)</x:f>
        <x:v>0.20755555555555563</x:v>
      </x:c>
      <x:c r="E2176" s="22" t="str">
        <x:f>IF(ISBLANK(C2176),"AmountIncludingTax缺失",IF(ABS(B2176-C2176)&lt;0.005,"一致","不一致"))</x:f>
        <x:v>不一致</x:v>
      </x:c>
      <x:c r="F2176" s="19" t="str">
        <x:v>approved</x:v>
      </x:c>
      <x:c r="G2176" s="19" t="str">
        <x:v>Sales Order Approved</x:v>
      </x:c>
      <x:c r="H2176" s="19" t="str">
        <x:v>Pre Delivery</x:v>
      </x:c>
      <x:c r="I2176" s="37" t="n">
        <x:v>46162</x:v>
      </x:c>
      <x:c r="J2176" s="37" t="n">
        <x:v>46162</x:v>
      </x:c>
      <x:c r="K2176" s="19" t="str">
        <x:v>Green RV - Forest Glen</x:v>
      </x:c>
      <x:c r="L2176" s="19" t="str">
        <x:v>Z005</x:v>
      </x:c>
      <x:c r="M2176" s="19" t="str">
        <x:v>Pre Delivery Warranty Claims</x:v>
      </x:c>
      <x:c r="N2176" s="37" t="n">
        <x:v>46121</x:v>
      </x:c>
      <x:c r="O2176" s="37"/>
      <x:c r="P2176" s="34" t="n">
        <x:v>81.51</x:v>
      </x:c>
      <x:c r="Q2176" s="37" t="n">
        <x:v>46162.25618055555</x:v>
      </x:c>
    </x:row>
    <x:row r="2177">
      <x:c r="A2177" s="22" t="n">
        <x:v>33372</x:v>
      </x:c>
      <x:c r="B2177" s="28" t="n">
        <x:v>101.25</x:v>
      </x:c>
      <x:c r="C2177" s="28"/>
      <x:c r="D2177" s="31" t="str">
        <x:f>IF(OR(ISBLANK(B2177),ISBLANK(C2177),B2177=0),"",(C2177-B2177)/B2177)</x:f>
      </x:c>
      <x:c r="E2177" s="22" t="str">
        <x:f>IF(ISBLANK(C2177),"AmountIncludingTax缺失",IF(ABS(B2177-C2177)&lt;0.005,"一致","不一致"))</x:f>
        <x:v>AmountIncludingTax缺失</x:v>
      </x:c>
      <x:c r="F2177" s="19" t="str">
        <x:v>approved</x:v>
      </x:c>
      <x:c r="G2177" s="19" t="str">
        <x:v>Repairer Invoiced Processed</x:v>
      </x:c>
      <x:c r="H2177" s="19" t="str">
        <x:v>In Field</x:v>
      </x:c>
      <x:c r="I2177" s="37" t="n">
        <x:v>46130</x:v>
      </x:c>
      <x:c r="J2177" s="37" t="n">
        <x:v>46130</x:v>
      </x:c>
      <x:c r="K2177" s="19" t="str">
        <x:v>Dario Caravans - Pooraka</x:v>
      </x:c>
      <x:c r="L2177" s="19" t="str">
        <x:v>Z006</x:v>
      </x:c>
      <x:c r="M2177" s="19" t="str">
        <x:v>In Field Warranty Claims</x:v>
      </x:c>
      <x:c r="N2177" s="37" t="n">
        <x:v>46121</x:v>
      </x:c>
      <x:c r="O2177" s="37"/>
      <x:c r="P2177" s="34" t="n">
        <x:v>0</x:v>
      </x:c>
      <x:c r="Q2177" s="37" t="n">
        <x:v>46130.11678240741</x:v>
      </x:c>
    </x:row>
    <x:row r="2178">
      <x:c r="A2178" s="22" t="n">
        <x:v>33371</x:v>
      </x:c>
      <x:c r="B2178" s="28" t="n">
        <x:v>770</x:v>
      </x:c>
      <x:c r="C2178" s="28"/>
      <x:c r="D2178" s="31" t="str">
        <x:f>IF(OR(ISBLANK(B2178),ISBLANK(C2178),B2178=0),"",(C2178-B2178)/B2178)</x:f>
      </x:c>
      <x:c r="E2178" s="22" t="str">
        <x:f>IF(ISBLANK(C2178),"AmountIncludingTax缺失",IF(ABS(B2178-C2178)&lt;0.005,"一致","不一致"))</x:f>
        <x:v>AmountIncludingTax缺失</x:v>
      </x:c>
      <x:c r="F2178" s="19" t="str">
        <x:v>approved</x:v>
      </x:c>
      <x:c r="G2178" s="19" t="str">
        <x:v>Repair in Progress</x:v>
      </x:c>
      <x:c r="H2178" s="19" t="str">
        <x:v>In Field</x:v>
      </x:c>
      <x:c r="I2178" s="37" t="n">
        <x:v>46125</x:v>
      </x:c>
      <x:c r="J2178" s="37" t="n">
        <x:v>46125</x:v>
      </x:c>
      <x:c r="K2178" s="19" t="str">
        <x:v>Green RV - Forest Glen</x:v>
      </x:c>
      <x:c r="L2178" s="19" t="str">
        <x:v>Z006</x:v>
      </x:c>
      <x:c r="M2178" s="19" t="str">
        <x:v>In Field Warranty Claims</x:v>
      </x:c>
      <x:c r="N2178" s="37" t="n">
        <x:v>46121</x:v>
      </x:c>
      <x:c r="O2178" s="37"/>
      <x:c r="P2178" s="34" t="n">
        <x:v>0</x:v>
      </x:c>
      <x:c r="Q2178" s="37" t="n">
        <x:v>46125.04892361111</x:v>
      </x:c>
    </x:row>
    <x:row r="2179">
      <x:c r="A2179" s="22" t="n">
        <x:v>33370</x:v>
      </x:c>
      <x:c r="B2179" s="28" t="n">
        <x:v>67.5</x:v>
      </x:c>
      <x:c r="C2179" s="28"/>
      <x:c r="D2179" s="31" t="str">
        <x:f>IF(OR(ISBLANK(B2179),ISBLANK(C2179),B2179=0),"",(C2179-B2179)/B2179)</x:f>
      </x:c>
      <x:c r="E2179" s="22" t="str">
        <x:f>IF(ISBLANK(C2179),"AmountIncludingTax缺失",IF(ABS(B2179-C2179)&lt;0.005,"一致","不一致"))</x:f>
        <x:v>AmountIncludingTax缺失</x:v>
      </x:c>
      <x:c r="F2179" s="19" t="str">
        <x:v>approved</x:v>
      </x:c>
      <x:c r="G2179" s="19" t="str">
        <x:v>Repair in Progress</x:v>
      </x:c>
      <x:c r="H2179" s="19" t="str">
        <x:v>In Field</x:v>
      </x:c>
      <x:c r="I2179" s="37" t="n">
        <x:v>46136</x:v>
      </x:c>
      <x:c r="J2179" s="37" t="n">
        <x:v>46136</x:v>
      </x:c>
      <x:c r="K2179" s="19" t="str">
        <x:v>The Caravan Hub - Townsville</x:v>
      </x:c>
      <x:c r="L2179" s="19" t="str">
        <x:v>Z006</x:v>
      </x:c>
      <x:c r="M2179" s="19" t="str">
        <x:v>In Field Warranty Claims</x:v>
      </x:c>
      <x:c r="N2179" s="37" t="n">
        <x:v>46121</x:v>
      </x:c>
      <x:c r="O2179" s="37"/>
      <x:c r="P2179" s="34" t="n">
        <x:v>0</x:v>
      </x:c>
      <x:c r="Q2179" s="37" t="n">
        <x:v>46136.185844907406</x:v>
      </x:c>
    </x:row>
    <x:row r="2180">
      <x:c r="A2180" s="22" t="n">
        <x:v>33369</x:v>
      </x:c>
      <x:c r="B2180" s="28" t="n">
        <x:v>270</x:v>
      </x:c>
      <x:c r="C2180" s="28"/>
      <x:c r="D2180" s="31" t="str">
        <x:f>IF(OR(ISBLANK(B2180),ISBLANK(C2180),B2180=0),"",(C2180-B2180)/B2180)</x:f>
      </x:c>
      <x:c r="E2180" s="22" t="str">
        <x:f>IF(ISBLANK(C2180),"AmountIncludingTax缺失",IF(ABS(B2180-C2180)&lt;0.005,"一致","不一致"))</x:f>
        <x:v>AmountIncludingTax缺失</x:v>
      </x:c>
      <x:c r="F2180" s="19" t="str">
        <x:v>approved</x:v>
      </x:c>
      <x:c r="G2180" s="19" t="str">
        <x:v>Repairer Invoiced Processed</x:v>
      </x:c>
      <x:c r="H2180" s="19" t="str">
        <x:v>In Field</x:v>
      </x:c>
      <x:c r="I2180" s="37" t="n">
        <x:v>46122</x:v>
      </x:c>
      <x:c r="J2180" s="37" t="n">
        <x:v>46122</x:v>
      </x:c>
      <x:c r="K2180" s="19" t="str">
        <x:v>Green RV - Slacks Creek</x:v>
      </x:c>
      <x:c r="L2180" s="19" t="str">
        <x:v>Z006</x:v>
      </x:c>
      <x:c r="M2180" s="19" t="str">
        <x:v>In Field Warranty Claims</x:v>
      </x:c>
      <x:c r="N2180" s="37" t="n">
        <x:v>46121</x:v>
      </x:c>
      <x:c r="O2180" s="37"/>
      <x:c r="P2180" s="34" t="n">
        <x:v>0</x:v>
      </x:c>
      <x:c r="Q2180" s="37" t="n">
        <x:v>46121.92744212963</x:v>
      </x:c>
    </x:row>
    <x:row r="2181">
      <x:c r="A2181" s="22" t="n">
        <x:v>33368</x:v>
      </x:c>
      <x:c r="B2181" s="28" t="n">
        <x:v>2295</x:v>
      </x:c>
      <x:c r="C2181" s="28"/>
      <x:c r="D2181" s="31" t="str">
        <x:f>IF(OR(ISBLANK(B2181),ISBLANK(C2181),B2181=0),"",(C2181-B2181)/B2181)</x:f>
      </x:c>
      <x:c r="E2181" s="22" t="str">
        <x:f>IF(ISBLANK(C2181),"AmountIncludingTax缺失",IF(ABS(B2181-C2181)&lt;0.005,"一致","不一致"))</x:f>
        <x:v>AmountIncludingTax缺失</x:v>
      </x:c>
      <x:c r="F2181" s="19" t="str">
        <x:v>approved</x:v>
      </x:c>
      <x:c r="G2181" s="19" t="str">
        <x:v>Repair in Progress</x:v>
      </x:c>
      <x:c r="H2181" s="19" t="str">
        <x:v>In Field</x:v>
      </x:c>
      <x:c r="I2181" s="37" t="n">
        <x:v>46125</x:v>
      </x:c>
      <x:c r="J2181" s="37" t="n">
        <x:v>46125</x:v>
      </x:c>
      <x:c r="K2181" s="19" t="str">
        <x:v>Snowy River Geelong</x:v>
      </x:c>
      <x:c r="L2181" s="19" t="str">
        <x:v>Z006</x:v>
      </x:c>
      <x:c r="M2181" s="19" t="str">
        <x:v>In Field Warranty Claims</x:v>
      </x:c>
      <x:c r="N2181" s="37" t="n">
        <x:v>46121</x:v>
      </x:c>
      <x:c r="O2181" s="37"/>
      <x:c r="P2181" s="34" t="n">
        <x:v>0</x:v>
      </x:c>
      <x:c r="Q2181" s="37" t="n">
        <x:v>46125.37318287037</x:v>
      </x:c>
    </x:row>
    <x:row r="2182">
      <x:c r="A2182" s="22" t="n">
        <x:v>33367</x:v>
      </x:c>
      <x:c r="B2182" s="28" t="n">
        <x:v>816.25</x:v>
      </x:c>
      <x:c r="C2182" s="28"/>
      <x:c r="D2182" s="31" t="str">
        <x:f>IF(OR(ISBLANK(B2182),ISBLANK(C2182),B2182=0),"",(C2182-B2182)/B2182)</x:f>
      </x:c>
      <x:c r="E2182" s="22" t="str">
        <x:f>IF(ISBLANK(C2182),"AmountIncludingTax缺失",IF(ABS(B2182-C2182)&lt;0.005,"一致","不一致"))</x:f>
        <x:v>AmountIncludingTax缺失</x:v>
      </x:c>
      <x:c r="F2182" s="19" t="str">
        <x:v>approved</x:v>
      </x:c>
      <x:c r="G2182" s="19" t="str">
        <x:v>Sales Order Approved</x:v>
      </x:c>
      <x:c r="H2182" s="19" t="str">
        <x:v>Pre Delivery</x:v>
      </x:c>
      <x:c r="I2182" s="37" t="n">
        <x:v>46136</x:v>
      </x:c>
      <x:c r="J2182" s="37" t="n">
        <x:v>46136</x:v>
      </x:c>
      <x:c r="K2182" s="19" t="str">
        <x:v>Auswide Caravans - South Nowra</x:v>
      </x:c>
      <x:c r="L2182" s="19" t="str">
        <x:v>Z005</x:v>
      </x:c>
      <x:c r="M2182" s="19" t="str">
        <x:v>Pre Delivery Warranty Claims</x:v>
      </x:c>
      <x:c r="N2182" s="37" t="n">
        <x:v>46121</x:v>
      </x:c>
      <x:c r="O2182" s="37"/>
      <x:c r="P2182" s="34" t="n">
        <x:v>0</x:v>
      </x:c>
      <x:c r="Q2182" s="37" t="n">
        <x:v>46136.26398148148</x:v>
      </x:c>
    </x:row>
    <x:row r="2183">
      <x:c r="A2183" s="22" t="n">
        <x:v>33366</x:v>
      </x:c>
      <x:c r="B2183" s="28" t="n">
        <x:v>397.5</x:v>
      </x:c>
      <x:c r="C2183" s="28"/>
      <x:c r="D2183" s="31" t="str">
        <x:f>IF(OR(ISBLANK(B2183),ISBLANK(C2183),B2183=0),"",(C2183-B2183)/B2183)</x:f>
      </x:c>
      <x:c r="E2183" s="22" t="str">
        <x:f>IF(ISBLANK(C2183),"AmountIncludingTax缺失",IF(ABS(B2183-C2183)&lt;0.005,"一致","不一致"))</x:f>
        <x:v>AmountIncludingTax缺失</x:v>
      </x:c>
      <x:c r="F2183" s="19" t="str">
        <x:v>approved</x:v>
      </x:c>
      <x:c r="G2183" s="19" t="str">
        <x:v>Repair in Progress</x:v>
      </x:c>
      <x:c r="H2183" s="19" t="str">
        <x:v>In Field</x:v>
      </x:c>
      <x:c r="I2183" s="37" t="n">
        <x:v>46135</x:v>
      </x:c>
      <x:c r="J2183" s="37" t="n">
        <x:v>46135</x:v>
      </x:c>
      <x:c r="K2183" s="19" t="str">
        <x:v>Regent RV - Perth</x:v>
      </x:c>
      <x:c r="L2183" s="19" t="str">
        <x:v>Z006</x:v>
      </x:c>
      <x:c r="M2183" s="19" t="str">
        <x:v>In Field Warranty Claims</x:v>
      </x:c>
      <x:c r="N2183" s="37" t="n">
        <x:v>46121</x:v>
      </x:c>
      <x:c r="O2183" s="37"/>
      <x:c r="P2183" s="34" t="n">
        <x:v>0</x:v>
      </x:c>
      <x:c r="Q2183" s="37" t="n">
        <x:v>46134.945185185185</x:v>
      </x:c>
    </x:row>
    <x:row r="2184">
      <x:c r="A2184" s="22" t="n">
        <x:v>33365</x:v>
      </x:c>
      <x:c r="B2184" s="28" t="n">
        <x:v>325.67</x:v>
      </x:c>
      <x:c r="C2184" s="28" t="n">
        <x:v>358.24</x:v>
      </x:c>
      <x:c r="D2184" s="31" t="n">
        <x:f>IF(OR(ISBLANK(B2184),ISBLANK(C2184),B2184=0),"",(C2184-B2184)/B2184)</x:f>
        <x:v>0.10000921177879446</x:v>
      </x:c>
      <x:c r="E2184" s="22" t="str">
        <x:f>IF(ISBLANK(C2184),"AmountIncludingTax缺失",IF(ABS(B2184-C2184)&lt;0.005,"一致","不一致"))</x:f>
        <x:v>不一致</x:v>
      </x:c>
      <x:c r="F2184" s="19" t="str">
        <x:v>approved</x:v>
      </x:c>
      <x:c r="G2184" s="19" t="str">
        <x:v>Repairer Invoiced Processed</x:v>
      </x:c>
      <x:c r="H2184" s="19" t="str">
        <x:v>In Field</x:v>
      </x:c>
      <x:c r="I2184" s="37" t="n">
        <x:v>46134</x:v>
      </x:c>
      <x:c r="J2184" s="37" t="n">
        <x:v>46134</x:v>
      </x:c>
      <x:c r="K2184" s="19" t="str">
        <x:v>Green RV - Forest Glen</x:v>
      </x:c>
      <x:c r="L2184" s="19" t="str">
        <x:v>Z006</x:v>
      </x:c>
      <x:c r="M2184" s="19" t="str">
        <x:v>In Field Warranty Claims</x:v>
      </x:c>
      <x:c r="N2184" s="37" t="n">
        <x:v>46121</x:v>
      </x:c>
      <x:c r="O2184" s="37"/>
      <x:c r="P2184" s="34" t="n">
        <x:v>358.24</x:v>
      </x:c>
      <x:c r="Q2184" s="37" t="n">
        <x:v>46133.905011574076</x:v>
      </x:c>
    </x:row>
    <x:row r="2185">
      <x:c r="A2185" s="22" t="n">
        <x:v>33364</x:v>
      </x:c>
      <x:c r="B2185" s="28" t="n">
        <x:v>218.18</x:v>
      </x:c>
      <x:c r="C2185" s="28" t="n">
        <x:v>240</x:v>
      </x:c>
      <x:c r="D2185" s="31" t="n">
        <x:f>IF(OR(ISBLANK(B2185),ISBLANK(C2185),B2185=0),"",(C2185-B2185)/B2185)</x:f>
        <x:v>0.10000916674305615</x:v>
      </x:c>
      <x:c r="E2185" s="22" t="str">
        <x:f>IF(ISBLANK(C2185),"AmountIncludingTax缺失",IF(ABS(B2185-C2185)&lt;0.005,"一致","不一致"))</x:f>
        <x:v>不一致</x:v>
      </x:c>
      <x:c r="F2185" s="19" t="str">
        <x:v>approved</x:v>
      </x:c>
      <x:c r="G2185" s="19" t="str">
        <x:v>Repairer Invoiced Processed</x:v>
      </x:c>
      <x:c r="H2185" s="19" t="str">
        <x:v>In Field</x:v>
      </x:c>
      <x:c r="I2185" s="37" t="n">
        <x:v>46125</x:v>
      </x:c>
      <x:c r="J2185" s="37" t="n">
        <x:v>46125</x:v>
      </x:c>
      <x:c r="K2185" s="19" t="str">
        <x:v>Green RV - Forest Glen</x:v>
      </x:c>
      <x:c r="L2185" s="19" t="str">
        <x:v>Z006</x:v>
      </x:c>
      <x:c r="M2185" s="19" t="str">
        <x:v>In Field Warranty Claims</x:v>
      </x:c>
      <x:c r="N2185" s="37" t="n">
        <x:v>46121</x:v>
      </x:c>
      <x:c r="O2185" s="37"/>
      <x:c r="P2185" s="34" t="n">
        <x:v>240</x:v>
      </x:c>
      <x:c r="Q2185" s="37" t="n">
        <x:v>46125.16097222222</x:v>
      </x:c>
    </x:row>
    <x:row r="2186">
      <x:c r="A2186" s="22" t="n">
        <x:v>33363</x:v>
      </x:c>
      <x:c r="B2186" s="28" t="n">
        <x:v>998.75</x:v>
      </x:c>
      <x:c r="C2186" s="28"/>
      <x:c r="D2186" s="31" t="str">
        <x:f>IF(OR(ISBLANK(B2186),ISBLANK(C2186),B2186=0),"",(C2186-B2186)/B2186)</x:f>
      </x:c>
      <x:c r="E2186" s="22" t="str">
        <x:f>IF(ISBLANK(C2186),"AmountIncludingTax缺失",IF(ABS(B2186-C2186)&lt;0.005,"一致","不一致"))</x:f>
        <x:v>AmountIncludingTax缺失</x:v>
      </x:c>
      <x:c r="F2186" s="19" t="str">
        <x:v>approved</x:v>
      </x:c>
      <x:c r="G2186" s="19" t="str">
        <x:v>Repairer Invoiced Processed</x:v>
      </x:c>
      <x:c r="H2186" s="19" t="str">
        <x:v>In Field</x:v>
      </x:c>
      <x:c r="I2186" s="37" t="n">
        <x:v>46142</x:v>
      </x:c>
      <x:c r="J2186" s="37" t="n">
        <x:v>46142</x:v>
      </x:c>
      <x:c r="K2186" s="19" t="str">
        <x:v>Leisure Lion Pty Ltd - Toowoomba</x:v>
      </x:c>
      <x:c r="L2186" s="19" t="str">
        <x:v>Z006</x:v>
      </x:c>
      <x:c r="M2186" s="19" t="str">
        <x:v>In Field Warranty Claims</x:v>
      </x:c>
      <x:c r="N2186" s="37" t="n">
        <x:v>46121</x:v>
      </x:c>
      <x:c r="O2186" s="37"/>
      <x:c r="P2186" s="34" t="n">
        <x:v>0</x:v>
      </x:c>
      <x:c r="Q2186" s="37" t="n">
        <x:v>46142.13586805556</x:v>
      </x:c>
    </x:row>
    <x:row r="2187">
      <x:c r="A2187" s="22" t="n">
        <x:v>33360</x:v>
      </x:c>
      <x:c r="B2187" s="28" t="n">
        <x:v>67.5</x:v>
      </x:c>
      <x:c r="C2187" s="28"/>
      <x:c r="D2187" s="31" t="str">
        <x:f>IF(OR(ISBLANK(B2187),ISBLANK(C2187),B2187=0),"",(C2187-B2187)/B2187)</x:f>
      </x:c>
      <x:c r="E2187" s="22" t="str">
        <x:f>IF(ISBLANK(C2187),"AmountIncludingTax缺失",IF(ABS(B2187-C2187)&lt;0.005,"一致","不一致"))</x:f>
        <x:v>AmountIncludingTax缺失</x:v>
      </x:c>
      <x:c r="F2187" s="19" t="str">
        <x:v>approved</x:v>
      </x:c>
      <x:c r="G2187" s="19" t="str">
        <x:v>Repair in Progress</x:v>
      </x:c>
      <x:c r="H2187" s="19" t="str">
        <x:v>In Field</x:v>
      </x:c>
      <x:c r="I2187" s="37" t="n">
        <x:v>46125</x:v>
      </x:c>
      <x:c r="J2187" s="37" t="n">
        <x:v>46125</x:v>
      </x:c>
      <x:c r="K2187" s="19" t="str">
        <x:v>Green RV - Forest Glen</x:v>
      </x:c>
      <x:c r="L2187" s="19" t="str">
        <x:v>Z006</x:v>
      </x:c>
      <x:c r="M2187" s="19" t="str">
        <x:v>In Field Warranty Claims</x:v>
      </x:c>
      <x:c r="N2187" s="37" t="n">
        <x:v>46121</x:v>
      </x:c>
      <x:c r="O2187" s="37"/>
      <x:c r="P2187" s="34" t="n">
        <x:v>0</x:v>
      </x:c>
      <x:c r="Q2187" s="37" t="n">
        <x:v>46125.05420138889</x:v>
      </x:c>
    </x:row>
    <x:row r="2188">
      <x:c r="A2188" s="22" t="n">
        <x:v>33359</x:v>
      </x:c>
      <x:c r="B2188" s="28" t="n">
        <x:v>135</x:v>
      </x:c>
      <x:c r="C2188" s="28" t="n">
        <x:v>148.5</x:v>
      </x:c>
      <x:c r="D2188" s="31" t="n">
        <x:f>IF(OR(ISBLANK(B2188),ISBLANK(C2188),B2188=0),"",(C2188-B2188)/B2188)</x:f>
        <x:v>0.1</x:v>
      </x:c>
      <x:c r="E2188" s="22" t="str">
        <x:f>IF(ISBLANK(C2188),"AmountIncludingTax缺失",IF(ABS(B2188-C2188)&lt;0.005,"一致","不一致"))</x:f>
        <x:v>不一致</x:v>
      </x:c>
      <x:c r="F2188" s="19" t="str">
        <x:v>approved</x:v>
      </x:c>
      <x:c r="G2188" s="19" t="str">
        <x:v>Repairer Invoiced Processed</x:v>
      </x:c>
      <x:c r="H2188" s="19" t="str">
        <x:v>In Field</x:v>
      </x:c>
      <x:c r="I2188" s="37" t="n">
        <x:v>46122</x:v>
      </x:c>
      <x:c r="J2188" s="37" t="n">
        <x:v>46122</x:v>
      </x:c>
      <x:c r="K2188" s="19" t="str">
        <x:v>Green RV - Forest Glen</x:v>
      </x:c>
      <x:c r="L2188" s="19" t="str">
        <x:v>Z006</x:v>
      </x:c>
      <x:c r="M2188" s="19" t="str">
        <x:v>In Field Warranty Claims</x:v>
      </x:c>
      <x:c r="N2188" s="37" t="n">
        <x:v>46121</x:v>
      </x:c>
      <x:c r="O2188" s="37"/>
      <x:c r="P2188" s="34" t="n">
        <x:v>148.5</x:v>
      </x:c>
      <x:c r="Q2188" s="37" t="n">
        <x:v>46121.99936342592</x:v>
      </x:c>
    </x:row>
    <x:row r="2189">
      <x:c r="A2189" s="22" t="n">
        <x:v>33358</x:v>
      </x:c>
      <x:c r="B2189" s="28" t="n">
        <x:v>370.75</x:v>
      </x:c>
      <x:c r="C2189" s="28"/>
      <x:c r="D2189" s="31" t="str">
        <x:f>IF(OR(ISBLANK(B2189),ISBLANK(C2189),B2189=0),"",(C2189-B2189)/B2189)</x:f>
      </x:c>
      <x:c r="E2189" s="22" t="str">
        <x:f>IF(ISBLANK(C2189),"AmountIncludingTax缺失",IF(ABS(B2189-C2189)&lt;0.005,"一致","不一致"))</x:f>
        <x:v>AmountIncludingTax缺失</x:v>
      </x:c>
      <x:c r="F2189" s="19" t="str">
        <x:v>approved</x:v>
      </x:c>
      <x:c r="G2189" s="19" t="str">
        <x:v>Repair in Progress</x:v>
      </x:c>
      <x:c r="H2189" s="19" t="str">
        <x:v>In Field</x:v>
      </x:c>
      <x:c r="I2189" s="37" t="n">
        <x:v>46150</x:v>
      </x:c>
      <x:c r="J2189" s="37" t="n">
        <x:v>46150</x:v>
      </x:c>
      <x:c r="K2189" s="19" t="str">
        <x:v>Regent RV - Townsville</x:v>
      </x:c>
      <x:c r="L2189" s="19" t="str">
        <x:v>Z006</x:v>
      </x:c>
      <x:c r="M2189" s="19" t="str">
        <x:v>In Field Warranty Claims</x:v>
      </x:c>
      <x:c r="N2189" s="37" t="n">
        <x:v>46121</x:v>
      </x:c>
      <x:c r="O2189" s="37"/>
      <x:c r="P2189" s="34" t="n">
        <x:v>0</x:v>
      </x:c>
      <x:c r="Q2189" s="37" t="n">
        <x:v>46150.13412037037</x:v>
      </x:c>
    </x:row>
    <x:row r="2190">
      <x:c r="A2190" s="22" t="n">
        <x:v>33356</x:v>
      </x:c>
      <x:c r="B2190" s="28" t="n">
        <x:v>662.5</x:v>
      </x:c>
      <x:c r="C2190" s="28"/>
      <x:c r="D2190" s="31" t="str">
        <x:f>IF(OR(ISBLANK(B2190),ISBLANK(C2190),B2190=0),"",(C2190-B2190)/B2190)</x:f>
      </x:c>
      <x:c r="E2190" s="22" t="str">
        <x:f>IF(ISBLANK(C2190),"AmountIncludingTax缺失",IF(ABS(B2190-C2190)&lt;0.005,"一致","不一致"))</x:f>
        <x:v>AmountIncludingTax缺失</x:v>
      </x:c>
      <x:c r="F2190" s="19" t="str">
        <x:v>approved</x:v>
      </x:c>
      <x:c r="G2190" s="19" t="str">
        <x:v>Repairer Invoiced Processed</x:v>
      </x:c>
      <x:c r="H2190" s="19" t="str">
        <x:v>Pre Delivery</x:v>
      </x:c>
      <x:c r="I2190" s="37" t="n">
        <x:v>46178</x:v>
      </x:c>
      <x:c r="J2190" s="37" t="n">
        <x:v>46178</x:v>
      </x:c>
      <x:c r="K2190" s="19" t="str">
        <x:v>The Caravan Hub - Townsville</x:v>
      </x:c>
      <x:c r="L2190" s="19" t="str">
        <x:v>Z005</x:v>
      </x:c>
      <x:c r="M2190" s="19" t="str">
        <x:v>Pre Delivery Warranty Claims</x:v>
      </x:c>
      <x:c r="N2190" s="37" t="n">
        <x:v>46121</x:v>
      </x:c>
      <x:c r="O2190" s="37"/>
      <x:c r="P2190" s="34" t="n">
        <x:v>0</x:v>
      </x:c>
      <x:c r="Q2190" s="37" t="n">
        <x:v>46178.17865740741</x:v>
      </x:c>
    </x:row>
    <x:row r="2191">
      <x:c r="A2191" s="22" t="n">
        <x:v>33355</x:v>
      </x:c>
      <x:c r="B2191" s="28" t="n">
        <x:v>101.25</x:v>
      </x:c>
      <x:c r="C2191" s="28"/>
      <x:c r="D2191" s="31" t="str">
        <x:f>IF(OR(ISBLANK(B2191),ISBLANK(C2191),B2191=0),"",(C2191-B2191)/B2191)</x:f>
      </x:c>
      <x:c r="E2191" s="22" t="str">
        <x:f>IF(ISBLANK(C2191),"AmountIncludingTax缺失",IF(ABS(B2191-C2191)&lt;0.005,"一致","不一致"))</x:f>
        <x:v>AmountIncludingTax缺失</x:v>
      </x:c>
      <x:c r="F2191" s="19" t="str">
        <x:v>approved</x:v>
      </x:c>
      <x:c r="G2191" s="19" t="str">
        <x:v>Repairer Invoiced Processed</x:v>
      </x:c>
      <x:c r="H2191" s="19" t="str">
        <x:v>In Field</x:v>
      </x:c>
      <x:c r="I2191" s="37" t="n">
        <x:v>46125</x:v>
      </x:c>
      <x:c r="J2191" s="37" t="n">
        <x:v>46125</x:v>
      </x:c>
      <x:c r="K2191" s="19" t="str">
        <x:v>Green RV - Slacks Creek</x:v>
      </x:c>
      <x:c r="L2191" s="19" t="str">
        <x:v>Z006</x:v>
      </x:c>
      <x:c r="M2191" s="19" t="str">
        <x:v>In Field Warranty Claims</x:v>
      </x:c>
      <x:c r="N2191" s="37" t="n">
        <x:v>46121</x:v>
      </x:c>
      <x:c r="O2191" s="37"/>
      <x:c r="P2191" s="34" t="n">
        <x:v>0</x:v>
      </x:c>
      <x:c r="Q2191" s="37" t="n">
        <x:v>46124.91831018519</x:v>
      </x:c>
    </x:row>
    <x:row r="2192">
      <x:c r="A2192" s="22" t="n">
        <x:v>33354</x:v>
      </x:c>
      <x:c r="B2192" s="28" t="n">
        <x:v>361.35</x:v>
      </x:c>
      <x:c r="C2192" s="28"/>
      <x:c r="D2192" s="31" t="str">
        <x:f>IF(OR(ISBLANK(B2192),ISBLANK(C2192),B2192=0),"",(C2192-B2192)/B2192)</x:f>
      </x:c>
      <x:c r="E2192" s="22" t="str">
        <x:f>IF(ISBLANK(C2192),"AmountIncludingTax缺失",IF(ABS(B2192-C2192)&lt;0.005,"一致","不一致"))</x:f>
        <x:v>AmountIncludingTax缺失</x:v>
      </x:c>
      <x:c r="F2192" s="19" t="str">
        <x:v>approved</x:v>
      </x:c>
      <x:c r="G2192" s="19" t="str">
        <x:v>Repairer Invoiced Processed</x:v>
      </x:c>
      <x:c r="H2192" s="19" t="str">
        <x:v>Pre Delivery</x:v>
      </x:c>
      <x:c r="I2192" s="37" t="n">
        <x:v>46122</x:v>
      </x:c>
      <x:c r="J2192" s="37" t="n">
        <x:v>46122</x:v>
      </x:c>
      <x:c r="K2192" s="19" t="str">
        <x:v>NEWCASTLE CARAVANS &amp; RVS</x:v>
      </x:c>
      <x:c r="L2192" s="19" t="str">
        <x:v>Z005</x:v>
      </x:c>
      <x:c r="M2192" s="19" t="str">
        <x:v>Pre Delivery Warranty Claims</x:v>
      </x:c>
      <x:c r="N2192" s="37" t="n">
        <x:v>46121</x:v>
      </x:c>
      <x:c r="O2192" s="37"/>
      <x:c r="P2192" s="34" t="n">
        <x:v>0</x:v>
      </x:c>
      <x:c r="Q2192" s="37" t="n">
        <x:v>46122.07355324074</x:v>
      </x:c>
    </x:row>
    <x:row r="2193">
      <x:c r="A2193" s="22" t="n">
        <x:v>33353</x:v>
      </x:c>
      <x:c r="B2193" s="28" t="n">
        <x:v>270</x:v>
      </x:c>
      <x:c r="C2193" s="28"/>
      <x:c r="D2193" s="31" t="str">
        <x:f>IF(OR(ISBLANK(B2193),ISBLANK(C2193),B2193=0),"",(C2193-B2193)/B2193)</x:f>
      </x:c>
      <x:c r="E2193" s="22" t="str">
        <x:f>IF(ISBLANK(C2193),"AmountIncludingTax缺失",IF(ABS(B2193-C2193)&lt;0.005,"一致","不一致"))</x:f>
        <x:v>AmountIncludingTax缺失</x:v>
      </x:c>
      <x:c r="F2193" s="19" t="str">
        <x:v>approved</x:v>
      </x:c>
      <x:c r="G2193" s="19" t="str">
        <x:v>Partially Picked</x:v>
      </x:c>
      <x:c r="H2193" s="19" t="str">
        <x:v>In Field</x:v>
      </x:c>
      <x:c r="I2193" s="37" t="n">
        <x:v>46125</x:v>
      </x:c>
      <x:c r="J2193" s="37" t="n">
        <x:v>46125</x:v>
      </x:c>
      <x:c r="K2193" s="19" t="str">
        <x:v>Snowy River Launceston</x:v>
      </x:c>
      <x:c r="L2193" s="19" t="str">
        <x:v>Z006</x:v>
      </x:c>
      <x:c r="M2193" s="19" t="str">
        <x:v>In Field Warranty Claims</x:v>
      </x:c>
      <x:c r="N2193" s="37" t="n">
        <x:v>46121</x:v>
      </x:c>
      <x:c r="O2193" s="37"/>
      <x:c r="P2193" s="34" t="n">
        <x:v>0</x:v>
      </x:c>
      <x:c r="Q2193" s="37" t="n">
        <x:v>46125.34921296296</x:v>
      </x:c>
    </x:row>
    <x:row r="2194">
      <x:c r="A2194" s="22" t="n">
        <x:v>33352</x:v>
      </x:c>
      <x:c r="B2194" s="28" t="n">
        <x:v>123.7</x:v>
      </x:c>
      <x:c r="C2194" s="28" t="n">
        <x:v>112</x:v>
      </x:c>
      <x:c r="D2194" s="31" t="n">
        <x:f>IF(OR(ISBLANK(B2194),ISBLANK(C2194),B2194=0),"",(C2194-B2194)/B2194)</x:f>
        <x:v>-0.09458367016976559</x:v>
      </x:c>
      <x:c r="E2194" s="22" t="str">
        <x:f>IF(ISBLANK(C2194),"AmountIncludingTax缺失",IF(ABS(B2194-C2194)&lt;0.005,"一致","不一致"))</x:f>
        <x:v>不一致</x:v>
      </x:c>
      <x:c r="F2194" s="19" t="str">
        <x:v>approved</x:v>
      </x:c>
      <x:c r="G2194" s="19" t="str">
        <x:v>Repairer Invoiced Processed</x:v>
      </x:c>
      <x:c r="H2194" s="19" t="str">
        <x:v>In Field</x:v>
      </x:c>
      <x:c r="I2194" s="37" t="n">
        <x:v>46126</x:v>
      </x:c>
      <x:c r="J2194" s="37" t="n">
        <x:v>46126</x:v>
      </x:c>
      <x:c r="K2194" s="19" t="str">
        <x:v>Vanari Caravans - Marden Point</x:v>
      </x:c>
      <x:c r="L2194" s="19" t="str">
        <x:v>Z006</x:v>
      </x:c>
      <x:c r="M2194" s="19" t="str">
        <x:v>In Field Warranty Claims</x:v>
      </x:c>
      <x:c r="N2194" s="37" t="n">
        <x:v>46121</x:v>
      </x:c>
      <x:c r="O2194" s="37"/>
      <x:c r="P2194" s="34" t="n">
        <x:v>112</x:v>
      </x:c>
      <x:c r="Q2194" s="37" t="n">
        <x:v>46126.269895833335</x:v>
      </x:c>
    </x:row>
    <x:row r="2195">
      <x:c r="A2195" s="22" t="n">
        <x:v>33351</x:v>
      </x:c>
      <x:c r="B2195" s="28" t="n">
        <x:v>224.99</x:v>
      </x:c>
      <x:c r="C2195" s="28"/>
      <x:c r="D2195" s="31" t="str">
        <x:f>IF(OR(ISBLANK(B2195),ISBLANK(C2195),B2195=0),"",(C2195-B2195)/B2195)</x:f>
      </x:c>
      <x:c r="E2195" s="22" t="str">
        <x:f>IF(ISBLANK(C2195),"AmountIncludingTax缺失",IF(ABS(B2195-C2195)&lt;0.005,"一致","不一致"))</x:f>
        <x:v>AmountIncludingTax缺失</x:v>
      </x:c>
      <x:c r="F2195" s="19" t="str">
        <x:v>approved</x:v>
      </x:c>
      <x:c r="G2195" s="19" t="str">
        <x:v>Repair in Progress</x:v>
      </x:c>
      <x:c r="H2195" s="19" t="str">
        <x:v>Pre Delivery</x:v>
      </x:c>
      <x:c r="I2195" s="37" t="n">
        <x:v>46122</x:v>
      </x:c>
      <x:c r="J2195" s="37" t="n">
        <x:v>46122</x:v>
      </x:c>
      <x:c r="K2195" s="19" t="str">
        <x:v>NEWCASTLE CARAVANS &amp; RVS</x:v>
      </x:c>
      <x:c r="L2195" s="19" t="str">
        <x:v>Z005</x:v>
      </x:c>
      <x:c r="M2195" s="19" t="str">
        <x:v>Pre Delivery Warranty Claims</x:v>
      </x:c>
      <x:c r="N2195" s="37" t="n">
        <x:v>46120</x:v>
      </x:c>
      <x:c r="O2195" s="37"/>
      <x:c r="P2195" s="34" t="n">
        <x:v>0</x:v>
      </x:c>
      <x:c r="Q2195" s="37" t="n">
        <x:v>46122.08658564815</x:v>
      </x:c>
    </x:row>
    <x:row r="2196">
      <x:c r="A2196" s="22" t="n">
        <x:v>33350</x:v>
      </x:c>
      <x:c r="B2196" s="28" t="n">
        <x:v>1032.5</x:v>
      </x:c>
      <x:c r="C2196" s="28"/>
      <x:c r="D2196" s="31" t="str">
        <x:f>IF(OR(ISBLANK(B2196),ISBLANK(C2196),B2196=0),"",(C2196-B2196)/B2196)</x:f>
      </x:c>
      <x:c r="E2196" s="22" t="str">
        <x:f>IF(ISBLANK(C2196),"AmountIncludingTax缺失",IF(ABS(B2196-C2196)&lt;0.005,"一致","不一致"))</x:f>
        <x:v>AmountIncludingTax缺失</x:v>
      </x:c>
      <x:c r="F2196" s="19" t="str">
        <x:v>approved</x:v>
      </x:c>
      <x:c r="G2196" s="19" t="str">
        <x:v>Repairer Invoiced Processed</x:v>
      </x:c>
      <x:c r="H2196" s="19" t="str">
        <x:v>In Field</x:v>
      </x:c>
      <x:c r="I2196" s="37" t="n">
        <x:v>46148</x:v>
      </x:c>
      <x:c r="J2196" s="37" t="n">
        <x:v>46148</x:v>
      </x:c>
      <x:c r="K2196" s="19" t="str">
        <x:v>Green RV - Forest Glen</x:v>
      </x:c>
      <x:c r="L2196" s="19" t="str">
        <x:v>Z006</x:v>
      </x:c>
      <x:c r="M2196" s="19" t="str">
        <x:v>In Field Warranty Claims</x:v>
      </x:c>
      <x:c r="N2196" s="37" t="n">
        <x:v>46121</x:v>
      </x:c>
      <x:c r="O2196" s="37"/>
      <x:c r="P2196" s="34" t="n">
        <x:v>0</x:v>
      </x:c>
      <x:c r="Q2196" s="37" t="n">
        <x:v>46147.89096064815</x:v>
      </x:c>
    </x:row>
    <x:row r="2197">
      <x:c r="A2197" s="22" t="n">
        <x:v>33349</x:v>
      </x:c>
      <x:c r="B2197" s="28" t="n">
        <x:v>137.68</x:v>
      </x:c>
      <x:c r="C2197" s="28" t="n">
        <x:v>151.45</x:v>
      </x:c>
      <x:c r="D2197" s="31" t="n">
        <x:f>IF(OR(ISBLANK(B2197),ISBLANK(C2197),B2197=0),"",(C2197-B2197)/B2197)</x:f>
        <x:v>0.10001452643811724</x:v>
      </x:c>
      <x:c r="E2197" s="22" t="str">
        <x:f>IF(ISBLANK(C2197),"AmountIncludingTax缺失",IF(ABS(B2197-C2197)&lt;0.005,"一致","不一致"))</x:f>
        <x:v>不一致</x:v>
      </x:c>
      <x:c r="F2197" s="19" t="str">
        <x:v>approved</x:v>
      </x:c>
      <x:c r="G2197" s="19" t="str">
        <x:v>Repairer Invoiced Processed</x:v>
      </x:c>
      <x:c r="H2197" s="19" t="str">
        <x:v>In Field</x:v>
      </x:c>
      <x:c r="I2197" s="37" t="n">
        <x:v>46212</x:v>
      </x:c>
      <x:c r="J2197" s="37" t="n">
        <x:v>46212</x:v>
      </x:c>
      <x:c r="K2197" s="19" t="str">
        <x:v>Green RV - Forest Glen</x:v>
      </x:c>
      <x:c r="L2197" s="19" t="str">
        <x:v>Z006</x:v>
      </x:c>
      <x:c r="M2197" s="19" t="str">
        <x:v>In Field Warranty Claims</x:v>
      </x:c>
      <x:c r="N2197" s="37" t="n">
        <x:v>46121</x:v>
      </x:c>
      <x:c r="O2197" s="37"/>
      <x:c r="P2197" s="34" t="n">
        <x:v>151.45</x:v>
      </x:c>
      <x:c r="Q2197" s="37" t="n">
        <x:v>46211.94414351852</x:v>
      </x:c>
    </x:row>
    <x:row r="2198">
      <x:c r="A2198" s="22" t="n">
        <x:v>33348</x:v>
      </x:c>
      <x:c r="B2198" s="28" t="n">
        <x:v>67.5</x:v>
      </x:c>
      <x:c r="C2198" s="28"/>
      <x:c r="D2198" s="31" t="str">
        <x:f>IF(OR(ISBLANK(B2198),ISBLANK(C2198),B2198=0),"",(C2198-B2198)/B2198)</x:f>
      </x:c>
      <x:c r="E2198" s="22" t="str">
        <x:f>IF(ISBLANK(C2198),"AmountIncludingTax缺失",IF(ABS(B2198-C2198)&lt;0.005,"一致","不一致"))</x:f>
        <x:v>AmountIncludingTax缺失</x:v>
      </x:c>
      <x:c r="F2198" s="19" t="str">
        <x:v>approved</x:v>
      </x:c>
      <x:c r="G2198" s="19" t="str">
        <x:v>Repairer Invoiced Processed</x:v>
      </x:c>
      <x:c r="H2198" s="19" t="str">
        <x:v>In Field</x:v>
      </x:c>
      <x:c r="I2198" s="37" t="n">
        <x:v>46143</x:v>
      </x:c>
      <x:c r="J2198" s="37" t="n">
        <x:v>46143</x:v>
      </x:c>
      <x:c r="K2198" s="19" t="str">
        <x:v>Dario Caravans - Pooraka</x:v>
      </x:c>
      <x:c r="L2198" s="19" t="str">
        <x:v>Z006</x:v>
      </x:c>
      <x:c r="M2198" s="19" t="str">
        <x:v>In Field Warranty Claims</x:v>
      </x:c>
      <x:c r="N2198" s="37" t="n">
        <x:v>46121</x:v>
      </x:c>
      <x:c r="O2198" s="37"/>
      <x:c r="P2198" s="34" t="n">
        <x:v>0</x:v>
      </x:c>
      <x:c r="Q2198" s="37" t="n">
        <x:v>46143.25017361111</x:v>
      </x:c>
    </x:row>
    <x:row r="2199">
      <x:c r="A2199" s="22" t="n">
        <x:v>33347</x:v>
      </x:c>
      <x:c r="B2199" s="28" t="n">
        <x:v>101.25</x:v>
      </x:c>
      <x:c r="C2199" s="28"/>
      <x:c r="D2199" s="31" t="str">
        <x:f>IF(OR(ISBLANK(B2199),ISBLANK(C2199),B2199=0),"",(C2199-B2199)/B2199)</x:f>
      </x:c>
      <x:c r="E2199" s="22" t="str">
        <x:f>IF(ISBLANK(C2199),"AmountIncludingTax缺失",IF(ABS(B2199-C2199)&lt;0.005,"一致","不一致"))</x:f>
        <x:v>AmountIncludingTax缺失</x:v>
      </x:c>
      <x:c r="F2199" s="19" t="str">
        <x:v>approved</x:v>
      </x:c>
      <x:c r="G2199" s="19" t="str">
        <x:v>Repairer Invoiced Processed</x:v>
      </x:c>
      <x:c r="H2199" s="19" t="str">
        <x:v>In Field</x:v>
      </x:c>
      <x:c r="I2199" s="37" t="n">
        <x:v>46125</x:v>
      </x:c>
      <x:c r="J2199" s="37" t="n">
        <x:v>46125</x:v>
      </x:c>
      <x:c r="K2199" s="19" t="str">
        <x:v>Green RV - Slacks Creek</x:v>
      </x:c>
      <x:c r="L2199" s="19" t="str">
        <x:v>Z006</x:v>
      </x:c>
      <x:c r="M2199" s="19" t="str">
        <x:v>In Field Warranty Claims</x:v>
      </x:c>
      <x:c r="N2199" s="37" t="n">
        <x:v>46121</x:v>
      </x:c>
      <x:c r="O2199" s="37"/>
      <x:c r="P2199" s="34" t="n">
        <x:v>0</x:v>
      </x:c>
      <x:c r="Q2199" s="37" t="n">
        <x:v>46124.91370370371</x:v>
      </x:c>
    </x:row>
    <x:row r="2200">
      <x:c r="A2200" s="22" t="n">
        <x:v>33346</x:v>
      </x:c>
      <x:c r="B2200" s="28" t="n">
        <x:v>145</x:v>
      </x:c>
      <x:c r="C2200" s="28"/>
      <x:c r="D2200" s="31" t="str">
        <x:f>IF(OR(ISBLANK(B2200),ISBLANK(C2200),B2200=0),"",(C2200-B2200)/B2200)</x:f>
      </x:c>
      <x:c r="E2200" s="22" t="str">
        <x:f>IF(ISBLANK(C2200),"AmountIncludingTax缺失",IF(ABS(B2200-C2200)&lt;0.005,"一致","不一致"))</x:f>
        <x:v>AmountIncludingTax缺失</x:v>
      </x:c>
      <x:c r="F2200" s="19" t="str">
        <x:v>approved</x:v>
      </x:c>
      <x:c r="G2200" s="19" t="str">
        <x:v>Repairer Invoiced Processed</x:v>
      </x:c>
      <x:c r="H2200" s="19" t="str">
        <x:v>Pre Delivery</x:v>
      </x:c>
      <x:c r="I2200" s="37" t="n">
        <x:v>46154</x:v>
      </x:c>
      <x:c r="J2200" s="37" t="n">
        <x:v>46154</x:v>
      </x:c>
      <x:c r="K2200" s="19" t="str">
        <x:v>The Caravan Hub - Townsville</x:v>
      </x:c>
      <x:c r="L2200" s="19" t="str">
        <x:v>Z005</x:v>
      </x:c>
      <x:c r="M2200" s="19" t="str">
        <x:v>Pre Delivery Warranty Claims</x:v>
      </x:c>
      <x:c r="N2200" s="37" t="n">
        <x:v>46121</x:v>
      </x:c>
      <x:c r="O2200" s="37"/>
      <x:c r="P2200" s="34" t="n">
        <x:v>0</x:v>
      </x:c>
      <x:c r="Q2200" s="37" t="n">
        <x:v>46154.02439814815</x:v>
      </x:c>
    </x:row>
    <x:row r="2201">
      <x:c r="A2201" s="22" t="n">
        <x:v>33344</x:v>
      </x:c>
      <x:c r="B2201" s="28" t="n">
        <x:v>337.5</x:v>
      </x:c>
      <x:c r="C2201" s="28"/>
      <x:c r="D2201" s="31" t="str">
        <x:f>IF(OR(ISBLANK(B2201),ISBLANK(C2201),B2201=0),"",(C2201-B2201)/B2201)</x:f>
      </x:c>
      <x:c r="E2201" s="22" t="str">
        <x:f>IF(ISBLANK(C2201),"AmountIncludingTax缺失",IF(ABS(B2201-C2201)&lt;0.005,"一致","不一致"))</x:f>
        <x:v>AmountIncludingTax缺失</x:v>
      </x:c>
      <x:c r="F2201" s="19" t="str">
        <x:v>approved</x:v>
      </x:c>
      <x:c r="G2201" s="19" t="str">
        <x:v>Repair in Progress</x:v>
      </x:c>
      <x:c r="H2201" s="19" t="str">
        <x:v>In Field</x:v>
      </x:c>
      <x:c r="I2201" s="37" t="n">
        <x:v>46122</x:v>
      </x:c>
      <x:c r="J2201" s="37" t="n">
        <x:v>46122</x:v>
      </x:c>
      <x:c r="K2201" s="19" t="str">
        <x:v>Green RV - Slacks Creek</x:v>
      </x:c>
      <x:c r="L2201" s="19" t="str">
        <x:v>Z006</x:v>
      </x:c>
      <x:c r="M2201" s="19" t="str">
        <x:v>In Field Warranty Claims</x:v>
      </x:c>
      <x:c r="N2201" s="37" t="n">
        <x:v>46120</x:v>
      </x:c>
      <x:c r="O2201" s="37"/>
      <x:c r="P2201" s="34" t="n">
        <x:v>0</x:v>
      </x:c>
      <x:c r="Q2201" s="37" t="n">
        <x:v>46122.168657407405</x:v>
      </x:c>
    </x:row>
    <x:row r="2202">
      <x:c r="A2202" s="22" t="n">
        <x:v>33342</x:v>
      </x:c>
      <x:c r="B2202" s="28" t="n">
        <x:v>67.5</x:v>
      </x:c>
      <x:c r="C2202" s="28"/>
      <x:c r="D2202" s="31" t="str">
        <x:f>IF(OR(ISBLANK(B2202),ISBLANK(C2202),B2202=0),"",(C2202-B2202)/B2202)</x:f>
      </x:c>
      <x:c r="E2202" s="22" t="str">
        <x:f>IF(ISBLANK(C2202),"AmountIncludingTax缺失",IF(ABS(B2202-C2202)&lt;0.005,"一致","不一致"))</x:f>
        <x:v>AmountIncludingTax缺失</x:v>
      </x:c>
      <x:c r="F2202" s="19" t="str">
        <x:v>approved</x:v>
      </x:c>
      <x:c r="G2202" s="19" t="str">
        <x:v>Repair in Progress</x:v>
      </x:c>
      <x:c r="H2202" s="19" t="str">
        <x:v>Pre Delivery</x:v>
      </x:c>
      <x:c r="I2202" s="37" t="n">
        <x:v>46190</x:v>
      </x:c>
      <x:c r="J2202" s="37" t="n">
        <x:v>46190</x:v>
      </x:c>
      <x:c r="K2202" s="19" t="str">
        <x:v>ABCO Caravans - Boambee Valley</x:v>
      </x:c>
      <x:c r="L2202" s="19" t="str">
        <x:v>Z005</x:v>
      </x:c>
      <x:c r="M2202" s="19" t="str">
        <x:v>Pre Delivery Warranty Claims</x:v>
      </x:c>
      <x:c r="N2202" s="37" t="n">
        <x:v>46120</x:v>
      </x:c>
      <x:c r="O2202" s="37"/>
      <x:c r="P2202" s="34" t="n">
        <x:v>0</x:v>
      </x:c>
      <x:c r="Q2202" s="37" t="n">
        <x:v>46190.23869212963</x:v>
      </x:c>
    </x:row>
    <x:row r="2203">
      <x:c r="A2203" s="22" t="n">
        <x:v>33341</x:v>
      </x:c>
      <x:c r="B2203" s="28" t="n">
        <x:v>725</x:v>
      </x:c>
      <x:c r="C2203" s="28"/>
      <x:c r="D2203" s="31" t="str">
        <x:f>IF(OR(ISBLANK(B2203),ISBLANK(C2203),B2203=0),"",(C2203-B2203)/B2203)</x:f>
      </x:c>
      <x:c r="E2203" s="22" t="str">
        <x:f>IF(ISBLANK(C2203),"AmountIncludingTax缺失",IF(ABS(B2203-C2203)&lt;0.005,"一致","不一致"))</x:f>
        <x:v>AmountIncludingTax缺失</x:v>
      </x:c>
      <x:c r="F2203" s="19" t="str">
        <x:v>approved</x:v>
      </x:c>
      <x:c r="G2203" s="19" t="str">
        <x:v>Repairer Invoiced Processed</x:v>
      </x:c>
      <x:c r="H2203" s="19" t="str">
        <x:v>In Field</x:v>
      </x:c>
      <x:c r="I2203" s="37" t="n">
        <x:v>46122</x:v>
      </x:c>
      <x:c r="J2203" s="37" t="n">
        <x:v>46122</x:v>
      </x:c>
      <x:c r="K2203" s="19" t="str">
        <x:v>Leisure Lion Pty Ltd - Gympie</x:v>
      </x:c>
      <x:c r="L2203" s="19" t="str">
        <x:v>Z006</x:v>
      </x:c>
      <x:c r="M2203" s="19" t="str">
        <x:v>In Field Warranty Claims</x:v>
      </x:c>
      <x:c r="N2203" s="37" t="n">
        <x:v>46120</x:v>
      </x:c>
      <x:c r="O2203" s="37"/>
      <x:c r="P2203" s="34" t="n">
        <x:v>0</x:v>
      </x:c>
      <x:c r="Q2203" s="37" t="n">
        <x:v>46122.13165509259</x:v>
      </x:c>
    </x:row>
    <x:row r="2204">
      <x:c r="A2204" s="22" t="n">
        <x:v>33339</x:v>
      </x:c>
      <x:c r="B2204" s="28" t="n">
        <x:v>136.36</x:v>
      </x:c>
      <x:c r="C2204" s="28"/>
      <x:c r="D2204" s="31" t="str">
        <x:f>IF(OR(ISBLANK(B2204),ISBLANK(C2204),B2204=0),"",(C2204-B2204)/B2204)</x:f>
      </x:c>
      <x:c r="E2204" s="22" t="str">
        <x:f>IF(ISBLANK(C2204),"AmountIncludingTax缺失",IF(ABS(B2204-C2204)&lt;0.005,"一致","不一致"))</x:f>
        <x:v>AmountIncludingTax缺失</x:v>
      </x:c>
      <x:c r="F2204" s="19" t="str">
        <x:v>approved</x:v>
      </x:c>
      <x:c r="G2204" s="19" t="str">
        <x:v>Repair in Progress</x:v>
      </x:c>
      <x:c r="H2204" s="19" t="str">
        <x:v>Pre Delivery</x:v>
      </x:c>
      <x:c r="I2204" s="37" t="n">
        <x:v>46122</x:v>
      </x:c>
      <x:c r="J2204" s="37" t="n">
        <x:v>46122</x:v>
      </x:c>
      <x:c r="K2204" s="19" t="str">
        <x:v>NEWCASTLE CARAVANS &amp; RVS</x:v>
      </x:c>
      <x:c r="L2204" s="19" t="str">
        <x:v>Z005</x:v>
      </x:c>
      <x:c r="M2204" s="19" t="str">
        <x:v>Pre Delivery Warranty Claims</x:v>
      </x:c>
      <x:c r="N2204" s="37" t="n">
        <x:v>46120</x:v>
      </x:c>
      <x:c r="O2204" s="37"/>
      <x:c r="P2204" s="34" t="n">
        <x:v>0</x:v>
      </x:c>
      <x:c r="Q2204" s="37" t="n">
        <x:v>46122.084328703706</x:v>
      </x:c>
    </x:row>
    <x:row r="2205">
      <x:c r="A2205" s="22" t="n">
        <x:v>33338</x:v>
      </x:c>
      <x:c r="B2205" s="28" t="n">
        <x:v>241.25</x:v>
      </x:c>
      <x:c r="C2205" s="28"/>
      <x:c r="D2205" s="31" t="str">
        <x:f>IF(OR(ISBLANK(B2205),ISBLANK(C2205),B2205=0),"",(C2205-B2205)/B2205)</x:f>
      </x:c>
      <x:c r="E2205" s="22" t="str">
        <x:f>IF(ISBLANK(C2205),"AmountIncludingTax缺失",IF(ABS(B2205-C2205)&lt;0.005,"一致","不一致"))</x:f>
        <x:v>AmountIncludingTax缺失</x:v>
      </x:c>
      <x:c r="F2205" s="19" t="str">
        <x:v>approved</x:v>
      </x:c>
      <x:c r="G2205" s="19" t="str">
        <x:v>Repair in Progress</x:v>
      </x:c>
      <x:c r="H2205" s="19" t="str">
        <x:v>In Field</x:v>
      </x:c>
      <x:c r="I2205" s="37" t="n">
        <x:v>46122</x:v>
      </x:c>
      <x:c r="J2205" s="37" t="n">
        <x:v>46122</x:v>
      </x:c>
      <x:c r="K2205" s="19" t="str">
        <x:v>Green RV - Forest Glen</x:v>
      </x:c>
      <x:c r="L2205" s="19" t="str">
        <x:v>Z006</x:v>
      </x:c>
      <x:c r="M2205" s="19" t="str">
        <x:v>In Field Warranty Claims</x:v>
      </x:c>
      <x:c r="N2205" s="37" t="n">
        <x:v>46120</x:v>
      </x:c>
      <x:c r="O2205" s="37"/>
      <x:c r="P2205" s="34" t="n">
        <x:v>0</x:v>
      </x:c>
      <x:c r="Q2205" s="37" t="n">
        <x:v>46122.197222222225</x:v>
      </x:c>
    </x:row>
    <x:row r="2206">
      <x:c r="A2206" s="22" t="n">
        <x:v>33337</x:v>
      </x:c>
      <x:c r="B2206" s="28" t="n">
        <x:v>270</x:v>
      </x:c>
      <x:c r="C2206" s="28"/>
      <x:c r="D2206" s="31" t="str">
        <x:f>IF(OR(ISBLANK(B2206),ISBLANK(C2206),B2206=0),"",(C2206-B2206)/B2206)</x:f>
      </x:c>
      <x:c r="E2206" s="22" t="str">
        <x:f>IF(ISBLANK(C2206),"AmountIncludingTax缺失",IF(ABS(B2206-C2206)&lt;0.005,"一致","不一致"))</x:f>
        <x:v>AmountIncludingTax缺失</x:v>
      </x:c>
      <x:c r="F2206" s="19" t="str">
        <x:v>approved</x:v>
      </x:c>
      <x:c r="G2206" s="19" t="str">
        <x:v>Repairer Invoiced Processed</x:v>
      </x:c>
      <x:c r="H2206" s="19" t="str">
        <x:v>In Field</x:v>
      </x:c>
      <x:c r="I2206" s="37" t="n">
        <x:v>46149</x:v>
      </x:c>
      <x:c r="J2206" s="37" t="n">
        <x:v>46149</x:v>
      </x:c>
      <x:c r="K2206" s="19" t="str">
        <x:v>Green RV - Forest Glen</x:v>
      </x:c>
      <x:c r="L2206" s="19" t="str">
        <x:v>Z006</x:v>
      </x:c>
      <x:c r="M2206" s="19" t="str">
        <x:v>In Field Warranty Claims</x:v>
      </x:c>
      <x:c r="N2206" s="37" t="n">
        <x:v>46120</x:v>
      </x:c>
      <x:c r="O2206" s="37"/>
      <x:c r="P2206" s="34" t="n">
        <x:v>0</x:v>
      </x:c>
      <x:c r="Q2206" s="37" t="n">
        <x:v>46149.423055555555</x:v>
      </x:c>
    </x:row>
    <x:row r="2207">
      <x:c r="A2207" s="22" t="n">
        <x:v>33336</x:v>
      </x:c>
      <x:c r="B2207" s="28" t="n">
        <x:v>77.5</x:v>
      </x:c>
      <x:c r="C2207" s="28"/>
      <x:c r="D2207" s="31" t="str">
        <x:f>IF(OR(ISBLANK(B2207),ISBLANK(C2207),B2207=0),"",(C2207-B2207)/B2207)</x:f>
      </x:c>
      <x:c r="E2207" s="22" t="str">
        <x:f>IF(ISBLANK(C2207),"AmountIncludingTax缺失",IF(ABS(B2207-C2207)&lt;0.005,"一致","不一致"))</x:f>
        <x:v>AmountIncludingTax缺失</x:v>
      </x:c>
      <x:c r="F2207" s="19" t="str">
        <x:v>approved</x:v>
      </x:c>
      <x:c r="G2207" s="19" t="str">
        <x:v>Repairer Invoiced Processed</x:v>
      </x:c>
      <x:c r="H2207" s="19" t="str">
        <x:v>In Field</x:v>
      </x:c>
      <x:c r="I2207" s="37" t="n">
        <x:v>46122</x:v>
      </x:c>
      <x:c r="J2207" s="37" t="n">
        <x:v>46122</x:v>
      </x:c>
      <x:c r="K2207" s="19" t="str">
        <x:v>Green RV - Forest Glen</x:v>
      </x:c>
      <x:c r="L2207" s="19" t="str">
        <x:v>Z006</x:v>
      </x:c>
      <x:c r="M2207" s="19" t="str">
        <x:v>In Field Warranty Claims</x:v>
      </x:c>
      <x:c r="N2207" s="37" t="n">
        <x:v>46120</x:v>
      </x:c>
      <x:c r="O2207" s="37"/>
      <x:c r="P2207" s="34" t="n">
        <x:v>0</x:v>
      </x:c>
      <x:c r="Q2207" s="37" t="n">
        <x:v>46122.17236111111</x:v>
      </x:c>
    </x:row>
    <x:row r="2208">
      <x:c r="A2208" s="22" t="n">
        <x:v>33335</x:v>
      </x:c>
      <x:c r="B2208" s="28" t="n">
        <x:v>135</x:v>
      </x:c>
      <x:c r="C2208" s="28"/>
      <x:c r="D2208" s="31" t="str">
        <x:f>IF(OR(ISBLANK(B2208),ISBLANK(C2208),B2208=0),"",(C2208-B2208)/B2208)</x:f>
      </x:c>
      <x:c r="E2208" s="22" t="str">
        <x:f>IF(ISBLANK(C2208),"AmountIncludingTax缺失",IF(ABS(B2208-C2208)&lt;0.005,"一致","不一致"))</x:f>
        <x:v>AmountIncludingTax缺失</x:v>
      </x:c>
      <x:c r="F2208" s="19" t="str">
        <x:v>approved</x:v>
      </x:c>
      <x:c r="G2208" s="19" t="str">
        <x:v>Repair in Progress</x:v>
      </x:c>
      <x:c r="H2208" s="19" t="str">
        <x:v>In Field</x:v>
      </x:c>
      <x:c r="I2208" s="37" t="n">
        <x:v>46142</x:v>
      </x:c>
      <x:c r="J2208" s="37" t="n">
        <x:v>46142</x:v>
      </x:c>
      <x:c r="K2208" s="19" t="str">
        <x:v>Regent RV - Toowoomba</x:v>
      </x:c>
      <x:c r="L2208" s="19" t="str">
        <x:v>Z006</x:v>
      </x:c>
      <x:c r="M2208" s="19" t="str">
        <x:v>In Field Warranty Claims</x:v>
      </x:c>
      <x:c r="N2208" s="37" t="n">
        <x:v>46120</x:v>
      </x:c>
      <x:c r="O2208" s="37"/>
      <x:c r="P2208" s="34" t="n">
        <x:v>0</x:v>
      </x:c>
      <x:c r="Q2208" s="37" t="n">
        <x:v>46142.12155092593</x:v>
      </x:c>
    </x:row>
    <x:row r="2209">
      <x:c r="A2209" s="22" t="n">
        <x:v>33334</x:v>
      </x:c>
      <x:c r="B2209" s="28" t="n">
        <x:v>67.5</x:v>
      </x:c>
      <x:c r="C2209" s="28" t="n">
        <x:v>74.25</x:v>
      </x:c>
      <x:c r="D2209" s="31" t="n">
        <x:f>IF(OR(ISBLANK(B2209),ISBLANK(C2209),B2209=0),"",(C2209-B2209)/B2209)</x:f>
        <x:v>0.1</x:v>
      </x:c>
      <x:c r="E2209" s="22" t="str">
        <x:f>IF(ISBLANK(C2209),"AmountIncludingTax缺失",IF(ABS(B2209-C2209)&lt;0.005,"一致","不一致"))</x:f>
        <x:v>不一致</x:v>
      </x:c>
      <x:c r="F2209" s="19" t="str">
        <x:v>approved</x:v>
      </x:c>
      <x:c r="G2209" s="19" t="str">
        <x:v>Repair in Progress</x:v>
      </x:c>
      <x:c r="H2209" s="19" t="str">
        <x:v>In Field</x:v>
      </x:c>
      <x:c r="I2209" s="37" t="n">
        <x:v>46125</x:v>
      </x:c>
      <x:c r="J2209" s="37" t="n">
        <x:v>46125</x:v>
      </x:c>
      <x:c r="K2209" s="19" t="str">
        <x:v>Green RV - Forest Glen</x:v>
      </x:c>
      <x:c r="L2209" s="19" t="str">
        <x:v>Z006</x:v>
      </x:c>
      <x:c r="M2209" s="19" t="str">
        <x:v>In Field Warranty Claims</x:v>
      </x:c>
      <x:c r="N2209" s="37" t="n">
        <x:v>46120</x:v>
      </x:c>
      <x:c r="O2209" s="37"/>
      <x:c r="P2209" s="34" t="n">
        <x:v>74.25</x:v>
      </x:c>
      <x:c r="Q2209" s="37" t="n">
        <x:v>46125.366643518515</x:v>
      </x:c>
    </x:row>
    <x:row r="2210">
      <x:c r="A2210" s="22" t="n">
        <x:v>33330</x:v>
      </x:c>
      <x:c r="B2210" s="28" t="n">
        <x:v>450</x:v>
      </x:c>
      <x:c r="C2210" s="28" t="n">
        <x:v>495</x:v>
      </x:c>
      <x:c r="D2210" s="31" t="n">
        <x:f>IF(OR(ISBLANK(B2210),ISBLANK(C2210),B2210=0),"",(C2210-B2210)/B2210)</x:f>
        <x:v>0.1</x:v>
      </x:c>
      <x:c r="E2210" s="22" t="str">
        <x:f>IF(ISBLANK(C2210),"AmountIncludingTax缺失",IF(ABS(B2210-C2210)&lt;0.005,"一致","不一致"))</x:f>
        <x:v>不一致</x:v>
      </x:c>
      <x:c r="F2210" s="19" t="str">
        <x:v>approved</x:v>
      </x:c>
      <x:c r="G2210" s="19" t="str">
        <x:v>Repairer Invoiced Processed</x:v>
      </x:c>
      <x:c r="H2210" s="19" t="str">
        <x:v>In Field</x:v>
      </x:c>
      <x:c r="I2210" s="37" t="n">
        <x:v>46156</x:v>
      </x:c>
      <x:c r="J2210" s="37" t="n">
        <x:v>46156</x:v>
      </x:c>
      <x:c r="K2210" s="19" t="str">
        <x:v>Lesiure Lion-New Castle</x:v>
      </x:c>
      <x:c r="L2210" s="19" t="str">
        <x:v>Z006</x:v>
      </x:c>
      <x:c r="M2210" s="19" t="str">
        <x:v>In Field Warranty Claims</x:v>
      </x:c>
      <x:c r="N2210" s="37" t="n">
        <x:v>46120</x:v>
      </x:c>
      <x:c r="O2210" s="37"/>
      <x:c r="P2210" s="34" t="n">
        <x:v>495</x:v>
      </x:c>
      <x:c r="Q2210" s="37" t="n">
        <x:v>46156.04634259259</x:v>
      </x:c>
    </x:row>
    <x:row r="2211">
      <x:c r="A2211" s="22" t="n">
        <x:v>33329</x:v>
      </x:c>
      <x:c r="B2211" s="28" t="n">
        <x:v>996.93</x:v>
      </x:c>
      <x:c r="C2211" s="28"/>
      <x:c r="D2211" s="31" t="str">
        <x:f>IF(OR(ISBLANK(B2211),ISBLANK(C2211),B2211=0),"",(C2211-B2211)/B2211)</x:f>
      </x:c>
      <x:c r="E2211" s="22" t="str">
        <x:f>IF(ISBLANK(C2211),"AmountIncludingTax缺失",IF(ABS(B2211-C2211)&lt;0.005,"一致","不一致"))</x:f>
        <x:v>AmountIncludingTax缺失</x:v>
      </x:c>
      <x:c r="F2211" s="19" t="str">
        <x:v>approved</x:v>
      </x:c>
      <x:c r="G2211" s="19" t="str">
        <x:v>Repair in Progress</x:v>
      </x:c>
      <x:c r="H2211" s="19" t="str">
        <x:v>In Field</x:v>
      </x:c>
      <x:c r="I2211" s="37" t="n">
        <x:v>46135</x:v>
      </x:c>
      <x:c r="J2211" s="37" t="n">
        <x:v>46135</x:v>
      </x:c>
      <x:c r="K2211" s="19" t="str">
        <x:v>Green RV - Forest Glen</x:v>
      </x:c>
      <x:c r="L2211" s="19" t="str">
        <x:v>Z006</x:v>
      </x:c>
      <x:c r="M2211" s="19" t="str">
        <x:v>In Field Warranty Claims</x:v>
      </x:c>
      <x:c r="N2211" s="37" t="n">
        <x:v>46120</x:v>
      </x:c>
      <x:c r="O2211" s="37"/>
      <x:c r="P2211" s="34" t="n">
        <x:v>0</x:v>
      </x:c>
      <x:c r="Q2211" s="37" t="n">
        <x:v>46134.969502314816</x:v>
      </x:c>
    </x:row>
    <x:row r="2212">
      <x:c r="A2212" s="22" t="n">
        <x:v>33323</x:v>
      </x:c>
      <x:c r="B2212" s="28" t="n">
        <x:v>405</x:v>
      </x:c>
      <x:c r="C2212" s="28"/>
      <x:c r="D2212" s="31" t="str">
        <x:f>IF(OR(ISBLANK(B2212),ISBLANK(C2212),B2212=0),"",(C2212-B2212)/B2212)</x:f>
      </x:c>
      <x:c r="E2212" s="22" t="str">
        <x:f>IF(ISBLANK(C2212),"AmountIncludingTax缺失",IF(ABS(B2212-C2212)&lt;0.005,"一致","不一致"))</x:f>
        <x:v>AmountIncludingTax缺失</x:v>
      </x:c>
      <x:c r="F2212" s="19" t="str">
        <x:v>approved</x:v>
      </x:c>
      <x:c r="G2212" s="19" t="str">
        <x:v>Repairer Invoiced Processed</x:v>
      </x:c>
      <x:c r="H2212" s="19" t="str">
        <x:v>In Field</x:v>
      </x:c>
      <x:c r="I2212" s="37" t="n">
        <x:v>46135</x:v>
      </x:c>
      <x:c r="J2212" s="37" t="n">
        <x:v>46135</x:v>
      </x:c>
      <x:c r="K2212" s="19" t="str">
        <x:v>Dario Caravans -St.Marys</x:v>
      </x:c>
      <x:c r="L2212" s="19" t="str">
        <x:v>Z006</x:v>
      </x:c>
      <x:c r="M2212" s="19" t="str">
        <x:v>In Field Warranty Claims</x:v>
      </x:c>
      <x:c r="N2212" s="37" t="n">
        <x:v>46120</x:v>
      </x:c>
      <x:c r="O2212" s="37"/>
      <x:c r="P2212" s="34" t="n">
        <x:v>0</x:v>
      </x:c>
      <x:c r="Q2212" s="37" t="n">
        <x:v>46134.9434375</x:v>
      </x:c>
    </x:row>
    <x:row r="2213">
      <x:c r="A2213" s="22" t="n">
        <x:v>33322</x:v>
      </x:c>
      <x:c r="B2213" s="28" t="n">
        <x:v>202.5</x:v>
      </x:c>
      <x:c r="C2213" s="28" t="n">
        <x:v>222.75</x:v>
      </x:c>
      <x:c r="D2213" s="31" t="n">
        <x:f>IF(OR(ISBLANK(B2213),ISBLANK(C2213),B2213=0),"",(C2213-B2213)/B2213)</x:f>
        <x:v>0.1</x:v>
      </x:c>
      <x:c r="E2213" s="22" t="str">
        <x:f>IF(ISBLANK(C2213),"AmountIncludingTax缺失",IF(ABS(B2213-C2213)&lt;0.005,"一致","不一致"))</x:f>
        <x:v>不一致</x:v>
      </x:c>
      <x:c r="F2213" s="19" t="str">
        <x:v>approved</x:v>
      </x:c>
      <x:c r="G2213" s="19" t="str">
        <x:v>Repair in Progress</x:v>
      </x:c>
      <x:c r="H2213" s="19" t="str">
        <x:v>Pre Delivery</x:v>
      </x:c>
      <x:c r="I2213" s="37" t="n">
        <x:v>46136</x:v>
      </x:c>
      <x:c r="J2213" s="37" t="n">
        <x:v>46136</x:v>
      </x:c>
      <x:c r="K2213" s="19" t="str">
        <x:v>Snowy River Wangaratta</x:v>
      </x:c>
      <x:c r="L2213" s="19" t="str">
        <x:v>Z005</x:v>
      </x:c>
      <x:c r="M2213" s="19" t="str">
        <x:v>Pre Delivery Warranty Claims</x:v>
      </x:c>
      <x:c r="N2213" s="37" t="n">
        <x:v>46120</x:v>
      </x:c>
      <x:c r="O2213" s="37"/>
      <x:c r="P2213" s="34" t="n">
        <x:v>222.75</x:v>
      </x:c>
      <x:c r="Q2213" s="37" t="n">
        <x:v>46136.26163194444</x:v>
      </x:c>
    </x:row>
    <x:row r="2214">
      <x:c r="A2214" s="22" t="n">
        <x:v>33321</x:v>
      </x:c>
      <x:c r="B2214" s="28" t="n">
        <x:v>1973.75</x:v>
      </x:c>
      <x:c r="C2214" s="28"/>
      <x:c r="D2214" s="31" t="str">
        <x:f>IF(OR(ISBLANK(B2214),ISBLANK(C2214),B2214=0),"",(C2214-B2214)/B2214)</x:f>
      </x:c>
      <x:c r="E2214" s="22" t="str">
        <x:f>IF(ISBLANK(C2214),"AmountIncludingTax缺失",IF(ABS(B2214-C2214)&lt;0.005,"一致","不一致"))</x:f>
        <x:v>AmountIncludingTax缺失</x:v>
      </x:c>
      <x:c r="F2214" s="19" t="str">
        <x:v>approved</x:v>
      </x:c>
      <x:c r="G2214" s="19" t="str">
        <x:v>Repairer Invoiced Processed</x:v>
      </x:c>
      <x:c r="H2214" s="19" t="str">
        <x:v>In Field</x:v>
      </x:c>
      <x:c r="I2214" s="37" t="n">
        <x:v>46122</x:v>
      </x:c>
      <x:c r="J2214" s="37" t="n">
        <x:v>46122</x:v>
      </x:c>
      <x:c r="K2214" s="19" t="str">
        <x:v>Green RV - Forest Glen</x:v>
      </x:c>
      <x:c r="L2214" s="19" t="str">
        <x:v>Z006</x:v>
      </x:c>
      <x:c r="M2214" s="19" t="str">
        <x:v>In Field Warranty Claims</x:v>
      </x:c>
      <x:c r="N2214" s="37" t="n">
        <x:v>46120</x:v>
      </x:c>
      <x:c r="O2214" s="37"/>
      <x:c r="P2214" s="34" t="n">
        <x:v>0</x:v>
      </x:c>
      <x:c r="Q2214" s="37" t="n">
        <x:v>46122.012337962966</x:v>
      </x:c>
    </x:row>
    <x:row r="2215">
      <x:c r="A2215" s="22" t="n">
        <x:v>33320</x:v>
      </x:c>
      <x:c r="B2215" s="28" t="n">
        <x:v>68.8</x:v>
      </x:c>
      <x:c r="C2215" s="28"/>
      <x:c r="D2215" s="31" t="str">
        <x:f>IF(OR(ISBLANK(B2215),ISBLANK(C2215),B2215=0),"",(C2215-B2215)/B2215)</x:f>
      </x:c>
      <x:c r="E2215" s="22" t="str">
        <x:f>IF(ISBLANK(C2215),"AmountIncludingTax缺失",IF(ABS(B2215-C2215)&lt;0.005,"一致","不一致"))</x:f>
        <x:v>AmountIncludingTax缺失</x:v>
      </x:c>
      <x:c r="F2215" s="19" t="str">
        <x:v>approved</x:v>
      </x:c>
      <x:c r="G2215" s="19" t="str">
        <x:v>Repairer Invoiced Processed</x:v>
      </x:c>
      <x:c r="H2215" s="19" t="str">
        <x:v>In Field</x:v>
      </x:c>
      <x:c r="I2215" s="37" t="n">
        <x:v>46135</x:v>
      </x:c>
      <x:c r="J2215" s="37" t="n">
        <x:v>46135</x:v>
      </x:c>
      <x:c r="K2215" s="19" t="str">
        <x:v>CMG Campers - Christchurch</x:v>
      </x:c>
      <x:c r="L2215" s="19" t="str">
        <x:v>Z006</x:v>
      </x:c>
      <x:c r="M2215" s="19" t="str">
        <x:v>In Field Warranty Claims</x:v>
      </x:c>
      <x:c r="N2215" s="37" t="n">
        <x:v>46120</x:v>
      </x:c>
      <x:c r="O2215" s="37"/>
      <x:c r="P2215" s="34" t="n">
        <x:v>0</x:v>
      </x:c>
      <x:c r="Q2215" s="37" t="n">
        <x:v>46135.024618055555</x:v>
      </x:c>
    </x:row>
    <x:row r="2216">
      <x:c r="A2216" s="22" t="n">
        <x:v>33317</x:v>
      </x:c>
      <x:c r="B2216" s="28" t="n">
        <x:v>67.5</x:v>
      </x:c>
      <x:c r="C2216" s="28"/>
      <x:c r="D2216" s="31" t="str">
        <x:f>IF(OR(ISBLANK(B2216),ISBLANK(C2216),B2216=0),"",(C2216-B2216)/B2216)</x:f>
      </x:c>
      <x:c r="E2216" s="22" t="str">
        <x:f>IF(ISBLANK(C2216),"AmountIncludingTax缺失",IF(ABS(B2216-C2216)&lt;0.005,"一致","不一致"))</x:f>
        <x:v>AmountIncludingTax缺失</x:v>
      </x:c>
      <x:c r="F2216" s="19" t="str">
        <x:v>approved</x:v>
      </x:c>
      <x:c r="G2216" s="19" t="str">
        <x:v>Sales Order Approved</x:v>
      </x:c>
      <x:c r="H2216" s="19" t="str">
        <x:v>In Field</x:v>
      </x:c>
      <x:c r="I2216" s="37" t="n">
        <x:v>46140</x:v>
      </x:c>
      <x:c r="J2216" s="37" t="n">
        <x:v>46140</x:v>
      </x:c>
      <x:c r="K2216" s="19" t="str">
        <x:v>Regent RV - Toowoomba</x:v>
      </x:c>
      <x:c r="L2216" s="19" t="str">
        <x:v>Z006</x:v>
      </x:c>
      <x:c r="M2216" s="19" t="str">
        <x:v>In Field Warranty Claims</x:v>
      </x:c>
      <x:c r="N2216" s="37" t="n">
        <x:v>46120</x:v>
      </x:c>
      <x:c r="O2216" s="37"/>
      <x:c r="P2216" s="34" t="n">
        <x:v>0</x:v>
      </x:c>
      <x:c r="Q2216" s="37" t="n">
        <x:v>46140.25258101852</x:v>
      </x:c>
    </x:row>
    <x:row r="2217">
      <x:c r="A2217" s="22" t="n">
        <x:v>33315</x:v>
      </x:c>
      <x:c r="B2217" s="28" t="n">
        <x:v>168.75</x:v>
      </x:c>
      <x:c r="C2217" s="28" t="n">
        <x:v>185.63</x:v>
      </x:c>
      <x:c r="D2217" s="31" t="n">
        <x:f>IF(OR(ISBLANK(B2217),ISBLANK(C2217),B2217=0),"",(C2217-B2217)/B2217)</x:f>
        <x:v>0.10002962962962961</x:v>
      </x:c>
      <x:c r="E2217" s="22" t="str">
        <x:f>IF(ISBLANK(C2217),"AmountIncludingTax缺失",IF(ABS(B2217-C2217)&lt;0.005,"一致","不一致"))</x:f>
        <x:v>不一致</x:v>
      </x:c>
      <x:c r="F2217" s="19" t="str">
        <x:v>approved</x:v>
      </x:c>
      <x:c r="G2217" s="19" t="str">
        <x:v>Repairer Invoiced Processed</x:v>
      </x:c>
      <x:c r="H2217" s="19" t="str">
        <x:v>Pre Delivery</x:v>
      </x:c>
      <x:c r="I2217" s="37" t="n">
        <x:v>46125</x:v>
      </x:c>
      <x:c r="J2217" s="37" t="n">
        <x:v>46125</x:v>
      </x:c>
      <x:c r="K2217" s="19" t="str">
        <x:v>Leisure Lion - Bundaberg</x:v>
      </x:c>
      <x:c r="L2217" s="19" t="str">
        <x:v>Z005</x:v>
      </x:c>
      <x:c r="M2217" s="19" t="str">
        <x:v>Pre Delivery Warranty Claims</x:v>
      </x:c>
      <x:c r="N2217" s="37" t="n">
        <x:v>46120</x:v>
      </x:c>
      <x:c r="O2217" s="37"/>
      <x:c r="P2217" s="34" t="n">
        <x:v>185.63</x:v>
      </x:c>
      <x:c r="Q2217" s="37" t="n">
        <x:v>46124.95759259259</x:v>
      </x:c>
    </x:row>
    <x:row r="2218">
      <x:c r="A2218" s="22" t="n">
        <x:v>33314</x:v>
      </x:c>
      <x:c r="B2218" s="28" t="n">
        <x:v>661.25</x:v>
      </x:c>
      <x:c r="C2218" s="28"/>
      <x:c r="D2218" s="31" t="str">
        <x:f>IF(OR(ISBLANK(B2218),ISBLANK(C2218),B2218=0),"",(C2218-B2218)/B2218)</x:f>
      </x:c>
      <x:c r="E2218" s="22" t="str">
        <x:f>IF(ISBLANK(C2218),"AmountIncludingTax缺失",IF(ABS(B2218-C2218)&lt;0.005,"一致","不一致"))</x:f>
        <x:v>AmountIncludingTax缺失</x:v>
      </x:c>
      <x:c r="F2218" s="19" t="str">
        <x:v>approved</x:v>
      </x:c>
      <x:c r="G2218" s="19" t="str">
        <x:v>Repair in Progress</x:v>
      </x:c>
      <x:c r="H2218" s="19" t="str">
        <x:v>In Field</x:v>
      </x:c>
      <x:c r="I2218" s="37" t="n">
        <x:v>46121</x:v>
      </x:c>
      <x:c r="J2218" s="37" t="n">
        <x:v>46121</x:v>
      </x:c>
      <x:c r="K2218" s="19" t="str">
        <x:v>Lesiure Lion-New Castle</x:v>
      </x:c>
      <x:c r="L2218" s="19" t="str">
        <x:v>Z006</x:v>
      </x:c>
      <x:c r="M2218" s="19" t="str">
        <x:v>In Field Warranty Claims</x:v>
      </x:c>
      <x:c r="N2218" s="37" t="n">
        <x:v>46120</x:v>
      </x:c>
      <x:c r="O2218" s="37"/>
      <x:c r="P2218" s="34" t="n">
        <x:v>0</x:v>
      </x:c>
      <x:c r="Q2218" s="37" t="n">
        <x:v>46121.24655092593</x:v>
      </x:c>
    </x:row>
    <x:row r="2219">
      <x:c r="A2219" s="22" t="n">
        <x:v>33312</x:v>
      </x:c>
      <x:c r="B2219" s="28" t="n">
        <x:v>222.5</x:v>
      </x:c>
      <x:c r="C2219" s="28"/>
      <x:c r="D2219" s="31" t="str">
        <x:f>IF(OR(ISBLANK(B2219),ISBLANK(C2219),B2219=0),"",(C2219-B2219)/B2219)</x:f>
      </x:c>
      <x:c r="E2219" s="22" t="str">
        <x:f>IF(ISBLANK(C2219),"AmountIncludingTax缺失",IF(ABS(B2219-C2219)&lt;0.005,"一致","不一致"))</x:f>
        <x:v>AmountIncludingTax缺失</x:v>
      </x:c>
      <x:c r="F2219" s="19" t="str">
        <x:v>approved</x:v>
      </x:c>
      <x:c r="G2219" s="19" t="str">
        <x:v>Repair in Progress</x:v>
      </x:c>
      <x:c r="H2219" s="19" t="str">
        <x:v>In Field</x:v>
      </x:c>
      <x:c r="I2219" s="37" t="n">
        <x:v>46169</x:v>
      </x:c>
      <x:c r="J2219" s="37" t="n">
        <x:v>46169</x:v>
      </x:c>
      <x:c r="K2219" s="19" t="str">
        <x:v>Snowy River Wangaratta</x:v>
      </x:c>
      <x:c r="L2219" s="19" t="str">
        <x:v>Z006</x:v>
      </x:c>
      <x:c r="M2219" s="19" t="str">
        <x:v>In Field Warranty Claims</x:v>
      </x:c>
      <x:c r="N2219" s="37" t="n">
        <x:v>46120</x:v>
      </x:c>
      <x:c r="O2219" s="37"/>
      <x:c r="P2219" s="34" t="n">
        <x:v>0</x:v>
      </x:c>
      <x:c r="Q2219" s="37" t="n">
        <x:v>46168.90831018519</x:v>
      </x:c>
    </x:row>
    <x:row r="2220">
      <x:c r="A2220" s="22" t="n">
        <x:v>33310</x:v>
      </x:c>
      <x:c r="B2220" s="28" t="n">
        <x:v>1573.75</x:v>
      </x:c>
      <x:c r="C2220" s="28"/>
      <x:c r="D2220" s="31" t="str">
        <x:f>IF(OR(ISBLANK(B2220),ISBLANK(C2220),B2220=0),"",(C2220-B2220)/B2220)</x:f>
      </x:c>
      <x:c r="E2220" s="22" t="str">
        <x:f>IF(ISBLANK(C2220),"AmountIncludingTax缺失",IF(ABS(B2220-C2220)&lt;0.005,"一致","不一致"))</x:f>
        <x:v>AmountIncludingTax缺失</x:v>
      </x:c>
      <x:c r="F2220" s="19" t="str">
        <x:v>approved</x:v>
      </x:c>
      <x:c r="G2220" s="19" t="str">
        <x:v>Repairer Invoiced Processed</x:v>
      </x:c>
      <x:c r="H2220" s="19" t="str">
        <x:v>In Field</x:v>
      </x:c>
      <x:c r="I2220" s="37" t="n">
        <x:v>46170</x:v>
      </x:c>
      <x:c r="J2220" s="37" t="n">
        <x:v>46170</x:v>
      </x:c>
      <x:c r="K2220" s="19" t="str">
        <x:v>Vanari Caravans - Marden Point</x:v>
      </x:c>
      <x:c r="L2220" s="19" t="str">
        <x:v>Z006</x:v>
      </x:c>
      <x:c r="M2220" s="19" t="str">
        <x:v>In Field Warranty Claims</x:v>
      </x:c>
      <x:c r="N2220" s="37" t="n">
        <x:v>46120</x:v>
      </x:c>
      <x:c r="O2220" s="37"/>
      <x:c r="P2220" s="34" t="n">
        <x:v>1424.87</x:v>
      </x:c>
      <x:c r="Q2220" s="37" t="n">
        <x:v>46169.91986111111</x:v>
      </x:c>
    </x:row>
    <x:row r="2221">
      <x:c r="A2221" s="22" t="n">
        <x:v>33309</x:v>
      </x:c>
      <x:c r="B2221" s="28" t="n">
        <x:v>1100</x:v>
      </x:c>
      <x:c r="C2221" s="28"/>
      <x:c r="D2221" s="31" t="str">
        <x:f>IF(OR(ISBLANK(B2221),ISBLANK(C2221),B2221=0),"",(C2221-B2221)/B2221)</x:f>
      </x:c>
      <x:c r="E2221" s="22" t="str">
        <x:f>IF(ISBLANK(C2221),"AmountIncludingTax缺失",IF(ABS(B2221-C2221)&lt;0.005,"一致","不一致"))</x:f>
        <x:v>AmountIncludingTax缺失</x:v>
      </x:c>
      <x:c r="F2221" s="19" t="str">
        <x:v>approved</x:v>
      </x:c>
      <x:c r="G2221" s="19" t="str">
        <x:v>Repair in Progress</x:v>
      </x:c>
      <x:c r="H2221" s="19" t="str">
        <x:v>Pre Delivery</x:v>
      </x:c>
      <x:c r="I2221" s="37" t="n">
        <x:v>46126</x:v>
      </x:c>
      <x:c r="J2221" s="37" t="n">
        <x:v>46126</x:v>
      </x:c>
      <x:c r="K2221" s="19" t="str">
        <x:v>Leisure Lion - Bundaberg</x:v>
      </x:c>
      <x:c r="L2221" s="19" t="str">
        <x:v>Z005</x:v>
      </x:c>
      <x:c r="M2221" s="19" t="str">
        <x:v>Pre Delivery Warranty Claims</x:v>
      </x:c>
      <x:c r="N2221" s="37" t="n">
        <x:v>46120</x:v>
      </x:c>
      <x:c r="O2221" s="37"/>
      <x:c r="P2221" s="34" t="n">
        <x:v>0</x:v>
      </x:c>
      <x:c r="Q2221" s="37" t="n">
        <x:v>46126.167650462965</x:v>
      </x:c>
    </x:row>
    <x:row r="2222">
      <x:c r="A2222" s="22" t="n">
        <x:v>33308</x:v>
      </x:c>
      <x:c r="B2222" s="28" t="n">
        <x:v>122.73</x:v>
      </x:c>
      <x:c r="C2222" s="28" t="n">
        <x:v>135</x:v>
      </x:c>
      <x:c r="D2222" s="31" t="n">
        <x:f>IF(OR(ISBLANK(B2222),ISBLANK(C2222),B2222=0),"",(C2222-B2222)/B2222)</x:f>
        <x:v>0.09997555609875333</x:v>
      </x:c>
      <x:c r="E2222" s="22" t="str">
        <x:f>IF(ISBLANK(C2222),"AmountIncludingTax缺失",IF(ABS(B2222-C2222)&lt;0.005,"一致","不一致"))</x:f>
        <x:v>不一致</x:v>
      </x:c>
      <x:c r="F2222" s="19" t="str">
        <x:v>approved</x:v>
      </x:c>
      <x:c r="G2222" s="19" t="str">
        <x:v>Repair in Progress</x:v>
      </x:c>
      <x:c r="H2222" s="19" t="str">
        <x:v>Pre Delivery</x:v>
      </x:c>
      <x:c r="I2222" s="37" t="n">
        <x:v>46136</x:v>
      </x:c>
      <x:c r="J2222" s="37" t="n">
        <x:v>46136</x:v>
      </x:c>
      <x:c r="K2222" s="19" t="str">
        <x:v>Regent RV Pty Ltd</x:v>
      </x:c>
      <x:c r="L2222" s="19" t="str">
        <x:v>Z005</x:v>
      </x:c>
      <x:c r="M2222" s="19" t="str">
        <x:v>Pre Delivery Warranty Claims</x:v>
      </x:c>
      <x:c r="N2222" s="37" t="n">
        <x:v>46120</x:v>
      </x:c>
      <x:c r="O2222" s="37"/>
      <x:c r="P2222" s="34" t="n">
        <x:v>135</x:v>
      </x:c>
      <x:c r="Q2222" s="37" t="n">
        <x:v>46136.131053240744</x:v>
      </x:c>
    </x:row>
    <x:row r="2223">
      <x:c r="A2223" s="22" t="n">
        <x:v>33306</x:v>
      </x:c>
      <x:c r="B2223" s="28" t="n">
        <x:v>53.75</x:v>
      </x:c>
      <x:c r="C2223" s="28" t="n">
        <x:v>59.13</x:v>
      </x:c>
      <x:c r="D2223" s="31" t="n">
        <x:f>IF(OR(ISBLANK(B2223),ISBLANK(C2223),B2223=0),"",(C2223-B2223)/B2223)</x:f>
        <x:v>0.100093023255814</x:v>
      </x:c>
      <x:c r="E2223" s="22" t="str">
        <x:f>IF(ISBLANK(C2223),"AmountIncludingTax缺失",IF(ABS(B2223-C2223)&lt;0.005,"一致","不一致"))</x:f>
        <x:v>不一致</x:v>
      </x:c>
      <x:c r="F2223" s="19" t="str">
        <x:v>approved</x:v>
      </x:c>
      <x:c r="G2223" s="19" t="str">
        <x:v>Repair in Progress</x:v>
      </x:c>
      <x:c r="H2223" s="19" t="str">
        <x:v>Pre Delivery</x:v>
      </x:c>
      <x:c r="I2223" s="37" t="n">
        <x:v>46190</x:v>
      </x:c>
      <x:c r="J2223" s="37" t="n">
        <x:v>46190</x:v>
      </x:c>
      <x:c r="K2223" s="19" t="str">
        <x:v>NEWCASTLE CARAVANS &amp; RVS</x:v>
      </x:c>
      <x:c r="L2223" s="19" t="str">
        <x:v>Z005</x:v>
      </x:c>
      <x:c r="M2223" s="19" t="str">
        <x:v>Pre Delivery Warranty Claims</x:v>
      </x:c>
      <x:c r="N2223" s="37" t="n">
        <x:v>46120</x:v>
      </x:c>
      <x:c r="O2223" s="37"/>
      <x:c r="P2223" s="34" t="n">
        <x:v>59.13</x:v>
      </x:c>
      <x:c r="Q2223" s="37" t="n">
        <x:v>46190.244166666664</x:v>
      </x:c>
    </x:row>
    <x:row r="2224">
      <x:c r="A2224" s="22" t="n">
        <x:v>33305</x:v>
      </x:c>
      <x:c r="B2224" s="28" t="n">
        <x:v>135</x:v>
      </x:c>
      <x:c r="C2224" s="28"/>
      <x:c r="D2224" s="31" t="str">
        <x:f>IF(OR(ISBLANK(B2224),ISBLANK(C2224),B2224=0),"",(C2224-B2224)/B2224)</x:f>
      </x:c>
      <x:c r="E2224" s="22" t="str">
        <x:f>IF(ISBLANK(C2224),"AmountIncludingTax缺失",IF(ABS(B2224-C2224)&lt;0.005,"一致","不一致"))</x:f>
        <x:v>AmountIncludingTax缺失</x:v>
      </x:c>
      <x:c r="F2224" s="19" t="str">
        <x:v>approved</x:v>
      </x:c>
      <x:c r="G2224" s="19" t="str">
        <x:v>Repairer Invoiced Processed</x:v>
      </x:c>
      <x:c r="H2224" s="19" t="str">
        <x:v>In Field</x:v>
      </x:c>
      <x:c r="I2224" s="37" t="n">
        <x:v>46148</x:v>
      </x:c>
      <x:c r="J2224" s="37" t="n">
        <x:v>46148</x:v>
      </x:c>
      <x:c r="K2224" s="19" t="str">
        <x:v>Newcastle RV Super Centre - Beresfield</x:v>
      </x:c>
      <x:c r="L2224" s="19" t="str">
        <x:v>Z006</x:v>
      </x:c>
      <x:c r="M2224" s="19" t="str">
        <x:v>In Field Warranty Claims</x:v>
      </x:c>
      <x:c r="N2224" s="37" t="n">
        <x:v>46120</x:v>
      </x:c>
      <x:c r="O2224" s="37"/>
      <x:c r="P2224" s="34" t="n">
        <x:v>0</x:v>
      </x:c>
      <x:c r="Q2224" s="37" t="n">
        <x:v>46148.04802083333</x:v>
      </x:c>
    </x:row>
    <x:row r="2225">
      <x:c r="A2225" s="22" t="n">
        <x:v>33303</x:v>
      </x:c>
      <x:c r="B2225" s="28" t="n">
        <x:v>1101.25</x:v>
      </x:c>
      <x:c r="C2225" s="28"/>
      <x:c r="D2225" s="31" t="str">
        <x:f>IF(OR(ISBLANK(B2225),ISBLANK(C2225),B2225=0),"",(C2225-B2225)/B2225)</x:f>
      </x:c>
      <x:c r="E2225" s="22" t="str">
        <x:f>IF(ISBLANK(C2225),"AmountIncludingTax缺失",IF(ABS(B2225-C2225)&lt;0.005,"一致","不一致"))</x:f>
        <x:v>AmountIncludingTax缺失</x:v>
      </x:c>
      <x:c r="F2225" s="19" t="str">
        <x:v>approved</x:v>
      </x:c>
      <x:c r="G2225" s="19" t="str">
        <x:v>Repair in Progress</x:v>
      </x:c>
      <x:c r="H2225" s="19" t="str">
        <x:v>In Field</x:v>
      </x:c>
      <x:c r="I2225" s="37" t="n">
        <x:v>46133</x:v>
      </x:c>
      <x:c r="J2225" s="37" t="n">
        <x:v>46133</x:v>
      </x:c>
      <x:c r="K2225" s="19" t="str">
        <x:v>Dario Caravans - Pooraka</x:v>
      </x:c>
      <x:c r="L2225" s="19" t="str">
        <x:v>Z006</x:v>
      </x:c>
      <x:c r="M2225" s="19" t="str">
        <x:v>In Field Warranty Claims</x:v>
      </x:c>
      <x:c r="N2225" s="37" t="n">
        <x:v>46120</x:v>
      </x:c>
      <x:c r="O2225" s="37"/>
      <x:c r="P2225" s="34" t="n">
        <x:v>0</x:v>
      </x:c>
      <x:c r="Q2225" s="37" t="n">
        <x:v>46133.20725694444</x:v>
      </x:c>
    </x:row>
    <x:row r="2226">
      <x:c r="A2226" s="22" t="n">
        <x:v>33301</x:v>
      </x:c>
      <x:c r="B2226" s="28" t="n">
        <x:v>236.25</x:v>
      </x:c>
      <x:c r="C2226" s="28"/>
      <x:c r="D2226" s="31" t="str">
        <x:f>IF(OR(ISBLANK(B2226),ISBLANK(C2226),B2226=0),"",(C2226-B2226)/B2226)</x:f>
      </x:c>
      <x:c r="E2226" s="22" t="str">
        <x:f>IF(ISBLANK(C2226),"AmountIncludingTax缺失",IF(ABS(B2226-C2226)&lt;0.005,"一致","不一致"))</x:f>
        <x:v>AmountIncludingTax缺失</x:v>
      </x:c>
      <x:c r="F2226" s="19" t="str">
        <x:v>approved</x:v>
      </x:c>
      <x:c r="G2226" s="19" t="str">
        <x:v>Repair in Progress</x:v>
      </x:c>
      <x:c r="H2226" s="19" t="str">
        <x:v>In Field</x:v>
      </x:c>
      <x:c r="I2226" s="37" t="n">
        <x:v>46121</x:v>
      </x:c>
      <x:c r="J2226" s="37" t="n">
        <x:v>46121</x:v>
      </x:c>
      <x:c r="K2226" s="19" t="str">
        <x:v>Regent RV - Frankston</x:v>
      </x:c>
      <x:c r="L2226" s="19" t="str">
        <x:v>Z006</x:v>
      </x:c>
      <x:c r="M2226" s="19" t="str">
        <x:v>In Field Warranty Claims</x:v>
      </x:c>
      <x:c r="N2226" s="37" t="n">
        <x:v>46120</x:v>
      </x:c>
      <x:c r="O2226" s="37"/>
      <x:c r="P2226" s="34" t="n">
        <x:v>0</x:v>
      </x:c>
      <x:c r="Q2226" s="37" t="n">
        <x:v>46121.20135416667</x:v>
      </x:c>
    </x:row>
    <x:row r="2227">
      <x:c r="A2227" s="22" t="n">
        <x:v>33299</x:v>
      </x:c>
      <x:c r="B2227" s="28" t="n">
        <x:v>81.81</x:v>
      </x:c>
      <x:c r="C2227" s="28" t="n">
        <x:v>89.99</x:v>
      </x:c>
      <x:c r="D2227" s="31" t="n">
        <x:f>IF(OR(ISBLANK(B2227),ISBLANK(C2227),B2227=0),"",(C2227-B2227)/B2227)</x:f>
        <x:v>0.09998777655543323</x:v>
      </x:c>
      <x:c r="E2227" s="22" t="str">
        <x:f>IF(ISBLANK(C2227),"AmountIncludingTax缺失",IF(ABS(B2227-C2227)&lt;0.005,"一致","不一致"))</x:f>
        <x:v>不一致</x:v>
      </x:c>
      <x:c r="F2227" s="19" t="str">
        <x:v>approved</x:v>
      </x:c>
      <x:c r="G2227" s="19" t="str">
        <x:v>Repairer Invoiced Processed</x:v>
      </x:c>
      <x:c r="H2227" s="19" t="str">
        <x:v>In Field</x:v>
      </x:c>
      <x:c r="I2227" s="37" t="n">
        <x:v>46139</x:v>
      </x:c>
      <x:c r="J2227" s="37" t="n">
        <x:v>46139</x:v>
      </x:c>
      <x:c r="K2227" s="19" t="str">
        <x:v>Regent RV - Perth</x:v>
      </x:c>
      <x:c r="L2227" s="19" t="str">
        <x:v>Z006</x:v>
      </x:c>
      <x:c r="M2227" s="19" t="str">
        <x:v>In Field Warranty Claims</x:v>
      </x:c>
      <x:c r="N2227" s="37" t="n">
        <x:v>46121</x:v>
      </x:c>
      <x:c r="O2227" s="37"/>
      <x:c r="P2227" s="34" t="n">
        <x:v>89.99</x:v>
      </x:c>
      <x:c r="Q2227" s="37" t="n">
        <x:v>46139.25918981482</x:v>
      </x:c>
    </x:row>
    <x:row r="2228">
      <x:c r="A2228" s="22" t="n">
        <x:v>33292</x:v>
      </x:c>
      <x:c r="B2228" s="28" t="n">
        <x:v>57.42</x:v>
      </x:c>
      <x:c r="C2228" s="28" t="n">
        <x:v>63.16</x:v>
      </x:c>
      <x:c r="D2228" s="31" t="n">
        <x:f>IF(OR(ISBLANK(B2228),ISBLANK(C2228),B2228=0),"",(C2228-B2228)/B2228)</x:f>
        <x:v>0.09996516893068608</x:v>
      </x:c>
      <x:c r="E2228" s="22" t="str">
        <x:f>IF(ISBLANK(C2228),"AmountIncludingTax缺失",IF(ABS(B2228-C2228)&lt;0.005,"一致","不一致"))</x:f>
        <x:v>不一致</x:v>
      </x:c>
      <x:c r="F2228" s="19" t="str">
        <x:v>approved</x:v>
      </x:c>
      <x:c r="G2228" s="19" t="str">
        <x:v>Repair in Progress</x:v>
      </x:c>
      <x:c r="H2228" s="19" t="str">
        <x:v>In Field</x:v>
      </x:c>
      <x:c r="I2228" s="37" t="n">
        <x:v>46121</x:v>
      </x:c>
      <x:c r="J2228" s="37" t="n">
        <x:v>46121</x:v>
      </x:c>
      <x:c r="K2228" s="19" t="str">
        <x:v>Not Assigned</x:v>
      </x:c>
      <x:c r="L2228" s="19" t="str">
        <x:v>Z006</x:v>
      </x:c>
      <x:c r="M2228" s="19" t="str">
        <x:v>In Field Warranty Claims</x:v>
      </x:c>
      <x:c r="N2228" s="37" t="n">
        <x:v>46120</x:v>
      </x:c>
      <x:c r="O2228" s="37"/>
      <x:c r="P2228" s="34" t="n">
        <x:v>63.16</x:v>
      </x:c>
      <x:c r="Q2228" s="37" t="n">
        <x:v>46121.24219907408</x:v>
      </x:c>
    </x:row>
    <x:row r="2229">
      <x:c r="A2229" s="22" t="n">
        <x:v>33290</x:v>
      </x:c>
      <x:c r="B2229" s="28" t="n">
        <x:v>1281.25</x:v>
      </x:c>
      <x:c r="C2229" s="28"/>
      <x:c r="D2229" s="31" t="str">
        <x:f>IF(OR(ISBLANK(B2229),ISBLANK(C2229),B2229=0),"",(C2229-B2229)/B2229)</x:f>
      </x:c>
      <x:c r="E2229" s="22" t="str">
        <x:f>IF(ISBLANK(C2229),"AmountIncludingTax缺失",IF(ABS(B2229-C2229)&lt;0.005,"一致","不一致"))</x:f>
        <x:v>AmountIncludingTax缺失</x:v>
      </x:c>
      <x:c r="F2229" s="19" t="str">
        <x:v>approved</x:v>
      </x:c>
      <x:c r="G2229" s="19" t="str">
        <x:v>Partially Picked</x:v>
      </x:c>
      <x:c r="H2229" s="19" t="str">
        <x:v>In Field</x:v>
      </x:c>
      <x:c r="I2229" s="37" t="n">
        <x:v>46177</x:v>
      </x:c>
      <x:c r="J2229" s="37" t="n">
        <x:v>46177</x:v>
      </x:c>
      <x:c r="K2229" s="19" t="str">
        <x:v>Not Assigned</x:v>
      </x:c>
      <x:c r="L2229" s="19" t="str">
        <x:v>Z006</x:v>
      </x:c>
      <x:c r="M2229" s="19" t="str">
        <x:v>In Field Warranty Claims</x:v>
      </x:c>
      <x:c r="N2229" s="37" t="n">
        <x:v>46120</x:v>
      </x:c>
      <x:c r="O2229" s="37"/>
      <x:c r="P2229" s="34" t="n">
        <x:v>0</x:v>
      </x:c>
      <x:c r="Q2229" s="37" t="n">
        <x:v>46176.887650462966</x:v>
      </x:c>
    </x:row>
    <x:row r="2230">
      <x:c r="A2230" s="22" t="n">
        <x:v>33289</x:v>
      </x:c>
      <x:c r="B2230" s="28" t="n">
        <x:v>222.5</x:v>
      </x:c>
      <x:c r="C2230" s="28"/>
      <x:c r="D2230" s="31" t="str">
        <x:f>IF(OR(ISBLANK(B2230),ISBLANK(C2230),B2230=0),"",(C2230-B2230)/B2230)</x:f>
      </x:c>
      <x:c r="E2230" s="22" t="str">
        <x:f>IF(ISBLANK(C2230),"AmountIncludingTax缺失",IF(ABS(B2230-C2230)&lt;0.005,"一致","不一致"))</x:f>
        <x:v>AmountIncludingTax缺失</x:v>
      </x:c>
      <x:c r="F2230" s="19" t="str">
        <x:v>approved</x:v>
      </x:c>
      <x:c r="G2230" s="19" t="str">
        <x:v>Repair in Progress</x:v>
      </x:c>
      <x:c r="H2230" s="19" t="str">
        <x:v>In Field</x:v>
      </x:c>
      <x:c r="I2230" s="37" t="n">
        <x:v>46125</x:v>
      </x:c>
      <x:c r="J2230" s="37" t="n">
        <x:v>46125</x:v>
      </x:c>
      <x:c r="K2230" s="19" t="str">
        <x:v>Snowy River Wangaratta</x:v>
      </x:c>
      <x:c r="L2230" s="19" t="str">
        <x:v>Z006</x:v>
      </x:c>
      <x:c r="M2230" s="19" t="str">
        <x:v>In Field Warranty Claims</x:v>
      </x:c>
      <x:c r="N2230" s="37" t="n">
        <x:v>46120</x:v>
      </x:c>
      <x:c r="O2230" s="37"/>
      <x:c r="P2230" s="34" t="n">
        <x:v>0</x:v>
      </x:c>
      <x:c r="Q2230" s="37" t="n">
        <x:v>46124.93108796296</x:v>
      </x:c>
    </x:row>
    <x:row r="2231">
      <x:c r="A2231" s="22" t="n">
        <x:v>33288</x:v>
      </x:c>
      <x:c r="B2231" s="28" t="n">
        <x:v>166.25</x:v>
      </x:c>
      <x:c r="C2231" s="28" t="n">
        <x:v>182.88</x:v>
      </x:c>
      <x:c r="D2231" s="31" t="n">
        <x:f>IF(OR(ISBLANK(B2231),ISBLANK(C2231),B2231=0),"",(C2231-B2231)/B2231)</x:f>
        <x:v>0.1000300751879699</x:v>
      </x:c>
      <x:c r="E2231" s="22" t="str">
        <x:f>IF(ISBLANK(C2231),"AmountIncludingTax缺失",IF(ABS(B2231-C2231)&lt;0.005,"一致","不一致"))</x:f>
        <x:v>不一致</x:v>
      </x:c>
      <x:c r="F2231" s="19" t="str">
        <x:v>approved</x:v>
      </x:c>
      <x:c r="G2231" s="19" t="str">
        <x:v>Repairer Invoiced Processed</x:v>
      </x:c>
      <x:c r="H2231" s="19" t="str">
        <x:v>In Field</x:v>
      </x:c>
      <x:c r="I2231" s="37" t="n">
        <x:v>46130</x:v>
      </x:c>
      <x:c r="J2231" s="37" t="n">
        <x:v>46130</x:v>
      </x:c>
      <x:c r="K2231" s="19" t="str">
        <x:v>Dario Caravans - Pooraka</x:v>
      </x:c>
      <x:c r="L2231" s="19" t="str">
        <x:v>Z006</x:v>
      </x:c>
      <x:c r="M2231" s="19" t="str">
        <x:v>In Field Warranty Claims</x:v>
      </x:c>
      <x:c r="N2231" s="37" t="n">
        <x:v>46120</x:v>
      </x:c>
      <x:c r="O2231" s="37"/>
      <x:c r="P2231" s="34" t="n">
        <x:v>182.88</x:v>
      </x:c>
      <x:c r="Q2231" s="37" t="n">
        <x:v>46130.12547453704</x:v>
      </x:c>
    </x:row>
    <x:row r="2232">
      <x:c r="A2232" s="22" t="n">
        <x:v>33287</x:v>
      </x:c>
      <x:c r="B2232" s="28" t="n">
        <x:v>202.5</x:v>
      </x:c>
      <x:c r="C2232" s="28"/>
      <x:c r="D2232" s="31" t="str">
        <x:f>IF(OR(ISBLANK(B2232),ISBLANK(C2232),B2232=0),"",(C2232-B2232)/B2232)</x:f>
      </x:c>
      <x:c r="E2232" s="22" t="str">
        <x:f>IF(ISBLANK(C2232),"AmountIncludingTax缺失",IF(ABS(B2232-C2232)&lt;0.005,"一致","不一致"))</x:f>
        <x:v>AmountIncludingTax缺失</x:v>
      </x:c>
      <x:c r="F2232" s="19" t="str">
        <x:v>approved</x:v>
      </x:c>
      <x:c r="G2232" s="19" t="str">
        <x:v>Repair in Progress</x:v>
      </x:c>
      <x:c r="H2232" s="19" t="str">
        <x:v>In Field</x:v>
      </x:c>
      <x:c r="I2232" s="37" t="n">
        <x:v>46133</x:v>
      </x:c>
      <x:c r="J2232" s="37" t="n">
        <x:v>46133</x:v>
      </x:c>
      <x:c r="K2232" s="19" t="str">
        <x:v>Regent RV - Frankston</x:v>
      </x:c>
      <x:c r="L2232" s="19" t="str">
        <x:v>Z006</x:v>
      </x:c>
      <x:c r="M2232" s="19" t="str">
        <x:v>In Field Warranty Claims</x:v>
      </x:c>
      <x:c r="N2232" s="37" t="n">
        <x:v>46120</x:v>
      </x:c>
      <x:c r="O2232" s="37"/>
      <x:c r="P2232" s="34" t="n">
        <x:v>0</x:v>
      </x:c>
      <x:c r="Q2232" s="37" t="n">
        <x:v>46132.904027777775</x:v>
      </x:c>
    </x:row>
    <x:row r="2233">
      <x:c r="A2233" s="22" t="n">
        <x:v>33286</x:v>
      </x:c>
      <x:c r="B2233" s="28" t="n">
        <x:v>1046.25</x:v>
      </x:c>
      <x:c r="C2233" s="28"/>
      <x:c r="D2233" s="31" t="str">
        <x:f>IF(OR(ISBLANK(B2233),ISBLANK(C2233),B2233=0),"",(C2233-B2233)/B2233)</x:f>
      </x:c>
      <x:c r="E2233" s="22" t="str">
        <x:f>IF(ISBLANK(C2233),"AmountIncludingTax缺失",IF(ABS(B2233-C2233)&lt;0.005,"一致","不一致"))</x:f>
        <x:v>AmountIncludingTax缺失</x:v>
      </x:c>
      <x:c r="F2233" s="19" t="str">
        <x:v>approved</x:v>
      </x:c>
      <x:c r="G2233" s="19" t="str">
        <x:v>Partially Picked</x:v>
      </x:c>
      <x:c r="H2233" s="19" t="str">
        <x:v>In Field</x:v>
      </x:c>
      <x:c r="I2233" s="37" t="n">
        <x:v>46148</x:v>
      </x:c>
      <x:c r="J2233" s="37" t="n">
        <x:v>46148</x:v>
      </x:c>
      <x:c r="K2233" s="19" t="str">
        <x:v>Snowy River Frankston</x:v>
      </x:c>
      <x:c r="L2233" s="19" t="str">
        <x:v>Z006</x:v>
      </x:c>
      <x:c r="M2233" s="19" t="str">
        <x:v>In Field Warranty Claims</x:v>
      </x:c>
      <x:c r="N2233" s="37" t="n">
        <x:v>46120</x:v>
      </x:c>
      <x:c r="O2233" s="37"/>
      <x:c r="P2233" s="34" t="n">
        <x:v>0</x:v>
      </x:c>
      <x:c r="Q2233" s="37" t="n">
        <x:v>46148.042129629626</x:v>
      </x:c>
    </x:row>
    <x:row r="2234">
      <x:c r="A2234" s="22" t="n">
        <x:v>33284</x:v>
      </x:c>
      <x:c r="B2234" s="28" t="n">
        <x:v>67.5</x:v>
      </x:c>
      <x:c r="C2234" s="28"/>
      <x:c r="D2234" s="31" t="str">
        <x:f>IF(OR(ISBLANK(B2234),ISBLANK(C2234),B2234=0),"",(C2234-B2234)/B2234)</x:f>
      </x:c>
      <x:c r="E2234" s="22" t="str">
        <x:f>IF(ISBLANK(C2234),"AmountIncludingTax缺失",IF(ABS(B2234-C2234)&lt;0.005,"一致","不一致"))</x:f>
        <x:v>AmountIncludingTax缺失</x:v>
      </x:c>
      <x:c r="F2234" s="19" t="str">
        <x:v>approved</x:v>
      </x:c>
      <x:c r="G2234" s="19" t="str">
        <x:v>Repair in Progress</x:v>
      </x:c>
      <x:c r="H2234" s="19" t="str">
        <x:v>Pre Delivery</x:v>
      </x:c>
      <x:c r="I2234" s="37" t="n">
        <x:v>46125</x:v>
      </x:c>
      <x:c r="J2234" s="37" t="n">
        <x:v>46125</x:v>
      </x:c>
      <x:c r="K2234" s="19" t="str">
        <x:v>Leisure Lion - Bundaberg</x:v>
      </x:c>
      <x:c r="L2234" s="19" t="str">
        <x:v>Z005</x:v>
      </x:c>
      <x:c r="M2234" s="19" t="str">
        <x:v>Pre Delivery Warranty Claims</x:v>
      </x:c>
      <x:c r="N2234" s="37" t="n">
        <x:v>46120</x:v>
      </x:c>
      <x:c r="O2234" s="37"/>
      <x:c r="P2234" s="34" t="n">
        <x:v>0</x:v>
      </x:c>
      <x:c r="Q2234" s="37" t="n">
        <x:v>46125.21611111111</x:v>
      </x:c>
    </x:row>
    <x:row r="2235">
      <x:c r="A2235" s="22" t="n">
        <x:v>33283</x:v>
      </x:c>
      <x:c r="B2235" s="28" t="n">
        <x:v>135</x:v>
      </x:c>
      <x:c r="C2235" s="28" t="n">
        <x:v>148.5</x:v>
      </x:c>
      <x:c r="D2235" s="31" t="n">
        <x:f>IF(OR(ISBLANK(B2235),ISBLANK(C2235),B2235=0),"",(C2235-B2235)/B2235)</x:f>
        <x:v>0.1</x:v>
      </x:c>
      <x:c r="E2235" s="22" t="str">
        <x:f>IF(ISBLANK(C2235),"AmountIncludingTax缺失",IF(ABS(B2235-C2235)&lt;0.005,"一致","不一致"))</x:f>
        <x:v>不一致</x:v>
      </x:c>
      <x:c r="F2235" s="19" t="str">
        <x:v>approved</x:v>
      </x:c>
      <x:c r="G2235" s="19" t="str">
        <x:v>Repair in Progress</x:v>
      </x:c>
      <x:c r="H2235" s="19" t="str">
        <x:v>In Field</x:v>
      </x:c>
      <x:c r="I2235" s="37" t="n">
        <x:v>46120</x:v>
      </x:c>
      <x:c r="J2235" s="37" t="n">
        <x:v>46120</x:v>
      </x:c>
      <x:c r="K2235" s="19" t="str">
        <x:v>Green RV - Slacks Creek</x:v>
      </x:c>
      <x:c r="L2235" s="19" t="str">
        <x:v>Z006</x:v>
      </x:c>
      <x:c r="M2235" s="19" t="str">
        <x:v>In Field Warranty Claims</x:v>
      </x:c>
      <x:c r="N2235" s="37" t="n">
        <x:v>46120</x:v>
      </x:c>
      <x:c r="O2235" s="37"/>
      <x:c r="P2235" s="34" t="n">
        <x:v>148.5</x:v>
      </x:c>
      <x:c r="Q2235" s="37" t="n">
        <x:v>46120.25848379629</x:v>
      </x:c>
    </x:row>
    <x:row r="2236">
      <x:c r="A2236" s="22" t="n">
        <x:v>33282</x:v>
      </x:c>
      <x:c r="B2236" s="28" t="n">
        <x:v>1288.75</x:v>
      </x:c>
      <x:c r="C2236" s="28"/>
      <x:c r="D2236" s="31" t="str">
        <x:f>IF(OR(ISBLANK(B2236),ISBLANK(C2236),B2236=0),"",(C2236-B2236)/B2236)</x:f>
      </x:c>
      <x:c r="E2236" s="22" t="str">
        <x:f>IF(ISBLANK(C2236),"AmountIncludingTax缺失",IF(ABS(B2236-C2236)&lt;0.005,"一致","不一致"))</x:f>
        <x:v>AmountIncludingTax缺失</x:v>
      </x:c>
      <x:c r="F2236" s="19" t="str">
        <x:v>approved</x:v>
      </x:c>
      <x:c r="G2236" s="19" t="str">
        <x:v>Sales Order Approved</x:v>
      </x:c>
      <x:c r="H2236" s="19" t="str">
        <x:v>Pre Delivery</x:v>
      </x:c>
      <x:c r="I2236" s="37" t="n">
        <x:v>46126</x:v>
      </x:c>
      <x:c r="J2236" s="37" t="n">
        <x:v>46126</x:v>
      </x:c>
      <x:c r="K2236" s="19" t="str">
        <x:v>Leisure Lion - Bundaberg</x:v>
      </x:c>
      <x:c r="L2236" s="19" t="str">
        <x:v>Z005</x:v>
      </x:c>
      <x:c r="M2236" s="19" t="str">
        <x:v>Pre Delivery Warranty Claims</x:v>
      </x:c>
      <x:c r="N2236" s="37" t="n">
        <x:v>46120</x:v>
      </x:c>
      <x:c r="O2236" s="37"/>
      <x:c r="P2236" s="34" t="n">
        <x:v>0</x:v>
      </x:c>
      <x:c r="Q2236" s="37" t="n">
        <x:v>46126.18053240741</x:v>
      </x:c>
    </x:row>
    <x:row r="2237">
      <x:c r="A2237" s="22" t="n">
        <x:v>33280</x:v>
      </x:c>
      <x:c r="B2237" s="28" t="n">
        <x:v>863.75</x:v>
      </x:c>
      <x:c r="C2237" s="28"/>
      <x:c r="D2237" s="31" t="str">
        <x:f>IF(OR(ISBLANK(B2237),ISBLANK(C2237),B2237=0),"",(C2237-B2237)/B2237)</x:f>
      </x:c>
      <x:c r="E2237" s="22" t="str">
        <x:f>IF(ISBLANK(C2237),"AmountIncludingTax缺失",IF(ABS(B2237-C2237)&lt;0.005,"一致","不一致"))</x:f>
        <x:v>AmountIncludingTax缺失</x:v>
      </x:c>
      <x:c r="F2237" s="19" t="str">
        <x:v>approved</x:v>
      </x:c>
      <x:c r="G2237" s="19" t="str">
        <x:v>Repairer Invoiced Processed</x:v>
      </x:c>
      <x:c r="H2237" s="19" t="str">
        <x:v>In Field</x:v>
      </x:c>
      <x:c r="I2237" s="37" t="n">
        <x:v>46142</x:v>
      </x:c>
      <x:c r="J2237" s="37" t="n">
        <x:v>46142</x:v>
      </x:c>
      <x:c r="K2237" s="19" t="str">
        <x:v>Lesiure Lion-New Castle</x:v>
      </x:c>
      <x:c r="L2237" s="19" t="str">
        <x:v>Z006</x:v>
      </x:c>
      <x:c r="M2237" s="19" t="str">
        <x:v>In Field Warranty Claims</x:v>
      </x:c>
      <x:c r="N2237" s="37" t="n">
        <x:v>46120</x:v>
      </x:c>
      <x:c r="O2237" s="37"/>
      <x:c r="P2237" s="34" t="n">
        <x:v>0</x:v>
      </x:c>
      <x:c r="Q2237" s="37" t="n">
        <x:v>46142.4562037037</x:v>
      </x:c>
    </x:row>
    <x:row r="2238">
      <x:c r="A2238" s="22" t="n">
        <x:v>33277</x:v>
      </x:c>
      <x:c r="B2238" s="28" t="n">
        <x:v>320</x:v>
      </x:c>
      <x:c r="C2238" s="28" t="n">
        <x:v>289.73</x:v>
      </x:c>
      <x:c r="D2238" s="31" t="n">
        <x:f>IF(OR(ISBLANK(B2238),ISBLANK(C2238),B2238=0),"",(C2238-B2238)/B2238)</x:f>
        <x:v>-0.09459374999999995</x:v>
      </x:c>
      <x:c r="E2238" s="22" t="str">
        <x:f>IF(ISBLANK(C2238),"AmountIncludingTax缺失",IF(ABS(B2238-C2238)&lt;0.005,"一致","不一致"))</x:f>
        <x:v>不一致</x:v>
      </x:c>
      <x:c r="F2238" s="19" t="str">
        <x:v>approved</x:v>
      </x:c>
      <x:c r="G2238" s="19" t="str">
        <x:v>Repairer Invoiced Processed</x:v>
      </x:c>
      <x:c r="H2238" s="19" t="str">
        <x:v>In Field</x:v>
      </x:c>
      <x:c r="I2238" s="37" t="n">
        <x:v>46134</x:v>
      </x:c>
      <x:c r="J2238" s="37" t="n">
        <x:v>46134</x:v>
      </x:c>
      <x:c r="K2238" s="19" t="str">
        <x:v>Vanari Caravans - Marden Point</x:v>
      </x:c>
      <x:c r="L2238" s="19" t="str">
        <x:v>Z006</x:v>
      </x:c>
      <x:c r="M2238" s="19" t="str">
        <x:v>In Field Warranty Claims</x:v>
      </x:c>
      <x:c r="N2238" s="37" t="n">
        <x:v>46120</x:v>
      </x:c>
      <x:c r="O2238" s="37"/>
      <x:c r="P2238" s="34" t="n">
        <x:v>289.73</x:v>
      </x:c>
      <x:c r="Q2238" s="37" t="n">
        <x:v>46133.933842592596</x:v>
      </x:c>
    </x:row>
    <x:row r="2239">
      <x:c r="A2239" s="22" t="n">
        <x:v>33276</x:v>
      </x:c>
      <x:c r="B2239" s="28" t="n">
        <x:v>1383.75</x:v>
      </x:c>
      <x:c r="C2239" s="28"/>
      <x:c r="D2239" s="31" t="str">
        <x:f>IF(OR(ISBLANK(B2239),ISBLANK(C2239),B2239=0),"",(C2239-B2239)/B2239)</x:f>
      </x:c>
      <x:c r="E2239" s="22" t="str">
        <x:f>IF(ISBLANK(C2239),"AmountIncludingTax缺失",IF(ABS(B2239-C2239)&lt;0.005,"一致","不一致"))</x:f>
        <x:v>AmountIncludingTax缺失</x:v>
      </x:c>
      <x:c r="F2239" s="19" t="str">
        <x:v>approved</x:v>
      </x:c>
      <x:c r="G2239" s="19" t="str">
        <x:v>Repairer Invoiced Processed</x:v>
      </x:c>
      <x:c r="H2239" s="19" t="str">
        <x:v>In Field</x:v>
      </x:c>
      <x:c r="I2239" s="37" t="n">
        <x:v>46122</x:v>
      </x:c>
      <x:c r="J2239" s="37" t="n">
        <x:v>46122</x:v>
      </x:c>
      <x:c r="K2239" s="19" t="str">
        <x:v>Newcastle RV Super Centre - Beresfield</x:v>
      </x:c>
      <x:c r="L2239" s="19" t="str">
        <x:v>Z006</x:v>
      </x:c>
      <x:c r="M2239" s="19" t="str">
        <x:v>In Field Warranty Claims</x:v>
      </x:c>
      <x:c r="N2239" s="37" t="n">
        <x:v>46120</x:v>
      </x:c>
      <x:c r="O2239" s="37"/>
      <x:c r="P2239" s="34" t="n">
        <x:v>0</x:v>
      </x:c>
      <x:c r="Q2239" s="37" t="n">
        <x:v>46122.24229166667</x:v>
      </x:c>
    </x:row>
    <x:row r="2240">
      <x:c r="A2240" s="22" t="n">
        <x:v>33275</x:v>
      </x:c>
      <x:c r="B2240" s="28" t="n">
        <x:v>627.5</x:v>
      </x:c>
      <x:c r="C2240" s="28"/>
      <x:c r="D2240" s="31" t="str">
        <x:f>IF(OR(ISBLANK(B2240),ISBLANK(C2240),B2240=0),"",(C2240-B2240)/B2240)</x:f>
      </x:c>
      <x:c r="E2240" s="22" t="str">
        <x:f>IF(ISBLANK(C2240),"AmountIncludingTax缺失",IF(ABS(B2240-C2240)&lt;0.005,"一致","不一致"))</x:f>
        <x:v>AmountIncludingTax缺失</x:v>
      </x:c>
      <x:c r="F2240" s="19" t="str">
        <x:v>approved</x:v>
      </x:c>
      <x:c r="G2240" s="19" t="str">
        <x:v>Repairer Invoiced Processed</x:v>
      </x:c>
      <x:c r="H2240" s="19" t="str">
        <x:v>Pre Delivery</x:v>
      </x:c>
      <x:c r="I2240" s="37" t="n">
        <x:v>46125</x:v>
      </x:c>
      <x:c r="J2240" s="37" t="n">
        <x:v>46125</x:v>
      </x:c>
      <x:c r="K2240" s="19" t="str">
        <x:v>Leisure Lion - Bundaberg</x:v>
      </x:c>
      <x:c r="L2240" s="19" t="str">
        <x:v>Z005</x:v>
      </x:c>
      <x:c r="M2240" s="19" t="str">
        <x:v>Pre Delivery Warranty Claims</x:v>
      </x:c>
      <x:c r="N2240" s="37" t="n">
        <x:v>46120</x:v>
      </x:c>
      <x:c r="O2240" s="37"/>
      <x:c r="P2240" s="34" t="n">
        <x:v>0</x:v>
      </x:c>
      <x:c r="Q2240" s="37" t="n">
        <x:v>46125.230219907404</x:v>
      </x:c>
    </x:row>
    <x:row r="2241">
      <x:c r="A2241" s="22" t="n">
        <x:v>33274</x:v>
      </x:c>
      <x:c r="B2241" s="28" t="n">
        <x:v>708.75</x:v>
      </x:c>
      <x:c r="C2241" s="28"/>
      <x:c r="D2241" s="31" t="str">
        <x:f>IF(OR(ISBLANK(B2241),ISBLANK(C2241),B2241=0),"",(C2241-B2241)/B2241)</x:f>
      </x:c>
      <x:c r="E2241" s="22" t="str">
        <x:f>IF(ISBLANK(C2241),"AmountIncludingTax缺失",IF(ABS(B2241-C2241)&lt;0.005,"一致","不一致"))</x:f>
        <x:v>AmountIncludingTax缺失</x:v>
      </x:c>
      <x:c r="F2241" s="19" t="str">
        <x:v>approved</x:v>
      </x:c>
      <x:c r="G2241" s="19" t="str">
        <x:v>Partially Picked</x:v>
      </x:c>
      <x:c r="H2241" s="19" t="str">
        <x:v>In Field</x:v>
      </x:c>
      <x:c r="I2241" s="37" t="n">
        <x:v>46192</x:v>
      </x:c>
      <x:c r="J2241" s="37" t="n">
        <x:v>46148</x:v>
      </x:c>
      <x:c r="K2241" s="19" t="str">
        <x:v>Newcastle RV Super Centre - Beresfield</x:v>
      </x:c>
      <x:c r="L2241" s="19" t="str">
        <x:v>Z006</x:v>
      </x:c>
      <x:c r="M2241" s="19" t="str">
        <x:v>In Field Warranty Claims</x:v>
      </x:c>
      <x:c r="N2241" s="37" t="n">
        <x:v>46120</x:v>
      </x:c>
      <x:c r="O2241" s="37"/>
      <x:c r="P2241" s="34" t="n">
        <x:v>0</x:v>
      </x:c>
      <x:c r="Q2241" s="37" t="n">
        <x:v>46192.13402777778</x:v>
      </x:c>
    </x:row>
    <x:row r="2242">
      <x:c r="A2242" s="22" t="n">
        <x:v>33273</x:v>
      </x:c>
      <x:c r="B2242" s="28" t="n">
        <x:v>256.25</x:v>
      </x:c>
      <x:c r="C2242" s="28"/>
      <x:c r="D2242" s="31" t="str">
        <x:f>IF(OR(ISBLANK(B2242),ISBLANK(C2242),B2242=0),"",(C2242-B2242)/B2242)</x:f>
      </x:c>
      <x:c r="E2242" s="22" t="str">
        <x:f>IF(ISBLANK(C2242),"AmountIncludingTax缺失",IF(ABS(B2242-C2242)&lt;0.005,"一致","不一致"))</x:f>
        <x:v>AmountIncludingTax缺失</x:v>
      </x:c>
      <x:c r="F2242" s="19" t="str">
        <x:v>approved</x:v>
      </x:c>
      <x:c r="G2242" s="19" t="str">
        <x:v>Repair in Progress</x:v>
      </x:c>
      <x:c r="H2242" s="19" t="str">
        <x:v>In Field</x:v>
      </x:c>
      <x:c r="I2242" s="37" t="n">
        <x:v>46189</x:v>
      </x:c>
      <x:c r="J2242" s="37" t="n">
        <x:v>46189</x:v>
      </x:c>
      <x:c r="K2242" s="19" t="str">
        <x:v>NEWCASTLE CARAVANS &amp; RVS</x:v>
      </x:c>
      <x:c r="L2242" s="19" t="str">
        <x:v>Z006</x:v>
      </x:c>
      <x:c r="M2242" s="19" t="str">
        <x:v>In Field Warranty Claims</x:v>
      </x:c>
      <x:c r="N2242" s="37" t="n">
        <x:v>46120</x:v>
      </x:c>
      <x:c r="O2242" s="37"/>
      <x:c r="P2242" s="34" t="n">
        <x:v>0</x:v>
      </x:c>
      <x:c r="Q2242" s="37" t="n">
        <x:v>46189.19157407407</x:v>
      </x:c>
    </x:row>
    <x:row r="2243">
      <x:c r="A2243" s="22" t="n">
        <x:v>33272</x:v>
      </x:c>
      <x:c r="B2243" s="28" t="n">
        <x:v>167.5</x:v>
      </x:c>
      <x:c r="C2243" s="28"/>
      <x:c r="D2243" s="31" t="str">
        <x:f>IF(OR(ISBLANK(B2243),ISBLANK(C2243),B2243=0),"",(C2243-B2243)/B2243)</x:f>
      </x:c>
      <x:c r="E2243" s="22" t="str">
        <x:f>IF(ISBLANK(C2243),"AmountIncludingTax缺失",IF(ABS(B2243-C2243)&lt;0.005,"一致","不一致"))</x:f>
        <x:v>AmountIncludingTax缺失</x:v>
      </x:c>
      <x:c r="F2243" s="19" t="str">
        <x:v>approved</x:v>
      </x:c>
      <x:c r="G2243" s="19" t="str">
        <x:v>Repairer Invoiced Processed</x:v>
      </x:c>
      <x:c r="H2243" s="19" t="str">
        <x:v>Pre Delivery</x:v>
      </x:c>
      <x:c r="I2243" s="37" t="n">
        <x:v>46126</x:v>
      </x:c>
      <x:c r="J2243" s="37" t="n">
        <x:v>46126</x:v>
      </x:c>
      <x:c r="K2243" s="19" t="str">
        <x:v>Leisure Lion - Bundaberg</x:v>
      </x:c>
      <x:c r="L2243" s="19" t="str">
        <x:v>Z005</x:v>
      </x:c>
      <x:c r="M2243" s="19" t="str">
        <x:v>Pre Delivery Warranty Claims</x:v>
      </x:c>
      <x:c r="N2243" s="37" t="n">
        <x:v>46120</x:v>
      </x:c>
      <x:c r="O2243" s="37"/>
      <x:c r="P2243" s="34" t="n">
        <x:v>0</x:v>
      </x:c>
      <x:c r="Q2243" s="37" t="n">
        <x:v>46126.214537037034</x:v>
      </x:c>
    </x:row>
    <x:row r="2244">
      <x:c r="A2244" s="22" t="n">
        <x:v>33271</x:v>
      </x:c>
      <x:c r="B2244" s="28" t="n">
        <x:v>585</x:v>
      </x:c>
      <x:c r="C2244" s="28"/>
      <x:c r="D2244" s="31" t="str">
        <x:f>IF(OR(ISBLANK(B2244),ISBLANK(C2244),B2244=0),"",(C2244-B2244)/B2244)</x:f>
      </x:c>
      <x:c r="E2244" s="22" t="str">
        <x:f>IF(ISBLANK(C2244),"AmountIncludingTax缺失",IF(ABS(B2244-C2244)&lt;0.005,"一致","不一致"))</x:f>
        <x:v>AmountIncludingTax缺失</x:v>
      </x:c>
      <x:c r="F2244" s="19" t="str">
        <x:v>approved</x:v>
      </x:c>
      <x:c r="G2244" s="19" t="str">
        <x:v>Repairer Invoiced Processed</x:v>
      </x:c>
      <x:c r="H2244" s="19" t="str">
        <x:v>In Field</x:v>
      </x:c>
      <x:c r="I2244" s="37" t="n">
        <x:v>46197</x:v>
      </x:c>
      <x:c r="J2244" s="37" t="n">
        <x:v>46197</x:v>
      </x:c>
      <x:c r="K2244" s="19" t="str">
        <x:v>Green RV - Forest Glen</x:v>
      </x:c>
      <x:c r="L2244" s="19" t="str">
        <x:v>Z006</x:v>
      </x:c>
      <x:c r="M2244" s="19" t="str">
        <x:v>In Field Warranty Claims</x:v>
      </x:c>
      <x:c r="N2244" s="37" t="n">
        <x:v>46120</x:v>
      </x:c>
      <x:c r="O2244" s="37"/>
      <x:c r="P2244" s="34" t="n">
        <x:v>0</x:v>
      </x:c>
      <x:c r="Q2244" s="37" t="n">
        <x:v>46197.13075231481</x:v>
      </x:c>
    </x:row>
    <x:row r="2245">
      <x:c r="A2245" s="22" t="n">
        <x:v>33270</x:v>
      </x:c>
      <x:c r="B2245" s="28" t="n">
        <x:v>826.28</x:v>
      </x:c>
      <x:c r="C2245" s="28"/>
      <x:c r="D2245" s="31" t="str">
        <x:f>IF(OR(ISBLANK(B2245),ISBLANK(C2245),B2245=0),"",(C2245-B2245)/B2245)</x:f>
      </x:c>
      <x:c r="E2245" s="22" t="str">
        <x:f>IF(ISBLANK(C2245),"AmountIncludingTax缺失",IF(ABS(B2245-C2245)&lt;0.005,"一致","不一致"))</x:f>
        <x:v>AmountIncludingTax缺失</x:v>
      </x:c>
      <x:c r="F2245" s="19" t="str">
        <x:v>approved</x:v>
      </x:c>
      <x:c r="G2245" s="19" t="str">
        <x:v>Repairer Invoiced Processed</x:v>
      </x:c>
      <x:c r="H2245" s="19" t="str">
        <x:v>In Field</x:v>
      </x:c>
      <x:c r="I2245" s="37" t="n">
        <x:v>46204</x:v>
      </x:c>
      <x:c r="J2245" s="37" t="n">
        <x:v>46204</x:v>
      </x:c>
      <x:c r="K2245" s="19" t="str">
        <x:v>Green RV - Forest Glen</x:v>
      </x:c>
      <x:c r="L2245" s="19" t="str">
        <x:v>Z006</x:v>
      </x:c>
      <x:c r="M2245" s="19" t="str">
        <x:v>In Field Warranty Claims</x:v>
      </x:c>
      <x:c r="N2245" s="37" t="n">
        <x:v>46120</x:v>
      </x:c>
      <x:c r="O2245" s="37"/>
      <x:c r="P2245" s="34" t="n">
        <x:v>0</x:v>
      </x:c>
      <x:c r="Q2245" s="37" t="n">
        <x:v>46203.86851851852</x:v>
      </x:c>
    </x:row>
    <x:row r="2246">
      <x:c r="A2246" s="22" t="n">
        <x:v>33263</x:v>
      </x:c>
      <x:c r="B2246" s="28" t="n">
        <x:v>81.81</x:v>
      </x:c>
      <x:c r="C2246" s="28" t="n">
        <x:v>89.99</x:v>
      </x:c>
      <x:c r="D2246" s="31" t="n">
        <x:f>IF(OR(ISBLANK(B2246),ISBLANK(C2246),B2246=0),"",(C2246-B2246)/B2246)</x:f>
        <x:v>0.09998777655543323</x:v>
      </x:c>
      <x:c r="E2246" s="22" t="str">
        <x:f>IF(ISBLANK(C2246),"AmountIncludingTax缺失",IF(ABS(B2246-C2246)&lt;0.005,"一致","不一致"))</x:f>
        <x:v>不一致</x:v>
      </x:c>
      <x:c r="F2246" s="19" t="str">
        <x:v>approved</x:v>
      </x:c>
      <x:c r="G2246" s="19" t="str">
        <x:v>Repairer Invoiced Processed</x:v>
      </x:c>
      <x:c r="H2246" s="19" t="str">
        <x:v>In Field</x:v>
      </x:c>
      <x:c r="I2246" s="37" t="n">
        <x:v>46157</x:v>
      </x:c>
      <x:c r="J2246" s="37" t="n">
        <x:v>46157</x:v>
      </x:c>
      <x:c r="K2246" s="19" t="str">
        <x:v>Lesiure Lion-New Castle</x:v>
      </x:c>
      <x:c r="L2246" s="19" t="str">
        <x:v>Z006</x:v>
      </x:c>
      <x:c r="M2246" s="19" t="str">
        <x:v>In Field Warranty Claims</x:v>
      </x:c>
      <x:c r="N2246" s="37" t="n">
        <x:v>46119</x:v>
      </x:c>
      <x:c r="O2246" s="37"/>
      <x:c r="P2246" s="34" t="n">
        <x:v>89.99</x:v>
      </x:c>
      <x:c r="Q2246" s="37" t="n">
        <x:v>46157.08991898148</x:v>
      </x:c>
    </x:row>
    <x:row r="2247">
      <x:c r="A2247" s="22" t="n">
        <x:v>33262</x:v>
      </x:c>
      <x:c r="B2247" s="28" t="n">
        <x:v>202.5</x:v>
      </x:c>
      <x:c r="C2247" s="28"/>
      <x:c r="D2247" s="31" t="str">
        <x:f>IF(OR(ISBLANK(B2247),ISBLANK(C2247),B2247=0),"",(C2247-B2247)/B2247)</x:f>
      </x:c>
      <x:c r="E2247" s="22" t="str">
        <x:f>IF(ISBLANK(C2247),"AmountIncludingTax缺失",IF(ABS(B2247-C2247)&lt;0.005,"一致","不一致"))</x:f>
        <x:v>AmountIncludingTax缺失</x:v>
      </x:c>
      <x:c r="F2247" s="19" t="str">
        <x:v>approved</x:v>
      </x:c>
      <x:c r="G2247" s="19" t="str">
        <x:v>Repair in Progress</x:v>
      </x:c>
      <x:c r="H2247" s="19" t="str">
        <x:v>In Field</x:v>
      </x:c>
      <x:c r="I2247" s="37" t="n">
        <x:v>46143</x:v>
      </x:c>
      <x:c r="J2247" s="37" t="n">
        <x:v>46143</x:v>
      </x:c>
      <x:c r="K2247" s="19" t="str">
        <x:v>Newcastle RV Super Centre - Beresfield</x:v>
      </x:c>
      <x:c r="L2247" s="19" t="str">
        <x:v>Z006</x:v>
      </x:c>
      <x:c r="M2247" s="19" t="str">
        <x:v>In Field Warranty Claims</x:v>
      </x:c>
      <x:c r="N2247" s="37" t="n">
        <x:v>46119</x:v>
      </x:c>
      <x:c r="O2247" s="37"/>
      <x:c r="P2247" s="34" t="n">
        <x:v>0</x:v>
      </x:c>
      <x:c r="Q2247" s="37" t="n">
        <x:v>46143.08697916667</x:v>
      </x:c>
    </x:row>
    <x:row r="2248">
      <x:c r="A2248" s="22" t="n">
        <x:v>33260</x:v>
      </x:c>
      <x:c r="B2248" s="28" t="n">
        <x:v>45</x:v>
      </x:c>
      <x:c r="C2248" s="28"/>
      <x:c r="D2248" s="31" t="str">
        <x:f>IF(OR(ISBLANK(B2248),ISBLANK(C2248),B2248=0),"",(C2248-B2248)/B2248)</x:f>
      </x:c>
      <x:c r="E2248" s="22" t="str">
        <x:f>IF(ISBLANK(C2248),"AmountIncludingTax缺失",IF(ABS(B2248-C2248)&lt;0.005,"一致","不一致"))</x:f>
        <x:v>AmountIncludingTax缺失</x:v>
      </x:c>
      <x:c r="F2248" s="19" t="str">
        <x:v>approved</x:v>
      </x:c>
      <x:c r="G2248" s="19" t="str">
        <x:v>Repairer Invoiced Processed</x:v>
      </x:c>
      <x:c r="H2248" s="19" t="str">
        <x:v>In Field</x:v>
      </x:c>
      <x:c r="I2248" s="37" t="n">
        <x:v>46163</x:v>
      </x:c>
      <x:c r="J2248" s="37" t="n">
        <x:v>46163</x:v>
      </x:c>
      <x:c r="K2248" s="19" t="str">
        <x:v>Lesiure Lion-New Castle</x:v>
      </x:c>
      <x:c r="L2248" s="19" t="str">
        <x:v>Z006</x:v>
      </x:c>
      <x:c r="M2248" s="19" t="str">
        <x:v>In Field Warranty Claims</x:v>
      </x:c>
      <x:c r="N2248" s="37" t="n">
        <x:v>46120</x:v>
      </x:c>
      <x:c r="O2248" s="37"/>
      <x:c r="P2248" s="34" t="n">
        <x:v>0</x:v>
      </x:c>
      <x:c r="Q2248" s="37" t="n">
        <x:v>46162.90167824074</x:v>
      </x:c>
    </x:row>
    <x:row r="2249">
      <x:c r="A2249" s="22" t="n">
        <x:v>33259</x:v>
      </x:c>
      <x:c r="B2249" s="28" t="n">
        <x:v>179.25</x:v>
      </x:c>
      <x:c r="C2249" s="28" t="n">
        <x:v>197.18</x:v>
      </x:c>
      <x:c r="D2249" s="31" t="n">
        <x:f>IF(OR(ISBLANK(B2249),ISBLANK(C2249),B2249=0),"",(C2249-B2249)/B2249)</x:f>
        <x:v>0.10002789400278944</x:v>
      </x:c>
      <x:c r="E2249" s="22" t="str">
        <x:f>IF(ISBLANK(C2249),"AmountIncludingTax缺失",IF(ABS(B2249-C2249)&lt;0.005,"一致","不一致"))</x:f>
        <x:v>不一致</x:v>
      </x:c>
      <x:c r="F2249" s="19" t="str">
        <x:v>approved</x:v>
      </x:c>
      <x:c r="G2249" s="19" t="str">
        <x:v>Repair in Progress</x:v>
      </x:c>
      <x:c r="H2249" s="19" t="str">
        <x:v>In Field</x:v>
      </x:c>
      <x:c r="I2249" s="37" t="n">
        <x:v>46130</x:v>
      </x:c>
      <x:c r="J2249" s="37" t="n">
        <x:v>46130</x:v>
      </x:c>
      <x:c r="K2249" s="19" t="str">
        <x:v>Dario Caravans - Pooraka</x:v>
      </x:c>
      <x:c r="L2249" s="19" t="str">
        <x:v>Z006</x:v>
      </x:c>
      <x:c r="M2249" s="19" t="str">
        <x:v>In Field Warranty Claims</x:v>
      </x:c>
      <x:c r="N2249" s="37" t="n">
        <x:v>46120</x:v>
      </x:c>
      <x:c r="O2249" s="37"/>
      <x:c r="P2249" s="34" t="n">
        <x:v>197.18</x:v>
      </x:c>
      <x:c r="Q2249" s="37" t="n">
        <x:v>46130.127800925926</x:v>
      </x:c>
    </x:row>
    <x:row r="2250">
      <x:c r="A2250" s="22" t="n">
        <x:v>33258</x:v>
      </x:c>
      <x:c r="B2250" s="28" t="n">
        <x:v>415</x:v>
      </x:c>
      <x:c r="C2250" s="28"/>
      <x:c r="D2250" s="31" t="str">
        <x:f>IF(OR(ISBLANK(B2250),ISBLANK(C2250),B2250=0),"",(C2250-B2250)/B2250)</x:f>
      </x:c>
      <x:c r="E2250" s="22" t="str">
        <x:f>IF(ISBLANK(C2250),"AmountIncludingTax缺失",IF(ABS(B2250-C2250)&lt;0.005,"一致","不一致"))</x:f>
        <x:v>AmountIncludingTax缺失</x:v>
      </x:c>
      <x:c r="F2250" s="19" t="str">
        <x:v>approved</x:v>
      </x:c>
      <x:c r="G2250" s="19" t="str">
        <x:v>Repairer Invoiced Processed</x:v>
      </x:c>
      <x:c r="H2250" s="19" t="str">
        <x:v>In Field</x:v>
      </x:c>
      <x:c r="I2250" s="37" t="n">
        <x:v>46121</x:v>
      </x:c>
      <x:c r="J2250" s="37" t="n">
        <x:v>46121</x:v>
      </x:c>
      <x:c r="K2250" s="19" t="str">
        <x:v>Green RV - Slacks Creek</x:v>
      </x:c>
      <x:c r="L2250" s="19" t="str">
        <x:v>Z006</x:v>
      </x:c>
      <x:c r="M2250" s="19" t="str">
        <x:v>In Field Warranty Claims</x:v>
      </x:c>
      <x:c r="N2250" s="37" t="n">
        <x:v>46119</x:v>
      </x:c>
      <x:c r="O2250" s="37"/>
      <x:c r="P2250" s="34" t="n">
        <x:v>0</x:v>
      </x:c>
      <x:c r="Q2250" s="37" t="n">
        <x:v>46120.97723379629</x:v>
      </x:c>
    </x:row>
    <x:row r="2251">
      <x:c r="A2251" s="22" t="n">
        <x:v>33257</x:v>
      </x:c>
      <x:c r="B2251" s="28" t="n">
        <x:v>280</x:v>
      </x:c>
      <x:c r="C2251" s="28"/>
      <x:c r="D2251" s="31" t="str">
        <x:f>IF(OR(ISBLANK(B2251),ISBLANK(C2251),B2251=0),"",(C2251-B2251)/B2251)</x:f>
      </x:c>
      <x:c r="E2251" s="22" t="str">
        <x:f>IF(ISBLANK(C2251),"AmountIncludingTax缺失",IF(ABS(B2251-C2251)&lt;0.005,"一致","不一致"))</x:f>
        <x:v>AmountIncludingTax缺失</x:v>
      </x:c>
      <x:c r="F2251" s="19" t="str">
        <x:v>approved</x:v>
      </x:c>
      <x:c r="G2251" s="19" t="str">
        <x:v>Repair in Progress</x:v>
      </x:c>
      <x:c r="H2251" s="19" t="str">
        <x:v>Pre Delivery</x:v>
      </x:c>
      <x:c r="I2251" s="37" t="n">
        <x:v>46182</x:v>
      </x:c>
      <x:c r="J2251" s="37" t="n">
        <x:v>46182</x:v>
      </x:c>
      <x:c r="K2251" s="19" t="str">
        <x:v>Snowy River Frankston</x:v>
      </x:c>
      <x:c r="L2251" s="19" t="str">
        <x:v>Z005</x:v>
      </x:c>
      <x:c r="M2251" s="19" t="str">
        <x:v>Pre Delivery Warranty Claims</x:v>
      </x:c>
      <x:c r="N2251" s="37" t="n">
        <x:v>46119</x:v>
      </x:c>
      <x:c r="O2251" s="37"/>
      <x:c r="P2251" s="34" t="n">
        <x:v>0</x:v>
      </x:c>
      <x:c r="Q2251" s="37" t="n">
        <x:v>46182.24222222222</x:v>
      </x:c>
    </x:row>
    <x:row r="2252">
      <x:c r="A2252" s="22" t="n">
        <x:v>33255</x:v>
      </x:c>
      <x:c r="B2252" s="28" t="n">
        <x:v>400</x:v>
      </x:c>
      <x:c r="C2252" s="28" t="n">
        <x:v>440</x:v>
      </x:c>
      <x:c r="D2252" s="31" t="n">
        <x:f>IF(OR(ISBLANK(B2252),ISBLANK(C2252),B2252=0),"",(C2252-B2252)/B2252)</x:f>
        <x:v>0.1</x:v>
      </x:c>
      <x:c r="E2252" s="22" t="str">
        <x:f>IF(ISBLANK(C2252),"AmountIncludingTax缺失",IF(ABS(B2252-C2252)&lt;0.005,"一致","不一致"))</x:f>
        <x:v>不一致</x:v>
      </x:c>
      <x:c r="F2252" s="19" t="str">
        <x:v>approved</x:v>
      </x:c>
      <x:c r="G2252" s="19" t="str">
        <x:v>Repairer Invoiced Processed</x:v>
      </x:c>
      <x:c r="H2252" s="19" t="str">
        <x:v>In Field</x:v>
      </x:c>
      <x:c r="I2252" s="37" t="n">
        <x:v>46156</x:v>
      </x:c>
      <x:c r="J2252" s="37" t="n">
        <x:v>46156</x:v>
      </x:c>
      <x:c r="K2252" s="19" t="str">
        <x:v>Lesiure Lion-New Castle</x:v>
      </x:c>
      <x:c r="L2252" s="19" t="str">
        <x:v>Z006</x:v>
      </x:c>
      <x:c r="M2252" s="19" t="str">
        <x:v>In Field Warranty Claims</x:v>
      </x:c>
      <x:c r="N2252" s="37" t="n">
        <x:v>46119</x:v>
      </x:c>
      <x:c r="O2252" s="37"/>
      <x:c r="P2252" s="34" t="n">
        <x:v>440</x:v>
      </x:c>
      <x:c r="Q2252" s="37" t="n">
        <x:v>46156.16434027778</x:v>
      </x:c>
    </x:row>
    <x:row r="2253">
      <x:c r="A2253" s="22" t="n">
        <x:v>33254</x:v>
      </x:c>
      <x:c r="B2253" s="28" t="n">
        <x:v>1255</x:v>
      </x:c>
      <x:c r="C2253" s="28"/>
      <x:c r="D2253" s="31" t="str">
        <x:f>IF(OR(ISBLANK(B2253),ISBLANK(C2253),B2253=0),"",(C2253-B2253)/B2253)</x:f>
      </x:c>
      <x:c r="E2253" s="22" t="str">
        <x:f>IF(ISBLANK(C2253),"AmountIncludingTax缺失",IF(ABS(B2253-C2253)&lt;0.005,"一致","不一致"))</x:f>
        <x:v>AmountIncludingTax缺失</x:v>
      </x:c>
      <x:c r="F2253" s="19" t="str">
        <x:v>approved</x:v>
      </x:c>
      <x:c r="G2253" s="19" t="str">
        <x:v>Repairer Invoiced Processed</x:v>
      </x:c>
      <x:c r="H2253" s="19" t="str">
        <x:v>In Field</x:v>
      </x:c>
      <x:c r="I2253" s="37" t="n">
        <x:v>46142</x:v>
      </x:c>
      <x:c r="J2253" s="37" t="n">
        <x:v>46142</x:v>
      </x:c>
      <x:c r="K2253" s="19" t="str">
        <x:v>Newcastle RV Super Centre - Beresfield</x:v>
      </x:c>
      <x:c r="L2253" s="19" t="str">
        <x:v>Z006</x:v>
      </x:c>
      <x:c r="M2253" s="19" t="str">
        <x:v>In Field Warranty Claims</x:v>
      </x:c>
      <x:c r="N2253" s="37" t="n">
        <x:v>46119</x:v>
      </x:c>
      <x:c r="O2253" s="37"/>
      <x:c r="P2253" s="34" t="n">
        <x:v>0</x:v>
      </x:c>
      <x:c r="Q2253" s="37" t="n">
        <x:v>46141.85140046296</x:v>
      </x:c>
    </x:row>
    <x:row r="2254">
      <x:c r="A2254" s="22" t="n">
        <x:v>33253</x:v>
      </x:c>
      <x:c r="B2254" s="28" t="n">
        <x:v>270</x:v>
      </x:c>
      <x:c r="C2254" s="28"/>
      <x:c r="D2254" s="31" t="str">
        <x:f>IF(OR(ISBLANK(B2254),ISBLANK(C2254),B2254=0),"",(C2254-B2254)/B2254)</x:f>
      </x:c>
      <x:c r="E2254" s="22" t="str">
        <x:f>IF(ISBLANK(C2254),"AmountIncludingTax缺失",IF(ABS(B2254-C2254)&lt;0.005,"一致","不一致"))</x:f>
        <x:v>AmountIncludingTax缺失</x:v>
      </x:c>
      <x:c r="F2254" s="19" t="str">
        <x:v>approved</x:v>
      </x:c>
      <x:c r="G2254" s="19" t="str">
        <x:v>Repairer Invoiced Processed</x:v>
      </x:c>
      <x:c r="H2254" s="19" t="str">
        <x:v>In Field</x:v>
      </x:c>
      <x:c r="I2254" s="37" t="n">
        <x:v>46121</x:v>
      </x:c>
      <x:c r="J2254" s="37" t="n">
        <x:v>46121</x:v>
      </x:c>
      <x:c r="K2254" s="19" t="str">
        <x:v>Green RV - Forest Glen</x:v>
      </x:c>
      <x:c r="L2254" s="19" t="str">
        <x:v>Z006</x:v>
      </x:c>
      <x:c r="M2254" s="19" t="str">
        <x:v>In Field Warranty Claims</x:v>
      </x:c>
      <x:c r="N2254" s="37" t="n">
        <x:v>46119</x:v>
      </x:c>
      <x:c r="O2254" s="37"/>
      <x:c r="P2254" s="34" t="n">
        <x:v>0</x:v>
      </x:c>
      <x:c r="Q2254" s="37" t="n">
        <x:v>46120.98925925926</x:v>
      </x:c>
    </x:row>
    <x:row r="2255">
      <x:c r="A2255" s="22" t="n">
        <x:v>33252</x:v>
      </x:c>
      <x:c r="B2255" s="28" t="n">
        <x:v>371.25</x:v>
      </x:c>
      <x:c r="C2255" s="28"/>
      <x:c r="D2255" s="31" t="str">
        <x:f>IF(OR(ISBLANK(B2255),ISBLANK(C2255),B2255=0),"",(C2255-B2255)/B2255)</x:f>
      </x:c>
      <x:c r="E2255" s="22" t="str">
        <x:f>IF(ISBLANK(C2255),"AmountIncludingTax缺失",IF(ABS(B2255-C2255)&lt;0.005,"一致","不一致"))</x:f>
        <x:v>AmountIncludingTax缺失</x:v>
      </x:c>
      <x:c r="F2255" s="19" t="str">
        <x:v>approved</x:v>
      </x:c>
      <x:c r="G2255" s="19" t="str">
        <x:v>Repairer Invoiced Processed</x:v>
      </x:c>
      <x:c r="H2255" s="19" t="str">
        <x:v>In Field</x:v>
      </x:c>
      <x:c r="I2255" s="37" t="n">
        <x:v>46122</x:v>
      </x:c>
      <x:c r="J2255" s="37" t="n">
        <x:v>46122</x:v>
      </x:c>
      <x:c r="K2255" s="19" t="str">
        <x:v>Green RV - Forest Glen</x:v>
      </x:c>
      <x:c r="L2255" s="19" t="str">
        <x:v>Z006</x:v>
      </x:c>
      <x:c r="M2255" s="19" t="str">
        <x:v>In Field Warranty Claims</x:v>
      </x:c>
      <x:c r="N2255" s="37" t="n">
        <x:v>46119</x:v>
      </x:c>
      <x:c r="O2255" s="37"/>
      <x:c r="P2255" s="34" t="n">
        <x:v>0</x:v>
      </x:c>
      <x:c r="Q2255" s="37" t="n">
        <x:v>46122.20626157407</x:v>
      </x:c>
    </x:row>
    <x:row r="2256">
      <x:c r="A2256" s="22" t="n">
        <x:v>33251</x:v>
      </x:c>
      <x:c r="B2256" s="28" t="n">
        <x:v>203.18</x:v>
      </x:c>
      <x:c r="C2256" s="28" t="n">
        <x:v>223.5</x:v>
      </x:c>
      <x:c r="D2256" s="31" t="n">
        <x:f>IF(OR(ISBLANK(B2256),ISBLANK(C2256),B2256=0),"",(C2256-B2256)/B2256)</x:f>
        <x:v>0.1000098434885323</x:v>
      </x:c>
      <x:c r="E2256" s="22" t="str">
        <x:f>IF(ISBLANK(C2256),"AmountIncludingTax缺失",IF(ABS(B2256-C2256)&lt;0.005,"一致","不一致"))</x:f>
        <x:v>不一致</x:v>
      </x:c>
      <x:c r="F2256" s="19" t="str">
        <x:v>approved</x:v>
      </x:c>
      <x:c r="G2256" s="19" t="str">
        <x:v>Repairer Invoiced Processed</x:v>
      </x:c>
      <x:c r="H2256" s="19" t="str">
        <x:v>In Field</x:v>
      </x:c>
      <x:c r="I2256" s="37" t="n">
        <x:v>46150</x:v>
      </x:c>
      <x:c r="J2256" s="37" t="n">
        <x:v>46150</x:v>
      </x:c>
      <x:c r="K2256" s="19" t="str">
        <x:v>Regent RV - Townsville</x:v>
      </x:c>
      <x:c r="L2256" s="19" t="str">
        <x:v>Z006</x:v>
      </x:c>
      <x:c r="M2256" s="19" t="str">
        <x:v>In Field Warranty Claims</x:v>
      </x:c>
      <x:c r="N2256" s="37" t="n">
        <x:v>46119</x:v>
      </x:c>
      <x:c r="O2256" s="37"/>
      <x:c r="P2256" s="34" t="n">
        <x:v>223.5</x:v>
      </x:c>
      <x:c r="Q2256" s="37" t="n">
        <x:v>46150.055659722224</x:v>
      </x:c>
    </x:row>
    <x:row r="2257">
      <x:c r="A2257" s="22" t="n">
        <x:v>33245</x:v>
      </x:c>
      <x:c r="B2257" s="28" t="n">
        <x:v>400</x:v>
      </x:c>
      <x:c r="C2257" s="28" t="n">
        <x:v>440</x:v>
      </x:c>
      <x:c r="D2257" s="31" t="n">
        <x:f>IF(OR(ISBLANK(B2257),ISBLANK(C2257),B2257=0),"",(C2257-B2257)/B2257)</x:f>
        <x:v>0.1</x:v>
      </x:c>
      <x:c r="E2257" s="22" t="str">
        <x:f>IF(ISBLANK(C2257),"AmountIncludingTax缺失",IF(ABS(B2257-C2257)&lt;0.005,"一致","不一致"))</x:f>
        <x:v>不一致</x:v>
      </x:c>
      <x:c r="F2257" s="19" t="str">
        <x:v>approved</x:v>
      </x:c>
      <x:c r="G2257" s="19" t="str">
        <x:v>Repairer Invoiced Processed</x:v>
      </x:c>
      <x:c r="H2257" s="19" t="str">
        <x:v>In Field</x:v>
      </x:c>
      <x:c r="I2257" s="37" t="n">
        <x:v>46121</x:v>
      </x:c>
      <x:c r="J2257" s="37" t="n">
        <x:v>46121</x:v>
      </x:c>
      <x:c r="K2257" s="19" t="str">
        <x:v>Green RV - Forest Glen</x:v>
      </x:c>
      <x:c r="L2257" s="19" t="str">
        <x:v>Z006</x:v>
      </x:c>
      <x:c r="M2257" s="19" t="str">
        <x:v>In Field Warranty Claims</x:v>
      </x:c>
      <x:c r="N2257" s="37" t="n">
        <x:v>46120</x:v>
      </x:c>
      <x:c r="O2257" s="37"/>
      <x:c r="P2257" s="34" t="n">
        <x:v>440</x:v>
      </x:c>
      <x:c r="Q2257" s="37" t="n">
        <x:v>46121.26212962963</x:v>
      </x:c>
    </x:row>
    <x:row r="2258">
      <x:c r="A2258" s="22" t="n">
        <x:v>33242</x:v>
      </x:c>
      <x:c r="B2258" s="28" t="n">
        <x:v>122.72</x:v>
      </x:c>
      <x:c r="C2258" s="28" t="n">
        <x:v>134.99</x:v>
      </x:c>
      <x:c r="D2258" s="31" t="n">
        <x:f>IF(OR(ISBLANK(B2258),ISBLANK(C2258),B2258=0),"",(C2258-B2258)/B2258)</x:f>
        <x:v>0.0999837027379401</x:v>
      </x:c>
      <x:c r="E2258" s="22" t="str">
        <x:f>IF(ISBLANK(C2258),"AmountIncludingTax缺失",IF(ABS(B2258-C2258)&lt;0.005,"一致","不一致"))</x:f>
        <x:v>不一致</x:v>
      </x:c>
      <x:c r="F2258" s="19" t="str">
        <x:v>approved</x:v>
      </x:c>
      <x:c r="G2258" s="19" t="str">
        <x:v>Repairer Invoiced Processed</x:v>
      </x:c>
      <x:c r="H2258" s="19" t="str">
        <x:v>In Field</x:v>
      </x:c>
      <x:c r="I2258" s="37" t="n">
        <x:v>46125</x:v>
      </x:c>
      <x:c r="J2258" s="37" t="n">
        <x:v>46125</x:v>
      </x:c>
      <x:c r="K2258" s="19" t="str">
        <x:v>Regent RV - Frankston</x:v>
      </x:c>
      <x:c r="L2258" s="19" t="str">
        <x:v>Z006</x:v>
      </x:c>
      <x:c r="M2258" s="19" t="str">
        <x:v>In Field Warranty Claims</x:v>
      </x:c>
      <x:c r="N2258" s="37" t="n">
        <x:v>46119</x:v>
      </x:c>
      <x:c r="O2258" s="37"/>
      <x:c r="P2258" s="34" t="n">
        <x:v>134.99</x:v>
      </x:c>
      <x:c r="Q2258" s="37" t="n">
        <x:v>46125.35025462963</x:v>
      </x:c>
    </x:row>
    <x:row r="2259">
      <x:c r="A2259" s="22" t="n">
        <x:v>33241</x:v>
      </x:c>
      <x:c r="B2259" s="28" t="n">
        <x:v>913.62</x:v>
      </x:c>
      <x:c r="C2259" s="28"/>
      <x:c r="D2259" s="31" t="str">
        <x:f>IF(OR(ISBLANK(B2259),ISBLANK(C2259),B2259=0),"",(C2259-B2259)/B2259)</x:f>
      </x:c>
      <x:c r="E2259" s="22" t="str">
        <x:f>IF(ISBLANK(C2259),"AmountIncludingTax缺失",IF(ABS(B2259-C2259)&lt;0.005,"一致","不一致"))</x:f>
        <x:v>AmountIncludingTax缺失</x:v>
      </x:c>
      <x:c r="F2259" s="19" t="str">
        <x:v>approved</x:v>
      </x:c>
      <x:c r="G2259" s="19" t="str">
        <x:v>Repairer Invoiced Processed</x:v>
      </x:c>
      <x:c r="H2259" s="19" t="str">
        <x:v>In Field</x:v>
      </x:c>
      <x:c r="I2259" s="37" t="n">
        <x:v>46169</x:v>
      </x:c>
      <x:c r="J2259" s="37" t="n">
        <x:v>46169</x:v>
      </x:c>
      <x:c r="K2259" s="19" t="str">
        <x:v>Auswide Caravans - South Nowra</x:v>
      </x:c>
      <x:c r="L2259" s="19" t="str">
        <x:v>Z006</x:v>
      </x:c>
      <x:c r="M2259" s="19" t="str">
        <x:v>In Field Warranty Claims</x:v>
      </x:c>
      <x:c r="N2259" s="37" t="n">
        <x:v>46119</x:v>
      </x:c>
      <x:c r="O2259" s="37"/>
      <x:c r="P2259" s="34" t="n">
        <x:v>0</x:v>
      </x:c>
      <x:c r="Q2259" s="37" t="n">
        <x:v>46169.00848379629</x:v>
      </x:c>
    </x:row>
    <x:row r="2260">
      <x:c r="A2260" s="22" t="n">
        <x:v>33237</x:v>
      </x:c>
      <x:c r="B2260" s="28" t="n">
        <x:v>3548.25</x:v>
      </x:c>
      <x:c r="C2260" s="28"/>
      <x:c r="D2260" s="31" t="str">
        <x:f>IF(OR(ISBLANK(B2260),ISBLANK(C2260),B2260=0),"",(C2260-B2260)/B2260)</x:f>
      </x:c>
      <x:c r="E2260" s="22" t="str">
        <x:f>IF(ISBLANK(C2260),"AmountIncludingTax缺失",IF(ABS(B2260-C2260)&lt;0.005,"一致","不一致"))</x:f>
        <x:v>AmountIncludingTax缺失</x:v>
      </x:c>
      <x:c r="F2260" s="19" t="str">
        <x:v>approved</x:v>
      </x:c>
      <x:c r="G2260" s="19" t="str">
        <x:v>Repair in Progress</x:v>
      </x:c>
      <x:c r="H2260" s="19" t="str">
        <x:v>In Field</x:v>
      </x:c>
      <x:c r="I2260" s="37" t="n">
        <x:v>46183</x:v>
      </x:c>
      <x:c r="J2260" s="37" t="n">
        <x:v>46183</x:v>
      </x:c>
      <x:c r="K2260" s="19" t="str">
        <x:v>Auswide Caravans - South Nowra</x:v>
      </x:c>
      <x:c r="L2260" s="19" t="str">
        <x:v>Z006</x:v>
      </x:c>
      <x:c r="M2260" s="19" t="str">
        <x:v>In Field Warranty Claims</x:v>
      </x:c>
      <x:c r="N2260" s="37" t="n">
        <x:v>46119</x:v>
      </x:c>
      <x:c r="O2260" s="37"/>
      <x:c r="P2260" s="34" t="n">
        <x:v>3903.08</x:v>
      </x:c>
      <x:c r="Q2260" s="37" t="n">
        <x:v>46182.972280092596</x:v>
      </x:c>
    </x:row>
    <x:row r="2261">
      <x:c r="A2261" s="22" t="n">
        <x:v>33234</x:v>
      </x:c>
      <x:c r="B2261" s="28" t="n">
        <x:v>190.9</x:v>
      </x:c>
      <x:c r="C2261" s="28" t="n">
        <x:v>209.99</x:v>
      </x:c>
      <x:c r="D2261" s="31" t="n">
        <x:f>IF(OR(ISBLANK(B2261),ISBLANK(C2261),B2261=0),"",(C2261-B2261)/B2261)</x:f>
        <x:v>0.10000000000000002</x:v>
      </x:c>
      <x:c r="E2261" s="22" t="str">
        <x:f>IF(ISBLANK(C2261),"AmountIncludingTax缺失",IF(ABS(B2261-C2261)&lt;0.005,"一致","不一致"))</x:f>
        <x:v>不一致</x:v>
      </x:c>
      <x:c r="F2261" s="19" t="str">
        <x:v>approved</x:v>
      </x:c>
      <x:c r="G2261" s="19" t="str">
        <x:v>Repairer Invoiced Processed</x:v>
      </x:c>
      <x:c r="H2261" s="19" t="str">
        <x:v>In Field</x:v>
      </x:c>
      <x:c r="I2261" s="37" t="n">
        <x:v>46134</x:v>
      </x:c>
      <x:c r="J2261" s="37" t="n">
        <x:v>46134</x:v>
      </x:c>
      <x:c r="K2261" s="19" t="str">
        <x:v>Regent RV - Frankston</x:v>
      </x:c>
      <x:c r="L2261" s="19" t="str">
        <x:v>Z006</x:v>
      </x:c>
      <x:c r="M2261" s="19" t="str">
        <x:v>In Field Warranty Claims</x:v>
      </x:c>
      <x:c r="N2261" s="37" t="n">
        <x:v>46119</x:v>
      </x:c>
      <x:c r="O2261" s="37"/>
      <x:c r="P2261" s="34" t="n">
        <x:v>209.99</x:v>
      </x:c>
      <x:c r="Q2261" s="37" t="n">
        <x:v>46134.27011574074</x:v>
      </x:c>
    </x:row>
    <x:row r="2262">
      <x:c r="A2262" s="22" t="n">
        <x:v>33230</x:v>
      </x:c>
      <x:c r="B2262" s="28" t="n">
        <x:v>285</x:v>
      </x:c>
      <x:c r="C2262" s="28"/>
      <x:c r="D2262" s="31" t="str">
        <x:f>IF(OR(ISBLANK(B2262),ISBLANK(C2262),B2262=0),"",(C2262-B2262)/B2262)</x:f>
      </x:c>
      <x:c r="E2262" s="22" t="str">
        <x:f>IF(ISBLANK(C2262),"AmountIncludingTax缺失",IF(ABS(B2262-C2262)&lt;0.005,"一致","不一致"))</x:f>
        <x:v>AmountIncludingTax缺失</x:v>
      </x:c>
      <x:c r="F2262" s="19" t="str">
        <x:v>approved</x:v>
      </x:c>
      <x:c r="G2262" s="19" t="str">
        <x:v>Repair in Progress</x:v>
      </x:c>
      <x:c r="H2262" s="19" t="str">
        <x:v>Pre Delivery</x:v>
      </x:c>
      <x:c r="I2262" s="37" t="n">
        <x:v>46134</x:v>
      </x:c>
      <x:c r="J2262" s="37" t="n">
        <x:v>46134</x:v>
      </x:c>
      <x:c r="K2262" s="19" t="str">
        <x:v>Snowy River Wangaratta</x:v>
      </x:c>
      <x:c r="L2262" s="19" t="str">
        <x:v>Z005</x:v>
      </x:c>
      <x:c r="M2262" s="19" t="str">
        <x:v>Pre Delivery Warranty Claims</x:v>
      </x:c>
      <x:c r="N2262" s="37" t="n">
        <x:v>46119</x:v>
      </x:c>
      <x:c r="O2262" s="37"/>
      <x:c r="P2262" s="34" t="n">
        <x:v>0</x:v>
      </x:c>
      <x:c r="Q2262" s="37" t="n">
        <x:v>46134.116423611114</x:v>
      </x:c>
    </x:row>
    <x:row r="2263">
      <x:c r="A2263" s="22" t="n">
        <x:v>33227</x:v>
      </x:c>
      <x:c r="B2263" s="28" t="n">
        <x:v>1165.68</x:v>
      </x:c>
      <x:c r="C2263" s="28"/>
      <x:c r="D2263" s="31" t="str">
        <x:f>IF(OR(ISBLANK(B2263),ISBLANK(C2263),B2263=0),"",(C2263-B2263)/B2263)</x:f>
      </x:c>
      <x:c r="E2263" s="22" t="str">
        <x:f>IF(ISBLANK(C2263),"AmountIncludingTax缺失",IF(ABS(B2263-C2263)&lt;0.005,"一致","不一致"))</x:f>
        <x:v>AmountIncludingTax缺失</x:v>
      </x:c>
      <x:c r="F2263" s="19" t="str">
        <x:v>approved</x:v>
      </x:c>
      <x:c r="G2263" s="19" t="str">
        <x:v>Repairer Invoiced Processed</x:v>
      </x:c>
      <x:c r="H2263" s="19" t="str">
        <x:v>In Field</x:v>
      </x:c>
      <x:c r="I2263" s="37" t="n">
        <x:v>46125</x:v>
      </x:c>
      <x:c r="J2263" s="37" t="n">
        <x:v>46125</x:v>
      </x:c>
      <x:c r="K2263" s="19" t="str">
        <x:v>Green RV - Forest Glen</x:v>
      </x:c>
      <x:c r="L2263" s="19" t="str">
        <x:v>Z006</x:v>
      </x:c>
      <x:c r="M2263" s="19" t="str">
        <x:v>In Field Warranty Claims</x:v>
      </x:c>
      <x:c r="N2263" s="37" t="n">
        <x:v>46119</x:v>
      </x:c>
      <x:c r="O2263" s="37"/>
      <x:c r="P2263" s="34" t="n">
        <x:v>0</x:v>
      </x:c>
      <x:c r="Q2263" s="37" t="n">
        <x:v>46124.927199074074</x:v>
      </x:c>
    </x:row>
    <x:row r="2264">
      <x:c r="A2264" s="22" t="n">
        <x:v>33226</x:v>
      </x:c>
      <x:c r="B2264" s="28" t="n">
        <x:v>810</x:v>
      </x:c>
      <x:c r="C2264" s="28"/>
      <x:c r="D2264" s="31" t="str">
        <x:f>IF(OR(ISBLANK(B2264),ISBLANK(C2264),B2264=0),"",(C2264-B2264)/B2264)</x:f>
      </x:c>
      <x:c r="E2264" s="22" t="str">
        <x:f>IF(ISBLANK(C2264),"AmountIncludingTax缺失",IF(ABS(B2264-C2264)&lt;0.005,"一致","不一致"))</x:f>
        <x:v>AmountIncludingTax缺失</x:v>
      </x:c>
      <x:c r="F2264" s="19" t="str">
        <x:v>approved</x:v>
      </x:c>
      <x:c r="G2264" s="19" t="str">
        <x:v>Repair in Progress</x:v>
      </x:c>
      <x:c r="H2264" s="19" t="str">
        <x:v>Pre Delivery</x:v>
      </x:c>
      <x:c r="I2264" s="37" t="n">
        <x:v>46157</x:v>
      </x:c>
      <x:c r="J2264" s="37" t="n">
        <x:v>46157</x:v>
      </x:c>
      <x:c r="K2264" s="19" t="str">
        <x:v>Green RV - Forest Glen</x:v>
      </x:c>
      <x:c r="L2264" s="19" t="str">
        <x:v>Z005</x:v>
      </x:c>
      <x:c r="M2264" s="19" t="str">
        <x:v>Pre Delivery Warranty Claims</x:v>
      </x:c>
      <x:c r="N2264" s="37" t="n">
        <x:v>46119</x:v>
      </x:c>
      <x:c r="O2264" s="37"/>
      <x:c r="P2264" s="34" t="n">
        <x:v>0</x:v>
      </x:c>
      <x:c r="Q2264" s="37" t="n">
        <x:v>46157.09945601852</x:v>
      </x:c>
    </x:row>
    <x:row r="2265">
      <x:c r="A2265" s="22" t="n">
        <x:v>33225</x:v>
      </x:c>
      <x:c r="B2265" s="28" t="n">
        <x:v>178.75</x:v>
      </x:c>
      <x:c r="C2265" s="28"/>
      <x:c r="D2265" s="31" t="str">
        <x:f>IF(OR(ISBLANK(B2265),ISBLANK(C2265),B2265=0),"",(C2265-B2265)/B2265)</x:f>
      </x:c>
      <x:c r="E2265" s="22" t="str">
        <x:f>IF(ISBLANK(C2265),"AmountIncludingTax缺失",IF(ABS(B2265-C2265)&lt;0.005,"一致","不一致"))</x:f>
        <x:v>AmountIncludingTax缺失</x:v>
      </x:c>
      <x:c r="F2265" s="19" t="str">
        <x:v>approved</x:v>
      </x:c>
      <x:c r="G2265" s="19" t="str">
        <x:v>Repair in Progress</x:v>
      </x:c>
      <x:c r="H2265" s="19" t="str">
        <x:v>In Field</x:v>
      </x:c>
      <x:c r="I2265" s="37" t="n">
        <x:v>46130</x:v>
      </x:c>
      <x:c r="J2265" s="37" t="n">
        <x:v>46130</x:v>
      </x:c>
      <x:c r="K2265" s="19" t="str">
        <x:v>Regent RV - Perth</x:v>
      </x:c>
      <x:c r="L2265" s="19" t="str">
        <x:v>Z006</x:v>
      </x:c>
      <x:c r="M2265" s="19" t="str">
        <x:v>In Field Warranty Claims</x:v>
      </x:c>
      <x:c r="N2265" s="37" t="n">
        <x:v>46119</x:v>
      </x:c>
      <x:c r="O2265" s="37"/>
      <x:c r="P2265" s="34" t="n">
        <x:v>0</x:v>
      </x:c>
      <x:c r="Q2265" s="37" t="n">
        <x:v>46130.13024305556</x:v>
      </x:c>
    </x:row>
    <x:row r="2266">
      <x:c r="A2266" s="22" t="n">
        <x:v>33224</x:v>
      </x:c>
      <x:c r="B2266" s="28" t="n">
        <x:v>810</x:v>
      </x:c>
      <x:c r="C2266" s="28" t="n">
        <x:v>891</x:v>
      </x:c>
      <x:c r="D2266" s="31" t="n">
        <x:f>IF(OR(ISBLANK(B2266),ISBLANK(C2266),B2266=0),"",(C2266-B2266)/B2266)</x:f>
        <x:v>0.1</x:v>
      </x:c>
      <x:c r="E2266" s="22" t="str">
        <x:f>IF(ISBLANK(C2266),"AmountIncludingTax缺失",IF(ABS(B2266-C2266)&lt;0.005,"一致","不一致"))</x:f>
        <x:v>不一致</x:v>
      </x:c>
      <x:c r="F2266" s="19" t="str">
        <x:v>approved</x:v>
      </x:c>
      <x:c r="G2266" s="19" t="str">
        <x:v>Repairer Invoiced Processed</x:v>
      </x:c>
      <x:c r="H2266" s="19" t="str">
        <x:v>In Field</x:v>
      </x:c>
      <x:c r="I2266" s="37" t="n">
        <x:v>46120</x:v>
      </x:c>
      <x:c r="J2266" s="37" t="n">
        <x:v>46120</x:v>
      </x:c>
      <x:c r="K2266" s="19" t="str">
        <x:v>Regent RV - Toowoomba</x:v>
      </x:c>
      <x:c r="L2266" s="19" t="str">
        <x:v>Z006</x:v>
      </x:c>
      <x:c r="M2266" s="19" t="str">
        <x:v>In Field Warranty Claims</x:v>
      </x:c>
      <x:c r="N2266" s="37" t="n">
        <x:v>46119</x:v>
      </x:c>
      <x:c r="O2266" s="37"/>
      <x:c r="P2266" s="34" t="n">
        <x:v>891</x:v>
      </x:c>
      <x:c r="Q2266" s="37" t="n">
        <x:v>46120.01164351852</x:v>
      </x:c>
    </x:row>
    <x:row r="2267">
      <x:c r="A2267" s="22" t="n">
        <x:v>33223</x:v>
      </x:c>
      <x:c r="B2267" s="28" t="n">
        <x:v>3568.64</x:v>
      </x:c>
      <x:c r="C2267" s="28"/>
      <x:c r="D2267" s="31" t="str">
        <x:f>IF(OR(ISBLANK(B2267),ISBLANK(C2267),B2267=0),"",(C2267-B2267)/B2267)</x:f>
      </x:c>
      <x:c r="E2267" s="22" t="str">
        <x:f>IF(ISBLANK(C2267),"AmountIncludingTax缺失",IF(ABS(B2267-C2267)&lt;0.005,"一致","不一致"))</x:f>
        <x:v>AmountIncludingTax缺失</x:v>
      </x:c>
      <x:c r="F2267" s="19" t="str">
        <x:v>approved</x:v>
      </x:c>
      <x:c r="G2267" s="19" t="str">
        <x:v>Repair in Progress</x:v>
      </x:c>
      <x:c r="H2267" s="19" t="str">
        <x:v>Pre Delivery</x:v>
      </x:c>
      <x:c r="I2267" s="37" t="n">
        <x:v>46191</x:v>
      </x:c>
      <x:c r="J2267" s="37" t="n">
        <x:v>46191</x:v>
      </x:c>
      <x:c r="K2267" s="19" t="str">
        <x:v>The Caravan Hub - Townsville</x:v>
      </x:c>
      <x:c r="L2267" s="19" t="str">
        <x:v>Z005</x:v>
      </x:c>
      <x:c r="M2267" s="19" t="str">
        <x:v>Pre Delivery Warranty Claims</x:v>
      </x:c>
      <x:c r="N2267" s="37" t="n">
        <x:v>46119</x:v>
      </x:c>
      <x:c r="O2267" s="37"/>
      <x:c r="P2267" s="34" t="n">
        <x:v>3925.5</x:v>
      </x:c>
      <x:c r="Q2267" s="37" t="n">
        <x:v>46191.24170138889</x:v>
      </x:c>
    </x:row>
    <x:row r="2268">
      <x:c r="A2268" s="22" t="n">
        <x:v>33221</x:v>
      </x:c>
      <x:c r="B2268" s="28" t="n">
        <x:v>67.5</x:v>
      </x:c>
      <x:c r="C2268" s="28"/>
      <x:c r="D2268" s="31" t="str">
        <x:f>IF(OR(ISBLANK(B2268),ISBLANK(C2268),B2268=0),"",(C2268-B2268)/B2268)</x:f>
      </x:c>
      <x:c r="E2268" s="22" t="str">
        <x:f>IF(ISBLANK(C2268),"AmountIncludingTax缺失",IF(ABS(B2268-C2268)&lt;0.005,"一致","不一致"))</x:f>
        <x:v>AmountIncludingTax缺失</x:v>
      </x:c>
      <x:c r="F2268" s="19" t="str">
        <x:v>approved</x:v>
      </x:c>
      <x:c r="G2268" s="19" t="str">
        <x:v>Repair in Progress</x:v>
      </x:c>
      <x:c r="H2268" s="19" t="str">
        <x:v>In Field</x:v>
      </x:c>
      <x:c r="I2268" s="37" t="n">
        <x:v>46160</x:v>
      </x:c>
      <x:c r="J2268" s="37" t="n">
        <x:v>46160</x:v>
      </x:c>
      <x:c r="K2268" s="19" t="str">
        <x:v>Green RV - Slacks Creek</x:v>
      </x:c>
      <x:c r="L2268" s="19" t="str">
        <x:v>Z006</x:v>
      </x:c>
      <x:c r="M2268" s="19" t="str">
        <x:v>In Field Warranty Claims</x:v>
      </x:c>
      <x:c r="N2268" s="37" t="n">
        <x:v>46119</x:v>
      </x:c>
      <x:c r="O2268" s="37"/>
      <x:c r="P2268" s="34" t="n">
        <x:v>0</x:v>
      </x:c>
      <x:c r="Q2268" s="37" t="n">
        <x:v>46159.95820601852</x:v>
      </x:c>
    </x:row>
    <x:row r="2269">
      <x:c r="A2269" s="22" t="n">
        <x:v>33220</x:v>
      </x:c>
      <x:c r="B2269" s="28" t="n">
        <x:v>820</x:v>
      </x:c>
      <x:c r="C2269" s="28"/>
      <x:c r="D2269" s="31" t="str">
        <x:f>IF(OR(ISBLANK(B2269),ISBLANK(C2269),B2269=0),"",(C2269-B2269)/B2269)</x:f>
      </x:c>
      <x:c r="E2269" s="22" t="str">
        <x:f>IF(ISBLANK(C2269),"AmountIncludingTax缺失",IF(ABS(B2269-C2269)&lt;0.005,"一致","不一致"))</x:f>
        <x:v>AmountIncludingTax缺失</x:v>
      </x:c>
      <x:c r="F2269" s="19" t="str">
        <x:v>approved</x:v>
      </x:c>
      <x:c r="G2269" s="19" t="str">
        <x:v>Repairer Invoiced Processed</x:v>
      </x:c>
      <x:c r="H2269" s="19" t="str">
        <x:v>In Field</x:v>
      </x:c>
      <x:c r="I2269" s="37" t="n">
        <x:v>46126</x:v>
      </x:c>
      <x:c r="J2269" s="37" t="n">
        <x:v>46126</x:v>
      </x:c>
      <x:c r="K2269" s="19" t="str">
        <x:v>Green RV - Forest Glen</x:v>
      </x:c>
      <x:c r="L2269" s="19" t="str">
        <x:v>Z006</x:v>
      </x:c>
      <x:c r="M2269" s="19" t="str">
        <x:v>In Field Warranty Claims</x:v>
      </x:c>
      <x:c r="N2269" s="37" t="n">
        <x:v>46119</x:v>
      </x:c>
      <x:c r="O2269" s="37"/>
      <x:c r="P2269" s="34" t="n">
        <x:v>0</x:v>
      </x:c>
      <x:c r="Q2269" s="37" t="n">
        <x:v>46125.83936342593</x:v>
      </x:c>
    </x:row>
    <x:row r="2270">
      <x:c r="A2270" s="22" t="n">
        <x:v>33219</x:v>
      </x:c>
      <x:c r="B2270" s="28" t="n">
        <x:v>641.25</x:v>
      </x:c>
      <x:c r="C2270" s="28"/>
      <x:c r="D2270" s="31" t="str">
        <x:f>IF(OR(ISBLANK(B2270),ISBLANK(C2270),B2270=0),"",(C2270-B2270)/B2270)</x:f>
      </x:c>
      <x:c r="E2270" s="22" t="str">
        <x:f>IF(ISBLANK(C2270),"AmountIncludingTax缺失",IF(ABS(B2270-C2270)&lt;0.005,"一致","不一致"))</x:f>
        <x:v>AmountIncludingTax缺失</x:v>
      </x:c>
      <x:c r="F2270" s="19" t="str">
        <x:v>approved</x:v>
      </x:c>
      <x:c r="G2270" s="19" t="str">
        <x:v>Repair in Progress</x:v>
      </x:c>
      <x:c r="H2270" s="19" t="str">
        <x:v>In Field</x:v>
      </x:c>
      <x:c r="I2270" s="37" t="n">
        <x:v>46168</x:v>
      </x:c>
      <x:c r="J2270" s="37" t="n">
        <x:v>46168</x:v>
      </x:c>
      <x:c r="K2270" s="19" t="str">
        <x:v>QCCC - Gympie</x:v>
      </x:c>
      <x:c r="L2270" s="19" t="str">
        <x:v>Z006</x:v>
      </x:c>
      <x:c r="M2270" s="19" t="str">
        <x:v>In Field Warranty Claims</x:v>
      </x:c>
      <x:c r="N2270" s="37" t="n">
        <x:v>46119</x:v>
      </x:c>
      <x:c r="O2270" s="37"/>
      <x:c r="P2270" s="34" t="n">
        <x:v>0</x:v>
      </x:c>
      <x:c r="Q2270" s="37" t="n">
        <x:v>46168.10024305555</x:v>
      </x:c>
    </x:row>
    <x:row r="2271">
      <x:c r="A2271" s="22" t="n">
        <x:v>33218</x:v>
      </x:c>
      <x:c r="B2271" s="28" t="n">
        <x:v>998.75</x:v>
      </x:c>
      <x:c r="C2271" s="28"/>
      <x:c r="D2271" s="31" t="str">
        <x:f>IF(OR(ISBLANK(B2271),ISBLANK(C2271),B2271=0),"",(C2271-B2271)/B2271)</x:f>
      </x:c>
      <x:c r="E2271" s="22" t="str">
        <x:f>IF(ISBLANK(C2271),"AmountIncludingTax缺失",IF(ABS(B2271-C2271)&lt;0.005,"一致","不一致"))</x:f>
        <x:v>AmountIncludingTax缺失</x:v>
      </x:c>
      <x:c r="F2271" s="19" t="str">
        <x:v>approved</x:v>
      </x:c>
      <x:c r="G2271" s="19" t="str">
        <x:v>Repair in Progress</x:v>
      </x:c>
      <x:c r="H2271" s="19" t="str">
        <x:v>In Field</x:v>
      </x:c>
      <x:c r="I2271" s="37" t="n">
        <x:v>46125</x:v>
      </x:c>
      <x:c r="J2271" s="37" t="n">
        <x:v>46125</x:v>
      </x:c>
      <x:c r="K2271" s="19" t="str">
        <x:v>Green RV - Forest Glen</x:v>
      </x:c>
      <x:c r="L2271" s="19" t="str">
        <x:v>Z006</x:v>
      </x:c>
      <x:c r="M2271" s="19" t="str">
        <x:v>In Field Warranty Claims</x:v>
      </x:c>
      <x:c r="N2271" s="37" t="n">
        <x:v>46119</x:v>
      </x:c>
      <x:c r="O2271" s="37"/>
      <x:c r="P2271" s="34" t="n">
        <x:v>0</x:v>
      </x:c>
      <x:c r="Q2271" s="37" t="n">
        <x:v>46124.926412037035</x:v>
      </x:c>
    </x:row>
    <x:row r="2272">
      <x:c r="A2272" s="22" t="n">
        <x:v>33217</x:v>
      </x:c>
      <x:c r="B2272" s="28" t="n">
        <x:v>284.15</x:v>
      </x:c>
      <x:c r="C2272" s="28" t="n">
        <x:v>257.27</x:v>
      </x:c>
      <x:c r="D2272" s="31" t="n">
        <x:f>IF(OR(ISBLANK(B2272),ISBLANK(C2272),B2272=0),"",(C2272-B2272)/B2272)</x:f>
        <x:v>-0.09459792363188456</x:v>
      </x:c>
      <x:c r="E2272" s="22" t="str">
        <x:f>IF(ISBLANK(C2272),"AmountIncludingTax缺失",IF(ABS(B2272-C2272)&lt;0.005,"一致","不一致"))</x:f>
        <x:v>不一致</x:v>
      </x:c>
      <x:c r="F2272" s="19" t="str">
        <x:v>approved</x:v>
      </x:c>
      <x:c r="G2272" s="19" t="str">
        <x:v>Repair in Progress</x:v>
      </x:c>
      <x:c r="H2272" s="19" t="str">
        <x:v>In Field</x:v>
      </x:c>
      <x:c r="I2272" s="37" t="n">
        <x:v>46119</x:v>
      </x:c>
      <x:c r="J2272" s="37" t="n">
        <x:v>46119</x:v>
      </x:c>
      <x:c r="K2272" s="19" t="str">
        <x:v>Vanari Caravans - Marden Point</x:v>
      </x:c>
      <x:c r="L2272" s="19" t="str">
        <x:v>Z006</x:v>
      </x:c>
      <x:c r="M2272" s="19" t="str">
        <x:v>In Field Warranty Claims</x:v>
      </x:c>
      <x:c r="N2272" s="37" t="n">
        <x:v>46119</x:v>
      </x:c>
      <x:c r="O2272" s="37"/>
      <x:c r="P2272" s="34" t="n">
        <x:v>257.27</x:v>
      </x:c>
      <x:c r="Q2272" s="37" t="n">
        <x:v>46119.18969907407</x:v>
      </x:c>
    </x:row>
    <x:row r="2273">
      <x:c r="A2273" s="22" t="n">
        <x:v>33216</x:v>
      </x:c>
      <x:c r="B2273" s="28" t="n">
        <x:v>105.8</x:v>
      </x:c>
      <x:c r="C2273" s="28"/>
      <x:c r="D2273" s="31" t="str">
        <x:f>IF(OR(ISBLANK(B2273),ISBLANK(C2273),B2273=0),"",(C2273-B2273)/B2273)</x:f>
      </x:c>
      <x:c r="E2273" s="22" t="str">
        <x:f>IF(ISBLANK(C2273),"AmountIncludingTax缺失",IF(ABS(B2273-C2273)&lt;0.005,"一致","不一致"))</x:f>
        <x:v>AmountIncludingTax缺失</x:v>
      </x:c>
      <x:c r="F2273" s="19" t="str">
        <x:v>approved</x:v>
      </x:c>
      <x:c r="G2273" s="19" t="str">
        <x:v>Repair in Progress</x:v>
      </x:c>
      <x:c r="H2273" s="19" t="str">
        <x:v>In Field</x:v>
      </x:c>
      <x:c r="I2273" s="37" t="n">
        <x:v>46197</x:v>
      </x:c>
      <x:c r="J2273" s="37" t="n">
        <x:v>46125</x:v>
      </x:c>
      <x:c r="K2273" s="19" t="str">
        <x:v>QCCC - Gympie</x:v>
      </x:c>
      <x:c r="L2273" s="19" t="str">
        <x:v>Z006</x:v>
      </x:c>
      <x:c r="M2273" s="19" t="str">
        <x:v>In Field Warranty Claims</x:v>
      </x:c>
      <x:c r="N2273" s="37" t="n">
        <x:v>46119</x:v>
      </x:c>
      <x:c r="O2273" s="37"/>
      <x:c r="P2273" s="34" t="n">
        <x:v>0</x:v>
      </x:c>
      <x:c r="Q2273" s="37" t="n">
        <x:v>46196.986180555556</x:v>
      </x:c>
    </x:row>
    <x:row r="2274">
      <x:c r="A2274" s="22" t="n">
        <x:v>33215</x:v>
      </x:c>
      <x:c r="B2274" s="28" t="n">
        <x:v>198.64</x:v>
      </x:c>
      <x:c r="C2274" s="28" t="n">
        <x:v>218.5</x:v>
      </x:c>
      <x:c r="D2274" s="31" t="n">
        <x:f>IF(OR(ISBLANK(B2274),ISBLANK(C2274),B2274=0),"",(C2274-B2274)/B2274)</x:f>
        <x:v>0.09997986306886839</x:v>
      </x:c>
      <x:c r="E2274" s="22" t="str">
        <x:f>IF(ISBLANK(C2274),"AmountIncludingTax缺失",IF(ABS(B2274-C2274)&lt;0.005,"一致","不一致"))</x:f>
        <x:v>不一致</x:v>
      </x:c>
      <x:c r="F2274" s="19" t="str">
        <x:v>approved</x:v>
      </x:c>
      <x:c r="G2274" s="19" t="str">
        <x:v>Repairer Invoiced Processed</x:v>
      </x:c>
      <x:c r="H2274" s="19" t="str">
        <x:v>In Field</x:v>
      </x:c>
      <x:c r="I2274" s="37" t="n">
        <x:v>46126</x:v>
      </x:c>
      <x:c r="J2274" s="37" t="n">
        <x:v>46126</x:v>
      </x:c>
      <x:c r="K2274" s="19" t="str">
        <x:v>Snowy River Wangaratta</x:v>
      </x:c>
      <x:c r="L2274" s="19" t="str">
        <x:v>Z006</x:v>
      </x:c>
      <x:c r="M2274" s="19" t="str">
        <x:v>In Field Warranty Claims</x:v>
      </x:c>
      <x:c r="N2274" s="37" t="n">
        <x:v>46119</x:v>
      </x:c>
      <x:c r="O2274" s="37"/>
      <x:c r="P2274" s="34" t="n">
        <x:v>218.5</x:v>
      </x:c>
      <x:c r="Q2274" s="37" t="n">
        <x:v>46126.05401620371</x:v>
      </x:c>
    </x:row>
    <x:row r="2275">
      <x:c r="A2275" s="22" t="n">
        <x:v>33214</x:v>
      </x:c>
      <x:c r="B2275" s="28" t="n">
        <x:v>101.25</x:v>
      </x:c>
      <x:c r="C2275" s="28"/>
      <x:c r="D2275" s="31" t="str">
        <x:f>IF(OR(ISBLANK(B2275),ISBLANK(C2275),B2275=0),"",(C2275-B2275)/B2275)</x:f>
      </x:c>
      <x:c r="E2275" s="22" t="str">
        <x:f>IF(ISBLANK(C2275),"AmountIncludingTax缺失",IF(ABS(B2275-C2275)&lt;0.005,"一致","不一致"))</x:f>
        <x:v>AmountIncludingTax缺失</x:v>
      </x:c>
      <x:c r="F2275" s="19" t="str">
        <x:v>approved</x:v>
      </x:c>
      <x:c r="G2275" s="19" t="str">
        <x:v>Repairer Invoiced Processed</x:v>
      </x:c>
      <x:c r="H2275" s="19" t="str">
        <x:v>In Field</x:v>
      </x:c>
      <x:c r="I2275" s="37" t="n">
        <x:v>46119</x:v>
      </x:c>
      <x:c r="J2275" s="37" t="n">
        <x:v>46119</x:v>
      </x:c>
      <x:c r="K2275" s="19" t="str">
        <x:v>Lesiure Lion-New Castle</x:v>
      </x:c>
      <x:c r="L2275" s="19" t="str">
        <x:v>Z006</x:v>
      </x:c>
      <x:c r="M2275" s="19" t="str">
        <x:v>In Field Warranty Claims</x:v>
      </x:c>
      <x:c r="N2275" s="37" t="n">
        <x:v>46119</x:v>
      </x:c>
      <x:c r="O2275" s="37"/>
      <x:c r="P2275" s="34" t="n">
        <x:v>0</x:v>
      </x:c>
      <x:c r="Q2275" s="37" t="n">
        <x:v>46119.14114583333</x:v>
      </x:c>
    </x:row>
    <x:row r="2276">
      <x:c r="A2276" s="22" t="n">
        <x:v>33213</x:v>
      </x:c>
      <x:c r="B2276" s="28" t="n">
        <x:v>405</x:v>
      </x:c>
      <x:c r="C2276" s="28"/>
      <x:c r="D2276" s="31" t="str">
        <x:f>IF(OR(ISBLANK(B2276),ISBLANK(C2276),B2276=0),"",(C2276-B2276)/B2276)</x:f>
      </x:c>
      <x:c r="E2276" s="22" t="str">
        <x:f>IF(ISBLANK(C2276),"AmountIncludingTax缺失",IF(ABS(B2276-C2276)&lt;0.005,"一致","不一致"))</x:f>
        <x:v>AmountIncludingTax缺失</x:v>
      </x:c>
      <x:c r="F2276" s="19" t="str">
        <x:v>approved</x:v>
      </x:c>
      <x:c r="G2276" s="19" t="str">
        <x:v>Repairer Invoiced Processed</x:v>
      </x:c>
      <x:c r="H2276" s="19" t="str">
        <x:v>In Field</x:v>
      </x:c>
      <x:c r="I2276" s="37" t="n">
        <x:v>46143</x:v>
      </x:c>
      <x:c r="J2276" s="37" t="n">
        <x:v>46143</x:v>
      </x:c>
      <x:c r="K2276" s="19" t="str">
        <x:v>Newcastle RV Super Centre - Beresfield</x:v>
      </x:c>
      <x:c r="L2276" s="19" t="str">
        <x:v>Z006</x:v>
      </x:c>
      <x:c r="M2276" s="19" t="str">
        <x:v>In Field Warranty Claims</x:v>
      </x:c>
      <x:c r="N2276" s="37" t="n">
        <x:v>46119</x:v>
      </x:c>
      <x:c r="O2276" s="37"/>
      <x:c r="P2276" s="34" t="n">
        <x:v>0</x:v>
      </x:c>
      <x:c r="Q2276" s="37" t="n">
        <x:v>46142.99427083333</x:v>
      </x:c>
    </x:row>
    <x:row r="2277">
      <x:c r="A2277" s="22" t="n">
        <x:v>33211</x:v>
      </x:c>
      <x:c r="B2277" s="28" t="n">
        <x:v>672.5</x:v>
      </x:c>
      <x:c r="C2277" s="28"/>
      <x:c r="D2277" s="31" t="str">
        <x:f>IF(OR(ISBLANK(B2277),ISBLANK(C2277),B2277=0),"",(C2277-B2277)/B2277)</x:f>
      </x:c>
      <x:c r="E2277" s="22" t="str">
        <x:f>IF(ISBLANK(C2277),"AmountIncludingTax缺失",IF(ABS(B2277-C2277)&lt;0.005,"一致","不一致"))</x:f>
        <x:v>AmountIncludingTax缺失</x:v>
      </x:c>
      <x:c r="F2277" s="19" t="str">
        <x:v>approved</x:v>
      </x:c>
      <x:c r="G2277" s="19" t="str">
        <x:v>Repairer Invoiced Processed</x:v>
      </x:c>
      <x:c r="H2277" s="19" t="str">
        <x:v>Pre Delivery</x:v>
      </x:c>
      <x:c r="I2277" s="37" t="n">
        <x:v>46196</x:v>
      </x:c>
      <x:c r="J2277" s="37" t="n">
        <x:v>46196</x:v>
      </x:c>
      <x:c r="K2277" s="19" t="str">
        <x:v>The Caravan Hub - Townsville</x:v>
      </x:c>
      <x:c r="L2277" s="19" t="str">
        <x:v>Z005</x:v>
      </x:c>
      <x:c r="M2277" s="19" t="str">
        <x:v>Pre Delivery Warranty Claims</x:v>
      </x:c>
      <x:c r="N2277" s="37" t="n">
        <x:v>46119</x:v>
      </x:c>
      <x:c r="O2277" s="37"/>
      <x:c r="P2277" s="34" t="n">
        <x:v>0</x:v>
      </x:c>
      <x:c r="Q2277" s="37" t="n">
        <x:v>46195.97806712963</x:v>
      </x:c>
    </x:row>
    <x:row r="2278">
      <x:c r="A2278" s="22" t="n">
        <x:v>33209</x:v>
      </x:c>
      <x:c r="B2278" s="28" t="n">
        <x:v>222.5</x:v>
      </x:c>
      <x:c r="C2278" s="28"/>
      <x:c r="D2278" s="31" t="str">
        <x:f>IF(OR(ISBLANK(B2278),ISBLANK(C2278),B2278=0),"",(C2278-B2278)/B2278)</x:f>
      </x:c>
      <x:c r="E2278" s="22" t="str">
        <x:f>IF(ISBLANK(C2278),"AmountIncludingTax缺失",IF(ABS(B2278-C2278)&lt;0.005,"一致","不一致"))</x:f>
        <x:v>AmountIncludingTax缺失</x:v>
      </x:c>
      <x:c r="F2278" s="19" t="str">
        <x:v>approved</x:v>
      </x:c>
      <x:c r="G2278" s="19" t="str">
        <x:v>Repair in Progress</x:v>
      </x:c>
      <x:c r="H2278" s="19" t="str">
        <x:v>In Field</x:v>
      </x:c>
      <x:c r="I2278" s="37" t="n">
        <x:v>46133</x:v>
      </x:c>
      <x:c r="J2278" s="37" t="n">
        <x:v>46133</x:v>
      </x:c>
      <x:c r="K2278" s="19" t="str">
        <x:v>Snowy River Frankston</x:v>
      </x:c>
      <x:c r="L2278" s="19" t="str">
        <x:v>Z006</x:v>
      </x:c>
      <x:c r="M2278" s="19" t="str">
        <x:v>In Field Warranty Claims</x:v>
      </x:c>
      <x:c r="N2278" s="37" t="n">
        <x:v>46119</x:v>
      </x:c>
      <x:c r="O2278" s="37"/>
      <x:c r="P2278" s="34" t="n">
        <x:v>0</x:v>
      </x:c>
      <x:c r="Q2278" s="37" t="n">
        <x:v>46132.97869212963</x:v>
      </x:c>
    </x:row>
    <x:row r="2279">
      <x:c r="A2279" s="22" t="n">
        <x:v>33208</x:v>
      </x:c>
      <x:c r="B2279" s="28" t="n">
        <x:v>1350</x:v>
      </x:c>
      <x:c r="C2279" s="28"/>
      <x:c r="D2279" s="31" t="str">
        <x:f>IF(OR(ISBLANK(B2279),ISBLANK(C2279),B2279=0),"",(C2279-B2279)/B2279)</x:f>
      </x:c>
      <x:c r="E2279" s="22" t="str">
        <x:f>IF(ISBLANK(C2279),"AmountIncludingTax缺失",IF(ABS(B2279-C2279)&lt;0.005,"一致","不一致"))</x:f>
        <x:v>AmountIncludingTax缺失</x:v>
      </x:c>
      <x:c r="F2279" s="19" t="str">
        <x:v>approved</x:v>
      </x:c>
      <x:c r="G2279" s="19" t="str">
        <x:v>Repair in Progress</x:v>
      </x:c>
      <x:c r="H2279" s="19" t="str">
        <x:v>In Field</x:v>
      </x:c>
      <x:c r="I2279" s="37" t="n">
        <x:v>46125</x:v>
      </x:c>
      <x:c r="J2279" s="37" t="n">
        <x:v>46125</x:v>
      </x:c>
      <x:c r="K2279" s="19" t="str">
        <x:v>Dario Caravans -St.Marys</x:v>
      </x:c>
      <x:c r="L2279" s="19" t="str">
        <x:v>Z006</x:v>
      </x:c>
      <x:c r="M2279" s="19" t="str">
        <x:v>In Field Warranty Claims</x:v>
      </x:c>
      <x:c r="N2279" s="37" t="n">
        <x:v>46119</x:v>
      </x:c>
      <x:c r="O2279" s="37"/>
      <x:c r="P2279" s="34" t="n">
        <x:v>0</x:v>
      </x:c>
      <x:c r="Q2279" s="37" t="n">
        <x:v>46125.37940972222</x:v>
      </x:c>
    </x:row>
    <x:row r="2280">
      <x:c r="A2280" s="22" t="n">
        <x:v>33207</x:v>
      </x:c>
      <x:c r="B2280" s="28" t="n">
        <x:v>485.38</x:v>
      </x:c>
      <x:c r="C2280" s="28" t="n">
        <x:v>533.92</x:v>
      </x:c>
      <x:c r="D2280" s="31" t="n">
        <x:f>IF(OR(ISBLANK(B2280),ISBLANK(C2280),B2280=0),"",(C2280-B2280)/B2280)</x:f>
        <x:v>0.10000412048292052</x:v>
      </x:c>
      <x:c r="E2280" s="22" t="str">
        <x:f>IF(ISBLANK(C2280),"AmountIncludingTax缺失",IF(ABS(B2280-C2280)&lt;0.005,"一致","不一致"))</x:f>
        <x:v>不一致</x:v>
      </x:c>
      <x:c r="F2280" s="19" t="str">
        <x:v>approved</x:v>
      </x:c>
      <x:c r="G2280" s="19" t="str">
        <x:v>Repairer Invoiced Processed</x:v>
      </x:c>
      <x:c r="H2280" s="19" t="str">
        <x:v>In Field</x:v>
      </x:c>
      <x:c r="I2280" s="37" t="n">
        <x:v>46191</x:v>
      </x:c>
      <x:c r="J2280" s="37" t="n">
        <x:v>46191</x:v>
      </x:c>
      <x:c r="K2280" s="19" t="str">
        <x:v>QCCC - Gympie</x:v>
      </x:c>
      <x:c r="L2280" s="19" t="str">
        <x:v>Z006</x:v>
      </x:c>
      <x:c r="M2280" s="19" t="str">
        <x:v>In Field Warranty Claims</x:v>
      </x:c>
      <x:c r="N2280" s="37" t="n">
        <x:v>46119</x:v>
      </x:c>
      <x:c r="O2280" s="37"/>
      <x:c r="P2280" s="34" t="n">
        <x:v>533.92</x:v>
      </x:c>
      <x:c r="Q2280" s="37" t="n">
        <x:v>46191.270891203705</x:v>
      </x:c>
    </x:row>
    <x:row r="2281">
      <x:c r="A2281" s="22" t="n">
        <x:v>33206</x:v>
      </x:c>
      <x:c r="B2281" s="28" t="n">
        <x:v>1217.5</x:v>
      </x:c>
      <x:c r="C2281" s="28"/>
      <x:c r="D2281" s="31" t="str">
        <x:f>IF(OR(ISBLANK(B2281),ISBLANK(C2281),B2281=0),"",(C2281-B2281)/B2281)</x:f>
      </x:c>
      <x:c r="E2281" s="22" t="str">
        <x:f>IF(ISBLANK(C2281),"AmountIncludingTax缺失",IF(ABS(B2281-C2281)&lt;0.005,"一致","不一致"))</x:f>
        <x:v>AmountIncludingTax缺失</x:v>
      </x:c>
      <x:c r="F2281" s="19" t="str">
        <x:v>approved</x:v>
      </x:c>
      <x:c r="G2281" s="19" t="str">
        <x:v>Repair in Progress</x:v>
      </x:c>
      <x:c r="H2281" s="19" t="str">
        <x:v>Pre Delivery</x:v>
      </x:c>
      <x:c r="I2281" s="37" t="n">
        <x:v>46133</x:v>
      </x:c>
      <x:c r="J2281" s="37" t="n">
        <x:v>46133</x:v>
      </x:c>
      <x:c r="K2281" s="19" t="str">
        <x:v>Snowy River Frankston</x:v>
      </x:c>
      <x:c r="L2281" s="19" t="str">
        <x:v>Z005</x:v>
      </x:c>
      <x:c r="M2281" s="19" t="str">
        <x:v>Pre Delivery Warranty Claims</x:v>
      </x:c>
      <x:c r="N2281" s="37" t="n">
        <x:v>46118</x:v>
      </x:c>
      <x:c r="O2281" s="37"/>
      <x:c r="P2281" s="34" t="n">
        <x:v>0</x:v>
      </x:c>
      <x:c r="Q2281" s="37" t="n">
        <x:v>46133.12211805556</x:v>
      </x:c>
    </x:row>
    <x:row r="2282">
      <x:c r="A2282" s="22" t="n">
        <x:v>33205</x:v>
      </x:c>
      <x:c r="B2282" s="28" t="n">
        <x:v>67.5</x:v>
      </x:c>
      <x:c r="C2282" s="28"/>
      <x:c r="D2282" s="31" t="str">
        <x:f>IF(OR(ISBLANK(B2282),ISBLANK(C2282),B2282=0),"",(C2282-B2282)/B2282)</x:f>
      </x:c>
      <x:c r="E2282" s="22" t="str">
        <x:f>IF(ISBLANK(C2282),"AmountIncludingTax缺失",IF(ABS(B2282-C2282)&lt;0.005,"一致","不一致"))</x:f>
        <x:v>AmountIncludingTax缺失</x:v>
      </x:c>
      <x:c r="F2282" s="19" t="str">
        <x:v>approved</x:v>
      </x:c>
      <x:c r="G2282" s="19" t="str">
        <x:v>Repairer Invoiced Processed</x:v>
      </x:c>
      <x:c r="H2282" s="19" t="str">
        <x:v>In Field</x:v>
      </x:c>
      <x:c r="I2282" s="37" t="n">
        <x:v>46168</x:v>
      </x:c>
      <x:c r="J2282" s="37" t="n">
        <x:v>46168</x:v>
      </x:c>
      <x:c r="K2282" s="19" t="str">
        <x:v>Regent RV Pty Ltd</x:v>
      </x:c>
      <x:c r="L2282" s="19" t="str">
        <x:v>Z006</x:v>
      </x:c>
      <x:c r="M2282" s="19" t="str">
        <x:v>In Field Warranty Claims</x:v>
      </x:c>
      <x:c r="N2282" s="37" t="n">
        <x:v>46118</x:v>
      </x:c>
      <x:c r="O2282" s="37"/>
      <x:c r="P2282" s="34" t="n">
        <x:v>0</x:v>
      </x:c>
      <x:c r="Q2282" s="37" t="n">
        <x:v>46168.017916666664</x:v>
      </x:c>
    </x:row>
    <x:row r="2283">
      <x:c r="A2283" s="22" t="n">
        <x:v>33204</x:v>
      </x:c>
      <x:c r="B2283" s="28" t="n">
        <x:v>775.55</x:v>
      </x:c>
      <x:c r="C2283" s="28" t="n">
        <x:v>853.11</x:v>
      </x:c>
      <x:c r="D2283" s="31" t="n">
        <x:f>IF(OR(ISBLANK(B2283),ISBLANK(C2283),B2283=0),"",(C2283-B2283)/B2283)</x:f>
        <x:v>0.10000644703758631</x:v>
      </x:c>
      <x:c r="E2283" s="22" t="str">
        <x:f>IF(ISBLANK(C2283),"AmountIncludingTax缺失",IF(ABS(B2283-C2283)&lt;0.005,"一致","不一致"))</x:f>
        <x:v>不一致</x:v>
      </x:c>
      <x:c r="F2283" s="19" t="str">
        <x:v>approved</x:v>
      </x:c>
      <x:c r="G2283" s="19" t="str">
        <x:v>Repairer Invoiced Processed</x:v>
      </x:c>
      <x:c r="H2283" s="19" t="str">
        <x:v>In Field</x:v>
      </x:c>
      <x:c r="I2283" s="37" t="n">
        <x:v>46162</x:v>
      </x:c>
      <x:c r="J2283" s="37" t="n">
        <x:v>46162</x:v>
      </x:c>
      <x:c r="K2283" s="19" t="str">
        <x:v>Green RV - Forest Glen</x:v>
      </x:c>
      <x:c r="L2283" s="19" t="str">
        <x:v>Z006</x:v>
      </x:c>
      <x:c r="M2283" s="19" t="str">
        <x:v>In Field Warranty Claims</x:v>
      </x:c>
      <x:c r="N2283" s="37" t="n">
        <x:v>46118</x:v>
      </x:c>
      <x:c r="O2283" s="37"/>
      <x:c r="P2283" s="34" t="n">
        <x:v>853.11</x:v>
      </x:c>
      <x:c r="Q2283" s="37" t="n">
        <x:v>46162.06527777778</x:v>
      </x:c>
    </x:row>
    <x:row r="2284">
      <x:c r="A2284" s="22" t="n">
        <x:v>33203</x:v>
      </x:c>
      <x:c r="B2284" s="28" t="n">
        <x:v>482.5</x:v>
      </x:c>
      <x:c r="C2284" s="28"/>
      <x:c r="D2284" s="31" t="str">
        <x:f>IF(OR(ISBLANK(B2284),ISBLANK(C2284),B2284=0),"",(C2284-B2284)/B2284)</x:f>
      </x:c>
      <x:c r="E2284" s="22" t="str">
        <x:f>IF(ISBLANK(C2284),"AmountIncludingTax缺失",IF(ABS(B2284-C2284)&lt;0.005,"一致","不一致"))</x:f>
        <x:v>AmountIncludingTax缺失</x:v>
      </x:c>
      <x:c r="F2284" s="19" t="str">
        <x:v>approved</x:v>
      </x:c>
      <x:c r="G2284" s="19" t="str">
        <x:v>Repair in Progress</x:v>
      </x:c>
      <x:c r="H2284" s="19" t="str">
        <x:v>Pre Delivery</x:v>
      </x:c>
      <x:c r="I2284" s="37" t="n">
        <x:v>46125</x:v>
      </x:c>
      <x:c r="J2284" s="37" t="n">
        <x:v>46125</x:v>
      </x:c>
      <x:c r="K2284" s="19" t="str">
        <x:v>Snowy River Wangaratta</x:v>
      </x:c>
      <x:c r="L2284" s="19" t="str">
        <x:v>Z005</x:v>
      </x:c>
      <x:c r="M2284" s="19" t="str">
        <x:v>Pre Delivery Warranty Claims</x:v>
      </x:c>
      <x:c r="N2284" s="37" t="n">
        <x:v>46118</x:v>
      </x:c>
      <x:c r="O2284" s="37"/>
      <x:c r="P2284" s="34" t="n">
        <x:v>0</x:v>
      </x:c>
      <x:c r="Q2284" s="37" t="n">
        <x:v>46125.24917824074</x:v>
      </x:c>
    </x:row>
    <x:row r="2285">
      <x:c r="A2285" s="22" t="n">
        <x:v>33199</x:v>
      </x:c>
      <x:c r="B2285" s="28" t="n">
        <x:v>1167.5</x:v>
      </x:c>
      <x:c r="C2285" s="28"/>
      <x:c r="D2285" s="31" t="str">
        <x:f>IF(OR(ISBLANK(B2285),ISBLANK(C2285),B2285=0),"",(C2285-B2285)/B2285)</x:f>
      </x:c>
      <x:c r="E2285" s="22" t="str">
        <x:f>IF(ISBLANK(C2285),"AmountIncludingTax缺失",IF(ABS(B2285-C2285)&lt;0.005,"一致","不一致"))</x:f>
        <x:v>AmountIncludingTax缺失</x:v>
      </x:c>
      <x:c r="F2285" s="19" t="str">
        <x:v>approved</x:v>
      </x:c>
      <x:c r="G2285" s="19" t="str">
        <x:v>Repair in Progress</x:v>
      </x:c>
      <x:c r="H2285" s="19" t="str">
        <x:v>In Field</x:v>
      </x:c>
      <x:c r="I2285" s="37" t="n">
        <x:v>46119</x:v>
      </x:c>
      <x:c r="J2285" s="37" t="n">
        <x:v>46119</x:v>
      </x:c>
      <x:c r="K2285" s="19" t="str">
        <x:v>Snowy River Wangaratta</x:v>
      </x:c>
      <x:c r="L2285" s="19" t="str">
        <x:v>Z006</x:v>
      </x:c>
      <x:c r="M2285" s="19" t="str">
        <x:v>In Field Warranty Claims</x:v>
      </x:c>
      <x:c r="N2285" s="37" t="n">
        <x:v>46119</x:v>
      </x:c>
      <x:c r="O2285" s="37"/>
      <x:c r="P2285" s="34" t="n">
        <x:v>0</x:v>
      </x:c>
      <x:c r="Q2285" s="37" t="n">
        <x:v>46119.19070601852</x:v>
      </x:c>
    </x:row>
    <x:row r="2286">
      <x:c r="A2286" s="22" t="n">
        <x:v>33198</x:v>
      </x:c>
      <x:c r="B2286" s="28" t="n">
        <x:v>77.5</x:v>
      </x:c>
      <x:c r="C2286" s="28"/>
      <x:c r="D2286" s="31" t="str">
        <x:f>IF(OR(ISBLANK(B2286),ISBLANK(C2286),B2286=0),"",(C2286-B2286)/B2286)</x:f>
      </x:c>
      <x:c r="E2286" s="22" t="str">
        <x:f>IF(ISBLANK(C2286),"AmountIncludingTax缺失",IF(ABS(B2286-C2286)&lt;0.005,"一致","不一致"))</x:f>
        <x:v>AmountIncludingTax缺失</x:v>
      </x:c>
      <x:c r="F2286" s="19" t="str">
        <x:v>approved</x:v>
      </x:c>
      <x:c r="G2286" s="19" t="str">
        <x:v>Repairer Invoiced Processed</x:v>
      </x:c>
      <x:c r="H2286" s="19" t="str">
        <x:v>Pre Delivery</x:v>
      </x:c>
      <x:c r="I2286" s="37" t="n">
        <x:v>46188</x:v>
      </x:c>
      <x:c r="J2286" s="37" t="n">
        <x:v>46188</x:v>
      </x:c>
      <x:c r="K2286" s="19" t="str">
        <x:v>Leisure Lion - Bundaberg</x:v>
      </x:c>
      <x:c r="L2286" s="19" t="str">
        <x:v>Z005</x:v>
      </x:c>
      <x:c r="M2286" s="19" t="str">
        <x:v>Pre Delivery Warranty Claims</x:v>
      </x:c>
      <x:c r="N2286" s="37" t="n">
        <x:v>46118</x:v>
      </x:c>
      <x:c r="O2286" s="37"/>
      <x:c r="P2286" s="34" t="n">
        <x:v>0</x:v>
      </x:c>
      <x:c r="Q2286" s="37" t="n">
        <x:v>46188.21733796296</x:v>
      </x:c>
    </x:row>
    <x:row r="2287">
      <x:c r="A2287" s="22" t="n">
        <x:v>33197</x:v>
      </x:c>
      <x:c r="B2287" s="28" t="n">
        <x:v>760</x:v>
      </x:c>
      <x:c r="C2287" s="28"/>
      <x:c r="D2287" s="31" t="str">
        <x:f>IF(OR(ISBLANK(B2287),ISBLANK(C2287),B2287=0),"",(C2287-B2287)/B2287)</x:f>
      </x:c>
      <x:c r="E2287" s="22" t="str">
        <x:f>IF(ISBLANK(C2287),"AmountIncludingTax缺失",IF(ABS(B2287-C2287)&lt;0.005,"一致","不一致"))</x:f>
        <x:v>AmountIncludingTax缺失</x:v>
      </x:c>
      <x:c r="F2287" s="19" t="str">
        <x:v>approved</x:v>
      </x:c>
      <x:c r="G2287" s="19" t="str">
        <x:v>Repair in Progress</x:v>
      </x:c>
      <x:c r="H2287" s="19" t="str">
        <x:v>In Field</x:v>
      </x:c>
      <x:c r="I2287" s="37" t="n">
        <x:v>46168</x:v>
      </x:c>
      <x:c r="J2287" s="37" t="n">
        <x:v>46168</x:v>
      </x:c>
      <x:c r="K2287" s="19" t="str">
        <x:v>Auswide Caravans - South Nowra</x:v>
      </x:c>
      <x:c r="L2287" s="19" t="str">
        <x:v>Z006</x:v>
      </x:c>
      <x:c r="M2287" s="19" t="str">
        <x:v>In Field Warranty Claims</x:v>
      </x:c>
      <x:c r="N2287" s="37" t="n">
        <x:v>46117</x:v>
      </x:c>
      <x:c r="O2287" s="37"/>
      <x:c r="P2287" s="34" t="n">
        <x:v>0</x:v>
      </x:c>
      <x:c r="Q2287" s="37" t="n">
        <x:v>46168.01938657407</x:v>
      </x:c>
    </x:row>
    <x:row r="2288">
      <x:c r="A2288" s="22" t="n">
        <x:v>33195</x:v>
      </x:c>
      <x:c r="B2288" s="28" t="n">
        <x:v>202.5</x:v>
      </x:c>
      <x:c r="C2288" s="28"/>
      <x:c r="D2288" s="31" t="str">
        <x:f>IF(OR(ISBLANK(B2288),ISBLANK(C2288),B2288=0),"",(C2288-B2288)/B2288)</x:f>
      </x:c>
      <x:c r="E2288" s="22" t="str">
        <x:f>IF(ISBLANK(C2288),"AmountIncludingTax缺失",IF(ABS(B2288-C2288)&lt;0.005,"一致","不一致"))</x:f>
        <x:v>AmountIncludingTax缺失</x:v>
      </x:c>
      <x:c r="F2288" s="19" t="str">
        <x:v>approved</x:v>
      </x:c>
      <x:c r="G2288" s="19" t="str">
        <x:v>Partially Picked</x:v>
      </x:c>
      <x:c r="H2288" s="19" t="str">
        <x:v>Pre Delivery</x:v>
      </x:c>
      <x:c r="I2288" s="37" t="n">
        <x:v>46136</x:v>
      </x:c>
      <x:c r="J2288" s="37" t="n">
        <x:v>46136</x:v>
      </x:c>
      <x:c r="K2288" s="19" t="str">
        <x:v>Destiny RV - South Australia</x:v>
      </x:c>
      <x:c r="L2288" s="19" t="str">
        <x:v>Z005</x:v>
      </x:c>
      <x:c r="M2288" s="19" t="str">
        <x:v>Pre Delivery Warranty Claims</x:v>
      </x:c>
      <x:c r="N2288" s="37" t="n">
        <x:v>46114</x:v>
      </x:c>
      <x:c r="O2288" s="37"/>
      <x:c r="P2288" s="34" t="n">
        <x:v>0</x:v>
      </x:c>
      <x:c r="Q2288" s="37" t="n">
        <x:v>46136.25983796296</x:v>
      </x:c>
    </x:row>
    <x:row r="2289">
      <x:c r="A2289" s="22" t="n">
        <x:v>33194</x:v>
      </x:c>
      <x:c r="B2289" s="28" t="n">
        <x:v>135</x:v>
      </x:c>
      <x:c r="C2289" s="28"/>
      <x:c r="D2289" s="31" t="str">
        <x:f>IF(OR(ISBLANK(B2289),ISBLANK(C2289),B2289=0),"",(C2289-B2289)/B2289)</x:f>
      </x:c>
      <x:c r="E2289" s="22" t="str">
        <x:f>IF(ISBLANK(C2289),"AmountIncludingTax缺失",IF(ABS(B2289-C2289)&lt;0.005,"一致","不一致"))</x:f>
        <x:v>AmountIncludingTax缺失</x:v>
      </x:c>
      <x:c r="F2289" s="19" t="str">
        <x:v>approved</x:v>
      </x:c>
      <x:c r="G2289" s="19" t="str">
        <x:v>Repair in Progress</x:v>
      </x:c>
      <x:c r="H2289" s="19" t="str">
        <x:v>In Field</x:v>
      </x:c>
      <x:c r="I2289" s="37" t="n">
        <x:v>46121</x:v>
      </x:c>
      <x:c r="J2289" s="37" t="n">
        <x:v>46121</x:v>
      </x:c>
      <x:c r="K2289" s="19" t="str">
        <x:v>Regent RV - Perth</x:v>
      </x:c>
      <x:c r="L2289" s="19" t="str">
        <x:v>Z006</x:v>
      </x:c>
      <x:c r="M2289" s="19" t="str">
        <x:v>In Field Warranty Claims</x:v>
      </x:c>
      <x:c r="N2289" s="37" t="n">
        <x:v>46114</x:v>
      </x:c>
      <x:c r="O2289" s="37"/>
      <x:c r="P2289" s="34" t="n">
        <x:v>0</x:v>
      </x:c>
      <x:c r="Q2289" s="37" t="n">
        <x:v>46121.25030092592</x:v>
      </x:c>
    </x:row>
    <x:row r="2290">
      <x:c r="A2290" s="22" t="n">
        <x:v>33193</x:v>
      </x:c>
      <x:c r="B2290" s="28" t="n">
        <x:v>719.23</x:v>
      </x:c>
      <x:c r="C2290" s="28" t="n">
        <x:v>791.15</x:v>
      </x:c>
      <x:c r="D2290" s="31" t="n">
        <x:f>IF(OR(ISBLANK(B2290),ISBLANK(C2290),B2290=0),"",(C2290-B2290)/B2290)</x:f>
        <x:v>0.09999582887254418</x:v>
      </x:c>
      <x:c r="E2290" s="22" t="str">
        <x:f>IF(ISBLANK(C2290),"AmountIncludingTax缺失",IF(ABS(B2290-C2290)&lt;0.005,"一致","不一致"))</x:f>
        <x:v>不一致</x:v>
      </x:c>
      <x:c r="F2290" s="19" t="str">
        <x:v>approved</x:v>
      </x:c>
      <x:c r="G2290" s="19" t="str">
        <x:v>Repairer Invoiced Processed</x:v>
      </x:c>
      <x:c r="H2290" s="19" t="str">
        <x:v>In Field</x:v>
      </x:c>
      <x:c r="I2290" s="37" t="n">
        <x:v>46154</x:v>
      </x:c>
      <x:c r="J2290" s="37" t="n">
        <x:v>46154</x:v>
      </x:c>
      <x:c r="K2290" s="19" t="str">
        <x:v>Snowy River Frankston</x:v>
      </x:c>
      <x:c r="L2290" s="19" t="str">
        <x:v>Z006</x:v>
      </x:c>
      <x:c r="M2290" s="19" t="str">
        <x:v>In Field Warranty Claims</x:v>
      </x:c>
      <x:c r="N2290" s="37" t="n">
        <x:v>46114</x:v>
      </x:c>
      <x:c r="O2290" s="37"/>
      <x:c r="P2290" s="34" t="n">
        <x:v>791.15</x:v>
      </x:c>
      <x:c r="Q2290" s="37" t="n">
        <x:v>46154.24016203704</x:v>
      </x:c>
    </x:row>
    <x:row r="2291">
      <x:c r="A2291" s="22" t="n">
        <x:v>33192</x:v>
      </x:c>
      <x:c r="B2291" s="28" t="n">
        <x:v>77.5</x:v>
      </x:c>
      <x:c r="C2291" s="28"/>
      <x:c r="D2291" s="31" t="str">
        <x:f>IF(OR(ISBLANK(B2291),ISBLANK(C2291),B2291=0),"",(C2291-B2291)/B2291)</x:f>
      </x:c>
      <x:c r="E2291" s="22" t="str">
        <x:f>IF(ISBLANK(C2291),"AmountIncludingTax缺失",IF(ABS(B2291-C2291)&lt;0.005,"一致","不一致"))</x:f>
        <x:v>AmountIncludingTax缺失</x:v>
      </x:c>
      <x:c r="F2291" s="19" t="str">
        <x:v>approved</x:v>
      </x:c>
      <x:c r="G2291" s="19" t="str">
        <x:v>Repairer Invoiced Processed</x:v>
      </x:c>
      <x:c r="H2291" s="19" t="str">
        <x:v>In Field</x:v>
      </x:c>
      <x:c r="I2291" s="37" t="n">
        <x:v>46119</x:v>
      </x:c>
      <x:c r="J2291" s="37" t="n">
        <x:v>46119</x:v>
      </x:c>
      <x:c r="K2291" s="19" t="str">
        <x:v>Green RV - Slacks Creek</x:v>
      </x:c>
      <x:c r="L2291" s="19" t="str">
        <x:v>Z006</x:v>
      </x:c>
      <x:c r="M2291" s="19" t="str">
        <x:v>In Field Warranty Claims</x:v>
      </x:c>
      <x:c r="N2291" s="37" t="n">
        <x:v>46114</x:v>
      </x:c>
      <x:c r="O2291" s="37"/>
      <x:c r="P2291" s="34" t="n">
        <x:v>0</x:v>
      </x:c>
      <x:c r="Q2291" s="37" t="n">
        <x:v>46119.03047453704</x:v>
      </x:c>
    </x:row>
    <x:row r="2292">
      <x:c r="A2292" s="22" t="n">
        <x:v>33190</x:v>
      </x:c>
      <x:c r="B2292" s="28" t="n">
        <x:v>405</x:v>
      </x:c>
      <x:c r="C2292" s="28"/>
      <x:c r="D2292" s="31" t="str">
        <x:f>IF(OR(ISBLANK(B2292),ISBLANK(C2292),B2292=0),"",(C2292-B2292)/B2292)</x:f>
      </x:c>
      <x:c r="E2292" s="22" t="str">
        <x:f>IF(ISBLANK(C2292),"AmountIncludingTax缺失",IF(ABS(B2292-C2292)&lt;0.005,"一致","不一致"))</x:f>
        <x:v>AmountIncludingTax缺失</x:v>
      </x:c>
      <x:c r="F2292" s="19" t="str">
        <x:v>approved</x:v>
      </x:c>
      <x:c r="G2292" s="19" t="str">
        <x:v>Repairer Invoiced Processed</x:v>
      </x:c>
      <x:c r="H2292" s="19" t="str">
        <x:v>In Field</x:v>
      </x:c>
      <x:c r="I2292" s="37" t="n">
        <x:v>46122</x:v>
      </x:c>
      <x:c r="J2292" s="37" t="n">
        <x:v>46122</x:v>
      </x:c>
      <x:c r="K2292" s="19" t="str">
        <x:v>Dario Caravans -St.Marys</x:v>
      </x:c>
      <x:c r="L2292" s="19" t="str">
        <x:v>Z006</x:v>
      </x:c>
      <x:c r="M2292" s="19" t="str">
        <x:v>In Field Warranty Claims</x:v>
      </x:c>
      <x:c r="N2292" s="37" t="n">
        <x:v>46114</x:v>
      </x:c>
      <x:c r="O2292" s="37"/>
      <x:c r="P2292" s="34" t="n">
        <x:v>0</x:v>
      </x:c>
      <x:c r="Q2292" s="37" t="n">
        <x:v>46122.223958333336</x:v>
      </x:c>
    </x:row>
    <x:row r="2293">
      <x:c r="A2293" s="22" t="n">
        <x:v>33189</x:v>
      </x:c>
      <x:c r="B2293" s="28" t="n">
        <x:v>573.75</x:v>
      </x:c>
      <x:c r="C2293" s="28"/>
      <x:c r="D2293" s="31" t="str">
        <x:f>IF(OR(ISBLANK(B2293),ISBLANK(C2293),B2293=0),"",(C2293-B2293)/B2293)</x:f>
      </x:c>
      <x:c r="E2293" s="22" t="str">
        <x:f>IF(ISBLANK(C2293),"AmountIncludingTax缺失",IF(ABS(B2293-C2293)&lt;0.005,"一致","不一致"))</x:f>
        <x:v>AmountIncludingTax缺失</x:v>
      </x:c>
      <x:c r="F2293" s="19" t="str">
        <x:v>approved</x:v>
      </x:c>
      <x:c r="G2293" s="19" t="str">
        <x:v>Repair in Progress</x:v>
      </x:c>
      <x:c r="H2293" s="19" t="str">
        <x:v>In Field</x:v>
      </x:c>
      <x:c r="I2293" s="37" t="n">
        <x:v>46139</x:v>
      </x:c>
      <x:c r="J2293" s="37" t="n">
        <x:v>46139</x:v>
      </x:c>
      <x:c r="K2293" s="19" t="str">
        <x:v>Regent RV - Townsville</x:v>
      </x:c>
      <x:c r="L2293" s="19" t="str">
        <x:v>Z006</x:v>
      </x:c>
      <x:c r="M2293" s="19" t="str">
        <x:v>In Field Warranty Claims</x:v>
      </x:c>
      <x:c r="N2293" s="37" t="n">
        <x:v>46114</x:v>
      </x:c>
      <x:c r="O2293" s="37"/>
      <x:c r="P2293" s="34" t="n">
        <x:v>0</x:v>
      </x:c>
      <x:c r="Q2293" s="37" t="n">
        <x:v>46138.996666666666</x:v>
      </x:c>
    </x:row>
    <x:row r="2294">
      <x:c r="A2294" s="22" t="n">
        <x:v>33187</x:v>
      </x:c>
      <x:c r="B2294" s="28" t="n">
        <x:v>2219.34</x:v>
      </x:c>
      <x:c r="C2294" s="28"/>
      <x:c r="D2294" s="31" t="str">
        <x:f>IF(OR(ISBLANK(B2294),ISBLANK(C2294),B2294=0),"",(C2294-B2294)/B2294)</x:f>
      </x:c>
      <x:c r="E2294" s="22" t="str">
        <x:f>IF(ISBLANK(C2294),"AmountIncludingTax缺失",IF(ABS(B2294-C2294)&lt;0.005,"一致","不一致"))</x:f>
        <x:v>AmountIncludingTax缺失</x:v>
      </x:c>
      <x:c r="F2294" s="19" t="str">
        <x:v>approved</x:v>
      </x:c>
      <x:c r="G2294" s="19" t="str">
        <x:v>Repair in Progress</x:v>
      </x:c>
      <x:c r="H2294" s="19" t="str">
        <x:v>In Field</x:v>
      </x:c>
      <x:c r="I2294" s="37" t="n">
        <x:v>46150</x:v>
      </x:c>
      <x:c r="J2294" s="37" t="n">
        <x:v>46150</x:v>
      </x:c>
      <x:c r="K2294" s="19" t="str">
        <x:v>Regent RV - Townsville</x:v>
      </x:c>
      <x:c r="L2294" s="19" t="str">
        <x:v>Z006</x:v>
      </x:c>
      <x:c r="M2294" s="19" t="str">
        <x:v>In Field Warranty Claims</x:v>
      </x:c>
      <x:c r="N2294" s="37" t="n">
        <x:v>46114</x:v>
      </x:c>
      <x:c r="O2294" s="37"/>
      <x:c r="P2294" s="34" t="n">
        <x:v>0</x:v>
      </x:c>
      <x:c r="Q2294" s="37" t="n">
        <x:v>46150.043912037036</x:v>
      </x:c>
    </x:row>
    <x:row r="2295">
      <x:c r="A2295" s="22" t="n">
        <x:v>33182</x:v>
      </x:c>
      <x:c r="B2295" s="28" t="n">
        <x:v>773.75</x:v>
      </x:c>
      <x:c r="C2295" s="28"/>
      <x:c r="D2295" s="31" t="str">
        <x:f>IF(OR(ISBLANK(B2295),ISBLANK(C2295),B2295=0),"",(C2295-B2295)/B2295)</x:f>
      </x:c>
      <x:c r="E2295" s="22" t="str">
        <x:f>IF(ISBLANK(C2295),"AmountIncludingTax缺失",IF(ABS(B2295-C2295)&lt;0.005,"一致","不一致"))</x:f>
        <x:v>AmountIncludingTax缺失</x:v>
      </x:c>
      <x:c r="F2295" s="19" t="str">
        <x:v>approved</x:v>
      </x:c>
      <x:c r="G2295" s="19" t="str">
        <x:v>Repair in Progress</x:v>
      </x:c>
      <x:c r="H2295" s="19" t="str">
        <x:v>In Field</x:v>
      </x:c>
      <x:c r="I2295" s="37" t="n">
        <x:v>46125</x:v>
      </x:c>
      <x:c r="J2295" s="37" t="n">
        <x:v>46122</x:v>
      </x:c>
      <x:c r="K2295" s="19" t="str">
        <x:v>Regent RV - Toowoomba</x:v>
      </x:c>
      <x:c r="L2295" s="19" t="str">
        <x:v>Z006</x:v>
      </x:c>
      <x:c r="M2295" s="19" t="str">
        <x:v>In Field Warranty Claims</x:v>
      </x:c>
      <x:c r="N2295" s="37" t="n">
        <x:v>46114</x:v>
      </x:c>
      <x:c r="O2295" s="37"/>
      <x:c r="P2295" s="34" t="n">
        <x:v>0</x:v>
      </x:c>
      <x:c r="Q2295" s="37" t="n">
        <x:v>46124.956875</x:v>
      </x:c>
    </x:row>
    <x:row r="2296">
      <x:c r="A2296" s="22" t="n">
        <x:v>33181</x:v>
      </x:c>
      <x:c r="B2296" s="28" t="n">
        <x:v>988.75</x:v>
      </x:c>
      <x:c r="C2296" s="28"/>
      <x:c r="D2296" s="31" t="str">
        <x:f>IF(OR(ISBLANK(B2296),ISBLANK(C2296),B2296=0),"",(C2296-B2296)/B2296)</x:f>
      </x:c>
      <x:c r="E2296" s="22" t="str">
        <x:f>IF(ISBLANK(C2296),"AmountIncludingTax缺失",IF(ABS(B2296-C2296)&lt;0.005,"一致","不一致"))</x:f>
        <x:v>AmountIncludingTax缺失</x:v>
      </x:c>
      <x:c r="F2296" s="19" t="str">
        <x:v>approved</x:v>
      </x:c>
      <x:c r="G2296" s="19" t="str">
        <x:v>Repair in Progress</x:v>
      </x:c>
      <x:c r="H2296" s="19" t="str">
        <x:v>In Field</x:v>
      </x:c>
      <x:c r="I2296" s="37" t="n">
        <x:v>46115</x:v>
      </x:c>
      <x:c r="J2296" s="37" t="n">
        <x:v>46115</x:v>
      </x:c>
      <x:c r="K2296" s="19" t="str">
        <x:v>Green RV - Forest Glen</x:v>
      </x:c>
      <x:c r="L2296" s="19" t="str">
        <x:v>Z006</x:v>
      </x:c>
      <x:c r="M2296" s="19" t="str">
        <x:v>In Field Warranty Claims</x:v>
      </x:c>
      <x:c r="N2296" s="37" t="n">
        <x:v>46114</x:v>
      </x:c>
      <x:c r="O2296" s="37"/>
      <x:c r="P2296" s="34" t="n">
        <x:v>0</x:v>
      </x:c>
      <x:c r="Q2296" s="37" t="n">
        <x:v>46115.03057870371</x:v>
      </x:c>
    </x:row>
    <x:row r="2297">
      <x:c r="A2297" s="22" t="n">
        <x:v>33180</x:v>
      </x:c>
      <x:c r="B2297" s="28" t="n">
        <x:v>141.44</x:v>
      </x:c>
      <x:c r="C2297" s="28" t="n">
        <x:v>155.58</x:v>
      </x:c>
      <x:c r="D2297" s="31" t="n">
        <x:f>IF(OR(ISBLANK(B2297),ISBLANK(C2297),B2297=0),"",(C2297-B2297)/B2297)</x:f>
        <x:v>0.09997171945701368</x:v>
      </x:c>
      <x:c r="E2297" s="22" t="str">
        <x:f>IF(ISBLANK(C2297),"AmountIncludingTax缺失",IF(ABS(B2297-C2297)&lt;0.005,"一致","不一致"))</x:f>
        <x:v>不一致</x:v>
      </x:c>
      <x:c r="F2297" s="19" t="str">
        <x:v>approved</x:v>
      </x:c>
      <x:c r="G2297" s="19" t="str">
        <x:v>Repairer Invoiced Processed</x:v>
      </x:c>
      <x:c r="H2297" s="19" t="str">
        <x:v>In Field</x:v>
      </x:c>
      <x:c r="I2297" s="37" t="n">
        <x:v>46128</x:v>
      </x:c>
      <x:c r="J2297" s="37" t="n">
        <x:v>46128</x:v>
      </x:c>
      <x:c r="K2297" s="19" t="str">
        <x:v>Regent RV - Perth</x:v>
      </x:c>
      <x:c r="L2297" s="19" t="str">
        <x:v>Z006</x:v>
      </x:c>
      <x:c r="M2297" s="19" t="str">
        <x:v>In Field Warranty Claims</x:v>
      </x:c>
      <x:c r="N2297" s="37" t="n">
        <x:v>46115</x:v>
      </x:c>
      <x:c r="O2297" s="37"/>
      <x:c r="P2297" s="34" t="n">
        <x:v>155.58</x:v>
      </x:c>
      <x:c r="Q2297" s="37" t="n">
        <x:v>46127.96803240741</x:v>
      </x:c>
    </x:row>
    <x:row r="2298">
      <x:c r="A2298" s="22" t="n">
        <x:v>33179</x:v>
      </x:c>
      <x:c r="B2298" s="28" t="n">
        <x:v>270</x:v>
      </x:c>
      <x:c r="C2298" s="28"/>
      <x:c r="D2298" s="31" t="str">
        <x:f>IF(OR(ISBLANK(B2298),ISBLANK(C2298),B2298=0),"",(C2298-B2298)/B2298)</x:f>
      </x:c>
      <x:c r="E2298" s="22" t="str">
        <x:f>IF(ISBLANK(C2298),"AmountIncludingTax缺失",IF(ABS(B2298-C2298)&lt;0.005,"一致","不一致"))</x:f>
        <x:v>AmountIncludingTax缺失</x:v>
      </x:c>
      <x:c r="F2298" s="19" t="str">
        <x:v>approved</x:v>
      </x:c>
      <x:c r="G2298" s="19" t="str">
        <x:v>Repair in Progress</x:v>
      </x:c>
      <x:c r="H2298" s="19" t="str">
        <x:v>In Field</x:v>
      </x:c>
      <x:c r="I2298" s="37" t="n">
        <x:v>46168</x:v>
      </x:c>
      <x:c r="J2298" s="37" t="n">
        <x:v>46168</x:v>
      </x:c>
      <x:c r="K2298" s="19" t="str">
        <x:v>Auswide Caravans - South Nowra</x:v>
      </x:c>
      <x:c r="L2298" s="19" t="str">
        <x:v>Z006</x:v>
      </x:c>
      <x:c r="M2298" s="19" t="str">
        <x:v>In Field Warranty Claims</x:v>
      </x:c>
      <x:c r="N2298" s="37" t="n">
        <x:v>46115</x:v>
      </x:c>
      <x:c r="O2298" s="37"/>
      <x:c r="P2298" s="34" t="n">
        <x:v>0</x:v>
      </x:c>
      <x:c r="Q2298" s="37" t="n">
        <x:v>46168.01634259259</x:v>
      </x:c>
    </x:row>
    <x:row r="2299">
      <x:c r="A2299" s="22" t="n">
        <x:v>33177</x:v>
      </x:c>
      <x:c r="B2299" s="28" t="n">
        <x:v>1510</x:v>
      </x:c>
      <x:c r="C2299" s="28"/>
      <x:c r="D2299" s="31" t="str">
        <x:f>IF(OR(ISBLANK(B2299),ISBLANK(C2299),B2299=0),"",(C2299-B2299)/B2299)</x:f>
      </x:c>
      <x:c r="E2299" s="22" t="str">
        <x:f>IF(ISBLANK(C2299),"AmountIncludingTax缺失",IF(ABS(B2299-C2299)&lt;0.005,"一致","不一致"))</x:f>
        <x:v>AmountIncludingTax缺失</x:v>
      </x:c>
      <x:c r="F2299" s="19" t="str">
        <x:v>approved</x:v>
      </x:c>
      <x:c r="G2299" s="19" t="str">
        <x:v>Repair in Progress</x:v>
      </x:c>
      <x:c r="H2299" s="19" t="str">
        <x:v>In Field</x:v>
      </x:c>
      <x:c r="I2299" s="37" t="n">
        <x:v>46150</x:v>
      </x:c>
      <x:c r="J2299" s="37" t="n">
        <x:v>46150</x:v>
      </x:c>
      <x:c r="K2299" s="19" t="str">
        <x:v>Vanari Caravans - Marden Point</x:v>
      </x:c>
      <x:c r="L2299" s="19" t="str">
        <x:v>Z006</x:v>
      </x:c>
      <x:c r="M2299" s="19" t="str">
        <x:v>In Field Warranty Claims</x:v>
      </x:c>
      <x:c r="N2299" s="37" t="n">
        <x:v>46114</x:v>
      </x:c>
      <x:c r="O2299" s="37"/>
      <x:c r="P2299" s="34" t="n">
        <x:v>1367.15</x:v>
      </x:c>
      <x:c r="Q2299" s="37" t="n">
        <x:v>46150.04314814815</x:v>
      </x:c>
    </x:row>
    <x:row r="2300">
      <x:c r="A2300" s="22" t="n">
        <x:v>33173</x:v>
      </x:c>
      <x:c r="B2300" s="28" t="n">
        <x:v>227.5</x:v>
      </x:c>
      <x:c r="C2300" s="28"/>
      <x:c r="D2300" s="31" t="str">
        <x:f>IF(OR(ISBLANK(B2300),ISBLANK(C2300),B2300=0),"",(C2300-B2300)/B2300)</x:f>
      </x:c>
      <x:c r="E2300" s="22" t="str">
        <x:f>IF(ISBLANK(C2300),"AmountIncludingTax缺失",IF(ABS(B2300-C2300)&lt;0.005,"一致","不一致"))</x:f>
        <x:v>AmountIncludingTax缺失</x:v>
      </x:c>
      <x:c r="F2300" s="19" t="str">
        <x:v>approved</x:v>
      </x:c>
      <x:c r="G2300" s="19" t="str">
        <x:v>Sales Order Approved</x:v>
      </x:c>
      <x:c r="H2300" s="19" t="str">
        <x:v>In Field</x:v>
      </x:c>
      <x:c r="I2300" s="37" t="n">
        <x:v>46157</x:v>
      </x:c>
      <x:c r="J2300" s="37" t="n">
        <x:v>46157</x:v>
      </x:c>
      <x:c r="K2300" s="19" t="str">
        <x:v>The Caravan Hub - Townsville</x:v>
      </x:c>
      <x:c r="L2300" s="19" t="str">
        <x:v>Z006</x:v>
      </x:c>
      <x:c r="M2300" s="19" t="str">
        <x:v>In Field Warranty Claims</x:v>
      </x:c>
      <x:c r="N2300" s="37" t="n">
        <x:v>46114</x:v>
      </x:c>
      <x:c r="O2300" s="37"/>
      <x:c r="P2300" s="34" t="n">
        <x:v>0</x:v>
      </x:c>
      <x:c r="Q2300" s="37" t="n">
        <x:v>46157.10221064815</x:v>
      </x:c>
    </x:row>
    <x:row r="2301">
      <x:c r="A2301" s="22" t="n">
        <x:v>33172</x:v>
      </x:c>
      <x:c r="B2301" s="28" t="n">
        <x:v>258.75</x:v>
      </x:c>
      <x:c r="C2301" s="28"/>
      <x:c r="D2301" s="31" t="str">
        <x:f>IF(OR(ISBLANK(B2301),ISBLANK(C2301),B2301=0),"",(C2301-B2301)/B2301)</x:f>
      </x:c>
      <x:c r="E2301" s="22" t="str">
        <x:f>IF(ISBLANK(C2301),"AmountIncludingTax缺失",IF(ABS(B2301-C2301)&lt;0.005,"一致","不一致"))</x:f>
        <x:v>AmountIncludingTax缺失</x:v>
      </x:c>
      <x:c r="F2301" s="19" t="str">
        <x:v>approved</x:v>
      </x:c>
      <x:c r="G2301" s="19" t="str">
        <x:v>Repairer Invoiced Processed</x:v>
      </x:c>
      <x:c r="H2301" s="19" t="str">
        <x:v>Pre Delivery</x:v>
      </x:c>
      <x:c r="I2301" s="37" t="n">
        <x:v>46139</x:v>
      </x:c>
      <x:c r="J2301" s="37" t="n">
        <x:v>46139</x:v>
      </x:c>
      <x:c r="K2301" s="19" t="str">
        <x:v>The Caravan Hub - Townsville</x:v>
      </x:c>
      <x:c r="L2301" s="19" t="str">
        <x:v>Z005</x:v>
      </x:c>
      <x:c r="M2301" s="19" t="str">
        <x:v>Pre Delivery Warranty Claims</x:v>
      </x:c>
      <x:c r="N2301" s="37" t="n">
        <x:v>46114</x:v>
      </x:c>
      <x:c r="O2301" s="37"/>
      <x:c r="P2301" s="34" t="n">
        <x:v>0</x:v>
      </x:c>
      <x:c r="Q2301" s="37" t="n">
        <x:v>46138.999027777776</x:v>
      </x:c>
    </x:row>
    <x:row r="2302">
      <x:c r="A2302" s="22" t="n">
        <x:v>33171</x:v>
      </x:c>
      <x:c r="B2302" s="28" t="n">
        <x:v>310.91</x:v>
      </x:c>
      <x:c r="C2302" s="28"/>
      <x:c r="D2302" s="31" t="str">
        <x:f>IF(OR(ISBLANK(B2302),ISBLANK(C2302),B2302=0),"",(C2302-B2302)/B2302)</x:f>
      </x:c>
      <x:c r="E2302" s="22" t="str">
        <x:f>IF(ISBLANK(C2302),"AmountIncludingTax缺失",IF(ABS(B2302-C2302)&lt;0.005,"一致","不一致"))</x:f>
        <x:v>AmountIncludingTax缺失</x:v>
      </x:c>
      <x:c r="F2302" s="19" t="str">
        <x:v>approved</x:v>
      </x:c>
      <x:c r="G2302" s="19" t="str">
        <x:v>Repairer Invoiced Processed</x:v>
      </x:c>
      <x:c r="H2302" s="19" t="str">
        <x:v>Pre Delivery</x:v>
      </x:c>
      <x:c r="I2302" s="37" t="n">
        <x:v>46142</x:v>
      </x:c>
      <x:c r="J2302" s="37" t="n">
        <x:v>46139</x:v>
      </x:c>
      <x:c r="K2302" s="19" t="str">
        <x:v>Regent RV - Townsville</x:v>
      </x:c>
      <x:c r="L2302" s="19" t="str">
        <x:v>Z005</x:v>
      </x:c>
      <x:c r="M2302" s="19" t="str">
        <x:v>Pre Delivery Warranty Claims</x:v>
      </x:c>
      <x:c r="N2302" s="37" t="n">
        <x:v>46114</x:v>
      </x:c>
      <x:c r="O2302" s="37"/>
      <x:c r="P2302" s="34" t="n">
        <x:v>0</x:v>
      </x:c>
      <x:c r="Q2302" s="37" t="n">
        <x:v>46142.17456018519</x:v>
      </x:c>
    </x:row>
    <x:row r="2303">
      <x:c r="A2303" s="22" t="n">
        <x:v>33170</x:v>
      </x:c>
      <x:c r="B2303" s="28" t="n">
        <x:v>1066.25</x:v>
      </x:c>
      <x:c r="C2303" s="28"/>
      <x:c r="D2303" s="31" t="str">
        <x:f>IF(OR(ISBLANK(B2303),ISBLANK(C2303),B2303=0),"",(C2303-B2303)/B2303)</x:f>
      </x:c>
      <x:c r="E2303" s="22" t="str">
        <x:f>IF(ISBLANK(C2303),"AmountIncludingTax缺失",IF(ABS(B2303-C2303)&lt;0.005,"一致","不一致"))</x:f>
        <x:v>AmountIncludingTax缺失</x:v>
      </x:c>
      <x:c r="F2303" s="19" t="str">
        <x:v>approved</x:v>
      </x:c>
      <x:c r="G2303" s="19" t="str">
        <x:v>Repairer Invoiced Processed</x:v>
      </x:c>
      <x:c r="H2303" s="19" t="str">
        <x:v>In Field</x:v>
      </x:c>
      <x:c r="I2303" s="37" t="n">
        <x:v>46122</x:v>
      </x:c>
      <x:c r="J2303" s="37" t="n">
        <x:v>46122</x:v>
      </x:c>
      <x:c r="K2303" s="19" t="str">
        <x:v>Regent RV - Toowoomba</x:v>
      </x:c>
      <x:c r="L2303" s="19" t="str">
        <x:v>Z006</x:v>
      </x:c>
      <x:c r="M2303" s="19" t="str">
        <x:v>In Field Warranty Claims</x:v>
      </x:c>
      <x:c r="N2303" s="37" t="n">
        <x:v>46114</x:v>
      </x:c>
      <x:c r="O2303" s="37"/>
      <x:c r="P2303" s="34" t="n">
        <x:v>0</x:v>
      </x:c>
      <x:c r="Q2303" s="37" t="n">
        <x:v>46122.01493055555</x:v>
      </x:c>
    </x:row>
    <x:row r="2304">
      <x:c r="A2304" s="22" t="n">
        <x:v>33169</x:v>
      </x:c>
      <x:c r="B2304" s="28" t="n">
        <x:v>135</x:v>
      </x:c>
      <x:c r="C2304" s="28"/>
      <x:c r="D2304" s="31" t="str">
        <x:f>IF(OR(ISBLANK(B2304),ISBLANK(C2304),B2304=0),"",(C2304-B2304)/B2304)</x:f>
      </x:c>
      <x:c r="E2304" s="22" t="str">
        <x:f>IF(ISBLANK(C2304),"AmountIncludingTax缺失",IF(ABS(B2304-C2304)&lt;0.005,"一致","不一致"))</x:f>
        <x:v>AmountIncludingTax缺失</x:v>
      </x:c>
      <x:c r="F2304" s="19" t="str">
        <x:v>approved</x:v>
      </x:c>
      <x:c r="G2304" s="19" t="str">
        <x:v>Repair in Progress</x:v>
      </x:c>
      <x:c r="H2304" s="19" t="str">
        <x:v>In Field</x:v>
      </x:c>
      <x:c r="I2304" s="37" t="n">
        <x:v>46129</x:v>
      </x:c>
      <x:c r="J2304" s="37" t="n">
        <x:v>46129</x:v>
      </x:c>
      <x:c r="K2304" s="19" t="str">
        <x:v>Green RV - Slacks Creek</x:v>
      </x:c>
      <x:c r="L2304" s="19" t="str">
        <x:v>Z006</x:v>
      </x:c>
      <x:c r="M2304" s="19" t="str">
        <x:v>In Field Warranty Claims</x:v>
      </x:c>
      <x:c r="N2304" s="37" t="n">
        <x:v>46114</x:v>
      </x:c>
      <x:c r="O2304" s="37"/>
      <x:c r="P2304" s="34" t="n">
        <x:v>0</x:v>
      </x:c>
      <x:c r="Q2304" s="37" t="n">
        <x:v>46129.16899305556</x:v>
      </x:c>
    </x:row>
    <x:row r="2305">
      <x:c r="A2305" s="22" t="n">
        <x:v>33168</x:v>
      </x:c>
      <x:c r="B2305" s="28" t="n">
        <x:v>391.25</x:v>
      </x:c>
      <x:c r="C2305" s="28"/>
      <x:c r="D2305" s="31" t="str">
        <x:f>IF(OR(ISBLANK(B2305),ISBLANK(C2305),B2305=0),"",(C2305-B2305)/B2305)</x:f>
      </x:c>
      <x:c r="E2305" s="22" t="str">
        <x:f>IF(ISBLANK(C2305),"AmountIncludingTax缺失",IF(ABS(B2305-C2305)&lt;0.005,"一致","不一致"))</x:f>
        <x:v>AmountIncludingTax缺失</x:v>
      </x:c>
      <x:c r="F2305" s="19" t="str">
        <x:v>approved</x:v>
      </x:c>
      <x:c r="G2305" s="19" t="str">
        <x:v>Repair in Progress</x:v>
      </x:c>
      <x:c r="H2305" s="19" t="str">
        <x:v>In Field</x:v>
      </x:c>
      <x:c r="I2305" s="37" t="n">
        <x:v>46122</x:v>
      </x:c>
      <x:c r="J2305" s="37" t="n">
        <x:v>46122</x:v>
      </x:c>
      <x:c r="K2305" s="19" t="str">
        <x:v>Regent RV - Perth</x:v>
      </x:c>
      <x:c r="L2305" s="19" t="str">
        <x:v>Z006</x:v>
      </x:c>
      <x:c r="M2305" s="19" t="str">
        <x:v>In Field Warranty Claims</x:v>
      </x:c>
      <x:c r="N2305" s="37" t="n">
        <x:v>46114</x:v>
      </x:c>
      <x:c r="O2305" s="37"/>
      <x:c r="P2305" s="34" t="n">
        <x:v>0</x:v>
      </x:c>
      <x:c r="Q2305" s="37" t="n">
        <x:v>46122.22793981482</x:v>
      </x:c>
    </x:row>
    <x:row r="2306">
      <x:c r="A2306" s="22" t="n">
        <x:v>33167</x:v>
      </x:c>
      <x:c r="B2306" s="28" t="n">
        <x:v>1153.75</x:v>
      </x:c>
      <x:c r="C2306" s="28"/>
      <x:c r="D2306" s="31" t="str">
        <x:f>IF(OR(ISBLANK(B2306),ISBLANK(C2306),B2306=0),"",(C2306-B2306)/B2306)</x:f>
      </x:c>
      <x:c r="E2306" s="22" t="str">
        <x:f>IF(ISBLANK(C2306),"AmountIncludingTax缺失",IF(ABS(B2306-C2306)&lt;0.005,"一致","不一致"))</x:f>
        <x:v>AmountIncludingTax缺失</x:v>
      </x:c>
      <x:c r="F2306" s="19" t="str">
        <x:v>approved</x:v>
      </x:c>
      <x:c r="G2306" s="19" t="str">
        <x:v>Repair in Progress</x:v>
      </x:c>
      <x:c r="H2306" s="19" t="str">
        <x:v>Pre Delivery</x:v>
      </x:c>
      <x:c r="I2306" s="37" t="n">
        <x:v>46147</x:v>
      </x:c>
      <x:c r="J2306" s="37" t="n">
        <x:v>46147</x:v>
      </x:c>
      <x:c r="K2306" s="19" t="str">
        <x:v>Leisure Lion - Bundaberg</x:v>
      </x:c>
      <x:c r="L2306" s="19" t="str">
        <x:v>Z005</x:v>
      </x:c>
      <x:c r="M2306" s="19" t="str">
        <x:v>Pre Delivery Warranty Claims</x:v>
      </x:c>
      <x:c r="N2306" s="37" t="n">
        <x:v>46114</x:v>
      </x:c>
      <x:c r="O2306" s="37"/>
      <x:c r="P2306" s="34" t="n">
        <x:v>0</x:v>
      </x:c>
      <x:c r="Q2306" s="37" t="n">
        <x:v>46147.21555555556</x:v>
      </x:c>
    </x:row>
    <x:row r="2307">
      <x:c r="A2307" s="22" t="n">
        <x:v>33166</x:v>
      </x:c>
      <x:c r="B2307" s="28" t="n">
        <x:v>786.25</x:v>
      </x:c>
      <x:c r="C2307" s="28"/>
      <x:c r="D2307" s="31" t="str">
        <x:f>IF(OR(ISBLANK(B2307),ISBLANK(C2307),B2307=0),"",(C2307-B2307)/B2307)</x:f>
      </x:c>
      <x:c r="E2307" s="22" t="str">
        <x:f>IF(ISBLANK(C2307),"AmountIncludingTax缺失",IF(ABS(B2307-C2307)&lt;0.005,"一致","不一致"))</x:f>
        <x:v>AmountIncludingTax缺失</x:v>
      </x:c>
      <x:c r="F2307" s="19" t="str">
        <x:v>approved</x:v>
      </x:c>
      <x:c r="G2307" s="19" t="str">
        <x:v>Repair in Progress</x:v>
      </x:c>
      <x:c r="H2307" s="19" t="str">
        <x:v>In Field</x:v>
      </x:c>
      <x:c r="I2307" s="37" t="n">
        <x:v>46119</x:v>
      </x:c>
      <x:c r="J2307" s="37" t="n">
        <x:v>46119</x:v>
      </x:c>
      <x:c r="K2307" s="19" t="str">
        <x:v>Regent RV - Townsville</x:v>
      </x:c>
      <x:c r="L2307" s="19" t="str">
        <x:v>Z006</x:v>
      </x:c>
      <x:c r="M2307" s="19" t="str">
        <x:v>In Field Warranty Claims</x:v>
      </x:c>
      <x:c r="N2307" s="37" t="n">
        <x:v>46114</x:v>
      </x:c>
      <x:c r="O2307" s="37"/>
      <x:c r="P2307" s="34" t="n">
        <x:v>0</x:v>
      </x:c>
      <x:c r="Q2307" s="37" t="n">
        <x:v>46118.947291666664</x:v>
      </x:c>
    </x:row>
    <x:row r="2308">
      <x:c r="A2308" s="22" t="n">
        <x:v>33165</x:v>
      </x:c>
      <x:c r="B2308" s="28" t="n">
        <x:v>207.5</x:v>
      </x:c>
      <x:c r="C2308" s="28"/>
      <x:c r="D2308" s="31" t="str">
        <x:f>IF(OR(ISBLANK(B2308),ISBLANK(C2308),B2308=0),"",(C2308-B2308)/B2308)</x:f>
      </x:c>
      <x:c r="E2308" s="22" t="str">
        <x:f>IF(ISBLANK(C2308),"AmountIncludingTax缺失",IF(ABS(B2308-C2308)&lt;0.005,"一致","不一致"))</x:f>
        <x:v>AmountIncludingTax缺失</x:v>
      </x:c>
      <x:c r="F2308" s="19" t="str">
        <x:v>approved</x:v>
      </x:c>
      <x:c r="G2308" s="19" t="str">
        <x:v>Repair in Progress</x:v>
      </x:c>
      <x:c r="H2308" s="19" t="str">
        <x:v>In Field</x:v>
      </x:c>
      <x:c r="I2308" s="37" t="n">
        <x:v>46126</x:v>
      </x:c>
      <x:c r="J2308" s="37" t="n">
        <x:v>46126</x:v>
      </x:c>
      <x:c r="K2308" s="19" t="str">
        <x:v>Regent RV - Perth</x:v>
      </x:c>
      <x:c r="L2308" s="19" t="str">
        <x:v>Z006</x:v>
      </x:c>
      <x:c r="M2308" s="19" t="str">
        <x:v>In Field Warranty Claims</x:v>
      </x:c>
      <x:c r="N2308" s="37" t="n">
        <x:v>46113</x:v>
      </x:c>
      <x:c r="O2308" s="37"/>
      <x:c r="P2308" s="34" t="n">
        <x:v>0</x:v>
      </x:c>
      <x:c r="Q2308" s="37" t="n">
        <x:v>46125.79620370371</x:v>
      </x:c>
    </x:row>
    <x:row r="2309">
      <x:c r="A2309" s="22" t="n">
        <x:v>33164</x:v>
      </x:c>
      <x:c r="B2309" s="28" t="n">
        <x:v>106.25</x:v>
      </x:c>
      <x:c r="C2309" s="28"/>
      <x:c r="D2309" s="31" t="str">
        <x:f>IF(OR(ISBLANK(B2309),ISBLANK(C2309),B2309=0),"",(C2309-B2309)/B2309)</x:f>
      </x:c>
      <x:c r="E2309" s="22" t="str">
        <x:f>IF(ISBLANK(C2309),"AmountIncludingTax缺失",IF(ABS(B2309-C2309)&lt;0.005,"一致","不一致"))</x:f>
        <x:v>AmountIncludingTax缺失</x:v>
      </x:c>
      <x:c r="F2309" s="19" t="str">
        <x:v>approved</x:v>
      </x:c>
      <x:c r="G2309" s="19" t="str">
        <x:v>Repair in Progress</x:v>
      </x:c>
      <x:c r="H2309" s="19" t="str">
        <x:v>In Field</x:v>
      </x:c>
      <x:c r="I2309" s="37" t="n">
        <x:v>46120</x:v>
      </x:c>
      <x:c r="J2309" s="37" t="n">
        <x:v>46120</x:v>
      </x:c>
      <x:c r="K2309" s="19" t="str">
        <x:v>Green RV - Forest Glen</x:v>
      </x:c>
      <x:c r="L2309" s="19" t="str">
        <x:v>Z006</x:v>
      </x:c>
      <x:c r="M2309" s="19" t="str">
        <x:v>In Field Warranty Claims</x:v>
      </x:c>
      <x:c r="N2309" s="37" t="n">
        <x:v>46113</x:v>
      </x:c>
      <x:c r="O2309" s="37"/>
      <x:c r="P2309" s="34" t="n">
        <x:v>0</x:v>
      </x:c>
      <x:c r="Q2309" s="37" t="n">
        <x:v>46119.96503472222</x:v>
      </x:c>
    </x:row>
    <x:row r="2310">
      <x:c r="A2310" s="22" t="n">
        <x:v>33163</x:v>
      </x:c>
      <x:c r="B2310" s="28" t="n">
        <x:v>49.17</x:v>
      </x:c>
      <x:c r="C2310" s="28"/>
      <x:c r="D2310" s="31" t="str">
        <x:f>IF(OR(ISBLANK(B2310),ISBLANK(C2310),B2310=0),"",(C2310-B2310)/B2310)</x:f>
      </x:c>
      <x:c r="E2310" s="22" t="str">
        <x:f>IF(ISBLANK(C2310),"AmountIncludingTax缺失",IF(ABS(B2310-C2310)&lt;0.005,"一致","不一致"))</x:f>
        <x:v>AmountIncludingTax缺失</x:v>
      </x:c>
      <x:c r="F2310" s="19" t="str">
        <x:v>approved</x:v>
      </x:c>
      <x:c r="G2310" s="19" t="str">
        <x:v>Repairer Invoiced Processed</x:v>
      </x:c>
      <x:c r="H2310" s="19" t="str">
        <x:v>In Field</x:v>
      </x:c>
      <x:c r="I2310" s="37" t="n">
        <x:v>46206</x:v>
      </x:c>
      <x:c r="J2310" s="37" t="n">
        <x:v>46125</x:v>
      </x:c>
      <x:c r="K2310" s="19" t="str">
        <x:v>Regent RV - Toowoomba</x:v>
      </x:c>
      <x:c r="L2310" s="19" t="str">
        <x:v>Z006</x:v>
      </x:c>
      <x:c r="M2310" s="19" t="str">
        <x:v>In Field Warranty Claims</x:v>
      </x:c>
      <x:c r="N2310" s="37" t="n">
        <x:v>46113</x:v>
      </x:c>
      <x:c r="O2310" s="37"/>
      <x:c r="P2310" s="34" t="n">
        <x:v>0</x:v>
      </x:c>
      <x:c r="Q2310" s="37" t="n">
        <x:v>46206.28351851852</x:v>
      </x:c>
    </x:row>
    <x:row r="2311">
      <x:c r="A2311" s="22" t="n">
        <x:v>33162</x:v>
      </x:c>
      <x:c r="B2311" s="28" t="n">
        <x:v>1767.5</x:v>
      </x:c>
      <x:c r="C2311" s="28"/>
      <x:c r="D2311" s="31" t="str">
        <x:f>IF(OR(ISBLANK(B2311),ISBLANK(C2311),B2311=0),"",(C2311-B2311)/B2311)</x:f>
      </x:c>
      <x:c r="E2311" s="22" t="str">
        <x:f>IF(ISBLANK(C2311),"AmountIncludingTax缺失",IF(ABS(B2311-C2311)&lt;0.005,"一致","不一致"))</x:f>
        <x:v>AmountIncludingTax缺失</x:v>
      </x:c>
      <x:c r="F2311" s="19" t="str">
        <x:v>approved</x:v>
      </x:c>
      <x:c r="G2311" s="19" t="str">
        <x:v>Repair in Progress</x:v>
      </x:c>
      <x:c r="H2311" s="19" t="str">
        <x:v>In Field</x:v>
      </x:c>
      <x:c r="I2311" s="37" t="n">
        <x:v>46120</x:v>
      </x:c>
      <x:c r="J2311" s="37" t="n">
        <x:v>46120</x:v>
      </x:c>
      <x:c r="K2311" s="19" t="str">
        <x:v>Snowy River Frankston</x:v>
      </x:c>
      <x:c r="L2311" s="19" t="str">
        <x:v>Z006</x:v>
      </x:c>
      <x:c r="M2311" s="19" t="str">
        <x:v>In Field Warranty Claims</x:v>
      </x:c>
      <x:c r="N2311" s="37" t="n">
        <x:v>46113</x:v>
      </x:c>
      <x:c r="O2311" s="37"/>
      <x:c r="P2311" s="34" t="n">
        <x:v>0</x:v>
      </x:c>
      <x:c r="Q2311" s="37" t="n">
        <x:v>46119.95921296296</x:v>
      </x:c>
    </x:row>
    <x:row r="2312">
      <x:c r="A2312" s="22" t="n">
        <x:v>33159</x:v>
      </x:c>
      <x:c r="B2312" s="28" t="n">
        <x:v>202.5</x:v>
      </x:c>
      <x:c r="C2312" s="28"/>
      <x:c r="D2312" s="31" t="str">
        <x:f>IF(OR(ISBLANK(B2312),ISBLANK(C2312),B2312=0),"",(C2312-B2312)/B2312)</x:f>
      </x:c>
      <x:c r="E2312" s="22" t="str">
        <x:f>IF(ISBLANK(C2312),"AmountIncludingTax缺失",IF(ABS(B2312-C2312)&lt;0.005,"一致","不一致"))</x:f>
        <x:v>AmountIncludingTax缺失</x:v>
      </x:c>
      <x:c r="F2312" s="19" t="str">
        <x:v>approved</x:v>
      </x:c>
      <x:c r="G2312" s="19" t="str">
        <x:v>Repair in Progress</x:v>
      </x:c>
      <x:c r="H2312" s="19" t="str">
        <x:v>In Field</x:v>
      </x:c>
      <x:c r="I2312" s="37" t="n">
        <x:v>46132</x:v>
      </x:c>
      <x:c r="J2312" s="37" t="n">
        <x:v>46132</x:v>
      </x:c>
      <x:c r="K2312" s="19" t="str">
        <x:v>Newcastle RV Super Centre - Beresfield</x:v>
      </x:c>
      <x:c r="L2312" s="19" t="str">
        <x:v>Z006</x:v>
      </x:c>
      <x:c r="M2312" s="19" t="str">
        <x:v>In Field Warranty Claims</x:v>
      </x:c>
      <x:c r="N2312" s="37" t="n">
        <x:v>46113</x:v>
      </x:c>
      <x:c r="O2312" s="37"/>
      <x:c r="P2312" s="34" t="n">
        <x:v>0</x:v>
      </x:c>
      <x:c r="Q2312" s="37" t="n">
        <x:v>46132.263506944444</x:v>
      </x:c>
    </x:row>
    <x:row r="2313">
      <x:c r="A2313" s="22" t="n">
        <x:v>33158</x:v>
      </x:c>
      <x:c r="B2313" s="28" t="n">
        <x:v>825</x:v>
      </x:c>
      <x:c r="C2313" s="28"/>
      <x:c r="D2313" s="31" t="str">
        <x:f>IF(OR(ISBLANK(B2313),ISBLANK(C2313),B2313=0),"",(C2313-B2313)/B2313)</x:f>
      </x:c>
      <x:c r="E2313" s="22" t="str">
        <x:f>IF(ISBLANK(C2313),"AmountIncludingTax缺失",IF(ABS(B2313-C2313)&lt;0.005,"一致","不一致"))</x:f>
        <x:v>AmountIncludingTax缺失</x:v>
      </x:c>
      <x:c r="F2313" s="19" t="str">
        <x:v>approved</x:v>
      </x:c>
      <x:c r="G2313" s="19" t="str">
        <x:v>Repair in Progress</x:v>
      </x:c>
      <x:c r="H2313" s="19" t="str">
        <x:v>In Field</x:v>
      </x:c>
      <x:c r="I2313" s="37" t="n">
        <x:v>46119</x:v>
      </x:c>
      <x:c r="J2313" s="37" t="n">
        <x:v>46119</x:v>
      </x:c>
      <x:c r="K2313" s="19" t="str">
        <x:v>Snowy River Frankston</x:v>
      </x:c>
      <x:c r="L2313" s="19" t="str">
        <x:v>Z006</x:v>
      </x:c>
      <x:c r="M2313" s="19" t="str">
        <x:v>In Field Warranty Claims</x:v>
      </x:c>
      <x:c r="N2313" s="37" t="n">
        <x:v>46113</x:v>
      </x:c>
      <x:c r="O2313" s="37"/>
      <x:c r="P2313" s="34" t="n">
        <x:v>0</x:v>
      </x:c>
      <x:c r="Q2313" s="37" t="n">
        <x:v>46119.196597222224</x:v>
      </x:c>
    </x:row>
    <x:row r="2314">
      <x:c r="A2314" s="22" t="n">
        <x:v>33155</x:v>
      </x:c>
      <x:c r="B2314" s="28" t="n">
        <x:v>153.63</x:v>
      </x:c>
      <x:c r="C2314" s="28" t="n">
        <x:v>168.99</x:v>
      </x:c>
      <x:c r="D2314" s="31" t="n">
        <x:f>IF(OR(ISBLANK(B2314),ISBLANK(C2314),B2314=0),"",(C2314-B2314)/B2314)</x:f>
        <x:v>0.09998047256395244</x:v>
      </x:c>
      <x:c r="E2314" s="22" t="str">
        <x:f>IF(ISBLANK(C2314),"AmountIncludingTax缺失",IF(ABS(B2314-C2314)&lt;0.005,"一致","不一致"))</x:f>
        <x:v>不一致</x:v>
      </x:c>
      <x:c r="F2314" s="19" t="str">
        <x:v>approved</x:v>
      </x:c>
      <x:c r="G2314" s="19" t="str">
        <x:v>Repairer Invoiced Processed</x:v>
      </x:c>
      <x:c r="H2314" s="19" t="str">
        <x:v>In Field</x:v>
      </x:c>
      <x:c r="I2314" s="37" t="n">
        <x:v>46163</x:v>
      </x:c>
      <x:c r="J2314" s="37" t="n">
        <x:v>46163</x:v>
      </x:c>
      <x:c r="K2314" s="19" t="str">
        <x:v>Bendigo Caravan Group - Bendigo</x:v>
      </x:c>
      <x:c r="L2314" s="19" t="str">
        <x:v>Z006</x:v>
      </x:c>
      <x:c r="M2314" s="19" t="str">
        <x:v>In Field Warranty Claims</x:v>
      </x:c>
      <x:c r="N2314" s="37" t="n">
        <x:v>46113</x:v>
      </x:c>
      <x:c r="O2314" s="37"/>
      <x:c r="P2314" s="34" t="n">
        <x:v>168.99</x:v>
      </x:c>
      <x:c r="Q2314" s="37" t="n">
        <x:v>46163.21488425926</x:v>
      </x:c>
    </x:row>
    <x:row r="2315">
      <x:c r="A2315" s="22" t="n">
        <x:v>33154</x:v>
      </x:c>
      <x:c r="B2315" s="28" t="n">
        <x:v>877.5</x:v>
      </x:c>
      <x:c r="C2315" s="28"/>
      <x:c r="D2315" s="31" t="str">
        <x:f>IF(OR(ISBLANK(B2315),ISBLANK(C2315),B2315=0),"",(C2315-B2315)/B2315)</x:f>
      </x:c>
      <x:c r="E2315" s="22" t="str">
        <x:f>IF(ISBLANK(C2315),"AmountIncludingTax缺失",IF(ABS(B2315-C2315)&lt;0.005,"一致","不一致"))</x:f>
        <x:v>AmountIncludingTax缺失</x:v>
      </x:c>
      <x:c r="F2315" s="19" t="str">
        <x:v>approved</x:v>
      </x:c>
      <x:c r="G2315" s="19" t="str">
        <x:v>Repair in Progress</x:v>
      </x:c>
      <x:c r="H2315" s="19" t="str">
        <x:v>In Field</x:v>
      </x:c>
      <x:c r="I2315" s="37" t="n">
        <x:v>46119</x:v>
      </x:c>
      <x:c r="J2315" s="37" t="n">
        <x:v>46119</x:v>
      </x:c>
      <x:c r="K2315" s="19" t="str">
        <x:v>Regent RV - Perth</x:v>
      </x:c>
      <x:c r="L2315" s="19" t="str">
        <x:v>Z006</x:v>
      </x:c>
      <x:c r="M2315" s="19" t="str">
        <x:v>In Field Warranty Claims</x:v>
      </x:c>
      <x:c r="N2315" s="37" t="n">
        <x:v>46113</x:v>
      </x:c>
      <x:c r="O2315" s="37"/>
      <x:c r="P2315" s="34" t="n">
        <x:v>0</x:v>
      </x:c>
      <x:c r="Q2315" s="37" t="n">
        <x:v>46119.198969907404</x:v>
      </x:c>
    </x:row>
    <x:row r="2316">
      <x:c r="A2316" s="22" t="n">
        <x:v>33153</x:v>
      </x:c>
      <x:c r="B2316" s="28" t="n">
        <x:v>405</x:v>
      </x:c>
      <x:c r="C2316" s="28"/>
      <x:c r="D2316" s="31" t="str">
        <x:f>IF(OR(ISBLANK(B2316),ISBLANK(C2316),B2316=0),"",(C2316-B2316)/B2316)</x:f>
      </x:c>
      <x:c r="E2316" s="22" t="str">
        <x:f>IF(ISBLANK(C2316),"AmountIncludingTax缺失",IF(ABS(B2316-C2316)&lt;0.005,"一致","不一致"))</x:f>
        <x:v>AmountIncludingTax缺失</x:v>
      </x:c>
      <x:c r="F2316" s="19" t="str">
        <x:v>approved</x:v>
      </x:c>
      <x:c r="G2316" s="19" t="str">
        <x:v>Repair in Progress</x:v>
      </x:c>
      <x:c r="H2316" s="19" t="str">
        <x:v>In Field</x:v>
      </x:c>
      <x:c r="I2316" s="37" t="n">
        <x:v>46122</x:v>
      </x:c>
      <x:c r="J2316" s="37" t="n">
        <x:v>46122</x:v>
      </x:c>
      <x:c r="K2316" s="19" t="str">
        <x:v>Regent RV - Perth</x:v>
      </x:c>
      <x:c r="L2316" s="19" t="str">
        <x:v>Z006</x:v>
      </x:c>
      <x:c r="M2316" s="19" t="str">
        <x:v>In Field Warranty Claims</x:v>
      </x:c>
      <x:c r="N2316" s="37" t="n">
        <x:v>46113</x:v>
      </x:c>
      <x:c r="O2316" s="37"/>
      <x:c r="P2316" s="34" t="n">
        <x:v>0</x:v>
      </x:c>
      <x:c r="Q2316" s="37" t="n">
        <x:v>46122.24686342593</x:v>
      </x:c>
    </x:row>
    <x:row r="2317">
      <x:c r="A2317" s="22" t="n">
        <x:v>33152</x:v>
      </x:c>
      <x:c r="B2317" s="28" t="n">
        <x:v>661.25</x:v>
      </x:c>
      <x:c r="C2317" s="28" t="n">
        <x:v>598.7</x:v>
      </x:c>
      <x:c r="D2317" s="31" t="n">
        <x:f>IF(OR(ISBLANK(B2317),ISBLANK(C2317),B2317=0),"",(C2317-B2317)/B2317)</x:f>
        <x:v>-0.0945935727788279</x:v>
      </x:c>
      <x:c r="E2317" s="22" t="str">
        <x:f>IF(ISBLANK(C2317),"AmountIncludingTax缺失",IF(ABS(B2317-C2317)&lt;0.005,"一致","不一致"))</x:f>
        <x:v>不一致</x:v>
      </x:c>
      <x:c r="F2317" s="19" t="str">
        <x:v>approved</x:v>
      </x:c>
      <x:c r="G2317" s="19" t="str">
        <x:v>Repairer Invoiced Processed</x:v>
      </x:c>
      <x:c r="H2317" s="19" t="str">
        <x:v>In Field</x:v>
      </x:c>
      <x:c r="I2317" s="37" t="n">
        <x:v>46120</x:v>
      </x:c>
      <x:c r="J2317" s="37" t="n">
        <x:v>46120</x:v>
      </x:c>
      <x:c r="K2317" s="19" t="str">
        <x:v>Vanari Caravans - Marden Point</x:v>
      </x:c>
      <x:c r="L2317" s="19" t="str">
        <x:v>Z006</x:v>
      </x:c>
      <x:c r="M2317" s="19" t="str">
        <x:v>In Field Warranty Claims</x:v>
      </x:c>
      <x:c r="N2317" s="37" t="n">
        <x:v>46113</x:v>
      </x:c>
      <x:c r="O2317" s="37"/>
      <x:c r="P2317" s="34" t="n">
        <x:v>598.7</x:v>
      </x:c>
      <x:c r="Q2317" s="37" t="n">
        <x:v>46119.953726851854</x:v>
      </x:c>
    </x:row>
    <x:row r="2318">
      <x:c r="A2318" s="22" t="n">
        <x:v>33151</x:v>
      </x:c>
      <x:c r="B2318" s="28" t="n">
        <x:v>2700</x:v>
      </x:c>
      <x:c r="C2318" s="28"/>
      <x:c r="D2318" s="31" t="str">
        <x:f>IF(OR(ISBLANK(B2318),ISBLANK(C2318),B2318=0),"",(C2318-B2318)/B2318)</x:f>
      </x:c>
      <x:c r="E2318" s="22" t="str">
        <x:f>IF(ISBLANK(C2318),"AmountIncludingTax缺失",IF(ABS(B2318-C2318)&lt;0.005,"一致","不一致"))</x:f>
        <x:v>AmountIncludingTax缺失</x:v>
      </x:c>
      <x:c r="F2318" s="19" t="str">
        <x:v>approved</x:v>
      </x:c>
      <x:c r="G2318" s="19" t="str">
        <x:v>Repair in Progress</x:v>
      </x:c>
      <x:c r="H2318" s="19" t="str">
        <x:v>In Field</x:v>
      </x:c>
      <x:c r="I2318" s="37" t="n">
        <x:v>46210</x:v>
      </x:c>
      <x:c r="J2318" s="37" t="n">
        <x:v>46210</x:v>
      </x:c>
      <x:c r="K2318" s="19" t="str">
        <x:v>Green RV - Forest Glen</x:v>
      </x:c>
      <x:c r="L2318" s="19" t="str">
        <x:v>Z006</x:v>
      </x:c>
      <x:c r="M2318" s="19" t="str">
        <x:v>In Field Warranty Claims</x:v>
      </x:c>
      <x:c r="N2318" s="37" t="n">
        <x:v>46113</x:v>
      </x:c>
      <x:c r="O2318" s="37"/>
      <x:c r="P2318" s="34" t="n">
        <x:v>2970</x:v>
      </x:c>
      <x:c r="Q2318" s="37" t="n">
        <x:v>46210.07722222222</x:v>
      </x:c>
    </x:row>
    <x:row r="2319">
      <x:c r="A2319" s="22" t="n">
        <x:v>33150</x:v>
      </x:c>
      <x:c r="B2319" s="28" t="n">
        <x:v>67.5</x:v>
      </x:c>
      <x:c r="C2319" s="28"/>
      <x:c r="D2319" s="31" t="str">
        <x:f>IF(OR(ISBLANK(B2319),ISBLANK(C2319),B2319=0),"",(C2319-B2319)/B2319)</x:f>
      </x:c>
      <x:c r="E2319" s="22" t="str">
        <x:f>IF(ISBLANK(C2319),"AmountIncludingTax缺失",IF(ABS(B2319-C2319)&lt;0.005,"一致","不一致"))</x:f>
        <x:v>AmountIncludingTax缺失</x:v>
      </x:c>
      <x:c r="F2319" s="19" t="str">
        <x:v>approved</x:v>
      </x:c>
      <x:c r="G2319" s="19" t="str">
        <x:v>Repair in Progress</x:v>
      </x:c>
      <x:c r="H2319" s="19" t="str">
        <x:v>In Field</x:v>
      </x:c>
      <x:c r="I2319" s="37" t="n">
        <x:v>46124</x:v>
      </x:c>
      <x:c r="J2319" s="37" t="n">
        <x:v>46124</x:v>
      </x:c>
      <x:c r="K2319" s="19" t="str">
        <x:v>Auswide Caravans - South Nowra</x:v>
      </x:c>
      <x:c r="L2319" s="19" t="str">
        <x:v>Z006</x:v>
      </x:c>
      <x:c r="M2319" s="19" t="str">
        <x:v>In Field Warranty Claims</x:v>
      </x:c>
      <x:c r="N2319" s="37" t="n">
        <x:v>46114</x:v>
      </x:c>
      <x:c r="O2319" s="37"/>
      <x:c r="P2319" s="34" t="n">
        <x:v>0</x:v>
      </x:c>
      <x:c r="Q2319" s="37" t="n">
        <x:v>46124.20122685185</x:v>
      </x:c>
    </x:row>
    <x:row r="2320">
      <x:c r="A2320" s="22" t="n">
        <x:v>33149</x:v>
      </x:c>
      <x:c r="B2320" s="28" t="n">
        <x:v>67.5</x:v>
      </x:c>
      <x:c r="C2320" s="28"/>
      <x:c r="D2320" s="31" t="str">
        <x:f>IF(OR(ISBLANK(B2320),ISBLANK(C2320),B2320=0),"",(C2320-B2320)/B2320)</x:f>
      </x:c>
      <x:c r="E2320" s="22" t="str">
        <x:f>IF(ISBLANK(C2320),"AmountIncludingTax缺失",IF(ABS(B2320-C2320)&lt;0.005,"一致","不一致"))</x:f>
        <x:v>AmountIncludingTax缺失</x:v>
      </x:c>
      <x:c r="F2320" s="19" t="str">
        <x:v>approved</x:v>
      </x:c>
      <x:c r="G2320" s="19" t="str">
        <x:v>Sales Order Approved</x:v>
      </x:c>
      <x:c r="H2320" s="19" t="str">
        <x:v>In Field</x:v>
      </x:c>
      <x:c r="I2320" s="37" t="n">
        <x:v>46168</x:v>
      </x:c>
      <x:c r="J2320" s="37" t="n">
        <x:v>46168</x:v>
      </x:c>
      <x:c r="K2320" s="19" t="str">
        <x:v>Regent RV - Toowoomba</x:v>
      </x:c>
      <x:c r="L2320" s="19" t="str">
        <x:v>Z006</x:v>
      </x:c>
      <x:c r="M2320" s="19" t="str">
        <x:v>In Field Warranty Claims</x:v>
      </x:c>
      <x:c r="N2320" s="37" t="n">
        <x:v>46114</x:v>
      </x:c>
      <x:c r="O2320" s="37"/>
      <x:c r="P2320" s="34" t="n">
        <x:v>0</x:v>
      </x:c>
      <x:c r="Q2320" s="37" t="n">
        <x:v>46167.95616898148</x:v>
      </x:c>
    </x:row>
    <x:row r="2321">
      <x:c r="A2321" s="22" t="n">
        <x:v>33148</x:v>
      </x:c>
      <x:c r="B2321" s="28" t="n">
        <x:v>77.5</x:v>
      </x:c>
      <x:c r="C2321" s="28"/>
      <x:c r="D2321" s="31" t="str">
        <x:f>IF(OR(ISBLANK(B2321),ISBLANK(C2321),B2321=0),"",(C2321-B2321)/B2321)</x:f>
      </x:c>
      <x:c r="E2321" s="22" t="str">
        <x:f>IF(ISBLANK(C2321),"AmountIncludingTax缺失",IF(ABS(B2321-C2321)&lt;0.005,"一致","不一致"))</x:f>
        <x:v>AmountIncludingTax缺失</x:v>
      </x:c>
      <x:c r="F2321" s="19" t="str">
        <x:v>approved</x:v>
      </x:c>
      <x:c r="G2321" s="19" t="str">
        <x:v>Repairer Invoiced Processed</x:v>
      </x:c>
      <x:c r="H2321" s="19" t="str">
        <x:v>Pre Delivery</x:v>
      </x:c>
      <x:c r="I2321" s="37" t="n">
        <x:v>46139</x:v>
      </x:c>
      <x:c r="J2321" s="37" t="n">
        <x:v>46139</x:v>
      </x:c>
      <x:c r="K2321" s="19" t="str">
        <x:v>Regent RV - Townsville</x:v>
      </x:c>
      <x:c r="L2321" s="19" t="str">
        <x:v>Z005</x:v>
      </x:c>
      <x:c r="M2321" s="19" t="str">
        <x:v>Pre Delivery Warranty Claims</x:v>
      </x:c>
      <x:c r="N2321" s="37" t="n">
        <x:v>46113</x:v>
      </x:c>
      <x:c r="O2321" s="37"/>
      <x:c r="P2321" s="34" t="n">
        <x:v>0</x:v>
      </x:c>
      <x:c r="Q2321" s="37" t="n">
        <x:v>46139.01986111111</x:v>
      </x:c>
    </x:row>
    <x:row r="2322">
      <x:c r="A2322" s="22" t="n">
        <x:v>33147</x:v>
      </x:c>
      <x:c r="B2322" s="28" t="n">
        <x:v>320</x:v>
      </x:c>
      <x:c r="C2322" s="28" t="n">
        <x:v>289.73</x:v>
      </x:c>
      <x:c r="D2322" s="31" t="n">
        <x:f>IF(OR(ISBLANK(B2322),ISBLANK(C2322),B2322=0),"",(C2322-B2322)/B2322)</x:f>
        <x:v>-0.09459374999999995</x:v>
      </x:c>
      <x:c r="E2322" s="22" t="str">
        <x:f>IF(ISBLANK(C2322),"AmountIncludingTax缺失",IF(ABS(B2322-C2322)&lt;0.005,"一致","不一致"))</x:f>
        <x:v>不一致</x:v>
      </x:c>
      <x:c r="F2322" s="19" t="str">
        <x:v>approved</x:v>
      </x:c>
      <x:c r="G2322" s="19" t="str">
        <x:v>Repairer Invoiced Processed</x:v>
      </x:c>
      <x:c r="H2322" s="19" t="str">
        <x:v>In Field</x:v>
      </x:c>
      <x:c r="I2322" s="37" t="n">
        <x:v>46119</x:v>
      </x:c>
      <x:c r="J2322" s="37" t="n">
        <x:v>46119</x:v>
      </x:c>
      <x:c r="K2322" s="19" t="str">
        <x:v>Vanari Caravans - Marden Point</x:v>
      </x:c>
      <x:c r="L2322" s="19" t="str">
        <x:v>Z006</x:v>
      </x:c>
      <x:c r="M2322" s="19" t="str">
        <x:v>In Field Warranty Claims</x:v>
      </x:c>
      <x:c r="N2322" s="37" t="n">
        <x:v>46113</x:v>
      </x:c>
      <x:c r="O2322" s="37"/>
      <x:c r="P2322" s="34" t="n">
        <x:v>289.73</x:v>
      </x:c>
      <x:c r="Q2322" s="37" t="n">
        <x:v>46119.19715277778</x:v>
      </x:c>
    </x:row>
    <x:row r="2323">
      <x:c r="A2323" s="22" t="n">
        <x:v>33145</x:v>
      </x:c>
      <x:c r="B2323" s="28" t="n">
        <x:v>207.5</x:v>
      </x:c>
      <x:c r="C2323" s="28"/>
      <x:c r="D2323" s="31" t="str">
        <x:f>IF(OR(ISBLANK(B2323),ISBLANK(C2323),B2323=0),"",(C2323-B2323)/B2323)</x:f>
      </x:c>
      <x:c r="E2323" s="22" t="str">
        <x:f>IF(ISBLANK(C2323),"AmountIncludingTax缺失",IF(ABS(B2323-C2323)&lt;0.005,"一致","不一致"))</x:f>
        <x:v>AmountIncludingTax缺失</x:v>
      </x:c>
      <x:c r="F2323" s="19" t="str">
        <x:v>approved</x:v>
      </x:c>
      <x:c r="G2323" s="19" t="str">
        <x:v>Repair in Progress</x:v>
      </x:c>
      <x:c r="H2323" s="19" t="str">
        <x:v>In Field</x:v>
      </x:c>
      <x:c r="I2323" s="37" t="n">
        <x:v>46120</x:v>
      </x:c>
      <x:c r="J2323" s="37" t="n">
        <x:v>46120</x:v>
      </x:c>
      <x:c r="K2323" s="19" t="str">
        <x:v>Snowy River Frankston</x:v>
      </x:c>
      <x:c r="L2323" s="19" t="str">
        <x:v>Z006</x:v>
      </x:c>
      <x:c r="M2323" s="19" t="str">
        <x:v>In Field Warranty Claims</x:v>
      </x:c>
      <x:c r="N2323" s="37" t="n">
        <x:v>46113</x:v>
      </x:c>
      <x:c r="O2323" s="37"/>
      <x:c r="P2323" s="34" t="n">
        <x:v>0</x:v>
      </x:c>
      <x:c r="Q2323" s="37" t="n">
        <x:v>46119.964212962965</x:v>
      </x:c>
    </x:row>
    <x:row r="2324">
      <x:c r="A2324" s="22" t="n">
        <x:v>33143</x:v>
      </x:c>
      <x:c r="B2324" s="28" t="n">
        <x:v>135</x:v>
      </x:c>
      <x:c r="C2324" s="28"/>
      <x:c r="D2324" s="31" t="str">
        <x:f>IF(OR(ISBLANK(B2324),ISBLANK(C2324),B2324=0),"",(C2324-B2324)/B2324)</x:f>
      </x:c>
      <x:c r="E2324" s="22" t="str">
        <x:f>IF(ISBLANK(C2324),"AmountIncludingTax缺失",IF(ABS(B2324-C2324)&lt;0.005,"一致","不一致"))</x:f>
        <x:v>AmountIncludingTax缺失</x:v>
      </x:c>
      <x:c r="F2324" s="19" t="str">
        <x:v>approved</x:v>
      </x:c>
      <x:c r="G2324" s="19" t="str">
        <x:v>Repair in Progress</x:v>
      </x:c>
      <x:c r="H2324" s="19" t="str">
        <x:v>Pre Delivery</x:v>
      </x:c>
      <x:c r="I2324" s="37" t="n">
        <x:v>46136</x:v>
      </x:c>
      <x:c r="J2324" s="37" t="n">
        <x:v>46136</x:v>
      </x:c>
      <x:c r="K2324" s="19" t="str">
        <x:v>Snowy River Frankston</x:v>
      </x:c>
      <x:c r="L2324" s="19" t="str">
        <x:v>Z005</x:v>
      </x:c>
      <x:c r="M2324" s="19" t="str">
        <x:v>Pre Delivery Warranty Claims</x:v>
      </x:c>
      <x:c r="N2324" s="37" t="n">
        <x:v>46113</x:v>
      </x:c>
      <x:c r="O2324" s="37"/>
      <x:c r="P2324" s="34" t="n">
        <x:v>0</x:v>
      </x:c>
      <x:c r="Q2324" s="37" t="n">
        <x:v>46136.0734375</x:v>
      </x:c>
    </x:row>
    <x:row r="2325">
      <x:c r="A2325" s="22" t="n">
        <x:v>33142</x:v>
      </x:c>
      <x:c r="B2325" s="28" t="n">
        <x:v>1080</x:v>
      </x:c>
      <x:c r="C2325" s="28"/>
      <x:c r="D2325" s="31" t="str">
        <x:f>IF(OR(ISBLANK(B2325),ISBLANK(C2325),B2325=0),"",(C2325-B2325)/B2325)</x:f>
      </x:c>
      <x:c r="E2325" s="22" t="str">
        <x:f>IF(ISBLANK(C2325),"AmountIncludingTax缺失",IF(ABS(B2325-C2325)&lt;0.005,"一致","不一致"))</x:f>
        <x:v>AmountIncludingTax缺失</x:v>
      </x:c>
      <x:c r="F2325" s="19" t="str">
        <x:v>approved</x:v>
      </x:c>
      <x:c r="G2325" s="19" t="str">
        <x:v>Repair in Progress</x:v>
      </x:c>
      <x:c r="H2325" s="19" t="str">
        <x:v>In Field</x:v>
      </x:c>
      <x:c r="I2325" s="37" t="n">
        <x:v>46183</x:v>
      </x:c>
      <x:c r="J2325" s="37" t="n">
        <x:v>46183</x:v>
      </x:c>
      <x:c r="K2325" s="19" t="str">
        <x:v>Green RV - Forest Glen</x:v>
      </x:c>
      <x:c r="L2325" s="19" t="str">
        <x:v>Z006</x:v>
      </x:c>
      <x:c r="M2325" s="19" t="str">
        <x:v>In Field Warranty Claims</x:v>
      </x:c>
      <x:c r="N2325" s="37" t="n">
        <x:v>46113</x:v>
      </x:c>
      <x:c r="O2325" s="37"/>
      <x:c r="P2325" s="34" t="n">
        <x:v>0</x:v>
      </x:c>
      <x:c r="Q2325" s="37" t="n">
        <x:v>46182.97037037037</x:v>
      </x:c>
    </x:row>
    <x:row r="2326">
      <x:c r="A2326" s="22" t="n">
        <x:v>33141</x:v>
      </x:c>
      <x:c r="B2326" s="28" t="n">
        <x:v>1796.82</x:v>
      </x:c>
      <x:c r="C2326" s="28"/>
      <x:c r="D2326" s="31" t="str">
        <x:f>IF(OR(ISBLANK(B2326),ISBLANK(C2326),B2326=0),"",(C2326-B2326)/B2326)</x:f>
      </x:c>
      <x:c r="E2326" s="22" t="str">
        <x:f>IF(ISBLANK(C2326),"AmountIncludingTax缺失",IF(ABS(B2326-C2326)&lt;0.005,"一致","不一致"))</x:f>
        <x:v>AmountIncludingTax缺失</x:v>
      </x:c>
      <x:c r="F2326" s="19" t="str">
        <x:v>approved</x:v>
      </x:c>
      <x:c r="G2326" s="19" t="str">
        <x:v>Repairer Invoiced Processed</x:v>
      </x:c>
      <x:c r="H2326" s="19" t="str">
        <x:v>In Field</x:v>
      </x:c>
      <x:c r="I2326" s="37" t="n">
        <x:v>46121</x:v>
      </x:c>
      <x:c r="J2326" s="37" t="n">
        <x:v>46121</x:v>
      </x:c>
      <x:c r="K2326" s="19" t="str">
        <x:v>Green RV - Forest Glen</x:v>
      </x:c>
      <x:c r="L2326" s="19" t="str">
        <x:v>Z006</x:v>
      </x:c>
      <x:c r="M2326" s="19" t="str">
        <x:v>In Field Warranty Claims</x:v>
      </x:c>
      <x:c r="N2326" s="37" t="n">
        <x:v>46113</x:v>
      </x:c>
      <x:c r="O2326" s="37"/>
      <x:c r="P2326" s="34" t="n">
        <x:v>0</x:v>
      </x:c>
      <x:c r="Q2326" s="37" t="n">
        <x:v>46121.256736111114</x:v>
      </x:c>
    </x:row>
    <x:row r="2327">
      <x:c r="A2327" s="22" t="n">
        <x:v>33140</x:v>
      </x:c>
      <x:c r="B2327" s="28" t="n">
        <x:v>169.09</x:v>
      </x:c>
      <x:c r="C2327" s="28" t="n">
        <x:v>186</x:v>
      </x:c>
      <x:c r="D2327" s="31" t="n">
        <x:f>IF(OR(ISBLANK(B2327),ISBLANK(C2327),B2327=0),"",(C2327-B2327)/B2327)</x:f>
        <x:v>0.10000591401029035</x:v>
      </x:c>
      <x:c r="E2327" s="22" t="str">
        <x:f>IF(ISBLANK(C2327),"AmountIncludingTax缺失",IF(ABS(B2327-C2327)&lt;0.005,"一致","不一致"))</x:f>
        <x:v>不一致</x:v>
      </x:c>
      <x:c r="F2327" s="19" t="str">
        <x:v>approved</x:v>
      </x:c>
      <x:c r="G2327" s="19" t="str">
        <x:v>Repairer Invoiced Processed</x:v>
      </x:c>
      <x:c r="H2327" s="19" t="str">
        <x:v>In Field</x:v>
      </x:c>
      <x:c r="I2327" s="37" t="n">
        <x:v>46122</x:v>
      </x:c>
      <x:c r="J2327" s="37" t="n">
        <x:v>46122</x:v>
      </x:c>
      <x:c r="K2327" s="19" t="str">
        <x:v>Regent RV - Perth</x:v>
      </x:c>
      <x:c r="L2327" s="19" t="str">
        <x:v>Z006</x:v>
      </x:c>
      <x:c r="M2327" s="19" t="str">
        <x:v>In Field Warranty Claims</x:v>
      </x:c>
      <x:c r="N2327" s="37" t="n">
        <x:v>46113</x:v>
      </x:c>
      <x:c r="O2327" s="37"/>
      <x:c r="P2327" s="34" t="n">
        <x:v>186</x:v>
      </x:c>
      <x:c r="Q2327" s="37" t="n">
        <x:v>46122.246030092596</x:v>
      </x:c>
    </x:row>
    <x:row r="2328">
      <x:c r="A2328" s="22" t="n">
        <x:v>33139</x:v>
      </x:c>
      <x:c r="B2328" s="28" t="n">
        <x:v>135</x:v>
      </x:c>
      <x:c r="C2328" s="28" t="n">
        <x:v>148.5</x:v>
      </x:c>
      <x:c r="D2328" s="31" t="n">
        <x:f>IF(OR(ISBLANK(B2328),ISBLANK(C2328),B2328=0),"",(C2328-B2328)/B2328)</x:f>
        <x:v>0.1</x:v>
      </x:c>
      <x:c r="E2328" s="22" t="str">
        <x:f>IF(ISBLANK(C2328),"AmountIncludingTax缺失",IF(ABS(B2328-C2328)&lt;0.005,"一致","不一致"))</x:f>
        <x:v>不一致</x:v>
      </x:c>
      <x:c r="F2328" s="19" t="str">
        <x:v>approved</x:v>
      </x:c>
      <x:c r="G2328" s="19" t="str">
        <x:v>Repair in Progress</x:v>
      </x:c>
      <x:c r="H2328" s="19" t="str">
        <x:v>Pre Delivery</x:v>
      </x:c>
      <x:c r="I2328" s="37" t="n">
        <x:v>46136</x:v>
      </x:c>
      <x:c r="J2328" s="37" t="n">
        <x:v>46136</x:v>
      </x:c>
      <x:c r="K2328" s="19" t="str">
        <x:v>Snowy River Wangaratta</x:v>
      </x:c>
      <x:c r="L2328" s="19" t="str">
        <x:v>Z005</x:v>
      </x:c>
      <x:c r="M2328" s="19" t="str">
        <x:v>Pre Delivery Warranty Claims</x:v>
      </x:c>
      <x:c r="N2328" s="37" t="n">
        <x:v>46113</x:v>
      </x:c>
      <x:c r="O2328" s="37"/>
      <x:c r="P2328" s="34" t="n">
        <x:v>148.5</x:v>
      </x:c>
      <x:c r="Q2328" s="37" t="n">
        <x:v>46136.255833333336</x:v>
      </x:c>
    </x:row>
    <x:row r="2329">
      <x:c r="A2329" s="22" t="n">
        <x:v>33138</x:v>
      </x:c>
      <x:c r="B2329" s="28" t="n">
        <x:v>77.5</x:v>
      </x:c>
      <x:c r="C2329" s="28"/>
      <x:c r="D2329" s="31" t="str">
        <x:f>IF(OR(ISBLANK(B2329),ISBLANK(C2329),B2329=0),"",(C2329-B2329)/B2329)</x:f>
      </x:c>
      <x:c r="E2329" s="22" t="str">
        <x:f>IF(ISBLANK(C2329),"AmountIncludingTax缺失",IF(ABS(B2329-C2329)&lt;0.005,"一致","不一致"))</x:f>
        <x:v>AmountIncludingTax缺失</x:v>
      </x:c>
      <x:c r="F2329" s="19" t="str">
        <x:v>approved</x:v>
      </x:c>
      <x:c r="G2329" s="19" t="str">
        <x:v>Repair in Progress</x:v>
      </x:c>
      <x:c r="H2329" s="19" t="str">
        <x:v>Pre Delivery</x:v>
      </x:c>
      <x:c r="I2329" s="37" t="n">
        <x:v>46134</x:v>
      </x:c>
      <x:c r="J2329" s="37" t="n">
        <x:v>46134</x:v>
      </x:c>
      <x:c r="K2329" s="19" t="str">
        <x:v>Snowy River Frankston</x:v>
      </x:c>
      <x:c r="L2329" s="19" t="str">
        <x:v>Z005</x:v>
      </x:c>
      <x:c r="M2329" s="19" t="str">
        <x:v>Pre Delivery Warranty Claims</x:v>
      </x:c>
      <x:c r="N2329" s="37" t="n">
        <x:v>46113</x:v>
      </x:c>
      <x:c r="O2329" s="37"/>
      <x:c r="P2329" s="34" t="n">
        <x:v>0</x:v>
      </x:c>
      <x:c r="Q2329" s="37" t="n">
        <x:v>46134.1183912037</x:v>
      </x:c>
    </x:row>
    <x:row r="2330">
      <x:c r="A2330" s="22" t="n">
        <x:v>33137</x:v>
      </x:c>
      <x:c r="B2330" s="28" t="n">
        <x:v>1276.25</x:v>
      </x:c>
      <x:c r="C2330" s="28"/>
      <x:c r="D2330" s="31" t="str">
        <x:f>IF(OR(ISBLANK(B2330),ISBLANK(C2330),B2330=0),"",(C2330-B2330)/B2330)</x:f>
      </x:c>
      <x:c r="E2330" s="22" t="str">
        <x:f>IF(ISBLANK(C2330),"AmountIncludingTax缺失",IF(ABS(B2330-C2330)&lt;0.005,"一致","不一致"))</x:f>
        <x:v>AmountIncludingTax缺失</x:v>
      </x:c>
      <x:c r="F2330" s="19" t="str">
        <x:v>approved</x:v>
      </x:c>
      <x:c r="G2330" s="19" t="str">
        <x:v>Repairer Invoiced Processed</x:v>
      </x:c>
      <x:c r="H2330" s="19" t="str">
        <x:v>In Field</x:v>
      </x:c>
      <x:c r="I2330" s="37" t="n">
        <x:v>46120</x:v>
      </x:c>
      <x:c r="J2330" s="37" t="n">
        <x:v>46120</x:v>
      </x:c>
      <x:c r="K2330" s="19" t="str">
        <x:v>Green RV - Forest Glen</x:v>
      </x:c>
      <x:c r="L2330" s="19" t="str">
        <x:v>Z006</x:v>
      </x:c>
      <x:c r="M2330" s="19" t="str">
        <x:v>In Field Warranty Claims</x:v>
      </x:c>
      <x:c r="N2330" s="37" t="n">
        <x:v>46113</x:v>
      </x:c>
      <x:c r="O2330" s="37"/>
      <x:c r="P2330" s="34" t="n">
        <x:v>0</x:v>
      </x:c>
      <x:c r="Q2330" s="37" t="n">
        <x:v>46120.160949074074</x:v>
      </x:c>
    </x:row>
    <x:row r="2331">
      <x:c r="A2331" s="22" t="n">
        <x:v>33136</x:v>
      </x:c>
      <x:c r="B2331" s="28" t="n">
        <x:v>33.75</x:v>
      </x:c>
      <x:c r="C2331" s="28"/>
      <x:c r="D2331" s="31" t="str">
        <x:f>IF(OR(ISBLANK(B2331),ISBLANK(C2331),B2331=0),"",(C2331-B2331)/B2331)</x:f>
      </x:c>
      <x:c r="E2331" s="22" t="str">
        <x:f>IF(ISBLANK(C2331),"AmountIncludingTax缺失",IF(ABS(B2331-C2331)&lt;0.005,"一致","不一致"))</x:f>
        <x:v>AmountIncludingTax缺失</x:v>
      </x:c>
      <x:c r="F2331" s="19" t="str">
        <x:v>approved</x:v>
      </x:c>
      <x:c r="G2331" s="19" t="str">
        <x:v>Repair in Progress</x:v>
      </x:c>
      <x:c r="H2331" s="19" t="str">
        <x:v>In Field</x:v>
      </x:c>
      <x:c r="I2331" s="37" t="n">
        <x:v>46114</x:v>
      </x:c>
      <x:c r="J2331" s="37" t="n">
        <x:v>46114</x:v>
      </x:c>
      <x:c r="K2331" s="19" t="str">
        <x:v>Green RV - Slacks Creek</x:v>
      </x:c>
      <x:c r="L2331" s="19" t="str">
        <x:v>Z006</x:v>
      </x:c>
      <x:c r="M2331" s="19" t="str">
        <x:v>In Field Warranty Claims</x:v>
      </x:c>
      <x:c r="N2331" s="37" t="n">
        <x:v>46113</x:v>
      </x:c>
      <x:c r="O2331" s="37"/>
      <x:c r="P2331" s="34" t="n">
        <x:v>0</x:v>
      </x:c>
      <x:c r="Q2331" s="37" t="n">
        <x:v>46114.054444444446</x:v>
      </x:c>
    </x:row>
    <x:row r="2332">
      <x:c r="A2332" s="22" t="n">
        <x:v>33135</x:v>
      </x:c>
      <x:c r="B2332" s="28" t="n">
        <x:v>1365.5</x:v>
      </x:c>
      <x:c r="C2332" s="28"/>
      <x:c r="D2332" s="31" t="str">
        <x:f>IF(OR(ISBLANK(B2332),ISBLANK(C2332),B2332=0),"",(C2332-B2332)/B2332)</x:f>
      </x:c>
      <x:c r="E2332" s="22" t="str">
        <x:f>IF(ISBLANK(C2332),"AmountIncludingTax缺失",IF(ABS(B2332-C2332)&lt;0.005,"一致","不一致"))</x:f>
        <x:v>AmountIncludingTax缺失</x:v>
      </x:c>
      <x:c r="F2332" s="19" t="str">
        <x:v>approved</x:v>
      </x:c>
      <x:c r="G2332" s="19" t="str">
        <x:v>Repair in Progress</x:v>
      </x:c>
      <x:c r="H2332" s="19" t="str">
        <x:v>In Field</x:v>
      </x:c>
      <x:c r="I2332" s="37" t="n">
        <x:v>46128</x:v>
      </x:c>
      <x:c r="J2332" s="37" t="n">
        <x:v>46128</x:v>
      </x:c>
      <x:c r="K2332" s="19" t="str">
        <x:v>Regent RV - Perth</x:v>
      </x:c>
      <x:c r="L2332" s="19" t="str">
        <x:v>Z006</x:v>
      </x:c>
      <x:c r="M2332" s="19" t="str">
        <x:v>In Field Warranty Claims</x:v>
      </x:c>
      <x:c r="N2332" s="37" t="n">
        <x:v>46113</x:v>
      </x:c>
      <x:c r="O2332" s="37"/>
      <x:c r="P2332" s="34" t="n">
        <x:v>1502.05</x:v>
      </x:c>
      <x:c r="Q2332" s="37" t="n">
        <x:v>46127.98305555555</x:v>
      </x:c>
    </x:row>
    <x:row r="2333">
      <x:c r="A2333" s="22" t="n">
        <x:v>33133</x:v>
      </x:c>
      <x:c r="B2333" s="28" t="n">
        <x:v>132.27</x:v>
      </x:c>
      <x:c r="C2333" s="28" t="n">
        <x:v>145.5</x:v>
      </x:c>
      <x:c r="D2333" s="31" t="n">
        <x:f>IF(OR(ISBLANK(B2333),ISBLANK(C2333),B2333=0),"",(C2333-B2333)/B2333)</x:f>
        <x:v>0.10002268088001806</x:v>
      </x:c>
      <x:c r="E2333" s="22" t="str">
        <x:f>IF(ISBLANK(C2333),"AmountIncludingTax缺失",IF(ABS(B2333-C2333)&lt;0.005,"一致","不一致"))</x:f>
        <x:v>不一致</x:v>
      </x:c>
      <x:c r="F2333" s="19" t="str">
        <x:v>approved</x:v>
      </x:c>
      <x:c r="G2333" s="19" t="str">
        <x:v>Repair in Progress</x:v>
      </x:c>
      <x:c r="H2333" s="19" t="str">
        <x:v>In Field</x:v>
      </x:c>
      <x:c r="I2333" s="37" t="n">
        <x:v>46147</x:v>
      </x:c>
      <x:c r="J2333" s="37" t="n">
        <x:v>46147</x:v>
      </x:c>
      <x:c r="K2333" s="19" t="str">
        <x:v>ABCO Caravans - Boambee Valley</x:v>
      </x:c>
      <x:c r="L2333" s="19" t="str">
        <x:v>Z006</x:v>
      </x:c>
      <x:c r="M2333" s="19" t="str">
        <x:v>In Field Warranty Claims</x:v>
      </x:c>
      <x:c r="N2333" s="37" t="n">
        <x:v>46113</x:v>
      </x:c>
      <x:c r="O2333" s="37"/>
      <x:c r="P2333" s="34" t="n">
        <x:v>145.5</x:v>
      </x:c>
      <x:c r="Q2333" s="37" t="n">
        <x:v>46147.20287037037</x:v>
      </x:c>
    </x:row>
    <x:row r="2334">
      <x:c r="A2334" s="22" t="n">
        <x:v>33132</x:v>
      </x:c>
      <x:c r="B2334" s="28" t="n">
        <x:v>1365.5</x:v>
      </x:c>
      <x:c r="C2334" s="28"/>
      <x:c r="D2334" s="31" t="str">
        <x:f>IF(OR(ISBLANK(B2334),ISBLANK(C2334),B2334=0),"",(C2334-B2334)/B2334)</x:f>
      </x:c>
      <x:c r="E2334" s="22" t="str">
        <x:f>IF(ISBLANK(C2334),"AmountIncludingTax缺失",IF(ABS(B2334-C2334)&lt;0.005,"一致","不一致"))</x:f>
        <x:v>AmountIncludingTax缺失</x:v>
      </x:c>
      <x:c r="F2334" s="19" t="str">
        <x:v>approved</x:v>
      </x:c>
      <x:c r="G2334" s="19" t="str">
        <x:v>Repair in Progress</x:v>
      </x:c>
      <x:c r="H2334" s="19" t="str">
        <x:v>In Field</x:v>
      </x:c>
      <x:c r="I2334" s="37" t="n">
        <x:v>46120</x:v>
      </x:c>
      <x:c r="J2334" s="37" t="n">
        <x:v>46120</x:v>
      </x:c>
      <x:c r="K2334" s="19" t="str">
        <x:v>Regent RV - Perth</x:v>
      </x:c>
      <x:c r="L2334" s="19" t="str">
        <x:v>Z006</x:v>
      </x:c>
      <x:c r="M2334" s="19" t="str">
        <x:v>In Field Warranty Claims</x:v>
      </x:c>
      <x:c r="N2334" s="37" t="n">
        <x:v>46113</x:v>
      </x:c>
      <x:c r="O2334" s="37"/>
      <x:c r="P2334" s="34" t="n">
        <x:v>1502.05</x:v>
      </x:c>
      <x:c r="Q2334" s="37" t="n">
        <x:v>46119.94525462963</x:v>
      </x:c>
    </x:row>
    <x:row r="2335">
      <x:c r="A2335" s="22" t="n">
        <x:v>33130</x:v>
      </x:c>
      <x:c r="B2335" s="28" t="n">
        <x:v>263.58</x:v>
      </x:c>
      <x:c r="C2335" s="28" t="n">
        <x:v>262.52</x:v>
      </x:c>
      <x:c r="D2335" s="31" t="n">
        <x:f>IF(OR(ISBLANK(B2335),ISBLANK(C2335),B2335=0),"",(C2335-B2335)/B2335)</x:f>
        <x:v>-0.0040215494347067395</x:v>
      </x:c>
      <x:c r="E2335" s="22" t="str">
        <x:f>IF(ISBLANK(C2335),"AmountIncludingTax缺失",IF(ABS(B2335-C2335)&lt;0.005,"一致","不一致"))</x:f>
        <x:v>不一致</x:v>
      </x:c>
      <x:c r="F2335" s="19" t="str">
        <x:v>unapproved_closed</x:v>
      </x:c>
      <x:c r="G2335" s="19" t="str">
        <x:v>Unapproved Claims Closed (Closed)</x:v>
      </x:c>
      <x:c r="H2335" s="19" t="str">
        <x:v>In Field</x:v>
      </x:c>
      <x:c r="I2335" s="37" t="n">
        <x:v>46119</x:v>
      </x:c>
      <x:c r="J2335" s="37" t="n">
        <x:v>46119</x:v>
      </x:c>
      <x:c r="K2335" s="19" t="str">
        <x:v>CMG Campers - Christchurch</x:v>
      </x:c>
      <x:c r="L2335" s="19" t="str">
        <x:v>Z006</x:v>
      </x:c>
      <x:c r="M2335" s="19" t="str">
        <x:v>In Field Warranty Claims</x:v>
      </x:c>
      <x:c r="N2335" s="37" t="n">
        <x:v>46119</x:v>
      </x:c>
      <x:c r="O2335" s="37" t="n">
        <x:v>46163</x:v>
      </x:c>
      <x:c r="P2335" s="34" t="n">
        <x:v>262.52</x:v>
      </x:c>
      <x:c r="Q2335" s="37" t="n">
        <x:v>46119.019849537035</x:v>
      </x:c>
    </x:row>
    <x:row r="2336">
      <x:c r="A2336" s="22" t="n">
        <x:v>33120</x:v>
      </x:c>
      <x:c r="B2336" s="28" t="n">
        <x:v>661.25</x:v>
      </x:c>
      <x:c r="C2336" s="28"/>
      <x:c r="D2336" s="31" t="str">
        <x:f>IF(OR(ISBLANK(B2336),ISBLANK(C2336),B2336=0),"",(C2336-B2336)/B2336)</x:f>
      </x:c>
      <x:c r="E2336" s="22" t="str">
        <x:f>IF(ISBLANK(C2336),"AmountIncludingTax缺失",IF(ABS(B2336-C2336)&lt;0.005,"一致","不一致"))</x:f>
        <x:v>AmountIncludingTax缺失</x:v>
      </x:c>
      <x:c r="F2336" s="19" t="str">
        <x:v>approved</x:v>
      </x:c>
      <x:c r="G2336" s="19" t="str">
        <x:v>Repair in Progress</x:v>
      </x:c>
      <x:c r="H2336" s="19" t="str">
        <x:v>In Field</x:v>
      </x:c>
      <x:c r="I2336" s="37" t="n">
        <x:v>46168</x:v>
      </x:c>
      <x:c r="J2336" s="37" t="n">
        <x:v>46168</x:v>
      </x:c>
      <x:c r="K2336" s="19" t="str">
        <x:v>ABCO Caravans - Boambee Valley</x:v>
      </x:c>
      <x:c r="L2336" s="19" t="str">
        <x:v>Z006</x:v>
      </x:c>
      <x:c r="M2336" s="19" t="str">
        <x:v>In Field Warranty Claims</x:v>
      </x:c>
      <x:c r="N2336" s="37" t="n">
        <x:v>46113</x:v>
      </x:c>
      <x:c r="O2336" s="37"/>
      <x:c r="P2336" s="34" t="n">
        <x:v>0</x:v>
      </x:c>
      <x:c r="Q2336" s="37" t="n">
        <x:v>46168.01561342592</x:v>
      </x:c>
    </x:row>
    <x:row r="2337">
      <x:c r="A2337" s="22" t="n">
        <x:v>33119</x:v>
      </x:c>
      <x:c r="B2337" s="28" t="n">
        <x:v>1365.5</x:v>
      </x:c>
      <x:c r="C2337" s="28"/>
      <x:c r="D2337" s="31" t="str">
        <x:f>IF(OR(ISBLANK(B2337),ISBLANK(C2337),B2337=0),"",(C2337-B2337)/B2337)</x:f>
      </x:c>
      <x:c r="E2337" s="22" t="str">
        <x:f>IF(ISBLANK(C2337),"AmountIncludingTax缺失",IF(ABS(B2337-C2337)&lt;0.005,"一致","不一致"))</x:f>
        <x:v>AmountIncludingTax缺失</x:v>
      </x:c>
      <x:c r="F2337" s="19" t="str">
        <x:v>approved</x:v>
      </x:c>
      <x:c r="G2337" s="19" t="str">
        <x:v>Repair in Progress</x:v>
      </x:c>
      <x:c r="H2337" s="19" t="str">
        <x:v>In Field</x:v>
      </x:c>
      <x:c r="I2337" s="37" t="n">
        <x:v>46128</x:v>
      </x:c>
      <x:c r="J2337" s="37" t="n">
        <x:v>46128</x:v>
      </x:c>
      <x:c r="K2337" s="19" t="str">
        <x:v>Regent RV - Perth</x:v>
      </x:c>
      <x:c r="L2337" s="19" t="str">
        <x:v>Z006</x:v>
      </x:c>
      <x:c r="M2337" s="19" t="str">
        <x:v>In Field Warranty Claims</x:v>
      </x:c>
      <x:c r="N2337" s="37" t="n">
        <x:v>46113</x:v>
      </x:c>
      <x:c r="O2337" s="37"/>
      <x:c r="P2337" s="34" t="n">
        <x:v>1502.05</x:v>
      </x:c>
      <x:c r="Q2337" s="37" t="n">
        <x:v>46128.119108796294</x:v>
      </x:c>
    </x:row>
    <x:row r="2338">
      <x:c r="A2338" s="22" t="n">
        <x:v>33118</x:v>
      </x:c>
      <x:c r="B2338" s="28" t="n">
        <x:v>875</x:v>
      </x:c>
      <x:c r="C2338" s="28"/>
      <x:c r="D2338" s="31" t="str">
        <x:f>IF(OR(ISBLANK(B2338),ISBLANK(C2338),B2338=0),"",(C2338-B2338)/B2338)</x:f>
      </x:c>
      <x:c r="E2338" s="22" t="str">
        <x:f>IF(ISBLANK(C2338),"AmountIncludingTax缺失",IF(ABS(B2338-C2338)&lt;0.005,"一致","不一致"))</x:f>
        <x:v>AmountIncludingTax缺失</x:v>
      </x:c>
      <x:c r="F2338" s="19" t="str">
        <x:v>approved</x:v>
      </x:c>
      <x:c r="G2338" s="19" t="str">
        <x:v>Repair in Progress</x:v>
      </x:c>
      <x:c r="H2338" s="19" t="str">
        <x:v>In Field</x:v>
      </x:c>
      <x:c r="I2338" s="37" t="n">
        <x:v>46167</x:v>
      </x:c>
      <x:c r="J2338" s="37" t="n">
        <x:v>46167</x:v>
      </x:c>
      <x:c r="K2338" s="19" t="str">
        <x:v>ABCO Caravans - Boambee Valley</x:v>
      </x:c>
      <x:c r="L2338" s="19" t="str">
        <x:v>Z006</x:v>
      </x:c>
      <x:c r="M2338" s="19" t="str">
        <x:v>In Field Warranty Claims</x:v>
      </x:c>
      <x:c r="N2338" s="37" t="n">
        <x:v>46113</x:v>
      </x:c>
      <x:c r="O2338" s="37"/>
      <x:c r="P2338" s="34" t="n">
        <x:v>0</x:v>
      </x:c>
      <x:c r="Q2338" s="37" t="n">
        <x:v>46167.22951388889</x:v>
      </x:c>
    </x:row>
    <x:row r="2339">
      <x:c r="A2339" s="22" t="n">
        <x:v>33117</x:v>
      </x:c>
      <x:c r="B2339" s="28" t="n">
        <x:v>877.5</x:v>
      </x:c>
      <x:c r="C2339" s="28"/>
      <x:c r="D2339" s="31" t="str">
        <x:f>IF(OR(ISBLANK(B2339),ISBLANK(C2339),B2339=0),"",(C2339-B2339)/B2339)</x:f>
      </x:c>
      <x:c r="E2339" s="22" t="str">
        <x:f>IF(ISBLANK(C2339),"AmountIncludingTax缺失",IF(ABS(B2339-C2339)&lt;0.005,"一致","不一致"))</x:f>
        <x:v>AmountIncludingTax缺失</x:v>
      </x:c>
      <x:c r="F2339" s="19" t="str">
        <x:v>approved</x:v>
      </x:c>
      <x:c r="G2339" s="19" t="str">
        <x:v>Repair in Progress</x:v>
      </x:c>
      <x:c r="H2339" s="19" t="str">
        <x:v>In Field</x:v>
      </x:c>
      <x:c r="I2339" s="37" t="n">
        <x:v>46120</x:v>
      </x:c>
      <x:c r="J2339" s="37" t="n">
        <x:v>46120</x:v>
      </x:c>
      <x:c r="K2339" s="19" t="str">
        <x:v>Regent RV - Perth</x:v>
      </x:c>
      <x:c r="L2339" s="19" t="str">
        <x:v>Z006</x:v>
      </x:c>
      <x:c r="M2339" s="19" t="str">
        <x:v>In Field Warranty Claims</x:v>
      </x:c>
      <x:c r="N2339" s="37" t="n">
        <x:v>46113</x:v>
      </x:c>
      <x:c r="O2339" s="37"/>
      <x:c r="P2339" s="34" t="n">
        <x:v>0</x:v>
      </x:c>
      <x:c r="Q2339" s="37" t="n">
        <x:v>46120.19671296296</x:v>
      </x:c>
    </x:row>
    <x:row r="2340">
      <x:c r="A2340" s="22" t="n">
        <x:v>33116</x:v>
      </x:c>
      <x:c r="B2340" s="28" t="n">
        <x:v>67.5</x:v>
      </x:c>
      <x:c r="C2340" s="28"/>
      <x:c r="D2340" s="31" t="str">
        <x:f>IF(OR(ISBLANK(B2340),ISBLANK(C2340),B2340=0),"",(C2340-B2340)/B2340)</x:f>
      </x:c>
      <x:c r="E2340" s="22" t="str">
        <x:f>IF(ISBLANK(C2340),"AmountIncludingTax缺失",IF(ABS(B2340-C2340)&lt;0.005,"一致","不一致"))</x:f>
        <x:v>AmountIncludingTax缺失</x:v>
      </x:c>
      <x:c r="F2340" s="19" t="str">
        <x:v>approved</x:v>
      </x:c>
      <x:c r="G2340" s="19" t="str">
        <x:v>Sales Order Approved</x:v>
      </x:c>
      <x:c r="H2340" s="19" t="str">
        <x:v>In Field</x:v>
      </x:c>
      <x:c r="I2340" s="37" t="n">
        <x:v>46124</x:v>
      </x:c>
      <x:c r="J2340" s="37" t="n">
        <x:v>46124</x:v>
      </x:c>
      <x:c r="K2340" s="19" t="str">
        <x:v>Newcastle RV Super Centre - Beresfield</x:v>
      </x:c>
      <x:c r="L2340" s="19" t="str">
        <x:v>Z006</x:v>
      </x:c>
      <x:c r="M2340" s="19" t="str">
        <x:v>In Field Warranty Claims</x:v>
      </x:c>
      <x:c r="N2340" s="37" t="n">
        <x:v>46113</x:v>
      </x:c>
      <x:c r="O2340" s="37"/>
      <x:c r="P2340" s="34" t="n">
        <x:v>0</x:v>
      </x:c>
      <x:c r="Q2340" s="37" t="n">
        <x:v>46124.200208333335</x:v>
      </x:c>
    </x:row>
    <x:row r="2341">
      <x:c r="A2341" s="22" t="n">
        <x:v>33115</x:v>
      </x:c>
      <x:c r="B2341" s="28" t="n">
        <x:v>67.5</x:v>
      </x:c>
      <x:c r="C2341" s="28"/>
      <x:c r="D2341" s="31" t="str">
        <x:f>IF(OR(ISBLANK(B2341),ISBLANK(C2341),B2341=0),"",(C2341-B2341)/B2341)</x:f>
      </x:c>
      <x:c r="E2341" s="22" t="str">
        <x:f>IF(ISBLANK(C2341),"AmountIncludingTax缺失",IF(ABS(B2341-C2341)&lt;0.005,"一致","不一致"))</x:f>
        <x:v>AmountIncludingTax缺失</x:v>
      </x:c>
      <x:c r="F2341" s="19" t="str">
        <x:v>approved</x:v>
      </x:c>
      <x:c r="G2341" s="19" t="str">
        <x:v>Repairer Invoiced Processed</x:v>
      </x:c>
      <x:c r="H2341" s="19" t="str">
        <x:v>In Field</x:v>
      </x:c>
      <x:c r="I2341" s="37" t="n">
        <x:v>46125</x:v>
      </x:c>
      <x:c r="J2341" s="37" t="n">
        <x:v>46125</x:v>
      </x:c>
      <x:c r="K2341" s="19" t="str">
        <x:v>Green RV - Forest Glen</x:v>
      </x:c>
      <x:c r="L2341" s="19" t="str">
        <x:v>Z006</x:v>
      </x:c>
      <x:c r="M2341" s="19" t="str">
        <x:v>In Field Warranty Claims</x:v>
      </x:c>
      <x:c r="N2341" s="37" t="n">
        <x:v>46113</x:v>
      </x:c>
      <x:c r="O2341" s="37"/>
      <x:c r="P2341" s="34" t="n">
        <x:v>0</x:v>
      </x:c>
      <x:c r="Q2341" s="37" t="n">
        <x:v>46124.92915509259</x:v>
      </x:c>
    </x:row>
    <x:row r="2342">
      <x:c r="A2342" s="22" t="n">
        <x:v>33113</x:v>
      </x:c>
      <x:c r="B2342" s="28" t="n">
        <x:v>1352.5</x:v>
      </x:c>
      <x:c r="C2342" s="28"/>
      <x:c r="D2342" s="31" t="str">
        <x:f>IF(OR(ISBLANK(B2342),ISBLANK(C2342),B2342=0),"",(C2342-B2342)/B2342)</x:f>
      </x:c>
      <x:c r="E2342" s="22" t="str">
        <x:f>IF(ISBLANK(C2342),"AmountIncludingTax缺失",IF(ABS(B2342-C2342)&lt;0.005,"一致","不一致"))</x:f>
        <x:v>AmountIncludingTax缺失</x:v>
      </x:c>
      <x:c r="F2342" s="19" t="str">
        <x:v>approved</x:v>
      </x:c>
      <x:c r="G2342" s="19" t="str">
        <x:v>Repairer Invoiced Processed</x:v>
      </x:c>
      <x:c r="H2342" s="19" t="str">
        <x:v>In Field</x:v>
      </x:c>
      <x:c r="I2342" s="37" t="n">
        <x:v>46120</x:v>
      </x:c>
      <x:c r="J2342" s="37" t="n">
        <x:v>46120</x:v>
      </x:c>
      <x:c r="K2342" s="19" t="str">
        <x:v>Green RV - Forest Glen</x:v>
      </x:c>
      <x:c r="L2342" s="19" t="str">
        <x:v>Z006</x:v>
      </x:c>
      <x:c r="M2342" s="19" t="str">
        <x:v>In Field Warranty Claims</x:v>
      </x:c>
      <x:c r="N2342" s="37" t="n">
        <x:v>46113</x:v>
      </x:c>
      <x:c r="O2342" s="37"/>
      <x:c r="P2342" s="34" t="n">
        <x:v>0</x:v>
      </x:c>
      <x:c r="Q2342" s="37" t="n">
        <x:v>46119.96225694445</x:v>
      </x:c>
    </x:row>
    <x:row r="2343">
      <x:c r="A2343" s="22" t="n">
        <x:v>33111</x:v>
      </x:c>
      <x:c r="B2343" s="28" t="n">
        <x:v>355.68</x:v>
      </x:c>
      <x:c r="C2343" s="28"/>
      <x:c r="D2343" s="31" t="str">
        <x:f>IF(OR(ISBLANK(B2343),ISBLANK(C2343),B2343=0),"",(C2343-B2343)/B2343)</x:f>
      </x:c>
      <x:c r="E2343" s="22" t="str">
        <x:f>IF(ISBLANK(C2343),"AmountIncludingTax缺失",IF(ABS(B2343-C2343)&lt;0.005,"一致","不一致"))</x:f>
        <x:v>AmountIncludingTax缺失</x:v>
      </x:c>
      <x:c r="F2343" s="19" t="str">
        <x:v>approved</x:v>
      </x:c>
      <x:c r="G2343" s="19" t="str">
        <x:v>Repairer Invoiced Processed</x:v>
      </x:c>
      <x:c r="H2343" s="19" t="str">
        <x:v>In Field</x:v>
      </x:c>
      <x:c r="I2343" s="37" t="n">
        <x:v>46126</x:v>
      </x:c>
      <x:c r="J2343" s="37" t="n">
        <x:v>46126</x:v>
      </x:c>
      <x:c r="K2343" s="19" t="str">
        <x:v>Green RV - Slacks Creek</x:v>
      </x:c>
      <x:c r="L2343" s="19" t="str">
        <x:v>Z006</x:v>
      </x:c>
      <x:c r="M2343" s="19" t="str">
        <x:v>In Field Warranty Claims</x:v>
      </x:c>
      <x:c r="N2343" s="37" t="n">
        <x:v>46113</x:v>
      </x:c>
      <x:c r="O2343" s="37"/>
      <x:c r="P2343" s="34" t="n">
        <x:v>0</x:v>
      </x:c>
      <x:c r="Q2343" s="37" t="n">
        <x:v>46125.838113425925</x:v>
      </x:c>
    </x:row>
    <x:row r="2344">
      <x:c r="A2344" s="22" t="n">
        <x:v>33110</x:v>
      </x:c>
      <x:c r="B2344" s="28" t="n">
        <x:v>607.5</x:v>
      </x:c>
      <x:c r="C2344" s="28"/>
      <x:c r="D2344" s="31" t="str">
        <x:f>IF(OR(ISBLANK(B2344),ISBLANK(C2344),B2344=0),"",(C2344-B2344)/B2344)</x:f>
      </x:c>
      <x:c r="E2344" s="22" t="str">
        <x:f>IF(ISBLANK(C2344),"AmountIncludingTax缺失",IF(ABS(B2344-C2344)&lt;0.005,"一致","不一致"))</x:f>
        <x:v>AmountIncludingTax缺失</x:v>
      </x:c>
      <x:c r="F2344" s="19" t="str">
        <x:v>approved</x:v>
      </x:c>
      <x:c r="G2344" s="19" t="str">
        <x:v>Partially Picked</x:v>
      </x:c>
      <x:c r="H2344" s="19" t="str">
        <x:v>In Field</x:v>
      </x:c>
      <x:c r="I2344" s="37" t="n">
        <x:v>46189</x:v>
      </x:c>
      <x:c r="J2344" s="37" t="n">
        <x:v>46189</x:v>
      </x:c>
      <x:c r="K2344" s="19" t="str">
        <x:v>ABCO Caravans - Boambee Valley</x:v>
      </x:c>
      <x:c r="L2344" s="19" t="str">
        <x:v>Z006</x:v>
      </x:c>
      <x:c r="M2344" s="19" t="str">
        <x:v>In Field Warranty Claims</x:v>
      </x:c>
      <x:c r="N2344" s="37" t="n">
        <x:v>46113</x:v>
      </x:c>
      <x:c r="O2344" s="37"/>
      <x:c r="P2344" s="34" t="n">
        <x:v>0</x:v>
      </x:c>
      <x:c r="Q2344" s="37" t="n">
        <x:v>46188.915243055555</x:v>
      </x:c>
    </x:row>
    <x:row r="2345">
      <x:c r="A2345" s="22" t="n">
        <x:v>33109</x:v>
      </x:c>
      <x:c r="B2345" s="28" t="n">
        <x:v>725</x:v>
      </x:c>
      <x:c r="C2345" s="28"/>
      <x:c r="D2345" s="31" t="str">
        <x:f>IF(OR(ISBLANK(B2345),ISBLANK(C2345),B2345=0),"",(C2345-B2345)/B2345)</x:f>
      </x:c>
      <x:c r="E2345" s="22" t="str">
        <x:f>IF(ISBLANK(C2345),"AmountIncludingTax缺失",IF(ABS(B2345-C2345)&lt;0.005,"一致","不一致"))</x:f>
        <x:v>AmountIncludingTax缺失</x:v>
      </x:c>
      <x:c r="F2345" s="19" t="str">
        <x:v>approved</x:v>
      </x:c>
      <x:c r="G2345" s="19" t="str">
        <x:v>Repairer Invoiced Processed</x:v>
      </x:c>
      <x:c r="H2345" s="19" t="str">
        <x:v>In Field</x:v>
      </x:c>
      <x:c r="I2345" s="37" t="n">
        <x:v>46114</x:v>
      </x:c>
      <x:c r="J2345" s="37" t="n">
        <x:v>46114</x:v>
      </x:c>
      <x:c r="K2345" s="19" t="str">
        <x:v>Green RV - Forest Glen</x:v>
      </x:c>
      <x:c r="L2345" s="19" t="str">
        <x:v>Z006</x:v>
      </x:c>
      <x:c r="M2345" s="19" t="str">
        <x:v>In Field Warranty Claims</x:v>
      </x:c>
      <x:c r="N2345" s="37" t="n">
        <x:v>46113</x:v>
      </x:c>
      <x:c r="O2345" s="37"/>
      <x:c r="P2345" s="34" t="n">
        <x:v>0</x:v>
      </x:c>
      <x:c r="Q2345" s="37" t="n">
        <x:v>46113.880520833336</x:v>
      </x:c>
    </x:row>
    <x:row r="2346">
      <x:c r="A2346" s="22" t="n">
        <x:v>33108</x:v>
      </x:c>
      <x:c r="B2346" s="28" t="n">
        <x:v>405</x:v>
      </x:c>
      <x:c r="C2346" s="28"/>
      <x:c r="D2346" s="31" t="str">
        <x:f>IF(OR(ISBLANK(B2346),ISBLANK(C2346),B2346=0),"",(C2346-B2346)/B2346)</x:f>
      </x:c>
      <x:c r="E2346" s="22" t="str">
        <x:f>IF(ISBLANK(C2346),"AmountIncludingTax缺失",IF(ABS(B2346-C2346)&lt;0.005,"一致","不一致"))</x:f>
        <x:v>AmountIncludingTax缺失</x:v>
      </x:c>
      <x:c r="F2346" s="19" t="str">
        <x:v>approved</x:v>
      </x:c>
      <x:c r="G2346" s="19" t="str">
        <x:v>Repairer Invoiced Processed</x:v>
      </x:c>
      <x:c r="H2346" s="19" t="str">
        <x:v>In Field</x:v>
      </x:c>
      <x:c r="I2346" s="37" t="n">
        <x:v>46114</x:v>
      </x:c>
      <x:c r="J2346" s="37" t="n">
        <x:v>46114</x:v>
      </x:c>
      <x:c r="K2346" s="19" t="str">
        <x:v>Green RV - Forest Glen</x:v>
      </x:c>
      <x:c r="L2346" s="19" t="str">
        <x:v>Z006</x:v>
      </x:c>
      <x:c r="M2346" s="19" t="str">
        <x:v>In Field Warranty Claims</x:v>
      </x:c>
      <x:c r="N2346" s="37" t="n">
        <x:v>46113</x:v>
      </x:c>
      <x:c r="O2346" s="37"/>
      <x:c r="P2346" s="34" t="n">
        <x:v>0</x:v>
      </x:c>
      <x:c r="Q2346" s="37" t="n">
        <x:v>46113.884675925925</x:v>
      </x:c>
    </x:row>
    <x:row r="2347">
      <x:c r="A2347" s="22" t="n">
        <x:v>33107</x:v>
      </x:c>
      <x:c r="B2347" s="28" t="n">
        <x:v>1212.5</x:v>
      </x:c>
      <x:c r="C2347" s="28"/>
      <x:c r="D2347" s="31" t="str">
        <x:f>IF(OR(ISBLANK(B2347),ISBLANK(C2347),B2347=0),"",(C2347-B2347)/B2347)</x:f>
      </x:c>
      <x:c r="E2347" s="22" t="str">
        <x:f>IF(ISBLANK(C2347),"AmountIncludingTax缺失",IF(ABS(B2347-C2347)&lt;0.005,"一致","不一致"))</x:f>
        <x:v>AmountIncludingTax缺失</x:v>
      </x:c>
      <x:c r="F2347" s="19" t="str">
        <x:v>approved</x:v>
      </x:c>
      <x:c r="G2347" s="19" t="str">
        <x:v>Repairer Invoiced Processed</x:v>
      </x:c>
      <x:c r="H2347" s="19" t="str">
        <x:v>In Field</x:v>
      </x:c>
      <x:c r="I2347" s="37" t="n">
        <x:v>46121</x:v>
      </x:c>
      <x:c r="J2347" s="37" t="n">
        <x:v>46121</x:v>
      </x:c>
      <x:c r="K2347" s="19" t="str">
        <x:v>Green RV - Forest Glen</x:v>
      </x:c>
      <x:c r="L2347" s="19" t="str">
        <x:v>Z006</x:v>
      </x:c>
      <x:c r="M2347" s="19" t="str">
        <x:v>In Field Warranty Claims</x:v>
      </x:c>
      <x:c r="N2347" s="37" t="n">
        <x:v>46113</x:v>
      </x:c>
      <x:c r="O2347" s="37"/>
      <x:c r="P2347" s="34" t="n">
        <x:v>0</x:v>
      </x:c>
      <x:c r="Q2347" s="37" t="n">
        <x:v>46121.257581018515</x:v>
      </x:c>
    </x:row>
    <x:row r="2348">
      <x:c r="A2348" s="22" t="n">
        <x:v>33106</x:v>
      </x:c>
      <x:c r="B2348" s="28" t="n">
        <x:v>67.5</x:v>
      </x:c>
      <x:c r="C2348" s="28"/>
      <x:c r="D2348" s="31" t="str">
        <x:f>IF(OR(ISBLANK(B2348),ISBLANK(C2348),B2348=0),"",(C2348-B2348)/B2348)</x:f>
      </x:c>
      <x:c r="E2348" s="22" t="str">
        <x:f>IF(ISBLANK(C2348),"AmountIncludingTax缺失",IF(ABS(B2348-C2348)&lt;0.005,"一致","不一致"))</x:f>
        <x:v>AmountIncludingTax缺失</x:v>
      </x:c>
      <x:c r="F2348" s="19" t="str">
        <x:v>approved</x:v>
      </x:c>
      <x:c r="G2348" s="19" t="str">
        <x:v>Repairer Invoiced Processed</x:v>
      </x:c>
      <x:c r="H2348" s="19" t="str">
        <x:v>In Field</x:v>
      </x:c>
      <x:c r="I2348" s="37" t="n">
        <x:v>46120</x:v>
      </x:c>
      <x:c r="J2348" s="37" t="n">
        <x:v>46120</x:v>
      </x:c>
      <x:c r="K2348" s="19" t="str">
        <x:v>Newcastle RV Super Centre - Beresfield</x:v>
      </x:c>
      <x:c r="L2348" s="19" t="str">
        <x:v>Z006</x:v>
      </x:c>
      <x:c r="M2348" s="19" t="str">
        <x:v>In Field Warranty Claims</x:v>
      </x:c>
      <x:c r="N2348" s="37" t="n">
        <x:v>46113</x:v>
      </x:c>
      <x:c r="O2348" s="37"/>
      <x:c r="P2348" s="34" t="n">
        <x:v>0</x:v>
      </x:c>
      <x:c r="Q2348" s="37" t="n">
        <x:v>46119.857939814814</x:v>
      </x:c>
    </x:row>
    <x:row r="2349">
      <x:c r="A2349" s="22" t="n">
        <x:v>33105</x:v>
      </x:c>
      <x:c r="B2349" s="28" t="n">
        <x:v>2416.25</x:v>
      </x:c>
      <x:c r="C2349" s="28"/>
      <x:c r="D2349" s="31" t="str">
        <x:f>IF(OR(ISBLANK(B2349),ISBLANK(C2349),B2349=0),"",(C2349-B2349)/B2349)</x:f>
      </x:c>
      <x:c r="E2349" s="22" t="str">
        <x:f>IF(ISBLANK(C2349),"AmountIncludingTax缺失",IF(ABS(B2349-C2349)&lt;0.005,"一致","不一致"))</x:f>
        <x:v>AmountIncludingTax缺失</x:v>
      </x:c>
      <x:c r="F2349" s="19" t="str">
        <x:v>approved</x:v>
      </x:c>
      <x:c r="G2349" s="19" t="str">
        <x:v>Repair in Progress</x:v>
      </x:c>
      <x:c r="H2349" s="19" t="str">
        <x:v>In Field</x:v>
      </x:c>
      <x:c r="I2349" s="37" t="n">
        <x:v>46154</x:v>
      </x:c>
      <x:c r="J2349" s="37" t="n">
        <x:v>46153</x:v>
      </x:c>
      <x:c r="K2349" s="19" t="str">
        <x:v>Green RV - Forest Glen</x:v>
      </x:c>
      <x:c r="L2349" s="19" t="str">
        <x:v>Z006</x:v>
      </x:c>
      <x:c r="M2349" s="19" t="str">
        <x:v>In Field Warranty Claims</x:v>
      </x:c>
      <x:c r="N2349" s="37" t="n">
        <x:v>46113</x:v>
      </x:c>
      <x:c r="O2349" s="37"/>
      <x:c r="P2349" s="34" t="n">
        <x:v>0</x:v>
      </x:c>
      <x:c r="Q2349" s="37" t="n">
        <x:v>46154.13606481482</x:v>
      </x:c>
    </x:row>
    <x:row r="2350">
      <x:c r="A2350" s="22" t="n">
        <x:v>33103</x:v>
      </x:c>
      <x:c r="B2350" s="28" t="n">
        <x:v>67.5</x:v>
      </x:c>
      <x:c r="C2350" s="28"/>
      <x:c r="D2350" s="31" t="str">
        <x:f>IF(OR(ISBLANK(B2350),ISBLANK(C2350),B2350=0),"",(C2350-B2350)/B2350)</x:f>
      </x:c>
      <x:c r="E2350" s="22" t="str">
        <x:f>IF(ISBLANK(C2350),"AmountIncludingTax缺失",IF(ABS(B2350-C2350)&lt;0.005,"一致","不一致"))</x:f>
        <x:v>AmountIncludingTax缺失</x:v>
      </x:c>
      <x:c r="F2350" s="19" t="str">
        <x:v>approved</x:v>
      </x:c>
      <x:c r="G2350" s="19" t="str">
        <x:v>Repairer Invoiced Processed</x:v>
      </x:c>
      <x:c r="H2350" s="19" t="str">
        <x:v>In Field</x:v>
      </x:c>
      <x:c r="I2350" s="37" t="n">
        <x:v>46119</x:v>
      </x:c>
      <x:c r="J2350" s="37" t="n">
        <x:v>46119</x:v>
      </x:c>
      <x:c r="K2350" s="19" t="str">
        <x:v>Newcastle RV Super Centre - Beresfield</x:v>
      </x:c>
      <x:c r="L2350" s="19" t="str">
        <x:v>Z006</x:v>
      </x:c>
      <x:c r="M2350" s="19" t="str">
        <x:v>In Field Warranty Claims</x:v>
      </x:c>
      <x:c r="N2350" s="37" t="n">
        <x:v>46113</x:v>
      </x:c>
      <x:c r="O2350" s="37"/>
      <x:c r="P2350" s="34" t="n">
        <x:v>0</x:v>
      </x:c>
      <x:c r="Q2350" s="37" t="n">
        <x:v>46119.21383101852</x:v>
      </x:c>
    </x:row>
    <x:row r="2351">
      <x:c r="A2351" s="22" t="n">
        <x:v>33102</x:v>
      </x:c>
      <x:c r="B2351" s="28" t="n">
        <x:v>101.25</x:v>
      </x:c>
      <x:c r="C2351" s="28"/>
      <x:c r="D2351" s="31" t="str">
        <x:f>IF(OR(ISBLANK(B2351),ISBLANK(C2351),B2351=0),"",(C2351-B2351)/B2351)</x:f>
      </x:c>
      <x:c r="E2351" s="22" t="str">
        <x:f>IF(ISBLANK(C2351),"AmountIncludingTax缺失",IF(ABS(B2351-C2351)&lt;0.005,"一致","不一致"))</x:f>
        <x:v>AmountIncludingTax缺失</x:v>
      </x:c>
      <x:c r="F2351" s="19" t="str">
        <x:v>approved</x:v>
      </x:c>
      <x:c r="G2351" s="19" t="str">
        <x:v>Repairer Invoiced Processed</x:v>
      </x:c>
      <x:c r="H2351" s="19" t="str">
        <x:v>In Field</x:v>
      </x:c>
      <x:c r="I2351" s="37" t="n">
        <x:v>46120</x:v>
      </x:c>
      <x:c r="J2351" s="37" t="n">
        <x:v>46120</x:v>
      </x:c>
      <x:c r="K2351" s="19" t="str">
        <x:v>Green RV - Forest Glen</x:v>
      </x:c>
      <x:c r="L2351" s="19" t="str">
        <x:v>Z006</x:v>
      </x:c>
      <x:c r="M2351" s="19" t="str">
        <x:v>In Field Warranty Claims</x:v>
      </x:c>
      <x:c r="N2351" s="37" t="n">
        <x:v>46113</x:v>
      </x:c>
      <x:c r="O2351" s="37"/>
      <x:c r="P2351" s="34" t="n">
        <x:v>0</x:v>
      </x:c>
      <x:c r="Q2351" s="37" t="n">
        <x:v>46119.93027777778</x:v>
      </x:c>
    </x:row>
    <x:row r="2352">
      <x:c r="A2352" s="22" t="n">
        <x:v>33101</x:v>
      </x:c>
      <x:c r="B2352" s="28" t="n">
        <x:v>581.87</x:v>
      </x:c>
      <x:c r="C2352" s="28"/>
      <x:c r="D2352" s="31" t="str">
        <x:f>IF(OR(ISBLANK(B2352),ISBLANK(C2352),B2352=0),"",(C2352-B2352)/B2352)</x:f>
      </x:c>
      <x:c r="E2352" s="22" t="str">
        <x:f>IF(ISBLANK(C2352),"AmountIncludingTax缺失",IF(ABS(B2352-C2352)&lt;0.005,"一致","不一致"))</x:f>
        <x:v>AmountIncludingTax缺失</x:v>
      </x:c>
      <x:c r="F2352" s="19" t="str">
        <x:v>approved</x:v>
      </x:c>
      <x:c r="G2352" s="19" t="str">
        <x:v>Repairer Invoiced Processed</x:v>
      </x:c>
      <x:c r="H2352" s="19" t="str">
        <x:v>In Field</x:v>
      </x:c>
      <x:c r="I2352" s="37" t="n">
        <x:v>46136</x:v>
      </x:c>
      <x:c r="J2352" s="37" t="n">
        <x:v>46136</x:v>
      </x:c>
      <x:c r="K2352" s="19" t="str">
        <x:v>Dario Caravans -St.Marys</x:v>
      </x:c>
      <x:c r="L2352" s="19" t="str">
        <x:v>Z006</x:v>
      </x:c>
      <x:c r="M2352" s="19" t="str">
        <x:v>In Field Warranty Claims</x:v>
      </x:c>
      <x:c r="N2352" s="37" t="n">
        <x:v>46113</x:v>
      </x:c>
      <x:c r="O2352" s="37"/>
      <x:c r="P2352" s="34" t="n">
        <x:v>0</x:v>
      </x:c>
      <x:c r="Q2352" s="37" t="n">
        <x:v>46136.14686342593</x:v>
      </x:c>
    </x:row>
    <x:row r="2353">
      <x:c r="A2353" s="22" t="n">
        <x:v>33097</x:v>
      </x:c>
      <x:c r="B2353" s="28" t="n">
        <x:v>405</x:v>
      </x:c>
      <x:c r="C2353" s="28"/>
      <x:c r="D2353" s="31" t="str">
        <x:f>IF(OR(ISBLANK(B2353),ISBLANK(C2353),B2353=0),"",(C2353-B2353)/B2353)</x:f>
      </x:c>
      <x:c r="E2353" s="22" t="str">
        <x:f>IF(ISBLANK(C2353),"AmountIncludingTax缺失",IF(ABS(B2353-C2353)&lt;0.005,"一致","不一致"))</x:f>
        <x:v>AmountIncludingTax缺失</x:v>
      </x:c>
      <x:c r="F2353" s="19" t="str">
        <x:v>approved</x:v>
      </x:c>
      <x:c r="G2353" s="19" t="str">
        <x:v>Sales Order Approved</x:v>
      </x:c>
      <x:c r="H2353" s="19" t="str">
        <x:v>In Field</x:v>
      </x:c>
      <x:c r="I2353" s="37" t="n">
        <x:v>46113</x:v>
      </x:c>
      <x:c r="J2353" s="37" t="n">
        <x:v>46113</x:v>
      </x:c>
      <x:c r="K2353" s="19" t="str">
        <x:v>Not Assigned</x:v>
      </x:c>
      <x:c r="L2353" s="19" t="str">
        <x:v>Z006</x:v>
      </x:c>
      <x:c r="M2353" s="19" t="str">
        <x:v>In Field Warranty Claims</x:v>
      </x:c>
      <x:c r="N2353" s="37" t="n">
        <x:v>46113</x:v>
      </x:c>
      <x:c r="O2353" s="37"/>
      <x:c r="P2353" s="34" t="n">
        <x:v>0</x:v>
      </x:c>
      <x:c r="Q2353" s="37" t="n">
        <x:v>46113.22728009259</x:v>
      </x:c>
    </x:row>
    <x:row r="2354">
      <x:c r="A2354" s="22" t="n">
        <x:v>33096</x:v>
      </x:c>
      <x:c r="B2354" s="28" t="n">
        <x:v>240</x:v>
      </x:c>
      <x:c r="C2354" s="28"/>
      <x:c r="D2354" s="31" t="str">
        <x:f>IF(OR(ISBLANK(B2354),ISBLANK(C2354),B2354=0),"",(C2354-B2354)/B2354)</x:f>
      </x:c>
      <x:c r="E2354" s="22" t="str">
        <x:f>IF(ISBLANK(C2354),"AmountIncludingTax缺失",IF(ABS(B2354-C2354)&lt;0.005,"一致","不一致"))</x:f>
        <x:v>AmountIncludingTax缺失</x:v>
      </x:c>
      <x:c r="F2354" s="19" t="str">
        <x:v>approved</x:v>
      </x:c>
      <x:c r="G2354" s="19" t="str">
        <x:v>Repair in Progress</x:v>
      </x:c>
      <x:c r="H2354" s="19" t="str">
        <x:v>In Field</x:v>
      </x:c>
      <x:c r="I2354" s="37" t="n">
        <x:v>46153</x:v>
      </x:c>
      <x:c r="J2354" s="37" t="n">
        <x:v>46153</x:v>
      </x:c>
      <x:c r="K2354" s="19" t="str">
        <x:v>Green RV - Forest Glen</x:v>
      </x:c>
      <x:c r="L2354" s="19" t="str">
        <x:v>Z006</x:v>
      </x:c>
      <x:c r="M2354" s="19" t="str">
        <x:v>In Field Warranty Claims</x:v>
      </x:c>
      <x:c r="N2354" s="37" t="n">
        <x:v>46113</x:v>
      </x:c>
      <x:c r="O2354" s="37"/>
      <x:c r="P2354" s="34" t="n">
        <x:v>0</x:v>
      </x:c>
      <x:c r="Q2354" s="37" t="n">
        <x:v>46153.125914351855</x:v>
      </x:c>
    </x:row>
    <x:row r="2355">
      <x:c r="A2355" s="22" t="n">
        <x:v>33095</x:v>
      </x:c>
      <x:c r="B2355" s="28" t="n">
        <x:v>188.82</x:v>
      </x:c>
      <x:c r="C2355" s="28"/>
      <x:c r="D2355" s="31" t="str">
        <x:f>IF(OR(ISBLANK(B2355),ISBLANK(C2355),B2355=0),"",(C2355-B2355)/B2355)</x:f>
      </x:c>
      <x:c r="E2355" s="22" t="str">
        <x:f>IF(ISBLANK(C2355),"AmountIncludingTax缺失",IF(ABS(B2355-C2355)&lt;0.005,"一致","不一致"))</x:f>
        <x:v>AmountIncludingTax缺失</x:v>
      </x:c>
      <x:c r="F2355" s="19" t="str">
        <x:v>approved</x:v>
      </x:c>
      <x:c r="G2355" s="19" t="str">
        <x:v>Repair in Progress</x:v>
      </x:c>
      <x:c r="H2355" s="19" t="str">
        <x:v>In Field</x:v>
      </x:c>
      <x:c r="I2355" s="37" t="n">
        <x:v>46113</x:v>
      </x:c>
      <x:c r="J2355" s="37" t="n">
        <x:v>46113</x:v>
      </x:c>
      <x:c r="K2355" s="19" t="str">
        <x:v>Green RV - Forest Glen</x:v>
      </x:c>
      <x:c r="L2355" s="19" t="str">
        <x:v>Z006</x:v>
      </x:c>
      <x:c r="M2355" s="19" t="str">
        <x:v>In Field Warranty Claims</x:v>
      </x:c>
      <x:c r="N2355" s="37" t="n">
        <x:v>46113</x:v>
      </x:c>
      <x:c r="O2355" s="37"/>
      <x:c r="P2355" s="34" t="n">
        <x:v>0</x:v>
      </x:c>
      <x:c r="Q2355" s="37" t="n">
        <x:v>46113.17696759259</x:v>
      </x:c>
    </x:row>
    <x:row r="2356">
      <x:c r="A2356" s="22" t="n">
        <x:v>33093</x:v>
      </x:c>
      <x:c r="B2356" s="28" t="n">
        <x:v>38.75</x:v>
      </x:c>
      <x:c r="C2356" s="28" t="n">
        <x:v>42.63</x:v>
      </x:c>
      <x:c r="D2356" s="31" t="n">
        <x:f>IF(OR(ISBLANK(B2356),ISBLANK(C2356),B2356=0),"",(C2356-B2356)/B2356)</x:f>
        <x:v>0.10012903225806458</x:v>
      </x:c>
      <x:c r="E2356" s="22" t="str">
        <x:f>IF(ISBLANK(C2356),"AmountIncludingTax缺失",IF(ABS(B2356-C2356)&lt;0.005,"一致","不一致"))</x:f>
        <x:v>不一致</x:v>
      </x:c>
      <x:c r="F2356" s="19" t="str">
        <x:v>approved</x:v>
      </x:c>
      <x:c r="G2356" s="19" t="str">
        <x:v>Repairer Invoiced Processed</x:v>
      </x:c>
      <x:c r="H2356" s="19" t="str">
        <x:v>In Field</x:v>
      </x:c>
      <x:c r="I2356" s="37" t="n">
        <x:v>46114</x:v>
      </x:c>
      <x:c r="J2356" s="37" t="n">
        <x:v>46114</x:v>
      </x:c>
      <x:c r="K2356" s="19" t="str">
        <x:v>Destiny RV - South Australia</x:v>
      </x:c>
      <x:c r="L2356" s="19" t="str">
        <x:v>Z006</x:v>
      </x:c>
      <x:c r="M2356" s="19" t="str">
        <x:v>In Field Warranty Claims</x:v>
      </x:c>
      <x:c r="N2356" s="37" t="n">
        <x:v>46112</x:v>
      </x:c>
      <x:c r="O2356" s="37"/>
      <x:c r="P2356" s="34" t="n">
        <x:v>42.63</x:v>
      </x:c>
      <x:c r="Q2356" s="37" t="n">
        <x:v>46114.06674768519</x:v>
      </x:c>
    </x:row>
    <x:row r="2357">
      <x:c r="A2357" s="22" t="n">
        <x:v>33090</x:v>
      </x:c>
      <x:c r="B2357" s="28" t="n">
        <x:v>135</x:v>
      </x:c>
      <x:c r="C2357" s="28"/>
      <x:c r="D2357" s="31" t="str">
        <x:f>IF(OR(ISBLANK(B2357),ISBLANK(C2357),B2357=0),"",(C2357-B2357)/B2357)</x:f>
      </x:c>
      <x:c r="E2357" s="22" t="str">
        <x:f>IF(ISBLANK(C2357),"AmountIncludingTax缺失",IF(ABS(B2357-C2357)&lt;0.005,"一致","不一致"))</x:f>
        <x:v>AmountIncludingTax缺失</x:v>
      </x:c>
      <x:c r="F2357" s="19" t="str">
        <x:v>approved</x:v>
      </x:c>
      <x:c r="G2357" s="19" t="str">
        <x:v>Repair in Progress</x:v>
      </x:c>
      <x:c r="H2357" s="19" t="str">
        <x:v>In Field</x:v>
      </x:c>
      <x:c r="I2357" s="37" t="n">
        <x:v>46121</x:v>
      </x:c>
      <x:c r="J2357" s="37" t="n">
        <x:v>46121</x:v>
      </x:c>
      <x:c r="K2357" s="19" t="str">
        <x:v>Snowy River Frankston</x:v>
      </x:c>
      <x:c r="L2357" s="19" t="str">
        <x:v>Z006</x:v>
      </x:c>
      <x:c r="M2357" s="19" t="str">
        <x:v>In Field Warranty Claims</x:v>
      </x:c>
      <x:c r="N2357" s="37" t="n">
        <x:v>46113</x:v>
      </x:c>
      <x:c r="O2357" s="37"/>
      <x:c r="P2357" s="34" t="n">
        <x:v>0</x:v>
      </x:c>
      <x:c r="Q2357" s="37" t="n">
        <x:v>46121.24884259259</x:v>
      </x:c>
    </x:row>
    <x:row r="2358">
      <x:c r="A2358" s="22" t="n">
        <x:v>33089</x:v>
      </x:c>
      <x:c r="B2358" s="28" t="n">
        <x:v>1215</x:v>
      </x:c>
      <x:c r="C2358" s="28"/>
      <x:c r="D2358" s="31" t="str">
        <x:f>IF(OR(ISBLANK(B2358),ISBLANK(C2358),B2358=0),"",(C2358-B2358)/B2358)</x:f>
      </x:c>
      <x:c r="E2358" s="22" t="str">
        <x:f>IF(ISBLANK(C2358),"AmountIncludingTax缺失",IF(ABS(B2358-C2358)&lt;0.005,"一致","不一致"))</x:f>
        <x:v>AmountIncludingTax缺失</x:v>
      </x:c>
      <x:c r="F2358" s="19" t="str">
        <x:v>approved</x:v>
      </x:c>
      <x:c r="G2358" s="19" t="str">
        <x:v>Repair in Progress</x:v>
      </x:c>
      <x:c r="H2358" s="19" t="str">
        <x:v>In Field</x:v>
      </x:c>
      <x:c r="I2358" s="37" t="n">
        <x:v>46143</x:v>
      </x:c>
      <x:c r="J2358" s="37" t="n">
        <x:v>46143</x:v>
      </x:c>
      <x:c r="K2358" s="19" t="str">
        <x:v>Newcastle RV Super Centre - Beresfield</x:v>
      </x:c>
      <x:c r="L2358" s="19" t="str">
        <x:v>Z006</x:v>
      </x:c>
      <x:c r="M2358" s="19" t="str">
        <x:v>In Field Warranty Claims</x:v>
      </x:c>
      <x:c r="N2358" s="37" t="n">
        <x:v>46113</x:v>
      </x:c>
      <x:c r="O2358" s="37"/>
      <x:c r="P2358" s="34" t="n">
        <x:v>0</x:v>
      </x:c>
      <x:c r="Q2358" s="37" t="n">
        <x:v>46142.9934375</x:v>
      </x:c>
    </x:row>
    <x:row r="2359">
      <x:c r="A2359" s="22" t="n">
        <x:v>33087</x:v>
      </x:c>
      <x:c r="B2359" s="28" t="n">
        <x:v>1409.09</x:v>
      </x:c>
      <x:c r="C2359" s="28"/>
      <x:c r="D2359" s="31" t="str">
        <x:f>IF(OR(ISBLANK(B2359),ISBLANK(C2359),B2359=0),"",(C2359-B2359)/B2359)</x:f>
      </x:c>
      <x:c r="E2359" s="22" t="str">
        <x:f>IF(ISBLANK(C2359),"AmountIncludingTax缺失",IF(ABS(B2359-C2359)&lt;0.005,"一致","不一致"))</x:f>
        <x:v>AmountIncludingTax缺失</x:v>
      </x:c>
      <x:c r="F2359" s="19" t="str">
        <x:v>approved</x:v>
      </x:c>
      <x:c r="G2359" s="19" t="str">
        <x:v>Repairer Invoiced Processed</x:v>
      </x:c>
      <x:c r="H2359" s="19" t="str">
        <x:v>In Field</x:v>
      </x:c>
      <x:c r="I2359" s="37" t="n">
        <x:v>46201</x:v>
      </x:c>
      <x:c r="J2359" s="37" t="n">
        <x:v>46201</x:v>
      </x:c>
      <x:c r="K2359" s="19" t="str">
        <x:v>Snowy River Frankston</x:v>
      </x:c>
      <x:c r="L2359" s="19" t="str">
        <x:v>Z006</x:v>
      </x:c>
      <x:c r="M2359" s="19" t="str">
        <x:v>In Field Warranty Claims</x:v>
      </x:c>
      <x:c r="N2359" s="37" t="n">
        <x:v>46113</x:v>
      </x:c>
      <x:c r="O2359" s="37"/>
      <x:c r="P2359" s="34" t="n">
        <x:v>1550</x:v>
      </x:c>
      <x:c r="Q2359" s="37" t="n">
        <x:v>46200.97871527778</x:v>
      </x:c>
    </x:row>
    <x:row r="2360">
      <x:c r="A2360" s="22" t="n">
        <x:v>33085</x:v>
      </x:c>
      <x:c r="B2360" s="28" t="n">
        <x:v>291.25</x:v>
      </x:c>
      <x:c r="C2360" s="28" t="n">
        <x:v>320.38</x:v>
      </x:c>
      <x:c r="D2360" s="31" t="n">
        <x:f>IF(OR(ISBLANK(B2360),ISBLANK(C2360),B2360=0),"",(C2360-B2360)/B2360)</x:f>
        <x:v>0.10001716738197423</x:v>
      </x:c>
      <x:c r="E2360" s="22" t="str">
        <x:f>IF(ISBLANK(C2360),"AmountIncludingTax缺失",IF(ABS(B2360-C2360)&lt;0.005,"一致","不一致"))</x:f>
        <x:v>不一致</x:v>
      </x:c>
      <x:c r="F2360" s="19" t="str">
        <x:v>approved</x:v>
      </x:c>
      <x:c r="G2360" s="19" t="str">
        <x:v>Repairer Invoiced Processed</x:v>
      </x:c>
      <x:c r="H2360" s="19" t="str">
        <x:v>In Field</x:v>
      </x:c>
      <x:c r="I2360" s="37" t="n">
        <x:v>46114</x:v>
      </x:c>
      <x:c r="J2360" s="37" t="n">
        <x:v>46114</x:v>
      </x:c>
      <x:c r="K2360" s="19" t="str">
        <x:v>Green RV - Forest Glen</x:v>
      </x:c>
      <x:c r="L2360" s="19" t="str">
        <x:v>Z006</x:v>
      </x:c>
      <x:c r="M2360" s="19" t="str">
        <x:v>In Field Warranty Claims</x:v>
      </x:c>
      <x:c r="N2360" s="37" t="n">
        <x:v>46112</x:v>
      </x:c>
      <x:c r="O2360" s="37"/>
      <x:c r="P2360" s="34" t="n">
        <x:v>320.38</x:v>
      </x:c>
      <x:c r="Q2360" s="37" t="n">
        <x:v>46114.04880787037</x:v>
      </x:c>
    </x:row>
    <x:row r="2361">
      <x:c r="A2361" s="22" t="n">
        <x:v>33081</x:v>
      </x:c>
      <x:c r="B2361" s="28" t="n">
        <x:v>520</x:v>
      </x:c>
      <x:c r="C2361" s="28"/>
      <x:c r="D2361" s="31" t="str">
        <x:f>IF(OR(ISBLANK(B2361),ISBLANK(C2361),B2361=0),"",(C2361-B2361)/B2361)</x:f>
      </x:c>
      <x:c r="E2361" s="22" t="str">
        <x:f>IF(ISBLANK(C2361),"AmountIncludingTax缺失",IF(ABS(B2361-C2361)&lt;0.005,"一致","不一致"))</x:f>
        <x:v>AmountIncludingTax缺失</x:v>
      </x:c>
      <x:c r="F2361" s="19" t="str">
        <x:v>approved</x:v>
      </x:c>
      <x:c r="G2361" s="19" t="str">
        <x:v>Sales Order Approved</x:v>
      </x:c>
      <x:c r="H2361" s="19" t="str">
        <x:v>In Field</x:v>
      </x:c>
      <x:c r="I2361" s="37" t="n">
        <x:v>46147</x:v>
      </x:c>
      <x:c r="J2361" s="37" t="n">
        <x:v>46147</x:v>
      </x:c>
      <x:c r="K2361" s="19" t="str">
        <x:v>Regent RV - Traralgon</x:v>
      </x:c>
      <x:c r="L2361" s="19" t="str">
        <x:v>Z006</x:v>
      </x:c>
      <x:c r="M2361" s="19" t="str">
        <x:v>In Field Warranty Claims</x:v>
      </x:c>
      <x:c r="N2361" s="37" t="n">
        <x:v>46112</x:v>
      </x:c>
      <x:c r="O2361" s="37"/>
      <x:c r="P2361" s="34" t="n">
        <x:v>0</x:v>
      </x:c>
      <x:c r="Q2361" s="37" t="n">
        <x:v>46147.2525</x:v>
      </x:c>
    </x:row>
    <x:row r="2362">
      <x:c r="A2362" s="22" t="n">
        <x:v>33080</x:v>
      </x:c>
      <x:c r="B2362" s="28" t="n">
        <x:v>405.41</x:v>
      </x:c>
      <x:c r="C2362" s="28" t="n">
        <x:v>445.95</x:v>
      </x:c>
      <x:c r="D2362" s="31" t="n">
        <x:f>IF(OR(ISBLANK(B2362),ISBLANK(C2362),B2362=0),"",(C2362-B2362)/B2362)</x:f>
        <x:v>0.09999753336128847</x:v>
      </x:c>
      <x:c r="E2362" s="22" t="str">
        <x:f>IF(ISBLANK(C2362),"AmountIncludingTax缺失",IF(ABS(B2362-C2362)&lt;0.005,"一致","不一致"))</x:f>
        <x:v>不一致</x:v>
      </x:c>
      <x:c r="F2362" s="19" t="str">
        <x:v>approved</x:v>
      </x:c>
      <x:c r="G2362" s="19" t="str">
        <x:v>Repairer Invoiced Processed</x:v>
      </x:c>
      <x:c r="H2362" s="19" t="str">
        <x:v>In Field</x:v>
      </x:c>
      <x:c r="I2362" s="37" t="n">
        <x:v>46156</x:v>
      </x:c>
      <x:c r="J2362" s="37" t="n">
        <x:v>46156</x:v>
      </x:c>
      <x:c r="K2362" s="19" t="str">
        <x:v>Great Ocean Road RV &amp; Caravans - Warrnambool</x:v>
      </x:c>
      <x:c r="L2362" s="19" t="str">
        <x:v>Z006</x:v>
      </x:c>
      <x:c r="M2362" s="19" t="str">
        <x:v>In Field Warranty Claims</x:v>
      </x:c>
      <x:c r="N2362" s="37" t="n">
        <x:v>46113</x:v>
      </x:c>
      <x:c r="O2362" s="37"/>
      <x:c r="P2362" s="34" t="n">
        <x:v>445.95</x:v>
      </x:c>
      <x:c r="Q2362" s="37" t="n">
        <x:v>46156.26548611111</x:v>
      </x:c>
    </x:row>
    <x:row r="2363">
      <x:c r="A2363" s="22" t="n">
        <x:v>33079</x:v>
      </x:c>
      <x:c r="B2363" s="28" t="n">
        <x:v>3091.25</x:v>
      </x:c>
      <x:c r="C2363" s="28"/>
      <x:c r="D2363" s="31" t="str">
        <x:f>IF(OR(ISBLANK(B2363),ISBLANK(C2363),B2363=0),"",(C2363-B2363)/B2363)</x:f>
      </x:c>
      <x:c r="E2363" s="22" t="str">
        <x:f>IF(ISBLANK(C2363),"AmountIncludingTax缺失",IF(ABS(B2363-C2363)&lt;0.005,"一致","不一致"))</x:f>
        <x:v>AmountIncludingTax缺失</x:v>
      </x:c>
      <x:c r="F2363" s="19" t="str">
        <x:v>approved</x:v>
      </x:c>
      <x:c r="G2363" s="19" t="str">
        <x:v>Repair in Progress</x:v>
      </x:c>
      <x:c r="H2363" s="19" t="str">
        <x:v>In Field</x:v>
      </x:c>
      <x:c r="I2363" s="37" t="n">
        <x:v>46167</x:v>
      </x:c>
      <x:c r="J2363" s="37" t="n">
        <x:v>46167</x:v>
      </x:c>
      <x:c r="K2363" s="19" t="str">
        <x:v>Green RV - Forest Glen</x:v>
      </x:c>
      <x:c r="L2363" s="19" t="str">
        <x:v>Z006</x:v>
      </x:c>
      <x:c r="M2363" s="19" t="str">
        <x:v>In Field Warranty Claims</x:v>
      </x:c>
      <x:c r="N2363" s="37" t="n">
        <x:v>46113</x:v>
      </x:c>
      <x:c r="O2363" s="37"/>
      <x:c r="P2363" s="34" t="n">
        <x:v>0</x:v>
      </x:c>
      <x:c r="Q2363" s="37" t="n">
        <x:v>46167.09517361111</x:v>
      </x:c>
    </x:row>
    <x:row r="2364">
      <x:c r="A2364" s="22" t="n">
        <x:v>33078</x:v>
      </x:c>
      <x:c r="B2364" s="28" t="n">
        <x:v>607.5</x:v>
      </x:c>
      <x:c r="C2364" s="28" t="n">
        <x:v>668.25</x:v>
      </x:c>
      <x:c r="D2364" s="31" t="n">
        <x:f>IF(OR(ISBLANK(B2364),ISBLANK(C2364),B2364=0),"",(C2364-B2364)/B2364)</x:f>
        <x:v>0.1</x:v>
      </x:c>
      <x:c r="E2364" s="22" t="str">
        <x:f>IF(ISBLANK(C2364),"AmountIncludingTax缺失",IF(ABS(B2364-C2364)&lt;0.005,"一致","不一致"))</x:f>
        <x:v>不一致</x:v>
      </x:c>
      <x:c r="F2364" s="19" t="str">
        <x:v>approved</x:v>
      </x:c>
      <x:c r="G2364" s="19" t="str">
        <x:v>Repair in Progress</x:v>
      </x:c>
      <x:c r="H2364" s="19" t="str">
        <x:v>Pre Delivery</x:v>
      </x:c>
      <x:c r="I2364" s="37" t="n">
        <x:v>46149</x:v>
      </x:c>
      <x:c r="J2364" s="37" t="n">
        <x:v>46149</x:v>
      </x:c>
      <x:c r="K2364" s="19" t="str">
        <x:v>Green RV - Forest Glen</x:v>
      </x:c>
      <x:c r="L2364" s="19" t="str">
        <x:v>Z005</x:v>
      </x:c>
      <x:c r="M2364" s="19" t="str">
        <x:v>Pre Delivery Warranty Claims</x:v>
      </x:c>
      <x:c r="N2364" s="37" t="n">
        <x:v>46112</x:v>
      </x:c>
      <x:c r="O2364" s="37"/>
      <x:c r="P2364" s="34" t="n">
        <x:v>668.25</x:v>
      </x:c>
      <x:c r="Q2364" s="37" t="n">
        <x:v>46149.11890046296</x:v>
      </x:c>
    </x:row>
    <x:row r="2365">
      <x:c r="A2365" s="22" t="n">
        <x:v>33077</x:v>
      </x:c>
      <x:c r="B2365" s="28" t="n">
        <x:v>817.49</x:v>
      </x:c>
      <x:c r="C2365" s="28"/>
      <x:c r="D2365" s="31" t="str">
        <x:f>IF(OR(ISBLANK(B2365),ISBLANK(C2365),B2365=0),"",(C2365-B2365)/B2365)</x:f>
      </x:c>
      <x:c r="E2365" s="22" t="str">
        <x:f>IF(ISBLANK(C2365),"AmountIncludingTax缺失",IF(ABS(B2365-C2365)&lt;0.005,"一致","不一致"))</x:f>
        <x:v>AmountIncludingTax缺失</x:v>
      </x:c>
      <x:c r="F2365" s="19" t="str">
        <x:v>approved</x:v>
      </x:c>
      <x:c r="G2365" s="19" t="str">
        <x:v>Repair in Progress</x:v>
      </x:c>
      <x:c r="H2365" s="19" t="str">
        <x:v>In Field</x:v>
      </x:c>
      <x:c r="I2365" s="37" t="n">
        <x:v>46115</x:v>
      </x:c>
      <x:c r="J2365" s="37" t="n">
        <x:v>46115</x:v>
      </x:c>
      <x:c r="K2365" s="19" t="str">
        <x:v>Green RV - Forest Glen</x:v>
      </x:c>
      <x:c r="L2365" s="19" t="str">
        <x:v>Z006</x:v>
      </x:c>
      <x:c r="M2365" s="19" t="str">
        <x:v>In Field Warranty Claims</x:v>
      </x:c>
      <x:c r="N2365" s="37" t="n">
        <x:v>46112</x:v>
      </x:c>
      <x:c r="O2365" s="37"/>
      <x:c r="P2365" s="34" t="n">
        <x:v>0</x:v>
      </x:c>
      <x:c r="Q2365" s="37" t="n">
        <x:v>46115.03162037037</x:v>
      </x:c>
    </x:row>
    <x:row r="2366">
      <x:c r="A2366" s="22" t="n">
        <x:v>33076</x:v>
      </x:c>
      <x:c r="B2366" s="28" t="n">
        <x:v>203.53</x:v>
      </x:c>
      <x:c r="C2366" s="28" t="n">
        <x:v>223.88</x:v>
      </x:c>
      <x:c r="D2366" s="31" t="n">
        <x:f>IF(OR(ISBLANK(B2366),ISBLANK(C2366),B2366=0),"",(C2366-B2366)/B2366)</x:f>
        <x:v>0.0999852601582076</x:v>
      </x:c>
      <x:c r="E2366" s="22" t="str">
        <x:f>IF(ISBLANK(C2366),"AmountIncludingTax缺失",IF(ABS(B2366-C2366)&lt;0.005,"一致","不一致"))</x:f>
        <x:v>不一致</x:v>
      </x:c>
      <x:c r="F2366" s="19" t="str">
        <x:v>approved</x:v>
      </x:c>
      <x:c r="G2366" s="19" t="str">
        <x:v>Repairer Invoiced Processed</x:v>
      </x:c>
      <x:c r="H2366" s="19" t="str">
        <x:v>Pre Delivery</x:v>
      </x:c>
      <x:c r="I2366" s="37" t="n">
        <x:v>46136</x:v>
      </x:c>
      <x:c r="J2366" s="37" t="n">
        <x:v>46136</x:v>
      </x:c>
      <x:c r="K2366" s="19" t="str">
        <x:v>Lesiure Lion-New Castle</x:v>
      </x:c>
      <x:c r="L2366" s="19" t="str">
        <x:v>Z005</x:v>
      </x:c>
      <x:c r="M2366" s="19" t="str">
        <x:v>Pre Delivery Warranty Claims</x:v>
      </x:c>
      <x:c r="N2366" s="37" t="n">
        <x:v>46112</x:v>
      </x:c>
      <x:c r="O2366" s="37"/>
      <x:c r="P2366" s="34" t="n">
        <x:v>223.88</x:v>
      </x:c>
      <x:c r="Q2366" s="37" t="n">
        <x:v>46136.06418981482</x:v>
      </x:c>
    </x:row>
    <x:row r="2367">
      <x:c r="A2367" s="22" t="n">
        <x:v>33074</x:v>
      </x:c>
      <x:c r="B2367" s="28" t="n">
        <x:v>745</x:v>
      </x:c>
      <x:c r="C2367" s="28" t="n">
        <x:v>674.52</x:v>
      </x:c>
      <x:c r="D2367" s="31" t="n">
        <x:f>IF(OR(ISBLANK(B2367),ISBLANK(C2367),B2367=0),"",(C2367-B2367)/B2367)</x:f>
        <x:v>-0.09460402684563761</x:v>
      </x:c>
      <x:c r="E2367" s="22" t="str">
        <x:f>IF(ISBLANK(C2367),"AmountIncludingTax缺失",IF(ABS(B2367-C2367)&lt;0.005,"一致","不一致"))</x:f>
        <x:v>不一致</x:v>
      </x:c>
      <x:c r="F2367" s="19" t="str">
        <x:v>approved</x:v>
      </x:c>
      <x:c r="G2367" s="19" t="str">
        <x:v>Repairer Invoiced Processed</x:v>
      </x:c>
      <x:c r="H2367" s="19" t="str">
        <x:v>In Field</x:v>
      </x:c>
      <x:c r="I2367" s="37" t="n">
        <x:v>46148</x:v>
      </x:c>
      <x:c r="J2367" s="37" t="n">
        <x:v>46148</x:v>
      </x:c>
      <x:c r="K2367" s="19" t="str">
        <x:v>Vanari Caravans - Marden Point</x:v>
      </x:c>
      <x:c r="L2367" s="19" t="str">
        <x:v>Z006</x:v>
      </x:c>
      <x:c r="M2367" s="19" t="str">
        <x:v>In Field Warranty Claims</x:v>
      </x:c>
      <x:c r="N2367" s="37" t="n">
        <x:v>46112</x:v>
      </x:c>
      <x:c r="O2367" s="37"/>
      <x:c r="P2367" s="34" t="n">
        <x:v>674.52</x:v>
      </x:c>
      <x:c r="Q2367" s="37" t="n">
        <x:v>46148.01878472222</x:v>
      </x:c>
    </x:row>
    <x:row r="2368">
      <x:c r="A2368" s="22" t="n">
        <x:v>33072</x:v>
      </x:c>
      <x:c r="B2368" s="28" t="n">
        <x:v>810</x:v>
      </x:c>
      <x:c r="C2368" s="28"/>
      <x:c r="D2368" s="31" t="str">
        <x:f>IF(OR(ISBLANK(B2368),ISBLANK(C2368),B2368=0),"",(C2368-B2368)/B2368)</x:f>
      </x:c>
      <x:c r="E2368" s="22" t="str">
        <x:f>IF(ISBLANK(C2368),"AmountIncludingTax缺失",IF(ABS(B2368-C2368)&lt;0.005,"一致","不一致"))</x:f>
        <x:v>AmountIncludingTax缺失</x:v>
      </x:c>
      <x:c r="F2368" s="19" t="str">
        <x:v>approved</x:v>
      </x:c>
      <x:c r="G2368" s="19" t="str">
        <x:v>Repair in Progress</x:v>
      </x:c>
      <x:c r="H2368" s="19" t="str">
        <x:v>In Field</x:v>
      </x:c>
      <x:c r="I2368" s="37" t="n">
        <x:v>46115</x:v>
      </x:c>
      <x:c r="J2368" s="37" t="n">
        <x:v>46115</x:v>
      </x:c>
      <x:c r="K2368" s="19" t="str">
        <x:v>Green RV - Forest Glen</x:v>
      </x:c>
      <x:c r="L2368" s="19" t="str">
        <x:v>Z006</x:v>
      </x:c>
      <x:c r="M2368" s="19" t="str">
        <x:v>In Field Warranty Claims</x:v>
      </x:c>
      <x:c r="N2368" s="37" t="n">
        <x:v>46112</x:v>
      </x:c>
      <x:c r="O2368" s="37"/>
      <x:c r="P2368" s="34" t="n">
        <x:v>0</x:v>
      </x:c>
      <x:c r="Q2368" s="37" t="n">
        <x:v>46115.03233796296</x:v>
      </x:c>
    </x:row>
    <x:row r="2369">
      <x:c r="A2369" s="22" t="n">
        <x:v>33070</x:v>
      </x:c>
      <x:c r="B2369" s="28" t="n">
        <x:v>169.98</x:v>
      </x:c>
      <x:c r="C2369" s="28" t="n">
        <x:v>186.98</x:v>
      </x:c>
      <x:c r="D2369" s="31" t="n">
        <x:f>IF(OR(ISBLANK(B2369),ISBLANK(C2369),B2369=0),"",(C2369-B2369)/B2369)</x:f>
        <x:v>0.10001176609012825</x:v>
      </x:c>
      <x:c r="E2369" s="22" t="str">
        <x:f>IF(ISBLANK(C2369),"AmountIncludingTax缺失",IF(ABS(B2369-C2369)&lt;0.005,"一致","不一致"))</x:f>
        <x:v>不一致</x:v>
      </x:c>
      <x:c r="F2369" s="19" t="str">
        <x:v>approved</x:v>
      </x:c>
      <x:c r="G2369" s="19" t="str">
        <x:v>Repairer Invoiced Processed</x:v>
      </x:c>
      <x:c r="H2369" s="19" t="str">
        <x:v>In Field</x:v>
      </x:c>
      <x:c r="I2369" s="37" t="n">
        <x:v>46130</x:v>
      </x:c>
      <x:c r="J2369" s="37" t="n">
        <x:v>46130</x:v>
      </x:c>
      <x:c r="K2369" s="19" t="str">
        <x:v>Regent RV - Perth</x:v>
      </x:c>
      <x:c r="L2369" s="19" t="str">
        <x:v>Z006</x:v>
      </x:c>
      <x:c r="M2369" s="19" t="str">
        <x:v>In Field Warranty Claims</x:v>
      </x:c>
      <x:c r="N2369" s="37" t="n">
        <x:v>46112</x:v>
      </x:c>
      <x:c r="O2369" s="37"/>
      <x:c r="P2369" s="34" t="n">
        <x:v>186.98</x:v>
      </x:c>
      <x:c r="Q2369" s="37" t="n">
        <x:v>46130.12650462963</x:v>
      </x:c>
    </x:row>
    <x:row r="2370">
      <x:c r="A2370" s="22" t="n">
        <x:v>33069</x:v>
      </x:c>
      <x:c r="B2370" s="28" t="n">
        <x:v>820</x:v>
      </x:c>
      <x:c r="C2370" s="28"/>
      <x:c r="D2370" s="31" t="str">
        <x:f>IF(OR(ISBLANK(B2370),ISBLANK(C2370),B2370=0),"",(C2370-B2370)/B2370)</x:f>
      </x:c>
      <x:c r="E2370" s="22" t="str">
        <x:f>IF(ISBLANK(C2370),"AmountIncludingTax缺失",IF(ABS(B2370-C2370)&lt;0.005,"一致","不一致"))</x:f>
        <x:v>AmountIncludingTax缺失</x:v>
      </x:c>
      <x:c r="F2370" s="19" t="str">
        <x:v>approved</x:v>
      </x:c>
      <x:c r="G2370" s="19" t="str">
        <x:v>Repair in Progress</x:v>
      </x:c>
      <x:c r="H2370" s="19" t="str">
        <x:v>In Field</x:v>
      </x:c>
      <x:c r="I2370" s="37" t="n">
        <x:v>46113</x:v>
      </x:c>
      <x:c r="J2370" s="37" t="n">
        <x:v>46113</x:v>
      </x:c>
      <x:c r="K2370" s="19" t="str">
        <x:v>Green RV - Forest Glen</x:v>
      </x:c>
      <x:c r="L2370" s="19" t="str">
        <x:v>Z006</x:v>
      </x:c>
      <x:c r="M2370" s="19" t="str">
        <x:v>In Field Warranty Claims</x:v>
      </x:c>
      <x:c r="N2370" s="37" t="n">
        <x:v>46112</x:v>
      </x:c>
      <x:c r="O2370" s="37"/>
      <x:c r="P2370" s="34" t="n">
        <x:v>0</x:v>
      </x:c>
      <x:c r="Q2370" s="37" t="n">
        <x:v>46113.07431712963</x:v>
      </x:c>
    </x:row>
    <x:row r="2371">
      <x:c r="A2371" s="22" t="n">
        <x:v>33066</x:v>
      </x:c>
      <x:c r="B2371" s="28" t="n">
        <x:v>826.65</x:v>
      </x:c>
      <x:c r="C2371" s="28"/>
      <x:c r="D2371" s="31" t="str">
        <x:f>IF(OR(ISBLANK(B2371),ISBLANK(C2371),B2371=0),"",(C2371-B2371)/B2371)</x:f>
      </x:c>
      <x:c r="E2371" s="22" t="str">
        <x:f>IF(ISBLANK(C2371),"AmountIncludingTax缺失",IF(ABS(B2371-C2371)&lt;0.005,"一致","不一致"))</x:f>
        <x:v>AmountIncludingTax缺失</x:v>
      </x:c>
      <x:c r="F2371" s="19" t="str">
        <x:v>approved</x:v>
      </x:c>
      <x:c r="G2371" s="19" t="str">
        <x:v>Repair in Progress</x:v>
      </x:c>
      <x:c r="H2371" s="19" t="str">
        <x:v>In Field</x:v>
      </x:c>
      <x:c r="I2371" s="37" t="n">
        <x:v>46163</x:v>
      </x:c>
      <x:c r="J2371" s="37" t="n">
        <x:v>46163</x:v>
      </x:c>
      <x:c r="K2371" s="19" t="str">
        <x:v>Newcastle RV Super Centre - Beresfield</x:v>
      </x:c>
      <x:c r="L2371" s="19" t="str">
        <x:v>Z006</x:v>
      </x:c>
      <x:c r="M2371" s="19" t="str">
        <x:v>In Field Warranty Claims</x:v>
      </x:c>
      <x:c r="N2371" s="37" t="n">
        <x:v>46112</x:v>
      </x:c>
      <x:c r="O2371" s="37"/>
      <x:c r="P2371" s="34" t="n">
        <x:v>0</x:v>
      </x:c>
      <x:c r="Q2371" s="37" t="n">
        <x:v>46162.89127314815</x:v>
      </x:c>
    </x:row>
    <x:row r="2372">
      <x:c r="A2372" s="22" t="n">
        <x:v>33065</x:v>
      </x:c>
      <x:c r="B2372" s="28" t="n">
        <x:v>750</x:v>
      </x:c>
      <x:c r="C2372" s="28"/>
      <x:c r="D2372" s="31" t="str">
        <x:f>IF(OR(ISBLANK(B2372),ISBLANK(C2372),B2372=0),"",(C2372-B2372)/B2372)</x:f>
      </x:c>
      <x:c r="E2372" s="22" t="str">
        <x:f>IF(ISBLANK(C2372),"AmountIncludingTax缺失",IF(ABS(B2372-C2372)&lt;0.005,"一致","不一致"))</x:f>
        <x:v>AmountIncludingTax缺失</x:v>
      </x:c>
      <x:c r="F2372" s="19" t="str">
        <x:v>approved</x:v>
      </x:c>
      <x:c r="G2372" s="19" t="str">
        <x:v>Repairer Invoiced Processed</x:v>
      </x:c>
      <x:c r="H2372" s="19" t="str">
        <x:v>In Field</x:v>
      </x:c>
      <x:c r="I2372" s="37" t="n">
        <x:v>46114</x:v>
      </x:c>
      <x:c r="J2372" s="37" t="n">
        <x:v>46114</x:v>
      </x:c>
      <x:c r="K2372" s="19" t="str">
        <x:v>The Caravan Hub - Townsville</x:v>
      </x:c>
      <x:c r="L2372" s="19" t="str">
        <x:v>Z006</x:v>
      </x:c>
      <x:c r="M2372" s="19" t="str">
        <x:v>In Field Warranty Claims</x:v>
      </x:c>
      <x:c r="N2372" s="37" t="n">
        <x:v>46112</x:v>
      </x:c>
      <x:c r="O2372" s="37"/>
      <x:c r="P2372" s="34" t="n">
        <x:v>0</x:v>
      </x:c>
      <x:c r="Q2372" s="37" t="n">
        <x:v>46113.90783564815</x:v>
      </x:c>
    </x:row>
    <x:row r="2373">
      <x:c r="A2373" s="22" t="n">
        <x:v>33062</x:v>
      </x:c>
      <x:c r="B2373" s="28" t="n">
        <x:v>38.75</x:v>
      </x:c>
      <x:c r="C2373" s="28"/>
      <x:c r="D2373" s="31" t="str">
        <x:f>IF(OR(ISBLANK(B2373),ISBLANK(C2373),B2373=0),"",(C2373-B2373)/B2373)</x:f>
      </x:c>
      <x:c r="E2373" s="22" t="str">
        <x:f>IF(ISBLANK(C2373),"AmountIncludingTax缺失",IF(ABS(B2373-C2373)&lt;0.005,"一致","不一致"))</x:f>
        <x:v>AmountIncludingTax缺失</x:v>
      </x:c>
      <x:c r="F2373" s="19" t="str">
        <x:v>approved</x:v>
      </x:c>
      <x:c r="G2373" s="19" t="str">
        <x:v>Repair in Progress</x:v>
      </x:c>
      <x:c r="H2373" s="19" t="str">
        <x:v>In Field</x:v>
      </x:c>
      <x:c r="I2373" s="37" t="n">
        <x:v>46113</x:v>
      </x:c>
      <x:c r="J2373" s="37" t="n">
        <x:v>46113</x:v>
      </x:c>
      <x:c r="K2373" s="19" t="str">
        <x:v>Green RV - Forest Glen</x:v>
      </x:c>
      <x:c r="L2373" s="19" t="str">
        <x:v>Z006</x:v>
      </x:c>
      <x:c r="M2373" s="19" t="str">
        <x:v>In Field Warranty Claims</x:v>
      </x:c>
      <x:c r="N2373" s="37" t="n">
        <x:v>46112</x:v>
      </x:c>
      <x:c r="O2373" s="37"/>
      <x:c r="P2373" s="34" t="n">
        <x:v>0</x:v>
      </x:c>
      <x:c r="Q2373" s="37" t="n">
        <x:v>46113.13453703704</x:v>
      </x:c>
    </x:row>
    <x:row r="2374">
      <x:c r="A2374" s="22" t="n">
        <x:v>33060</x:v>
      </x:c>
      <x:c r="B2374" s="28" t="n">
        <x:v>2200</x:v>
      </x:c>
      <x:c r="C2374" s="28"/>
      <x:c r="D2374" s="31" t="str">
        <x:f>IF(OR(ISBLANK(B2374),ISBLANK(C2374),B2374=0),"",(C2374-B2374)/B2374)</x:f>
      </x:c>
      <x:c r="E2374" s="22" t="str">
        <x:f>IF(ISBLANK(C2374),"AmountIncludingTax缺失",IF(ABS(B2374-C2374)&lt;0.005,"一致","不一致"))</x:f>
        <x:v>AmountIncludingTax缺失</x:v>
      </x:c>
      <x:c r="F2374" s="19" t="str">
        <x:v>approved</x:v>
      </x:c>
      <x:c r="G2374" s="19" t="str">
        <x:v>Repair in Progress</x:v>
      </x:c>
      <x:c r="H2374" s="19" t="str">
        <x:v>In Field</x:v>
      </x:c>
      <x:c r="I2374" s="37" t="n">
        <x:v>46157</x:v>
      </x:c>
      <x:c r="J2374" s="37" t="n">
        <x:v>46157</x:v>
      </x:c>
      <x:c r="K2374" s="19" t="str">
        <x:v>Newcastle RV Super Centre - Beresfield</x:v>
      </x:c>
      <x:c r="L2374" s="19" t="str">
        <x:v>Z006</x:v>
      </x:c>
      <x:c r="M2374" s="19" t="str">
        <x:v>In Field Warranty Claims</x:v>
      </x:c>
      <x:c r="N2374" s="37" t="n">
        <x:v>46112</x:v>
      </x:c>
      <x:c r="O2374" s="37"/>
      <x:c r="P2374" s="34" t="n">
        <x:v>0</x:v>
      </x:c>
      <x:c r="Q2374" s="37" t="n">
        <x:v>46157.09601851852</x:v>
      </x:c>
    </x:row>
    <x:row r="2375">
      <x:c r="A2375" s="22" t="n">
        <x:v>33058</x:v>
      </x:c>
      <x:c r="B2375" s="28" t="n">
        <x:v>135</x:v>
      </x:c>
      <x:c r="C2375" s="28"/>
      <x:c r="D2375" s="31" t="str">
        <x:f>IF(OR(ISBLANK(B2375),ISBLANK(C2375),B2375=0),"",(C2375-B2375)/B2375)</x:f>
      </x:c>
      <x:c r="E2375" s="22" t="str">
        <x:f>IF(ISBLANK(C2375),"AmountIncludingTax缺失",IF(ABS(B2375-C2375)&lt;0.005,"一致","不一致"))</x:f>
        <x:v>AmountIncludingTax缺失</x:v>
      </x:c>
      <x:c r="F2375" s="19" t="str">
        <x:v>approved</x:v>
      </x:c>
      <x:c r="G2375" s="19" t="str">
        <x:v>Sales Order Approved</x:v>
      </x:c>
      <x:c r="H2375" s="19" t="str">
        <x:v>Pre Delivery</x:v>
      </x:c>
      <x:c r="I2375" s="37" t="n">
        <x:v>46155</x:v>
      </x:c>
      <x:c r="J2375" s="37" t="n">
        <x:v>46155</x:v>
      </x:c>
      <x:c r="K2375" s="19" t="str">
        <x:v>Green RV - Slacks Creek</x:v>
      </x:c>
      <x:c r="L2375" s="19" t="str">
        <x:v>Z005</x:v>
      </x:c>
      <x:c r="M2375" s="19" t="str">
        <x:v>Pre Delivery Warranty Claims</x:v>
      </x:c>
      <x:c r="N2375" s="37" t="n">
        <x:v>46112</x:v>
      </x:c>
      <x:c r="O2375" s="37"/>
      <x:c r="P2375" s="34" t="n">
        <x:v>0</x:v>
      </x:c>
      <x:c r="Q2375" s="37" t="n">
        <x:v>46154.99012731481</x:v>
      </x:c>
    </x:row>
    <x:row r="2376">
      <x:c r="A2376" s="22" t="n">
        <x:v>33055</x:v>
      </x:c>
      <x:c r="B2376" s="28" t="n">
        <x:v>522.5</x:v>
      </x:c>
      <x:c r="C2376" s="28"/>
      <x:c r="D2376" s="31" t="str">
        <x:f>IF(OR(ISBLANK(B2376),ISBLANK(C2376),B2376=0),"",(C2376-B2376)/B2376)</x:f>
      </x:c>
      <x:c r="E2376" s="22" t="str">
        <x:f>IF(ISBLANK(C2376),"AmountIncludingTax缺失",IF(ABS(B2376-C2376)&lt;0.005,"一致","不一致"))</x:f>
        <x:v>AmountIncludingTax缺失</x:v>
      </x:c>
      <x:c r="F2376" s="19" t="str">
        <x:v>approved</x:v>
      </x:c>
      <x:c r="G2376" s="19" t="str">
        <x:v>Repair in Progress</x:v>
      </x:c>
      <x:c r="H2376" s="19" t="str">
        <x:v>Pre Delivery</x:v>
      </x:c>
      <x:c r="I2376" s="37" t="n">
        <x:v>46136</x:v>
      </x:c>
      <x:c r="J2376" s="37" t="n">
        <x:v>46136</x:v>
      </x:c>
      <x:c r="K2376" s="19" t="str">
        <x:v>Green RV - Forest Glen</x:v>
      </x:c>
      <x:c r="L2376" s="19" t="str">
        <x:v>Z005</x:v>
      </x:c>
      <x:c r="M2376" s="19" t="str">
        <x:v>Pre Delivery Warranty Claims</x:v>
      </x:c>
      <x:c r="N2376" s="37" t="n">
        <x:v>46112</x:v>
      </x:c>
      <x:c r="O2376" s="37"/>
      <x:c r="P2376" s="34" t="n">
        <x:v>0</x:v>
      </x:c>
      <x:c r="Q2376" s="37" t="n">
        <x:v>46136.01162037037</x:v>
      </x:c>
    </x:row>
    <x:row r="2377">
      <x:c r="A2377" s="22" t="n">
        <x:v>33054</x:v>
      </x:c>
      <x:c r="B2377" s="28" t="n">
        <x:v>947.5</x:v>
      </x:c>
      <x:c r="C2377" s="28"/>
      <x:c r="D2377" s="31" t="str">
        <x:f>IF(OR(ISBLANK(B2377),ISBLANK(C2377),B2377=0),"",(C2377-B2377)/B2377)</x:f>
      </x:c>
      <x:c r="E2377" s="22" t="str">
        <x:f>IF(ISBLANK(C2377),"AmountIncludingTax缺失",IF(ABS(B2377-C2377)&lt;0.005,"一致","不一致"))</x:f>
        <x:v>AmountIncludingTax缺失</x:v>
      </x:c>
      <x:c r="F2377" s="19" t="str">
        <x:v>approved</x:v>
      </x:c>
      <x:c r="G2377" s="19" t="str">
        <x:v>Repair in Progress</x:v>
      </x:c>
      <x:c r="H2377" s="19" t="str">
        <x:v>In Field</x:v>
      </x:c>
      <x:c r="I2377" s="37" t="n">
        <x:v>46120</x:v>
      </x:c>
      <x:c r="J2377" s="37" t="n">
        <x:v>46120</x:v>
      </x:c>
      <x:c r="K2377" s="19" t="str">
        <x:v>Regent RV - Frankston</x:v>
      </x:c>
      <x:c r="L2377" s="19" t="str">
        <x:v>Z006</x:v>
      </x:c>
      <x:c r="M2377" s="19" t="str">
        <x:v>In Field Warranty Claims</x:v>
      </x:c>
      <x:c r="N2377" s="37" t="n">
        <x:v>46112</x:v>
      </x:c>
      <x:c r="O2377" s="37"/>
      <x:c r="P2377" s="34" t="n">
        <x:v>0</x:v>
      </x:c>
      <x:c r="Q2377" s="37" t="n">
        <x:v>46120.201875</x:v>
      </x:c>
    </x:row>
    <x:row r="2378">
      <x:c r="A2378" s="22" t="n">
        <x:v>33048</x:v>
      </x:c>
      <x:c r="B2378" s="28" t="n">
        <x:v>400.41</x:v>
      </x:c>
      <x:c r="C2378" s="28" t="n">
        <x:v>440.45</x:v>
      </x:c>
      <x:c r="D2378" s="31" t="n">
        <x:f>IF(OR(ISBLANK(B2378),ISBLANK(C2378),B2378=0),"",(C2378-B2378)/B2378)</x:f>
        <x:v>0.09999750255987604</x:v>
      </x:c>
      <x:c r="E2378" s="22" t="str">
        <x:f>IF(ISBLANK(C2378),"AmountIncludingTax缺失",IF(ABS(B2378-C2378)&lt;0.005,"一致","不一致"))</x:f>
        <x:v>不一致</x:v>
      </x:c>
      <x:c r="F2378" s="19" t="str">
        <x:v>approved</x:v>
      </x:c>
      <x:c r="G2378" s="19" t="str">
        <x:v>Repair in Progress</x:v>
      </x:c>
      <x:c r="H2378" s="19" t="str">
        <x:v>In Field</x:v>
      </x:c>
      <x:c r="I2378" s="37" t="n">
        <x:v>46115</x:v>
      </x:c>
      <x:c r="J2378" s="37" t="n">
        <x:v>46115</x:v>
      </x:c>
      <x:c r="K2378" s="19" t="str">
        <x:v>Regent RV - Perth</x:v>
      </x:c>
      <x:c r="L2378" s="19" t="str">
        <x:v>Z006</x:v>
      </x:c>
      <x:c r="M2378" s="19" t="str">
        <x:v>In Field Warranty Claims</x:v>
      </x:c>
      <x:c r="N2378" s="37" t="n">
        <x:v>46112</x:v>
      </x:c>
      <x:c r="O2378" s="37"/>
      <x:c r="P2378" s="34" t="n">
        <x:v>440.45</x:v>
      </x:c>
      <x:c r="Q2378" s="37" t="n">
        <x:v>46115.331770833334</x:v>
      </x:c>
    </x:row>
    <x:row r="2379">
      <x:c r="A2379" s="22" t="n">
        <x:v>33046</x:v>
      </x:c>
      <x:c r="B2379" s="28" t="n">
        <x:v>120</x:v>
      </x:c>
      <x:c r="C2379" s="28"/>
      <x:c r="D2379" s="31" t="str">
        <x:f>IF(OR(ISBLANK(B2379),ISBLANK(C2379),B2379=0),"",(C2379-B2379)/B2379)</x:f>
      </x:c>
      <x:c r="E2379" s="22" t="str">
        <x:f>IF(ISBLANK(C2379),"AmountIncludingTax缺失",IF(ABS(B2379-C2379)&lt;0.005,"一致","不一致"))</x:f>
        <x:v>AmountIncludingTax缺失</x:v>
      </x:c>
      <x:c r="F2379" s="19" t="str">
        <x:v>approved</x:v>
      </x:c>
      <x:c r="G2379" s="19" t="str">
        <x:v>Repair in Progress</x:v>
      </x:c>
      <x:c r="H2379" s="19" t="str">
        <x:v>In Field</x:v>
      </x:c>
      <x:c r="I2379" s="37" t="n">
        <x:v>46139</x:v>
      </x:c>
      <x:c r="J2379" s="37" t="n">
        <x:v>46139</x:v>
      </x:c>
      <x:c r="K2379" s="19" t="str">
        <x:v>Green RV - Forest Glen</x:v>
      </x:c>
      <x:c r="L2379" s="19" t="str">
        <x:v>Z006</x:v>
      </x:c>
      <x:c r="M2379" s="19" t="str">
        <x:v>In Field Warranty Claims</x:v>
      </x:c>
      <x:c r="N2379" s="37" t="n">
        <x:v>46112</x:v>
      </x:c>
      <x:c r="O2379" s="37"/>
      <x:c r="P2379" s="34" t="n">
        <x:v>0</x:v>
      </x:c>
      <x:c r="Q2379" s="37" t="n">
        <x:v>46139.51467592592</x:v>
      </x:c>
    </x:row>
    <x:row r="2380">
      <x:c r="A2380" s="22" t="n">
        <x:v>33045</x:v>
      </x:c>
      <x:c r="B2380" s="28" t="n">
        <x:v>921.25</x:v>
      </x:c>
      <x:c r="C2380" s="28"/>
      <x:c r="D2380" s="31" t="str">
        <x:f>IF(OR(ISBLANK(B2380),ISBLANK(C2380),B2380=0),"",(C2380-B2380)/B2380)</x:f>
      </x:c>
      <x:c r="E2380" s="22" t="str">
        <x:f>IF(ISBLANK(C2380),"AmountIncludingTax缺失",IF(ABS(B2380-C2380)&lt;0.005,"一致","不一致"))</x:f>
        <x:v>AmountIncludingTax缺失</x:v>
      </x:c>
      <x:c r="F2380" s="19" t="str">
        <x:v>approved</x:v>
      </x:c>
      <x:c r="G2380" s="19" t="str">
        <x:v>Repairer Invoiced Processed</x:v>
      </x:c>
      <x:c r="H2380" s="19" t="str">
        <x:v>Pre Delivery</x:v>
      </x:c>
      <x:c r="I2380" s="37" t="n">
        <x:v>46133</x:v>
      </x:c>
      <x:c r="J2380" s="37" t="n">
        <x:v>46133</x:v>
      </x:c>
      <x:c r="K2380" s="19" t="str">
        <x:v>Green RV - Slacks Creek</x:v>
      </x:c>
      <x:c r="L2380" s="19" t="str">
        <x:v>Z005</x:v>
      </x:c>
      <x:c r="M2380" s="19" t="str">
        <x:v>Pre Delivery Warranty Claims</x:v>
      </x:c>
      <x:c r="N2380" s="37" t="n">
        <x:v>46112</x:v>
      </x:c>
      <x:c r="O2380" s="37"/>
      <x:c r="P2380" s="34" t="n">
        <x:v>0</x:v>
      </x:c>
      <x:c r="Q2380" s="37" t="n">
        <x:v>46133.175578703704</x:v>
      </x:c>
    </x:row>
    <x:row r="2381">
      <x:c r="A2381" s="22" t="n">
        <x:v>33044</x:v>
      </x:c>
      <x:c r="B2381" s="28" t="n">
        <x:v>819.09</x:v>
      </x:c>
      <x:c r="C2381" s="28"/>
      <x:c r="D2381" s="31" t="str">
        <x:f>IF(OR(ISBLANK(B2381),ISBLANK(C2381),B2381=0),"",(C2381-B2381)/B2381)</x:f>
      </x:c>
      <x:c r="E2381" s="22" t="str">
        <x:f>IF(ISBLANK(C2381),"AmountIncludingTax缺失",IF(ABS(B2381-C2381)&lt;0.005,"一致","不一致"))</x:f>
        <x:v>AmountIncludingTax缺失</x:v>
      </x:c>
      <x:c r="F2381" s="19" t="str">
        <x:v>approved</x:v>
      </x:c>
      <x:c r="G2381" s="19" t="str">
        <x:v>Repairer Invoiced Processed</x:v>
      </x:c>
      <x:c r="H2381" s="19" t="str">
        <x:v>Pre Delivery</x:v>
      </x:c>
      <x:c r="I2381" s="37" t="n">
        <x:v>46133</x:v>
      </x:c>
      <x:c r="J2381" s="37" t="n">
        <x:v>46133</x:v>
      </x:c>
      <x:c r="K2381" s="19" t="str">
        <x:v>Green RV - Slacks Creek</x:v>
      </x:c>
      <x:c r="L2381" s="19" t="str">
        <x:v>Z005</x:v>
      </x:c>
      <x:c r="M2381" s="19" t="str">
        <x:v>Pre Delivery Warranty Claims</x:v>
      </x:c>
      <x:c r="N2381" s="37" t="n">
        <x:v>46112</x:v>
      </x:c>
      <x:c r="O2381" s="37"/>
      <x:c r="P2381" s="34" t="n">
        <x:v>0</x:v>
      </x:c>
      <x:c r="Q2381" s="37" t="n">
        <x:v>46133.20966435185</x:v>
      </x:c>
    </x:row>
    <x:row r="2382">
      <x:c r="A2382" s="22" t="n">
        <x:v>33043</x:v>
      </x:c>
      <x:c r="B2382" s="28" t="n">
        <x:v>400.41</x:v>
      </x:c>
      <x:c r="C2382" s="28" t="n">
        <x:v>440.45</x:v>
      </x:c>
      <x:c r="D2382" s="31" t="n">
        <x:f>IF(OR(ISBLANK(B2382),ISBLANK(C2382),B2382=0),"",(C2382-B2382)/B2382)</x:f>
        <x:v>0.09999750255987604</x:v>
      </x:c>
      <x:c r="E2382" s="22" t="str">
        <x:f>IF(ISBLANK(C2382),"AmountIncludingTax缺失",IF(ABS(B2382-C2382)&lt;0.005,"一致","不一致"))</x:f>
        <x:v>不一致</x:v>
      </x:c>
      <x:c r="F2382" s="19" t="str">
        <x:v>approved</x:v>
      </x:c>
      <x:c r="G2382" s="19" t="str">
        <x:v>Repairer Invoiced Processed</x:v>
      </x:c>
      <x:c r="H2382" s="19" t="str">
        <x:v>In Field</x:v>
      </x:c>
      <x:c r="I2382" s="37" t="n">
        <x:v>46113</x:v>
      </x:c>
      <x:c r="J2382" s="37" t="n">
        <x:v>46113</x:v>
      </x:c>
      <x:c r="K2382" s="19" t="str">
        <x:v>Regent RV - Perth</x:v>
      </x:c>
      <x:c r="L2382" s="19" t="str">
        <x:v>Z006</x:v>
      </x:c>
      <x:c r="M2382" s="19" t="str">
        <x:v>In Field Warranty Claims</x:v>
      </x:c>
      <x:c r="N2382" s="37" t="n">
        <x:v>46112</x:v>
      </x:c>
      <x:c r="O2382" s="37"/>
      <x:c r="P2382" s="34" t="n">
        <x:v>440.45</x:v>
      </x:c>
      <x:c r="Q2382" s="37" t="n">
        <x:v>46113.00650462963</x:v>
      </x:c>
    </x:row>
    <x:row r="2383">
      <x:c r="A2383" s="22" t="n">
        <x:v>33042</x:v>
      </x:c>
      <x:c r="B2383" s="28" t="n">
        <x:v>686.25</x:v>
      </x:c>
      <x:c r="C2383" s="28"/>
      <x:c r="D2383" s="31" t="str">
        <x:f>IF(OR(ISBLANK(B2383),ISBLANK(C2383),B2383=0),"",(C2383-B2383)/B2383)</x:f>
      </x:c>
      <x:c r="E2383" s="22" t="str">
        <x:f>IF(ISBLANK(C2383),"AmountIncludingTax缺失",IF(ABS(B2383-C2383)&lt;0.005,"一致","不一致"))</x:f>
        <x:v>AmountIncludingTax缺失</x:v>
      </x:c>
      <x:c r="F2383" s="19" t="str">
        <x:v>approved</x:v>
      </x:c>
      <x:c r="G2383" s="19" t="str">
        <x:v>Repairer Invoiced Processed</x:v>
      </x:c>
      <x:c r="H2383" s="19" t="str">
        <x:v>In Field</x:v>
      </x:c>
      <x:c r="I2383" s="37" t="n">
        <x:v>46112</x:v>
      </x:c>
      <x:c r="J2383" s="37" t="n">
        <x:v>46112</x:v>
      </x:c>
      <x:c r="K2383" s="19" t="str">
        <x:v>Green RV - Forest Glen</x:v>
      </x:c>
      <x:c r="L2383" s="19" t="str">
        <x:v>Z006</x:v>
      </x:c>
      <x:c r="M2383" s="19" t="str">
        <x:v>In Field Warranty Claims</x:v>
      </x:c>
      <x:c r="N2383" s="37" t="n">
        <x:v>46112</x:v>
      </x:c>
      <x:c r="O2383" s="37"/>
      <x:c r="P2383" s="34" t="n">
        <x:v>0</x:v>
      </x:c>
      <x:c r="Q2383" s="37" t="n">
        <x:v>46112.14208333333</x:v>
      </x:c>
    </x:row>
    <x:row r="2384">
      <x:c r="A2384" s="22" t="n">
        <x:v>33041</x:v>
      </x:c>
      <x:c r="B2384" s="28" t="n">
        <x:v>67.5</x:v>
      </x:c>
      <x:c r="C2384" s="28"/>
      <x:c r="D2384" s="31" t="str">
        <x:f>IF(OR(ISBLANK(B2384),ISBLANK(C2384),B2384=0),"",(C2384-B2384)/B2384)</x:f>
      </x:c>
      <x:c r="E2384" s="22" t="str">
        <x:f>IF(ISBLANK(C2384),"AmountIncludingTax缺失",IF(ABS(B2384-C2384)&lt;0.005,"一致","不一致"))</x:f>
        <x:v>AmountIncludingTax缺失</x:v>
      </x:c>
      <x:c r="F2384" s="19" t="str">
        <x:v>approved</x:v>
      </x:c>
      <x:c r="G2384" s="19" t="str">
        <x:v>Repair in Progress</x:v>
      </x:c>
      <x:c r="H2384" s="19" t="str">
        <x:v>In Field</x:v>
      </x:c>
      <x:c r="I2384" s="37" t="n">
        <x:v>46132</x:v>
      </x:c>
      <x:c r="J2384" s="37" t="n">
        <x:v>46132</x:v>
      </x:c>
      <x:c r="K2384" s="19" t="str">
        <x:v>Newcastle RV Super Centre - Beresfield</x:v>
      </x:c>
      <x:c r="L2384" s="19" t="str">
        <x:v>Z006</x:v>
      </x:c>
      <x:c r="M2384" s="19" t="str">
        <x:v>In Field Warranty Claims</x:v>
      </x:c>
      <x:c r="N2384" s="37" t="n">
        <x:v>46112</x:v>
      </x:c>
      <x:c r="O2384" s="37"/>
      <x:c r="P2384" s="34" t="n">
        <x:v>0</x:v>
      </x:c>
      <x:c r="Q2384" s="37" t="n">
        <x:v>46132.26006944444</x:v>
      </x:c>
    </x:row>
    <x:row r="2385">
      <x:c r="A2385" s="22" t="n">
        <x:v>33040</x:v>
      </x:c>
      <x:c r="B2385" s="28" t="n">
        <x:v>435.18</x:v>
      </x:c>
      <x:c r="C2385" s="28" t="n">
        <x:v>478.7</x:v>
      </x:c>
      <x:c r="D2385" s="31" t="n">
        <x:f>IF(OR(ISBLANK(B2385),ISBLANK(C2385),B2385=0),"",(C2385-B2385)/B2385)</x:f>
        <x:v>0.10000459579943927</x:v>
      </x:c>
      <x:c r="E2385" s="22" t="str">
        <x:f>IF(ISBLANK(C2385),"AmountIncludingTax缺失",IF(ABS(B2385-C2385)&lt;0.005,"一致","不一致"))</x:f>
        <x:v>不一致</x:v>
      </x:c>
      <x:c r="F2385" s="19" t="str">
        <x:v>approved</x:v>
      </x:c>
      <x:c r="G2385" s="19" t="str">
        <x:v>Repairer Invoiced Processed</x:v>
      </x:c>
      <x:c r="H2385" s="19" t="str">
        <x:v>In Field</x:v>
      </x:c>
      <x:c r="I2385" s="37" t="n">
        <x:v>46113</x:v>
      </x:c>
      <x:c r="J2385" s="37" t="n">
        <x:v>46113</x:v>
      </x:c>
      <x:c r="K2385" s="19" t="str">
        <x:v>Regent RV - Perth</x:v>
      </x:c>
      <x:c r="L2385" s="19" t="str">
        <x:v>Z006</x:v>
      </x:c>
      <x:c r="M2385" s="19" t="str">
        <x:v>In Field Warranty Claims</x:v>
      </x:c>
      <x:c r="N2385" s="37" t="n">
        <x:v>46112</x:v>
      </x:c>
      <x:c r="O2385" s="37"/>
      <x:c r="P2385" s="34" t="n">
        <x:v>478.7</x:v>
      </x:c>
      <x:c r="Q2385" s="37" t="n">
        <x:v>46112.98122685185</x:v>
      </x:c>
    </x:row>
    <x:row r="2386">
      <x:c r="A2386" s="22" t="n">
        <x:v>33035</x:v>
      </x:c>
      <x:c r="B2386" s="28" t="n">
        <x:v>202.5</x:v>
      </x:c>
      <x:c r="C2386" s="28"/>
      <x:c r="D2386" s="31" t="str">
        <x:f>IF(OR(ISBLANK(B2386),ISBLANK(C2386),B2386=0),"",(C2386-B2386)/B2386)</x:f>
      </x:c>
      <x:c r="E2386" s="22" t="str">
        <x:f>IF(ISBLANK(C2386),"AmountIncludingTax缺失",IF(ABS(B2386-C2386)&lt;0.005,"一致","不一致"))</x:f>
        <x:v>AmountIncludingTax缺失</x:v>
      </x:c>
      <x:c r="F2386" s="19" t="str">
        <x:v>approved</x:v>
      </x:c>
      <x:c r="G2386" s="19" t="str">
        <x:v>Repairer Invoiced Processed</x:v>
      </x:c>
      <x:c r="H2386" s="19" t="str">
        <x:v>In Field</x:v>
      </x:c>
      <x:c r="I2386" s="37" t="n">
        <x:v>46121</x:v>
      </x:c>
      <x:c r="J2386" s="37" t="n">
        <x:v>46121</x:v>
      </x:c>
      <x:c r="K2386" s="19" t="str">
        <x:v>Not Assigned</x:v>
      </x:c>
      <x:c r="L2386" s="19" t="str">
        <x:v>Z006</x:v>
      </x:c>
      <x:c r="M2386" s="19" t="str">
        <x:v>In Field Warranty Claims</x:v>
      </x:c>
      <x:c r="N2386" s="37" t="n">
        <x:v>46112</x:v>
      </x:c>
      <x:c r="O2386" s="37"/>
      <x:c r="P2386" s="34" t="n">
        <x:v>0</x:v>
      </x:c>
      <x:c r="Q2386" s="37" t="n">
        <x:v>46120.99575231481</x:v>
      </x:c>
    </x:row>
    <x:row r="2387">
      <x:c r="A2387" s="22" t="n">
        <x:v>33034</x:v>
      </x:c>
      <x:c r="B2387" s="28" t="n">
        <x:v>150</x:v>
      </x:c>
      <x:c r="C2387" s="28"/>
      <x:c r="D2387" s="31" t="str">
        <x:f>IF(OR(ISBLANK(B2387),ISBLANK(C2387),B2387=0),"",(C2387-B2387)/B2387)</x:f>
      </x:c>
      <x:c r="E2387" s="22" t="str">
        <x:f>IF(ISBLANK(C2387),"AmountIncludingTax缺失",IF(ABS(B2387-C2387)&lt;0.005,"一致","不一致"))</x:f>
        <x:v>AmountIncludingTax缺失</x:v>
      </x:c>
      <x:c r="F2387" s="19" t="str">
        <x:v>approved</x:v>
      </x:c>
      <x:c r="G2387" s="19" t="str">
        <x:v>Sales Order Approved</x:v>
      </x:c>
      <x:c r="H2387" s="19" t="str">
        <x:v>In Field</x:v>
      </x:c>
      <x:c r="I2387" s="37" t="n">
        <x:v>46114</x:v>
      </x:c>
      <x:c r="J2387" s="37" t="n">
        <x:v>46114</x:v>
      </x:c>
      <x:c r="K2387" s="19" t="str">
        <x:v>Regent RV - Townsville</x:v>
      </x:c>
      <x:c r="L2387" s="19" t="str">
        <x:v>Z006</x:v>
      </x:c>
      <x:c r="M2387" s="19" t="str">
        <x:v>In Field Warranty Claims</x:v>
      </x:c>
      <x:c r="N2387" s="37" t="n">
        <x:v>46112</x:v>
      </x:c>
      <x:c r="O2387" s="37"/>
      <x:c r="P2387" s="34" t="n">
        <x:v>0</x:v>
      </x:c>
      <x:c r="Q2387" s="37" t="n">
        <x:v>46114.07090277778</x:v>
      </x:c>
    </x:row>
    <x:row r="2388">
      <x:c r="A2388" s="22" t="n">
        <x:v>33033</x:v>
      </x:c>
      <x:c r="B2388" s="28" t="n">
        <x:v>240</x:v>
      </x:c>
      <x:c r="C2388" s="28" t="n">
        <x:v>264</x:v>
      </x:c>
      <x:c r="D2388" s="31" t="n">
        <x:f>IF(OR(ISBLANK(B2388),ISBLANK(C2388),B2388=0),"",(C2388-B2388)/B2388)</x:f>
        <x:v>0.1</x:v>
      </x:c>
      <x:c r="E2388" s="22" t="str">
        <x:f>IF(ISBLANK(C2388),"AmountIncludingTax缺失",IF(ABS(B2388-C2388)&lt;0.005,"一致","不一致"))</x:f>
        <x:v>不一致</x:v>
      </x:c>
      <x:c r="F2388" s="19" t="str">
        <x:v>approved</x:v>
      </x:c>
      <x:c r="G2388" s="19" t="str">
        <x:v>Repairer Invoiced Processed</x:v>
      </x:c>
      <x:c r="H2388" s="19" t="str">
        <x:v>Pre Delivery</x:v>
      </x:c>
      <x:c r="I2388" s="37" t="n">
        <x:v>46113</x:v>
      </x:c>
      <x:c r="J2388" s="37" t="n">
        <x:v>46113</x:v>
      </x:c>
      <x:c r="K2388" s="19" t="str">
        <x:v>Regent RV - Perth</x:v>
      </x:c>
      <x:c r="L2388" s="19" t="str">
        <x:v>Z005</x:v>
      </x:c>
      <x:c r="M2388" s="19" t="str">
        <x:v>Pre Delivery Warranty Claims</x:v>
      </x:c>
      <x:c r="N2388" s="37" t="n">
        <x:v>46112</x:v>
      </x:c>
      <x:c r="O2388" s="37"/>
      <x:c r="P2388" s="34" t="n">
        <x:v>264</x:v>
      </x:c>
      <x:c r="Q2388" s="37" t="n">
        <x:v>46113.0147337963</x:v>
      </x:c>
    </x:row>
    <x:row r="2389">
      <x:c r="A2389" s="22" t="n">
        <x:v>33032</x:v>
      </x:c>
      <x:c r="B2389" s="28" t="n">
        <x:v>1022.5</x:v>
      </x:c>
      <x:c r="C2389" s="28"/>
      <x:c r="D2389" s="31" t="str">
        <x:f>IF(OR(ISBLANK(B2389),ISBLANK(C2389),B2389=0),"",(C2389-B2389)/B2389)</x:f>
      </x:c>
      <x:c r="E2389" s="22" t="str">
        <x:f>IF(ISBLANK(C2389),"AmountIncludingTax缺失",IF(ABS(B2389-C2389)&lt;0.005,"一致","不一致"))</x:f>
        <x:v>AmountIncludingTax缺失</x:v>
      </x:c>
      <x:c r="F2389" s="19" t="str">
        <x:v>approved</x:v>
      </x:c>
      <x:c r="G2389" s="19" t="str">
        <x:v>Repairer Invoiced Processed</x:v>
      </x:c>
      <x:c r="H2389" s="19" t="str">
        <x:v>Pre Delivery</x:v>
      </x:c>
      <x:c r="I2389" s="37" t="n">
        <x:v>46133</x:v>
      </x:c>
      <x:c r="J2389" s="37" t="n">
        <x:v>46133</x:v>
      </x:c>
      <x:c r="K2389" s="19" t="str">
        <x:v>Green RV - Slacks Creek</x:v>
      </x:c>
      <x:c r="L2389" s="19" t="str">
        <x:v>Z005</x:v>
      </x:c>
      <x:c r="M2389" s="19" t="str">
        <x:v>Pre Delivery Warranty Claims</x:v>
      </x:c>
      <x:c r="N2389" s="37" t="n">
        <x:v>46112</x:v>
      </x:c>
      <x:c r="O2389" s="37"/>
      <x:c r="P2389" s="34" t="n">
        <x:v>0</x:v>
      </x:c>
      <x:c r="Q2389" s="37" t="n">
        <x:v>46133.172060185185</x:v>
      </x:c>
    </x:row>
    <x:row r="2390">
      <x:c r="A2390" s="22" t="n">
        <x:v>33031</x:v>
      </x:c>
      <x:c r="B2390" s="28" t="n">
        <x:v>837.49</x:v>
      </x:c>
      <x:c r="C2390" s="28"/>
      <x:c r="D2390" s="31" t="str">
        <x:f>IF(OR(ISBLANK(B2390),ISBLANK(C2390),B2390=0),"",(C2390-B2390)/B2390)</x:f>
      </x:c>
      <x:c r="E2390" s="22" t="str">
        <x:f>IF(ISBLANK(C2390),"AmountIncludingTax缺失",IF(ABS(B2390-C2390)&lt;0.005,"一致","不一致"))</x:f>
        <x:v>AmountIncludingTax缺失</x:v>
      </x:c>
      <x:c r="F2390" s="19" t="str">
        <x:v>approved</x:v>
      </x:c>
      <x:c r="G2390" s="19" t="str">
        <x:v>Repair in Progress</x:v>
      </x:c>
      <x:c r="H2390" s="19" t="str">
        <x:v>In Field</x:v>
      </x:c>
      <x:c r="I2390" s="37" t="n">
        <x:v>46113</x:v>
      </x:c>
      <x:c r="J2390" s="37" t="n">
        <x:v>46113</x:v>
      </x:c>
      <x:c r="K2390" s="19" t="str">
        <x:v>Green RV - Forest Glen</x:v>
      </x:c>
      <x:c r="L2390" s="19" t="str">
        <x:v>Z006</x:v>
      </x:c>
      <x:c r="M2390" s="19" t="str">
        <x:v>In Field Warranty Claims</x:v>
      </x:c>
      <x:c r="N2390" s="37" t="n">
        <x:v>46112</x:v>
      </x:c>
      <x:c r="O2390" s="37"/>
      <x:c r="P2390" s="34" t="n">
        <x:v>0</x:v>
      </x:c>
      <x:c r="Q2390" s="37" t="n">
        <x:v>46113.07498842593</x:v>
      </x:c>
    </x:row>
    <x:row r="2391">
      <x:c r="A2391" s="22" t="n">
        <x:v>33030</x:v>
      </x:c>
      <x:c r="B2391" s="28" t="n">
        <x:v>2733.5</x:v>
      </x:c>
      <x:c r="C2391" s="28"/>
      <x:c r="D2391" s="31" t="str">
        <x:f>IF(OR(ISBLANK(B2391),ISBLANK(C2391),B2391=0),"",(C2391-B2391)/B2391)</x:f>
      </x:c>
      <x:c r="E2391" s="22" t="str">
        <x:f>IF(ISBLANK(C2391),"AmountIncludingTax缺失",IF(ABS(B2391-C2391)&lt;0.005,"一致","不一致"))</x:f>
        <x:v>AmountIncludingTax缺失</x:v>
      </x:c>
      <x:c r="F2391" s="19" t="str">
        <x:v>approved</x:v>
      </x:c>
      <x:c r="G2391" s="19" t="str">
        <x:v>Repair in Progress</x:v>
      </x:c>
      <x:c r="H2391" s="19" t="str">
        <x:v>In Field</x:v>
      </x:c>
      <x:c r="I2391" s="37" t="n">
        <x:v>46156</x:v>
      </x:c>
      <x:c r="J2391" s="37" t="n">
        <x:v>46156</x:v>
      </x:c>
      <x:c r="K2391" s="19" t="str">
        <x:v>Vanari Caravans - Marden Point</x:v>
      </x:c>
      <x:c r="L2391" s="19" t="str">
        <x:v>Z006</x:v>
      </x:c>
      <x:c r="M2391" s="19" t="str">
        <x:v>In Field Warranty Claims</x:v>
      </x:c>
      <x:c r="N2391" s="37" t="n">
        <x:v>46112</x:v>
      </x:c>
      <x:c r="O2391" s="37"/>
      <x:c r="P2391" s="34" t="n">
        <x:v>2474.91</x:v>
      </x:c>
      <x:c r="Q2391" s="37" t="n">
        <x:v>46156.25892361111</x:v>
      </x:c>
    </x:row>
    <x:row r="2392">
      <x:c r="A2392" s="22" t="n">
        <x:v>33029</x:v>
      </x:c>
      <x:c r="B2392" s="28" t="n">
        <x:v>717.84</x:v>
      </x:c>
      <x:c r="C2392" s="28"/>
      <x:c r="D2392" s="31" t="str">
        <x:f>IF(OR(ISBLANK(B2392),ISBLANK(C2392),B2392=0),"",(C2392-B2392)/B2392)</x:f>
      </x:c>
      <x:c r="E2392" s="22" t="str">
        <x:f>IF(ISBLANK(C2392),"AmountIncludingTax缺失",IF(ABS(B2392-C2392)&lt;0.005,"一致","不一致"))</x:f>
        <x:v>AmountIncludingTax缺失</x:v>
      </x:c>
      <x:c r="F2392" s="19" t="str">
        <x:v>approved</x:v>
      </x:c>
      <x:c r="G2392" s="19" t="str">
        <x:v>Repairer Invoiced Processed</x:v>
      </x:c>
      <x:c r="H2392" s="19" t="str">
        <x:v>Pre Delivery</x:v>
      </x:c>
      <x:c r="I2392" s="37" t="n">
        <x:v>46133</x:v>
      </x:c>
      <x:c r="J2392" s="37" t="n">
        <x:v>46133</x:v>
      </x:c>
      <x:c r="K2392" s="19" t="str">
        <x:v>Green RV - Slacks Creek</x:v>
      </x:c>
      <x:c r="L2392" s="19" t="str">
        <x:v>Z005</x:v>
      </x:c>
      <x:c r="M2392" s="19" t="str">
        <x:v>Pre Delivery Warranty Claims</x:v>
      </x:c>
      <x:c r="N2392" s="37" t="n">
        <x:v>46112</x:v>
      </x:c>
      <x:c r="O2392" s="37"/>
      <x:c r="P2392" s="34" t="n">
        <x:v>0</x:v>
      </x:c>
      <x:c r="Q2392" s="37" t="n">
        <x:v>46133.20952546296</x:v>
      </x:c>
    </x:row>
    <x:row r="2393">
      <x:c r="A2393" s="22" t="n">
        <x:v>33028</x:v>
      </x:c>
      <x:c r="B2393" s="28" t="n">
        <x:v>2160</x:v>
      </x:c>
      <x:c r="C2393" s="28"/>
      <x:c r="D2393" s="31" t="str">
        <x:f>IF(OR(ISBLANK(B2393),ISBLANK(C2393),B2393=0),"",(C2393-B2393)/B2393)</x:f>
      </x:c>
      <x:c r="E2393" s="22" t="str">
        <x:f>IF(ISBLANK(C2393),"AmountIncludingTax缺失",IF(ABS(B2393-C2393)&lt;0.005,"一致","不一致"))</x:f>
        <x:v>AmountIncludingTax缺失</x:v>
      </x:c>
      <x:c r="F2393" s="19" t="str">
        <x:v>approved</x:v>
      </x:c>
      <x:c r="G2393" s="19" t="str">
        <x:v>Repairer Invoiced Processed</x:v>
      </x:c>
      <x:c r="H2393" s="19" t="str">
        <x:v>In Field</x:v>
      </x:c>
      <x:c r="I2393" s="37" t="n">
        <x:v>46113</x:v>
      </x:c>
      <x:c r="J2393" s="37" t="n">
        <x:v>46113</x:v>
      </x:c>
      <x:c r="K2393" s="19" t="str">
        <x:v>Green RV - Forest Glen</x:v>
      </x:c>
      <x:c r="L2393" s="19" t="str">
        <x:v>Z006</x:v>
      </x:c>
      <x:c r="M2393" s="19" t="str">
        <x:v>In Field Warranty Claims</x:v>
      </x:c>
      <x:c r="N2393" s="37" t="n">
        <x:v>46112</x:v>
      </x:c>
      <x:c r="O2393" s="37"/>
      <x:c r="P2393" s="34" t="n">
        <x:v>2376</x:v>
      </x:c>
      <x:c r="Q2393" s="37" t="n">
        <x:v>46112.93846064815</x:v>
      </x:c>
    </x:row>
    <x:row r="2394">
      <x:c r="A2394" s="22" t="n">
        <x:v>33027</x:v>
      </x:c>
      <x:c r="B2394" s="28" t="n">
        <x:v>290</x:v>
      </x:c>
      <x:c r="C2394" s="28"/>
      <x:c r="D2394" s="31" t="str">
        <x:f>IF(OR(ISBLANK(B2394),ISBLANK(C2394),B2394=0),"",(C2394-B2394)/B2394)</x:f>
      </x:c>
      <x:c r="E2394" s="22" t="str">
        <x:f>IF(ISBLANK(C2394),"AmountIncludingTax缺失",IF(ABS(B2394-C2394)&lt;0.005,"一致","不一致"))</x:f>
        <x:v>AmountIncludingTax缺失</x:v>
      </x:c>
      <x:c r="F2394" s="19" t="str">
        <x:v>approved</x:v>
      </x:c>
      <x:c r="G2394" s="19" t="str">
        <x:v>Repairer Invoiced Processed</x:v>
      </x:c>
      <x:c r="H2394" s="19" t="str">
        <x:v>In Field</x:v>
      </x:c>
      <x:c r="I2394" s="37" t="n">
        <x:v>46112</x:v>
      </x:c>
      <x:c r="J2394" s="37" t="n">
        <x:v>46112</x:v>
      </x:c>
      <x:c r="K2394" s="19" t="str">
        <x:v>Green RV - Forest Glen</x:v>
      </x:c>
      <x:c r="L2394" s="19" t="str">
        <x:v>Z006</x:v>
      </x:c>
      <x:c r="M2394" s="19" t="str">
        <x:v>In Field Warranty Claims</x:v>
      </x:c>
      <x:c r="N2394" s="37" t="n">
        <x:v>46112</x:v>
      </x:c>
      <x:c r="O2394" s="37"/>
      <x:c r="P2394" s="34" t="n">
        <x:v>0</x:v>
      </x:c>
      <x:c r="Q2394" s="37" t="n">
        <x:v>46112.17724537037</x:v>
      </x:c>
    </x:row>
    <x:row r="2395">
      <x:c r="A2395" s="22" t="n">
        <x:v>33026</x:v>
      </x:c>
      <x:c r="B2395" s="28" t="n">
        <x:v>516.25</x:v>
      </x:c>
      <x:c r="C2395" s="28"/>
      <x:c r="D2395" s="31" t="str">
        <x:f>IF(OR(ISBLANK(B2395),ISBLANK(C2395),B2395=0),"",(C2395-B2395)/B2395)</x:f>
      </x:c>
      <x:c r="E2395" s="22" t="str">
        <x:f>IF(ISBLANK(C2395),"AmountIncludingTax缺失",IF(ABS(B2395-C2395)&lt;0.005,"一致","不一致"))</x:f>
        <x:v>AmountIncludingTax缺失</x:v>
      </x:c>
      <x:c r="F2395" s="19" t="str">
        <x:v>approved</x:v>
      </x:c>
      <x:c r="G2395" s="19" t="str">
        <x:v>Repairer Invoiced Processed</x:v>
      </x:c>
      <x:c r="H2395" s="19" t="str">
        <x:v>Pre Delivery</x:v>
      </x:c>
      <x:c r="I2395" s="37" t="n">
        <x:v>46129</x:v>
      </x:c>
      <x:c r="J2395" s="37" t="n">
        <x:v>46129</x:v>
      </x:c>
      <x:c r="K2395" s="19" t="str">
        <x:v>Green RV - Slacks Creek</x:v>
      </x:c>
      <x:c r="L2395" s="19" t="str">
        <x:v>Z005</x:v>
      </x:c>
      <x:c r="M2395" s="19" t="str">
        <x:v>Pre Delivery Warranty Claims</x:v>
      </x:c>
      <x:c r="N2395" s="37" t="n">
        <x:v>46112</x:v>
      </x:c>
      <x:c r="O2395" s="37"/>
      <x:c r="P2395" s="34" t="n">
        <x:v>0</x:v>
      </x:c>
      <x:c r="Q2395" s="37" t="n">
        <x:v>46129.235243055555</x:v>
      </x:c>
    </x:row>
    <x:row r="2396">
      <x:c r="A2396" s="22" t="n">
        <x:v>33025</x:v>
      </x:c>
      <x:c r="B2396" s="28" t="n">
        <x:v>1126.25</x:v>
      </x:c>
      <x:c r="C2396" s="28"/>
      <x:c r="D2396" s="31" t="str">
        <x:f>IF(OR(ISBLANK(B2396),ISBLANK(C2396),B2396=0),"",(C2396-B2396)/B2396)</x:f>
      </x:c>
      <x:c r="E2396" s="22" t="str">
        <x:f>IF(ISBLANK(C2396),"AmountIncludingTax缺失",IF(ABS(B2396-C2396)&lt;0.005,"一致","不一致"))</x:f>
        <x:v>AmountIncludingTax缺失</x:v>
      </x:c>
      <x:c r="F2396" s="19" t="str">
        <x:v>approved</x:v>
      </x:c>
      <x:c r="G2396" s="19" t="str">
        <x:v>Repairer Invoiced Processed</x:v>
      </x:c>
      <x:c r="H2396" s="19" t="str">
        <x:v>In Field</x:v>
      </x:c>
      <x:c r="I2396" s="37" t="n">
        <x:v>46124</x:v>
      </x:c>
      <x:c r="J2396" s="37" t="n">
        <x:v>46124</x:v>
      </x:c>
      <x:c r="K2396" s="19" t="str">
        <x:v>Dario Caravans -St.Marys</x:v>
      </x:c>
      <x:c r="L2396" s="19" t="str">
        <x:v>Z006</x:v>
      </x:c>
      <x:c r="M2396" s="19" t="str">
        <x:v>In Field Warranty Claims</x:v>
      </x:c>
      <x:c r="N2396" s="37" t="n">
        <x:v>46112</x:v>
      </x:c>
      <x:c r="O2396" s="37"/>
      <x:c r="P2396" s="34" t="n">
        <x:v>0</x:v>
      </x:c>
      <x:c r="Q2396" s="37" t="n">
        <x:v>46124.203877314816</x:v>
      </x:c>
    </x:row>
    <x:row r="2397">
      <x:c r="A2397" s="22" t="n">
        <x:v>33024</x:v>
      </x:c>
      <x:c r="B2397" s="28" t="n">
        <x:v>497.5</x:v>
      </x:c>
      <x:c r="C2397" s="28"/>
      <x:c r="D2397" s="31" t="str">
        <x:f>IF(OR(ISBLANK(B2397),ISBLANK(C2397),B2397=0),"",(C2397-B2397)/B2397)</x:f>
      </x:c>
      <x:c r="E2397" s="22" t="str">
        <x:f>IF(ISBLANK(C2397),"AmountIncludingTax缺失",IF(ABS(B2397-C2397)&lt;0.005,"一致","不一致"))</x:f>
        <x:v>AmountIncludingTax缺失</x:v>
      </x:c>
      <x:c r="F2397" s="19" t="str">
        <x:v>approved</x:v>
      </x:c>
      <x:c r="G2397" s="19" t="str">
        <x:v>Repair in Progress</x:v>
      </x:c>
      <x:c r="H2397" s="19" t="str">
        <x:v>In Field</x:v>
      </x:c>
      <x:c r="I2397" s="37" t="n">
        <x:v>46113</x:v>
      </x:c>
      <x:c r="J2397" s="37" t="n">
        <x:v>46113</x:v>
      </x:c>
      <x:c r="K2397" s="19" t="str">
        <x:v>Green RV - Forest Glen</x:v>
      </x:c>
      <x:c r="L2397" s="19" t="str">
        <x:v>Z006</x:v>
      </x:c>
      <x:c r="M2397" s="19" t="str">
        <x:v>In Field Warranty Claims</x:v>
      </x:c>
      <x:c r="N2397" s="37" t="n">
        <x:v>46112</x:v>
      </x:c>
      <x:c r="O2397" s="37"/>
      <x:c r="P2397" s="34" t="n">
        <x:v>0</x:v>
      </x:c>
      <x:c r="Q2397" s="37" t="n">
        <x:v>46112.85731481481</x:v>
      </x:c>
    </x:row>
    <x:row r="2398">
      <x:c r="A2398" s="22" t="n">
        <x:v>33023</x:v>
      </x:c>
      <x:c r="B2398" s="28" t="n">
        <x:v>400.41</x:v>
      </x:c>
      <x:c r="C2398" s="28" t="n">
        <x:v>440.45</x:v>
      </x:c>
      <x:c r="D2398" s="31" t="n">
        <x:f>IF(OR(ISBLANK(B2398),ISBLANK(C2398),B2398=0),"",(C2398-B2398)/B2398)</x:f>
        <x:v>0.09999750255987604</x:v>
      </x:c>
      <x:c r="E2398" s="22" t="str">
        <x:f>IF(ISBLANK(C2398),"AmountIncludingTax缺失",IF(ABS(B2398-C2398)&lt;0.005,"一致","不一致"))</x:f>
        <x:v>不一致</x:v>
      </x:c>
      <x:c r="F2398" s="19" t="str">
        <x:v>approved</x:v>
      </x:c>
      <x:c r="G2398" s="19" t="str">
        <x:v>Repairer Invoiced Processed</x:v>
      </x:c>
      <x:c r="H2398" s="19" t="str">
        <x:v>In Field</x:v>
      </x:c>
      <x:c r="I2398" s="37" t="n">
        <x:v>46120</x:v>
      </x:c>
      <x:c r="J2398" s="37" t="n">
        <x:v>46120</x:v>
      </x:c>
      <x:c r="K2398" s="19" t="str">
        <x:v>Regent RV - Perth</x:v>
      </x:c>
      <x:c r="L2398" s="19" t="str">
        <x:v>Z006</x:v>
      </x:c>
      <x:c r="M2398" s="19" t="str">
        <x:v>In Field Warranty Claims</x:v>
      </x:c>
      <x:c r="N2398" s="37" t="n">
        <x:v>46112</x:v>
      </x:c>
      <x:c r="O2398" s="37"/>
      <x:c r="P2398" s="34" t="n">
        <x:v>440.45</x:v>
      </x:c>
      <x:c r="Q2398" s="37" t="n">
        <x:v>46120.233564814815</x:v>
      </x:c>
    </x:row>
    <x:row r="2399">
      <x:c r="A2399" s="22" t="n">
        <x:v>33019</x:v>
      </x:c>
      <x:c r="B2399" s="28" t="n">
        <x:v>306.25</x:v>
      </x:c>
      <x:c r="C2399" s="28"/>
      <x:c r="D2399" s="31" t="str">
        <x:f>IF(OR(ISBLANK(B2399),ISBLANK(C2399),B2399=0),"",(C2399-B2399)/B2399)</x:f>
      </x:c>
      <x:c r="E2399" s="22" t="str">
        <x:f>IF(ISBLANK(C2399),"AmountIncludingTax缺失",IF(ABS(B2399-C2399)&lt;0.005,"一致","不一致"))</x:f>
        <x:v>AmountIncludingTax缺失</x:v>
      </x:c>
      <x:c r="F2399" s="19" t="str">
        <x:v>approved</x:v>
      </x:c>
      <x:c r="G2399" s="19" t="str">
        <x:v>Repair in Progress</x:v>
      </x:c>
      <x:c r="H2399" s="19" t="str">
        <x:v>In Field</x:v>
      </x:c>
      <x:c r="I2399" s="37" t="n">
        <x:v>46113</x:v>
      </x:c>
      <x:c r="J2399" s="37" t="n">
        <x:v>46113</x:v>
      </x:c>
      <x:c r="K2399" s="19" t="str">
        <x:v>Snowy River Wangaratta</x:v>
      </x:c>
      <x:c r="L2399" s="19" t="str">
        <x:v>Z006</x:v>
      </x:c>
      <x:c r="M2399" s="19" t="str">
        <x:v>In Field Warranty Claims</x:v>
      </x:c>
      <x:c r="N2399" s="37" t="n">
        <x:v>46111</x:v>
      </x:c>
      <x:c r="O2399" s="37"/>
      <x:c r="P2399" s="34" t="n">
        <x:v>0</x:v>
      </x:c>
      <x:c r="Q2399" s="37" t="n">
        <x:v>46113.08054398148</x:v>
      </x:c>
    </x:row>
    <x:row r="2400">
      <x:c r="A2400" s="22" t="n">
        <x:v>33018</x:v>
      </x:c>
      <x:c r="B2400" s="28" t="n">
        <x:v>490.92</x:v>
      </x:c>
      <x:c r="C2400" s="28"/>
      <x:c r="D2400" s="31" t="str">
        <x:f>IF(OR(ISBLANK(B2400),ISBLANK(C2400),B2400=0),"",(C2400-B2400)/B2400)</x:f>
      </x:c>
      <x:c r="E2400" s="22" t="str">
        <x:f>IF(ISBLANK(C2400),"AmountIncludingTax缺失",IF(ABS(B2400-C2400)&lt;0.005,"一致","不一致"))</x:f>
        <x:v>AmountIncludingTax缺失</x:v>
      </x:c>
      <x:c r="F2400" s="19" t="str">
        <x:v>approved</x:v>
      </x:c>
      <x:c r="G2400" s="19" t="str">
        <x:v>Repairer Invoiced Processed</x:v>
      </x:c>
      <x:c r="H2400" s="19" t="str">
        <x:v>In Field</x:v>
      </x:c>
      <x:c r="I2400" s="37" t="n">
        <x:v>46122</x:v>
      </x:c>
      <x:c r="J2400" s="37" t="n">
        <x:v>46122</x:v>
      </x:c>
      <x:c r="K2400" s="19" t="str">
        <x:v>Regent RV - Perth</x:v>
      </x:c>
      <x:c r="L2400" s="19" t="str">
        <x:v>Z006</x:v>
      </x:c>
      <x:c r="M2400" s="19" t="str">
        <x:v>In Field Warranty Claims</x:v>
      </x:c>
      <x:c r="N2400" s="37" t="n">
        <x:v>46111</x:v>
      </x:c>
      <x:c r="O2400" s="37"/>
      <x:c r="P2400" s="34" t="n">
        <x:v>0</x:v>
      </x:c>
      <x:c r="Q2400" s="37" t="n">
        <x:v>46122.24502314815</x:v>
      </x:c>
    </x:row>
    <x:row r="2401">
      <x:c r="A2401" s="22" t="n">
        <x:v>33017</x:v>
      </x:c>
      <x:c r="B2401" s="28" t="n">
        <x:v>728.75</x:v>
      </x:c>
      <x:c r="C2401" s="28"/>
      <x:c r="D2401" s="31" t="str">
        <x:f>IF(OR(ISBLANK(B2401),ISBLANK(C2401),B2401=0),"",(C2401-B2401)/B2401)</x:f>
      </x:c>
      <x:c r="E2401" s="22" t="str">
        <x:f>IF(ISBLANK(C2401),"AmountIncludingTax缺失",IF(ABS(B2401-C2401)&lt;0.005,"一致","不一致"))</x:f>
        <x:v>AmountIncludingTax缺失</x:v>
      </x:c>
      <x:c r="F2401" s="19" t="str">
        <x:v>approved</x:v>
      </x:c>
      <x:c r="G2401" s="19" t="str">
        <x:v>Repairer Invoiced Processed</x:v>
      </x:c>
      <x:c r="H2401" s="19" t="str">
        <x:v>Pre Delivery</x:v>
      </x:c>
      <x:c r="I2401" s="37" t="n">
        <x:v>46136</x:v>
      </x:c>
      <x:c r="J2401" s="37" t="n">
        <x:v>46136</x:v>
      </x:c>
      <x:c r="K2401" s="19" t="str">
        <x:v>Green RV - Slacks Creek</x:v>
      </x:c>
      <x:c r="L2401" s="19" t="str">
        <x:v>Z005</x:v>
      </x:c>
      <x:c r="M2401" s="19" t="str">
        <x:v>Pre Delivery Warranty Claims</x:v>
      </x:c>
      <x:c r="N2401" s="37" t="n">
        <x:v>46111</x:v>
      </x:c>
      <x:c r="O2401" s="37"/>
      <x:c r="P2401" s="34" t="n">
        <x:v>0</x:v>
      </x:c>
      <x:c r="Q2401" s="37" t="n">
        <x:v>46136.009351851855</x:v>
      </x:c>
    </x:row>
    <x:row r="2402">
      <x:c r="A2402" s="22" t="n">
        <x:v>33016</x:v>
      </x:c>
      <x:c r="B2402" s="28" t="n">
        <x:v>1041.25</x:v>
      </x:c>
      <x:c r="C2402" s="28"/>
      <x:c r="D2402" s="31" t="str">
        <x:f>IF(OR(ISBLANK(B2402),ISBLANK(C2402),B2402=0),"",(C2402-B2402)/B2402)</x:f>
      </x:c>
      <x:c r="E2402" s="22" t="str">
        <x:f>IF(ISBLANK(C2402),"AmountIncludingTax缺失",IF(ABS(B2402-C2402)&lt;0.005,"一致","不一致"))</x:f>
        <x:v>AmountIncludingTax缺失</x:v>
      </x:c>
      <x:c r="F2402" s="19" t="str">
        <x:v>approved</x:v>
      </x:c>
      <x:c r="G2402" s="19" t="str">
        <x:v>Repair in Progress</x:v>
      </x:c>
      <x:c r="H2402" s="19" t="str">
        <x:v>In Field</x:v>
      </x:c>
      <x:c r="I2402" s="37" t="n">
        <x:v>46125</x:v>
      </x:c>
      <x:c r="J2402" s="37" t="n">
        <x:v>46125</x:v>
      </x:c>
      <x:c r="K2402" s="19" t="str">
        <x:v>Green RV - Forest Glen</x:v>
      </x:c>
      <x:c r="L2402" s="19" t="str">
        <x:v>Z006</x:v>
      </x:c>
      <x:c r="M2402" s="19" t="str">
        <x:v>In Field Warranty Claims</x:v>
      </x:c>
      <x:c r="N2402" s="37" t="n">
        <x:v>46111</x:v>
      </x:c>
      <x:c r="O2402" s="37"/>
      <x:c r="P2402" s="34" t="n">
        <x:v>0</x:v>
      </x:c>
      <x:c r="Q2402" s="37" t="n">
        <x:v>46124.925532407404</x:v>
      </x:c>
    </x:row>
    <x:row r="2403">
      <x:c r="A2403" s="22" t="n">
        <x:v>33015</x:v>
      </x:c>
      <x:c r="B2403" s="28" t="n">
        <x:v>222.5</x:v>
      </x:c>
      <x:c r="C2403" s="28"/>
      <x:c r="D2403" s="31" t="str">
        <x:f>IF(OR(ISBLANK(B2403),ISBLANK(C2403),B2403=0),"",(C2403-B2403)/B2403)</x:f>
      </x:c>
      <x:c r="E2403" s="22" t="str">
        <x:f>IF(ISBLANK(C2403),"AmountIncludingTax缺失",IF(ABS(B2403-C2403)&lt;0.005,"一致","不一致"))</x:f>
        <x:v>AmountIncludingTax缺失</x:v>
      </x:c>
      <x:c r="F2403" s="19" t="str">
        <x:v>approved</x:v>
      </x:c>
      <x:c r="G2403" s="19" t="str">
        <x:v>Repairer Invoiced Processed</x:v>
      </x:c>
      <x:c r="H2403" s="19" t="str">
        <x:v>Pre Delivery</x:v>
      </x:c>
      <x:c r="I2403" s="37" t="n">
        <x:v>46136</x:v>
      </x:c>
      <x:c r="J2403" s="37" t="n">
        <x:v>46136</x:v>
      </x:c>
      <x:c r="K2403" s="19" t="str">
        <x:v>Green RV - Slacks Creek</x:v>
      </x:c>
      <x:c r="L2403" s="19" t="str">
        <x:v>Z005</x:v>
      </x:c>
      <x:c r="M2403" s="19" t="str">
        <x:v>Pre Delivery Warranty Claims</x:v>
      </x:c>
      <x:c r="N2403" s="37" t="n">
        <x:v>46111</x:v>
      </x:c>
      <x:c r="O2403" s="37"/>
      <x:c r="P2403" s="34" t="n">
        <x:v>0</x:v>
      </x:c>
      <x:c r="Q2403" s="37" t="n">
        <x:v>46136.007881944446</x:v>
      </x:c>
    </x:row>
    <x:row r="2404">
      <x:c r="A2404" s="22" t="n">
        <x:v>33014</x:v>
      </x:c>
      <x:c r="B2404" s="28" t="n">
        <x:v>728.75</x:v>
      </x:c>
      <x:c r="C2404" s="28"/>
      <x:c r="D2404" s="31" t="str">
        <x:f>IF(OR(ISBLANK(B2404),ISBLANK(C2404),B2404=0),"",(C2404-B2404)/B2404)</x:f>
      </x:c>
      <x:c r="E2404" s="22" t="str">
        <x:f>IF(ISBLANK(C2404),"AmountIncludingTax缺失",IF(ABS(B2404-C2404)&lt;0.005,"一致","不一致"))</x:f>
        <x:v>AmountIncludingTax缺失</x:v>
      </x:c>
      <x:c r="F2404" s="19" t="str">
        <x:v>approved</x:v>
      </x:c>
      <x:c r="G2404" s="19" t="str">
        <x:v>Repair in Progress</x:v>
      </x:c>
      <x:c r="H2404" s="19" t="str">
        <x:v>In Field</x:v>
      </x:c>
      <x:c r="I2404" s="37" t="n">
        <x:v>46150</x:v>
      </x:c>
      <x:c r="J2404" s="37" t="n">
        <x:v>46150</x:v>
      </x:c>
      <x:c r="K2404" s="19" t="str">
        <x:v>Regent RV - Toowoomba</x:v>
      </x:c>
      <x:c r="L2404" s="19" t="str">
        <x:v>Z006</x:v>
      </x:c>
      <x:c r="M2404" s="19" t="str">
        <x:v>In Field Warranty Claims</x:v>
      </x:c>
      <x:c r="N2404" s="37" t="n">
        <x:v>46111</x:v>
      </x:c>
      <x:c r="O2404" s="37" t="n">
        <x:v>46133</x:v>
      </x:c>
      <x:c r="P2404" s="34" t="n">
        <x:v>0</x:v>
      </x:c>
      <x:c r="Q2404" s="37" t="n">
        <x:v>46150.20543981482</x:v>
      </x:c>
    </x:row>
    <x:row r="2405">
      <x:c r="A2405" s="22" t="n">
        <x:v>33013</x:v>
      </x:c>
      <x:c r="B2405" s="28" t="n">
        <x:v>465</x:v>
      </x:c>
      <x:c r="C2405" s="28"/>
      <x:c r="D2405" s="31" t="str">
        <x:f>IF(OR(ISBLANK(B2405),ISBLANK(C2405),B2405=0),"",(C2405-B2405)/B2405)</x:f>
      </x:c>
      <x:c r="E2405" s="22" t="str">
        <x:f>IF(ISBLANK(C2405),"AmountIncludingTax缺失",IF(ABS(B2405-C2405)&lt;0.005,"一致","不一致"))</x:f>
        <x:v>AmountIncludingTax缺失</x:v>
      </x:c>
      <x:c r="F2405" s="19" t="str">
        <x:v>approved</x:v>
      </x:c>
      <x:c r="G2405" s="19" t="str">
        <x:v>Repairer Invoiced Processed</x:v>
      </x:c>
      <x:c r="H2405" s="19" t="str">
        <x:v>In Field</x:v>
      </x:c>
      <x:c r="I2405" s="37" t="n">
        <x:v>46114</x:v>
      </x:c>
      <x:c r="J2405" s="37" t="n">
        <x:v>46114</x:v>
      </x:c>
      <x:c r="K2405" s="19" t="str">
        <x:v>The Caravan Hub - Townsville</x:v>
      </x:c>
      <x:c r="L2405" s="19" t="str">
        <x:v>Z006</x:v>
      </x:c>
      <x:c r="M2405" s="19" t="str">
        <x:v>In Field Warranty Claims</x:v>
      </x:c>
      <x:c r="N2405" s="37" t="n">
        <x:v>46111</x:v>
      </x:c>
      <x:c r="O2405" s="37"/>
      <x:c r="P2405" s="34" t="n">
        <x:v>0</x:v>
      </x:c>
      <x:c r="Q2405" s="37" t="n">
        <x:v>46113.90929398148</x:v>
      </x:c>
    </x:row>
    <x:row r="2406">
      <x:c r="A2406" s="22" t="n">
        <x:v>33012</x:v>
      </x:c>
      <x:c r="B2406" s="28" t="n">
        <x:v>828.18</x:v>
      </x:c>
      <x:c r="C2406" s="28"/>
      <x:c r="D2406" s="31" t="str">
        <x:f>IF(OR(ISBLANK(B2406),ISBLANK(C2406),B2406=0),"",(C2406-B2406)/B2406)</x:f>
      </x:c>
      <x:c r="E2406" s="22" t="str">
        <x:f>IF(ISBLANK(C2406),"AmountIncludingTax缺失",IF(ABS(B2406-C2406)&lt;0.005,"一致","不一致"))</x:f>
        <x:v>AmountIncludingTax缺失</x:v>
      </x:c>
      <x:c r="F2406" s="19" t="str">
        <x:v>approved</x:v>
      </x:c>
      <x:c r="G2406" s="19" t="str">
        <x:v>Repair in Progress</x:v>
      </x:c>
      <x:c r="H2406" s="19" t="str">
        <x:v>In Field</x:v>
      </x:c>
      <x:c r="I2406" s="37" t="n">
        <x:v>46125</x:v>
      </x:c>
      <x:c r="J2406" s="37" t="n">
        <x:v>46125</x:v>
      </x:c>
      <x:c r="K2406" s="19" t="str">
        <x:v>Green RV - Forest Glen</x:v>
      </x:c>
      <x:c r="L2406" s="19" t="str">
        <x:v>Z006</x:v>
      </x:c>
      <x:c r="M2406" s="19" t="str">
        <x:v>In Field Warranty Claims</x:v>
      </x:c>
      <x:c r="N2406" s="37" t="n">
        <x:v>46111</x:v>
      </x:c>
      <x:c r="O2406" s="37"/>
      <x:c r="P2406" s="34" t="n">
        <x:v>0</x:v>
      </x:c>
      <x:c r="Q2406" s="37" t="n">
        <x:v>46124.92361111111</x:v>
      </x:c>
    </x:row>
    <x:row r="2407">
      <x:c r="A2407" s="22" t="n">
        <x:v>33010</x:v>
      </x:c>
      <x:c r="B2407" s="28" t="n">
        <x:v>118.75</x:v>
      </x:c>
      <x:c r="C2407" s="28" t="n">
        <x:v>130.63</x:v>
      </x:c>
      <x:c r="D2407" s="31" t="n">
        <x:f>IF(OR(ISBLANK(B2407),ISBLANK(C2407),B2407=0),"",(C2407-B2407)/B2407)</x:f>
        <x:v>0.10004210526315786</x:v>
      </x:c>
      <x:c r="E2407" s="22" t="str">
        <x:f>IF(ISBLANK(C2407),"AmountIncludingTax缺失",IF(ABS(B2407-C2407)&lt;0.005,"一致","不一致"))</x:f>
        <x:v>不一致</x:v>
      </x:c>
      <x:c r="F2407" s="19" t="str">
        <x:v>approved</x:v>
      </x:c>
      <x:c r="G2407" s="19" t="str">
        <x:v>Repairer Invoiced Processed</x:v>
      </x:c>
      <x:c r="H2407" s="19" t="str">
        <x:v>In Field</x:v>
      </x:c>
      <x:c r="I2407" s="37" t="n">
        <x:v>46127</x:v>
      </x:c>
      <x:c r="J2407" s="37" t="n">
        <x:v>46127</x:v>
      </x:c>
      <x:c r="K2407" s="19" t="str">
        <x:v>Green RV - Forest Glen</x:v>
      </x:c>
      <x:c r="L2407" s="19" t="str">
        <x:v>Z006</x:v>
      </x:c>
      <x:c r="M2407" s="19" t="str">
        <x:v>In Field Warranty Claims</x:v>
      </x:c>
      <x:c r="N2407" s="37" t="n">
        <x:v>46112</x:v>
      </x:c>
      <x:c r="O2407" s="37" t="n">
        <x:v>46120</x:v>
      </x:c>
      <x:c r="P2407" s="34" t="n">
        <x:v>130.63</x:v>
      </x:c>
      <x:c r="Q2407" s="37" t="n">
        <x:v>46127.18886574074</x:v>
      </x:c>
    </x:row>
    <x:row r="2408">
      <x:c r="A2408" s="22" t="n">
        <x:v>33009</x:v>
      </x:c>
      <x:c r="B2408" s="28" t="n">
        <x:v>440</x:v>
      </x:c>
      <x:c r="C2408" s="28" t="n">
        <x:v>398.38</x:v>
      </x:c>
      <x:c r="D2408" s="31" t="n">
        <x:f>IF(OR(ISBLANK(B2408),ISBLANK(C2408),B2408=0),"",(C2408-B2408)/B2408)</x:f>
        <x:v>-0.0945909090909091</x:v>
      </x:c>
      <x:c r="E2408" s="22" t="str">
        <x:f>IF(ISBLANK(C2408),"AmountIncludingTax缺失",IF(ABS(B2408-C2408)&lt;0.005,"一致","不一致"))</x:f>
        <x:v>不一致</x:v>
      </x:c>
      <x:c r="F2408" s="19" t="str">
        <x:v>approved</x:v>
      </x:c>
      <x:c r="G2408" s="19" t="str">
        <x:v>Repairer Invoiced Processed</x:v>
      </x:c>
      <x:c r="H2408" s="19" t="str">
        <x:v>In Field</x:v>
      </x:c>
      <x:c r="I2408" s="37" t="n">
        <x:v>46120</x:v>
      </x:c>
      <x:c r="J2408" s="37" t="n">
        <x:v>46120</x:v>
      </x:c>
      <x:c r="K2408" s="19" t="str">
        <x:v>Vanari Caravans - Marden Point</x:v>
      </x:c>
      <x:c r="L2408" s="19" t="str">
        <x:v>Z006</x:v>
      </x:c>
      <x:c r="M2408" s="19" t="str">
        <x:v>In Field Warranty Claims</x:v>
      </x:c>
      <x:c r="N2408" s="37" t="n">
        <x:v>46112</x:v>
      </x:c>
      <x:c r="O2408" s="37"/>
      <x:c r="P2408" s="34" t="n">
        <x:v>398.38</x:v>
      </x:c>
      <x:c r="Q2408" s="37" t="n">
        <x:v>46120.0325</x:v>
      </x:c>
    </x:row>
    <x:row r="2409">
      <x:c r="A2409" s="22" t="n">
        <x:v>33008</x:v>
      </x:c>
      <x:c r="B2409" s="28" t="n">
        <x:v>420.41</x:v>
      </x:c>
      <x:c r="C2409" s="28" t="n">
        <x:v>462.45</x:v>
      </x:c>
      <x:c r="D2409" s="31" t="n">
        <x:f>IF(OR(ISBLANK(B2409),ISBLANK(C2409),B2409=0),"",(C2409-B2409)/B2409)</x:f>
        <x:v>0.09999762136961528</x:v>
      </x:c>
      <x:c r="E2409" s="22" t="str">
        <x:f>IF(ISBLANK(C2409),"AmountIncludingTax缺失",IF(ABS(B2409-C2409)&lt;0.005,"一致","不一致"))</x:f>
        <x:v>不一致</x:v>
      </x:c>
      <x:c r="F2409" s="19" t="str">
        <x:v>approved</x:v>
      </x:c>
      <x:c r="G2409" s="19" t="str">
        <x:v>Repairer Invoiced Processed</x:v>
      </x:c>
      <x:c r="H2409" s="19" t="str">
        <x:v>In Field</x:v>
      </x:c>
      <x:c r="I2409" s="37" t="n">
        <x:v>46120</x:v>
      </x:c>
      <x:c r="J2409" s="37" t="n">
        <x:v>46120</x:v>
      </x:c>
      <x:c r="K2409" s="19" t="str">
        <x:v>Regent RV - Perth</x:v>
      </x:c>
      <x:c r="L2409" s="19" t="str">
        <x:v>Z006</x:v>
      </x:c>
      <x:c r="M2409" s="19" t="str">
        <x:v>In Field Warranty Claims</x:v>
      </x:c>
      <x:c r="N2409" s="37" t="n">
        <x:v>46112</x:v>
      </x:c>
      <x:c r="O2409" s="37"/>
      <x:c r="P2409" s="34" t="n">
        <x:v>462.45</x:v>
      </x:c>
      <x:c r="Q2409" s="37" t="n">
        <x:v>46120.23951388889</x:v>
      </x:c>
    </x:row>
    <x:row r="2410">
      <x:c r="A2410" s="22" t="n">
        <x:v>33007</x:v>
      </x:c>
      <x:c r="B2410" s="28" t="n">
        <x:v>67.5</x:v>
      </x:c>
      <x:c r="C2410" s="28"/>
      <x:c r="D2410" s="31" t="str">
        <x:f>IF(OR(ISBLANK(B2410),ISBLANK(C2410),B2410=0),"",(C2410-B2410)/B2410)</x:f>
      </x:c>
      <x:c r="E2410" s="22" t="str">
        <x:f>IF(ISBLANK(C2410),"AmountIncludingTax缺失",IF(ABS(B2410-C2410)&lt;0.005,"一致","不一致"))</x:f>
        <x:v>AmountIncludingTax缺失</x:v>
      </x:c>
      <x:c r="F2410" s="19" t="str">
        <x:v>approved</x:v>
      </x:c>
      <x:c r="G2410" s="19" t="str">
        <x:v>Repair in Progress</x:v>
      </x:c>
      <x:c r="H2410" s="19" t="str">
        <x:v>In Field</x:v>
      </x:c>
      <x:c r="I2410" s="37" t="n">
        <x:v>46119</x:v>
      </x:c>
      <x:c r="J2410" s="37" t="n">
        <x:v>46119</x:v>
      </x:c>
      <x:c r="K2410" s="19" t="str">
        <x:v>Snowy River Frankston</x:v>
      </x:c>
      <x:c r="L2410" s="19" t="str">
        <x:v>Z006</x:v>
      </x:c>
      <x:c r="M2410" s="19" t="str">
        <x:v>In Field Warranty Claims</x:v>
      </x:c>
      <x:c r="N2410" s="37" t="n">
        <x:v>46112</x:v>
      </x:c>
      <x:c r="O2410" s="37"/>
      <x:c r="P2410" s="34" t="n">
        <x:v>0</x:v>
      </x:c>
      <x:c r="Q2410" s="37" t="n">
        <x:v>46118.93519675926</x:v>
      </x:c>
    </x:row>
    <x:row r="2411">
      <x:c r="A2411" s="22" t="n">
        <x:v>33006</x:v>
      </x:c>
      <x:c r="B2411" s="28" t="n">
        <x:v>872.5</x:v>
      </x:c>
      <x:c r="C2411" s="28"/>
      <x:c r="D2411" s="31" t="str">
        <x:f>IF(OR(ISBLANK(B2411),ISBLANK(C2411),B2411=0),"",(C2411-B2411)/B2411)</x:f>
      </x:c>
      <x:c r="E2411" s="22" t="str">
        <x:f>IF(ISBLANK(C2411),"AmountIncludingTax缺失",IF(ABS(B2411-C2411)&lt;0.005,"一致","不一致"))</x:f>
        <x:v>AmountIncludingTax缺失</x:v>
      </x:c>
      <x:c r="F2411" s="19" t="str">
        <x:v>approved</x:v>
      </x:c>
      <x:c r="G2411" s="19" t="str">
        <x:v>Repairer Invoiced Processed</x:v>
      </x:c>
      <x:c r="H2411" s="19" t="str">
        <x:v>In Field</x:v>
      </x:c>
      <x:c r="I2411" s="37" t="n">
        <x:v>46125</x:v>
      </x:c>
      <x:c r="J2411" s="37" t="n">
        <x:v>46125</x:v>
      </x:c>
      <x:c r="K2411" s="19" t="str">
        <x:v>Green RV - Forest Glen</x:v>
      </x:c>
      <x:c r="L2411" s="19" t="str">
        <x:v>Z006</x:v>
      </x:c>
      <x:c r="M2411" s="19" t="str">
        <x:v>In Field Warranty Claims</x:v>
      </x:c>
      <x:c r="N2411" s="37" t="n">
        <x:v>46111</x:v>
      </x:c>
      <x:c r="O2411" s="37"/>
      <x:c r="P2411" s="34" t="n">
        <x:v>0</x:v>
      </x:c>
      <x:c r="Q2411" s="37" t="n">
        <x:v>46125.08384259259</x:v>
      </x:c>
    </x:row>
    <x:row r="2412">
      <x:c r="A2412" s="22" t="n">
        <x:v>33002</x:v>
      </x:c>
      <x:c r="B2412" s="28" t="n">
        <x:v>86.36</x:v>
      </x:c>
      <x:c r="C2412" s="28"/>
      <x:c r="D2412" s="31" t="str">
        <x:f>IF(OR(ISBLANK(B2412),ISBLANK(C2412),B2412=0),"",(C2412-B2412)/B2412)</x:f>
      </x:c>
      <x:c r="E2412" s="22" t="str">
        <x:f>IF(ISBLANK(C2412),"AmountIncludingTax缺失",IF(ABS(B2412-C2412)&lt;0.005,"一致","不一致"))</x:f>
        <x:v>AmountIncludingTax缺失</x:v>
      </x:c>
      <x:c r="F2412" s="19" t="str">
        <x:v>approved</x:v>
      </x:c>
      <x:c r="G2412" s="19" t="str">
        <x:v>Repair in Progress</x:v>
      </x:c>
      <x:c r="H2412" s="19" t="str">
        <x:v>In Field</x:v>
      </x:c>
      <x:c r="I2412" s="37" t="n">
        <x:v>46176</x:v>
      </x:c>
      <x:c r="J2412" s="37" t="n">
        <x:v>46176</x:v>
      </x:c>
      <x:c r="K2412" s="19" t="str">
        <x:v>Lesiure Lion-New Castle</x:v>
      </x:c>
      <x:c r="L2412" s="19" t="str">
        <x:v>Z006</x:v>
      </x:c>
      <x:c r="M2412" s="19" t="str">
        <x:v>In Field Warranty Claims</x:v>
      </x:c>
      <x:c r="N2412" s="37" t="n">
        <x:v>46111</x:v>
      </x:c>
      <x:c r="O2412" s="37"/>
      <x:c r="P2412" s="34" t="n">
        <x:v>0</x:v>
      </x:c>
      <x:c r="Q2412" s="37" t="n">
        <x:v>46175.968831018516</x:v>
      </x:c>
    </x:row>
    <x:row r="2413">
      <x:c r="A2413" s="22" t="n">
        <x:v>33001</x:v>
      </x:c>
      <x:c r="B2413" s="28" t="n">
        <x:v>2700</x:v>
      </x:c>
      <x:c r="C2413" s="28"/>
      <x:c r="D2413" s="31" t="str">
        <x:f>IF(OR(ISBLANK(B2413),ISBLANK(C2413),B2413=0),"",(C2413-B2413)/B2413)</x:f>
      </x:c>
      <x:c r="E2413" s="22" t="str">
        <x:f>IF(ISBLANK(C2413),"AmountIncludingTax缺失",IF(ABS(B2413-C2413)&lt;0.005,"一致","不一致"))</x:f>
        <x:v>AmountIncludingTax缺失</x:v>
      </x:c>
      <x:c r="F2413" s="19" t="str">
        <x:v>approved</x:v>
      </x:c>
      <x:c r="G2413" s="19" t="str">
        <x:v>Repair in Progress</x:v>
      </x:c>
      <x:c r="H2413" s="19" t="str">
        <x:v>In Field</x:v>
      </x:c>
      <x:c r="I2413" s="37" t="n">
        <x:v>46126</x:v>
      </x:c>
      <x:c r="J2413" s="37" t="n">
        <x:v>46126</x:v>
      </x:c>
      <x:c r="K2413" s="19" t="str">
        <x:v>Leisure Lion Pty Ltd - Toowoomba</x:v>
      </x:c>
      <x:c r="L2413" s="19" t="str">
        <x:v>Z006</x:v>
      </x:c>
      <x:c r="M2413" s="19" t="str">
        <x:v>In Field Warranty Claims</x:v>
      </x:c>
      <x:c r="N2413" s="37" t="n">
        <x:v>46111</x:v>
      </x:c>
      <x:c r="O2413" s="37"/>
      <x:c r="P2413" s="34" t="n">
        <x:v>2970</x:v>
      </x:c>
      <x:c r="Q2413" s="37" t="n">
        <x:v>46126.18877314815</x:v>
      </x:c>
    </x:row>
    <x:row r="2414">
      <x:c r="A2414" s="22" t="n">
        <x:v>32997</x:v>
      </x:c>
      <x:c r="B2414" s="28" t="n">
        <x:v>363.64</x:v>
      </x:c>
      <x:c r="C2414" s="28" t="n">
        <x:v>400</x:v>
      </x:c>
      <x:c r="D2414" s="31" t="n">
        <x:f>IF(OR(ISBLANK(B2414),ISBLANK(C2414),B2414=0),"",(C2414-B2414)/B2414)</x:f>
        <x:v>0.09998900010999894</x:v>
      </x:c>
      <x:c r="E2414" s="22" t="str">
        <x:f>IF(ISBLANK(C2414),"AmountIncludingTax缺失",IF(ABS(B2414-C2414)&lt;0.005,"一致","不一致"))</x:f>
        <x:v>不一致</x:v>
      </x:c>
      <x:c r="F2414" s="19" t="str">
        <x:v>approved</x:v>
      </x:c>
      <x:c r="G2414" s="19" t="str">
        <x:v>Repairer Invoiced Processed</x:v>
      </x:c>
      <x:c r="H2414" s="19" t="str">
        <x:v>In Field</x:v>
      </x:c>
      <x:c r="I2414" s="37" t="n">
        <x:v>46155</x:v>
      </x:c>
      <x:c r="J2414" s="37" t="n">
        <x:v>46155</x:v>
      </x:c>
      <x:c r="K2414" s="19" t="str">
        <x:v>Regent RV - Frankston</x:v>
      </x:c>
      <x:c r="L2414" s="19" t="str">
        <x:v>Z006</x:v>
      </x:c>
      <x:c r="M2414" s="19" t="str">
        <x:v>In Field Warranty Claims</x:v>
      </x:c>
      <x:c r="N2414" s="37" t="n">
        <x:v>46112</x:v>
      </x:c>
      <x:c r="O2414" s="37"/>
      <x:c r="P2414" s="34" t="n">
        <x:v>400</x:v>
      </x:c>
      <x:c r="Q2414" s="37" t="n">
        <x:v>46154.91081018518</x:v>
      </x:c>
    </x:row>
    <x:row r="2415">
      <x:c r="A2415" s="22" t="n">
        <x:v>32996</x:v>
      </x:c>
      <x:c r="B2415" s="28" t="n">
        <x:v>485</x:v>
      </x:c>
      <x:c r="C2415" s="28"/>
      <x:c r="D2415" s="31" t="str">
        <x:f>IF(OR(ISBLANK(B2415),ISBLANK(C2415),B2415=0),"",(C2415-B2415)/B2415)</x:f>
      </x:c>
      <x:c r="E2415" s="22" t="str">
        <x:f>IF(ISBLANK(C2415),"AmountIncludingTax缺失",IF(ABS(B2415-C2415)&lt;0.005,"一致","不一致"))</x:f>
        <x:v>AmountIncludingTax缺失</x:v>
      </x:c>
      <x:c r="F2415" s="19" t="str">
        <x:v>approved</x:v>
      </x:c>
      <x:c r="G2415" s="19" t="str">
        <x:v>Sales Order Approved</x:v>
      </x:c>
      <x:c r="H2415" s="19" t="str">
        <x:v>In Field</x:v>
      </x:c>
      <x:c r="I2415" s="37" t="n">
        <x:v>46203</x:v>
      </x:c>
      <x:c r="J2415" s="37" t="n">
        <x:v>46113</x:v>
      </x:c>
      <x:c r="K2415" s="19" t="str">
        <x:v>Auswide Caravans - South Nowra</x:v>
      </x:c>
      <x:c r="L2415" s="19" t="str">
        <x:v>Z006</x:v>
      </x:c>
      <x:c r="M2415" s="19" t="str">
        <x:v>In Field Warranty Claims</x:v>
      </x:c>
      <x:c r="N2415" s="37" t="n">
        <x:v>46112</x:v>
      </x:c>
      <x:c r="O2415" s="37"/>
      <x:c r="P2415" s="34" t="n">
        <x:v>0</x:v>
      </x:c>
      <x:c r="Q2415" s="37" t="n">
        <x:v>46203.00603009259</x:v>
      </x:c>
    </x:row>
    <x:row r="2416">
      <x:c r="A2416" s="22" t="n">
        <x:v>32989</x:v>
      </x:c>
      <x:c r="B2416" s="28" t="n">
        <x:v>67.5</x:v>
      </x:c>
      <x:c r="C2416" s="28"/>
      <x:c r="D2416" s="31" t="str">
        <x:f>IF(OR(ISBLANK(B2416),ISBLANK(C2416),B2416=0),"",(C2416-B2416)/B2416)</x:f>
      </x:c>
      <x:c r="E2416" s="22" t="str">
        <x:f>IF(ISBLANK(C2416),"AmountIncludingTax缺失",IF(ABS(B2416-C2416)&lt;0.005,"一致","不一致"))</x:f>
        <x:v>AmountIncludingTax缺失</x:v>
      </x:c>
      <x:c r="F2416" s="19" t="str">
        <x:v>approved</x:v>
      </x:c>
      <x:c r="G2416" s="19" t="str">
        <x:v>Repair in Progress</x:v>
      </x:c>
      <x:c r="H2416" s="19" t="str">
        <x:v>In Field</x:v>
      </x:c>
      <x:c r="I2416" s="37" t="n">
        <x:v>46112</x:v>
      </x:c>
      <x:c r="J2416" s="37" t="n">
        <x:v>46112</x:v>
      </x:c>
      <x:c r="K2416" s="19" t="str">
        <x:v>Green RV - Forest Glen</x:v>
      </x:c>
      <x:c r="L2416" s="19" t="str">
        <x:v>Z006</x:v>
      </x:c>
      <x:c r="M2416" s="19" t="str">
        <x:v>In Field Warranty Claims</x:v>
      </x:c>
      <x:c r="N2416" s="37" t="n">
        <x:v>46111</x:v>
      </x:c>
      <x:c r="O2416" s="37"/>
      <x:c r="P2416" s="34" t="n">
        <x:v>0</x:v>
      </x:c>
      <x:c r="Q2416" s="37" t="n">
        <x:v>46112.05097222222</x:v>
      </x:c>
    </x:row>
    <x:row r="2417">
      <x:c r="A2417" s="22" t="n">
        <x:v>32988</x:v>
      </x:c>
      <x:c r="B2417" s="28" t="n">
        <x:v>337.5</x:v>
      </x:c>
      <x:c r="C2417" s="28"/>
      <x:c r="D2417" s="31" t="str">
        <x:f>IF(OR(ISBLANK(B2417),ISBLANK(C2417),B2417=0),"",(C2417-B2417)/B2417)</x:f>
      </x:c>
      <x:c r="E2417" s="22" t="str">
        <x:f>IF(ISBLANK(C2417),"AmountIncludingTax缺失",IF(ABS(B2417-C2417)&lt;0.005,"一致","不一致"))</x:f>
        <x:v>AmountIncludingTax缺失</x:v>
      </x:c>
      <x:c r="F2417" s="19" t="str">
        <x:v>approved</x:v>
      </x:c>
      <x:c r="G2417" s="19" t="str">
        <x:v>Repair in Progress</x:v>
      </x:c>
      <x:c r="H2417" s="19" t="str">
        <x:v>In Field</x:v>
      </x:c>
      <x:c r="I2417" s="37" t="n">
        <x:v>46121</x:v>
      </x:c>
      <x:c r="J2417" s="37" t="n">
        <x:v>46121</x:v>
      </x:c>
      <x:c r="K2417" s="19" t="str">
        <x:v>Snowy River Frankston</x:v>
      </x:c>
      <x:c r="L2417" s="19" t="str">
        <x:v>Z006</x:v>
      </x:c>
      <x:c r="M2417" s="19" t="str">
        <x:v>In Field Warranty Claims</x:v>
      </x:c>
      <x:c r="N2417" s="37" t="n">
        <x:v>46111</x:v>
      </x:c>
      <x:c r="O2417" s="37"/>
      <x:c r="P2417" s="34" t="n">
        <x:v>0</x:v>
      </x:c>
      <x:c r="Q2417" s="37" t="n">
        <x:v>46121.24967592592</x:v>
      </x:c>
    </x:row>
    <x:row r="2418">
      <x:c r="A2418" s="22" t="n">
        <x:v>32987</x:v>
      </x:c>
      <x:c r="B2418" s="28" t="n">
        <x:v>67.5</x:v>
      </x:c>
      <x:c r="C2418" s="28"/>
      <x:c r="D2418" s="31" t="str">
        <x:f>IF(OR(ISBLANK(B2418),ISBLANK(C2418),B2418=0),"",(C2418-B2418)/B2418)</x:f>
      </x:c>
      <x:c r="E2418" s="22" t="str">
        <x:f>IF(ISBLANK(C2418),"AmountIncludingTax缺失",IF(ABS(B2418-C2418)&lt;0.005,"一致","不一致"))</x:f>
        <x:v>AmountIncludingTax缺失</x:v>
      </x:c>
      <x:c r="F2418" s="19" t="str">
        <x:v>approved</x:v>
      </x:c>
      <x:c r="G2418" s="19" t="str">
        <x:v>Repair in Progress</x:v>
      </x:c>
      <x:c r="H2418" s="19" t="str">
        <x:v>In Field</x:v>
      </x:c>
      <x:c r="I2418" s="37" t="n">
        <x:v>46121</x:v>
      </x:c>
      <x:c r="J2418" s="37" t="n">
        <x:v>46121</x:v>
      </x:c>
      <x:c r="K2418" s="19" t="str">
        <x:v>Snowy River Frankston</x:v>
      </x:c>
      <x:c r="L2418" s="19" t="str">
        <x:v>Z006</x:v>
      </x:c>
      <x:c r="M2418" s="19" t="str">
        <x:v>In Field Warranty Claims</x:v>
      </x:c>
      <x:c r="N2418" s="37" t="n">
        <x:v>46111</x:v>
      </x:c>
      <x:c r="O2418" s="37"/>
      <x:c r="P2418" s="34" t="n">
        <x:v>0</x:v>
      </x:c>
      <x:c r="Q2418" s="37" t="n">
        <x:v>46121.24538194444</x:v>
      </x:c>
    </x:row>
    <x:row r="2419">
      <x:c r="A2419" s="22" t="n">
        <x:v>32986</x:v>
      </x:c>
      <x:c r="B2419" s="28" t="n">
        <x:v>309.9</x:v>
      </x:c>
      <x:c r="C2419" s="28" t="n">
        <x:v>280.58</x:v>
      </x:c>
      <x:c r="D2419" s="31" t="n">
        <x:f>IF(OR(ISBLANK(B2419),ISBLANK(C2419),B2419=0),"",(C2419-B2419)/B2419)</x:f>
        <x:v>-0.09461116489190059</x:v>
      </x:c>
      <x:c r="E2419" s="22" t="str">
        <x:f>IF(ISBLANK(C2419),"AmountIncludingTax缺失",IF(ABS(B2419-C2419)&lt;0.005,"一致","不一致"))</x:f>
        <x:v>不一致</x:v>
      </x:c>
      <x:c r="F2419" s="19" t="str">
        <x:v>approved</x:v>
      </x:c>
      <x:c r="G2419" s="19" t="str">
        <x:v>Repairer Invoiced Processed</x:v>
      </x:c>
      <x:c r="H2419" s="19" t="str">
        <x:v>In Field</x:v>
      </x:c>
      <x:c r="I2419" s="37" t="n">
        <x:v>46120</x:v>
      </x:c>
      <x:c r="J2419" s="37" t="n">
        <x:v>46120</x:v>
      </x:c>
      <x:c r="K2419" s="19" t="str">
        <x:v>Vanari Caravans - Marden Point</x:v>
      </x:c>
      <x:c r="L2419" s="19" t="str">
        <x:v>Z006</x:v>
      </x:c>
      <x:c r="M2419" s="19" t="str">
        <x:v>In Field Warranty Claims</x:v>
      </x:c>
      <x:c r="N2419" s="37" t="n">
        <x:v>46111</x:v>
      </x:c>
      <x:c r="O2419" s="37"/>
      <x:c r="P2419" s="34" t="n">
        <x:v>280.58</x:v>
      </x:c>
      <x:c r="Q2419" s="37" t="n">
        <x:v>46120.00414351852</x:v>
      </x:c>
    </x:row>
    <x:row r="2420">
      <x:c r="A2420" s="22" t="n">
        <x:v>32984</x:v>
      </x:c>
      <x:c r="B2420" s="28" t="n">
        <x:v>207.5</x:v>
      </x:c>
      <x:c r="C2420" s="28"/>
      <x:c r="D2420" s="31" t="str">
        <x:f>IF(OR(ISBLANK(B2420),ISBLANK(C2420),B2420=0),"",(C2420-B2420)/B2420)</x:f>
      </x:c>
      <x:c r="E2420" s="22" t="str">
        <x:f>IF(ISBLANK(C2420),"AmountIncludingTax缺失",IF(ABS(B2420-C2420)&lt;0.005,"一致","不一致"))</x:f>
        <x:v>AmountIncludingTax缺失</x:v>
      </x:c>
      <x:c r="F2420" s="19" t="str">
        <x:v>approved</x:v>
      </x:c>
      <x:c r="G2420" s="19" t="str">
        <x:v>Repairer Invoiced Processed</x:v>
      </x:c>
      <x:c r="H2420" s="19" t="str">
        <x:v>In Field</x:v>
      </x:c>
      <x:c r="I2420" s="37" t="n">
        <x:v>46112</x:v>
      </x:c>
      <x:c r="J2420" s="37" t="n">
        <x:v>46112</x:v>
      </x:c>
      <x:c r="K2420" s="19" t="str">
        <x:v>Green RV - Forest Glen</x:v>
      </x:c>
      <x:c r="L2420" s="19" t="str">
        <x:v>Z006</x:v>
      </x:c>
      <x:c r="M2420" s="19" t="str">
        <x:v>In Field Warranty Claims</x:v>
      </x:c>
      <x:c r="N2420" s="37" t="n">
        <x:v>46111</x:v>
      </x:c>
      <x:c r="O2420" s="37"/>
      <x:c r="P2420" s="34" t="n">
        <x:v>0</x:v>
      </x:c>
      <x:c r="Q2420" s="37" t="n">
        <x:v>46111.97777777778</x:v>
      </x:c>
    </x:row>
    <x:row r="2421">
      <x:c r="A2421" s="22" t="n">
        <x:v>32982</x:v>
      </x:c>
      <x:c r="B2421" s="28" t="n">
        <x:v>820</x:v>
      </x:c>
      <x:c r="C2421" s="28"/>
      <x:c r="D2421" s="31" t="str">
        <x:f>IF(OR(ISBLANK(B2421),ISBLANK(C2421),B2421=0),"",(C2421-B2421)/B2421)</x:f>
      </x:c>
      <x:c r="E2421" s="22" t="str">
        <x:f>IF(ISBLANK(C2421),"AmountIncludingTax缺失",IF(ABS(B2421-C2421)&lt;0.005,"一致","不一致"))</x:f>
        <x:v>AmountIncludingTax缺失</x:v>
      </x:c>
      <x:c r="F2421" s="19" t="str">
        <x:v>approved</x:v>
      </x:c>
      <x:c r="G2421" s="19" t="str">
        <x:v>Repairer Invoiced Processed</x:v>
      </x:c>
      <x:c r="H2421" s="19" t="str">
        <x:v>Pre Delivery</x:v>
      </x:c>
      <x:c r="I2421" s="37" t="n">
        <x:v>46133</x:v>
      </x:c>
      <x:c r="J2421" s="37" t="n">
        <x:v>46133</x:v>
      </x:c>
      <x:c r="K2421" s="19" t="str">
        <x:v>Green RV - Slacks Creek</x:v>
      </x:c>
      <x:c r="L2421" s="19" t="str">
        <x:v>Z005</x:v>
      </x:c>
      <x:c r="M2421" s="19" t="str">
        <x:v>Pre Delivery Warranty Claims</x:v>
      </x:c>
      <x:c r="N2421" s="37" t="n">
        <x:v>46111</x:v>
      </x:c>
      <x:c r="O2421" s="37"/>
      <x:c r="P2421" s="34" t="n">
        <x:v>0</x:v>
      </x:c>
      <x:c r="Q2421" s="37" t="n">
        <x:v>46133.16630787037</x:v>
      </x:c>
    </x:row>
    <x:row r="2422">
      <x:c r="A2422" s="22" t="n">
        <x:v>32981</x:v>
      </x:c>
      <x:c r="B2422" s="28" t="n">
        <x:v>865</x:v>
      </x:c>
      <x:c r="C2422" s="28"/>
      <x:c r="D2422" s="31" t="str">
        <x:f>IF(OR(ISBLANK(B2422),ISBLANK(C2422),B2422=0),"",(C2422-B2422)/B2422)</x:f>
      </x:c>
      <x:c r="E2422" s="22" t="str">
        <x:f>IF(ISBLANK(C2422),"AmountIncludingTax缺失",IF(ABS(B2422-C2422)&lt;0.005,"一致","不一致"))</x:f>
        <x:v>AmountIncludingTax缺失</x:v>
      </x:c>
      <x:c r="F2422" s="19" t="str">
        <x:v>approved</x:v>
      </x:c>
      <x:c r="G2422" s="19" t="str">
        <x:v>Repair in Progress</x:v>
      </x:c>
      <x:c r="H2422" s="19" t="str">
        <x:v>In Field</x:v>
      </x:c>
      <x:c r="I2422" s="37" t="n">
        <x:v>46162</x:v>
      </x:c>
      <x:c r="J2422" s="37" t="n">
        <x:v>46162</x:v>
      </x:c>
      <x:c r="K2422" s="19" t="str">
        <x:v>Lesiure Lion-New Castle</x:v>
      </x:c>
      <x:c r="L2422" s="19" t="str">
        <x:v>Z006</x:v>
      </x:c>
      <x:c r="M2422" s="19" t="str">
        <x:v>In Field Warranty Claims</x:v>
      </x:c>
      <x:c r="N2422" s="37" t="n">
        <x:v>46111</x:v>
      </x:c>
      <x:c r="O2422" s="37"/>
      <x:c r="P2422" s="34" t="n">
        <x:v>0</x:v>
      </x:c>
      <x:c r="Q2422" s="37" t="n">
        <x:v>46162.167129629626</x:v>
      </x:c>
    </x:row>
    <x:row r="2423">
      <x:c r="A2423" s="22" t="n">
        <x:v>32977</x:v>
      </x:c>
      <x:c r="B2423" s="28" t="n">
        <x:v>67.5</x:v>
      </x:c>
      <x:c r="C2423" s="28"/>
      <x:c r="D2423" s="31" t="str">
        <x:f>IF(OR(ISBLANK(B2423),ISBLANK(C2423),B2423=0),"",(C2423-B2423)/B2423)</x:f>
      </x:c>
      <x:c r="E2423" s="22" t="str">
        <x:f>IF(ISBLANK(C2423),"AmountIncludingTax缺失",IF(ABS(B2423-C2423)&lt;0.005,"一致","不一致"))</x:f>
        <x:v>AmountIncludingTax缺失</x:v>
      </x:c>
      <x:c r="F2423" s="19" t="str">
        <x:v>approved</x:v>
      </x:c>
      <x:c r="G2423" s="19" t="str">
        <x:v>Repair in Progress</x:v>
      </x:c>
      <x:c r="H2423" s="19" t="str">
        <x:v>In Field</x:v>
      </x:c>
      <x:c r="I2423" s="37" t="n">
        <x:v>46112</x:v>
      </x:c>
      <x:c r="J2423" s="37" t="n">
        <x:v>46112</x:v>
      </x:c>
      <x:c r="K2423" s="19" t="str">
        <x:v>Green RV - Forest Glen</x:v>
      </x:c>
      <x:c r="L2423" s="19" t="str">
        <x:v>Z006</x:v>
      </x:c>
      <x:c r="M2423" s="19" t="str">
        <x:v>In Field Warranty Claims</x:v>
      </x:c>
      <x:c r="N2423" s="37" t="n">
        <x:v>46111</x:v>
      </x:c>
      <x:c r="O2423" s="37"/>
      <x:c r="P2423" s="34" t="n">
        <x:v>0</x:v>
      </x:c>
      <x:c r="Q2423" s="37" t="n">
        <x:v>46111.978171296294</x:v>
      </x:c>
    </x:row>
    <x:row r="2424">
      <x:c r="A2424" s="22" t="n">
        <x:v>32975</x:v>
      </x:c>
      <x:c r="B2424" s="28" t="n">
        <x:v>158.86</x:v>
      </x:c>
      <x:c r="C2424" s="28" t="n">
        <x:v>174.75</x:v>
      </x:c>
      <x:c r="D2424" s="31" t="n">
        <x:f>IF(OR(ISBLANK(B2424),ISBLANK(C2424),B2424=0),"",(C2424-B2424)/B2424)</x:f>
        <x:v>0.10002517940324805</x:v>
      </x:c>
      <x:c r="E2424" s="22" t="str">
        <x:f>IF(ISBLANK(C2424),"AmountIncludingTax缺失",IF(ABS(B2424-C2424)&lt;0.005,"一致","不一致"))</x:f>
        <x:v>不一致</x:v>
      </x:c>
      <x:c r="F2424" s="19" t="str">
        <x:v>approved</x:v>
      </x:c>
      <x:c r="G2424" s="19" t="str">
        <x:v>Repairer Invoiced Processed</x:v>
      </x:c>
      <x:c r="H2424" s="19" t="str">
        <x:v>In Field</x:v>
      </x:c>
      <x:c r="I2424" s="37" t="n">
        <x:v>46140</x:v>
      </x:c>
      <x:c r="J2424" s="37" t="n">
        <x:v>46140</x:v>
      </x:c>
      <x:c r="K2424" s="19" t="str">
        <x:v>Dario Caravans - Pooraka</x:v>
      </x:c>
      <x:c r="L2424" s="19" t="str">
        <x:v>Z006</x:v>
      </x:c>
      <x:c r="M2424" s="19" t="str">
        <x:v>In Field Warranty Claims</x:v>
      </x:c>
      <x:c r="N2424" s="37" t="n">
        <x:v>46111</x:v>
      </x:c>
      <x:c r="O2424" s="37"/>
      <x:c r="P2424" s="34" t="n">
        <x:v>174.75</x:v>
      </x:c>
      <x:c r="Q2424" s="37" t="n">
        <x:v>46140.262037037035</x:v>
      </x:c>
    </x:row>
    <x:row r="2425">
      <x:c r="A2425" s="22" t="n">
        <x:v>32973</x:v>
      </x:c>
      <x:c r="B2425" s="28" t="n">
        <x:v>346.59</x:v>
      </x:c>
      <x:c r="C2425" s="28" t="n">
        <x:v>381.25</x:v>
      </x:c>
      <x:c r="D2425" s="31" t="n">
        <x:f>IF(OR(ISBLANK(B2425),ISBLANK(C2425),B2425=0),"",(C2425-B2425)/B2425)</x:f>
        <x:v>0.10000288525346959</x:v>
      </x:c>
      <x:c r="E2425" s="22" t="str">
        <x:f>IF(ISBLANK(C2425),"AmountIncludingTax缺失",IF(ABS(B2425-C2425)&lt;0.005,"一致","不一致"))</x:f>
        <x:v>不一致</x:v>
      </x:c>
      <x:c r="F2425" s="19" t="str">
        <x:v>approved</x:v>
      </x:c>
      <x:c r="G2425" s="19" t="str">
        <x:v>Repair in Progress</x:v>
      </x:c>
      <x:c r="H2425" s="19" t="str">
        <x:v>In Field</x:v>
      </x:c>
      <x:c r="I2425" s="37" t="n">
        <x:v>46124</x:v>
      </x:c>
      <x:c r="J2425" s="37" t="n">
        <x:v>46124</x:v>
      </x:c>
      <x:c r="K2425" s="19" t="str">
        <x:v>Not Assigned</x:v>
      </x:c>
      <x:c r="L2425" s="19" t="str">
        <x:v>Z006</x:v>
      </x:c>
      <x:c r="M2425" s="19" t="str">
        <x:v>In Field Warranty Claims</x:v>
      </x:c>
      <x:c r="N2425" s="37" t="n">
        <x:v>46111</x:v>
      </x:c>
      <x:c r="O2425" s="37"/>
      <x:c r="P2425" s="34" t="n">
        <x:v>381.25</x:v>
      </x:c>
      <x:c r="Q2425" s="37" t="n">
        <x:v>46124.50982638889</x:v>
      </x:c>
    </x:row>
    <x:row r="2426">
      <x:c r="A2426" s="22" t="n">
        <x:v>32972</x:v>
      </x:c>
      <x:c r="B2426" s="28" t="n">
        <x:v>762.5</x:v>
      </x:c>
      <x:c r="C2426" s="28"/>
      <x:c r="D2426" s="31" t="str">
        <x:f>IF(OR(ISBLANK(B2426),ISBLANK(C2426),B2426=0),"",(C2426-B2426)/B2426)</x:f>
      </x:c>
      <x:c r="E2426" s="22" t="str">
        <x:f>IF(ISBLANK(C2426),"AmountIncludingTax缺失",IF(ABS(B2426-C2426)&lt;0.005,"一致","不一致"))</x:f>
        <x:v>AmountIncludingTax缺失</x:v>
      </x:c>
      <x:c r="F2426" s="19" t="str">
        <x:v>approved</x:v>
      </x:c>
      <x:c r="G2426" s="19" t="str">
        <x:v>Repairer Invoiced Processed</x:v>
      </x:c>
      <x:c r="H2426" s="19" t="str">
        <x:v>In Field</x:v>
      </x:c>
      <x:c r="I2426" s="37" t="n">
        <x:v>46142</x:v>
      </x:c>
      <x:c r="J2426" s="37" t="n">
        <x:v>46142</x:v>
      </x:c>
      <x:c r="K2426" s="19" t="str">
        <x:v>Not Assigned</x:v>
      </x:c>
      <x:c r="L2426" s="19" t="str">
        <x:v>Z006</x:v>
      </x:c>
      <x:c r="M2426" s="19" t="str">
        <x:v>In Field Warranty Claims</x:v>
      </x:c>
      <x:c r="N2426" s="37" t="n">
        <x:v>46111</x:v>
      </x:c>
      <x:c r="O2426" s="37"/>
      <x:c r="P2426" s="34" t="n">
        <x:v>0</x:v>
      </x:c>
      <x:c r="Q2426" s="37" t="n">
        <x:v>46141.9500462963</x:v>
      </x:c>
    </x:row>
    <x:row r="2427">
      <x:c r="A2427" s="22" t="n">
        <x:v>32971</x:v>
      </x:c>
      <x:c r="B2427" s="28" t="n">
        <x:v>135</x:v>
      </x:c>
      <x:c r="C2427" s="28" t="n">
        <x:v>148.5</x:v>
      </x:c>
      <x:c r="D2427" s="31" t="n">
        <x:f>IF(OR(ISBLANK(B2427),ISBLANK(C2427),B2427=0),"",(C2427-B2427)/B2427)</x:f>
        <x:v>0.1</x:v>
      </x:c>
      <x:c r="E2427" s="22" t="str">
        <x:f>IF(ISBLANK(C2427),"AmountIncludingTax缺失",IF(ABS(B2427-C2427)&lt;0.005,"一致","不一致"))</x:f>
        <x:v>不一致</x:v>
      </x:c>
      <x:c r="F2427" s="19" t="str">
        <x:v>approved</x:v>
      </x:c>
      <x:c r="G2427" s="19" t="str">
        <x:v>Repair in Progress</x:v>
      </x:c>
      <x:c r="H2427" s="19" t="str">
        <x:v>In Field</x:v>
      </x:c>
      <x:c r="I2427" s="37" t="n">
        <x:v>46126</x:v>
      </x:c>
      <x:c r="J2427" s="37" t="n">
        <x:v>46126</x:v>
      </x:c>
      <x:c r="K2427" s="19" t="str">
        <x:v>Destiny RV - South Australia</x:v>
      </x:c>
      <x:c r="L2427" s="19" t="str">
        <x:v>Z006</x:v>
      </x:c>
      <x:c r="M2427" s="19" t="str">
        <x:v>In Field Warranty Claims</x:v>
      </x:c>
      <x:c r="N2427" s="37" t="n">
        <x:v>46111</x:v>
      </x:c>
      <x:c r="O2427" s="37"/>
      <x:c r="P2427" s="34" t="n">
        <x:v>148.5</x:v>
      </x:c>
      <x:c r="Q2427" s="37" t="n">
        <x:v>46125.797430555554</x:v>
      </x:c>
    </x:row>
    <x:row r="2428">
      <x:c r="A2428" s="22" t="n">
        <x:v>32967</x:v>
      </x:c>
      <x:c r="B2428" s="28" t="n">
        <x:v>71.5</x:v>
      </x:c>
      <x:c r="C2428" s="28"/>
      <x:c r="D2428" s="31" t="str">
        <x:f>IF(OR(ISBLANK(B2428),ISBLANK(C2428),B2428=0),"",(C2428-B2428)/B2428)</x:f>
      </x:c>
      <x:c r="E2428" s="22" t="str">
        <x:f>IF(ISBLANK(C2428),"AmountIncludingTax缺失",IF(ABS(B2428-C2428)&lt;0.005,"一致","不一致"))</x:f>
        <x:v>AmountIncludingTax缺失</x:v>
      </x:c>
      <x:c r="F2428" s="19" t="str">
        <x:v>approved</x:v>
      </x:c>
      <x:c r="G2428" s="19" t="str">
        <x:v>Repairer Invoiced Processed</x:v>
      </x:c>
      <x:c r="H2428" s="19" t="str">
        <x:v>In Field</x:v>
      </x:c>
      <x:c r="I2428" s="37" t="n">
        <x:v>46113</x:v>
      </x:c>
      <x:c r="J2428" s="37" t="n">
        <x:v>46113</x:v>
      </x:c>
      <x:c r="K2428" s="19" t="str">
        <x:v>Lesiure Lion-New Castle</x:v>
      </x:c>
      <x:c r="L2428" s="19" t="str">
        <x:v>Z006</x:v>
      </x:c>
      <x:c r="M2428" s="19" t="str">
        <x:v>In Field Warranty Claims</x:v>
      </x:c>
      <x:c r="N2428" s="37" t="n">
        <x:v>46113</x:v>
      </x:c>
      <x:c r="O2428" s="37"/>
      <x:c r="P2428" s="34" t="n">
        <x:v>0</x:v>
      </x:c>
      <x:c r="Q2428" s="37" t="n">
        <x:v>46113.06520833333</x:v>
      </x:c>
    </x:row>
    <x:row r="2429">
      <x:c r="A2429" s="22" t="n">
        <x:v>32966</x:v>
      </x:c>
      <x:c r="B2429" s="28" t="n">
        <x:v>438.31</x:v>
      </x:c>
      <x:c r="C2429" s="28" t="n">
        <x:v>482.14</x:v>
      </x:c>
      <x:c r="D2429" s="31" t="n">
        <x:f>IF(OR(ISBLANK(B2429),ISBLANK(C2429),B2429=0),"",(C2429-B2429)/B2429)</x:f>
        <x:v>0.09999771850973052</x:v>
      </x:c>
      <x:c r="E2429" s="22" t="str">
        <x:f>IF(ISBLANK(C2429),"AmountIncludingTax缺失",IF(ABS(B2429-C2429)&lt;0.005,"一致","不一致"))</x:f>
        <x:v>不一致</x:v>
      </x:c>
      <x:c r="F2429" s="19" t="str">
        <x:v>approved</x:v>
      </x:c>
      <x:c r="G2429" s="19" t="str">
        <x:v>Repairer Invoiced Processed</x:v>
      </x:c>
      <x:c r="H2429" s="19" t="str">
        <x:v>In Field</x:v>
      </x:c>
      <x:c r="I2429" s="37" t="n">
        <x:v>46113</x:v>
      </x:c>
      <x:c r="J2429" s="37" t="n">
        <x:v>46113</x:v>
      </x:c>
      <x:c r="K2429" s="19" t="str">
        <x:v>Regent RV Pty Ltd</x:v>
      </x:c>
      <x:c r="L2429" s="19" t="str">
        <x:v>Z006</x:v>
      </x:c>
      <x:c r="M2429" s="19" t="str">
        <x:v>In Field Warranty Claims</x:v>
      </x:c>
      <x:c r="N2429" s="37" t="n">
        <x:v>46113</x:v>
      </x:c>
      <x:c r="O2429" s="37"/>
      <x:c r="P2429" s="34" t="n">
        <x:v>482.14</x:v>
      </x:c>
      <x:c r="Q2429" s="37" t="n">
        <x:v>46113.01314814815</x:v>
      </x:c>
    </x:row>
    <x:row r="2430">
      <x:c r="A2430" s="22" t="n">
        <x:v>32961</x:v>
      </x:c>
      <x:c r="B2430" s="28" t="n">
        <x:v>351.43</x:v>
      </x:c>
      <x:c r="C2430" s="28" t="n">
        <x:v>386.57</x:v>
      </x:c>
      <x:c r="D2430" s="31" t="n">
        <x:f>IF(OR(ISBLANK(B2430),ISBLANK(C2430),B2430=0),"",(C2430-B2430)/B2430)</x:f>
        <x:v>0.09999146344933553</x:v>
      </x:c>
      <x:c r="E2430" s="22" t="str">
        <x:f>IF(ISBLANK(C2430),"AmountIncludingTax缺失",IF(ABS(B2430-C2430)&lt;0.005,"一致","不一致"))</x:f>
        <x:v>不一致</x:v>
      </x:c>
      <x:c r="F2430" s="19" t="str">
        <x:v>approved</x:v>
      </x:c>
      <x:c r="G2430" s="19" t="str">
        <x:v>Repairer Invoiced Processed</x:v>
      </x:c>
      <x:c r="H2430" s="19" t="str">
        <x:v>In Field</x:v>
      </x:c>
      <x:c r="I2430" s="37" t="n">
        <x:v>46112</x:v>
      </x:c>
      <x:c r="J2430" s="37" t="n">
        <x:v>46112</x:v>
      </x:c>
      <x:c r="K2430" s="19" t="str">
        <x:v>Regent RV - Perth</x:v>
      </x:c>
      <x:c r="L2430" s="19" t="str">
        <x:v>Z006</x:v>
      </x:c>
      <x:c r="M2430" s="19" t="str">
        <x:v>In Field Warranty Claims</x:v>
      </x:c>
      <x:c r="N2430" s="37" t="n">
        <x:v>46111</x:v>
      </x:c>
      <x:c r="O2430" s="37"/>
      <x:c r="P2430" s="34" t="n">
        <x:v>386.57</x:v>
      </x:c>
      <x:c r="Q2430" s="37" t="n">
        <x:v>46111.88752314815</x:v>
      </x:c>
    </x:row>
    <x:row r="2431">
      <x:c r="A2431" s="22" t="n">
        <x:v>32960</x:v>
      </x:c>
      <x:c r="B2431" s="28" t="n">
        <x:v>2553.41</x:v>
      </x:c>
      <x:c r="C2431" s="28"/>
      <x:c r="D2431" s="31" t="str">
        <x:f>IF(OR(ISBLANK(B2431),ISBLANK(C2431),B2431=0),"",(C2431-B2431)/B2431)</x:f>
      </x:c>
      <x:c r="E2431" s="22" t="str">
        <x:f>IF(ISBLANK(C2431),"AmountIncludingTax缺失",IF(ABS(B2431-C2431)&lt;0.005,"一致","不一致"))</x:f>
        <x:v>AmountIncludingTax缺失</x:v>
      </x:c>
      <x:c r="F2431" s="19" t="str">
        <x:v>approved</x:v>
      </x:c>
      <x:c r="G2431" s="19" t="str">
        <x:v>Repairer Invoiced Processed</x:v>
      </x:c>
      <x:c r="H2431" s="19" t="str">
        <x:v>In Field</x:v>
      </x:c>
      <x:c r="I2431" s="37" t="n">
        <x:v>46115</x:v>
      </x:c>
      <x:c r="J2431" s="37" t="n">
        <x:v>46115</x:v>
      </x:c>
      <x:c r="K2431" s="19" t="str">
        <x:v>Green RV - Forest Glen</x:v>
      </x:c>
      <x:c r="L2431" s="19" t="str">
        <x:v>Z006</x:v>
      </x:c>
      <x:c r="M2431" s="19" t="str">
        <x:v>In Field Warranty Claims</x:v>
      </x:c>
      <x:c r="N2431" s="37" t="n">
        <x:v>46111</x:v>
      </x:c>
      <x:c r="O2431" s="37"/>
      <x:c r="P2431" s="34" t="n">
        <x:v>0</x:v>
      </x:c>
      <x:c r="Q2431" s="37" t="n">
        <x:v>46115.03328703704</x:v>
      </x:c>
    </x:row>
    <x:row r="2432">
      <x:c r="A2432" s="22" t="n">
        <x:v>32959</x:v>
      </x:c>
      <x:c r="B2432" s="28" t="n">
        <x:v>1018.75</x:v>
      </x:c>
      <x:c r="C2432" s="28"/>
      <x:c r="D2432" s="31" t="str">
        <x:f>IF(OR(ISBLANK(B2432),ISBLANK(C2432),B2432=0),"",(C2432-B2432)/B2432)</x:f>
      </x:c>
      <x:c r="E2432" s="22" t="str">
        <x:f>IF(ISBLANK(C2432),"AmountIncludingTax缺失",IF(ABS(B2432-C2432)&lt;0.005,"一致","不一致"))</x:f>
        <x:v>AmountIncludingTax缺失</x:v>
      </x:c>
      <x:c r="F2432" s="19" t="str">
        <x:v>approved</x:v>
      </x:c>
      <x:c r="G2432" s="19" t="str">
        <x:v>Repair in Progress</x:v>
      </x:c>
      <x:c r="H2432" s="19" t="str">
        <x:v>In Field</x:v>
      </x:c>
      <x:c r="I2432" s="37" t="n">
        <x:v>46139</x:v>
      </x:c>
      <x:c r="J2432" s="37" t="n">
        <x:v>46139</x:v>
      </x:c>
      <x:c r="K2432" s="19" t="str">
        <x:v>Green RV - Forest Glen</x:v>
      </x:c>
      <x:c r="L2432" s="19" t="str">
        <x:v>Z006</x:v>
      </x:c>
      <x:c r="M2432" s="19" t="str">
        <x:v>In Field Warranty Claims</x:v>
      </x:c>
      <x:c r="N2432" s="37" t="n">
        <x:v>46111</x:v>
      </x:c>
      <x:c r="O2432" s="37"/>
      <x:c r="P2432" s="34" t="n">
        <x:v>0</x:v>
      </x:c>
      <x:c r="Q2432" s="37" t="n">
        <x:v>46138.89732638889</x:v>
      </x:c>
    </x:row>
    <x:row r="2433">
      <x:c r="A2433" s="22" t="n">
        <x:v>32957</x:v>
      </x:c>
      <x:c r="B2433" s="28" t="n">
        <x:v>236.25</x:v>
      </x:c>
      <x:c r="C2433" s="28"/>
      <x:c r="D2433" s="31" t="str">
        <x:f>IF(OR(ISBLANK(B2433),ISBLANK(C2433),B2433=0),"",(C2433-B2433)/B2433)</x:f>
      </x:c>
      <x:c r="E2433" s="22" t="str">
        <x:f>IF(ISBLANK(C2433),"AmountIncludingTax缺失",IF(ABS(B2433-C2433)&lt;0.005,"一致","不一致"))</x:f>
        <x:v>AmountIncludingTax缺失</x:v>
      </x:c>
      <x:c r="F2433" s="19" t="str">
        <x:v>approved</x:v>
      </x:c>
      <x:c r="G2433" s="19" t="str">
        <x:v>Repair in Progress</x:v>
      </x:c>
      <x:c r="H2433" s="19" t="str">
        <x:v>Pre Delivery</x:v>
      </x:c>
      <x:c r="I2433" s="37" t="n">
        <x:v>46139</x:v>
      </x:c>
      <x:c r="J2433" s="37" t="n">
        <x:v>46139</x:v>
      </x:c>
      <x:c r="K2433" s="19" t="str">
        <x:v>Green RV - Forest Glen</x:v>
      </x:c>
      <x:c r="L2433" s="19" t="str">
        <x:v>Z005</x:v>
      </x:c>
      <x:c r="M2433" s="19" t="str">
        <x:v>Pre Delivery Warranty Claims</x:v>
      </x:c>
      <x:c r="N2433" s="37" t="n">
        <x:v>46111</x:v>
      </x:c>
      <x:c r="O2433" s="37"/>
      <x:c r="P2433" s="34" t="n">
        <x:v>0</x:v>
      </x:c>
      <x:c r="Q2433" s="37" t="n">
        <x:v>46138.92863425926</x:v>
      </x:c>
    </x:row>
    <x:row r="2434">
      <x:c r="A2434" s="22" t="n">
        <x:v>32956</x:v>
      </x:c>
      <x:c r="B2434" s="28" t="n">
        <x:v>759.55</x:v>
      </x:c>
      <x:c r="C2434" s="28"/>
      <x:c r="D2434" s="31" t="str">
        <x:f>IF(OR(ISBLANK(B2434),ISBLANK(C2434),B2434=0),"",(C2434-B2434)/B2434)</x:f>
      </x:c>
      <x:c r="E2434" s="22" t="str">
        <x:f>IF(ISBLANK(C2434),"AmountIncludingTax缺失",IF(ABS(B2434-C2434)&lt;0.005,"一致","不一致"))</x:f>
        <x:v>AmountIncludingTax缺失</x:v>
      </x:c>
      <x:c r="F2434" s="19" t="str">
        <x:v>approved</x:v>
      </x:c>
      <x:c r="G2434" s="19" t="str">
        <x:v>Repair in Progress</x:v>
      </x:c>
      <x:c r="H2434" s="19" t="str">
        <x:v>In Field</x:v>
      </x:c>
      <x:c r="I2434" s="37" t="n">
        <x:v>46121</x:v>
      </x:c>
      <x:c r="J2434" s="37" t="n">
        <x:v>46121</x:v>
      </x:c>
      <x:c r="K2434" s="19" t="str">
        <x:v>Green RV - Forest Glen</x:v>
      </x:c>
      <x:c r="L2434" s="19" t="str">
        <x:v>Z006</x:v>
      </x:c>
      <x:c r="M2434" s="19" t="str">
        <x:v>In Field Warranty Claims</x:v>
      </x:c>
      <x:c r="N2434" s="37" t="n">
        <x:v>46111</x:v>
      </x:c>
      <x:c r="O2434" s="37"/>
      <x:c r="P2434" s="34" t="n">
        <x:v>0</x:v>
      </x:c>
      <x:c r="Q2434" s="37" t="n">
        <x:v>46121.266597222224</x:v>
      </x:c>
    </x:row>
    <x:row r="2435">
      <x:c r="A2435" s="22" t="n">
        <x:v>32955</x:v>
      </x:c>
      <x:c r="B2435" s="28" t="n">
        <x:v>541.25</x:v>
      </x:c>
      <x:c r="C2435" s="28"/>
      <x:c r="D2435" s="31" t="str">
        <x:f>IF(OR(ISBLANK(B2435),ISBLANK(C2435),B2435=0),"",(C2435-B2435)/B2435)</x:f>
      </x:c>
      <x:c r="E2435" s="22" t="str">
        <x:f>IF(ISBLANK(C2435),"AmountIncludingTax缺失",IF(ABS(B2435-C2435)&lt;0.005,"一致","不一致"))</x:f>
        <x:v>AmountIncludingTax缺失</x:v>
      </x:c>
      <x:c r="F2435" s="19" t="str">
        <x:v>approved</x:v>
      </x:c>
      <x:c r="G2435" s="19" t="str">
        <x:v>Repair in Progress</x:v>
      </x:c>
      <x:c r="H2435" s="19" t="str">
        <x:v>In Field</x:v>
      </x:c>
      <x:c r="I2435" s="37" t="n">
        <x:v>46121</x:v>
      </x:c>
      <x:c r="J2435" s="37" t="n">
        <x:v>46121</x:v>
      </x:c>
      <x:c r="K2435" s="19" t="str">
        <x:v>Not Assigned</x:v>
      </x:c>
      <x:c r="L2435" s="19" t="str">
        <x:v>Z006</x:v>
      </x:c>
      <x:c r="M2435" s="19" t="str">
        <x:v>In Field Warranty Claims</x:v>
      </x:c>
      <x:c r="N2435" s="37" t="n">
        <x:v>46111</x:v>
      </x:c>
      <x:c r="O2435" s="37"/>
      <x:c r="P2435" s="34" t="n">
        <x:v>0</x:v>
      </x:c>
      <x:c r="Q2435" s="37" t="n">
        <x:v>46121.05253472222</x:v>
      </x:c>
    </x:row>
    <x:row r="2436">
      <x:c r="A2436" s="22" t="n">
        <x:v>32953</x:v>
      </x:c>
      <x:c r="B2436" s="28" t="n">
        <x:v>145</x:v>
      </x:c>
      <x:c r="C2436" s="28"/>
      <x:c r="D2436" s="31" t="str">
        <x:f>IF(OR(ISBLANK(B2436),ISBLANK(C2436),B2436=0),"",(C2436-B2436)/B2436)</x:f>
      </x:c>
      <x:c r="E2436" s="22" t="str">
        <x:f>IF(ISBLANK(C2436),"AmountIncludingTax缺失",IF(ABS(B2436-C2436)&lt;0.005,"一致","不一致"))</x:f>
        <x:v>AmountIncludingTax缺失</x:v>
      </x:c>
      <x:c r="F2436" s="19" t="str">
        <x:v>approved</x:v>
      </x:c>
      <x:c r="G2436" s="19" t="str">
        <x:v>Sales Order Approved</x:v>
      </x:c>
      <x:c r="H2436" s="19" t="str">
        <x:v>Pre Delivery</x:v>
      </x:c>
      <x:c r="I2436" s="37" t="n">
        <x:v>46136</x:v>
      </x:c>
      <x:c r="J2436" s="37" t="n">
        <x:v>46136</x:v>
      </x:c>
      <x:c r="K2436" s="19" t="str">
        <x:v>Regent RV - Toowoomba</x:v>
      </x:c>
      <x:c r="L2436" s="19" t="str">
        <x:v>Z005</x:v>
      </x:c>
      <x:c r="M2436" s="19" t="str">
        <x:v>Pre Delivery Warranty Claims</x:v>
      </x:c>
      <x:c r="N2436" s="37" t="n">
        <x:v>46110</x:v>
      </x:c>
      <x:c r="O2436" s="37"/>
      <x:c r="P2436" s="34" t="n">
        <x:v>0</x:v>
      </x:c>
      <x:c r="Q2436" s="37" t="n">
        <x:v>46135.98234953704</x:v>
      </x:c>
    </x:row>
    <x:row r="2437">
      <x:c r="A2437" s="22" t="n">
        <x:v>32951</x:v>
      </x:c>
      <x:c r="B2437" s="28" t="n">
        <x:v>415</x:v>
      </x:c>
      <x:c r="C2437" s="28"/>
      <x:c r="D2437" s="31" t="str">
        <x:f>IF(OR(ISBLANK(B2437),ISBLANK(C2437),B2437=0),"",(C2437-B2437)/B2437)</x:f>
      </x:c>
      <x:c r="E2437" s="22" t="str">
        <x:f>IF(ISBLANK(C2437),"AmountIncludingTax缺失",IF(ABS(B2437-C2437)&lt;0.005,"一致","不一致"))</x:f>
        <x:v>AmountIncludingTax缺失</x:v>
      </x:c>
      <x:c r="F2437" s="19" t="str">
        <x:v>approved</x:v>
      </x:c>
      <x:c r="G2437" s="19" t="str">
        <x:v>Partially Picked</x:v>
      </x:c>
      <x:c r="H2437" s="19" t="str">
        <x:v>In Field</x:v>
      </x:c>
      <x:c r="I2437" s="37" t="n">
        <x:v>46157</x:v>
      </x:c>
      <x:c r="J2437" s="37" t="n">
        <x:v>46157</x:v>
      </x:c>
      <x:c r="K2437" s="19" t="str">
        <x:v>Lesiure Lion-New Castle</x:v>
      </x:c>
      <x:c r="L2437" s="19" t="str">
        <x:v>Z006</x:v>
      </x:c>
      <x:c r="M2437" s="19" t="str">
        <x:v>In Field Warranty Claims</x:v>
      </x:c>
      <x:c r="N2437" s="37" t="n">
        <x:v>46110</x:v>
      </x:c>
      <x:c r="O2437" s="37"/>
      <x:c r="P2437" s="34" t="n">
        <x:v>0</x:v>
      </x:c>
      <x:c r="Q2437" s="37" t="n">
        <x:v>46157.1203125</x:v>
      </x:c>
    </x:row>
    <x:row r="2438">
      <x:c r="A2438" s="22" t="n">
        <x:v>32950</x:v>
      </x:c>
      <x:c r="B2438" s="28" t="n">
        <x:v>825</x:v>
      </x:c>
      <x:c r="C2438" s="28"/>
      <x:c r="D2438" s="31" t="str">
        <x:f>IF(OR(ISBLANK(B2438),ISBLANK(C2438),B2438=0),"",(C2438-B2438)/B2438)</x:f>
      </x:c>
      <x:c r="E2438" s="22" t="str">
        <x:f>IF(ISBLANK(C2438),"AmountIncludingTax缺失",IF(ABS(B2438-C2438)&lt;0.005,"一致","不一致"))</x:f>
        <x:v>AmountIncludingTax缺失</x:v>
      </x:c>
      <x:c r="F2438" s="19" t="str">
        <x:v>approved</x:v>
      </x:c>
      <x:c r="G2438" s="19" t="str">
        <x:v>Repair in Progress</x:v>
      </x:c>
      <x:c r="H2438" s="19" t="str">
        <x:v>In Field</x:v>
      </x:c>
      <x:c r="I2438" s="37" t="n">
        <x:v>46121</x:v>
      </x:c>
      <x:c r="J2438" s="37" t="n">
        <x:v>46121</x:v>
      </x:c>
      <x:c r="K2438" s="19" t="str">
        <x:v>Green RV - Forest Glen</x:v>
      </x:c>
      <x:c r="L2438" s="19" t="str">
        <x:v>Z006</x:v>
      </x:c>
      <x:c r="M2438" s="19" t="str">
        <x:v>In Field Warranty Claims</x:v>
      </x:c>
      <x:c r="N2438" s="37" t="n">
        <x:v>46111</x:v>
      </x:c>
      <x:c r="O2438" s="37"/>
      <x:c r="P2438" s="34" t="n">
        <x:v>0</x:v>
      </x:c>
      <x:c r="Q2438" s="37" t="n">
        <x:v>46121.2658912037</x:v>
      </x:c>
    </x:row>
    <x:row r="2439">
      <x:c r="A2439" s="22" t="n">
        <x:v>32949</x:v>
      </x:c>
      <x:c r="B2439" s="28" t="n">
        <x:v>2160</x:v>
      </x:c>
      <x:c r="C2439" s="28"/>
      <x:c r="D2439" s="31" t="str">
        <x:f>IF(OR(ISBLANK(B2439),ISBLANK(C2439),B2439=0),"",(C2439-B2439)/B2439)</x:f>
      </x:c>
      <x:c r="E2439" s="22" t="str">
        <x:f>IF(ISBLANK(C2439),"AmountIncludingTax缺失",IF(ABS(B2439-C2439)&lt;0.005,"一致","不一致"))</x:f>
        <x:v>AmountIncludingTax缺失</x:v>
      </x:c>
      <x:c r="F2439" s="19" t="str">
        <x:v>approved</x:v>
      </x:c>
      <x:c r="G2439" s="19" t="str">
        <x:v>Repairer Invoiced Processed</x:v>
      </x:c>
      <x:c r="H2439" s="19" t="str">
        <x:v>In Field</x:v>
      </x:c>
      <x:c r="I2439" s="37" t="n">
        <x:v>46111</x:v>
      </x:c>
      <x:c r="J2439" s="37" t="n">
        <x:v>46111</x:v>
      </x:c>
      <x:c r="K2439" s="19" t="str">
        <x:v>Green RV - Forest Glen</x:v>
      </x:c>
      <x:c r="L2439" s="19" t="str">
        <x:v>Z006</x:v>
      </x:c>
      <x:c r="M2439" s="19" t="str">
        <x:v>In Field Warranty Claims</x:v>
      </x:c>
      <x:c r="N2439" s="37" t="n">
        <x:v>46111</x:v>
      </x:c>
      <x:c r="O2439" s="37"/>
      <x:c r="P2439" s="34" t="n">
        <x:v>2376</x:v>
      </x:c>
      <x:c r="Q2439" s="37" t="n">
        <x:v>46111.17016203704</x:v>
      </x:c>
    </x:row>
    <x:row r="2440">
      <x:c r="A2440" s="22" t="n">
        <x:v>32948</x:v>
      </x:c>
      <x:c r="B2440" s="28" t="n">
        <x:v>460</x:v>
      </x:c>
      <x:c r="C2440" s="28" t="n">
        <x:v>506</x:v>
      </x:c>
      <x:c r="D2440" s="31" t="n">
        <x:f>IF(OR(ISBLANK(B2440),ISBLANK(C2440),B2440=0),"",(C2440-B2440)/B2440)</x:f>
        <x:v>0.1</x:v>
      </x:c>
      <x:c r="E2440" s="22" t="str">
        <x:f>IF(ISBLANK(C2440),"AmountIncludingTax缺失",IF(ABS(B2440-C2440)&lt;0.005,"一致","不一致"))</x:f>
        <x:v>不一致</x:v>
      </x:c>
      <x:c r="F2440" s="19" t="str">
        <x:v>approved</x:v>
      </x:c>
      <x:c r="G2440" s="19" t="str">
        <x:v>Repairer Invoiced Processed</x:v>
      </x:c>
      <x:c r="H2440" s="19" t="str">
        <x:v>In Field</x:v>
      </x:c>
      <x:c r="I2440" s="37" t="n">
        <x:v>46139</x:v>
      </x:c>
      <x:c r="J2440" s="37" t="n">
        <x:v>46139</x:v>
      </x:c>
      <x:c r="K2440" s="19" t="str">
        <x:v>Regent RV - Townsville</x:v>
      </x:c>
      <x:c r="L2440" s="19" t="str">
        <x:v>Z006</x:v>
      </x:c>
      <x:c r="M2440" s="19" t="str">
        <x:v>In Field Warranty Claims</x:v>
      </x:c>
      <x:c r="N2440" s="37" t="n">
        <x:v>46111</x:v>
      </x:c>
      <x:c r="O2440" s="37"/>
      <x:c r="P2440" s="34" t="n">
        <x:v>506</x:v>
      </x:c>
      <x:c r="Q2440" s="37" t="n">
        <x:v>46139.02130787037</x:v>
      </x:c>
    </x:row>
    <x:row r="2441">
      <x:c r="A2441" s="22" t="n">
        <x:v>32947</x:v>
      </x:c>
      <x:c r="B2441" s="28" t="n">
        <x:v>135</x:v>
      </x:c>
      <x:c r="C2441" s="28"/>
      <x:c r="D2441" s="31" t="str">
        <x:f>IF(OR(ISBLANK(B2441),ISBLANK(C2441),B2441=0),"",(C2441-B2441)/B2441)</x:f>
      </x:c>
      <x:c r="E2441" s="22" t="str">
        <x:f>IF(ISBLANK(C2441),"AmountIncludingTax缺失",IF(ABS(B2441-C2441)&lt;0.005,"一致","不一致"))</x:f>
        <x:v>AmountIncludingTax缺失</x:v>
      </x:c>
      <x:c r="F2441" s="19" t="str">
        <x:v>approved</x:v>
      </x:c>
      <x:c r="G2441" s="19" t="str">
        <x:v>Repair in Progress</x:v>
      </x:c>
      <x:c r="H2441" s="19" t="str">
        <x:v>In Field</x:v>
      </x:c>
      <x:c r="I2441" s="37" t="n">
        <x:v>46121</x:v>
      </x:c>
      <x:c r="J2441" s="37" t="n">
        <x:v>46121</x:v>
      </x:c>
      <x:c r="K2441" s="19" t="str">
        <x:v>Snowy River Frankston</x:v>
      </x:c>
      <x:c r="L2441" s="19" t="str">
        <x:v>Z006</x:v>
      </x:c>
      <x:c r="M2441" s="19" t="str">
        <x:v>In Field Warranty Claims</x:v>
      </x:c>
      <x:c r="N2441" s="37" t="n">
        <x:v>46111</x:v>
      </x:c>
      <x:c r="O2441" s="37"/>
      <x:c r="P2441" s="34" t="n">
        <x:v>0</x:v>
      </x:c>
      <x:c r="Q2441" s="37" t="n">
        <x:v>46121.24438657407</x:v>
      </x:c>
    </x:row>
    <x:row r="2442">
      <x:c r="A2442" s="22" t="n">
        <x:v>32946</x:v>
      </x:c>
      <x:c r="B2442" s="28" t="n">
        <x:v>482.5</x:v>
      </x:c>
      <x:c r="C2442" s="28"/>
      <x:c r="D2442" s="31" t="str">
        <x:f>IF(OR(ISBLANK(B2442),ISBLANK(C2442),B2442=0),"",(C2442-B2442)/B2442)</x:f>
      </x:c>
      <x:c r="E2442" s="22" t="str">
        <x:f>IF(ISBLANK(C2442),"AmountIncludingTax缺失",IF(ABS(B2442-C2442)&lt;0.005,"一致","不一致"))</x:f>
        <x:v>AmountIncludingTax缺失</x:v>
      </x:c>
      <x:c r="F2442" s="19" t="str">
        <x:v>approved</x:v>
      </x:c>
      <x:c r="G2442" s="19" t="str">
        <x:v>Repair in Progress</x:v>
      </x:c>
      <x:c r="H2442" s="19" t="str">
        <x:v>In Field</x:v>
      </x:c>
      <x:c r="I2442" s="37" t="n">
        <x:v>46163</x:v>
      </x:c>
      <x:c r="J2442" s="37" t="n">
        <x:v>46163</x:v>
      </x:c>
      <x:c r="K2442" s="19" t="str">
        <x:v>Green RV - Forest Glen</x:v>
      </x:c>
      <x:c r="L2442" s="19" t="str">
        <x:v>Z006</x:v>
      </x:c>
      <x:c r="M2442" s="19" t="str">
        <x:v>In Field Warranty Claims</x:v>
      </x:c>
      <x:c r="N2442" s="37" t="n">
        <x:v>46111</x:v>
      </x:c>
      <x:c r="O2442" s="37" t="n">
        <x:v>46161</x:v>
      </x:c>
      <x:c r="P2442" s="34" t="n">
        <x:v>0</x:v>
      </x:c>
      <x:c r="Q2442" s="37" t="n">
        <x:v>46163.07487268518</x:v>
      </x:c>
    </x:row>
    <x:row r="2443">
      <x:c r="A2443" s="22" t="n">
        <x:v>32945</x:v>
      </x:c>
      <x:c r="B2443" s="28" t="n">
        <x:v>540</x:v>
      </x:c>
      <x:c r="C2443" s="28"/>
      <x:c r="D2443" s="31" t="str">
        <x:f>IF(OR(ISBLANK(B2443),ISBLANK(C2443),B2443=0),"",(C2443-B2443)/B2443)</x:f>
      </x:c>
      <x:c r="E2443" s="22" t="str">
        <x:f>IF(ISBLANK(C2443),"AmountIncludingTax缺失",IF(ABS(B2443-C2443)&lt;0.005,"一致","不一致"))</x:f>
        <x:v>AmountIncludingTax缺失</x:v>
      </x:c>
      <x:c r="F2443" s="19" t="str">
        <x:v>approved</x:v>
      </x:c>
      <x:c r="G2443" s="19" t="str">
        <x:v>Repair in Progress</x:v>
      </x:c>
      <x:c r="H2443" s="19" t="str">
        <x:v>In Field</x:v>
      </x:c>
      <x:c r="I2443" s="37" t="n">
        <x:v>46129</x:v>
      </x:c>
      <x:c r="J2443" s="37" t="n">
        <x:v>46129</x:v>
      </x:c>
      <x:c r="K2443" s="19" t="str">
        <x:v>Not Assigned</x:v>
      </x:c>
      <x:c r="L2443" s="19" t="str">
        <x:v>Z006</x:v>
      </x:c>
      <x:c r="M2443" s="19" t="str">
        <x:v>In Field Warranty Claims</x:v>
      </x:c>
      <x:c r="N2443" s="37" t="n">
        <x:v>46111</x:v>
      </x:c>
      <x:c r="O2443" s="37"/>
      <x:c r="P2443" s="34" t="n">
        <x:v>0</x:v>
      </x:c>
      <x:c r="Q2443" s="37" t="n">
        <x:v>46129.21511574074</x:v>
      </x:c>
    </x:row>
    <x:row r="2444">
      <x:c r="A2444" s="22" t="n">
        <x:v>32944</x:v>
      </x:c>
      <x:c r="B2444" s="28" t="n">
        <x:v>1298.75</x:v>
      </x:c>
      <x:c r="C2444" s="28"/>
      <x:c r="D2444" s="31" t="str">
        <x:f>IF(OR(ISBLANK(B2444),ISBLANK(C2444),B2444=0),"",(C2444-B2444)/B2444)</x:f>
      </x:c>
      <x:c r="E2444" s="22" t="str">
        <x:f>IF(ISBLANK(C2444),"AmountIncludingTax缺失",IF(ABS(B2444-C2444)&lt;0.005,"一致","不一致"))</x:f>
        <x:v>AmountIncludingTax缺失</x:v>
      </x:c>
      <x:c r="F2444" s="19" t="str">
        <x:v>approved</x:v>
      </x:c>
      <x:c r="G2444" s="19" t="str">
        <x:v>Partially Picked</x:v>
      </x:c>
      <x:c r="H2444" s="19" t="str">
        <x:v>Pre Delivery</x:v>
      </x:c>
      <x:c r="I2444" s="37" t="n">
        <x:v>46136</x:v>
      </x:c>
      <x:c r="J2444" s="37" t="n">
        <x:v>46136</x:v>
      </x:c>
      <x:c r="K2444" s="19" t="str">
        <x:v>Regent RV - Toowoomba</x:v>
      </x:c>
      <x:c r="L2444" s="19" t="str">
        <x:v>Z005</x:v>
      </x:c>
      <x:c r="M2444" s="19" t="str">
        <x:v>Pre Delivery Warranty Claims</x:v>
      </x:c>
      <x:c r="N2444" s="37" t="n">
        <x:v>46111</x:v>
      </x:c>
      <x:c r="O2444" s="37"/>
      <x:c r="P2444" s="34" t="n">
        <x:v>0</x:v>
      </x:c>
      <x:c r="Q2444" s="37" t="n">
        <x:v>46135.96399305556</x:v>
      </x:c>
    </x:row>
    <x:row r="2445">
      <x:c r="A2445" s="22" t="n">
        <x:v>32943</x:v>
      </x:c>
      <x:c r="B2445" s="28" t="n">
        <x:v>1262.5</x:v>
      </x:c>
      <x:c r="C2445" s="28"/>
      <x:c r="D2445" s="31" t="str">
        <x:f>IF(OR(ISBLANK(B2445),ISBLANK(C2445),B2445=0),"",(C2445-B2445)/B2445)</x:f>
      </x:c>
      <x:c r="E2445" s="22" t="str">
        <x:f>IF(ISBLANK(C2445),"AmountIncludingTax缺失",IF(ABS(B2445-C2445)&lt;0.005,"一致","不一致"))</x:f>
        <x:v>AmountIncludingTax缺失</x:v>
      </x:c>
      <x:c r="F2445" s="19" t="str">
        <x:v>approved</x:v>
      </x:c>
      <x:c r="G2445" s="19" t="str">
        <x:v>Repair in Progress</x:v>
      </x:c>
      <x:c r="H2445" s="19" t="str">
        <x:v>In Field</x:v>
      </x:c>
      <x:c r="I2445" s="37" t="n">
        <x:v>46156</x:v>
      </x:c>
      <x:c r="J2445" s="37" t="n">
        <x:v>46156</x:v>
      </x:c>
      <x:c r="K2445" s="19" t="str">
        <x:v>Auswide Caravans - South Nowra</x:v>
      </x:c>
      <x:c r="L2445" s="19" t="str">
        <x:v>Z006</x:v>
      </x:c>
      <x:c r="M2445" s="19" t="str">
        <x:v>In Field Warranty Claims</x:v>
      </x:c>
      <x:c r="N2445" s="37" t="n">
        <x:v>46110</x:v>
      </x:c>
      <x:c r="O2445" s="37"/>
      <x:c r="P2445" s="34" t="n">
        <x:v>1388.75</x:v>
      </x:c>
      <x:c r="Q2445" s="37" t="n">
        <x:v>46156.09488425926</x:v>
      </x:c>
    </x:row>
    <x:row r="2446">
      <x:c r="A2446" s="22" t="n">
        <x:v>32942</x:v>
      </x:c>
      <x:c r="B2446" s="28" t="n">
        <x:v>90.45</x:v>
      </x:c>
      <x:c r="C2446" s="28"/>
      <x:c r="D2446" s="31" t="str">
        <x:f>IF(OR(ISBLANK(B2446),ISBLANK(C2446),B2446=0),"",(C2446-B2446)/B2446)</x:f>
      </x:c>
      <x:c r="E2446" s="22" t="str">
        <x:f>IF(ISBLANK(C2446),"AmountIncludingTax缺失",IF(ABS(B2446-C2446)&lt;0.005,"一致","不一致"))</x:f>
        <x:v>AmountIncludingTax缺失</x:v>
      </x:c>
      <x:c r="F2446" s="19" t="str">
        <x:v>approved</x:v>
      </x:c>
      <x:c r="G2446" s="19" t="str">
        <x:v>Repairer Invoiced Processed</x:v>
      </x:c>
      <x:c r="H2446" s="19" t="str">
        <x:v>In Field</x:v>
      </x:c>
      <x:c r="I2446" s="37" t="n">
        <x:v>46112</x:v>
      </x:c>
      <x:c r="J2446" s="37" t="n">
        <x:v>46112</x:v>
      </x:c>
      <x:c r="K2446" s="19" t="str">
        <x:v>Regent RV - Toowoomba</x:v>
      </x:c>
      <x:c r="L2446" s="19" t="str">
        <x:v>Z006</x:v>
      </x:c>
      <x:c r="M2446" s="19" t="str">
        <x:v>In Field Warranty Claims</x:v>
      </x:c>
      <x:c r="N2446" s="37" t="n">
        <x:v>46110</x:v>
      </x:c>
      <x:c r="O2446" s="37"/>
      <x:c r="P2446" s="34" t="n">
        <x:v>0</x:v>
      </x:c>
      <x:c r="Q2446" s="37" t="n">
        <x:v>46112.05263888889</x:v>
      </x:c>
    </x:row>
    <x:row r="2447">
      <x:c r="A2447" s="22" t="n">
        <x:v>32941</x:v>
      </x:c>
      <x:c r="B2447" s="28" t="n">
        <x:v>320.45</x:v>
      </x:c>
      <x:c r="C2447" s="28" t="n">
        <x:v>352.5</x:v>
      </x:c>
      <x:c r="D2447" s="31" t="n">
        <x:f>IF(OR(ISBLANK(B2447),ISBLANK(C2447),B2447=0),"",(C2447-B2447)/B2447)</x:f>
        <x:v>0.10001560305819944</x:v>
      </x:c>
      <x:c r="E2447" s="22" t="str">
        <x:f>IF(ISBLANK(C2447),"AmountIncludingTax缺失",IF(ABS(B2447-C2447)&lt;0.005,"一致","不一致"))</x:f>
        <x:v>不一致</x:v>
      </x:c>
      <x:c r="F2447" s="19" t="str">
        <x:v>approved</x:v>
      </x:c>
      <x:c r="G2447" s="19" t="str">
        <x:v>Repairer Invoiced Processed</x:v>
      </x:c>
      <x:c r="H2447" s="19" t="str">
        <x:v>In Field</x:v>
      </x:c>
      <x:c r="I2447" s="37" t="n">
        <x:v>46162</x:v>
      </x:c>
      <x:c r="J2447" s="37" t="n">
        <x:v>46162</x:v>
      </x:c>
      <x:c r="K2447" s="19" t="str">
        <x:v>Regent RV - Toowoomba</x:v>
      </x:c>
      <x:c r="L2447" s="19" t="str">
        <x:v>Z006</x:v>
      </x:c>
      <x:c r="M2447" s="19" t="str">
        <x:v>In Field Warranty Claims</x:v>
      </x:c>
      <x:c r="N2447" s="37" t="n">
        <x:v>46110</x:v>
      </x:c>
      <x:c r="O2447" s="37"/>
      <x:c r="P2447" s="34" t="n">
        <x:v>352.5</x:v>
      </x:c>
      <x:c r="Q2447" s="37" t="n">
        <x:v>46161.97864583333</x:v>
      </x:c>
    </x:row>
    <x:row r="2448">
      <x:c r="A2448" s="22" t="n">
        <x:v>32936</x:v>
      </x:c>
      <x:c r="B2448" s="28" t="n">
        <x:v>820</x:v>
      </x:c>
      <x:c r="C2448" s="28"/>
      <x:c r="D2448" s="31" t="str">
        <x:f>IF(OR(ISBLANK(B2448),ISBLANK(C2448),B2448=0),"",(C2448-B2448)/B2448)</x:f>
      </x:c>
      <x:c r="E2448" s="22" t="str">
        <x:f>IF(ISBLANK(C2448),"AmountIncludingTax缺失",IF(ABS(B2448-C2448)&lt;0.005,"一致","不一致"))</x:f>
        <x:v>AmountIncludingTax缺失</x:v>
      </x:c>
      <x:c r="F2448" s="19" t="str">
        <x:v>approved</x:v>
      </x:c>
      <x:c r="G2448" s="19" t="str">
        <x:v>Repairer Invoiced Processed</x:v>
      </x:c>
      <x:c r="H2448" s="19" t="str">
        <x:v>In Field</x:v>
      </x:c>
      <x:c r="I2448" s="37" t="n">
        <x:v>46176</x:v>
      </x:c>
      <x:c r="J2448" s="37" t="n">
        <x:v>46176</x:v>
      </x:c>
      <x:c r="K2448" s="19" t="str">
        <x:v>Green RV - Forest Glen</x:v>
      </x:c>
      <x:c r="L2448" s="19" t="str">
        <x:v>Z006</x:v>
      </x:c>
      <x:c r="M2448" s="19" t="str">
        <x:v>In Field Warranty Claims</x:v>
      </x:c>
      <x:c r="N2448" s="37" t="n">
        <x:v>46108</x:v>
      </x:c>
      <x:c r="O2448" s="37"/>
      <x:c r="P2448" s="34" t="n">
        <x:v>0</x:v>
      </x:c>
      <x:c r="Q2448" s="37" t="n">
        <x:v>46175.958715277775</x:v>
      </x:c>
    </x:row>
    <x:row r="2449">
      <x:c r="A2449" s="22" t="n">
        <x:v>32935</x:v>
      </x:c>
      <x:c r="B2449" s="28" t="n">
        <x:v>420.41</x:v>
      </x:c>
      <x:c r="C2449" s="28" t="n">
        <x:v>462.45</x:v>
      </x:c>
      <x:c r="D2449" s="31" t="n">
        <x:f>IF(OR(ISBLANK(B2449),ISBLANK(C2449),B2449=0),"",(C2449-B2449)/B2449)</x:f>
        <x:v>0.09999762136961528</x:v>
      </x:c>
      <x:c r="E2449" s="22" t="str">
        <x:f>IF(ISBLANK(C2449),"AmountIncludingTax缺失",IF(ABS(B2449-C2449)&lt;0.005,"一致","不一致"))</x:f>
        <x:v>不一致</x:v>
      </x:c>
      <x:c r="F2449" s="19" t="str">
        <x:v>approved</x:v>
      </x:c>
      <x:c r="G2449" s="19" t="str">
        <x:v>Repairer Invoiced Processed</x:v>
      </x:c>
      <x:c r="H2449" s="19" t="str">
        <x:v>In Field</x:v>
      </x:c>
      <x:c r="I2449" s="37" t="n">
        <x:v>46120</x:v>
      </x:c>
      <x:c r="J2449" s="37" t="n">
        <x:v>46120</x:v>
      </x:c>
      <x:c r="K2449" s="19" t="str">
        <x:v>Regent RV - Perth</x:v>
      </x:c>
      <x:c r="L2449" s="19" t="str">
        <x:v>Z006</x:v>
      </x:c>
      <x:c r="M2449" s="19" t="str">
        <x:v>In Field Warranty Claims</x:v>
      </x:c>
      <x:c r="N2449" s="37" t="n">
        <x:v>46108</x:v>
      </x:c>
      <x:c r="O2449" s="37"/>
      <x:c r="P2449" s="34" t="n">
        <x:v>462.45</x:v>
      </x:c>
      <x:c r="Q2449" s="37" t="n">
        <x:v>46120.236759259256</x:v>
      </x:c>
    </x:row>
    <x:row r="2450">
      <x:c r="A2450" s="22" t="n">
        <x:v>32934</x:v>
      </x:c>
      <x:c r="B2450" s="28" t="n">
        <x:v>543.64</x:v>
      </x:c>
      <x:c r="C2450" s="28" t="n">
        <x:v>598</x:v>
      </x:c>
      <x:c r="D2450" s="31" t="n">
        <x:f>IF(OR(ISBLANK(B2450),ISBLANK(C2450),B2450=0),"",(C2450-B2450)/B2450)</x:f>
        <x:v>0.09999264218968437</x:v>
      </x:c>
      <x:c r="E2450" s="22" t="str">
        <x:f>IF(ISBLANK(C2450),"AmountIncludingTax缺失",IF(ABS(B2450-C2450)&lt;0.005,"一致","不一致"))</x:f>
        <x:v>不一致</x:v>
      </x:c>
      <x:c r="F2450" s="19" t="str">
        <x:v>approved</x:v>
      </x:c>
      <x:c r="G2450" s="19" t="str">
        <x:v>Repairer Invoiced Processed</x:v>
      </x:c>
      <x:c r="H2450" s="19" t="str">
        <x:v>In Field</x:v>
      </x:c>
      <x:c r="I2450" s="37" t="n">
        <x:v>46170</x:v>
      </x:c>
      <x:c r="J2450" s="37" t="n">
        <x:v>46170</x:v>
      </x:c>
      <x:c r="K2450" s="19" t="str">
        <x:v>Regent RV - Perth</x:v>
      </x:c>
      <x:c r="L2450" s="19" t="str">
        <x:v>Z006</x:v>
      </x:c>
      <x:c r="M2450" s="19" t="str">
        <x:v>In Field Warranty Claims</x:v>
      </x:c>
      <x:c r="N2450" s="37" t="n">
        <x:v>46108</x:v>
      </x:c>
      <x:c r="O2450" s="37"/>
      <x:c r="P2450" s="34" t="n">
        <x:v>598</x:v>
      </x:c>
      <x:c r="Q2450" s="37" t="n">
        <x:v>46170.18638888889</x:v>
      </x:c>
    </x:row>
    <x:row r="2451">
      <x:c r="A2451" s="22" t="n">
        <x:v>32933</x:v>
      </x:c>
      <x:c r="B2451" s="28" t="n">
        <x:v>135</x:v>
      </x:c>
      <x:c r="C2451" s="28" t="n">
        <x:v>148.5</x:v>
      </x:c>
      <x:c r="D2451" s="31" t="n">
        <x:f>IF(OR(ISBLANK(B2451),ISBLANK(C2451),B2451=0),"",(C2451-B2451)/B2451)</x:f>
        <x:v>0.1</x:v>
      </x:c>
      <x:c r="E2451" s="22" t="str">
        <x:f>IF(ISBLANK(C2451),"AmountIncludingTax缺失",IF(ABS(B2451-C2451)&lt;0.005,"一致","不一致"))</x:f>
        <x:v>不一致</x:v>
      </x:c>
      <x:c r="F2451" s="19" t="str">
        <x:v>approved</x:v>
      </x:c>
      <x:c r="G2451" s="19" t="str">
        <x:v>Repairer Invoiced Processed</x:v>
      </x:c>
      <x:c r="H2451" s="19" t="str">
        <x:v>In Field</x:v>
      </x:c>
      <x:c r="I2451" s="37" t="n">
        <x:v>46111</x:v>
      </x:c>
      <x:c r="J2451" s="37" t="n">
        <x:v>46111</x:v>
      </x:c>
      <x:c r="K2451" s="19" t="str">
        <x:v>Green RV - Forest Glen</x:v>
      </x:c>
      <x:c r="L2451" s="19" t="str">
        <x:v>Z006</x:v>
      </x:c>
      <x:c r="M2451" s="19" t="str">
        <x:v>In Field Warranty Claims</x:v>
      </x:c>
      <x:c r="N2451" s="37" t="n">
        <x:v>46108</x:v>
      </x:c>
      <x:c r="O2451" s="37"/>
      <x:c r="P2451" s="34" t="n">
        <x:v>148.5</x:v>
      </x:c>
      <x:c r="Q2451" s="37" t="n">
        <x:v>46111.09075231481</x:v>
      </x:c>
    </x:row>
    <x:row r="2452">
      <x:c r="A2452" s="22" t="n">
        <x:v>32932</x:v>
      </x:c>
      <x:c r="B2452" s="28" t="n">
        <x:v>370.41</x:v>
      </x:c>
      <x:c r="C2452" s="28" t="n">
        <x:v>407.45</x:v>
      </x:c>
      <x:c r="D2452" s="31" t="n">
        <x:f>IF(OR(ISBLANK(B2452),ISBLANK(C2452),B2452=0),"",(C2452-B2452)/B2452)</x:f>
        <x:v>0.09999730028886898</x:v>
      </x:c>
      <x:c r="E2452" s="22" t="str">
        <x:f>IF(ISBLANK(C2452),"AmountIncludingTax缺失",IF(ABS(B2452-C2452)&lt;0.005,"一致","不一致"))</x:f>
        <x:v>不一致</x:v>
      </x:c>
      <x:c r="F2452" s="19" t="str">
        <x:v>approved</x:v>
      </x:c>
      <x:c r="G2452" s="19" t="str">
        <x:v>Repairer Invoiced Processed</x:v>
      </x:c>
      <x:c r="H2452" s="19" t="str">
        <x:v>In Field</x:v>
      </x:c>
      <x:c r="I2452" s="37" t="n">
        <x:v>46113</x:v>
      </x:c>
      <x:c r="J2452" s="37" t="n">
        <x:v>46113</x:v>
      </x:c>
      <x:c r="K2452" s="19" t="str">
        <x:v>Regent RV - Perth</x:v>
      </x:c>
      <x:c r="L2452" s="19" t="str">
        <x:v>Z006</x:v>
      </x:c>
      <x:c r="M2452" s="19" t="str">
        <x:v>In Field Warranty Claims</x:v>
      </x:c>
      <x:c r="N2452" s="37" t="n">
        <x:v>46108</x:v>
      </x:c>
      <x:c r="O2452" s="37"/>
      <x:c r="P2452" s="34" t="n">
        <x:v>407.45</x:v>
      </x:c>
      <x:c r="Q2452" s="37" t="n">
        <x:v>46113.07855324074</x:v>
      </x:c>
    </x:row>
    <x:row r="2453">
      <x:c r="A2453" s="22" t="n">
        <x:v>32931</x:v>
      </x:c>
      <x:c r="B2453" s="28" t="n">
        <x:v>420.41</x:v>
      </x:c>
      <x:c r="C2453" s="28" t="n">
        <x:v>462.45</x:v>
      </x:c>
      <x:c r="D2453" s="31" t="n">
        <x:f>IF(OR(ISBLANK(B2453),ISBLANK(C2453),B2453=0),"",(C2453-B2453)/B2453)</x:f>
        <x:v>0.09999762136961528</x:v>
      </x:c>
      <x:c r="E2453" s="22" t="str">
        <x:f>IF(ISBLANK(C2453),"AmountIncludingTax缺失",IF(ABS(B2453-C2453)&lt;0.005,"一致","不一致"))</x:f>
        <x:v>不一致</x:v>
      </x:c>
      <x:c r="F2453" s="19" t="str">
        <x:v>approved</x:v>
      </x:c>
      <x:c r="G2453" s="19" t="str">
        <x:v>Repairer Invoiced Processed</x:v>
      </x:c>
      <x:c r="H2453" s="19" t="str">
        <x:v>In Field</x:v>
      </x:c>
      <x:c r="I2453" s="37" t="n">
        <x:v>46113</x:v>
      </x:c>
      <x:c r="J2453" s="37" t="n">
        <x:v>46113</x:v>
      </x:c>
      <x:c r="K2453" s="19" t="str">
        <x:v>Regent RV - Perth</x:v>
      </x:c>
      <x:c r="L2453" s="19" t="str">
        <x:v>Z006</x:v>
      </x:c>
      <x:c r="M2453" s="19" t="str">
        <x:v>In Field Warranty Claims</x:v>
      </x:c>
      <x:c r="N2453" s="37" t="n">
        <x:v>46108</x:v>
      </x:c>
      <x:c r="O2453" s="37"/>
      <x:c r="P2453" s="34" t="n">
        <x:v>462.45</x:v>
      </x:c>
      <x:c r="Q2453" s="37" t="n">
        <x:v>46113.04684027778</x:v>
      </x:c>
    </x:row>
    <x:row r="2454">
      <x:c r="A2454" s="22" t="n">
        <x:v>32929</x:v>
      </x:c>
      <x:c r="B2454" s="28" t="n">
        <x:v>1747.5</x:v>
      </x:c>
      <x:c r="C2454" s="28"/>
      <x:c r="D2454" s="31" t="str">
        <x:f>IF(OR(ISBLANK(B2454),ISBLANK(C2454),B2454=0),"",(C2454-B2454)/B2454)</x:f>
      </x:c>
      <x:c r="E2454" s="22" t="str">
        <x:f>IF(ISBLANK(C2454),"AmountIncludingTax缺失",IF(ABS(B2454-C2454)&lt;0.005,"一致","不一致"))</x:f>
        <x:v>AmountIncludingTax缺失</x:v>
      </x:c>
      <x:c r="F2454" s="19" t="str">
        <x:v>approved</x:v>
      </x:c>
      <x:c r="G2454" s="19" t="str">
        <x:v>Repairer Invoiced Processed</x:v>
      </x:c>
      <x:c r="H2454" s="19" t="str">
        <x:v>Pre Delivery</x:v>
      </x:c>
      <x:c r="I2454" s="37" t="n">
        <x:v>46188</x:v>
      </x:c>
      <x:c r="J2454" s="37" t="n">
        <x:v>46188</x:v>
      </x:c>
      <x:c r="K2454" s="19" t="str">
        <x:v>The Caravan Hub - Townsville</x:v>
      </x:c>
      <x:c r="L2454" s="19" t="str">
        <x:v>Z005</x:v>
      </x:c>
      <x:c r="M2454" s="19" t="str">
        <x:v>Pre Delivery Warranty Claims</x:v>
      </x:c>
      <x:c r="N2454" s="37" t="n">
        <x:v>46109</x:v>
      </x:c>
      <x:c r="O2454" s="37"/>
      <x:c r="P2454" s="34" t="n">
        <x:v>0</x:v>
      </x:c>
      <x:c r="Q2454" s="37" t="n">
        <x:v>46188.22287037037</x:v>
      </x:c>
    </x:row>
    <x:row r="2455">
      <x:c r="A2455" s="22" t="n">
        <x:v>32928</x:v>
      </x:c>
      <x:c r="B2455" s="28" t="n">
        <x:v>810</x:v>
      </x:c>
      <x:c r="C2455" s="28"/>
      <x:c r="D2455" s="31" t="str">
        <x:f>IF(OR(ISBLANK(B2455),ISBLANK(C2455),B2455=0),"",(C2455-B2455)/B2455)</x:f>
      </x:c>
      <x:c r="E2455" s="22" t="str">
        <x:f>IF(ISBLANK(C2455),"AmountIncludingTax缺失",IF(ABS(B2455-C2455)&lt;0.005,"一致","不一致"))</x:f>
        <x:v>AmountIncludingTax缺失</x:v>
      </x:c>
      <x:c r="F2455" s="19" t="str">
        <x:v>approved</x:v>
      </x:c>
      <x:c r="G2455" s="19" t="str">
        <x:v>Partially Picked</x:v>
      </x:c>
      <x:c r="H2455" s="19" t="str">
        <x:v>In Field</x:v>
      </x:c>
      <x:c r="I2455" s="37" t="n">
        <x:v>46112</x:v>
      </x:c>
      <x:c r="J2455" s="37" t="n">
        <x:v>46112</x:v>
      </x:c>
      <x:c r="K2455" s="19" t="str">
        <x:v>Not Assigned</x:v>
      </x:c>
      <x:c r="L2455" s="19" t="str">
        <x:v>Z006</x:v>
      </x:c>
      <x:c r="M2455" s="19" t="str">
        <x:v>In Field Warranty Claims</x:v>
      </x:c>
      <x:c r="N2455" s="37" t="n">
        <x:v>46108</x:v>
      </x:c>
      <x:c r="O2455" s="37"/>
      <x:c r="P2455" s="34" t="n">
        <x:v>0</x:v>
      </x:c>
      <x:c r="Q2455" s="37" t="n">
        <x:v>46111.906006944446</x:v>
      </x:c>
    </x:row>
    <x:row r="2456">
      <x:c r="A2456" s="22" t="n">
        <x:v>32927</x:v>
      </x:c>
      <x:c r="B2456" s="28" t="n">
        <x:v>708.75</x:v>
      </x:c>
      <x:c r="C2456" s="28"/>
      <x:c r="D2456" s="31" t="str">
        <x:f>IF(OR(ISBLANK(B2456),ISBLANK(C2456),B2456=0),"",(C2456-B2456)/B2456)</x:f>
      </x:c>
      <x:c r="E2456" s="22" t="str">
        <x:f>IF(ISBLANK(C2456),"AmountIncludingTax缺失",IF(ABS(B2456-C2456)&lt;0.005,"一致","不一致"))</x:f>
        <x:v>AmountIncludingTax缺失</x:v>
      </x:c>
      <x:c r="F2456" s="19" t="str">
        <x:v>approved</x:v>
      </x:c>
      <x:c r="G2456" s="19" t="str">
        <x:v>Repair in Progress</x:v>
      </x:c>
      <x:c r="H2456" s="19" t="str">
        <x:v>In Field</x:v>
      </x:c>
      <x:c r="I2456" s="37" t="n">
        <x:v>46150</x:v>
      </x:c>
      <x:c r="J2456" s="37" t="n">
        <x:v>46150</x:v>
      </x:c>
      <x:c r="K2456" s="19" t="str">
        <x:v>Not Assigned</x:v>
      </x:c>
      <x:c r="L2456" s="19" t="str">
        <x:v>Z006</x:v>
      </x:c>
      <x:c r="M2456" s="19" t="str">
        <x:v>In Field Warranty Claims</x:v>
      </x:c>
      <x:c r="N2456" s="37" t="n">
        <x:v>46108</x:v>
      </x:c>
      <x:c r="O2456" s="37"/>
      <x:c r="P2456" s="34" t="n">
        <x:v>0</x:v>
      </x:c>
      <x:c r="Q2456" s="37" t="n">
        <x:v>46150.1346412037</x:v>
      </x:c>
    </x:row>
    <x:row r="2457">
      <x:c r="A2457" s="22" t="n">
        <x:v>32926</x:v>
      </x:c>
      <x:c r="B2457" s="28" t="n">
        <x:v>1012.5</x:v>
      </x:c>
      <x:c r="C2457" s="28"/>
      <x:c r="D2457" s="31" t="str">
        <x:f>IF(OR(ISBLANK(B2457),ISBLANK(C2457),B2457=0),"",(C2457-B2457)/B2457)</x:f>
      </x:c>
      <x:c r="E2457" s="22" t="str">
        <x:f>IF(ISBLANK(C2457),"AmountIncludingTax缺失",IF(ABS(B2457-C2457)&lt;0.005,"一致","不一致"))</x:f>
        <x:v>AmountIncludingTax缺失</x:v>
      </x:c>
      <x:c r="F2457" s="19" t="str">
        <x:v>approved</x:v>
      </x:c>
      <x:c r="G2457" s="19" t="str">
        <x:v>Repairer Invoiced Processed</x:v>
      </x:c>
      <x:c r="H2457" s="19" t="str">
        <x:v>In Field</x:v>
      </x:c>
      <x:c r="I2457" s="37" t="n">
        <x:v>46135</x:v>
      </x:c>
      <x:c r="J2457" s="37" t="n">
        <x:v>46135</x:v>
      </x:c>
      <x:c r="K2457" s="19" t="str">
        <x:v>Green RV - Forest Glen</x:v>
      </x:c>
      <x:c r="L2457" s="19" t="str">
        <x:v>Z006</x:v>
      </x:c>
      <x:c r="M2457" s="19" t="str">
        <x:v>In Field Warranty Claims</x:v>
      </x:c>
      <x:c r="N2457" s="37" t="n">
        <x:v>46108</x:v>
      </x:c>
      <x:c r="O2457" s="37"/>
      <x:c r="P2457" s="34" t="n">
        <x:v>0</x:v>
      </x:c>
      <x:c r="Q2457" s="37" t="n">
        <x:v>46134.968981481485</x:v>
      </x:c>
    </x:row>
    <x:row r="2458">
      <x:c r="A2458" s="22" t="n">
        <x:v>32924</x:v>
      </x:c>
      <x:c r="B2458" s="28" t="n">
        <x:v>472.5</x:v>
      </x:c>
      <x:c r="C2458" s="28"/>
      <x:c r="D2458" s="31" t="str">
        <x:f>IF(OR(ISBLANK(B2458),ISBLANK(C2458),B2458=0),"",(C2458-B2458)/B2458)</x:f>
      </x:c>
      <x:c r="E2458" s="22" t="str">
        <x:f>IF(ISBLANK(C2458),"AmountIncludingTax缺失",IF(ABS(B2458-C2458)&lt;0.005,"一致","不一致"))</x:f>
        <x:v>AmountIncludingTax缺失</x:v>
      </x:c>
      <x:c r="F2458" s="19" t="str">
        <x:v>approved</x:v>
      </x:c>
      <x:c r="G2458" s="19" t="str">
        <x:v>Repair in Progress</x:v>
      </x:c>
      <x:c r="H2458" s="19" t="str">
        <x:v>In Field</x:v>
      </x:c>
      <x:c r="I2458" s="37" t="n">
        <x:v>46122</x:v>
      </x:c>
      <x:c r="J2458" s="37" t="n">
        <x:v>46122</x:v>
      </x:c>
      <x:c r="K2458" s="19" t="str">
        <x:v>Green RV - Forest Glen</x:v>
      </x:c>
      <x:c r="L2458" s="19" t="str">
        <x:v>Z006</x:v>
      </x:c>
      <x:c r="M2458" s="19" t="str">
        <x:v>In Field Warranty Claims</x:v>
      </x:c>
      <x:c r="N2458" s="37" t="n">
        <x:v>46108</x:v>
      </x:c>
      <x:c r="O2458" s="37"/>
      <x:c r="P2458" s="34" t="n">
        <x:v>0</x:v>
      </x:c>
      <x:c r="Q2458" s="37" t="n">
        <x:v>46121.9666087963</x:v>
      </x:c>
    </x:row>
    <x:row r="2459">
      <x:c r="A2459" s="22" t="n">
        <x:v>32923</x:v>
      </x:c>
      <x:c r="B2459" s="28" t="n">
        <x:v>2722.27</x:v>
      </x:c>
      <x:c r="C2459" s="28"/>
      <x:c r="D2459" s="31" t="str">
        <x:f>IF(OR(ISBLANK(B2459),ISBLANK(C2459),B2459=0),"",(C2459-B2459)/B2459)</x:f>
      </x:c>
      <x:c r="E2459" s="22" t="str">
        <x:f>IF(ISBLANK(C2459),"AmountIncludingTax缺失",IF(ABS(B2459-C2459)&lt;0.005,"一致","不一致"))</x:f>
        <x:v>AmountIncludingTax缺失</x:v>
      </x:c>
      <x:c r="F2459" s="19" t="str">
        <x:v>approved</x:v>
      </x:c>
      <x:c r="G2459" s="19" t="str">
        <x:v>Repairer Invoiced Processed</x:v>
      </x:c>
      <x:c r="H2459" s="19" t="str">
        <x:v>In Field</x:v>
      </x:c>
      <x:c r="I2459" s="37" t="n">
        <x:v>46132</x:v>
      </x:c>
      <x:c r="J2459" s="37" t="n">
        <x:v>46132</x:v>
      </x:c>
      <x:c r="K2459" s="19" t="str">
        <x:v>Not Assigned</x:v>
      </x:c>
      <x:c r="L2459" s="19" t="str">
        <x:v>Z006</x:v>
      </x:c>
      <x:c r="M2459" s="19" t="str">
        <x:v>In Field Warranty Claims</x:v>
      </x:c>
      <x:c r="N2459" s="37" t="n">
        <x:v>46108</x:v>
      </x:c>
      <x:c r="O2459" s="37" t="n">
        <x:v>46121</x:v>
      </x:c>
      <x:c r="P2459" s="34" t="n">
        <x:v>0</x:v>
      </x:c>
      <x:c r="Q2459" s="37" t="n">
        <x:v>46132.29789351852</x:v>
      </x:c>
    </x:row>
    <x:row r="2460">
      <x:c r="A2460" s="22" t="n">
        <x:v>32921</x:v>
      </x:c>
      <x:c r="B2460" s="28" t="n">
        <x:v>202.5</x:v>
      </x:c>
      <x:c r="C2460" s="28"/>
      <x:c r="D2460" s="31" t="str">
        <x:f>IF(OR(ISBLANK(B2460),ISBLANK(C2460),B2460=0),"",(C2460-B2460)/B2460)</x:f>
      </x:c>
      <x:c r="E2460" s="22" t="str">
        <x:f>IF(ISBLANK(C2460),"AmountIncludingTax缺失",IF(ABS(B2460-C2460)&lt;0.005,"一致","不一致"))</x:f>
        <x:v>AmountIncludingTax缺失</x:v>
      </x:c>
      <x:c r="F2460" s="19" t="str">
        <x:v>approved</x:v>
      </x:c>
      <x:c r="G2460" s="19" t="str">
        <x:v>Sales Order Approved</x:v>
      </x:c>
      <x:c r="H2460" s="19" t="str">
        <x:v>Pre Delivery</x:v>
      </x:c>
      <x:c r="I2460" s="37" t="n">
        <x:v>46133</x:v>
      </x:c>
      <x:c r="J2460" s="37" t="n">
        <x:v>46133</x:v>
      </x:c>
      <x:c r="K2460" s="19" t="str">
        <x:v>Green RV - Slacks Creek</x:v>
      </x:c>
      <x:c r="L2460" s="19" t="str">
        <x:v>Z005</x:v>
      </x:c>
      <x:c r="M2460" s="19" t="str">
        <x:v>Pre Delivery Warranty Claims</x:v>
      </x:c>
      <x:c r="N2460" s="37" t="n">
        <x:v>46108</x:v>
      </x:c>
      <x:c r="O2460" s="37"/>
      <x:c r="P2460" s="34" t="n">
        <x:v>0</x:v>
      </x:c>
      <x:c r="Q2460" s="37" t="n">
        <x:v>46133.20936342593</x:v>
      </x:c>
    </x:row>
    <x:row r="2461">
      <x:c r="A2461" s="22" t="n">
        <x:v>32920</x:v>
      </x:c>
      <x:c r="B2461" s="28" t="n">
        <x:v>290</x:v>
      </x:c>
      <x:c r="C2461" s="28"/>
      <x:c r="D2461" s="31" t="str">
        <x:f>IF(OR(ISBLANK(B2461),ISBLANK(C2461),B2461=0),"",(C2461-B2461)/B2461)</x:f>
      </x:c>
      <x:c r="E2461" s="22" t="str">
        <x:f>IF(ISBLANK(C2461),"AmountIncludingTax缺失",IF(ABS(B2461-C2461)&lt;0.005,"一致","不一致"))</x:f>
        <x:v>AmountIncludingTax缺失</x:v>
      </x:c>
      <x:c r="F2461" s="19" t="str">
        <x:v>approved</x:v>
      </x:c>
      <x:c r="G2461" s="19" t="str">
        <x:v>Repairer Invoiced Processed</x:v>
      </x:c>
      <x:c r="H2461" s="19" t="str">
        <x:v>In Field</x:v>
      </x:c>
      <x:c r="I2461" s="37" t="n">
        <x:v>46147</x:v>
      </x:c>
      <x:c r="J2461" s="37" t="n">
        <x:v>46147</x:v>
      </x:c>
      <x:c r="K2461" s="19" t="str">
        <x:v>Newcastle RV Super Centre - Beresfield</x:v>
      </x:c>
      <x:c r="L2461" s="19" t="str">
        <x:v>Z006</x:v>
      </x:c>
      <x:c r="M2461" s="19" t="str">
        <x:v>In Field Warranty Claims</x:v>
      </x:c>
      <x:c r="N2461" s="37" t="n">
        <x:v>46108</x:v>
      </x:c>
      <x:c r="O2461" s="37"/>
      <x:c r="P2461" s="34" t="n">
        <x:v>0</x:v>
      </x:c>
      <x:c r="Q2461" s="37" t="n">
        <x:v>46147.154953703706</x:v>
      </x:c>
    </x:row>
    <x:row r="2462">
      <x:c r="A2462" s="22" t="n">
        <x:v>32919</x:v>
      </x:c>
      <x:c r="B2462" s="28" t="n">
        <x:v>138.18</x:v>
      </x:c>
      <x:c r="C2462" s="28"/>
      <x:c r="D2462" s="31" t="str">
        <x:f>IF(OR(ISBLANK(B2462),ISBLANK(C2462),B2462=0),"",(C2462-B2462)/B2462)</x:f>
      </x:c>
      <x:c r="E2462" s="22" t="str">
        <x:f>IF(ISBLANK(C2462),"AmountIncludingTax缺失",IF(ABS(B2462-C2462)&lt;0.005,"一致","不一致"))</x:f>
        <x:v>AmountIncludingTax缺失</x:v>
      </x:c>
      <x:c r="F2462" s="19" t="str">
        <x:v>approved</x:v>
      </x:c>
      <x:c r="G2462" s="19" t="str">
        <x:v>Sales Order Approved</x:v>
      </x:c>
      <x:c r="H2462" s="19" t="str">
        <x:v>Pre Delivery</x:v>
      </x:c>
      <x:c r="I2462" s="37" t="n">
        <x:v>46136</x:v>
      </x:c>
      <x:c r="J2462" s="37" t="n">
        <x:v>46136</x:v>
      </x:c>
      <x:c r="K2462" s="19" t="str">
        <x:v>Auswide Caravans - South Nowra</x:v>
      </x:c>
      <x:c r="L2462" s="19" t="str">
        <x:v>Z005</x:v>
      </x:c>
      <x:c r="M2462" s="19" t="str">
        <x:v>Pre Delivery Warranty Claims</x:v>
      </x:c>
      <x:c r="N2462" s="37" t="n">
        <x:v>46108</x:v>
      </x:c>
      <x:c r="O2462" s="37"/>
      <x:c r="P2462" s="34" t="n">
        <x:v>0</x:v>
      </x:c>
      <x:c r="Q2462" s="37" t="n">
        <x:v>46135.981087962966</x:v>
      </x:c>
    </x:row>
    <x:row r="2463">
      <x:c r="A2463" s="22" t="n">
        <x:v>32918</x:v>
      </x:c>
      <x:c r="B2463" s="28" t="n">
        <x:v>675</x:v>
      </x:c>
      <x:c r="C2463" s="28"/>
      <x:c r="D2463" s="31" t="str">
        <x:f>IF(OR(ISBLANK(B2463),ISBLANK(C2463),B2463=0),"",(C2463-B2463)/B2463)</x:f>
      </x:c>
      <x:c r="E2463" s="22" t="str">
        <x:f>IF(ISBLANK(C2463),"AmountIncludingTax缺失",IF(ABS(B2463-C2463)&lt;0.005,"一致","不一致"))</x:f>
        <x:v>AmountIncludingTax缺失</x:v>
      </x:c>
      <x:c r="F2463" s="19" t="str">
        <x:v>approved</x:v>
      </x:c>
      <x:c r="G2463" s="19" t="str">
        <x:v>Repair in Progress</x:v>
      </x:c>
      <x:c r="H2463" s="19" t="str">
        <x:v>In Field</x:v>
      </x:c>
      <x:c r="I2463" s="37" t="n">
        <x:v>46176</x:v>
      </x:c>
      <x:c r="J2463" s="37" t="n">
        <x:v>46176</x:v>
      </x:c>
      <x:c r="K2463" s="19" t="str">
        <x:v>Green RV - Forest Glen</x:v>
      </x:c>
      <x:c r="L2463" s="19" t="str">
        <x:v>Z006</x:v>
      </x:c>
      <x:c r="M2463" s="19" t="str">
        <x:v>In Field Warranty Claims</x:v>
      </x:c>
      <x:c r="N2463" s="37" t="n">
        <x:v>46108</x:v>
      </x:c>
      <x:c r="O2463" s="37" t="n">
        <x:v>46137</x:v>
      </x:c>
      <x:c r="P2463" s="34" t="n">
        <x:v>0</x:v>
      </x:c>
      <x:c r="Q2463" s="37" t="n">
        <x:v>46176.23679398148</x:v>
      </x:c>
    </x:row>
    <x:row r="2464">
      <x:c r="A2464" s="22" t="n">
        <x:v>32917</x:v>
      </x:c>
      <x:c r="B2464" s="28" t="n">
        <x:v>675</x:v>
      </x:c>
      <x:c r="C2464" s="28"/>
      <x:c r="D2464" s="31" t="str">
        <x:f>IF(OR(ISBLANK(B2464),ISBLANK(C2464),B2464=0),"",(C2464-B2464)/B2464)</x:f>
      </x:c>
      <x:c r="E2464" s="22" t="str">
        <x:f>IF(ISBLANK(C2464),"AmountIncludingTax缺失",IF(ABS(B2464-C2464)&lt;0.005,"一致","不一致"))</x:f>
        <x:v>AmountIncludingTax缺失</x:v>
      </x:c>
      <x:c r="F2464" s="19" t="str">
        <x:v>approved</x:v>
      </x:c>
      <x:c r="G2464" s="19" t="str">
        <x:v>Repair in Progress</x:v>
      </x:c>
      <x:c r="H2464" s="19" t="str">
        <x:v>In Field</x:v>
      </x:c>
      <x:c r="I2464" s="37" t="n">
        <x:v>46148</x:v>
      </x:c>
      <x:c r="J2464" s="37" t="n">
        <x:v>46148</x:v>
      </x:c>
      <x:c r="K2464" s="19" t="str">
        <x:v>Regent RV - Perth</x:v>
      </x:c>
      <x:c r="L2464" s="19" t="str">
        <x:v>Z006</x:v>
      </x:c>
      <x:c r="M2464" s="19" t="str">
        <x:v>In Field Warranty Claims</x:v>
      </x:c>
      <x:c r="N2464" s="37" t="n">
        <x:v>46108</x:v>
      </x:c>
      <x:c r="O2464" s="37"/>
      <x:c r="P2464" s="34" t="n">
        <x:v>0</x:v>
      </x:c>
      <x:c r="Q2464" s="37" t="n">
        <x:v>46148.06659722222</x:v>
      </x:c>
    </x:row>
    <x:row r="2465">
      <x:c r="A2465" s="22" t="n">
        <x:v>32915</x:v>
      </x:c>
      <x:c r="B2465" s="28" t="n">
        <x:v>1255</x:v>
      </x:c>
      <x:c r="C2465" s="28"/>
      <x:c r="D2465" s="31" t="str">
        <x:f>IF(OR(ISBLANK(B2465),ISBLANK(C2465),B2465=0),"",(C2465-B2465)/B2465)</x:f>
      </x:c>
      <x:c r="E2465" s="22" t="str">
        <x:f>IF(ISBLANK(C2465),"AmountIncludingTax缺失",IF(ABS(B2465-C2465)&lt;0.005,"一致","不一致"))</x:f>
        <x:v>AmountIncludingTax缺失</x:v>
      </x:c>
      <x:c r="F2465" s="19" t="str">
        <x:v>approved</x:v>
      </x:c>
      <x:c r="G2465" s="19" t="str">
        <x:v>Repairer Invoiced Processed</x:v>
      </x:c>
      <x:c r="H2465" s="19" t="str">
        <x:v>Pre Delivery</x:v>
      </x:c>
      <x:c r="I2465" s="37" t="n">
        <x:v>46147</x:v>
      </x:c>
      <x:c r="J2465" s="37" t="n">
        <x:v>46147</x:v>
      </x:c>
      <x:c r="K2465" s="19" t="str">
        <x:v>Lesiure Lion-New Castle</x:v>
      </x:c>
      <x:c r="L2465" s="19" t="str">
        <x:v>Z005</x:v>
      </x:c>
      <x:c r="M2465" s="19" t="str">
        <x:v>Pre Delivery Warranty Claims</x:v>
      </x:c>
      <x:c r="N2465" s="37" t="n">
        <x:v>46108</x:v>
      </x:c>
      <x:c r="O2465" s="37"/>
      <x:c r="P2465" s="34" t="n">
        <x:v>0</x:v>
      </x:c>
      <x:c r="Q2465" s="37" t="n">
        <x:v>46147.12291666667</x:v>
      </x:c>
    </x:row>
    <x:row r="2466">
      <x:c r="A2466" s="22" t="n">
        <x:v>32914</x:v>
      </x:c>
      <x:c r="B2466" s="28" t="n">
        <x:v>337.5</x:v>
      </x:c>
      <x:c r="C2466" s="28"/>
      <x:c r="D2466" s="31" t="str">
        <x:f>IF(OR(ISBLANK(B2466),ISBLANK(C2466),B2466=0),"",(C2466-B2466)/B2466)</x:f>
      </x:c>
      <x:c r="E2466" s="22" t="str">
        <x:f>IF(ISBLANK(C2466),"AmountIncludingTax缺失",IF(ABS(B2466-C2466)&lt;0.005,"一致","不一致"))</x:f>
        <x:v>AmountIncludingTax缺失</x:v>
      </x:c>
      <x:c r="F2466" s="19" t="str">
        <x:v>approved</x:v>
      </x:c>
      <x:c r="G2466" s="19" t="str">
        <x:v>Repair in Progress</x:v>
      </x:c>
      <x:c r="H2466" s="19" t="str">
        <x:v>In Field</x:v>
      </x:c>
      <x:c r="I2466" s="37" t="n">
        <x:v>46113</x:v>
      </x:c>
      <x:c r="J2466" s="37" t="n">
        <x:v>46113</x:v>
      </x:c>
      <x:c r="K2466" s="19" t="str">
        <x:v>Regent RV - Perth</x:v>
      </x:c>
      <x:c r="L2466" s="19" t="str">
        <x:v>Z006</x:v>
      </x:c>
      <x:c r="M2466" s="19" t="str">
        <x:v>In Field Warranty Claims</x:v>
      </x:c>
      <x:c r="N2466" s="37" t="n">
        <x:v>46108</x:v>
      </x:c>
      <x:c r="O2466" s="37"/>
      <x:c r="P2466" s="34" t="n">
        <x:v>0</x:v>
      </x:c>
      <x:c r="Q2466" s="37" t="n">
        <x:v>46112.90592592592</x:v>
      </x:c>
    </x:row>
    <x:row r="2467">
      <x:c r="A2467" s="22" t="n">
        <x:v>32913</x:v>
      </x:c>
      <x:c r="B2467" s="28" t="n">
        <x:v>67.5</x:v>
      </x:c>
      <x:c r="C2467" s="28"/>
      <x:c r="D2467" s="31" t="str">
        <x:f>IF(OR(ISBLANK(B2467),ISBLANK(C2467),B2467=0),"",(C2467-B2467)/B2467)</x:f>
      </x:c>
      <x:c r="E2467" s="22" t="str">
        <x:f>IF(ISBLANK(C2467),"AmountIncludingTax缺失",IF(ABS(B2467-C2467)&lt;0.005,"一致","不一致"))</x:f>
        <x:v>AmountIncludingTax缺失</x:v>
      </x:c>
      <x:c r="F2467" s="19" t="str">
        <x:v>approved</x:v>
      </x:c>
      <x:c r="G2467" s="19" t="str">
        <x:v>Repair in Progress</x:v>
      </x:c>
      <x:c r="H2467" s="19" t="str">
        <x:v>In Field</x:v>
      </x:c>
      <x:c r="I2467" s="37" t="n">
        <x:v>46119</x:v>
      </x:c>
      <x:c r="J2467" s="37" t="n">
        <x:v>46119</x:v>
      </x:c>
      <x:c r="K2467" s="19" t="str">
        <x:v>Regent RV - Perth</x:v>
      </x:c>
      <x:c r="L2467" s="19" t="str">
        <x:v>Z006</x:v>
      </x:c>
      <x:c r="M2467" s="19" t="str">
        <x:v>In Field Warranty Claims</x:v>
      </x:c>
      <x:c r="N2467" s="37" t="n">
        <x:v>46108</x:v>
      </x:c>
      <x:c r="O2467" s="37"/>
      <x:c r="P2467" s="34" t="n">
        <x:v>0</x:v>
      </x:c>
      <x:c r="Q2467" s="37" t="n">
        <x:v>46118.92508101852</x:v>
      </x:c>
    </x:row>
    <x:row r="2468">
      <x:c r="A2468" s="22" t="n">
        <x:v>32911</x:v>
      </x:c>
      <x:c r="B2468" s="28" t="n">
        <x:v>1288.75</x:v>
      </x:c>
      <x:c r="C2468" s="28"/>
      <x:c r="D2468" s="31" t="str">
        <x:f>IF(OR(ISBLANK(B2468),ISBLANK(C2468),B2468=0),"",(C2468-B2468)/B2468)</x:f>
      </x:c>
      <x:c r="E2468" s="22" t="str">
        <x:f>IF(ISBLANK(C2468),"AmountIncludingTax缺失",IF(ABS(B2468-C2468)&lt;0.005,"一致","不一致"))</x:f>
        <x:v>AmountIncludingTax缺失</x:v>
      </x:c>
      <x:c r="F2468" s="19" t="str">
        <x:v>approved</x:v>
      </x:c>
      <x:c r="G2468" s="19" t="str">
        <x:v>Partially Picked</x:v>
      </x:c>
      <x:c r="H2468" s="19" t="str">
        <x:v>Pre Delivery</x:v>
      </x:c>
      <x:c r="I2468" s="37" t="n">
        <x:v>46147</x:v>
      </x:c>
      <x:c r="J2468" s="37" t="n">
        <x:v>46147</x:v>
      </x:c>
      <x:c r="K2468" s="19" t="str">
        <x:v>Leisure Lion - Bundaberg</x:v>
      </x:c>
      <x:c r="L2468" s="19" t="str">
        <x:v>Z005</x:v>
      </x:c>
      <x:c r="M2468" s="19" t="str">
        <x:v>Pre Delivery Warranty Claims</x:v>
      </x:c>
      <x:c r="N2468" s="37" t="n">
        <x:v>46108</x:v>
      </x:c>
      <x:c r="O2468" s="37"/>
      <x:c r="P2468" s="34" t="n">
        <x:v>0</x:v>
      </x:c>
      <x:c r="Q2468" s="37" t="n">
        <x:v>46147.228900462964</x:v>
      </x:c>
    </x:row>
    <x:row r="2469">
      <x:c r="A2469" s="22" t="n">
        <x:v>32910</x:v>
      </x:c>
      <x:c r="B2469" s="28" t="n">
        <x:v>742.5</x:v>
      </x:c>
      <x:c r="C2469" s="28"/>
      <x:c r="D2469" s="31" t="str">
        <x:f>IF(OR(ISBLANK(B2469),ISBLANK(C2469),B2469=0),"",(C2469-B2469)/B2469)</x:f>
      </x:c>
      <x:c r="E2469" s="22" t="str">
        <x:f>IF(ISBLANK(C2469),"AmountIncludingTax缺失",IF(ABS(B2469-C2469)&lt;0.005,"一致","不一致"))</x:f>
        <x:v>AmountIncludingTax缺失</x:v>
      </x:c>
      <x:c r="F2469" s="19" t="str">
        <x:v>approved</x:v>
      </x:c>
      <x:c r="G2469" s="19" t="str">
        <x:v>Repair in Progress</x:v>
      </x:c>
      <x:c r="H2469" s="19" t="str">
        <x:v>In Field</x:v>
      </x:c>
      <x:c r="I2469" s="37" t="n">
        <x:v>46111</x:v>
      </x:c>
      <x:c r="J2469" s="37" t="n">
        <x:v>46111</x:v>
      </x:c>
      <x:c r="K2469" s="19" t="str">
        <x:v>Not Assigned</x:v>
      </x:c>
      <x:c r="L2469" s="19" t="str">
        <x:v>Z006</x:v>
      </x:c>
      <x:c r="M2469" s="19" t="str">
        <x:v>In Field Warranty Claims</x:v>
      </x:c>
      <x:c r="N2469" s="37" t="n">
        <x:v>46108</x:v>
      </x:c>
      <x:c r="O2469" s="37"/>
      <x:c r="P2469" s="34" t="n">
        <x:v>0</x:v>
      </x:c>
      <x:c r="Q2469" s="37" t="n">
        <x:v>46111.105462962965</x:v>
      </x:c>
    </x:row>
    <x:row r="2470">
      <x:c r="A2470" s="22" t="n">
        <x:v>32909</x:v>
      </x:c>
      <x:c r="B2470" s="28" t="n">
        <x:v>67.5</x:v>
      </x:c>
      <x:c r="C2470" s="28"/>
      <x:c r="D2470" s="31" t="str">
        <x:f>IF(OR(ISBLANK(B2470),ISBLANK(C2470),B2470=0),"",(C2470-B2470)/B2470)</x:f>
      </x:c>
      <x:c r="E2470" s="22" t="str">
        <x:f>IF(ISBLANK(C2470),"AmountIncludingTax缺失",IF(ABS(B2470-C2470)&lt;0.005,"一致","不一致"))</x:f>
        <x:v>AmountIncludingTax缺失</x:v>
      </x:c>
      <x:c r="F2470" s="19" t="str">
        <x:v>approved</x:v>
      </x:c>
      <x:c r="G2470" s="19" t="str">
        <x:v>Repair in Progress</x:v>
      </x:c>
      <x:c r="H2470" s="19" t="str">
        <x:v>In Field</x:v>
      </x:c>
      <x:c r="I2470" s="37" t="n">
        <x:v>46136</x:v>
      </x:c>
      <x:c r="J2470" s="37" t="n">
        <x:v>46136</x:v>
      </x:c>
      <x:c r="K2470" s="19" t="str">
        <x:v>Newcastle RV Super Centre - Beresfield</x:v>
      </x:c>
      <x:c r="L2470" s="19" t="str">
        <x:v>Z006</x:v>
      </x:c>
      <x:c r="M2470" s="19" t="str">
        <x:v>In Field Warranty Claims</x:v>
      </x:c>
      <x:c r="N2470" s="37" t="n">
        <x:v>46108</x:v>
      </x:c>
      <x:c r="O2470" s="37"/>
      <x:c r="P2470" s="34" t="n">
        <x:v>0</x:v>
      </x:c>
      <x:c r="Q2470" s="37" t="n">
        <x:v>46136.073969907404</x:v>
      </x:c>
    </x:row>
    <x:row r="2471">
      <x:c r="A2471" s="22" t="n">
        <x:v>32908</x:v>
      </x:c>
      <x:c r="B2471" s="28" t="n">
        <x:v>67.5</x:v>
      </x:c>
      <x:c r="C2471" s="28"/>
      <x:c r="D2471" s="31" t="str">
        <x:f>IF(OR(ISBLANK(B2471),ISBLANK(C2471),B2471=0),"",(C2471-B2471)/B2471)</x:f>
      </x:c>
      <x:c r="E2471" s="22" t="str">
        <x:f>IF(ISBLANK(C2471),"AmountIncludingTax缺失",IF(ABS(B2471-C2471)&lt;0.005,"一致","不一致"))</x:f>
        <x:v>AmountIncludingTax缺失</x:v>
      </x:c>
      <x:c r="F2471" s="19" t="str">
        <x:v>approved</x:v>
      </x:c>
      <x:c r="G2471" s="19" t="str">
        <x:v>Repair in Progress</x:v>
      </x:c>
      <x:c r="H2471" s="19" t="str">
        <x:v>In Field</x:v>
      </x:c>
      <x:c r="I2471" s="37" t="n">
        <x:v>46111</x:v>
      </x:c>
      <x:c r="J2471" s="37" t="n">
        <x:v>46111</x:v>
      </x:c>
      <x:c r="K2471" s="19" t="str">
        <x:v>Green RV - Forest Glen</x:v>
      </x:c>
      <x:c r="L2471" s="19" t="str">
        <x:v>Z006</x:v>
      </x:c>
      <x:c r="M2471" s="19" t="str">
        <x:v>In Field Warranty Claims</x:v>
      </x:c>
      <x:c r="N2471" s="37" t="n">
        <x:v>46108</x:v>
      </x:c>
      <x:c r="O2471" s="37"/>
      <x:c r="P2471" s="34" t="n">
        <x:v>0</x:v>
      </x:c>
      <x:c r="Q2471" s="37" t="n">
        <x:v>46111.02390046296</x:v>
      </x:c>
    </x:row>
    <x:row r="2472">
      <x:c r="A2472" s="22" t="n">
        <x:v>32907</x:v>
      </x:c>
      <x:c r="B2472" s="28" t="n">
        <x:v>148.64</x:v>
      </x:c>
      <x:c r="C2472" s="28" t="n">
        <x:v>163.5</x:v>
      </x:c>
      <x:c r="D2472" s="31" t="n">
        <x:f>IF(OR(ISBLANK(B2472),ISBLANK(C2472),B2472=0),"",(C2472-B2472)/B2472)</x:f>
        <x:v>0.09997308934338008</x:v>
      </x:c>
      <x:c r="E2472" s="22" t="str">
        <x:f>IF(ISBLANK(C2472),"AmountIncludingTax缺失",IF(ABS(B2472-C2472)&lt;0.005,"一致","不一致"))</x:f>
        <x:v>不一致</x:v>
      </x:c>
      <x:c r="F2472" s="19" t="str">
        <x:v>approved</x:v>
      </x:c>
      <x:c r="G2472" s="19" t="str">
        <x:v>Repairer Invoiced Processed</x:v>
      </x:c>
      <x:c r="H2472" s="19" t="str">
        <x:v>Pre Delivery</x:v>
      </x:c>
      <x:c r="I2472" s="37" t="n">
        <x:v>46174</x:v>
      </x:c>
      <x:c r="J2472" s="37" t="n">
        <x:v>46171</x:v>
      </x:c>
      <x:c r="K2472" s="19" t="str">
        <x:v>Snowy River Wangaratta</x:v>
      </x:c>
      <x:c r="L2472" s="19" t="str">
        <x:v>Z005</x:v>
      </x:c>
      <x:c r="M2472" s="19" t="str">
        <x:v>Pre Delivery Warranty Claims</x:v>
      </x:c>
      <x:c r="N2472" s="37" t="n">
        <x:v>46108</x:v>
      </x:c>
      <x:c r="O2472" s="37"/>
      <x:c r="P2472" s="34" t="n">
        <x:v>163.5</x:v>
      </x:c>
      <x:c r="Q2472" s="37" t="n">
        <x:v>46174.08590277778</x:v>
      </x:c>
    </x:row>
    <x:row r="2473">
      <x:c r="A2473" s="22" t="n">
        <x:v>32906</x:v>
      </x:c>
      <x:c r="B2473" s="28" t="n">
        <x:v>1811.01</x:v>
      </x:c>
      <x:c r="C2473" s="28"/>
      <x:c r="D2473" s="31" t="str">
        <x:f>IF(OR(ISBLANK(B2473),ISBLANK(C2473),B2473=0),"",(C2473-B2473)/B2473)</x:f>
      </x:c>
      <x:c r="E2473" s="22" t="str">
        <x:f>IF(ISBLANK(C2473),"AmountIncludingTax缺失",IF(ABS(B2473-C2473)&lt;0.005,"一致","不一致"))</x:f>
        <x:v>AmountIncludingTax缺失</x:v>
      </x:c>
      <x:c r="F2473" s="19" t="str">
        <x:v>approved</x:v>
      </x:c>
      <x:c r="G2473" s="19" t="str">
        <x:v>Repair in Progress</x:v>
      </x:c>
      <x:c r="H2473" s="19" t="str">
        <x:v>In Field</x:v>
      </x:c>
      <x:c r="I2473" s="37" t="n">
        <x:v>46115</x:v>
      </x:c>
      <x:c r="J2473" s="37" t="n">
        <x:v>46115</x:v>
      </x:c>
      <x:c r="K2473" s="19" t="str">
        <x:v>The Caravan Hub - Townsville</x:v>
      </x:c>
      <x:c r="L2473" s="19" t="str">
        <x:v>Z006</x:v>
      </x:c>
      <x:c r="M2473" s="19" t="str">
        <x:v>In Field Warranty Claims</x:v>
      </x:c>
      <x:c r="N2473" s="37" t="n">
        <x:v>46108</x:v>
      </x:c>
      <x:c r="O2473" s="37"/>
      <x:c r="P2473" s="34" t="n">
        <x:v>0</x:v>
      </x:c>
      <x:c r="Q2473" s="37" t="n">
        <x:v>46115.03601851852</x:v>
      </x:c>
    </x:row>
    <x:row r="2474">
      <x:c r="A2474" s="22" t="n">
        <x:v>32903</x:v>
      </x:c>
      <x:c r="B2474" s="28" t="n">
        <x:v>1251.36</x:v>
      </x:c>
      <x:c r="C2474" s="28"/>
      <x:c r="D2474" s="31" t="str">
        <x:f>IF(OR(ISBLANK(B2474),ISBLANK(C2474),B2474=0),"",(C2474-B2474)/B2474)</x:f>
      </x:c>
      <x:c r="E2474" s="22" t="str">
        <x:f>IF(ISBLANK(C2474),"AmountIncludingTax缺失",IF(ABS(B2474-C2474)&lt;0.005,"一致","不一致"))</x:f>
        <x:v>AmountIncludingTax缺失</x:v>
      </x:c>
      <x:c r="F2474" s="19" t="str">
        <x:v>approved</x:v>
      </x:c>
      <x:c r="G2474" s="19" t="str">
        <x:v>Partially Picked</x:v>
      </x:c>
      <x:c r="H2474" s="19" t="str">
        <x:v>In Field</x:v>
      </x:c>
      <x:c r="I2474" s="37" t="n">
        <x:v>46146</x:v>
      </x:c>
      <x:c r="J2474" s="37" t="n">
        <x:v>46146</x:v>
      </x:c>
      <x:c r="K2474" s="19" t="str">
        <x:v>Green RV - Forest Glen</x:v>
      </x:c>
      <x:c r="L2474" s="19" t="str">
        <x:v>Z006</x:v>
      </x:c>
      <x:c r="M2474" s="19" t="str">
        <x:v>In Field Warranty Claims</x:v>
      </x:c>
      <x:c r="N2474" s="37" t="n">
        <x:v>46108</x:v>
      </x:c>
      <x:c r="O2474" s="37"/>
      <x:c r="P2474" s="34" t="n">
        <x:v>0</x:v>
      </x:c>
      <x:c r="Q2474" s="37" t="n">
        <x:v>46145.98111111111</x:v>
      </x:c>
    </x:row>
    <x:row r="2475">
      <x:c r="A2475" s="22" t="n">
        <x:v>32902</x:v>
      </x:c>
      <x:c r="B2475" s="28" t="n">
        <x:v>345.18</x:v>
      </x:c>
      <x:c r="C2475" s="28" t="n">
        <x:v>379.7</x:v>
      </x:c>
      <x:c r="D2475" s="31" t="n">
        <x:f>IF(OR(ISBLANK(B2475),ISBLANK(C2475),B2475=0),"",(C2475-B2475)/B2475)</x:f>
        <x:v>0.10000579407845177</x:v>
      </x:c>
      <x:c r="E2475" s="22" t="str">
        <x:f>IF(ISBLANK(C2475),"AmountIncludingTax缺失",IF(ABS(B2475-C2475)&lt;0.005,"一致","不一致"))</x:f>
        <x:v>不一致</x:v>
      </x:c>
      <x:c r="F2475" s="19" t="str">
        <x:v>approved</x:v>
      </x:c>
      <x:c r="G2475" s="19" t="str">
        <x:v>Repairer Invoiced Processed</x:v>
      </x:c>
      <x:c r="H2475" s="19" t="str">
        <x:v>In Field</x:v>
      </x:c>
      <x:c r="I2475" s="37" t="n">
        <x:v>46113</x:v>
      </x:c>
      <x:c r="J2475" s="37" t="n">
        <x:v>46113</x:v>
      </x:c>
      <x:c r="K2475" s="19" t="str">
        <x:v>Regent RV - Perth</x:v>
      </x:c>
      <x:c r="L2475" s="19" t="str">
        <x:v>Z006</x:v>
      </x:c>
      <x:c r="M2475" s="19" t="str">
        <x:v>In Field Warranty Claims</x:v>
      </x:c>
      <x:c r="N2475" s="37" t="n">
        <x:v>46108</x:v>
      </x:c>
      <x:c r="O2475" s="37"/>
      <x:c r="P2475" s="34" t="n">
        <x:v>379.7</x:v>
      </x:c>
      <x:c r="Q2475" s="37" t="n">
        <x:v>46113.02758101852</x:v>
      </x:c>
    </x:row>
    <x:row r="2476">
      <x:c r="A2476" s="22" t="n">
        <x:v>32890</x:v>
      </x:c>
      <x:c r="B2476" s="28" t="n">
        <x:v>863.75</x:v>
      </x:c>
      <x:c r="C2476" s="28"/>
      <x:c r="D2476" s="31" t="str">
        <x:f>IF(OR(ISBLANK(B2476),ISBLANK(C2476),B2476=0),"",(C2476-B2476)/B2476)</x:f>
      </x:c>
      <x:c r="E2476" s="22" t="str">
        <x:f>IF(ISBLANK(C2476),"AmountIncludingTax缺失",IF(ABS(B2476-C2476)&lt;0.005,"一致","不一致"))</x:f>
        <x:v>AmountIncludingTax缺失</x:v>
      </x:c>
      <x:c r="F2476" s="19" t="str">
        <x:v>approved</x:v>
      </x:c>
      <x:c r="G2476" s="19" t="str">
        <x:v>Repair in Progress</x:v>
      </x:c>
      <x:c r="H2476" s="19" t="str">
        <x:v>In Field</x:v>
      </x:c>
      <x:c r="I2476" s="37" t="n">
        <x:v>46110</x:v>
      </x:c>
      <x:c r="J2476" s="37" t="n">
        <x:v>46110</x:v>
      </x:c>
      <x:c r="K2476" s="19" t="str">
        <x:v>Regent RV - Townsville</x:v>
      </x:c>
      <x:c r="L2476" s="19" t="str">
        <x:v>Z006</x:v>
      </x:c>
      <x:c r="M2476" s="19" t="str">
        <x:v>In Field Warranty Claims</x:v>
      </x:c>
      <x:c r="N2476" s="37" t="n">
        <x:v>46107</x:v>
      </x:c>
      <x:c r="O2476" s="37"/>
      <x:c r="P2476" s="34" t="n">
        <x:v>0</x:v>
      </x:c>
      <x:c r="Q2476" s="37" t="n">
        <x:v>46110.48193287037</x:v>
      </x:c>
    </x:row>
    <x:row r="2477">
      <x:c r="A2477" s="22" t="n">
        <x:v>32889</x:v>
      </x:c>
      <x:c r="B2477" s="28" t="n">
        <x:v>346.59</x:v>
      </x:c>
      <x:c r="C2477" s="28"/>
      <x:c r="D2477" s="31" t="str">
        <x:f>IF(OR(ISBLANK(B2477),ISBLANK(C2477),B2477=0),"",(C2477-B2477)/B2477)</x:f>
      </x:c>
      <x:c r="E2477" s="22" t="str">
        <x:f>IF(ISBLANK(C2477),"AmountIncludingTax缺失",IF(ABS(B2477-C2477)&lt;0.005,"一致","不一致"))</x:f>
        <x:v>AmountIncludingTax缺失</x:v>
      </x:c>
      <x:c r="F2477" s="19" t="str">
        <x:v>approved</x:v>
      </x:c>
      <x:c r="G2477" s="19" t="str">
        <x:v>Partially Picked</x:v>
      </x:c>
      <x:c r="H2477" s="19" t="str">
        <x:v>Pre Delivery</x:v>
      </x:c>
      <x:c r="I2477" s="37" t="n">
        <x:v>46142</x:v>
      </x:c>
      <x:c r="J2477" s="37" t="n">
        <x:v>46142</x:v>
      </x:c>
      <x:c r="K2477" s="19" t="str">
        <x:v>Lesiure Lion-New Castle</x:v>
      </x:c>
      <x:c r="L2477" s="19" t="str">
        <x:v>Z005</x:v>
      </x:c>
      <x:c r="M2477" s="19" t="str">
        <x:v>Pre Delivery Warranty Claims</x:v>
      </x:c>
      <x:c r="N2477" s="37" t="n">
        <x:v>46107</x:v>
      </x:c>
      <x:c r="O2477" s="37"/>
      <x:c r="P2477" s="34" t="n">
        <x:v>0</x:v>
      </x:c>
      <x:c r="Q2477" s="37" t="n">
        <x:v>46141.97398148148</x:v>
      </x:c>
    </x:row>
    <x:row r="2478">
      <x:c r="A2478" s="22" t="n">
        <x:v>32888</x:v>
      </x:c>
      <x:c r="B2478" s="28" t="n">
        <x:v>877.5</x:v>
      </x:c>
      <x:c r="C2478" s="28"/>
      <x:c r="D2478" s="31" t="str">
        <x:f>IF(OR(ISBLANK(B2478),ISBLANK(C2478),B2478=0),"",(C2478-B2478)/B2478)</x:f>
      </x:c>
      <x:c r="E2478" s="22" t="str">
        <x:f>IF(ISBLANK(C2478),"AmountIncludingTax缺失",IF(ABS(B2478-C2478)&lt;0.005,"一致","不一致"))</x:f>
        <x:v>AmountIncludingTax缺失</x:v>
      </x:c>
      <x:c r="F2478" s="19" t="str">
        <x:v>approved</x:v>
      </x:c>
      <x:c r="G2478" s="19" t="str">
        <x:v>Repairer Invoiced Processed</x:v>
      </x:c>
      <x:c r="H2478" s="19" t="str">
        <x:v>In Field</x:v>
      </x:c>
      <x:c r="I2478" s="37" t="n">
        <x:v>46108</x:v>
      </x:c>
      <x:c r="J2478" s="37" t="n">
        <x:v>46108</x:v>
      </x:c>
      <x:c r="K2478" s="19" t="str">
        <x:v>Green RV - Forest Glen</x:v>
      </x:c>
      <x:c r="L2478" s="19" t="str">
        <x:v>Z006</x:v>
      </x:c>
      <x:c r="M2478" s="19" t="str">
        <x:v>In Field Warranty Claims</x:v>
      </x:c>
      <x:c r="N2478" s="37" t="n">
        <x:v>46107</x:v>
      </x:c>
      <x:c r="O2478" s="37"/>
      <x:c r="P2478" s="34" t="n">
        <x:v>0</x:v>
      </x:c>
      <x:c r="Q2478" s="37" t="n">
        <x:v>46108.121666666666</x:v>
      </x:c>
    </x:row>
    <x:row r="2479">
      <x:c r="A2479" s="22" t="n">
        <x:v>32887</x:v>
      </x:c>
      <x:c r="B2479" s="28" t="n">
        <x:v>443.75</x:v>
      </x:c>
      <x:c r="C2479" s="28"/>
      <x:c r="D2479" s="31" t="str">
        <x:f>IF(OR(ISBLANK(B2479),ISBLANK(C2479),B2479=0),"",(C2479-B2479)/B2479)</x:f>
      </x:c>
      <x:c r="E2479" s="22" t="str">
        <x:f>IF(ISBLANK(C2479),"AmountIncludingTax缺失",IF(ABS(B2479-C2479)&lt;0.005,"一致","不一致"))</x:f>
        <x:v>AmountIncludingTax缺失</x:v>
      </x:c>
      <x:c r="F2479" s="19" t="str">
        <x:v>approved</x:v>
      </x:c>
      <x:c r="G2479" s="19" t="str">
        <x:v>Repairer Invoiced Processed</x:v>
      </x:c>
      <x:c r="H2479" s="19" t="str">
        <x:v>Pre Delivery</x:v>
      </x:c>
      <x:c r="I2479" s="37" t="n">
        <x:v>46185</x:v>
      </x:c>
      <x:c r="J2479" s="37" t="n">
        <x:v>46185</x:v>
      </x:c>
      <x:c r="K2479" s="19" t="str">
        <x:v>The Caravan Hub - Townsville</x:v>
      </x:c>
      <x:c r="L2479" s="19" t="str">
        <x:v>Z005</x:v>
      </x:c>
      <x:c r="M2479" s="19" t="str">
        <x:v>Pre Delivery Warranty Claims</x:v>
      </x:c>
      <x:c r="N2479" s="37" t="n">
        <x:v>46107</x:v>
      </x:c>
      <x:c r="O2479" s="37"/>
      <x:c r="P2479" s="34" t="n">
        <x:v>0</x:v>
      </x:c>
      <x:c r="Q2479" s="37" t="n">
        <x:v>46185.180497685185</x:v>
      </x:c>
    </x:row>
    <x:row r="2480">
      <x:c r="A2480" s="22" t="n">
        <x:v>32886</x:v>
      </x:c>
      <x:c r="B2480" s="28" t="n">
        <x:v>135</x:v>
      </x:c>
      <x:c r="C2480" s="28"/>
      <x:c r="D2480" s="31" t="str">
        <x:f>IF(OR(ISBLANK(B2480),ISBLANK(C2480),B2480=0),"",(C2480-B2480)/B2480)</x:f>
      </x:c>
      <x:c r="E2480" s="22" t="str">
        <x:f>IF(ISBLANK(C2480),"AmountIncludingTax缺失",IF(ABS(B2480-C2480)&lt;0.005,"一致","不一致"))</x:f>
        <x:v>AmountIncludingTax缺失</x:v>
      </x:c>
      <x:c r="F2480" s="19" t="str">
        <x:v>approved</x:v>
      </x:c>
      <x:c r="G2480" s="19" t="str">
        <x:v>Repair in Progress</x:v>
      </x:c>
      <x:c r="H2480" s="19" t="str">
        <x:v>In Field</x:v>
      </x:c>
      <x:c r="I2480" s="37" t="n">
        <x:v>46115</x:v>
      </x:c>
      <x:c r="J2480" s="37" t="n">
        <x:v>46115</x:v>
      </x:c>
      <x:c r="K2480" s="19" t="str">
        <x:v>Regent RV - Frankston</x:v>
      </x:c>
      <x:c r="L2480" s="19" t="str">
        <x:v>Z006</x:v>
      </x:c>
      <x:c r="M2480" s="19" t="str">
        <x:v>In Field Warranty Claims</x:v>
      </x:c>
      <x:c r="N2480" s="37" t="n">
        <x:v>46107</x:v>
      </x:c>
      <x:c r="O2480" s="37"/>
      <x:c r="P2480" s="34" t="n">
        <x:v>0</x:v>
      </x:c>
      <x:c r="Q2480" s="37" t="n">
        <x:v>46115.44453703704</x:v>
      </x:c>
    </x:row>
    <x:row r="2481">
      <x:c r="A2481" s="22" t="n">
        <x:v>32885</x:v>
      </x:c>
      <x:c r="B2481" s="28" t="n">
        <x:v>1231.25</x:v>
      </x:c>
      <x:c r="C2481" s="28"/>
      <x:c r="D2481" s="31" t="str">
        <x:f>IF(OR(ISBLANK(B2481),ISBLANK(C2481),B2481=0),"",(C2481-B2481)/B2481)</x:f>
      </x:c>
      <x:c r="E2481" s="22" t="str">
        <x:f>IF(ISBLANK(C2481),"AmountIncludingTax缺失",IF(ABS(B2481-C2481)&lt;0.005,"一致","不一致"))</x:f>
        <x:v>AmountIncludingTax缺失</x:v>
      </x:c>
      <x:c r="F2481" s="19" t="str">
        <x:v>approved</x:v>
      </x:c>
      <x:c r="G2481" s="19" t="str">
        <x:v>Partially Picked</x:v>
      </x:c>
      <x:c r="H2481" s="19" t="str">
        <x:v>In Field</x:v>
      </x:c>
      <x:c r="I2481" s="37" t="n">
        <x:v>46196</x:v>
      </x:c>
      <x:c r="J2481" s="37" t="n">
        <x:v>46196</x:v>
      </x:c>
      <x:c r="K2481" s="19" t="str">
        <x:v>Regent RV - Perth</x:v>
      </x:c>
      <x:c r="L2481" s="19" t="str">
        <x:v>Z006</x:v>
      </x:c>
      <x:c r="M2481" s="19" t="str">
        <x:v>In Field Warranty Claims</x:v>
      </x:c>
      <x:c r="N2481" s="37" t="n">
        <x:v>46107</x:v>
      </x:c>
      <x:c r="O2481" s="37" t="n">
        <x:v>46192</x:v>
      </x:c>
      <x:c r="P2481" s="34" t="n">
        <x:v>0</x:v>
      </x:c>
      <x:c r="Q2481" s="37" t="n">
        <x:v>46196.01967592593</x:v>
      </x:c>
    </x:row>
    <x:row r="2482">
      <x:c r="A2482" s="22" t="n">
        <x:v>32882</x:v>
      </x:c>
      <x:c r="B2482" s="28" t="n">
        <x:v>460</x:v>
      </x:c>
      <x:c r="C2482" s="28" t="n">
        <x:v>506</x:v>
      </x:c>
      <x:c r="D2482" s="31" t="n">
        <x:f>IF(OR(ISBLANK(B2482),ISBLANK(C2482),B2482=0),"",(C2482-B2482)/B2482)</x:f>
        <x:v>0.1</x:v>
      </x:c>
      <x:c r="E2482" s="22" t="str">
        <x:f>IF(ISBLANK(C2482),"AmountIncludingTax缺失",IF(ABS(B2482-C2482)&lt;0.005,"一致","不一致"))</x:f>
        <x:v>不一致</x:v>
      </x:c>
      <x:c r="F2482" s="19" t="str">
        <x:v>approved</x:v>
      </x:c>
      <x:c r="G2482" s="19" t="str">
        <x:v>Repairer Invoiced Processed</x:v>
      </x:c>
      <x:c r="H2482" s="19" t="str">
        <x:v>In Field</x:v>
      </x:c>
      <x:c r="I2482" s="37" t="n">
        <x:v>46110</x:v>
      </x:c>
      <x:c r="J2482" s="37" t="n">
        <x:v>46110</x:v>
      </x:c>
      <x:c r="K2482" s="19" t="str">
        <x:v>Regent RV - Townsville</x:v>
      </x:c>
      <x:c r="L2482" s="19" t="str">
        <x:v>Z006</x:v>
      </x:c>
      <x:c r="M2482" s="19" t="str">
        <x:v>In Field Warranty Claims</x:v>
      </x:c>
      <x:c r="N2482" s="37" t="n">
        <x:v>46107</x:v>
      </x:c>
      <x:c r="O2482" s="37"/>
      <x:c r="P2482" s="34" t="n">
        <x:v>506</x:v>
      </x:c>
      <x:c r="Q2482" s="37" t="n">
        <x:v>46110.52337962963</x:v>
      </x:c>
    </x:row>
    <x:row r="2483">
      <x:c r="A2483" s="22" t="n">
        <x:v>32881</x:v>
      </x:c>
      <x:c r="B2483" s="28" t="n">
        <x:v>222.5</x:v>
      </x:c>
      <x:c r="C2483" s="28"/>
      <x:c r="D2483" s="31" t="str">
        <x:f>IF(OR(ISBLANK(B2483),ISBLANK(C2483),B2483=0),"",(C2483-B2483)/B2483)</x:f>
      </x:c>
      <x:c r="E2483" s="22" t="str">
        <x:f>IF(ISBLANK(C2483),"AmountIncludingTax缺失",IF(ABS(B2483-C2483)&lt;0.005,"一致","不一致"))</x:f>
        <x:v>AmountIncludingTax缺失</x:v>
      </x:c>
      <x:c r="F2483" s="19" t="str">
        <x:v>approved</x:v>
      </x:c>
      <x:c r="G2483" s="19" t="str">
        <x:v>Repair in Progress</x:v>
      </x:c>
      <x:c r="H2483" s="19" t="str">
        <x:v>Pre Delivery</x:v>
      </x:c>
      <x:c r="I2483" s="37" t="n">
        <x:v>46136</x:v>
      </x:c>
      <x:c r="J2483" s="37" t="n">
        <x:v>46136</x:v>
      </x:c>
      <x:c r="K2483" s="19" t="str">
        <x:v>Snowy River Wangaratta</x:v>
      </x:c>
      <x:c r="L2483" s="19" t="str">
        <x:v>Z005</x:v>
      </x:c>
      <x:c r="M2483" s="19" t="str">
        <x:v>Pre Delivery Warranty Claims</x:v>
      </x:c>
      <x:c r="N2483" s="37" t="n">
        <x:v>46107</x:v>
      </x:c>
      <x:c r="O2483" s="37"/>
      <x:c r="P2483" s="34" t="n">
        <x:v>0</x:v>
      </x:c>
      <x:c r="Q2483" s="37" t="n">
        <x:v>46135.97891203704</x:v>
      </x:c>
    </x:row>
    <x:row r="2484">
      <x:c r="A2484" s="22" t="n">
        <x:v>32880</x:v>
      </x:c>
      <x:c r="B2484" s="28" t="n">
        <x:v>236.36</x:v>
      </x:c>
      <x:c r="C2484" s="28" t="n">
        <x:v>260</x:v>
      </x:c>
      <x:c r="D2484" s="31" t="n">
        <x:f>IF(OR(ISBLANK(B2484),ISBLANK(C2484),B2484=0),"",(C2484-B2484)/B2484)</x:f>
        <x:v>0.10001692333728204</x:v>
      </x:c>
      <x:c r="E2484" s="22" t="str">
        <x:f>IF(ISBLANK(C2484),"AmountIncludingTax缺失",IF(ABS(B2484-C2484)&lt;0.005,"一致","不一致"))</x:f>
        <x:v>不一致</x:v>
      </x:c>
      <x:c r="F2484" s="19" t="str">
        <x:v>approved</x:v>
      </x:c>
      <x:c r="G2484" s="19" t="str">
        <x:v>Repair in Progress</x:v>
      </x:c>
      <x:c r="H2484" s="19" t="str">
        <x:v>In Field</x:v>
      </x:c>
      <x:c r="I2484" s="37" t="n">
        <x:v>46108</x:v>
      </x:c>
      <x:c r="J2484" s="37" t="n">
        <x:v>46108</x:v>
      </x:c>
      <x:c r="K2484" s="19" t="str">
        <x:v>Green RV - Slacks Creek</x:v>
      </x:c>
      <x:c r="L2484" s="19" t="str">
        <x:v>Z006</x:v>
      </x:c>
      <x:c r="M2484" s="19" t="str">
        <x:v>In Field Warranty Claims</x:v>
      </x:c>
      <x:c r="N2484" s="37" t="n">
        <x:v>46108</x:v>
      </x:c>
      <x:c r="O2484" s="37"/>
      <x:c r="P2484" s="34" t="n">
        <x:v>260</x:v>
      </x:c>
      <x:c r="Q2484" s="37" t="n">
        <x:v>46108.090625</x:v>
      </x:c>
    </x:row>
    <x:row r="2485">
      <x:c r="A2485" s="22" t="n">
        <x:v>32879</x:v>
      </x:c>
      <x:c r="B2485" s="28" t="n">
        <x:v>810</x:v>
      </x:c>
      <x:c r="C2485" s="28" t="n">
        <x:v>891</x:v>
      </x:c>
      <x:c r="D2485" s="31" t="n">
        <x:f>IF(OR(ISBLANK(B2485),ISBLANK(C2485),B2485=0),"",(C2485-B2485)/B2485)</x:f>
        <x:v>0.1</x:v>
      </x:c>
      <x:c r="E2485" s="22" t="str">
        <x:f>IF(ISBLANK(C2485),"AmountIncludingTax缺失",IF(ABS(B2485-C2485)&lt;0.005,"一致","不一致"))</x:f>
        <x:v>不一致</x:v>
      </x:c>
      <x:c r="F2485" s="19" t="str">
        <x:v>approved</x:v>
      </x:c>
      <x:c r="G2485" s="19" t="str">
        <x:v>Repair in Progress</x:v>
      </x:c>
      <x:c r="H2485" s="19" t="str">
        <x:v>In Field</x:v>
      </x:c>
      <x:c r="I2485" s="37" t="n">
        <x:v>46121</x:v>
      </x:c>
      <x:c r="J2485" s="37" t="n">
        <x:v>46121</x:v>
      </x:c>
      <x:c r="K2485" s="19" t="str">
        <x:v>Green RV - Forest Glen</x:v>
      </x:c>
      <x:c r="L2485" s="19" t="str">
        <x:v>Z006</x:v>
      </x:c>
      <x:c r="M2485" s="19" t="str">
        <x:v>In Field Warranty Claims</x:v>
      </x:c>
      <x:c r="N2485" s="37" t="n">
        <x:v>46108</x:v>
      </x:c>
      <x:c r="O2485" s="37"/>
      <x:c r="P2485" s="34" t="n">
        <x:v>891</x:v>
      </x:c>
      <x:c r="Q2485" s="37" t="n">
        <x:v>46121.317349537036</x:v>
      </x:c>
    </x:row>
    <x:row r="2486">
      <x:c r="A2486" s="22" t="n">
        <x:v>32878</x:v>
      </x:c>
      <x:c r="B2486" s="28" t="n">
        <x:v>346.59</x:v>
      </x:c>
      <x:c r="C2486" s="28"/>
      <x:c r="D2486" s="31" t="str">
        <x:f>IF(OR(ISBLANK(B2486),ISBLANK(C2486),B2486=0),"",(C2486-B2486)/B2486)</x:f>
      </x:c>
      <x:c r="E2486" s="22" t="str">
        <x:f>IF(ISBLANK(C2486),"AmountIncludingTax缺失",IF(ABS(B2486-C2486)&lt;0.005,"一致","不一致"))</x:f>
        <x:v>AmountIncludingTax缺失</x:v>
      </x:c>
      <x:c r="F2486" s="19" t="str">
        <x:v>approved</x:v>
      </x:c>
      <x:c r="G2486" s="19" t="str">
        <x:v>Partially Picked</x:v>
      </x:c>
      <x:c r="H2486" s="19" t="str">
        <x:v>Pre Delivery</x:v>
      </x:c>
      <x:c r="I2486" s="37" t="n">
        <x:v>46142</x:v>
      </x:c>
      <x:c r="J2486" s="37" t="n">
        <x:v>46142</x:v>
      </x:c>
      <x:c r="K2486" s="19" t="str">
        <x:v>Lesiure Lion-New Castle</x:v>
      </x:c>
      <x:c r="L2486" s="19" t="str">
        <x:v>Z005</x:v>
      </x:c>
      <x:c r="M2486" s="19" t="str">
        <x:v>Pre Delivery Warranty Claims</x:v>
      </x:c>
      <x:c r="N2486" s="37" t="n">
        <x:v>46107</x:v>
      </x:c>
      <x:c r="O2486" s="37"/>
      <x:c r="P2486" s="34" t="n">
        <x:v>0</x:v>
      </x:c>
      <x:c r="Q2486" s="37" t="n">
        <x:v>46141.97269675926</x:v>
      </x:c>
    </x:row>
    <x:row r="2487">
      <x:c r="A2487" s="22" t="n">
        <x:v>32877</x:v>
      </x:c>
      <x:c r="B2487" s="28" t="n">
        <x:v>822.05</x:v>
      </x:c>
      <x:c r="C2487" s="28"/>
      <x:c r="D2487" s="31" t="str">
        <x:f>IF(OR(ISBLANK(B2487),ISBLANK(C2487),B2487=0),"",(C2487-B2487)/B2487)</x:f>
      </x:c>
      <x:c r="E2487" s="22" t="str">
        <x:f>IF(ISBLANK(C2487),"AmountIncludingTax缺失",IF(ABS(B2487-C2487)&lt;0.005,"一致","不一致"))</x:f>
        <x:v>AmountIncludingTax缺失</x:v>
      </x:c>
      <x:c r="F2487" s="19" t="str">
        <x:v>approved</x:v>
      </x:c>
      <x:c r="G2487" s="19" t="str">
        <x:v>Sales Order Approved</x:v>
      </x:c>
      <x:c r="H2487" s="19" t="str">
        <x:v>Pre Delivery</x:v>
      </x:c>
      <x:c r="I2487" s="37" t="n">
        <x:v>46133</x:v>
      </x:c>
      <x:c r="J2487" s="37" t="n">
        <x:v>46133</x:v>
      </x:c>
      <x:c r="K2487" s="19" t="str">
        <x:v>Snowy River Frankston</x:v>
      </x:c>
      <x:c r="L2487" s="19" t="str">
        <x:v>Z005</x:v>
      </x:c>
      <x:c r="M2487" s="19" t="str">
        <x:v>Pre Delivery Warranty Claims</x:v>
      </x:c>
      <x:c r="N2487" s="37" t="n">
        <x:v>46107</x:v>
      </x:c>
      <x:c r="O2487" s="37"/>
      <x:c r="P2487" s="34" t="n">
        <x:v>0</x:v>
      </x:c>
      <x:c r="Q2487" s="37" t="n">
        <x:v>46133.12483796296</x:v>
      </x:c>
    </x:row>
    <x:row r="2488">
      <x:c r="A2488" s="22" t="n">
        <x:v>32876</x:v>
      </x:c>
      <x:c r="B2488" s="28" t="n">
        <x:v>515</x:v>
      </x:c>
      <x:c r="C2488" s="28"/>
      <x:c r="D2488" s="31" t="str">
        <x:f>IF(OR(ISBLANK(B2488),ISBLANK(C2488),B2488=0),"",(C2488-B2488)/B2488)</x:f>
      </x:c>
      <x:c r="E2488" s="22" t="str">
        <x:f>IF(ISBLANK(C2488),"AmountIncludingTax缺失",IF(ABS(B2488-C2488)&lt;0.005,"一致","不一致"))</x:f>
        <x:v>AmountIncludingTax缺失</x:v>
      </x:c>
      <x:c r="F2488" s="19" t="str">
        <x:v>approved</x:v>
      </x:c>
      <x:c r="G2488" s="19" t="str">
        <x:v>Repairer Invoiced Processed</x:v>
      </x:c>
      <x:c r="H2488" s="19" t="str">
        <x:v>In Field</x:v>
      </x:c>
      <x:c r="I2488" s="37" t="n">
        <x:v>46210</x:v>
      </x:c>
      <x:c r="J2488" s="37" t="n">
        <x:v>46129</x:v>
      </x:c>
      <x:c r="K2488" s="19" t="str">
        <x:v>Leisure Lion Pty Ltd - Morisset</x:v>
      </x:c>
      <x:c r="L2488" s="19" t="str">
        <x:v>Z006</x:v>
      </x:c>
      <x:c r="M2488" s="19" t="str">
        <x:v>In Field Warranty Claims</x:v>
      </x:c>
      <x:c r="N2488" s="37" t="n">
        <x:v>46107</x:v>
      </x:c>
      <x:c r="O2488" s="37"/>
      <x:c r="P2488" s="34" t="n">
        <x:v>0</x:v>
      </x:c>
      <x:c r="Q2488" s="37" t="n">
        <x:v>46210.10768518518</x:v>
      </x:c>
    </x:row>
    <x:row r="2489">
      <x:c r="A2489" s="22" t="n">
        <x:v>32874</x:v>
      </x:c>
      <x:c r="B2489" s="28" t="n">
        <x:v>384.55</x:v>
      </x:c>
      <x:c r="C2489" s="28" t="n">
        <x:v>423.01</x:v>
      </x:c>
      <x:c r="D2489" s="31" t="n">
        <x:f>IF(OR(ISBLANK(B2489),ISBLANK(C2489),B2489=0),"",(C2489-B2489)/B2489)</x:f>
        <x:v>0.1000130022103757</x:v>
      </x:c>
      <x:c r="E2489" s="22" t="str">
        <x:f>IF(ISBLANK(C2489),"AmountIncludingTax缺失",IF(ABS(B2489-C2489)&lt;0.005,"一致","不一致"))</x:f>
        <x:v>不一致</x:v>
      </x:c>
      <x:c r="F2489" s="19" t="str">
        <x:v>approved</x:v>
      </x:c>
      <x:c r="G2489" s="19" t="str">
        <x:v>Repairer Invoiced Processed</x:v>
      </x:c>
      <x:c r="H2489" s="19" t="str">
        <x:v>In Field</x:v>
      </x:c>
      <x:c r="I2489" s="37" t="n">
        <x:v>46164</x:v>
      </x:c>
      <x:c r="J2489" s="37" t="n">
        <x:v>46164</x:v>
      </x:c>
      <x:c r="K2489" s="19" t="str">
        <x:v>Regent RV - Toowoomba</x:v>
      </x:c>
      <x:c r="L2489" s="19" t="str">
        <x:v>Z006</x:v>
      </x:c>
      <x:c r="M2489" s="19" t="str">
        <x:v>In Field Warranty Claims</x:v>
      </x:c>
      <x:c r="N2489" s="37" t="n">
        <x:v>46107</x:v>
      </x:c>
      <x:c r="O2489" s="37"/>
      <x:c r="P2489" s="34" t="n">
        <x:v>423.01</x:v>
      </x:c>
      <x:c r="Q2489" s="37" t="n">
        <x:v>46164.115625</x:v>
      </x:c>
    </x:row>
    <x:row r="2490">
      <x:c r="A2490" s="22" t="n">
        <x:v>32873</x:v>
      </x:c>
      <x:c r="B2490" s="28" t="n">
        <x:v>135</x:v>
      </x:c>
      <x:c r="C2490" s="28"/>
      <x:c r="D2490" s="31" t="str">
        <x:f>IF(OR(ISBLANK(B2490),ISBLANK(C2490),B2490=0),"",(C2490-B2490)/B2490)</x:f>
      </x:c>
      <x:c r="E2490" s="22" t="str">
        <x:f>IF(ISBLANK(C2490),"AmountIncludingTax缺失",IF(ABS(B2490-C2490)&lt;0.005,"一致","不一致"))</x:f>
        <x:v>AmountIncludingTax缺失</x:v>
      </x:c>
      <x:c r="F2490" s="19" t="str">
        <x:v>approved</x:v>
      </x:c>
      <x:c r="G2490" s="19" t="str">
        <x:v>Repair in Progress</x:v>
      </x:c>
      <x:c r="H2490" s="19" t="str">
        <x:v>In Field</x:v>
      </x:c>
      <x:c r="I2490" s="37" t="n">
        <x:v>46142</x:v>
      </x:c>
      <x:c r="J2490" s="37" t="n">
        <x:v>46142</x:v>
      </x:c>
      <x:c r="K2490" s="19" t="str">
        <x:v>Not Assigned</x:v>
      </x:c>
      <x:c r="L2490" s="19" t="str">
        <x:v>Z006</x:v>
      </x:c>
      <x:c r="M2490" s="19" t="str">
        <x:v>In Field Warranty Claims</x:v>
      </x:c>
      <x:c r="N2490" s="37" t="n">
        <x:v>46107</x:v>
      </x:c>
      <x:c r="O2490" s="37"/>
      <x:c r="P2490" s="34" t="n">
        <x:v>0</x:v>
      </x:c>
      <x:c r="Q2490" s="37" t="n">
        <x:v>46141.94614583333</x:v>
      </x:c>
    </x:row>
    <x:row r="2491">
      <x:c r="A2491" s="22" t="n">
        <x:v>32872</x:v>
      </x:c>
      <x:c r="B2491" s="28" t="n">
        <x:v>600</x:v>
      </x:c>
      <x:c r="C2491" s="28"/>
      <x:c r="D2491" s="31" t="str">
        <x:f>IF(OR(ISBLANK(B2491),ISBLANK(C2491),B2491=0),"",(C2491-B2491)/B2491)</x:f>
      </x:c>
      <x:c r="E2491" s="22" t="str">
        <x:f>IF(ISBLANK(C2491),"AmountIncludingTax缺失",IF(ABS(B2491-C2491)&lt;0.005,"一致","不一致"))</x:f>
        <x:v>AmountIncludingTax缺失</x:v>
      </x:c>
      <x:c r="F2491" s="19" t="str">
        <x:v>approved</x:v>
      </x:c>
      <x:c r="G2491" s="19" t="str">
        <x:v>Repair in Progress</x:v>
      </x:c>
      <x:c r="H2491" s="19" t="str">
        <x:v>In Field</x:v>
      </x:c>
      <x:c r="I2491" s="37" t="n">
        <x:v>46110</x:v>
      </x:c>
      <x:c r="J2491" s="37" t="n">
        <x:v>46110</x:v>
      </x:c>
      <x:c r="K2491" s="19" t="str">
        <x:v>Regent RV - Townsville</x:v>
      </x:c>
      <x:c r="L2491" s="19" t="str">
        <x:v>Z006</x:v>
      </x:c>
      <x:c r="M2491" s="19" t="str">
        <x:v>In Field Warranty Claims</x:v>
      </x:c>
      <x:c r="N2491" s="37" t="n">
        <x:v>46107</x:v>
      </x:c>
      <x:c r="O2491" s="37"/>
      <x:c r="P2491" s="34" t="n">
        <x:v>0</x:v>
      </x:c>
      <x:c r="Q2491" s="37" t="n">
        <x:v>46110.529641203706</x:v>
      </x:c>
    </x:row>
    <x:row r="2492">
      <x:c r="A2492" s="22" t="n">
        <x:v>32869</x:v>
      </x:c>
      <x:c r="B2492" s="28" t="n">
        <x:v>222.5</x:v>
      </x:c>
      <x:c r="C2492" s="28"/>
      <x:c r="D2492" s="31" t="str">
        <x:f>IF(OR(ISBLANK(B2492),ISBLANK(C2492),B2492=0),"",(C2492-B2492)/B2492)</x:f>
      </x:c>
      <x:c r="E2492" s="22" t="str">
        <x:f>IF(ISBLANK(C2492),"AmountIncludingTax缺失",IF(ABS(B2492-C2492)&lt;0.005,"一致","不一致"))</x:f>
        <x:v>AmountIncludingTax缺失</x:v>
      </x:c>
      <x:c r="F2492" s="19" t="str">
        <x:v>approved</x:v>
      </x:c>
      <x:c r="G2492" s="19" t="str">
        <x:v>Repair in Progress</x:v>
      </x:c>
      <x:c r="H2492" s="19" t="str">
        <x:v>In Field</x:v>
      </x:c>
      <x:c r="I2492" s="37" t="n">
        <x:v>46111</x:v>
      </x:c>
      <x:c r="J2492" s="37" t="n">
        <x:v>46111</x:v>
      </x:c>
      <x:c r="K2492" s="19" t="str">
        <x:v>Regent RV - Perth</x:v>
      </x:c>
      <x:c r="L2492" s="19" t="str">
        <x:v>Z006</x:v>
      </x:c>
      <x:c r="M2492" s="19" t="str">
        <x:v>In Field Warranty Claims</x:v>
      </x:c>
      <x:c r="N2492" s="37" t="n">
        <x:v>46111</x:v>
      </x:c>
      <x:c r="O2492" s="37"/>
      <x:c r="P2492" s="34" t="n">
        <x:v>0</x:v>
      </x:c>
      <x:c r="Q2492" s="37" t="n">
        <x:v>46111.08460648148</x:v>
      </x:c>
    </x:row>
    <x:row r="2493">
      <x:c r="A2493" s="22" t="n">
        <x:v>32861</x:v>
      </x:c>
      <x:c r="B2493" s="28" t="n">
        <x:v>3660</x:v>
      </x:c>
      <x:c r="C2493" s="28"/>
      <x:c r="D2493" s="31" t="str">
        <x:f>IF(OR(ISBLANK(B2493),ISBLANK(C2493),B2493=0),"",(C2493-B2493)/B2493)</x:f>
      </x:c>
      <x:c r="E2493" s="22" t="str">
        <x:f>IF(ISBLANK(C2493),"AmountIncludingTax缺失",IF(ABS(B2493-C2493)&lt;0.005,"一致","不一致"))</x:f>
        <x:v>AmountIncludingTax缺失</x:v>
      </x:c>
      <x:c r="F2493" s="19" t="str">
        <x:v>approved</x:v>
      </x:c>
      <x:c r="G2493" s="19" t="str">
        <x:v>Repair in Progress</x:v>
      </x:c>
      <x:c r="H2493" s="19" t="str">
        <x:v>In Field</x:v>
      </x:c>
      <x:c r="I2493" s="37" t="n">
        <x:v>46167</x:v>
      </x:c>
      <x:c r="J2493" s="37" t="n">
        <x:v>46167</x:v>
      </x:c>
      <x:c r="K2493" s="19" t="str">
        <x:v>Regent RV - Frankston</x:v>
      </x:c>
      <x:c r="L2493" s="19" t="str">
        <x:v>Z006</x:v>
      </x:c>
      <x:c r="M2493" s="19" t="str">
        <x:v>In Field Warranty Claims</x:v>
      </x:c>
      <x:c r="N2493" s="37" t="n">
        <x:v>46107</x:v>
      </x:c>
      <x:c r="O2493" s="37" t="n">
        <x:v>46150</x:v>
      </x:c>
      <x:c r="P2493" s="34" t="n">
        <x:v>4026</x:v>
      </x:c>
      <x:c r="Q2493" s="37" t="n">
        <x:v>46166.93019675926</x:v>
      </x:c>
    </x:row>
    <x:row r="2494">
      <x:c r="A2494" s="22" t="n">
        <x:v>32860</x:v>
      </x:c>
      <x:c r="B2494" s="28" t="n">
        <x:v>222.5</x:v>
      </x:c>
      <x:c r="C2494" s="28"/>
      <x:c r="D2494" s="31" t="str">
        <x:f>IF(OR(ISBLANK(B2494),ISBLANK(C2494),B2494=0),"",(C2494-B2494)/B2494)</x:f>
      </x:c>
      <x:c r="E2494" s="22" t="str">
        <x:f>IF(ISBLANK(C2494),"AmountIncludingTax缺失",IF(ABS(B2494-C2494)&lt;0.005,"一致","不一致"))</x:f>
        <x:v>AmountIncludingTax缺失</x:v>
      </x:c>
      <x:c r="F2494" s="19" t="str">
        <x:v>approved</x:v>
      </x:c>
      <x:c r="G2494" s="19" t="str">
        <x:v>Repair in Progress</x:v>
      </x:c>
      <x:c r="H2494" s="19" t="str">
        <x:v>In Field</x:v>
      </x:c>
      <x:c r="I2494" s="37" t="n">
        <x:v>46111</x:v>
      </x:c>
      <x:c r="J2494" s="37" t="n">
        <x:v>46111</x:v>
      </x:c>
      <x:c r="K2494" s="19" t="str">
        <x:v>Snowy River Wangaratta</x:v>
      </x:c>
      <x:c r="L2494" s="19" t="str">
        <x:v>Z006</x:v>
      </x:c>
      <x:c r="M2494" s="19" t="str">
        <x:v>In Field Warranty Claims</x:v>
      </x:c>
      <x:c r="N2494" s="37" t="n">
        <x:v>46107</x:v>
      </x:c>
      <x:c r="O2494" s="37"/>
      <x:c r="P2494" s="34" t="n">
        <x:v>0</x:v>
      </x:c>
      <x:c r="Q2494" s="37" t="n">
        <x:v>46111.02469907407</x:v>
      </x:c>
    </x:row>
    <x:row r="2495">
      <x:c r="A2495" s="22" t="n">
        <x:v>32859</x:v>
      </x:c>
      <x:c r="B2495" s="28" t="n">
        <x:v>776.25</x:v>
      </x:c>
      <x:c r="C2495" s="28"/>
      <x:c r="D2495" s="31" t="str">
        <x:f>IF(OR(ISBLANK(B2495),ISBLANK(C2495),B2495=0),"",(C2495-B2495)/B2495)</x:f>
      </x:c>
      <x:c r="E2495" s="22" t="str">
        <x:f>IF(ISBLANK(C2495),"AmountIncludingTax缺失",IF(ABS(B2495-C2495)&lt;0.005,"一致","不一致"))</x:f>
        <x:v>AmountIncludingTax缺失</x:v>
      </x:c>
      <x:c r="F2495" s="19" t="str">
        <x:v>approved</x:v>
      </x:c>
      <x:c r="G2495" s="19" t="str">
        <x:v>Repair in Progress</x:v>
      </x:c>
      <x:c r="H2495" s="19" t="str">
        <x:v>In Field</x:v>
      </x:c>
      <x:c r="I2495" s="37" t="n">
        <x:v>46136</x:v>
      </x:c>
      <x:c r="J2495" s="37" t="n">
        <x:v>46136</x:v>
      </x:c>
      <x:c r="K2495" s="19" t="str">
        <x:v>Leisure Lion Pty Ltd - Toowoomba</x:v>
      </x:c>
      <x:c r="L2495" s="19" t="str">
        <x:v>Z006</x:v>
      </x:c>
      <x:c r="M2495" s="19" t="str">
        <x:v>In Field Warranty Claims</x:v>
      </x:c>
      <x:c r="N2495" s="37" t="n">
        <x:v>46107</x:v>
      </x:c>
      <x:c r="O2495" s="37"/>
      <x:c r="P2495" s="34" t="n">
        <x:v>0</x:v>
      </x:c>
      <x:c r="Q2495" s="37" t="n">
        <x:v>46136.016388888886</x:v>
      </x:c>
    </x:row>
    <x:row r="2496">
      <x:c r="A2496" s="22" t="n">
        <x:v>32858</x:v>
      </x:c>
      <x:c r="B2496" s="28" t="n">
        <x:v>893.75</x:v>
      </x:c>
      <x:c r="C2496" s="28"/>
      <x:c r="D2496" s="31" t="str">
        <x:f>IF(OR(ISBLANK(B2496),ISBLANK(C2496),B2496=0),"",(C2496-B2496)/B2496)</x:f>
      </x:c>
      <x:c r="E2496" s="22" t="str">
        <x:f>IF(ISBLANK(C2496),"AmountIncludingTax缺失",IF(ABS(B2496-C2496)&lt;0.005,"一致","不一致"))</x:f>
        <x:v>AmountIncludingTax缺失</x:v>
      </x:c>
      <x:c r="F2496" s="19" t="str">
        <x:v>approved</x:v>
      </x:c>
      <x:c r="G2496" s="19" t="str">
        <x:v>Repairer Invoiced Processed</x:v>
      </x:c>
      <x:c r="H2496" s="19" t="str">
        <x:v>Pre Delivery</x:v>
      </x:c>
      <x:c r="I2496" s="37" t="n">
        <x:v>46210</x:v>
      </x:c>
      <x:c r="J2496" s="37" t="n">
        <x:v>46210</x:v>
      </x:c>
      <x:c r="K2496" s="19" t="str">
        <x:v>Leisure Lion - Bundaberg</x:v>
      </x:c>
      <x:c r="L2496" s="19" t="str">
        <x:v>Z005</x:v>
      </x:c>
      <x:c r="M2496" s="19" t="str">
        <x:v>Pre Delivery Warranty Claims</x:v>
      </x:c>
      <x:c r="N2496" s="37" t="n">
        <x:v>46107</x:v>
      </x:c>
      <x:c r="O2496" s="37"/>
      <x:c r="P2496" s="34" t="n">
        <x:v>0</x:v>
      </x:c>
      <x:c r="Q2496" s="37" t="n">
        <x:v>46210.23189814815</x:v>
      </x:c>
    </x:row>
    <x:row r="2497">
      <x:c r="A2497" s="22" t="n">
        <x:v>32857</x:v>
      </x:c>
      <x:c r="B2497" s="28" t="n">
        <x:v>45</x:v>
      </x:c>
      <x:c r="C2497" s="28" t="n">
        <x:v>40.74</x:v>
      </x:c>
      <x:c r="D2497" s="31" t="n">
        <x:f>IF(OR(ISBLANK(B2497),ISBLANK(C2497),B2497=0),"",(C2497-B2497)/B2497)</x:f>
        <x:v>-0.09466666666666662</x:v>
      </x:c>
      <x:c r="E2497" s="22" t="str">
        <x:f>IF(ISBLANK(C2497),"AmountIncludingTax缺失",IF(ABS(B2497-C2497)&lt;0.005,"一致","不一致"))</x:f>
        <x:v>不一致</x:v>
      </x:c>
      <x:c r="F2497" s="19" t="str">
        <x:v>approved</x:v>
      </x:c>
      <x:c r="G2497" s="19" t="str">
        <x:v>Repairer Invoiced Processed</x:v>
      </x:c>
      <x:c r="H2497" s="19" t="str">
        <x:v>In Field</x:v>
      </x:c>
      <x:c r="I2497" s="37" t="n">
        <x:v>46114</x:v>
      </x:c>
      <x:c r="J2497" s="37" t="n">
        <x:v>46114</x:v>
      </x:c>
      <x:c r="K2497" s="19" t="str">
        <x:v>Vanari Caravans - Marden Point</x:v>
      </x:c>
      <x:c r="L2497" s="19" t="str">
        <x:v>Z006</x:v>
      </x:c>
      <x:c r="M2497" s="19" t="str">
        <x:v>In Field Warranty Claims</x:v>
      </x:c>
      <x:c r="N2497" s="37" t="n">
        <x:v>46107</x:v>
      </x:c>
      <x:c r="O2497" s="37"/>
      <x:c r="P2497" s="34" t="n">
        <x:v>40.74</x:v>
      </x:c>
      <x:c r="Q2497" s="37" t="n">
        <x:v>46114.09670138889</x:v>
      </x:c>
    </x:row>
    <x:row r="2498">
      <x:c r="A2498" s="22" t="n">
        <x:v>32856</x:v>
      </x:c>
      <x:c r="B2498" s="28" t="n">
        <x:v>110.35</x:v>
      </x:c>
      <x:c r="C2498" s="28"/>
      <x:c r="D2498" s="31" t="str">
        <x:f>IF(OR(ISBLANK(B2498),ISBLANK(C2498),B2498=0),"",(C2498-B2498)/B2498)</x:f>
      </x:c>
      <x:c r="E2498" s="22" t="str">
        <x:f>IF(ISBLANK(C2498),"AmountIncludingTax缺失",IF(ABS(B2498-C2498)&lt;0.005,"一致","不一致"))</x:f>
        <x:v>AmountIncludingTax缺失</x:v>
      </x:c>
      <x:c r="F2498" s="19" t="str">
        <x:v>approved</x:v>
      </x:c>
      <x:c r="G2498" s="19" t="str">
        <x:v>Repairer Invoiced Processed</x:v>
      </x:c>
      <x:c r="H2498" s="19" t="str">
        <x:v>Pre Delivery</x:v>
      </x:c>
      <x:c r="I2498" s="37" t="n">
        <x:v>46136</x:v>
      </x:c>
      <x:c r="J2498" s="37" t="n">
        <x:v>46136</x:v>
      </x:c>
      <x:c r="K2498" s="19" t="str">
        <x:v>Lesiure Lion-New Castle</x:v>
      </x:c>
      <x:c r="L2498" s="19" t="str">
        <x:v>Z005</x:v>
      </x:c>
      <x:c r="M2498" s="19" t="str">
        <x:v>Pre Delivery Warranty Claims</x:v>
      </x:c>
      <x:c r="N2498" s="37" t="n">
        <x:v>46107</x:v>
      </x:c>
      <x:c r="O2498" s="37"/>
      <x:c r="P2498" s="34" t="n">
        <x:v>0</x:v>
      </x:c>
      <x:c r="Q2498" s="37" t="n">
        <x:v>46136.25027777778</x:v>
      </x:c>
    </x:row>
    <x:row r="2499">
      <x:c r="A2499" s="22" t="n">
        <x:v>32855</x:v>
      </x:c>
      <x:c r="B2499" s="28" t="n">
        <x:v>357.5</x:v>
      </x:c>
      <x:c r="C2499" s="28"/>
      <x:c r="D2499" s="31" t="str">
        <x:f>IF(OR(ISBLANK(B2499),ISBLANK(C2499),B2499=0),"",(C2499-B2499)/B2499)</x:f>
      </x:c>
      <x:c r="E2499" s="22" t="str">
        <x:f>IF(ISBLANK(C2499),"AmountIncludingTax缺失",IF(ABS(B2499-C2499)&lt;0.005,"一致","不一致"))</x:f>
        <x:v>AmountIncludingTax缺失</x:v>
      </x:c>
      <x:c r="F2499" s="19" t="str">
        <x:v>approved</x:v>
      </x:c>
      <x:c r="G2499" s="19" t="str">
        <x:v>Repairer Invoiced Processed</x:v>
      </x:c>
      <x:c r="H2499" s="19" t="str">
        <x:v>Pre Delivery</x:v>
      </x:c>
      <x:c r="I2499" s="37" t="n">
        <x:v>46176</x:v>
      </x:c>
      <x:c r="J2499" s="37" t="n">
        <x:v>46176</x:v>
      </x:c>
      <x:c r="K2499" s="19" t="str">
        <x:v>Leisure Lion - Bundaberg</x:v>
      </x:c>
      <x:c r="L2499" s="19" t="str">
        <x:v>Z005</x:v>
      </x:c>
      <x:c r="M2499" s="19" t="str">
        <x:v>Pre Delivery Warranty Claims</x:v>
      </x:c>
      <x:c r="N2499" s="37" t="n">
        <x:v>46107</x:v>
      </x:c>
      <x:c r="O2499" s="37"/>
      <x:c r="P2499" s="34" t="n">
        <x:v>0</x:v>
      </x:c>
      <x:c r="Q2499" s="37" t="n">
        <x:v>46176.042280092595</x:v>
      </x:c>
    </x:row>
    <x:row r="2500">
      <x:c r="A2500" s="22" t="n">
        <x:v>32854</x:v>
      </x:c>
      <x:c r="B2500" s="28" t="n">
        <x:v>202.5</x:v>
      </x:c>
      <x:c r="C2500" s="28" t="n">
        <x:v>222.75</x:v>
      </x:c>
      <x:c r="D2500" s="31" t="n">
        <x:f>IF(OR(ISBLANK(B2500),ISBLANK(C2500),B2500=0),"",(C2500-B2500)/B2500)</x:f>
        <x:v>0.1</x:v>
      </x:c>
      <x:c r="E2500" s="22" t="str">
        <x:f>IF(ISBLANK(C2500),"AmountIncludingTax缺失",IF(ABS(B2500-C2500)&lt;0.005,"一致","不一致"))</x:f>
        <x:v>不一致</x:v>
      </x:c>
      <x:c r="F2500" s="19" t="str">
        <x:v>approved</x:v>
      </x:c>
      <x:c r="G2500" s="19" t="str">
        <x:v>Repair in Progress</x:v>
      </x:c>
      <x:c r="H2500" s="19" t="str">
        <x:v>In Field</x:v>
      </x:c>
      <x:c r="I2500" s="37" t="n">
        <x:v>46107</x:v>
      </x:c>
      <x:c r="J2500" s="37" t="n">
        <x:v>46107</x:v>
      </x:c>
      <x:c r="K2500" s="19" t="str">
        <x:v>Green RV - Forest Glen</x:v>
      </x:c>
      <x:c r="L2500" s="19" t="str">
        <x:v>Z006</x:v>
      </x:c>
      <x:c r="M2500" s="19" t="str">
        <x:v>In Field Warranty Claims</x:v>
      </x:c>
      <x:c r="N2500" s="37" t="n">
        <x:v>46107</x:v>
      </x:c>
      <x:c r="O2500" s="37"/>
      <x:c r="P2500" s="34" t="n">
        <x:v>222.75</x:v>
      </x:c>
      <x:c r="Q2500" s="37" t="n">
        <x:v>46107.16619212963</x:v>
      </x:c>
    </x:row>
    <x:row r="2501">
      <x:c r="A2501" s="22" t="n">
        <x:v>32853</x:v>
      </x:c>
      <x:c r="B2501" s="28" t="n">
        <x:v>256.25</x:v>
      </x:c>
      <x:c r="C2501" s="28"/>
      <x:c r="D2501" s="31" t="str">
        <x:f>IF(OR(ISBLANK(B2501),ISBLANK(C2501),B2501=0),"",(C2501-B2501)/B2501)</x:f>
      </x:c>
      <x:c r="E2501" s="22" t="str">
        <x:f>IF(ISBLANK(C2501),"AmountIncludingTax缺失",IF(ABS(B2501-C2501)&lt;0.005,"一致","不一致"))</x:f>
        <x:v>AmountIncludingTax缺失</x:v>
      </x:c>
      <x:c r="F2501" s="19" t="str">
        <x:v>approved</x:v>
      </x:c>
      <x:c r="G2501" s="19" t="str">
        <x:v>Repair in Progress</x:v>
      </x:c>
      <x:c r="H2501" s="19" t="str">
        <x:v>In Field</x:v>
      </x:c>
      <x:c r="I2501" s="37" t="n">
        <x:v>46153</x:v>
      </x:c>
      <x:c r="J2501" s="37" t="n">
        <x:v>46153</x:v>
      </x:c>
      <x:c r="K2501" s="19" t="str">
        <x:v>Green RV - Forest Glen</x:v>
      </x:c>
      <x:c r="L2501" s="19" t="str">
        <x:v>Z006</x:v>
      </x:c>
      <x:c r="M2501" s="19" t="str">
        <x:v>In Field Warranty Claims</x:v>
      </x:c>
      <x:c r="N2501" s="37" t="n">
        <x:v>46107</x:v>
      </x:c>
      <x:c r="O2501" s="37"/>
      <x:c r="P2501" s="34" t="n">
        <x:v>0</x:v>
      </x:c>
      <x:c r="Q2501" s="37" t="n">
        <x:v>46153.12430555555</x:v>
      </x:c>
    </x:row>
    <x:row r="2502">
      <x:c r="A2502" s="22" t="n">
        <x:v>32852</x:v>
      </x:c>
      <x:c r="B2502" s="28" t="n">
        <x:v>222.5</x:v>
      </x:c>
      <x:c r="C2502" s="28"/>
      <x:c r="D2502" s="31" t="str">
        <x:f>IF(OR(ISBLANK(B2502),ISBLANK(C2502),B2502=0),"",(C2502-B2502)/B2502)</x:f>
      </x:c>
      <x:c r="E2502" s="22" t="str">
        <x:f>IF(ISBLANK(C2502),"AmountIncludingTax缺失",IF(ABS(B2502-C2502)&lt;0.005,"一致","不一致"))</x:f>
        <x:v>AmountIncludingTax缺失</x:v>
      </x:c>
      <x:c r="F2502" s="19" t="str">
        <x:v>approved</x:v>
      </x:c>
      <x:c r="G2502" s="19" t="str">
        <x:v>Repair in Progress</x:v>
      </x:c>
      <x:c r="H2502" s="19" t="str">
        <x:v>In Field</x:v>
      </x:c>
      <x:c r="I2502" s="37" t="n">
        <x:v>46108</x:v>
      </x:c>
      <x:c r="J2502" s="37" t="n">
        <x:v>46108</x:v>
      </x:c>
      <x:c r="K2502" s="19" t="str">
        <x:v>Not Assigned</x:v>
      </x:c>
      <x:c r="L2502" s="19" t="str">
        <x:v>Z006</x:v>
      </x:c>
      <x:c r="M2502" s="19" t="str">
        <x:v>In Field Warranty Claims</x:v>
      </x:c>
      <x:c r="N2502" s="37" t="n">
        <x:v>46106</x:v>
      </x:c>
      <x:c r="O2502" s="37"/>
      <x:c r="P2502" s="34" t="n">
        <x:v>0</x:v>
      </x:c>
      <x:c r="Q2502" s="37" t="n">
        <x:v>46108.06585648148</x:v>
      </x:c>
    </x:row>
    <x:row r="2503">
      <x:c r="A2503" s="22" t="n">
        <x:v>32851</x:v>
      </x:c>
      <x:c r="B2503" s="28" t="n">
        <x:v>1202.5</x:v>
      </x:c>
      <x:c r="C2503" s="28"/>
      <x:c r="D2503" s="31" t="str">
        <x:f>IF(OR(ISBLANK(B2503),ISBLANK(C2503),B2503=0),"",(C2503-B2503)/B2503)</x:f>
      </x:c>
      <x:c r="E2503" s="22" t="str">
        <x:f>IF(ISBLANK(C2503),"AmountIncludingTax缺失",IF(ABS(B2503-C2503)&lt;0.005,"一致","不一致"))</x:f>
        <x:v>AmountIncludingTax缺失</x:v>
      </x:c>
      <x:c r="F2503" s="19" t="str">
        <x:v>approved</x:v>
      </x:c>
      <x:c r="G2503" s="19" t="str">
        <x:v>Partially Picked</x:v>
      </x:c>
      <x:c r="H2503" s="19" t="str">
        <x:v>In Field</x:v>
      </x:c>
      <x:c r="I2503" s="37" t="n">
        <x:v>46176</x:v>
      </x:c>
      <x:c r="J2503" s="37" t="n">
        <x:v>46175</x:v>
      </x:c>
      <x:c r="K2503" s="19" t="str">
        <x:v>Snowy River Wangaratta</x:v>
      </x:c>
      <x:c r="L2503" s="19" t="str">
        <x:v>Z006</x:v>
      </x:c>
      <x:c r="M2503" s="19" t="str">
        <x:v>In Field Warranty Claims</x:v>
      </x:c>
      <x:c r="N2503" s="37" t="n">
        <x:v>46106</x:v>
      </x:c>
      <x:c r="O2503" s="37"/>
      <x:c r="P2503" s="34" t="n">
        <x:v>0</x:v>
      </x:c>
      <x:c r="Q2503" s="37" t="n">
        <x:v>46175.95584490741</x:v>
      </x:c>
    </x:row>
    <x:row r="2504">
      <x:c r="A2504" s="22" t="n">
        <x:v>32849</x:v>
      </x:c>
      <x:c r="B2504" s="28" t="n">
        <x:v>780</x:v>
      </x:c>
      <x:c r="C2504" s="28"/>
      <x:c r="D2504" s="31" t="str">
        <x:f>IF(OR(ISBLANK(B2504),ISBLANK(C2504),B2504=0),"",(C2504-B2504)/B2504)</x:f>
      </x:c>
      <x:c r="E2504" s="22" t="str">
        <x:f>IF(ISBLANK(C2504),"AmountIncludingTax缺失",IF(ABS(B2504-C2504)&lt;0.005,"一致","不一致"))</x:f>
        <x:v>AmountIncludingTax缺失</x:v>
      </x:c>
      <x:c r="F2504" s="19" t="str">
        <x:v>approved</x:v>
      </x:c>
      <x:c r="G2504" s="19" t="str">
        <x:v>Repairer Invoiced Processed</x:v>
      </x:c>
      <x:c r="H2504" s="19" t="str">
        <x:v>Pre Delivery</x:v>
      </x:c>
      <x:c r="I2504" s="37" t="n">
        <x:v>46178</x:v>
      </x:c>
      <x:c r="J2504" s="37" t="n">
        <x:v>46178</x:v>
      </x:c>
      <x:c r="K2504" s="19" t="str">
        <x:v>Leisure Lion - Bundaberg</x:v>
      </x:c>
      <x:c r="L2504" s="19" t="str">
        <x:v>Z005</x:v>
      </x:c>
      <x:c r="M2504" s="19" t="str">
        <x:v>Pre Delivery Warranty Claims</x:v>
      </x:c>
      <x:c r="N2504" s="37" t="n">
        <x:v>46107</x:v>
      </x:c>
      <x:c r="O2504" s="37"/>
      <x:c r="P2504" s="34" t="n">
        <x:v>0</x:v>
      </x:c>
      <x:c r="Q2504" s="37" t="n">
        <x:v>46178.166284722225</x:v>
      </x:c>
    </x:row>
    <x:row r="2505">
      <x:c r="A2505" s="22" t="n">
        <x:v>32848</x:v>
      </x:c>
      <x:c r="B2505" s="28" t="n">
        <x:v>202.5</x:v>
      </x:c>
      <x:c r="C2505" s="28"/>
      <x:c r="D2505" s="31" t="str">
        <x:f>IF(OR(ISBLANK(B2505),ISBLANK(C2505),B2505=0),"",(C2505-B2505)/B2505)</x:f>
      </x:c>
      <x:c r="E2505" s="22" t="str">
        <x:f>IF(ISBLANK(C2505),"AmountIncludingTax缺失",IF(ABS(B2505-C2505)&lt;0.005,"一致","不一致"))</x:f>
        <x:v>AmountIncludingTax缺失</x:v>
      </x:c>
      <x:c r="F2505" s="19" t="str">
        <x:v>approved</x:v>
      </x:c>
      <x:c r="G2505" s="19" t="str">
        <x:v>Repair in Progress</x:v>
      </x:c>
      <x:c r="H2505" s="19" t="str">
        <x:v>In Field</x:v>
      </x:c>
      <x:c r="I2505" s="37" t="n">
        <x:v>46121</x:v>
      </x:c>
      <x:c r="J2505" s="37" t="n">
        <x:v>46121</x:v>
      </x:c>
      <x:c r="K2505" s="19" t="str">
        <x:v>Regent RV - Perth</x:v>
      </x:c>
      <x:c r="L2505" s="19" t="str">
        <x:v>Z006</x:v>
      </x:c>
      <x:c r="M2505" s="19" t="str">
        <x:v>In Field Warranty Claims</x:v>
      </x:c>
      <x:c r="N2505" s="37" t="n">
        <x:v>46107</x:v>
      </x:c>
      <x:c r="O2505" s="37"/>
      <x:c r="P2505" s="34" t="n">
        <x:v>0</x:v>
      </x:c>
      <x:c r="Q2505" s="37" t="n">
        <x:v>46121.251655092594</x:v>
      </x:c>
    </x:row>
    <x:row r="2506">
      <x:c r="A2506" s="22" t="n">
        <x:v>32847</x:v>
      </x:c>
      <x:c r="B2506" s="28" t="n">
        <x:v>145</x:v>
      </x:c>
      <x:c r="C2506" s="28"/>
      <x:c r="D2506" s="31" t="str">
        <x:f>IF(OR(ISBLANK(B2506),ISBLANK(C2506),B2506=0),"",(C2506-B2506)/B2506)</x:f>
      </x:c>
      <x:c r="E2506" s="22" t="str">
        <x:f>IF(ISBLANK(C2506),"AmountIncludingTax缺失",IF(ABS(B2506-C2506)&lt;0.005,"一致","不一致"))</x:f>
        <x:v>AmountIncludingTax缺失</x:v>
      </x:c>
      <x:c r="F2506" s="19" t="str">
        <x:v>approved</x:v>
      </x:c>
      <x:c r="G2506" s="19" t="str">
        <x:v>Repairer Invoiced Processed</x:v>
      </x:c>
      <x:c r="H2506" s="19" t="str">
        <x:v>In Field</x:v>
      </x:c>
      <x:c r="I2506" s="37" t="n">
        <x:v>46107</x:v>
      </x:c>
      <x:c r="J2506" s="37" t="n">
        <x:v>46107</x:v>
      </x:c>
      <x:c r="K2506" s="19" t="str">
        <x:v>Lesiure Lion-New Castle</x:v>
      </x:c>
      <x:c r="L2506" s="19" t="str">
        <x:v>Z006</x:v>
      </x:c>
      <x:c r="M2506" s="19" t="str">
        <x:v>In Field Warranty Claims</x:v>
      </x:c>
      <x:c r="N2506" s="37" t="n">
        <x:v>46107</x:v>
      </x:c>
      <x:c r="O2506" s="37"/>
      <x:c r="P2506" s="34" t="n">
        <x:v>0</x:v>
      </x:c>
      <x:c r="Q2506" s="37" t="n">
        <x:v>46107.144837962966</x:v>
      </x:c>
    </x:row>
    <x:row r="2507">
      <x:c r="A2507" s="22" t="n">
        <x:v>32846</x:v>
      </x:c>
      <x:c r="B2507" s="28" t="n">
        <x:v>1525</x:v>
      </x:c>
      <x:c r="C2507" s="28"/>
      <x:c r="D2507" s="31" t="str">
        <x:f>IF(OR(ISBLANK(B2507),ISBLANK(C2507),B2507=0),"",(C2507-B2507)/B2507)</x:f>
      </x:c>
      <x:c r="E2507" s="22" t="str">
        <x:f>IF(ISBLANK(C2507),"AmountIncludingTax缺失",IF(ABS(B2507-C2507)&lt;0.005,"一致","不一致"))</x:f>
        <x:v>AmountIncludingTax缺失</x:v>
      </x:c>
      <x:c r="F2507" s="19" t="str">
        <x:v>approved</x:v>
      </x:c>
      <x:c r="G2507" s="19" t="str">
        <x:v>Repairer Invoiced Processed</x:v>
      </x:c>
      <x:c r="H2507" s="19" t="str">
        <x:v>Pre Delivery</x:v>
      </x:c>
      <x:c r="I2507" s="37" t="n">
        <x:v>46199</x:v>
      </x:c>
      <x:c r="J2507" s="37" t="n">
        <x:v>46199</x:v>
      </x:c>
      <x:c r="K2507" s="19" t="str">
        <x:v>Leisure Lion - Bundaberg</x:v>
      </x:c>
      <x:c r="L2507" s="19" t="str">
        <x:v>Z005</x:v>
      </x:c>
      <x:c r="M2507" s="19" t="str">
        <x:v>Pre Delivery Warranty Claims</x:v>
      </x:c>
      <x:c r="N2507" s="37" t="n">
        <x:v>46107</x:v>
      </x:c>
      <x:c r="O2507" s="37"/>
      <x:c r="P2507" s="34" t="n">
        <x:v>0</x:v>
      </x:c>
      <x:c r="Q2507" s="37" t="n">
        <x:v>46198.9115625</x:v>
      </x:c>
    </x:row>
    <x:row r="2508">
      <x:c r="A2508" s="22" t="n">
        <x:v>32843</x:v>
      </x:c>
      <x:c r="B2508" s="28" t="n">
        <x:v>67.5</x:v>
      </x:c>
      <x:c r="C2508" s="28"/>
      <x:c r="D2508" s="31" t="str">
        <x:f>IF(OR(ISBLANK(B2508),ISBLANK(C2508),B2508=0),"",(C2508-B2508)/B2508)</x:f>
      </x:c>
      <x:c r="E2508" s="22" t="str">
        <x:f>IF(ISBLANK(C2508),"AmountIncludingTax缺失",IF(ABS(B2508-C2508)&lt;0.005,"一致","不一致"))</x:f>
        <x:v>AmountIncludingTax缺失</x:v>
      </x:c>
      <x:c r="F2508" s="19" t="str">
        <x:v>approved</x:v>
      </x:c>
      <x:c r="G2508" s="19" t="str">
        <x:v>Repair in Progress</x:v>
      </x:c>
      <x:c r="H2508" s="19" t="str">
        <x:v>In Field</x:v>
      </x:c>
      <x:c r="I2508" s="37" t="n">
        <x:v>46107</x:v>
      </x:c>
      <x:c r="J2508" s="37" t="n">
        <x:v>46107</x:v>
      </x:c>
      <x:c r="K2508" s="19" t="str">
        <x:v>Green RV - Forest Glen</x:v>
      </x:c>
      <x:c r="L2508" s="19" t="str">
        <x:v>Z006</x:v>
      </x:c>
      <x:c r="M2508" s="19" t="str">
        <x:v>In Field Warranty Claims</x:v>
      </x:c>
      <x:c r="N2508" s="37" t="n">
        <x:v>46106</x:v>
      </x:c>
      <x:c r="O2508" s="37"/>
      <x:c r="P2508" s="34" t="n">
        <x:v>0</x:v>
      </x:c>
      <x:c r="Q2508" s="37" t="n">
        <x:v>46107.06077546296</x:v>
      </x:c>
    </x:row>
    <x:row r="2509">
      <x:c r="A2509" s="22" t="n">
        <x:v>32842</x:v>
      </x:c>
      <x:c r="B2509" s="28" t="n">
        <x:v>860</x:v>
      </x:c>
      <x:c r="C2509" s="28"/>
      <x:c r="D2509" s="31" t="str">
        <x:f>IF(OR(ISBLANK(B2509),ISBLANK(C2509),B2509=0),"",(C2509-B2509)/B2509)</x:f>
      </x:c>
      <x:c r="E2509" s="22" t="str">
        <x:f>IF(ISBLANK(C2509),"AmountIncludingTax缺失",IF(ABS(B2509-C2509)&lt;0.005,"一致","不一致"))</x:f>
        <x:v>AmountIncludingTax缺失</x:v>
      </x:c>
      <x:c r="F2509" s="19" t="str">
        <x:v>approved</x:v>
      </x:c>
      <x:c r="G2509" s="19" t="str">
        <x:v>Repair in Progress</x:v>
      </x:c>
      <x:c r="H2509" s="19" t="str">
        <x:v>In Field</x:v>
      </x:c>
      <x:c r="I2509" s="37" t="n">
        <x:v>46121</x:v>
      </x:c>
      <x:c r="J2509" s="37" t="n">
        <x:v>46121</x:v>
      </x:c>
      <x:c r="K2509" s="19" t="str">
        <x:v>Snowy River Frankston</x:v>
      </x:c>
      <x:c r="L2509" s="19" t="str">
        <x:v>Z006</x:v>
      </x:c>
      <x:c r="M2509" s="19" t="str">
        <x:v>In Field Warranty Claims</x:v>
      </x:c>
      <x:c r="N2509" s="37" t="n">
        <x:v>46106</x:v>
      </x:c>
      <x:c r="O2509" s="37"/>
      <x:c r="P2509" s="34" t="n">
        <x:v>0</x:v>
      </x:c>
      <x:c r="Q2509" s="37" t="n">
        <x:v>46121.243113425924</x:v>
      </x:c>
    </x:row>
    <x:row r="2510">
      <x:c r="A2510" s="22" t="n">
        <x:v>32841</x:v>
      </x:c>
      <x:c r="B2510" s="28" t="n">
        <x:v>680</x:v>
      </x:c>
      <x:c r="C2510" s="28" t="n">
        <x:v>615.67</x:v>
      </x:c>
      <x:c r="D2510" s="31" t="n">
        <x:f>IF(OR(ISBLANK(B2510),ISBLANK(C2510),B2510=0),"",(C2510-B2510)/B2510)</x:f>
        <x:v>-0.09460294117647065</x:v>
      </x:c>
      <x:c r="E2510" s="22" t="str">
        <x:f>IF(ISBLANK(C2510),"AmountIncludingTax缺失",IF(ABS(B2510-C2510)&lt;0.005,"一致","不一致"))</x:f>
        <x:v>不一致</x:v>
      </x:c>
      <x:c r="F2510" s="19" t="str">
        <x:v>approved</x:v>
      </x:c>
      <x:c r="G2510" s="19" t="str">
        <x:v>Repairer Invoiced Processed</x:v>
      </x:c>
      <x:c r="H2510" s="19" t="str">
        <x:v>In Field</x:v>
      </x:c>
      <x:c r="I2510" s="37" t="n">
        <x:v>46119</x:v>
      </x:c>
      <x:c r="J2510" s="37" t="n">
        <x:v>46119</x:v>
      </x:c>
      <x:c r="K2510" s="19" t="str">
        <x:v>Vanari Caravans - Marden Point</x:v>
      </x:c>
      <x:c r="L2510" s="19" t="str">
        <x:v>Z006</x:v>
      </x:c>
      <x:c r="M2510" s="19" t="str">
        <x:v>In Field Warranty Claims</x:v>
      </x:c>
      <x:c r="N2510" s="37" t="n">
        <x:v>46106</x:v>
      </x:c>
      <x:c r="O2510" s="37"/>
      <x:c r="P2510" s="34" t="n">
        <x:v>615.67</x:v>
      </x:c>
      <x:c r="Q2510" s="37" t="n">
        <x:v>46119.192928240744</x:v>
      </x:c>
    </x:row>
    <x:row r="2511">
      <x:c r="A2511" s="22" t="n">
        <x:v>32837</x:v>
      </x:c>
      <x:c r="B2511" s="28" t="n">
        <x:v>695</x:v>
      </x:c>
      <x:c r="C2511" s="28"/>
      <x:c r="D2511" s="31" t="str">
        <x:f>IF(OR(ISBLANK(B2511),ISBLANK(C2511),B2511=0),"",(C2511-B2511)/B2511)</x:f>
      </x:c>
      <x:c r="E2511" s="22" t="str">
        <x:f>IF(ISBLANK(C2511),"AmountIncludingTax缺失",IF(ABS(B2511-C2511)&lt;0.005,"一致","不一致"))</x:f>
        <x:v>AmountIncludingTax缺失</x:v>
      </x:c>
      <x:c r="F2511" s="19" t="str">
        <x:v>approved</x:v>
      </x:c>
      <x:c r="G2511" s="19" t="str">
        <x:v>Repairer Invoiced Processed</x:v>
      </x:c>
      <x:c r="H2511" s="19" t="str">
        <x:v>In Field</x:v>
      </x:c>
      <x:c r="I2511" s="37" t="n">
        <x:v>46136</x:v>
      </x:c>
      <x:c r="J2511" s="37" t="n">
        <x:v>46136</x:v>
      </x:c>
      <x:c r="K2511" s="19" t="str">
        <x:v>Leisure Lion Pty Ltd - Toowoomba</x:v>
      </x:c>
      <x:c r="L2511" s="19" t="str">
        <x:v>Z006</x:v>
      </x:c>
      <x:c r="M2511" s="19" t="str">
        <x:v>In Field Warranty Claims</x:v>
      </x:c>
      <x:c r="N2511" s="37" t="n">
        <x:v>46106</x:v>
      </x:c>
      <x:c r="O2511" s="37"/>
      <x:c r="P2511" s="34" t="n">
        <x:v>0</x:v>
      </x:c>
      <x:c r="Q2511" s="37" t="n">
        <x:v>46135.98296296296</x:v>
      </x:c>
    </x:row>
    <x:row r="2512">
      <x:c r="A2512" s="22" t="n">
        <x:v>32836</x:v>
      </x:c>
      <x:c r="B2512" s="28" t="n">
        <x:v>347.5</x:v>
      </x:c>
      <x:c r="C2512" s="28"/>
      <x:c r="D2512" s="31" t="str">
        <x:f>IF(OR(ISBLANK(B2512),ISBLANK(C2512),B2512=0),"",(C2512-B2512)/B2512)</x:f>
      </x:c>
      <x:c r="E2512" s="22" t="str">
        <x:f>IF(ISBLANK(C2512),"AmountIncludingTax缺失",IF(ABS(B2512-C2512)&lt;0.005,"一致","不一致"))</x:f>
        <x:v>AmountIncludingTax缺失</x:v>
      </x:c>
      <x:c r="F2512" s="19" t="str">
        <x:v>approved</x:v>
      </x:c>
      <x:c r="G2512" s="19" t="str">
        <x:v>Repair in Progress</x:v>
      </x:c>
      <x:c r="H2512" s="19" t="str">
        <x:v>In Field</x:v>
      </x:c>
      <x:c r="I2512" s="37" t="n">
        <x:v>46119</x:v>
      </x:c>
      <x:c r="J2512" s="37" t="n">
        <x:v>46119</x:v>
      </x:c>
      <x:c r="K2512" s="19" t="str">
        <x:v>Green RV - Forest Glen</x:v>
      </x:c>
      <x:c r="L2512" s="19" t="str">
        <x:v>Z006</x:v>
      </x:c>
      <x:c r="M2512" s="19" t="str">
        <x:v>In Field Warranty Claims</x:v>
      </x:c>
      <x:c r="N2512" s="37" t="n">
        <x:v>46106</x:v>
      </x:c>
      <x:c r="O2512" s="37"/>
      <x:c r="P2512" s="34" t="n">
        <x:v>0</x:v>
      </x:c>
      <x:c r="Q2512" s="37" t="n">
        <x:v>46118.94961805556</x:v>
      </x:c>
    </x:row>
    <x:row r="2513">
      <x:c r="A2513" s="22" t="n">
        <x:v>32835</x:v>
      </x:c>
      <x:c r="B2513" s="28" t="n">
        <x:v>1871.27</x:v>
      </x:c>
      <x:c r="C2513" s="28"/>
      <x:c r="D2513" s="31" t="str">
        <x:f>IF(OR(ISBLANK(B2513),ISBLANK(C2513),B2513=0),"",(C2513-B2513)/B2513)</x:f>
      </x:c>
      <x:c r="E2513" s="22" t="str">
        <x:f>IF(ISBLANK(C2513),"AmountIncludingTax缺失",IF(ABS(B2513-C2513)&lt;0.005,"一致","不一致"))</x:f>
        <x:v>AmountIncludingTax缺失</x:v>
      </x:c>
      <x:c r="F2513" s="19" t="str">
        <x:v>approved</x:v>
      </x:c>
      <x:c r="G2513" s="19" t="str">
        <x:v>Repair in Progress</x:v>
      </x:c>
      <x:c r="H2513" s="19" t="str">
        <x:v>In Field</x:v>
      </x:c>
      <x:c r="I2513" s="37" t="n">
        <x:v>46122</x:v>
      </x:c>
      <x:c r="J2513" s="37" t="n">
        <x:v>46122</x:v>
      </x:c>
      <x:c r="K2513" s="19" t="str">
        <x:v>Leisure Lion - Bundaberg</x:v>
      </x:c>
      <x:c r="L2513" s="19" t="str">
        <x:v>Z006</x:v>
      </x:c>
      <x:c r="M2513" s="19" t="str">
        <x:v>In Field Warranty Claims</x:v>
      </x:c>
      <x:c r="N2513" s="37" t="n">
        <x:v>46106</x:v>
      </x:c>
      <x:c r="O2513" s="37"/>
      <x:c r="P2513" s="34" t="n">
        <x:v>0</x:v>
      </x:c>
      <x:c r="Q2513" s="37" t="n">
        <x:v>46122.01642361111</x:v>
      </x:c>
    </x:row>
    <x:row r="2514">
      <x:c r="A2514" s="22" t="n">
        <x:v>32833</x:v>
      </x:c>
      <x:c r="B2514" s="28" t="n">
        <x:v>38.75</x:v>
      </x:c>
      <x:c r="C2514" s="28"/>
      <x:c r="D2514" s="31" t="str">
        <x:f>IF(OR(ISBLANK(B2514),ISBLANK(C2514),B2514=0),"",(C2514-B2514)/B2514)</x:f>
      </x:c>
      <x:c r="E2514" s="22" t="str">
        <x:f>IF(ISBLANK(C2514),"AmountIncludingTax缺失",IF(ABS(B2514-C2514)&lt;0.005,"一致","不一致"))</x:f>
        <x:v>AmountIncludingTax缺失</x:v>
      </x:c>
      <x:c r="F2514" s="19" t="str">
        <x:v>approved</x:v>
      </x:c>
      <x:c r="G2514" s="19" t="str">
        <x:v>Repair in Progress</x:v>
      </x:c>
      <x:c r="H2514" s="19" t="str">
        <x:v>Pre Delivery</x:v>
      </x:c>
      <x:c r="I2514" s="37" t="n">
        <x:v>46136</x:v>
      </x:c>
      <x:c r="J2514" s="37" t="n">
        <x:v>46136</x:v>
      </x:c>
      <x:c r="K2514" s="19" t="str">
        <x:v>Lesiure Lion-New Castle</x:v>
      </x:c>
      <x:c r="L2514" s="19" t="str">
        <x:v>Z005</x:v>
      </x:c>
      <x:c r="M2514" s="19" t="str">
        <x:v>Pre Delivery Warranty Claims</x:v>
      </x:c>
      <x:c r="N2514" s="37" t="n">
        <x:v>46106</x:v>
      </x:c>
      <x:c r="O2514" s="37"/>
      <x:c r="P2514" s="34" t="n">
        <x:v>0</x:v>
      </x:c>
      <x:c r="Q2514" s="37" t="n">
        <x:v>46135.97412037037</x:v>
      </x:c>
    </x:row>
    <x:row r="2515">
      <x:c r="A2515" s="22" t="n">
        <x:v>32831</x:v>
      </x:c>
      <x:c r="B2515" s="28" t="n">
        <x:v>310.41</x:v>
      </x:c>
      <x:c r="C2515" s="28" t="n">
        <x:v>341.45</x:v>
      </x:c>
      <x:c r="D2515" s="31" t="n">
        <x:f>IF(OR(ISBLANK(B2515),ISBLANK(C2515),B2515=0),"",(C2515-B2515)/B2515)</x:f>
        <x:v>0.09999677845430224</x:v>
      </x:c>
      <x:c r="E2515" s="22" t="str">
        <x:f>IF(ISBLANK(C2515),"AmountIncludingTax缺失",IF(ABS(B2515-C2515)&lt;0.005,"一致","不一致"))</x:f>
        <x:v>不一致</x:v>
      </x:c>
      <x:c r="F2515" s="19" t="str">
        <x:v>approved</x:v>
      </x:c>
      <x:c r="G2515" s="19" t="str">
        <x:v>Repairer Invoiced Processed</x:v>
      </x:c>
      <x:c r="H2515" s="19" t="str">
        <x:v>Pre Delivery</x:v>
      </x:c>
      <x:c r="I2515" s="37" t="n">
        <x:v>46120</x:v>
      </x:c>
      <x:c r="J2515" s="37" t="n">
        <x:v>46120</x:v>
      </x:c>
      <x:c r="K2515" s="19" t="str">
        <x:v>Regent RV - Perth</x:v>
      </x:c>
      <x:c r="L2515" s="19" t="str">
        <x:v>Z005</x:v>
      </x:c>
      <x:c r="M2515" s="19" t="str">
        <x:v>Pre Delivery Warranty Claims</x:v>
      </x:c>
      <x:c r="N2515" s="37" t="n">
        <x:v>46106</x:v>
      </x:c>
      <x:c r="O2515" s="37"/>
      <x:c r="P2515" s="34" t="n">
        <x:v>341.45</x:v>
      </x:c>
      <x:c r="Q2515" s="37" t="n">
        <x:v>46120.212685185186</x:v>
      </x:c>
    </x:row>
    <x:row r="2516">
      <x:c r="A2516" s="22" t="n">
        <x:v>32830</x:v>
      </x:c>
      <x:c r="B2516" s="28" t="n">
        <x:v>212.5</x:v>
      </x:c>
      <x:c r="C2516" s="28"/>
      <x:c r="D2516" s="31" t="str">
        <x:f>IF(OR(ISBLANK(B2516),ISBLANK(C2516),B2516=0),"",(C2516-B2516)/B2516)</x:f>
      </x:c>
      <x:c r="E2516" s="22" t="str">
        <x:f>IF(ISBLANK(C2516),"AmountIncludingTax缺失",IF(ABS(B2516-C2516)&lt;0.005,"一致","不一致"))</x:f>
        <x:v>AmountIncludingTax缺失</x:v>
      </x:c>
      <x:c r="F2516" s="19" t="str">
        <x:v>approved</x:v>
      </x:c>
      <x:c r="G2516" s="19" t="str">
        <x:v>Repair in Progress</x:v>
      </x:c>
      <x:c r="H2516" s="19" t="str">
        <x:v>In Field</x:v>
      </x:c>
      <x:c r="I2516" s="37" t="n">
        <x:v>46120</x:v>
      </x:c>
      <x:c r="J2516" s="37" t="n">
        <x:v>46120</x:v>
      </x:c>
      <x:c r="K2516" s="19" t="str">
        <x:v>Leisure Lion - Bundaberg</x:v>
      </x:c>
      <x:c r="L2516" s="19" t="str">
        <x:v>Z006</x:v>
      </x:c>
      <x:c r="M2516" s="19" t="str">
        <x:v>In Field Warranty Claims</x:v>
      </x:c>
      <x:c r="N2516" s="37" t="n">
        <x:v>46106</x:v>
      </x:c>
      <x:c r="O2516" s="37"/>
      <x:c r="P2516" s="34" t="n">
        <x:v>0</x:v>
      </x:c>
      <x:c r="Q2516" s="37" t="n">
        <x:v>46120.12417824074</x:v>
      </x:c>
    </x:row>
    <x:row r="2517">
      <x:c r="A2517" s="22" t="n">
        <x:v>32829</x:v>
      </x:c>
      <x:c r="B2517" s="28" t="n">
        <x:v>1057.5</x:v>
      </x:c>
      <x:c r="C2517" s="28"/>
      <x:c r="D2517" s="31" t="str">
        <x:f>IF(OR(ISBLANK(B2517),ISBLANK(C2517),B2517=0),"",(C2517-B2517)/B2517)</x:f>
      </x:c>
      <x:c r="E2517" s="22" t="str">
        <x:f>IF(ISBLANK(C2517),"AmountIncludingTax缺失",IF(ABS(B2517-C2517)&lt;0.005,"一致","不一致"))</x:f>
        <x:v>AmountIncludingTax缺失</x:v>
      </x:c>
      <x:c r="F2517" s="19" t="str">
        <x:v>approved</x:v>
      </x:c>
      <x:c r="G2517" s="19" t="str">
        <x:v>Repairer Invoiced Processed</x:v>
      </x:c>
      <x:c r="H2517" s="19" t="str">
        <x:v>In Field</x:v>
      </x:c>
      <x:c r="I2517" s="37" t="n">
        <x:v>46122</x:v>
      </x:c>
      <x:c r="J2517" s="37" t="n">
        <x:v>46122</x:v>
      </x:c>
      <x:c r="K2517" s="19" t="str">
        <x:v>Leisure Lion Pty Ltd - Toowoomba</x:v>
      </x:c>
      <x:c r="L2517" s="19" t="str">
        <x:v>Z006</x:v>
      </x:c>
      <x:c r="M2517" s="19" t="str">
        <x:v>In Field Warranty Claims</x:v>
      </x:c>
      <x:c r="N2517" s="37" t="n">
        <x:v>46106</x:v>
      </x:c>
      <x:c r="O2517" s="37"/>
      <x:c r="P2517" s="34" t="n">
        <x:v>0</x:v>
      </x:c>
      <x:c r="Q2517" s="37" t="n">
        <x:v>46122.02055555556</x:v>
      </x:c>
    </x:row>
    <x:row r="2518">
      <x:c r="A2518" s="22" t="n">
        <x:v>32828</x:v>
      </x:c>
      <x:c r="B2518" s="28" t="n">
        <x:v>420.41</x:v>
      </x:c>
      <x:c r="C2518" s="28" t="n">
        <x:v>462.45</x:v>
      </x:c>
      <x:c r="D2518" s="31" t="n">
        <x:f>IF(OR(ISBLANK(B2518),ISBLANK(C2518),B2518=0),"",(C2518-B2518)/B2518)</x:f>
        <x:v>0.09999762136961528</x:v>
      </x:c>
      <x:c r="E2518" s="22" t="str">
        <x:f>IF(ISBLANK(C2518),"AmountIncludingTax缺失",IF(ABS(B2518-C2518)&lt;0.005,"一致","不一致"))</x:f>
        <x:v>不一致</x:v>
      </x:c>
      <x:c r="F2518" s="19" t="str">
        <x:v>approved</x:v>
      </x:c>
      <x:c r="G2518" s="19" t="str">
        <x:v>Repairer Invoiced Processed</x:v>
      </x:c>
      <x:c r="H2518" s="19" t="str">
        <x:v>In Field</x:v>
      </x:c>
      <x:c r="I2518" s="37" t="n">
        <x:v>46120</x:v>
      </x:c>
      <x:c r="J2518" s="37" t="n">
        <x:v>46120</x:v>
      </x:c>
      <x:c r="K2518" s="19" t="str">
        <x:v>Regent RV - Perth</x:v>
      </x:c>
      <x:c r="L2518" s="19" t="str">
        <x:v>Z006</x:v>
      </x:c>
      <x:c r="M2518" s="19" t="str">
        <x:v>In Field Warranty Claims</x:v>
      </x:c>
      <x:c r="N2518" s="37" t="n">
        <x:v>46106</x:v>
      </x:c>
      <x:c r="O2518" s="37"/>
      <x:c r="P2518" s="34" t="n">
        <x:v>462.45</x:v>
      </x:c>
      <x:c r="Q2518" s="37" t="n">
        <x:v>46120.221342592595</x:v>
      </x:c>
    </x:row>
    <x:row r="2519">
      <x:c r="A2519" s="22" t="n">
        <x:v>32826</x:v>
      </x:c>
      <x:c r="B2519" s="28" t="n">
        <x:v>1320</x:v>
      </x:c>
      <x:c r="C2519" s="28"/>
      <x:c r="D2519" s="31" t="str">
        <x:f>IF(OR(ISBLANK(B2519),ISBLANK(C2519),B2519=0),"",(C2519-B2519)/B2519)</x:f>
      </x:c>
      <x:c r="E2519" s="22" t="str">
        <x:f>IF(ISBLANK(C2519),"AmountIncludingTax缺失",IF(ABS(B2519-C2519)&lt;0.005,"一致","不一致"))</x:f>
        <x:v>AmountIncludingTax缺失</x:v>
      </x:c>
      <x:c r="F2519" s="19" t="str">
        <x:v>approved</x:v>
      </x:c>
      <x:c r="G2519" s="19" t="str">
        <x:v>Repairer Invoiced Processed</x:v>
      </x:c>
      <x:c r="H2519" s="19" t="str">
        <x:v>In Field</x:v>
      </x:c>
      <x:c r="I2519" s="37" t="n">
        <x:v>46157</x:v>
      </x:c>
      <x:c r="J2519" s="37" t="n">
        <x:v>46157</x:v>
      </x:c>
      <x:c r="K2519" s="19" t="str">
        <x:v>Green RV - Forest Glen</x:v>
      </x:c>
      <x:c r="L2519" s="19" t="str">
        <x:v>Z006</x:v>
      </x:c>
      <x:c r="M2519" s="19" t="str">
        <x:v>In Field Warranty Claims</x:v>
      </x:c>
      <x:c r="N2519" s="37" t="n">
        <x:v>46106</x:v>
      </x:c>
      <x:c r="O2519" s="37" t="n">
        <x:v>46157</x:v>
      </x:c>
      <x:c r="P2519" s="34" t="n">
        <x:v>1452</x:v>
      </x:c>
      <x:c r="Q2519" s="37" t="n">
        <x:v>46157.21875</x:v>
      </x:c>
    </x:row>
    <x:row r="2520">
      <x:c r="A2520" s="22" t="n">
        <x:v>32825</x:v>
      </x:c>
      <x:c r="B2520" s="28" t="n">
        <x:v>738.75</x:v>
      </x:c>
      <x:c r="C2520" s="28"/>
      <x:c r="D2520" s="31" t="str">
        <x:f>IF(OR(ISBLANK(B2520),ISBLANK(C2520),B2520=0),"",(C2520-B2520)/B2520)</x:f>
      </x:c>
      <x:c r="E2520" s="22" t="str">
        <x:f>IF(ISBLANK(C2520),"AmountIncludingTax缺失",IF(ABS(B2520-C2520)&lt;0.005,"一致","不一致"))</x:f>
        <x:v>AmountIncludingTax缺失</x:v>
      </x:c>
      <x:c r="F2520" s="19" t="str">
        <x:v>approved</x:v>
      </x:c>
      <x:c r="G2520" s="19" t="str">
        <x:v>Partially Picked</x:v>
      </x:c>
      <x:c r="H2520" s="19" t="str">
        <x:v>Pre Delivery</x:v>
      </x:c>
      <x:c r="I2520" s="37" t="n">
        <x:v>46136</x:v>
      </x:c>
      <x:c r="J2520" s="37" t="n">
        <x:v>46136</x:v>
      </x:c>
      <x:c r="K2520" s="19" t="str">
        <x:v>Regent RV - Toowoomba</x:v>
      </x:c>
      <x:c r="L2520" s="19" t="str">
        <x:v>Z005</x:v>
      </x:c>
      <x:c r="M2520" s="19" t="str">
        <x:v>Pre Delivery Warranty Claims</x:v>
      </x:c>
      <x:c r="N2520" s="37" t="n">
        <x:v>46106</x:v>
      </x:c>
      <x:c r="O2520" s="37"/>
      <x:c r="P2520" s="34" t="n">
        <x:v>0</x:v>
      </x:c>
      <x:c r="Q2520" s="37" t="n">
        <x:v>46135.9715625</x:v>
      </x:c>
    </x:row>
    <x:row r="2521">
      <x:c r="A2521" s="22" t="n">
        <x:v>32823</x:v>
      </x:c>
      <x:c r="B2521" s="28" t="n">
        <x:v>375.18</x:v>
      </x:c>
      <x:c r="C2521" s="28" t="n">
        <x:v>412.7</x:v>
      </x:c>
      <x:c r="D2521" s="31" t="n">
        <x:f>IF(OR(ISBLANK(B2521),ISBLANK(C2521),B2521=0),"",(C2521-B2521)/B2521)</x:f>
        <x:v>0.10000533077456149</x:v>
      </x:c>
      <x:c r="E2521" s="22" t="str">
        <x:f>IF(ISBLANK(C2521),"AmountIncludingTax缺失",IF(ABS(B2521-C2521)&lt;0.005,"一致","不一致"))</x:f>
        <x:v>不一致</x:v>
      </x:c>
      <x:c r="F2521" s="19" t="str">
        <x:v>approved</x:v>
      </x:c>
      <x:c r="G2521" s="19" t="str">
        <x:v>Repairer Invoiced Processed</x:v>
      </x:c>
      <x:c r="H2521" s="19" t="str">
        <x:v>In Field</x:v>
      </x:c>
      <x:c r="I2521" s="37" t="n">
        <x:v>46113</x:v>
      </x:c>
      <x:c r="J2521" s="37" t="n">
        <x:v>46113</x:v>
      </x:c>
      <x:c r="K2521" s="19" t="str">
        <x:v>Regent RV - Perth</x:v>
      </x:c>
      <x:c r="L2521" s="19" t="str">
        <x:v>Z006</x:v>
      </x:c>
      <x:c r="M2521" s="19" t="str">
        <x:v>In Field Warranty Claims</x:v>
      </x:c>
      <x:c r="N2521" s="37" t="n">
        <x:v>46106</x:v>
      </x:c>
      <x:c r="O2521" s="37"/>
      <x:c r="P2521" s="34" t="n">
        <x:v>412.7</x:v>
      </x:c>
      <x:c r="Q2521" s="37" t="n">
        <x:v>46113.019953703704</x:v>
      </x:c>
    </x:row>
    <x:row r="2522">
      <x:c r="A2522" s="22" t="n">
        <x:v>32822</x:v>
      </x:c>
      <x:c r="B2522" s="28" t="n">
        <x:v>135</x:v>
      </x:c>
      <x:c r="C2522" s="28"/>
      <x:c r="D2522" s="31" t="str">
        <x:f>IF(OR(ISBLANK(B2522),ISBLANK(C2522),B2522=0),"",(C2522-B2522)/B2522)</x:f>
      </x:c>
      <x:c r="E2522" s="22" t="str">
        <x:f>IF(ISBLANK(C2522),"AmountIncludingTax缺失",IF(ABS(B2522-C2522)&lt;0.005,"一致","不一致"))</x:f>
        <x:v>AmountIncludingTax缺失</x:v>
      </x:c>
      <x:c r="F2522" s="19" t="str">
        <x:v>approved</x:v>
      </x:c>
      <x:c r="G2522" s="19" t="str">
        <x:v>Repair in Progress</x:v>
      </x:c>
      <x:c r="H2522" s="19" t="str">
        <x:v>In Field</x:v>
      </x:c>
      <x:c r="I2522" s="37" t="n">
        <x:v>46170</x:v>
      </x:c>
      <x:c r="J2522" s="37" t="n">
        <x:v>46157</x:v>
      </x:c>
      <x:c r="K2522" s="19" t="str">
        <x:v>Regent RV - Perth</x:v>
      </x:c>
      <x:c r="L2522" s="19" t="str">
        <x:v>Z006</x:v>
      </x:c>
      <x:c r="M2522" s="19" t="str">
        <x:v>In Field Warranty Claims</x:v>
      </x:c>
      <x:c r="N2522" s="37" t="n">
        <x:v>46106</x:v>
      </x:c>
      <x:c r="O2522" s="37"/>
      <x:c r="P2522" s="34" t="n">
        <x:v>0</x:v>
      </x:c>
      <x:c r="Q2522" s="37" t="n">
        <x:v>46170.16979166667</x:v>
      </x:c>
    </x:row>
    <x:row r="2523">
      <x:c r="A2523" s="22" t="n">
        <x:v>32821</x:v>
      </x:c>
      <x:c r="B2523" s="28" t="n">
        <x:v>580</x:v>
      </x:c>
      <x:c r="C2523" s="28"/>
      <x:c r="D2523" s="31" t="str">
        <x:f>IF(OR(ISBLANK(B2523),ISBLANK(C2523),B2523=0),"",(C2523-B2523)/B2523)</x:f>
      </x:c>
      <x:c r="E2523" s="22" t="str">
        <x:f>IF(ISBLANK(C2523),"AmountIncludingTax缺失",IF(ABS(B2523-C2523)&lt;0.005,"一致","不一致"))</x:f>
        <x:v>AmountIncludingTax缺失</x:v>
      </x:c>
      <x:c r="F2523" s="19" t="str">
        <x:v>approved</x:v>
      </x:c>
      <x:c r="G2523" s="19" t="str">
        <x:v>Repair in Progress</x:v>
      </x:c>
      <x:c r="H2523" s="19" t="str">
        <x:v>In Field</x:v>
      </x:c>
      <x:c r="I2523" s="37" t="n">
        <x:v>46111</x:v>
      </x:c>
      <x:c r="J2523" s="37" t="n">
        <x:v>46111</x:v>
      </x:c>
      <x:c r="K2523" s="19" t="str">
        <x:v>Green RV - Forest Glen</x:v>
      </x:c>
      <x:c r="L2523" s="19" t="str">
        <x:v>Z006</x:v>
      </x:c>
      <x:c r="M2523" s="19" t="str">
        <x:v>In Field Warranty Claims</x:v>
      </x:c>
      <x:c r="N2523" s="37" t="n">
        <x:v>46106</x:v>
      </x:c>
      <x:c r="O2523" s="37"/>
      <x:c r="P2523" s="34" t="n">
        <x:v>0</x:v>
      </x:c>
      <x:c r="Q2523" s="37" t="n">
        <x:v>46110.868368055555</x:v>
      </x:c>
    </x:row>
    <x:row r="2524">
      <x:c r="A2524" s="22" t="n">
        <x:v>32820</x:v>
      </x:c>
      <x:c r="B2524" s="28" t="n">
        <x:v>236.36</x:v>
      </x:c>
      <x:c r="C2524" s="28" t="n">
        <x:v>260</x:v>
      </x:c>
      <x:c r="D2524" s="31" t="n">
        <x:f>IF(OR(ISBLANK(B2524),ISBLANK(C2524),B2524=0),"",(C2524-B2524)/B2524)</x:f>
        <x:v>0.10001692333728204</x:v>
      </x:c>
      <x:c r="E2524" s="22" t="str">
        <x:f>IF(ISBLANK(C2524),"AmountIncludingTax缺失",IF(ABS(B2524-C2524)&lt;0.005,"一致","不一致"))</x:f>
        <x:v>不一致</x:v>
      </x:c>
      <x:c r="F2524" s="19" t="str">
        <x:v>approved</x:v>
      </x:c>
      <x:c r="G2524" s="19" t="str">
        <x:v>Repair in Progress</x:v>
      </x:c>
      <x:c r="H2524" s="19" t="str">
        <x:v>In Field</x:v>
      </x:c>
      <x:c r="I2524" s="37" t="n">
        <x:v>46108</x:v>
      </x:c>
      <x:c r="J2524" s="37" t="n">
        <x:v>46108</x:v>
      </x:c>
      <x:c r="K2524" s="19" t="str">
        <x:v>Green RV - Slacks Creek</x:v>
      </x:c>
      <x:c r="L2524" s="19" t="str">
        <x:v>Z006</x:v>
      </x:c>
      <x:c r="M2524" s="19" t="str">
        <x:v>In Field Warranty Claims</x:v>
      </x:c>
      <x:c r="N2524" s="37" t="n">
        <x:v>46106</x:v>
      </x:c>
      <x:c r="O2524" s="37"/>
      <x:c r="P2524" s="34" t="n">
        <x:v>260</x:v>
      </x:c>
      <x:c r="Q2524" s="37" t="n">
        <x:v>46108.15387731481</x:v>
      </x:c>
    </x:row>
    <x:row r="2525">
      <x:c r="A2525" s="22" t="n">
        <x:v>32819</x:v>
      </x:c>
      <x:c r="B2525" s="28" t="n">
        <x:v>162</x:v>
      </x:c>
      <x:c r="C2525" s="28"/>
      <x:c r="D2525" s="31" t="str">
        <x:f>IF(OR(ISBLANK(B2525),ISBLANK(C2525),B2525=0),"",(C2525-B2525)/B2525)</x:f>
      </x:c>
      <x:c r="E2525" s="22" t="str">
        <x:f>IF(ISBLANK(C2525),"AmountIncludingTax缺失",IF(ABS(B2525-C2525)&lt;0.005,"一致","不一致"))</x:f>
        <x:v>AmountIncludingTax缺失</x:v>
      </x:c>
      <x:c r="F2525" s="19" t="str">
        <x:v>approved</x:v>
      </x:c>
      <x:c r="G2525" s="19" t="str">
        <x:v>Repair in Progress</x:v>
      </x:c>
      <x:c r="H2525" s="19" t="str">
        <x:v>In Field</x:v>
      </x:c>
      <x:c r="I2525" s="37" t="n">
        <x:v>46122</x:v>
      </x:c>
      <x:c r="J2525" s="37" t="n">
        <x:v>46122</x:v>
      </x:c>
      <x:c r="K2525" s="19" t="str">
        <x:v>Regent RV - Perth</x:v>
      </x:c>
      <x:c r="L2525" s="19" t="str">
        <x:v>Z006</x:v>
      </x:c>
      <x:c r="M2525" s="19" t="str">
        <x:v>In Field Warranty Claims</x:v>
      </x:c>
      <x:c r="N2525" s="37" t="n">
        <x:v>46106</x:v>
      </x:c>
      <x:c r="O2525" s="37"/>
      <x:c r="P2525" s="34" t="n">
        <x:v>0</x:v>
      </x:c>
      <x:c r="Q2525" s="37" t="n">
        <x:v>46122.244675925926</x:v>
      </x:c>
    </x:row>
    <x:row r="2526">
      <x:c r="A2526" s="22" t="n">
        <x:v>32817</x:v>
      </x:c>
      <x:c r="B2526" s="28" t="n">
        <x:v>168.75</x:v>
      </x:c>
      <x:c r="C2526" s="28"/>
      <x:c r="D2526" s="31" t="str">
        <x:f>IF(OR(ISBLANK(B2526),ISBLANK(C2526),B2526=0),"",(C2526-B2526)/B2526)</x:f>
      </x:c>
      <x:c r="E2526" s="22" t="str">
        <x:f>IF(ISBLANK(C2526),"AmountIncludingTax缺失",IF(ABS(B2526-C2526)&lt;0.005,"一致","不一致"))</x:f>
        <x:v>AmountIncludingTax缺失</x:v>
      </x:c>
      <x:c r="F2526" s="19" t="str">
        <x:v>approved</x:v>
      </x:c>
      <x:c r="G2526" s="19" t="str">
        <x:v>Repair in Progress</x:v>
      </x:c>
      <x:c r="H2526" s="19" t="str">
        <x:v>In Field</x:v>
      </x:c>
      <x:c r="I2526" s="37" t="n">
        <x:v>46122</x:v>
      </x:c>
      <x:c r="J2526" s="37" t="n">
        <x:v>46122</x:v>
      </x:c>
      <x:c r="K2526" s="19" t="str">
        <x:v>Not Assigned</x:v>
      </x:c>
      <x:c r="L2526" s="19" t="str">
        <x:v>Z006</x:v>
      </x:c>
      <x:c r="M2526" s="19" t="str">
        <x:v>In Field Warranty Claims</x:v>
      </x:c>
      <x:c r="N2526" s="37" t="n">
        <x:v>46106</x:v>
      </x:c>
      <x:c r="O2526" s="37"/>
      <x:c r="P2526" s="34" t="n">
        <x:v>0</x:v>
      </x:c>
      <x:c r="Q2526" s="37" t="n">
        <x:v>46121.96635416667</x:v>
      </x:c>
    </x:row>
    <x:row r="2527">
      <x:c r="A2527" s="22" t="n">
        <x:v>32816</x:v>
      </x:c>
      <x:c r="B2527" s="28" t="n">
        <x:v>742.5</x:v>
      </x:c>
      <x:c r="C2527" s="28"/>
      <x:c r="D2527" s="31" t="str">
        <x:f>IF(OR(ISBLANK(B2527),ISBLANK(C2527),B2527=0),"",(C2527-B2527)/B2527)</x:f>
      </x:c>
      <x:c r="E2527" s="22" t="str">
        <x:f>IF(ISBLANK(C2527),"AmountIncludingTax缺失",IF(ABS(B2527-C2527)&lt;0.005,"一致","不一致"))</x:f>
        <x:v>AmountIncludingTax缺失</x:v>
      </x:c>
      <x:c r="F2527" s="19" t="str">
        <x:v>approved</x:v>
      </x:c>
      <x:c r="G2527" s="19" t="str">
        <x:v>Sales Order Approved</x:v>
      </x:c>
      <x:c r="H2527" s="19" t="str">
        <x:v>Pre Delivery</x:v>
      </x:c>
      <x:c r="I2527" s="37" t="n">
        <x:v>46136</x:v>
      </x:c>
      <x:c r="J2527" s="37" t="n">
        <x:v>46136</x:v>
      </x:c>
      <x:c r="K2527" s="19" t="str">
        <x:v>Auswide Caravans - South Nowra</x:v>
      </x:c>
      <x:c r="L2527" s="19" t="str">
        <x:v>Z005</x:v>
      </x:c>
      <x:c r="M2527" s="19" t="str">
        <x:v>Pre Delivery Warranty Claims</x:v>
      </x:c>
      <x:c r="N2527" s="37" t="n">
        <x:v>46106</x:v>
      </x:c>
      <x:c r="O2527" s="37"/>
      <x:c r="P2527" s="34" t="n">
        <x:v>0</x:v>
      </x:c>
      <x:c r="Q2527" s="37" t="n">
        <x:v>46135.96288194445</x:v>
      </x:c>
    </x:row>
    <x:row r="2528">
      <x:c r="A2528" s="22" t="n">
        <x:v>32815</x:v>
      </x:c>
      <x:c r="B2528" s="28" t="n">
        <x:v>762.5</x:v>
      </x:c>
      <x:c r="C2528" s="28"/>
      <x:c r="D2528" s="31" t="str">
        <x:f>IF(OR(ISBLANK(B2528),ISBLANK(C2528),B2528=0),"",(C2528-B2528)/B2528)</x:f>
      </x:c>
      <x:c r="E2528" s="22" t="str">
        <x:f>IF(ISBLANK(C2528),"AmountIncludingTax缺失",IF(ABS(B2528-C2528)&lt;0.005,"一致","不一致"))</x:f>
        <x:v>AmountIncludingTax缺失</x:v>
      </x:c>
      <x:c r="F2528" s="19" t="str">
        <x:v>approved</x:v>
      </x:c>
      <x:c r="G2528" s="19" t="str">
        <x:v>Repairer Invoiced Processed</x:v>
      </x:c>
      <x:c r="H2528" s="19" t="str">
        <x:v>In Field</x:v>
      </x:c>
      <x:c r="I2528" s="37" t="n">
        <x:v>46136</x:v>
      </x:c>
      <x:c r="J2528" s="37" t="n">
        <x:v>46136</x:v>
      </x:c>
      <x:c r="K2528" s="19" t="str">
        <x:v>Leisure Lion Pty Ltd - Toowoomba</x:v>
      </x:c>
      <x:c r="L2528" s="19" t="str">
        <x:v>Z006</x:v>
      </x:c>
      <x:c r="M2528" s="19" t="str">
        <x:v>In Field Warranty Claims</x:v>
      </x:c>
      <x:c r="N2528" s="37" t="n">
        <x:v>46106</x:v>
      </x:c>
      <x:c r="O2528" s="37"/>
      <x:c r="P2528" s="34" t="n">
        <x:v>0</x:v>
      </x:c>
      <x:c r="Q2528" s="37" t="n">
        <x:v>46135.89436342593</x:v>
      </x:c>
    </x:row>
    <x:row r="2529">
      <x:c r="A2529" s="22" t="n">
        <x:v>32814</x:v>
      </x:c>
      <x:c r="B2529" s="28" t="n">
        <x:v>345.18</x:v>
      </x:c>
      <x:c r="C2529" s="28" t="n">
        <x:v>379.7</x:v>
      </x:c>
      <x:c r="D2529" s="31" t="n">
        <x:f>IF(OR(ISBLANK(B2529),ISBLANK(C2529),B2529=0),"",(C2529-B2529)/B2529)</x:f>
        <x:v>0.10000579407845177</x:v>
      </x:c>
      <x:c r="E2529" s="22" t="str">
        <x:f>IF(ISBLANK(C2529),"AmountIncludingTax缺失",IF(ABS(B2529-C2529)&lt;0.005,"一致","不一致"))</x:f>
        <x:v>不一致</x:v>
      </x:c>
      <x:c r="F2529" s="19" t="str">
        <x:v>approved</x:v>
      </x:c>
      <x:c r="G2529" s="19" t="str">
        <x:v>Repairer Invoiced Processed</x:v>
      </x:c>
      <x:c r="H2529" s="19" t="str">
        <x:v>In Field</x:v>
      </x:c>
      <x:c r="I2529" s="37" t="n">
        <x:v>46113</x:v>
      </x:c>
      <x:c r="J2529" s="37" t="n">
        <x:v>46113</x:v>
      </x:c>
      <x:c r="K2529" s="19" t="str">
        <x:v>Regent RV - Perth</x:v>
      </x:c>
      <x:c r="L2529" s="19" t="str">
        <x:v>Z006</x:v>
      </x:c>
      <x:c r="M2529" s="19" t="str">
        <x:v>In Field Warranty Claims</x:v>
      </x:c>
      <x:c r="N2529" s="37" t="n">
        <x:v>46106</x:v>
      </x:c>
      <x:c r="O2529" s="37"/>
      <x:c r="P2529" s="34" t="n">
        <x:v>379.7</x:v>
      </x:c>
      <x:c r="Q2529" s="37" t="n">
        <x:v>46113.01131944444</x:v>
      </x:c>
    </x:row>
    <x:row r="2530">
      <x:c r="A2530" s="22" t="n">
        <x:v>32812</x:v>
      </x:c>
      <x:c r="B2530" s="28" t="n">
        <x:v>122.73</x:v>
      </x:c>
      <x:c r="C2530" s="28"/>
      <x:c r="D2530" s="31" t="str">
        <x:f>IF(OR(ISBLANK(B2530),ISBLANK(C2530),B2530=0),"",(C2530-B2530)/B2530)</x:f>
      </x:c>
      <x:c r="E2530" s="22" t="str">
        <x:f>IF(ISBLANK(C2530),"AmountIncludingTax缺失",IF(ABS(B2530-C2530)&lt;0.005,"一致","不一致"))</x:f>
        <x:v>AmountIncludingTax缺失</x:v>
      </x:c>
      <x:c r="F2530" s="19" t="str">
        <x:v>approved</x:v>
      </x:c>
      <x:c r="G2530" s="19" t="str">
        <x:v>Repair in Progress</x:v>
      </x:c>
      <x:c r="H2530" s="19" t="str">
        <x:v>Pre Delivery</x:v>
      </x:c>
      <x:c r="I2530" s="37" t="n">
        <x:v>46136</x:v>
      </x:c>
      <x:c r="J2530" s="37" t="n">
        <x:v>46136</x:v>
      </x:c>
      <x:c r="K2530" s="19" t="str">
        <x:v>Green RV - Forest Glen</x:v>
      </x:c>
      <x:c r="L2530" s="19" t="str">
        <x:v>Z005</x:v>
      </x:c>
      <x:c r="M2530" s="19" t="str">
        <x:v>Pre Delivery Warranty Claims</x:v>
      </x:c>
      <x:c r="N2530" s="37" t="n">
        <x:v>46106</x:v>
      </x:c>
      <x:c r="O2530" s="37"/>
      <x:c r="P2530" s="34" t="n">
        <x:v>0</x:v>
      </x:c>
      <x:c r="Q2530" s="37" t="n">
        <x:v>46135.948912037034</x:v>
      </x:c>
    </x:row>
    <x:row r="2531">
      <x:c r="A2531" s="22" t="n">
        <x:v>32811</x:v>
      </x:c>
      <x:c r="B2531" s="28" t="n">
        <x:v>675</x:v>
      </x:c>
      <x:c r="C2531" s="28"/>
      <x:c r="D2531" s="31" t="str">
        <x:f>IF(OR(ISBLANK(B2531),ISBLANK(C2531),B2531=0),"",(C2531-B2531)/B2531)</x:f>
      </x:c>
      <x:c r="E2531" s="22" t="str">
        <x:f>IF(ISBLANK(C2531),"AmountIncludingTax缺失",IF(ABS(B2531-C2531)&lt;0.005,"一致","不一致"))</x:f>
        <x:v>AmountIncludingTax缺失</x:v>
      </x:c>
      <x:c r="F2531" s="19" t="str">
        <x:v>approved</x:v>
      </x:c>
      <x:c r="G2531" s="19" t="str">
        <x:v>Partially Picked</x:v>
      </x:c>
      <x:c r="H2531" s="19" t="str">
        <x:v>In Field</x:v>
      </x:c>
      <x:c r="I2531" s="37" t="n">
        <x:v>46122</x:v>
      </x:c>
      <x:c r="J2531" s="37" t="n">
        <x:v>46122</x:v>
      </x:c>
      <x:c r="K2531" s="19" t="str">
        <x:v>Green RV - Forest Glen</x:v>
      </x:c>
      <x:c r="L2531" s="19" t="str">
        <x:v>Z006</x:v>
      </x:c>
      <x:c r="M2531" s="19" t="str">
        <x:v>In Field Warranty Claims</x:v>
      </x:c>
      <x:c r="N2531" s="37" t="n">
        <x:v>46106</x:v>
      </x:c>
      <x:c r="O2531" s="37"/>
      <x:c r="P2531" s="34" t="n">
        <x:v>0</x:v>
      </x:c>
      <x:c r="Q2531" s="37" t="n">
        <x:v>46122.00355324074</x:v>
      </x:c>
    </x:row>
    <x:row r="2532">
      <x:c r="A2532" s="22" t="n">
        <x:v>32810</x:v>
      </x:c>
      <x:c r="B2532" s="28" t="n">
        <x:v>135</x:v>
      </x:c>
      <x:c r="C2532" s="28"/>
      <x:c r="D2532" s="31" t="str">
        <x:f>IF(OR(ISBLANK(B2532),ISBLANK(C2532),B2532=0),"",(C2532-B2532)/B2532)</x:f>
      </x:c>
      <x:c r="E2532" s="22" t="str">
        <x:f>IF(ISBLANK(C2532),"AmountIncludingTax缺失",IF(ABS(B2532-C2532)&lt;0.005,"一致","不一致"))</x:f>
        <x:v>AmountIncludingTax缺失</x:v>
      </x:c>
      <x:c r="F2532" s="19" t="str">
        <x:v>approved</x:v>
      </x:c>
      <x:c r="G2532" s="19" t="str">
        <x:v>Repairer Invoiced Processed</x:v>
      </x:c>
      <x:c r="H2532" s="19" t="str">
        <x:v>In Field</x:v>
      </x:c>
      <x:c r="I2532" s="37" t="n">
        <x:v>46121</x:v>
      </x:c>
      <x:c r="J2532" s="37" t="n">
        <x:v>46121</x:v>
      </x:c>
      <x:c r="K2532" s="19" t="str">
        <x:v>The Caravan Hub - Townsville</x:v>
      </x:c>
      <x:c r="L2532" s="19" t="str">
        <x:v>Z006</x:v>
      </x:c>
      <x:c r="M2532" s="19" t="str">
        <x:v>In Field Warranty Claims</x:v>
      </x:c>
      <x:c r="N2532" s="37" t="n">
        <x:v>46106</x:v>
      </x:c>
      <x:c r="O2532" s="37"/>
      <x:c r="P2532" s="34" t="n">
        <x:v>0</x:v>
      </x:c>
      <x:c r="Q2532" s="37" t="n">
        <x:v>46121.11237268519</x:v>
      </x:c>
    </x:row>
    <x:row r="2533">
      <x:c r="A2533" s="22" t="n">
        <x:v>32809</x:v>
      </x:c>
      <x:c r="B2533" s="28" t="n">
        <x:v>135</x:v>
      </x:c>
      <x:c r="C2533" s="28" t="n">
        <x:v>148.5</x:v>
      </x:c>
      <x:c r="D2533" s="31" t="n">
        <x:f>IF(OR(ISBLANK(B2533),ISBLANK(C2533),B2533=0),"",(C2533-B2533)/B2533)</x:f>
        <x:v>0.1</x:v>
      </x:c>
      <x:c r="E2533" s="22" t="str">
        <x:f>IF(ISBLANK(C2533),"AmountIncludingTax缺失",IF(ABS(B2533-C2533)&lt;0.005,"一致","不一致"))</x:f>
        <x:v>不一致</x:v>
      </x:c>
      <x:c r="F2533" s="19" t="str">
        <x:v>approved</x:v>
      </x:c>
      <x:c r="G2533" s="19" t="str">
        <x:v>Repair in Progress</x:v>
      </x:c>
      <x:c r="H2533" s="19" t="str">
        <x:v>In Field</x:v>
      </x:c>
      <x:c r="I2533" s="37" t="n">
        <x:v>46121</x:v>
      </x:c>
      <x:c r="J2533" s="37" t="n">
        <x:v>46121</x:v>
      </x:c>
      <x:c r="K2533" s="19" t="str">
        <x:v>Green RV - Slacks Creek</x:v>
      </x:c>
      <x:c r="L2533" s="19" t="str">
        <x:v>Z006</x:v>
      </x:c>
      <x:c r="M2533" s="19" t="str">
        <x:v>In Field Warranty Claims</x:v>
      </x:c>
      <x:c r="N2533" s="37" t="n">
        <x:v>46106</x:v>
      </x:c>
      <x:c r="O2533" s="37"/>
      <x:c r="P2533" s="34" t="n">
        <x:v>148.5</x:v>
      </x:c>
      <x:c r="Q2533" s="37" t="n">
        <x:v>46121.2965625</x:v>
      </x:c>
    </x:row>
    <x:row r="2534">
      <x:c r="A2534" s="22" t="n">
        <x:v>32807</x:v>
      </x:c>
      <x:c r="B2534" s="28" t="n">
        <x:v>1801.25</x:v>
      </x:c>
      <x:c r="C2534" s="28"/>
      <x:c r="D2534" s="31" t="str">
        <x:f>IF(OR(ISBLANK(B2534),ISBLANK(C2534),B2534=0),"",(C2534-B2534)/B2534)</x:f>
      </x:c>
      <x:c r="E2534" s="22" t="str">
        <x:f>IF(ISBLANK(C2534),"AmountIncludingTax缺失",IF(ABS(B2534-C2534)&lt;0.005,"一致","不一致"))</x:f>
        <x:v>AmountIncludingTax缺失</x:v>
      </x:c>
      <x:c r="F2534" s="19" t="str">
        <x:v>approved</x:v>
      </x:c>
      <x:c r="G2534" s="19" t="str">
        <x:v>Repairer Invoiced Processed</x:v>
      </x:c>
      <x:c r="H2534" s="19" t="str">
        <x:v>Pre Delivery</x:v>
      </x:c>
      <x:c r="I2534" s="37" t="n">
        <x:v>46191</x:v>
      </x:c>
      <x:c r="J2534" s="37" t="n">
        <x:v>46191</x:v>
      </x:c>
      <x:c r="K2534" s="19" t="str">
        <x:v>Leisure Lion - Bundaberg</x:v>
      </x:c>
      <x:c r="L2534" s="19" t="str">
        <x:v>Z005</x:v>
      </x:c>
      <x:c r="M2534" s="19" t="str">
        <x:v>Pre Delivery Warranty Claims</x:v>
      </x:c>
      <x:c r="N2534" s="37" t="n">
        <x:v>46106</x:v>
      </x:c>
      <x:c r="O2534" s="37"/>
      <x:c r="P2534" s="34" t="n">
        <x:v>0</x:v>
      </x:c>
      <x:c r="Q2534" s="37" t="n">
        <x:v>46191.25819444445</x:v>
      </x:c>
    </x:row>
    <x:row r="2535">
      <x:c r="A2535" s="22" t="n">
        <x:v>32806</x:v>
      </x:c>
      <x:c r="B2535" s="28" t="n">
        <x:v>135</x:v>
      </x:c>
      <x:c r="C2535" s="28"/>
      <x:c r="D2535" s="31" t="str">
        <x:f>IF(OR(ISBLANK(B2535),ISBLANK(C2535),B2535=0),"",(C2535-B2535)/B2535)</x:f>
      </x:c>
      <x:c r="E2535" s="22" t="str">
        <x:f>IF(ISBLANK(C2535),"AmountIncludingTax缺失",IF(ABS(B2535-C2535)&lt;0.005,"一致","不一致"))</x:f>
        <x:v>AmountIncludingTax缺失</x:v>
      </x:c>
      <x:c r="F2535" s="19" t="str">
        <x:v>approved</x:v>
      </x:c>
      <x:c r="G2535" s="19" t="str">
        <x:v>Repair in Progress</x:v>
      </x:c>
      <x:c r="H2535" s="19" t="str">
        <x:v>In Field</x:v>
      </x:c>
      <x:c r="I2535" s="37" t="n">
        <x:v>46111</x:v>
      </x:c>
      <x:c r="J2535" s="37" t="n">
        <x:v>46111</x:v>
      </x:c>
      <x:c r="K2535" s="19" t="str">
        <x:v>Regent RV - Toowoomba</x:v>
      </x:c>
      <x:c r="L2535" s="19" t="str">
        <x:v>Z006</x:v>
      </x:c>
      <x:c r="M2535" s="19" t="str">
        <x:v>In Field Warranty Claims</x:v>
      </x:c>
      <x:c r="N2535" s="37" t="n">
        <x:v>46106</x:v>
      </x:c>
      <x:c r="O2535" s="37"/>
      <x:c r="P2535" s="34" t="n">
        <x:v>0</x:v>
      </x:c>
      <x:c r="Q2535" s="37" t="n">
        <x:v>46110.87688657407</x:v>
      </x:c>
    </x:row>
    <x:row r="2536">
      <x:c r="A2536" s="22" t="n">
        <x:v>32805</x:v>
      </x:c>
      <x:c r="B2536" s="28" t="n">
        <x:v>77.5</x:v>
      </x:c>
      <x:c r="C2536" s="28"/>
      <x:c r="D2536" s="31" t="str">
        <x:f>IF(OR(ISBLANK(B2536),ISBLANK(C2536),B2536=0),"",(C2536-B2536)/B2536)</x:f>
      </x:c>
      <x:c r="E2536" s="22" t="str">
        <x:f>IF(ISBLANK(C2536),"AmountIncludingTax缺失",IF(ABS(B2536-C2536)&lt;0.005,"一致","不一致"))</x:f>
        <x:v>AmountIncludingTax缺失</x:v>
      </x:c>
      <x:c r="F2536" s="19" t="str">
        <x:v>approved</x:v>
      </x:c>
      <x:c r="G2536" s="19" t="str">
        <x:v>Repairer Invoiced Processed</x:v>
      </x:c>
      <x:c r="H2536" s="19" t="str">
        <x:v>In Field</x:v>
      </x:c>
      <x:c r="I2536" s="37" t="n">
        <x:v>46128</x:v>
      </x:c>
      <x:c r="J2536" s="37" t="n">
        <x:v>46128</x:v>
      </x:c>
      <x:c r="K2536" s="19" t="str">
        <x:v>Not Assigned</x:v>
      </x:c>
      <x:c r="L2536" s="19" t="str">
        <x:v>Z006</x:v>
      </x:c>
      <x:c r="M2536" s="19" t="str">
        <x:v>In Field Warranty Claims</x:v>
      </x:c>
      <x:c r="N2536" s="37" t="n">
        <x:v>46106</x:v>
      </x:c>
      <x:c r="O2536" s="37"/>
      <x:c r="P2536" s="34" t="n">
        <x:v>0</x:v>
      </x:c>
      <x:c r="Q2536" s="37" t="n">
        <x:v>46127.966631944444</x:v>
      </x:c>
    </x:row>
    <x:row r="2537">
      <x:c r="A2537" s="22" t="n">
        <x:v>32803</x:v>
      </x:c>
      <x:c r="B2537" s="28" t="n">
        <x:v>1291.59</x:v>
      </x:c>
      <x:c r="C2537" s="28"/>
      <x:c r="D2537" s="31" t="str">
        <x:f>IF(OR(ISBLANK(B2537),ISBLANK(C2537),B2537=0),"",(C2537-B2537)/B2537)</x:f>
      </x:c>
      <x:c r="E2537" s="22" t="str">
        <x:f>IF(ISBLANK(C2537),"AmountIncludingTax缺失",IF(ABS(B2537-C2537)&lt;0.005,"一致","不一致"))</x:f>
        <x:v>AmountIncludingTax缺失</x:v>
      </x:c>
      <x:c r="F2537" s="19" t="str">
        <x:v>approved</x:v>
      </x:c>
      <x:c r="G2537" s="19" t="str">
        <x:v>Partially Picked</x:v>
      </x:c>
      <x:c r="H2537" s="19" t="str">
        <x:v>Pre Delivery</x:v>
      </x:c>
      <x:c r="I2537" s="37" t="n">
        <x:v>46139</x:v>
      </x:c>
      <x:c r="J2537" s="37" t="n">
        <x:v>46139</x:v>
      </x:c>
      <x:c r="K2537" s="19" t="str">
        <x:v>Leisure Lion - Bundaberg</x:v>
      </x:c>
      <x:c r="L2537" s="19" t="str">
        <x:v>Z005</x:v>
      </x:c>
      <x:c r="M2537" s="19" t="str">
        <x:v>Pre Delivery Warranty Claims</x:v>
      </x:c>
      <x:c r="N2537" s="37" t="n">
        <x:v>46106</x:v>
      </x:c>
      <x:c r="O2537" s="37"/>
      <x:c r="P2537" s="34" t="n">
        <x:v>0</x:v>
      </x:c>
      <x:c r="Q2537" s="37" t="n">
        <x:v>46138.89127314815</x:v>
      </x:c>
    </x:row>
    <x:row r="2538">
      <x:c r="A2538" s="22" t="n">
        <x:v>32802</x:v>
      </x:c>
      <x:c r="B2538" s="28" t="n">
        <x:v>128.15</x:v>
      </x:c>
      <x:c r="C2538" s="28" t="n">
        <x:v>140.97</x:v>
      </x:c>
      <x:c r="D2538" s="31" t="n">
        <x:f>IF(OR(ISBLANK(B2538),ISBLANK(C2538),B2538=0),"",(C2538-B2538)/B2538)</x:f>
        <x:v>0.10003901677721415</x:v>
      </x:c>
      <x:c r="E2538" s="22" t="str">
        <x:f>IF(ISBLANK(C2538),"AmountIncludingTax缺失",IF(ABS(B2538-C2538)&lt;0.005,"一致","不一致"))</x:f>
        <x:v>不一致</x:v>
      </x:c>
      <x:c r="F2538" s="19" t="str">
        <x:v>approved</x:v>
      </x:c>
      <x:c r="G2538" s="19" t="str">
        <x:v>Repair in Progress</x:v>
      </x:c>
      <x:c r="H2538" s="19" t="str">
        <x:v>In Field</x:v>
      </x:c>
      <x:c r="I2538" s="37" t="n">
        <x:v>46111</x:v>
      </x:c>
      <x:c r="J2538" s="37" t="n">
        <x:v>46111</x:v>
      </x:c>
      <x:c r="K2538" s="19" t="str">
        <x:v>Green RV - Forest Glen</x:v>
      </x:c>
      <x:c r="L2538" s="19" t="str">
        <x:v>Z006</x:v>
      </x:c>
      <x:c r="M2538" s="19" t="str">
        <x:v>In Field Warranty Claims</x:v>
      </x:c>
      <x:c r="N2538" s="37" t="n">
        <x:v>46106</x:v>
      </x:c>
      <x:c r="O2538" s="37"/>
      <x:c r="P2538" s="34" t="n">
        <x:v>140.97</x:v>
      </x:c>
      <x:c r="Q2538" s="37" t="n">
        <x:v>46110.88621527778</x:v>
      </x:c>
    </x:row>
    <x:row r="2539">
      <x:c r="A2539" s="22" t="n">
        <x:v>32800</x:v>
      </x:c>
      <x:c r="B2539" s="28" t="n">
        <x:v>238.64</x:v>
      </x:c>
      <x:c r="C2539" s="28" t="n">
        <x:v>262.5</x:v>
      </x:c>
      <x:c r="D2539" s="31" t="n">
        <x:f>IF(OR(ISBLANK(B2539),ISBLANK(C2539),B2539=0),"",(C2539-B2539)/B2539)</x:f>
        <x:v>0.09998323835065377</x:v>
      </x:c>
      <x:c r="E2539" s="22" t="str">
        <x:f>IF(ISBLANK(C2539),"AmountIncludingTax缺失",IF(ABS(B2539-C2539)&lt;0.005,"一致","不一致"))</x:f>
        <x:v>不一致</x:v>
      </x:c>
      <x:c r="F2539" s="19" t="str">
        <x:v>approved</x:v>
      </x:c>
      <x:c r="G2539" s="19" t="str">
        <x:v>Repairer Invoiced Processed</x:v>
      </x:c>
      <x:c r="H2539" s="19" t="str">
        <x:v>In Field</x:v>
      </x:c>
      <x:c r="I2539" s="37" t="n">
        <x:v>46121</x:v>
      </x:c>
      <x:c r="J2539" s="37" t="n">
        <x:v>46120</x:v>
      </x:c>
      <x:c r="K2539" s="19" t="str">
        <x:v>Not Assigned</x:v>
      </x:c>
      <x:c r="L2539" s="19" t="str">
        <x:v>Z006</x:v>
      </x:c>
      <x:c r="M2539" s="19" t="str">
        <x:v>In Field Warranty Claims</x:v>
      </x:c>
      <x:c r="N2539" s="37" t="n">
        <x:v>46106</x:v>
      </x:c>
      <x:c r="O2539" s="37"/>
      <x:c r="P2539" s="34" t="n">
        <x:v>262.5</x:v>
      </x:c>
      <x:c r="Q2539" s="37" t="n">
        <x:v>46120.59153935185</x:v>
      </x:c>
    </x:row>
    <x:row r="2540">
      <x:c r="A2540" s="22" t="n">
        <x:v>32799</x:v>
      </x:c>
      <x:c r="B2540" s="28" t="n">
        <x:v>222.5</x:v>
      </x:c>
      <x:c r="C2540" s="28"/>
      <x:c r="D2540" s="31" t="str">
        <x:f>IF(OR(ISBLANK(B2540),ISBLANK(C2540),B2540=0),"",(C2540-B2540)/B2540)</x:f>
      </x:c>
      <x:c r="E2540" s="22" t="str">
        <x:f>IF(ISBLANK(C2540),"AmountIncludingTax缺失",IF(ABS(B2540-C2540)&lt;0.005,"一致","不一致"))</x:f>
        <x:v>AmountIncludingTax缺失</x:v>
      </x:c>
      <x:c r="F2540" s="19" t="str">
        <x:v>approved</x:v>
      </x:c>
      <x:c r="G2540" s="19" t="str">
        <x:v>Repairer Invoiced Processed</x:v>
      </x:c>
      <x:c r="H2540" s="19" t="str">
        <x:v>Pre Delivery</x:v>
      </x:c>
      <x:c r="I2540" s="37" t="n">
        <x:v>46136</x:v>
      </x:c>
      <x:c r="J2540" s="37" t="n">
        <x:v>46136</x:v>
      </x:c>
      <x:c r="K2540" s="19" t="str">
        <x:v>Lesiure Lion-New Castle</x:v>
      </x:c>
      <x:c r="L2540" s="19" t="str">
        <x:v>Z005</x:v>
      </x:c>
      <x:c r="M2540" s="19" t="str">
        <x:v>Pre Delivery Warranty Claims</x:v>
      </x:c>
      <x:c r="N2540" s="37" t="n">
        <x:v>46106</x:v>
      </x:c>
      <x:c r="O2540" s="37"/>
      <x:c r="P2540" s="34" t="n">
        <x:v>0</x:v>
      </x:c>
      <x:c r="Q2540" s="37" t="n">
        <x:v>46135.94721064815</x:v>
      </x:c>
    </x:row>
    <x:row r="2541">
      <x:c r="A2541" s="22" t="n">
        <x:v>32798</x:v>
      </x:c>
      <x:c r="B2541" s="28" t="n">
        <x:v>949.31</x:v>
      </x:c>
      <x:c r="C2541" s="28"/>
      <x:c r="D2541" s="31" t="str">
        <x:f>IF(OR(ISBLANK(B2541),ISBLANK(C2541),B2541=0),"",(C2541-B2541)/B2541)</x:f>
      </x:c>
      <x:c r="E2541" s="22" t="str">
        <x:f>IF(ISBLANK(C2541),"AmountIncludingTax缺失",IF(ABS(B2541-C2541)&lt;0.005,"一致","不一致"))</x:f>
        <x:v>AmountIncludingTax缺失</x:v>
      </x:c>
      <x:c r="F2541" s="19" t="str">
        <x:v>approved</x:v>
      </x:c>
      <x:c r="G2541" s="19" t="str">
        <x:v>Repairer Invoiced Processed</x:v>
      </x:c>
      <x:c r="H2541" s="19" t="str">
        <x:v>In Field</x:v>
      </x:c>
      <x:c r="I2541" s="37" t="n">
        <x:v>46111</x:v>
      </x:c>
      <x:c r="J2541" s="37" t="n">
        <x:v>46111</x:v>
      </x:c>
      <x:c r="K2541" s="19" t="str">
        <x:v>Green RV - Forest Glen</x:v>
      </x:c>
      <x:c r="L2541" s="19" t="str">
        <x:v>Z006</x:v>
      </x:c>
      <x:c r="M2541" s="19" t="str">
        <x:v>In Field Warranty Claims</x:v>
      </x:c>
      <x:c r="N2541" s="37" t="n">
        <x:v>46106</x:v>
      </x:c>
      <x:c r="O2541" s="37"/>
      <x:c r="P2541" s="34" t="n">
        <x:v>0</x:v>
      </x:c>
      <x:c r="Q2541" s="37" t="n">
        <x:v>46111.03228009259</x:v>
      </x:c>
    </x:row>
    <x:row r="2542">
      <x:c r="A2542" s="22" t="n">
        <x:v>32797</x:v>
      </x:c>
      <x:c r="B2542" s="28" t="n">
        <x:v>240.8</x:v>
      </x:c>
      <x:c r="C2542" s="28"/>
      <x:c r="D2542" s="31" t="str">
        <x:f>IF(OR(ISBLANK(B2542),ISBLANK(C2542),B2542=0),"",(C2542-B2542)/B2542)</x:f>
      </x:c>
      <x:c r="E2542" s="22" t="str">
        <x:f>IF(ISBLANK(C2542),"AmountIncludingTax缺失",IF(ABS(B2542-C2542)&lt;0.005,"一致","不一致"))</x:f>
        <x:v>AmountIncludingTax缺失</x:v>
      </x:c>
      <x:c r="F2542" s="19" t="str">
        <x:v>approved</x:v>
      </x:c>
      <x:c r="G2542" s="19" t="str">
        <x:v>Repairer Invoiced Processed</x:v>
      </x:c>
      <x:c r="H2542" s="19" t="str">
        <x:v>In Field</x:v>
      </x:c>
      <x:c r="I2542" s="37" t="n">
        <x:v>46124</x:v>
      </x:c>
      <x:c r="J2542" s="37" t="n">
        <x:v>46124</x:v>
      </x:c>
      <x:c r="K2542" s="19" t="str">
        <x:v>Green RV - Forest Glen</x:v>
      </x:c>
      <x:c r="L2542" s="19" t="str">
        <x:v>Z006</x:v>
      </x:c>
      <x:c r="M2542" s="19" t="str">
        <x:v>In Field Warranty Claims</x:v>
      </x:c>
      <x:c r="N2542" s="37" t="n">
        <x:v>46106</x:v>
      </x:c>
      <x:c r="O2542" s="37"/>
      <x:c r="P2542" s="34" t="n">
        <x:v>0</x:v>
      </x:c>
      <x:c r="Q2542" s="37" t="n">
        <x:v>46124.47232638889</x:v>
      </x:c>
    </x:row>
    <x:row r="2543">
      <x:c r="A2543" s="22" t="n">
        <x:v>32796</x:v>
      </x:c>
      <x:c r="B2543" s="28" t="n">
        <x:v>1270</x:v>
      </x:c>
      <x:c r="C2543" s="28"/>
      <x:c r="D2543" s="31" t="str">
        <x:f>IF(OR(ISBLANK(B2543),ISBLANK(C2543),B2543=0),"",(C2543-B2543)/B2543)</x:f>
      </x:c>
      <x:c r="E2543" s="22" t="str">
        <x:f>IF(ISBLANK(C2543),"AmountIncludingTax缺失",IF(ABS(B2543-C2543)&lt;0.005,"一致","不一致"))</x:f>
        <x:v>AmountIncludingTax缺失</x:v>
      </x:c>
      <x:c r="F2543" s="19" t="str">
        <x:v>approved</x:v>
      </x:c>
      <x:c r="G2543" s="19" t="str">
        <x:v>Sales Order Approved</x:v>
      </x:c>
      <x:c r="H2543" s="19" t="str">
        <x:v>Pre Delivery</x:v>
      </x:c>
      <x:c r="I2543" s="37" t="n">
        <x:v>46133</x:v>
      </x:c>
      <x:c r="J2543" s="37" t="n">
        <x:v>46133</x:v>
      </x:c>
      <x:c r="K2543" s="19" t="str">
        <x:v>Snowy River Frankston</x:v>
      </x:c>
      <x:c r="L2543" s="19" t="str">
        <x:v>Z005</x:v>
      </x:c>
      <x:c r="M2543" s="19" t="str">
        <x:v>Pre Delivery Warranty Claims</x:v>
      </x:c>
      <x:c r="N2543" s="37" t="n">
        <x:v>46106</x:v>
      </x:c>
      <x:c r="O2543" s="37"/>
      <x:c r="P2543" s="34" t="n">
        <x:v>0</x:v>
      </x:c>
      <x:c r="Q2543" s="37" t="n">
        <x:v>46133.12608796296</x:v>
      </x:c>
    </x:row>
    <x:row r="2544">
      <x:c r="A2544" s="22" t="n">
        <x:v>32795</x:v>
      </x:c>
      <x:c r="B2544" s="28" t="n">
        <x:v>135</x:v>
      </x:c>
      <x:c r="C2544" s="28"/>
      <x:c r="D2544" s="31" t="str">
        <x:f>IF(OR(ISBLANK(B2544),ISBLANK(C2544),B2544=0),"",(C2544-B2544)/B2544)</x:f>
      </x:c>
      <x:c r="E2544" s="22" t="str">
        <x:f>IF(ISBLANK(C2544),"AmountIncludingTax缺失",IF(ABS(B2544-C2544)&lt;0.005,"一致","不一致"))</x:f>
        <x:v>AmountIncludingTax缺失</x:v>
      </x:c>
      <x:c r="F2544" s="19" t="str">
        <x:v>approved</x:v>
      </x:c>
      <x:c r="G2544" s="19" t="str">
        <x:v>Repair in Progress</x:v>
      </x:c>
      <x:c r="H2544" s="19" t="str">
        <x:v>In Field</x:v>
      </x:c>
      <x:c r="I2544" s="37" t="n">
        <x:v>46162</x:v>
      </x:c>
      <x:c r="J2544" s="37" t="n">
        <x:v>46162</x:v>
      </x:c>
      <x:c r="K2544" s="19" t="str">
        <x:v>Green RV - Forest Glen</x:v>
      </x:c>
      <x:c r="L2544" s="19" t="str">
        <x:v>Z006</x:v>
      </x:c>
      <x:c r="M2544" s="19" t="str">
        <x:v>In Field Warranty Claims</x:v>
      </x:c>
      <x:c r="N2544" s="37" t="n">
        <x:v>46106</x:v>
      </x:c>
      <x:c r="O2544" s="37"/>
      <x:c r="P2544" s="34" t="n">
        <x:v>0</x:v>
      </x:c>
      <x:c r="Q2544" s="37" t="n">
        <x:v>46162.12305555555</x:v>
      </x:c>
    </x:row>
    <x:row r="2545">
      <x:c r="A2545" s="22" t="n">
        <x:v>32794</x:v>
      </x:c>
      <x:c r="B2545" s="28" t="n">
        <x:v>1521.25</x:v>
      </x:c>
      <x:c r="C2545" s="28"/>
      <x:c r="D2545" s="31" t="str">
        <x:f>IF(OR(ISBLANK(B2545),ISBLANK(C2545),B2545=0),"",(C2545-B2545)/B2545)</x:f>
      </x:c>
      <x:c r="E2545" s="22" t="str">
        <x:f>IF(ISBLANK(C2545),"AmountIncludingTax缺失",IF(ABS(B2545-C2545)&lt;0.005,"一致","不一致"))</x:f>
        <x:v>AmountIncludingTax缺失</x:v>
      </x:c>
      <x:c r="F2545" s="19" t="str">
        <x:v>approved</x:v>
      </x:c>
      <x:c r="G2545" s="19" t="str">
        <x:v>Repair in Progress</x:v>
      </x:c>
      <x:c r="H2545" s="19" t="str">
        <x:v>In Field</x:v>
      </x:c>
      <x:c r="I2545" s="37" t="n">
        <x:v>46120</x:v>
      </x:c>
      <x:c r="J2545" s="37" t="n">
        <x:v>46120</x:v>
      </x:c>
      <x:c r="K2545" s="19" t="str">
        <x:v>Regent RV - Frankston</x:v>
      </x:c>
      <x:c r="L2545" s="19" t="str">
        <x:v>Z006</x:v>
      </x:c>
      <x:c r="M2545" s="19" t="str">
        <x:v>In Field Warranty Claims</x:v>
      </x:c>
      <x:c r="N2545" s="37" t="n">
        <x:v>46106</x:v>
      </x:c>
      <x:c r="O2545" s="37"/>
      <x:c r="P2545" s="34" t="n">
        <x:v>0</x:v>
      </x:c>
      <x:c r="Q2545" s="37" t="n">
        <x:v>46120.20322916667</x:v>
      </x:c>
    </x:row>
    <x:row r="2546">
      <x:c r="A2546" s="22" t="n">
        <x:v>32793</x:v>
      </x:c>
      <x:c r="B2546" s="28" t="n">
        <x:v>222.5</x:v>
      </x:c>
      <x:c r="C2546" s="28"/>
      <x:c r="D2546" s="31" t="str">
        <x:f>IF(OR(ISBLANK(B2546),ISBLANK(C2546),B2546=0),"",(C2546-B2546)/B2546)</x:f>
      </x:c>
      <x:c r="E2546" s="22" t="str">
        <x:f>IF(ISBLANK(C2546),"AmountIncludingTax缺失",IF(ABS(B2546-C2546)&lt;0.005,"一致","不一致"))</x:f>
        <x:v>AmountIncludingTax缺失</x:v>
      </x:c>
      <x:c r="F2546" s="19" t="str">
        <x:v>approved</x:v>
      </x:c>
      <x:c r="G2546" s="19" t="str">
        <x:v>Repairer Invoiced Processed</x:v>
      </x:c>
      <x:c r="H2546" s="19" t="str">
        <x:v>Pre Delivery</x:v>
      </x:c>
      <x:c r="I2546" s="37" t="n">
        <x:v>46143</x:v>
      </x:c>
      <x:c r="J2546" s="37" t="n">
        <x:v>46143</x:v>
      </x:c>
      <x:c r="K2546" s="19" t="str">
        <x:v>Leisure Lion - Bundaberg</x:v>
      </x:c>
      <x:c r="L2546" s="19" t="str">
        <x:v>Z005</x:v>
      </x:c>
      <x:c r="M2546" s="19" t="str">
        <x:v>Pre Delivery Warranty Claims</x:v>
      </x:c>
      <x:c r="N2546" s="37" t="n">
        <x:v>46106</x:v>
      </x:c>
      <x:c r="O2546" s="37"/>
      <x:c r="P2546" s="34" t="n">
        <x:v>0</x:v>
      </x:c>
      <x:c r="Q2546" s="37" t="n">
        <x:v>46143.227800925924</x:v>
      </x:c>
    </x:row>
    <x:row r="2547">
      <x:c r="A2547" s="22" t="n">
        <x:v>32792</x:v>
      </x:c>
      <x:c r="B2547" s="28" t="n">
        <x:v>135</x:v>
      </x:c>
      <x:c r="C2547" s="28" t="n">
        <x:v>148.5</x:v>
      </x:c>
      <x:c r="D2547" s="31" t="n">
        <x:f>IF(OR(ISBLANK(B2547),ISBLANK(C2547),B2547=0),"",(C2547-B2547)/B2547)</x:f>
        <x:v>0.1</x:v>
      </x:c>
      <x:c r="E2547" s="22" t="str">
        <x:f>IF(ISBLANK(C2547),"AmountIncludingTax缺失",IF(ABS(B2547-C2547)&lt;0.005,"一致","不一致"))</x:f>
        <x:v>不一致</x:v>
      </x:c>
      <x:c r="F2547" s="19" t="str">
        <x:v>approved</x:v>
      </x:c>
      <x:c r="G2547" s="19" t="str">
        <x:v>Repair in Progress</x:v>
      </x:c>
      <x:c r="H2547" s="19" t="str">
        <x:v>In Field</x:v>
      </x:c>
      <x:c r="I2547" s="37" t="n">
        <x:v>46150</x:v>
      </x:c>
      <x:c r="J2547" s="37" t="n">
        <x:v>46150</x:v>
      </x:c>
      <x:c r="K2547" s="19" t="str">
        <x:v>Dario Caravans -St.Marys</x:v>
      </x:c>
      <x:c r="L2547" s="19" t="str">
        <x:v>Z006</x:v>
      </x:c>
      <x:c r="M2547" s="19" t="str">
        <x:v>In Field Warranty Claims</x:v>
      </x:c>
      <x:c r="N2547" s="37" t="n">
        <x:v>46105</x:v>
      </x:c>
      <x:c r="O2547" s="37" t="n">
        <x:v>46122</x:v>
      </x:c>
      <x:c r="P2547" s="34" t="n">
        <x:v>148.5</x:v>
      </x:c>
      <x:c r="Q2547" s="37" t="n">
        <x:v>46150.027037037034</x:v>
      </x:c>
    </x:row>
    <x:row r="2548">
      <x:c r="A2548" s="22" t="n">
        <x:v>32791</x:v>
      </x:c>
      <x:c r="B2548" s="28" t="n">
        <x:v>821.25</x:v>
      </x:c>
      <x:c r="C2548" s="28"/>
      <x:c r="D2548" s="31" t="str">
        <x:f>IF(OR(ISBLANK(B2548),ISBLANK(C2548),B2548=0),"",(C2548-B2548)/B2548)</x:f>
      </x:c>
      <x:c r="E2548" s="22" t="str">
        <x:f>IF(ISBLANK(C2548),"AmountIncludingTax缺失",IF(ABS(B2548-C2548)&lt;0.005,"一致","不一致"))</x:f>
        <x:v>AmountIncludingTax缺失</x:v>
      </x:c>
      <x:c r="F2548" s="19" t="str">
        <x:v>approved</x:v>
      </x:c>
      <x:c r="G2548" s="19" t="str">
        <x:v>Sales Order Approved</x:v>
      </x:c>
      <x:c r="H2548" s="19" t="str">
        <x:v>Pre Delivery</x:v>
      </x:c>
      <x:c r="I2548" s="37" t="n">
        <x:v>46209</x:v>
      </x:c>
      <x:c r="J2548" s="37" t="n">
        <x:v>46209</x:v>
      </x:c>
      <x:c r="K2548" s="19" t="str">
        <x:v>Leisure Lion - Bundaberg</x:v>
      </x:c>
      <x:c r="L2548" s="19" t="str">
        <x:v>Z005</x:v>
      </x:c>
      <x:c r="M2548" s="19" t="str">
        <x:v>Pre Delivery Warranty Claims</x:v>
      </x:c>
      <x:c r="N2548" s="37" t="n">
        <x:v>46105</x:v>
      </x:c>
      <x:c r="O2548" s="37"/>
      <x:c r="P2548" s="34" t="n">
        <x:v>0</x:v>
      </x:c>
      <x:c r="Q2548" s="37" t="n">
        <x:v>46209.2205787037</x:v>
      </x:c>
    </x:row>
    <x:row r="2549">
      <x:c r="A2549" s="22" t="n">
        <x:v>32790</x:v>
      </x:c>
      <x:c r="B2549" s="28" t="n">
        <x:v>911.25</x:v>
      </x:c>
      <x:c r="C2549" s="28"/>
      <x:c r="D2549" s="31" t="str">
        <x:f>IF(OR(ISBLANK(B2549),ISBLANK(C2549),B2549=0),"",(C2549-B2549)/B2549)</x:f>
      </x:c>
      <x:c r="E2549" s="22" t="str">
        <x:f>IF(ISBLANK(C2549),"AmountIncludingTax缺失",IF(ABS(B2549-C2549)&lt;0.005,"一致","不一致"))</x:f>
        <x:v>AmountIncludingTax缺失</x:v>
      </x:c>
      <x:c r="F2549" s="19" t="str">
        <x:v>approved</x:v>
      </x:c>
      <x:c r="G2549" s="19" t="str">
        <x:v>Repair in Progress</x:v>
      </x:c>
      <x:c r="H2549" s="19" t="str">
        <x:v>In Field</x:v>
      </x:c>
      <x:c r="I2549" s="37" t="n">
        <x:v>46182</x:v>
      </x:c>
      <x:c r="J2549" s="37" t="n">
        <x:v>46182</x:v>
      </x:c>
      <x:c r="K2549" s="19" t="str">
        <x:v>Not Assigned</x:v>
      </x:c>
      <x:c r="L2549" s="19" t="str">
        <x:v>Z006</x:v>
      </x:c>
      <x:c r="M2549" s="19" t="str">
        <x:v>In Field Warranty Claims</x:v>
      </x:c>
      <x:c r="N2549" s="37" t="n">
        <x:v>46106</x:v>
      </x:c>
      <x:c r="O2549" s="37"/>
      <x:c r="P2549" s="34" t="n">
        <x:v>0</x:v>
      </x:c>
      <x:c r="Q2549" s="37" t="n">
        <x:v>46182.164085648146</x:v>
      </x:c>
    </x:row>
    <x:row r="2550">
      <x:c r="A2550" s="22" t="n">
        <x:v>32789</x:v>
      </x:c>
      <x:c r="B2550" s="28" t="n">
        <x:v>750</x:v>
      </x:c>
      <x:c r="C2550" s="28"/>
      <x:c r="D2550" s="31" t="str">
        <x:f>IF(OR(ISBLANK(B2550),ISBLANK(C2550),B2550=0),"",(C2550-B2550)/B2550)</x:f>
      </x:c>
      <x:c r="E2550" s="22" t="str">
        <x:f>IF(ISBLANK(C2550),"AmountIncludingTax缺失",IF(ABS(B2550-C2550)&lt;0.005,"一致","不一致"))</x:f>
        <x:v>AmountIncludingTax缺失</x:v>
      </x:c>
      <x:c r="F2550" s="19" t="str">
        <x:v>approved</x:v>
      </x:c>
      <x:c r="G2550" s="19" t="str">
        <x:v>Repair in Progress</x:v>
      </x:c>
      <x:c r="H2550" s="19" t="str">
        <x:v>In Field</x:v>
      </x:c>
      <x:c r="I2550" s="37" t="n">
        <x:v>46110</x:v>
      </x:c>
      <x:c r="J2550" s="37" t="n">
        <x:v>46110</x:v>
      </x:c>
      <x:c r="K2550" s="19" t="str">
        <x:v>The Caravan Hub - Townsville</x:v>
      </x:c>
      <x:c r="L2550" s="19" t="str">
        <x:v>Z006</x:v>
      </x:c>
      <x:c r="M2550" s="19" t="str">
        <x:v>In Field Warranty Claims</x:v>
      </x:c>
      <x:c r="N2550" s="37" t="n">
        <x:v>46106</x:v>
      </x:c>
      <x:c r="O2550" s="37"/>
      <x:c r="P2550" s="34" t="n">
        <x:v>0</x:v>
      </x:c>
      <x:c r="Q2550" s="37" t="n">
        <x:v>46110.48861111111</x:v>
      </x:c>
    </x:row>
    <x:row r="2551">
      <x:c r="A2551" s="22" t="n">
        <x:v>32788</x:v>
      </x:c>
      <x:c r="B2551" s="28" t="n">
        <x:v>285</x:v>
      </x:c>
      <x:c r="C2551" s="28"/>
      <x:c r="D2551" s="31" t="str">
        <x:f>IF(OR(ISBLANK(B2551),ISBLANK(C2551),B2551=0),"",(C2551-B2551)/B2551)</x:f>
      </x:c>
      <x:c r="E2551" s="22" t="str">
        <x:f>IF(ISBLANK(C2551),"AmountIncludingTax缺失",IF(ABS(B2551-C2551)&lt;0.005,"一致","不一致"))</x:f>
        <x:v>AmountIncludingTax缺失</x:v>
      </x:c>
      <x:c r="F2551" s="19" t="str">
        <x:v>approved</x:v>
      </x:c>
      <x:c r="G2551" s="19" t="str">
        <x:v>Repair in Progress</x:v>
      </x:c>
      <x:c r="H2551" s="19" t="str">
        <x:v>Pre Delivery</x:v>
      </x:c>
      <x:c r="I2551" s="37" t="n">
        <x:v>46134</x:v>
      </x:c>
      <x:c r="J2551" s="37" t="n">
        <x:v>46134</x:v>
      </x:c>
      <x:c r="K2551" s="19" t="str">
        <x:v>Snowy River Frankston</x:v>
      </x:c>
      <x:c r="L2551" s="19" t="str">
        <x:v>Z005</x:v>
      </x:c>
      <x:c r="M2551" s="19" t="str">
        <x:v>Pre Delivery Warranty Claims</x:v>
      </x:c>
      <x:c r="N2551" s="37" t="n">
        <x:v>46106</x:v>
      </x:c>
      <x:c r="O2551" s="37"/>
      <x:c r="P2551" s="34" t="n">
        <x:v>0</x:v>
      </x:c>
      <x:c r="Q2551" s="37" t="n">
        <x:v>46134.12028935185</x:v>
      </x:c>
    </x:row>
    <x:row r="2552">
      <x:c r="A2552" s="22" t="n">
        <x:v>32787</x:v>
      </x:c>
      <x:c r="B2552" s="28" t="n">
        <x:v>330</x:v>
      </x:c>
      <x:c r="C2552" s="28" t="n">
        <x:v>363</x:v>
      </x:c>
      <x:c r="D2552" s="31" t="n">
        <x:f>IF(OR(ISBLANK(B2552),ISBLANK(C2552),B2552=0),"",(C2552-B2552)/B2552)</x:f>
        <x:v>0.1</x:v>
      </x:c>
      <x:c r="E2552" s="22" t="str">
        <x:f>IF(ISBLANK(C2552),"AmountIncludingTax缺失",IF(ABS(B2552-C2552)&lt;0.005,"一致","不一致"))</x:f>
        <x:v>不一致</x:v>
      </x:c>
      <x:c r="F2552" s="19" t="str">
        <x:v>approved</x:v>
      </x:c>
      <x:c r="G2552" s="19" t="str">
        <x:v>Repairer Invoiced Processed</x:v>
      </x:c>
      <x:c r="H2552" s="19" t="str">
        <x:v>In Field</x:v>
      </x:c>
      <x:c r="I2552" s="37" t="n">
        <x:v>46135</x:v>
      </x:c>
      <x:c r="J2552" s="37" t="n">
        <x:v>46135</x:v>
      </x:c>
      <x:c r="K2552" s="19" t="str">
        <x:v>Regent RV - Toowoomba</x:v>
      </x:c>
      <x:c r="L2552" s="19" t="str">
        <x:v>Z006</x:v>
      </x:c>
      <x:c r="M2552" s="19" t="str">
        <x:v>In Field Warranty Claims</x:v>
      </x:c>
      <x:c r="N2552" s="37" t="n">
        <x:v>46106</x:v>
      </x:c>
      <x:c r="O2552" s="37"/>
      <x:c r="P2552" s="34" t="n">
        <x:v>363</x:v>
      </x:c>
      <x:c r="Q2552" s="37" t="n">
        <x:v>46134.974444444444</x:v>
      </x:c>
    </x:row>
    <x:row r="2553">
      <x:c r="A2553" s="22" t="n">
        <x:v>32786</x:v>
      </x:c>
      <x:c r="B2553" s="28" t="n">
        <x:v>685</x:v>
      </x:c>
      <x:c r="C2553" s="28"/>
      <x:c r="D2553" s="31" t="str">
        <x:f>IF(OR(ISBLANK(B2553),ISBLANK(C2553),B2553=0),"",(C2553-B2553)/B2553)</x:f>
      </x:c>
      <x:c r="E2553" s="22" t="str">
        <x:f>IF(ISBLANK(C2553),"AmountIncludingTax缺失",IF(ABS(B2553-C2553)&lt;0.005,"一致","不一致"))</x:f>
        <x:v>AmountIncludingTax缺失</x:v>
      </x:c>
      <x:c r="F2553" s="19" t="str">
        <x:v>approved</x:v>
      </x:c>
      <x:c r="G2553" s="19" t="str">
        <x:v>Repair in Progress</x:v>
      </x:c>
      <x:c r="H2553" s="19" t="str">
        <x:v>Pre Delivery</x:v>
      </x:c>
      <x:c r="I2553" s="37" t="n">
        <x:v>46135</x:v>
      </x:c>
      <x:c r="J2553" s="37" t="n">
        <x:v>46135</x:v>
      </x:c>
      <x:c r="K2553" s="19" t="str">
        <x:v>Auswide Caravans - South Nowra</x:v>
      </x:c>
      <x:c r="L2553" s="19" t="str">
        <x:v>Z005</x:v>
      </x:c>
      <x:c r="M2553" s="19" t="str">
        <x:v>Pre Delivery Warranty Claims</x:v>
      </x:c>
      <x:c r="N2553" s="37" t="n">
        <x:v>46106</x:v>
      </x:c>
      <x:c r="O2553" s="37"/>
      <x:c r="P2553" s="34" t="n">
        <x:v>0</x:v>
      </x:c>
      <x:c r="Q2553" s="37" t="n">
        <x:v>46134.92320601852</x:v>
      </x:c>
    </x:row>
    <x:row r="2554">
      <x:c r="A2554" s="22" t="n">
        <x:v>32782</x:v>
      </x:c>
      <x:c r="B2554" s="28" t="n">
        <x:v>48.34</x:v>
      </x:c>
      <x:c r="C2554" s="28"/>
      <x:c r="D2554" s="31" t="str">
        <x:f>IF(OR(ISBLANK(B2554),ISBLANK(C2554),B2554=0),"",(C2554-B2554)/B2554)</x:f>
      </x:c>
      <x:c r="E2554" s="22" t="str">
        <x:f>IF(ISBLANK(C2554),"AmountIncludingTax缺失",IF(ABS(B2554-C2554)&lt;0.005,"一致","不一致"))</x:f>
        <x:v>AmountIncludingTax缺失</x:v>
      </x:c>
      <x:c r="F2554" s="19" t="str">
        <x:v>approved</x:v>
      </x:c>
      <x:c r="G2554" s="19" t="str">
        <x:v>Repair in Progress</x:v>
      </x:c>
      <x:c r="H2554" s="19" t="str">
        <x:v>In Field</x:v>
      </x:c>
      <x:c r="I2554" s="37" t="n">
        <x:v>46139</x:v>
      </x:c>
      <x:c r="J2554" s="37" t="n">
        <x:v>46139</x:v>
      </x:c>
      <x:c r="K2554" s="19" t="str">
        <x:v>Regent RV - Townsville</x:v>
      </x:c>
      <x:c r="L2554" s="19" t="str">
        <x:v>Z006</x:v>
      </x:c>
      <x:c r="M2554" s="19" t="str">
        <x:v>In Field Warranty Claims</x:v>
      </x:c>
      <x:c r="N2554" s="37" t="n">
        <x:v>46105</x:v>
      </x:c>
      <x:c r="O2554" s="37"/>
      <x:c r="P2554" s="34" t="n">
        <x:v>0</x:v>
      </x:c>
      <x:c r="Q2554" s="37" t="n">
        <x:v>46139.03203703704</x:v>
      </x:c>
    </x:row>
    <x:row r="2555">
      <x:c r="A2555" s="22" t="n">
        <x:v>32781</x:v>
      </x:c>
      <x:c r="B2555" s="28" t="n">
        <x:v>135</x:v>
      </x:c>
      <x:c r="C2555" s="28"/>
      <x:c r="D2555" s="31" t="str">
        <x:f>IF(OR(ISBLANK(B2555),ISBLANK(C2555),B2555=0),"",(C2555-B2555)/B2555)</x:f>
      </x:c>
      <x:c r="E2555" s="22" t="str">
        <x:f>IF(ISBLANK(C2555),"AmountIncludingTax缺失",IF(ABS(B2555-C2555)&lt;0.005,"一致","不一致"))</x:f>
        <x:v>AmountIncludingTax缺失</x:v>
      </x:c>
      <x:c r="F2555" s="19" t="str">
        <x:v>approved</x:v>
      </x:c>
      <x:c r="G2555" s="19" t="str">
        <x:v>Repair in Progress</x:v>
      </x:c>
      <x:c r="H2555" s="19" t="str">
        <x:v>In Field</x:v>
      </x:c>
      <x:c r="I2555" s="37" t="n">
        <x:v>46167</x:v>
      </x:c>
      <x:c r="J2555" s="37" t="n">
        <x:v>46167</x:v>
      </x:c>
      <x:c r="K2555" s="19" t="str">
        <x:v>Newcastle RV Super Centre - Beresfield</x:v>
      </x:c>
      <x:c r="L2555" s="19" t="str">
        <x:v>Z006</x:v>
      </x:c>
      <x:c r="M2555" s="19" t="str">
        <x:v>In Field Warranty Claims</x:v>
      </x:c>
      <x:c r="N2555" s="37" t="n">
        <x:v>46105</x:v>
      </x:c>
      <x:c r="O2555" s="37"/>
      <x:c r="P2555" s="34" t="n">
        <x:v>0</x:v>
      </x:c>
      <x:c r="Q2555" s="37" t="n">
        <x:v>46167.22100694444</x:v>
      </x:c>
    </x:row>
    <x:row r="2556">
      <x:c r="A2556" s="22" t="n">
        <x:v>32775</x:v>
      </x:c>
      <x:c r="B2556" s="28" t="n">
        <x:v>2428.5</x:v>
      </x:c>
      <x:c r="C2556" s="28"/>
      <x:c r="D2556" s="31" t="str">
        <x:f>IF(OR(ISBLANK(B2556),ISBLANK(C2556),B2556=0),"",(C2556-B2556)/B2556)</x:f>
      </x:c>
      <x:c r="E2556" s="22" t="str">
        <x:f>IF(ISBLANK(C2556),"AmountIncludingTax缺失",IF(ABS(B2556-C2556)&lt;0.005,"一致","不一致"))</x:f>
        <x:v>AmountIncludingTax缺失</x:v>
      </x:c>
      <x:c r="F2556" s="19" t="str">
        <x:v>approved</x:v>
      </x:c>
      <x:c r="G2556" s="19" t="str">
        <x:v>Repairer Invoiced Processed</x:v>
      </x:c>
      <x:c r="H2556" s="19" t="str">
        <x:v>In Field</x:v>
      </x:c>
      <x:c r="I2556" s="37" t="n">
        <x:v>46106</x:v>
      </x:c>
      <x:c r="J2556" s="37" t="n">
        <x:v>46106</x:v>
      </x:c>
      <x:c r="K2556" s="19" t="str">
        <x:v>Not Assigned</x:v>
      </x:c>
      <x:c r="L2556" s="19" t="str">
        <x:v>Z006</x:v>
      </x:c>
      <x:c r="M2556" s="19" t="str">
        <x:v>In Field Warranty Claims</x:v>
      </x:c>
      <x:c r="N2556" s="37" t="n">
        <x:v>46105</x:v>
      </x:c>
      <x:c r="O2556" s="37"/>
      <x:c r="P2556" s="34" t="n">
        <x:v>2671.35</x:v>
      </x:c>
      <x:c r="Q2556" s="37" t="n">
        <x:v>46106.098391203705</x:v>
      </x:c>
    </x:row>
    <x:row r="2557">
      <x:c r="A2557" s="22" t="n">
        <x:v>32764</x:v>
      </x:c>
      <x:c r="B2557" s="28" t="n">
        <x:v>135</x:v>
      </x:c>
      <x:c r="C2557" s="28"/>
      <x:c r="D2557" s="31" t="str">
        <x:f>IF(OR(ISBLANK(B2557),ISBLANK(C2557),B2557=0),"",(C2557-B2557)/B2557)</x:f>
      </x:c>
      <x:c r="E2557" s="22" t="str">
        <x:f>IF(ISBLANK(C2557),"AmountIncludingTax缺失",IF(ABS(B2557-C2557)&lt;0.005,"一致","不一致"))</x:f>
        <x:v>AmountIncludingTax缺失</x:v>
      </x:c>
      <x:c r="F2557" s="19" t="str">
        <x:v>approved</x:v>
      </x:c>
      <x:c r="G2557" s="19" t="str">
        <x:v>Repair in Progress</x:v>
      </x:c>
      <x:c r="H2557" s="19" t="str">
        <x:v>In Field</x:v>
      </x:c>
      <x:c r="I2557" s="37" t="n">
        <x:v>46106</x:v>
      </x:c>
      <x:c r="J2557" s="37" t="n">
        <x:v>46106</x:v>
      </x:c>
      <x:c r="K2557" s="19" t="str">
        <x:v>Green RV - Forest Glen</x:v>
      </x:c>
      <x:c r="L2557" s="19" t="str">
        <x:v>Z006</x:v>
      </x:c>
      <x:c r="M2557" s="19" t="str">
        <x:v>In Field Warranty Claims</x:v>
      </x:c>
      <x:c r="N2557" s="37" t="n">
        <x:v>46106</x:v>
      </x:c>
      <x:c r="O2557" s="37"/>
      <x:c r="P2557" s="34" t="n">
        <x:v>0</x:v>
      </x:c>
      <x:c r="Q2557" s="37" t="n">
        <x:v>46106.24513888889</x:v>
      </x:c>
    </x:row>
    <x:row r="2558">
      <x:c r="A2558" s="22" t="n">
        <x:v>32763</x:v>
      </x:c>
      <x:c r="B2558" s="28" t="n">
        <x:v>870</x:v>
      </x:c>
      <x:c r="C2558" s="28"/>
      <x:c r="D2558" s="31" t="str">
        <x:f>IF(OR(ISBLANK(B2558),ISBLANK(C2558),B2558=0),"",(C2558-B2558)/B2558)</x:f>
      </x:c>
      <x:c r="E2558" s="22" t="str">
        <x:f>IF(ISBLANK(C2558),"AmountIncludingTax缺失",IF(ABS(B2558-C2558)&lt;0.005,"一致","不一致"))</x:f>
        <x:v>AmountIncludingTax缺失</x:v>
      </x:c>
      <x:c r="F2558" s="19" t="str">
        <x:v>approved</x:v>
      </x:c>
      <x:c r="G2558" s="19" t="str">
        <x:v>Dispatch Parts</x:v>
      </x:c>
      <x:c r="H2558" s="19" t="str">
        <x:v>Pre Delivery</x:v>
      </x:c>
      <x:c r="I2558" s="37" t="n">
        <x:v>46119</x:v>
      </x:c>
      <x:c r="J2558" s="37" t="n">
        <x:v>46119</x:v>
      </x:c>
      <x:c r="K2558" s="19" t="str">
        <x:v>The Caravan Hub - Townsville</x:v>
      </x:c>
      <x:c r="L2558" s="19" t="str">
        <x:v>Z005</x:v>
      </x:c>
      <x:c r="M2558" s="19" t="str">
        <x:v>Pre Delivery Warranty Claims</x:v>
      </x:c>
      <x:c r="N2558" s="37" t="n">
        <x:v>46105</x:v>
      </x:c>
      <x:c r="O2558" s="37"/>
      <x:c r="P2558" s="34" t="n">
        <x:v>0</x:v>
      </x:c>
      <x:c r="Q2558" s="37" t="n">
        <x:v>46118.95277777778</x:v>
      </x:c>
    </x:row>
    <x:row r="2559">
      <x:c r="A2559" s="22" t="n">
        <x:v>32762</x:v>
      </x:c>
      <x:c r="B2559" s="28" t="n">
        <x:v>90.86</x:v>
      </x:c>
      <x:c r="C2559" s="28" t="n">
        <x:v>99.95</x:v>
      </x:c>
      <x:c r="D2559" s="31" t="n">
        <x:f>IF(OR(ISBLANK(B2559),ISBLANK(C2559),B2559=0),"",(C2559-B2559)/B2559)</x:f>
        <x:v>0.10004402377283737</x:v>
      </x:c>
      <x:c r="E2559" s="22" t="str">
        <x:f>IF(ISBLANK(C2559),"AmountIncludingTax缺失",IF(ABS(B2559-C2559)&lt;0.005,"一致","不一致"))</x:f>
        <x:v>不一致</x:v>
      </x:c>
      <x:c r="F2559" s="19" t="str">
        <x:v>approved</x:v>
      </x:c>
      <x:c r="G2559" s="19" t="str">
        <x:v>Repairer Invoiced Processed</x:v>
      </x:c>
      <x:c r="H2559" s="19" t="str">
        <x:v>In Field</x:v>
      </x:c>
      <x:c r="I2559" s="37" t="n">
        <x:v>46107</x:v>
      </x:c>
      <x:c r="J2559" s="37" t="n">
        <x:v>46107</x:v>
      </x:c>
      <x:c r="K2559" s="19" t="str">
        <x:v>Snowy River Wangaratta</x:v>
      </x:c>
      <x:c r="L2559" s="19" t="str">
        <x:v>Z006</x:v>
      </x:c>
      <x:c r="M2559" s="19" t="str">
        <x:v>In Field Warranty Claims</x:v>
      </x:c>
      <x:c r="N2559" s="37" t="n">
        <x:v>46105</x:v>
      </x:c>
      <x:c r="O2559" s="37"/>
      <x:c r="P2559" s="34" t="n">
        <x:v>99.95</x:v>
      </x:c>
      <x:c r="Q2559" s="37" t="n">
        <x:v>46107.026412037034</x:v>
      </x:c>
    </x:row>
    <x:row r="2560">
      <x:c r="A2560" s="22" t="n">
        <x:v>32759</x:v>
      </x:c>
      <x:c r="B2560" s="28" t="n">
        <x:v>256.25</x:v>
      </x:c>
      <x:c r="C2560" s="28"/>
      <x:c r="D2560" s="31" t="str">
        <x:f>IF(OR(ISBLANK(B2560),ISBLANK(C2560),B2560=0),"",(C2560-B2560)/B2560)</x:f>
      </x:c>
      <x:c r="E2560" s="22" t="str">
        <x:f>IF(ISBLANK(C2560),"AmountIncludingTax缺失",IF(ABS(B2560-C2560)&lt;0.005,"一致","不一致"))</x:f>
        <x:v>AmountIncludingTax缺失</x:v>
      </x:c>
      <x:c r="F2560" s="19" t="str">
        <x:v>approved</x:v>
      </x:c>
      <x:c r="G2560" s="19" t="str">
        <x:v>Repair in Progress</x:v>
      </x:c>
      <x:c r="H2560" s="19" t="str">
        <x:v>In Field</x:v>
      </x:c>
      <x:c r="I2560" s="37" t="n">
        <x:v>46148</x:v>
      </x:c>
      <x:c r="J2560" s="37" t="n">
        <x:v>46148</x:v>
      </x:c>
      <x:c r="K2560" s="19" t="str">
        <x:v>Destiny RV - South Australia</x:v>
      </x:c>
      <x:c r="L2560" s="19" t="str">
        <x:v>Z006</x:v>
      </x:c>
      <x:c r="M2560" s="19" t="str">
        <x:v>In Field Warranty Claims</x:v>
      </x:c>
      <x:c r="N2560" s="37" t="n">
        <x:v>46105</x:v>
      </x:c>
      <x:c r="O2560" s="37"/>
      <x:c r="P2560" s="34" t="n">
        <x:v>0</x:v>
      </x:c>
      <x:c r="Q2560" s="37" t="n">
        <x:v>46148.110138888886</x:v>
      </x:c>
    </x:row>
    <x:row r="2561">
      <x:c r="A2561" s="22" t="n">
        <x:v>32757</x:v>
      </x:c>
      <x:c r="B2561" s="28" t="n">
        <x:v>1100</x:v>
      </x:c>
      <x:c r="C2561" s="28"/>
      <x:c r="D2561" s="31" t="str">
        <x:f>IF(OR(ISBLANK(B2561),ISBLANK(C2561),B2561=0),"",(C2561-B2561)/B2561)</x:f>
      </x:c>
      <x:c r="E2561" s="22" t="str">
        <x:f>IF(ISBLANK(C2561),"AmountIncludingTax缺失",IF(ABS(B2561-C2561)&lt;0.005,"一致","不一致"))</x:f>
        <x:v>AmountIncludingTax缺失</x:v>
      </x:c>
      <x:c r="F2561" s="19" t="str">
        <x:v>approved</x:v>
      </x:c>
      <x:c r="G2561" s="19" t="str">
        <x:v>Sales Order Approved</x:v>
      </x:c>
      <x:c r="H2561" s="19" t="str">
        <x:v>In Field</x:v>
      </x:c>
      <x:c r="I2561" s="37" t="n">
        <x:v>46199</x:v>
      </x:c>
      <x:c r="J2561" s="37" t="n">
        <x:v>46199</x:v>
      </x:c>
      <x:c r="K2561" s="19" t="str">
        <x:v>Not Assigned</x:v>
      </x:c>
      <x:c r="L2561" s="19" t="str">
        <x:v>Z006</x:v>
      </x:c>
      <x:c r="M2561" s="19" t="str">
        <x:v>In Field Warranty Claims</x:v>
      </x:c>
      <x:c r="N2561" s="37" t="n">
        <x:v>46105</x:v>
      </x:c>
      <x:c r="O2561" s="37"/>
      <x:c r="P2561" s="34" t="n">
        <x:v>0</x:v>
      </x:c>
      <x:c r="Q2561" s="37" t="n">
        <x:v>46199.10172453704</x:v>
      </x:c>
    </x:row>
    <x:row r="2562">
      <x:c r="A2562" s="22" t="n">
        <x:v>32753</x:v>
      </x:c>
      <x:c r="B2562" s="28" t="n">
        <x:v>720</x:v>
      </x:c>
      <x:c r="C2562" s="28"/>
      <x:c r="D2562" s="31" t="str">
        <x:f>IF(OR(ISBLANK(B2562),ISBLANK(C2562),B2562=0),"",(C2562-B2562)/B2562)</x:f>
      </x:c>
      <x:c r="E2562" s="22" t="str">
        <x:f>IF(ISBLANK(C2562),"AmountIncludingTax缺失",IF(ABS(B2562-C2562)&lt;0.005,"一致","不一致"))</x:f>
        <x:v>AmountIncludingTax缺失</x:v>
      </x:c>
      <x:c r="F2562" s="19" t="str">
        <x:v>approved</x:v>
      </x:c>
      <x:c r="G2562" s="19" t="str">
        <x:v>Repair in Progress</x:v>
      </x:c>
      <x:c r="H2562" s="19" t="str">
        <x:v>Pre Delivery</x:v>
      </x:c>
      <x:c r="I2562" s="37" t="n">
        <x:v>46136</x:v>
      </x:c>
      <x:c r="J2562" s="37" t="n">
        <x:v>46136</x:v>
      </x:c>
      <x:c r="K2562" s="19" t="str">
        <x:v>Auswide Caravans - South Nowra</x:v>
      </x:c>
      <x:c r="L2562" s="19" t="str">
        <x:v>Z005</x:v>
      </x:c>
      <x:c r="M2562" s="19" t="str">
        <x:v>Pre Delivery Warranty Claims</x:v>
      </x:c>
      <x:c r="N2562" s="37" t="n">
        <x:v>46105</x:v>
      </x:c>
      <x:c r="O2562" s="37"/>
      <x:c r="P2562" s="34" t="n">
        <x:v>0</x:v>
      </x:c>
      <x:c r="Q2562" s="37" t="n">
        <x:v>46135.94321759259</x:v>
      </x:c>
    </x:row>
    <x:row r="2563">
      <x:c r="A2563" s="22" t="n">
        <x:v>32752</x:v>
      </x:c>
      <x:c r="B2563" s="28" t="n">
        <x:v>1518.75</x:v>
      </x:c>
      <x:c r="C2563" s="28"/>
      <x:c r="D2563" s="31" t="str">
        <x:f>IF(OR(ISBLANK(B2563),ISBLANK(C2563),B2563=0),"",(C2563-B2563)/B2563)</x:f>
      </x:c>
      <x:c r="E2563" s="22" t="str">
        <x:f>IF(ISBLANK(C2563),"AmountIncludingTax缺失",IF(ABS(B2563-C2563)&lt;0.005,"一致","不一致"))</x:f>
        <x:v>AmountIncludingTax缺失</x:v>
      </x:c>
      <x:c r="F2563" s="19" t="str">
        <x:v>approved</x:v>
      </x:c>
      <x:c r="G2563" s="19" t="str">
        <x:v>Repair in Progress</x:v>
      </x:c>
      <x:c r="H2563" s="19" t="str">
        <x:v>Pre Delivery</x:v>
      </x:c>
      <x:c r="I2563" s="37" t="n">
        <x:v>46139</x:v>
      </x:c>
      <x:c r="J2563" s="37" t="n">
        <x:v>46139</x:v>
      </x:c>
      <x:c r="K2563" s="19" t="str">
        <x:v>Auswide Caravans - South Nowra</x:v>
      </x:c>
      <x:c r="L2563" s="19" t="str">
        <x:v>Z005</x:v>
      </x:c>
      <x:c r="M2563" s="19" t="str">
        <x:v>Pre Delivery Warranty Claims</x:v>
      </x:c>
      <x:c r="N2563" s="37" t="n">
        <x:v>46105</x:v>
      </x:c>
      <x:c r="O2563" s="37"/>
      <x:c r="P2563" s="34" t="n">
        <x:v>0</x:v>
      </x:c>
      <x:c r="Q2563" s="37" t="n">
        <x:v>46138.894525462965</x:v>
      </x:c>
    </x:row>
    <x:row r="2564">
      <x:c r="A2564" s="22" t="n">
        <x:v>32751</x:v>
      </x:c>
      <x:c r="B2564" s="28" t="n">
        <x:v>540</x:v>
      </x:c>
      <x:c r="C2564" s="28"/>
      <x:c r="D2564" s="31" t="str">
        <x:f>IF(OR(ISBLANK(B2564),ISBLANK(C2564),B2564=0),"",(C2564-B2564)/B2564)</x:f>
      </x:c>
      <x:c r="E2564" s="22" t="str">
        <x:f>IF(ISBLANK(C2564),"AmountIncludingTax缺失",IF(ABS(B2564-C2564)&lt;0.005,"一致","不一致"))</x:f>
        <x:v>AmountIncludingTax缺失</x:v>
      </x:c>
      <x:c r="F2564" s="19" t="str">
        <x:v>approved</x:v>
      </x:c>
      <x:c r="G2564" s="19" t="str">
        <x:v>Repair in Progress</x:v>
      </x:c>
      <x:c r="H2564" s="19" t="str">
        <x:v>In Field</x:v>
      </x:c>
      <x:c r="I2564" s="37" t="n">
        <x:v>46167</x:v>
      </x:c>
      <x:c r="J2564" s="37" t="n">
        <x:v>46167</x:v>
      </x:c>
      <x:c r="K2564" s="19" t="str">
        <x:v>Newcastle RV Super Centre - Beresfield</x:v>
      </x:c>
      <x:c r="L2564" s="19" t="str">
        <x:v>Z006</x:v>
      </x:c>
      <x:c r="M2564" s="19" t="str">
        <x:v>In Field Warranty Claims</x:v>
      </x:c>
      <x:c r="N2564" s="37" t="n">
        <x:v>46105</x:v>
      </x:c>
      <x:c r="O2564" s="37" t="n">
        <x:v>46129</x:v>
      </x:c>
      <x:c r="P2564" s="34" t="n">
        <x:v>0</x:v>
      </x:c>
      <x:c r="Q2564" s="37" t="n">
        <x:v>46167.201527777775</x:v>
      </x:c>
    </x:row>
    <x:row r="2565">
      <x:c r="A2565" s="22" t="n">
        <x:v>32750</x:v>
      </x:c>
      <x:c r="B2565" s="28" t="n">
        <x:v>1084.5</x:v>
      </x:c>
      <x:c r="C2565" s="28" t="n">
        <x:v>981.91</x:v>
      </x:c>
      <x:c r="D2565" s="31" t="n">
        <x:f>IF(OR(ISBLANK(B2565),ISBLANK(C2565),B2565=0),"",(C2565-B2565)/B2565)</x:f>
        <x:v>-0.09459658828953438</x:v>
      </x:c>
      <x:c r="E2565" s="22" t="str">
        <x:f>IF(ISBLANK(C2565),"AmountIncludingTax缺失",IF(ABS(B2565-C2565)&lt;0.005,"一致","不一致"))</x:f>
        <x:v>不一致</x:v>
      </x:c>
      <x:c r="F2565" s="19" t="str">
        <x:v>approved</x:v>
      </x:c>
      <x:c r="G2565" s="19" t="str">
        <x:v>Repairer Invoiced Processed</x:v>
      </x:c>
      <x:c r="H2565" s="19" t="str">
        <x:v>Pre Delivery</x:v>
      </x:c>
      <x:c r="I2565" s="37" t="n">
        <x:v>46136</x:v>
      </x:c>
      <x:c r="J2565" s="37" t="n">
        <x:v>46136</x:v>
      </x:c>
      <x:c r="K2565" s="19" t="str">
        <x:v>Vanari Caravans - Marden Point</x:v>
      </x:c>
      <x:c r="L2565" s="19" t="str">
        <x:v>Z005</x:v>
      </x:c>
      <x:c r="M2565" s="19" t="str">
        <x:v>Pre Delivery Warranty Claims</x:v>
      </x:c>
      <x:c r="N2565" s="37" t="n">
        <x:v>46105</x:v>
      </x:c>
      <x:c r="O2565" s="37"/>
      <x:c r="P2565" s="34" t="n">
        <x:v>981.91</x:v>
      </x:c>
      <x:c r="Q2565" s="37" t="n">
        <x:v>46136.02563657407</x:v>
      </x:c>
    </x:row>
    <x:row r="2566">
      <x:c r="A2566" s="22" t="n">
        <x:v>32749</x:v>
      </x:c>
      <x:c r="B2566" s="28" t="n">
        <x:v>910.12</x:v>
      </x:c>
      <x:c r="C2566" s="28"/>
      <x:c r="D2566" s="31" t="str">
        <x:f>IF(OR(ISBLANK(B2566),ISBLANK(C2566),B2566=0),"",(C2566-B2566)/B2566)</x:f>
      </x:c>
      <x:c r="E2566" s="22" t="str">
        <x:f>IF(ISBLANK(C2566),"AmountIncludingTax缺失",IF(ABS(B2566-C2566)&lt;0.005,"一致","不一致"))</x:f>
        <x:v>AmountIncludingTax缺失</x:v>
      </x:c>
      <x:c r="F2566" s="19" t="str">
        <x:v>approved</x:v>
      </x:c>
      <x:c r="G2566" s="19" t="str">
        <x:v>Repair in Progress</x:v>
      </x:c>
      <x:c r="H2566" s="19" t="str">
        <x:v>In Field</x:v>
      </x:c>
      <x:c r="I2566" s="37" t="n">
        <x:v>46143</x:v>
      </x:c>
      <x:c r="J2566" s="37" t="n">
        <x:v>46143</x:v>
      </x:c>
      <x:c r="K2566" s="19" t="str">
        <x:v>Green RV - Forest Glen</x:v>
      </x:c>
      <x:c r="L2566" s="19" t="str">
        <x:v>Z006</x:v>
      </x:c>
      <x:c r="M2566" s="19" t="str">
        <x:v>In Field Warranty Claims</x:v>
      </x:c>
      <x:c r="N2566" s="37" t="n">
        <x:v>46105</x:v>
      </x:c>
      <x:c r="O2566" s="37"/>
      <x:c r="P2566" s="34" t="n">
        <x:v>0</x:v>
      </x:c>
      <x:c r="Q2566" s="37" t="n">
        <x:v>46143.22721064815</x:v>
      </x:c>
    </x:row>
    <x:row r="2567">
      <x:c r="A2567" s="22" t="n">
        <x:v>32747</x:v>
      </x:c>
      <x:c r="B2567" s="28" t="n">
        <x:v>480</x:v>
      </x:c>
      <x:c r="C2567" s="28"/>
      <x:c r="D2567" s="31" t="str">
        <x:f>IF(OR(ISBLANK(B2567),ISBLANK(C2567),B2567=0),"",(C2567-B2567)/B2567)</x:f>
      </x:c>
      <x:c r="E2567" s="22" t="str">
        <x:f>IF(ISBLANK(C2567),"AmountIncludingTax缺失",IF(ABS(B2567-C2567)&lt;0.005,"一致","不一致"))</x:f>
        <x:v>AmountIncludingTax缺失</x:v>
      </x:c>
      <x:c r="F2567" s="19" t="str">
        <x:v>approved</x:v>
      </x:c>
      <x:c r="G2567" s="19" t="str">
        <x:v>Repairer Invoiced Processed</x:v>
      </x:c>
      <x:c r="H2567" s="19" t="str">
        <x:v>In Field</x:v>
      </x:c>
      <x:c r="I2567" s="37" t="n">
        <x:v>46108</x:v>
      </x:c>
      <x:c r="J2567" s="37" t="n">
        <x:v>46108</x:v>
      </x:c>
      <x:c r="K2567" s="19" t="str">
        <x:v>Not Assigned</x:v>
      </x:c>
      <x:c r="L2567" s="19" t="str">
        <x:v>Z006</x:v>
      </x:c>
      <x:c r="M2567" s="19" t="str">
        <x:v>In Field Warranty Claims</x:v>
      </x:c>
      <x:c r="N2567" s="37" t="n">
        <x:v>46105</x:v>
      </x:c>
      <x:c r="O2567" s="37"/>
      <x:c r="P2567" s="34" t="n">
        <x:v>0</x:v>
      </x:c>
      <x:c r="Q2567" s="37" t="n">
        <x:v>46108.11208333333</x:v>
      </x:c>
    </x:row>
    <x:row r="2568">
      <x:c r="A2568" s="22" t="n">
        <x:v>32745</x:v>
      </x:c>
      <x:c r="B2568" s="28" t="n">
        <x:v>580</x:v>
      </x:c>
      <x:c r="C2568" s="28"/>
      <x:c r="D2568" s="31" t="str">
        <x:f>IF(OR(ISBLANK(B2568),ISBLANK(C2568),B2568=0),"",(C2568-B2568)/B2568)</x:f>
      </x:c>
      <x:c r="E2568" s="22" t="str">
        <x:f>IF(ISBLANK(C2568),"AmountIncludingTax缺失",IF(ABS(B2568-C2568)&lt;0.005,"一致","不一致"))</x:f>
        <x:v>AmountIncludingTax缺失</x:v>
      </x:c>
      <x:c r="F2568" s="19" t="str">
        <x:v>approved</x:v>
      </x:c>
      <x:c r="G2568" s="19" t="str">
        <x:v>Repair in Progress</x:v>
      </x:c>
      <x:c r="H2568" s="19" t="str">
        <x:v>In Field</x:v>
      </x:c>
      <x:c r="I2568" s="37" t="n">
        <x:v>46128</x:v>
      </x:c>
      <x:c r="J2568" s="37" t="n">
        <x:v>46128</x:v>
      </x:c>
      <x:c r="K2568" s="19" t="str">
        <x:v>Dario Caravans -St.Marys</x:v>
      </x:c>
      <x:c r="L2568" s="19" t="str">
        <x:v>Z006</x:v>
      </x:c>
      <x:c r="M2568" s="19" t="str">
        <x:v>In Field Warranty Claims</x:v>
      </x:c>
      <x:c r="N2568" s="37" t="n">
        <x:v>46105</x:v>
      </x:c>
      <x:c r="O2568" s="37"/>
      <x:c r="P2568" s="34" t="n">
        <x:v>0</x:v>
      </x:c>
      <x:c r="Q2568" s="37" t="n">
        <x:v>46127.96885416667</x:v>
      </x:c>
    </x:row>
    <x:row r="2569">
      <x:c r="A2569" s="22" t="n">
        <x:v>32744</x:v>
      </x:c>
      <x:c r="B2569" s="28" t="n">
        <x:v>38.75</x:v>
      </x:c>
      <x:c r="C2569" s="28"/>
      <x:c r="D2569" s="31" t="str">
        <x:f>IF(OR(ISBLANK(B2569),ISBLANK(C2569),B2569=0),"",(C2569-B2569)/B2569)</x:f>
      </x:c>
      <x:c r="E2569" s="22" t="str">
        <x:f>IF(ISBLANK(C2569),"AmountIncludingTax缺失",IF(ABS(B2569-C2569)&lt;0.005,"一致","不一致"))</x:f>
        <x:v>AmountIncludingTax缺失</x:v>
      </x:c>
      <x:c r="F2569" s="19" t="str">
        <x:v>approved</x:v>
      </x:c>
      <x:c r="G2569" s="19" t="str">
        <x:v>Repairer Invoiced Processed</x:v>
      </x:c>
      <x:c r="H2569" s="19" t="str">
        <x:v>Pre Delivery</x:v>
      </x:c>
      <x:c r="I2569" s="37" t="n">
        <x:v>46136</x:v>
      </x:c>
      <x:c r="J2569" s="37" t="n">
        <x:v>46136</x:v>
      </x:c>
      <x:c r="K2569" s="19" t="str">
        <x:v>Green RV - Forest Glen</x:v>
      </x:c>
      <x:c r="L2569" s="19" t="str">
        <x:v>Z005</x:v>
      </x:c>
      <x:c r="M2569" s="19" t="str">
        <x:v>Pre Delivery Warranty Claims</x:v>
      </x:c>
      <x:c r="N2569" s="37" t="n">
        <x:v>46105</x:v>
      </x:c>
      <x:c r="O2569" s="37"/>
      <x:c r="P2569" s="34" t="n">
        <x:v>0</x:v>
      </x:c>
      <x:c r="Q2569" s="37" t="n">
        <x:v>46135.941608796296</x:v>
      </x:c>
    </x:row>
    <x:row r="2570">
      <x:c r="A2570" s="22" t="n">
        <x:v>32742</x:v>
      </x:c>
      <x:c r="B2570" s="28" t="n">
        <x:v>290</x:v>
      </x:c>
      <x:c r="C2570" s="28"/>
      <x:c r="D2570" s="31" t="str">
        <x:f>IF(OR(ISBLANK(B2570),ISBLANK(C2570),B2570=0),"",(C2570-B2570)/B2570)</x:f>
      </x:c>
      <x:c r="E2570" s="22" t="str">
        <x:f>IF(ISBLANK(C2570),"AmountIncludingTax缺失",IF(ABS(B2570-C2570)&lt;0.005,"一致","不一致"))</x:f>
        <x:v>AmountIncludingTax缺失</x:v>
      </x:c>
      <x:c r="F2570" s="19" t="str">
        <x:v>approved</x:v>
      </x:c>
      <x:c r="G2570" s="19" t="str">
        <x:v>Sales Order Approved</x:v>
      </x:c>
      <x:c r="H2570" s="19" t="str">
        <x:v>Pre Delivery</x:v>
      </x:c>
      <x:c r="I2570" s="37" t="n">
        <x:v>46135</x:v>
      </x:c>
      <x:c r="J2570" s="37" t="n">
        <x:v>46135</x:v>
      </x:c>
      <x:c r="K2570" s="19" t="str">
        <x:v>Snowy River Wangaratta</x:v>
      </x:c>
      <x:c r="L2570" s="19" t="str">
        <x:v>Z005</x:v>
      </x:c>
      <x:c r="M2570" s="19" t="str">
        <x:v>Pre Delivery Warranty Claims</x:v>
      </x:c>
      <x:c r="N2570" s="37" t="n">
        <x:v>46105</x:v>
      </x:c>
      <x:c r="O2570" s="37"/>
      <x:c r="P2570" s="34" t="n">
        <x:v>0</x:v>
      </x:c>
      <x:c r="Q2570" s="37" t="n">
        <x:v>46134.92097222222</x:v>
      </x:c>
    </x:row>
    <x:row r="2571">
      <x:c r="A2571" s="22" t="n">
        <x:v>32741</x:v>
      </x:c>
      <x:c r="B2571" s="28" t="n">
        <x:v>140</x:v>
      </x:c>
      <x:c r="C2571" s="28"/>
      <x:c r="D2571" s="31" t="str">
        <x:f>IF(OR(ISBLANK(B2571),ISBLANK(C2571),B2571=0),"",(C2571-B2571)/B2571)</x:f>
      </x:c>
      <x:c r="E2571" s="22" t="str">
        <x:f>IF(ISBLANK(C2571),"AmountIncludingTax缺失",IF(ABS(B2571-C2571)&lt;0.005,"一致","不一致"))</x:f>
        <x:v>AmountIncludingTax缺失</x:v>
      </x:c>
      <x:c r="F2571" s="19" t="str">
        <x:v>approved</x:v>
      </x:c>
      <x:c r="G2571" s="19" t="str">
        <x:v>Repairer Invoiced Processed</x:v>
      </x:c>
      <x:c r="H2571" s="19" t="str">
        <x:v>In Field</x:v>
      </x:c>
      <x:c r="I2571" s="37" t="n">
        <x:v>46141</x:v>
      </x:c>
      <x:c r="J2571" s="37" t="n">
        <x:v>46141</x:v>
      </x:c>
      <x:c r="K2571" s="19" t="str">
        <x:v>Leisure Lion Pty Ltd - Morisset</x:v>
      </x:c>
      <x:c r="L2571" s="19" t="str">
        <x:v>Z006</x:v>
      </x:c>
      <x:c r="M2571" s="19" t="str">
        <x:v>In Field Warranty Claims</x:v>
      </x:c>
      <x:c r="N2571" s="37" t="n">
        <x:v>46105</x:v>
      </x:c>
      <x:c r="O2571" s="37"/>
      <x:c r="P2571" s="34" t="n">
        <x:v>0</x:v>
      </x:c>
      <x:c r="Q2571" s="37" t="n">
        <x:v>46141.198541666665</x:v>
      </x:c>
    </x:row>
    <x:row r="2572">
      <x:c r="A2572" s="22" t="n">
        <x:v>32730</x:v>
      </x:c>
      <x:c r="B2572" s="28" t="n">
        <x:v>560</x:v>
      </x:c>
      <x:c r="C2572" s="28"/>
      <x:c r="D2572" s="31" t="str">
        <x:f>IF(OR(ISBLANK(B2572),ISBLANK(C2572),B2572=0),"",(C2572-B2572)/B2572)</x:f>
      </x:c>
      <x:c r="E2572" s="22" t="str">
        <x:f>IF(ISBLANK(C2572),"AmountIncludingTax缺失",IF(ABS(B2572-C2572)&lt;0.005,"一致","不一致"))</x:f>
        <x:v>AmountIncludingTax缺失</x:v>
      </x:c>
      <x:c r="F2572" s="19" t="str">
        <x:v>approved</x:v>
      </x:c>
      <x:c r="G2572" s="19" t="str">
        <x:v>Repair in Progress</x:v>
      </x:c>
      <x:c r="H2572" s="19" t="str">
        <x:v>In Field</x:v>
      </x:c>
      <x:c r="I2572" s="37" t="n">
        <x:v>46121</x:v>
      </x:c>
      <x:c r="J2572" s="37" t="n">
        <x:v>46121</x:v>
      </x:c>
      <x:c r="K2572" s="19" t="str">
        <x:v>Not Assigned</x:v>
      </x:c>
      <x:c r="L2572" s="19" t="str">
        <x:v>Z006</x:v>
      </x:c>
      <x:c r="M2572" s="19" t="str">
        <x:v>In Field Warranty Claims</x:v>
      </x:c>
      <x:c r="N2572" s="37" t="n">
        <x:v>46105</x:v>
      </x:c>
      <x:c r="O2572" s="37"/>
      <x:c r="P2572" s="34" t="n">
        <x:v>0</x:v>
      </x:c>
      <x:c r="Q2572" s="37" t="n">
        <x:v>46120.961550925924</x:v>
      </x:c>
    </x:row>
    <x:row r="2573">
      <x:c r="A2573" s="22" t="n">
        <x:v>32729</x:v>
      </x:c>
      <x:c r="B2573" s="28" t="n">
        <x:v>254.55</x:v>
      </x:c>
      <x:c r="C2573" s="28"/>
      <x:c r="D2573" s="31" t="str">
        <x:f>IF(OR(ISBLANK(B2573),ISBLANK(C2573),B2573=0),"",(C2573-B2573)/B2573)</x:f>
      </x:c>
      <x:c r="E2573" s="22" t="str">
        <x:f>IF(ISBLANK(C2573),"AmountIncludingTax缺失",IF(ABS(B2573-C2573)&lt;0.005,"一致","不一致"))</x:f>
        <x:v>AmountIncludingTax缺失</x:v>
      </x:c>
      <x:c r="F2573" s="19" t="str">
        <x:v>approved</x:v>
      </x:c>
      <x:c r="G2573" s="19" t="str">
        <x:v>Repair in Progress</x:v>
      </x:c>
      <x:c r="H2573" s="19" t="str">
        <x:v>Pre Delivery</x:v>
      </x:c>
      <x:c r="I2573" s="37" t="n">
        <x:v>46106</x:v>
      </x:c>
      <x:c r="J2573" s="37" t="n">
        <x:v>46106</x:v>
      </x:c>
      <x:c r="K2573" s="19" t="str">
        <x:v>Green RV - Slacks Creek</x:v>
      </x:c>
      <x:c r="L2573" s="19" t="str">
        <x:v>Z005</x:v>
      </x:c>
      <x:c r="M2573" s="19" t="str">
        <x:v>Pre Delivery Warranty Claims</x:v>
      </x:c>
      <x:c r="N2573" s="37" t="n">
        <x:v>46105</x:v>
      </x:c>
      <x:c r="O2573" s="37"/>
      <x:c r="P2573" s="34" t="n">
        <x:v>0</x:v>
      </x:c>
      <x:c r="Q2573" s="37" t="n">
        <x:v>46106.227222222224</x:v>
      </x:c>
    </x:row>
    <x:row r="2574">
      <x:c r="A2574" s="22" t="n">
        <x:v>32728</x:v>
      </x:c>
      <x:c r="B2574" s="28" t="n">
        <x:v>1838.75</x:v>
      </x:c>
      <x:c r="C2574" s="28"/>
      <x:c r="D2574" s="31" t="str">
        <x:f>IF(OR(ISBLANK(B2574),ISBLANK(C2574),B2574=0),"",(C2574-B2574)/B2574)</x:f>
      </x:c>
      <x:c r="E2574" s="22" t="str">
        <x:f>IF(ISBLANK(C2574),"AmountIncludingTax缺失",IF(ABS(B2574-C2574)&lt;0.005,"一致","不一致"))</x:f>
        <x:v>AmountIncludingTax缺失</x:v>
      </x:c>
      <x:c r="F2574" s="19" t="str">
        <x:v>approved</x:v>
      </x:c>
      <x:c r="G2574" s="19" t="str">
        <x:v>Partially Picked</x:v>
      </x:c>
      <x:c r="H2574" s="19" t="str">
        <x:v>In Field</x:v>
      </x:c>
      <x:c r="I2574" s="37" t="n">
        <x:v>46112</x:v>
      </x:c>
      <x:c r="J2574" s="37" t="n">
        <x:v>46112</x:v>
      </x:c>
      <x:c r="K2574" s="19" t="str">
        <x:v>Green RV - Forest Glen</x:v>
      </x:c>
      <x:c r="L2574" s="19" t="str">
        <x:v>Z006</x:v>
      </x:c>
      <x:c r="M2574" s="19" t="str">
        <x:v>In Field Warranty Claims</x:v>
      </x:c>
      <x:c r="N2574" s="37" t="n">
        <x:v>46105</x:v>
      </x:c>
      <x:c r="O2574" s="37"/>
      <x:c r="P2574" s="34" t="n">
        <x:v>0</x:v>
      </x:c>
      <x:c r="Q2574" s="37" t="n">
        <x:v>46112.05037037037</x:v>
      </x:c>
    </x:row>
    <x:row r="2575">
      <x:c r="A2575" s="22" t="n">
        <x:v>32727</x:v>
      </x:c>
      <x:c r="B2575" s="28" t="n">
        <x:v>337</x:v>
      </x:c>
      <x:c r="C2575" s="28" t="n">
        <x:v>305.12</x:v>
      </x:c>
      <x:c r="D2575" s="31" t="n">
        <x:f>IF(OR(ISBLANK(B2575),ISBLANK(C2575),B2575=0),"",(C2575-B2575)/B2575)</x:f>
        <x:v>-0.09459940652818989</x:v>
      </x:c>
      <x:c r="E2575" s="22" t="str">
        <x:f>IF(ISBLANK(C2575),"AmountIncludingTax缺失",IF(ABS(B2575-C2575)&lt;0.005,"一致","不一致"))</x:f>
        <x:v>不一致</x:v>
      </x:c>
      <x:c r="F2575" s="19" t="str">
        <x:v>approved</x:v>
      </x:c>
      <x:c r="G2575" s="19" t="str">
        <x:v>Repairer Invoiced Processed</x:v>
      </x:c>
      <x:c r="H2575" s="19" t="str">
        <x:v>In Field</x:v>
      </x:c>
      <x:c r="I2575" s="37" t="n">
        <x:v>46154</x:v>
      </x:c>
      <x:c r="J2575" s="37" t="n">
        <x:v>46154</x:v>
      </x:c>
      <x:c r="K2575" s="19" t="str">
        <x:v>Vanari Caravans - Marden Point</x:v>
      </x:c>
      <x:c r="L2575" s="19" t="str">
        <x:v>Z006</x:v>
      </x:c>
      <x:c r="M2575" s="19" t="str">
        <x:v>In Field Warranty Claims</x:v>
      </x:c>
      <x:c r="N2575" s="37" t="n">
        <x:v>46105</x:v>
      </x:c>
      <x:c r="O2575" s="37"/>
      <x:c r="P2575" s="34" t="n">
        <x:v>305.12</x:v>
      </x:c>
      <x:c r="Q2575" s="37" t="n">
        <x:v>46154.18818287037</x:v>
      </x:c>
    </x:row>
    <x:row r="2576">
      <x:c r="A2576" s="22" t="n">
        <x:v>32725</x:v>
      </x:c>
      <x:c r="B2576" s="28" t="n">
        <x:v>222.5</x:v>
      </x:c>
      <x:c r="C2576" s="28"/>
      <x:c r="D2576" s="31" t="str">
        <x:f>IF(OR(ISBLANK(B2576),ISBLANK(C2576),B2576=0),"",(C2576-B2576)/B2576)</x:f>
      </x:c>
      <x:c r="E2576" s="22" t="str">
        <x:f>IF(ISBLANK(C2576),"AmountIncludingTax缺失",IF(ABS(B2576-C2576)&lt;0.005,"一致","不一致"))</x:f>
        <x:v>AmountIncludingTax缺失</x:v>
      </x:c>
      <x:c r="F2576" s="19" t="str">
        <x:v>approved</x:v>
      </x:c>
      <x:c r="G2576" s="19" t="str">
        <x:v>Repairer Invoiced Processed</x:v>
      </x:c>
      <x:c r="H2576" s="19" t="str">
        <x:v>Pre Delivery</x:v>
      </x:c>
      <x:c r="I2576" s="37" t="n">
        <x:v>46143</x:v>
      </x:c>
      <x:c r="J2576" s="37" t="n">
        <x:v>46143</x:v>
      </x:c>
      <x:c r="K2576" s="19" t="str">
        <x:v>ABCO Caravans - Boambee Valley</x:v>
      </x:c>
      <x:c r="L2576" s="19" t="str">
        <x:v>Z005</x:v>
      </x:c>
      <x:c r="M2576" s="19" t="str">
        <x:v>Pre Delivery Warranty Claims</x:v>
      </x:c>
      <x:c r="N2576" s="37" t="n">
        <x:v>46105</x:v>
      </x:c>
      <x:c r="O2576" s="37"/>
      <x:c r="P2576" s="34" t="n">
        <x:v>0</x:v>
      </x:c>
      <x:c r="Q2576" s="37" t="n">
        <x:v>46143.22875</x:v>
      </x:c>
    </x:row>
    <x:row r="2577">
      <x:c r="A2577" s="22" t="n">
        <x:v>32723</x:v>
      </x:c>
      <x:c r="B2577" s="28" t="n">
        <x:v>1500</x:v>
      </x:c>
      <x:c r="C2577" s="28"/>
      <x:c r="D2577" s="31" t="str">
        <x:f>IF(OR(ISBLANK(B2577),ISBLANK(C2577),B2577=0),"",(C2577-B2577)/B2577)</x:f>
      </x:c>
      <x:c r="E2577" s="22" t="str">
        <x:f>IF(ISBLANK(C2577),"AmountIncludingTax缺失",IF(ABS(B2577-C2577)&lt;0.005,"一致","不一致"))</x:f>
        <x:v>AmountIncludingTax缺失</x:v>
      </x:c>
      <x:c r="F2577" s="19" t="str">
        <x:v>approved</x:v>
      </x:c>
      <x:c r="G2577" s="19" t="str">
        <x:v>Repairer Invoiced Processed</x:v>
      </x:c>
      <x:c r="H2577" s="19" t="str">
        <x:v>In Field</x:v>
      </x:c>
      <x:c r="I2577" s="37" t="n">
        <x:v>46150</x:v>
      </x:c>
      <x:c r="J2577" s="37" t="n">
        <x:v>46150</x:v>
      </x:c>
      <x:c r="K2577" s="19" t="str">
        <x:v>Vanari Caravans - Marden Point</x:v>
      </x:c>
      <x:c r="L2577" s="19" t="str">
        <x:v>Z006</x:v>
      </x:c>
      <x:c r="M2577" s="19" t="str">
        <x:v>In Field Warranty Claims</x:v>
      </x:c>
      <x:c r="N2577" s="37" t="n">
        <x:v>46104</x:v>
      </x:c>
      <x:c r="O2577" s="37"/>
      <x:c r="P2577" s="34" t="n">
        <x:v>0</x:v>
      </x:c>
      <x:c r="Q2577" s="37" t="n">
        <x:v>46150.027025462965</x:v>
      </x:c>
    </x:row>
    <x:row r="2578">
      <x:c r="A2578" s="22" t="n">
        <x:v>32722</x:v>
      </x:c>
      <x:c r="B2578" s="28" t="n">
        <x:v>932.5</x:v>
      </x:c>
      <x:c r="C2578" s="28"/>
      <x:c r="D2578" s="31" t="str">
        <x:f>IF(OR(ISBLANK(B2578),ISBLANK(C2578),B2578=0),"",(C2578-B2578)/B2578)</x:f>
      </x:c>
      <x:c r="E2578" s="22" t="str">
        <x:f>IF(ISBLANK(C2578),"AmountIncludingTax缺失",IF(ABS(B2578-C2578)&lt;0.005,"一致","不一致"))</x:f>
        <x:v>AmountIncludingTax缺失</x:v>
      </x:c>
      <x:c r="F2578" s="19" t="str">
        <x:v>approved</x:v>
      </x:c>
      <x:c r="G2578" s="19" t="str">
        <x:v>Repair in Progress</x:v>
      </x:c>
      <x:c r="H2578" s="19" t="str">
        <x:v>In Field</x:v>
      </x:c>
      <x:c r="I2578" s="37" t="n">
        <x:v>46120</x:v>
      </x:c>
      <x:c r="J2578" s="37" t="n">
        <x:v>46120</x:v>
      </x:c>
      <x:c r="K2578" s="19" t="str">
        <x:v>Regent RV - Frankston</x:v>
      </x:c>
      <x:c r="L2578" s="19" t="str">
        <x:v>Z006</x:v>
      </x:c>
      <x:c r="M2578" s="19" t="str">
        <x:v>In Field Warranty Claims</x:v>
      </x:c>
      <x:c r="N2578" s="37" t="n">
        <x:v>46104</x:v>
      </x:c>
      <x:c r="O2578" s="37"/>
      <x:c r="P2578" s="34" t="n">
        <x:v>0</x:v>
      </x:c>
      <x:c r="Q2578" s="37" t="n">
        <x:v>46120.20439814815</x:v>
      </x:c>
    </x:row>
    <x:row r="2579">
      <x:c r="A2579" s="22" t="n">
        <x:v>32720</x:v>
      </x:c>
      <x:c r="B2579" s="28" t="n">
        <x:v>135</x:v>
      </x:c>
      <x:c r="C2579" s="28"/>
      <x:c r="D2579" s="31" t="str">
        <x:f>IF(OR(ISBLANK(B2579),ISBLANK(C2579),B2579=0),"",(C2579-B2579)/B2579)</x:f>
      </x:c>
      <x:c r="E2579" s="22" t="str">
        <x:f>IF(ISBLANK(C2579),"AmountIncludingTax缺失",IF(ABS(B2579-C2579)&lt;0.005,"一致","不一致"))</x:f>
        <x:v>AmountIncludingTax缺失</x:v>
      </x:c>
      <x:c r="F2579" s="19" t="str">
        <x:v>approved</x:v>
      </x:c>
      <x:c r="G2579" s="19" t="str">
        <x:v>Repair in Progress</x:v>
      </x:c>
      <x:c r="H2579" s="19" t="str">
        <x:v>In Field</x:v>
      </x:c>
      <x:c r="I2579" s="37" t="n">
        <x:v>46128</x:v>
      </x:c>
      <x:c r="J2579" s="37" t="n">
        <x:v>46128</x:v>
      </x:c>
      <x:c r="K2579" s="19" t="str">
        <x:v>Regent RV - Frankston</x:v>
      </x:c>
      <x:c r="L2579" s="19" t="str">
        <x:v>Z006</x:v>
      </x:c>
      <x:c r="M2579" s="19" t="str">
        <x:v>In Field Warranty Claims</x:v>
      </x:c>
      <x:c r="N2579" s="37" t="n">
        <x:v>46105</x:v>
      </x:c>
      <x:c r="O2579" s="37"/>
      <x:c r="P2579" s="34" t="n">
        <x:v>0</x:v>
      </x:c>
      <x:c r="Q2579" s="37" t="n">
        <x:v>46127.96960648148</x:v>
      </x:c>
    </x:row>
    <x:row r="2580">
      <x:c r="A2580" s="22" t="n">
        <x:v>32719</x:v>
      </x:c>
      <x:c r="B2580" s="28" t="n">
        <x:v>1417.5</x:v>
      </x:c>
      <x:c r="C2580" s="28"/>
      <x:c r="D2580" s="31" t="str">
        <x:f>IF(OR(ISBLANK(B2580),ISBLANK(C2580),B2580=0),"",(C2580-B2580)/B2580)</x:f>
      </x:c>
      <x:c r="E2580" s="22" t="str">
        <x:f>IF(ISBLANK(C2580),"AmountIncludingTax缺失",IF(ABS(B2580-C2580)&lt;0.005,"一致","不一致"))</x:f>
        <x:v>AmountIncludingTax缺失</x:v>
      </x:c>
      <x:c r="F2580" s="19" t="str">
        <x:v>approved</x:v>
      </x:c>
      <x:c r="G2580" s="19" t="str">
        <x:v>Repair in Progress</x:v>
      </x:c>
      <x:c r="H2580" s="19" t="str">
        <x:v>In Field</x:v>
      </x:c>
      <x:c r="I2580" s="37" t="n">
        <x:v>46108</x:v>
      </x:c>
      <x:c r="J2580" s="37" t="n">
        <x:v>46108</x:v>
      </x:c>
      <x:c r="K2580" s="19" t="str">
        <x:v>ABCO Caravans - Boambee Valley</x:v>
      </x:c>
      <x:c r="L2580" s="19" t="str">
        <x:v>Z006</x:v>
      </x:c>
      <x:c r="M2580" s="19" t="str">
        <x:v>In Field Warranty Claims</x:v>
      </x:c>
      <x:c r="N2580" s="37" t="n">
        <x:v>46105</x:v>
      </x:c>
      <x:c r="O2580" s="37"/>
      <x:c r="P2580" s="34" t="n">
        <x:v>0</x:v>
      </x:c>
      <x:c r="Q2580" s="37" t="n">
        <x:v>46108.171898148146</x:v>
      </x:c>
    </x:row>
    <x:row r="2581">
      <x:c r="A2581" s="22" t="n">
        <x:v>32718</x:v>
      </x:c>
      <x:c r="B2581" s="28" t="n">
        <x:v>2189.3</x:v>
      </x:c>
      <x:c r="C2581" s="28"/>
      <x:c r="D2581" s="31" t="str">
        <x:f>IF(OR(ISBLANK(B2581),ISBLANK(C2581),B2581=0),"",(C2581-B2581)/B2581)</x:f>
      </x:c>
      <x:c r="E2581" s="22" t="str">
        <x:f>IF(ISBLANK(C2581),"AmountIncludingTax缺失",IF(ABS(B2581-C2581)&lt;0.005,"一致","不一致"))</x:f>
        <x:v>AmountIncludingTax缺失</x:v>
      </x:c>
      <x:c r="F2581" s="19" t="str">
        <x:v>approved</x:v>
      </x:c>
      <x:c r="G2581" s="19" t="str">
        <x:v>Repairer Invoiced Processed</x:v>
      </x:c>
      <x:c r="H2581" s="19" t="str">
        <x:v>In Field</x:v>
      </x:c>
      <x:c r="I2581" s="37" t="n">
        <x:v>46106</x:v>
      </x:c>
      <x:c r="J2581" s="37" t="n">
        <x:v>46106</x:v>
      </x:c>
      <x:c r="K2581" s="19" t="str">
        <x:v>Vanari Caravans - Marden Point</x:v>
      </x:c>
      <x:c r="L2581" s="19" t="str">
        <x:v>Z006</x:v>
      </x:c>
      <x:c r="M2581" s="19" t="str">
        <x:v>In Field Warranty Claims</x:v>
      </x:c>
      <x:c r="N2581" s="37" t="n">
        <x:v>46105</x:v>
      </x:c>
      <x:c r="O2581" s="37" t="n">
        <x:v>46105</x:v>
      </x:c>
      <x:c r="P2581" s="34" t="n">
        <x:v>1982.19</x:v>
      </x:c>
      <x:c r="Q2581" s="37" t="n">
        <x:v>46106.202002314814</x:v>
      </x:c>
    </x:row>
    <x:row r="2582">
      <x:c r="A2582" s="22" t="n">
        <x:v>32717</x:v>
      </x:c>
      <x:c r="B2582" s="28" t="n">
        <x:v>360</x:v>
      </x:c>
      <x:c r="C2582" s="28" t="n">
        <x:v>396</x:v>
      </x:c>
      <x:c r="D2582" s="31" t="n">
        <x:f>IF(OR(ISBLANK(B2582),ISBLANK(C2582),B2582=0),"",(C2582-B2582)/B2582)</x:f>
        <x:v>0.1</x:v>
      </x:c>
      <x:c r="E2582" s="22" t="str">
        <x:f>IF(ISBLANK(C2582),"AmountIncludingTax缺失",IF(ABS(B2582-C2582)&lt;0.005,"一致","不一致"))</x:f>
        <x:v>不一致</x:v>
      </x:c>
      <x:c r="F2582" s="19" t="str">
        <x:v>approved</x:v>
      </x:c>
      <x:c r="G2582" s="19" t="str">
        <x:v>Repairer Invoiced Processed</x:v>
      </x:c>
      <x:c r="H2582" s="19" t="str">
        <x:v>In Field</x:v>
      </x:c>
      <x:c r="I2582" s="37" t="n">
        <x:v>46141</x:v>
      </x:c>
      <x:c r="J2582" s="37" t="n">
        <x:v>46141</x:v>
      </x:c>
      <x:c r="K2582" s="19" t="str">
        <x:v>Lesiure Lion-New Castle</x:v>
      </x:c>
      <x:c r="L2582" s="19" t="str">
        <x:v>Z006</x:v>
      </x:c>
      <x:c r="M2582" s="19" t="str">
        <x:v>In Field Warranty Claims</x:v>
      </x:c>
      <x:c r="N2582" s="37" t="n">
        <x:v>46105</x:v>
      </x:c>
      <x:c r="O2582" s="37"/>
      <x:c r="P2582" s="34" t="n">
        <x:v>396</x:v>
      </x:c>
      <x:c r="Q2582" s="37" t="n">
        <x:v>46141.05657407407</x:v>
      </x:c>
    </x:row>
    <x:row r="2583">
      <x:c r="A2583" s="22" t="n">
        <x:v>32715</x:v>
      </x:c>
      <x:c r="B2583" s="28" t="n">
        <x:v>585.46</x:v>
      </x:c>
      <x:c r="C2583" s="28"/>
      <x:c r="D2583" s="31" t="str">
        <x:f>IF(OR(ISBLANK(B2583),ISBLANK(C2583),B2583=0),"",(C2583-B2583)/B2583)</x:f>
      </x:c>
      <x:c r="E2583" s="22" t="str">
        <x:f>IF(ISBLANK(C2583),"AmountIncludingTax缺失",IF(ABS(B2583-C2583)&lt;0.005,"一致","不一致"))</x:f>
        <x:v>AmountIncludingTax缺失</x:v>
      </x:c>
      <x:c r="F2583" s="19" t="str">
        <x:v>approved</x:v>
      </x:c>
      <x:c r="G2583" s="19" t="str">
        <x:v>Repair in Progress</x:v>
      </x:c>
      <x:c r="H2583" s="19" t="str">
        <x:v>In Field</x:v>
      </x:c>
      <x:c r="I2583" s="37" t="n">
        <x:v>46111</x:v>
      </x:c>
      <x:c r="J2583" s="37" t="n">
        <x:v>46111</x:v>
      </x:c>
      <x:c r="K2583" s="19" t="str">
        <x:v>Sherrif Caravans &amp; Traliers - Prospect Vale</x:v>
      </x:c>
      <x:c r="L2583" s="19" t="str">
        <x:v>Z006</x:v>
      </x:c>
      <x:c r="M2583" s="19" t="str">
        <x:v>In Field Warranty Claims</x:v>
      </x:c>
      <x:c r="N2583" s="37" t="n">
        <x:v>46105</x:v>
      </x:c>
      <x:c r="O2583" s="37"/>
      <x:c r="P2583" s="34" t="n">
        <x:v>0</x:v>
      </x:c>
      <x:c r="Q2583" s="37" t="n">
        <x:v>46111.10648148148</x:v>
      </x:c>
    </x:row>
    <x:row r="2584">
      <x:c r="A2584" s="22" t="n">
        <x:v>32714</x:v>
      </x:c>
      <x:c r="B2584" s="28" t="n">
        <x:v>101.25</x:v>
      </x:c>
      <x:c r="C2584" s="28"/>
      <x:c r="D2584" s="31" t="str">
        <x:f>IF(OR(ISBLANK(B2584),ISBLANK(C2584),B2584=0),"",(C2584-B2584)/B2584)</x:f>
      </x:c>
      <x:c r="E2584" s="22" t="str">
        <x:f>IF(ISBLANK(C2584),"AmountIncludingTax缺失",IF(ABS(B2584-C2584)&lt;0.005,"一致","不一致"))</x:f>
        <x:v>AmountIncludingTax缺失</x:v>
      </x:c>
      <x:c r="F2584" s="19" t="str">
        <x:v>approved</x:v>
      </x:c>
      <x:c r="G2584" s="19" t="str">
        <x:v>Repair in Progress</x:v>
      </x:c>
      <x:c r="H2584" s="19" t="str">
        <x:v>In Field</x:v>
      </x:c>
      <x:c r="I2584" s="37" t="n">
        <x:v>46156</x:v>
      </x:c>
      <x:c r="J2584" s="37" t="n">
        <x:v>46164</x:v>
      </x:c>
      <x:c r="K2584" s="19" t="str">
        <x:v>Not Assigned</x:v>
      </x:c>
      <x:c r="L2584" s="19" t="str">
        <x:v>Z006</x:v>
      </x:c>
      <x:c r="M2584" s="19" t="str">
        <x:v>In Field Warranty Claims</x:v>
      </x:c>
      <x:c r="N2584" s="37" t="n">
        <x:v>46105</x:v>
      </x:c>
      <x:c r="O2584" s="37"/>
      <x:c r="P2584" s="34" t="n">
        <x:v>0</x:v>
      </x:c>
      <x:c r="Q2584" s="37" t="n">
        <x:v>46156.11210648148</x:v>
      </x:c>
    </x:row>
    <x:row r="2585">
      <x:c r="A2585" s="22" t="n">
        <x:v>32713</x:v>
      </x:c>
      <x:c r="B2585" s="28" t="n">
        <x:v>5915</x:v>
      </x:c>
      <x:c r="C2585" s="28"/>
      <x:c r="D2585" s="31" t="str">
        <x:f>IF(OR(ISBLANK(B2585),ISBLANK(C2585),B2585=0),"",(C2585-B2585)/B2585)</x:f>
      </x:c>
      <x:c r="E2585" s="22" t="str">
        <x:f>IF(ISBLANK(C2585),"AmountIncludingTax缺失",IF(ABS(B2585-C2585)&lt;0.005,"一致","不一致"))</x:f>
        <x:v>AmountIncludingTax缺失</x:v>
      </x:c>
      <x:c r="F2585" s="19" t="str">
        <x:v>approved</x:v>
      </x:c>
      <x:c r="G2585" s="19" t="str">
        <x:v>Repairer Invoiced Processed</x:v>
      </x:c>
      <x:c r="H2585" s="19" t="str">
        <x:v>In Field</x:v>
      </x:c>
      <x:c r="I2585" s="37" t="n">
        <x:v>46174</x:v>
      </x:c>
      <x:c r="J2585" s="37" t="n">
        <x:v>46148</x:v>
      </x:c>
      <x:c r="K2585" s="19" t="str">
        <x:v>Green RV - Forest Glen</x:v>
      </x:c>
      <x:c r="L2585" s="19" t="str">
        <x:v>Z006</x:v>
      </x:c>
      <x:c r="M2585" s="19" t="str">
        <x:v>In Field Warranty Claims</x:v>
      </x:c>
      <x:c r="N2585" s="37" t="n">
        <x:v>46105</x:v>
      </x:c>
      <x:c r="O2585" s="37"/>
      <x:c r="P2585" s="34" t="n">
        <x:v>0</x:v>
      </x:c>
      <x:c r="Q2585" s="37" t="n">
        <x:v>46173.91956018518</x:v>
      </x:c>
    </x:row>
    <x:row r="2586">
      <x:c r="A2586" s="22" t="n">
        <x:v>32712</x:v>
      </x:c>
      <x:c r="B2586" s="28" t="n">
        <x:v>1083.3</x:v>
      </x:c>
      <x:c r="C2586" s="28"/>
      <x:c r="D2586" s="31" t="str">
        <x:f>IF(OR(ISBLANK(B2586),ISBLANK(C2586),B2586=0),"",(C2586-B2586)/B2586)</x:f>
      </x:c>
      <x:c r="E2586" s="22" t="str">
        <x:f>IF(ISBLANK(C2586),"AmountIncludingTax缺失",IF(ABS(B2586-C2586)&lt;0.005,"一致","不一致"))</x:f>
        <x:v>AmountIncludingTax缺失</x:v>
      </x:c>
      <x:c r="F2586" s="19" t="str">
        <x:v>approved</x:v>
      </x:c>
      <x:c r="G2586" s="19" t="str">
        <x:v>Repairer Invoiced Processed</x:v>
      </x:c>
      <x:c r="H2586" s="19" t="str">
        <x:v>In Field</x:v>
      </x:c>
      <x:c r="I2586" s="37" t="n">
        <x:v>46115</x:v>
      </x:c>
      <x:c r="J2586" s="37" t="n">
        <x:v>46114</x:v>
      </x:c>
      <x:c r="K2586" s="19" t="str">
        <x:v>Lesiure Lion-New Castle</x:v>
      </x:c>
      <x:c r="L2586" s="19" t="str">
        <x:v>Z006</x:v>
      </x:c>
      <x:c r="M2586" s="19" t="str">
        <x:v>In Field Warranty Claims</x:v>
      </x:c>
      <x:c r="N2586" s="37" t="n">
        <x:v>46105</x:v>
      </x:c>
      <x:c r="O2586" s="37"/>
      <x:c r="P2586" s="34" t="n">
        <x:v>0</x:v>
      </x:c>
      <x:c r="Q2586" s="37" t="n">
        <x:v>46115.04804398148</x:v>
      </x:c>
    </x:row>
    <x:row r="2587">
      <x:c r="A2587" s="22" t="n">
        <x:v>32711</x:v>
      </x:c>
      <x:c r="B2587" s="28" t="n">
        <x:v>315</x:v>
      </x:c>
      <x:c r="C2587" s="28"/>
      <x:c r="D2587" s="31" t="str">
        <x:f>IF(OR(ISBLANK(B2587),ISBLANK(C2587),B2587=0),"",(C2587-B2587)/B2587)</x:f>
      </x:c>
      <x:c r="E2587" s="22" t="str">
        <x:f>IF(ISBLANK(C2587),"AmountIncludingTax缺失",IF(ABS(B2587-C2587)&lt;0.005,"一致","不一致"))</x:f>
        <x:v>AmountIncludingTax缺失</x:v>
      </x:c>
      <x:c r="F2587" s="19" t="str">
        <x:v>approved</x:v>
      </x:c>
      <x:c r="G2587" s="19" t="str">
        <x:v>Repair in Progress</x:v>
      </x:c>
      <x:c r="H2587" s="19" t="str">
        <x:v>In Field</x:v>
      </x:c>
      <x:c r="I2587" s="37" t="n">
        <x:v>46121</x:v>
      </x:c>
      <x:c r="J2587" s="37" t="n">
        <x:v>46121</x:v>
      </x:c>
      <x:c r="K2587" s="19" t="str">
        <x:v>Regent RV - Frankston</x:v>
      </x:c>
      <x:c r="L2587" s="19" t="str">
        <x:v>Z006</x:v>
      </x:c>
      <x:c r="M2587" s="19" t="str">
        <x:v>In Field Warranty Claims</x:v>
      </x:c>
      <x:c r="N2587" s="37" t="n">
        <x:v>46104</x:v>
      </x:c>
      <x:c r="O2587" s="37"/>
      <x:c r="P2587" s="34" t="n">
        <x:v>0</x:v>
      </x:c>
      <x:c r="Q2587" s="37" t="n">
        <x:v>46120.96068287037</x:v>
      </x:c>
    </x:row>
    <x:row r="2588">
      <x:c r="A2588" s="22" t="n">
        <x:v>32710</x:v>
      </x:c>
      <x:c r="B2588" s="28" t="n">
        <x:v>1028.3</x:v>
      </x:c>
      <x:c r="C2588" s="28"/>
      <x:c r="D2588" s="31" t="str">
        <x:f>IF(OR(ISBLANK(B2588),ISBLANK(C2588),B2588=0),"",(C2588-B2588)/B2588)</x:f>
      </x:c>
      <x:c r="E2588" s="22" t="str">
        <x:f>IF(ISBLANK(C2588),"AmountIncludingTax缺失",IF(ABS(B2588-C2588)&lt;0.005,"一致","不一致"))</x:f>
        <x:v>AmountIncludingTax缺失</x:v>
      </x:c>
      <x:c r="F2588" s="19" t="str">
        <x:v>approved</x:v>
      </x:c>
      <x:c r="G2588" s="19" t="str">
        <x:v>Repair in Progress</x:v>
      </x:c>
      <x:c r="H2588" s="19" t="str">
        <x:v>In Field</x:v>
      </x:c>
      <x:c r="I2588" s="37" t="n">
        <x:v>46112</x:v>
      </x:c>
      <x:c r="J2588" s="37" t="n">
        <x:v>46112</x:v>
      </x:c>
      <x:c r="K2588" s="19" t="str">
        <x:v>Not Assigned</x:v>
      </x:c>
      <x:c r="L2588" s="19" t="str">
        <x:v>Z006</x:v>
      </x:c>
      <x:c r="M2588" s="19" t="str">
        <x:v>In Field Warranty Claims</x:v>
      </x:c>
      <x:c r="N2588" s="37" t="n">
        <x:v>46104</x:v>
      </x:c>
      <x:c r="O2588" s="37"/>
      <x:c r="P2588" s="34" t="n">
        <x:v>0</x:v>
      </x:c>
      <x:c r="Q2588" s="37" t="n">
        <x:v>46111.98674768519</x:v>
      </x:c>
    </x:row>
    <x:row r="2589">
      <x:c r="A2589" s="22" t="n">
        <x:v>32709</x:v>
      </x:c>
      <x:c r="B2589" s="28" t="n">
        <x:v>532.63</x:v>
      </x:c>
      <x:c r="C2589" s="28" t="n">
        <x:v>585.89</x:v>
      </x:c>
      <x:c r="D2589" s="31" t="n">
        <x:f>IF(OR(ISBLANK(B2589),ISBLANK(C2589),B2589=0),"",(C2589-B2589)/B2589)</x:f>
        <x:v>0.09999436757223587</x:v>
      </x:c>
      <x:c r="E2589" s="22" t="str">
        <x:f>IF(ISBLANK(C2589),"AmountIncludingTax缺失",IF(ABS(B2589-C2589)&lt;0.005,"一致","不一致"))</x:f>
        <x:v>不一致</x:v>
      </x:c>
      <x:c r="F2589" s="19" t="str">
        <x:v>approved</x:v>
      </x:c>
      <x:c r="G2589" s="19" t="str">
        <x:v>Repairer Invoiced Processed</x:v>
      </x:c>
      <x:c r="H2589" s="19" t="str">
        <x:v>In Field</x:v>
      </x:c>
      <x:c r="I2589" s="37" t="n">
        <x:v>46174</x:v>
      </x:c>
      <x:c r="J2589" s="37" t="n">
        <x:v>46174</x:v>
      </x:c>
      <x:c r="K2589" s="19" t="str">
        <x:v>Lesiure Lion-New Castle</x:v>
      </x:c>
      <x:c r="L2589" s="19" t="str">
        <x:v>Z006</x:v>
      </x:c>
      <x:c r="M2589" s="19" t="str">
        <x:v>In Field Warranty Claims</x:v>
      </x:c>
      <x:c r="N2589" s="37" t="n">
        <x:v>46104</x:v>
      </x:c>
      <x:c r="O2589" s="37"/>
      <x:c r="P2589" s="34" t="n">
        <x:v>585.89</x:v>
      </x:c>
      <x:c r="Q2589" s="37" t="n">
        <x:v>46174.132569444446</x:v>
      </x:c>
    </x:row>
    <x:row r="2590">
      <x:c r="A2590" s="22" t="n">
        <x:v>32706</x:v>
      </x:c>
      <x:c r="B2590" s="28" t="n">
        <x:v>482.5</x:v>
      </x:c>
      <x:c r="C2590" s="28"/>
      <x:c r="D2590" s="31" t="str">
        <x:f>IF(OR(ISBLANK(B2590),ISBLANK(C2590),B2590=0),"",(C2590-B2590)/B2590)</x:f>
      </x:c>
      <x:c r="E2590" s="22" t="str">
        <x:f>IF(ISBLANK(C2590),"AmountIncludingTax缺失",IF(ABS(B2590-C2590)&lt;0.005,"一致","不一致"))</x:f>
        <x:v>AmountIncludingTax缺失</x:v>
      </x:c>
      <x:c r="F2590" s="19" t="str">
        <x:v>approved</x:v>
      </x:c>
      <x:c r="G2590" s="19" t="str">
        <x:v>Repair in Progress</x:v>
      </x:c>
      <x:c r="H2590" s="19" t="str">
        <x:v>In Field</x:v>
      </x:c>
      <x:c r="I2590" s="37" t="n">
        <x:v>46105</x:v>
      </x:c>
      <x:c r="J2590" s="37" t="n">
        <x:v>46105</x:v>
      </x:c>
      <x:c r="K2590" s="19" t="str">
        <x:v>Not Assigned</x:v>
      </x:c>
      <x:c r="L2590" s="19" t="str">
        <x:v>Z006</x:v>
      </x:c>
      <x:c r="M2590" s="19" t="str">
        <x:v>In Field Warranty Claims</x:v>
      </x:c>
      <x:c r="N2590" s="37" t="n">
        <x:v>46104</x:v>
      </x:c>
      <x:c r="O2590" s="37"/>
      <x:c r="P2590" s="34" t="n">
        <x:v>0</x:v>
      </x:c>
      <x:c r="Q2590" s="37" t="n">
        <x:v>46104.929247685184</x:v>
      </x:c>
    </x:row>
    <x:row r="2591">
      <x:c r="A2591" s="22" t="n">
        <x:v>32704</x:v>
      </x:c>
      <x:c r="B2591" s="28" t="n">
        <x:v>2160</x:v>
      </x:c>
      <x:c r="C2591" s="28"/>
      <x:c r="D2591" s="31" t="str">
        <x:f>IF(OR(ISBLANK(B2591),ISBLANK(C2591),B2591=0),"",(C2591-B2591)/B2591)</x:f>
      </x:c>
      <x:c r="E2591" s="22" t="str">
        <x:f>IF(ISBLANK(C2591),"AmountIncludingTax缺失",IF(ABS(B2591-C2591)&lt;0.005,"一致","不一致"))</x:f>
        <x:v>AmountIncludingTax缺失</x:v>
      </x:c>
      <x:c r="F2591" s="19" t="str">
        <x:v>approved</x:v>
      </x:c>
      <x:c r="G2591" s="19" t="str">
        <x:v>Repairer Invoiced Processed</x:v>
      </x:c>
      <x:c r="H2591" s="19" t="str">
        <x:v>In Field</x:v>
      </x:c>
      <x:c r="I2591" s="37" t="n">
        <x:v>46106</x:v>
      </x:c>
      <x:c r="J2591" s="37" t="n">
        <x:v>46106</x:v>
      </x:c>
      <x:c r="K2591" s="19" t="str">
        <x:v>Regent RV - Toowoomba</x:v>
      </x:c>
      <x:c r="L2591" s="19" t="str">
        <x:v>Z006</x:v>
      </x:c>
      <x:c r="M2591" s="19" t="str">
        <x:v>In Field Warranty Claims</x:v>
      </x:c>
      <x:c r="N2591" s="37" t="n">
        <x:v>46104</x:v>
      </x:c>
      <x:c r="O2591" s="37"/>
      <x:c r="P2591" s="34" t="n">
        <x:v>2376</x:v>
      </x:c>
      <x:c r="Q2591" s="37" t="n">
        <x:v>46106.09641203703</x:v>
      </x:c>
    </x:row>
    <x:row r="2592">
      <x:c r="A2592" s="22" t="n">
        <x:v>32703</x:v>
      </x:c>
      <x:c r="B2592" s="28" t="n">
        <x:v>206.82</x:v>
      </x:c>
      <x:c r="C2592" s="28"/>
      <x:c r="D2592" s="31" t="str">
        <x:f>IF(OR(ISBLANK(B2592),ISBLANK(C2592),B2592=0),"",(C2592-B2592)/B2592)</x:f>
      </x:c>
      <x:c r="E2592" s="22" t="str">
        <x:f>IF(ISBLANK(C2592),"AmountIncludingTax缺失",IF(ABS(B2592-C2592)&lt;0.005,"一致","不一致"))</x:f>
        <x:v>AmountIncludingTax缺失</x:v>
      </x:c>
      <x:c r="F2592" s="19" t="str">
        <x:v>approved</x:v>
      </x:c>
      <x:c r="G2592" s="19" t="str">
        <x:v>Repairer Invoiced Processed</x:v>
      </x:c>
      <x:c r="H2592" s="19" t="str">
        <x:v>In Field</x:v>
      </x:c>
      <x:c r="I2592" s="37" t="n">
        <x:v>46121</x:v>
      </x:c>
      <x:c r="J2592" s="37" t="n">
        <x:v>46121</x:v>
      </x:c>
      <x:c r="K2592" s="19" t="str">
        <x:v>Regent RV - Toowoomba</x:v>
      </x:c>
      <x:c r="L2592" s="19" t="str">
        <x:v>Z006</x:v>
      </x:c>
      <x:c r="M2592" s="19" t="str">
        <x:v>In Field Warranty Claims</x:v>
      </x:c>
      <x:c r="N2592" s="37" t="n">
        <x:v>46104</x:v>
      </x:c>
      <x:c r="O2592" s="37"/>
      <x:c r="P2592" s="34" t="n">
        <x:v>0</x:v>
      </x:c>
      <x:c r="Q2592" s="37" t="n">
        <x:v>46121.2521412037</x:v>
      </x:c>
    </x:row>
    <x:row r="2593">
      <x:c r="A2593" s="22" t="n">
        <x:v>32702</x:v>
      </x:c>
      <x:c r="B2593" s="28" t="n">
        <x:v>438.75</x:v>
      </x:c>
      <x:c r="C2593" s="28"/>
      <x:c r="D2593" s="31" t="str">
        <x:f>IF(OR(ISBLANK(B2593),ISBLANK(C2593),B2593=0),"",(C2593-B2593)/B2593)</x:f>
      </x:c>
      <x:c r="E2593" s="22" t="str">
        <x:f>IF(ISBLANK(C2593),"AmountIncludingTax缺失",IF(ABS(B2593-C2593)&lt;0.005,"一致","不一致"))</x:f>
        <x:v>AmountIncludingTax缺失</x:v>
      </x:c>
      <x:c r="F2593" s="19" t="str">
        <x:v>approved</x:v>
      </x:c>
      <x:c r="G2593" s="19" t="str">
        <x:v>Repair in Progress</x:v>
      </x:c>
      <x:c r="H2593" s="19" t="str">
        <x:v>In Field</x:v>
      </x:c>
      <x:c r="I2593" s="37" t="n">
        <x:v>46119</x:v>
      </x:c>
      <x:c r="J2593" s="37" t="n">
        <x:v>46105</x:v>
      </x:c>
      <x:c r="K2593" s="19" t="str">
        <x:v>Green RV - Slacks Creek</x:v>
      </x:c>
      <x:c r="L2593" s="19" t="str">
        <x:v>Z006</x:v>
      </x:c>
      <x:c r="M2593" s="19" t="str">
        <x:v>In Field Warranty Claims</x:v>
      </x:c>
      <x:c r="N2593" s="37" t="n">
        <x:v>46104</x:v>
      </x:c>
      <x:c r="O2593" s="37"/>
      <x:c r="P2593" s="34" t="n">
        <x:v>0</x:v>
      </x:c>
      <x:c r="Q2593" s="37" t="n">
        <x:v>46119.21554398148</x:v>
      </x:c>
    </x:row>
    <x:row r="2594">
      <x:c r="A2594" s="22" t="n">
        <x:v>32700</x:v>
      </x:c>
      <x:c r="B2594" s="28" t="n">
        <x:v>1285</x:v>
      </x:c>
      <x:c r="C2594" s="28"/>
      <x:c r="D2594" s="31" t="str">
        <x:f>IF(OR(ISBLANK(B2594),ISBLANK(C2594),B2594=0),"",(C2594-B2594)/B2594)</x:f>
      </x:c>
      <x:c r="E2594" s="22" t="str">
        <x:f>IF(ISBLANK(C2594),"AmountIncludingTax缺失",IF(ABS(B2594-C2594)&lt;0.005,"一致","不一致"))</x:f>
        <x:v>AmountIncludingTax缺失</x:v>
      </x:c>
      <x:c r="F2594" s="19" t="str">
        <x:v>approved</x:v>
      </x:c>
      <x:c r="G2594" s="19" t="str">
        <x:v>Repair in Progress</x:v>
      </x:c>
      <x:c r="H2594" s="19" t="str">
        <x:v>Pre Delivery</x:v>
      </x:c>
      <x:c r="I2594" s="37" t="n">
        <x:v>46143</x:v>
      </x:c>
      <x:c r="J2594" s="37" t="n">
        <x:v>46143</x:v>
      </x:c>
      <x:c r="K2594" s="19" t="str">
        <x:v>Auswide Caravans - South Nowra</x:v>
      </x:c>
      <x:c r="L2594" s="19" t="str">
        <x:v>Z005</x:v>
      </x:c>
      <x:c r="M2594" s="19" t="str">
        <x:v>Pre Delivery Warranty Claims</x:v>
      </x:c>
      <x:c r="N2594" s="37" t="n">
        <x:v>46104</x:v>
      </x:c>
      <x:c r="O2594" s="37"/>
      <x:c r="P2594" s="34" t="n">
        <x:v>0</x:v>
      </x:c>
      <x:c r="Q2594" s="37" t="n">
        <x:v>46143.22638888889</x:v>
      </x:c>
    </x:row>
    <x:row r="2595">
      <x:c r="A2595" s="22" t="n">
        <x:v>32698</x:v>
      </x:c>
      <x:c r="B2595" s="28" t="n">
        <x:v>620</x:v>
      </x:c>
      <x:c r="C2595" s="28"/>
      <x:c r="D2595" s="31" t="str">
        <x:f>IF(OR(ISBLANK(B2595),ISBLANK(C2595),B2595=0),"",(C2595-B2595)/B2595)</x:f>
      </x:c>
      <x:c r="E2595" s="22" t="str">
        <x:f>IF(ISBLANK(C2595),"AmountIncludingTax缺失",IF(ABS(B2595-C2595)&lt;0.005,"一致","不一致"))</x:f>
        <x:v>AmountIncludingTax缺失</x:v>
      </x:c>
      <x:c r="F2595" s="19" t="str">
        <x:v>approved</x:v>
      </x:c>
      <x:c r="G2595" s="19" t="str">
        <x:v>Repair in Progress</x:v>
      </x:c>
      <x:c r="H2595" s="19" t="str">
        <x:v>In Field</x:v>
      </x:c>
      <x:c r="I2595" s="37" t="n">
        <x:v>46115</x:v>
      </x:c>
      <x:c r="J2595" s="37" t="n">
        <x:v>46115</x:v>
      </x:c>
      <x:c r="K2595" s="19" t="str">
        <x:v>Not Assigned</x:v>
      </x:c>
      <x:c r="L2595" s="19" t="str">
        <x:v>Z006</x:v>
      </x:c>
      <x:c r="M2595" s="19" t="str">
        <x:v>In Field Warranty Claims</x:v>
      </x:c>
      <x:c r="N2595" s="37" t="n">
        <x:v>46104</x:v>
      </x:c>
      <x:c r="O2595" s="37"/>
      <x:c r="P2595" s="34" t="n">
        <x:v>0</x:v>
      </x:c>
      <x:c r="Q2595" s="37" t="n">
        <x:v>46115.05068287037</x:v>
      </x:c>
    </x:row>
    <x:row r="2596">
      <x:c r="A2596" s="22" t="n">
        <x:v>32697</x:v>
      </x:c>
      <x:c r="B2596" s="28" t="n">
        <x:v>145</x:v>
      </x:c>
      <x:c r="C2596" s="28"/>
      <x:c r="D2596" s="31" t="str">
        <x:f>IF(OR(ISBLANK(B2596),ISBLANK(C2596),B2596=0),"",(C2596-B2596)/B2596)</x:f>
      </x:c>
      <x:c r="E2596" s="22" t="str">
        <x:f>IF(ISBLANK(C2596),"AmountIncludingTax缺失",IF(ABS(B2596-C2596)&lt;0.005,"一致","不一致"))</x:f>
        <x:v>AmountIncludingTax缺失</x:v>
      </x:c>
      <x:c r="F2596" s="19" t="str">
        <x:v>approved</x:v>
      </x:c>
      <x:c r="G2596" s="19" t="str">
        <x:v>Sales Order Approved</x:v>
      </x:c>
      <x:c r="H2596" s="19" t="str">
        <x:v>Pre Delivery</x:v>
      </x:c>
      <x:c r="I2596" s="37" t="n">
        <x:v>46139</x:v>
      </x:c>
      <x:c r="J2596" s="37" t="n">
        <x:v>46139</x:v>
      </x:c>
      <x:c r="K2596" s="19" t="str">
        <x:v>The Caravan Hub - Townsville</x:v>
      </x:c>
      <x:c r="L2596" s="19" t="str">
        <x:v>Z005</x:v>
      </x:c>
      <x:c r="M2596" s="19" t="str">
        <x:v>Pre Delivery Warranty Claims</x:v>
      </x:c>
      <x:c r="N2596" s="37" t="n">
        <x:v>46104</x:v>
      </x:c>
      <x:c r="O2596" s="37"/>
      <x:c r="P2596" s="34" t="n">
        <x:v>0</x:v>
      </x:c>
      <x:c r="Q2596" s="37" t="n">
        <x:v>46139.03451388889</x:v>
      </x:c>
    </x:row>
    <x:row r="2597">
      <x:c r="A2597" s="22" t="n">
        <x:v>32694</x:v>
      </x:c>
      <x:c r="B2597" s="28" t="n">
        <x:v>425</x:v>
      </x:c>
      <x:c r="C2597" s="28"/>
      <x:c r="D2597" s="31" t="str">
        <x:f>IF(OR(ISBLANK(B2597),ISBLANK(C2597),B2597=0),"",(C2597-B2597)/B2597)</x:f>
      </x:c>
      <x:c r="E2597" s="22" t="str">
        <x:f>IF(ISBLANK(C2597),"AmountIncludingTax缺失",IF(ABS(B2597-C2597)&lt;0.005,"一致","不一致"))</x:f>
        <x:v>AmountIncludingTax缺失</x:v>
      </x:c>
      <x:c r="F2597" s="19" t="str">
        <x:v>approved</x:v>
      </x:c>
      <x:c r="G2597" s="19" t="str">
        <x:v>Repair in Progress</x:v>
      </x:c>
      <x:c r="H2597" s="19" t="str">
        <x:v>In Field</x:v>
      </x:c>
      <x:c r="I2597" s="37" t="n">
        <x:v>46124</x:v>
      </x:c>
      <x:c r="J2597" s="37" t="n">
        <x:v>46124</x:v>
      </x:c>
      <x:c r="K2597" s="19" t="str">
        <x:v>Not Assigned</x:v>
      </x:c>
      <x:c r="L2597" s="19" t="str">
        <x:v>Z006</x:v>
      </x:c>
      <x:c r="M2597" s="19" t="str">
        <x:v>In Field Warranty Claims</x:v>
      </x:c>
      <x:c r="N2597" s="37" t="n">
        <x:v>46104</x:v>
      </x:c>
      <x:c r="O2597" s="37"/>
      <x:c r="P2597" s="34" t="n">
        <x:v>0</x:v>
      </x:c>
      <x:c r="Q2597" s="37" t="n">
        <x:v>46124.19905092593</x:v>
      </x:c>
    </x:row>
    <x:row r="2598">
      <x:c r="A2598" s="22" t="n">
        <x:v>32693</x:v>
      </x:c>
      <x:c r="B2598" s="28" t="n">
        <x:v>825</x:v>
      </x:c>
      <x:c r="C2598" s="28"/>
      <x:c r="D2598" s="31" t="str">
        <x:f>IF(OR(ISBLANK(B2598),ISBLANK(C2598),B2598=0),"",(C2598-B2598)/B2598)</x:f>
      </x:c>
      <x:c r="E2598" s="22" t="str">
        <x:f>IF(ISBLANK(C2598),"AmountIncludingTax缺失",IF(ABS(B2598-C2598)&lt;0.005,"一致","不一致"))</x:f>
        <x:v>AmountIncludingTax缺失</x:v>
      </x:c>
      <x:c r="F2598" s="19" t="str">
        <x:v>approved</x:v>
      </x:c>
      <x:c r="G2598" s="19" t="str">
        <x:v>Sales Order Approved</x:v>
      </x:c>
      <x:c r="H2598" s="19" t="str">
        <x:v>Pre Delivery</x:v>
      </x:c>
      <x:c r="I2598" s="37" t="n">
        <x:v>46135</x:v>
      </x:c>
      <x:c r="J2598" s="37" t="n">
        <x:v>46135</x:v>
      </x:c>
      <x:c r="K2598" s="19" t="str">
        <x:v>QCCC - Gympie</x:v>
      </x:c>
      <x:c r="L2598" s="19" t="str">
        <x:v>Z005</x:v>
      </x:c>
      <x:c r="M2598" s="19" t="str">
        <x:v>Pre Delivery Warranty Claims</x:v>
      </x:c>
      <x:c r="N2598" s="37" t="n">
        <x:v>46104</x:v>
      </x:c>
      <x:c r="O2598" s="37"/>
      <x:c r="P2598" s="34" t="n">
        <x:v>0</x:v>
      </x:c>
      <x:c r="Q2598" s="37" t="n">
        <x:v>46134.92743055556</x:v>
      </x:c>
    </x:row>
    <x:row r="2599">
      <x:c r="A2599" s="22" t="n">
        <x:v>32685</x:v>
      </x:c>
      <x:c r="B2599" s="28" t="n">
        <x:v>448.77</x:v>
      </x:c>
      <x:c r="C2599" s="28" t="n">
        <x:v>493.65</x:v>
      </x:c>
      <x:c r="D2599" s="31" t="n">
        <x:f>IF(OR(ISBLANK(B2599),ISBLANK(C2599),B2599=0),"",(C2599-B2599)/B2599)</x:f>
        <x:v>0.1000066849388328</x:v>
      </x:c>
      <x:c r="E2599" s="22" t="str">
        <x:f>IF(ISBLANK(C2599),"AmountIncludingTax缺失",IF(ABS(B2599-C2599)&lt;0.005,"一致","不一致"))</x:f>
        <x:v>不一致</x:v>
      </x:c>
      <x:c r="F2599" s="19" t="str">
        <x:v>approved</x:v>
      </x:c>
      <x:c r="G2599" s="19" t="str">
        <x:v>Repairer Invoiced Processed</x:v>
      </x:c>
      <x:c r="H2599" s="19" t="str">
        <x:v>In Field</x:v>
      </x:c>
      <x:c r="I2599" s="37" t="n">
        <x:v>46104</x:v>
      </x:c>
      <x:c r="J2599" s="37" t="n">
        <x:v>46104</x:v>
      </x:c>
      <x:c r="K2599" s="19" t="str">
        <x:v>Green RV - Forest Glen</x:v>
      </x:c>
      <x:c r="L2599" s="19" t="str">
        <x:v>Z006</x:v>
      </x:c>
      <x:c r="M2599" s="19" t="str">
        <x:v>In Field Warranty Claims</x:v>
      </x:c>
      <x:c r="N2599" s="37" t="n">
        <x:v>46104</x:v>
      </x:c>
      <x:c r="O2599" s="37"/>
      <x:c r="P2599" s="34" t="n">
        <x:v>493.65</x:v>
      </x:c>
      <x:c r="Q2599" s="37" t="n">
        <x:v>46104.18748842592</x:v>
      </x:c>
    </x:row>
    <x:row r="2600">
      <x:c r="A2600" s="22" t="n">
        <x:v>32681</x:v>
      </x:c>
      <x:c r="B2600" s="28" t="n">
        <x:v>72.5</x:v>
      </x:c>
      <x:c r="C2600" s="28"/>
      <x:c r="D2600" s="31" t="str">
        <x:f>IF(OR(ISBLANK(B2600),ISBLANK(C2600),B2600=0),"",(C2600-B2600)/B2600)</x:f>
      </x:c>
      <x:c r="E2600" s="22" t="str">
        <x:f>IF(ISBLANK(C2600),"AmountIncludingTax缺失",IF(ABS(B2600-C2600)&lt;0.005,"一致","不一致"))</x:f>
        <x:v>AmountIncludingTax缺失</x:v>
      </x:c>
      <x:c r="F2600" s="19" t="str">
        <x:v>approved</x:v>
      </x:c>
      <x:c r="G2600" s="19" t="str">
        <x:v>Repairer Invoiced Processed</x:v>
      </x:c>
      <x:c r="H2600" s="19" t="str">
        <x:v>In Field</x:v>
      </x:c>
      <x:c r="I2600" s="37" t="n">
        <x:v>46198</x:v>
      </x:c>
      <x:c r="J2600" s="37" t="n">
        <x:v>46104</x:v>
      </x:c>
      <x:c r="K2600" s="19" t="str">
        <x:v>Lesiure Lion-New Castle</x:v>
      </x:c>
      <x:c r="L2600" s="19" t="str">
        <x:v>Z006</x:v>
      </x:c>
      <x:c r="M2600" s="19" t="str">
        <x:v>In Field Warranty Claims</x:v>
      </x:c>
      <x:c r="N2600" s="37" t="n">
        <x:v>46103</x:v>
      </x:c>
      <x:c r="O2600" s="37"/>
      <x:c r="P2600" s="34" t="n">
        <x:v>0</x:v>
      </x:c>
      <x:c r="Q2600" s="37" t="n">
        <x:v>46198.187418981484</x:v>
      </x:c>
    </x:row>
    <x:row r="2601">
      <x:c r="A2601" s="22" t="n">
        <x:v>32680</x:v>
      </x:c>
      <x:c r="B2601" s="28" t="n">
        <x:v>454.55</x:v>
      </x:c>
      <x:c r="C2601" s="28" t="n">
        <x:v>500.01</x:v>
      </x:c>
      <x:c r="D2601" s="31" t="n">
        <x:f>IF(OR(ISBLANK(B2601),ISBLANK(C2601),B2601=0),"",(C2601-B2601)/B2601)</x:f>
        <x:v>0.10001099989000105</x:v>
      </x:c>
      <x:c r="E2601" s="22" t="str">
        <x:f>IF(ISBLANK(C2601),"AmountIncludingTax缺失",IF(ABS(B2601-C2601)&lt;0.005,"一致","不一致"))</x:f>
        <x:v>不一致</x:v>
      </x:c>
      <x:c r="F2601" s="19" t="str">
        <x:v>approved</x:v>
      </x:c>
      <x:c r="G2601" s="19" t="str">
        <x:v>Repairer Invoiced Processed</x:v>
      </x:c>
      <x:c r="H2601" s="19" t="str">
        <x:v>In Field</x:v>
      </x:c>
      <x:c r="I2601" s="37" t="n">
        <x:v>46175</x:v>
      </x:c>
      <x:c r="J2601" s="37" t="n">
        <x:v>46175</x:v>
      </x:c>
      <x:c r="K2601" s="19" t="str">
        <x:v>Not Assigned</x:v>
      </x:c>
      <x:c r="L2601" s="19" t="str">
        <x:v>Z006</x:v>
      </x:c>
      <x:c r="M2601" s="19" t="str">
        <x:v>In Field Warranty Claims</x:v>
      </x:c>
      <x:c r="N2601" s="37" t="n">
        <x:v>46104</x:v>
      </x:c>
      <x:c r="O2601" s="37"/>
      <x:c r="P2601" s="34" t="n">
        <x:v>500.01</x:v>
      </x:c>
      <x:c r="Q2601" s="37" t="n">
        <x:v>46174.916400462964</x:v>
      </x:c>
    </x:row>
    <x:row r="2602">
      <x:c r="A2602" s="22" t="n">
        <x:v>32679</x:v>
      </x:c>
      <x:c r="B2602" s="28" t="n">
        <x:v>1225</x:v>
      </x:c>
      <x:c r="C2602" s="28"/>
      <x:c r="D2602" s="31" t="str">
        <x:f>IF(OR(ISBLANK(B2602),ISBLANK(C2602),B2602=0),"",(C2602-B2602)/B2602)</x:f>
      </x:c>
      <x:c r="E2602" s="22" t="str">
        <x:f>IF(ISBLANK(C2602),"AmountIncludingTax缺失",IF(ABS(B2602-C2602)&lt;0.005,"一致","不一致"))</x:f>
        <x:v>AmountIncludingTax缺失</x:v>
      </x:c>
      <x:c r="F2602" s="19" t="str">
        <x:v>approved</x:v>
      </x:c>
      <x:c r="G2602" s="19" t="str">
        <x:v>Repair in Progress</x:v>
      </x:c>
      <x:c r="H2602" s="19" t="str">
        <x:v>In Field</x:v>
      </x:c>
      <x:c r="I2602" s="37" t="n">
        <x:v>46107</x:v>
      </x:c>
      <x:c r="J2602" s="37" t="n">
        <x:v>46107</x:v>
      </x:c>
      <x:c r="K2602" s="19" t="str">
        <x:v>Lesiure Lion-New Castle</x:v>
      </x:c>
      <x:c r="L2602" s="19" t="str">
        <x:v>Z006</x:v>
      </x:c>
      <x:c r="M2602" s="19" t="str">
        <x:v>In Field Warranty Claims</x:v>
      </x:c>
      <x:c r="N2602" s="37" t="n">
        <x:v>46104</x:v>
      </x:c>
      <x:c r="O2602" s="37"/>
      <x:c r="P2602" s="34" t="n">
        <x:v>0</x:v>
      </x:c>
      <x:c r="Q2602" s="37" t="n">
        <x:v>46107.050787037035</x:v>
      </x:c>
    </x:row>
    <x:row r="2603">
      <x:c r="A2603" s="22" t="n">
        <x:v>32678</x:v>
      </x:c>
      <x:c r="B2603" s="28" t="n">
        <x:v>290</x:v>
      </x:c>
      <x:c r="C2603" s="28"/>
      <x:c r="D2603" s="31" t="str">
        <x:f>IF(OR(ISBLANK(B2603),ISBLANK(C2603),B2603=0),"",(C2603-B2603)/B2603)</x:f>
      </x:c>
      <x:c r="E2603" s="22" t="str">
        <x:f>IF(ISBLANK(C2603),"AmountIncludingTax缺失",IF(ABS(B2603-C2603)&lt;0.005,"一致","不一致"))</x:f>
        <x:v>AmountIncludingTax缺失</x:v>
      </x:c>
      <x:c r="F2603" s="19" t="str">
        <x:v>approved</x:v>
      </x:c>
      <x:c r="G2603" s="19" t="str">
        <x:v>Sales Order Approved</x:v>
      </x:c>
      <x:c r="H2603" s="19" t="str">
        <x:v>Pre Delivery</x:v>
      </x:c>
      <x:c r="I2603" s="37" t="n">
        <x:v>46184</x:v>
      </x:c>
      <x:c r="J2603" s="37" t="n">
        <x:v>46184</x:v>
      </x:c>
      <x:c r="K2603" s="19" t="str">
        <x:v>The Caravan Hub - Townsville</x:v>
      </x:c>
      <x:c r="L2603" s="19" t="str">
        <x:v>Z005</x:v>
      </x:c>
      <x:c r="M2603" s="19" t="str">
        <x:v>Pre Delivery Warranty Claims</x:v>
      </x:c>
      <x:c r="N2603" s="37" t="n">
        <x:v>46104</x:v>
      </x:c>
      <x:c r="O2603" s="37"/>
      <x:c r="P2603" s="34" t="n">
        <x:v>0</x:v>
      </x:c>
      <x:c r="Q2603" s="37" t="n">
        <x:v>46184.22922453703</x:v>
      </x:c>
    </x:row>
    <x:row r="2604">
      <x:c r="A2604" s="22" t="n">
        <x:v>32675</x:v>
      </x:c>
      <x:c r="B2604" s="28" t="n">
        <x:v>270</x:v>
      </x:c>
      <x:c r="C2604" s="28"/>
      <x:c r="D2604" s="31" t="str">
        <x:f>IF(OR(ISBLANK(B2604),ISBLANK(C2604),B2604=0),"",(C2604-B2604)/B2604)</x:f>
      </x:c>
      <x:c r="E2604" s="22" t="str">
        <x:f>IF(ISBLANK(C2604),"AmountIncludingTax缺失",IF(ABS(B2604-C2604)&lt;0.005,"一致","不一致"))</x:f>
        <x:v>AmountIncludingTax缺失</x:v>
      </x:c>
      <x:c r="F2604" s="19" t="str">
        <x:v>approved</x:v>
      </x:c>
      <x:c r="G2604" s="19" t="str">
        <x:v>Repairer Invoiced Processed</x:v>
      </x:c>
      <x:c r="H2604" s="19" t="str">
        <x:v>In Field</x:v>
      </x:c>
      <x:c r="I2604" s="37" t="n">
        <x:v>46128</x:v>
      </x:c>
      <x:c r="J2604" s="37" t="n">
        <x:v>46128</x:v>
      </x:c>
      <x:c r="K2604" s="19" t="str">
        <x:v>Regent RV - Toowoomba</x:v>
      </x:c>
      <x:c r="L2604" s="19" t="str">
        <x:v>Z006</x:v>
      </x:c>
      <x:c r="M2604" s="19" t="str">
        <x:v>In Field Warranty Claims</x:v>
      </x:c>
      <x:c r="N2604" s="37" t="n">
        <x:v>46104</x:v>
      </x:c>
      <x:c r="O2604" s="37"/>
      <x:c r="P2604" s="34" t="n">
        <x:v>0</x:v>
      </x:c>
      <x:c r="Q2604" s="37" t="n">
        <x:v>46127.965625</x:v>
      </x:c>
    </x:row>
    <x:row r="2605">
      <x:c r="A2605" s="22" t="n">
        <x:v>32673</x:v>
      </x:c>
      <x:c r="B2605" s="28" t="n">
        <x:v>270</x:v>
      </x:c>
      <x:c r="C2605" s="28"/>
      <x:c r="D2605" s="31" t="str">
        <x:f>IF(OR(ISBLANK(B2605),ISBLANK(C2605),B2605=0),"",(C2605-B2605)/B2605)</x:f>
      </x:c>
      <x:c r="E2605" s="22" t="str">
        <x:f>IF(ISBLANK(C2605),"AmountIncludingTax缺失",IF(ABS(B2605-C2605)&lt;0.005,"一致","不一致"))</x:f>
        <x:v>AmountIncludingTax缺失</x:v>
      </x:c>
      <x:c r="F2605" s="19" t="str">
        <x:v>approved</x:v>
      </x:c>
      <x:c r="G2605" s="19" t="str">
        <x:v>Repairer Invoiced Processed</x:v>
      </x:c>
      <x:c r="H2605" s="19" t="str">
        <x:v>In Field</x:v>
      </x:c>
      <x:c r="I2605" s="37" t="n">
        <x:v>46128</x:v>
      </x:c>
      <x:c r="J2605" s="37" t="n">
        <x:v>46128</x:v>
      </x:c>
      <x:c r="K2605" s="19" t="str">
        <x:v>Leisure Lion Pty Ltd - Toowoomba</x:v>
      </x:c>
      <x:c r="L2605" s="19" t="str">
        <x:v>Z006</x:v>
      </x:c>
      <x:c r="M2605" s="19" t="str">
        <x:v>In Field Warranty Claims</x:v>
      </x:c>
      <x:c r="N2605" s="37" t="n">
        <x:v>46103</x:v>
      </x:c>
      <x:c r="O2605" s="37"/>
      <x:c r="P2605" s="34" t="n">
        <x:v>0</x:v>
      </x:c>
      <x:c r="Q2605" s="37" t="n">
        <x:v>46127.96513888889</x:v>
      </x:c>
    </x:row>
    <x:row r="2606">
      <x:c r="A2606" s="22" t="n">
        <x:v>32672</x:v>
      </x:c>
      <x:c r="B2606" s="28" t="n">
        <x:v>202.5</x:v>
      </x:c>
      <x:c r="C2606" s="28" t="n">
        <x:v>222.75</x:v>
      </x:c>
      <x:c r="D2606" s="31" t="n">
        <x:f>IF(OR(ISBLANK(B2606),ISBLANK(C2606),B2606=0),"",(C2606-B2606)/B2606)</x:f>
        <x:v>0.1</x:v>
      </x:c>
      <x:c r="E2606" s="22" t="str">
        <x:f>IF(ISBLANK(C2606),"AmountIncludingTax缺失",IF(ABS(B2606-C2606)&lt;0.005,"一致","不一致"))</x:f>
        <x:v>不一致</x:v>
      </x:c>
      <x:c r="F2606" s="19" t="str">
        <x:v>approved</x:v>
      </x:c>
      <x:c r="G2606" s="19" t="str">
        <x:v>Repair in Progress</x:v>
      </x:c>
      <x:c r="H2606" s="19" t="str">
        <x:v>In Field</x:v>
      </x:c>
      <x:c r="I2606" s="37" t="n">
        <x:v>46157</x:v>
      </x:c>
      <x:c r="J2606" s="37" t="n">
        <x:v>46157</x:v>
      </x:c>
      <x:c r="K2606" s="19" t="str">
        <x:v>Green RV - Forest Glen</x:v>
      </x:c>
      <x:c r="L2606" s="19" t="str">
        <x:v>Z006</x:v>
      </x:c>
      <x:c r="M2606" s="19" t="str">
        <x:v>In Field Warranty Claims</x:v>
      </x:c>
      <x:c r="N2606" s="37" t="n">
        <x:v>46103</x:v>
      </x:c>
      <x:c r="O2606" s="37"/>
      <x:c r="P2606" s="34" t="n">
        <x:v>222.75</x:v>
      </x:c>
      <x:c r="Q2606" s="37" t="n">
        <x:v>46157.228472222225</x:v>
      </x:c>
    </x:row>
    <x:row r="2607">
      <x:c r="A2607" s="22" t="n">
        <x:v>32670</x:v>
      </x:c>
      <x:c r="B2607" s="28" t="n">
        <x:v>478.03</x:v>
      </x:c>
      <x:c r="C2607" s="28" t="n">
        <x:v>525.83</x:v>
      </x:c>
      <x:c r="D2607" s="31" t="n">
        <x:f>IF(OR(ISBLANK(B2607),ISBLANK(C2607),B2607=0),"",(C2607-B2607)/B2607)</x:f>
        <x:v>0.09999372424324848</x:v>
      </x:c>
      <x:c r="E2607" s="22" t="str">
        <x:f>IF(ISBLANK(C2607),"AmountIncludingTax缺失",IF(ABS(B2607-C2607)&lt;0.005,"一致","不一致"))</x:f>
        <x:v>不一致</x:v>
      </x:c>
      <x:c r="F2607" s="19" t="str">
        <x:v>approved</x:v>
      </x:c>
      <x:c r="G2607" s="19" t="str">
        <x:v>Repairer Invoiced Processed</x:v>
      </x:c>
      <x:c r="H2607" s="19" t="str">
        <x:v>In Field</x:v>
      </x:c>
      <x:c r="I2607" s="37" t="n">
        <x:v>46142</x:v>
      </x:c>
      <x:c r="J2607" s="37" t="n">
        <x:v>46142</x:v>
      </x:c>
      <x:c r="K2607" s="19" t="str">
        <x:v>Regent RV - Frankston</x:v>
      </x:c>
      <x:c r="L2607" s="19" t="str">
        <x:v>Z006</x:v>
      </x:c>
      <x:c r="M2607" s="19" t="str">
        <x:v>In Field Warranty Claims</x:v>
      </x:c>
      <x:c r="N2607" s="37" t="n">
        <x:v>46104</x:v>
      </x:c>
      <x:c r="O2607" s="37"/>
      <x:c r="P2607" s="34" t="n">
        <x:v>525.83</x:v>
      </x:c>
      <x:c r="Q2607" s="37" t="n">
        <x:v>46141.96622685185</x:v>
      </x:c>
    </x:row>
    <x:row r="2608">
      <x:c r="A2608" s="22" t="n">
        <x:v>32669</x:v>
      </x:c>
      <x:c r="B2608" s="28" t="n">
        <x:v>927.5</x:v>
      </x:c>
      <x:c r="C2608" s="28"/>
      <x:c r="D2608" s="31" t="str">
        <x:f>IF(OR(ISBLANK(B2608),ISBLANK(C2608),B2608=0),"",(C2608-B2608)/B2608)</x:f>
      </x:c>
      <x:c r="E2608" s="22" t="str">
        <x:f>IF(ISBLANK(C2608),"AmountIncludingTax缺失",IF(ABS(B2608-C2608)&lt;0.005,"一致","不一致"))</x:f>
        <x:v>AmountIncludingTax缺失</x:v>
      </x:c>
      <x:c r="F2608" s="19" t="str">
        <x:v>approved</x:v>
      </x:c>
      <x:c r="G2608" s="19" t="str">
        <x:v>Repairer Invoiced Processed</x:v>
      </x:c>
      <x:c r="H2608" s="19" t="str">
        <x:v>In Field</x:v>
      </x:c>
      <x:c r="I2608" s="37" t="n">
        <x:v>46106</x:v>
      </x:c>
      <x:c r="J2608" s="37" t="n">
        <x:v>46106</x:v>
      </x:c>
      <x:c r="K2608" s="19" t="str">
        <x:v>Not Assigned</x:v>
      </x:c>
      <x:c r="L2608" s="19" t="str">
        <x:v>Z006</x:v>
      </x:c>
      <x:c r="M2608" s="19" t="str">
        <x:v>In Field Warranty Claims</x:v>
      </x:c>
      <x:c r="N2608" s="37" t="n">
        <x:v>46104</x:v>
      </x:c>
      <x:c r="O2608" s="37"/>
      <x:c r="P2608" s="34" t="n">
        <x:v>0</x:v>
      </x:c>
      <x:c r="Q2608" s="37" t="n">
        <x:v>46106.07318287037</x:v>
      </x:c>
    </x:row>
    <x:row r="2609">
      <x:c r="A2609" s="22" t="n">
        <x:v>32668</x:v>
      </x:c>
      <x:c r="B2609" s="28" t="n">
        <x:v>67.5</x:v>
      </x:c>
      <x:c r="C2609" s="28"/>
      <x:c r="D2609" s="31" t="str">
        <x:f>IF(OR(ISBLANK(B2609),ISBLANK(C2609),B2609=0),"",(C2609-B2609)/B2609)</x:f>
      </x:c>
      <x:c r="E2609" s="22" t="str">
        <x:f>IF(ISBLANK(C2609),"AmountIncludingTax缺失",IF(ABS(B2609-C2609)&lt;0.005,"一致","不一致"))</x:f>
        <x:v>AmountIncludingTax缺失</x:v>
      </x:c>
      <x:c r="F2609" s="19" t="str">
        <x:v>approved</x:v>
      </x:c>
      <x:c r="G2609" s="19" t="str">
        <x:v>Repair in Progress</x:v>
      </x:c>
      <x:c r="H2609" s="19" t="str">
        <x:v>In Field</x:v>
      </x:c>
      <x:c r="I2609" s="37" t="n">
        <x:v>46124</x:v>
      </x:c>
      <x:c r="J2609" s="37" t="n">
        <x:v>46124</x:v>
      </x:c>
      <x:c r="K2609" s="19" t="str">
        <x:v>Not Assigned</x:v>
      </x:c>
      <x:c r="L2609" s="19" t="str">
        <x:v>Z006</x:v>
      </x:c>
      <x:c r="M2609" s="19" t="str">
        <x:v>In Field Warranty Claims</x:v>
      </x:c>
      <x:c r="N2609" s="37" t="n">
        <x:v>46104</x:v>
      </x:c>
      <x:c r="O2609" s="37"/>
      <x:c r="P2609" s="34" t="n">
        <x:v>0</x:v>
      </x:c>
      <x:c r="Q2609" s="37" t="n">
        <x:v>46124.19810185185</x:v>
      </x:c>
    </x:row>
    <x:row r="2610">
      <x:c r="A2610" s="22" t="n">
        <x:v>32667</x:v>
      </x:c>
      <x:c r="B2610" s="28" t="n">
        <x:v>400</x:v>
      </x:c>
      <x:c r="C2610" s="28" t="n">
        <x:v>440</x:v>
      </x:c>
      <x:c r="D2610" s="31" t="n">
        <x:f>IF(OR(ISBLANK(B2610),ISBLANK(C2610),B2610=0),"",(C2610-B2610)/B2610)</x:f>
        <x:v>0.1</x:v>
      </x:c>
      <x:c r="E2610" s="22" t="str">
        <x:f>IF(ISBLANK(C2610),"AmountIncludingTax缺失",IF(ABS(B2610-C2610)&lt;0.005,"一致","不一致"))</x:f>
        <x:v>不一致</x:v>
      </x:c>
      <x:c r="F2610" s="19" t="str">
        <x:v>approved</x:v>
      </x:c>
      <x:c r="G2610" s="19" t="str">
        <x:v>Repairer Invoiced Processed</x:v>
      </x:c>
      <x:c r="H2610" s="19" t="str">
        <x:v>In Field</x:v>
      </x:c>
      <x:c r="I2610" s="37" t="n">
        <x:v>46106</x:v>
      </x:c>
      <x:c r="J2610" s="37" t="n">
        <x:v>46106</x:v>
      </x:c>
      <x:c r="K2610" s="19" t="str">
        <x:v>Green RV - Forest Glen</x:v>
      </x:c>
      <x:c r="L2610" s="19" t="str">
        <x:v>Z006</x:v>
      </x:c>
      <x:c r="M2610" s="19" t="str">
        <x:v>In Field Warranty Claims</x:v>
      </x:c>
      <x:c r="N2610" s="37" t="n">
        <x:v>46104</x:v>
      </x:c>
      <x:c r="O2610" s="37"/>
      <x:c r="P2610" s="34" t="n">
        <x:v>440</x:v>
      </x:c>
      <x:c r="Q2610" s="37" t="n">
        <x:v>46105.971238425926</x:v>
      </x:c>
    </x:row>
    <x:row r="2611">
      <x:c r="A2611" s="22" t="n">
        <x:v>32665</x:v>
      </x:c>
      <x:c r="B2611" s="28" t="n">
        <x:v>371.25</x:v>
      </x:c>
      <x:c r="C2611" s="28"/>
      <x:c r="D2611" s="31" t="str">
        <x:f>IF(OR(ISBLANK(B2611),ISBLANK(C2611),B2611=0),"",(C2611-B2611)/B2611)</x:f>
      </x:c>
      <x:c r="E2611" s="22" t="str">
        <x:f>IF(ISBLANK(C2611),"AmountIncludingTax缺失",IF(ABS(B2611-C2611)&lt;0.005,"一致","不一致"))</x:f>
        <x:v>AmountIncludingTax缺失</x:v>
      </x:c>
      <x:c r="F2611" s="19" t="str">
        <x:v>approved</x:v>
      </x:c>
      <x:c r="G2611" s="19" t="str">
        <x:v>Repairer Invoiced Processed</x:v>
      </x:c>
      <x:c r="H2611" s="19" t="str">
        <x:v>In Field</x:v>
      </x:c>
      <x:c r="I2611" s="37" t="n">
        <x:v>46129</x:v>
      </x:c>
      <x:c r="J2611" s="37" t="n">
        <x:v>46107</x:v>
      </x:c>
      <x:c r="K2611" s="19" t="str">
        <x:v>Green RV - Forest Glen</x:v>
      </x:c>
      <x:c r="L2611" s="19" t="str">
        <x:v>Z006</x:v>
      </x:c>
      <x:c r="M2611" s="19" t="str">
        <x:v>In Field Warranty Claims</x:v>
      </x:c>
      <x:c r="N2611" s="37" t="n">
        <x:v>46104</x:v>
      </x:c>
      <x:c r="O2611" s="37"/>
      <x:c r="P2611" s="34" t="n">
        <x:v>0</x:v>
      </x:c>
      <x:c r="Q2611" s="37" t="n">
        <x:v>46129.12017361111</x:v>
      </x:c>
    </x:row>
    <x:row r="2612">
      <x:c r="A2612" s="22" t="n">
        <x:v>32664</x:v>
      </x:c>
      <x:c r="B2612" s="28" t="n">
        <x:v>1408.75</x:v>
      </x:c>
      <x:c r="C2612" s="28"/>
      <x:c r="D2612" s="31" t="str">
        <x:f>IF(OR(ISBLANK(B2612),ISBLANK(C2612),B2612=0),"",(C2612-B2612)/B2612)</x:f>
      </x:c>
      <x:c r="E2612" s="22" t="str">
        <x:f>IF(ISBLANK(C2612),"AmountIncludingTax缺失",IF(ABS(B2612-C2612)&lt;0.005,"一致","不一致"))</x:f>
        <x:v>AmountIncludingTax缺失</x:v>
      </x:c>
      <x:c r="F2612" s="19" t="str">
        <x:v>approved</x:v>
      </x:c>
      <x:c r="G2612" s="19" t="str">
        <x:v>Repair in Progress</x:v>
      </x:c>
      <x:c r="H2612" s="19" t="str">
        <x:v>In Field</x:v>
      </x:c>
      <x:c r="I2612" s="37" t="n">
        <x:v>46142</x:v>
      </x:c>
      <x:c r="J2612" s="37" t="n">
        <x:v>46142</x:v>
      </x:c>
      <x:c r="K2612" s="19" t="str">
        <x:v>Newcastle RV Super Centre - Beresfield</x:v>
      </x:c>
      <x:c r="L2612" s="19" t="str">
        <x:v>Z006</x:v>
      </x:c>
      <x:c r="M2612" s="19" t="str">
        <x:v>In Field Warranty Claims</x:v>
      </x:c>
      <x:c r="N2612" s="37" t="n">
        <x:v>46103</x:v>
      </x:c>
      <x:c r="O2612" s="37"/>
      <x:c r="P2612" s="34" t="n">
        <x:v>0</x:v>
      </x:c>
      <x:c r="Q2612" s="37" t="n">
        <x:v>46141.86454861111</x:v>
      </x:c>
    </x:row>
    <x:row r="2613">
      <x:c r="A2613" s="22" t="n">
        <x:v>32663</x:v>
      </x:c>
      <x:c r="B2613" s="28" t="n">
        <x:v>202.5</x:v>
      </x:c>
      <x:c r="C2613" s="28"/>
      <x:c r="D2613" s="31" t="str">
        <x:f>IF(OR(ISBLANK(B2613),ISBLANK(C2613),B2613=0),"",(C2613-B2613)/B2613)</x:f>
      </x:c>
      <x:c r="E2613" s="22" t="str">
        <x:f>IF(ISBLANK(C2613),"AmountIncludingTax缺失",IF(ABS(B2613-C2613)&lt;0.005,"一致","不一致"))</x:f>
        <x:v>AmountIncludingTax缺失</x:v>
      </x:c>
      <x:c r="F2613" s="19" t="str">
        <x:v>approved</x:v>
      </x:c>
      <x:c r="G2613" s="19" t="str">
        <x:v>Repairer Invoiced Processed</x:v>
      </x:c>
      <x:c r="H2613" s="19" t="str">
        <x:v>In Field</x:v>
      </x:c>
      <x:c r="I2613" s="37" t="n">
        <x:v>46134</x:v>
      </x:c>
      <x:c r="J2613" s="37" t="n">
        <x:v>46134</x:v>
      </x:c>
      <x:c r="K2613" s="19" t="str">
        <x:v>Green RV - Slacks Creek</x:v>
      </x:c>
      <x:c r="L2613" s="19" t="str">
        <x:v>Z006</x:v>
      </x:c>
      <x:c r="M2613" s="19" t="str">
        <x:v>In Field Warranty Claims</x:v>
      </x:c>
      <x:c r="N2613" s="37" t="n">
        <x:v>46103</x:v>
      </x:c>
      <x:c r="O2613" s="37"/>
      <x:c r="P2613" s="34" t="n">
        <x:v>0</x:v>
      </x:c>
      <x:c r="Q2613" s="37" t="n">
        <x:v>46133.96710648148</x:v>
      </x:c>
    </x:row>
    <x:row r="2614">
      <x:c r="A2614" s="22" t="n">
        <x:v>32662</x:v>
      </x:c>
      <x:c r="B2614" s="28" t="n">
        <x:v>627.5</x:v>
      </x:c>
      <x:c r="C2614" s="28"/>
      <x:c r="D2614" s="31" t="str">
        <x:f>IF(OR(ISBLANK(B2614),ISBLANK(C2614),B2614=0),"",(C2614-B2614)/B2614)</x:f>
      </x:c>
      <x:c r="E2614" s="22" t="str">
        <x:f>IF(ISBLANK(C2614),"AmountIncludingTax缺失",IF(ABS(B2614-C2614)&lt;0.005,"一致","不一致"))</x:f>
        <x:v>AmountIncludingTax缺失</x:v>
      </x:c>
      <x:c r="F2614" s="19" t="str">
        <x:v>approved</x:v>
      </x:c>
      <x:c r="G2614" s="19" t="str">
        <x:v>Partially Picked</x:v>
      </x:c>
      <x:c r="H2614" s="19" t="str">
        <x:v>In Field</x:v>
      </x:c>
      <x:c r="I2614" s="37" t="n">
        <x:v>46105</x:v>
      </x:c>
      <x:c r="J2614" s="37" t="n">
        <x:v>46105</x:v>
      </x:c>
      <x:c r="K2614" s="19" t="str">
        <x:v>Not Assigned</x:v>
      </x:c>
      <x:c r="L2614" s="19" t="str">
        <x:v>Z006</x:v>
      </x:c>
      <x:c r="M2614" s="19" t="str">
        <x:v>In Field Warranty Claims</x:v>
      </x:c>
      <x:c r="N2614" s="37" t="n">
        <x:v>46103</x:v>
      </x:c>
      <x:c r="O2614" s="37"/>
      <x:c r="P2614" s="34" t="n">
        <x:v>0</x:v>
      </x:c>
      <x:c r="Q2614" s="37" t="n">
        <x:v>46104.92333333333</x:v>
      </x:c>
    </x:row>
    <x:row r="2615">
      <x:c r="A2615" s="22" t="n">
        <x:v>32661</x:v>
      </x:c>
      <x:c r="B2615" s="28" t="n">
        <x:v>222.5</x:v>
      </x:c>
      <x:c r="C2615" s="28"/>
      <x:c r="D2615" s="31" t="str">
        <x:f>IF(OR(ISBLANK(B2615),ISBLANK(C2615),B2615=0),"",(C2615-B2615)/B2615)</x:f>
      </x:c>
      <x:c r="E2615" s="22" t="str">
        <x:f>IF(ISBLANK(C2615),"AmountIncludingTax缺失",IF(ABS(B2615-C2615)&lt;0.005,"一致","不一致"))</x:f>
        <x:v>AmountIncludingTax缺失</x:v>
      </x:c>
      <x:c r="F2615" s="19" t="str">
        <x:v>approved</x:v>
      </x:c>
      <x:c r="G2615" s="19" t="str">
        <x:v>Repairer Invoiced Processed</x:v>
      </x:c>
      <x:c r="H2615" s="19" t="str">
        <x:v>Pre Delivery</x:v>
      </x:c>
      <x:c r="I2615" s="37" t="n">
        <x:v>46143</x:v>
      </x:c>
      <x:c r="J2615" s="37" t="n">
        <x:v>46143</x:v>
      </x:c>
      <x:c r="K2615" s="19" t="str">
        <x:v>Lesiure Lion-New Castle</x:v>
      </x:c>
      <x:c r="L2615" s="19" t="str">
        <x:v>Z005</x:v>
      </x:c>
      <x:c r="M2615" s="19" t="str">
        <x:v>Pre Delivery Warranty Claims</x:v>
      </x:c>
      <x:c r="N2615" s="37" t="n">
        <x:v>46103</x:v>
      </x:c>
      <x:c r="O2615" s="37"/>
      <x:c r="P2615" s="34" t="n">
        <x:v>0</x:v>
      </x:c>
      <x:c r="Q2615" s="37" t="n">
        <x:v>46143.22820601852</x:v>
      </x:c>
    </x:row>
    <x:row r="2616">
      <x:c r="A2616" s="22" t="n">
        <x:v>32660</x:v>
      </x:c>
      <x:c r="B2616" s="28" t="n">
        <x:v>1080</x:v>
      </x:c>
      <x:c r="C2616" s="28"/>
      <x:c r="D2616" s="31" t="str">
        <x:f>IF(OR(ISBLANK(B2616),ISBLANK(C2616),B2616=0),"",(C2616-B2616)/B2616)</x:f>
      </x:c>
      <x:c r="E2616" s="22" t="str">
        <x:f>IF(ISBLANK(C2616),"AmountIncludingTax缺失",IF(ABS(B2616-C2616)&lt;0.005,"一致","不一致"))</x:f>
        <x:v>AmountIncludingTax缺失</x:v>
      </x:c>
      <x:c r="F2616" s="19" t="str">
        <x:v>approved</x:v>
      </x:c>
      <x:c r="G2616" s="19" t="str">
        <x:v>Repair in Progress</x:v>
      </x:c>
      <x:c r="H2616" s="19" t="str">
        <x:v>In Field</x:v>
      </x:c>
      <x:c r="I2616" s="37" t="n">
        <x:v>46147</x:v>
      </x:c>
      <x:c r="J2616" s="37" t="n">
        <x:v>46147</x:v>
      </x:c>
      <x:c r="K2616" s="19" t="str">
        <x:v>Green RV - Forest Glen</x:v>
      </x:c>
      <x:c r="L2616" s="19" t="str">
        <x:v>Z006</x:v>
      </x:c>
      <x:c r="M2616" s="19" t="str">
        <x:v>In Field Warranty Claims</x:v>
      </x:c>
      <x:c r="N2616" s="37" t="n">
        <x:v>46103</x:v>
      </x:c>
      <x:c r="O2616" s="37"/>
      <x:c r="P2616" s="34" t="n">
        <x:v>0</x:v>
      </x:c>
      <x:c r="Q2616" s="37" t="n">
        <x:v>46147.17865740741</x:v>
      </x:c>
    </x:row>
    <x:row r="2617">
      <x:c r="A2617" s="22" t="n">
        <x:v>32658</x:v>
      </x:c>
      <x:c r="B2617" s="28" t="n">
        <x:v>183.75</x:v>
      </x:c>
      <x:c r="C2617" s="28"/>
      <x:c r="D2617" s="31" t="str">
        <x:f>IF(OR(ISBLANK(B2617),ISBLANK(C2617),B2617=0),"",(C2617-B2617)/B2617)</x:f>
      </x:c>
      <x:c r="E2617" s="22" t="str">
        <x:f>IF(ISBLANK(C2617),"AmountIncludingTax缺失",IF(ABS(B2617-C2617)&lt;0.005,"一致","不一致"))</x:f>
        <x:v>AmountIncludingTax缺失</x:v>
      </x:c>
      <x:c r="F2617" s="19" t="str">
        <x:v>approved</x:v>
      </x:c>
      <x:c r="G2617" s="19" t="str">
        <x:v>Repair in Progress</x:v>
      </x:c>
      <x:c r="H2617" s="19" t="str">
        <x:v>In Field</x:v>
      </x:c>
      <x:c r="I2617" s="37" t="n">
        <x:v>46106</x:v>
      </x:c>
      <x:c r="J2617" s="37" t="n">
        <x:v>46106</x:v>
      </x:c>
      <x:c r="K2617" s="19" t="str">
        <x:v>Green RV - Forest Glen</x:v>
      </x:c>
      <x:c r="L2617" s="19" t="str">
        <x:v>Z006</x:v>
      </x:c>
      <x:c r="M2617" s="19" t="str">
        <x:v>In Field Warranty Claims</x:v>
      </x:c>
      <x:c r="N2617" s="37" t="n">
        <x:v>46103</x:v>
      </x:c>
      <x:c r="O2617" s="37"/>
      <x:c r="P2617" s="34" t="n">
        <x:v>0</x:v>
      </x:c>
      <x:c r="Q2617" s="37" t="n">
        <x:v>46106.07135416667</x:v>
      </x:c>
    </x:row>
    <x:row r="2618">
      <x:c r="A2618" s="22" t="n">
        <x:v>32657</x:v>
      </x:c>
      <x:c r="B2618" s="28" t="n">
        <x:v>1500</x:v>
      </x:c>
      <x:c r="C2618" s="28"/>
      <x:c r="D2618" s="31" t="str">
        <x:f>IF(OR(ISBLANK(B2618),ISBLANK(C2618),B2618=0),"",(C2618-B2618)/B2618)</x:f>
      </x:c>
      <x:c r="E2618" s="22" t="str">
        <x:f>IF(ISBLANK(C2618),"AmountIncludingTax缺失",IF(ABS(B2618-C2618)&lt;0.005,"一致","不一致"))</x:f>
        <x:v>AmountIncludingTax缺失</x:v>
      </x:c>
      <x:c r="F2618" s="19" t="str">
        <x:v>approved</x:v>
      </x:c>
      <x:c r="G2618" s="19" t="str">
        <x:v>Repairer Invoiced Processed</x:v>
      </x:c>
      <x:c r="H2618" s="19" t="str">
        <x:v>In Field</x:v>
      </x:c>
      <x:c r="I2618" s="37" t="n">
        <x:v>46104</x:v>
      </x:c>
      <x:c r="J2618" s="37" t="n">
        <x:v>46104</x:v>
      </x:c>
      <x:c r="K2618" s="19" t="str">
        <x:v>Green RV - Forest Glen</x:v>
      </x:c>
      <x:c r="L2618" s="19" t="str">
        <x:v>Z006</x:v>
      </x:c>
      <x:c r="M2618" s="19" t="str">
        <x:v>In Field Warranty Claims</x:v>
      </x:c>
      <x:c r="N2618" s="37" t="n">
        <x:v>46101</x:v>
      </x:c>
      <x:c r="O2618" s="37"/>
      <x:c r="P2618" s="34" t="n">
        <x:v>0</x:v>
      </x:c>
      <x:c r="Q2618" s="37" t="n">
        <x:v>46104.04950231482</x:v>
      </x:c>
    </x:row>
    <x:row r="2619">
      <x:c r="A2619" s="22" t="n">
        <x:v>32655</x:v>
      </x:c>
      <x:c r="B2619" s="28" t="n">
        <x:v>69.09</x:v>
      </x:c>
      <x:c r="C2619" s="28"/>
      <x:c r="D2619" s="31" t="str">
        <x:f>IF(OR(ISBLANK(B2619),ISBLANK(C2619),B2619=0),"",(C2619-B2619)/B2619)</x:f>
      </x:c>
      <x:c r="E2619" s="22" t="str">
        <x:f>IF(ISBLANK(C2619),"AmountIncludingTax缺失",IF(ABS(B2619-C2619)&lt;0.005,"一致","不一致"))</x:f>
        <x:v>AmountIncludingTax缺失</x:v>
      </x:c>
      <x:c r="F2619" s="19" t="str">
        <x:v>approved</x:v>
      </x:c>
      <x:c r="G2619" s="19" t="str">
        <x:v>Sales Order Approved</x:v>
      </x:c>
      <x:c r="H2619" s="19" t="str">
        <x:v>In Field</x:v>
      </x:c>
      <x:c r="I2619" s="37" t="n">
        <x:v>46107</x:v>
      </x:c>
      <x:c r="J2619" s="37" t="n">
        <x:v>46107</x:v>
      </x:c>
      <x:c r="K2619" s="19" t="str">
        <x:v>Auswide Caravans - South Nowra</x:v>
      </x:c>
      <x:c r="L2619" s="19" t="str">
        <x:v>Z006</x:v>
      </x:c>
      <x:c r="M2619" s="19" t="str">
        <x:v>In Field Warranty Claims</x:v>
      </x:c>
      <x:c r="N2619" s="37" t="n">
        <x:v>46101</x:v>
      </x:c>
      <x:c r="O2619" s="37"/>
      <x:c r="P2619" s="34" t="n">
        <x:v>0</x:v>
      </x:c>
      <x:c r="Q2619" s="37" t="n">
        <x:v>46107.04652777778</x:v>
      </x:c>
    </x:row>
    <x:row r="2620">
      <x:c r="A2620" s="22" t="n">
        <x:v>32654</x:v>
      </x:c>
      <x:c r="B2620" s="28" t="n">
        <x:v>135</x:v>
      </x:c>
      <x:c r="C2620" s="28"/>
      <x:c r="D2620" s="31" t="str">
        <x:f>IF(OR(ISBLANK(B2620),ISBLANK(C2620),B2620=0),"",(C2620-B2620)/B2620)</x:f>
      </x:c>
      <x:c r="E2620" s="22" t="str">
        <x:f>IF(ISBLANK(C2620),"AmountIncludingTax缺失",IF(ABS(B2620-C2620)&lt;0.005,"一致","不一致"))</x:f>
        <x:v>AmountIncludingTax缺失</x:v>
      </x:c>
      <x:c r="F2620" s="19" t="str">
        <x:v>approved</x:v>
      </x:c>
      <x:c r="G2620" s="19" t="str">
        <x:v>Repairer Invoiced Processed</x:v>
      </x:c>
      <x:c r="H2620" s="19" t="str">
        <x:v>In Field</x:v>
      </x:c>
      <x:c r="I2620" s="37" t="n">
        <x:v>46101</x:v>
      </x:c>
      <x:c r="J2620" s="37" t="n">
        <x:v>46101</x:v>
      </x:c>
      <x:c r="K2620" s="19" t="str">
        <x:v>Not Assigned</x:v>
      </x:c>
      <x:c r="L2620" s="19" t="str">
        <x:v>Z006</x:v>
      </x:c>
      <x:c r="M2620" s="19" t="str">
        <x:v>In Field Warranty Claims</x:v>
      </x:c>
      <x:c r="N2620" s="37" t="n">
        <x:v>46101</x:v>
      </x:c>
      <x:c r="O2620" s="37"/>
      <x:c r="P2620" s="34" t="n">
        <x:v>0</x:v>
      </x:c>
      <x:c r="Q2620" s="37" t="n">
        <x:v>46101.197488425925</x:v>
      </x:c>
    </x:row>
    <x:row r="2621">
      <x:c r="A2621" s="22" t="n">
        <x:v>32653</x:v>
      </x:c>
      <x:c r="B2621" s="28" t="n">
        <x:v>1159.09</x:v>
      </x:c>
      <x:c r="C2621" s="28"/>
      <x:c r="D2621" s="31" t="str">
        <x:f>IF(OR(ISBLANK(B2621),ISBLANK(C2621),B2621=0),"",(C2621-B2621)/B2621)</x:f>
      </x:c>
      <x:c r="E2621" s="22" t="str">
        <x:f>IF(ISBLANK(C2621),"AmountIncludingTax缺失",IF(ABS(B2621-C2621)&lt;0.005,"一致","不一致"))</x:f>
        <x:v>AmountIncludingTax缺失</x:v>
      </x:c>
      <x:c r="F2621" s="19" t="str">
        <x:v>approved</x:v>
      </x:c>
      <x:c r="G2621" s="19" t="str">
        <x:v>Repairer Invoiced Processed</x:v>
      </x:c>
      <x:c r="H2621" s="19" t="str">
        <x:v>In Field</x:v>
      </x:c>
      <x:c r="I2621" s="37" t="n">
        <x:v>46122</x:v>
      </x:c>
      <x:c r="J2621" s="37" t="n">
        <x:v>46122</x:v>
      </x:c>
      <x:c r="K2621" s="19" t="str">
        <x:v>Not Assigned</x:v>
      </x:c>
      <x:c r="L2621" s="19" t="str">
        <x:v>Z006</x:v>
      </x:c>
      <x:c r="M2621" s="19" t="str">
        <x:v>In Field Warranty Claims</x:v>
      </x:c>
      <x:c r="N2621" s="37" t="n">
        <x:v>46101</x:v>
      </x:c>
      <x:c r="O2621" s="37"/>
      <x:c r="P2621" s="34" t="n">
        <x:v>1275</x:v>
      </x:c>
      <x:c r="Q2621" s="37" t="n">
        <x:v>46121.997928240744</x:v>
      </x:c>
    </x:row>
    <x:row r="2622">
      <x:c r="A2622" s="22" t="n">
        <x:v>32651</x:v>
      </x:c>
      <x:c r="B2622" s="28" t="n">
        <x:v>1451.25</x:v>
      </x:c>
      <x:c r="C2622" s="28"/>
      <x:c r="D2622" s="31" t="str">
        <x:f>IF(OR(ISBLANK(B2622),ISBLANK(C2622),B2622=0),"",(C2622-B2622)/B2622)</x:f>
      </x:c>
      <x:c r="E2622" s="22" t="str">
        <x:f>IF(ISBLANK(C2622),"AmountIncludingTax缺失",IF(ABS(B2622-C2622)&lt;0.005,"一致","不一致"))</x:f>
        <x:v>AmountIncludingTax缺失</x:v>
      </x:c>
      <x:c r="F2622" s="19" t="str">
        <x:v>approved</x:v>
      </x:c>
      <x:c r="G2622" s="19" t="str">
        <x:v>Repairer Invoiced Processed</x:v>
      </x:c>
      <x:c r="H2622" s="19" t="str">
        <x:v>In Field</x:v>
      </x:c>
      <x:c r="I2622" s="37" t="n">
        <x:v>46107</x:v>
      </x:c>
      <x:c r="J2622" s="37" t="n">
        <x:v>46107</x:v>
      </x:c>
      <x:c r="K2622" s="19" t="str">
        <x:v>Not Assigned</x:v>
      </x:c>
      <x:c r="L2622" s="19" t="str">
        <x:v>Z006</x:v>
      </x:c>
      <x:c r="M2622" s="19" t="str">
        <x:v>In Field Warranty Claims</x:v>
      </x:c>
      <x:c r="N2622" s="37" t="n">
        <x:v>46101</x:v>
      </x:c>
      <x:c r="O2622" s="37"/>
      <x:c r="P2622" s="34" t="n">
        <x:v>0</x:v>
      </x:c>
      <x:c r="Q2622" s="37" t="n">
        <x:v>46107.14810185185</x:v>
      </x:c>
    </x:row>
    <x:row r="2623">
      <x:c r="A2623" s="22" t="n">
        <x:v>32648</x:v>
      </x:c>
      <x:c r="B2623" s="28" t="n">
        <x:v>50</x:v>
      </x:c>
      <x:c r="C2623" s="28" t="n">
        <x:v>55</x:v>
      </x:c>
      <x:c r="D2623" s="31" t="n">
        <x:f>IF(OR(ISBLANK(B2623),ISBLANK(C2623),B2623=0),"",(C2623-B2623)/B2623)</x:f>
        <x:v>0.1</x:v>
      </x:c>
      <x:c r="E2623" s="22" t="str">
        <x:f>IF(ISBLANK(C2623),"AmountIncludingTax缺失",IF(ABS(B2623-C2623)&lt;0.005,"一致","不一致"))</x:f>
        <x:v>不一致</x:v>
      </x:c>
      <x:c r="F2623" s="19" t="str">
        <x:v>approved</x:v>
      </x:c>
      <x:c r="G2623" s="19" t="str">
        <x:v>Repair in Progress</x:v>
      </x:c>
      <x:c r="H2623" s="19" t="str">
        <x:v>In Field</x:v>
      </x:c>
      <x:c r="I2623" s="37" t="n">
        <x:v>46111</x:v>
      </x:c>
      <x:c r="J2623" s="37" t="n">
        <x:v>46111</x:v>
      </x:c>
      <x:c r="K2623" s="19" t="str">
        <x:v>Regent RV - Frankston</x:v>
      </x:c>
      <x:c r="L2623" s="19" t="str">
        <x:v>Z006</x:v>
      </x:c>
      <x:c r="M2623" s="19" t="str">
        <x:v>In Field Warranty Claims</x:v>
      </x:c>
      <x:c r="N2623" s="37" t="n">
        <x:v>46104</x:v>
      </x:c>
      <x:c r="O2623" s="37"/>
      <x:c r="P2623" s="34" t="n">
        <x:v>55</x:v>
      </x:c>
      <x:c r="Q2623" s="37" t="n">
        <x:v>46110.95599537037</x:v>
      </x:c>
    </x:row>
    <x:row r="2624">
      <x:c r="A2624" s="22" t="n">
        <x:v>32646</x:v>
      </x:c>
      <x:c r="B2624" s="28" t="n">
        <x:v>194</x:v>
      </x:c>
      <x:c r="C2624" s="28" t="n">
        <x:v>213.4</x:v>
      </x:c>
      <x:c r="D2624" s="31" t="n">
        <x:f>IF(OR(ISBLANK(B2624),ISBLANK(C2624),B2624=0),"",(C2624-B2624)/B2624)</x:f>
        <x:v>0.10000000000000003</x:v>
      </x:c>
      <x:c r="E2624" s="22" t="str">
        <x:f>IF(ISBLANK(C2624),"AmountIncludingTax缺失",IF(ABS(B2624-C2624)&lt;0.005,"一致","不一致"))</x:f>
        <x:v>不一致</x:v>
      </x:c>
      <x:c r="F2624" s="19" t="str">
        <x:v>approved</x:v>
      </x:c>
      <x:c r="G2624" s="19" t="str">
        <x:v>Repair in Progress</x:v>
      </x:c>
      <x:c r="H2624" s="19" t="str">
        <x:v>In Field</x:v>
      </x:c>
      <x:c r="I2624" s="37" t="n">
        <x:v>46146</x:v>
      </x:c>
      <x:c r="J2624" s="37" t="n">
        <x:v>46146</x:v>
      </x:c>
      <x:c r="K2624" s="19" t="str">
        <x:v>Regent RV - Perth</x:v>
      </x:c>
      <x:c r="L2624" s="19" t="str">
        <x:v>Z006</x:v>
      </x:c>
      <x:c r="M2624" s="19" t="str">
        <x:v>In Field Warranty Claims</x:v>
      </x:c>
      <x:c r="N2624" s="37" t="n">
        <x:v>46104</x:v>
      </x:c>
      <x:c r="O2624" s="37"/>
      <x:c r="P2624" s="34" t="n">
        <x:v>213.4</x:v>
      </x:c>
      <x:c r="Q2624" s="37" t="n">
        <x:v>46146.2625</x:v>
      </x:c>
    </x:row>
    <x:row r="2625">
      <x:c r="A2625" s="22" t="n">
        <x:v>32640</x:v>
      </x:c>
      <x:c r="B2625" s="28" t="n">
        <x:v>762.5</x:v>
      </x:c>
      <x:c r="C2625" s="28"/>
      <x:c r="D2625" s="31" t="str">
        <x:f>IF(OR(ISBLANK(B2625),ISBLANK(C2625),B2625=0),"",(C2625-B2625)/B2625)</x:f>
      </x:c>
      <x:c r="E2625" s="22" t="str">
        <x:f>IF(ISBLANK(C2625),"AmountIncludingTax缺失",IF(ABS(B2625-C2625)&lt;0.005,"一致","不一致"))</x:f>
        <x:v>AmountIncludingTax缺失</x:v>
      </x:c>
      <x:c r="F2625" s="19" t="str">
        <x:v>approved</x:v>
      </x:c>
      <x:c r="G2625" s="19" t="str">
        <x:v>Repair in Progress</x:v>
      </x:c>
      <x:c r="H2625" s="19" t="str">
        <x:v>In Field</x:v>
      </x:c>
      <x:c r="I2625" s="37" t="n">
        <x:v>46155</x:v>
      </x:c>
      <x:c r="J2625" s="37" t="n">
        <x:v>46155</x:v>
      </x:c>
      <x:c r="K2625" s="19" t="str">
        <x:v>Not Assigned</x:v>
      </x:c>
      <x:c r="L2625" s="19" t="str">
        <x:v>Z006</x:v>
      </x:c>
      <x:c r="M2625" s="19" t="str">
        <x:v>In Field Warranty Claims</x:v>
      </x:c>
      <x:c r="N2625" s="37" t="n">
        <x:v>46103</x:v>
      </x:c>
      <x:c r="O2625" s="37"/>
      <x:c r="P2625" s="34" t="n">
        <x:v>0</x:v>
      </x:c>
      <x:c r="Q2625" s="37" t="n">
        <x:v>46155.42488425926</x:v>
      </x:c>
    </x:row>
    <x:row r="2626">
      <x:c r="A2626" s="22" t="n">
        <x:v>32639</x:v>
      </x:c>
      <x:c r="B2626" s="28" t="n">
        <x:v>1187.5</x:v>
      </x:c>
      <x:c r="C2626" s="28"/>
      <x:c r="D2626" s="31" t="str">
        <x:f>IF(OR(ISBLANK(B2626),ISBLANK(C2626),B2626=0),"",(C2626-B2626)/B2626)</x:f>
      </x:c>
      <x:c r="E2626" s="22" t="str">
        <x:f>IF(ISBLANK(C2626),"AmountIncludingTax缺失",IF(ABS(B2626-C2626)&lt;0.005,"一致","不一致"))</x:f>
        <x:v>AmountIncludingTax缺失</x:v>
      </x:c>
      <x:c r="F2626" s="19" t="str">
        <x:v>approved</x:v>
      </x:c>
      <x:c r="G2626" s="19" t="str">
        <x:v>Repairer Invoiced Processed</x:v>
      </x:c>
      <x:c r="H2626" s="19" t="str">
        <x:v>Pre Delivery</x:v>
      </x:c>
      <x:c r="I2626" s="37" t="n">
        <x:v>46129</x:v>
      </x:c>
      <x:c r="J2626" s="37" t="n">
        <x:v>46129</x:v>
      </x:c>
      <x:c r="K2626" s="19" t="str">
        <x:v>Lesiure Lion-New Castle</x:v>
      </x:c>
      <x:c r="L2626" s="19" t="str">
        <x:v>Z005</x:v>
      </x:c>
      <x:c r="M2626" s="19" t="str">
        <x:v>Pre Delivery Warranty Claims</x:v>
      </x:c>
      <x:c r="N2626" s="37" t="n">
        <x:v>46103</x:v>
      </x:c>
      <x:c r="O2626" s="37"/>
      <x:c r="P2626" s="34" t="n">
        <x:v>0</x:v>
      </x:c>
      <x:c r="Q2626" s="37" t="n">
        <x:v>46129.231620370374</x:v>
      </x:c>
    </x:row>
    <x:row r="2627">
      <x:c r="A2627" s="22" t="n">
        <x:v>32637</x:v>
      </x:c>
      <x:c r="B2627" s="28" t="n">
        <x:v>202.5</x:v>
      </x:c>
      <x:c r="C2627" s="28"/>
      <x:c r="D2627" s="31" t="str">
        <x:f>IF(OR(ISBLANK(B2627),ISBLANK(C2627),B2627=0),"",(C2627-B2627)/B2627)</x:f>
      </x:c>
      <x:c r="E2627" s="22" t="str">
        <x:f>IF(ISBLANK(C2627),"AmountIncludingTax缺失",IF(ABS(B2627-C2627)&lt;0.005,"一致","不一致"))</x:f>
        <x:v>AmountIncludingTax缺失</x:v>
      </x:c>
      <x:c r="F2627" s="19" t="str">
        <x:v>approved</x:v>
      </x:c>
      <x:c r="G2627" s="19" t="str">
        <x:v>Repair in Progress</x:v>
      </x:c>
      <x:c r="H2627" s="19" t="str">
        <x:v>Pre Delivery</x:v>
      </x:c>
      <x:c r="I2627" s="37" t="n">
        <x:v>46168</x:v>
      </x:c>
      <x:c r="J2627" s="37" t="n">
        <x:v>46168</x:v>
      </x:c>
      <x:c r="K2627" s="19" t="str">
        <x:v>Regent RV - Perth</x:v>
      </x:c>
      <x:c r="L2627" s="19" t="str">
        <x:v>Z005</x:v>
      </x:c>
      <x:c r="M2627" s="19" t="str">
        <x:v>Pre Delivery Warranty Claims</x:v>
      </x:c>
      <x:c r="N2627" s="37" t="n">
        <x:v>46101</x:v>
      </x:c>
      <x:c r="O2627" s="37"/>
      <x:c r="P2627" s="34" t="n">
        <x:v>0</x:v>
      </x:c>
      <x:c r="Q2627" s="37" t="n">
        <x:v>46168.267164351855</x:v>
      </x:c>
    </x:row>
    <x:row r="2628">
      <x:c r="A2628" s="22" t="n">
        <x:v>32636</x:v>
      </x:c>
      <x:c r="B2628" s="28" t="n">
        <x:v>260</x:v>
      </x:c>
      <x:c r="C2628" s="28"/>
      <x:c r="D2628" s="31" t="str">
        <x:f>IF(OR(ISBLANK(B2628),ISBLANK(C2628),B2628=0),"",(C2628-B2628)/B2628)</x:f>
      </x:c>
      <x:c r="E2628" s="22" t="str">
        <x:f>IF(ISBLANK(C2628),"AmountIncludingTax缺失",IF(ABS(B2628-C2628)&lt;0.005,"一致","不一致"))</x:f>
        <x:v>AmountIncludingTax缺失</x:v>
      </x:c>
      <x:c r="F2628" s="19" t="str">
        <x:v>approved</x:v>
      </x:c>
      <x:c r="G2628" s="19" t="str">
        <x:v>Repairer Invoiced Processed</x:v>
      </x:c>
      <x:c r="H2628" s="19" t="str">
        <x:v>In Field</x:v>
      </x:c>
      <x:c r="I2628" s="37" t="n">
        <x:v>46209</x:v>
      </x:c>
      <x:c r="J2628" s="37" t="n">
        <x:v>46104</x:v>
      </x:c>
      <x:c r="K2628" s="19" t="str">
        <x:v>Auswide Caravans - South Nowra</x:v>
      </x:c>
      <x:c r="L2628" s="19" t="str">
        <x:v>Z006</x:v>
      </x:c>
      <x:c r="M2628" s="19" t="str">
        <x:v>In Field Warranty Claims</x:v>
      </x:c>
      <x:c r="N2628" s="37" t="n">
        <x:v>46101</x:v>
      </x:c>
      <x:c r="O2628" s="37"/>
      <x:c r="P2628" s="34" t="n">
        <x:v>0</x:v>
      </x:c>
      <x:c r="Q2628" s="37" t="n">
        <x:v>46209.052199074074</x:v>
      </x:c>
    </x:row>
    <x:row r="2629">
      <x:c r="A2629" s="22" t="n">
        <x:v>32635</x:v>
      </x:c>
      <x:c r="B2629" s="28" t="n">
        <x:v>77.5</x:v>
      </x:c>
      <x:c r="C2629" s="28"/>
      <x:c r="D2629" s="31" t="str">
        <x:f>IF(OR(ISBLANK(B2629),ISBLANK(C2629),B2629=0),"",(C2629-B2629)/B2629)</x:f>
      </x:c>
      <x:c r="E2629" s="22" t="str">
        <x:f>IF(ISBLANK(C2629),"AmountIncludingTax缺失",IF(ABS(B2629-C2629)&lt;0.005,"一致","不一致"))</x:f>
        <x:v>AmountIncludingTax缺失</x:v>
      </x:c>
      <x:c r="F2629" s="19" t="str">
        <x:v>approved</x:v>
      </x:c>
      <x:c r="G2629" s="19" t="str">
        <x:v>Sales Order Approved</x:v>
      </x:c>
      <x:c r="H2629" s="19" t="str">
        <x:v>Pre Delivery</x:v>
      </x:c>
      <x:c r="I2629" s="37" t="n">
        <x:v>46134</x:v>
      </x:c>
      <x:c r="J2629" s="37" t="n">
        <x:v>46134</x:v>
      </x:c>
      <x:c r="K2629" s="19" t="str">
        <x:v>Regent RV - Perth</x:v>
      </x:c>
      <x:c r="L2629" s="19" t="str">
        <x:v>Z005</x:v>
      </x:c>
      <x:c r="M2629" s="19" t="str">
        <x:v>Pre Delivery Warranty Claims</x:v>
      </x:c>
      <x:c r="N2629" s="37" t="n">
        <x:v>46101</x:v>
      </x:c>
      <x:c r="O2629" s="37"/>
      <x:c r="P2629" s="34" t="n">
        <x:v>0</x:v>
      </x:c>
      <x:c r="Q2629" s="37" t="n">
        <x:v>46134.122569444444</x:v>
      </x:c>
    </x:row>
    <x:row r="2630">
      <x:c r="A2630" s="22" t="n">
        <x:v>32634</x:v>
      </x:c>
      <x:c r="B2630" s="28" t="n">
        <x:v>207.5</x:v>
      </x:c>
      <x:c r="C2630" s="28"/>
      <x:c r="D2630" s="31" t="str">
        <x:f>IF(OR(ISBLANK(B2630),ISBLANK(C2630),B2630=0),"",(C2630-B2630)/B2630)</x:f>
      </x:c>
      <x:c r="E2630" s="22" t="str">
        <x:f>IF(ISBLANK(C2630),"AmountIncludingTax缺失",IF(ABS(B2630-C2630)&lt;0.005,"一致","不一致"))</x:f>
        <x:v>AmountIncludingTax缺失</x:v>
      </x:c>
      <x:c r="F2630" s="19" t="str">
        <x:v>approved</x:v>
      </x:c>
      <x:c r="G2630" s="19" t="str">
        <x:v>Repairer Invoiced Processed</x:v>
      </x:c>
      <x:c r="H2630" s="19" t="str">
        <x:v>In Field</x:v>
      </x:c>
      <x:c r="I2630" s="37" t="n">
        <x:v>46104</x:v>
      </x:c>
      <x:c r="J2630" s="37" t="n">
        <x:v>46104</x:v>
      </x:c>
      <x:c r="K2630" s="19" t="str">
        <x:v>Green RV - Forest Glen</x:v>
      </x:c>
      <x:c r="L2630" s="19" t="str">
        <x:v>Z006</x:v>
      </x:c>
      <x:c r="M2630" s="19" t="str">
        <x:v>In Field Warranty Claims</x:v>
      </x:c>
      <x:c r="N2630" s="37" t="n">
        <x:v>46101</x:v>
      </x:c>
      <x:c r="O2630" s="37"/>
      <x:c r="P2630" s="34" t="n">
        <x:v>0</x:v>
      </x:c>
      <x:c r="Q2630" s="37" t="n">
        <x:v>46103.91940972222</x:v>
      </x:c>
    </x:row>
    <x:row r="2631">
      <x:c r="A2631" s="22" t="n">
        <x:v>32633</x:v>
      </x:c>
      <x:c r="B2631" s="28" t="n">
        <x:v>67.5</x:v>
      </x:c>
      <x:c r="C2631" s="28"/>
      <x:c r="D2631" s="31" t="str">
        <x:f>IF(OR(ISBLANK(B2631),ISBLANK(C2631),B2631=0),"",(C2631-B2631)/B2631)</x:f>
      </x:c>
      <x:c r="E2631" s="22" t="str">
        <x:f>IF(ISBLANK(C2631),"AmountIncludingTax缺失",IF(ABS(B2631-C2631)&lt;0.005,"一致","不一致"))</x:f>
        <x:v>AmountIncludingTax缺失</x:v>
      </x:c>
      <x:c r="F2631" s="19" t="str">
        <x:v>approved</x:v>
      </x:c>
      <x:c r="G2631" s="19" t="str">
        <x:v>Sales Order Approved</x:v>
      </x:c>
      <x:c r="H2631" s="19" t="str">
        <x:v>In Field</x:v>
      </x:c>
      <x:c r="I2631" s="37" t="n">
        <x:v>46107</x:v>
      </x:c>
      <x:c r="J2631" s="37" t="n">
        <x:v>46107</x:v>
      </x:c>
      <x:c r="K2631" s="19" t="str">
        <x:v>Auswide Caravans - South Nowra</x:v>
      </x:c>
      <x:c r="L2631" s="19" t="str">
        <x:v>Z006</x:v>
      </x:c>
      <x:c r="M2631" s="19" t="str">
        <x:v>In Field Warranty Claims</x:v>
      </x:c>
      <x:c r="N2631" s="37" t="n">
        <x:v>46101</x:v>
      </x:c>
      <x:c r="O2631" s="37"/>
      <x:c r="P2631" s="34" t="n">
        <x:v>0</x:v>
      </x:c>
      <x:c r="Q2631" s="37" t="n">
        <x:v>46107.145682870374</x:v>
      </x:c>
    </x:row>
    <x:row r="2632">
      <x:c r="A2632" s="22" t="n">
        <x:v>32632</x:v>
      </x:c>
      <x:c r="B2632" s="28" t="n">
        <x:v>817.25</x:v>
      </x:c>
      <x:c r="C2632" s="28" t="n">
        <x:v>739.94</x:v>
      </x:c>
      <x:c r="D2632" s="31" t="n">
        <x:f>IF(OR(ISBLANK(B2632),ISBLANK(C2632),B2632=0),"",(C2632-B2632)/B2632)</x:f>
        <x:v>-0.09459773631079835</x:v>
      </x:c>
      <x:c r="E2632" s="22" t="str">
        <x:f>IF(ISBLANK(C2632),"AmountIncludingTax缺失",IF(ABS(B2632-C2632)&lt;0.005,"一致","不一致"))</x:f>
        <x:v>不一致</x:v>
      </x:c>
      <x:c r="F2632" s="19" t="str">
        <x:v>approved</x:v>
      </x:c>
      <x:c r="G2632" s="19" t="str">
        <x:v>Repair in Progress</x:v>
      </x:c>
      <x:c r="H2632" s="19" t="str">
        <x:v>In Field</x:v>
      </x:c>
      <x:c r="I2632" s="37" t="n">
        <x:v>46120</x:v>
      </x:c>
      <x:c r="J2632" s="37" t="n">
        <x:v>46120</x:v>
      </x:c>
      <x:c r="K2632" s="19" t="str">
        <x:v>Vanari Caravans - Marden Point</x:v>
      </x:c>
      <x:c r="L2632" s="19" t="str">
        <x:v>Z006</x:v>
      </x:c>
      <x:c r="M2632" s="19" t="str">
        <x:v>In Field Warranty Claims</x:v>
      </x:c>
      <x:c r="N2632" s="37" t="n">
        <x:v>46101</x:v>
      </x:c>
      <x:c r="O2632" s="37"/>
      <x:c r="P2632" s="34" t="n">
        <x:v>739.94</x:v>
      </x:c>
      <x:c r="Q2632" s="37" t="n">
        <x:v>46119.96099537037</x:v>
      </x:c>
    </x:row>
    <x:row r="2633">
      <x:c r="A2633" s="22" t="n">
        <x:v>32631</x:v>
      </x:c>
      <x:c r="B2633" s="28" t="n">
        <x:v>360</x:v>
      </x:c>
      <x:c r="C2633" s="28" t="n">
        <x:v>396</x:v>
      </x:c>
      <x:c r="D2633" s="31" t="n">
        <x:f>IF(OR(ISBLANK(B2633),ISBLANK(C2633),B2633=0),"",(C2633-B2633)/B2633)</x:f>
        <x:v>0.1</x:v>
      </x:c>
      <x:c r="E2633" s="22" t="str">
        <x:f>IF(ISBLANK(C2633),"AmountIncludingTax缺失",IF(ABS(B2633-C2633)&lt;0.005,"一致","不一致"))</x:f>
        <x:v>不一致</x:v>
      </x:c>
      <x:c r="F2633" s="19" t="str">
        <x:v>approved</x:v>
      </x:c>
      <x:c r="G2633" s="19" t="str">
        <x:v>Repairer Invoiced Processed</x:v>
      </x:c>
      <x:c r="H2633" s="19" t="str">
        <x:v>In Field</x:v>
      </x:c>
      <x:c r="I2633" s="37" t="n">
        <x:v>46107</x:v>
      </x:c>
      <x:c r="J2633" s="37" t="n">
        <x:v>46107</x:v>
      </x:c>
      <x:c r="K2633" s="19" t="str">
        <x:v>Lesiure Lion-New Castle</x:v>
      </x:c>
      <x:c r="L2633" s="19" t="str">
        <x:v>Z006</x:v>
      </x:c>
      <x:c r="M2633" s="19" t="str">
        <x:v>In Field Warranty Claims</x:v>
      </x:c>
      <x:c r="N2633" s="37" t="n">
        <x:v>46101</x:v>
      </x:c>
      <x:c r="O2633" s="37"/>
      <x:c r="P2633" s="34" t="n">
        <x:v>396</x:v>
      </x:c>
      <x:c r="Q2633" s="37" t="n">
        <x:v>46106.98709490741</x:v>
      </x:c>
    </x:row>
    <x:row r="2634">
      <x:c r="A2634" s="22" t="n">
        <x:v>32630</x:v>
      </x:c>
      <x:c r="B2634" s="28" t="n">
        <x:v>742.5</x:v>
      </x:c>
      <x:c r="C2634" s="28"/>
      <x:c r="D2634" s="31" t="str">
        <x:f>IF(OR(ISBLANK(B2634),ISBLANK(C2634),B2634=0),"",(C2634-B2634)/B2634)</x:f>
      </x:c>
      <x:c r="E2634" s="22" t="str">
        <x:f>IF(ISBLANK(C2634),"AmountIncludingTax缺失",IF(ABS(B2634-C2634)&lt;0.005,"一致","不一致"))</x:f>
        <x:v>AmountIncludingTax缺失</x:v>
      </x:c>
      <x:c r="F2634" s="19" t="str">
        <x:v>approved</x:v>
      </x:c>
      <x:c r="G2634" s="19" t="str">
        <x:v>Repair in Progress</x:v>
      </x:c>
      <x:c r="H2634" s="19" t="str">
        <x:v>In Field</x:v>
      </x:c>
      <x:c r="I2634" s="37" t="n">
        <x:v>46119</x:v>
      </x:c>
      <x:c r="J2634" s="37" t="n">
        <x:v>46107</x:v>
      </x:c>
      <x:c r="K2634" s="19" t="str">
        <x:v>Regent RV - Toowoomba</x:v>
      </x:c>
      <x:c r="L2634" s="19" t="str">
        <x:v>Z006</x:v>
      </x:c>
      <x:c r="M2634" s="19" t="str">
        <x:v>In Field Warranty Claims</x:v>
      </x:c>
      <x:c r="N2634" s="37" t="n">
        <x:v>46101</x:v>
      </x:c>
      <x:c r="O2634" s="37"/>
      <x:c r="P2634" s="34" t="n">
        <x:v>0</x:v>
      </x:c>
      <x:c r="Q2634" s="37" t="n">
        <x:v>46119.20394675926</x:v>
      </x:c>
    </x:row>
    <x:row r="2635">
      <x:c r="A2635" s="22" t="n">
        <x:v>32629</x:v>
      </x:c>
      <x:c r="B2635" s="28" t="n">
        <x:v>638.3</x:v>
      </x:c>
      <x:c r="C2635" s="28"/>
      <x:c r="D2635" s="31" t="str">
        <x:f>IF(OR(ISBLANK(B2635),ISBLANK(C2635),B2635=0),"",(C2635-B2635)/B2635)</x:f>
      </x:c>
      <x:c r="E2635" s="22" t="str">
        <x:f>IF(ISBLANK(C2635),"AmountIncludingTax缺失",IF(ABS(B2635-C2635)&lt;0.005,"一致","不一致"))</x:f>
        <x:v>AmountIncludingTax缺失</x:v>
      </x:c>
      <x:c r="F2635" s="19" t="str">
        <x:v>approved</x:v>
      </x:c>
      <x:c r="G2635" s="19" t="str">
        <x:v>Repair in Progress</x:v>
      </x:c>
      <x:c r="H2635" s="19" t="str">
        <x:v>In Field</x:v>
      </x:c>
      <x:c r="I2635" s="37" t="n">
        <x:v>46107</x:v>
      </x:c>
      <x:c r="J2635" s="37" t="n">
        <x:v>46107</x:v>
      </x:c>
      <x:c r="K2635" s="19" t="str">
        <x:v>Green RV - Slacks Creek</x:v>
      </x:c>
      <x:c r="L2635" s="19" t="str">
        <x:v>Z006</x:v>
      </x:c>
      <x:c r="M2635" s="19" t="str">
        <x:v>In Field Warranty Claims</x:v>
      </x:c>
      <x:c r="N2635" s="37" t="n">
        <x:v>46101</x:v>
      </x:c>
      <x:c r="O2635" s="37"/>
      <x:c r="P2635" s="34" t="n">
        <x:v>0</x:v>
      </x:c>
      <x:c r="Q2635" s="37" t="n">
        <x:v>46107.04722222222</x:v>
      </x:c>
    </x:row>
    <x:row r="2636">
      <x:c r="A2636" s="22" t="n">
        <x:v>32628</x:v>
      </x:c>
      <x:c r="B2636" s="28" t="n">
        <x:v>405</x:v>
      </x:c>
      <x:c r="C2636" s="28"/>
      <x:c r="D2636" s="31" t="str">
        <x:f>IF(OR(ISBLANK(B2636),ISBLANK(C2636),B2636=0),"",(C2636-B2636)/B2636)</x:f>
      </x:c>
      <x:c r="E2636" s="22" t="str">
        <x:f>IF(ISBLANK(C2636),"AmountIncludingTax缺失",IF(ABS(B2636-C2636)&lt;0.005,"一致","不一致"))</x:f>
        <x:v>AmountIncludingTax缺失</x:v>
      </x:c>
      <x:c r="F2636" s="19" t="str">
        <x:v>approved</x:v>
      </x:c>
      <x:c r="G2636" s="19" t="str">
        <x:v>Repair in Progress</x:v>
      </x:c>
      <x:c r="H2636" s="19" t="str">
        <x:v>In Field</x:v>
      </x:c>
      <x:c r="I2636" s="37" t="n">
        <x:v>46120</x:v>
      </x:c>
      <x:c r="J2636" s="37" t="n">
        <x:v>46120</x:v>
      </x:c>
      <x:c r="K2636" s="19" t="str">
        <x:v>Not Assigned</x:v>
      </x:c>
      <x:c r="L2636" s="19" t="str">
        <x:v>Z006</x:v>
      </x:c>
      <x:c r="M2636" s="19" t="str">
        <x:v>In Field Warranty Claims</x:v>
      </x:c>
      <x:c r="N2636" s="37" t="n">
        <x:v>46101</x:v>
      </x:c>
      <x:c r="O2636" s="37"/>
      <x:c r="P2636" s="34" t="n">
        <x:v>0</x:v>
      </x:c>
      <x:c r="Q2636" s="37" t="n">
        <x:v>46119.990752314814</x:v>
      </x:c>
    </x:row>
    <x:row r="2637">
      <x:c r="A2637" s="22" t="n">
        <x:v>32627</x:v>
      </x:c>
      <x:c r="B2637" s="28" t="n">
        <x:v>270</x:v>
      </x:c>
      <x:c r="C2637" s="28"/>
      <x:c r="D2637" s="31" t="str">
        <x:f>IF(OR(ISBLANK(B2637),ISBLANK(C2637),B2637=0),"",(C2637-B2637)/B2637)</x:f>
      </x:c>
      <x:c r="E2637" s="22" t="str">
        <x:f>IF(ISBLANK(C2637),"AmountIncludingTax缺失",IF(ABS(B2637-C2637)&lt;0.005,"一致","不一致"))</x:f>
        <x:v>AmountIncludingTax缺失</x:v>
      </x:c>
      <x:c r="F2637" s="19" t="str">
        <x:v>approved</x:v>
      </x:c>
      <x:c r="G2637" s="19" t="str">
        <x:v>Repair in Progress</x:v>
      </x:c>
      <x:c r="H2637" s="19" t="str">
        <x:v>In Field</x:v>
      </x:c>
      <x:c r="I2637" s="37" t="n">
        <x:v>46115</x:v>
      </x:c>
      <x:c r="J2637" s="37" t="n">
        <x:v>46115</x:v>
      </x:c>
      <x:c r="K2637" s="19" t="str">
        <x:v>Green RV - Forest Glen</x:v>
      </x:c>
      <x:c r="L2637" s="19" t="str">
        <x:v>Z006</x:v>
      </x:c>
      <x:c r="M2637" s="19" t="str">
        <x:v>In Field Warranty Claims</x:v>
      </x:c>
      <x:c r="N2637" s="37" t="n">
        <x:v>46101</x:v>
      </x:c>
      <x:c r="O2637" s="37"/>
      <x:c r="P2637" s="34" t="n">
        <x:v>0</x:v>
      </x:c>
      <x:c r="Q2637" s="37" t="n">
        <x:v>46115.45515046296</x:v>
      </x:c>
    </x:row>
    <x:row r="2638">
      <x:c r="A2638" s="22" t="n">
        <x:v>32626</x:v>
      </x:c>
      <x:c r="B2638" s="28" t="n">
        <x:v>220</x:v>
      </x:c>
      <x:c r="C2638" s="28" t="n">
        <x:v>242</x:v>
      </x:c>
      <x:c r="D2638" s="31" t="n">
        <x:f>IF(OR(ISBLANK(B2638),ISBLANK(C2638),B2638=0),"",(C2638-B2638)/B2638)</x:f>
        <x:v>0.1</x:v>
      </x:c>
      <x:c r="E2638" s="22" t="str">
        <x:f>IF(ISBLANK(C2638),"AmountIncludingTax缺失",IF(ABS(B2638-C2638)&lt;0.005,"一致","不一致"))</x:f>
        <x:v>不一致</x:v>
      </x:c>
      <x:c r="F2638" s="19" t="str">
        <x:v>approved</x:v>
      </x:c>
      <x:c r="G2638" s="19" t="str">
        <x:v>Repair in Progress</x:v>
      </x:c>
      <x:c r="H2638" s="19" t="str">
        <x:v>In Field</x:v>
      </x:c>
      <x:c r="I2638" s="37" t="n">
        <x:v>46114</x:v>
      </x:c>
      <x:c r="J2638" s="37" t="n">
        <x:v>46114</x:v>
      </x:c>
      <x:c r="K2638" s="19" t="str">
        <x:v>Regent RV - Perth</x:v>
      </x:c>
      <x:c r="L2638" s="19" t="str">
        <x:v>Z006</x:v>
      </x:c>
      <x:c r="M2638" s="19" t="str">
        <x:v>In Field Warranty Claims</x:v>
      </x:c>
      <x:c r="N2638" s="37" t="n">
        <x:v>46101</x:v>
      </x:c>
      <x:c r="O2638" s="37"/>
      <x:c r="P2638" s="34" t="n">
        <x:v>242</x:v>
      </x:c>
      <x:c r="Q2638" s="37" t="n">
        <x:v>46114.15892361111</x:v>
      </x:c>
    </x:row>
    <x:row r="2639">
      <x:c r="A2639" s="22" t="n">
        <x:v>32623</x:v>
      </x:c>
      <x:c r="B2639" s="28" t="n">
        <x:v>540</x:v>
      </x:c>
      <x:c r="C2639" s="28"/>
      <x:c r="D2639" s="31" t="str">
        <x:f>IF(OR(ISBLANK(B2639),ISBLANK(C2639),B2639=0),"",(C2639-B2639)/B2639)</x:f>
      </x:c>
      <x:c r="E2639" s="22" t="str">
        <x:f>IF(ISBLANK(C2639),"AmountIncludingTax缺失",IF(ABS(B2639-C2639)&lt;0.005,"一致","不一致"))</x:f>
        <x:v>AmountIncludingTax缺失</x:v>
      </x:c>
      <x:c r="F2639" s="19" t="str">
        <x:v>approved</x:v>
      </x:c>
      <x:c r="G2639" s="19" t="str">
        <x:v>Repairer Invoiced Processed</x:v>
      </x:c>
      <x:c r="H2639" s="19" t="str">
        <x:v>In Field</x:v>
      </x:c>
      <x:c r="I2639" s="37" t="n">
        <x:v>46106</x:v>
      </x:c>
      <x:c r="J2639" s="37" t="n">
        <x:v>46106</x:v>
      </x:c>
      <x:c r="K2639" s="19" t="str">
        <x:v>Dario Caravans -St.Marys</x:v>
      </x:c>
      <x:c r="L2639" s="19" t="str">
        <x:v>Z006</x:v>
      </x:c>
      <x:c r="M2639" s="19" t="str">
        <x:v>In Field Warranty Claims</x:v>
      </x:c>
      <x:c r="N2639" s="37" t="n">
        <x:v>46100</x:v>
      </x:c>
      <x:c r="O2639" s="37"/>
      <x:c r="P2639" s="34" t="n">
        <x:v>0</x:v>
      </x:c>
      <x:c r="Q2639" s="37" t="n">
        <x:v>46106.01648148148</x:v>
      </x:c>
    </x:row>
    <x:row r="2640">
      <x:c r="A2640" s="22" t="n">
        <x:v>32622</x:v>
      </x:c>
      <x:c r="B2640" s="28" t="n">
        <x:v>101.25</x:v>
      </x:c>
      <x:c r="C2640" s="28"/>
      <x:c r="D2640" s="31" t="str">
        <x:f>IF(OR(ISBLANK(B2640),ISBLANK(C2640),B2640=0),"",(C2640-B2640)/B2640)</x:f>
      </x:c>
      <x:c r="E2640" s="22" t="str">
        <x:f>IF(ISBLANK(C2640),"AmountIncludingTax缺失",IF(ABS(B2640-C2640)&lt;0.005,"一致","不一致"))</x:f>
        <x:v>AmountIncludingTax缺失</x:v>
      </x:c>
      <x:c r="F2640" s="19" t="str">
        <x:v>approved</x:v>
      </x:c>
      <x:c r="G2640" s="19" t="str">
        <x:v>Repair in Progress</x:v>
      </x:c>
      <x:c r="H2640" s="19" t="str">
        <x:v>In Field</x:v>
      </x:c>
      <x:c r="I2640" s="37" t="n">
        <x:v>46121</x:v>
      </x:c>
      <x:c r="J2640" s="37" t="n">
        <x:v>46121</x:v>
      </x:c>
      <x:c r="K2640" s="19" t="str">
        <x:v>Regent RV - Frankston</x:v>
      </x:c>
      <x:c r="L2640" s="19" t="str">
        <x:v>Z006</x:v>
      </x:c>
      <x:c r="M2640" s="19" t="str">
        <x:v>In Field Warranty Claims</x:v>
      </x:c>
      <x:c r="N2640" s="37" t="n">
        <x:v>46100</x:v>
      </x:c>
      <x:c r="O2640" s="37"/>
      <x:c r="P2640" s="34" t="n">
        <x:v>0</x:v>
      </x:c>
      <x:c r="Q2640" s="37" t="n">
        <x:v>46120.959340277775</x:v>
      </x:c>
    </x:row>
    <x:row r="2641">
      <x:c r="A2641" s="22" t="n">
        <x:v>32621</x:v>
      </x:c>
      <x:c r="B2641" s="28" t="n">
        <x:v>56.7</x:v>
      </x:c>
      <x:c r="C2641" s="28"/>
      <x:c r="D2641" s="31" t="str">
        <x:f>IF(OR(ISBLANK(B2641),ISBLANK(C2641),B2641=0),"",(C2641-B2641)/B2641)</x:f>
      </x:c>
      <x:c r="E2641" s="22" t="str">
        <x:f>IF(ISBLANK(C2641),"AmountIncludingTax缺失",IF(ABS(B2641-C2641)&lt;0.005,"一致","不一致"))</x:f>
        <x:v>AmountIncludingTax缺失</x:v>
      </x:c>
      <x:c r="F2641" s="19" t="str">
        <x:v>approved</x:v>
      </x:c>
      <x:c r="G2641" s="19" t="str">
        <x:v>Repairer Invoiced Processed</x:v>
      </x:c>
      <x:c r="H2641" s="19" t="str">
        <x:v>In Field</x:v>
      </x:c>
      <x:c r="I2641" s="37" t="n">
        <x:v>46136</x:v>
      </x:c>
      <x:c r="J2641" s="37" t="n">
        <x:v>46136</x:v>
      </x:c>
      <x:c r="K2641" s="19" t="str">
        <x:v>Not Assigned</x:v>
      </x:c>
      <x:c r="L2641" s="19" t="str">
        <x:v>Z006</x:v>
      </x:c>
      <x:c r="M2641" s="19" t="str">
        <x:v>In Field Warranty Claims</x:v>
      </x:c>
      <x:c r="N2641" s="37" t="n">
        <x:v>46100</x:v>
      </x:c>
      <x:c r="O2641" s="37" t="n">
        <x:v>46113</x:v>
      </x:c>
      <x:c r="P2641" s="34" t="n">
        <x:v>0</x:v>
      </x:c>
      <x:c r="Q2641" s="37" t="n">
        <x:v>46136.07465277778</x:v>
      </x:c>
    </x:row>
    <x:row r="2642">
      <x:c r="A2642" s="22" t="n">
        <x:v>32620</x:v>
      </x:c>
      <x:c r="B2642" s="28" t="n">
        <x:v>423</x:v>
      </x:c>
      <x:c r="C2642" s="28"/>
      <x:c r="D2642" s="31" t="str">
        <x:f>IF(OR(ISBLANK(B2642),ISBLANK(C2642),B2642=0),"",(C2642-B2642)/B2642)</x:f>
      </x:c>
      <x:c r="E2642" s="22" t="str">
        <x:f>IF(ISBLANK(C2642),"AmountIncludingTax缺失",IF(ABS(B2642-C2642)&lt;0.005,"一致","不一致"))</x:f>
        <x:v>AmountIncludingTax缺失</x:v>
      </x:c>
      <x:c r="F2642" s="19" t="str">
        <x:v>approved</x:v>
      </x:c>
      <x:c r="G2642" s="19" t="str">
        <x:v>Repair in Progress</x:v>
      </x:c>
      <x:c r="H2642" s="19" t="str">
        <x:v>In Field</x:v>
      </x:c>
      <x:c r="I2642" s="37" t="n">
        <x:v>46112</x:v>
      </x:c>
      <x:c r="J2642" s="37" t="n">
        <x:v>46112</x:v>
      </x:c>
      <x:c r="K2642" s="19" t="str">
        <x:v>Green RV - Forest Glen</x:v>
      </x:c>
      <x:c r="L2642" s="19" t="str">
        <x:v>Z006</x:v>
      </x:c>
      <x:c r="M2642" s="19" t="str">
        <x:v>In Field Warranty Claims</x:v>
      </x:c>
      <x:c r="N2642" s="37" t="n">
        <x:v>46101</x:v>
      </x:c>
      <x:c r="O2642" s="37"/>
      <x:c r="P2642" s="34" t="n">
        <x:v>0</x:v>
      </x:c>
      <x:c r="Q2642" s="37" t="n">
        <x:v>46112.13474537037</x:v>
      </x:c>
    </x:row>
    <x:row r="2643">
      <x:c r="A2643" s="22" t="n">
        <x:v>32619</x:v>
      </x:c>
      <x:c r="B2643" s="28" t="n">
        <x:v>460</x:v>
      </x:c>
      <x:c r="C2643" s="28" t="n">
        <x:v>506</x:v>
      </x:c>
      <x:c r="D2643" s="31" t="n">
        <x:f>IF(OR(ISBLANK(B2643),ISBLANK(C2643),B2643=0),"",(C2643-B2643)/B2643)</x:f>
        <x:v>0.1</x:v>
      </x:c>
      <x:c r="E2643" s="22" t="str">
        <x:f>IF(ISBLANK(C2643),"AmountIncludingTax缺失",IF(ABS(B2643-C2643)&lt;0.005,"一致","不一致"))</x:f>
        <x:v>不一致</x:v>
      </x:c>
      <x:c r="F2643" s="19" t="str">
        <x:v>approved</x:v>
      </x:c>
      <x:c r="G2643" s="19" t="str">
        <x:v>Repairer Invoiced Processed</x:v>
      </x:c>
      <x:c r="H2643" s="19" t="str">
        <x:v>In Field</x:v>
      </x:c>
      <x:c r="I2643" s="37" t="n">
        <x:v>46110</x:v>
      </x:c>
      <x:c r="J2643" s="37" t="n">
        <x:v>46110</x:v>
      </x:c>
      <x:c r="K2643" s="19" t="str">
        <x:v>The Caravan Hub - Townsville</x:v>
      </x:c>
      <x:c r="L2643" s="19" t="str">
        <x:v>Z006</x:v>
      </x:c>
      <x:c r="M2643" s="19" t="str">
        <x:v>In Field Warranty Claims</x:v>
      </x:c>
      <x:c r="N2643" s="37" t="n">
        <x:v>46101</x:v>
      </x:c>
      <x:c r="O2643" s="37"/>
      <x:c r="P2643" s="34" t="n">
        <x:v>506</x:v>
      </x:c>
      <x:c r="Q2643" s="37" t="n">
        <x:v>46110.49400462963</x:v>
      </x:c>
    </x:row>
    <x:row r="2644">
      <x:c r="A2644" s="22" t="n">
        <x:v>32617</x:v>
      </x:c>
      <x:c r="B2644" s="28" t="n">
        <x:v>1022.5</x:v>
      </x:c>
      <x:c r="C2644" s="28"/>
      <x:c r="D2644" s="31" t="str">
        <x:f>IF(OR(ISBLANK(B2644),ISBLANK(C2644),B2644=0),"",(C2644-B2644)/B2644)</x:f>
      </x:c>
      <x:c r="E2644" s="22" t="str">
        <x:f>IF(ISBLANK(C2644),"AmountIncludingTax缺失",IF(ABS(B2644-C2644)&lt;0.005,"一致","不一致"))</x:f>
        <x:v>AmountIncludingTax缺失</x:v>
      </x:c>
      <x:c r="F2644" s="19" t="str">
        <x:v>approved</x:v>
      </x:c>
      <x:c r="G2644" s="19" t="str">
        <x:v>Repairer Invoiced Processed</x:v>
      </x:c>
      <x:c r="H2644" s="19" t="str">
        <x:v>Pre Delivery</x:v>
      </x:c>
      <x:c r="I2644" s="37" t="n">
        <x:v>46133</x:v>
      </x:c>
      <x:c r="J2644" s="37" t="n">
        <x:v>46133</x:v>
      </x:c>
      <x:c r="K2644" s="19" t="str">
        <x:v>Green RV - Forest Glen</x:v>
      </x:c>
      <x:c r="L2644" s="19" t="str">
        <x:v>Z005</x:v>
      </x:c>
      <x:c r="M2644" s="19" t="str">
        <x:v>Pre Delivery Warranty Claims</x:v>
      </x:c>
      <x:c r="N2644" s="37" t="n">
        <x:v>46101</x:v>
      </x:c>
      <x:c r="O2644" s="37"/>
      <x:c r="P2644" s="34" t="n">
        <x:v>0</x:v>
      </x:c>
      <x:c r="Q2644" s="37" t="n">
        <x:v>46133.16159722222</x:v>
      </x:c>
    </x:row>
    <x:row r="2645">
      <x:c r="A2645" s="22" t="n">
        <x:v>32616</x:v>
      </x:c>
      <x:c r="B2645" s="28" t="n">
        <x:v>450</x:v>
      </x:c>
      <x:c r="C2645" s="28"/>
      <x:c r="D2645" s="31" t="str">
        <x:f>IF(OR(ISBLANK(B2645),ISBLANK(C2645),B2645=0),"",(C2645-B2645)/B2645)</x:f>
      </x:c>
      <x:c r="E2645" s="22" t="str">
        <x:f>IF(ISBLANK(C2645),"AmountIncludingTax缺失",IF(ABS(B2645-C2645)&lt;0.005,"一致","不一致"))</x:f>
        <x:v>AmountIncludingTax缺失</x:v>
      </x:c>
      <x:c r="F2645" s="19" t="str">
        <x:v>approved</x:v>
      </x:c>
      <x:c r="G2645" s="19" t="str">
        <x:v>Repairer Invoiced Processed</x:v>
      </x:c>
      <x:c r="H2645" s="19" t="str">
        <x:v>In Field</x:v>
      </x:c>
      <x:c r="I2645" s="37" t="n">
        <x:v>46119</x:v>
      </x:c>
      <x:c r="J2645" s="37" t="n">
        <x:v>46119</x:v>
      </x:c>
      <x:c r="K2645" s="19" t="str">
        <x:v>Bendigo Caravan Group - Bendigo</x:v>
      </x:c>
      <x:c r="L2645" s="19" t="str">
        <x:v>Z006</x:v>
      </x:c>
      <x:c r="M2645" s="19" t="str">
        <x:v>In Field Warranty Claims</x:v>
      </x:c>
      <x:c r="N2645" s="37" t="n">
        <x:v>46100</x:v>
      </x:c>
      <x:c r="O2645" s="37"/>
      <x:c r="P2645" s="34" t="n">
        <x:v>0</x:v>
      </x:c>
      <x:c r="Q2645" s="37" t="n">
        <x:v>46119.04943287037</x:v>
      </x:c>
    </x:row>
    <x:row r="2646">
      <x:c r="A2646" s="22" t="n">
        <x:v>32615</x:v>
      </x:c>
      <x:c r="B2646" s="28" t="n">
        <x:v>1146.91</x:v>
      </x:c>
      <x:c r="C2646" s="28"/>
      <x:c r="D2646" s="31" t="str">
        <x:f>IF(OR(ISBLANK(B2646),ISBLANK(C2646),B2646=0),"",(C2646-B2646)/B2646)</x:f>
      </x:c>
      <x:c r="E2646" s="22" t="str">
        <x:f>IF(ISBLANK(C2646),"AmountIncludingTax缺失",IF(ABS(B2646-C2646)&lt;0.005,"一致","不一致"))</x:f>
        <x:v>AmountIncludingTax缺失</x:v>
      </x:c>
      <x:c r="F2646" s="19" t="str">
        <x:v>approved</x:v>
      </x:c>
      <x:c r="G2646" s="19" t="str">
        <x:v>Repair in Progress</x:v>
      </x:c>
      <x:c r="H2646" s="19" t="str">
        <x:v>In Field</x:v>
      </x:c>
      <x:c r="I2646" s="37" t="n">
        <x:v>46160</x:v>
      </x:c>
      <x:c r="J2646" s="37" t="n">
        <x:v>46160</x:v>
      </x:c>
      <x:c r="K2646" s="19" t="str">
        <x:v>The Caravan Hub - Townsville</x:v>
      </x:c>
      <x:c r="L2646" s="19" t="str">
        <x:v>Z006</x:v>
      </x:c>
      <x:c r="M2646" s="19" t="str">
        <x:v>In Field Warranty Claims</x:v>
      </x:c>
      <x:c r="N2646" s="37" t="n">
        <x:v>46100</x:v>
      </x:c>
      <x:c r="O2646" s="37"/>
      <x:c r="P2646" s="34" t="n">
        <x:v>0</x:v>
      </x:c>
      <x:c r="Q2646" s="37" t="n">
        <x:v>46160.08771990741</x:v>
      </x:c>
    </x:row>
    <x:row r="2647">
      <x:c r="A2647" s="22" t="n">
        <x:v>32611</x:v>
      </x:c>
      <x:c r="B2647" s="28" t="n">
        <x:v>482.5</x:v>
      </x:c>
      <x:c r="C2647" s="28"/>
      <x:c r="D2647" s="31" t="str">
        <x:f>IF(OR(ISBLANK(B2647),ISBLANK(C2647),B2647=0),"",(C2647-B2647)/B2647)</x:f>
      </x:c>
      <x:c r="E2647" s="22" t="str">
        <x:f>IF(ISBLANK(C2647),"AmountIncludingTax缺失",IF(ABS(B2647-C2647)&lt;0.005,"一致","不一致"))</x:f>
        <x:v>AmountIncludingTax缺失</x:v>
      </x:c>
      <x:c r="F2647" s="19" t="str">
        <x:v>approved</x:v>
      </x:c>
      <x:c r="G2647" s="19" t="str">
        <x:v>Repair in Progress</x:v>
      </x:c>
      <x:c r="H2647" s="19" t="str">
        <x:v>In Field</x:v>
      </x:c>
      <x:c r="I2647" s="37" t="n">
        <x:v>46108</x:v>
      </x:c>
      <x:c r="J2647" s="37" t="n">
        <x:v>46108</x:v>
      </x:c>
      <x:c r="K2647" s="19" t="str">
        <x:v>Green RV - Slacks Creek</x:v>
      </x:c>
      <x:c r="L2647" s="19" t="str">
        <x:v>Z006</x:v>
      </x:c>
      <x:c r="M2647" s="19" t="str">
        <x:v>In Field Warranty Claims</x:v>
      </x:c>
      <x:c r="N2647" s="37" t="n">
        <x:v>46100</x:v>
      </x:c>
      <x:c r="O2647" s="37"/>
      <x:c r="P2647" s="34" t="n">
        <x:v>0</x:v>
      </x:c>
      <x:c r="Q2647" s="37" t="n">
        <x:v>46108.061064814814</x:v>
      </x:c>
    </x:row>
    <x:row r="2648">
      <x:c r="A2648" s="22" t="n">
        <x:v>32600</x:v>
      </x:c>
      <x:c r="B2648" s="28" t="n">
        <x:v>1458.75</x:v>
      </x:c>
      <x:c r="C2648" s="28"/>
      <x:c r="D2648" s="31" t="str">
        <x:f>IF(OR(ISBLANK(B2648),ISBLANK(C2648),B2648=0),"",(C2648-B2648)/B2648)</x:f>
      </x:c>
      <x:c r="E2648" s="22" t="str">
        <x:f>IF(ISBLANK(C2648),"AmountIncludingTax缺失",IF(ABS(B2648-C2648)&lt;0.005,"一致","不一致"))</x:f>
        <x:v>AmountIncludingTax缺失</x:v>
      </x:c>
      <x:c r="F2648" s="19" t="str">
        <x:v>approved</x:v>
      </x:c>
      <x:c r="G2648" s="19" t="str">
        <x:v>Repair in Progress</x:v>
      </x:c>
      <x:c r="H2648" s="19" t="str">
        <x:v>In Field</x:v>
      </x:c>
      <x:c r="I2648" s="37" t="n">
        <x:v>46121</x:v>
      </x:c>
      <x:c r="J2648" s="37" t="n">
        <x:v>46121</x:v>
      </x:c>
      <x:c r="K2648" s="19" t="str">
        <x:v>Regent RV - Perth</x:v>
      </x:c>
      <x:c r="L2648" s="19" t="str">
        <x:v>Z006</x:v>
      </x:c>
      <x:c r="M2648" s="19" t="str">
        <x:v>In Field Warranty Claims</x:v>
      </x:c>
      <x:c r="N2648" s="37" t="n">
        <x:v>46100</x:v>
      </x:c>
      <x:c r="O2648" s="37"/>
      <x:c r="P2648" s="34" t="n">
        <x:v>0</x:v>
      </x:c>
      <x:c r="Q2648" s="37" t="n">
        <x:v>46121.23923611111</x:v>
      </x:c>
    </x:row>
    <x:row r="2649">
      <x:c r="A2649" s="22" t="n">
        <x:v>32598</x:v>
      </x:c>
      <x:c r="B2649" s="28" t="n">
        <x:v>1334.43</x:v>
      </x:c>
      <x:c r="C2649" s="28"/>
      <x:c r="D2649" s="31" t="str">
        <x:f>IF(OR(ISBLANK(B2649),ISBLANK(C2649),B2649=0),"",(C2649-B2649)/B2649)</x:f>
      </x:c>
      <x:c r="E2649" s="22" t="str">
        <x:f>IF(ISBLANK(C2649),"AmountIncludingTax缺失",IF(ABS(B2649-C2649)&lt;0.005,"一致","不一致"))</x:f>
        <x:v>AmountIncludingTax缺失</x:v>
      </x:c>
      <x:c r="F2649" s="19" t="str">
        <x:v>approved</x:v>
      </x:c>
      <x:c r="G2649" s="19" t="str">
        <x:v>Repairer Invoiced Processed</x:v>
      </x:c>
      <x:c r="H2649" s="19" t="str">
        <x:v>Pre Delivery</x:v>
      </x:c>
      <x:c r="I2649" s="37" t="n">
        <x:v>46133</x:v>
      </x:c>
      <x:c r="J2649" s="37" t="n">
        <x:v>46133</x:v>
      </x:c>
      <x:c r="K2649" s="19" t="str">
        <x:v>Green RV - Forest Glen</x:v>
      </x:c>
      <x:c r="L2649" s="19" t="str">
        <x:v>Z005</x:v>
      </x:c>
      <x:c r="M2649" s="19" t="str">
        <x:v>Pre Delivery Warranty Claims</x:v>
      </x:c>
      <x:c r="N2649" s="37" t="n">
        <x:v>46100</x:v>
      </x:c>
      <x:c r="O2649" s="37"/>
      <x:c r="P2649" s="34" t="n">
        <x:v>0</x:v>
      </x:c>
      <x:c r="Q2649" s="37" t="n">
        <x:v>46133.159155092595</x:v>
      </x:c>
    </x:row>
    <x:row r="2650">
      <x:c r="A2650" s="22" t="n">
        <x:v>32596</x:v>
      </x:c>
      <x:c r="B2650" s="28" t="n">
        <x:v>492.5</x:v>
      </x:c>
      <x:c r="C2650" s="28"/>
      <x:c r="D2650" s="31" t="str">
        <x:f>IF(OR(ISBLANK(B2650),ISBLANK(C2650),B2650=0),"",(C2650-B2650)/B2650)</x:f>
      </x:c>
      <x:c r="E2650" s="22" t="str">
        <x:f>IF(ISBLANK(C2650),"AmountIncludingTax缺失",IF(ABS(B2650-C2650)&lt;0.005,"一致","不一致"))</x:f>
        <x:v>AmountIncludingTax缺失</x:v>
      </x:c>
      <x:c r="F2650" s="19" t="str">
        <x:v>approved</x:v>
      </x:c>
      <x:c r="G2650" s="19" t="str">
        <x:v>Repair in Progress</x:v>
      </x:c>
      <x:c r="H2650" s="19" t="str">
        <x:v>Pre Delivery</x:v>
      </x:c>
      <x:c r="I2650" s="37" t="n">
        <x:v>46126</x:v>
      </x:c>
      <x:c r="J2650" s="37" t="n">
        <x:v>46126</x:v>
      </x:c>
      <x:c r="K2650" s="19" t="str">
        <x:v>Regent RV - Toowoomba</x:v>
      </x:c>
      <x:c r="L2650" s="19" t="str">
        <x:v>Z005</x:v>
      </x:c>
      <x:c r="M2650" s="19" t="str">
        <x:v>Pre Delivery Warranty Claims</x:v>
      </x:c>
      <x:c r="N2650" s="37" t="n">
        <x:v>46100</x:v>
      </x:c>
      <x:c r="O2650" s="37"/>
      <x:c r="P2650" s="34" t="n">
        <x:v>0</x:v>
      </x:c>
      <x:c r="Q2650" s="37" t="n">
        <x:v>46126.20915509259</x:v>
      </x:c>
    </x:row>
    <x:row r="2651">
      <x:c r="A2651" s="22" t="n">
        <x:v>32595</x:v>
      </x:c>
      <x:c r="B2651" s="28" t="n">
        <x:v>1504.55</x:v>
      </x:c>
      <x:c r="C2651" s="28"/>
      <x:c r="D2651" s="31" t="str">
        <x:f>IF(OR(ISBLANK(B2651),ISBLANK(C2651),B2651=0),"",(C2651-B2651)/B2651)</x:f>
      </x:c>
      <x:c r="E2651" s="22" t="str">
        <x:f>IF(ISBLANK(C2651),"AmountIncludingTax缺失",IF(ABS(B2651-C2651)&lt;0.005,"一致","不一致"))</x:f>
        <x:v>AmountIncludingTax缺失</x:v>
      </x:c>
      <x:c r="F2651" s="19" t="str">
        <x:v>approved</x:v>
      </x:c>
      <x:c r="G2651" s="19" t="str">
        <x:v>Repairer Invoiced Processed</x:v>
      </x:c>
      <x:c r="H2651" s="19" t="str">
        <x:v>Pre Delivery</x:v>
      </x:c>
      <x:c r="I2651" s="37" t="n">
        <x:v>46104</x:v>
      </x:c>
      <x:c r="J2651" s="37" t="n">
        <x:v>46104</x:v>
      </x:c>
      <x:c r="K2651" s="19" t="str">
        <x:v>Green RV - Slacks Creek</x:v>
      </x:c>
      <x:c r="L2651" s="19" t="str">
        <x:v>Z005</x:v>
      </x:c>
      <x:c r="M2651" s="19" t="str">
        <x:v>Pre Delivery Warranty Claims</x:v>
      </x:c>
      <x:c r="N2651" s="37" t="n">
        <x:v>46100</x:v>
      </x:c>
      <x:c r="O2651" s="37"/>
      <x:c r="P2651" s="34" t="n">
        <x:v>1655.01</x:v>
      </x:c>
      <x:c r="Q2651" s="37" t="n">
        <x:v>46104.017013888886</x:v>
      </x:c>
    </x:row>
    <x:row r="2652">
      <x:c r="A2652" s="22" t="n">
        <x:v>32594</x:v>
      </x:c>
      <x:c r="B2652" s="28" t="n">
        <x:v>782.5</x:v>
      </x:c>
      <x:c r="C2652" s="28"/>
      <x:c r="D2652" s="31" t="str">
        <x:f>IF(OR(ISBLANK(B2652),ISBLANK(C2652),B2652=0),"",(C2652-B2652)/B2652)</x:f>
      </x:c>
      <x:c r="E2652" s="22" t="str">
        <x:f>IF(ISBLANK(C2652),"AmountIncludingTax缺失",IF(ABS(B2652-C2652)&lt;0.005,"一致","不一致"))</x:f>
        <x:v>AmountIncludingTax缺失</x:v>
      </x:c>
      <x:c r="F2652" s="19" t="str">
        <x:v>approved</x:v>
      </x:c>
      <x:c r="G2652" s="19" t="str">
        <x:v>Repairer Invoiced Processed</x:v>
      </x:c>
      <x:c r="H2652" s="19" t="str">
        <x:v>In Field</x:v>
      </x:c>
      <x:c r="I2652" s="37" t="n">
        <x:v>46104</x:v>
      </x:c>
      <x:c r="J2652" s="37" t="n">
        <x:v>46104</x:v>
      </x:c>
      <x:c r="K2652" s="19" t="str">
        <x:v>Green RV - Forest Glen</x:v>
      </x:c>
      <x:c r="L2652" s="19" t="str">
        <x:v>Z006</x:v>
      </x:c>
      <x:c r="M2652" s="19" t="str">
        <x:v>In Field Warranty Claims</x:v>
      </x:c>
      <x:c r="N2652" s="37" t="n">
        <x:v>46100</x:v>
      </x:c>
      <x:c r="O2652" s="37"/>
      <x:c r="P2652" s="34" t="n">
        <x:v>0</x:v>
      </x:c>
      <x:c r="Q2652" s="37" t="n">
        <x:v>46103.94788194444</x:v>
      </x:c>
    </x:row>
    <x:row r="2653">
      <x:c r="A2653" s="22" t="n">
        <x:v>32593</x:v>
      </x:c>
      <x:c r="B2653" s="28" t="n">
        <x:v>67.5</x:v>
      </x:c>
      <x:c r="C2653" s="28"/>
      <x:c r="D2653" s="31" t="str">
        <x:f>IF(OR(ISBLANK(B2653),ISBLANK(C2653),B2653=0),"",(C2653-B2653)/B2653)</x:f>
      </x:c>
      <x:c r="E2653" s="22" t="str">
        <x:f>IF(ISBLANK(C2653),"AmountIncludingTax缺失",IF(ABS(B2653-C2653)&lt;0.005,"一致","不一致"))</x:f>
        <x:v>AmountIncludingTax缺失</x:v>
      </x:c>
      <x:c r="F2653" s="19" t="str">
        <x:v>approved</x:v>
      </x:c>
      <x:c r="G2653" s="19" t="str">
        <x:v>Repairer Invoiced Processed</x:v>
      </x:c>
      <x:c r="H2653" s="19" t="str">
        <x:v>In Field</x:v>
      </x:c>
      <x:c r="I2653" s="37" t="n">
        <x:v>46107</x:v>
      </x:c>
      <x:c r="J2653" s="37" t="n">
        <x:v>46107</x:v>
      </x:c>
      <x:c r="K2653" s="19" t="str">
        <x:v>Regent RV - Frankston</x:v>
      </x:c>
      <x:c r="L2653" s="19" t="str">
        <x:v>Z006</x:v>
      </x:c>
      <x:c r="M2653" s="19" t="str">
        <x:v>In Field Warranty Claims</x:v>
      </x:c>
      <x:c r="N2653" s="37" t="n">
        <x:v>46100</x:v>
      </x:c>
      <x:c r="O2653" s="37"/>
      <x:c r="P2653" s="34" t="n">
        <x:v>0</x:v>
      </x:c>
      <x:c r="Q2653" s="37" t="n">
        <x:v>46107.06135416667</x:v>
      </x:c>
    </x:row>
    <x:row r="2654">
      <x:c r="A2654" s="22" t="n">
        <x:v>32592</x:v>
      </x:c>
      <x:c r="B2654" s="28" t="n">
        <x:v>135</x:v>
      </x:c>
      <x:c r="C2654" s="28" t="n">
        <x:v>148.5</x:v>
      </x:c>
      <x:c r="D2654" s="31" t="n">
        <x:f>IF(OR(ISBLANK(B2654),ISBLANK(C2654),B2654=0),"",(C2654-B2654)/B2654)</x:f>
        <x:v>0.1</x:v>
      </x:c>
      <x:c r="E2654" s="22" t="str">
        <x:f>IF(ISBLANK(C2654),"AmountIncludingTax缺失",IF(ABS(B2654-C2654)&lt;0.005,"一致","不一致"))</x:f>
        <x:v>不一致</x:v>
      </x:c>
      <x:c r="F2654" s="19" t="str">
        <x:v>approved</x:v>
      </x:c>
      <x:c r="G2654" s="19" t="str">
        <x:v>Repair in Progress</x:v>
      </x:c>
      <x:c r="H2654" s="19" t="str">
        <x:v>Pre Delivery</x:v>
      </x:c>
      <x:c r="I2654" s="37" t="n">
        <x:v>46161</x:v>
      </x:c>
      <x:c r="J2654" s="37" t="n">
        <x:v>46161</x:v>
      </x:c>
      <x:c r="K2654" s="19" t="str">
        <x:v>Snowy River Wangaratta</x:v>
      </x:c>
      <x:c r="L2654" s="19" t="str">
        <x:v>Z005</x:v>
      </x:c>
      <x:c r="M2654" s="19" t="str">
        <x:v>Pre Delivery Warranty Claims</x:v>
      </x:c>
      <x:c r="N2654" s="37" t="n">
        <x:v>46100</x:v>
      </x:c>
      <x:c r="O2654" s="37"/>
      <x:c r="P2654" s="34" t="n">
        <x:v>148.5</x:v>
      </x:c>
      <x:c r="Q2654" s="37" t="n">
        <x:v>46161.19770833333</x:v>
      </x:c>
    </x:row>
    <x:row r="2655">
      <x:c r="A2655" s="22" t="n">
        <x:v>32591</x:v>
      </x:c>
      <x:c r="B2655" s="28" t="n">
        <x:v>246.25</x:v>
      </x:c>
      <x:c r="C2655" s="28"/>
      <x:c r="D2655" s="31" t="str">
        <x:f>IF(OR(ISBLANK(B2655),ISBLANK(C2655),B2655=0),"",(C2655-B2655)/B2655)</x:f>
      </x:c>
      <x:c r="E2655" s="22" t="str">
        <x:f>IF(ISBLANK(C2655),"AmountIncludingTax缺失",IF(ABS(B2655-C2655)&lt;0.005,"一致","不一致"))</x:f>
        <x:v>AmountIncludingTax缺失</x:v>
      </x:c>
      <x:c r="F2655" s="19" t="str">
        <x:v>approved</x:v>
      </x:c>
      <x:c r="G2655" s="19" t="str">
        <x:v>Repair in Progress</x:v>
      </x:c>
      <x:c r="H2655" s="19" t="str">
        <x:v>Pre Delivery</x:v>
      </x:c>
      <x:c r="I2655" s="37" t="n">
        <x:v>46126</x:v>
      </x:c>
      <x:c r="J2655" s="37" t="n">
        <x:v>46126</x:v>
      </x:c>
      <x:c r="K2655" s="19" t="str">
        <x:v>QCCC - Gympie</x:v>
      </x:c>
      <x:c r="L2655" s="19" t="str">
        <x:v>Z005</x:v>
      </x:c>
      <x:c r="M2655" s="19" t="str">
        <x:v>Pre Delivery Warranty Claims</x:v>
      </x:c>
      <x:c r="N2655" s="37" t="n">
        <x:v>46100</x:v>
      </x:c>
      <x:c r="O2655" s="37"/>
      <x:c r="P2655" s="34" t="n">
        <x:v>0</x:v>
      </x:c>
      <x:c r="Q2655" s="37" t="n">
        <x:v>46126.2053125</x:v>
      </x:c>
    </x:row>
    <x:row r="2656">
      <x:c r="A2656" s="22" t="n">
        <x:v>32590</x:v>
      </x:c>
      <x:c r="B2656" s="28" t="n">
        <x:v>135</x:v>
      </x:c>
      <x:c r="C2656" s="28"/>
      <x:c r="D2656" s="31" t="str">
        <x:f>IF(OR(ISBLANK(B2656),ISBLANK(C2656),B2656=0),"",(C2656-B2656)/B2656)</x:f>
      </x:c>
      <x:c r="E2656" s="22" t="str">
        <x:f>IF(ISBLANK(C2656),"AmountIncludingTax缺失",IF(ABS(B2656-C2656)&lt;0.005,"一致","不一致"))</x:f>
        <x:v>AmountIncludingTax缺失</x:v>
      </x:c>
      <x:c r="F2656" s="19" t="str">
        <x:v>approved</x:v>
      </x:c>
      <x:c r="G2656" s="19" t="str">
        <x:v>Repair in Progress</x:v>
      </x:c>
      <x:c r="H2656" s="19" t="str">
        <x:v>In Field</x:v>
      </x:c>
      <x:c r="I2656" s="37" t="n">
        <x:v>46108</x:v>
      </x:c>
      <x:c r="J2656" s="37" t="n">
        <x:v>46108</x:v>
      </x:c>
      <x:c r="K2656" s="19" t="str">
        <x:v>Regent RV Pty Ltd</x:v>
      </x:c>
      <x:c r="L2656" s="19" t="str">
        <x:v>Z006</x:v>
      </x:c>
      <x:c r="M2656" s="19" t="str">
        <x:v>In Field Warranty Claims</x:v>
      </x:c>
      <x:c r="N2656" s="37" t="n">
        <x:v>46100</x:v>
      </x:c>
      <x:c r="O2656" s="37"/>
      <x:c r="P2656" s="34" t="n">
        <x:v>0</x:v>
      </x:c>
      <x:c r="Q2656" s="37" t="n">
        <x:v>46108.1255787037</x:v>
      </x:c>
    </x:row>
    <x:row r="2657">
      <x:c r="A2657" s="22" t="n">
        <x:v>32589</x:v>
      </x:c>
      <x:c r="B2657" s="28" t="n">
        <x:v>618.75</x:v>
      </x:c>
      <x:c r="C2657" s="28"/>
      <x:c r="D2657" s="31" t="str">
        <x:f>IF(OR(ISBLANK(B2657),ISBLANK(C2657),B2657=0),"",(C2657-B2657)/B2657)</x:f>
      </x:c>
      <x:c r="E2657" s="22" t="str">
        <x:f>IF(ISBLANK(C2657),"AmountIncludingTax缺失",IF(ABS(B2657-C2657)&lt;0.005,"一致","不一致"))</x:f>
        <x:v>AmountIncludingTax缺失</x:v>
      </x:c>
      <x:c r="F2657" s="19" t="str">
        <x:v>approved</x:v>
      </x:c>
      <x:c r="G2657" s="19" t="str">
        <x:v>Repairer Invoiced Processed</x:v>
      </x:c>
      <x:c r="H2657" s="19" t="str">
        <x:v>In Field</x:v>
      </x:c>
      <x:c r="I2657" s="37" t="n">
        <x:v>46112</x:v>
      </x:c>
      <x:c r="J2657" s="37" t="n">
        <x:v>46112</x:v>
      </x:c>
      <x:c r="K2657" s="19" t="str">
        <x:v>Regent RV - Toowoomba</x:v>
      </x:c>
      <x:c r="L2657" s="19" t="str">
        <x:v>Z006</x:v>
      </x:c>
      <x:c r="M2657" s="19" t="str">
        <x:v>In Field Warranty Claims</x:v>
      </x:c>
      <x:c r="N2657" s="37" t="n">
        <x:v>46100</x:v>
      </x:c>
      <x:c r="O2657" s="37"/>
      <x:c r="P2657" s="34" t="n">
        <x:v>0</x:v>
      </x:c>
      <x:c r="Q2657" s="37" t="n">
        <x:v>46111.90457175926</x:v>
      </x:c>
    </x:row>
    <x:row r="2658">
      <x:c r="A2658" s="22" t="n">
        <x:v>32588</x:v>
      </x:c>
      <x:c r="B2658" s="28" t="n">
        <x:v>1116.36</x:v>
      </x:c>
      <x:c r="C2658" s="28"/>
      <x:c r="D2658" s="31" t="str">
        <x:f>IF(OR(ISBLANK(B2658),ISBLANK(C2658),B2658=0),"",(C2658-B2658)/B2658)</x:f>
      </x:c>
      <x:c r="E2658" s="22" t="str">
        <x:f>IF(ISBLANK(C2658),"AmountIncludingTax缺失",IF(ABS(B2658-C2658)&lt;0.005,"一致","不一致"))</x:f>
        <x:v>AmountIncludingTax缺失</x:v>
      </x:c>
      <x:c r="F2658" s="19" t="str">
        <x:v>approved</x:v>
      </x:c>
      <x:c r="G2658" s="19" t="str">
        <x:v>Partially Picked</x:v>
      </x:c>
      <x:c r="H2658" s="19" t="str">
        <x:v>In Field</x:v>
      </x:c>
      <x:c r="I2658" s="37" t="n">
        <x:v>46108</x:v>
      </x:c>
      <x:c r="J2658" s="37" t="n">
        <x:v>46108</x:v>
      </x:c>
      <x:c r="K2658" s="19" t="str">
        <x:v>Green RV - Forest Glen</x:v>
      </x:c>
      <x:c r="L2658" s="19" t="str">
        <x:v>Z006</x:v>
      </x:c>
      <x:c r="M2658" s="19" t="str">
        <x:v>In Field Warranty Claims</x:v>
      </x:c>
      <x:c r="N2658" s="37" t="n">
        <x:v>46100</x:v>
      </x:c>
      <x:c r="O2658" s="37" t="n">
        <x:v>46182</x:v>
      </x:c>
      <x:c r="P2658" s="34" t="n">
        <x:v>0</x:v>
      </x:c>
      <x:c r="Q2658" s="37" t="n">
        <x:v>46108.12237268518</x:v>
      </x:c>
    </x:row>
    <x:row r="2659">
      <x:c r="A2659" s="22" t="n">
        <x:v>32587</x:v>
      </x:c>
      <x:c r="B2659" s="28" t="n">
        <x:v>942.05</x:v>
      </x:c>
      <x:c r="C2659" s="28"/>
      <x:c r="D2659" s="31" t="str">
        <x:f>IF(OR(ISBLANK(B2659),ISBLANK(C2659),B2659=0),"",(C2659-B2659)/B2659)</x:f>
      </x:c>
      <x:c r="E2659" s="22" t="str">
        <x:f>IF(ISBLANK(C2659),"AmountIncludingTax缺失",IF(ABS(B2659-C2659)&lt;0.005,"一致","不一致"))</x:f>
        <x:v>AmountIncludingTax缺失</x:v>
      </x:c>
      <x:c r="F2659" s="19" t="str">
        <x:v>approved</x:v>
      </x:c>
      <x:c r="G2659" s="19" t="str">
        <x:v>Repair in Progress</x:v>
      </x:c>
      <x:c r="H2659" s="19" t="str">
        <x:v>In Field</x:v>
      </x:c>
      <x:c r="I2659" s="37" t="n">
        <x:v>46142</x:v>
      </x:c>
      <x:c r="J2659" s="37" t="n">
        <x:v>46108</x:v>
      </x:c>
      <x:c r="K2659" s="19" t="str">
        <x:v>Leisure Lion Pty Ltd - Toowoomba</x:v>
      </x:c>
      <x:c r="L2659" s="19" t="str">
        <x:v>Z006</x:v>
      </x:c>
      <x:c r="M2659" s="19" t="str">
        <x:v>In Field Warranty Claims</x:v>
      </x:c>
      <x:c r="N2659" s="37" t="n">
        <x:v>46100</x:v>
      </x:c>
      <x:c r="O2659" s="37"/>
      <x:c r="P2659" s="34" t="n">
        <x:v>0</x:v>
      </x:c>
      <x:c r="Q2659" s="37" t="n">
        <x:v>46142.16423611111</x:v>
      </x:c>
    </x:row>
    <x:row r="2660">
      <x:c r="A2660" s="22" t="n">
        <x:v>32586</x:v>
      </x:c>
      <x:c r="B2660" s="28" t="n">
        <x:v>1357.5</x:v>
      </x:c>
      <x:c r="C2660" s="28"/>
      <x:c r="D2660" s="31" t="str">
        <x:f>IF(OR(ISBLANK(B2660),ISBLANK(C2660),B2660=0),"",(C2660-B2660)/B2660)</x:f>
      </x:c>
      <x:c r="E2660" s="22" t="str">
        <x:f>IF(ISBLANK(C2660),"AmountIncludingTax缺失",IF(ABS(B2660-C2660)&lt;0.005,"一致","不一致"))</x:f>
        <x:v>AmountIncludingTax缺失</x:v>
      </x:c>
      <x:c r="F2660" s="19" t="str">
        <x:v>approved</x:v>
      </x:c>
      <x:c r="G2660" s="19" t="str">
        <x:v>Repair in Progress</x:v>
      </x:c>
      <x:c r="H2660" s="19" t="str">
        <x:v>In Field</x:v>
      </x:c>
      <x:c r="I2660" s="37" t="n">
        <x:v>46111</x:v>
      </x:c>
      <x:c r="J2660" s="37" t="n">
        <x:v>46111</x:v>
      </x:c>
      <x:c r="K2660" s="19" t="str">
        <x:v>Lesiure Lion-New Castle</x:v>
      </x:c>
      <x:c r="L2660" s="19" t="str">
        <x:v>Z006</x:v>
      </x:c>
      <x:c r="M2660" s="19" t="str">
        <x:v>In Field Warranty Claims</x:v>
      </x:c>
      <x:c r="N2660" s="37" t="n">
        <x:v>46100</x:v>
      </x:c>
      <x:c r="O2660" s="37"/>
      <x:c r="P2660" s="34" t="n">
        <x:v>0</x:v>
      </x:c>
      <x:c r="Q2660" s="37" t="n">
        <x:v>46111.0309375</x:v>
      </x:c>
    </x:row>
    <x:row r="2661">
      <x:c r="A2661" s="22" t="n">
        <x:v>32585</x:v>
      </x:c>
      <x:c r="B2661" s="28" t="n">
        <x:v>657.5</x:v>
      </x:c>
      <x:c r="C2661" s="28"/>
      <x:c r="D2661" s="31" t="str">
        <x:f>IF(OR(ISBLANK(B2661),ISBLANK(C2661),B2661=0),"",(C2661-B2661)/B2661)</x:f>
      </x:c>
      <x:c r="E2661" s="22" t="str">
        <x:f>IF(ISBLANK(C2661),"AmountIncludingTax缺失",IF(ABS(B2661-C2661)&lt;0.005,"一致","不一致"))</x:f>
        <x:v>AmountIncludingTax缺失</x:v>
      </x:c>
      <x:c r="F2661" s="19" t="str">
        <x:v>approved</x:v>
      </x:c>
      <x:c r="G2661" s="19" t="str">
        <x:v>Repair in Progress</x:v>
      </x:c>
      <x:c r="H2661" s="19" t="str">
        <x:v>In Field</x:v>
      </x:c>
      <x:c r="I2661" s="37" t="n">
        <x:v>46128</x:v>
      </x:c>
      <x:c r="J2661" s="37" t="n">
        <x:v>46128</x:v>
      </x:c>
      <x:c r="K2661" s="19" t="str">
        <x:v>Regent RV - Toowoomba</x:v>
      </x:c>
      <x:c r="L2661" s="19" t="str">
        <x:v>Z006</x:v>
      </x:c>
      <x:c r="M2661" s="19" t="str">
        <x:v>In Field Warranty Claims</x:v>
      </x:c>
      <x:c r="N2661" s="37" t="n">
        <x:v>46100</x:v>
      </x:c>
      <x:c r="O2661" s="37"/>
      <x:c r="P2661" s="34" t="n">
        <x:v>0</x:v>
      </x:c>
      <x:c r="Q2661" s="37" t="n">
        <x:v>46127.96444444444</x:v>
      </x:c>
    </x:row>
    <x:row r="2662">
      <x:c r="A2662" s="22" t="n">
        <x:v>32584</x:v>
      </x:c>
      <x:c r="B2662" s="28" t="n">
        <x:v>1046.25</x:v>
      </x:c>
      <x:c r="C2662" s="28"/>
      <x:c r="D2662" s="31" t="str">
        <x:f>IF(OR(ISBLANK(B2662),ISBLANK(C2662),B2662=0),"",(C2662-B2662)/B2662)</x:f>
      </x:c>
      <x:c r="E2662" s="22" t="str">
        <x:f>IF(ISBLANK(C2662),"AmountIncludingTax缺失",IF(ABS(B2662-C2662)&lt;0.005,"一致","不一致"))</x:f>
        <x:v>AmountIncludingTax缺失</x:v>
      </x:c>
      <x:c r="F2662" s="19" t="str">
        <x:v>approved</x:v>
      </x:c>
      <x:c r="G2662" s="19" t="str">
        <x:v>Repairer Invoiced Processed</x:v>
      </x:c>
      <x:c r="H2662" s="19" t="str">
        <x:v>In Field</x:v>
      </x:c>
      <x:c r="I2662" s="37" t="n">
        <x:v>46108</x:v>
      </x:c>
      <x:c r="J2662" s="37" t="n">
        <x:v>46108</x:v>
      </x:c>
      <x:c r="K2662" s="19" t="str">
        <x:v>Not Assigned</x:v>
      </x:c>
      <x:c r="L2662" s="19" t="str">
        <x:v>Z006</x:v>
      </x:c>
      <x:c r="M2662" s="19" t="str">
        <x:v>In Field Warranty Claims</x:v>
      </x:c>
      <x:c r="N2662" s="37" t="n">
        <x:v>46100</x:v>
      </x:c>
      <x:c r="O2662" s="37"/>
      <x:c r="P2662" s="34" t="n">
        <x:v>0</x:v>
      </x:c>
      <x:c r="Q2662" s="37" t="n">
        <x:v>46108.14079861111</x:v>
      </x:c>
    </x:row>
    <x:row r="2663">
      <x:c r="A2663" s="22" t="n">
        <x:v>32583</x:v>
      </x:c>
      <x:c r="B2663" s="28" t="n">
        <x:v>1120</x:v>
      </x:c>
      <x:c r="C2663" s="28"/>
      <x:c r="D2663" s="31" t="str">
        <x:f>IF(OR(ISBLANK(B2663),ISBLANK(C2663),B2663=0),"",(C2663-B2663)/B2663)</x:f>
      </x:c>
      <x:c r="E2663" s="22" t="str">
        <x:f>IF(ISBLANK(C2663),"AmountIncludingTax缺失",IF(ABS(B2663-C2663)&lt;0.005,"一致","不一致"))</x:f>
        <x:v>AmountIncludingTax缺失</x:v>
      </x:c>
      <x:c r="F2663" s="19" t="str">
        <x:v>approved</x:v>
      </x:c>
      <x:c r="G2663" s="19" t="str">
        <x:v>Repair in Progress</x:v>
      </x:c>
      <x:c r="H2663" s="19" t="str">
        <x:v>In Field</x:v>
      </x:c>
      <x:c r="I2663" s="37" t="n">
        <x:v>46142</x:v>
      </x:c>
      <x:c r="J2663" s="37" t="n">
        <x:v>46142</x:v>
      </x:c>
      <x:c r="K2663" s="19" t="str">
        <x:v>Newcastle RV Super Centre - Beresfield</x:v>
      </x:c>
      <x:c r="L2663" s="19" t="str">
        <x:v>Z006</x:v>
      </x:c>
      <x:c r="M2663" s="19" t="str">
        <x:v>In Field Warranty Claims</x:v>
      </x:c>
      <x:c r="N2663" s="37" t="n">
        <x:v>46100</x:v>
      </x:c>
      <x:c r="O2663" s="37"/>
      <x:c r="P2663" s="34" t="n">
        <x:v>0</x:v>
      </x:c>
      <x:c r="Q2663" s="37" t="n">
        <x:v>46141.86649305555</x:v>
      </x:c>
    </x:row>
    <x:row r="2664">
      <x:c r="A2664" s="22" t="n">
        <x:v>32582</x:v>
      </x:c>
      <x:c r="B2664" s="28" t="n">
        <x:v>682.5</x:v>
      </x:c>
      <x:c r="C2664" s="28"/>
      <x:c r="D2664" s="31" t="str">
        <x:f>IF(OR(ISBLANK(B2664),ISBLANK(C2664),B2664=0),"",(C2664-B2664)/B2664)</x:f>
      </x:c>
      <x:c r="E2664" s="22" t="str">
        <x:f>IF(ISBLANK(C2664),"AmountIncludingTax缺失",IF(ABS(B2664-C2664)&lt;0.005,"一致","不一致"))</x:f>
        <x:v>AmountIncludingTax缺失</x:v>
      </x:c>
      <x:c r="F2664" s="19" t="str">
        <x:v>approved</x:v>
      </x:c>
      <x:c r="G2664" s="19" t="str">
        <x:v>Repair in Progress</x:v>
      </x:c>
      <x:c r="H2664" s="19" t="str">
        <x:v>In Field</x:v>
      </x:c>
      <x:c r="I2664" s="37" t="n">
        <x:v>46129</x:v>
      </x:c>
      <x:c r="J2664" s="37" t="n">
        <x:v>46129</x:v>
      </x:c>
      <x:c r="K2664" s="19" t="str">
        <x:v>Regent RV - Toowoomba</x:v>
      </x:c>
      <x:c r="L2664" s="19" t="str">
        <x:v>Z006</x:v>
      </x:c>
      <x:c r="M2664" s="19" t="str">
        <x:v>In Field Warranty Claims</x:v>
      </x:c>
      <x:c r="N2664" s="37" t="n">
        <x:v>46100</x:v>
      </x:c>
      <x:c r="O2664" s="37"/>
      <x:c r="P2664" s="34" t="n">
        <x:v>0</x:v>
      </x:c>
      <x:c r="Q2664" s="37" t="n">
        <x:v>46128.85512731481</x:v>
      </x:c>
    </x:row>
    <x:row r="2665">
      <x:c r="A2665" s="22" t="n">
        <x:v>32581</x:v>
      </x:c>
      <x:c r="B2665" s="28" t="n">
        <x:v>101.25</x:v>
      </x:c>
      <x:c r="C2665" s="28"/>
      <x:c r="D2665" s="31" t="str">
        <x:f>IF(OR(ISBLANK(B2665),ISBLANK(C2665),B2665=0),"",(C2665-B2665)/B2665)</x:f>
      </x:c>
      <x:c r="E2665" s="22" t="str">
        <x:f>IF(ISBLANK(C2665),"AmountIncludingTax缺失",IF(ABS(B2665-C2665)&lt;0.005,"一致","不一致"))</x:f>
        <x:v>AmountIncludingTax缺失</x:v>
      </x:c>
      <x:c r="F2665" s="19" t="str">
        <x:v>approved</x:v>
      </x:c>
      <x:c r="G2665" s="19" t="str">
        <x:v>Repair in Progress</x:v>
      </x:c>
      <x:c r="H2665" s="19" t="str">
        <x:v>In Field</x:v>
      </x:c>
      <x:c r="I2665" s="37" t="n">
        <x:v>46121</x:v>
      </x:c>
      <x:c r="J2665" s="37" t="n">
        <x:v>46121</x:v>
      </x:c>
      <x:c r="K2665" s="19" t="str">
        <x:v>Not Assigned</x:v>
      </x:c>
      <x:c r="L2665" s="19" t="str">
        <x:v>Z006</x:v>
      </x:c>
      <x:c r="M2665" s="19" t="str">
        <x:v>In Field Warranty Claims</x:v>
      </x:c>
      <x:c r="N2665" s="37" t="n">
        <x:v>46100</x:v>
      </x:c>
      <x:c r="O2665" s="37"/>
      <x:c r="P2665" s="34" t="n">
        <x:v>0</x:v>
      </x:c>
      <x:c r="Q2665" s="37" t="n">
        <x:v>46121.25541666667</x:v>
      </x:c>
    </x:row>
    <x:row r="2666">
      <x:c r="A2666" s="22" t="n">
        <x:v>32580</x:v>
      </x:c>
      <x:c r="B2666" s="28" t="n">
        <x:v>725</x:v>
      </x:c>
      <x:c r="C2666" s="28"/>
      <x:c r="D2666" s="31" t="str">
        <x:f>IF(OR(ISBLANK(B2666),ISBLANK(C2666),B2666=0),"",(C2666-B2666)/B2666)</x:f>
      </x:c>
      <x:c r="E2666" s="22" t="str">
        <x:f>IF(ISBLANK(C2666),"AmountIncludingTax缺失",IF(ABS(B2666-C2666)&lt;0.005,"一致","不一致"))</x:f>
        <x:v>AmountIncludingTax缺失</x:v>
      </x:c>
      <x:c r="F2666" s="19" t="str">
        <x:v>approved</x:v>
      </x:c>
      <x:c r="G2666" s="19" t="str">
        <x:v>Repair in Progress</x:v>
      </x:c>
      <x:c r="H2666" s="19" t="str">
        <x:v>In Field</x:v>
      </x:c>
      <x:c r="I2666" s="37" t="n">
        <x:v>46121</x:v>
      </x:c>
      <x:c r="J2666" s="37" t="n">
        <x:v>46121</x:v>
      </x:c>
      <x:c r="K2666" s="19" t="str">
        <x:v>Regent RV - Toowoomba</x:v>
      </x:c>
      <x:c r="L2666" s="19" t="str">
        <x:v>Z006</x:v>
      </x:c>
      <x:c r="M2666" s="19" t="str">
        <x:v>In Field Warranty Claims</x:v>
      </x:c>
      <x:c r="N2666" s="37" t="n">
        <x:v>46100</x:v>
      </x:c>
      <x:c r="O2666" s="37"/>
      <x:c r="P2666" s="34" t="n">
        <x:v>0</x:v>
      </x:c>
      <x:c r="Q2666" s="37" t="n">
        <x:v>46121.04523148148</x:v>
      </x:c>
    </x:row>
    <x:row r="2667">
      <x:c r="A2667" s="22" t="n">
        <x:v>32579</x:v>
      </x:c>
      <x:c r="B2667" s="28" t="n">
        <x:v>367.5</x:v>
      </x:c>
      <x:c r="C2667" s="28"/>
      <x:c r="D2667" s="31" t="str">
        <x:f>IF(OR(ISBLANK(B2667),ISBLANK(C2667),B2667=0),"",(C2667-B2667)/B2667)</x:f>
      </x:c>
      <x:c r="E2667" s="22" t="str">
        <x:f>IF(ISBLANK(C2667),"AmountIncludingTax缺失",IF(ABS(B2667-C2667)&lt;0.005,"一致","不一致"))</x:f>
        <x:v>AmountIncludingTax缺失</x:v>
      </x:c>
      <x:c r="F2667" s="19" t="str">
        <x:v>approved</x:v>
      </x:c>
      <x:c r="G2667" s="19" t="str">
        <x:v>Repairer Invoiced Processed</x:v>
      </x:c>
      <x:c r="H2667" s="19" t="str">
        <x:v>Pre Delivery</x:v>
      </x:c>
      <x:c r="I2667" s="37" t="n">
        <x:v>46121</x:v>
      </x:c>
      <x:c r="J2667" s="37" t="n">
        <x:v>46121</x:v>
      </x:c>
      <x:c r="K2667" s="19" t="str">
        <x:v>Snowy River Wangaratta</x:v>
      </x:c>
      <x:c r="L2667" s="19" t="str">
        <x:v>Z005</x:v>
      </x:c>
      <x:c r="M2667" s="19" t="str">
        <x:v>Pre Delivery Warranty Claims</x:v>
      </x:c>
      <x:c r="N2667" s="37" t="n">
        <x:v>46100</x:v>
      </x:c>
      <x:c r="O2667" s="37"/>
      <x:c r="P2667" s="34" t="n">
        <x:v>0</x:v>
      </x:c>
      <x:c r="Q2667" s="37" t="n">
        <x:v>46121.01368055555</x:v>
      </x:c>
    </x:row>
    <x:row r="2668">
      <x:c r="A2668" s="22" t="n">
        <x:v>32578</x:v>
      </x:c>
      <x:c r="B2668" s="28" t="n">
        <x:v>971.25</x:v>
      </x:c>
      <x:c r="C2668" s="28"/>
      <x:c r="D2668" s="31" t="str">
        <x:f>IF(OR(ISBLANK(B2668),ISBLANK(C2668),B2668=0),"",(C2668-B2668)/B2668)</x:f>
      </x:c>
      <x:c r="E2668" s="22" t="str">
        <x:f>IF(ISBLANK(C2668),"AmountIncludingTax缺失",IF(ABS(B2668-C2668)&lt;0.005,"一致","不一致"))</x:f>
        <x:v>AmountIncludingTax缺失</x:v>
      </x:c>
      <x:c r="F2668" s="19" t="str">
        <x:v>approved</x:v>
      </x:c>
      <x:c r="G2668" s="19" t="str">
        <x:v>Repairer Invoiced Processed</x:v>
      </x:c>
      <x:c r="H2668" s="19" t="str">
        <x:v>In Field</x:v>
      </x:c>
      <x:c r="I2668" s="37" t="n">
        <x:v>46128</x:v>
      </x:c>
      <x:c r="J2668" s="37" t="n">
        <x:v>46128</x:v>
      </x:c>
      <x:c r="K2668" s="19" t="str">
        <x:v>Regent RV - Toowoomba</x:v>
      </x:c>
      <x:c r="L2668" s="19" t="str">
        <x:v>Z006</x:v>
      </x:c>
      <x:c r="M2668" s="19" t="str">
        <x:v>In Field Warranty Claims</x:v>
      </x:c>
      <x:c r="N2668" s="37" t="n">
        <x:v>46100</x:v>
      </x:c>
      <x:c r="O2668" s="37"/>
      <x:c r="P2668" s="34" t="n">
        <x:v>0</x:v>
      </x:c>
      <x:c r="Q2668" s="37" t="n">
        <x:v>46127.954930555556</x:v>
      </x:c>
    </x:row>
    <x:row r="2669">
      <x:c r="A2669" s="22" t="n">
        <x:v>32577</x:v>
      </x:c>
      <x:c r="B2669" s="28" t="n">
        <x:v>1077.5</x:v>
      </x:c>
      <x:c r="C2669" s="28"/>
      <x:c r="D2669" s="31" t="str">
        <x:f>IF(OR(ISBLANK(B2669),ISBLANK(C2669),B2669=0),"",(C2669-B2669)/B2669)</x:f>
      </x:c>
      <x:c r="E2669" s="22" t="str">
        <x:f>IF(ISBLANK(C2669),"AmountIncludingTax缺失",IF(ABS(B2669-C2669)&lt;0.005,"一致","不一致"))</x:f>
        <x:v>AmountIncludingTax缺失</x:v>
      </x:c>
      <x:c r="F2669" s="19" t="str">
        <x:v>approved</x:v>
      </x:c>
      <x:c r="G2669" s="19" t="str">
        <x:v>Repairer Invoiced Processed</x:v>
      </x:c>
      <x:c r="H2669" s="19" t="str">
        <x:v>In Field</x:v>
      </x:c>
      <x:c r="I2669" s="37" t="n">
        <x:v>46126</x:v>
      </x:c>
      <x:c r="J2669" s="37" t="n">
        <x:v>46126</x:v>
      </x:c>
      <x:c r="K2669" s="19" t="str">
        <x:v>Leisure Lion Pty Ltd - Toowoomba</x:v>
      </x:c>
      <x:c r="L2669" s="19" t="str">
        <x:v>Z006</x:v>
      </x:c>
      <x:c r="M2669" s="19" t="str">
        <x:v>In Field Warranty Claims</x:v>
      </x:c>
      <x:c r="N2669" s="37" t="n">
        <x:v>46100</x:v>
      </x:c>
      <x:c r="O2669" s="37"/>
      <x:c r="P2669" s="34" t="n">
        <x:v>0</x:v>
      </x:c>
      <x:c r="Q2669" s="37" t="n">
        <x:v>46126.08594907408</x:v>
      </x:c>
    </x:row>
    <x:row r="2670">
      <x:c r="A2670" s="22" t="n">
        <x:v>32576</x:v>
      </x:c>
      <x:c r="B2670" s="28" t="n">
        <x:v>742.5</x:v>
      </x:c>
      <x:c r="C2670" s="28"/>
      <x:c r="D2670" s="31" t="str">
        <x:f>IF(OR(ISBLANK(B2670),ISBLANK(C2670),B2670=0),"",(C2670-B2670)/B2670)</x:f>
      </x:c>
      <x:c r="E2670" s="22" t="str">
        <x:f>IF(ISBLANK(C2670),"AmountIncludingTax缺失",IF(ABS(B2670-C2670)&lt;0.005,"一致","不一致"))</x:f>
        <x:v>AmountIncludingTax缺失</x:v>
      </x:c>
      <x:c r="F2670" s="19" t="str">
        <x:v>approved</x:v>
      </x:c>
      <x:c r="G2670" s="19" t="str">
        <x:v>Repair in Progress</x:v>
      </x:c>
      <x:c r="H2670" s="19" t="str">
        <x:v>In Field</x:v>
      </x:c>
      <x:c r="I2670" s="37" t="n">
        <x:v>46108</x:v>
      </x:c>
      <x:c r="J2670" s="37" t="n">
        <x:v>46108</x:v>
      </x:c>
      <x:c r="K2670" s="19" t="str">
        <x:v>Green RV - Forest Glen</x:v>
      </x:c>
      <x:c r="L2670" s="19" t="str">
        <x:v>Z006</x:v>
      </x:c>
      <x:c r="M2670" s="19" t="str">
        <x:v>In Field Warranty Claims</x:v>
      </x:c>
      <x:c r="N2670" s="37" t="n">
        <x:v>46100</x:v>
      </x:c>
      <x:c r="O2670" s="37"/>
      <x:c r="P2670" s="34" t="n">
        <x:v>0</x:v>
      </x:c>
      <x:c r="Q2670" s="37" t="n">
        <x:v>46108.13248842592</x:v>
      </x:c>
    </x:row>
    <x:row r="2671">
      <x:c r="A2671" s="22" t="n">
        <x:v>32575</x:v>
      </x:c>
      <x:c r="B2671" s="28" t="n">
        <x:v>1390</x:v>
      </x:c>
      <x:c r="C2671" s="28"/>
      <x:c r="D2671" s="31" t="str">
        <x:f>IF(OR(ISBLANK(B2671),ISBLANK(C2671),B2671=0),"",(C2671-B2671)/B2671)</x:f>
      </x:c>
      <x:c r="E2671" s="22" t="str">
        <x:f>IF(ISBLANK(C2671),"AmountIncludingTax缺失",IF(ABS(B2671-C2671)&lt;0.005,"一致","不一致"))</x:f>
        <x:v>AmountIncludingTax缺失</x:v>
      </x:c>
      <x:c r="F2671" s="19" t="str">
        <x:v>approved</x:v>
      </x:c>
      <x:c r="G2671" s="19" t="str">
        <x:v>Repair in Progress</x:v>
      </x:c>
      <x:c r="H2671" s="19" t="str">
        <x:v>In Field</x:v>
      </x:c>
      <x:c r="I2671" s="37" t="n">
        <x:v>46114</x:v>
      </x:c>
      <x:c r="J2671" s="37" t="n">
        <x:v>46114</x:v>
      </x:c>
      <x:c r="K2671" s="19" t="str">
        <x:v>Regent RV - Frankston</x:v>
      </x:c>
      <x:c r="L2671" s="19" t="str">
        <x:v>Z006</x:v>
      </x:c>
      <x:c r="M2671" s="19" t="str">
        <x:v>In Field Warranty Claims</x:v>
      </x:c>
      <x:c r="N2671" s="37" t="n">
        <x:v>46100</x:v>
      </x:c>
      <x:c r="O2671" s="37"/>
      <x:c r="P2671" s="34" t="n">
        <x:v>0</x:v>
      </x:c>
      <x:c r="Q2671" s="37" t="n">
        <x:v>46114.019224537034</x:v>
      </x:c>
    </x:row>
    <x:row r="2672">
      <x:c r="A2672" s="22" t="n">
        <x:v>32574</x:v>
      </x:c>
      <x:c r="B2672" s="28" t="n">
        <x:v>726.93</x:v>
      </x:c>
      <x:c r="C2672" s="28"/>
      <x:c r="D2672" s="31" t="str">
        <x:f>IF(OR(ISBLANK(B2672),ISBLANK(C2672),B2672=0),"",(C2672-B2672)/B2672)</x:f>
      </x:c>
      <x:c r="E2672" s="22" t="str">
        <x:f>IF(ISBLANK(C2672),"AmountIncludingTax缺失",IF(ABS(B2672-C2672)&lt;0.005,"一致","不一致"))</x:f>
        <x:v>AmountIncludingTax缺失</x:v>
      </x:c>
      <x:c r="F2672" s="19" t="str">
        <x:v>approved</x:v>
      </x:c>
      <x:c r="G2672" s="19" t="str">
        <x:v>Repair in Progress</x:v>
      </x:c>
      <x:c r="H2672" s="19" t="str">
        <x:v>In Field</x:v>
      </x:c>
      <x:c r="I2672" s="37" t="n">
        <x:v>46108</x:v>
      </x:c>
      <x:c r="J2672" s="37" t="n">
        <x:v>46108</x:v>
      </x:c>
      <x:c r="K2672" s="19" t="str">
        <x:v>Not Assigned</x:v>
      </x:c>
      <x:c r="L2672" s="19" t="str">
        <x:v>Z006</x:v>
      </x:c>
      <x:c r="M2672" s="19" t="str">
        <x:v>In Field Warranty Claims</x:v>
      </x:c>
      <x:c r="N2672" s="37" t="n">
        <x:v>46100</x:v>
      </x:c>
      <x:c r="O2672" s="37"/>
      <x:c r="P2672" s="34" t="n">
        <x:v>0</x:v>
      </x:c>
      <x:c r="Q2672" s="37" t="n">
        <x:v>46108.1684837963</x:v>
      </x:c>
    </x:row>
    <x:row r="2673">
      <x:c r="A2673" s="22" t="n">
        <x:v>32572</x:v>
      </x:c>
      <x:c r="B2673" s="28" t="n">
        <x:v>1657.05</x:v>
      </x:c>
      <x:c r="C2673" s="28"/>
      <x:c r="D2673" s="31" t="str">
        <x:f>IF(OR(ISBLANK(B2673),ISBLANK(C2673),B2673=0),"",(C2673-B2673)/B2673)</x:f>
      </x:c>
      <x:c r="E2673" s="22" t="str">
        <x:f>IF(ISBLANK(C2673),"AmountIncludingTax缺失",IF(ABS(B2673-C2673)&lt;0.005,"一致","不一致"))</x:f>
        <x:v>AmountIncludingTax缺失</x:v>
      </x:c>
      <x:c r="F2673" s="19" t="str">
        <x:v>approved</x:v>
      </x:c>
      <x:c r="G2673" s="19" t="str">
        <x:v>Repair in Progress</x:v>
      </x:c>
      <x:c r="H2673" s="19" t="str">
        <x:v>In Field</x:v>
      </x:c>
      <x:c r="I2673" s="37" t="n">
        <x:v>46108</x:v>
      </x:c>
      <x:c r="J2673" s="37" t="n">
        <x:v>46108</x:v>
      </x:c>
      <x:c r="K2673" s="19" t="str">
        <x:v>Green RV - Forest Glen</x:v>
      </x:c>
      <x:c r="L2673" s="19" t="str">
        <x:v>Z006</x:v>
      </x:c>
      <x:c r="M2673" s="19" t="str">
        <x:v>In Field Warranty Claims</x:v>
      </x:c>
      <x:c r="N2673" s="37" t="n">
        <x:v>46100</x:v>
      </x:c>
      <x:c r="O2673" s="37"/>
      <x:c r="P2673" s="34" t="n">
        <x:v>0</x:v>
      </x:c>
      <x:c r="Q2673" s="37" t="n">
        <x:v>46108.11106481482</x:v>
      </x:c>
    </x:row>
    <x:row r="2674">
      <x:c r="A2674" s="22" t="n">
        <x:v>32571</x:v>
      </x:c>
      <x:c r="B2674" s="28" t="n">
        <x:v>2855</x:v>
      </x:c>
      <x:c r="C2674" s="28"/>
      <x:c r="D2674" s="31" t="str">
        <x:f>IF(OR(ISBLANK(B2674),ISBLANK(C2674),B2674=0),"",(C2674-B2674)/B2674)</x:f>
      </x:c>
      <x:c r="E2674" s="22" t="str">
        <x:f>IF(ISBLANK(C2674),"AmountIncludingTax缺失",IF(ABS(B2674-C2674)&lt;0.005,"一致","不一致"))</x:f>
        <x:v>AmountIncludingTax缺失</x:v>
      </x:c>
      <x:c r="F2674" s="19" t="str">
        <x:v>approved</x:v>
      </x:c>
      <x:c r="G2674" s="19" t="str">
        <x:v>Partially Picked</x:v>
      </x:c>
      <x:c r="H2674" s="19" t="str">
        <x:v>In Field</x:v>
      </x:c>
      <x:c r="I2674" s="37" t="n">
        <x:v>46127</x:v>
      </x:c>
      <x:c r="J2674" s="37" t="n">
        <x:v>46127</x:v>
      </x:c>
      <x:c r="K2674" s="19" t="str">
        <x:v>Leisure Lion - Bundaberg</x:v>
      </x:c>
      <x:c r="L2674" s="19" t="str">
        <x:v>Z006</x:v>
      </x:c>
      <x:c r="M2674" s="19" t="str">
        <x:v>In Field Warranty Claims</x:v>
      </x:c>
      <x:c r="N2674" s="37" t="n">
        <x:v>46100</x:v>
      </x:c>
      <x:c r="O2674" s="37"/>
      <x:c r="P2674" s="34" t="n">
        <x:v>0</x:v>
      </x:c>
      <x:c r="Q2674" s="37" t="n">
        <x:v>46127.10733796296</x:v>
      </x:c>
    </x:row>
    <x:row r="2675">
      <x:c r="A2675" s="22" t="n">
        <x:v>32570</x:v>
      </x:c>
      <x:c r="B2675" s="28" t="n">
        <x:v>202.5</x:v>
      </x:c>
      <x:c r="C2675" s="28"/>
      <x:c r="D2675" s="31" t="str">
        <x:f>IF(OR(ISBLANK(B2675),ISBLANK(C2675),B2675=0),"",(C2675-B2675)/B2675)</x:f>
      </x:c>
      <x:c r="E2675" s="22" t="str">
        <x:f>IF(ISBLANK(C2675),"AmountIncludingTax缺失",IF(ABS(B2675-C2675)&lt;0.005,"一致","不一致"))</x:f>
        <x:v>AmountIncludingTax缺失</x:v>
      </x:c>
      <x:c r="F2675" s="19" t="str">
        <x:v>approved</x:v>
      </x:c>
      <x:c r="G2675" s="19" t="str">
        <x:v>Repairer Invoiced Processed</x:v>
      </x:c>
      <x:c r="H2675" s="19" t="str">
        <x:v>In Field</x:v>
      </x:c>
      <x:c r="I2675" s="37" t="n">
        <x:v>46128</x:v>
      </x:c>
      <x:c r="J2675" s="37" t="n">
        <x:v>46128</x:v>
      </x:c>
      <x:c r="K2675" s="19" t="str">
        <x:v>Regent RV - Toowoomba</x:v>
      </x:c>
      <x:c r="L2675" s="19" t="str">
        <x:v>Z006</x:v>
      </x:c>
      <x:c r="M2675" s="19" t="str">
        <x:v>In Field Warranty Claims</x:v>
      </x:c>
      <x:c r="N2675" s="37" t="n">
        <x:v>46100</x:v>
      </x:c>
      <x:c r="O2675" s="37"/>
      <x:c r="P2675" s="34" t="n">
        <x:v>0</x:v>
      </x:c>
      <x:c r="Q2675" s="37" t="n">
        <x:v>46127.981840277775</x:v>
      </x:c>
    </x:row>
    <x:row r="2676">
      <x:c r="A2676" s="22" t="n">
        <x:v>32569</x:v>
      </x:c>
      <x:c r="B2676" s="28" t="n">
        <x:v>270</x:v>
      </x:c>
      <x:c r="C2676" s="28"/>
      <x:c r="D2676" s="31" t="str">
        <x:f>IF(OR(ISBLANK(B2676),ISBLANK(C2676),B2676=0),"",(C2676-B2676)/B2676)</x:f>
      </x:c>
      <x:c r="E2676" s="22" t="str">
        <x:f>IF(ISBLANK(C2676),"AmountIncludingTax缺失",IF(ABS(B2676-C2676)&lt;0.005,"一致","不一致"))</x:f>
        <x:v>AmountIncludingTax缺失</x:v>
      </x:c>
      <x:c r="F2676" s="19" t="str">
        <x:v>approved</x:v>
      </x:c>
      <x:c r="G2676" s="19" t="str">
        <x:v>Repair in Progress</x:v>
      </x:c>
      <x:c r="H2676" s="19" t="str">
        <x:v>In Field</x:v>
      </x:c>
      <x:c r="I2676" s="37" t="n">
        <x:v>46120</x:v>
      </x:c>
      <x:c r="J2676" s="37" t="n">
        <x:v>46120</x:v>
      </x:c>
      <x:c r="K2676" s="19" t="str">
        <x:v>Not Assigned</x:v>
      </x:c>
      <x:c r="L2676" s="19" t="str">
        <x:v>Z006</x:v>
      </x:c>
      <x:c r="M2676" s="19" t="str">
        <x:v>In Field Warranty Claims</x:v>
      </x:c>
      <x:c r="N2676" s="37" t="n">
        <x:v>46100</x:v>
      </x:c>
      <x:c r="O2676" s="37"/>
      <x:c r="P2676" s="34" t="n">
        <x:v>0</x:v>
      </x:c>
      <x:c r="Q2676" s="37" t="n">
        <x:v>46119.982824074075</x:v>
      </x:c>
    </x:row>
    <x:row r="2677">
      <x:c r="A2677" s="22" t="n">
        <x:v>32568</x:v>
      </x:c>
      <x:c r="B2677" s="28" t="n">
        <x:v>168.75</x:v>
      </x:c>
      <x:c r="C2677" s="28"/>
      <x:c r="D2677" s="31" t="str">
        <x:f>IF(OR(ISBLANK(B2677),ISBLANK(C2677),B2677=0),"",(C2677-B2677)/B2677)</x:f>
      </x:c>
      <x:c r="E2677" s="22" t="str">
        <x:f>IF(ISBLANK(C2677),"AmountIncludingTax缺失",IF(ABS(B2677-C2677)&lt;0.005,"一致","不一致"))</x:f>
        <x:v>AmountIncludingTax缺失</x:v>
      </x:c>
      <x:c r="F2677" s="19" t="str">
        <x:v>approved</x:v>
      </x:c>
      <x:c r="G2677" s="19" t="str">
        <x:v>Repair in Progress</x:v>
      </x:c>
      <x:c r="H2677" s="19" t="str">
        <x:v>Pre Delivery</x:v>
      </x:c>
      <x:c r="I2677" s="37" t="n">
        <x:v>46126</x:v>
      </x:c>
      <x:c r="J2677" s="37" t="n">
        <x:v>46126</x:v>
      </x:c>
      <x:c r="K2677" s="19" t="str">
        <x:v>Green RV - Forest Glen</x:v>
      </x:c>
      <x:c r="L2677" s="19" t="str">
        <x:v>Z005</x:v>
      </x:c>
      <x:c r="M2677" s="19" t="str">
        <x:v>Pre Delivery Warranty Claims</x:v>
      </x:c>
      <x:c r="N2677" s="37" t="n">
        <x:v>46100</x:v>
      </x:c>
      <x:c r="O2677" s="37"/>
      <x:c r="P2677" s="34" t="n">
        <x:v>0</x:v>
      </x:c>
      <x:c r="Q2677" s="37" t="n">
        <x:v>46126.20008101852</x:v>
      </x:c>
    </x:row>
    <x:row r="2678">
      <x:c r="A2678" s="22" t="n">
        <x:v>32567</x:v>
      </x:c>
      <x:c r="B2678" s="28" t="n">
        <x:v>810</x:v>
      </x:c>
      <x:c r="C2678" s="28"/>
      <x:c r="D2678" s="31" t="str">
        <x:f>IF(OR(ISBLANK(B2678),ISBLANK(C2678),B2678=0),"",(C2678-B2678)/B2678)</x:f>
      </x:c>
      <x:c r="E2678" s="22" t="str">
        <x:f>IF(ISBLANK(C2678),"AmountIncludingTax缺失",IF(ABS(B2678-C2678)&lt;0.005,"一致","不一致"))</x:f>
        <x:v>AmountIncludingTax缺失</x:v>
      </x:c>
      <x:c r="F2678" s="19" t="str">
        <x:v>approved</x:v>
      </x:c>
      <x:c r="G2678" s="19" t="str">
        <x:v>Repairer Invoiced Processed</x:v>
      </x:c>
      <x:c r="H2678" s="19" t="str">
        <x:v>In Field</x:v>
      </x:c>
      <x:c r="I2678" s="37" t="n">
        <x:v>46122</x:v>
      </x:c>
      <x:c r="J2678" s="37" t="n">
        <x:v>46122</x:v>
      </x:c>
      <x:c r="K2678" s="19" t="str">
        <x:v>Green RV - Forest Glen</x:v>
      </x:c>
      <x:c r="L2678" s="19" t="str">
        <x:v>Z006</x:v>
      </x:c>
      <x:c r="M2678" s="19" t="str">
        <x:v>In Field Warranty Claims</x:v>
      </x:c>
      <x:c r="N2678" s="37" t="n">
        <x:v>46100</x:v>
      </x:c>
      <x:c r="O2678" s="37"/>
      <x:c r="P2678" s="34" t="n">
        <x:v>0</x:v>
      </x:c>
      <x:c r="Q2678" s="37" t="n">
        <x:v>46121.96672453704</x:v>
      </x:c>
    </x:row>
    <x:row r="2679">
      <x:c r="A2679" s="22" t="n">
        <x:v>32566</x:v>
      </x:c>
      <x:c r="B2679" s="28" t="n">
        <x:v>1626.25</x:v>
      </x:c>
      <x:c r="C2679" s="28"/>
      <x:c r="D2679" s="31" t="str">
        <x:f>IF(OR(ISBLANK(B2679),ISBLANK(C2679),B2679=0),"",(C2679-B2679)/B2679)</x:f>
      </x:c>
      <x:c r="E2679" s="22" t="str">
        <x:f>IF(ISBLANK(C2679),"AmountIncludingTax缺失",IF(ABS(B2679-C2679)&lt;0.005,"一致","不一致"))</x:f>
        <x:v>AmountIncludingTax缺失</x:v>
      </x:c>
      <x:c r="F2679" s="19" t="str">
        <x:v>approved</x:v>
      </x:c>
      <x:c r="G2679" s="19" t="str">
        <x:v>Repairer Invoiced Processed</x:v>
      </x:c>
      <x:c r="H2679" s="19" t="str">
        <x:v>In Field</x:v>
      </x:c>
      <x:c r="I2679" s="37" t="n">
        <x:v>46136</x:v>
      </x:c>
      <x:c r="J2679" s="37" t="n">
        <x:v>46136</x:v>
      </x:c>
      <x:c r="K2679" s="19" t="str">
        <x:v>Not Assigned</x:v>
      </x:c>
      <x:c r="L2679" s="19" t="str">
        <x:v>Z006</x:v>
      </x:c>
      <x:c r="M2679" s="19" t="str">
        <x:v>In Field Warranty Claims</x:v>
      </x:c>
      <x:c r="N2679" s="37" t="n">
        <x:v>46100</x:v>
      </x:c>
      <x:c r="O2679" s="37"/>
      <x:c r="P2679" s="34" t="n">
        <x:v>0</x:v>
      </x:c>
      <x:c r="Q2679" s="37" t="n">
        <x:v>46136.06768518518</x:v>
      </x:c>
    </x:row>
    <x:row r="2680">
      <x:c r="A2680" s="22" t="n">
        <x:v>32565</x:v>
      </x:c>
      <x:c r="B2680" s="28" t="n">
        <x:v>1072.5</x:v>
      </x:c>
      <x:c r="C2680" s="28"/>
      <x:c r="D2680" s="31" t="str">
        <x:f>IF(OR(ISBLANK(B2680),ISBLANK(C2680),B2680=0),"",(C2680-B2680)/B2680)</x:f>
      </x:c>
      <x:c r="E2680" s="22" t="str">
        <x:f>IF(ISBLANK(C2680),"AmountIncludingTax缺失",IF(ABS(B2680-C2680)&lt;0.005,"一致","不一致"))</x:f>
        <x:v>AmountIncludingTax缺失</x:v>
      </x:c>
      <x:c r="F2680" s="19" t="str">
        <x:v>approved</x:v>
      </x:c>
      <x:c r="G2680" s="19" t="str">
        <x:v>Repairer Invoiced Processed</x:v>
      </x:c>
      <x:c r="H2680" s="19" t="str">
        <x:v>In Field</x:v>
      </x:c>
      <x:c r="I2680" s="37" t="n">
        <x:v>46126</x:v>
      </x:c>
      <x:c r="J2680" s="37" t="n">
        <x:v>46126</x:v>
      </x:c>
      <x:c r="K2680" s="19" t="str">
        <x:v>Leisure Lion Pty Ltd - Toowoomba</x:v>
      </x:c>
      <x:c r="L2680" s="19" t="str">
        <x:v>Z006</x:v>
      </x:c>
      <x:c r="M2680" s="19" t="str">
        <x:v>In Field Warranty Claims</x:v>
      </x:c>
      <x:c r="N2680" s="37" t="n">
        <x:v>46100</x:v>
      </x:c>
      <x:c r="O2680" s="37"/>
      <x:c r="P2680" s="34" t="n">
        <x:v>0</x:v>
      </x:c>
      <x:c r="Q2680" s="37" t="n">
        <x:v>46125.80153935185</x:v>
      </x:c>
    </x:row>
    <x:row r="2681">
      <x:c r="A2681" s="22" t="n">
        <x:v>32564</x:v>
      </x:c>
      <x:c r="B2681" s="28" t="n">
        <x:v>452.29</x:v>
      </x:c>
      <x:c r="C2681" s="28"/>
      <x:c r="D2681" s="31" t="str">
        <x:f>IF(OR(ISBLANK(B2681),ISBLANK(C2681),B2681=0),"",(C2681-B2681)/B2681)</x:f>
      </x:c>
      <x:c r="E2681" s="22" t="str">
        <x:f>IF(ISBLANK(C2681),"AmountIncludingTax缺失",IF(ABS(B2681-C2681)&lt;0.005,"一致","不一致"))</x:f>
        <x:v>AmountIncludingTax缺失</x:v>
      </x:c>
      <x:c r="F2681" s="19" t="str">
        <x:v>approved</x:v>
      </x:c>
      <x:c r="G2681" s="19" t="str">
        <x:v>Repair in Progress</x:v>
      </x:c>
      <x:c r="H2681" s="19" t="str">
        <x:v>Pre Delivery</x:v>
      </x:c>
      <x:c r="I2681" s="37" t="n">
        <x:v>46108</x:v>
      </x:c>
      <x:c r="J2681" s="37" t="n">
        <x:v>46108</x:v>
      </x:c>
      <x:c r="K2681" s="19" t="str">
        <x:v>Green RV - Slacks Creek</x:v>
      </x:c>
      <x:c r="L2681" s="19" t="str">
        <x:v>Z005</x:v>
      </x:c>
      <x:c r="M2681" s="19" t="str">
        <x:v>Pre Delivery Warranty Claims</x:v>
      </x:c>
      <x:c r="N2681" s="37" t="n">
        <x:v>46100</x:v>
      </x:c>
      <x:c r="O2681" s="37"/>
      <x:c r="P2681" s="34" t="n">
        <x:v>0</x:v>
      </x:c>
      <x:c r="Q2681" s="37" t="n">
        <x:v>46108.14518518518</x:v>
      </x:c>
    </x:row>
    <x:row r="2682">
      <x:c r="A2682" s="22" t="n">
        <x:v>32562</x:v>
      </x:c>
      <x:c r="B2682" s="28" t="n">
        <x:v>810</x:v>
      </x:c>
      <x:c r="C2682" s="28"/>
      <x:c r="D2682" s="31" t="str">
        <x:f>IF(OR(ISBLANK(B2682),ISBLANK(C2682),B2682=0),"",(C2682-B2682)/B2682)</x:f>
      </x:c>
      <x:c r="E2682" s="22" t="str">
        <x:f>IF(ISBLANK(C2682),"AmountIncludingTax缺失",IF(ABS(B2682-C2682)&lt;0.005,"一致","不一致"))</x:f>
        <x:v>AmountIncludingTax缺失</x:v>
      </x:c>
      <x:c r="F2682" s="19" t="str">
        <x:v>approved</x:v>
      </x:c>
      <x:c r="G2682" s="19" t="str">
        <x:v>Partially Picked</x:v>
      </x:c>
      <x:c r="H2682" s="19" t="str">
        <x:v>In Field</x:v>
      </x:c>
      <x:c r="I2682" s="37" t="n">
        <x:v>46100</x:v>
      </x:c>
      <x:c r="J2682" s="37" t="n">
        <x:v>46100</x:v>
      </x:c>
      <x:c r="K2682" s="19" t="str">
        <x:v>Regent RV - Toowoomba</x:v>
      </x:c>
      <x:c r="L2682" s="19" t="str">
        <x:v>Z006</x:v>
      </x:c>
      <x:c r="M2682" s="19" t="str">
        <x:v>In Field Warranty Claims</x:v>
      </x:c>
      <x:c r="N2682" s="37" t="n">
        <x:v>46099</x:v>
      </x:c>
      <x:c r="O2682" s="37"/>
      <x:c r="P2682" s="34" t="n">
        <x:v>0</x:v>
      </x:c>
      <x:c r="Q2682" s="37" t="n">
        <x:v>46100.179236111115</x:v>
      </x:c>
    </x:row>
    <x:row r="2683">
      <x:c r="A2683" s="22" t="n">
        <x:v>32561</x:v>
      </x:c>
      <x:c r="B2683" s="28" t="n">
        <x:v>178.75</x:v>
      </x:c>
      <x:c r="C2683" s="28"/>
      <x:c r="D2683" s="31" t="str">
        <x:f>IF(OR(ISBLANK(B2683),ISBLANK(C2683),B2683=0),"",(C2683-B2683)/B2683)</x:f>
      </x:c>
      <x:c r="E2683" s="22" t="str">
        <x:f>IF(ISBLANK(C2683),"AmountIncludingTax缺失",IF(ABS(B2683-C2683)&lt;0.005,"一致","不一致"))</x:f>
        <x:v>AmountIncludingTax缺失</x:v>
      </x:c>
      <x:c r="F2683" s="19" t="str">
        <x:v>approved</x:v>
      </x:c>
      <x:c r="G2683" s="19" t="str">
        <x:v>Repairer Invoiced Processed</x:v>
      </x:c>
      <x:c r="H2683" s="19" t="str">
        <x:v>Pre Delivery</x:v>
      </x:c>
      <x:c r="I2683" s="37" t="n">
        <x:v>46135</x:v>
      </x:c>
      <x:c r="J2683" s="37" t="n">
        <x:v>46135</x:v>
      </x:c>
      <x:c r="K2683" s="19" t="str">
        <x:v>Lesiure Lion-New Castle</x:v>
      </x:c>
      <x:c r="L2683" s="19" t="str">
        <x:v>Z005</x:v>
      </x:c>
      <x:c r="M2683" s="19" t="str">
        <x:v>Pre Delivery Warranty Claims</x:v>
      </x:c>
      <x:c r="N2683" s="37" t="n">
        <x:v>46099</x:v>
      </x:c>
      <x:c r="O2683" s="37"/>
      <x:c r="P2683" s="34" t="n">
        <x:v>0</x:v>
      </x:c>
      <x:c r="Q2683" s="37" t="n">
        <x:v>46134.935636574075</x:v>
      </x:c>
    </x:row>
    <x:row r="2684">
      <x:c r="A2684" s="22" t="n">
        <x:v>32560</x:v>
      </x:c>
      <x:c r="B2684" s="28" t="n">
        <x:v>236.25</x:v>
      </x:c>
      <x:c r="C2684" s="28"/>
      <x:c r="D2684" s="31" t="str">
        <x:f>IF(OR(ISBLANK(B2684),ISBLANK(C2684),B2684=0),"",(C2684-B2684)/B2684)</x:f>
      </x:c>
      <x:c r="E2684" s="22" t="str">
        <x:f>IF(ISBLANK(C2684),"AmountIncludingTax缺失",IF(ABS(B2684-C2684)&lt;0.005,"一致","不一致"))</x:f>
        <x:v>AmountIncludingTax缺失</x:v>
      </x:c>
      <x:c r="F2684" s="19" t="str">
        <x:v>approved</x:v>
      </x:c>
      <x:c r="G2684" s="19" t="str">
        <x:v>Repair in Progress</x:v>
      </x:c>
      <x:c r="H2684" s="19" t="str">
        <x:v>In Field</x:v>
      </x:c>
      <x:c r="I2684" s="37" t="n">
        <x:v>46126</x:v>
      </x:c>
      <x:c r="J2684" s="37" t="n">
        <x:v>46126</x:v>
      </x:c>
      <x:c r="K2684" s="19" t="str">
        <x:v>Leisure Lion Pty Ltd - Toowoomba</x:v>
      </x:c>
      <x:c r="L2684" s="19" t="str">
        <x:v>Z006</x:v>
      </x:c>
      <x:c r="M2684" s="19" t="str">
        <x:v>In Field Warranty Claims</x:v>
      </x:c>
      <x:c r="N2684" s="37" t="n">
        <x:v>46100</x:v>
      </x:c>
      <x:c r="O2684" s="37"/>
      <x:c r="P2684" s="34" t="n">
        <x:v>0</x:v>
      </x:c>
      <x:c r="Q2684" s="37" t="n">
        <x:v>46126.088472222225</x:v>
      </x:c>
    </x:row>
    <x:row r="2685">
      <x:c r="A2685" s="22" t="n">
        <x:v>32559</x:v>
      </x:c>
      <x:c r="B2685" s="28" t="n">
        <x:v>67.5</x:v>
      </x:c>
      <x:c r="C2685" s="28"/>
      <x:c r="D2685" s="31" t="str">
        <x:f>IF(OR(ISBLANK(B2685),ISBLANK(C2685),B2685=0),"",(C2685-B2685)/B2685)</x:f>
      </x:c>
      <x:c r="E2685" s="22" t="str">
        <x:f>IF(ISBLANK(C2685),"AmountIncludingTax缺失",IF(ABS(B2685-C2685)&lt;0.005,"一致","不一致"))</x:f>
        <x:v>AmountIncludingTax缺失</x:v>
      </x:c>
      <x:c r="F2685" s="19" t="str">
        <x:v>approved</x:v>
      </x:c>
      <x:c r="G2685" s="19" t="str">
        <x:v>Repair in Progress</x:v>
      </x:c>
      <x:c r="H2685" s="19" t="str">
        <x:v>Pre Delivery</x:v>
      </x:c>
      <x:c r="I2685" s="37" t="n">
        <x:v>46136</x:v>
      </x:c>
      <x:c r="J2685" s="37" t="n">
        <x:v>46136</x:v>
      </x:c>
      <x:c r="K2685" s="19" t="str">
        <x:v>Green RV - Forest Glen</x:v>
      </x:c>
      <x:c r="L2685" s="19" t="str">
        <x:v>Z005</x:v>
      </x:c>
      <x:c r="M2685" s="19" t="str">
        <x:v>Pre Delivery Warranty Claims</x:v>
      </x:c>
      <x:c r="N2685" s="37" t="n">
        <x:v>46099</x:v>
      </x:c>
      <x:c r="O2685" s="37"/>
      <x:c r="P2685" s="34" t="n">
        <x:v>0</x:v>
      </x:c>
      <x:c r="Q2685" s="37" t="n">
        <x:v>46135.938784722224</x:v>
      </x:c>
    </x:row>
    <x:row r="2686">
      <x:c r="A2686" s="22" t="n">
        <x:v>32558</x:v>
      </x:c>
      <x:c r="B2686" s="28" t="n">
        <x:v>67.5</x:v>
      </x:c>
      <x:c r="C2686" s="28"/>
      <x:c r="D2686" s="31" t="str">
        <x:f>IF(OR(ISBLANK(B2686),ISBLANK(C2686),B2686=0),"",(C2686-B2686)/B2686)</x:f>
      </x:c>
      <x:c r="E2686" s="22" t="str">
        <x:f>IF(ISBLANK(C2686),"AmountIncludingTax缺失",IF(ABS(B2686-C2686)&lt;0.005,"一致","不一致"))</x:f>
        <x:v>AmountIncludingTax缺失</x:v>
      </x:c>
      <x:c r="F2686" s="19" t="str">
        <x:v>approved</x:v>
      </x:c>
      <x:c r="G2686" s="19" t="str">
        <x:v>Repair in Progress</x:v>
      </x:c>
      <x:c r="H2686" s="19" t="str">
        <x:v>In Field</x:v>
      </x:c>
      <x:c r="I2686" s="37" t="n">
        <x:v>46105</x:v>
      </x:c>
      <x:c r="J2686" s="37" t="n">
        <x:v>46105</x:v>
      </x:c>
      <x:c r="K2686" s="19" t="str">
        <x:v>Green RV - Forest Glen</x:v>
      </x:c>
      <x:c r="L2686" s="19" t="str">
        <x:v>Z006</x:v>
      </x:c>
      <x:c r="M2686" s="19" t="str">
        <x:v>In Field Warranty Claims</x:v>
      </x:c>
      <x:c r="N2686" s="37" t="n">
        <x:v>46099</x:v>
      </x:c>
      <x:c r="O2686" s="37" t="n">
        <x:v>46101</x:v>
      </x:c>
      <x:c r="P2686" s="34" t="n">
        <x:v>0</x:v>
      </x:c>
      <x:c r="Q2686" s="37" t="n">
        <x:v>46105.02890046296</x:v>
      </x:c>
    </x:row>
    <x:row r="2687">
      <x:c r="A2687" s="22" t="n">
        <x:v>32557</x:v>
      </x:c>
      <x:c r="B2687" s="28" t="n">
        <x:v>236.25</x:v>
      </x:c>
      <x:c r="C2687" s="28"/>
      <x:c r="D2687" s="31" t="str">
        <x:f>IF(OR(ISBLANK(B2687),ISBLANK(C2687),B2687=0),"",(C2687-B2687)/B2687)</x:f>
      </x:c>
      <x:c r="E2687" s="22" t="str">
        <x:f>IF(ISBLANK(C2687),"AmountIncludingTax缺失",IF(ABS(B2687-C2687)&lt;0.005,"一致","不一致"))</x:f>
        <x:v>AmountIncludingTax缺失</x:v>
      </x:c>
      <x:c r="F2687" s="19" t="str">
        <x:v>approved</x:v>
      </x:c>
      <x:c r="G2687" s="19" t="str">
        <x:v>Repairer Invoiced Processed</x:v>
      </x:c>
      <x:c r="H2687" s="19" t="str">
        <x:v>In Field</x:v>
      </x:c>
      <x:c r="I2687" s="37" t="n">
        <x:v>46105</x:v>
      </x:c>
      <x:c r="J2687" s="37" t="n">
        <x:v>46105</x:v>
      </x:c>
      <x:c r="K2687" s="19" t="str">
        <x:v>Green RV - Forest Glen</x:v>
      </x:c>
      <x:c r="L2687" s="19" t="str">
        <x:v>Z006</x:v>
      </x:c>
      <x:c r="M2687" s="19" t="str">
        <x:v>In Field Warranty Claims</x:v>
      </x:c>
      <x:c r="N2687" s="37" t="n">
        <x:v>46099</x:v>
      </x:c>
      <x:c r="O2687" s="37"/>
      <x:c r="P2687" s="34" t="n">
        <x:v>0</x:v>
      </x:c>
      <x:c r="Q2687" s="37" t="n">
        <x:v>46105.00429398148</x:v>
      </x:c>
    </x:row>
    <x:row r="2688">
      <x:c r="A2688" s="22" t="n">
        <x:v>32556</x:v>
      </x:c>
      <x:c r="B2688" s="28" t="n">
        <x:v>1215</x:v>
      </x:c>
      <x:c r="C2688" s="28"/>
      <x:c r="D2688" s="31" t="str">
        <x:f>IF(OR(ISBLANK(B2688),ISBLANK(C2688),B2688=0),"",(C2688-B2688)/B2688)</x:f>
      </x:c>
      <x:c r="E2688" s="22" t="str">
        <x:f>IF(ISBLANK(C2688),"AmountIncludingTax缺失",IF(ABS(B2688-C2688)&lt;0.005,"一致","不一致"))</x:f>
        <x:v>AmountIncludingTax缺失</x:v>
      </x:c>
      <x:c r="F2688" s="19" t="str">
        <x:v>approved</x:v>
      </x:c>
      <x:c r="G2688" s="19" t="str">
        <x:v>Partially Picked</x:v>
      </x:c>
      <x:c r="H2688" s="19" t="str">
        <x:v>In Field</x:v>
      </x:c>
      <x:c r="I2688" s="37" t="n">
        <x:v>46106</x:v>
      </x:c>
      <x:c r="J2688" s="37" t="n">
        <x:v>46106</x:v>
      </x:c>
      <x:c r="K2688" s="19" t="str">
        <x:v>Green RV - Forest Glen</x:v>
      </x:c>
      <x:c r="L2688" s="19" t="str">
        <x:v>Z006</x:v>
      </x:c>
      <x:c r="M2688" s="19" t="str">
        <x:v>In Field Warranty Claims</x:v>
      </x:c>
      <x:c r="N2688" s="37" t="n">
        <x:v>46099</x:v>
      </x:c>
      <x:c r="O2688" s="37"/>
      <x:c r="P2688" s="34" t="n">
        <x:v>0</x:v>
      </x:c>
      <x:c r="Q2688" s="37" t="n">
        <x:v>46106.07392361111</x:v>
      </x:c>
    </x:row>
    <x:row r="2689">
      <x:c r="A2689" s="22" t="n">
        <x:v>32555</x:v>
      </x:c>
      <x:c r="B2689" s="28" t="n">
        <x:v>1690</x:v>
      </x:c>
      <x:c r="C2689" s="28"/>
      <x:c r="D2689" s="31" t="str">
        <x:f>IF(OR(ISBLANK(B2689),ISBLANK(C2689),B2689=0),"",(C2689-B2689)/B2689)</x:f>
      </x:c>
      <x:c r="E2689" s="22" t="str">
        <x:f>IF(ISBLANK(C2689),"AmountIncludingTax缺失",IF(ABS(B2689-C2689)&lt;0.005,"一致","不一致"))</x:f>
        <x:v>AmountIncludingTax缺失</x:v>
      </x:c>
      <x:c r="F2689" s="19" t="str">
        <x:v>approved</x:v>
      </x:c>
      <x:c r="G2689" s="19" t="str">
        <x:v>Repairer Invoiced Processed</x:v>
      </x:c>
      <x:c r="H2689" s="19" t="str">
        <x:v>Pre Delivery</x:v>
      </x:c>
      <x:c r="I2689" s="37" t="n">
        <x:v>46178</x:v>
      </x:c>
      <x:c r="J2689" s="37" t="n">
        <x:v>46178</x:v>
      </x:c>
      <x:c r="K2689" s="19" t="str">
        <x:v>Leisure Lion - Bundaberg</x:v>
      </x:c>
      <x:c r="L2689" s="19" t="str">
        <x:v>Z005</x:v>
      </x:c>
      <x:c r="M2689" s="19" t="str">
        <x:v>Pre Delivery Warranty Claims</x:v>
      </x:c>
      <x:c r="N2689" s="37" t="n">
        <x:v>46099</x:v>
      </x:c>
      <x:c r="O2689" s="37"/>
      <x:c r="P2689" s="34" t="n">
        <x:v>0</x:v>
      </x:c>
      <x:c r="Q2689" s="37" t="n">
        <x:v>46178.08736111111</x:v>
      </x:c>
    </x:row>
    <x:row r="2690">
      <x:c r="A2690" s="22" t="n">
        <x:v>32542</x:v>
      </x:c>
      <x:c r="B2690" s="28" t="n">
        <x:v>143</x:v>
      </x:c>
      <x:c r="C2690" s="28" t="n">
        <x:v>157.3</x:v>
      </x:c>
      <x:c r="D2690" s="31" t="n">
        <x:f>IF(OR(ISBLANK(B2690),ISBLANK(C2690),B2690=0),"",(C2690-B2690)/B2690)</x:f>
        <x:v>0.10000000000000007</x:v>
      </x:c>
      <x:c r="E2690" s="22" t="str">
        <x:f>IF(ISBLANK(C2690),"AmountIncludingTax缺失",IF(ABS(B2690-C2690)&lt;0.005,"一致","不一致"))</x:f>
        <x:v>不一致</x:v>
      </x:c>
      <x:c r="F2690" s="19" t="str">
        <x:v>approved</x:v>
      </x:c>
      <x:c r="G2690" s="19" t="str">
        <x:v>Repairer Invoiced Processed</x:v>
      </x:c>
      <x:c r="H2690" s="19" t="str">
        <x:v>In Field</x:v>
      </x:c>
      <x:c r="I2690" s="37" t="n">
        <x:v>46100</x:v>
      </x:c>
      <x:c r="J2690" s="37" t="n">
        <x:v>46100</x:v>
      </x:c>
      <x:c r="K2690" s="19" t="str">
        <x:v>Green RV - Forest Glen</x:v>
      </x:c>
      <x:c r="L2690" s="19" t="str">
        <x:v>Z006</x:v>
      </x:c>
      <x:c r="M2690" s="19" t="str">
        <x:v>In Field Warranty Claims</x:v>
      </x:c>
      <x:c r="N2690" s="37" t="n">
        <x:v>46099</x:v>
      </x:c>
      <x:c r="O2690" s="37"/>
      <x:c r="P2690" s="34" t="n">
        <x:v>157.3</x:v>
      </x:c>
      <x:c r="Q2690" s="37" t="n">
        <x:v>46099.92532407407</x:v>
      </x:c>
    </x:row>
    <x:row r="2691">
      <x:c r="A2691" s="22" t="n">
        <x:v>32538</x:v>
      </x:c>
      <x:c r="B2691" s="28" t="n">
        <x:v>247.5</x:v>
      </x:c>
      <x:c r="C2691" s="28"/>
      <x:c r="D2691" s="31" t="str">
        <x:f>IF(OR(ISBLANK(B2691),ISBLANK(C2691),B2691=0),"",(C2691-B2691)/B2691)</x:f>
      </x:c>
      <x:c r="E2691" s="22" t="str">
        <x:f>IF(ISBLANK(C2691),"AmountIncludingTax缺失",IF(ABS(B2691-C2691)&lt;0.005,"一致","不一致"))</x:f>
        <x:v>AmountIncludingTax缺失</x:v>
      </x:c>
      <x:c r="F2691" s="19" t="str">
        <x:v>approved</x:v>
      </x:c>
      <x:c r="G2691" s="19" t="str">
        <x:v>Repairer Invoiced Processed</x:v>
      </x:c>
      <x:c r="H2691" s="19" t="str">
        <x:v>In Field</x:v>
      </x:c>
      <x:c r="I2691" s="37" t="n">
        <x:v>46107</x:v>
      </x:c>
      <x:c r="J2691" s="37" t="n">
        <x:v>46107</x:v>
      </x:c>
      <x:c r="K2691" s="19" t="str">
        <x:v>Vanari Caravans - Marden Point</x:v>
      </x:c>
      <x:c r="L2691" s="19" t="str">
        <x:v>Z006</x:v>
      </x:c>
      <x:c r="M2691" s="19" t="str">
        <x:v>In Field Warranty Claims</x:v>
      </x:c>
      <x:c r="N2691" s="37" t="n">
        <x:v>46099</x:v>
      </x:c>
      <x:c r="O2691" s="37"/>
      <x:c r="P2691" s="34" t="n">
        <x:v>0</x:v>
      </x:c>
      <x:c r="Q2691" s="37" t="n">
        <x:v>46106.98762731482</x:v>
      </x:c>
    </x:row>
    <x:row r="2692">
      <x:c r="A2692" s="22" t="n">
        <x:v>32537</x:v>
      </x:c>
      <x:c r="B2692" s="28" t="n">
        <x:v>168.75</x:v>
      </x:c>
      <x:c r="C2692" s="28" t="n">
        <x:v>185.63</x:v>
      </x:c>
      <x:c r="D2692" s="31" t="n">
        <x:f>IF(OR(ISBLANK(B2692),ISBLANK(C2692),B2692=0),"",(C2692-B2692)/B2692)</x:f>
        <x:v>0.10002962962962961</x:v>
      </x:c>
      <x:c r="E2692" s="22" t="str">
        <x:f>IF(ISBLANK(C2692),"AmountIncludingTax缺失",IF(ABS(B2692-C2692)&lt;0.005,"一致","不一致"))</x:f>
        <x:v>不一致</x:v>
      </x:c>
      <x:c r="F2692" s="19" t="str">
        <x:v>approved</x:v>
      </x:c>
      <x:c r="G2692" s="19" t="str">
        <x:v>Repair in Progress</x:v>
      </x:c>
      <x:c r="H2692" s="19" t="str">
        <x:v>Pre Delivery</x:v>
      </x:c>
      <x:c r="I2692" s="37" t="n">
        <x:v>46160</x:v>
      </x:c>
      <x:c r="J2692" s="37" t="n">
        <x:v>46160</x:v>
      </x:c>
      <x:c r="K2692" s="19" t="str">
        <x:v>Leisure Lion - Bundaberg</x:v>
      </x:c>
      <x:c r="L2692" s="19" t="str">
        <x:v>Z005</x:v>
      </x:c>
      <x:c r="M2692" s="19" t="str">
        <x:v>Pre Delivery Warranty Claims</x:v>
      </x:c>
      <x:c r="N2692" s="37" t="n">
        <x:v>46099</x:v>
      </x:c>
      <x:c r="O2692" s="37"/>
      <x:c r="P2692" s="34" t="n">
        <x:v>185.63</x:v>
      </x:c>
      <x:c r="Q2692" s="37" t="n">
        <x:v>46159.9753587963</x:v>
      </x:c>
    </x:row>
    <x:row r="2693">
      <x:c r="A2693" s="22" t="n">
        <x:v>32536</x:v>
      </x:c>
      <x:c r="B2693" s="28" t="n">
        <x:v>55</x:v>
      </x:c>
      <x:c r="C2693" s="28"/>
      <x:c r="D2693" s="31" t="str">
        <x:f>IF(OR(ISBLANK(B2693),ISBLANK(C2693),B2693=0),"",(C2693-B2693)/B2693)</x:f>
      </x:c>
      <x:c r="E2693" s="22" t="str">
        <x:f>IF(ISBLANK(C2693),"AmountIncludingTax缺失",IF(ABS(B2693-C2693)&lt;0.005,"一致","不一致"))</x:f>
        <x:v>AmountIncludingTax缺失</x:v>
      </x:c>
      <x:c r="F2693" s="19" t="str">
        <x:v>approved</x:v>
      </x:c>
      <x:c r="G2693" s="19" t="str">
        <x:v>Repair in Progress</x:v>
      </x:c>
      <x:c r="H2693" s="19" t="str">
        <x:v>In Field</x:v>
      </x:c>
      <x:c r="I2693" s="37" t="n">
        <x:v>46107</x:v>
      </x:c>
      <x:c r="J2693" s="37" t="n">
        <x:v>46107</x:v>
      </x:c>
      <x:c r="K2693" s="19" t="str">
        <x:v>Regent RV - Perth</x:v>
      </x:c>
      <x:c r="L2693" s="19" t="str">
        <x:v>Z006</x:v>
      </x:c>
      <x:c r="M2693" s="19" t="str">
        <x:v>In Field Warranty Claims</x:v>
      </x:c>
      <x:c r="N2693" s="37" t="n">
        <x:v>46099</x:v>
      </x:c>
      <x:c r="O2693" s="37"/>
      <x:c r="P2693" s="34" t="n">
        <x:v>0</x:v>
      </x:c>
      <x:c r="Q2693" s="37" t="n">
        <x:v>46106.99574074074</x:v>
      </x:c>
    </x:row>
    <x:row r="2694">
      <x:c r="A2694" s="22" t="n">
        <x:v>32535</x:v>
      </x:c>
      <x:c r="B2694" s="28" t="n">
        <x:v>1215</x:v>
      </x:c>
      <x:c r="C2694" s="28"/>
      <x:c r="D2694" s="31" t="str">
        <x:f>IF(OR(ISBLANK(B2694),ISBLANK(C2694),B2694=0),"",(C2694-B2694)/B2694)</x:f>
      </x:c>
      <x:c r="E2694" s="22" t="str">
        <x:f>IF(ISBLANK(C2694),"AmountIncludingTax缺失",IF(ABS(B2694-C2694)&lt;0.005,"一致","不一致"))</x:f>
        <x:v>AmountIncludingTax缺失</x:v>
      </x:c>
      <x:c r="F2694" s="19" t="str">
        <x:v>approved</x:v>
      </x:c>
      <x:c r="G2694" s="19" t="str">
        <x:v>Repairer Invoiced Processed</x:v>
      </x:c>
      <x:c r="H2694" s="19" t="str">
        <x:v>In Field</x:v>
      </x:c>
      <x:c r="I2694" s="37" t="n">
        <x:v>46106</x:v>
      </x:c>
      <x:c r="J2694" s="37" t="n">
        <x:v>46106</x:v>
      </x:c>
      <x:c r="K2694" s="19" t="str">
        <x:v>Not Assigned</x:v>
      </x:c>
      <x:c r="L2694" s="19" t="str">
        <x:v>Z006</x:v>
      </x:c>
      <x:c r="M2694" s="19" t="str">
        <x:v>In Field Warranty Claims</x:v>
      </x:c>
      <x:c r="N2694" s="37" t="n">
        <x:v>46099</x:v>
      </x:c>
      <x:c r="O2694" s="37"/>
      <x:c r="P2694" s="34" t="n">
        <x:v>0</x:v>
      </x:c>
      <x:c r="Q2694" s="37" t="n">
        <x:v>46106.07650462963</x:v>
      </x:c>
    </x:row>
    <x:row r="2695">
      <x:c r="A2695" s="22" t="n">
        <x:v>32534</x:v>
      </x:c>
      <x:c r="B2695" s="28" t="n">
        <x:v>239.91</x:v>
      </x:c>
      <x:c r="C2695" s="28" t="n">
        <x:v>263.9</x:v>
      </x:c>
      <x:c r="D2695" s="31" t="n">
        <x:f>IF(OR(ISBLANK(B2695),ISBLANK(C2695),B2695=0),"",(C2695-B2695)/B2695)</x:f>
        <x:v>0.0999958317702471</x:v>
      </x:c>
      <x:c r="E2695" s="22" t="str">
        <x:f>IF(ISBLANK(C2695),"AmountIncludingTax缺失",IF(ABS(B2695-C2695)&lt;0.005,"一致","不一致"))</x:f>
        <x:v>不一致</x:v>
      </x:c>
      <x:c r="F2695" s="19" t="str">
        <x:v>approved</x:v>
      </x:c>
      <x:c r="G2695" s="19" t="str">
        <x:v>Repairer Invoiced Processed</x:v>
      </x:c>
      <x:c r="H2695" s="19" t="str">
        <x:v>In Field</x:v>
      </x:c>
      <x:c r="I2695" s="37" t="n">
        <x:v>46105</x:v>
      </x:c>
      <x:c r="J2695" s="37" t="n">
        <x:v>46105</x:v>
      </x:c>
      <x:c r="K2695" s="19" t="str">
        <x:v>Green RV - Slacks Creek</x:v>
      </x:c>
      <x:c r="L2695" s="19" t="str">
        <x:v>Z006</x:v>
      </x:c>
      <x:c r="M2695" s="19" t="str">
        <x:v>In Field Warranty Claims</x:v>
      </x:c>
      <x:c r="N2695" s="37" t="n">
        <x:v>46099</x:v>
      </x:c>
      <x:c r="O2695" s="37"/>
      <x:c r="P2695" s="34" t="n">
        <x:v>263.9</x:v>
      </x:c>
      <x:c r="Q2695" s="37" t="n">
        <x:v>46105.06995370371</x:v>
      </x:c>
    </x:row>
    <x:row r="2696">
      <x:c r="A2696" s="22" t="n">
        <x:v>32533</x:v>
      </x:c>
      <x:c r="B2696" s="28" t="n">
        <x:v>1727.5</x:v>
      </x:c>
      <x:c r="C2696" s="28"/>
      <x:c r="D2696" s="31" t="str">
        <x:f>IF(OR(ISBLANK(B2696),ISBLANK(C2696),B2696=0),"",(C2696-B2696)/B2696)</x:f>
      </x:c>
      <x:c r="E2696" s="22" t="str">
        <x:f>IF(ISBLANK(C2696),"AmountIncludingTax缺失",IF(ABS(B2696-C2696)&lt;0.005,"一致","不一致"))</x:f>
        <x:v>AmountIncludingTax缺失</x:v>
      </x:c>
      <x:c r="F2696" s="19" t="str">
        <x:v>approved</x:v>
      </x:c>
      <x:c r="G2696" s="19" t="str">
        <x:v>Partially Picked</x:v>
      </x:c>
      <x:c r="H2696" s="19" t="str">
        <x:v>In Field</x:v>
      </x:c>
      <x:c r="I2696" s="37" t="n">
        <x:v>46101</x:v>
      </x:c>
      <x:c r="J2696" s="37" t="n">
        <x:v>46101</x:v>
      </x:c>
      <x:c r="K2696" s="19" t="str">
        <x:v>Green RV - Forest Glen</x:v>
      </x:c>
      <x:c r="L2696" s="19" t="str">
        <x:v>Z006</x:v>
      </x:c>
      <x:c r="M2696" s="19" t="str">
        <x:v>In Field Warranty Claims</x:v>
      </x:c>
      <x:c r="N2696" s="37" t="n">
        <x:v>46099</x:v>
      </x:c>
      <x:c r="O2696" s="37"/>
      <x:c r="P2696" s="34" t="n">
        <x:v>0</x:v>
      </x:c>
      <x:c r="Q2696" s="37" t="n">
        <x:v>46100.97179398148</x:v>
      </x:c>
    </x:row>
    <x:row r="2697">
      <x:c r="A2697" s="22" t="n">
        <x:v>32528</x:v>
      </x:c>
      <x:c r="B2697" s="28" t="n">
        <x:v>1950.75</x:v>
      </x:c>
      <x:c r="C2697" s="28"/>
      <x:c r="D2697" s="31" t="str">
        <x:f>IF(OR(ISBLANK(B2697),ISBLANK(C2697),B2697=0),"",(C2697-B2697)/B2697)</x:f>
      </x:c>
      <x:c r="E2697" s="22" t="str">
        <x:f>IF(ISBLANK(C2697),"AmountIncludingTax缺失",IF(ABS(B2697-C2697)&lt;0.005,"一致","不一致"))</x:f>
        <x:v>AmountIncludingTax缺失</x:v>
      </x:c>
      <x:c r="F2697" s="19" t="str">
        <x:v>approved</x:v>
      </x:c>
      <x:c r="G2697" s="19" t="str">
        <x:v>Repair in Progress</x:v>
      </x:c>
      <x:c r="H2697" s="19" t="str">
        <x:v>In Field</x:v>
      </x:c>
      <x:c r="I2697" s="37" t="n">
        <x:v>46121</x:v>
      </x:c>
      <x:c r="J2697" s="37" t="n">
        <x:v>46121</x:v>
      </x:c>
      <x:c r="K2697" s="19" t="str">
        <x:v>Regent RV - Perth</x:v>
      </x:c>
      <x:c r="L2697" s="19" t="str">
        <x:v>Z006</x:v>
      </x:c>
      <x:c r="M2697" s="19" t="str">
        <x:v>In Field Warranty Claims</x:v>
      </x:c>
      <x:c r="N2697" s="37" t="n">
        <x:v>46099</x:v>
      </x:c>
      <x:c r="O2697" s="37"/>
      <x:c r="P2697" s="34" t="n">
        <x:v>0</x:v>
      </x:c>
      <x:c r="Q2697" s="37" t="n">
        <x:v>46120.940300925926</x:v>
      </x:c>
    </x:row>
    <x:row r="2698">
      <x:c r="A2698" s="22" t="n">
        <x:v>32526</x:v>
      </x:c>
      <x:c r="B2698" s="28" t="n">
        <x:v>1215</x:v>
      </x:c>
      <x:c r="C2698" s="28"/>
      <x:c r="D2698" s="31" t="str">
        <x:f>IF(OR(ISBLANK(B2698),ISBLANK(C2698),B2698=0),"",(C2698-B2698)/B2698)</x:f>
      </x:c>
      <x:c r="E2698" s="22" t="str">
        <x:f>IF(ISBLANK(C2698),"AmountIncludingTax缺失",IF(ABS(B2698-C2698)&lt;0.005,"一致","不一致"))</x:f>
        <x:v>AmountIncludingTax缺失</x:v>
      </x:c>
      <x:c r="F2698" s="19" t="str">
        <x:v>approved</x:v>
      </x:c>
      <x:c r="G2698" s="19" t="str">
        <x:v>Partially Picked</x:v>
      </x:c>
      <x:c r="H2698" s="19" t="str">
        <x:v>In Field</x:v>
      </x:c>
      <x:c r="I2698" s="37" t="n">
        <x:v>46101</x:v>
      </x:c>
      <x:c r="J2698" s="37" t="n">
        <x:v>46101</x:v>
      </x:c>
      <x:c r="K2698" s="19" t="str">
        <x:v>Not Assigned</x:v>
      </x:c>
      <x:c r="L2698" s="19" t="str">
        <x:v>Z006</x:v>
      </x:c>
      <x:c r="M2698" s="19" t="str">
        <x:v>In Field Warranty Claims</x:v>
      </x:c>
      <x:c r="N2698" s="37" t="n">
        <x:v>46099</x:v>
      </x:c>
      <x:c r="O2698" s="37"/>
      <x:c r="P2698" s="34" t="n">
        <x:v>0</x:v>
      </x:c>
      <x:c r="Q2698" s="37" t="n">
        <x:v>46100.9083912037</x:v>
      </x:c>
    </x:row>
    <x:row r="2699">
      <x:c r="A2699" s="22" t="n">
        <x:v>32525</x:v>
      </x:c>
      <x:c r="B2699" s="28" t="n">
        <x:v>490.92</x:v>
      </x:c>
      <x:c r="C2699" s="28"/>
      <x:c r="D2699" s="31" t="str">
        <x:f>IF(OR(ISBLANK(B2699),ISBLANK(C2699),B2699=0),"",(C2699-B2699)/B2699)</x:f>
      </x:c>
      <x:c r="E2699" s="22" t="str">
        <x:f>IF(ISBLANK(C2699),"AmountIncludingTax缺失",IF(ABS(B2699-C2699)&lt;0.005,"一致","不一致"))</x:f>
        <x:v>AmountIncludingTax缺失</x:v>
      </x:c>
      <x:c r="F2699" s="19" t="str">
        <x:v>approved</x:v>
      </x:c>
      <x:c r="G2699" s="19" t="str">
        <x:v>Sales Order Approved</x:v>
      </x:c>
      <x:c r="H2699" s="19" t="str">
        <x:v>Pre Delivery</x:v>
      </x:c>
      <x:c r="I2699" s="37" t="n">
        <x:v>46147</x:v>
      </x:c>
      <x:c r="J2699" s="37" t="n">
        <x:v>46147</x:v>
      </x:c>
      <x:c r="K2699" s="19" t="str">
        <x:v>Regent RV - Toowoomba</x:v>
      </x:c>
      <x:c r="L2699" s="19" t="str">
        <x:v>Z005</x:v>
      </x:c>
      <x:c r="M2699" s="19" t="str">
        <x:v>Pre Delivery Warranty Claims</x:v>
      </x:c>
      <x:c r="N2699" s="37" t="n">
        <x:v>46099</x:v>
      </x:c>
      <x:c r="O2699" s="37"/>
      <x:c r="P2699" s="34" t="n">
        <x:v>0</x:v>
      </x:c>
      <x:c r="Q2699" s="37" t="n">
        <x:v>46146.9393287037</x:v>
      </x:c>
    </x:row>
    <x:row r="2700">
      <x:c r="A2700" s="22" t="n">
        <x:v>32523</x:v>
      </x:c>
      <x:c r="B2700" s="28" t="n">
        <x:v>705</x:v>
      </x:c>
      <x:c r="C2700" s="28"/>
      <x:c r="D2700" s="31" t="str">
        <x:f>IF(OR(ISBLANK(B2700),ISBLANK(C2700),B2700=0),"",(C2700-B2700)/B2700)</x:f>
      </x:c>
      <x:c r="E2700" s="22" t="str">
        <x:f>IF(ISBLANK(C2700),"AmountIncludingTax缺失",IF(ABS(B2700-C2700)&lt;0.005,"一致","不一致"))</x:f>
        <x:v>AmountIncludingTax缺失</x:v>
      </x:c>
      <x:c r="F2700" s="19" t="str">
        <x:v>approved</x:v>
      </x:c>
      <x:c r="G2700" s="19" t="str">
        <x:v>Repairer Invoiced Processed</x:v>
      </x:c>
      <x:c r="H2700" s="19" t="str">
        <x:v>In Field</x:v>
      </x:c>
      <x:c r="I2700" s="37" t="n">
        <x:v>46105</x:v>
      </x:c>
      <x:c r="J2700" s="37" t="n">
        <x:v>46105</x:v>
      </x:c>
      <x:c r="K2700" s="19" t="str">
        <x:v>Green RV - Forest Glen</x:v>
      </x:c>
      <x:c r="L2700" s="19" t="str">
        <x:v>Z006</x:v>
      </x:c>
      <x:c r="M2700" s="19" t="str">
        <x:v>In Field Warranty Claims</x:v>
      </x:c>
      <x:c r="N2700" s="37" t="n">
        <x:v>46099</x:v>
      </x:c>
      <x:c r="O2700" s="37"/>
      <x:c r="P2700" s="34" t="n">
        <x:v>0</x:v>
      </x:c>
      <x:c r="Q2700" s="37" t="n">
        <x:v>46105.1628125</x:v>
      </x:c>
    </x:row>
    <x:row r="2701">
      <x:c r="A2701" s="22" t="n">
        <x:v>32522</x:v>
      </x:c>
      <x:c r="B2701" s="28" t="n">
        <x:v>290</x:v>
      </x:c>
      <x:c r="C2701" s="28"/>
      <x:c r="D2701" s="31" t="str">
        <x:f>IF(OR(ISBLANK(B2701),ISBLANK(C2701),B2701=0),"",(C2701-B2701)/B2701)</x:f>
      </x:c>
      <x:c r="E2701" s="22" t="str">
        <x:f>IF(ISBLANK(C2701),"AmountIncludingTax缺失",IF(ABS(B2701-C2701)&lt;0.005,"一致","不一致"))</x:f>
        <x:v>AmountIncludingTax缺失</x:v>
      </x:c>
      <x:c r="F2701" s="19" t="str">
        <x:v>approved</x:v>
      </x:c>
      <x:c r="G2701" s="19" t="str">
        <x:v>Repair in Progress</x:v>
      </x:c>
      <x:c r="H2701" s="19" t="str">
        <x:v>In Field</x:v>
      </x:c>
      <x:c r="I2701" s="37" t="n">
        <x:v>46104</x:v>
      </x:c>
      <x:c r="J2701" s="37" t="n">
        <x:v>46104</x:v>
      </x:c>
      <x:c r="K2701" s="19" t="str">
        <x:v>Snowy River Geelong</x:v>
      </x:c>
      <x:c r="L2701" s="19" t="str">
        <x:v>Z006</x:v>
      </x:c>
      <x:c r="M2701" s="19" t="str">
        <x:v>In Field Warranty Claims</x:v>
      </x:c>
      <x:c r="N2701" s="37" t="n">
        <x:v>46099</x:v>
      </x:c>
      <x:c r="O2701" s="37"/>
      <x:c r="P2701" s="34" t="n">
        <x:v>0</x:v>
      </x:c>
      <x:c r="Q2701" s="37" t="n">
        <x:v>46104.21344907407</x:v>
      </x:c>
    </x:row>
    <x:row r="2702">
      <x:c r="A2702" s="22" t="n">
        <x:v>32519</x:v>
      </x:c>
      <x:c r="B2702" s="28" t="n">
        <x:v>101.25</x:v>
      </x:c>
      <x:c r="C2702" s="28"/>
      <x:c r="D2702" s="31" t="str">
        <x:f>IF(OR(ISBLANK(B2702),ISBLANK(C2702),B2702=0),"",(C2702-B2702)/B2702)</x:f>
      </x:c>
      <x:c r="E2702" s="22" t="str">
        <x:f>IF(ISBLANK(C2702),"AmountIncludingTax缺失",IF(ABS(B2702-C2702)&lt;0.005,"一致","不一致"))</x:f>
        <x:v>AmountIncludingTax缺失</x:v>
      </x:c>
      <x:c r="F2702" s="19" t="str">
        <x:v>approved</x:v>
      </x:c>
      <x:c r="G2702" s="19" t="str">
        <x:v>Sales Order Approved</x:v>
      </x:c>
      <x:c r="H2702" s="19" t="str">
        <x:v>Pre Delivery</x:v>
      </x:c>
      <x:c r="I2702" s="37" t="n">
        <x:v>46140</x:v>
      </x:c>
      <x:c r="J2702" s="37" t="n">
        <x:v>46140</x:v>
      </x:c>
      <x:c r="K2702" s="19" t="str">
        <x:v>Lesiure Lion-New Castle</x:v>
      </x:c>
      <x:c r="L2702" s="19" t="str">
        <x:v>Z005</x:v>
      </x:c>
      <x:c r="M2702" s="19" t="str">
        <x:v>Pre Delivery Warranty Claims</x:v>
      </x:c>
      <x:c r="N2702" s="37" t="n">
        <x:v>46099</x:v>
      </x:c>
      <x:c r="O2702" s="37"/>
      <x:c r="P2702" s="34" t="n">
        <x:v>0</x:v>
      </x:c>
      <x:c r="Q2702" s="37" t="n">
        <x:v>46140.23721064815</x:v>
      </x:c>
    </x:row>
    <x:row r="2703">
      <x:c r="A2703" s="22" t="n">
        <x:v>32517</x:v>
      </x:c>
      <x:c r="B2703" s="28" t="n">
        <x:v>540</x:v>
      </x:c>
      <x:c r="C2703" s="28" t="n">
        <x:v>594</x:v>
      </x:c>
      <x:c r="D2703" s="31" t="n">
        <x:f>IF(OR(ISBLANK(B2703),ISBLANK(C2703),B2703=0),"",(C2703-B2703)/B2703)</x:f>
        <x:v>0.1</x:v>
      </x:c>
      <x:c r="E2703" s="22" t="str">
        <x:f>IF(ISBLANK(C2703),"AmountIncludingTax缺失",IF(ABS(B2703-C2703)&lt;0.005,"一致","不一致"))</x:f>
        <x:v>不一致</x:v>
      </x:c>
      <x:c r="F2703" s="19" t="str">
        <x:v>approved</x:v>
      </x:c>
      <x:c r="G2703" s="19" t="str">
        <x:v>Repairer Invoiced Processed</x:v>
      </x:c>
      <x:c r="H2703" s="19" t="str">
        <x:v>In Field</x:v>
      </x:c>
      <x:c r="I2703" s="37" t="n">
        <x:v>46100</x:v>
      </x:c>
      <x:c r="J2703" s="37" t="n">
        <x:v>46100</x:v>
      </x:c>
      <x:c r="K2703" s="19" t="str">
        <x:v>Not Assigned</x:v>
      </x:c>
      <x:c r="L2703" s="19" t="str">
        <x:v>Z006</x:v>
      </x:c>
      <x:c r="M2703" s="19" t="str">
        <x:v>In Field Warranty Claims</x:v>
      </x:c>
      <x:c r="N2703" s="37" t="n">
        <x:v>46099</x:v>
      </x:c>
      <x:c r="O2703" s="37"/>
      <x:c r="P2703" s="34" t="n">
        <x:v>594</x:v>
      </x:c>
      <x:c r="Q2703" s="37" t="n">
        <x:v>46100.063888888886</x:v>
      </x:c>
    </x:row>
    <x:row r="2704">
      <x:c r="A2704" s="22" t="n">
        <x:v>32516</x:v>
      </x:c>
      <x:c r="B2704" s="28" t="n">
        <x:v>854.55</x:v>
      </x:c>
      <x:c r="C2704" s="28"/>
      <x:c r="D2704" s="31" t="str">
        <x:f>IF(OR(ISBLANK(B2704),ISBLANK(C2704),B2704=0),"",(C2704-B2704)/B2704)</x:f>
      </x:c>
      <x:c r="E2704" s="22" t="str">
        <x:f>IF(ISBLANK(C2704),"AmountIncludingTax缺失",IF(ABS(B2704-C2704)&lt;0.005,"一致","不一致"))</x:f>
        <x:v>AmountIncludingTax缺失</x:v>
      </x:c>
      <x:c r="F2704" s="19" t="str">
        <x:v>approved</x:v>
      </x:c>
      <x:c r="G2704" s="19" t="str">
        <x:v>Repairer Invoiced Processed</x:v>
      </x:c>
      <x:c r="H2704" s="19" t="str">
        <x:v>In Field</x:v>
      </x:c>
      <x:c r="I2704" s="37" t="n">
        <x:v>46100</x:v>
      </x:c>
      <x:c r="J2704" s="37" t="n">
        <x:v>46100</x:v>
      </x:c>
      <x:c r="K2704" s="19" t="str">
        <x:v>Green RV - Forest Glen</x:v>
      </x:c>
      <x:c r="L2704" s="19" t="str">
        <x:v>Z006</x:v>
      </x:c>
      <x:c r="M2704" s="19" t="str">
        <x:v>In Field Warranty Claims</x:v>
      </x:c>
      <x:c r="N2704" s="37" t="n">
        <x:v>46099</x:v>
      </x:c>
      <x:c r="O2704" s="37"/>
      <x:c r="P2704" s="34" t="n">
        <x:v>0</x:v>
      </x:c>
      <x:c r="Q2704" s="37" t="n">
        <x:v>46100.17003472222</x:v>
      </x:c>
    </x:row>
    <x:row r="2705">
      <x:c r="A2705" s="22" t="n">
        <x:v>32515</x:v>
      </x:c>
      <x:c r="B2705" s="28" t="n">
        <x:v>675</x:v>
      </x:c>
      <x:c r="C2705" s="28"/>
      <x:c r="D2705" s="31" t="str">
        <x:f>IF(OR(ISBLANK(B2705),ISBLANK(C2705),B2705=0),"",(C2705-B2705)/B2705)</x:f>
      </x:c>
      <x:c r="E2705" s="22" t="str">
        <x:f>IF(ISBLANK(C2705),"AmountIncludingTax缺失",IF(ABS(B2705-C2705)&lt;0.005,"一致","不一致"))</x:f>
        <x:v>AmountIncludingTax缺失</x:v>
      </x:c>
      <x:c r="F2705" s="19" t="str">
        <x:v>approved</x:v>
      </x:c>
      <x:c r="G2705" s="19" t="str">
        <x:v>Repair in Progress</x:v>
      </x:c>
      <x:c r="H2705" s="19" t="str">
        <x:v>In Field</x:v>
      </x:c>
      <x:c r="I2705" s="37" t="n">
        <x:v>46132</x:v>
      </x:c>
      <x:c r="J2705" s="37" t="n">
        <x:v>46132</x:v>
      </x:c>
      <x:c r="K2705" s="19" t="str">
        <x:v>Regent RV - Frankston</x:v>
      </x:c>
      <x:c r="L2705" s="19" t="str">
        <x:v>Z006</x:v>
      </x:c>
      <x:c r="M2705" s="19" t="str">
        <x:v>In Field Warranty Claims</x:v>
      </x:c>
      <x:c r="N2705" s="37" t="n">
        <x:v>46099</x:v>
      </x:c>
      <x:c r="O2705" s="37"/>
      <x:c r="P2705" s="34" t="n">
        <x:v>0</x:v>
      </x:c>
      <x:c r="Q2705" s="37" t="n">
        <x:v>46132.173125</x:v>
      </x:c>
    </x:row>
    <x:row r="2706">
      <x:c r="A2706" s="22" t="n">
        <x:v>32514</x:v>
      </x:c>
      <x:c r="B2706" s="28" t="n">
        <x:v>3081.25</x:v>
      </x:c>
      <x:c r="C2706" s="28"/>
      <x:c r="D2706" s="31" t="str">
        <x:f>IF(OR(ISBLANK(B2706),ISBLANK(C2706),B2706=0),"",(C2706-B2706)/B2706)</x:f>
      </x:c>
      <x:c r="E2706" s="22" t="str">
        <x:f>IF(ISBLANK(C2706),"AmountIncludingTax缺失",IF(ABS(B2706-C2706)&lt;0.005,"一致","不一致"))</x:f>
        <x:v>AmountIncludingTax缺失</x:v>
      </x:c>
      <x:c r="F2706" s="19" t="str">
        <x:v>approved</x:v>
      </x:c>
      <x:c r="G2706" s="19" t="str">
        <x:v>Partially Picked</x:v>
      </x:c>
      <x:c r="H2706" s="19" t="str">
        <x:v>Pre Delivery</x:v>
      </x:c>
      <x:c r="I2706" s="37" t="n">
        <x:v>46196</x:v>
      </x:c>
      <x:c r="J2706" s="37" t="n">
        <x:v>46196</x:v>
      </x:c>
      <x:c r="K2706" s="19" t="str">
        <x:v>Leisure Lion - Bundaberg</x:v>
      </x:c>
      <x:c r="L2706" s="19" t="str">
        <x:v>Z005</x:v>
      </x:c>
      <x:c r="M2706" s="19" t="str">
        <x:v>Pre Delivery Warranty Claims</x:v>
      </x:c>
      <x:c r="N2706" s="37" t="n">
        <x:v>46099</x:v>
      </x:c>
      <x:c r="O2706" s="37"/>
      <x:c r="P2706" s="34" t="n">
        <x:v>0</x:v>
      </x:c>
      <x:c r="Q2706" s="37" t="n">
        <x:v>46196.17413194444</x:v>
      </x:c>
    </x:row>
    <x:row r="2707">
      <x:c r="A2707" s="22" t="n">
        <x:v>32513</x:v>
      </x:c>
      <x:c r="B2707" s="28" t="n">
        <x:v>1278.48</x:v>
      </x:c>
      <x:c r="C2707" s="28"/>
      <x:c r="D2707" s="31" t="str">
        <x:f>IF(OR(ISBLANK(B2707),ISBLANK(C2707),B2707=0),"",(C2707-B2707)/B2707)</x:f>
      </x:c>
      <x:c r="E2707" s="22" t="str">
        <x:f>IF(ISBLANK(C2707),"AmountIncludingTax缺失",IF(ABS(B2707-C2707)&lt;0.005,"一致","不一致"))</x:f>
        <x:v>AmountIncludingTax缺失</x:v>
      </x:c>
      <x:c r="F2707" s="19" t="str">
        <x:v>approved</x:v>
      </x:c>
      <x:c r="G2707" s="19" t="str">
        <x:v>Repairer Invoiced Processed</x:v>
      </x:c>
      <x:c r="H2707" s="19" t="str">
        <x:v>In Field</x:v>
      </x:c>
      <x:c r="I2707" s="37" t="n">
        <x:v>46136</x:v>
      </x:c>
      <x:c r="J2707" s="37" t="n">
        <x:v>46104</x:v>
      </x:c>
      <x:c r="K2707" s="19" t="str">
        <x:v>Destiny RV - South Australia</x:v>
      </x:c>
      <x:c r="L2707" s="19" t="str">
        <x:v>Z006</x:v>
      </x:c>
      <x:c r="M2707" s="19" t="str">
        <x:v>In Field Warranty Claims</x:v>
      </x:c>
      <x:c r="N2707" s="37" t="n">
        <x:v>46099</x:v>
      </x:c>
      <x:c r="O2707" s="37"/>
      <x:c r="P2707" s="34" t="n">
        <x:v>0</x:v>
      </x:c>
      <x:c r="Q2707" s="37" t="n">
        <x:v>46136.12469907408</x:v>
      </x:c>
    </x:row>
    <x:row r="2708">
      <x:c r="A2708" s="22" t="n">
        <x:v>32510</x:v>
      </x:c>
      <x:c r="B2708" s="28" t="n">
        <x:v>405</x:v>
      </x:c>
      <x:c r="C2708" s="28"/>
      <x:c r="D2708" s="31" t="str">
        <x:f>IF(OR(ISBLANK(B2708),ISBLANK(C2708),B2708=0),"",(C2708-B2708)/B2708)</x:f>
      </x:c>
      <x:c r="E2708" s="22" t="str">
        <x:f>IF(ISBLANK(C2708),"AmountIncludingTax缺失",IF(ABS(B2708-C2708)&lt;0.005,"一致","不一致"))</x:f>
        <x:v>AmountIncludingTax缺失</x:v>
      </x:c>
      <x:c r="F2708" s="19" t="str">
        <x:v>approved</x:v>
      </x:c>
      <x:c r="G2708" s="19" t="str">
        <x:v>Partially Picked</x:v>
      </x:c>
      <x:c r="H2708" s="19" t="str">
        <x:v>In Field</x:v>
      </x:c>
      <x:c r="I2708" s="37" t="n">
        <x:v>46099</x:v>
      </x:c>
      <x:c r="J2708" s="37" t="n">
        <x:v>46099</x:v>
      </x:c>
      <x:c r="K2708" s="19" t="str">
        <x:v>Not Assigned</x:v>
      </x:c>
      <x:c r="L2708" s="19" t="str">
        <x:v>Z006</x:v>
      </x:c>
      <x:c r="M2708" s="19" t="str">
        <x:v>In Field Warranty Claims</x:v>
      </x:c>
      <x:c r="N2708" s="37" t="n">
        <x:v>46099</x:v>
      </x:c>
      <x:c r="O2708" s="37"/>
      <x:c r="P2708" s="34" t="n">
        <x:v>0</x:v>
      </x:c>
      <x:c r="Q2708" s="37" t="n">
        <x:v>46099.22516203704</x:v>
      </x:c>
    </x:row>
    <x:row r="2709">
      <x:c r="A2709" s="22" t="n">
        <x:v>32509</x:v>
      </x:c>
      <x:c r="B2709" s="28" t="n">
        <x:v>1217.5</x:v>
      </x:c>
      <x:c r="C2709" s="28"/>
      <x:c r="D2709" s="31" t="str">
        <x:f>IF(OR(ISBLANK(B2709),ISBLANK(C2709),B2709=0),"",(C2709-B2709)/B2709)</x:f>
      </x:c>
      <x:c r="E2709" s="22" t="str">
        <x:f>IF(ISBLANK(C2709),"AmountIncludingTax缺失",IF(ABS(B2709-C2709)&lt;0.005,"一致","不一致"))</x:f>
        <x:v>AmountIncludingTax缺失</x:v>
      </x:c>
      <x:c r="F2709" s="19" t="str">
        <x:v>approved</x:v>
      </x:c>
      <x:c r="G2709" s="19" t="str">
        <x:v>Repairer Invoiced Processed</x:v>
      </x:c>
      <x:c r="H2709" s="19" t="str">
        <x:v>In Field</x:v>
      </x:c>
      <x:c r="I2709" s="37" t="n">
        <x:v>46100</x:v>
      </x:c>
      <x:c r="J2709" s="37" t="n">
        <x:v>46100</x:v>
      </x:c>
      <x:c r="K2709" s="19" t="str">
        <x:v>Green RV - Forest Glen</x:v>
      </x:c>
      <x:c r="L2709" s="19" t="str">
        <x:v>Z006</x:v>
      </x:c>
      <x:c r="M2709" s="19" t="str">
        <x:v>In Field Warranty Claims</x:v>
      </x:c>
      <x:c r="N2709" s="37" t="n">
        <x:v>46099</x:v>
      </x:c>
      <x:c r="O2709" s="37"/>
      <x:c r="P2709" s="34" t="n">
        <x:v>0</x:v>
      </x:c>
      <x:c r="Q2709" s="37" t="n">
        <x:v>46100.1640625</x:v>
      </x:c>
    </x:row>
    <x:row r="2710">
      <x:c r="A2710" s="22" t="n">
        <x:v>32507</x:v>
      </x:c>
      <x:c r="B2710" s="28" t="n">
        <x:v>627.27</x:v>
      </x:c>
      <x:c r="C2710" s="28" t="n">
        <x:v>690</x:v>
      </x:c>
      <x:c r="D2710" s="31" t="n">
        <x:f>IF(OR(ISBLANK(B2710),ISBLANK(C2710),B2710=0),"",(C2710-B2710)/B2710)</x:f>
        <x:v>0.10000478262948972</x:v>
      </x:c>
      <x:c r="E2710" s="22" t="str">
        <x:f>IF(ISBLANK(C2710),"AmountIncludingTax缺失",IF(ABS(B2710-C2710)&lt;0.005,"一致","不一致"))</x:f>
        <x:v>不一致</x:v>
      </x:c>
      <x:c r="F2710" s="19" t="str">
        <x:v>approved</x:v>
      </x:c>
      <x:c r="G2710" s="19" t="str">
        <x:v>Repairer Invoiced Processed</x:v>
      </x:c>
      <x:c r="H2710" s="19" t="str">
        <x:v>In Field</x:v>
      </x:c>
      <x:c r="I2710" s="37" t="n">
        <x:v>46167</x:v>
      </x:c>
      <x:c r="J2710" s="37" t="n">
        <x:v>46167</x:v>
      </x:c>
      <x:c r="K2710" s="19" t="str">
        <x:v>Not Assigned</x:v>
      </x:c>
      <x:c r="L2710" s="19" t="str">
        <x:v>Z006</x:v>
      </x:c>
      <x:c r="M2710" s="19" t="str">
        <x:v>In Field Warranty Claims</x:v>
      </x:c>
      <x:c r="N2710" s="37" t="n">
        <x:v>46099</x:v>
      </x:c>
      <x:c r="O2710" s="37"/>
      <x:c r="P2710" s="34" t="n">
        <x:v>690</x:v>
      </x:c>
      <x:c r="Q2710" s="37" t="n">
        <x:v>46167.15521990741</x:v>
      </x:c>
    </x:row>
    <x:row r="2711">
      <x:c r="A2711" s="22" t="n">
        <x:v>32506</x:v>
      </x:c>
      <x:c r="B2711" s="28" t="n">
        <x:v>696.25</x:v>
      </x:c>
      <x:c r="C2711" s="28"/>
      <x:c r="D2711" s="31" t="str">
        <x:f>IF(OR(ISBLANK(B2711),ISBLANK(C2711),B2711=0),"",(C2711-B2711)/B2711)</x:f>
      </x:c>
      <x:c r="E2711" s="22" t="str">
        <x:f>IF(ISBLANK(C2711),"AmountIncludingTax缺失",IF(ABS(B2711-C2711)&lt;0.005,"一致","不一致"))</x:f>
        <x:v>AmountIncludingTax缺失</x:v>
      </x:c>
      <x:c r="F2711" s="19" t="str">
        <x:v>approved</x:v>
      </x:c>
      <x:c r="G2711" s="19" t="str">
        <x:v>Repair in Progress</x:v>
      </x:c>
      <x:c r="H2711" s="19" t="str">
        <x:v>In Field</x:v>
      </x:c>
      <x:c r="I2711" s="37" t="n">
        <x:v>46106</x:v>
      </x:c>
      <x:c r="J2711" s="37" t="n">
        <x:v>46106</x:v>
      </x:c>
      <x:c r="K2711" s="19" t="str">
        <x:v>ABCO Caravans - Boambee Valley</x:v>
      </x:c>
      <x:c r="L2711" s="19" t="str">
        <x:v>Z006</x:v>
      </x:c>
      <x:c r="M2711" s="19" t="str">
        <x:v>In Field Warranty Claims</x:v>
      </x:c>
      <x:c r="N2711" s="37" t="n">
        <x:v>46099</x:v>
      </x:c>
      <x:c r="O2711" s="37"/>
      <x:c r="P2711" s="34" t="n">
        <x:v>0</x:v>
      </x:c>
      <x:c r="Q2711" s="37" t="n">
        <x:v>46105.992106481484</x:v>
      </x:c>
    </x:row>
    <x:row r="2712">
      <x:c r="A2712" s="22" t="n">
        <x:v>32504</x:v>
      </x:c>
      <x:c r="B2712" s="28" t="n">
        <x:v>580</x:v>
      </x:c>
      <x:c r="C2712" s="28"/>
      <x:c r="D2712" s="31" t="str">
        <x:f>IF(OR(ISBLANK(B2712),ISBLANK(C2712),B2712=0),"",(C2712-B2712)/B2712)</x:f>
      </x:c>
      <x:c r="E2712" s="22" t="str">
        <x:f>IF(ISBLANK(C2712),"AmountIncludingTax缺失",IF(ABS(B2712-C2712)&lt;0.005,"一致","不一致"))</x:f>
        <x:v>AmountIncludingTax缺失</x:v>
      </x:c>
      <x:c r="F2712" s="19" t="str">
        <x:v>approved</x:v>
      </x:c>
      <x:c r="G2712" s="19" t="str">
        <x:v>Repair in Progress</x:v>
      </x:c>
      <x:c r="H2712" s="19" t="str">
        <x:v>In Field</x:v>
      </x:c>
      <x:c r="I2712" s="37" t="n">
        <x:v>46107</x:v>
      </x:c>
      <x:c r="J2712" s="37" t="n">
        <x:v>46107</x:v>
      </x:c>
      <x:c r="K2712" s="19" t="str">
        <x:v>Regent RV - Perth</x:v>
      </x:c>
      <x:c r="L2712" s="19" t="str">
        <x:v>Z006</x:v>
      </x:c>
      <x:c r="M2712" s="19" t="str">
        <x:v>In Field Warranty Claims</x:v>
      </x:c>
      <x:c r="N2712" s="37" t="n">
        <x:v>46099</x:v>
      </x:c>
      <x:c r="O2712" s="37"/>
      <x:c r="P2712" s="34" t="n">
        <x:v>0</x:v>
      </x:c>
      <x:c r="Q2712" s="37" t="n">
        <x:v>46107.143379629626</x:v>
      </x:c>
    </x:row>
    <x:row r="2713">
      <x:c r="A2713" s="22" t="n">
        <x:v>32502</x:v>
      </x:c>
      <x:c r="B2713" s="28" t="n">
        <x:v>1772.51</x:v>
      </x:c>
      <x:c r="C2713" s="28"/>
      <x:c r="D2713" s="31" t="str">
        <x:f>IF(OR(ISBLANK(B2713),ISBLANK(C2713),B2713=0),"",(C2713-B2713)/B2713)</x:f>
      </x:c>
      <x:c r="E2713" s="22" t="str">
        <x:f>IF(ISBLANK(C2713),"AmountIncludingTax缺失",IF(ABS(B2713-C2713)&lt;0.005,"一致","不一致"))</x:f>
        <x:v>AmountIncludingTax缺失</x:v>
      </x:c>
      <x:c r="F2713" s="19" t="str">
        <x:v>approved</x:v>
      </x:c>
      <x:c r="G2713" s="19" t="str">
        <x:v>Repairer Invoiced Processed</x:v>
      </x:c>
      <x:c r="H2713" s="19" t="str">
        <x:v>Pre Delivery</x:v>
      </x:c>
      <x:c r="I2713" s="37" t="n">
        <x:v>46154</x:v>
      </x:c>
      <x:c r="J2713" s="37" t="n">
        <x:v>46154</x:v>
      </x:c>
      <x:c r="K2713" s="19" t="str">
        <x:v>Leisure Lion - Bundaberg</x:v>
      </x:c>
      <x:c r="L2713" s="19" t="str">
        <x:v>Z005</x:v>
      </x:c>
      <x:c r="M2713" s="19" t="str">
        <x:v>Pre Delivery Warranty Claims</x:v>
      </x:c>
      <x:c r="N2713" s="37" t="n">
        <x:v>46099</x:v>
      </x:c>
      <x:c r="O2713" s="37"/>
      <x:c r="P2713" s="34" t="n">
        <x:v>0</x:v>
      </x:c>
      <x:c r="Q2713" s="37" t="n">
        <x:v>46153.97712962963</x:v>
      </x:c>
    </x:row>
    <x:row r="2714">
      <x:c r="A2714" s="22" t="n">
        <x:v>32500</x:v>
      </x:c>
      <x:c r="B2714" s="28" t="n">
        <x:v>508.5</x:v>
      </x:c>
      <x:c r="C2714" s="28" t="n">
        <x:v>460.4</x:v>
      </x:c>
      <x:c r="D2714" s="31" t="n">
        <x:f>IF(OR(ISBLANK(B2714),ISBLANK(C2714),B2714=0),"",(C2714-B2714)/B2714)</x:f>
        <x:v>-0.09459193706981323</x:v>
      </x:c>
      <x:c r="E2714" s="22" t="str">
        <x:f>IF(ISBLANK(C2714),"AmountIncludingTax缺失",IF(ABS(B2714-C2714)&lt;0.005,"一致","不一致"))</x:f>
        <x:v>不一致</x:v>
      </x:c>
      <x:c r="F2714" s="19" t="str">
        <x:v>approved</x:v>
      </x:c>
      <x:c r="G2714" s="19" t="str">
        <x:v>Repairer Invoiced Processed</x:v>
      </x:c>
      <x:c r="H2714" s="19" t="str">
        <x:v>In Field</x:v>
      </x:c>
      <x:c r="I2714" s="37" t="n">
        <x:v>46105</x:v>
      </x:c>
      <x:c r="J2714" s="37" t="n">
        <x:v>46105</x:v>
      </x:c>
      <x:c r="K2714" s="19" t="str">
        <x:v>Vanari Caravans - Marden Point</x:v>
      </x:c>
      <x:c r="L2714" s="19" t="str">
        <x:v>Z006</x:v>
      </x:c>
      <x:c r="M2714" s="19" t="str">
        <x:v>In Field Warranty Claims</x:v>
      </x:c>
      <x:c r="N2714" s="37" t="n">
        <x:v>46099</x:v>
      </x:c>
      <x:c r="O2714" s="37"/>
      <x:c r="P2714" s="34" t="n">
        <x:v>460.4</x:v>
      </x:c>
      <x:c r="Q2714" s="37" t="n">
        <x:v>46104.98233796296</x:v>
      </x:c>
    </x:row>
    <x:row r="2715">
      <x:c r="A2715" s="22" t="n">
        <x:v>32499</x:v>
      </x:c>
      <x:c r="B2715" s="28" t="n">
        <x:v>188.75</x:v>
      </x:c>
      <x:c r="C2715" s="28"/>
      <x:c r="D2715" s="31" t="str">
        <x:f>IF(OR(ISBLANK(B2715),ISBLANK(C2715),B2715=0),"",(C2715-B2715)/B2715)</x:f>
      </x:c>
      <x:c r="E2715" s="22" t="str">
        <x:f>IF(ISBLANK(C2715),"AmountIncludingTax缺失",IF(ABS(B2715-C2715)&lt;0.005,"一致","不一致"))</x:f>
        <x:v>AmountIncludingTax缺失</x:v>
      </x:c>
      <x:c r="F2715" s="19" t="str">
        <x:v>approved</x:v>
      </x:c>
      <x:c r="G2715" s="19" t="str">
        <x:v>Repairer Invoiced Processed</x:v>
      </x:c>
      <x:c r="H2715" s="19" t="str">
        <x:v>In Field</x:v>
      </x:c>
      <x:c r="I2715" s="37" t="n">
        <x:v>46105</x:v>
      </x:c>
      <x:c r="J2715" s="37" t="n">
        <x:v>46105</x:v>
      </x:c>
      <x:c r="K2715" s="19" t="str">
        <x:v>Not Assigned</x:v>
      </x:c>
      <x:c r="L2715" s="19" t="str">
        <x:v>Z006</x:v>
      </x:c>
      <x:c r="M2715" s="19" t="str">
        <x:v>In Field Warranty Claims</x:v>
      </x:c>
      <x:c r="N2715" s="37" t="n">
        <x:v>46099</x:v>
      </x:c>
      <x:c r="O2715" s="37"/>
      <x:c r="P2715" s="34" t="n">
        <x:v>0</x:v>
      </x:c>
      <x:c r="Q2715" s="37" t="n">
        <x:v>46105.11253472222</x:v>
      </x:c>
    </x:row>
    <x:row r="2716">
      <x:c r="A2716" s="22" t="n">
        <x:v>32498</x:v>
      </x:c>
      <x:c r="B2716" s="28" t="n">
        <x:v>1700</x:v>
      </x:c>
      <x:c r="C2716" s="28"/>
      <x:c r="D2716" s="31" t="str">
        <x:f>IF(OR(ISBLANK(B2716),ISBLANK(C2716),B2716=0),"",(C2716-B2716)/B2716)</x:f>
      </x:c>
      <x:c r="E2716" s="22" t="str">
        <x:f>IF(ISBLANK(C2716),"AmountIncludingTax缺失",IF(ABS(B2716-C2716)&lt;0.005,"一致","不一致"))</x:f>
        <x:v>AmountIncludingTax缺失</x:v>
      </x:c>
      <x:c r="F2716" s="19" t="str">
        <x:v>approved</x:v>
      </x:c>
      <x:c r="G2716" s="19" t="str">
        <x:v>Partially Picked</x:v>
      </x:c>
      <x:c r="H2716" s="19" t="str">
        <x:v>Pre Delivery</x:v>
      </x:c>
      <x:c r="I2716" s="37" t="n">
        <x:v>46156</x:v>
      </x:c>
      <x:c r="J2716" s="37" t="n">
        <x:v>46156</x:v>
      </x:c>
      <x:c r="K2716" s="19" t="str">
        <x:v>Lesiure Lion-New Castle</x:v>
      </x:c>
      <x:c r="L2716" s="19" t="str">
        <x:v>Z005</x:v>
      </x:c>
      <x:c r="M2716" s="19" t="str">
        <x:v>Pre Delivery Warranty Claims</x:v>
      </x:c>
      <x:c r="N2716" s="37" t="n">
        <x:v>46099</x:v>
      </x:c>
      <x:c r="O2716" s="37"/>
      <x:c r="P2716" s="34" t="n">
        <x:v>0</x:v>
      </x:c>
      <x:c r="Q2716" s="37" t="n">
        <x:v>46156.03493055556</x:v>
      </x:c>
    </x:row>
    <x:row r="2717">
      <x:c r="A2717" s="22" t="n">
        <x:v>32497</x:v>
      </x:c>
      <x:c r="B2717" s="28" t="n">
        <x:v>677</x:v>
      </x:c>
      <x:c r="C2717" s="28" t="n">
        <x:v>744.7</x:v>
      </x:c>
      <x:c r="D2717" s="31" t="n">
        <x:f>IF(OR(ISBLANK(B2717),ISBLANK(C2717),B2717=0),"",(C2717-B2717)/B2717)</x:f>
        <x:v>0.10000000000000006</x:v>
      </x:c>
      <x:c r="E2717" s="22" t="str">
        <x:f>IF(ISBLANK(C2717),"AmountIncludingTax缺失",IF(ABS(B2717-C2717)&lt;0.005,"一致","不一致"))</x:f>
        <x:v>不一致</x:v>
      </x:c>
      <x:c r="F2717" s="19" t="str">
        <x:v>approved</x:v>
      </x:c>
      <x:c r="G2717" s="19" t="str">
        <x:v>Repairer Invoiced Processed</x:v>
      </x:c>
      <x:c r="H2717" s="19" t="str">
        <x:v>In Field</x:v>
      </x:c>
      <x:c r="I2717" s="37" t="n">
        <x:v>46150</x:v>
      </x:c>
      <x:c r="J2717" s="37" t="n">
        <x:v>46150</x:v>
      </x:c>
      <x:c r="K2717" s="19" t="str">
        <x:v>Regent RV - Perth</x:v>
      </x:c>
      <x:c r="L2717" s="19" t="str">
        <x:v>Z006</x:v>
      </x:c>
      <x:c r="M2717" s="19" t="str">
        <x:v>In Field Warranty Claims</x:v>
      </x:c>
      <x:c r="N2717" s="37" t="n">
        <x:v>46099</x:v>
      </x:c>
      <x:c r="O2717" s="37"/>
      <x:c r="P2717" s="34" t="n">
        <x:v>744.7</x:v>
      </x:c>
      <x:c r="Q2717" s="37" t="n">
        <x:v>46150.20423611111</x:v>
      </x:c>
    </x:row>
    <x:row r="2718">
      <x:c r="A2718" s="22" t="n">
        <x:v>32496</x:v>
      </x:c>
      <x:c r="B2718" s="28" t="n">
        <x:v>145</x:v>
      </x:c>
      <x:c r="C2718" s="28"/>
      <x:c r="D2718" s="31" t="str">
        <x:f>IF(OR(ISBLANK(B2718),ISBLANK(C2718),B2718=0),"",(C2718-B2718)/B2718)</x:f>
      </x:c>
      <x:c r="E2718" s="22" t="str">
        <x:f>IF(ISBLANK(C2718),"AmountIncludingTax缺失",IF(ABS(B2718-C2718)&lt;0.005,"一致","不一致"))</x:f>
        <x:v>AmountIncludingTax缺失</x:v>
      </x:c>
      <x:c r="F2718" s="19" t="str">
        <x:v>approved</x:v>
      </x:c>
      <x:c r="G2718" s="19" t="str">
        <x:v>Repair in Progress</x:v>
      </x:c>
      <x:c r="H2718" s="19" t="str">
        <x:v>In Field</x:v>
      </x:c>
      <x:c r="I2718" s="37" t="n">
        <x:v>46101</x:v>
      </x:c>
      <x:c r="J2718" s="37" t="n">
        <x:v>46101</x:v>
      </x:c>
      <x:c r="K2718" s="19" t="str">
        <x:v>The Caravan Hub - Townsville</x:v>
      </x:c>
      <x:c r="L2718" s="19" t="str">
        <x:v>Z006</x:v>
      </x:c>
      <x:c r="M2718" s="19" t="str">
        <x:v>In Field Warranty Claims</x:v>
      </x:c>
      <x:c r="N2718" s="37" t="n">
        <x:v>46099</x:v>
      </x:c>
      <x:c r="O2718" s="37"/>
      <x:c r="P2718" s="34" t="n">
        <x:v>0</x:v>
      </x:c>
      <x:c r="Q2718" s="37" t="n">
        <x:v>46101.11797453704</x:v>
      </x:c>
    </x:row>
    <x:row r="2719">
      <x:c r="A2719" s="22" t="n">
        <x:v>32495</x:v>
      </x:c>
      <x:c r="B2719" s="28" t="n">
        <x:v>507.06</x:v>
      </x:c>
      <x:c r="C2719" s="28" t="n">
        <x:v>557.77</x:v>
      </x:c>
      <x:c r="D2719" s="31" t="n">
        <x:f>IF(OR(ISBLANK(B2719),ISBLANK(C2719),B2719=0),"",(C2719-B2719)/B2719)</x:f>
        <x:v>0.10000788861278741</x:v>
      </x:c>
      <x:c r="E2719" s="22" t="str">
        <x:f>IF(ISBLANK(C2719),"AmountIncludingTax缺失",IF(ABS(B2719-C2719)&lt;0.005,"一致","不一致"))</x:f>
        <x:v>不一致</x:v>
      </x:c>
      <x:c r="F2719" s="19" t="str">
        <x:v>approved</x:v>
      </x:c>
      <x:c r="G2719" s="19" t="str">
        <x:v>Repair in Progress</x:v>
      </x:c>
      <x:c r="H2719" s="19" t="str">
        <x:v>In Field</x:v>
      </x:c>
      <x:c r="I2719" s="37" t="n">
        <x:v>46139</x:v>
      </x:c>
      <x:c r="J2719" s="37" t="n">
        <x:v>46139</x:v>
      </x:c>
      <x:c r="K2719" s="19" t="str">
        <x:v>The Caravan Hub - Townsville</x:v>
      </x:c>
      <x:c r="L2719" s="19" t="str">
        <x:v>Z006</x:v>
      </x:c>
      <x:c r="M2719" s="19" t="str">
        <x:v>In Field Warranty Claims</x:v>
      </x:c>
      <x:c r="N2719" s="37" t="n">
        <x:v>46099</x:v>
      </x:c>
      <x:c r="O2719" s="37"/>
      <x:c r="P2719" s="34" t="n">
        <x:v>557.77</x:v>
      </x:c>
      <x:c r="Q2719" s="37" t="n">
        <x:v>46139.52454861111</x:v>
      </x:c>
    </x:row>
    <x:row r="2720">
      <x:c r="A2720" s="22" t="n">
        <x:v>32491</x:v>
      </x:c>
      <x:c r="B2720" s="28" t="n">
        <x:v>170</x:v>
      </x:c>
      <x:c r="C2720" s="28" t="n">
        <x:v>187</x:v>
      </x:c>
      <x:c r="D2720" s="31" t="n">
        <x:f>IF(OR(ISBLANK(B2720),ISBLANK(C2720),B2720=0),"",(C2720-B2720)/B2720)</x:f>
        <x:v>0.1</x:v>
      </x:c>
      <x:c r="E2720" s="22" t="str">
        <x:f>IF(ISBLANK(C2720),"AmountIncludingTax缺失",IF(ABS(B2720-C2720)&lt;0.005,"一致","不一致"))</x:f>
        <x:v>不一致</x:v>
      </x:c>
      <x:c r="F2720" s="19" t="str">
        <x:v>approved</x:v>
      </x:c>
      <x:c r="G2720" s="19" t="str">
        <x:v>Repairer Invoiced Processed</x:v>
      </x:c>
      <x:c r="H2720" s="19" t="str">
        <x:v>In Field</x:v>
      </x:c>
      <x:c r="I2720" s="37" t="n">
        <x:v>46099</x:v>
      </x:c>
      <x:c r="J2720" s="37" t="n">
        <x:v>46099</x:v>
      </x:c>
      <x:c r="K2720" s="19" t="str">
        <x:v>Not Assigned</x:v>
      </x:c>
      <x:c r="L2720" s="19" t="str">
        <x:v>Z006</x:v>
      </x:c>
      <x:c r="M2720" s="19" t="str">
        <x:v>In Field Warranty Claims</x:v>
      </x:c>
      <x:c r="N2720" s="37" t="n">
        <x:v>46099</x:v>
      </x:c>
      <x:c r="O2720" s="37"/>
      <x:c r="P2720" s="34" t="n">
        <x:v>187</x:v>
      </x:c>
      <x:c r="Q2720" s="37" t="n">
        <x:v>46099.054606481484</x:v>
      </x:c>
    </x:row>
    <x:row r="2721">
      <x:c r="A2721" s="22" t="n">
        <x:v>32490</x:v>
      </x:c>
      <x:c r="B2721" s="28" t="n">
        <x:v>521.25</x:v>
      </x:c>
      <x:c r="C2721" s="28"/>
      <x:c r="D2721" s="31" t="str">
        <x:f>IF(OR(ISBLANK(B2721),ISBLANK(C2721),B2721=0),"",(C2721-B2721)/B2721)</x:f>
      </x:c>
      <x:c r="E2721" s="22" t="str">
        <x:f>IF(ISBLANK(C2721),"AmountIncludingTax缺失",IF(ABS(B2721-C2721)&lt;0.005,"一致","不一致"))</x:f>
        <x:v>AmountIncludingTax缺失</x:v>
      </x:c>
      <x:c r="F2721" s="19" t="str">
        <x:v>approved</x:v>
      </x:c>
      <x:c r="G2721" s="19" t="str">
        <x:v>Repairer Invoiced Processed</x:v>
      </x:c>
      <x:c r="H2721" s="19" t="str">
        <x:v>In Field</x:v>
      </x:c>
      <x:c r="I2721" s="37" t="n">
        <x:v>46104</x:v>
      </x:c>
      <x:c r="J2721" s="37" t="n">
        <x:v>46104</x:v>
      </x:c>
      <x:c r="K2721" s="19" t="str">
        <x:v>Green RV - Slacks Creek</x:v>
      </x:c>
      <x:c r="L2721" s="19" t="str">
        <x:v>Z006</x:v>
      </x:c>
      <x:c r="M2721" s="19" t="str">
        <x:v>In Field Warranty Claims</x:v>
      </x:c>
      <x:c r="N2721" s="37" t="n">
        <x:v>46099</x:v>
      </x:c>
      <x:c r="O2721" s="37"/>
      <x:c r="P2721" s="34" t="n">
        <x:v>0</x:v>
      </x:c>
      <x:c r="Q2721" s="37" t="n">
        <x:v>46104.188425925924</x:v>
      </x:c>
    </x:row>
    <x:row r="2722">
      <x:c r="A2722" s="22" t="n">
        <x:v>32487</x:v>
      </x:c>
      <x:c r="B2722" s="28" t="n">
        <x:v>143.41</x:v>
      </x:c>
      <x:c r="C2722" s="28" t="n">
        <x:v>157.75</x:v>
      </x:c>
      <x:c r="D2722" s="31" t="n">
        <x:f>IF(OR(ISBLANK(B2722),ISBLANK(C2722),B2722=0),"",(C2722-B2722)/B2722)</x:f>
        <x:v>0.09999302698556589</x:v>
      </x:c>
      <x:c r="E2722" s="22" t="str">
        <x:f>IF(ISBLANK(C2722),"AmountIncludingTax缺失",IF(ABS(B2722-C2722)&lt;0.005,"一致","不一致"))</x:f>
        <x:v>不一致</x:v>
      </x:c>
      <x:c r="F2722" s="19" t="str">
        <x:v>approved</x:v>
      </x:c>
      <x:c r="G2722" s="19" t="str">
        <x:v>Repairer Invoiced Processed</x:v>
      </x:c>
      <x:c r="H2722" s="19" t="str">
        <x:v>In Field</x:v>
      </x:c>
      <x:c r="I2722" s="37" t="n">
        <x:v>46106</x:v>
      </x:c>
      <x:c r="J2722" s="37" t="n">
        <x:v>46106</x:v>
      </x:c>
      <x:c r="K2722" s="19" t="str">
        <x:v>ABCO Caravans - Boambee Valley</x:v>
      </x:c>
      <x:c r="L2722" s="19" t="str">
        <x:v>Z006</x:v>
      </x:c>
      <x:c r="M2722" s="19" t="str">
        <x:v>In Field Warranty Claims</x:v>
      </x:c>
      <x:c r="N2722" s="37" t="n">
        <x:v>46099</x:v>
      </x:c>
      <x:c r="O2722" s="37"/>
      <x:c r="P2722" s="34" t="n">
        <x:v>157.75</x:v>
      </x:c>
      <x:c r="Q2722" s="37" t="n">
        <x:v>46105.905173611114</x:v>
      </x:c>
    </x:row>
    <x:row r="2723">
      <x:c r="A2723" s="22" t="n">
        <x:v>32486</x:v>
      </x:c>
      <x:c r="B2723" s="28" t="n">
        <x:v>67.5</x:v>
      </x:c>
      <x:c r="C2723" s="28" t="n">
        <x:v>74.25</x:v>
      </x:c>
      <x:c r="D2723" s="31" t="n">
        <x:f>IF(OR(ISBLANK(B2723),ISBLANK(C2723),B2723=0),"",(C2723-B2723)/B2723)</x:f>
        <x:v>0.1</x:v>
      </x:c>
      <x:c r="E2723" s="22" t="str">
        <x:f>IF(ISBLANK(C2723),"AmountIncludingTax缺失",IF(ABS(B2723-C2723)&lt;0.005,"一致","不一致"))</x:f>
        <x:v>不一致</x:v>
      </x:c>
      <x:c r="F2723" s="19" t="str">
        <x:v>approved</x:v>
      </x:c>
      <x:c r="G2723" s="19" t="str">
        <x:v>Repair in Progress</x:v>
      </x:c>
      <x:c r="H2723" s="19" t="str">
        <x:v>In Field</x:v>
      </x:c>
      <x:c r="I2723" s="37" t="n">
        <x:v>46107</x:v>
      </x:c>
      <x:c r="J2723" s="37" t="n">
        <x:v>46107</x:v>
      </x:c>
      <x:c r="K2723" s="19" t="str">
        <x:v>Not Assigned</x:v>
      </x:c>
      <x:c r="L2723" s="19" t="str">
        <x:v>Z006</x:v>
      </x:c>
      <x:c r="M2723" s="19" t="str">
        <x:v>In Field Warranty Claims</x:v>
      </x:c>
      <x:c r="N2723" s="37" t="n">
        <x:v>46099</x:v>
      </x:c>
      <x:c r="O2723" s="37"/>
      <x:c r="P2723" s="34" t="n">
        <x:v>74.25</x:v>
      </x:c>
      <x:c r="Q2723" s="37" t="n">
        <x:v>46107.06417824074</x:v>
      </x:c>
    </x:row>
    <x:row r="2724">
      <x:c r="A2724" s="22" t="n">
        <x:v>32485</x:v>
      </x:c>
      <x:c r="B2724" s="28" t="n">
        <x:v>1257.32</x:v>
      </x:c>
      <x:c r="C2724" s="28"/>
      <x:c r="D2724" s="31" t="str">
        <x:f>IF(OR(ISBLANK(B2724),ISBLANK(C2724),B2724=0),"",(C2724-B2724)/B2724)</x:f>
      </x:c>
      <x:c r="E2724" s="22" t="str">
        <x:f>IF(ISBLANK(C2724),"AmountIncludingTax缺失",IF(ABS(B2724-C2724)&lt;0.005,"一致","不一致"))</x:f>
        <x:v>AmountIncludingTax缺失</x:v>
      </x:c>
      <x:c r="F2724" s="19" t="str">
        <x:v>approved</x:v>
      </x:c>
      <x:c r="G2724" s="19" t="str">
        <x:v>Repair in Progress</x:v>
      </x:c>
      <x:c r="H2724" s="19" t="str">
        <x:v>In Field</x:v>
      </x:c>
      <x:c r="I2724" s="37" t="n">
        <x:v>46155</x:v>
      </x:c>
      <x:c r="J2724" s="37" t="n">
        <x:v>46107</x:v>
      </x:c>
      <x:c r="K2724" s="19" t="str">
        <x:v>Regent RV - Toowoomba</x:v>
      </x:c>
      <x:c r="L2724" s="19" t="str">
        <x:v>Z006</x:v>
      </x:c>
      <x:c r="M2724" s="19" t="str">
        <x:v>In Field Warranty Claims</x:v>
      </x:c>
      <x:c r="N2724" s="37" t="n">
        <x:v>46099</x:v>
      </x:c>
      <x:c r="O2724" s="37"/>
      <x:c r="P2724" s="34" t="n">
        <x:v>1983.81</x:v>
      </x:c>
      <x:c r="Q2724" s="37" t="n">
        <x:v>46155.18759259259</x:v>
      </x:c>
    </x:row>
    <x:row r="2725">
      <x:c r="A2725" s="22" t="n">
        <x:v>32484</x:v>
      </x:c>
      <x:c r="B2725" s="28" t="n">
        <x:v>875.04</x:v>
      </x:c>
      <x:c r="C2725" s="28"/>
      <x:c r="D2725" s="31" t="str">
        <x:f>IF(OR(ISBLANK(B2725),ISBLANK(C2725),B2725=0),"",(C2725-B2725)/B2725)</x:f>
      </x:c>
      <x:c r="E2725" s="22" t="str">
        <x:f>IF(ISBLANK(C2725),"AmountIncludingTax缺失",IF(ABS(B2725-C2725)&lt;0.005,"一致","不一致"))</x:f>
        <x:v>AmountIncludingTax缺失</x:v>
      </x:c>
      <x:c r="F2725" s="19" t="str">
        <x:v>approved</x:v>
      </x:c>
      <x:c r="G2725" s="19" t="str">
        <x:v>Partially Picked</x:v>
      </x:c>
      <x:c r="H2725" s="19" t="str">
        <x:v>In Field</x:v>
      </x:c>
      <x:c r="I2725" s="37" t="n">
        <x:v>46157</x:v>
      </x:c>
      <x:c r="J2725" s="37" t="n">
        <x:v>46157</x:v>
      </x:c>
      <x:c r="K2725" s="19" t="str">
        <x:v>Not Assigned</x:v>
      </x:c>
      <x:c r="L2725" s="19" t="str">
        <x:v>Z006</x:v>
      </x:c>
      <x:c r="M2725" s="19" t="str">
        <x:v>In Field Warranty Claims</x:v>
      </x:c>
      <x:c r="N2725" s="37" t="n">
        <x:v>46099</x:v>
      </x:c>
      <x:c r="O2725" s="37"/>
      <x:c r="P2725" s="34" t="n">
        <x:v>0</x:v>
      </x:c>
      <x:c r="Q2725" s="37" t="n">
        <x:v>46157.09039351852</x:v>
      </x:c>
    </x:row>
    <x:row r="2726">
      <x:c r="A2726" s="22" t="n">
        <x:v>32483</x:v>
      </x:c>
      <x:c r="B2726" s="28" t="n">
        <x:v>1360</x:v>
      </x:c>
      <x:c r="C2726" s="28"/>
      <x:c r="D2726" s="31" t="str">
        <x:f>IF(OR(ISBLANK(B2726),ISBLANK(C2726),B2726=0),"",(C2726-B2726)/B2726)</x:f>
      </x:c>
      <x:c r="E2726" s="22" t="str">
        <x:f>IF(ISBLANK(C2726),"AmountIncludingTax缺失",IF(ABS(B2726-C2726)&lt;0.005,"一致","不一致"))</x:f>
        <x:v>AmountIncludingTax缺失</x:v>
      </x:c>
      <x:c r="F2726" s="19" t="str">
        <x:v>approved</x:v>
      </x:c>
      <x:c r="G2726" s="19" t="str">
        <x:v>Partially Picked</x:v>
      </x:c>
      <x:c r="H2726" s="19" t="str">
        <x:v>In Field</x:v>
      </x:c>
      <x:c r="I2726" s="37" t="n">
        <x:v>46107</x:v>
      </x:c>
      <x:c r="J2726" s="37" t="n">
        <x:v>46107</x:v>
      </x:c>
      <x:c r="K2726" s="19" t="str">
        <x:v>Not Assigned</x:v>
      </x:c>
      <x:c r="L2726" s="19" t="str">
        <x:v>Z006</x:v>
      </x:c>
      <x:c r="M2726" s="19" t="str">
        <x:v>In Field Warranty Claims</x:v>
      </x:c>
      <x:c r="N2726" s="37" t="n">
        <x:v>46099</x:v>
      </x:c>
      <x:c r="O2726" s="37"/>
      <x:c r="P2726" s="34" t="n">
        <x:v>0</x:v>
      </x:c>
      <x:c r="Q2726" s="37" t="n">
        <x:v>46106.90524305555</x:v>
      </x:c>
    </x:row>
    <x:row r="2727">
      <x:c r="A2727" s="22" t="n">
        <x:v>32482</x:v>
      </x:c>
      <x:c r="B2727" s="28" t="n">
        <x:v>540</x:v>
      </x:c>
      <x:c r="C2727" s="28"/>
      <x:c r="D2727" s="31" t="str">
        <x:f>IF(OR(ISBLANK(B2727),ISBLANK(C2727),B2727=0),"",(C2727-B2727)/B2727)</x:f>
      </x:c>
      <x:c r="E2727" s="22" t="str">
        <x:f>IF(ISBLANK(C2727),"AmountIncludingTax缺失",IF(ABS(B2727-C2727)&lt;0.005,"一致","不一致"))</x:f>
        <x:v>AmountIncludingTax缺失</x:v>
      </x:c>
      <x:c r="F2727" s="19" t="str">
        <x:v>approved</x:v>
      </x:c>
      <x:c r="G2727" s="19" t="str">
        <x:v>Repair in Progress</x:v>
      </x:c>
      <x:c r="H2727" s="19" t="str">
        <x:v>In Field</x:v>
      </x:c>
      <x:c r="I2727" s="37" t="n">
        <x:v>46108</x:v>
      </x:c>
      <x:c r="J2727" s="37" t="n">
        <x:v>46108</x:v>
      </x:c>
      <x:c r="K2727" s="19" t="str">
        <x:v>Regent RV - Perth</x:v>
      </x:c>
      <x:c r="L2727" s="19" t="str">
        <x:v>Z006</x:v>
      </x:c>
      <x:c r="M2727" s="19" t="str">
        <x:v>In Field Warranty Claims</x:v>
      </x:c>
      <x:c r="N2727" s="37" t="n">
        <x:v>46099</x:v>
      </x:c>
      <x:c r="O2727" s="37"/>
      <x:c r="P2727" s="34" t="n">
        <x:v>0</x:v>
      </x:c>
      <x:c r="Q2727" s="37" t="n">
        <x:v>46108.17015046296</x:v>
      </x:c>
    </x:row>
    <x:row r="2728">
      <x:c r="A2728" s="22" t="n">
        <x:v>32481</x:v>
      </x:c>
      <x:c r="B2728" s="28" t="n">
        <x:v>20</x:v>
      </x:c>
      <x:c r="C2728" s="28"/>
      <x:c r="D2728" s="31" t="str">
        <x:f>IF(OR(ISBLANK(B2728),ISBLANK(C2728),B2728=0),"",(C2728-B2728)/B2728)</x:f>
      </x:c>
      <x:c r="E2728" s="22" t="str">
        <x:f>IF(ISBLANK(C2728),"AmountIncludingTax缺失",IF(ABS(B2728-C2728)&lt;0.005,"一致","不一致"))</x:f>
        <x:v>AmountIncludingTax缺失</x:v>
      </x:c>
      <x:c r="F2728" s="19" t="str">
        <x:v>approved</x:v>
      </x:c>
      <x:c r="G2728" s="19" t="str">
        <x:v>Repair in Progress</x:v>
      </x:c>
      <x:c r="H2728" s="19" t="str">
        <x:v>In Field</x:v>
      </x:c>
      <x:c r="I2728" s="37" t="n">
        <x:v>46106</x:v>
      </x:c>
      <x:c r="J2728" s="37" t="n">
        <x:v>46105</x:v>
      </x:c>
      <x:c r="K2728" s="19" t="str">
        <x:v>Regent RV - Frankston</x:v>
      </x:c>
      <x:c r="L2728" s="19" t="str">
        <x:v>Z006</x:v>
      </x:c>
      <x:c r="M2728" s="19" t="str">
        <x:v>In Field Warranty Claims</x:v>
      </x:c>
      <x:c r="N2728" s="37" t="n">
        <x:v>46099</x:v>
      </x:c>
      <x:c r="O2728" s="37"/>
      <x:c r="P2728" s="34" t="n">
        <x:v>0</x:v>
      </x:c>
      <x:c r="Q2728" s="37" t="n">
        <x:v>46105.88216435185</x:v>
      </x:c>
    </x:row>
    <x:row r="2729">
      <x:c r="A2729" s="22" t="n">
        <x:v>32479</x:v>
      </x:c>
      <x:c r="B2729" s="28" t="n">
        <x:v>135.4</x:v>
      </x:c>
      <x:c r="C2729" s="28" t="n">
        <x:v>148.94</x:v>
      </x:c>
      <x:c r="D2729" s="31" t="n">
        <x:f>IF(OR(ISBLANK(B2729),ISBLANK(C2729),B2729=0),"",(C2729-B2729)/B2729)</x:f>
        <x:v>0.09999999999999994</x:v>
      </x:c>
      <x:c r="E2729" s="22" t="str">
        <x:f>IF(ISBLANK(C2729),"AmountIncludingTax缺失",IF(ABS(B2729-C2729)&lt;0.005,"一致","不一致"))</x:f>
        <x:v>不一致</x:v>
      </x:c>
      <x:c r="F2729" s="19" t="str">
        <x:v>approved</x:v>
      </x:c>
      <x:c r="G2729" s="19" t="str">
        <x:v>Repairer Invoiced Processed</x:v>
      </x:c>
      <x:c r="H2729" s="19" t="str">
        <x:v>In Field</x:v>
      </x:c>
      <x:c r="I2729" s="37" t="n">
        <x:v>46100</x:v>
      </x:c>
      <x:c r="J2729" s="37" t="n">
        <x:v>46100</x:v>
      </x:c>
      <x:c r="K2729" s="19" t="str">
        <x:v>Lesiure Lion-New Castle</x:v>
      </x:c>
      <x:c r="L2729" s="19" t="str">
        <x:v>Z006</x:v>
      </x:c>
      <x:c r="M2729" s="19" t="str">
        <x:v>In Field Warranty Claims</x:v>
      </x:c>
      <x:c r="N2729" s="37" t="n">
        <x:v>46100</x:v>
      </x:c>
      <x:c r="O2729" s="37"/>
      <x:c r="P2729" s="34" t="n">
        <x:v>148.94</x:v>
      </x:c>
      <x:c r="Q2729" s="37" t="n">
        <x:v>46100.24599537037</x:v>
      </x:c>
    </x:row>
    <x:row r="2730">
      <x:c r="A2730" s="22" t="n">
        <x:v>32468</x:v>
      </x:c>
      <x:c r="B2730" s="28" t="n">
        <x:v>135</x:v>
      </x:c>
      <x:c r="C2730" s="28"/>
      <x:c r="D2730" s="31" t="str">
        <x:f>IF(OR(ISBLANK(B2730),ISBLANK(C2730),B2730=0),"",(C2730-B2730)/B2730)</x:f>
      </x:c>
      <x:c r="E2730" s="22" t="str">
        <x:f>IF(ISBLANK(C2730),"AmountIncludingTax缺失",IF(ABS(B2730-C2730)&lt;0.005,"一致","不一致"))</x:f>
        <x:v>AmountIncludingTax缺失</x:v>
      </x:c>
      <x:c r="F2730" s="19" t="str">
        <x:v>approved</x:v>
      </x:c>
      <x:c r="G2730" s="19" t="str">
        <x:v>Repairer Invoiced Processed</x:v>
      </x:c>
      <x:c r="H2730" s="19" t="str">
        <x:v>In Field</x:v>
      </x:c>
      <x:c r="I2730" s="37" t="n">
        <x:v>46104</x:v>
      </x:c>
      <x:c r="J2730" s="37" t="n">
        <x:v>46104</x:v>
      </x:c>
      <x:c r="K2730" s="19" t="str">
        <x:v>Regent RV - Toowoomba</x:v>
      </x:c>
      <x:c r="L2730" s="19" t="str">
        <x:v>Z006</x:v>
      </x:c>
      <x:c r="M2730" s="19" t="str">
        <x:v>In Field Warranty Claims</x:v>
      </x:c>
      <x:c r="N2730" s="37" t="n">
        <x:v>46099</x:v>
      </x:c>
      <x:c r="O2730" s="37"/>
      <x:c r="P2730" s="34" t="n">
        <x:v>0</x:v>
      </x:c>
      <x:c r="Q2730" s="37" t="n">
        <x:v>46104.18785879629</x:v>
      </x:c>
    </x:row>
    <x:row r="2731">
      <x:c r="A2731" s="22" t="n">
        <x:v>32460</x:v>
      </x:c>
      <x:c r="B2731" s="28" t="n">
        <x:v>877.5</x:v>
      </x:c>
      <x:c r="C2731" s="28"/>
      <x:c r="D2731" s="31" t="str">
        <x:f>IF(OR(ISBLANK(B2731),ISBLANK(C2731),B2731=0),"",(C2731-B2731)/B2731)</x:f>
      </x:c>
      <x:c r="E2731" s="22" t="str">
        <x:f>IF(ISBLANK(C2731),"AmountIncludingTax缺失",IF(ABS(B2731-C2731)&lt;0.005,"一致","不一致"))</x:f>
        <x:v>AmountIncludingTax缺失</x:v>
      </x:c>
      <x:c r="F2731" s="19" t="str">
        <x:v>approved</x:v>
      </x:c>
      <x:c r="G2731" s="19" t="str">
        <x:v>Repairer Invoiced Processed</x:v>
      </x:c>
      <x:c r="H2731" s="19" t="str">
        <x:v>In Field</x:v>
      </x:c>
      <x:c r="I2731" s="37" t="n">
        <x:v>46107</x:v>
      </x:c>
      <x:c r="J2731" s="37" t="n">
        <x:v>46107</x:v>
      </x:c>
      <x:c r="K2731" s="19" t="str">
        <x:v>Leisure Lion - Bundaberg</x:v>
      </x:c>
      <x:c r="L2731" s="19" t="str">
        <x:v>Z006</x:v>
      </x:c>
      <x:c r="M2731" s="19" t="str">
        <x:v>In Field Warranty Claims</x:v>
      </x:c>
      <x:c r="N2731" s="37" t="n">
        <x:v>46099</x:v>
      </x:c>
      <x:c r="O2731" s="37"/>
      <x:c r="P2731" s="34" t="n">
        <x:v>0</x:v>
      </x:c>
      <x:c r="Q2731" s="37" t="n">
        <x:v>46107.10859953704</x:v>
      </x:c>
    </x:row>
    <x:row r="2732">
      <x:c r="A2732" s="22" t="n">
        <x:v>32457</x:v>
      </x:c>
      <x:c r="B2732" s="28" t="n">
        <x:v>1846.25</x:v>
      </x:c>
      <x:c r="C2732" s="28"/>
      <x:c r="D2732" s="31" t="str">
        <x:f>IF(OR(ISBLANK(B2732),ISBLANK(C2732),B2732=0),"",(C2732-B2732)/B2732)</x:f>
      </x:c>
      <x:c r="E2732" s="22" t="str">
        <x:f>IF(ISBLANK(C2732),"AmountIncludingTax缺失",IF(ABS(B2732-C2732)&lt;0.005,"一致","不一致"))</x:f>
        <x:v>AmountIncludingTax缺失</x:v>
      </x:c>
      <x:c r="F2732" s="19" t="str">
        <x:v>approved</x:v>
      </x:c>
      <x:c r="G2732" s="19" t="str">
        <x:v>Repairer Invoiced Processed</x:v>
      </x:c>
      <x:c r="H2732" s="19" t="str">
        <x:v>Pre Delivery</x:v>
      </x:c>
      <x:c r="I2732" s="37" t="n">
        <x:v>46143</x:v>
      </x:c>
      <x:c r="J2732" s="37" t="n">
        <x:v>46143</x:v>
      </x:c>
      <x:c r="K2732" s="19" t="str">
        <x:v>Lesiure Lion-New Castle</x:v>
      </x:c>
      <x:c r="L2732" s="19" t="str">
        <x:v>Z005</x:v>
      </x:c>
      <x:c r="M2732" s="19" t="str">
        <x:v>Pre Delivery Warranty Claims</x:v>
      </x:c>
      <x:c r="N2732" s="37" t="n">
        <x:v>46099</x:v>
      </x:c>
      <x:c r="O2732" s="37"/>
      <x:c r="P2732" s="34" t="n">
        <x:v>0</x:v>
      </x:c>
      <x:c r="Q2732" s="37" t="n">
        <x:v>46143.225636574076</x:v>
      </x:c>
    </x:row>
    <x:row r="2733">
      <x:c r="A2733" s="22" t="n">
        <x:v>32452</x:v>
      </x:c>
      <x:c r="B2733" s="28" t="n">
        <x:v>303.75</x:v>
      </x:c>
      <x:c r="C2733" s="28"/>
      <x:c r="D2733" s="31" t="str">
        <x:f>IF(OR(ISBLANK(B2733),ISBLANK(C2733),B2733=0),"",(C2733-B2733)/B2733)</x:f>
      </x:c>
      <x:c r="E2733" s="22" t="str">
        <x:f>IF(ISBLANK(C2733),"AmountIncludingTax缺失",IF(ABS(B2733-C2733)&lt;0.005,"一致","不一致"))</x:f>
        <x:v>AmountIncludingTax缺失</x:v>
      </x:c>
      <x:c r="F2733" s="19" t="str">
        <x:v>approved</x:v>
      </x:c>
      <x:c r="G2733" s="19" t="str">
        <x:v>Repair in Progress</x:v>
      </x:c>
      <x:c r="H2733" s="19" t="str">
        <x:v>In Field</x:v>
      </x:c>
      <x:c r="I2733" s="37" t="n">
        <x:v>46104</x:v>
      </x:c>
      <x:c r="J2733" s="37" t="n">
        <x:v>46104</x:v>
      </x:c>
      <x:c r="K2733" s="19" t="str">
        <x:v>Snowy River Wangaratta</x:v>
      </x:c>
      <x:c r="L2733" s="19" t="str">
        <x:v>Z006</x:v>
      </x:c>
      <x:c r="M2733" s="19" t="str">
        <x:v>In Field Warranty Claims</x:v>
      </x:c>
      <x:c r="N2733" s="37" t="n">
        <x:v>46099</x:v>
      </x:c>
      <x:c r="O2733" s="37"/>
      <x:c r="P2733" s="34" t="n">
        <x:v>0</x:v>
      </x:c>
      <x:c r="Q2733" s="37" t="n">
        <x:v>46104.099131944444</x:v>
      </x:c>
    </x:row>
    <x:row r="2734">
      <x:c r="A2734" s="22" t="n">
        <x:v>32441</x:v>
      </x:c>
      <x:c r="B2734" s="28" t="n">
        <x:v>1788.75</x:v>
      </x:c>
      <x:c r="C2734" s="28"/>
      <x:c r="D2734" s="31" t="str">
        <x:f>IF(OR(ISBLANK(B2734),ISBLANK(C2734),B2734=0),"",(C2734-B2734)/B2734)</x:f>
      </x:c>
      <x:c r="E2734" s="22" t="str">
        <x:f>IF(ISBLANK(C2734),"AmountIncludingTax缺失",IF(ABS(B2734-C2734)&lt;0.005,"一致","不一致"))</x:f>
        <x:v>AmountIncludingTax缺失</x:v>
      </x:c>
      <x:c r="F2734" s="19" t="str">
        <x:v>approved</x:v>
      </x:c>
      <x:c r="G2734" s="19" t="str">
        <x:v>Repair in Progress</x:v>
      </x:c>
      <x:c r="H2734" s="19" t="str">
        <x:v>In Field</x:v>
      </x:c>
      <x:c r="I2734" s="37" t="n">
        <x:v>46114</x:v>
      </x:c>
      <x:c r="J2734" s="37" t="n">
        <x:v>46114</x:v>
      </x:c>
      <x:c r="K2734" s="19" t="str">
        <x:v>Auswide Caravans - South Nowra</x:v>
      </x:c>
      <x:c r="L2734" s="19" t="str">
        <x:v>Z006</x:v>
      </x:c>
      <x:c r="M2734" s="19" t="str">
        <x:v>In Field Warranty Claims</x:v>
      </x:c>
      <x:c r="N2734" s="37" t="n">
        <x:v>46098</x:v>
      </x:c>
      <x:c r="O2734" s="37"/>
      <x:c r="P2734" s="34" t="n">
        <x:v>0</x:v>
      </x:c>
      <x:c r="Q2734" s="37" t="n">
        <x:v>46114.120358796295</x:v>
      </x:c>
    </x:row>
    <x:row r="2735">
      <x:c r="A2735" s="22" t="n">
        <x:v>32436</x:v>
      </x:c>
      <x:c r="B2735" s="28" t="n">
        <x:v>207.5</x:v>
      </x:c>
      <x:c r="C2735" s="28"/>
      <x:c r="D2735" s="31" t="str">
        <x:f>IF(OR(ISBLANK(B2735),ISBLANK(C2735),B2735=0),"",(C2735-B2735)/B2735)</x:f>
      </x:c>
      <x:c r="E2735" s="22" t="str">
        <x:f>IF(ISBLANK(C2735),"AmountIncludingTax缺失",IF(ABS(B2735-C2735)&lt;0.005,"一致","不一致"))</x:f>
        <x:v>AmountIncludingTax缺失</x:v>
      </x:c>
      <x:c r="F2735" s="19" t="str">
        <x:v>approved</x:v>
      </x:c>
      <x:c r="G2735" s="19" t="str">
        <x:v>Repairer Invoiced Processed</x:v>
      </x:c>
      <x:c r="H2735" s="19" t="str">
        <x:v>In Field</x:v>
      </x:c>
      <x:c r="I2735" s="37" t="n">
        <x:v>46121</x:v>
      </x:c>
      <x:c r="J2735" s="37" t="n">
        <x:v>46105</x:v>
      </x:c>
      <x:c r="K2735" s="19" t="str">
        <x:v>Not Assigned</x:v>
      </x:c>
      <x:c r="L2735" s="19" t="str">
        <x:v>Z006</x:v>
      </x:c>
      <x:c r="M2735" s="19" t="str">
        <x:v>In Field Warranty Claims</x:v>
      </x:c>
      <x:c r="N2735" s="37" t="n">
        <x:v>46098</x:v>
      </x:c>
      <x:c r="O2735" s="37"/>
      <x:c r="P2735" s="34" t="n">
        <x:v>0</x:v>
      </x:c>
      <x:c r="Q2735" s="37" t="n">
        <x:v>46121.089583333334</x:v>
      </x:c>
    </x:row>
    <x:row r="2736">
      <x:c r="A2736" s="22" t="n">
        <x:v>32435</x:v>
      </x:c>
      <x:c r="B2736" s="28" t="n">
        <x:v>310</x:v>
      </x:c>
      <x:c r="C2736" s="28"/>
      <x:c r="D2736" s="31" t="str">
        <x:f>IF(OR(ISBLANK(B2736),ISBLANK(C2736),B2736=0),"",(C2736-B2736)/B2736)</x:f>
      </x:c>
      <x:c r="E2736" s="22" t="str">
        <x:f>IF(ISBLANK(C2736),"AmountIncludingTax缺失",IF(ABS(B2736-C2736)&lt;0.005,"一致","不一致"))</x:f>
        <x:v>AmountIncludingTax缺失</x:v>
      </x:c>
      <x:c r="F2736" s="19" t="str">
        <x:v>approved</x:v>
      </x:c>
      <x:c r="G2736" s="19" t="str">
        <x:v>Partially Picked</x:v>
      </x:c>
      <x:c r="H2736" s="19" t="str">
        <x:v>In Field</x:v>
      </x:c>
      <x:c r="I2736" s="37" t="n">
        <x:v>46176</x:v>
      </x:c>
      <x:c r="J2736" s="37" t="n">
        <x:v>46176</x:v>
      </x:c>
      <x:c r="K2736" s="19" t="str">
        <x:v>Green RV - Forest Glen</x:v>
      </x:c>
      <x:c r="L2736" s="19" t="str">
        <x:v>Z006</x:v>
      </x:c>
      <x:c r="M2736" s="19" t="str">
        <x:v>In Field Warranty Claims</x:v>
      </x:c>
      <x:c r="N2736" s="37" t="n">
        <x:v>46098</x:v>
      </x:c>
      <x:c r="O2736" s="37"/>
      <x:c r="P2736" s="34" t="n">
        <x:v>0</x:v>
      </x:c>
      <x:c r="Q2736" s="37" t="n">
        <x:v>46175.97361111111</x:v>
      </x:c>
    </x:row>
    <x:row r="2737">
      <x:c r="A2737" s="22" t="n">
        <x:v>32434</x:v>
      </x:c>
      <x:c r="B2737" s="28" t="n">
        <x:v>67.5</x:v>
      </x:c>
      <x:c r="C2737" s="28"/>
      <x:c r="D2737" s="31" t="str">
        <x:f>IF(OR(ISBLANK(B2737),ISBLANK(C2737),B2737=0),"",(C2737-B2737)/B2737)</x:f>
      </x:c>
      <x:c r="E2737" s="22" t="str">
        <x:f>IF(ISBLANK(C2737),"AmountIncludingTax缺失",IF(ABS(B2737-C2737)&lt;0.005,"一致","不一致"))</x:f>
        <x:v>AmountIncludingTax缺失</x:v>
      </x:c>
      <x:c r="F2737" s="19" t="str">
        <x:v>approved</x:v>
      </x:c>
      <x:c r="G2737" s="19" t="str">
        <x:v>Repair in Progress</x:v>
      </x:c>
      <x:c r="H2737" s="19" t="str">
        <x:v>In Field</x:v>
      </x:c>
      <x:c r="I2737" s="37" t="n">
        <x:v>46149</x:v>
      </x:c>
      <x:c r="J2737" s="37" t="n">
        <x:v>46149</x:v>
      </x:c>
      <x:c r="K2737" s="19" t="str">
        <x:v>Regent RV - Perth</x:v>
      </x:c>
      <x:c r="L2737" s="19" t="str">
        <x:v>Z006</x:v>
      </x:c>
      <x:c r="M2737" s="19" t="str">
        <x:v>In Field Warranty Claims</x:v>
      </x:c>
      <x:c r="N2737" s="37" t="n">
        <x:v>46098</x:v>
      </x:c>
      <x:c r="O2737" s="37"/>
      <x:c r="P2737" s="34" t="n">
        <x:v>0</x:v>
      </x:c>
      <x:c r="Q2737" s="37" t="n">
        <x:v>46148.95936342593</x:v>
      </x:c>
    </x:row>
    <x:row r="2738">
      <x:c r="A2738" s="22" t="n">
        <x:v>32433</x:v>
      </x:c>
      <x:c r="B2738" s="28" t="n">
        <x:v>320</x:v>
      </x:c>
      <x:c r="C2738" s="28" t="n">
        <x:v>289.73</x:v>
      </x:c>
      <x:c r="D2738" s="31" t="n">
        <x:f>IF(OR(ISBLANK(B2738),ISBLANK(C2738),B2738=0),"",(C2738-B2738)/B2738)</x:f>
        <x:v>-0.09459374999999995</x:v>
      </x:c>
      <x:c r="E2738" s="22" t="str">
        <x:f>IF(ISBLANK(C2738),"AmountIncludingTax缺失",IF(ABS(B2738-C2738)&lt;0.005,"一致","不一致"))</x:f>
        <x:v>不一致</x:v>
      </x:c>
      <x:c r="F2738" s="19" t="str">
        <x:v>approved</x:v>
      </x:c>
      <x:c r="G2738" s="19" t="str">
        <x:v>Repairer Invoiced Processed</x:v>
      </x:c>
      <x:c r="H2738" s="19" t="str">
        <x:v>In Field</x:v>
      </x:c>
      <x:c r="I2738" s="37" t="n">
        <x:v>46110</x:v>
      </x:c>
      <x:c r="J2738" s="37" t="n">
        <x:v>46110</x:v>
      </x:c>
      <x:c r="K2738" s="19" t="str">
        <x:v>Vanari Caravans - Marden Point</x:v>
      </x:c>
      <x:c r="L2738" s="19" t="str">
        <x:v>Z006</x:v>
      </x:c>
      <x:c r="M2738" s="19" t="str">
        <x:v>In Field Warranty Claims</x:v>
      </x:c>
      <x:c r="N2738" s="37" t="n">
        <x:v>46098</x:v>
      </x:c>
      <x:c r="O2738" s="37"/>
      <x:c r="P2738" s="34" t="n">
        <x:v>289.73</x:v>
      </x:c>
      <x:c r="Q2738" s="37" t="n">
        <x:v>46110.45778935185</x:v>
      </x:c>
    </x:row>
    <x:row r="2739">
      <x:c r="A2739" s="22" t="n">
        <x:v>32432</x:v>
      </x:c>
      <x:c r="B2739" s="28" t="n">
        <x:v>540</x:v>
      </x:c>
      <x:c r="C2739" s="28"/>
      <x:c r="D2739" s="31" t="str">
        <x:f>IF(OR(ISBLANK(B2739),ISBLANK(C2739),B2739=0),"",(C2739-B2739)/B2739)</x:f>
      </x:c>
      <x:c r="E2739" s="22" t="str">
        <x:f>IF(ISBLANK(C2739),"AmountIncludingTax缺失",IF(ABS(B2739-C2739)&lt;0.005,"一致","不一致"))</x:f>
        <x:v>AmountIncludingTax缺失</x:v>
      </x:c>
      <x:c r="F2739" s="19" t="str">
        <x:v>approved</x:v>
      </x:c>
      <x:c r="G2739" s="19" t="str">
        <x:v>Repairer Invoiced Processed</x:v>
      </x:c>
      <x:c r="H2739" s="19" t="str">
        <x:v>In Field</x:v>
      </x:c>
      <x:c r="I2739" s="37" t="n">
        <x:v>46104</x:v>
      </x:c>
      <x:c r="J2739" s="37" t="n">
        <x:v>46104</x:v>
      </x:c>
      <x:c r="K2739" s="19" t="str">
        <x:v>Regent RV - Traralgon</x:v>
      </x:c>
      <x:c r="L2739" s="19" t="str">
        <x:v>Z006</x:v>
      </x:c>
      <x:c r="M2739" s="19" t="str">
        <x:v>In Field Warranty Claims</x:v>
      </x:c>
      <x:c r="N2739" s="37" t="n">
        <x:v>46098</x:v>
      </x:c>
      <x:c r="O2739" s="37"/>
      <x:c r="P2739" s="34" t="n">
        <x:v>0</x:v>
      </x:c>
      <x:c r="Q2739" s="37" t="n">
        <x:v>46104.143900462965</x:v>
      </x:c>
    </x:row>
    <x:row r="2740">
      <x:c r="A2740" s="22" t="n">
        <x:v>32431</x:v>
      </x:c>
      <x:c r="B2740" s="28" t="n">
        <x:v>130</x:v>
      </x:c>
      <x:c r="C2740" s="28" t="n">
        <x:v>143</x:v>
      </x:c>
      <x:c r="D2740" s="31" t="n">
        <x:f>IF(OR(ISBLANK(B2740),ISBLANK(C2740),B2740=0),"",(C2740-B2740)/B2740)</x:f>
        <x:v>0.1</x:v>
      </x:c>
      <x:c r="E2740" s="22" t="str">
        <x:f>IF(ISBLANK(C2740),"AmountIncludingTax缺失",IF(ABS(B2740-C2740)&lt;0.005,"一致","不一致"))</x:f>
        <x:v>不一致</x:v>
      </x:c>
      <x:c r="F2740" s="19" t="str">
        <x:v>approved</x:v>
      </x:c>
      <x:c r="G2740" s="19" t="str">
        <x:v>Repairer Invoiced Processed</x:v>
      </x:c>
      <x:c r="H2740" s="19" t="str">
        <x:v>In Field</x:v>
      </x:c>
      <x:c r="I2740" s="37" t="n">
        <x:v>46134</x:v>
      </x:c>
      <x:c r="J2740" s="37" t="n">
        <x:v>46134</x:v>
      </x:c>
      <x:c r="K2740" s="19" t="str">
        <x:v>Regent RV - Perth</x:v>
      </x:c>
      <x:c r="L2740" s="19" t="str">
        <x:v>Z006</x:v>
      </x:c>
      <x:c r="M2740" s="19" t="str">
        <x:v>In Field Warranty Claims</x:v>
      </x:c>
      <x:c r="N2740" s="37" t="n">
        <x:v>46098</x:v>
      </x:c>
      <x:c r="O2740" s="37"/>
      <x:c r="P2740" s="34" t="n">
        <x:v>143</x:v>
      </x:c>
      <x:c r="Q2740" s="37" t="n">
        <x:v>46134.03219907408</x:v>
      </x:c>
    </x:row>
    <x:row r="2741">
      <x:c r="A2741" s="22" t="n">
        <x:v>32430</x:v>
      </x:c>
      <x:c r="B2741" s="28" t="n">
        <x:v>334.4</x:v>
      </x:c>
      <x:c r="C2741" s="28" t="n">
        <x:v>302.77</x:v>
      </x:c>
      <x:c r="D2741" s="31" t="n">
        <x:f>IF(OR(ISBLANK(B2741),ISBLANK(C2741),B2741=0),"",(C2741-B2741)/B2741)</x:f>
        <x:v>-0.09458732057416268</x:v>
      </x:c>
      <x:c r="E2741" s="22" t="str">
        <x:f>IF(ISBLANK(C2741),"AmountIncludingTax缺失",IF(ABS(B2741-C2741)&lt;0.005,"一致","不一致"))</x:f>
        <x:v>不一致</x:v>
      </x:c>
      <x:c r="F2741" s="19" t="str">
        <x:v>approved</x:v>
      </x:c>
      <x:c r="G2741" s="19" t="str">
        <x:v>Repair in Progress</x:v>
      </x:c>
      <x:c r="H2741" s="19" t="str">
        <x:v>In Field</x:v>
      </x:c>
      <x:c r="I2741" s="37" t="n">
        <x:v>46121</x:v>
      </x:c>
      <x:c r="J2741" s="37" t="n">
        <x:v>46105</x:v>
      </x:c>
      <x:c r="K2741" s="19" t="str">
        <x:v>Vanari Caravans - Marden Point</x:v>
      </x:c>
      <x:c r="L2741" s="19" t="str">
        <x:v>Z006</x:v>
      </x:c>
      <x:c r="M2741" s="19" t="str">
        <x:v>In Field Warranty Claims</x:v>
      </x:c>
      <x:c r="N2741" s="37" t="n">
        <x:v>46098</x:v>
      </x:c>
      <x:c r="O2741" s="37"/>
      <x:c r="P2741" s="34" t="n">
        <x:v>302.77</x:v>
      </x:c>
      <x:c r="Q2741" s="37" t="n">
        <x:v>46121.22793981482</x:v>
      </x:c>
    </x:row>
    <x:row r="2742">
      <x:c r="A2742" s="22" t="n">
        <x:v>32429</x:v>
      </x:c>
      <x:c r="B2742" s="28" t="n">
        <x:v>1501.74</x:v>
      </x:c>
      <x:c r="C2742" s="28"/>
      <x:c r="D2742" s="31" t="str">
        <x:f>IF(OR(ISBLANK(B2742),ISBLANK(C2742),B2742=0),"",(C2742-B2742)/B2742)</x:f>
      </x:c>
      <x:c r="E2742" s="22" t="str">
        <x:f>IF(ISBLANK(C2742),"AmountIncludingTax缺失",IF(ABS(B2742-C2742)&lt;0.005,"一致","不一致"))</x:f>
        <x:v>AmountIncludingTax缺失</x:v>
      </x:c>
      <x:c r="F2742" s="19" t="str">
        <x:v>approved</x:v>
      </x:c>
      <x:c r="G2742" s="19" t="str">
        <x:v>Repairer Invoiced Processed</x:v>
      </x:c>
      <x:c r="H2742" s="19" t="str">
        <x:v>In Field</x:v>
      </x:c>
      <x:c r="I2742" s="37" t="n">
        <x:v>46185</x:v>
      </x:c>
      <x:c r="J2742" s="37" t="n">
        <x:v>46111</x:v>
      </x:c>
      <x:c r="K2742" s="19" t="str">
        <x:v>Regent RV - Traralgon</x:v>
      </x:c>
      <x:c r="L2742" s="19" t="str">
        <x:v>Z006</x:v>
      </x:c>
      <x:c r="M2742" s="19" t="str">
        <x:v>In Field Warranty Claims</x:v>
      </x:c>
      <x:c r="N2742" s="37" t="n">
        <x:v>46098</x:v>
      </x:c>
      <x:c r="O2742" s="37"/>
      <x:c r="P2742" s="34" t="n">
        <x:v>1651.91</x:v>
      </x:c>
      <x:c r="Q2742" s="37" t="n">
        <x:v>46184.99229166667</x:v>
      </x:c>
    </x:row>
    <x:row r="2743">
      <x:c r="A2743" s="22" t="n">
        <x:v>32424</x:v>
      </x:c>
      <x:c r="B2743" s="28" t="n">
        <x:v>1027.5</x:v>
      </x:c>
      <x:c r="C2743" s="28"/>
      <x:c r="D2743" s="31" t="str">
        <x:f>IF(OR(ISBLANK(B2743),ISBLANK(C2743),B2743=0),"",(C2743-B2743)/B2743)</x:f>
      </x:c>
      <x:c r="E2743" s="22" t="str">
        <x:f>IF(ISBLANK(C2743),"AmountIncludingTax缺失",IF(ABS(B2743-C2743)&lt;0.005,"一致","不一致"))</x:f>
        <x:v>AmountIncludingTax缺失</x:v>
      </x:c>
      <x:c r="F2743" s="19" t="str">
        <x:v>approved</x:v>
      </x:c>
      <x:c r="G2743" s="19" t="str">
        <x:v>Sales Order Approved</x:v>
      </x:c>
      <x:c r="H2743" s="19" t="str">
        <x:v>Pre Delivery</x:v>
      </x:c>
      <x:c r="I2743" s="37" t="n">
        <x:v>46135</x:v>
      </x:c>
      <x:c r="J2743" s="37" t="n">
        <x:v>46135</x:v>
      </x:c>
      <x:c r="K2743" s="19" t="str">
        <x:v>Regent RV - Toowoomba</x:v>
      </x:c>
      <x:c r="L2743" s="19" t="str">
        <x:v>Z005</x:v>
      </x:c>
      <x:c r="M2743" s="19" t="str">
        <x:v>Pre Delivery Warranty Claims</x:v>
      </x:c>
      <x:c r="N2743" s="37" t="n">
        <x:v>46098</x:v>
      </x:c>
      <x:c r="O2743" s="37"/>
      <x:c r="P2743" s="34" t="n">
        <x:v>0</x:v>
      </x:c>
      <x:c r="Q2743" s="37" t="n">
        <x:v>46134.85792824074</x:v>
      </x:c>
    </x:row>
    <x:row r="2744">
      <x:c r="A2744" s="22" t="n">
        <x:v>32422</x:v>
      </x:c>
      <x:c r="B2744" s="28" t="n">
        <x:v>1222.5</x:v>
      </x:c>
      <x:c r="C2744" s="28"/>
      <x:c r="D2744" s="31" t="str">
        <x:f>IF(OR(ISBLANK(B2744),ISBLANK(C2744),B2744=0),"",(C2744-B2744)/B2744)</x:f>
      </x:c>
      <x:c r="E2744" s="22" t="str">
        <x:f>IF(ISBLANK(C2744),"AmountIncludingTax缺失",IF(ABS(B2744-C2744)&lt;0.005,"一致","不一致"))</x:f>
        <x:v>AmountIncludingTax缺失</x:v>
      </x:c>
      <x:c r="F2744" s="19" t="str">
        <x:v>approved</x:v>
      </x:c>
      <x:c r="G2744" s="19" t="str">
        <x:v>Repair in Progress</x:v>
      </x:c>
      <x:c r="H2744" s="19" t="str">
        <x:v>In Field</x:v>
      </x:c>
      <x:c r="I2744" s="37" t="n">
        <x:v>46133</x:v>
      </x:c>
      <x:c r="J2744" s="37" t="n">
        <x:v>46133</x:v>
      </x:c>
      <x:c r="K2744" s="19" t="str">
        <x:v>Regent RV - Toowoomba</x:v>
      </x:c>
      <x:c r="L2744" s="19" t="str">
        <x:v>Z006</x:v>
      </x:c>
      <x:c r="M2744" s="19" t="str">
        <x:v>In Field Warranty Claims</x:v>
      </x:c>
      <x:c r="N2744" s="37" t="n">
        <x:v>46098</x:v>
      </x:c>
      <x:c r="O2744" s="37"/>
      <x:c r="P2744" s="34" t="n">
        <x:v>0</x:v>
      </x:c>
      <x:c r="Q2744" s="37" t="n">
        <x:v>46133.12795138889</x:v>
      </x:c>
    </x:row>
    <x:row r="2745">
      <x:c r="A2745" s="22" t="n">
        <x:v>32421</x:v>
      </x:c>
      <x:c r="B2745" s="28" t="n">
        <x:v>135</x:v>
      </x:c>
      <x:c r="C2745" s="28"/>
      <x:c r="D2745" s="31" t="str">
        <x:f>IF(OR(ISBLANK(B2745),ISBLANK(C2745),B2745=0),"",(C2745-B2745)/B2745)</x:f>
      </x:c>
      <x:c r="E2745" s="22" t="str">
        <x:f>IF(ISBLANK(C2745),"AmountIncludingTax缺失",IF(ABS(B2745-C2745)&lt;0.005,"一致","不一致"))</x:f>
        <x:v>AmountIncludingTax缺失</x:v>
      </x:c>
      <x:c r="F2745" s="19" t="str">
        <x:v>approved</x:v>
      </x:c>
      <x:c r="G2745" s="19" t="str">
        <x:v>Repair in Progress</x:v>
      </x:c>
      <x:c r="H2745" s="19" t="str">
        <x:v>In Field</x:v>
      </x:c>
      <x:c r="I2745" s="37" t="n">
        <x:v>46108</x:v>
      </x:c>
      <x:c r="J2745" s="37" t="n">
        <x:v>46108</x:v>
      </x:c>
      <x:c r="K2745" s="19" t="str">
        <x:v>Regent RV - Perth</x:v>
      </x:c>
      <x:c r="L2745" s="19" t="str">
        <x:v>Z006</x:v>
      </x:c>
      <x:c r="M2745" s="19" t="str">
        <x:v>In Field Warranty Claims</x:v>
      </x:c>
      <x:c r="N2745" s="37" t="n">
        <x:v>46098</x:v>
      </x:c>
      <x:c r="O2745" s="37"/>
      <x:c r="P2745" s="34" t="n">
        <x:v>0</x:v>
      </x:c>
      <x:c r="Q2745" s="37" t="n">
        <x:v>46108.08594907408</x:v>
      </x:c>
    </x:row>
    <x:row r="2746">
      <x:c r="A2746" s="22" t="n">
        <x:v>32413</x:v>
      </x:c>
      <x:c r="B2746" s="28" t="n">
        <x:v>150</x:v>
      </x:c>
      <x:c r="C2746" s="28"/>
      <x:c r="D2746" s="31" t="str">
        <x:f>IF(OR(ISBLANK(B2746),ISBLANK(C2746),B2746=0),"",(C2746-B2746)/B2746)</x:f>
      </x:c>
      <x:c r="E2746" s="22" t="str">
        <x:f>IF(ISBLANK(C2746),"AmountIncludingTax缺失",IF(ABS(B2746-C2746)&lt;0.005,"一致","不一致"))</x:f>
        <x:v>AmountIncludingTax缺失</x:v>
      </x:c>
      <x:c r="F2746" s="19" t="str">
        <x:v>approved</x:v>
      </x:c>
      <x:c r="G2746" s="19" t="str">
        <x:v>Repairer Invoiced Processed</x:v>
      </x:c>
      <x:c r="H2746" s="19" t="str">
        <x:v>In Field</x:v>
      </x:c>
      <x:c r="I2746" s="37" t="n">
        <x:v>46125</x:v>
      </x:c>
      <x:c r="J2746" s="37" t="n">
        <x:v>46125</x:v>
      </x:c>
      <x:c r="K2746" s="19" t="str">
        <x:v>Green RV - Forest Glen</x:v>
      </x:c>
      <x:c r="L2746" s="19" t="str">
        <x:v>Z006</x:v>
      </x:c>
      <x:c r="M2746" s="19" t="str">
        <x:v>In Field Warranty Claims</x:v>
      </x:c>
      <x:c r="N2746" s="37" t="n">
        <x:v>46098</x:v>
      </x:c>
      <x:c r="O2746" s="37"/>
      <x:c r="P2746" s="34" t="n">
        <x:v>0</x:v>
      </x:c>
      <x:c r="Q2746" s="37" t="n">
        <x:v>46125.1818287037</x:v>
      </x:c>
    </x:row>
    <x:row r="2747">
      <x:c r="A2747" s="22" t="n">
        <x:v>32410</x:v>
      </x:c>
      <x:c r="B2747" s="28" t="n">
        <x:v>542.5</x:v>
      </x:c>
      <x:c r="C2747" s="28"/>
      <x:c r="D2747" s="31" t="str">
        <x:f>IF(OR(ISBLANK(B2747),ISBLANK(C2747),B2747=0),"",(C2747-B2747)/B2747)</x:f>
      </x:c>
      <x:c r="E2747" s="22" t="str">
        <x:f>IF(ISBLANK(C2747),"AmountIncludingTax缺失",IF(ABS(B2747-C2747)&lt;0.005,"一致","不一致"))</x:f>
        <x:v>AmountIncludingTax缺失</x:v>
      </x:c>
      <x:c r="F2747" s="19" t="str">
        <x:v>approved</x:v>
      </x:c>
      <x:c r="G2747" s="19" t="str">
        <x:v>Repair in Progress</x:v>
      </x:c>
      <x:c r="H2747" s="19" t="str">
        <x:v>In Field</x:v>
      </x:c>
      <x:c r="I2747" s="37" t="n">
        <x:v>46110</x:v>
      </x:c>
      <x:c r="J2747" s="37" t="n">
        <x:v>46110</x:v>
      </x:c>
      <x:c r="K2747" s="19" t="str">
        <x:v>Regent RV - Townsville</x:v>
      </x:c>
      <x:c r="L2747" s="19" t="str">
        <x:v>Z006</x:v>
      </x:c>
      <x:c r="M2747" s="19" t="str">
        <x:v>In Field Warranty Claims</x:v>
      </x:c>
      <x:c r="N2747" s="37" t="n">
        <x:v>46098</x:v>
      </x:c>
      <x:c r="O2747" s="37"/>
      <x:c r="P2747" s="34" t="n">
        <x:v>0</x:v>
      </x:c>
      <x:c r="Q2747" s="37" t="n">
        <x:v>46110.511145833334</x:v>
      </x:c>
    </x:row>
    <x:row r="2748">
      <x:c r="A2748" s="22" t="n">
        <x:v>32409</x:v>
      </x:c>
      <x:c r="B2748" s="28" t="n">
        <x:v>438.75</x:v>
      </x:c>
      <x:c r="C2748" s="28"/>
      <x:c r="D2748" s="31" t="str">
        <x:f>IF(OR(ISBLANK(B2748),ISBLANK(C2748),B2748=0),"",(C2748-B2748)/B2748)</x:f>
      </x:c>
      <x:c r="E2748" s="22" t="str">
        <x:f>IF(ISBLANK(C2748),"AmountIncludingTax缺失",IF(ABS(B2748-C2748)&lt;0.005,"一致","不一致"))</x:f>
        <x:v>AmountIncludingTax缺失</x:v>
      </x:c>
      <x:c r="F2748" s="19" t="str">
        <x:v>approved</x:v>
      </x:c>
      <x:c r="G2748" s="19" t="str">
        <x:v>Repair in Progress</x:v>
      </x:c>
      <x:c r="H2748" s="19" t="str">
        <x:v>In Field</x:v>
      </x:c>
      <x:c r="I2748" s="37" t="n">
        <x:v>46108</x:v>
      </x:c>
      <x:c r="J2748" s="37" t="n">
        <x:v>46108</x:v>
      </x:c>
      <x:c r="K2748" s="19" t="str">
        <x:v>Regent RV - Perth</x:v>
      </x:c>
      <x:c r="L2748" s="19" t="str">
        <x:v>Z006</x:v>
      </x:c>
      <x:c r="M2748" s="19" t="str">
        <x:v>In Field Warranty Claims</x:v>
      </x:c>
      <x:c r="N2748" s="37" t="n">
        <x:v>46098</x:v>
      </x:c>
      <x:c r="O2748" s="37"/>
      <x:c r="P2748" s="34" t="n">
        <x:v>0</x:v>
      </x:c>
      <x:c r="Q2748" s="37" t="n">
        <x:v>46108.0890625</x:v>
      </x:c>
    </x:row>
    <x:row r="2749">
      <x:c r="A2749" s="22" t="n">
        <x:v>32408</x:v>
      </x:c>
      <x:c r="B2749" s="28" t="n">
        <x:v>598.75</x:v>
      </x:c>
      <x:c r="C2749" s="28"/>
      <x:c r="D2749" s="31" t="str">
        <x:f>IF(OR(ISBLANK(B2749),ISBLANK(C2749),B2749=0),"",(C2749-B2749)/B2749)</x:f>
      </x:c>
      <x:c r="E2749" s="22" t="str">
        <x:f>IF(ISBLANK(C2749),"AmountIncludingTax缺失",IF(ABS(B2749-C2749)&lt;0.005,"一致","不一致"))</x:f>
        <x:v>AmountIncludingTax缺失</x:v>
      </x:c>
      <x:c r="F2749" s="19" t="str">
        <x:v>approved</x:v>
      </x:c>
      <x:c r="G2749" s="19" t="str">
        <x:v>Repairer Invoiced Processed</x:v>
      </x:c>
      <x:c r="H2749" s="19" t="str">
        <x:v>In Field</x:v>
      </x:c>
      <x:c r="I2749" s="37" t="n">
        <x:v>46104</x:v>
      </x:c>
      <x:c r="J2749" s="37" t="n">
        <x:v>46104</x:v>
      </x:c>
      <x:c r="K2749" s="19" t="str">
        <x:v>Regent RV - Toowoomba</x:v>
      </x:c>
      <x:c r="L2749" s="19" t="str">
        <x:v>Z006</x:v>
      </x:c>
      <x:c r="M2749" s="19" t="str">
        <x:v>In Field Warranty Claims</x:v>
      </x:c>
      <x:c r="N2749" s="37" t="n">
        <x:v>46098</x:v>
      </x:c>
      <x:c r="O2749" s="37"/>
      <x:c r="P2749" s="34" t="n">
        <x:v>0</x:v>
      </x:c>
      <x:c r="Q2749" s="37" t="n">
        <x:v>46104.18738425926</x:v>
      </x:c>
    </x:row>
    <x:row r="2750">
      <x:c r="A2750" s="22" t="n">
        <x:v>32407</x:v>
      </x:c>
      <x:c r="B2750" s="28" t="n">
        <x:v>1055</x:v>
      </x:c>
      <x:c r="C2750" s="28"/>
      <x:c r="D2750" s="31" t="str">
        <x:f>IF(OR(ISBLANK(B2750),ISBLANK(C2750),B2750=0),"",(C2750-B2750)/B2750)</x:f>
      </x:c>
      <x:c r="E2750" s="22" t="str">
        <x:f>IF(ISBLANK(C2750),"AmountIncludingTax缺失",IF(ABS(B2750-C2750)&lt;0.005,"一致","不一致"))</x:f>
        <x:v>AmountIncludingTax缺失</x:v>
      </x:c>
      <x:c r="F2750" s="19" t="str">
        <x:v>approved</x:v>
      </x:c>
      <x:c r="G2750" s="19" t="str">
        <x:v>Repairer Invoiced Processed</x:v>
      </x:c>
      <x:c r="H2750" s="19" t="str">
        <x:v>In Field</x:v>
      </x:c>
      <x:c r="I2750" s="37" t="n">
        <x:v>46206</x:v>
      </x:c>
      <x:c r="J2750" s="37" t="n">
        <x:v>46111</x:v>
      </x:c>
      <x:c r="K2750" s="19" t="str">
        <x:v>Regent RV - Townsville</x:v>
      </x:c>
      <x:c r="L2750" s="19" t="str">
        <x:v>Z006</x:v>
      </x:c>
      <x:c r="M2750" s="19" t="str">
        <x:v>In Field Warranty Claims</x:v>
      </x:c>
      <x:c r="N2750" s="37" t="n">
        <x:v>46098</x:v>
      </x:c>
      <x:c r="O2750" s="37"/>
      <x:c r="P2750" s="34" t="n">
        <x:v>0</x:v>
      </x:c>
      <x:c r="Q2750" s="37" t="n">
        <x:v>46206.23263888889</x:v>
      </x:c>
    </x:row>
    <x:row r="2751">
      <x:c r="A2751" s="22" t="n">
        <x:v>32406</x:v>
      </x:c>
      <x:c r="B2751" s="28" t="n">
        <x:v>178.75</x:v>
      </x:c>
      <x:c r="C2751" s="28" t="n">
        <x:v>196.63</x:v>
      </x:c>
      <x:c r="D2751" s="31" t="n">
        <x:f>IF(OR(ISBLANK(B2751),ISBLANK(C2751),B2751=0),"",(C2751-B2751)/B2751)</x:f>
        <x:v>0.100027972027972</x:v>
      </x:c>
      <x:c r="E2751" s="22" t="str">
        <x:f>IF(ISBLANK(C2751),"AmountIncludingTax缺失",IF(ABS(B2751-C2751)&lt;0.005,"一致","不一致"))</x:f>
        <x:v>不一致</x:v>
      </x:c>
      <x:c r="F2751" s="19" t="str">
        <x:v>approved</x:v>
      </x:c>
      <x:c r="G2751" s="19" t="str">
        <x:v>Repair in Progress</x:v>
      </x:c>
      <x:c r="H2751" s="19" t="str">
        <x:v>In Field</x:v>
      </x:c>
      <x:c r="I2751" s="37" t="n">
        <x:v>46107</x:v>
      </x:c>
      <x:c r="J2751" s="37" t="n">
        <x:v>46107</x:v>
      </x:c>
      <x:c r="K2751" s="19" t="str">
        <x:v>Snowy River Wangaratta</x:v>
      </x:c>
      <x:c r="L2751" s="19" t="str">
        <x:v>Z006</x:v>
      </x:c>
      <x:c r="M2751" s="19" t="str">
        <x:v>In Field Warranty Claims</x:v>
      </x:c>
      <x:c r="N2751" s="37" t="n">
        <x:v>46098</x:v>
      </x:c>
      <x:c r="O2751" s="37"/>
      <x:c r="P2751" s="34" t="n">
        <x:v>196.63</x:v>
      </x:c>
      <x:c r="Q2751" s="37" t="n">
        <x:v>46107.06494212963</x:v>
      </x:c>
    </x:row>
    <x:row r="2752">
      <x:c r="A2752" s="22" t="n">
        <x:v>32405</x:v>
      </x:c>
      <x:c r="B2752" s="28" t="n">
        <x:v>736.73</x:v>
      </x:c>
      <x:c r="C2752" s="28" t="n">
        <x:v>667.04</x:v>
      </x:c>
      <x:c r="D2752" s="31" t="n">
        <x:f>IF(OR(ISBLANK(B2752),ISBLANK(C2752),B2752=0),"",(C2752-B2752)/B2752)</x:f>
        <x:v>-0.09459367746664321</x:v>
      </x:c>
      <x:c r="E2752" s="22" t="str">
        <x:f>IF(ISBLANK(C2752),"AmountIncludingTax缺失",IF(ABS(B2752-C2752)&lt;0.005,"一致","不一致"))</x:f>
        <x:v>不一致</x:v>
      </x:c>
      <x:c r="F2752" s="19" t="str">
        <x:v>approved</x:v>
      </x:c>
      <x:c r="G2752" s="19" t="str">
        <x:v>Repairer Invoiced Processed</x:v>
      </x:c>
      <x:c r="H2752" s="19" t="str">
        <x:v>In Field</x:v>
      </x:c>
      <x:c r="I2752" s="37" t="n">
        <x:v>46098</x:v>
      </x:c>
      <x:c r="J2752" s="37" t="n">
        <x:v>46098</x:v>
      </x:c>
      <x:c r="K2752" s="19" t="str">
        <x:v>Vanari Caravans - Marden Point</x:v>
      </x:c>
      <x:c r="L2752" s="19" t="str">
        <x:v>Z006</x:v>
      </x:c>
      <x:c r="M2752" s="19" t="str">
        <x:v>In Field Warranty Claims</x:v>
      </x:c>
      <x:c r="N2752" s="37" t="n">
        <x:v>46098</x:v>
      </x:c>
      <x:c r="O2752" s="37"/>
      <x:c r="P2752" s="34" t="n">
        <x:v>667.04</x:v>
      </x:c>
      <x:c r="Q2752" s="37" t="n">
        <x:v>46098.139502314814</x:v>
      </x:c>
    </x:row>
    <x:row r="2753">
      <x:c r="A2753" s="22" t="n">
        <x:v>32403</x:v>
      </x:c>
      <x:c r="B2753" s="28" t="n">
        <x:v>1437.5</x:v>
      </x:c>
      <x:c r="C2753" s="28"/>
      <x:c r="D2753" s="31" t="str">
        <x:f>IF(OR(ISBLANK(B2753),ISBLANK(C2753),B2753=0),"",(C2753-B2753)/B2753)</x:f>
      </x:c>
      <x:c r="E2753" s="22" t="str">
        <x:f>IF(ISBLANK(C2753),"AmountIncludingTax缺失",IF(ABS(B2753-C2753)&lt;0.005,"一致","不一致"))</x:f>
        <x:v>AmountIncludingTax缺失</x:v>
      </x:c>
      <x:c r="F2753" s="19" t="str">
        <x:v>approved</x:v>
      </x:c>
      <x:c r="G2753" s="19" t="str">
        <x:v>Partially Picked</x:v>
      </x:c>
      <x:c r="H2753" s="19" t="str">
        <x:v>In Field</x:v>
      </x:c>
      <x:c r="I2753" s="37" t="n">
        <x:v>46105</x:v>
      </x:c>
      <x:c r="J2753" s="37" t="n">
        <x:v>46105</x:v>
      </x:c>
      <x:c r="K2753" s="19" t="str">
        <x:v>Regent RV - Frankston</x:v>
      </x:c>
      <x:c r="L2753" s="19" t="str">
        <x:v>Z006</x:v>
      </x:c>
      <x:c r="M2753" s="19" t="str">
        <x:v>In Field Warranty Claims</x:v>
      </x:c>
      <x:c r="N2753" s="37" t="n">
        <x:v>46098</x:v>
      </x:c>
      <x:c r="O2753" s="37"/>
      <x:c r="P2753" s="34" t="n">
        <x:v>0</x:v>
      </x:c>
      <x:c r="Q2753" s="37" t="n">
        <x:v>46105.11907407407</x:v>
      </x:c>
    </x:row>
    <x:row r="2754">
      <x:c r="A2754" s="22" t="n">
        <x:v>32402</x:v>
      </x:c>
      <x:c r="B2754" s="28" t="n">
        <x:v>337.5</x:v>
      </x:c>
      <x:c r="C2754" s="28"/>
      <x:c r="D2754" s="31" t="str">
        <x:f>IF(OR(ISBLANK(B2754),ISBLANK(C2754),B2754=0),"",(C2754-B2754)/B2754)</x:f>
      </x:c>
      <x:c r="E2754" s="22" t="str">
        <x:f>IF(ISBLANK(C2754),"AmountIncludingTax缺失",IF(ABS(B2754-C2754)&lt;0.005,"一致","不一致"))</x:f>
        <x:v>AmountIncludingTax缺失</x:v>
      </x:c>
      <x:c r="F2754" s="19" t="str">
        <x:v>approved</x:v>
      </x:c>
      <x:c r="G2754" s="19" t="str">
        <x:v>Repairer Invoiced Processed</x:v>
      </x:c>
      <x:c r="H2754" s="19" t="str">
        <x:v>In Field</x:v>
      </x:c>
      <x:c r="I2754" s="37" t="n">
        <x:v>46099</x:v>
      </x:c>
      <x:c r="J2754" s="37" t="n">
        <x:v>46099</x:v>
      </x:c>
      <x:c r="K2754" s="19" t="str">
        <x:v>Regent RV - Perth</x:v>
      </x:c>
      <x:c r="L2754" s="19" t="str">
        <x:v>Z006</x:v>
      </x:c>
      <x:c r="M2754" s="19" t="str">
        <x:v>In Field Warranty Claims</x:v>
      </x:c>
      <x:c r="N2754" s="37" t="n">
        <x:v>46098</x:v>
      </x:c>
      <x:c r="O2754" s="37"/>
      <x:c r="P2754" s="34" t="n">
        <x:v>0</x:v>
      </x:c>
      <x:c r="Q2754" s="37" t="n">
        <x:v>46098.883726851855</x:v>
      </x:c>
    </x:row>
    <x:row r="2755">
      <x:c r="A2755" s="22" t="n">
        <x:v>32401</x:v>
      </x:c>
      <x:c r="B2755" s="28" t="n">
        <x:v>472.5</x:v>
      </x:c>
      <x:c r="C2755" s="28"/>
      <x:c r="D2755" s="31" t="str">
        <x:f>IF(OR(ISBLANK(B2755),ISBLANK(C2755),B2755=0),"",(C2755-B2755)/B2755)</x:f>
      </x:c>
      <x:c r="E2755" s="22" t="str">
        <x:f>IF(ISBLANK(C2755),"AmountIncludingTax缺失",IF(ABS(B2755-C2755)&lt;0.005,"一致","不一致"))</x:f>
        <x:v>AmountIncludingTax缺失</x:v>
      </x:c>
      <x:c r="F2755" s="19" t="str">
        <x:v>approved</x:v>
      </x:c>
      <x:c r="G2755" s="19" t="str">
        <x:v>Repair in Progress</x:v>
      </x:c>
      <x:c r="H2755" s="19" t="str">
        <x:v>In Field</x:v>
      </x:c>
      <x:c r="I2755" s="37" t="n">
        <x:v>46105</x:v>
      </x:c>
      <x:c r="J2755" s="37" t="n">
        <x:v>46105</x:v>
      </x:c>
      <x:c r="K2755" s="19" t="str">
        <x:v>Regent RV - Frankston</x:v>
      </x:c>
      <x:c r="L2755" s="19" t="str">
        <x:v>Z006</x:v>
      </x:c>
      <x:c r="M2755" s="19" t="str">
        <x:v>In Field Warranty Claims</x:v>
      </x:c>
      <x:c r="N2755" s="37" t="n">
        <x:v>46098</x:v>
      </x:c>
      <x:c r="O2755" s="37"/>
      <x:c r="P2755" s="34" t="n">
        <x:v>0</x:v>
      </x:c>
      <x:c r="Q2755" s="37" t="n">
        <x:v>46105.21628472222</x:v>
      </x:c>
    </x:row>
    <x:row r="2756">
      <x:c r="A2756" s="22" t="n">
        <x:v>32398</x:v>
      </x:c>
      <x:c r="B2756" s="28" t="n">
        <x:v>67.5</x:v>
      </x:c>
      <x:c r="C2756" s="28"/>
      <x:c r="D2756" s="31" t="str">
        <x:f>IF(OR(ISBLANK(B2756),ISBLANK(C2756),B2756=0),"",(C2756-B2756)/B2756)</x:f>
      </x:c>
      <x:c r="E2756" s="22" t="str">
        <x:f>IF(ISBLANK(C2756),"AmountIncludingTax缺失",IF(ABS(B2756-C2756)&lt;0.005,"一致","不一致"))</x:f>
        <x:v>AmountIncludingTax缺失</x:v>
      </x:c>
      <x:c r="F2756" s="19" t="str">
        <x:v>approved</x:v>
      </x:c>
      <x:c r="G2756" s="19" t="str">
        <x:v>Repairer Invoiced Processed</x:v>
      </x:c>
      <x:c r="H2756" s="19" t="str">
        <x:v>In Field</x:v>
      </x:c>
      <x:c r="I2756" s="37" t="n">
        <x:v>46104</x:v>
      </x:c>
      <x:c r="J2756" s="37" t="n">
        <x:v>46104</x:v>
      </x:c>
      <x:c r="K2756" s="19" t="str">
        <x:v>Regent RV - Toowoomba</x:v>
      </x:c>
      <x:c r="L2756" s="19" t="str">
        <x:v>Z006</x:v>
      </x:c>
      <x:c r="M2756" s="19" t="str">
        <x:v>In Field Warranty Claims</x:v>
      </x:c>
      <x:c r="N2756" s="37" t="n">
        <x:v>46098</x:v>
      </x:c>
      <x:c r="O2756" s="37"/>
      <x:c r="P2756" s="34" t="n">
        <x:v>0</x:v>
      </x:c>
      <x:c r="Q2756" s="37" t="n">
        <x:v>46104.18607638889</x:v>
      </x:c>
    </x:row>
    <x:row r="2757">
      <x:c r="A2757" s="22" t="n">
        <x:v>32397</x:v>
      </x:c>
      <x:c r="B2757" s="28" t="n">
        <x:v>270</x:v>
      </x:c>
      <x:c r="C2757" s="28"/>
      <x:c r="D2757" s="31" t="str">
        <x:f>IF(OR(ISBLANK(B2757),ISBLANK(C2757),B2757=0),"",(C2757-B2757)/B2757)</x:f>
      </x:c>
      <x:c r="E2757" s="22" t="str">
        <x:f>IF(ISBLANK(C2757),"AmountIncludingTax缺失",IF(ABS(B2757-C2757)&lt;0.005,"一致","不一致"))</x:f>
        <x:v>AmountIncludingTax缺失</x:v>
      </x:c>
      <x:c r="F2757" s="19" t="str">
        <x:v>approved</x:v>
      </x:c>
      <x:c r="G2757" s="19" t="str">
        <x:v>Repair in Progress</x:v>
      </x:c>
      <x:c r="H2757" s="19" t="str">
        <x:v>In Field</x:v>
      </x:c>
      <x:c r="I2757" s="37" t="n">
        <x:v>46104</x:v>
      </x:c>
      <x:c r="J2757" s="37" t="n">
        <x:v>46104</x:v>
      </x:c>
      <x:c r="K2757" s="19" t="str">
        <x:v>Leisure Lion - Bundaberg</x:v>
      </x:c>
      <x:c r="L2757" s="19" t="str">
        <x:v>Z006</x:v>
      </x:c>
      <x:c r="M2757" s="19" t="str">
        <x:v>In Field Warranty Claims</x:v>
      </x:c>
      <x:c r="N2757" s="37" t="n">
        <x:v>46098</x:v>
      </x:c>
      <x:c r="O2757" s="37"/>
      <x:c r="P2757" s="34" t="n">
        <x:v>0</x:v>
      </x:c>
      <x:c r="Q2757" s="37" t="n">
        <x:v>46104.226273148146</x:v>
      </x:c>
    </x:row>
    <x:row r="2758">
      <x:c r="A2758" s="22" t="n">
        <x:v>32396</x:v>
      </x:c>
      <x:c r="B2758" s="28" t="n">
        <x:v>1829.32</x:v>
      </x:c>
      <x:c r="C2758" s="28"/>
      <x:c r="D2758" s="31" t="str">
        <x:f>IF(OR(ISBLANK(B2758),ISBLANK(C2758),B2758=0),"",(C2758-B2758)/B2758)</x:f>
      </x:c>
      <x:c r="E2758" s="22" t="str">
        <x:f>IF(ISBLANK(C2758),"AmountIncludingTax缺失",IF(ABS(B2758-C2758)&lt;0.005,"一致","不一致"))</x:f>
        <x:v>AmountIncludingTax缺失</x:v>
      </x:c>
      <x:c r="F2758" s="19" t="str">
        <x:v>approved</x:v>
      </x:c>
      <x:c r="G2758" s="19" t="str">
        <x:v>Repair in Progress</x:v>
      </x:c>
      <x:c r="H2758" s="19" t="str">
        <x:v>In Field</x:v>
      </x:c>
      <x:c r="I2758" s="37" t="n">
        <x:v>46106</x:v>
      </x:c>
      <x:c r="J2758" s="37" t="n">
        <x:v>46106</x:v>
      </x:c>
      <x:c r="K2758" s="19" t="str">
        <x:v>ABCO Caravans - Boambee Valley</x:v>
      </x:c>
      <x:c r="L2758" s="19" t="str">
        <x:v>Z006</x:v>
      </x:c>
      <x:c r="M2758" s="19" t="str">
        <x:v>In Field Warranty Claims</x:v>
      </x:c>
      <x:c r="N2758" s="37" t="n">
        <x:v>46098</x:v>
      </x:c>
      <x:c r="O2758" s="37"/>
      <x:c r="P2758" s="34" t="n">
        <x:v>0</x:v>
      </x:c>
      <x:c r="Q2758" s="37" t="n">
        <x:v>46106.08378472222</x:v>
      </x:c>
    </x:row>
    <x:row r="2759">
      <x:c r="A2759" s="22" t="n">
        <x:v>32395</x:v>
      </x:c>
      <x:c r="B2759" s="28" t="n">
        <x:v>937.5</x:v>
      </x:c>
      <x:c r="C2759" s="28"/>
      <x:c r="D2759" s="31" t="str">
        <x:f>IF(OR(ISBLANK(B2759),ISBLANK(C2759),B2759=0),"",(C2759-B2759)/B2759)</x:f>
      </x:c>
      <x:c r="E2759" s="22" t="str">
        <x:f>IF(ISBLANK(C2759),"AmountIncludingTax缺失",IF(ABS(B2759-C2759)&lt;0.005,"一致","不一致"))</x:f>
        <x:v>AmountIncludingTax缺失</x:v>
      </x:c>
      <x:c r="F2759" s="19" t="str">
        <x:v>approved</x:v>
      </x:c>
      <x:c r="G2759" s="19" t="str">
        <x:v>Repair in Progress</x:v>
      </x:c>
      <x:c r="H2759" s="19" t="str">
        <x:v>In Field</x:v>
      </x:c>
      <x:c r="I2759" s="37" t="n">
        <x:v>46099</x:v>
      </x:c>
      <x:c r="J2759" s="37" t="n">
        <x:v>46099</x:v>
      </x:c>
      <x:c r="K2759" s="19" t="str">
        <x:v>Green RV - Slacks Creek</x:v>
      </x:c>
      <x:c r="L2759" s="19" t="str">
        <x:v>Z006</x:v>
      </x:c>
      <x:c r="M2759" s="19" t="str">
        <x:v>In Field Warranty Claims</x:v>
      </x:c>
      <x:c r="N2759" s="37" t="n">
        <x:v>46098</x:v>
      </x:c>
      <x:c r="O2759" s="37"/>
      <x:c r="P2759" s="34" t="n">
        <x:v>0</x:v>
      </x:c>
      <x:c r="Q2759" s="37" t="n">
        <x:v>46098.87165509259</x:v>
      </x:c>
    </x:row>
    <x:row r="2760">
      <x:c r="A2760" s="22" t="n">
        <x:v>32390</x:v>
      </x:c>
      <x:c r="B2760" s="28" t="n">
        <x:v>81.81</x:v>
      </x:c>
      <x:c r="C2760" s="28" t="n">
        <x:v>89.99</x:v>
      </x:c>
      <x:c r="D2760" s="31" t="n">
        <x:f>IF(OR(ISBLANK(B2760),ISBLANK(C2760),B2760=0),"",(C2760-B2760)/B2760)</x:f>
        <x:v>0.09998777655543323</x:v>
      </x:c>
      <x:c r="E2760" s="22" t="str">
        <x:f>IF(ISBLANK(C2760),"AmountIncludingTax缺失",IF(ABS(B2760-C2760)&lt;0.005,"一致","不一致"))</x:f>
        <x:v>不一致</x:v>
      </x:c>
      <x:c r="F2760" s="19" t="str">
        <x:v>approved</x:v>
      </x:c>
      <x:c r="G2760" s="19" t="str">
        <x:v>Repairer Invoiced Processed</x:v>
      </x:c>
      <x:c r="H2760" s="19" t="str">
        <x:v>In Field</x:v>
      </x:c>
      <x:c r="I2760" s="37" t="n">
        <x:v>46139</x:v>
      </x:c>
      <x:c r="J2760" s="37" t="n">
        <x:v>46139</x:v>
      </x:c>
      <x:c r="K2760" s="19" t="str">
        <x:v>Regent RV - Perth</x:v>
      </x:c>
      <x:c r="L2760" s="19" t="str">
        <x:v>Z006</x:v>
      </x:c>
      <x:c r="M2760" s="19" t="str">
        <x:v>In Field Warranty Claims</x:v>
      </x:c>
      <x:c r="N2760" s="37" t="n">
        <x:v>46098</x:v>
      </x:c>
      <x:c r="O2760" s="37"/>
      <x:c r="P2760" s="34" t="n">
        <x:v>89.99</x:v>
      </x:c>
      <x:c r="Q2760" s="37" t="n">
        <x:v>46138.962013888886</x:v>
      </x:c>
    </x:row>
    <x:row r="2761">
      <x:c r="A2761" s="22" t="n">
        <x:v>32389</x:v>
      </x:c>
      <x:c r="B2761" s="28" t="n">
        <x:v>202.5</x:v>
      </x:c>
      <x:c r="C2761" s="28"/>
      <x:c r="D2761" s="31" t="str">
        <x:f>IF(OR(ISBLANK(B2761),ISBLANK(C2761),B2761=0),"",(C2761-B2761)/B2761)</x:f>
      </x:c>
      <x:c r="E2761" s="22" t="str">
        <x:f>IF(ISBLANK(C2761),"AmountIncludingTax缺失",IF(ABS(B2761-C2761)&lt;0.005,"一致","不一致"))</x:f>
        <x:v>AmountIncludingTax缺失</x:v>
      </x:c>
      <x:c r="F2761" s="19" t="str">
        <x:v>approved</x:v>
      </x:c>
      <x:c r="G2761" s="19" t="str">
        <x:v>Repair in Progress</x:v>
      </x:c>
      <x:c r="H2761" s="19" t="str">
        <x:v>In Field</x:v>
      </x:c>
      <x:c r="I2761" s="37" t="n">
        <x:v>46111</x:v>
      </x:c>
      <x:c r="J2761" s="37" t="n">
        <x:v>46111</x:v>
      </x:c>
      <x:c r="K2761" s="19" t="str">
        <x:v>Regent RV - Perth</x:v>
      </x:c>
      <x:c r="L2761" s="19" t="str">
        <x:v>Z006</x:v>
      </x:c>
      <x:c r="M2761" s="19" t="str">
        <x:v>In Field Warranty Claims</x:v>
      </x:c>
      <x:c r="N2761" s="37" t="n">
        <x:v>46098</x:v>
      </x:c>
      <x:c r="O2761" s="37"/>
      <x:c r="P2761" s="34" t="n">
        <x:v>0</x:v>
      </x:c>
      <x:c r="Q2761" s="37" t="n">
        <x:v>46111.02584490741</x:v>
      </x:c>
    </x:row>
    <x:row r="2762">
      <x:c r="A2762" s="22" t="n">
        <x:v>32388</x:v>
      </x:c>
      <x:c r="B2762" s="28" t="n">
        <x:v>1241.25</x:v>
      </x:c>
      <x:c r="C2762" s="28"/>
      <x:c r="D2762" s="31" t="str">
        <x:f>IF(OR(ISBLANK(B2762),ISBLANK(C2762),B2762=0),"",(C2762-B2762)/B2762)</x:f>
      </x:c>
      <x:c r="E2762" s="22" t="str">
        <x:f>IF(ISBLANK(C2762),"AmountIncludingTax缺失",IF(ABS(B2762-C2762)&lt;0.005,"一致","不一致"))</x:f>
        <x:v>AmountIncludingTax缺失</x:v>
      </x:c>
      <x:c r="F2762" s="19" t="str">
        <x:v>approved</x:v>
      </x:c>
      <x:c r="G2762" s="19" t="str">
        <x:v>Repairer Invoiced Processed</x:v>
      </x:c>
      <x:c r="H2762" s="19" t="str">
        <x:v>In Field</x:v>
      </x:c>
      <x:c r="I2762" s="37" t="n">
        <x:v>46113</x:v>
      </x:c>
      <x:c r="J2762" s="37" t="n">
        <x:v>46113</x:v>
      </x:c>
      <x:c r="K2762" s="19" t="str">
        <x:v>Regent RV - Toowoomba</x:v>
      </x:c>
      <x:c r="L2762" s="19" t="str">
        <x:v>Z006</x:v>
      </x:c>
      <x:c r="M2762" s="19" t="str">
        <x:v>In Field Warranty Claims</x:v>
      </x:c>
      <x:c r="N2762" s="37" t="n">
        <x:v>46098</x:v>
      </x:c>
      <x:c r="O2762" s="37"/>
      <x:c r="P2762" s="34" t="n">
        <x:v>0</x:v>
      </x:c>
      <x:c r="Q2762" s="37" t="n">
        <x:v>46112.894282407404</x:v>
      </x:c>
    </x:row>
    <x:row r="2763">
      <x:c r="A2763" s="22" t="n">
        <x:v>32387</x:v>
      </x:c>
      <x:c r="B2763" s="28" t="n">
        <x:v>135</x:v>
      </x:c>
      <x:c r="C2763" s="28"/>
      <x:c r="D2763" s="31" t="str">
        <x:f>IF(OR(ISBLANK(B2763),ISBLANK(C2763),B2763=0),"",(C2763-B2763)/B2763)</x:f>
      </x:c>
      <x:c r="E2763" s="22" t="str">
        <x:f>IF(ISBLANK(C2763),"AmountIncludingTax缺失",IF(ABS(B2763-C2763)&lt;0.005,"一致","不一致"))</x:f>
        <x:v>AmountIncludingTax缺失</x:v>
      </x:c>
      <x:c r="F2763" s="19" t="str">
        <x:v>approved</x:v>
      </x:c>
      <x:c r="G2763" s="19" t="str">
        <x:v>Repair in Progress</x:v>
      </x:c>
      <x:c r="H2763" s="19" t="str">
        <x:v>Pre Delivery</x:v>
      </x:c>
      <x:c r="I2763" s="37" t="n">
        <x:v>46136</x:v>
      </x:c>
      <x:c r="J2763" s="37" t="n">
        <x:v>46136</x:v>
      </x:c>
      <x:c r="K2763" s="19" t="str">
        <x:v>Snowy River Frankston</x:v>
      </x:c>
      <x:c r="L2763" s="19" t="str">
        <x:v>Z005</x:v>
      </x:c>
      <x:c r="M2763" s="19" t="str">
        <x:v>Pre Delivery Warranty Claims</x:v>
      </x:c>
      <x:c r="N2763" s="37" t="n">
        <x:v>46098</x:v>
      </x:c>
      <x:c r="O2763" s="37"/>
      <x:c r="P2763" s="34" t="n">
        <x:v>0</x:v>
      </x:c>
      <x:c r="Q2763" s="37" t="n">
        <x:v>46135.93690972222</x:v>
      </x:c>
    </x:row>
    <x:row r="2764">
      <x:c r="A2764" s="22" t="n">
        <x:v>32385</x:v>
      </x:c>
      <x:c r="B2764" s="28" t="n">
        <x:v>10.8</x:v>
      </x:c>
      <x:c r="C2764" s="28"/>
      <x:c r="D2764" s="31" t="str">
        <x:f>IF(OR(ISBLANK(B2764),ISBLANK(C2764),B2764=0),"",(C2764-B2764)/B2764)</x:f>
      </x:c>
      <x:c r="E2764" s="22" t="str">
        <x:f>IF(ISBLANK(C2764),"AmountIncludingTax缺失",IF(ABS(B2764-C2764)&lt;0.005,"一致","不一致"))</x:f>
        <x:v>AmountIncludingTax缺失</x:v>
      </x:c>
      <x:c r="F2764" s="19" t="str">
        <x:v>approved</x:v>
      </x:c>
      <x:c r="G2764" s="19" t="str">
        <x:v>Repair in Progress</x:v>
      </x:c>
      <x:c r="H2764" s="19" t="str">
        <x:v>Pre Delivery</x:v>
      </x:c>
      <x:c r="I2764" s="37" t="n">
        <x:v>46134</x:v>
      </x:c>
      <x:c r="J2764" s="37" t="n">
        <x:v>46134</x:v>
      </x:c>
      <x:c r="K2764" s="19" t="str">
        <x:v>Snowy River Frankston</x:v>
      </x:c>
      <x:c r="L2764" s="19" t="str">
        <x:v>Z005</x:v>
      </x:c>
      <x:c r="M2764" s="19" t="str">
        <x:v>Pre Delivery Warranty Claims</x:v>
      </x:c>
      <x:c r="N2764" s="37" t="n">
        <x:v>46098</x:v>
      </x:c>
      <x:c r="O2764" s="37"/>
      <x:c r="P2764" s="34" t="n">
        <x:v>0</x:v>
      </x:c>
      <x:c r="Q2764" s="37" t="n">
        <x:v>46134.13508101852</x:v>
      </x:c>
    </x:row>
    <x:row r="2765">
      <x:c r="A2765" s="22" t="n">
        <x:v>32384</x:v>
      </x:c>
      <x:c r="B2765" s="28" t="n">
        <x:v>356.25</x:v>
      </x:c>
      <x:c r="C2765" s="28"/>
      <x:c r="D2765" s="31" t="str">
        <x:f>IF(OR(ISBLANK(B2765),ISBLANK(C2765),B2765=0),"",(C2765-B2765)/B2765)</x:f>
      </x:c>
      <x:c r="E2765" s="22" t="str">
        <x:f>IF(ISBLANK(C2765),"AmountIncludingTax缺失",IF(ABS(B2765-C2765)&lt;0.005,"一致","不一致"))</x:f>
        <x:v>AmountIncludingTax缺失</x:v>
      </x:c>
      <x:c r="F2765" s="19" t="str">
        <x:v>approved</x:v>
      </x:c>
      <x:c r="G2765" s="19" t="str">
        <x:v>Repairer Invoiced Processed</x:v>
      </x:c>
      <x:c r="H2765" s="19" t="str">
        <x:v>Pre Delivery</x:v>
      </x:c>
      <x:c r="I2765" s="37" t="n">
        <x:v>46185</x:v>
      </x:c>
      <x:c r="J2765" s="37" t="n">
        <x:v>46184</x:v>
      </x:c>
      <x:c r="K2765" s="19" t="str">
        <x:v>The Caravan Hub - Townsville</x:v>
      </x:c>
      <x:c r="L2765" s="19" t="str">
        <x:v>Z005</x:v>
      </x:c>
      <x:c r="M2765" s="19" t="str">
        <x:v>Pre Delivery Warranty Claims</x:v>
      </x:c>
      <x:c r="N2765" s="37" t="n">
        <x:v>46097</x:v>
      </x:c>
      <x:c r="O2765" s="37"/>
      <x:c r="P2765" s="34" t="n">
        <x:v>0</x:v>
      </x:c>
      <x:c r="Q2765" s="37" t="n">
        <x:v>46185.01289351852</x:v>
      </x:c>
    </x:row>
    <x:row r="2766">
      <x:c r="A2766" s="22" t="n">
        <x:v>32383</x:v>
      </x:c>
      <x:c r="B2766" s="28" t="n">
        <x:v>222.64</x:v>
      </x:c>
      <x:c r="C2766" s="28" t="n">
        <x:v>244.9</x:v>
      </x:c>
      <x:c r="D2766" s="31" t="n">
        <x:f>IF(OR(ISBLANK(B2766),ISBLANK(C2766),B2766=0),"",(C2766-B2766)/B2766)</x:f>
        <x:v>0.09998203377650028</x:v>
      </x:c>
      <x:c r="E2766" s="22" t="str">
        <x:f>IF(ISBLANK(C2766),"AmountIncludingTax缺失",IF(ABS(B2766-C2766)&lt;0.005,"一致","不一致"))</x:f>
        <x:v>不一致</x:v>
      </x:c>
      <x:c r="F2766" s="19" t="str">
        <x:v>approved</x:v>
      </x:c>
      <x:c r="G2766" s="19" t="str">
        <x:v>Repairer Invoiced Processed</x:v>
      </x:c>
      <x:c r="H2766" s="19" t="str">
        <x:v>In Field</x:v>
      </x:c>
      <x:c r="I2766" s="37" t="n">
        <x:v>46175</x:v>
      </x:c>
      <x:c r="J2766" s="37" t="n">
        <x:v>46175</x:v>
      </x:c>
      <x:c r="K2766" s="19" t="str">
        <x:v>Regent RV - Toowoomba</x:v>
      </x:c>
      <x:c r="L2766" s="19" t="str">
        <x:v>Z006</x:v>
      </x:c>
      <x:c r="M2766" s="19" t="str">
        <x:v>In Field Warranty Claims</x:v>
      </x:c>
      <x:c r="N2766" s="37" t="n">
        <x:v>46097</x:v>
      </x:c>
      <x:c r="O2766" s="37"/>
      <x:c r="P2766" s="34" t="n">
        <x:v>244.9</x:v>
      </x:c>
      <x:c r="Q2766" s="37" t="n">
        <x:v>46175.24539351852</x:v>
      </x:c>
    </x:row>
    <x:row r="2767">
      <x:c r="A2767" s="22" t="n">
        <x:v>32382</x:v>
      </x:c>
      <x:c r="B2767" s="28" t="n">
        <x:v>200.82</x:v>
      </x:c>
      <x:c r="C2767" s="28" t="n">
        <x:v>220.9</x:v>
      </x:c>
      <x:c r="D2767" s="31" t="n">
        <x:f>IF(OR(ISBLANK(B2767),ISBLANK(C2767),B2767=0),"",(C2767-B2767)/B2767)</x:f>
        <x:v>0.09999004083258646</x:v>
      </x:c>
      <x:c r="E2767" s="22" t="str">
        <x:f>IF(ISBLANK(C2767),"AmountIncludingTax缺失",IF(ABS(B2767-C2767)&lt;0.005,"一致","不一致"))</x:f>
        <x:v>不一致</x:v>
      </x:c>
      <x:c r="F2767" s="19" t="str">
        <x:v>approved</x:v>
      </x:c>
      <x:c r="G2767" s="19" t="str">
        <x:v>Repairer Invoiced Processed</x:v>
      </x:c>
      <x:c r="H2767" s="19" t="str">
        <x:v>In Field</x:v>
      </x:c>
      <x:c r="I2767" s="37" t="n">
        <x:v>46122</x:v>
      </x:c>
      <x:c r="J2767" s="37" t="n">
        <x:v>46122</x:v>
      </x:c>
      <x:c r="K2767" s="19" t="str">
        <x:v>Regent RV - Toowoomba</x:v>
      </x:c>
      <x:c r="L2767" s="19" t="str">
        <x:v>Z006</x:v>
      </x:c>
      <x:c r="M2767" s="19" t="str">
        <x:v>In Field Warranty Claims</x:v>
      </x:c>
      <x:c r="N2767" s="37" t="n">
        <x:v>46097</x:v>
      </x:c>
      <x:c r="O2767" s="37"/>
      <x:c r="P2767" s="34" t="n">
        <x:v>220.9</x:v>
      </x:c>
      <x:c r="Q2767" s="37" t="n">
        <x:v>46122.023831018516</x:v>
      </x:c>
    </x:row>
    <x:row r="2768">
      <x:c r="A2768" s="22" t="n">
        <x:v>32381</x:v>
      </x:c>
      <x:c r="B2768" s="28" t="n">
        <x:v>182.95</x:v>
      </x:c>
      <x:c r="C2768" s="28" t="n">
        <x:v>201.25</x:v>
      </x:c>
      <x:c r="D2768" s="31" t="n">
        <x:f>IF(OR(ISBLANK(B2768),ISBLANK(C2768),B2768=0),"",(C2768-B2768)/B2768)</x:f>
        <x:v>0.10002732987154968</x:v>
      </x:c>
      <x:c r="E2768" s="22" t="str">
        <x:f>IF(ISBLANK(C2768),"AmountIncludingTax缺失",IF(ABS(B2768-C2768)&lt;0.005,"一致","不一致"))</x:f>
        <x:v>不一致</x:v>
      </x:c>
      <x:c r="F2768" s="19" t="str">
        <x:v>approved</x:v>
      </x:c>
      <x:c r="G2768" s="19" t="str">
        <x:v>Repair in Progress</x:v>
      </x:c>
      <x:c r="H2768" s="19" t="str">
        <x:v>In Field</x:v>
      </x:c>
      <x:c r="I2768" s="37" t="n">
        <x:v>46175</x:v>
      </x:c>
      <x:c r="J2768" s="37" t="n">
        <x:v>46175</x:v>
      </x:c>
      <x:c r="K2768" s="19" t="str">
        <x:v>Regent RV - Toowoomba</x:v>
      </x:c>
      <x:c r="L2768" s="19" t="str">
        <x:v>Z006</x:v>
      </x:c>
      <x:c r="M2768" s="19" t="str">
        <x:v>In Field Warranty Claims</x:v>
      </x:c>
      <x:c r="N2768" s="37" t="n">
        <x:v>46097</x:v>
      </x:c>
      <x:c r="O2768" s="37"/>
      <x:c r="P2768" s="34" t="n">
        <x:v>201.25</x:v>
      </x:c>
      <x:c r="Q2768" s="37" t="n">
        <x:v>46175.171481481484</x:v>
      </x:c>
    </x:row>
    <x:row r="2769">
      <x:c r="A2769" s="22" t="n">
        <x:v>32370</x:v>
      </x:c>
      <x:c r="B2769" s="28" t="n">
        <x:v>405</x:v>
      </x:c>
      <x:c r="C2769" s="28"/>
      <x:c r="D2769" s="31" t="str">
        <x:f>IF(OR(ISBLANK(B2769),ISBLANK(C2769),B2769=0),"",(C2769-B2769)/B2769)</x:f>
      </x:c>
      <x:c r="E2769" s="22" t="str">
        <x:f>IF(ISBLANK(C2769),"AmountIncludingTax缺失",IF(ABS(B2769-C2769)&lt;0.005,"一致","不一致"))</x:f>
        <x:v>AmountIncludingTax缺失</x:v>
      </x:c>
      <x:c r="F2769" s="19" t="str">
        <x:v>approved</x:v>
      </x:c>
      <x:c r="G2769" s="19" t="str">
        <x:v>Repair in Progress</x:v>
      </x:c>
      <x:c r="H2769" s="19" t="str">
        <x:v>In Field</x:v>
      </x:c>
      <x:c r="I2769" s="37" t="n">
        <x:v>46104</x:v>
      </x:c>
      <x:c r="J2769" s="37" t="n">
        <x:v>46104</x:v>
      </x:c>
      <x:c r="K2769" s="19" t="str">
        <x:v>Regent RV - Frankston</x:v>
      </x:c>
      <x:c r="L2769" s="19" t="str">
        <x:v>Z006</x:v>
      </x:c>
      <x:c r="M2769" s="19" t="str">
        <x:v>In Field Warranty Claims</x:v>
      </x:c>
      <x:c r="N2769" s="37" t="n">
        <x:v>46097</x:v>
      </x:c>
      <x:c r="O2769" s="37"/>
      <x:c r="P2769" s="34" t="n">
        <x:v>0</x:v>
      </x:c>
      <x:c r="Q2769" s="37" t="n">
        <x:v>46104.22090277778</x:v>
      </x:c>
    </x:row>
    <x:row r="2770">
      <x:c r="A2770" s="22" t="n">
        <x:v>32369</x:v>
      </x:c>
      <x:c r="B2770" s="28" t="n">
        <x:v>887.5</x:v>
      </x:c>
      <x:c r="C2770" s="28"/>
      <x:c r="D2770" s="31" t="str">
        <x:f>IF(OR(ISBLANK(B2770),ISBLANK(C2770),B2770=0),"",(C2770-B2770)/B2770)</x:f>
      </x:c>
      <x:c r="E2770" s="22" t="str">
        <x:f>IF(ISBLANK(C2770),"AmountIncludingTax缺失",IF(ABS(B2770-C2770)&lt;0.005,"一致","不一致"))</x:f>
        <x:v>AmountIncludingTax缺失</x:v>
      </x:c>
      <x:c r="F2770" s="19" t="str">
        <x:v>approved</x:v>
      </x:c>
      <x:c r="G2770" s="19" t="str">
        <x:v>Repairer Invoiced Processed</x:v>
      </x:c>
      <x:c r="H2770" s="19" t="str">
        <x:v>Pre Delivery</x:v>
      </x:c>
      <x:c r="I2770" s="37" t="n">
        <x:v>46135</x:v>
      </x:c>
      <x:c r="J2770" s="37" t="n">
        <x:v>46135</x:v>
      </x:c>
      <x:c r="K2770" s="19" t="str">
        <x:v>Lesiure Lion-New Castle</x:v>
      </x:c>
      <x:c r="L2770" s="19" t="str">
        <x:v>Z005</x:v>
      </x:c>
      <x:c r="M2770" s="19" t="str">
        <x:v>Pre Delivery Warranty Claims</x:v>
      </x:c>
      <x:c r="N2770" s="37" t="n">
        <x:v>46097</x:v>
      </x:c>
      <x:c r="O2770" s="37"/>
      <x:c r="P2770" s="34" t="n">
        <x:v>0</x:v>
      </x:c>
      <x:c r="Q2770" s="37" t="n">
        <x:v>46134.952939814815</x:v>
      </x:c>
    </x:row>
    <x:row r="2771">
      <x:c r="A2771" s="22" t="n">
        <x:v>32364</x:v>
      </x:c>
      <x:c r="B2771" s="28" t="n">
        <x:v>105.46</x:v>
      </x:c>
      <x:c r="C2771" s="28"/>
      <x:c r="D2771" s="31" t="str">
        <x:f>IF(OR(ISBLANK(B2771),ISBLANK(C2771),B2771=0),"",(C2771-B2771)/B2771)</x:f>
      </x:c>
      <x:c r="E2771" s="22" t="str">
        <x:f>IF(ISBLANK(C2771),"AmountIncludingTax缺失",IF(ABS(B2771-C2771)&lt;0.005,"一致","不一致"))</x:f>
        <x:v>AmountIncludingTax缺失</x:v>
      </x:c>
      <x:c r="F2771" s="19" t="str">
        <x:v>approved</x:v>
      </x:c>
      <x:c r="G2771" s="19" t="str">
        <x:v>Repair in Progress</x:v>
      </x:c>
      <x:c r="H2771" s="19" t="str">
        <x:v>In Field</x:v>
      </x:c>
      <x:c r="I2771" s="37" t="n">
        <x:v>46106</x:v>
      </x:c>
      <x:c r="J2771" s="37" t="n">
        <x:v>46106</x:v>
      </x:c>
      <x:c r="K2771" s="19" t="str">
        <x:v>Not Assigned</x:v>
      </x:c>
      <x:c r="L2771" s="19" t="str">
        <x:v>Z006</x:v>
      </x:c>
      <x:c r="M2771" s="19" t="str">
        <x:v>In Field Warranty Claims</x:v>
      </x:c>
      <x:c r="N2771" s="37" t="n">
        <x:v>46097</x:v>
      </x:c>
      <x:c r="O2771" s="37"/>
      <x:c r="P2771" s="34" t="n">
        <x:v>0</x:v>
      </x:c>
      <x:c r="Q2771" s="37" t="n">
        <x:v>46106.01462962963</x:v>
      </x:c>
    </x:row>
    <x:row r="2772">
      <x:c r="A2772" s="22" t="n">
        <x:v>32362</x:v>
      </x:c>
      <x:c r="B2772" s="28" t="n">
        <x:v>580</x:v>
      </x:c>
      <x:c r="C2772" s="28"/>
      <x:c r="D2772" s="31" t="str">
        <x:f>IF(OR(ISBLANK(B2772),ISBLANK(C2772),B2772=0),"",(C2772-B2772)/B2772)</x:f>
      </x:c>
      <x:c r="E2772" s="22" t="str">
        <x:f>IF(ISBLANK(C2772),"AmountIncludingTax缺失",IF(ABS(B2772-C2772)&lt;0.005,"一致","不一致"))</x:f>
        <x:v>AmountIncludingTax缺失</x:v>
      </x:c>
      <x:c r="F2772" s="19" t="str">
        <x:v>approved</x:v>
      </x:c>
      <x:c r="G2772" s="19" t="str">
        <x:v>Repairer Invoiced Processed</x:v>
      </x:c>
      <x:c r="H2772" s="19" t="str">
        <x:v>In Field</x:v>
      </x:c>
      <x:c r="I2772" s="37" t="n">
        <x:v>46107</x:v>
      </x:c>
      <x:c r="J2772" s="37" t="n">
        <x:v>46107</x:v>
      </x:c>
      <x:c r="K2772" s="19" t="str">
        <x:v>Regent RV - Frankston</x:v>
      </x:c>
      <x:c r="L2772" s="19" t="str">
        <x:v>Z006</x:v>
      </x:c>
      <x:c r="M2772" s="19" t="str">
        <x:v>In Field Warranty Claims</x:v>
      </x:c>
      <x:c r="N2772" s="37" t="n">
        <x:v>46097</x:v>
      </x:c>
      <x:c r="O2772" s="37"/>
      <x:c r="P2772" s="34" t="n">
        <x:v>0</x:v>
      </x:c>
      <x:c r="Q2772" s="37" t="n">
        <x:v>46107.068460648145</x:v>
      </x:c>
    </x:row>
    <x:row r="2773">
      <x:c r="A2773" s="22" t="n">
        <x:v>32360</x:v>
      </x:c>
      <x:c r="B2773" s="28" t="n">
        <x:v>810</x:v>
      </x:c>
      <x:c r="C2773" s="28"/>
      <x:c r="D2773" s="31" t="str">
        <x:f>IF(OR(ISBLANK(B2773),ISBLANK(C2773),B2773=0),"",(C2773-B2773)/B2773)</x:f>
      </x:c>
      <x:c r="E2773" s="22" t="str">
        <x:f>IF(ISBLANK(C2773),"AmountIncludingTax缺失",IF(ABS(B2773-C2773)&lt;0.005,"一致","不一致"))</x:f>
        <x:v>AmountIncludingTax缺失</x:v>
      </x:c>
      <x:c r="F2773" s="19" t="str">
        <x:v>approved</x:v>
      </x:c>
      <x:c r="G2773" s="19" t="str">
        <x:v>Partially Picked</x:v>
      </x:c>
      <x:c r="H2773" s="19" t="str">
        <x:v>In Field</x:v>
      </x:c>
      <x:c r="I2773" s="37" t="n">
        <x:v>46104</x:v>
      </x:c>
      <x:c r="J2773" s="37" t="n">
        <x:v>46104</x:v>
      </x:c>
      <x:c r="K2773" s="19" t="str">
        <x:v>Regent RV - Frankston</x:v>
      </x:c>
      <x:c r="L2773" s="19" t="str">
        <x:v>Z006</x:v>
      </x:c>
      <x:c r="M2773" s="19" t="str">
        <x:v>In Field Warranty Claims</x:v>
      </x:c>
      <x:c r="N2773" s="37" t="n">
        <x:v>46097</x:v>
      </x:c>
      <x:c r="O2773" s="37"/>
      <x:c r="P2773" s="34" t="n">
        <x:v>0</x:v>
      </x:c>
      <x:c r="Q2773" s="37" t="n">
        <x:v>46104.14210648148</x:v>
      </x:c>
    </x:row>
    <x:row r="2774">
      <x:c r="A2774" s="22" t="n">
        <x:v>32359</x:v>
      </x:c>
      <x:c r="B2774" s="28" t="n">
        <x:v>472.5</x:v>
      </x:c>
      <x:c r="C2774" s="28"/>
      <x:c r="D2774" s="31" t="str">
        <x:f>IF(OR(ISBLANK(B2774),ISBLANK(C2774),B2774=0),"",(C2774-B2774)/B2774)</x:f>
      </x:c>
      <x:c r="E2774" s="22" t="str">
        <x:f>IF(ISBLANK(C2774),"AmountIncludingTax缺失",IF(ABS(B2774-C2774)&lt;0.005,"一致","不一致"))</x:f>
        <x:v>AmountIncludingTax缺失</x:v>
      </x:c>
      <x:c r="F2774" s="19" t="str">
        <x:v>approved</x:v>
      </x:c>
      <x:c r="G2774" s="19" t="str">
        <x:v>Repair in Progress</x:v>
      </x:c>
      <x:c r="H2774" s="19" t="str">
        <x:v>In Field</x:v>
      </x:c>
      <x:c r="I2774" s="37" t="n">
        <x:v>46114</x:v>
      </x:c>
      <x:c r="J2774" s="37" t="n">
        <x:v>46114</x:v>
      </x:c>
      <x:c r="K2774" s="19" t="str">
        <x:v>Not Assigned</x:v>
      </x:c>
      <x:c r="L2774" s="19" t="str">
        <x:v>Z006</x:v>
      </x:c>
      <x:c r="M2774" s="19" t="str">
        <x:v>In Field Warranty Claims</x:v>
      </x:c>
      <x:c r="N2774" s="37" t="n">
        <x:v>46097</x:v>
      </x:c>
      <x:c r="O2774" s="37"/>
      <x:c r="P2774" s="34" t="n">
        <x:v>0</x:v>
      </x:c>
      <x:c r="Q2774" s="37" t="n">
        <x:v>46113.97336805556</x:v>
      </x:c>
    </x:row>
    <x:row r="2775">
      <x:c r="A2775" s="22" t="n">
        <x:v>32358</x:v>
      </x:c>
      <x:c r="B2775" s="28" t="n">
        <x:v>392.5</x:v>
      </x:c>
      <x:c r="C2775" s="28"/>
      <x:c r="D2775" s="31" t="str">
        <x:f>IF(OR(ISBLANK(B2775),ISBLANK(C2775),B2775=0),"",(C2775-B2775)/B2775)</x:f>
      </x:c>
      <x:c r="E2775" s="22" t="str">
        <x:f>IF(ISBLANK(C2775),"AmountIncludingTax缺失",IF(ABS(B2775-C2775)&lt;0.005,"一致","不一致"))</x:f>
        <x:v>AmountIncludingTax缺失</x:v>
      </x:c>
      <x:c r="F2775" s="19" t="str">
        <x:v>approved</x:v>
      </x:c>
      <x:c r="G2775" s="19" t="str">
        <x:v>Sales Order Approved</x:v>
      </x:c>
      <x:c r="H2775" s="19" t="str">
        <x:v>Pre Delivery</x:v>
      </x:c>
      <x:c r="I2775" s="37" t="n">
        <x:v>46184</x:v>
      </x:c>
      <x:c r="J2775" s="37" t="n">
        <x:v>46184</x:v>
      </x:c>
      <x:c r="K2775" s="19" t="str">
        <x:v>The Caravan Hub - Townsville</x:v>
      </x:c>
      <x:c r="L2775" s="19" t="str">
        <x:v>Z005</x:v>
      </x:c>
      <x:c r="M2775" s="19" t="str">
        <x:v>Pre Delivery Warranty Claims</x:v>
      </x:c>
      <x:c r="N2775" s="37" t="n">
        <x:v>46097</x:v>
      </x:c>
      <x:c r="O2775" s="37"/>
      <x:c r="P2775" s="34" t="n">
        <x:v>0</x:v>
      </x:c>
      <x:c r="Q2775" s="37" t="n">
        <x:v>46184.236446759256</x:v>
      </x:c>
    </x:row>
    <x:row r="2776">
      <x:c r="A2776" s="22" t="n">
        <x:v>32356</x:v>
      </x:c>
      <x:c r="B2776" s="28" t="n">
        <x:v>371.25</x:v>
      </x:c>
      <x:c r="C2776" s="28"/>
      <x:c r="D2776" s="31" t="str">
        <x:f>IF(OR(ISBLANK(B2776),ISBLANK(C2776),B2776=0),"",(C2776-B2776)/B2776)</x:f>
      </x:c>
      <x:c r="E2776" s="22" t="str">
        <x:f>IF(ISBLANK(C2776),"AmountIncludingTax缺失",IF(ABS(B2776-C2776)&lt;0.005,"一致","不一致"))</x:f>
        <x:v>AmountIncludingTax缺失</x:v>
      </x:c>
      <x:c r="F2776" s="19" t="str">
        <x:v>approved</x:v>
      </x:c>
      <x:c r="G2776" s="19" t="str">
        <x:v>Repairer Invoiced Processed</x:v>
      </x:c>
      <x:c r="H2776" s="19" t="str">
        <x:v>Pre Delivery</x:v>
      </x:c>
      <x:c r="I2776" s="37" t="n">
        <x:v>46135</x:v>
      </x:c>
      <x:c r="J2776" s="37" t="n">
        <x:v>46135</x:v>
      </x:c>
      <x:c r="K2776" s="19" t="str">
        <x:v>Lesiure Lion-New Castle</x:v>
      </x:c>
      <x:c r="L2776" s="19" t="str">
        <x:v>Z005</x:v>
      </x:c>
      <x:c r="M2776" s="19" t="str">
        <x:v>Pre Delivery Warranty Claims</x:v>
      </x:c>
      <x:c r="N2776" s="37" t="n">
        <x:v>46097</x:v>
      </x:c>
      <x:c r="O2776" s="37"/>
      <x:c r="P2776" s="34" t="n">
        <x:v>0</x:v>
      </x:c>
      <x:c r="Q2776" s="37" t="n">
        <x:v>46134.92930555555</x:v>
      </x:c>
    </x:row>
    <x:row r="2777">
      <x:c r="A2777" s="22" t="n">
        <x:v>32355</x:v>
      </x:c>
      <x:c r="B2777" s="28" t="n">
        <x:v>135</x:v>
      </x:c>
      <x:c r="C2777" s="28"/>
      <x:c r="D2777" s="31" t="str">
        <x:f>IF(OR(ISBLANK(B2777),ISBLANK(C2777),B2777=0),"",(C2777-B2777)/B2777)</x:f>
      </x:c>
      <x:c r="E2777" s="22" t="str">
        <x:f>IF(ISBLANK(C2777),"AmountIncludingTax缺失",IF(ABS(B2777-C2777)&lt;0.005,"一致","不一致"))</x:f>
        <x:v>AmountIncludingTax缺失</x:v>
      </x:c>
      <x:c r="F2777" s="19" t="str">
        <x:v>approved</x:v>
      </x:c>
      <x:c r="G2777" s="19" t="str">
        <x:v>Repair in Progress</x:v>
      </x:c>
      <x:c r="H2777" s="19" t="str">
        <x:v>In Field</x:v>
      </x:c>
      <x:c r="I2777" s="37" t="n">
        <x:v>46098</x:v>
      </x:c>
      <x:c r="J2777" s="37" t="n">
        <x:v>46098</x:v>
      </x:c>
      <x:c r="K2777" s="19" t="str">
        <x:v>Regent RV - Perth</x:v>
      </x:c>
      <x:c r="L2777" s="19" t="str">
        <x:v>Z006</x:v>
      </x:c>
      <x:c r="M2777" s="19" t="str">
        <x:v>In Field Warranty Claims</x:v>
      </x:c>
      <x:c r="N2777" s="37" t="n">
        <x:v>46097</x:v>
      </x:c>
      <x:c r="O2777" s="37"/>
      <x:c r="P2777" s="34" t="n">
        <x:v>0</x:v>
      </x:c>
      <x:c r="Q2777" s="37" t="n">
        <x:v>46098.106469907405</x:v>
      </x:c>
    </x:row>
    <x:row r="2778">
      <x:c r="A2778" s="22" t="n">
        <x:v>32354</x:v>
      </x:c>
      <x:c r="B2778" s="28" t="n">
        <x:v>347</x:v>
      </x:c>
      <x:c r="C2778" s="28" t="n">
        <x:v>381.7</x:v>
      </x:c>
      <x:c r="D2778" s="31" t="n">
        <x:f>IF(OR(ISBLANK(B2778),ISBLANK(C2778),B2778=0),"",(C2778-B2778)/B2778)</x:f>
        <x:v>0.09999999999999996</x:v>
      </x:c>
      <x:c r="E2778" s="22" t="str">
        <x:f>IF(ISBLANK(C2778),"AmountIncludingTax缺失",IF(ABS(B2778-C2778)&lt;0.005,"一致","不一致"))</x:f>
        <x:v>不一致</x:v>
      </x:c>
      <x:c r="F2778" s="19" t="str">
        <x:v>approved</x:v>
      </x:c>
      <x:c r="G2778" s="19" t="str">
        <x:v>Repairer Invoiced Processed</x:v>
      </x:c>
      <x:c r="H2778" s="19" t="str">
        <x:v>In Field</x:v>
      </x:c>
      <x:c r="I2778" s="37" t="n">
        <x:v>46163</x:v>
      </x:c>
      <x:c r="J2778" s="37" t="n">
        <x:v>46163</x:v>
      </x:c>
      <x:c r="K2778" s="19" t="str">
        <x:v>Green RV - Forest Glen</x:v>
      </x:c>
      <x:c r="L2778" s="19" t="str">
        <x:v>Z006</x:v>
      </x:c>
      <x:c r="M2778" s="19" t="str">
        <x:v>In Field Warranty Claims</x:v>
      </x:c>
      <x:c r="N2778" s="37" t="n">
        <x:v>46097</x:v>
      </x:c>
      <x:c r="O2778" s="37"/>
      <x:c r="P2778" s="34" t="n">
        <x:v>381.7</x:v>
      </x:c>
      <x:c r="Q2778" s="37" t="n">
        <x:v>46163.16853009259</x:v>
      </x:c>
    </x:row>
    <x:row r="2779">
      <x:c r="A2779" s="22" t="n">
        <x:v>32353</x:v>
      </x:c>
      <x:c r="B2779" s="28" t="n">
        <x:v>472.5</x:v>
      </x:c>
      <x:c r="C2779" s="28"/>
      <x:c r="D2779" s="31" t="str">
        <x:f>IF(OR(ISBLANK(B2779),ISBLANK(C2779),B2779=0),"",(C2779-B2779)/B2779)</x:f>
      </x:c>
      <x:c r="E2779" s="22" t="str">
        <x:f>IF(ISBLANK(C2779),"AmountIncludingTax缺失",IF(ABS(B2779-C2779)&lt;0.005,"一致","不一致"))</x:f>
        <x:v>AmountIncludingTax缺失</x:v>
      </x:c>
      <x:c r="F2779" s="19" t="str">
        <x:v>approved</x:v>
      </x:c>
      <x:c r="G2779" s="19" t="str">
        <x:v>Repair in Progress</x:v>
      </x:c>
      <x:c r="H2779" s="19" t="str">
        <x:v>In Field</x:v>
      </x:c>
      <x:c r="I2779" s="37" t="n">
        <x:v>46104</x:v>
      </x:c>
      <x:c r="J2779" s="37" t="n">
        <x:v>46104</x:v>
      </x:c>
      <x:c r="K2779" s="19" t="str">
        <x:v>Sherrif Caravans &amp; Traliers - Prospect Vale</x:v>
      </x:c>
      <x:c r="L2779" s="19" t="str">
        <x:v>Z006</x:v>
      </x:c>
      <x:c r="M2779" s="19" t="str">
        <x:v>In Field Warranty Claims</x:v>
      </x:c>
      <x:c r="N2779" s="37" t="n">
        <x:v>46097</x:v>
      </x:c>
      <x:c r="O2779" s="37"/>
      <x:c r="P2779" s="34" t="n">
        <x:v>0</x:v>
      </x:c>
      <x:c r="Q2779" s="37" t="n">
        <x:v>46104.122928240744</x:v>
      </x:c>
    </x:row>
    <x:row r="2780">
      <x:c r="A2780" s="22" t="n">
        <x:v>32352</x:v>
      </x:c>
      <x:c r="B2780" s="28" t="n">
        <x:v>540</x:v>
      </x:c>
      <x:c r="C2780" s="28"/>
      <x:c r="D2780" s="31" t="str">
        <x:f>IF(OR(ISBLANK(B2780),ISBLANK(C2780),B2780=0),"",(C2780-B2780)/B2780)</x:f>
      </x:c>
      <x:c r="E2780" s="22" t="str">
        <x:f>IF(ISBLANK(C2780),"AmountIncludingTax缺失",IF(ABS(B2780-C2780)&lt;0.005,"一致","不一致"))</x:f>
        <x:v>AmountIncludingTax缺失</x:v>
      </x:c>
      <x:c r="F2780" s="19" t="str">
        <x:v>approved</x:v>
      </x:c>
      <x:c r="G2780" s="19" t="str">
        <x:v>Repair in Progress</x:v>
      </x:c>
      <x:c r="H2780" s="19" t="str">
        <x:v>In Field</x:v>
      </x:c>
      <x:c r="I2780" s="37" t="n">
        <x:v>46104</x:v>
      </x:c>
      <x:c r="J2780" s="37" t="n">
        <x:v>46104</x:v>
      </x:c>
      <x:c r="K2780" s="19" t="str">
        <x:v>Not Assigned</x:v>
      </x:c>
      <x:c r="L2780" s="19" t="str">
        <x:v>Z006</x:v>
      </x:c>
      <x:c r="M2780" s="19" t="str">
        <x:v>In Field Warranty Claims</x:v>
      </x:c>
      <x:c r="N2780" s="37" t="n">
        <x:v>46097</x:v>
      </x:c>
      <x:c r="O2780" s="37"/>
      <x:c r="P2780" s="34" t="n">
        <x:v>0</x:v>
      </x:c>
      <x:c r="Q2780" s="37" t="n">
        <x:v>46104.12542824074</x:v>
      </x:c>
    </x:row>
    <x:row r="2781">
      <x:c r="A2781" s="22" t="n">
        <x:v>32351</x:v>
      </x:c>
      <x:c r="B2781" s="28" t="n">
        <x:v>375</x:v>
      </x:c>
      <x:c r="C2781" s="28" t="n">
        <x:v>412.5</x:v>
      </x:c>
      <x:c r="D2781" s="31" t="n">
        <x:f>IF(OR(ISBLANK(B2781),ISBLANK(C2781),B2781=0),"",(C2781-B2781)/B2781)</x:f>
        <x:v>0.1</x:v>
      </x:c>
      <x:c r="E2781" s="22" t="str">
        <x:f>IF(ISBLANK(C2781),"AmountIncludingTax缺失",IF(ABS(B2781-C2781)&lt;0.005,"一致","不一致"))</x:f>
        <x:v>不一致</x:v>
      </x:c>
      <x:c r="F2781" s="19" t="str">
        <x:v>approved</x:v>
      </x:c>
      <x:c r="G2781" s="19" t="str">
        <x:v>Repairer Invoiced Processed</x:v>
      </x:c>
      <x:c r="H2781" s="19" t="str">
        <x:v>In Field</x:v>
      </x:c>
      <x:c r="I2781" s="37" t="n">
        <x:v>46104</x:v>
      </x:c>
      <x:c r="J2781" s="37" t="n">
        <x:v>46104</x:v>
      </x:c>
      <x:c r="K2781" s="19" t="str">
        <x:v>Great Ocean Road RV &amp; Caravans - Warrnambool</x:v>
      </x:c>
      <x:c r="L2781" s="19" t="str">
        <x:v>Z006</x:v>
      </x:c>
      <x:c r="M2781" s="19" t="str">
        <x:v>In Field Warranty Claims</x:v>
      </x:c>
      <x:c r="N2781" s="37" t="n">
        <x:v>46097</x:v>
      </x:c>
      <x:c r="O2781" s="37"/>
      <x:c r="P2781" s="34" t="n">
        <x:v>412.5</x:v>
      </x:c>
      <x:c r="Q2781" s="37" t="n">
        <x:v>46104.12657407407</x:v>
      </x:c>
    </x:row>
    <x:row r="2782">
      <x:c r="A2782" s="22" t="n">
        <x:v>32328</x:v>
      </x:c>
      <x:c r="B2782" s="28" t="n">
        <x:v>270</x:v>
      </x:c>
      <x:c r="C2782" s="28"/>
      <x:c r="D2782" s="31" t="str">
        <x:f>IF(OR(ISBLANK(B2782),ISBLANK(C2782),B2782=0),"",(C2782-B2782)/B2782)</x:f>
      </x:c>
      <x:c r="E2782" s="22" t="str">
        <x:f>IF(ISBLANK(C2782),"AmountIncludingTax缺失",IF(ABS(B2782-C2782)&lt;0.005,"一致","不一致"))</x:f>
        <x:v>AmountIncludingTax缺失</x:v>
      </x:c>
      <x:c r="F2782" s="19" t="str">
        <x:v>approved</x:v>
      </x:c>
      <x:c r="G2782" s="19" t="str">
        <x:v>Repairer Invoiced Processed</x:v>
      </x:c>
      <x:c r="H2782" s="19" t="str">
        <x:v>In Field</x:v>
      </x:c>
      <x:c r="I2782" s="37" t="n">
        <x:v>46106</x:v>
      </x:c>
      <x:c r="J2782" s="37" t="n">
        <x:v>46106</x:v>
      </x:c>
      <x:c r="K2782" s="19" t="str">
        <x:v>Not Assigned</x:v>
      </x:c>
      <x:c r="L2782" s="19" t="str">
        <x:v>Z006</x:v>
      </x:c>
      <x:c r="M2782" s="19" t="str">
        <x:v>In Field Warranty Claims</x:v>
      </x:c>
      <x:c r="N2782" s="37" t="n">
        <x:v>46097</x:v>
      </x:c>
      <x:c r="O2782" s="37"/>
      <x:c r="P2782" s="34" t="n">
        <x:v>0</x:v>
      </x:c>
      <x:c r="Q2782" s="37" t="n">
        <x:v>46105.89148148148</x:v>
      </x:c>
    </x:row>
    <x:row r="2783">
      <x:c r="A2783" s="22" t="n">
        <x:v>32327</x:v>
      </x:c>
      <x:c r="B2783" s="28" t="n">
        <x:v>325</x:v>
      </x:c>
      <x:c r="C2783" s="28" t="n">
        <x:v>357.5</x:v>
      </x:c>
      <x:c r="D2783" s="31" t="n">
        <x:f>IF(OR(ISBLANK(B2783),ISBLANK(C2783),B2783=0),"",(C2783-B2783)/B2783)</x:f>
        <x:v>0.1</x:v>
      </x:c>
      <x:c r="E2783" s="22" t="str">
        <x:f>IF(ISBLANK(C2783),"AmountIncludingTax缺失",IF(ABS(B2783-C2783)&lt;0.005,"一致","不一致"))</x:f>
        <x:v>不一致</x:v>
      </x:c>
      <x:c r="F2783" s="19" t="str">
        <x:v>approved</x:v>
      </x:c>
      <x:c r="G2783" s="19" t="str">
        <x:v>Repairer Invoiced Processed</x:v>
      </x:c>
      <x:c r="H2783" s="19" t="str">
        <x:v>In Field</x:v>
      </x:c>
      <x:c r="I2783" s="37" t="n">
        <x:v>46133</x:v>
      </x:c>
      <x:c r="J2783" s="37" t="n">
        <x:v>46133</x:v>
      </x:c>
      <x:c r="K2783" s="19" t="str">
        <x:v>Regent RV - Townsville</x:v>
      </x:c>
      <x:c r="L2783" s="19" t="str">
        <x:v>Z006</x:v>
      </x:c>
      <x:c r="M2783" s="19" t="str">
        <x:v>In Field Warranty Claims</x:v>
      </x:c>
      <x:c r="N2783" s="37" t="n">
        <x:v>46097</x:v>
      </x:c>
      <x:c r="O2783" s="37"/>
      <x:c r="P2783" s="34" t="n">
        <x:v>357.5</x:v>
      </x:c>
      <x:c r="Q2783" s="37" t="n">
        <x:v>46132.9815625</x:v>
      </x:c>
    </x:row>
    <x:row r="2784">
      <x:c r="A2784" s="22" t="n">
        <x:v>32322</x:v>
      </x:c>
      <x:c r="B2784" s="28" t="n">
        <x:v>626.36</x:v>
      </x:c>
      <x:c r="C2784" s="28" t="n">
        <x:v>689</x:v>
      </x:c>
      <x:c r="D2784" s="31" t="n">
        <x:f>IF(OR(ISBLANK(B2784),ISBLANK(C2784),B2784=0),"",(C2784-B2784)/B2784)</x:f>
        <x:v>0.10000638610383802</x:v>
      </x:c>
      <x:c r="E2784" s="22" t="str">
        <x:f>IF(ISBLANK(C2784),"AmountIncludingTax缺失",IF(ABS(B2784-C2784)&lt;0.005,"一致","不一致"))</x:f>
        <x:v>不一致</x:v>
      </x:c>
      <x:c r="F2784" s="19" t="str">
        <x:v>approved</x:v>
      </x:c>
      <x:c r="G2784" s="19" t="str">
        <x:v>Repairer Invoiced Processed</x:v>
      </x:c>
      <x:c r="H2784" s="19" t="str">
        <x:v>In Field</x:v>
      </x:c>
      <x:c r="I2784" s="37" t="n">
        <x:v>46105</x:v>
      </x:c>
      <x:c r="J2784" s="37" t="n">
        <x:v>46105</x:v>
      </x:c>
      <x:c r="K2784" s="19" t="str">
        <x:v>Not Assigned</x:v>
      </x:c>
      <x:c r="L2784" s="19" t="str">
        <x:v>Z006</x:v>
      </x:c>
      <x:c r="M2784" s="19" t="str">
        <x:v>In Field Warranty Claims</x:v>
      </x:c>
      <x:c r="N2784" s="37" t="n">
        <x:v>46097</x:v>
      </x:c>
      <x:c r="O2784" s="37"/>
      <x:c r="P2784" s="34" t="n">
        <x:v>689</x:v>
      </x:c>
      <x:c r="Q2784" s="37" t="n">
        <x:v>46105.097291666665</x:v>
      </x:c>
    </x:row>
    <x:row r="2785">
      <x:c r="A2785" s="22" t="n">
        <x:v>32321</x:v>
      </x:c>
      <x:c r="B2785" s="28" t="n">
        <x:v>101.25</x:v>
      </x:c>
      <x:c r="C2785" s="28"/>
      <x:c r="D2785" s="31" t="str">
        <x:f>IF(OR(ISBLANK(B2785),ISBLANK(C2785),B2785=0),"",(C2785-B2785)/B2785)</x:f>
      </x:c>
      <x:c r="E2785" s="22" t="str">
        <x:f>IF(ISBLANK(C2785),"AmountIncludingTax缺失",IF(ABS(B2785-C2785)&lt;0.005,"一致","不一致"))</x:f>
        <x:v>AmountIncludingTax缺失</x:v>
      </x:c>
      <x:c r="F2785" s="19" t="str">
        <x:v>approved</x:v>
      </x:c>
      <x:c r="G2785" s="19" t="str">
        <x:v>Repair in Progress</x:v>
      </x:c>
      <x:c r="H2785" s="19" t="str">
        <x:v>Pre Delivery</x:v>
      </x:c>
      <x:c r="I2785" s="37" t="n">
        <x:v>46122</x:v>
      </x:c>
      <x:c r="J2785" s="37" t="n">
        <x:v>46122</x:v>
      </x:c>
      <x:c r="K2785" s="19" t="str">
        <x:v>Regent RV - Perth</x:v>
      </x:c>
      <x:c r="L2785" s="19" t="str">
        <x:v>Z005</x:v>
      </x:c>
      <x:c r="M2785" s="19" t="str">
        <x:v>Pre Delivery Warranty Claims</x:v>
      </x:c>
      <x:c r="N2785" s="37" t="n">
        <x:v>46097</x:v>
      </x:c>
      <x:c r="O2785" s="37"/>
      <x:c r="P2785" s="34" t="n">
        <x:v>0</x:v>
      </x:c>
      <x:c r="Q2785" s="37" t="n">
        <x:v>46121.96611111111</x:v>
      </x:c>
    </x:row>
    <x:row r="2786">
      <x:c r="A2786" s="22" t="n">
        <x:v>32310</x:v>
      </x:c>
      <x:c r="B2786" s="28" t="n">
        <x:v>492.5</x:v>
      </x:c>
      <x:c r="C2786" s="28"/>
      <x:c r="D2786" s="31" t="str">
        <x:f>IF(OR(ISBLANK(B2786),ISBLANK(C2786),B2786=0),"",(C2786-B2786)/B2786)</x:f>
      </x:c>
      <x:c r="E2786" s="22" t="str">
        <x:f>IF(ISBLANK(C2786),"AmountIncludingTax缺失",IF(ABS(B2786-C2786)&lt;0.005,"一致","不一致"))</x:f>
        <x:v>AmountIncludingTax缺失</x:v>
      </x:c>
      <x:c r="F2786" s="19" t="str">
        <x:v>approved</x:v>
      </x:c>
      <x:c r="G2786" s="19" t="str">
        <x:v>Sales Order Approved</x:v>
      </x:c>
      <x:c r="H2786" s="19" t="str">
        <x:v>Pre Delivery</x:v>
      </x:c>
      <x:c r="I2786" s="37" t="n">
        <x:v>46135</x:v>
      </x:c>
      <x:c r="J2786" s="37" t="n">
        <x:v>46135</x:v>
      </x:c>
      <x:c r="K2786" s="19" t="str">
        <x:v>Snowy River Wangaratta</x:v>
      </x:c>
      <x:c r="L2786" s="19" t="str">
        <x:v>Z005</x:v>
      </x:c>
      <x:c r="M2786" s="19" t="str">
        <x:v>Pre Delivery Warranty Claims</x:v>
      </x:c>
      <x:c r="N2786" s="37" t="n">
        <x:v>46097</x:v>
      </x:c>
      <x:c r="O2786" s="37"/>
      <x:c r="P2786" s="34" t="n">
        <x:v>0</x:v>
      </x:c>
      <x:c r="Q2786" s="37" t="n">
        <x:v>46134.91898148148</x:v>
      </x:c>
    </x:row>
    <x:row r="2787">
      <x:c r="A2787" s="22" t="n">
        <x:v>32309</x:v>
      </x:c>
      <x:c r="B2787" s="28" t="n">
        <x:v>160.45</x:v>
      </x:c>
      <x:c r="C2787" s="28" t="n">
        <x:v>145.27</x:v>
      </x:c>
      <x:c r="D2787" s="31" t="n">
        <x:f>IF(OR(ISBLANK(B2787),ISBLANK(C2787),B2787=0),"",(C2787-B2787)/B2787)</x:f>
        <x:v>-0.09460891243377986</x:v>
      </x:c>
      <x:c r="E2787" s="22" t="str">
        <x:f>IF(ISBLANK(C2787),"AmountIncludingTax缺失",IF(ABS(B2787-C2787)&lt;0.005,"一致","不一致"))</x:f>
        <x:v>不一致</x:v>
      </x:c>
      <x:c r="F2787" s="19" t="str">
        <x:v>approved</x:v>
      </x:c>
      <x:c r="G2787" s="19" t="str">
        <x:v>Repairer Invoiced Processed</x:v>
      </x:c>
      <x:c r="H2787" s="19" t="str">
        <x:v>In Field</x:v>
      </x:c>
      <x:c r="I2787" s="37" t="n">
        <x:v>46170</x:v>
      </x:c>
      <x:c r="J2787" s="37" t="n">
        <x:v>46170</x:v>
      </x:c>
      <x:c r="K2787" s="19" t="str">
        <x:v>Vanari Caravans - Marden Point</x:v>
      </x:c>
      <x:c r="L2787" s="19" t="str">
        <x:v>Z006</x:v>
      </x:c>
      <x:c r="M2787" s="19" t="str">
        <x:v>In Field Warranty Claims</x:v>
      </x:c>
      <x:c r="N2787" s="37" t="n">
        <x:v>46097</x:v>
      </x:c>
      <x:c r="O2787" s="37"/>
      <x:c r="P2787" s="34" t="n">
        <x:v>145.27</x:v>
      </x:c>
      <x:c r="Q2787" s="37" t="n">
        <x:v>46170.192453703705</x:v>
      </x:c>
    </x:row>
    <x:row r="2788">
      <x:c r="A2788" s="22" t="n">
        <x:v>32308</x:v>
      </x:c>
      <x:c r="B2788" s="28" t="n">
        <x:v>772.5</x:v>
      </x:c>
      <x:c r="C2788" s="28"/>
      <x:c r="D2788" s="31" t="str">
        <x:f>IF(OR(ISBLANK(B2788),ISBLANK(C2788),B2788=0),"",(C2788-B2788)/B2788)</x:f>
      </x:c>
      <x:c r="E2788" s="22" t="str">
        <x:f>IF(ISBLANK(C2788),"AmountIncludingTax缺失",IF(ABS(B2788-C2788)&lt;0.005,"一致","不一致"))</x:f>
        <x:v>AmountIncludingTax缺失</x:v>
      </x:c>
      <x:c r="F2788" s="19" t="str">
        <x:v>approved</x:v>
      </x:c>
      <x:c r="G2788" s="19" t="str">
        <x:v>Repair in Progress</x:v>
      </x:c>
      <x:c r="H2788" s="19" t="str">
        <x:v>In Field</x:v>
      </x:c>
      <x:c r="I2788" s="37" t="n">
        <x:v>46107</x:v>
      </x:c>
      <x:c r="J2788" s="37" t="n">
        <x:v>46107</x:v>
      </x:c>
      <x:c r="K2788" s="19" t="str">
        <x:v>Dario Caravans -St.Marys</x:v>
      </x:c>
      <x:c r="L2788" s="19" t="str">
        <x:v>Z006</x:v>
      </x:c>
      <x:c r="M2788" s="19" t="str">
        <x:v>In Field Warranty Claims</x:v>
      </x:c>
      <x:c r="N2788" s="37" t="n">
        <x:v>46097</x:v>
      </x:c>
      <x:c r="O2788" s="37"/>
      <x:c r="P2788" s="34" t="n">
        <x:v>0</x:v>
      </x:c>
      <x:c r="Q2788" s="37" t="n">
        <x:v>46107.0715162037</x:v>
      </x:c>
    </x:row>
    <x:row r="2789">
      <x:c r="A2789" s="22" t="n">
        <x:v>32305</x:v>
      </x:c>
      <x:c r="B2789" s="28" t="n">
        <x:v>202.5</x:v>
      </x:c>
      <x:c r="C2789" s="28"/>
      <x:c r="D2789" s="31" t="str">
        <x:f>IF(OR(ISBLANK(B2789),ISBLANK(C2789),B2789=0),"",(C2789-B2789)/B2789)</x:f>
      </x:c>
      <x:c r="E2789" s="22" t="str">
        <x:f>IF(ISBLANK(C2789),"AmountIncludingTax缺失",IF(ABS(B2789-C2789)&lt;0.005,"一致","不一致"))</x:f>
        <x:v>AmountIncludingTax缺失</x:v>
      </x:c>
      <x:c r="F2789" s="19" t="str">
        <x:v>approved</x:v>
      </x:c>
      <x:c r="G2789" s="19" t="str">
        <x:v>Repairer Invoiced Processed</x:v>
      </x:c>
      <x:c r="H2789" s="19" t="str">
        <x:v>In Field</x:v>
      </x:c>
      <x:c r="I2789" s="37" t="n">
        <x:v>46106</x:v>
      </x:c>
      <x:c r="J2789" s="37" t="n">
        <x:v>46106</x:v>
      </x:c>
      <x:c r="K2789" s="19" t="str">
        <x:v>Leisure Lion Pty Ltd - Morisset</x:v>
      </x:c>
      <x:c r="L2789" s="19" t="str">
        <x:v>Z006</x:v>
      </x:c>
      <x:c r="M2789" s="19" t="str">
        <x:v>In Field Warranty Claims</x:v>
      </x:c>
      <x:c r="N2789" s="37" t="n">
        <x:v>46097</x:v>
      </x:c>
      <x:c r="O2789" s="37"/>
      <x:c r="P2789" s="34" t="n">
        <x:v>0</x:v>
      </x:c>
      <x:c r="Q2789" s="37" t="n">
        <x:v>46105.88853009259</x:v>
      </x:c>
    </x:row>
    <x:row r="2790">
      <x:c r="A2790" s="22" t="n">
        <x:v>32303</x:v>
      </x:c>
      <x:c r="B2790" s="28" t="n">
        <x:v>145</x:v>
      </x:c>
      <x:c r="C2790" s="28"/>
      <x:c r="D2790" s="31" t="str">
        <x:f>IF(OR(ISBLANK(B2790),ISBLANK(C2790),B2790=0),"",(C2790-B2790)/B2790)</x:f>
      </x:c>
      <x:c r="E2790" s="22" t="str">
        <x:f>IF(ISBLANK(C2790),"AmountIncludingTax缺失",IF(ABS(B2790-C2790)&lt;0.005,"一致","不一致"))</x:f>
        <x:v>AmountIncludingTax缺失</x:v>
      </x:c>
      <x:c r="F2790" s="19" t="str">
        <x:v>approved</x:v>
      </x:c>
      <x:c r="G2790" s="19" t="str">
        <x:v>Repairer Invoiced Processed</x:v>
      </x:c>
      <x:c r="H2790" s="19" t="str">
        <x:v>Pre Delivery</x:v>
      </x:c>
      <x:c r="I2790" s="37" t="n">
        <x:v>46191</x:v>
      </x:c>
      <x:c r="J2790" s="37" t="n">
        <x:v>46191</x:v>
      </x:c>
      <x:c r="K2790" s="19" t="str">
        <x:v>The Caravan Hub - Townsville</x:v>
      </x:c>
      <x:c r="L2790" s="19" t="str">
        <x:v>Z005</x:v>
      </x:c>
      <x:c r="M2790" s="19" t="str">
        <x:v>Pre Delivery Warranty Claims</x:v>
      </x:c>
      <x:c r="N2790" s="37" t="n">
        <x:v>46097</x:v>
      </x:c>
      <x:c r="O2790" s="37" t="n">
        <x:v>46184</x:v>
      </x:c>
      <x:c r="P2790" s="34" t="n">
        <x:v>0</x:v>
      </x:c>
      <x:c r="Q2790" s="37" t="n">
        <x:v>46190.98585648148</x:v>
      </x:c>
    </x:row>
    <x:row r="2791">
      <x:c r="A2791" s="22" t="n">
        <x:v>32302</x:v>
      </x:c>
      <x:c r="B2791" s="28" t="n">
        <x:v>207.5</x:v>
      </x:c>
      <x:c r="C2791" s="28"/>
      <x:c r="D2791" s="31" t="str">
        <x:f>IF(OR(ISBLANK(B2791),ISBLANK(C2791),B2791=0),"",(C2791-B2791)/B2791)</x:f>
      </x:c>
      <x:c r="E2791" s="22" t="str">
        <x:f>IF(ISBLANK(C2791),"AmountIncludingTax缺失",IF(ABS(B2791-C2791)&lt;0.005,"一致","不一致"))</x:f>
        <x:v>AmountIncludingTax缺失</x:v>
      </x:c>
      <x:c r="F2791" s="19" t="str">
        <x:v>approved</x:v>
      </x:c>
      <x:c r="G2791" s="19" t="str">
        <x:v>Repair in Progress</x:v>
      </x:c>
      <x:c r="H2791" s="19" t="str">
        <x:v>In Field</x:v>
      </x:c>
      <x:c r="I2791" s="37" t="n">
        <x:v>46106</x:v>
      </x:c>
      <x:c r="J2791" s="37" t="n">
        <x:v>46106</x:v>
      </x:c>
      <x:c r="K2791" s="19" t="str">
        <x:v>Regent RV - Frankston</x:v>
      </x:c>
      <x:c r="L2791" s="19" t="str">
        <x:v>Z006</x:v>
      </x:c>
      <x:c r="M2791" s="19" t="str">
        <x:v>In Field Warranty Claims</x:v>
      </x:c>
      <x:c r="N2791" s="37" t="n">
        <x:v>46097</x:v>
      </x:c>
      <x:c r="O2791" s="37"/>
      <x:c r="P2791" s="34" t="n">
        <x:v>0</x:v>
      </x:c>
      <x:c r="Q2791" s="37" t="n">
        <x:v>46106.01571759259</x:v>
      </x:c>
    </x:row>
    <x:row r="2792">
      <x:c r="A2792" s="22" t="n">
        <x:v>32301</x:v>
      </x:c>
      <x:c r="B2792" s="28" t="n">
        <x:v>362.5</x:v>
      </x:c>
      <x:c r="C2792" s="28"/>
      <x:c r="D2792" s="31" t="str">
        <x:f>IF(OR(ISBLANK(B2792),ISBLANK(C2792),B2792=0),"",(C2792-B2792)/B2792)</x:f>
      </x:c>
      <x:c r="E2792" s="22" t="str">
        <x:f>IF(ISBLANK(C2792),"AmountIncludingTax缺失",IF(ABS(B2792-C2792)&lt;0.005,"一致","不一致"))</x:f>
        <x:v>AmountIncludingTax缺失</x:v>
      </x:c>
      <x:c r="F2792" s="19" t="str">
        <x:v>approved</x:v>
      </x:c>
      <x:c r="G2792" s="19" t="str">
        <x:v>Sales Order Approved</x:v>
      </x:c>
      <x:c r="H2792" s="19" t="str">
        <x:v>Pre Delivery</x:v>
      </x:c>
      <x:c r="I2792" s="37" t="n">
        <x:v>46191</x:v>
      </x:c>
      <x:c r="J2792" s="37" t="n">
        <x:v>46191</x:v>
      </x:c>
      <x:c r="K2792" s="19" t="str">
        <x:v>The Caravan Hub - Townsville</x:v>
      </x:c>
      <x:c r="L2792" s="19" t="str">
        <x:v>Z005</x:v>
      </x:c>
      <x:c r="M2792" s="19" t="str">
        <x:v>Pre Delivery Warranty Claims</x:v>
      </x:c>
      <x:c r="N2792" s="37" t="n">
        <x:v>46097</x:v>
      </x:c>
      <x:c r="O2792" s="37"/>
      <x:c r="P2792" s="34" t="n">
        <x:v>0</x:v>
      </x:c>
      <x:c r="Q2792" s="37" t="n">
        <x:v>46190.982037037036</x:v>
      </x:c>
    </x:row>
    <x:row r="2793">
      <x:c r="A2793" s="22" t="n">
        <x:v>32300</x:v>
      </x:c>
      <x:c r="B2793" s="28" t="n">
        <x:v>647.5</x:v>
      </x:c>
      <x:c r="C2793" s="28"/>
      <x:c r="D2793" s="31" t="str">
        <x:f>IF(OR(ISBLANK(B2793),ISBLANK(C2793),B2793=0),"",(C2793-B2793)/B2793)</x:f>
      </x:c>
      <x:c r="E2793" s="22" t="str">
        <x:f>IF(ISBLANK(C2793),"AmountIncludingTax缺失",IF(ABS(B2793-C2793)&lt;0.005,"一致","不一致"))</x:f>
        <x:v>AmountIncludingTax缺失</x:v>
      </x:c>
      <x:c r="F2793" s="19" t="str">
        <x:v>approved</x:v>
      </x:c>
      <x:c r="G2793" s="19" t="str">
        <x:v>Repairer Invoiced Processed</x:v>
      </x:c>
      <x:c r="H2793" s="19" t="str">
        <x:v>Pre Delivery</x:v>
      </x:c>
      <x:c r="I2793" s="37" t="n">
        <x:v>46121</x:v>
      </x:c>
      <x:c r="J2793" s="37" t="n">
        <x:v>46121</x:v>
      </x:c>
      <x:c r="K2793" s="19" t="str">
        <x:v>Snowy River Wangaratta</x:v>
      </x:c>
      <x:c r="L2793" s="19" t="str">
        <x:v>Z005</x:v>
      </x:c>
      <x:c r="M2793" s="19" t="str">
        <x:v>Pre Delivery Warranty Claims</x:v>
      </x:c>
      <x:c r="N2793" s="37" t="n">
        <x:v>46097</x:v>
      </x:c>
      <x:c r="O2793" s="37"/>
      <x:c r="P2793" s="34" t="n">
        <x:v>0</x:v>
      </x:c>
      <x:c r="Q2793" s="37" t="n">
        <x:v>46121.08738425926</x:v>
      </x:c>
    </x:row>
    <x:row r="2794">
      <x:c r="A2794" s="22" t="n">
        <x:v>32299</x:v>
      </x:c>
      <x:c r="B2794" s="28" t="n">
        <x:v>280</x:v>
      </x:c>
      <x:c r="C2794" s="28"/>
      <x:c r="D2794" s="31" t="str">
        <x:f>IF(OR(ISBLANK(B2794),ISBLANK(C2794),B2794=0),"",(C2794-B2794)/B2794)</x:f>
      </x:c>
      <x:c r="E2794" s="22" t="str">
        <x:f>IF(ISBLANK(C2794),"AmountIncludingTax缺失",IF(ABS(B2794-C2794)&lt;0.005,"一致","不一致"))</x:f>
        <x:v>AmountIncludingTax缺失</x:v>
      </x:c>
      <x:c r="F2794" s="19" t="str">
        <x:v>approved</x:v>
      </x:c>
      <x:c r="G2794" s="19" t="str">
        <x:v>Repair in Progress</x:v>
      </x:c>
      <x:c r="H2794" s="19" t="str">
        <x:v>In Field</x:v>
      </x:c>
      <x:c r="I2794" s="37" t="n">
        <x:v>46107</x:v>
      </x:c>
      <x:c r="J2794" s="37" t="n">
        <x:v>46107</x:v>
      </x:c>
      <x:c r="K2794" s="19" t="str">
        <x:v>Dario Caravans - Pooraka</x:v>
      </x:c>
      <x:c r="L2794" s="19" t="str">
        <x:v>Z006</x:v>
      </x:c>
      <x:c r="M2794" s="19" t="str">
        <x:v>In Field Warranty Claims</x:v>
      </x:c>
      <x:c r="N2794" s="37" t="n">
        <x:v>46097</x:v>
      </x:c>
      <x:c r="O2794" s="37"/>
      <x:c r="P2794" s="34" t="n">
        <x:v>0</x:v>
      </x:c>
      <x:c r="Q2794" s="37" t="n">
        <x:v>46107.14403935185</x:v>
      </x:c>
    </x:row>
    <x:row r="2795">
      <x:c r="A2795" s="22" t="n">
        <x:v>32298</x:v>
      </x:c>
      <x:c r="B2795" s="28" t="n">
        <x:v>246.25</x:v>
      </x:c>
      <x:c r="C2795" s="28"/>
      <x:c r="D2795" s="31" t="str">
        <x:f>IF(OR(ISBLANK(B2795),ISBLANK(C2795),B2795=0),"",(C2795-B2795)/B2795)</x:f>
      </x:c>
      <x:c r="E2795" s="22" t="str">
        <x:f>IF(ISBLANK(C2795),"AmountIncludingTax缺失",IF(ABS(B2795-C2795)&lt;0.005,"一致","不一致"))</x:f>
        <x:v>AmountIncludingTax缺失</x:v>
      </x:c>
      <x:c r="F2795" s="19" t="str">
        <x:v>approved</x:v>
      </x:c>
      <x:c r="G2795" s="19" t="str">
        <x:v>Sales Order Approved</x:v>
      </x:c>
      <x:c r="H2795" s="19" t="str">
        <x:v>Pre Delivery</x:v>
      </x:c>
      <x:c r="I2795" s="37" t="n">
        <x:v>46134</x:v>
      </x:c>
      <x:c r="J2795" s="37" t="n">
        <x:v>46134</x:v>
      </x:c>
      <x:c r="K2795" s="19" t="str">
        <x:v>Regent RV - Perth</x:v>
      </x:c>
      <x:c r="L2795" s="19" t="str">
        <x:v>Z005</x:v>
      </x:c>
      <x:c r="M2795" s="19" t="str">
        <x:v>Pre Delivery Warranty Claims</x:v>
      </x:c>
      <x:c r="N2795" s="37" t="n">
        <x:v>46097</x:v>
      </x:c>
      <x:c r="O2795" s="37"/>
      <x:c r="P2795" s="34" t="n">
        <x:v>0</x:v>
      </x:c>
      <x:c r="Q2795" s="37" t="n">
        <x:v>46134.12668981482</x:v>
      </x:c>
    </x:row>
    <x:row r="2796">
      <x:c r="A2796" s="22" t="n">
        <x:v>32297</x:v>
      </x:c>
      <x:c r="B2796" s="28" t="n">
        <x:v>680</x:v>
      </x:c>
      <x:c r="C2796" s="28" t="n">
        <x:v>615.67</x:v>
      </x:c>
      <x:c r="D2796" s="31" t="n">
        <x:f>IF(OR(ISBLANK(B2796),ISBLANK(C2796),B2796=0),"",(C2796-B2796)/B2796)</x:f>
        <x:v>-0.09460294117647065</x:v>
      </x:c>
      <x:c r="E2796" s="22" t="str">
        <x:f>IF(ISBLANK(C2796),"AmountIncludingTax缺失",IF(ABS(B2796-C2796)&lt;0.005,"一致","不一致"))</x:f>
        <x:v>不一致</x:v>
      </x:c>
      <x:c r="F2796" s="19" t="str">
        <x:v>approved</x:v>
      </x:c>
      <x:c r="G2796" s="19" t="str">
        <x:v>Repairer Invoiced Processed</x:v>
      </x:c>
      <x:c r="H2796" s="19" t="str">
        <x:v>In Field</x:v>
      </x:c>
      <x:c r="I2796" s="37" t="n">
        <x:v>46160</x:v>
      </x:c>
      <x:c r="J2796" s="37" t="n">
        <x:v>46160</x:v>
      </x:c>
      <x:c r="K2796" s="19" t="str">
        <x:v>Vanari Caravans - Marden Point</x:v>
      </x:c>
      <x:c r="L2796" s="19" t="str">
        <x:v>Z006</x:v>
      </x:c>
      <x:c r="M2796" s="19" t="str">
        <x:v>In Field Warranty Claims</x:v>
      </x:c>
      <x:c r="N2796" s="37" t="n">
        <x:v>46097</x:v>
      </x:c>
      <x:c r="O2796" s="37"/>
      <x:c r="P2796" s="34" t="n">
        <x:v>615.67</x:v>
      </x:c>
      <x:c r="Q2796" s="37" t="n">
        <x:v>46159.996932870374</x:v>
      </x:c>
    </x:row>
    <x:row r="2797">
      <x:c r="A2797" s="22" t="n">
        <x:v>32295</x:v>
      </x:c>
      <x:c r="B2797" s="28" t="n">
        <x:v>2100.82</x:v>
      </x:c>
      <x:c r="C2797" s="28"/>
      <x:c r="D2797" s="31" t="str">
        <x:f>IF(OR(ISBLANK(B2797),ISBLANK(C2797),B2797=0),"",(C2797-B2797)/B2797)</x:f>
      </x:c>
      <x:c r="E2797" s="22" t="str">
        <x:f>IF(ISBLANK(C2797),"AmountIncludingTax缺失",IF(ABS(B2797-C2797)&lt;0.005,"一致","不一致"))</x:f>
        <x:v>AmountIncludingTax缺失</x:v>
      </x:c>
      <x:c r="F2797" s="19" t="str">
        <x:v>approved</x:v>
      </x:c>
      <x:c r="G2797" s="19" t="str">
        <x:v>Repairer Invoiced Processed</x:v>
      </x:c>
      <x:c r="H2797" s="19" t="str">
        <x:v>In Field</x:v>
      </x:c>
      <x:c r="I2797" s="37" t="n">
        <x:v>46097</x:v>
      </x:c>
      <x:c r="J2797" s="37" t="n">
        <x:v>46097</x:v>
      </x:c>
      <x:c r="K2797" s="19" t="str">
        <x:v>Green RV - Forest Glen</x:v>
      </x:c>
      <x:c r="L2797" s="19" t="str">
        <x:v>Z006</x:v>
      </x:c>
      <x:c r="M2797" s="19" t="str">
        <x:v>In Field Warranty Claims</x:v>
      </x:c>
      <x:c r="N2797" s="37" t="n">
        <x:v>46096</x:v>
      </x:c>
      <x:c r="O2797" s="37"/>
      <x:c r="P2797" s="34" t="n">
        <x:v>2310.9</x:v>
      </x:c>
      <x:c r="Q2797" s="37" t="n">
        <x:v>46097.00172453704</x:v>
      </x:c>
    </x:row>
    <x:row r="2798">
      <x:c r="A2798" s="22" t="n">
        <x:v>32291</x:v>
      </x:c>
      <x:c r="B2798" s="28" t="n">
        <x:v>67.5</x:v>
      </x:c>
      <x:c r="C2798" s="28" t="n">
        <x:v>74.25</x:v>
      </x:c>
      <x:c r="D2798" s="31" t="n">
        <x:f>IF(OR(ISBLANK(B2798),ISBLANK(C2798),B2798=0),"",(C2798-B2798)/B2798)</x:f>
        <x:v>0.1</x:v>
      </x:c>
      <x:c r="E2798" s="22" t="str">
        <x:f>IF(ISBLANK(C2798),"AmountIncludingTax缺失",IF(ABS(B2798-C2798)&lt;0.005,"一致","不一致"))</x:f>
        <x:v>不一致</x:v>
      </x:c>
      <x:c r="F2798" s="19" t="str">
        <x:v>approved</x:v>
      </x:c>
      <x:c r="G2798" s="19" t="str">
        <x:v>Repairer Invoiced Processed</x:v>
      </x:c>
      <x:c r="H2798" s="19" t="str">
        <x:v>In Field</x:v>
      </x:c>
      <x:c r="I2798" s="37" t="n">
        <x:v>46104</x:v>
      </x:c>
      <x:c r="J2798" s="37" t="n">
        <x:v>46104</x:v>
      </x:c>
      <x:c r="K2798" s="19" t="str">
        <x:v>Leisure Lion Pty Ltd - Gympie</x:v>
      </x:c>
      <x:c r="L2798" s="19" t="str">
        <x:v>Z006</x:v>
      </x:c>
      <x:c r="M2798" s="19" t="str">
        <x:v>In Field Warranty Claims</x:v>
      </x:c>
      <x:c r="N2798" s="37" t="n">
        <x:v>46096</x:v>
      </x:c>
      <x:c r="O2798" s="37"/>
      <x:c r="P2798" s="34" t="n">
        <x:v>74.25</x:v>
      </x:c>
      <x:c r="Q2798" s="37" t="n">
        <x:v>46104.213171296295</x:v>
      </x:c>
    </x:row>
    <x:row r="2799">
      <x:c r="A2799" s="22" t="n">
        <x:v>32280</x:v>
      </x:c>
      <x:c r="B2799" s="28" t="n">
        <x:v>256.25</x:v>
      </x:c>
      <x:c r="C2799" s="28"/>
      <x:c r="D2799" s="31" t="str">
        <x:f>IF(OR(ISBLANK(B2799),ISBLANK(C2799),B2799=0),"",(C2799-B2799)/B2799)</x:f>
      </x:c>
      <x:c r="E2799" s="22" t="str">
        <x:f>IF(ISBLANK(C2799),"AmountIncludingTax缺失",IF(ABS(B2799-C2799)&lt;0.005,"一致","不一致"))</x:f>
        <x:v>AmountIncludingTax缺失</x:v>
      </x:c>
      <x:c r="F2799" s="19" t="str">
        <x:v>approved</x:v>
      </x:c>
      <x:c r="G2799" s="19" t="str">
        <x:v>Sales Order Approved</x:v>
      </x:c>
      <x:c r="H2799" s="19" t="str">
        <x:v>Pre Delivery</x:v>
      </x:c>
      <x:c r="I2799" s="37" t="n">
        <x:v>46122</x:v>
      </x:c>
      <x:c r="J2799" s="37" t="n">
        <x:v>46122</x:v>
      </x:c>
      <x:c r="K2799" s="19" t="str">
        <x:v>Regent RV - Perth</x:v>
      </x:c>
      <x:c r="L2799" s="19" t="str">
        <x:v>Z005</x:v>
      </x:c>
      <x:c r="M2799" s="19" t="str">
        <x:v>Pre Delivery Warranty Claims</x:v>
      </x:c>
      <x:c r="N2799" s="37" t="n">
        <x:v>46097</x:v>
      </x:c>
      <x:c r="O2799" s="37"/>
      <x:c r="P2799" s="34" t="n">
        <x:v>0</x:v>
      </x:c>
      <x:c r="Q2799" s="37" t="n">
        <x:v>46121.984814814816</x:v>
      </x:c>
    </x:row>
    <x:row r="2800">
      <x:c r="A2800" s="22" t="n">
        <x:v>32279</x:v>
      </x:c>
      <x:c r="B2800" s="28" t="n">
        <x:v>750.01</x:v>
      </x:c>
      <x:c r="C2800" s="28"/>
      <x:c r="D2800" s="31" t="str">
        <x:f>IF(OR(ISBLANK(B2800),ISBLANK(C2800),B2800=0),"",(C2800-B2800)/B2800)</x:f>
      </x:c>
      <x:c r="E2800" s="22" t="str">
        <x:f>IF(ISBLANK(C2800),"AmountIncludingTax缺失",IF(ABS(B2800-C2800)&lt;0.005,"一致","不一致"))</x:f>
        <x:v>AmountIncludingTax缺失</x:v>
      </x:c>
      <x:c r="F2800" s="19" t="str">
        <x:v>approved</x:v>
      </x:c>
      <x:c r="G2800" s="19" t="str">
        <x:v>Repair in Progress</x:v>
      </x:c>
      <x:c r="H2800" s="19" t="str">
        <x:v>In Field</x:v>
      </x:c>
      <x:c r="I2800" s="37" t="n">
        <x:v>46139</x:v>
      </x:c>
      <x:c r="J2800" s="37" t="n">
        <x:v>46139</x:v>
      </x:c>
      <x:c r="K2800" s="19" t="str">
        <x:v>Not Assigned</x:v>
      </x:c>
      <x:c r="L2800" s="19" t="str">
        <x:v>Z006</x:v>
      </x:c>
      <x:c r="M2800" s="19" t="str">
        <x:v>In Field Warranty Claims</x:v>
      </x:c>
      <x:c r="N2800" s="37" t="n">
        <x:v>46097</x:v>
      </x:c>
      <x:c r="O2800" s="37"/>
      <x:c r="P2800" s="34" t="n">
        <x:v>0</x:v>
      </x:c>
      <x:c r="Q2800" s="37" t="n">
        <x:v>46139.03828703704</x:v>
      </x:c>
    </x:row>
    <x:row r="2801">
      <x:c r="A2801" s="22" t="n">
        <x:v>32278</x:v>
      </x:c>
      <x:c r="B2801" s="28" t="n">
        <x:v>337.5</x:v>
      </x:c>
      <x:c r="C2801" s="28"/>
      <x:c r="D2801" s="31" t="str">
        <x:f>IF(OR(ISBLANK(B2801),ISBLANK(C2801),B2801=0),"",(C2801-B2801)/B2801)</x:f>
      </x:c>
      <x:c r="E2801" s="22" t="str">
        <x:f>IF(ISBLANK(C2801),"AmountIncludingTax缺失",IF(ABS(B2801-C2801)&lt;0.005,"一致","不一致"))</x:f>
        <x:v>AmountIncludingTax缺失</x:v>
      </x:c>
      <x:c r="F2801" s="19" t="str">
        <x:v>approved</x:v>
      </x:c>
      <x:c r="G2801" s="19" t="str">
        <x:v>Partially Picked</x:v>
      </x:c>
      <x:c r="H2801" s="19" t="str">
        <x:v>In Field</x:v>
      </x:c>
      <x:c r="I2801" s="37" t="n">
        <x:v>46101</x:v>
      </x:c>
      <x:c r="J2801" s="37" t="n">
        <x:v>46101</x:v>
      </x:c>
      <x:c r="K2801" s="19" t="str">
        <x:v>Snowy River Wangaratta</x:v>
      </x:c>
      <x:c r="L2801" s="19" t="str">
        <x:v>Z006</x:v>
      </x:c>
      <x:c r="M2801" s="19" t="str">
        <x:v>In Field Warranty Claims</x:v>
      </x:c>
      <x:c r="N2801" s="37" t="n">
        <x:v>46097</x:v>
      </x:c>
      <x:c r="O2801" s="37"/>
      <x:c r="P2801" s="34" t="n">
        <x:v>0</x:v>
      </x:c>
      <x:c r="Q2801" s="37" t="n">
        <x:v>46101.090787037036</x:v>
      </x:c>
    </x:row>
    <x:row r="2802">
      <x:c r="A2802" s="22" t="n">
        <x:v>32277</x:v>
      </x:c>
      <x:c r="B2802" s="28" t="n">
        <x:v>135</x:v>
      </x:c>
      <x:c r="C2802" s="28"/>
      <x:c r="D2802" s="31" t="str">
        <x:f>IF(OR(ISBLANK(B2802),ISBLANK(C2802),B2802=0),"",(C2802-B2802)/B2802)</x:f>
      </x:c>
      <x:c r="E2802" s="22" t="str">
        <x:f>IF(ISBLANK(C2802),"AmountIncludingTax缺失",IF(ABS(B2802-C2802)&lt;0.005,"一致","不一致"))</x:f>
        <x:v>AmountIncludingTax缺失</x:v>
      </x:c>
      <x:c r="F2802" s="19" t="str">
        <x:v>approved</x:v>
      </x:c>
      <x:c r="G2802" s="19" t="str">
        <x:v>Repairer Invoiced Processed</x:v>
      </x:c>
      <x:c r="H2802" s="19" t="str">
        <x:v>In Field</x:v>
      </x:c>
      <x:c r="I2802" s="37" t="n">
        <x:v>46097</x:v>
      </x:c>
      <x:c r="J2802" s="37" t="n">
        <x:v>46097</x:v>
      </x:c>
      <x:c r="K2802" s="19" t="str">
        <x:v>Destiny RV - South Australia</x:v>
      </x:c>
      <x:c r="L2802" s="19" t="str">
        <x:v>Z006</x:v>
      </x:c>
      <x:c r="M2802" s="19" t="str">
        <x:v>In Field Warranty Claims</x:v>
      </x:c>
      <x:c r="N2802" s="37" t="n">
        <x:v>46097</x:v>
      </x:c>
      <x:c r="O2802" s="37"/>
      <x:c r="P2802" s="34" t="n">
        <x:v>0</x:v>
      </x:c>
      <x:c r="Q2802" s="37" t="n">
        <x:v>46097.10712962963</x:v>
      </x:c>
    </x:row>
    <x:row r="2803">
      <x:c r="A2803" s="22" t="n">
        <x:v>32276</x:v>
      </x:c>
      <x:c r="B2803" s="28" t="n">
        <x:v>55</x:v>
      </x:c>
      <x:c r="C2803" s="28"/>
      <x:c r="D2803" s="31" t="str">
        <x:f>IF(OR(ISBLANK(B2803),ISBLANK(C2803),B2803=0),"",(C2803-B2803)/B2803)</x:f>
      </x:c>
      <x:c r="E2803" s="22" t="str">
        <x:f>IF(ISBLANK(C2803),"AmountIncludingTax缺失",IF(ABS(B2803-C2803)&lt;0.005,"一致","不一致"))</x:f>
        <x:v>AmountIncludingTax缺失</x:v>
      </x:c>
      <x:c r="F2803" s="19" t="str">
        <x:v>approved</x:v>
      </x:c>
      <x:c r="G2803" s="19" t="str">
        <x:v>Sales Order Approved</x:v>
      </x:c>
      <x:c r="H2803" s="19" t="str">
        <x:v>Pre Delivery</x:v>
      </x:c>
      <x:c r="I2803" s="37" t="n">
        <x:v>46155</x:v>
      </x:c>
      <x:c r="J2803" s="37" t="n">
        <x:v>46155</x:v>
      </x:c>
      <x:c r="K2803" s="19" t="str">
        <x:v>Regent RV - Perth</x:v>
      </x:c>
      <x:c r="L2803" s="19" t="str">
        <x:v>Z005</x:v>
      </x:c>
      <x:c r="M2803" s="19" t="str">
        <x:v>Pre Delivery Warranty Claims</x:v>
      </x:c>
      <x:c r="N2803" s="37" t="n">
        <x:v>46097</x:v>
      </x:c>
      <x:c r="O2803" s="37"/>
      <x:c r="P2803" s="34" t="n">
        <x:v>0</x:v>
      </x:c>
      <x:c r="Q2803" s="37" t="n">
        <x:v>46154.98369212963</x:v>
      </x:c>
    </x:row>
    <x:row r="2804">
      <x:c r="A2804" s="22" t="n">
        <x:v>32273</x:v>
      </x:c>
      <x:c r="B2804" s="28" t="n">
        <x:v>67.5</x:v>
      </x:c>
      <x:c r="C2804" s="28"/>
      <x:c r="D2804" s="31" t="str">
        <x:f>IF(OR(ISBLANK(B2804),ISBLANK(C2804),B2804=0),"",(C2804-B2804)/B2804)</x:f>
      </x:c>
      <x:c r="E2804" s="22" t="str">
        <x:f>IF(ISBLANK(C2804),"AmountIncludingTax缺失",IF(ABS(B2804-C2804)&lt;0.005,"一致","不一致"))</x:f>
        <x:v>AmountIncludingTax缺失</x:v>
      </x:c>
      <x:c r="F2804" s="19" t="str">
        <x:v>approved</x:v>
      </x:c>
      <x:c r="G2804" s="19" t="str">
        <x:v>Repair in Progress</x:v>
      </x:c>
      <x:c r="H2804" s="19" t="str">
        <x:v>In Field</x:v>
      </x:c>
      <x:c r="I2804" s="37" t="n">
        <x:v>46104</x:v>
      </x:c>
      <x:c r="J2804" s="37" t="n">
        <x:v>46104</x:v>
      </x:c>
      <x:c r="K2804" s="19" t="str">
        <x:v>NEWCASTLE CARAVANS &amp; RVS</x:v>
      </x:c>
      <x:c r="L2804" s="19" t="str">
        <x:v>Z006</x:v>
      </x:c>
      <x:c r="M2804" s="19" t="str">
        <x:v>In Field Warranty Claims</x:v>
      </x:c>
      <x:c r="N2804" s="37" t="n">
        <x:v>46096</x:v>
      </x:c>
      <x:c r="O2804" s="37"/>
      <x:c r="P2804" s="34" t="n">
        <x:v>0</x:v>
      </x:c>
      <x:c r="Q2804" s="37" t="n">
        <x:v>46103.892060185186</x:v>
      </x:c>
    </x:row>
    <x:row r="2805">
      <x:c r="A2805" s="22" t="n">
        <x:v>32272</x:v>
      </x:c>
      <x:c r="B2805" s="28" t="n">
        <x:v>492.5</x:v>
      </x:c>
      <x:c r="C2805" s="28"/>
      <x:c r="D2805" s="31" t="str">
        <x:f>IF(OR(ISBLANK(B2805),ISBLANK(C2805),B2805=0),"",(C2805-B2805)/B2805)</x:f>
      </x:c>
      <x:c r="E2805" s="22" t="str">
        <x:f>IF(ISBLANK(C2805),"AmountIncludingTax缺失",IF(ABS(B2805-C2805)&lt;0.005,"一致","不一致"))</x:f>
        <x:v>AmountIncludingTax缺失</x:v>
      </x:c>
      <x:c r="F2805" s="19" t="str">
        <x:v>approved</x:v>
      </x:c>
      <x:c r="G2805" s="19" t="str">
        <x:v>Repair in Progress</x:v>
      </x:c>
      <x:c r="H2805" s="19" t="str">
        <x:v>In Field</x:v>
      </x:c>
      <x:c r="I2805" s="37" t="n">
        <x:v>46107</x:v>
      </x:c>
      <x:c r="J2805" s="37" t="n">
        <x:v>46107</x:v>
      </x:c>
      <x:c r="K2805" s="19" t="str">
        <x:v>Regent RV - Perth</x:v>
      </x:c>
      <x:c r="L2805" s="19" t="str">
        <x:v>Z006</x:v>
      </x:c>
      <x:c r="M2805" s="19" t="str">
        <x:v>In Field Warranty Claims</x:v>
      </x:c>
      <x:c r="N2805" s="37" t="n">
        <x:v>46096</x:v>
      </x:c>
      <x:c r="O2805" s="37"/>
      <x:c r="P2805" s="34" t="n">
        <x:v>0</x:v>
      </x:c>
      <x:c r="Q2805" s="37" t="n">
        <x:v>46107.07581018518</x:v>
      </x:c>
    </x:row>
    <x:row r="2806">
      <x:c r="A2806" s="22" t="n">
        <x:v>32265</x:v>
      </x:c>
      <x:c r="B2806" s="28" t="n">
        <x:v>2675</x:v>
      </x:c>
      <x:c r="C2806" s="28"/>
      <x:c r="D2806" s="31" t="str">
        <x:f>IF(OR(ISBLANK(B2806),ISBLANK(C2806),B2806=0),"",(C2806-B2806)/B2806)</x:f>
      </x:c>
      <x:c r="E2806" s="22" t="str">
        <x:f>IF(ISBLANK(C2806),"AmountIncludingTax缺失",IF(ABS(B2806-C2806)&lt;0.005,"一致","不一致"))</x:f>
        <x:v>AmountIncludingTax缺失</x:v>
      </x:c>
      <x:c r="F2806" s="19" t="str">
        <x:v>approved</x:v>
      </x:c>
      <x:c r="G2806" s="19" t="str">
        <x:v>Repair in Progress</x:v>
      </x:c>
      <x:c r="H2806" s="19" t="str">
        <x:v>In Field</x:v>
      </x:c>
      <x:c r="I2806" s="37" t="n">
        <x:v>46126</x:v>
      </x:c>
      <x:c r="J2806" s="37" t="n">
        <x:v>46126</x:v>
      </x:c>
      <x:c r="K2806" s="19" t="str">
        <x:v>Green RV - Forest Glen</x:v>
      </x:c>
      <x:c r="L2806" s="19" t="str">
        <x:v>Z006</x:v>
      </x:c>
      <x:c r="M2806" s="19" t="str">
        <x:v>In Field Warranty Claims</x:v>
      </x:c>
      <x:c r="N2806" s="37" t="n">
        <x:v>46095</x:v>
      </x:c>
      <x:c r="O2806" s="37"/>
      <x:c r="P2806" s="34" t="n">
        <x:v>2942.5</x:v>
      </x:c>
      <x:c r="Q2806" s="37" t="n">
        <x:v>46125.80296296296</x:v>
      </x:c>
    </x:row>
    <x:row r="2807">
      <x:c r="A2807" s="22" t="n">
        <x:v>32264</x:v>
      </x:c>
      <x:c r="B2807" s="28" t="n">
        <x:v>850</x:v>
      </x:c>
      <x:c r="C2807" s="28"/>
      <x:c r="D2807" s="31" t="str">
        <x:f>IF(OR(ISBLANK(B2807),ISBLANK(C2807),B2807=0),"",(C2807-B2807)/B2807)</x:f>
      </x:c>
      <x:c r="E2807" s="22" t="str">
        <x:f>IF(ISBLANK(C2807),"AmountIncludingTax缺失",IF(ABS(B2807-C2807)&lt;0.005,"一致","不一致"))</x:f>
        <x:v>AmountIncludingTax缺失</x:v>
      </x:c>
      <x:c r="F2807" s="19" t="str">
        <x:v>approved</x:v>
      </x:c>
      <x:c r="G2807" s="19" t="str">
        <x:v>Repair in Progress</x:v>
      </x:c>
      <x:c r="H2807" s="19" t="str">
        <x:v>In Field</x:v>
      </x:c>
      <x:c r="I2807" s="37" t="n">
        <x:v>46097</x:v>
      </x:c>
      <x:c r="J2807" s="37" t="n">
        <x:v>46097</x:v>
      </x:c>
      <x:c r="K2807" s="19" t="str">
        <x:v>Green RV - Forest Glen</x:v>
      </x:c>
      <x:c r="L2807" s="19" t="str">
        <x:v>Z006</x:v>
      </x:c>
      <x:c r="M2807" s="19" t="str">
        <x:v>In Field Warranty Claims</x:v>
      </x:c>
      <x:c r="N2807" s="37" t="n">
        <x:v>46095</x:v>
      </x:c>
      <x:c r="O2807" s="37"/>
      <x:c r="P2807" s="34" t="n">
        <x:v>0</x:v>
      </x:c>
      <x:c r="Q2807" s="37" t="n">
        <x:v>46096.937997685185</x:v>
      </x:c>
    </x:row>
    <x:row r="2808">
      <x:c r="A2808" s="22" t="n">
        <x:v>32263</x:v>
      </x:c>
      <x:c r="B2808" s="28" t="n">
        <x:v>225.01</x:v>
      </x:c>
      <x:c r="C2808" s="28"/>
      <x:c r="D2808" s="31" t="str">
        <x:f>IF(OR(ISBLANK(B2808),ISBLANK(C2808),B2808=0),"",(C2808-B2808)/B2808)</x:f>
      </x:c>
      <x:c r="E2808" s="22" t="str">
        <x:f>IF(ISBLANK(C2808),"AmountIncludingTax缺失",IF(ABS(B2808-C2808)&lt;0.005,"一致","不一致"))</x:f>
        <x:v>AmountIncludingTax缺失</x:v>
      </x:c>
      <x:c r="F2808" s="19" t="str">
        <x:v>approved</x:v>
      </x:c>
      <x:c r="G2808" s="19" t="str">
        <x:v>Repairer Invoiced Processed</x:v>
      </x:c>
      <x:c r="H2808" s="19" t="str">
        <x:v>In Field</x:v>
      </x:c>
      <x:c r="I2808" s="37" t="n">
        <x:v>46127</x:v>
      </x:c>
      <x:c r="J2808" s="37" t="n">
        <x:v>46127</x:v>
      </x:c>
      <x:c r="K2808" s="19" t="str">
        <x:v>Green RV - Forest Glen</x:v>
      </x:c>
      <x:c r="L2808" s="19" t="str">
        <x:v>Z006</x:v>
      </x:c>
      <x:c r="M2808" s="19" t="str">
        <x:v>In Field Warranty Claims</x:v>
      </x:c>
      <x:c r="N2808" s="37" t="n">
        <x:v>46094</x:v>
      </x:c>
      <x:c r="O2808" s="37"/>
      <x:c r="P2808" s="34" t="n">
        <x:v>0</x:v>
      </x:c>
      <x:c r="Q2808" s="37" t="n">
        <x:v>46127.20322916667</x:v>
      </x:c>
    </x:row>
    <x:row r="2809">
      <x:c r="A2809" s="22" t="n">
        <x:v>32252</x:v>
      </x:c>
      <x:c r="B2809" s="28" t="n">
        <x:v>270</x:v>
      </x:c>
      <x:c r="C2809" s="28"/>
      <x:c r="D2809" s="31" t="str">
        <x:f>IF(OR(ISBLANK(B2809),ISBLANK(C2809),B2809=0),"",(C2809-B2809)/B2809)</x:f>
      </x:c>
      <x:c r="E2809" s="22" t="str">
        <x:f>IF(ISBLANK(C2809),"AmountIncludingTax缺失",IF(ABS(B2809-C2809)&lt;0.005,"一致","不一致"))</x:f>
        <x:v>AmountIncludingTax缺失</x:v>
      </x:c>
      <x:c r="F2809" s="19" t="str">
        <x:v>approved</x:v>
      </x:c>
      <x:c r="G2809" s="19" t="str">
        <x:v>Repair in Progress</x:v>
      </x:c>
      <x:c r="H2809" s="19" t="str">
        <x:v>In Field</x:v>
      </x:c>
      <x:c r="I2809" s="37" t="n">
        <x:v>46107</x:v>
      </x:c>
      <x:c r="J2809" s="37" t="n">
        <x:v>46107</x:v>
      </x:c>
      <x:c r="K2809" s="19" t="str">
        <x:v>Regent RV - Perth</x:v>
      </x:c>
      <x:c r="L2809" s="19" t="str">
        <x:v>Z006</x:v>
      </x:c>
      <x:c r="M2809" s="19" t="str">
        <x:v>In Field Warranty Claims</x:v>
      </x:c>
      <x:c r="N2809" s="37" t="n">
        <x:v>46094</x:v>
      </x:c>
      <x:c r="O2809" s="37"/>
      <x:c r="P2809" s="34" t="n">
        <x:v>0</x:v>
      </x:c>
      <x:c r="Q2809" s="37" t="n">
        <x:v>46107.08490740741</x:v>
      </x:c>
    </x:row>
    <x:row r="2810">
      <x:c r="A2810" s="22" t="n">
        <x:v>32251</x:v>
      </x:c>
      <x:c r="B2810" s="28" t="n">
        <x:v>415</x:v>
      </x:c>
      <x:c r="C2810" s="28"/>
      <x:c r="D2810" s="31" t="str">
        <x:f>IF(OR(ISBLANK(B2810),ISBLANK(C2810),B2810=0),"",(C2810-B2810)/B2810)</x:f>
      </x:c>
      <x:c r="E2810" s="22" t="str">
        <x:f>IF(ISBLANK(C2810),"AmountIncludingTax缺失",IF(ABS(B2810-C2810)&lt;0.005,"一致","不一致"))</x:f>
        <x:v>AmountIncludingTax缺失</x:v>
      </x:c>
      <x:c r="F2810" s="19" t="str">
        <x:v>approved</x:v>
      </x:c>
      <x:c r="G2810" s="19" t="str">
        <x:v>Repair in Progress</x:v>
      </x:c>
      <x:c r="H2810" s="19" t="str">
        <x:v>In Field</x:v>
      </x:c>
      <x:c r="I2810" s="37" t="n">
        <x:v>46105</x:v>
      </x:c>
      <x:c r="J2810" s="37" t="n">
        <x:v>46105</x:v>
      </x:c>
      <x:c r="K2810" s="19" t="str">
        <x:v>Not Assigned</x:v>
      </x:c>
      <x:c r="L2810" s="19" t="str">
        <x:v>Z006</x:v>
      </x:c>
      <x:c r="M2810" s="19" t="str">
        <x:v>In Field Warranty Claims</x:v>
      </x:c>
      <x:c r="N2810" s="37" t="n">
        <x:v>46094</x:v>
      </x:c>
      <x:c r="O2810" s="37"/>
      <x:c r="P2810" s="34" t="n">
        <x:v>0</x:v>
      </x:c>
      <x:c r="Q2810" s="37" t="n">
        <x:v>46104.981724537036</x:v>
      </x:c>
    </x:row>
    <x:row r="2811">
      <x:c r="A2811" s="22" t="n">
        <x:v>32240</x:v>
      </x:c>
      <x:c r="B2811" s="28" t="n">
        <x:v>222.5</x:v>
      </x:c>
      <x:c r="C2811" s="28"/>
      <x:c r="D2811" s="31" t="str">
        <x:f>IF(OR(ISBLANK(B2811),ISBLANK(C2811),B2811=0),"",(C2811-B2811)/B2811)</x:f>
      </x:c>
      <x:c r="E2811" s="22" t="str">
        <x:f>IF(ISBLANK(C2811),"AmountIncludingTax缺失",IF(ABS(B2811-C2811)&lt;0.005,"一致","不一致"))</x:f>
        <x:v>AmountIncludingTax缺失</x:v>
      </x:c>
      <x:c r="F2811" s="19" t="str">
        <x:v>approved</x:v>
      </x:c>
      <x:c r="G2811" s="19" t="str">
        <x:v>Repair in Progress</x:v>
      </x:c>
      <x:c r="H2811" s="19" t="str">
        <x:v>In Field</x:v>
      </x:c>
      <x:c r="I2811" s="37" t="n">
        <x:v>46107</x:v>
      </x:c>
      <x:c r="J2811" s="37" t="n">
        <x:v>46107</x:v>
      </x:c>
      <x:c r="K2811" s="19" t="str">
        <x:v>Regent RV - Perth</x:v>
      </x:c>
      <x:c r="L2811" s="19" t="str">
        <x:v>Z006</x:v>
      </x:c>
      <x:c r="M2811" s="19" t="str">
        <x:v>In Field Warranty Claims</x:v>
      </x:c>
      <x:c r="N2811" s="37" t="n">
        <x:v>46094</x:v>
      </x:c>
      <x:c r="O2811" s="37"/>
      <x:c r="P2811" s="34" t="n">
        <x:v>0</x:v>
      </x:c>
      <x:c r="Q2811" s="37" t="n">
        <x:v>46107.0875</x:v>
      </x:c>
    </x:row>
    <x:row r="2812">
      <x:c r="A2812" s="22" t="n">
        <x:v>32239</x:v>
      </x:c>
      <x:c r="B2812" s="28" t="n">
        <x:v>202.5</x:v>
      </x:c>
      <x:c r="C2812" s="28"/>
      <x:c r="D2812" s="31" t="str">
        <x:f>IF(OR(ISBLANK(B2812),ISBLANK(C2812),B2812=0),"",(C2812-B2812)/B2812)</x:f>
      </x:c>
      <x:c r="E2812" s="22" t="str">
        <x:f>IF(ISBLANK(C2812),"AmountIncludingTax缺失",IF(ABS(B2812-C2812)&lt;0.005,"一致","不一致"))</x:f>
        <x:v>AmountIncludingTax缺失</x:v>
      </x:c>
      <x:c r="F2812" s="19" t="str">
        <x:v>approved</x:v>
      </x:c>
      <x:c r="G2812" s="19" t="str">
        <x:v>Repairer Invoiced Processed</x:v>
      </x:c>
      <x:c r="H2812" s="19" t="str">
        <x:v>In Field</x:v>
      </x:c>
      <x:c r="I2812" s="37" t="n">
        <x:v>46210</x:v>
      </x:c>
      <x:c r="J2812" s="37" t="n">
        <x:v>46133</x:v>
      </x:c>
      <x:c r="K2812" s="19" t="str">
        <x:v>Regent RV - Perth</x:v>
      </x:c>
      <x:c r="L2812" s="19" t="str">
        <x:v>Z006</x:v>
      </x:c>
      <x:c r="M2812" s="19" t="str">
        <x:v>In Field Warranty Claims</x:v>
      </x:c>
      <x:c r="N2812" s="37" t="n">
        <x:v>46094</x:v>
      </x:c>
      <x:c r="O2812" s="37"/>
      <x:c r="P2812" s="34" t="n">
        <x:v>0</x:v>
      </x:c>
      <x:c r="Q2812" s="37" t="n">
        <x:v>46210.054444444446</x:v>
      </x:c>
    </x:row>
    <x:row r="2813">
      <x:c r="A2813" s="22" t="n">
        <x:v>32238</x:v>
      </x:c>
      <x:c r="B2813" s="28" t="n">
        <x:v>120.91</x:v>
      </x:c>
      <x:c r="C2813" s="28" t="n">
        <x:v>133</x:v>
      </x:c>
      <x:c r="D2813" s="31" t="n">
        <x:f>IF(OR(ISBLANK(B2813),ISBLANK(C2813),B2813=0),"",(C2813-B2813)/B2813)</x:f>
        <x:v>0.09999172938549337</x:v>
      </x:c>
      <x:c r="E2813" s="22" t="str">
        <x:f>IF(ISBLANK(C2813),"AmountIncludingTax缺失",IF(ABS(B2813-C2813)&lt;0.005,"一致","不一致"))</x:f>
        <x:v>不一致</x:v>
      </x:c>
      <x:c r="F2813" s="19" t="str">
        <x:v>approved</x:v>
      </x:c>
      <x:c r="G2813" s="19" t="str">
        <x:v>Repairer Invoiced Processed</x:v>
      </x:c>
      <x:c r="H2813" s="19" t="str">
        <x:v>In Field</x:v>
      </x:c>
      <x:c r="I2813" s="37" t="n">
        <x:v>46134</x:v>
      </x:c>
      <x:c r="J2813" s="37" t="n">
        <x:v>46134</x:v>
      </x:c>
      <x:c r="K2813" s="19" t="str">
        <x:v>Regent RV - Perth</x:v>
      </x:c>
      <x:c r="L2813" s="19" t="str">
        <x:v>Z006</x:v>
      </x:c>
      <x:c r="M2813" s="19" t="str">
        <x:v>In Field Warranty Claims</x:v>
      </x:c>
      <x:c r="N2813" s="37" t="n">
        <x:v>46094</x:v>
      </x:c>
      <x:c r="O2813" s="37"/>
      <x:c r="P2813" s="34" t="n">
        <x:v>133</x:v>
      </x:c>
      <x:c r="Q2813" s="37" t="n">
        <x:v>46133.93659722222</x:v>
      </x:c>
    </x:row>
    <x:row r="2814">
      <x:c r="A2814" s="22" t="n">
        <x:v>32236</x:v>
      </x:c>
      <x:c r="B2814" s="28" t="n">
        <x:v>1080</x:v>
      </x:c>
      <x:c r="C2814" s="28"/>
      <x:c r="D2814" s="31" t="str">
        <x:f>IF(OR(ISBLANK(B2814),ISBLANK(C2814),B2814=0),"",(C2814-B2814)/B2814)</x:f>
      </x:c>
      <x:c r="E2814" s="22" t="str">
        <x:f>IF(ISBLANK(C2814),"AmountIncludingTax缺失",IF(ABS(B2814-C2814)&lt;0.005,"一致","不一致"))</x:f>
        <x:v>AmountIncludingTax缺失</x:v>
      </x:c>
      <x:c r="F2814" s="19" t="str">
        <x:v>approved</x:v>
      </x:c>
      <x:c r="G2814" s="19" t="str">
        <x:v>Dispatch Parts</x:v>
      </x:c>
      <x:c r="H2814" s="19" t="str">
        <x:v>In Field</x:v>
      </x:c>
      <x:c r="I2814" s="37" t="n">
        <x:v>46168</x:v>
      </x:c>
      <x:c r="J2814" s="37" t="n">
        <x:v>46146</x:v>
      </x:c>
      <x:c r="K2814" s="19" t="str">
        <x:v>Green RV - Forest Glen</x:v>
      </x:c>
      <x:c r="L2814" s="19" t="str">
        <x:v>Z006</x:v>
      </x:c>
      <x:c r="M2814" s="19" t="str">
        <x:v>In Field Warranty Claims</x:v>
      </x:c>
      <x:c r="N2814" s="37" t="n">
        <x:v>46094</x:v>
      </x:c>
      <x:c r="O2814" s="37" t="n">
        <x:v>46211</x:v>
      </x:c>
      <x:c r="P2814" s="34" t="n">
        <x:v>0</x:v>
      </x:c>
      <x:c r="Q2814" s="37" t="n">
        <x:v>46168.20800925926</x:v>
      </x:c>
    </x:row>
    <x:row r="2815">
      <x:c r="A2815" s="22" t="n">
        <x:v>32234</x:v>
      </x:c>
      <x:c r="B2815" s="28" t="n">
        <x:v>281.82</x:v>
      </x:c>
      <x:c r="C2815" s="28" t="n">
        <x:v>310</x:v>
      </x:c>
      <x:c r="D2815" s="31" t="n">
        <x:f>IF(OR(ISBLANK(B2815),ISBLANK(C2815),B2815=0),"",(C2815-B2815)/B2815)</x:f>
        <x:v>0.09999290327159183</x:v>
      </x:c>
      <x:c r="E2815" s="22" t="str">
        <x:f>IF(ISBLANK(C2815),"AmountIncludingTax缺失",IF(ABS(B2815-C2815)&lt;0.005,"一致","不一致"))</x:f>
        <x:v>不一致</x:v>
      </x:c>
      <x:c r="F2815" s="19" t="str">
        <x:v>approved</x:v>
      </x:c>
      <x:c r="G2815" s="19" t="str">
        <x:v>Repairer Invoiced Processed</x:v>
      </x:c>
      <x:c r="H2815" s="19" t="str">
        <x:v>In Field</x:v>
      </x:c>
      <x:c r="I2815" s="37" t="n">
        <x:v>46160</x:v>
      </x:c>
      <x:c r="J2815" s="37" t="n">
        <x:v>46160</x:v>
      </x:c>
      <x:c r="K2815" s="19" t="str">
        <x:v>Regent RV - Perth</x:v>
      </x:c>
      <x:c r="L2815" s="19" t="str">
        <x:v>Z006</x:v>
      </x:c>
      <x:c r="M2815" s="19" t="str">
        <x:v>In Field Warranty Claims</x:v>
      </x:c>
      <x:c r="N2815" s="37" t="n">
        <x:v>46094</x:v>
      </x:c>
      <x:c r="O2815" s="37" t="n">
        <x:v>46157</x:v>
      </x:c>
      <x:c r="P2815" s="34" t="n">
        <x:v>310</x:v>
      </x:c>
      <x:c r="Q2815" s="37" t="n">
        <x:v>46159.982523148145</x:v>
      </x:c>
    </x:row>
    <x:row r="2816">
      <x:c r="A2816" s="22" t="n">
        <x:v>32231</x:v>
      </x:c>
      <x:c r="B2816" s="28" t="n">
        <x:v>288</x:v>
      </x:c>
      <x:c r="C2816" s="28"/>
      <x:c r="D2816" s="31" t="str">
        <x:f>IF(OR(ISBLANK(B2816),ISBLANK(C2816),B2816=0),"",(C2816-B2816)/B2816)</x:f>
      </x:c>
      <x:c r="E2816" s="22" t="str">
        <x:f>IF(ISBLANK(C2816),"AmountIncludingTax缺失",IF(ABS(B2816-C2816)&lt;0.005,"一致","不一致"))</x:f>
        <x:v>AmountIncludingTax缺失</x:v>
      </x:c>
      <x:c r="F2816" s="19" t="str">
        <x:v>approved</x:v>
      </x:c>
      <x:c r="G2816" s="19" t="str">
        <x:v>Repairer Invoiced Processed</x:v>
      </x:c>
      <x:c r="H2816" s="19" t="str">
        <x:v>In Field</x:v>
      </x:c>
      <x:c r="I2816" s="37" t="n">
        <x:v>46097</x:v>
      </x:c>
      <x:c r="J2816" s="37" t="n">
        <x:v>46097</x:v>
      </x:c>
      <x:c r="K2816" s="19" t="str">
        <x:v>Green RV - Forest Glen</x:v>
      </x:c>
      <x:c r="L2816" s="19" t="str">
        <x:v>Z006</x:v>
      </x:c>
      <x:c r="M2816" s="19" t="str">
        <x:v>In Field Warranty Claims</x:v>
      </x:c>
      <x:c r="N2816" s="37" t="n">
        <x:v>46094</x:v>
      </x:c>
      <x:c r="O2816" s="37"/>
      <x:c r="P2816" s="34" t="n">
        <x:v>0</x:v>
      </x:c>
      <x:c r="Q2816" s="37" t="n">
        <x:v>46097.04945601852</x:v>
      </x:c>
    </x:row>
    <x:row r="2817">
      <x:c r="A2817" s="22" t="n">
        <x:v>32230</x:v>
      </x:c>
      <x:c r="B2817" s="28" t="n">
        <x:v>1160</x:v>
      </x:c>
      <x:c r="C2817" s="28"/>
      <x:c r="D2817" s="31" t="str">
        <x:f>IF(OR(ISBLANK(B2817),ISBLANK(C2817),B2817=0),"",(C2817-B2817)/B2817)</x:f>
      </x:c>
      <x:c r="E2817" s="22" t="str">
        <x:f>IF(ISBLANK(C2817),"AmountIncludingTax缺失",IF(ABS(B2817-C2817)&lt;0.005,"一致","不一致"))</x:f>
        <x:v>AmountIncludingTax缺失</x:v>
      </x:c>
      <x:c r="F2817" s="19" t="str">
        <x:v>approved</x:v>
      </x:c>
      <x:c r="G2817" s="19" t="str">
        <x:v>Repair in Progress</x:v>
      </x:c>
      <x:c r="H2817" s="19" t="str">
        <x:v>In Field</x:v>
      </x:c>
      <x:c r="I2817" s="37" t="n">
        <x:v>46150</x:v>
      </x:c>
      <x:c r="J2817" s="37" t="n">
        <x:v>46150</x:v>
      </x:c>
      <x:c r="K2817" s="19" t="str">
        <x:v>The Caravan Hub - Townsville</x:v>
      </x:c>
      <x:c r="L2817" s="19" t="str">
        <x:v>Z006</x:v>
      </x:c>
      <x:c r="M2817" s="19" t="str">
        <x:v>In Field Warranty Claims</x:v>
      </x:c>
      <x:c r="N2817" s="37" t="n">
        <x:v>46094</x:v>
      </x:c>
      <x:c r="O2817" s="37"/>
      <x:c r="P2817" s="34" t="n">
        <x:v>1276</x:v>
      </x:c>
      <x:c r="Q2817" s="37" t="n">
        <x:v>46149.96146990741</x:v>
      </x:c>
    </x:row>
    <x:row r="2818">
      <x:c r="A2818" s="22" t="n">
        <x:v>32229</x:v>
      </x:c>
      <x:c r="B2818" s="28" t="n">
        <x:v>433.5</x:v>
      </x:c>
      <x:c r="C2818" s="28"/>
      <x:c r="D2818" s="31" t="str">
        <x:f>IF(OR(ISBLANK(B2818),ISBLANK(C2818),B2818=0),"",(C2818-B2818)/B2818)</x:f>
      </x:c>
      <x:c r="E2818" s="22" t="str">
        <x:f>IF(ISBLANK(C2818),"AmountIncludingTax缺失",IF(ABS(B2818-C2818)&lt;0.005,"一致","不一致"))</x:f>
        <x:v>AmountIncludingTax缺失</x:v>
      </x:c>
      <x:c r="F2818" s="19" t="str">
        <x:v>approved</x:v>
      </x:c>
      <x:c r="G2818" s="19" t="str">
        <x:v>Repair in Progress</x:v>
      </x:c>
      <x:c r="H2818" s="19" t="str">
        <x:v>In Field</x:v>
      </x:c>
      <x:c r="I2818" s="37" t="n">
        <x:v>46104</x:v>
      </x:c>
      <x:c r="J2818" s="37" t="n">
        <x:v>46104</x:v>
      </x:c>
      <x:c r="K2818" s="19" t="str">
        <x:v>Not Assigned</x:v>
      </x:c>
      <x:c r="L2818" s="19" t="str">
        <x:v>Z006</x:v>
      </x:c>
      <x:c r="M2818" s="19" t="str">
        <x:v>In Field Warranty Claims</x:v>
      </x:c>
      <x:c r="N2818" s="37" t="n">
        <x:v>46094</x:v>
      </x:c>
      <x:c r="O2818" s="37"/>
      <x:c r="P2818" s="34" t="n">
        <x:v>0</x:v>
      </x:c>
      <x:c r="Q2818" s="37" t="n">
        <x:v>46104.09998842593</x:v>
      </x:c>
    </x:row>
    <x:row r="2819">
      <x:c r="A2819" s="22" t="n">
        <x:v>32228</x:v>
      </x:c>
      <x:c r="B2819" s="28" t="n">
        <x:v>202.5</x:v>
      </x:c>
      <x:c r="C2819" s="28"/>
      <x:c r="D2819" s="31" t="str">
        <x:f>IF(OR(ISBLANK(B2819),ISBLANK(C2819),B2819=0),"",(C2819-B2819)/B2819)</x:f>
      </x:c>
      <x:c r="E2819" s="22" t="str">
        <x:f>IF(ISBLANK(C2819),"AmountIncludingTax缺失",IF(ABS(B2819-C2819)&lt;0.005,"一致","不一致"))</x:f>
        <x:v>AmountIncludingTax缺失</x:v>
      </x:c>
      <x:c r="F2819" s="19" t="str">
        <x:v>approved</x:v>
      </x:c>
      <x:c r="G2819" s="19" t="str">
        <x:v>Repair in Progress</x:v>
      </x:c>
      <x:c r="H2819" s="19" t="str">
        <x:v>In Field</x:v>
      </x:c>
      <x:c r="I2819" s="37" t="n">
        <x:v>46097</x:v>
      </x:c>
      <x:c r="J2819" s="37" t="n">
        <x:v>46097</x:v>
      </x:c>
      <x:c r="K2819" s="19" t="str">
        <x:v>Green RV - Slacks Creek</x:v>
      </x:c>
      <x:c r="L2819" s="19" t="str">
        <x:v>Z006</x:v>
      </x:c>
      <x:c r="M2819" s="19" t="str">
        <x:v>In Field Warranty Claims</x:v>
      </x:c>
      <x:c r="N2819" s="37" t="n">
        <x:v>46094</x:v>
      </x:c>
      <x:c r="O2819" s="37"/>
      <x:c r="P2819" s="34" t="n">
        <x:v>0</x:v>
      </x:c>
      <x:c r="Q2819" s="37" t="n">
        <x:v>46096.95695601852</x:v>
      </x:c>
    </x:row>
    <x:row r="2820">
      <x:c r="A2820" s="22" t="n">
        <x:v>32227</x:v>
      </x:c>
      <x:c r="B2820" s="28" t="n">
        <x:v>415</x:v>
      </x:c>
      <x:c r="C2820" s="28"/>
      <x:c r="D2820" s="31" t="str">
        <x:f>IF(OR(ISBLANK(B2820),ISBLANK(C2820),B2820=0),"",(C2820-B2820)/B2820)</x:f>
      </x:c>
      <x:c r="E2820" s="22" t="str">
        <x:f>IF(ISBLANK(C2820),"AmountIncludingTax缺失",IF(ABS(B2820-C2820)&lt;0.005,"一致","不一致"))</x:f>
        <x:v>AmountIncludingTax缺失</x:v>
      </x:c>
      <x:c r="F2820" s="19" t="str">
        <x:v>approved</x:v>
      </x:c>
      <x:c r="G2820" s="19" t="str">
        <x:v>Repairer Invoiced Processed</x:v>
      </x:c>
      <x:c r="H2820" s="19" t="str">
        <x:v>In Field</x:v>
      </x:c>
      <x:c r="I2820" s="37" t="n">
        <x:v>46105</x:v>
      </x:c>
      <x:c r="J2820" s="37" t="n">
        <x:v>46105</x:v>
      </x:c>
      <x:c r="K2820" s="19" t="str">
        <x:v>Newcastle RV Super Centre - Beresfield</x:v>
      </x:c>
      <x:c r="L2820" s="19" t="str">
        <x:v>Z006</x:v>
      </x:c>
      <x:c r="M2820" s="19" t="str">
        <x:v>In Field Warranty Claims</x:v>
      </x:c>
      <x:c r="N2820" s="37" t="n">
        <x:v>46094</x:v>
      </x:c>
      <x:c r="O2820" s="37"/>
      <x:c r="P2820" s="34" t="n">
        <x:v>0</x:v>
      </x:c>
      <x:c r="Q2820" s="37" t="n">
        <x:v>46104.92291666667</x:v>
      </x:c>
    </x:row>
    <x:row r="2821">
      <x:c r="A2821" s="22" t="n">
        <x:v>32226</x:v>
      </x:c>
      <x:c r="B2821" s="28" t="n">
        <x:v>1398.75</x:v>
      </x:c>
      <x:c r="C2821" s="28"/>
      <x:c r="D2821" s="31" t="str">
        <x:f>IF(OR(ISBLANK(B2821),ISBLANK(C2821),B2821=0),"",(C2821-B2821)/B2821)</x:f>
      </x:c>
      <x:c r="E2821" s="22" t="str">
        <x:f>IF(ISBLANK(C2821),"AmountIncludingTax缺失",IF(ABS(B2821-C2821)&lt;0.005,"一致","不一致"))</x:f>
        <x:v>AmountIncludingTax缺失</x:v>
      </x:c>
      <x:c r="F2821" s="19" t="str">
        <x:v>approved</x:v>
      </x:c>
      <x:c r="G2821" s="19" t="str">
        <x:v>Repairer Invoiced Processed</x:v>
      </x:c>
      <x:c r="H2821" s="19" t="str">
        <x:v>Pre Delivery</x:v>
      </x:c>
      <x:c r="I2821" s="37" t="n">
        <x:v>46202</x:v>
      </x:c>
      <x:c r="J2821" s="37" t="n">
        <x:v>46202</x:v>
      </x:c>
      <x:c r="K2821" s="19" t="str">
        <x:v>Lesiure Lion-New Castle</x:v>
      </x:c>
      <x:c r="L2821" s="19" t="str">
        <x:v>Z005</x:v>
      </x:c>
      <x:c r="M2821" s="19" t="str">
        <x:v>Pre Delivery Warranty Claims</x:v>
      </x:c>
      <x:c r="N2821" s="37" t="n">
        <x:v>46094</x:v>
      </x:c>
      <x:c r="O2821" s="37"/>
      <x:c r="P2821" s="34" t="n">
        <x:v>0</x:v>
      </x:c>
      <x:c r="Q2821" s="37" t="n">
        <x:v>46202.135833333334</x:v>
      </x:c>
    </x:row>
    <x:row r="2822">
      <x:c r="A2822" s="22" t="n">
        <x:v>32223</x:v>
      </x:c>
      <x:c r="B2822" s="28" t="n">
        <x:v>893.75</x:v>
      </x:c>
      <x:c r="C2822" s="28"/>
      <x:c r="D2822" s="31" t="str">
        <x:f>IF(OR(ISBLANK(B2822),ISBLANK(C2822),B2822=0),"",(C2822-B2822)/B2822)</x:f>
      </x:c>
      <x:c r="E2822" s="22" t="str">
        <x:f>IF(ISBLANK(C2822),"AmountIncludingTax缺失",IF(ABS(B2822-C2822)&lt;0.005,"一致","不一致"))</x:f>
        <x:v>AmountIncludingTax缺失</x:v>
      </x:c>
      <x:c r="F2822" s="19" t="str">
        <x:v>approved</x:v>
      </x:c>
      <x:c r="G2822" s="19" t="str">
        <x:v>Repair in Progress</x:v>
      </x:c>
      <x:c r="H2822" s="19" t="str">
        <x:v>In Field</x:v>
      </x:c>
      <x:c r="I2822" s="37" t="n">
        <x:v>46104</x:v>
      </x:c>
      <x:c r="J2822" s="37" t="n">
        <x:v>46104</x:v>
      </x:c>
      <x:c r="K2822" s="19" t="str">
        <x:v>Snowy River Launceston</x:v>
      </x:c>
      <x:c r="L2822" s="19" t="str">
        <x:v>Z006</x:v>
      </x:c>
      <x:c r="M2822" s="19" t="str">
        <x:v>In Field Warranty Claims</x:v>
      </x:c>
      <x:c r="N2822" s="37" t="n">
        <x:v>46094</x:v>
      </x:c>
      <x:c r="O2822" s="37"/>
      <x:c r="P2822" s="34" t="n">
        <x:v>0</x:v>
      </x:c>
      <x:c r="Q2822" s="37" t="n">
        <x:v>46104.09457175926</x:v>
      </x:c>
    </x:row>
    <x:row r="2823">
      <x:c r="A2823" s="22" t="n">
        <x:v>32222</x:v>
      </x:c>
      <x:c r="B2823" s="28" t="n">
        <x:v>672.5</x:v>
      </x:c>
      <x:c r="C2823" s="28"/>
      <x:c r="D2823" s="31" t="str">
        <x:f>IF(OR(ISBLANK(B2823),ISBLANK(C2823),B2823=0),"",(C2823-B2823)/B2823)</x:f>
      </x:c>
      <x:c r="E2823" s="22" t="str">
        <x:f>IF(ISBLANK(C2823),"AmountIncludingTax缺失",IF(ABS(B2823-C2823)&lt;0.005,"一致","不一致"))</x:f>
        <x:v>AmountIncludingTax缺失</x:v>
      </x:c>
      <x:c r="F2823" s="19" t="str">
        <x:v>approved</x:v>
      </x:c>
      <x:c r="G2823" s="19" t="str">
        <x:v>Repairer Invoiced Processed</x:v>
      </x:c>
      <x:c r="H2823" s="19" t="str">
        <x:v>In Field</x:v>
      </x:c>
      <x:c r="I2823" s="37" t="n">
        <x:v>46096</x:v>
      </x:c>
      <x:c r="J2823" s="37" t="n">
        <x:v>46096</x:v>
      </x:c>
      <x:c r="K2823" s="19" t="str">
        <x:v>The Caravan Hub - Townsville</x:v>
      </x:c>
      <x:c r="L2823" s="19" t="str">
        <x:v>Z006</x:v>
      </x:c>
      <x:c r="M2823" s="19" t="str">
        <x:v>In Field Warranty Claims</x:v>
      </x:c>
      <x:c r="N2823" s="37" t="n">
        <x:v>46094</x:v>
      </x:c>
      <x:c r="O2823" s="37"/>
      <x:c r="P2823" s="34" t="n">
        <x:v>0</x:v>
      </x:c>
      <x:c r="Q2823" s="37" t="n">
        <x:v>46096.3819212963</x:v>
      </x:c>
    </x:row>
    <x:row r="2824">
      <x:c r="A2824" s="22" t="n">
        <x:v>32221</x:v>
      </x:c>
      <x:c r="B2824" s="28" t="n">
        <x:v>300</x:v>
      </x:c>
      <x:c r="C2824" s="28" t="n">
        <x:v>330</x:v>
      </x:c>
      <x:c r="D2824" s="31" t="n">
        <x:f>IF(OR(ISBLANK(B2824),ISBLANK(C2824),B2824=0),"",(C2824-B2824)/B2824)</x:f>
        <x:v>0.1</x:v>
      </x:c>
      <x:c r="E2824" s="22" t="str">
        <x:f>IF(ISBLANK(C2824),"AmountIncludingTax缺失",IF(ABS(B2824-C2824)&lt;0.005,"一致","不一致"))</x:f>
        <x:v>不一致</x:v>
      </x:c>
      <x:c r="F2824" s="19" t="str">
        <x:v>approved</x:v>
      </x:c>
      <x:c r="G2824" s="19" t="str">
        <x:v>Repair in Progress</x:v>
      </x:c>
      <x:c r="H2824" s="19" t="str">
        <x:v>In Field</x:v>
      </x:c>
      <x:c r="I2824" s="37" t="n">
        <x:v>46155</x:v>
      </x:c>
      <x:c r="J2824" s="37" t="n">
        <x:v>46155</x:v>
      </x:c>
      <x:c r="K2824" s="19" t="str">
        <x:v>Regent RV - Perth</x:v>
      </x:c>
      <x:c r="L2824" s="19" t="str">
        <x:v>Z006</x:v>
      </x:c>
      <x:c r="M2824" s="19" t="str">
        <x:v>In Field Warranty Claims</x:v>
      </x:c>
      <x:c r="N2824" s="37" t="n">
        <x:v>46093</x:v>
      </x:c>
      <x:c r="O2824" s="37"/>
      <x:c r="P2824" s="34" t="n">
        <x:v>330</x:v>
      </x:c>
      <x:c r="Q2824" s="37" t="n">
        <x:v>46155.11625</x:v>
      </x:c>
    </x:row>
    <x:row r="2825">
      <x:c r="A2825" s="22" t="n">
        <x:v>32220</x:v>
      </x:c>
      <x:c r="B2825" s="28" t="n">
        <x:v>145</x:v>
      </x:c>
      <x:c r="C2825" s="28" t="n">
        <x:v>159.5</x:v>
      </x:c>
      <x:c r="D2825" s="31" t="n">
        <x:f>IF(OR(ISBLANK(B2825),ISBLANK(C2825),B2825=0),"",(C2825-B2825)/B2825)</x:f>
        <x:v>0.1</x:v>
      </x:c>
      <x:c r="E2825" s="22" t="str">
        <x:f>IF(ISBLANK(C2825),"AmountIncludingTax缺失",IF(ABS(B2825-C2825)&lt;0.005,"一致","不一致"))</x:f>
        <x:v>不一致</x:v>
      </x:c>
      <x:c r="F2825" s="19" t="str">
        <x:v>approved</x:v>
      </x:c>
      <x:c r="G2825" s="19" t="str">
        <x:v>Repairer Invoiced Processed</x:v>
      </x:c>
      <x:c r="H2825" s="19" t="str">
        <x:v>In Field</x:v>
      </x:c>
      <x:c r="I2825" s="37" t="n">
        <x:v>46096</x:v>
      </x:c>
      <x:c r="J2825" s="37" t="n">
        <x:v>46096</x:v>
      </x:c>
      <x:c r="K2825" s="19" t="str">
        <x:v>Regent RV - Townsville</x:v>
      </x:c>
      <x:c r="L2825" s="19" t="str">
        <x:v>Z006</x:v>
      </x:c>
      <x:c r="M2825" s="19" t="str">
        <x:v>In Field Warranty Claims</x:v>
      </x:c>
      <x:c r="N2825" s="37" t="n">
        <x:v>46094</x:v>
      </x:c>
      <x:c r="O2825" s="37"/>
      <x:c r="P2825" s="34" t="n">
        <x:v>159.5</x:v>
      </x:c>
      <x:c r="Q2825" s="37" t="n">
        <x:v>46096.36677083333</x:v>
      </x:c>
    </x:row>
    <x:row r="2826">
      <x:c r="A2826" s="22" t="n">
        <x:v>32219</x:v>
      </x:c>
      <x:c r="B2826" s="28" t="n">
        <x:v>101.25</x:v>
      </x:c>
      <x:c r="C2826" s="28"/>
      <x:c r="D2826" s="31" t="str">
        <x:f>IF(OR(ISBLANK(B2826),ISBLANK(C2826),B2826=0),"",(C2826-B2826)/B2826)</x:f>
      </x:c>
      <x:c r="E2826" s="22" t="str">
        <x:f>IF(ISBLANK(C2826),"AmountIncludingTax缺失",IF(ABS(B2826-C2826)&lt;0.005,"一致","不一致"))</x:f>
        <x:v>AmountIncludingTax缺失</x:v>
      </x:c>
      <x:c r="F2826" s="19" t="str">
        <x:v>approved</x:v>
      </x:c>
      <x:c r="G2826" s="19" t="str">
        <x:v>Repair in Progress</x:v>
      </x:c>
      <x:c r="H2826" s="19" t="str">
        <x:v>In Field</x:v>
      </x:c>
      <x:c r="I2826" s="37" t="n">
        <x:v>46108</x:v>
      </x:c>
      <x:c r="J2826" s="37" t="n">
        <x:v>46108</x:v>
      </x:c>
      <x:c r="K2826" s="19" t="str">
        <x:v>Regent RV - Perth</x:v>
      </x:c>
      <x:c r="L2826" s="19" t="str">
        <x:v>Z006</x:v>
      </x:c>
      <x:c r="M2826" s="19" t="str">
        <x:v>In Field Warranty Claims</x:v>
      </x:c>
      <x:c r="N2826" s="37" t="n">
        <x:v>46094</x:v>
      </x:c>
      <x:c r="O2826" s="37"/>
      <x:c r="P2826" s="34" t="n">
        <x:v>0</x:v>
      </x:c>
      <x:c r="Q2826" s="37" t="n">
        <x:v>46108.10024305555</x:v>
      </x:c>
    </x:row>
    <x:row r="2827">
      <x:c r="A2827" s="22" t="n">
        <x:v>32218</x:v>
      </x:c>
      <x:c r="B2827" s="28" t="n">
        <x:v>135</x:v>
      </x:c>
      <x:c r="C2827" s="28" t="n">
        <x:v>148.5</x:v>
      </x:c>
      <x:c r="D2827" s="31" t="n">
        <x:f>IF(OR(ISBLANK(B2827),ISBLANK(C2827),B2827=0),"",(C2827-B2827)/B2827)</x:f>
        <x:v>0.1</x:v>
      </x:c>
      <x:c r="E2827" s="22" t="str">
        <x:f>IF(ISBLANK(C2827),"AmountIncludingTax缺失",IF(ABS(B2827-C2827)&lt;0.005,"一致","不一致"))</x:f>
        <x:v>不一致</x:v>
      </x:c>
      <x:c r="F2827" s="19" t="str">
        <x:v>approved</x:v>
      </x:c>
      <x:c r="G2827" s="19" t="str">
        <x:v>Repairer Invoiced Processed</x:v>
      </x:c>
      <x:c r="H2827" s="19" t="str">
        <x:v>In Field</x:v>
      </x:c>
      <x:c r="I2827" s="37" t="n">
        <x:v>46104</x:v>
      </x:c>
      <x:c r="J2827" s="37" t="n">
        <x:v>46104</x:v>
      </x:c>
      <x:c r="K2827" s="19" t="str">
        <x:v>Not Assigned</x:v>
      </x:c>
      <x:c r="L2827" s="19" t="str">
        <x:v>Z006</x:v>
      </x:c>
      <x:c r="M2827" s="19" t="str">
        <x:v>In Field Warranty Claims</x:v>
      </x:c>
      <x:c r="N2827" s="37" t="n">
        <x:v>46094</x:v>
      </x:c>
      <x:c r="O2827" s="37"/>
      <x:c r="P2827" s="34" t="n">
        <x:v>148.5</x:v>
      </x:c>
      <x:c r="Q2827" s="37" t="n">
        <x:v>46104.45018518518</x:v>
      </x:c>
    </x:row>
    <x:row r="2828">
      <x:c r="A2828" s="22" t="n">
        <x:v>32217</x:v>
      </x:c>
      <x:c r="B2828" s="28" t="n">
        <x:v>237.5</x:v>
      </x:c>
      <x:c r="C2828" s="28"/>
      <x:c r="D2828" s="31" t="str">
        <x:f>IF(OR(ISBLANK(B2828),ISBLANK(C2828),B2828=0),"",(C2828-B2828)/B2828)</x:f>
      </x:c>
      <x:c r="E2828" s="22" t="str">
        <x:f>IF(ISBLANK(C2828),"AmountIncludingTax缺失",IF(ABS(B2828-C2828)&lt;0.005,"一致","不一致"))</x:f>
        <x:v>AmountIncludingTax缺失</x:v>
      </x:c>
      <x:c r="F2828" s="19" t="str">
        <x:v>approved</x:v>
      </x:c>
      <x:c r="G2828" s="19" t="str">
        <x:v>Repair in Progress</x:v>
      </x:c>
      <x:c r="H2828" s="19" t="str">
        <x:v>Pre Delivery</x:v>
      </x:c>
      <x:c r="I2828" s="37" t="n">
        <x:v>46139</x:v>
      </x:c>
      <x:c r="J2828" s="37" t="n">
        <x:v>46139</x:v>
      </x:c>
      <x:c r="K2828" s="19" t="str">
        <x:v>The Caravan Hub - Townsville</x:v>
      </x:c>
      <x:c r="L2828" s="19" t="str">
        <x:v>Z005</x:v>
      </x:c>
      <x:c r="M2828" s="19" t="str">
        <x:v>Pre Delivery Warranty Claims</x:v>
      </x:c>
      <x:c r="N2828" s="37" t="n">
        <x:v>46094</x:v>
      </x:c>
      <x:c r="O2828" s="37"/>
      <x:c r="P2828" s="34" t="n">
        <x:v>0</x:v>
      </x:c>
      <x:c r="Q2828" s="37" t="n">
        <x:v>46139.06033564815</x:v>
      </x:c>
    </x:row>
    <x:row r="2829">
      <x:c r="A2829" s="22" t="n">
        <x:v>32216</x:v>
      </x:c>
      <x:c r="B2829" s="28" t="n">
        <x:v>857.5</x:v>
      </x:c>
      <x:c r="C2829" s="28"/>
      <x:c r="D2829" s="31" t="str">
        <x:f>IF(OR(ISBLANK(B2829),ISBLANK(C2829),B2829=0),"",(C2829-B2829)/B2829)</x:f>
      </x:c>
      <x:c r="E2829" s="22" t="str">
        <x:f>IF(ISBLANK(C2829),"AmountIncludingTax缺失",IF(ABS(B2829-C2829)&lt;0.005,"一致","不一致"))</x:f>
        <x:v>AmountIncludingTax缺失</x:v>
      </x:c>
      <x:c r="F2829" s="19" t="str">
        <x:v>approved</x:v>
      </x:c>
      <x:c r="G2829" s="19" t="str">
        <x:v>Repair in Progress</x:v>
      </x:c>
      <x:c r="H2829" s="19" t="str">
        <x:v>In Field</x:v>
      </x:c>
      <x:c r="I2829" s="37" t="n">
        <x:v>46112</x:v>
      </x:c>
      <x:c r="J2829" s="37" t="n">
        <x:v>46112</x:v>
      </x:c>
      <x:c r="K2829" s="19" t="str">
        <x:v>Regent RV - Townsville</x:v>
      </x:c>
      <x:c r="L2829" s="19" t="str">
        <x:v>Z006</x:v>
      </x:c>
      <x:c r="M2829" s="19" t="str">
        <x:v>In Field Warranty Claims</x:v>
      </x:c>
      <x:c r="N2829" s="37" t="n">
        <x:v>46094</x:v>
      </x:c>
      <x:c r="O2829" s="37"/>
      <x:c r="P2829" s="34" t="n">
        <x:v>0</x:v>
      </x:c>
      <x:c r="Q2829" s="37" t="n">
        <x:v>46111.89608796296</x:v>
      </x:c>
    </x:row>
    <x:row r="2830">
      <x:c r="A2830" s="22" t="n">
        <x:v>32215</x:v>
      </x:c>
      <x:c r="B2830" s="28" t="n">
        <x:v>330</x:v>
      </x:c>
      <x:c r="C2830" s="28" t="n">
        <x:v>298.78</x:v>
      </x:c>
      <x:c r="D2830" s="31" t="n">
        <x:f>IF(OR(ISBLANK(B2830),ISBLANK(C2830),B2830=0),"",(C2830-B2830)/B2830)</x:f>
        <x:v>-0.0946060606060607</x:v>
      </x:c>
      <x:c r="E2830" s="22" t="str">
        <x:f>IF(ISBLANK(C2830),"AmountIncludingTax缺失",IF(ABS(B2830-C2830)&lt;0.005,"一致","不一致"))</x:f>
        <x:v>不一致</x:v>
      </x:c>
      <x:c r="F2830" s="19" t="str">
        <x:v>approved</x:v>
      </x:c>
      <x:c r="G2830" s="19" t="str">
        <x:v>Repairer Invoiced Processed</x:v>
      </x:c>
      <x:c r="H2830" s="19" t="str">
        <x:v>In Field</x:v>
      </x:c>
      <x:c r="I2830" s="37" t="n">
        <x:v>46189</x:v>
      </x:c>
      <x:c r="J2830" s="37" t="n">
        <x:v>46189</x:v>
      </x:c>
      <x:c r="K2830" s="19" t="str">
        <x:v>Vanari Caravans - Marden Point</x:v>
      </x:c>
      <x:c r="L2830" s="19" t="str">
        <x:v>Z006</x:v>
      </x:c>
      <x:c r="M2830" s="19" t="str">
        <x:v>In Field Warranty Claims</x:v>
      </x:c>
      <x:c r="N2830" s="37" t="n">
        <x:v>46094</x:v>
      </x:c>
      <x:c r="O2830" s="37"/>
      <x:c r="P2830" s="34" t="n">
        <x:v>298.78</x:v>
      </x:c>
      <x:c r="Q2830" s="37" t="n">
        <x:v>46188.97190972222</x:v>
      </x:c>
    </x:row>
    <x:row r="2831">
      <x:c r="A2831" s="22" t="n">
        <x:v>32214</x:v>
      </x:c>
      <x:c r="B2831" s="28" t="n">
        <x:v>67.5</x:v>
      </x:c>
      <x:c r="C2831" s="28"/>
      <x:c r="D2831" s="31" t="str">
        <x:f>IF(OR(ISBLANK(B2831),ISBLANK(C2831),B2831=0),"",(C2831-B2831)/B2831)</x:f>
      </x:c>
      <x:c r="E2831" s="22" t="str">
        <x:f>IF(ISBLANK(C2831),"AmountIncludingTax缺失",IF(ABS(B2831-C2831)&lt;0.005,"一致","不一致"))</x:f>
        <x:v>AmountIncludingTax缺失</x:v>
      </x:c>
      <x:c r="F2831" s="19" t="str">
        <x:v>approved</x:v>
      </x:c>
      <x:c r="G2831" s="19" t="str">
        <x:v>Repair in Progress</x:v>
      </x:c>
      <x:c r="H2831" s="19" t="str">
        <x:v>In Field</x:v>
      </x:c>
      <x:c r="I2831" s="37" t="n">
        <x:v>46107</x:v>
      </x:c>
      <x:c r="J2831" s="37" t="n">
        <x:v>46107</x:v>
      </x:c>
      <x:c r="K2831" s="19" t="str">
        <x:v>Regent RV - Perth</x:v>
      </x:c>
      <x:c r="L2831" s="19" t="str">
        <x:v>Z006</x:v>
      </x:c>
      <x:c r="M2831" s="19" t="str">
        <x:v>In Field Warranty Claims</x:v>
      </x:c>
      <x:c r="N2831" s="37" t="n">
        <x:v>46094</x:v>
      </x:c>
      <x:c r="O2831" s="37"/>
      <x:c r="P2831" s="34" t="n">
        <x:v>0</x:v>
      </x:c>
      <x:c r="Q2831" s="37" t="n">
        <x:v>46107.08846064815</x:v>
      </x:c>
    </x:row>
    <x:row r="2832">
      <x:c r="A2832" s="22" t="n">
        <x:v>32213</x:v>
      </x:c>
      <x:c r="B2832" s="28" t="n">
        <x:v>67.5</x:v>
      </x:c>
      <x:c r="C2832" s="28"/>
      <x:c r="D2832" s="31" t="str">
        <x:f>IF(OR(ISBLANK(B2832),ISBLANK(C2832),B2832=0),"",(C2832-B2832)/B2832)</x:f>
      </x:c>
      <x:c r="E2832" s="22" t="str">
        <x:f>IF(ISBLANK(C2832),"AmountIncludingTax缺失",IF(ABS(B2832-C2832)&lt;0.005,"一致","不一致"))</x:f>
        <x:v>AmountIncludingTax缺失</x:v>
      </x:c>
      <x:c r="F2832" s="19" t="str">
        <x:v>approved</x:v>
      </x:c>
      <x:c r="G2832" s="19" t="str">
        <x:v>Repair in Progress</x:v>
      </x:c>
      <x:c r="H2832" s="19" t="str">
        <x:v>In Field</x:v>
      </x:c>
      <x:c r="I2832" s="37" t="n">
        <x:v>46094</x:v>
      </x:c>
      <x:c r="J2832" s="37" t="n">
        <x:v>46094</x:v>
      </x:c>
      <x:c r="K2832" s="19" t="str">
        <x:v>Green RV - Forest Glen</x:v>
      </x:c>
      <x:c r="L2832" s="19" t="str">
        <x:v>Z006</x:v>
      </x:c>
      <x:c r="M2832" s="19" t="str">
        <x:v>In Field Warranty Claims</x:v>
      </x:c>
      <x:c r="N2832" s="37" t="n">
        <x:v>46094</x:v>
      </x:c>
      <x:c r="O2832" s="37"/>
      <x:c r="P2832" s="34" t="n">
        <x:v>0</x:v>
      </x:c>
      <x:c r="Q2832" s="37" t="n">
        <x:v>46094.13140046296</x:v>
      </x:c>
    </x:row>
    <x:row r="2833">
      <x:c r="A2833" s="22" t="n">
        <x:v>32212</x:v>
      </x:c>
      <x:c r="B2833" s="28" t="n">
        <x:v>288</x:v>
      </x:c>
      <x:c r="C2833" s="28" t="n">
        <x:v>316.8</x:v>
      </x:c>
      <x:c r="D2833" s="31" t="n">
        <x:f>IF(OR(ISBLANK(B2833),ISBLANK(C2833),B2833=0),"",(C2833-B2833)/B2833)</x:f>
        <x:v>0.10000000000000003</x:v>
      </x:c>
      <x:c r="E2833" s="22" t="str">
        <x:f>IF(ISBLANK(C2833),"AmountIncludingTax缺失",IF(ABS(B2833-C2833)&lt;0.005,"一致","不一致"))</x:f>
        <x:v>不一致</x:v>
      </x:c>
      <x:c r="F2833" s="19" t="str">
        <x:v>approved</x:v>
      </x:c>
      <x:c r="G2833" s="19" t="str">
        <x:v>Repairer Invoiced Processed</x:v>
      </x:c>
      <x:c r="H2833" s="19" t="str">
        <x:v>In Field</x:v>
      </x:c>
      <x:c r="I2833" s="37" t="n">
        <x:v>46104</x:v>
      </x:c>
      <x:c r="J2833" s="37" t="n">
        <x:v>46104</x:v>
      </x:c>
      <x:c r="K2833" s="19" t="str">
        <x:v>Green RV - Forest Glen</x:v>
      </x:c>
      <x:c r="L2833" s="19" t="str">
        <x:v>Z006</x:v>
      </x:c>
      <x:c r="M2833" s="19" t="str">
        <x:v>In Field Warranty Claims</x:v>
      </x:c>
      <x:c r="N2833" s="37" t="n">
        <x:v>46094</x:v>
      </x:c>
      <x:c r="O2833" s="37"/>
      <x:c r="P2833" s="34" t="n">
        <x:v>316.8</x:v>
      </x:c>
      <x:c r="Q2833" s="37" t="n">
        <x:v>46104.448159722226</x:v>
      </x:c>
    </x:row>
    <x:row r="2834">
      <x:c r="A2834" s="22" t="n">
        <x:v>32211</x:v>
      </x:c>
      <x:c r="B2834" s="28" t="n">
        <x:v>337.5</x:v>
      </x:c>
      <x:c r="C2834" s="28"/>
      <x:c r="D2834" s="31" t="str">
        <x:f>IF(OR(ISBLANK(B2834),ISBLANK(C2834),B2834=0),"",(C2834-B2834)/B2834)</x:f>
      </x:c>
      <x:c r="E2834" s="22" t="str">
        <x:f>IF(ISBLANK(C2834),"AmountIncludingTax缺失",IF(ABS(B2834-C2834)&lt;0.005,"一致","不一致"))</x:f>
        <x:v>AmountIncludingTax缺失</x:v>
      </x:c>
      <x:c r="F2834" s="19" t="str">
        <x:v>approved</x:v>
      </x:c>
      <x:c r="G2834" s="19" t="str">
        <x:v>Repairer Invoiced Processed</x:v>
      </x:c>
      <x:c r="H2834" s="19" t="str">
        <x:v>In Field</x:v>
      </x:c>
      <x:c r="I2834" s="37" t="n">
        <x:v>46105</x:v>
      </x:c>
      <x:c r="J2834" s="37" t="n">
        <x:v>46105</x:v>
      </x:c>
      <x:c r="K2834" s="19" t="str">
        <x:v>Green RV - Forest Glen</x:v>
      </x:c>
      <x:c r="L2834" s="19" t="str">
        <x:v>Z006</x:v>
      </x:c>
      <x:c r="M2834" s="19" t="str">
        <x:v>In Field Warranty Claims</x:v>
      </x:c>
      <x:c r="N2834" s="37" t="n">
        <x:v>46093</x:v>
      </x:c>
      <x:c r="O2834" s="37"/>
      <x:c r="P2834" s="34" t="n">
        <x:v>0</x:v>
      </x:c>
      <x:c r="Q2834" s="37" t="n">
        <x:v>46104.981145833335</x:v>
      </x:c>
    </x:row>
    <x:row r="2835">
      <x:c r="A2835" s="22" t="n">
        <x:v>32210</x:v>
      </x:c>
      <x:c r="B2835" s="28" t="n">
        <x:v>681.82</x:v>
      </x:c>
      <x:c r="C2835" s="28" t="n">
        <x:v>750</x:v>
      </x:c>
      <x:c r="D2835" s="31" t="n">
        <x:f>IF(OR(ISBLANK(B2835),ISBLANK(C2835),B2835=0),"",(C2835-B2835)/B2835)</x:f>
        <x:v>0.0999970666744888</x:v>
      </x:c>
      <x:c r="E2835" s="22" t="str">
        <x:f>IF(ISBLANK(C2835),"AmountIncludingTax缺失",IF(ABS(B2835-C2835)&lt;0.005,"一致","不一致"))</x:f>
        <x:v>不一致</x:v>
      </x:c>
      <x:c r="F2835" s="19" t="str">
        <x:v>approved</x:v>
      </x:c>
      <x:c r="G2835" s="19" t="str">
        <x:v>Repairer Invoiced Processed</x:v>
      </x:c>
      <x:c r="H2835" s="19" t="str">
        <x:v>In Field</x:v>
      </x:c>
      <x:c r="I2835" s="37" t="n">
        <x:v>46094</x:v>
      </x:c>
      <x:c r="J2835" s="37" t="n">
        <x:v>46094</x:v>
      </x:c>
      <x:c r="K2835" s="19" t="str">
        <x:v>Green RV - Forest Glen</x:v>
      </x:c>
      <x:c r="L2835" s="19" t="str">
        <x:v>Z006</x:v>
      </x:c>
      <x:c r="M2835" s="19" t="str">
        <x:v>In Field Warranty Claims</x:v>
      </x:c>
      <x:c r="N2835" s="37" t="n">
        <x:v>46093</x:v>
      </x:c>
      <x:c r="O2835" s="37"/>
      <x:c r="P2835" s="34" t="n">
        <x:v>750</x:v>
      </x:c>
      <x:c r="Q2835" s="37" t="n">
        <x:v>46094.12293981481</x:v>
      </x:c>
    </x:row>
    <x:row r="2836">
      <x:c r="A2836" s="22" t="n">
        <x:v>32209</x:v>
      </x:c>
      <x:c r="B2836" s="28" t="n">
        <x:v>910</x:v>
      </x:c>
      <x:c r="C2836" s="28"/>
      <x:c r="D2836" s="31" t="str">
        <x:f>IF(OR(ISBLANK(B2836),ISBLANK(C2836),B2836=0),"",(C2836-B2836)/B2836)</x:f>
      </x:c>
      <x:c r="E2836" s="22" t="str">
        <x:f>IF(ISBLANK(C2836),"AmountIncludingTax缺失",IF(ABS(B2836-C2836)&lt;0.005,"一致","不一致"))</x:f>
        <x:v>AmountIncludingTax缺失</x:v>
      </x:c>
      <x:c r="F2836" s="19" t="str">
        <x:v>approved</x:v>
      </x:c>
      <x:c r="G2836" s="19" t="str">
        <x:v>Repairer Invoiced Processed</x:v>
      </x:c>
      <x:c r="H2836" s="19" t="str">
        <x:v>In Field</x:v>
      </x:c>
      <x:c r="I2836" s="37" t="n">
        <x:v>46139</x:v>
      </x:c>
      <x:c r="J2836" s="37" t="n">
        <x:v>46139</x:v>
      </x:c>
      <x:c r="K2836" s="19" t="str">
        <x:v>Regent RV - Townsville</x:v>
      </x:c>
      <x:c r="L2836" s="19" t="str">
        <x:v>Z006</x:v>
      </x:c>
      <x:c r="M2836" s="19" t="str">
        <x:v>In Field Warranty Claims</x:v>
      </x:c>
      <x:c r="N2836" s="37" t="n">
        <x:v>46093</x:v>
      </x:c>
      <x:c r="O2836" s="37"/>
      <x:c r="P2836" s="34" t="n">
        <x:v>0</x:v>
      </x:c>
      <x:c r="Q2836" s="37" t="n">
        <x:v>46139.50502314815</x:v>
      </x:c>
    </x:row>
    <x:row r="2837">
      <x:c r="A2837" s="22" t="n">
        <x:v>32207</x:v>
      </x:c>
      <x:c r="B2837" s="28" t="n">
        <x:v>38.75</x:v>
      </x:c>
      <x:c r="C2837" s="28"/>
      <x:c r="D2837" s="31" t="str">
        <x:f>IF(OR(ISBLANK(B2837),ISBLANK(C2837),B2837=0),"",(C2837-B2837)/B2837)</x:f>
      </x:c>
      <x:c r="E2837" s="22" t="str">
        <x:f>IF(ISBLANK(C2837),"AmountIncludingTax缺失",IF(ABS(B2837-C2837)&lt;0.005,"一致","不一致"))</x:f>
        <x:v>AmountIncludingTax缺失</x:v>
      </x:c>
      <x:c r="F2837" s="19" t="str">
        <x:v>approved</x:v>
      </x:c>
      <x:c r="G2837" s="19" t="str">
        <x:v>Repair in Progress</x:v>
      </x:c>
      <x:c r="H2837" s="19" t="str">
        <x:v>In Field</x:v>
      </x:c>
      <x:c r="I2837" s="37" t="n">
        <x:v>46104</x:v>
      </x:c>
      <x:c r="J2837" s="37" t="n">
        <x:v>46104</x:v>
      </x:c>
      <x:c r="K2837" s="19" t="str">
        <x:v>Snowy River Launceston</x:v>
      </x:c>
      <x:c r="L2837" s="19" t="str">
        <x:v>Z006</x:v>
      </x:c>
      <x:c r="M2837" s="19" t="str">
        <x:v>In Field Warranty Claims</x:v>
      </x:c>
      <x:c r="N2837" s="37" t="n">
        <x:v>46093</x:v>
      </x:c>
      <x:c r="O2837" s="37"/>
      <x:c r="P2837" s="34" t="n">
        <x:v>0</x:v>
      </x:c>
      <x:c r="Q2837" s="37" t="n">
        <x:v>46104.12225694444</x:v>
      </x:c>
    </x:row>
    <x:row r="2838">
      <x:c r="A2838" s="22" t="n">
        <x:v>32205</x:v>
      </x:c>
      <x:c r="B2838" s="28" t="n">
        <x:v>405</x:v>
      </x:c>
      <x:c r="C2838" s="28"/>
      <x:c r="D2838" s="31" t="str">
        <x:f>IF(OR(ISBLANK(B2838),ISBLANK(C2838),B2838=0),"",(C2838-B2838)/B2838)</x:f>
      </x:c>
      <x:c r="E2838" s="22" t="str">
        <x:f>IF(ISBLANK(C2838),"AmountIncludingTax缺失",IF(ABS(B2838-C2838)&lt;0.005,"一致","不一致"))</x:f>
        <x:v>AmountIncludingTax缺失</x:v>
      </x:c>
      <x:c r="F2838" s="19" t="str">
        <x:v>approved</x:v>
      </x:c>
      <x:c r="G2838" s="19" t="str">
        <x:v>Repair in Progress</x:v>
      </x:c>
      <x:c r="H2838" s="19" t="str">
        <x:v>In Field</x:v>
      </x:c>
      <x:c r="I2838" s="37" t="n">
        <x:v>46104</x:v>
      </x:c>
      <x:c r="J2838" s="37" t="n">
        <x:v>46104</x:v>
      </x:c>
      <x:c r="K2838" s="19" t="str">
        <x:v>Leisure Lion Pty Ltd - Toowoomba</x:v>
      </x:c>
      <x:c r="L2838" s="19" t="str">
        <x:v>Z006</x:v>
      </x:c>
      <x:c r="M2838" s="19" t="str">
        <x:v>In Field Warranty Claims</x:v>
      </x:c>
      <x:c r="N2838" s="37" t="n">
        <x:v>46093</x:v>
      </x:c>
      <x:c r="O2838" s="37"/>
      <x:c r="P2838" s="34" t="n">
        <x:v>0</x:v>
      </x:c>
      <x:c r="Q2838" s="37" t="n">
        <x:v>46104.12144675926</x:v>
      </x:c>
    </x:row>
    <x:row r="2839">
      <x:c r="A2839" s="22" t="n">
        <x:v>32202</x:v>
      </x:c>
      <x:c r="B2839" s="28" t="n">
        <x:v>270</x:v>
      </x:c>
      <x:c r="C2839" s="28"/>
      <x:c r="D2839" s="31" t="str">
        <x:f>IF(OR(ISBLANK(B2839),ISBLANK(C2839),B2839=0),"",(C2839-B2839)/B2839)</x:f>
      </x:c>
      <x:c r="E2839" s="22" t="str">
        <x:f>IF(ISBLANK(C2839),"AmountIncludingTax缺失",IF(ABS(B2839-C2839)&lt;0.005,"一致","不一致"))</x:f>
        <x:v>AmountIncludingTax缺失</x:v>
      </x:c>
      <x:c r="F2839" s="19" t="str">
        <x:v>approved</x:v>
      </x:c>
      <x:c r="G2839" s="19" t="str">
        <x:v>Repair in Progress</x:v>
      </x:c>
      <x:c r="H2839" s="19" t="str">
        <x:v>In Field</x:v>
      </x:c>
      <x:c r="I2839" s="37" t="n">
        <x:v>46103</x:v>
      </x:c>
      <x:c r="J2839" s="37" t="n">
        <x:v>46103</x:v>
      </x:c>
      <x:c r="K2839" s="19" t="str">
        <x:v>Regent RV - Perth</x:v>
      </x:c>
      <x:c r="L2839" s="19" t="str">
        <x:v>Z006</x:v>
      </x:c>
      <x:c r="M2839" s="19" t="str">
        <x:v>In Field Warranty Claims</x:v>
      </x:c>
      <x:c r="N2839" s="37" t="n">
        <x:v>46093</x:v>
      </x:c>
      <x:c r="O2839" s="37"/>
      <x:c r="P2839" s="34" t="n">
        <x:v>0</x:v>
      </x:c>
      <x:c r="Q2839" s="37" t="n">
        <x:v>46103.44956018519</x:v>
      </x:c>
    </x:row>
    <x:row r="2840">
      <x:c r="A2840" s="22" t="n">
        <x:v>32201</x:v>
      </x:c>
      <x:c r="B2840" s="28" t="n">
        <x:v>617.5</x:v>
      </x:c>
      <x:c r="C2840" s="28"/>
      <x:c r="D2840" s="31" t="str">
        <x:f>IF(OR(ISBLANK(B2840),ISBLANK(C2840),B2840=0),"",(C2840-B2840)/B2840)</x:f>
      </x:c>
      <x:c r="E2840" s="22" t="str">
        <x:f>IF(ISBLANK(C2840),"AmountIncludingTax缺失",IF(ABS(B2840-C2840)&lt;0.005,"一致","不一致"))</x:f>
        <x:v>AmountIncludingTax缺失</x:v>
      </x:c>
      <x:c r="F2840" s="19" t="str">
        <x:v>approved</x:v>
      </x:c>
      <x:c r="G2840" s="19" t="str">
        <x:v>Repairer Invoiced Processed</x:v>
      </x:c>
      <x:c r="H2840" s="19" t="str">
        <x:v>Pre Delivery</x:v>
      </x:c>
      <x:c r="I2840" s="37" t="n">
        <x:v>46135</x:v>
      </x:c>
      <x:c r="J2840" s="37" t="n">
        <x:v>46135</x:v>
      </x:c>
      <x:c r="K2840" s="19" t="str">
        <x:v>Regent RV - Toowoomba</x:v>
      </x:c>
      <x:c r="L2840" s="19" t="str">
        <x:v>Z005</x:v>
      </x:c>
      <x:c r="M2840" s="19" t="str">
        <x:v>Pre Delivery Warranty Claims</x:v>
      </x:c>
      <x:c r="N2840" s="37" t="n">
        <x:v>46093</x:v>
      </x:c>
      <x:c r="O2840" s="37"/>
      <x:c r="P2840" s="34" t="n">
        <x:v>0</x:v>
      </x:c>
      <x:c r="Q2840" s="37" t="n">
        <x:v>46134.85252314815</x:v>
      </x:c>
    </x:row>
    <x:row r="2841">
      <x:c r="A2841" s="22" t="n">
        <x:v>32191</x:v>
      </x:c>
      <x:c r="B2841" s="28" t="n">
        <x:v>272.73</x:v>
      </x:c>
      <x:c r="C2841" s="28"/>
      <x:c r="D2841" s="31" t="str">
        <x:f>IF(OR(ISBLANK(B2841),ISBLANK(C2841),B2841=0),"",(C2841-B2841)/B2841)</x:f>
      </x:c>
      <x:c r="E2841" s="22" t="str">
        <x:f>IF(ISBLANK(C2841),"AmountIncludingTax缺失",IF(ABS(B2841-C2841)&lt;0.005,"一致","不一致"))</x:f>
        <x:v>AmountIncludingTax缺失</x:v>
      </x:c>
      <x:c r="F2841" s="19" t="str">
        <x:v>approved</x:v>
      </x:c>
      <x:c r="G2841" s="19" t="str">
        <x:v>Repairer Invoiced Processed</x:v>
      </x:c>
      <x:c r="H2841" s="19" t="str">
        <x:v>Pre Delivery</x:v>
      </x:c>
      <x:c r="I2841" s="37" t="n">
        <x:v>46149</x:v>
      </x:c>
      <x:c r="J2841" s="37" t="n">
        <x:v>46149</x:v>
      </x:c>
      <x:c r="K2841" s="19" t="str">
        <x:v>Regent RV - Townsville</x:v>
      </x:c>
      <x:c r="L2841" s="19" t="str">
        <x:v>Z005</x:v>
      </x:c>
      <x:c r="M2841" s="19" t="str">
        <x:v>Pre Delivery Warranty Claims</x:v>
      </x:c>
      <x:c r="N2841" s="37" t="n">
        <x:v>46093</x:v>
      </x:c>
      <x:c r="O2841" s="37" t="n">
        <x:v>46101</x:v>
      </x:c>
      <x:c r="P2841" s="34" t="n">
        <x:v>0</x:v>
      </x:c>
      <x:c r="Q2841" s="37" t="n">
        <x:v>46149.026458333334</x:v>
      </x:c>
    </x:row>
    <x:row r="2842">
      <x:c r="A2842" s="22" t="n">
        <x:v>32190</x:v>
      </x:c>
      <x:c r="B2842" s="28" t="n">
        <x:v>672.5</x:v>
      </x:c>
      <x:c r="C2842" s="28"/>
      <x:c r="D2842" s="31" t="str">
        <x:f>IF(OR(ISBLANK(B2842),ISBLANK(C2842),B2842=0),"",(C2842-B2842)/B2842)</x:f>
      </x:c>
      <x:c r="E2842" s="22" t="str">
        <x:f>IF(ISBLANK(C2842),"AmountIncludingTax缺失",IF(ABS(B2842-C2842)&lt;0.005,"一致","不一致"))</x:f>
        <x:v>AmountIncludingTax缺失</x:v>
      </x:c>
      <x:c r="F2842" s="19" t="str">
        <x:v>approved</x:v>
      </x:c>
      <x:c r="G2842" s="19" t="str">
        <x:v>Repair in Progress</x:v>
      </x:c>
      <x:c r="H2842" s="19" t="str">
        <x:v>In Field</x:v>
      </x:c>
      <x:c r="I2842" s="37" t="n">
        <x:v>46096</x:v>
      </x:c>
      <x:c r="J2842" s="37" t="n">
        <x:v>46096</x:v>
      </x:c>
      <x:c r="K2842" s="19" t="str">
        <x:v>Regent RV Pty Ltd</x:v>
      </x:c>
      <x:c r="L2842" s="19" t="str">
        <x:v>Z006</x:v>
      </x:c>
      <x:c r="M2842" s="19" t="str">
        <x:v>In Field Warranty Claims</x:v>
      </x:c>
      <x:c r="N2842" s="37" t="n">
        <x:v>46093</x:v>
      </x:c>
      <x:c r="O2842" s="37"/>
      <x:c r="P2842" s="34" t="n">
        <x:v>0</x:v>
      </x:c>
      <x:c r="Q2842" s="37" t="n">
        <x:v>46096.38984953704</x:v>
      </x:c>
    </x:row>
    <x:row r="2843">
      <x:c r="A2843" s="22" t="n">
        <x:v>32189</x:v>
      </x:c>
      <x:c r="B2843" s="28" t="n">
        <x:v>511.25</x:v>
      </x:c>
      <x:c r="C2843" s="28"/>
      <x:c r="D2843" s="31" t="str">
        <x:f>IF(OR(ISBLANK(B2843),ISBLANK(C2843),B2843=0),"",(C2843-B2843)/B2843)</x:f>
      </x:c>
      <x:c r="E2843" s="22" t="str">
        <x:f>IF(ISBLANK(C2843),"AmountIncludingTax缺失",IF(ABS(B2843-C2843)&lt;0.005,"一致","不一致"))</x:f>
        <x:v>AmountIncludingTax缺失</x:v>
      </x:c>
      <x:c r="F2843" s="19" t="str">
        <x:v>approved</x:v>
      </x:c>
      <x:c r="G2843" s="19" t="str">
        <x:v>Repair in Progress</x:v>
      </x:c>
      <x:c r="H2843" s="19" t="str">
        <x:v>In Field</x:v>
      </x:c>
      <x:c r="I2843" s="37" t="n">
        <x:v>46104</x:v>
      </x:c>
      <x:c r="J2843" s="37" t="n">
        <x:v>46104</x:v>
      </x:c>
      <x:c r="K2843" s="19" t="str">
        <x:v>Green RV - Forest Glen</x:v>
      </x:c>
      <x:c r="L2843" s="19" t="str">
        <x:v>Z006</x:v>
      </x:c>
      <x:c r="M2843" s="19" t="str">
        <x:v>In Field Warranty Claims</x:v>
      </x:c>
      <x:c r="N2843" s="37" t="n">
        <x:v>46093</x:v>
      </x:c>
      <x:c r="O2843" s="37"/>
      <x:c r="P2843" s="34" t="n">
        <x:v>0</x:v>
      </x:c>
      <x:c r="Q2843" s="37" t="n">
        <x:v>46104.14420138889</x:v>
      </x:c>
    </x:row>
    <x:row r="2844">
      <x:c r="A2844" s="22" t="n">
        <x:v>32188</x:v>
      </x:c>
      <x:c r="B2844" s="28" t="n">
        <x:v>405</x:v>
      </x:c>
      <x:c r="C2844" s="28"/>
      <x:c r="D2844" s="31" t="str">
        <x:f>IF(OR(ISBLANK(B2844),ISBLANK(C2844),B2844=0),"",(C2844-B2844)/B2844)</x:f>
      </x:c>
      <x:c r="E2844" s="22" t="str">
        <x:f>IF(ISBLANK(C2844),"AmountIncludingTax缺失",IF(ABS(B2844-C2844)&lt;0.005,"一致","不一致"))</x:f>
        <x:v>AmountIncludingTax缺失</x:v>
      </x:c>
      <x:c r="F2844" s="19" t="str">
        <x:v>approved</x:v>
      </x:c>
      <x:c r="G2844" s="19" t="str">
        <x:v>Repairer Invoiced Processed</x:v>
      </x:c>
      <x:c r="H2844" s="19" t="str">
        <x:v>In Field</x:v>
      </x:c>
      <x:c r="I2844" s="37" t="n">
        <x:v>46097</x:v>
      </x:c>
      <x:c r="J2844" s="37" t="n">
        <x:v>46097</x:v>
      </x:c>
      <x:c r="K2844" s="19" t="str">
        <x:v>Sherrif Caravans &amp; Traliers - Prospect Vale</x:v>
      </x:c>
      <x:c r="L2844" s="19" t="str">
        <x:v>Z006</x:v>
      </x:c>
      <x:c r="M2844" s="19" t="str">
        <x:v>In Field Warranty Claims</x:v>
      </x:c>
      <x:c r="N2844" s="37" t="n">
        <x:v>46093</x:v>
      </x:c>
      <x:c r="O2844" s="37"/>
      <x:c r="P2844" s="34" t="n">
        <x:v>0</x:v>
      </x:c>
      <x:c r="Q2844" s="37" t="n">
        <x:v>46096.89053240741</x:v>
      </x:c>
    </x:row>
    <x:row r="2845">
      <x:c r="A2845" s="22" t="n">
        <x:v>32187</x:v>
      </x:c>
      <x:c r="B2845" s="28" t="n">
        <x:v>495.45</x:v>
      </x:c>
      <x:c r="C2845" s="28" t="n">
        <x:v>545</x:v>
      </x:c>
      <x:c r="D2845" s="31" t="n">
        <x:f>IF(OR(ISBLANK(B2845),ISBLANK(C2845),B2845=0),"",(C2845-B2845)/B2845)</x:f>
        <x:v>0.10001009183570495</x:v>
      </x:c>
      <x:c r="E2845" s="22" t="str">
        <x:f>IF(ISBLANK(C2845),"AmountIncludingTax缺失",IF(ABS(B2845-C2845)&lt;0.005,"一致","不一致"))</x:f>
        <x:v>不一致</x:v>
      </x:c>
      <x:c r="F2845" s="19" t="str">
        <x:v>approved</x:v>
      </x:c>
      <x:c r="G2845" s="19" t="str">
        <x:v>Repairer Invoiced Processed</x:v>
      </x:c>
      <x:c r="H2845" s="19" t="str">
        <x:v>In Field</x:v>
      </x:c>
      <x:c r="I2845" s="37" t="n">
        <x:v>46104</x:v>
      </x:c>
      <x:c r="J2845" s="37" t="n">
        <x:v>46104</x:v>
      </x:c>
      <x:c r="K2845" s="19" t="str">
        <x:v>Regent RV Pty Ltd</x:v>
      </x:c>
      <x:c r="L2845" s="19" t="str">
        <x:v>Z006</x:v>
      </x:c>
      <x:c r="M2845" s="19" t="str">
        <x:v>In Field Warranty Claims</x:v>
      </x:c>
      <x:c r="N2845" s="37" t="n">
        <x:v>46093</x:v>
      </x:c>
      <x:c r="O2845" s="37"/>
      <x:c r="P2845" s="34" t="n">
        <x:v>545</x:v>
      </x:c>
      <x:c r="Q2845" s="37" t="n">
        <x:v>46104.19986111111</x:v>
      </x:c>
    </x:row>
    <x:row r="2846">
      <x:c r="A2846" s="22" t="n">
        <x:v>32183</x:v>
      </x:c>
      <x:c r="B2846" s="28" t="n">
        <x:v>806.25</x:v>
      </x:c>
      <x:c r="C2846" s="28"/>
      <x:c r="D2846" s="31" t="str">
        <x:f>IF(OR(ISBLANK(B2846),ISBLANK(C2846),B2846=0),"",(C2846-B2846)/B2846)</x:f>
      </x:c>
      <x:c r="E2846" s="22" t="str">
        <x:f>IF(ISBLANK(C2846),"AmountIncludingTax缺失",IF(ABS(B2846-C2846)&lt;0.005,"一致","不一致"))</x:f>
        <x:v>AmountIncludingTax缺失</x:v>
      </x:c>
      <x:c r="F2846" s="19" t="str">
        <x:v>approved</x:v>
      </x:c>
      <x:c r="G2846" s="19" t="str">
        <x:v>Repair in Progress</x:v>
      </x:c>
      <x:c r="H2846" s="19" t="str">
        <x:v>In Field</x:v>
      </x:c>
      <x:c r="I2846" s="37" t="n">
        <x:v>46143</x:v>
      </x:c>
      <x:c r="J2846" s="37" t="n">
        <x:v>46106</x:v>
      </x:c>
      <x:c r="K2846" s="19" t="str">
        <x:v>Leisure Lion - Bundaberg</x:v>
      </x:c>
      <x:c r="L2846" s="19" t="str">
        <x:v>Z006</x:v>
      </x:c>
      <x:c r="M2846" s="19" t="str">
        <x:v>In Field Warranty Claims</x:v>
      </x:c>
      <x:c r="N2846" s="37" t="n">
        <x:v>46093</x:v>
      </x:c>
      <x:c r="O2846" s="37"/>
      <x:c r="P2846" s="34" t="n">
        <x:v>0</x:v>
      </x:c>
      <x:c r="Q2846" s="37" t="n">
        <x:v>46143.17827546296</x:v>
      </x:c>
    </x:row>
    <x:row r="2847">
      <x:c r="A2847" s="22" t="n">
        <x:v>32182</x:v>
      </x:c>
      <x:c r="B2847" s="28" t="n">
        <x:v>540</x:v>
      </x:c>
      <x:c r="C2847" s="28"/>
      <x:c r="D2847" s="31" t="str">
        <x:f>IF(OR(ISBLANK(B2847),ISBLANK(C2847),B2847=0),"",(C2847-B2847)/B2847)</x:f>
      </x:c>
      <x:c r="E2847" s="22" t="str">
        <x:f>IF(ISBLANK(C2847),"AmountIncludingTax缺失",IF(ABS(B2847-C2847)&lt;0.005,"一致","不一致"))</x:f>
        <x:v>AmountIncludingTax缺失</x:v>
      </x:c>
      <x:c r="F2847" s="19" t="str">
        <x:v>approved</x:v>
      </x:c>
      <x:c r="G2847" s="19" t="str">
        <x:v>Repair in Progress</x:v>
      </x:c>
      <x:c r="H2847" s="19" t="str">
        <x:v>In Field</x:v>
      </x:c>
      <x:c r="I2847" s="37" t="n">
        <x:v>46103</x:v>
      </x:c>
      <x:c r="J2847" s="37" t="n">
        <x:v>46103</x:v>
      </x:c>
      <x:c r="K2847" s="19" t="str">
        <x:v>Snowy River Wangaratta</x:v>
      </x:c>
      <x:c r="L2847" s="19" t="str">
        <x:v>Z006</x:v>
      </x:c>
      <x:c r="M2847" s="19" t="str">
        <x:v>In Field Warranty Claims</x:v>
      </x:c>
      <x:c r="N2847" s="37" t="n">
        <x:v>46093</x:v>
      </x:c>
      <x:c r="O2847" s="37"/>
      <x:c r="P2847" s="34" t="n">
        <x:v>0</x:v>
      </x:c>
      <x:c r="Q2847" s="37" t="n">
        <x:v>46103.461550925924</x:v>
      </x:c>
    </x:row>
    <x:row r="2848">
      <x:c r="A2848" s="22" t="n">
        <x:v>32181</x:v>
      </x:c>
      <x:c r="B2848" s="28" t="n">
        <x:v>1275</x:v>
      </x:c>
      <x:c r="C2848" s="28"/>
      <x:c r="D2848" s="31" t="str">
        <x:f>IF(OR(ISBLANK(B2848),ISBLANK(C2848),B2848=0),"",(C2848-B2848)/B2848)</x:f>
      </x:c>
      <x:c r="E2848" s="22" t="str">
        <x:f>IF(ISBLANK(C2848),"AmountIncludingTax缺失",IF(ABS(B2848-C2848)&lt;0.005,"一致","不一致"))</x:f>
        <x:v>AmountIncludingTax缺失</x:v>
      </x:c>
      <x:c r="F2848" s="19" t="str">
        <x:v>approved</x:v>
      </x:c>
      <x:c r="G2848" s="19" t="str">
        <x:v>Repair in Progress</x:v>
      </x:c>
      <x:c r="H2848" s="19" t="str">
        <x:v>In Field</x:v>
      </x:c>
      <x:c r="I2848" s="37" t="n">
        <x:v>46098</x:v>
      </x:c>
      <x:c r="J2848" s="37" t="n">
        <x:v>46098</x:v>
      </x:c>
      <x:c r="K2848" s="19" t="str">
        <x:v>Regent RV - Toowoomba</x:v>
      </x:c>
      <x:c r="L2848" s="19" t="str">
        <x:v>Z006</x:v>
      </x:c>
      <x:c r="M2848" s="19" t="str">
        <x:v>In Field Warranty Claims</x:v>
      </x:c>
      <x:c r="N2848" s="37" t="n">
        <x:v>46093</x:v>
      </x:c>
      <x:c r="O2848" s="37"/>
      <x:c r="P2848" s="34" t="n">
        <x:v>0</x:v>
      </x:c>
      <x:c r="Q2848" s="37" t="n">
        <x:v>46097.84232638889</x:v>
      </x:c>
    </x:row>
    <x:row r="2849">
      <x:c r="A2849" s="22" t="n">
        <x:v>32176</x:v>
      </x:c>
      <x:c r="B2849" s="28" t="n">
        <x:v>112.5</x:v>
      </x:c>
      <x:c r="C2849" s="28"/>
      <x:c r="D2849" s="31" t="str">
        <x:f>IF(OR(ISBLANK(B2849),ISBLANK(C2849),B2849=0),"",(C2849-B2849)/B2849)</x:f>
      </x:c>
      <x:c r="E2849" s="22" t="str">
        <x:f>IF(ISBLANK(C2849),"AmountIncludingTax缺失",IF(ABS(B2849-C2849)&lt;0.005,"一致","不一致"))</x:f>
        <x:v>AmountIncludingTax缺失</x:v>
      </x:c>
      <x:c r="F2849" s="19" t="str">
        <x:v>approved</x:v>
      </x:c>
      <x:c r="G2849" s="19" t="str">
        <x:v>Repairer Invoiced Processed</x:v>
      </x:c>
      <x:c r="H2849" s="19" t="str">
        <x:v>In Field</x:v>
      </x:c>
      <x:c r="I2849" s="37" t="n">
        <x:v>46094</x:v>
      </x:c>
      <x:c r="J2849" s="37" t="n">
        <x:v>46094</x:v>
      </x:c>
      <x:c r="K2849" s="19" t="str">
        <x:v>Vanari Caravans - Marden Point</x:v>
      </x:c>
      <x:c r="L2849" s="19" t="str">
        <x:v>Z006</x:v>
      </x:c>
      <x:c r="M2849" s="19" t="str">
        <x:v>In Field Warranty Claims</x:v>
      </x:c>
      <x:c r="N2849" s="37" t="n">
        <x:v>46094</x:v>
      </x:c>
      <x:c r="O2849" s="37"/>
      <x:c r="P2849" s="34" t="n">
        <x:v>0</x:v>
      </x:c>
      <x:c r="Q2849" s="37" t="n">
        <x:v>46094.086875</x:v>
      </x:c>
    </x:row>
    <x:row r="2850">
      <x:c r="A2850" s="22" t="n">
        <x:v>32174</x:v>
      </x:c>
      <x:c r="B2850" s="28" t="n">
        <x:v>67.5</x:v>
      </x:c>
      <x:c r="C2850" s="28"/>
      <x:c r="D2850" s="31" t="str">
        <x:f>IF(OR(ISBLANK(B2850),ISBLANK(C2850),B2850=0),"",(C2850-B2850)/B2850)</x:f>
      </x:c>
      <x:c r="E2850" s="22" t="str">
        <x:f>IF(ISBLANK(C2850),"AmountIncludingTax缺失",IF(ABS(B2850-C2850)&lt;0.005,"一致","不一致"))</x:f>
        <x:v>AmountIncludingTax缺失</x:v>
      </x:c>
      <x:c r="F2850" s="19" t="str">
        <x:v>approved</x:v>
      </x:c>
      <x:c r="G2850" s="19" t="str">
        <x:v>Repairer Invoiced Processed</x:v>
      </x:c>
      <x:c r="H2850" s="19" t="str">
        <x:v>In Field</x:v>
      </x:c>
      <x:c r="I2850" s="37" t="n">
        <x:v>46099</x:v>
      </x:c>
      <x:c r="J2850" s="37" t="n">
        <x:v>46099</x:v>
      </x:c>
      <x:c r="K2850" s="19" t="str">
        <x:v>Regent RV Pty Ltd</x:v>
      </x:c>
      <x:c r="L2850" s="19" t="str">
        <x:v>Z006</x:v>
      </x:c>
      <x:c r="M2850" s="19" t="str">
        <x:v>In Field Warranty Claims</x:v>
      </x:c>
      <x:c r="N2850" s="37" t="n">
        <x:v>46093</x:v>
      </x:c>
      <x:c r="O2850" s="37"/>
      <x:c r="P2850" s="34" t="n">
        <x:v>0</x:v>
      </x:c>
      <x:c r="Q2850" s="37" t="n">
        <x:v>46098.888703703706</x:v>
      </x:c>
    </x:row>
    <x:row r="2851">
      <x:c r="A2851" s="22" t="n">
        <x:v>32173</x:v>
      </x:c>
      <x:c r="B2851" s="28" t="n">
        <x:v>390</x:v>
      </x:c>
      <x:c r="C2851" s="28"/>
      <x:c r="D2851" s="31" t="str">
        <x:f>IF(OR(ISBLANK(B2851),ISBLANK(C2851),B2851=0),"",(C2851-B2851)/B2851)</x:f>
      </x:c>
      <x:c r="E2851" s="22" t="str">
        <x:f>IF(ISBLANK(C2851),"AmountIncludingTax缺失",IF(ABS(B2851-C2851)&lt;0.005,"一致","不一致"))</x:f>
        <x:v>AmountIncludingTax缺失</x:v>
      </x:c>
      <x:c r="F2851" s="19" t="str">
        <x:v>approved</x:v>
      </x:c>
      <x:c r="G2851" s="19" t="str">
        <x:v>Repairer Invoiced Processed</x:v>
      </x:c>
      <x:c r="H2851" s="19" t="str">
        <x:v>In Field</x:v>
      </x:c>
      <x:c r="I2851" s="37" t="n">
        <x:v>46104</x:v>
      </x:c>
      <x:c r="J2851" s="37" t="n">
        <x:v>46093</x:v>
      </x:c>
      <x:c r="K2851" s="19" t="str">
        <x:v>Regent RV Pty Ltd</x:v>
      </x:c>
      <x:c r="L2851" s="19" t="str">
        <x:v>Z006</x:v>
      </x:c>
      <x:c r="M2851" s="19" t="str">
        <x:v>In Field Warranty Claims</x:v>
      </x:c>
      <x:c r="N2851" s="37" t="n">
        <x:v>46093</x:v>
      </x:c>
      <x:c r="O2851" s="37"/>
      <x:c r="P2851" s="34" t="n">
        <x:v>0</x:v>
      </x:c>
      <x:c r="Q2851" s="37" t="n">
        <x:v>46104.239641203705</x:v>
      </x:c>
    </x:row>
    <x:row r="2852">
      <x:c r="A2852" s="22" t="n">
        <x:v>32171</x:v>
      </x:c>
      <x:c r="B2852" s="28" t="n">
        <x:v>222.5</x:v>
      </x:c>
      <x:c r="C2852" s="28"/>
      <x:c r="D2852" s="31" t="str">
        <x:f>IF(OR(ISBLANK(B2852),ISBLANK(C2852),B2852=0),"",(C2852-B2852)/B2852)</x:f>
      </x:c>
      <x:c r="E2852" s="22" t="str">
        <x:f>IF(ISBLANK(C2852),"AmountIncludingTax缺失",IF(ABS(B2852-C2852)&lt;0.005,"一致","不一致"))</x:f>
        <x:v>AmountIncludingTax缺失</x:v>
      </x:c>
      <x:c r="F2852" s="19" t="str">
        <x:v>approved</x:v>
      </x:c>
      <x:c r="G2852" s="19" t="str">
        <x:v>Repairer Invoiced Processed</x:v>
      </x:c>
      <x:c r="H2852" s="19" t="str">
        <x:v>In Field</x:v>
      </x:c>
      <x:c r="I2852" s="37" t="n">
        <x:v>46094</x:v>
      </x:c>
      <x:c r="J2852" s="37" t="n">
        <x:v>46094</x:v>
      </x:c>
      <x:c r="K2852" s="19" t="str">
        <x:v>Dario Caravans -St.Marys</x:v>
      </x:c>
      <x:c r="L2852" s="19" t="str">
        <x:v>Z006</x:v>
      </x:c>
      <x:c r="M2852" s="19" t="str">
        <x:v>In Field Warranty Claims</x:v>
      </x:c>
      <x:c r="N2852" s="37" t="n">
        <x:v>46093</x:v>
      </x:c>
      <x:c r="O2852" s="37"/>
      <x:c r="P2852" s="34" t="n">
        <x:v>0</x:v>
      </x:c>
      <x:c r="Q2852" s="37" t="n">
        <x:v>46094.17548611111</x:v>
      </x:c>
    </x:row>
    <x:row r="2853">
      <x:c r="A2853" s="22" t="n">
        <x:v>32170</x:v>
      </x:c>
      <x:c r="B2853" s="28" t="n">
        <x:v>202.5</x:v>
      </x:c>
      <x:c r="C2853" s="28"/>
      <x:c r="D2853" s="31" t="str">
        <x:f>IF(OR(ISBLANK(B2853),ISBLANK(C2853),B2853=0),"",(C2853-B2853)/B2853)</x:f>
      </x:c>
      <x:c r="E2853" s="22" t="str">
        <x:f>IF(ISBLANK(C2853),"AmountIncludingTax缺失",IF(ABS(B2853-C2853)&lt;0.005,"一致","不一致"))</x:f>
        <x:v>AmountIncludingTax缺失</x:v>
      </x:c>
      <x:c r="F2853" s="19" t="str">
        <x:v>approved</x:v>
      </x:c>
      <x:c r="G2853" s="19" t="str">
        <x:v>Repair in Progress</x:v>
      </x:c>
      <x:c r="H2853" s="19" t="str">
        <x:v>In Field</x:v>
      </x:c>
      <x:c r="I2853" s="37" t="n">
        <x:v>46097</x:v>
      </x:c>
      <x:c r="J2853" s="37" t="n">
        <x:v>46097</x:v>
      </x:c>
      <x:c r="K2853" s="19" t="str">
        <x:v>Regent RV - Perth</x:v>
      </x:c>
      <x:c r="L2853" s="19" t="str">
        <x:v>Z006</x:v>
      </x:c>
      <x:c r="M2853" s="19" t="str">
        <x:v>In Field Warranty Claims</x:v>
      </x:c>
      <x:c r="N2853" s="37" t="n">
        <x:v>46093</x:v>
      </x:c>
      <x:c r="O2853" s="37"/>
      <x:c r="P2853" s="34" t="n">
        <x:v>0</x:v>
      </x:c>
      <x:c r="Q2853" s="37" t="n">
        <x:v>46097.23438657408</x:v>
      </x:c>
    </x:row>
    <x:row r="2854">
      <x:c r="A2854" s="22" t="n">
        <x:v>32169</x:v>
      </x:c>
      <x:c r="B2854" s="28" t="n">
        <x:v>623.64</x:v>
      </x:c>
      <x:c r="C2854" s="28"/>
      <x:c r="D2854" s="31" t="str">
        <x:f>IF(OR(ISBLANK(B2854),ISBLANK(C2854),B2854=0),"",(C2854-B2854)/B2854)</x:f>
      </x:c>
      <x:c r="E2854" s="22" t="str">
        <x:f>IF(ISBLANK(C2854),"AmountIncludingTax缺失",IF(ABS(B2854-C2854)&lt;0.005,"一致","不一致"))</x:f>
        <x:v>AmountIncludingTax缺失</x:v>
      </x:c>
      <x:c r="F2854" s="19" t="str">
        <x:v>approved</x:v>
      </x:c>
      <x:c r="G2854" s="19" t="str">
        <x:v>Repairer Invoiced Processed</x:v>
      </x:c>
      <x:c r="H2854" s="19" t="str">
        <x:v>Pre Delivery</x:v>
      </x:c>
      <x:c r="I2854" s="37" t="n">
        <x:v>46185</x:v>
      </x:c>
      <x:c r="J2854" s="37" t="n">
        <x:v>46185</x:v>
      </x:c>
      <x:c r="K2854" s="19" t="str">
        <x:v>The Caravan Hub - Townsville</x:v>
      </x:c>
      <x:c r="L2854" s="19" t="str">
        <x:v>Z005</x:v>
      </x:c>
      <x:c r="M2854" s="19" t="str">
        <x:v>Pre Delivery Warranty Claims</x:v>
      </x:c>
      <x:c r="N2854" s="37" t="n">
        <x:v>46093</x:v>
      </x:c>
      <x:c r="O2854" s="37"/>
      <x:c r="P2854" s="34" t="n">
        <x:v>0</x:v>
      </x:c>
      <x:c r="Q2854" s="37" t="n">
        <x:v>46185.06997685185</x:v>
      </x:c>
    </x:row>
    <x:row r="2855">
      <x:c r="A2855" s="22" t="n">
        <x:v>32168</x:v>
      </x:c>
      <x:c r="B2855" s="28" t="n">
        <x:v>4534.02</x:v>
      </x:c>
      <x:c r="C2855" s="28"/>
      <x:c r="D2855" s="31" t="str">
        <x:f>IF(OR(ISBLANK(B2855),ISBLANK(C2855),B2855=0),"",(C2855-B2855)/B2855)</x:f>
      </x:c>
      <x:c r="E2855" s="22" t="str">
        <x:f>IF(ISBLANK(C2855),"AmountIncludingTax缺失",IF(ABS(B2855-C2855)&lt;0.005,"一致","不一致"))</x:f>
        <x:v>AmountIncludingTax缺失</x:v>
      </x:c>
      <x:c r="F2855" s="19" t="str">
        <x:v>approved</x:v>
      </x:c>
      <x:c r="G2855" s="19" t="str">
        <x:v>Repairer Invoiced Processed</x:v>
      </x:c>
      <x:c r="H2855" s="19" t="str">
        <x:v>In Field</x:v>
      </x:c>
      <x:c r="I2855" s="37" t="n">
        <x:v>46114</x:v>
      </x:c>
      <x:c r="J2855" s="37" t="n">
        <x:v>46114</x:v>
      </x:c>
      <x:c r="K2855" s="19" t="str">
        <x:v>Not Assigned</x:v>
      </x:c>
      <x:c r="L2855" s="19" t="str">
        <x:v>Z006</x:v>
      </x:c>
      <x:c r="M2855" s="19" t="str">
        <x:v>In Field Warranty Claims</x:v>
      </x:c>
      <x:c r="N2855" s="37" t="n">
        <x:v>46093</x:v>
      </x:c>
      <x:c r="O2855" s="37"/>
      <x:c r="P2855" s="34" t="n">
        <x:v>4987.42</x:v>
      </x:c>
      <x:c r="Q2855" s="37" t="n">
        <x:v>46114.05810185185</x:v>
      </x:c>
    </x:row>
    <x:row r="2856">
      <x:c r="A2856" s="22" t="n">
        <x:v>32167</x:v>
      </x:c>
      <x:c r="B2856" s="28" t="n">
        <x:v>905</x:v>
      </x:c>
      <x:c r="C2856" s="28"/>
      <x:c r="D2856" s="31" t="str">
        <x:f>IF(OR(ISBLANK(B2856),ISBLANK(C2856),B2856=0),"",(C2856-B2856)/B2856)</x:f>
      </x:c>
      <x:c r="E2856" s="22" t="str">
        <x:f>IF(ISBLANK(C2856),"AmountIncludingTax缺失",IF(ABS(B2856-C2856)&lt;0.005,"一致","不一致"))</x:f>
        <x:v>AmountIncludingTax缺失</x:v>
      </x:c>
      <x:c r="F2856" s="19" t="str">
        <x:v>approved</x:v>
      </x:c>
      <x:c r="G2856" s="19" t="str">
        <x:v>Sales Order Approved</x:v>
      </x:c>
      <x:c r="H2856" s="19" t="str">
        <x:v>Pre Delivery</x:v>
      </x:c>
      <x:c r="I2856" s="37" t="n">
        <x:v>46182</x:v>
      </x:c>
      <x:c r="J2856" s="37" t="n">
        <x:v>46182</x:v>
      </x:c>
      <x:c r="K2856" s="19" t="str">
        <x:v>The Caravan Hub - Townsville</x:v>
      </x:c>
      <x:c r="L2856" s="19" t="str">
        <x:v>Z005</x:v>
      </x:c>
      <x:c r="M2856" s="19" t="str">
        <x:v>Pre Delivery Warranty Claims</x:v>
      </x:c>
      <x:c r="N2856" s="37" t="n">
        <x:v>46093</x:v>
      </x:c>
      <x:c r="O2856" s="37"/>
      <x:c r="P2856" s="34" t="n">
        <x:v>0</x:v>
      </x:c>
      <x:c r="Q2856" s="37" t="n">
        <x:v>46182.22760416667</x:v>
      </x:c>
    </x:row>
    <x:row r="2857">
      <x:c r="A2857" s="22" t="n">
        <x:v>32164</x:v>
      </x:c>
      <x:c r="B2857" s="28" t="n">
        <x:v>695</x:v>
      </x:c>
      <x:c r="C2857" s="28"/>
      <x:c r="D2857" s="31" t="str">
        <x:f>IF(OR(ISBLANK(B2857),ISBLANK(C2857),B2857=0),"",(C2857-B2857)/B2857)</x:f>
      </x:c>
      <x:c r="E2857" s="22" t="str">
        <x:f>IF(ISBLANK(C2857),"AmountIncludingTax缺失",IF(ABS(B2857-C2857)&lt;0.005,"一致","不一致"))</x:f>
        <x:v>AmountIncludingTax缺失</x:v>
      </x:c>
      <x:c r="F2857" s="19" t="str">
        <x:v>approved</x:v>
      </x:c>
      <x:c r="G2857" s="19" t="str">
        <x:v>Repair in Progress</x:v>
      </x:c>
      <x:c r="H2857" s="19" t="str">
        <x:v>In Field</x:v>
      </x:c>
      <x:c r="I2857" s="37" t="n">
        <x:v>46098</x:v>
      </x:c>
      <x:c r="J2857" s="37" t="n">
        <x:v>46098</x:v>
      </x:c>
      <x:c r="K2857" s="19" t="str">
        <x:v>Dario Caravans - Pooraka</x:v>
      </x:c>
      <x:c r="L2857" s="19" t="str">
        <x:v>Z006</x:v>
      </x:c>
      <x:c r="M2857" s="19" t="str">
        <x:v>In Field Warranty Claims</x:v>
      </x:c>
      <x:c r="N2857" s="37" t="n">
        <x:v>46093</x:v>
      </x:c>
      <x:c r="O2857" s="37"/>
      <x:c r="P2857" s="34" t="n">
        <x:v>0</x:v>
      </x:c>
      <x:c r="Q2857" s="37" t="n">
        <x:v>46097.938425925924</x:v>
      </x:c>
    </x:row>
    <x:row r="2858">
      <x:c r="A2858" s="22" t="n">
        <x:v>32163</x:v>
      </x:c>
      <x:c r="B2858" s="28" t="n">
        <x:v>630</x:v>
      </x:c>
      <x:c r="C2858" s="28" t="n">
        <x:v>570.4</x:v>
      </x:c>
      <x:c r="D2858" s="31" t="n">
        <x:f>IF(OR(ISBLANK(B2858),ISBLANK(C2858),B2858=0),"",(C2858-B2858)/B2858)</x:f>
        <x:v>-0.09460317460317463</x:v>
      </x:c>
      <x:c r="E2858" s="22" t="str">
        <x:f>IF(ISBLANK(C2858),"AmountIncludingTax缺失",IF(ABS(B2858-C2858)&lt;0.005,"一致","不一致"))</x:f>
        <x:v>不一致</x:v>
      </x:c>
      <x:c r="F2858" s="19" t="str">
        <x:v>approved</x:v>
      </x:c>
      <x:c r="G2858" s="19" t="str">
        <x:v>Repair in Progress</x:v>
      </x:c>
      <x:c r="H2858" s="19" t="str">
        <x:v>In Field</x:v>
      </x:c>
      <x:c r="I2858" s="37" t="n">
        <x:v>46104</x:v>
      </x:c>
      <x:c r="J2858" s="37" t="n">
        <x:v>46104</x:v>
      </x:c>
      <x:c r="K2858" s="19" t="str">
        <x:v>Not Assigned</x:v>
      </x:c>
      <x:c r="L2858" s="19" t="str">
        <x:v>Z006</x:v>
      </x:c>
      <x:c r="M2858" s="19" t="str">
        <x:v>In Field Warranty Claims</x:v>
      </x:c>
      <x:c r="N2858" s="37" t="n">
        <x:v>46093</x:v>
      </x:c>
      <x:c r="O2858" s="37"/>
      <x:c r="P2858" s="34" t="n">
        <x:v>570.4</x:v>
      </x:c>
      <x:c r="Q2858" s="37" t="n">
        <x:v>46104.09792824074</x:v>
      </x:c>
    </x:row>
    <x:row r="2859">
      <x:c r="A2859" s="22" t="n">
        <x:v>32162</x:v>
      </x:c>
      <x:c r="B2859" s="28" t="n">
        <x:v>581.8</x:v>
      </x:c>
      <x:c r="C2859" s="28" t="n">
        <x:v>526.76</x:v>
      </x:c>
      <x:c r="D2859" s="31" t="n">
        <x:f>IF(OR(ISBLANK(B2859),ISBLANK(C2859),B2859=0),"",(C2859-B2859)/B2859)</x:f>
        <x:v>-0.09460295634238565</x:v>
      </x:c>
      <x:c r="E2859" s="22" t="str">
        <x:f>IF(ISBLANK(C2859),"AmountIncludingTax缺失",IF(ABS(B2859-C2859)&lt;0.005,"一致","不一致"))</x:f>
        <x:v>不一致</x:v>
      </x:c>
      <x:c r="F2859" s="19" t="str">
        <x:v>approved</x:v>
      </x:c>
      <x:c r="G2859" s="19" t="str">
        <x:v>Repairer Invoiced Processed</x:v>
      </x:c>
      <x:c r="H2859" s="19" t="str">
        <x:v>In Field</x:v>
      </x:c>
      <x:c r="I2859" s="37" t="n">
        <x:v>46160</x:v>
      </x:c>
      <x:c r="J2859" s="37" t="n">
        <x:v>46160</x:v>
      </x:c>
      <x:c r="K2859" s="19" t="str">
        <x:v>Not Assigned</x:v>
      </x:c>
      <x:c r="L2859" s="19" t="str">
        <x:v>Z006</x:v>
      </x:c>
      <x:c r="M2859" s="19" t="str">
        <x:v>In Field Warranty Claims</x:v>
      </x:c>
      <x:c r="N2859" s="37" t="n">
        <x:v>46093</x:v>
      </x:c>
      <x:c r="O2859" s="37"/>
      <x:c r="P2859" s="34" t="n">
        <x:v>526.76</x:v>
      </x:c>
      <x:c r="Q2859" s="37" t="n">
        <x:v>46160.14420138889</x:v>
      </x:c>
    </x:row>
    <x:row r="2860">
      <x:c r="A2860" s="22" t="n">
        <x:v>32161</x:v>
      </x:c>
      <x:c r="B2860" s="28" t="n">
        <x:v>135</x:v>
      </x:c>
      <x:c r="C2860" s="28" t="n">
        <x:v>148.5</x:v>
      </x:c>
      <x:c r="D2860" s="31" t="n">
        <x:f>IF(OR(ISBLANK(B2860),ISBLANK(C2860),B2860=0),"",(C2860-B2860)/B2860)</x:f>
        <x:v>0.1</x:v>
      </x:c>
      <x:c r="E2860" s="22" t="str">
        <x:f>IF(ISBLANK(C2860),"AmountIncludingTax缺失",IF(ABS(B2860-C2860)&lt;0.005,"一致","不一致"))</x:f>
        <x:v>不一致</x:v>
      </x:c>
      <x:c r="F2860" s="19" t="str">
        <x:v>approved</x:v>
      </x:c>
      <x:c r="G2860" s="19" t="str">
        <x:v>Repairer Invoiced Received</x:v>
      </x:c>
      <x:c r="H2860" s="19" t="str">
        <x:v>In Field</x:v>
      </x:c>
      <x:c r="I2860" s="37" t="n">
        <x:v>46094</x:v>
      </x:c>
      <x:c r="J2860" s="37" t="n">
        <x:v>46094</x:v>
      </x:c>
      <x:c r="K2860" s="19" t="str">
        <x:v>Not Assigned</x:v>
      </x:c>
      <x:c r="L2860" s="19" t="str">
        <x:v>Z006</x:v>
      </x:c>
      <x:c r="M2860" s="19" t="str">
        <x:v>In Field Warranty Claims</x:v>
      </x:c>
      <x:c r="N2860" s="37" t="n">
        <x:v>46093</x:v>
      </x:c>
      <x:c r="O2860" s="37"/>
      <x:c r="P2860" s="34" t="n">
        <x:v>148.5</x:v>
      </x:c>
      <x:c r="Q2860" s="37" t="n">
        <x:v>46093.97425925926</x:v>
      </x:c>
    </x:row>
    <x:row r="2861">
      <x:c r="A2861" s="22" t="n">
        <x:v>32160</x:v>
      </x:c>
      <x:c r="B2861" s="28" t="n">
        <x:v>831.81</x:v>
      </x:c>
      <x:c r="C2861" s="28"/>
      <x:c r="D2861" s="31" t="str">
        <x:f>IF(OR(ISBLANK(B2861),ISBLANK(C2861),B2861=0),"",(C2861-B2861)/B2861)</x:f>
      </x:c>
      <x:c r="E2861" s="22" t="str">
        <x:f>IF(ISBLANK(C2861),"AmountIncludingTax缺失",IF(ABS(B2861-C2861)&lt;0.005,"一致","不一致"))</x:f>
        <x:v>AmountIncludingTax缺失</x:v>
      </x:c>
      <x:c r="F2861" s="19" t="str">
        <x:v>approved</x:v>
      </x:c>
      <x:c r="G2861" s="19" t="str">
        <x:v>Repairer Invoiced Processed</x:v>
      </x:c>
      <x:c r="H2861" s="19" t="str">
        <x:v>In Field</x:v>
      </x:c>
      <x:c r="I2861" s="37" t="n">
        <x:v>46125</x:v>
      </x:c>
      <x:c r="J2861" s="37" t="n">
        <x:v>46125</x:v>
      </x:c>
      <x:c r="K2861" s="19" t="str">
        <x:v>ABCO Caravans - Boambee Valley</x:v>
      </x:c>
      <x:c r="L2861" s="19" t="str">
        <x:v>Z006</x:v>
      </x:c>
      <x:c r="M2861" s="19" t="str">
        <x:v>In Field Warranty Claims</x:v>
      </x:c>
      <x:c r="N2861" s="37" t="n">
        <x:v>46093</x:v>
      </x:c>
      <x:c r="O2861" s="37"/>
      <x:c r="P2861" s="34" t="n">
        <x:v>0</x:v>
      </x:c>
      <x:c r="Q2861" s="37" t="n">
        <x:v>46125.039189814815</x:v>
      </x:c>
    </x:row>
    <x:row r="2862">
      <x:c r="A2862" s="22" t="n">
        <x:v>32159</x:v>
      </x:c>
      <x:c r="B2862" s="28" t="n">
        <x:v>375.61</x:v>
      </x:c>
      <x:c r="C2862" s="28" t="n">
        <x:v>413.17</x:v>
      </x:c>
      <x:c r="D2862" s="31" t="n">
        <x:f>IF(OR(ISBLANK(B2862),ISBLANK(C2862),B2862=0),"",(C2862-B2862)/B2862)</x:f>
        <x:v>0.09999733766406646</x:v>
      </x:c>
      <x:c r="E2862" s="22" t="str">
        <x:f>IF(ISBLANK(C2862),"AmountIncludingTax缺失",IF(ABS(B2862-C2862)&lt;0.005,"一致","不一致"))</x:f>
        <x:v>不一致</x:v>
      </x:c>
      <x:c r="F2862" s="19" t="str">
        <x:v>approved</x:v>
      </x:c>
      <x:c r="G2862" s="19" t="str">
        <x:v>Repairer Invoiced Processed</x:v>
      </x:c>
      <x:c r="H2862" s="19" t="str">
        <x:v>In Field</x:v>
      </x:c>
      <x:c r="I2862" s="37" t="n">
        <x:v>46097</x:v>
      </x:c>
      <x:c r="J2862" s="37" t="n">
        <x:v>46097</x:v>
      </x:c>
      <x:c r="K2862" s="19" t="str">
        <x:v>Snowy River Launceston</x:v>
      </x:c>
      <x:c r="L2862" s="19" t="str">
        <x:v>Z006</x:v>
      </x:c>
      <x:c r="M2862" s="19" t="str">
        <x:v>In Field Warranty Claims</x:v>
      </x:c>
      <x:c r="N2862" s="37" t="n">
        <x:v>46093</x:v>
      </x:c>
      <x:c r="O2862" s="37"/>
      <x:c r="P2862" s="34" t="n">
        <x:v>413.17</x:v>
      </x:c>
      <x:c r="Q2862" s="37" t="n">
        <x:v>46097.085</x:v>
      </x:c>
    </x:row>
    <x:row r="2863">
      <x:c r="A2863" s="22" t="n">
        <x:v>32158</x:v>
      </x:c>
      <x:c r="B2863" s="28" t="n">
        <x:v>375.61</x:v>
      </x:c>
      <x:c r="C2863" s="28" t="n">
        <x:v>413.17</x:v>
      </x:c>
      <x:c r="D2863" s="31" t="n">
        <x:f>IF(OR(ISBLANK(B2863),ISBLANK(C2863),B2863=0),"",(C2863-B2863)/B2863)</x:f>
        <x:v>0.09999733766406646</x:v>
      </x:c>
      <x:c r="E2863" s="22" t="str">
        <x:f>IF(ISBLANK(C2863),"AmountIncludingTax缺失",IF(ABS(B2863-C2863)&lt;0.005,"一致","不一致"))</x:f>
        <x:v>不一致</x:v>
      </x:c>
      <x:c r="F2863" s="19" t="str">
        <x:v>approved</x:v>
      </x:c>
      <x:c r="G2863" s="19" t="str">
        <x:v>Repairer Invoiced Processed</x:v>
      </x:c>
      <x:c r="H2863" s="19" t="str">
        <x:v>In Field</x:v>
      </x:c>
      <x:c r="I2863" s="37" t="n">
        <x:v>46097</x:v>
      </x:c>
      <x:c r="J2863" s="37" t="n">
        <x:v>46097</x:v>
      </x:c>
      <x:c r="K2863" s="19" t="str">
        <x:v>Snowy River Launceston</x:v>
      </x:c>
      <x:c r="L2863" s="19" t="str">
        <x:v>Z006</x:v>
      </x:c>
      <x:c r="M2863" s="19" t="str">
        <x:v>In Field Warranty Claims</x:v>
      </x:c>
      <x:c r="N2863" s="37" t="n">
        <x:v>46093</x:v>
      </x:c>
      <x:c r="O2863" s="37"/>
      <x:c r="P2863" s="34" t="n">
        <x:v>413.17</x:v>
      </x:c>
      <x:c r="Q2863" s="37" t="n">
        <x:v>46097.0528125</x:v>
      </x:c>
    </x:row>
    <x:row r="2864">
      <x:c r="A2864" s="22" t="n">
        <x:v>32154</x:v>
      </x:c>
      <x:c r="B2864" s="28" t="n">
        <x:v>150</x:v>
      </x:c>
      <x:c r="C2864" s="28" t="n">
        <x:v>165</x:v>
      </x:c>
      <x:c r="D2864" s="31" t="n">
        <x:f>IF(OR(ISBLANK(B2864),ISBLANK(C2864),B2864=0),"",(C2864-B2864)/B2864)</x:f>
        <x:v>0.1</x:v>
      </x:c>
      <x:c r="E2864" s="22" t="str">
        <x:f>IF(ISBLANK(C2864),"AmountIncludingTax缺失",IF(ABS(B2864-C2864)&lt;0.005,"一致","不一致"))</x:f>
        <x:v>不一致</x:v>
      </x:c>
      <x:c r="F2864" s="19" t="str">
        <x:v>approved</x:v>
      </x:c>
      <x:c r="G2864" s="19" t="str">
        <x:v>Repairer Invoiced Processed</x:v>
      </x:c>
      <x:c r="H2864" s="19" t="str">
        <x:v>Pre Delivery</x:v>
      </x:c>
      <x:c r="I2864" s="37" t="n">
        <x:v>46134</x:v>
      </x:c>
      <x:c r="J2864" s="37" t="n">
        <x:v>46134</x:v>
      </x:c>
      <x:c r="K2864" s="19" t="str">
        <x:v>ABCO Caravans - Boambee Valley</x:v>
      </x:c>
      <x:c r="L2864" s="19" t="str">
        <x:v>Z005</x:v>
      </x:c>
      <x:c r="M2864" s="19" t="str">
        <x:v>Pre Delivery Warranty Claims</x:v>
      </x:c>
      <x:c r="N2864" s="37" t="n">
        <x:v>46093</x:v>
      </x:c>
      <x:c r="O2864" s="37"/>
      <x:c r="P2864" s="34" t="n">
        <x:v>165</x:v>
      </x:c>
      <x:c r="Q2864" s="37" t="n">
        <x:v>46134.271678240744</x:v>
      </x:c>
    </x:row>
    <x:row r="2865">
      <x:c r="A2865" s="22" t="n">
        <x:v>32153</x:v>
      </x:c>
      <x:c r="B2865" s="28" t="n">
        <x:v>540</x:v>
      </x:c>
      <x:c r="C2865" s="28"/>
      <x:c r="D2865" s="31" t="str">
        <x:f>IF(OR(ISBLANK(B2865),ISBLANK(C2865),B2865=0),"",(C2865-B2865)/B2865)</x:f>
      </x:c>
      <x:c r="E2865" s="22" t="str">
        <x:f>IF(ISBLANK(C2865),"AmountIncludingTax缺失",IF(ABS(B2865-C2865)&lt;0.005,"一致","不一致"))</x:f>
        <x:v>AmountIncludingTax缺失</x:v>
      </x:c>
      <x:c r="F2865" s="19" t="str">
        <x:v>approved</x:v>
      </x:c>
      <x:c r="G2865" s="19" t="str">
        <x:v>Repairer Invoiced Processed</x:v>
      </x:c>
      <x:c r="H2865" s="19" t="str">
        <x:v>Pre Delivery</x:v>
      </x:c>
      <x:c r="I2865" s="37" t="n">
        <x:v>46135</x:v>
      </x:c>
      <x:c r="J2865" s="37" t="n">
        <x:v>46135</x:v>
      </x:c>
      <x:c r="K2865" s="19" t="str">
        <x:v>ABCO Caravans - Boambee Valley</x:v>
      </x:c>
      <x:c r="L2865" s="19" t="str">
        <x:v>Z005</x:v>
      </x:c>
      <x:c r="M2865" s="19" t="str">
        <x:v>Pre Delivery Warranty Claims</x:v>
      </x:c>
      <x:c r="N2865" s="37" t="n">
        <x:v>46093</x:v>
      </x:c>
      <x:c r="O2865" s="37"/>
      <x:c r="P2865" s="34" t="n">
        <x:v>0</x:v>
      </x:c>
      <x:c r="Q2865" s="37" t="n">
        <x:v>46134.92980324074</x:v>
      </x:c>
    </x:row>
    <x:row r="2866">
      <x:c r="A2866" s="22" t="n">
        <x:v>32152</x:v>
      </x:c>
      <x:c r="B2866" s="28" t="n">
        <x:v>937.5</x:v>
      </x:c>
      <x:c r="C2866" s="28"/>
      <x:c r="D2866" s="31" t="str">
        <x:f>IF(OR(ISBLANK(B2866),ISBLANK(C2866),B2866=0),"",(C2866-B2866)/B2866)</x:f>
      </x:c>
      <x:c r="E2866" s="22" t="str">
        <x:f>IF(ISBLANK(C2866),"AmountIncludingTax缺失",IF(ABS(B2866-C2866)&lt;0.005,"一致","不一致"))</x:f>
        <x:v>AmountIncludingTax缺失</x:v>
      </x:c>
      <x:c r="F2866" s="19" t="str">
        <x:v>approved</x:v>
      </x:c>
      <x:c r="G2866" s="19" t="str">
        <x:v>Repairer Invoiced Processed</x:v>
      </x:c>
      <x:c r="H2866" s="19" t="str">
        <x:v>In Field</x:v>
      </x:c>
      <x:c r="I2866" s="37" t="n">
        <x:v>46101</x:v>
      </x:c>
      <x:c r="J2866" s="37" t="n">
        <x:v>46101</x:v>
      </x:c>
      <x:c r="K2866" s="19" t="str">
        <x:v>Regent RV - Perth</x:v>
      </x:c>
      <x:c r="L2866" s="19" t="str">
        <x:v>Z006</x:v>
      </x:c>
      <x:c r="M2866" s="19" t="str">
        <x:v>In Field Warranty Claims</x:v>
      </x:c>
      <x:c r="N2866" s="37" t="n">
        <x:v>46093</x:v>
      </x:c>
      <x:c r="O2866" s="37"/>
      <x:c r="P2866" s="34" t="n">
        <x:v>0</x:v>
      </x:c>
      <x:c r="Q2866" s="37" t="n">
        <x:v>46101.16138888889</x:v>
      </x:c>
    </x:row>
    <x:row r="2867">
      <x:c r="A2867" s="22" t="n">
        <x:v>32148</x:v>
      </x:c>
      <x:c r="B2867" s="28" t="n">
        <x:v>270</x:v>
      </x:c>
      <x:c r="C2867" s="28"/>
      <x:c r="D2867" s="31" t="str">
        <x:f>IF(OR(ISBLANK(B2867),ISBLANK(C2867),B2867=0),"",(C2867-B2867)/B2867)</x:f>
      </x:c>
      <x:c r="E2867" s="22" t="str">
        <x:f>IF(ISBLANK(C2867),"AmountIncludingTax缺失",IF(ABS(B2867-C2867)&lt;0.005,"一致","不一致"))</x:f>
        <x:v>AmountIncludingTax缺失</x:v>
      </x:c>
      <x:c r="F2867" s="19" t="str">
        <x:v>approved</x:v>
      </x:c>
      <x:c r="G2867" s="19" t="str">
        <x:v>Repair in Progress</x:v>
      </x:c>
      <x:c r="H2867" s="19" t="str">
        <x:v>Pre Delivery</x:v>
      </x:c>
      <x:c r="I2867" s="37" t="n">
        <x:v>46134</x:v>
      </x:c>
      <x:c r="J2867" s="37" t="n">
        <x:v>46134</x:v>
      </x:c>
      <x:c r="K2867" s="19" t="str">
        <x:v>Snowy River Frankston</x:v>
      </x:c>
      <x:c r="L2867" s="19" t="str">
        <x:v>Z005</x:v>
      </x:c>
      <x:c r="M2867" s="19" t="str">
        <x:v>Pre Delivery Warranty Claims</x:v>
      </x:c>
      <x:c r="N2867" s="37" t="n">
        <x:v>46092</x:v>
      </x:c>
      <x:c r="O2867" s="37"/>
      <x:c r="P2867" s="34" t="n">
        <x:v>0</x:v>
      </x:c>
      <x:c r="Q2867" s="37" t="n">
        <x:v>46133.99349537037</x:v>
      </x:c>
    </x:row>
    <x:row r="2868">
      <x:c r="A2868" s="22" t="n">
        <x:v>32147</x:v>
      </x:c>
      <x:c r="B2868" s="28" t="n">
        <x:v>510</x:v>
      </x:c>
      <x:c r="C2868" s="28"/>
      <x:c r="D2868" s="31" t="str">
        <x:f>IF(OR(ISBLANK(B2868),ISBLANK(C2868),B2868=0),"",(C2868-B2868)/B2868)</x:f>
      </x:c>
      <x:c r="E2868" s="22" t="str">
        <x:f>IF(ISBLANK(C2868),"AmountIncludingTax缺失",IF(ABS(B2868-C2868)&lt;0.005,"一致","不一致"))</x:f>
        <x:v>AmountIncludingTax缺失</x:v>
      </x:c>
      <x:c r="F2868" s="19" t="str">
        <x:v>approved</x:v>
      </x:c>
      <x:c r="G2868" s="19" t="str">
        <x:v>Repair in Progress</x:v>
      </x:c>
      <x:c r="H2868" s="19" t="str">
        <x:v>In Field</x:v>
      </x:c>
      <x:c r="I2868" s="37" t="n">
        <x:v>46104</x:v>
      </x:c>
      <x:c r="J2868" s="37" t="n">
        <x:v>46104</x:v>
      </x:c>
      <x:c r="K2868" s="19" t="str">
        <x:v>Regent RV - Frankston</x:v>
      </x:c>
      <x:c r="L2868" s="19" t="str">
        <x:v>Z006</x:v>
      </x:c>
      <x:c r="M2868" s="19" t="str">
        <x:v>In Field Warranty Claims</x:v>
      </x:c>
      <x:c r="N2868" s="37" t="n">
        <x:v>46092</x:v>
      </x:c>
      <x:c r="O2868" s="37"/>
      <x:c r="P2868" s="34" t="n">
        <x:v>0</x:v>
      </x:c>
      <x:c r="Q2868" s="37" t="n">
        <x:v>46104.14601851852</x:v>
      </x:c>
    </x:row>
    <x:row r="2869">
      <x:c r="A2869" s="22" t="n">
        <x:v>32146</x:v>
      </x:c>
      <x:c r="B2869" s="28" t="n">
        <x:v>1693.75</x:v>
      </x:c>
      <x:c r="C2869" s="28"/>
      <x:c r="D2869" s="31" t="str">
        <x:f>IF(OR(ISBLANK(B2869),ISBLANK(C2869),B2869=0),"",(C2869-B2869)/B2869)</x:f>
      </x:c>
      <x:c r="E2869" s="22" t="str">
        <x:f>IF(ISBLANK(C2869),"AmountIncludingTax缺失",IF(ABS(B2869-C2869)&lt;0.005,"一致","不一致"))</x:f>
        <x:v>AmountIncludingTax缺失</x:v>
      </x:c>
      <x:c r="F2869" s="19" t="str">
        <x:v>approved</x:v>
      </x:c>
      <x:c r="G2869" s="19" t="str">
        <x:v>Repairer Invoiced Processed</x:v>
      </x:c>
      <x:c r="H2869" s="19" t="str">
        <x:v>Pre Delivery</x:v>
      </x:c>
      <x:c r="I2869" s="37" t="n">
        <x:v>46169</x:v>
      </x:c>
      <x:c r="J2869" s="37" t="n">
        <x:v>46169</x:v>
      </x:c>
      <x:c r="K2869" s="19" t="str">
        <x:v>Lesiure Lion-New Castle</x:v>
      </x:c>
      <x:c r="L2869" s="19" t="str">
        <x:v>Z005</x:v>
      </x:c>
      <x:c r="M2869" s="19" t="str">
        <x:v>Pre Delivery Warranty Claims</x:v>
      </x:c>
      <x:c r="N2869" s="37" t="n">
        <x:v>46092</x:v>
      </x:c>
      <x:c r="O2869" s="37"/>
      <x:c r="P2869" s="34" t="n">
        <x:v>0</x:v>
      </x:c>
      <x:c r="Q2869" s="37" t="n">
        <x:v>46168.96092592592</x:v>
      </x:c>
    </x:row>
    <x:row r="2870">
      <x:c r="A2870" s="22" t="n">
        <x:v>32145</x:v>
      </x:c>
      <x:c r="B2870" s="28" t="n">
        <x:v>237.5</x:v>
      </x:c>
      <x:c r="C2870" s="28"/>
      <x:c r="D2870" s="31" t="str">
        <x:f>IF(OR(ISBLANK(B2870),ISBLANK(C2870),B2870=0),"",(C2870-B2870)/B2870)</x:f>
      </x:c>
      <x:c r="E2870" s="22" t="str">
        <x:f>IF(ISBLANK(C2870),"AmountIncludingTax缺失",IF(ABS(B2870-C2870)&lt;0.005,"一致","不一致"))</x:f>
        <x:v>AmountIncludingTax缺失</x:v>
      </x:c>
      <x:c r="F2870" s="19" t="str">
        <x:v>approved</x:v>
      </x:c>
      <x:c r="G2870" s="19" t="str">
        <x:v>Repair in Progress</x:v>
      </x:c>
      <x:c r="H2870" s="19" t="str">
        <x:v>Pre Delivery</x:v>
      </x:c>
      <x:c r="I2870" s="37" t="n">
        <x:v>46139</x:v>
      </x:c>
      <x:c r="J2870" s="37" t="n">
        <x:v>46139</x:v>
      </x:c>
      <x:c r="K2870" s="19" t="str">
        <x:v>The Caravan Hub - Townsville</x:v>
      </x:c>
      <x:c r="L2870" s="19" t="str">
        <x:v>Z005</x:v>
      </x:c>
      <x:c r="M2870" s="19" t="str">
        <x:v>Pre Delivery Warranty Claims</x:v>
      </x:c>
      <x:c r="N2870" s="37" t="n">
        <x:v>46092</x:v>
      </x:c>
      <x:c r="O2870" s="37"/>
      <x:c r="P2870" s="34" t="n">
        <x:v>0</x:v>
      </x:c>
      <x:c r="Q2870" s="37" t="n">
        <x:v>46139.06398148148</x:v>
      </x:c>
    </x:row>
    <x:row r="2871">
      <x:c r="A2871" s="22" t="n">
        <x:v>32143</x:v>
      </x:c>
      <x:c r="B2871" s="28" t="n">
        <x:v>240</x:v>
      </x:c>
      <x:c r="C2871" s="28"/>
      <x:c r="D2871" s="31" t="str">
        <x:f>IF(OR(ISBLANK(B2871),ISBLANK(C2871),B2871=0),"",(C2871-B2871)/B2871)</x:f>
      </x:c>
      <x:c r="E2871" s="22" t="str">
        <x:f>IF(ISBLANK(C2871),"AmountIncludingTax缺失",IF(ABS(B2871-C2871)&lt;0.005,"一致","不一致"))</x:f>
        <x:v>AmountIncludingTax缺失</x:v>
      </x:c>
      <x:c r="F2871" s="19" t="str">
        <x:v>approved</x:v>
      </x:c>
      <x:c r="G2871" s="19" t="str">
        <x:v>Repair in Progress</x:v>
      </x:c>
      <x:c r="H2871" s="19" t="str">
        <x:v>In Field</x:v>
      </x:c>
      <x:c r="I2871" s="37" t="n">
        <x:v>46161</x:v>
      </x:c>
      <x:c r="J2871" s="37" t="n">
        <x:v>46161</x:v>
      </x:c>
      <x:c r="K2871" s="19" t="str">
        <x:v>Regent RV - Perth</x:v>
      </x:c>
      <x:c r="L2871" s="19" t="str">
        <x:v>Z006</x:v>
      </x:c>
      <x:c r="M2871" s="19" t="str">
        <x:v>In Field Warranty Claims</x:v>
      </x:c>
      <x:c r="N2871" s="37" t="n">
        <x:v>46092</x:v>
      </x:c>
      <x:c r="O2871" s="37"/>
      <x:c r="P2871" s="34" t="n">
        <x:v>0</x:v>
      </x:c>
      <x:c r="Q2871" s="37" t="n">
        <x:v>46161.21601851852</x:v>
      </x:c>
    </x:row>
    <x:row r="2872">
      <x:c r="A2872" s="22" t="n">
        <x:v>32142</x:v>
      </x:c>
      <x:c r="B2872" s="28" t="n">
        <x:v>715</x:v>
      </x:c>
      <x:c r="C2872" s="28"/>
      <x:c r="D2872" s="31" t="str">
        <x:f>IF(OR(ISBLANK(B2872),ISBLANK(C2872),B2872=0),"",(C2872-B2872)/B2872)</x:f>
      </x:c>
      <x:c r="E2872" s="22" t="str">
        <x:f>IF(ISBLANK(C2872),"AmountIncludingTax缺失",IF(ABS(B2872-C2872)&lt;0.005,"一致","不一致"))</x:f>
        <x:v>AmountIncludingTax缺失</x:v>
      </x:c>
      <x:c r="F2872" s="19" t="str">
        <x:v>approved</x:v>
      </x:c>
      <x:c r="G2872" s="19" t="str">
        <x:v>Repair in Progress</x:v>
      </x:c>
      <x:c r="H2872" s="19" t="str">
        <x:v>In Field</x:v>
      </x:c>
      <x:c r="I2872" s="37" t="n">
        <x:v>46093</x:v>
      </x:c>
      <x:c r="J2872" s="37" t="n">
        <x:v>46093</x:v>
      </x:c>
      <x:c r="K2872" s="19" t="str">
        <x:v>Green RV - Forest Glen</x:v>
      </x:c>
      <x:c r="L2872" s="19" t="str">
        <x:v>Z006</x:v>
      </x:c>
      <x:c r="M2872" s="19" t="str">
        <x:v>In Field Warranty Claims</x:v>
      </x:c>
      <x:c r="N2872" s="37" t="n">
        <x:v>46092</x:v>
      </x:c>
      <x:c r="O2872" s="37"/>
      <x:c r="P2872" s="34" t="n">
        <x:v>0</x:v>
      </x:c>
      <x:c r="Q2872" s="37" t="n">
        <x:v>46093.0984837963</x:v>
      </x:c>
    </x:row>
    <x:row r="2873">
      <x:c r="A2873" s="22" t="n">
        <x:v>32141</x:v>
      </x:c>
      <x:c r="B2873" s="28" t="n">
        <x:v>765</x:v>
      </x:c>
      <x:c r="C2873" s="28"/>
      <x:c r="D2873" s="31" t="str">
        <x:f>IF(OR(ISBLANK(B2873),ISBLANK(C2873),B2873=0),"",(C2873-B2873)/B2873)</x:f>
      </x:c>
      <x:c r="E2873" s="22" t="str">
        <x:f>IF(ISBLANK(C2873),"AmountIncludingTax缺失",IF(ABS(B2873-C2873)&lt;0.005,"一致","不一致"))</x:f>
        <x:v>AmountIncludingTax缺失</x:v>
      </x:c>
      <x:c r="F2873" s="19" t="str">
        <x:v>approved</x:v>
      </x:c>
      <x:c r="G2873" s="19" t="str">
        <x:v>Repair in Progress</x:v>
      </x:c>
      <x:c r="H2873" s="19" t="str">
        <x:v>In Field</x:v>
      </x:c>
      <x:c r="I2873" s="37" t="n">
        <x:v>46107</x:v>
      </x:c>
      <x:c r="J2873" s="37" t="n">
        <x:v>46107</x:v>
      </x:c>
      <x:c r="K2873" s="19" t="str">
        <x:v>Regent RV - Townsville</x:v>
      </x:c>
      <x:c r="L2873" s="19" t="str">
        <x:v>Z006</x:v>
      </x:c>
      <x:c r="M2873" s="19" t="str">
        <x:v>In Field Warranty Claims</x:v>
      </x:c>
      <x:c r="N2873" s="37" t="n">
        <x:v>46092</x:v>
      </x:c>
      <x:c r="O2873" s="37"/>
      <x:c r="P2873" s="34" t="n">
        <x:v>0</x:v>
      </x:c>
      <x:c r="Q2873" s="37" t="n">
        <x:v>46106.83369212963</x:v>
      </x:c>
    </x:row>
    <x:row r="2874">
      <x:c r="A2874" s="22" t="n">
        <x:v>32140</x:v>
      </x:c>
      <x:c r="B2874" s="28" t="n">
        <x:v>667.5</x:v>
      </x:c>
      <x:c r="C2874" s="28"/>
      <x:c r="D2874" s="31" t="str">
        <x:f>IF(OR(ISBLANK(B2874),ISBLANK(C2874),B2874=0),"",(C2874-B2874)/B2874)</x:f>
      </x:c>
      <x:c r="E2874" s="22" t="str">
        <x:f>IF(ISBLANK(C2874),"AmountIncludingTax缺失",IF(ABS(B2874-C2874)&lt;0.005,"一致","不一致"))</x:f>
        <x:v>AmountIncludingTax缺失</x:v>
      </x:c>
      <x:c r="F2874" s="19" t="str">
        <x:v>approved</x:v>
      </x:c>
      <x:c r="G2874" s="19" t="str">
        <x:v>Repair in Progress</x:v>
      </x:c>
      <x:c r="H2874" s="19" t="str">
        <x:v>In Field</x:v>
      </x:c>
      <x:c r="I2874" s="37" t="n">
        <x:v>46099</x:v>
      </x:c>
      <x:c r="J2874" s="37" t="n">
        <x:v>46099</x:v>
      </x:c>
      <x:c r="K2874" s="19" t="str">
        <x:v>Leisure Lion - Bundaberg</x:v>
      </x:c>
      <x:c r="L2874" s="19" t="str">
        <x:v>Z006</x:v>
      </x:c>
      <x:c r="M2874" s="19" t="str">
        <x:v>In Field Warranty Claims</x:v>
      </x:c>
      <x:c r="N2874" s="37" t="n">
        <x:v>46093</x:v>
      </x:c>
      <x:c r="O2874" s="37"/>
      <x:c r="P2874" s="34" t="n">
        <x:v>0</x:v>
      </x:c>
      <x:c r="Q2874" s="37" t="n">
        <x:v>46098.89597222222</x:v>
      </x:c>
    </x:row>
    <x:row r="2875">
      <x:c r="A2875" s="22" t="n">
        <x:v>32139</x:v>
      </x:c>
      <x:c r="B2875" s="28" t="n">
        <x:v>1012.5</x:v>
      </x:c>
      <x:c r="C2875" s="28"/>
      <x:c r="D2875" s="31" t="str">
        <x:f>IF(OR(ISBLANK(B2875),ISBLANK(C2875),B2875=0),"",(C2875-B2875)/B2875)</x:f>
      </x:c>
      <x:c r="E2875" s="22" t="str">
        <x:f>IF(ISBLANK(C2875),"AmountIncludingTax缺失",IF(ABS(B2875-C2875)&lt;0.005,"一致","不一致"))</x:f>
        <x:v>AmountIncludingTax缺失</x:v>
      </x:c>
      <x:c r="F2875" s="19" t="str">
        <x:v>unapproved_closed</x:v>
      </x:c>
      <x:c r="G2875" s="19" t="str">
        <x:v>Unapproved Claims Closed (Closed)</x:v>
      </x:c>
      <x:c r="H2875" s="19" t="str">
        <x:v>In Field</x:v>
      </x:c>
      <x:c r="I2875" s="37" t="n">
        <x:v>46139</x:v>
      </x:c>
      <x:c r="J2875" s="37" t="n">
        <x:v>46139</x:v>
      </x:c>
      <x:c r="K2875" s="19" t="str">
        <x:v>Leisure Lion - Bundaberg</x:v>
      </x:c>
      <x:c r="L2875" s="19" t="str">
        <x:v>Z006</x:v>
      </x:c>
      <x:c r="M2875" s="19" t="str">
        <x:v>In Field Warranty Claims</x:v>
      </x:c>
      <x:c r="N2875" s="37" t="n">
        <x:v>46093</x:v>
      </x:c>
      <x:c r="O2875" s="37" t="n">
        <x:v>46161</x:v>
      </x:c>
      <x:c r="P2875" s="34" t="n">
        <x:v>1113.75</x:v>
      </x:c>
      <x:c r="Q2875" s="37" t="n">
        <x:v>46138.89886574074</x:v>
      </x:c>
    </x:row>
    <x:row r="2876">
      <x:c r="A2876" s="22" t="n">
        <x:v>32138</x:v>
      </x:c>
      <x:c r="B2876" s="28" t="n">
        <x:v>988.75</x:v>
      </x:c>
      <x:c r="C2876" s="28"/>
      <x:c r="D2876" s="31" t="str">
        <x:f>IF(OR(ISBLANK(B2876),ISBLANK(C2876),B2876=0),"",(C2876-B2876)/B2876)</x:f>
      </x:c>
      <x:c r="E2876" s="22" t="str">
        <x:f>IF(ISBLANK(C2876),"AmountIncludingTax缺失",IF(ABS(B2876-C2876)&lt;0.005,"一致","不一致"))</x:f>
        <x:v>AmountIncludingTax缺失</x:v>
      </x:c>
      <x:c r="F2876" s="19" t="str">
        <x:v>approved</x:v>
      </x:c>
      <x:c r="G2876" s="19" t="str">
        <x:v>Repairer Invoiced Processed</x:v>
      </x:c>
      <x:c r="H2876" s="19" t="str">
        <x:v>In Field</x:v>
      </x:c>
      <x:c r="I2876" s="37" t="n">
        <x:v>46106</x:v>
      </x:c>
      <x:c r="J2876" s="37" t="n">
        <x:v>46106</x:v>
      </x:c>
      <x:c r="K2876" s="19" t="str">
        <x:v>Green RV - Forest Glen</x:v>
      </x:c>
      <x:c r="L2876" s="19" t="str">
        <x:v>Z006</x:v>
      </x:c>
      <x:c r="M2876" s="19" t="str">
        <x:v>In Field Warranty Claims</x:v>
      </x:c>
      <x:c r="N2876" s="37" t="n">
        <x:v>46093</x:v>
      </x:c>
      <x:c r="O2876" s="37"/>
      <x:c r="P2876" s="34" t="n">
        <x:v>0</x:v>
      </x:c>
      <x:c r="Q2876" s="37" t="n">
        <x:v>46106.06796296296</x:v>
      </x:c>
    </x:row>
    <x:row r="2877">
      <x:c r="A2877" s="22" t="n">
        <x:v>32137</x:v>
      </x:c>
      <x:c r="B2877" s="28" t="n">
        <x:v>135</x:v>
      </x:c>
      <x:c r="C2877" s="28"/>
      <x:c r="D2877" s="31" t="str">
        <x:f>IF(OR(ISBLANK(B2877),ISBLANK(C2877),B2877=0),"",(C2877-B2877)/B2877)</x:f>
      </x:c>
      <x:c r="E2877" s="22" t="str">
        <x:f>IF(ISBLANK(C2877),"AmountIncludingTax缺失",IF(ABS(B2877-C2877)&lt;0.005,"一致","不一致"))</x:f>
        <x:v>AmountIncludingTax缺失</x:v>
      </x:c>
      <x:c r="F2877" s="19" t="str">
        <x:v>approved</x:v>
      </x:c>
      <x:c r="G2877" s="19" t="str">
        <x:v>Sales Order Approved</x:v>
      </x:c>
      <x:c r="H2877" s="19" t="str">
        <x:v>Pre Delivery</x:v>
      </x:c>
      <x:c r="I2877" s="37" t="n">
        <x:v>46126</x:v>
      </x:c>
      <x:c r="J2877" s="37" t="n">
        <x:v>46126</x:v>
      </x:c>
      <x:c r="K2877" s="19" t="str">
        <x:v>Snowy River Frankston</x:v>
      </x:c>
      <x:c r="L2877" s="19" t="str">
        <x:v>Z005</x:v>
      </x:c>
      <x:c r="M2877" s="19" t="str">
        <x:v>Pre Delivery Warranty Claims</x:v>
      </x:c>
      <x:c r="N2877" s="37" t="n">
        <x:v>46093</x:v>
      </x:c>
      <x:c r="O2877" s="37"/>
      <x:c r="P2877" s="34" t="n">
        <x:v>0</x:v>
      </x:c>
      <x:c r="Q2877" s="37" t="n">
        <x:v>46126.19432870371</x:v>
      </x:c>
    </x:row>
    <x:row r="2878">
      <x:c r="A2878" s="22" t="n">
        <x:v>32136</x:v>
      </x:c>
      <x:c r="B2878" s="28" t="n">
        <x:v>237.5</x:v>
      </x:c>
      <x:c r="C2878" s="28"/>
      <x:c r="D2878" s="31" t="str">
        <x:f>IF(OR(ISBLANK(B2878),ISBLANK(C2878),B2878=0),"",(C2878-B2878)/B2878)</x:f>
      </x:c>
      <x:c r="E2878" s="22" t="str">
        <x:f>IF(ISBLANK(C2878),"AmountIncludingTax缺失",IF(ABS(B2878-C2878)&lt;0.005,"一致","不一致"))</x:f>
        <x:v>AmountIncludingTax缺失</x:v>
      </x:c>
      <x:c r="F2878" s="19" t="str">
        <x:v>approved</x:v>
      </x:c>
      <x:c r="G2878" s="19" t="str">
        <x:v>Sales Order Approved</x:v>
      </x:c>
      <x:c r="H2878" s="19" t="str">
        <x:v>Pre Delivery</x:v>
      </x:c>
      <x:c r="I2878" s="37" t="n">
        <x:v>46139</x:v>
      </x:c>
      <x:c r="J2878" s="37" t="n">
        <x:v>46139</x:v>
      </x:c>
      <x:c r="K2878" s="19" t="str">
        <x:v>The Caravan Hub - Townsville</x:v>
      </x:c>
      <x:c r="L2878" s="19" t="str">
        <x:v>Z005</x:v>
      </x:c>
      <x:c r="M2878" s="19" t="str">
        <x:v>Pre Delivery Warranty Claims</x:v>
      </x:c>
      <x:c r="N2878" s="37" t="n">
        <x:v>46092</x:v>
      </x:c>
      <x:c r="O2878" s="37"/>
      <x:c r="P2878" s="34" t="n">
        <x:v>0</x:v>
      </x:c>
      <x:c r="Q2878" s="37" t="n">
        <x:v>46139.06261574074</x:v>
      </x:c>
    </x:row>
    <x:row r="2879">
      <x:c r="A2879" s="22" t="n">
        <x:v>32134</x:v>
      </x:c>
      <x:c r="B2879" s="28" t="n">
        <x:v>1595.65</x:v>
      </x:c>
      <x:c r="C2879" s="28"/>
      <x:c r="D2879" s="31" t="str">
        <x:f>IF(OR(ISBLANK(B2879),ISBLANK(C2879),B2879=0),"",(C2879-B2879)/B2879)</x:f>
      </x:c>
      <x:c r="E2879" s="22" t="str">
        <x:f>IF(ISBLANK(C2879),"AmountIncludingTax缺失",IF(ABS(B2879-C2879)&lt;0.005,"一致","不一致"))</x:f>
        <x:v>AmountIncludingTax缺失</x:v>
      </x:c>
      <x:c r="F2879" s="19" t="str">
        <x:v>approved</x:v>
      </x:c>
      <x:c r="G2879" s="19" t="str">
        <x:v>Repair in Progress</x:v>
      </x:c>
      <x:c r="H2879" s="19" t="str">
        <x:v>In Field</x:v>
      </x:c>
      <x:c r="I2879" s="37" t="n">
        <x:v>46139</x:v>
      </x:c>
      <x:c r="J2879" s="37" t="n">
        <x:v>46139</x:v>
      </x:c>
      <x:c r="K2879" s="19" t="str">
        <x:v>The Caravan Hub - Townsville</x:v>
      </x:c>
      <x:c r="L2879" s="19" t="str">
        <x:v>Z006</x:v>
      </x:c>
      <x:c r="M2879" s="19" t="str">
        <x:v>In Field Warranty Claims</x:v>
      </x:c>
      <x:c r="N2879" s="37" t="n">
        <x:v>46092</x:v>
      </x:c>
      <x:c r="O2879" s="37"/>
      <x:c r="P2879" s="34" t="n">
        <x:v>0</x:v>
      </x:c>
      <x:c r="Q2879" s="37" t="n">
        <x:v>46139.10072916667</x:v>
      </x:c>
    </x:row>
    <x:row r="2880">
      <x:c r="A2880" s="22" t="n">
        <x:v>32133</x:v>
      </x:c>
      <x:c r="B2880" s="28" t="n">
        <x:v>481.59</x:v>
      </x:c>
      <x:c r="C2880" s="28"/>
      <x:c r="D2880" s="31" t="str">
        <x:f>IF(OR(ISBLANK(B2880),ISBLANK(C2880),B2880=0),"",(C2880-B2880)/B2880)</x:f>
      </x:c>
      <x:c r="E2880" s="22" t="str">
        <x:f>IF(ISBLANK(C2880),"AmountIncludingTax缺失",IF(ABS(B2880-C2880)&lt;0.005,"一致","不一致"))</x:f>
        <x:v>AmountIncludingTax缺失</x:v>
      </x:c>
      <x:c r="F2880" s="19" t="str">
        <x:v>approved</x:v>
      </x:c>
      <x:c r="G2880" s="19" t="str">
        <x:v>Repairer Invoiced Processed</x:v>
      </x:c>
      <x:c r="H2880" s="19" t="str">
        <x:v>Pre Delivery</x:v>
      </x:c>
      <x:c r="I2880" s="37" t="n">
        <x:v>46139</x:v>
      </x:c>
      <x:c r="J2880" s="37" t="n">
        <x:v>46139</x:v>
      </x:c>
      <x:c r="K2880" s="19" t="str">
        <x:v>Green RV - Forest Glen</x:v>
      </x:c>
      <x:c r="L2880" s="19" t="str">
        <x:v>Z005</x:v>
      </x:c>
      <x:c r="M2880" s="19" t="str">
        <x:v>Pre Delivery Warranty Claims</x:v>
      </x:c>
      <x:c r="N2880" s="37" t="n">
        <x:v>46092</x:v>
      </x:c>
      <x:c r="O2880" s="37"/>
      <x:c r="P2880" s="34" t="n">
        <x:v>0</x:v>
      </x:c>
      <x:c r="Q2880" s="37" t="n">
        <x:v>46138.930138888885</x:v>
      </x:c>
    </x:row>
    <x:row r="2881">
      <x:c r="A2881" s="22" t="n">
        <x:v>32132</x:v>
      </x:c>
      <x:c r="B2881" s="28" t="n">
        <x:v>695</x:v>
      </x:c>
      <x:c r="C2881" s="28"/>
      <x:c r="D2881" s="31" t="str">
        <x:f>IF(OR(ISBLANK(B2881),ISBLANK(C2881),B2881=0),"",(C2881-B2881)/B2881)</x:f>
      </x:c>
      <x:c r="E2881" s="22" t="str">
        <x:f>IF(ISBLANK(C2881),"AmountIncludingTax缺失",IF(ABS(B2881-C2881)&lt;0.005,"一致","不一致"))</x:f>
        <x:v>AmountIncludingTax缺失</x:v>
      </x:c>
      <x:c r="F2881" s="19" t="str">
        <x:v>approved</x:v>
      </x:c>
      <x:c r="G2881" s="19" t="str">
        <x:v>Repair in Progress</x:v>
      </x:c>
      <x:c r="H2881" s="19" t="str">
        <x:v>In Field</x:v>
      </x:c>
      <x:c r="I2881" s="37" t="n">
        <x:v>46143</x:v>
      </x:c>
      <x:c r="J2881" s="37" t="n">
        <x:v>46143</x:v>
      </x:c>
      <x:c r="K2881" s="19" t="str">
        <x:v>Regent RV - Perth</x:v>
      </x:c>
      <x:c r="L2881" s="19" t="str">
        <x:v>Z006</x:v>
      </x:c>
      <x:c r="M2881" s="19" t="str">
        <x:v>In Field Warranty Claims</x:v>
      </x:c>
      <x:c r="N2881" s="37" t="n">
        <x:v>46092</x:v>
      </x:c>
      <x:c r="O2881" s="37"/>
      <x:c r="P2881" s="34" t="n">
        <x:v>0</x:v>
      </x:c>
      <x:c r="Q2881" s="37" t="n">
        <x:v>46143.08762731482</x:v>
      </x:c>
    </x:row>
    <x:row r="2882">
      <x:c r="A2882" s="22" t="n">
        <x:v>32131</x:v>
      </x:c>
      <x:c r="B2882" s="28" t="n">
        <x:v>1167.5</x:v>
      </x:c>
      <x:c r="C2882" s="28"/>
      <x:c r="D2882" s="31" t="str">
        <x:f>IF(OR(ISBLANK(B2882),ISBLANK(C2882),B2882=0),"",(C2882-B2882)/B2882)</x:f>
      </x:c>
      <x:c r="E2882" s="22" t="str">
        <x:f>IF(ISBLANK(C2882),"AmountIncludingTax缺失",IF(ABS(B2882-C2882)&lt;0.005,"一致","不一致"))</x:f>
        <x:v>AmountIncludingTax缺失</x:v>
      </x:c>
      <x:c r="F2882" s="19" t="str">
        <x:v>approved</x:v>
      </x:c>
      <x:c r="G2882" s="19" t="str">
        <x:v>Repair in Progress</x:v>
      </x:c>
      <x:c r="H2882" s="19" t="str">
        <x:v>In Field</x:v>
      </x:c>
      <x:c r="I2882" s="37" t="n">
        <x:v>46111</x:v>
      </x:c>
      <x:c r="J2882" s="37" t="n">
        <x:v>46111</x:v>
      </x:c>
      <x:c r="K2882" s="19" t="str">
        <x:v>Regent RV - Perth</x:v>
      </x:c>
      <x:c r="L2882" s="19" t="str">
        <x:v>Z006</x:v>
      </x:c>
      <x:c r="M2882" s="19" t="str">
        <x:v>In Field Warranty Claims</x:v>
      </x:c>
      <x:c r="N2882" s="37" t="n">
        <x:v>46092</x:v>
      </x:c>
      <x:c r="O2882" s="37"/>
      <x:c r="P2882" s="34" t="n">
        <x:v>0</x:v>
      </x:c>
      <x:c r="Q2882" s="37" t="n">
        <x:v>46111.22858796296</x:v>
      </x:c>
    </x:row>
    <x:row r="2883">
      <x:c r="A2883" s="22" t="n">
        <x:v>32124</x:v>
      </x:c>
      <x:c r="B2883" s="28" t="n">
        <x:v>810</x:v>
      </x:c>
      <x:c r="C2883" s="28"/>
      <x:c r="D2883" s="31" t="str">
        <x:f>IF(OR(ISBLANK(B2883),ISBLANK(C2883),B2883=0),"",(C2883-B2883)/B2883)</x:f>
      </x:c>
      <x:c r="E2883" s="22" t="str">
        <x:f>IF(ISBLANK(C2883),"AmountIncludingTax缺失",IF(ABS(B2883-C2883)&lt;0.005,"一致","不一致"))</x:f>
        <x:v>AmountIncludingTax缺失</x:v>
      </x:c>
      <x:c r="F2883" s="19" t="str">
        <x:v>approved</x:v>
      </x:c>
      <x:c r="G2883" s="19" t="str">
        <x:v>Repair in Progress</x:v>
      </x:c>
      <x:c r="H2883" s="19" t="str">
        <x:v>In Field</x:v>
      </x:c>
      <x:c r="I2883" s="37" t="n">
        <x:v>46097</x:v>
      </x:c>
      <x:c r="J2883" s="37" t="n">
        <x:v>46097</x:v>
      </x:c>
      <x:c r="K2883" s="19" t="str">
        <x:v>Regent RV Pty Ltd</x:v>
      </x:c>
      <x:c r="L2883" s="19" t="str">
        <x:v>Z006</x:v>
      </x:c>
      <x:c r="M2883" s="19" t="str">
        <x:v>In Field Warranty Claims</x:v>
      </x:c>
      <x:c r="N2883" s="37" t="n">
        <x:v>46092</x:v>
      </x:c>
      <x:c r="O2883" s="37"/>
      <x:c r="P2883" s="34" t="n">
        <x:v>0</x:v>
      </x:c>
      <x:c r="Q2883" s="37" t="n">
        <x:v>46097.11208333333</x:v>
      </x:c>
    </x:row>
    <x:row r="2884">
      <x:c r="A2884" s="22" t="n">
        <x:v>32123</x:v>
      </x:c>
      <x:c r="B2884" s="28" t="n">
        <x:v>101.25</x:v>
      </x:c>
      <x:c r="C2884" s="28"/>
      <x:c r="D2884" s="31" t="str">
        <x:f>IF(OR(ISBLANK(B2884),ISBLANK(C2884),B2884=0),"",(C2884-B2884)/B2884)</x:f>
      </x:c>
      <x:c r="E2884" s="22" t="str">
        <x:f>IF(ISBLANK(C2884),"AmountIncludingTax缺失",IF(ABS(B2884-C2884)&lt;0.005,"一致","不一致"))</x:f>
        <x:v>AmountIncludingTax缺失</x:v>
      </x:c>
      <x:c r="F2884" s="19" t="str">
        <x:v>approved</x:v>
      </x:c>
      <x:c r="G2884" s="19" t="str">
        <x:v>Repair in Progress</x:v>
      </x:c>
      <x:c r="H2884" s="19" t="str">
        <x:v>In Field</x:v>
      </x:c>
      <x:c r="I2884" s="37" t="n">
        <x:v>46094</x:v>
      </x:c>
      <x:c r="J2884" s="37" t="n">
        <x:v>46094</x:v>
      </x:c>
      <x:c r="K2884" s="19" t="str">
        <x:v>Green RV - Forest Glen</x:v>
      </x:c>
      <x:c r="L2884" s="19" t="str">
        <x:v>Z006</x:v>
      </x:c>
      <x:c r="M2884" s="19" t="str">
        <x:v>In Field Warranty Claims</x:v>
      </x:c>
      <x:c r="N2884" s="37" t="n">
        <x:v>46092</x:v>
      </x:c>
      <x:c r="O2884" s="37"/>
      <x:c r="P2884" s="34" t="n">
        <x:v>0</x:v>
      </x:c>
      <x:c r="Q2884" s="37" t="n">
        <x:v>46093.9252662037</x:v>
      </x:c>
    </x:row>
    <x:row r="2885">
      <x:c r="A2885" s="22" t="n">
        <x:v>32122</x:v>
      </x:c>
      <x:c r="B2885" s="28" t="n">
        <x:v>135</x:v>
      </x:c>
      <x:c r="C2885" s="28"/>
      <x:c r="D2885" s="31" t="str">
        <x:f>IF(OR(ISBLANK(B2885),ISBLANK(C2885),B2885=0),"",(C2885-B2885)/B2885)</x:f>
      </x:c>
      <x:c r="E2885" s="22" t="str">
        <x:f>IF(ISBLANK(C2885),"AmountIncludingTax缺失",IF(ABS(B2885-C2885)&lt;0.005,"一致","不一致"))</x:f>
        <x:v>AmountIncludingTax缺失</x:v>
      </x:c>
      <x:c r="F2885" s="19" t="str">
        <x:v>approved</x:v>
      </x:c>
      <x:c r="G2885" s="19" t="str">
        <x:v>Repairer Invoiced Processed</x:v>
      </x:c>
      <x:c r="H2885" s="19" t="str">
        <x:v>In Field</x:v>
      </x:c>
      <x:c r="I2885" s="37" t="n">
        <x:v>46112</x:v>
      </x:c>
      <x:c r="J2885" s="37" t="n">
        <x:v>46112</x:v>
      </x:c>
      <x:c r="K2885" s="19" t="str">
        <x:v>Leisure Lion Pty Ltd - Toowoomba</x:v>
      </x:c>
      <x:c r="L2885" s="19" t="str">
        <x:v>Z006</x:v>
      </x:c>
      <x:c r="M2885" s="19" t="str">
        <x:v>In Field Warranty Claims</x:v>
      </x:c>
      <x:c r="N2885" s="37" t="n">
        <x:v>46092</x:v>
      </x:c>
      <x:c r="O2885" s="37"/>
      <x:c r="P2885" s="34" t="n">
        <x:v>0</x:v>
      </x:c>
      <x:c r="Q2885" s="37" t="n">
        <x:v>46112.0231712963</x:v>
      </x:c>
    </x:row>
    <x:row r="2886">
      <x:c r="A2886" s="22" t="n">
        <x:v>32121</x:v>
      </x:c>
      <x:c r="B2886" s="28" t="n">
        <x:v>2030.67</x:v>
      </x:c>
      <x:c r="C2886" s="28"/>
      <x:c r="D2886" s="31" t="str">
        <x:f>IF(OR(ISBLANK(B2886),ISBLANK(C2886),B2886=0),"",(C2886-B2886)/B2886)</x:f>
      </x:c>
      <x:c r="E2886" s="22" t="str">
        <x:f>IF(ISBLANK(C2886),"AmountIncludingTax缺失",IF(ABS(B2886-C2886)&lt;0.005,"一致","不一致"))</x:f>
        <x:v>AmountIncludingTax缺失</x:v>
      </x:c>
      <x:c r="F2886" s="19" t="str">
        <x:v>approved</x:v>
      </x:c>
      <x:c r="G2886" s="19" t="str">
        <x:v>Sales Order Approved</x:v>
      </x:c>
      <x:c r="H2886" s="19" t="str">
        <x:v>Pre Delivery</x:v>
      </x:c>
      <x:c r="I2886" s="37" t="n">
        <x:v>46156</x:v>
      </x:c>
      <x:c r="J2886" s="37" t="n">
        <x:v>46156</x:v>
      </x:c>
      <x:c r="K2886" s="19" t="str">
        <x:v>The Caravan Hub - Townsville</x:v>
      </x:c>
      <x:c r="L2886" s="19" t="str">
        <x:v>Z005</x:v>
      </x:c>
      <x:c r="M2886" s="19" t="str">
        <x:v>Pre Delivery Warranty Claims</x:v>
      </x:c>
      <x:c r="N2886" s="37" t="n">
        <x:v>46092</x:v>
      </x:c>
      <x:c r="O2886" s="37"/>
      <x:c r="P2886" s="34" t="n">
        <x:v>0</x:v>
      </x:c>
      <x:c r="Q2886" s="37" t="n">
        <x:v>46156.207395833335</x:v>
      </x:c>
    </x:row>
    <x:row r="2887">
      <x:c r="A2887" s="22" t="n">
        <x:v>32117</x:v>
      </x:c>
      <x:c r="B2887" s="28" t="n">
        <x:v>168.75</x:v>
      </x:c>
      <x:c r="C2887" s="28"/>
      <x:c r="D2887" s="31" t="str">
        <x:f>IF(OR(ISBLANK(B2887),ISBLANK(C2887),B2887=0),"",(C2887-B2887)/B2887)</x:f>
      </x:c>
      <x:c r="E2887" s="22" t="str">
        <x:f>IF(ISBLANK(C2887),"AmountIncludingTax缺失",IF(ABS(B2887-C2887)&lt;0.005,"一致","不一致"))</x:f>
        <x:v>AmountIncludingTax缺失</x:v>
      </x:c>
      <x:c r="F2887" s="19" t="str">
        <x:v>approved</x:v>
      </x:c>
      <x:c r="G2887" s="19" t="str">
        <x:v>Repair in Progress</x:v>
      </x:c>
      <x:c r="H2887" s="19" t="str">
        <x:v>In Field</x:v>
      </x:c>
      <x:c r="I2887" s="37" t="n">
        <x:v>46099</x:v>
      </x:c>
      <x:c r="J2887" s="37" t="n">
        <x:v>46099</x:v>
      </x:c>
      <x:c r="K2887" s="19" t="str">
        <x:v>Newcastle RV Super Centre - Beresfield</x:v>
      </x:c>
      <x:c r="L2887" s="19" t="str">
        <x:v>Z006</x:v>
      </x:c>
      <x:c r="M2887" s="19" t="str">
        <x:v>In Field Warranty Claims</x:v>
      </x:c>
      <x:c r="N2887" s="37" t="n">
        <x:v>46092</x:v>
      </x:c>
      <x:c r="O2887" s="37"/>
      <x:c r="P2887" s="34" t="n">
        <x:v>0</x:v>
      </x:c>
      <x:c r="Q2887" s="37" t="n">
        <x:v>46098.88967592592</x:v>
      </x:c>
    </x:row>
    <x:row r="2888">
      <x:c r="A2888" s="22" t="n">
        <x:v>32116</x:v>
      </x:c>
      <x:c r="B2888" s="28" t="n">
        <x:v>1701.25</x:v>
      </x:c>
      <x:c r="C2888" s="28"/>
      <x:c r="D2888" s="31" t="str">
        <x:f>IF(OR(ISBLANK(B2888),ISBLANK(C2888),B2888=0),"",(C2888-B2888)/B2888)</x:f>
      </x:c>
      <x:c r="E2888" s="22" t="str">
        <x:f>IF(ISBLANK(C2888),"AmountIncludingTax缺失",IF(ABS(B2888-C2888)&lt;0.005,"一致","不一致"))</x:f>
        <x:v>AmountIncludingTax缺失</x:v>
      </x:c>
      <x:c r="F2888" s="19" t="str">
        <x:v>approved</x:v>
      </x:c>
      <x:c r="G2888" s="19" t="str">
        <x:v>Repairer Invoiced Processed</x:v>
      </x:c>
      <x:c r="H2888" s="19" t="str">
        <x:v>Pre Delivery</x:v>
      </x:c>
      <x:c r="I2888" s="37" t="n">
        <x:v>46178</x:v>
      </x:c>
      <x:c r="J2888" s="37" t="n">
        <x:v>46178</x:v>
      </x:c>
      <x:c r="K2888" s="19" t="str">
        <x:v>The Caravan Hub - Townsville</x:v>
      </x:c>
      <x:c r="L2888" s="19" t="str">
        <x:v>Z005</x:v>
      </x:c>
      <x:c r="M2888" s="19" t="str">
        <x:v>Pre Delivery Warranty Claims</x:v>
      </x:c>
      <x:c r="N2888" s="37" t="n">
        <x:v>46092</x:v>
      </x:c>
      <x:c r="O2888" s="37"/>
      <x:c r="P2888" s="34" t="n">
        <x:v>0</x:v>
      </x:c>
      <x:c r="Q2888" s="37" t="n">
        <x:v>46177.96706018518</x:v>
      </x:c>
    </x:row>
    <x:row r="2889">
      <x:c r="A2889" s="22" t="n">
        <x:v>32115</x:v>
      </x:c>
      <x:c r="B2889" s="28" t="n">
        <x:v>1638.75</x:v>
      </x:c>
      <x:c r="C2889" s="28"/>
      <x:c r="D2889" s="31" t="str">
        <x:f>IF(OR(ISBLANK(B2889),ISBLANK(C2889),B2889=0),"",(C2889-B2889)/B2889)</x:f>
      </x:c>
      <x:c r="E2889" s="22" t="str">
        <x:f>IF(ISBLANK(C2889),"AmountIncludingTax缺失",IF(ABS(B2889-C2889)&lt;0.005,"一致","不一致"))</x:f>
        <x:v>AmountIncludingTax缺失</x:v>
      </x:c>
      <x:c r="F2889" s="19" t="str">
        <x:v>approved</x:v>
      </x:c>
      <x:c r="G2889" s="19" t="str">
        <x:v>Repair in Progress</x:v>
      </x:c>
      <x:c r="H2889" s="19" t="str">
        <x:v>In Field</x:v>
      </x:c>
      <x:c r="I2889" s="37" t="n">
        <x:v>46112</x:v>
      </x:c>
      <x:c r="J2889" s="37" t="n">
        <x:v>46112</x:v>
      </x:c>
      <x:c r="K2889" s="19" t="str">
        <x:v>Regent RV - Townsville</x:v>
      </x:c>
      <x:c r="L2889" s="19" t="str">
        <x:v>Z006</x:v>
      </x:c>
      <x:c r="M2889" s="19" t="str">
        <x:v>In Field Warranty Claims</x:v>
      </x:c>
      <x:c r="N2889" s="37" t="n">
        <x:v>46092</x:v>
      </x:c>
      <x:c r="O2889" s="37"/>
      <x:c r="P2889" s="34" t="n">
        <x:v>0</x:v>
      </x:c>
      <x:c r="Q2889" s="37" t="n">
        <x:v>46111.897314814814</x:v>
      </x:c>
    </x:row>
    <x:row r="2890">
      <x:c r="A2890" s="22" t="n">
        <x:v>32114</x:v>
      </x:c>
      <x:c r="B2890" s="28" t="n">
        <x:v>1510</x:v>
      </x:c>
      <x:c r="C2890" s="28"/>
      <x:c r="D2890" s="31" t="str">
        <x:f>IF(OR(ISBLANK(B2890),ISBLANK(C2890),B2890=0),"",(C2890-B2890)/B2890)</x:f>
      </x:c>
      <x:c r="E2890" s="22" t="str">
        <x:f>IF(ISBLANK(C2890),"AmountIncludingTax缺失",IF(ABS(B2890-C2890)&lt;0.005,"一致","不一致"))</x:f>
        <x:v>AmountIncludingTax缺失</x:v>
      </x:c>
      <x:c r="F2890" s="19" t="str">
        <x:v>approved</x:v>
      </x:c>
      <x:c r="G2890" s="19" t="str">
        <x:v>Sales Order Approved</x:v>
      </x:c>
      <x:c r="H2890" s="19" t="str">
        <x:v>Pre Delivery</x:v>
      </x:c>
      <x:c r="I2890" s="37" t="n">
        <x:v>46178</x:v>
      </x:c>
      <x:c r="J2890" s="37" t="n">
        <x:v>46178</x:v>
      </x:c>
      <x:c r="K2890" s="19" t="str">
        <x:v>The Caravan Hub - Townsville</x:v>
      </x:c>
      <x:c r="L2890" s="19" t="str">
        <x:v>Z005</x:v>
      </x:c>
      <x:c r="M2890" s="19" t="str">
        <x:v>Pre Delivery Warranty Claims</x:v>
      </x:c>
      <x:c r="N2890" s="37" t="n">
        <x:v>46092</x:v>
      </x:c>
      <x:c r="O2890" s="37"/>
      <x:c r="P2890" s="34" t="n">
        <x:v>0</x:v>
      </x:c>
      <x:c r="Q2890" s="37" t="n">
        <x:v>46178.16905092593</x:v>
      </x:c>
    </x:row>
    <x:row r="2891">
      <x:c r="A2891" s="22" t="n">
        <x:v>32113</x:v>
      </x:c>
      <x:c r="B2891" s="28" t="n">
        <x:v>67.5</x:v>
      </x:c>
      <x:c r="C2891" s="28"/>
      <x:c r="D2891" s="31" t="str">
        <x:f>IF(OR(ISBLANK(B2891),ISBLANK(C2891),B2891=0),"",(C2891-B2891)/B2891)</x:f>
      </x:c>
      <x:c r="E2891" s="22" t="str">
        <x:f>IF(ISBLANK(C2891),"AmountIncludingTax缺失",IF(ABS(B2891-C2891)&lt;0.005,"一致","不一致"))</x:f>
        <x:v>AmountIncludingTax缺失</x:v>
      </x:c>
      <x:c r="F2891" s="19" t="str">
        <x:v>approved</x:v>
      </x:c>
      <x:c r="G2891" s="19" t="str">
        <x:v>Repair in Progress</x:v>
      </x:c>
      <x:c r="H2891" s="19" t="str">
        <x:v>In Field</x:v>
      </x:c>
      <x:c r="I2891" s="37" t="n">
        <x:v>46096</x:v>
      </x:c>
      <x:c r="J2891" s="37" t="n">
        <x:v>46096</x:v>
      </x:c>
      <x:c r="K2891" s="19" t="str">
        <x:v>Not Assigned</x:v>
      </x:c>
      <x:c r="L2891" s="19" t="str">
        <x:v>Z006</x:v>
      </x:c>
      <x:c r="M2891" s="19" t="str">
        <x:v>In Field Warranty Claims</x:v>
      </x:c>
      <x:c r="N2891" s="37" t="n">
        <x:v>46092</x:v>
      </x:c>
      <x:c r="O2891" s="37"/>
      <x:c r="P2891" s="34" t="n">
        <x:v>0</x:v>
      </x:c>
      <x:c r="Q2891" s="37" t="n">
        <x:v>46096.52549768519</x:v>
      </x:c>
    </x:row>
    <x:row r="2892">
      <x:c r="A2892" s="22" t="n">
        <x:v>32112</x:v>
      </x:c>
      <x:c r="B2892" s="28" t="n">
        <x:v>144.91</x:v>
      </x:c>
      <x:c r="C2892" s="28" t="n">
        <x:v>159.4</x:v>
      </x:c>
      <x:c r="D2892" s="31" t="n">
        <x:f>IF(OR(ISBLANK(B2892),ISBLANK(C2892),B2892=0),"",(C2892-B2892)/B2892)</x:f>
        <x:v>0.09999309916499903</x:v>
      </x:c>
      <x:c r="E2892" s="22" t="str">
        <x:f>IF(ISBLANK(C2892),"AmountIncludingTax缺失",IF(ABS(B2892-C2892)&lt;0.005,"一致","不一致"))</x:f>
        <x:v>不一致</x:v>
      </x:c>
      <x:c r="F2892" s="19" t="str">
        <x:v>approved</x:v>
      </x:c>
      <x:c r="G2892" s="19" t="str">
        <x:v>Repairer Invoiced Processed</x:v>
      </x:c>
      <x:c r="H2892" s="19" t="str">
        <x:v>In Field</x:v>
      </x:c>
      <x:c r="I2892" s="37" t="n">
        <x:v>46132</x:v>
      </x:c>
      <x:c r="J2892" s="37" t="n">
        <x:v>46132</x:v>
      </x:c>
      <x:c r="K2892" s="19" t="str">
        <x:v>Regent RV - Perth</x:v>
      </x:c>
      <x:c r="L2892" s="19" t="str">
        <x:v>Z006</x:v>
      </x:c>
      <x:c r="M2892" s="19" t="str">
        <x:v>In Field Warranty Claims</x:v>
      </x:c>
      <x:c r="N2892" s="37" t="n">
        <x:v>46092</x:v>
      </x:c>
      <x:c r="O2892" s="37"/>
      <x:c r="P2892" s="34" t="n">
        <x:v>159.4</x:v>
      </x:c>
      <x:c r="Q2892" s="37" t="n">
        <x:v>46132.072233796294</x:v>
      </x:c>
    </x:row>
    <x:row r="2893">
      <x:c r="A2893" s="22" t="n">
        <x:v>32111</x:v>
      </x:c>
      <x:c r="B2893" s="28" t="n">
        <x:v>313.75</x:v>
      </x:c>
      <x:c r="C2893" s="28"/>
      <x:c r="D2893" s="31" t="str">
        <x:f>IF(OR(ISBLANK(B2893),ISBLANK(C2893),B2893=0),"",(C2893-B2893)/B2893)</x:f>
      </x:c>
      <x:c r="E2893" s="22" t="str">
        <x:f>IF(ISBLANK(C2893),"AmountIncludingTax缺失",IF(ABS(B2893-C2893)&lt;0.005,"一致","不一致"))</x:f>
        <x:v>AmountIncludingTax缺失</x:v>
      </x:c>
      <x:c r="F2893" s="19" t="str">
        <x:v>approved</x:v>
      </x:c>
      <x:c r="G2893" s="19" t="str">
        <x:v>Sales Order Approved</x:v>
      </x:c>
      <x:c r="H2893" s="19" t="str">
        <x:v>In Field</x:v>
      </x:c>
      <x:c r="I2893" s="37" t="n">
        <x:v>46099</x:v>
      </x:c>
      <x:c r="J2893" s="37" t="n">
        <x:v>46099</x:v>
      </x:c>
      <x:c r="K2893" s="19" t="str">
        <x:v>Lesiure Lion-New Castle</x:v>
      </x:c>
      <x:c r="L2893" s="19" t="str">
        <x:v>Z006</x:v>
      </x:c>
      <x:c r="M2893" s="19" t="str">
        <x:v>In Field Warranty Claims</x:v>
      </x:c>
      <x:c r="N2893" s="37" t="n">
        <x:v>46092</x:v>
      </x:c>
      <x:c r="O2893" s="37"/>
      <x:c r="P2893" s="34" t="n">
        <x:v>0</x:v>
      </x:c>
      <x:c r="Q2893" s="37" t="n">
        <x:v>46098.890601851854</x:v>
      </x:c>
    </x:row>
    <x:row r="2894">
      <x:c r="A2894" s="22" t="n">
        <x:v>32092</x:v>
      </x:c>
      <x:c r="B2894" s="28" t="n">
        <x:v>36.36</x:v>
      </x:c>
      <x:c r="C2894" s="28" t="n">
        <x:v>40</x:v>
      </x:c>
      <x:c r="D2894" s="31" t="n">
        <x:f>IF(OR(ISBLANK(B2894),ISBLANK(C2894),B2894=0),"",(C2894-B2894)/B2894)</x:f>
        <x:v>0.10011001100110013</x:v>
      </x:c>
      <x:c r="E2894" s="22" t="str">
        <x:f>IF(ISBLANK(C2894),"AmountIncludingTax缺失",IF(ABS(B2894-C2894)&lt;0.005,"一致","不一致"))</x:f>
        <x:v>不一致</x:v>
      </x:c>
      <x:c r="F2894" s="19" t="str">
        <x:v>approved</x:v>
      </x:c>
      <x:c r="G2894" s="19" t="str">
        <x:v>Repairer Invoiced Processed</x:v>
      </x:c>
      <x:c r="H2894" s="19" t="str">
        <x:v>In Field</x:v>
      </x:c>
      <x:c r="I2894" s="37" t="n">
        <x:v>46092</x:v>
      </x:c>
      <x:c r="J2894" s="37" t="n">
        <x:v>46092</x:v>
      </x:c>
      <x:c r="K2894" s="19" t="str">
        <x:v>ABCO Caravans - Boambee Valley</x:v>
      </x:c>
      <x:c r="L2894" s="19" t="str">
        <x:v>Z006</x:v>
      </x:c>
      <x:c r="M2894" s="19" t="str">
        <x:v>In Field Warranty Claims</x:v>
      </x:c>
      <x:c r="N2894" s="37" t="n">
        <x:v>46092</x:v>
      </x:c>
      <x:c r="O2894" s="37"/>
      <x:c r="P2894" s="34" t="n">
        <x:v>40</x:v>
      </x:c>
      <x:c r="Q2894" s="37" t="n">
        <x:v>46092.03927083333</x:v>
      </x:c>
    </x:row>
    <x:row r="2895">
      <x:c r="A2895" s="22" t="n">
        <x:v>32090</x:v>
      </x:c>
      <x:c r="B2895" s="28" t="n">
        <x:v>80</x:v>
      </x:c>
      <x:c r="C2895" s="28" t="n">
        <x:v>88</x:v>
      </x:c>
      <x:c r="D2895" s="31" t="n">
        <x:f>IF(OR(ISBLANK(B2895),ISBLANK(C2895),B2895=0),"",(C2895-B2895)/B2895)</x:f>
        <x:v>0.1</x:v>
      </x:c>
      <x:c r="E2895" s="22" t="str">
        <x:f>IF(ISBLANK(C2895),"AmountIncludingTax缺失",IF(ABS(B2895-C2895)&lt;0.005,"一致","不一致"))</x:f>
        <x:v>不一致</x:v>
      </x:c>
      <x:c r="F2895" s="19" t="str">
        <x:v>approved</x:v>
      </x:c>
      <x:c r="G2895" s="19" t="str">
        <x:v>Repairer Invoiced Processed</x:v>
      </x:c>
      <x:c r="H2895" s="19" t="str">
        <x:v>In Field</x:v>
      </x:c>
      <x:c r="I2895" s="37" t="n">
        <x:v>46146</x:v>
      </x:c>
      <x:c r="J2895" s="37" t="n">
        <x:v>46146</x:v>
      </x:c>
      <x:c r="K2895" s="19" t="str">
        <x:v>Snowy River Wangaratta</x:v>
      </x:c>
      <x:c r="L2895" s="19" t="str">
        <x:v>Z006</x:v>
      </x:c>
      <x:c r="M2895" s="19" t="str">
        <x:v>In Field Warranty Claims</x:v>
      </x:c>
      <x:c r="N2895" s="37" t="n">
        <x:v>46092</x:v>
      </x:c>
      <x:c r="O2895" s="37"/>
      <x:c r="P2895" s="34" t="n">
        <x:v>88</x:v>
      </x:c>
      <x:c r="Q2895" s="37" t="n">
        <x:v>46145.97754629629</x:v>
      </x:c>
    </x:row>
    <x:row r="2896">
      <x:c r="A2896" s="22" t="n">
        <x:v>32089</x:v>
      </x:c>
      <x:c r="B2896" s="28" t="n">
        <x:v>308.75</x:v>
      </x:c>
      <x:c r="C2896" s="28"/>
      <x:c r="D2896" s="31" t="str">
        <x:f>IF(OR(ISBLANK(B2896),ISBLANK(C2896),B2896=0),"",(C2896-B2896)/B2896)</x:f>
      </x:c>
      <x:c r="E2896" s="22" t="str">
        <x:f>IF(ISBLANK(C2896),"AmountIncludingTax缺失",IF(ABS(B2896-C2896)&lt;0.005,"一致","不一致"))</x:f>
        <x:v>AmountIncludingTax缺失</x:v>
      </x:c>
      <x:c r="F2896" s="19" t="str">
        <x:v>approved</x:v>
      </x:c>
      <x:c r="G2896" s="19" t="str">
        <x:v>Repair in Progress</x:v>
      </x:c>
      <x:c r="H2896" s="19" t="str">
        <x:v>In Field</x:v>
      </x:c>
      <x:c r="I2896" s="37" t="n">
        <x:v>46094</x:v>
      </x:c>
      <x:c r="J2896" s="37" t="n">
        <x:v>46094</x:v>
      </x:c>
      <x:c r="K2896" s="19" t="str">
        <x:v>Green RV - Slacks Creek</x:v>
      </x:c>
      <x:c r="L2896" s="19" t="str">
        <x:v>Z006</x:v>
      </x:c>
      <x:c r="M2896" s="19" t="str">
        <x:v>In Field Warranty Claims</x:v>
      </x:c>
      <x:c r="N2896" s="37" t="n">
        <x:v>46092</x:v>
      </x:c>
      <x:c r="O2896" s="37"/>
      <x:c r="P2896" s="34" t="n">
        <x:v>0</x:v>
      </x:c>
      <x:c r="Q2896" s="37" t="n">
        <x:v>46093.978842592594</x:v>
      </x:c>
    </x:row>
    <x:row r="2897">
      <x:c r="A2897" s="22" t="n">
        <x:v>32088</x:v>
      </x:c>
      <x:c r="B2897" s="28" t="n">
        <x:v>135</x:v>
      </x:c>
      <x:c r="C2897" s="28"/>
      <x:c r="D2897" s="31" t="str">
        <x:f>IF(OR(ISBLANK(B2897),ISBLANK(C2897),B2897=0),"",(C2897-B2897)/B2897)</x:f>
      </x:c>
      <x:c r="E2897" s="22" t="str">
        <x:f>IF(ISBLANK(C2897),"AmountIncludingTax缺失",IF(ABS(B2897-C2897)&lt;0.005,"一致","不一致"))</x:f>
        <x:v>AmountIncludingTax缺失</x:v>
      </x:c>
      <x:c r="F2897" s="19" t="str">
        <x:v>approved</x:v>
      </x:c>
      <x:c r="G2897" s="19" t="str">
        <x:v>Repair in Progress</x:v>
      </x:c>
      <x:c r="H2897" s="19" t="str">
        <x:v>In Field</x:v>
      </x:c>
      <x:c r="I2897" s="37" t="n">
        <x:v>46094</x:v>
      </x:c>
      <x:c r="J2897" s="37" t="n">
        <x:v>46094</x:v>
      </x:c>
      <x:c r="K2897" s="19" t="str">
        <x:v>Green RV - Forest Glen</x:v>
      </x:c>
      <x:c r="L2897" s="19" t="str">
        <x:v>Z006</x:v>
      </x:c>
      <x:c r="M2897" s="19" t="str">
        <x:v>In Field Warranty Claims</x:v>
      </x:c>
      <x:c r="N2897" s="37" t="n">
        <x:v>46092</x:v>
      </x:c>
      <x:c r="O2897" s="37"/>
      <x:c r="P2897" s="34" t="n">
        <x:v>0</x:v>
      </x:c>
      <x:c r="Q2897" s="37" t="n">
        <x:v>46093.95150462963</x:v>
      </x:c>
    </x:row>
    <x:row r="2898">
      <x:c r="A2898" s="22" t="n">
        <x:v>32087</x:v>
      </x:c>
      <x:c r="B2898" s="28" t="n">
        <x:v>43.75</x:v>
      </x:c>
      <x:c r="C2898" s="28" t="n">
        <x:v>48.13</x:v>
      </x:c>
      <x:c r="D2898" s="31" t="n">
        <x:f>IF(OR(ISBLANK(B2898),ISBLANK(C2898),B2898=0),"",(C2898-B2898)/B2898)</x:f>
        <x:v>0.10011428571428577</x:v>
      </x:c>
      <x:c r="E2898" s="22" t="str">
        <x:f>IF(ISBLANK(C2898),"AmountIncludingTax缺失",IF(ABS(B2898-C2898)&lt;0.005,"一致","不一致"))</x:f>
        <x:v>不一致</x:v>
      </x:c>
      <x:c r="F2898" s="19" t="str">
        <x:v>approved</x:v>
      </x:c>
      <x:c r="G2898" s="19" t="str">
        <x:v>Repairer Invoiced Processed</x:v>
      </x:c>
      <x:c r="H2898" s="19" t="str">
        <x:v>In Field</x:v>
      </x:c>
      <x:c r="I2898" s="37" t="n">
        <x:v>46106</x:v>
      </x:c>
      <x:c r="J2898" s="37" t="n">
        <x:v>46106</x:v>
      </x:c>
      <x:c r="K2898" s="19" t="str">
        <x:v>Regent RV - Frankston</x:v>
      </x:c>
      <x:c r="L2898" s="19" t="str">
        <x:v>Z006</x:v>
      </x:c>
      <x:c r="M2898" s="19" t="str">
        <x:v>In Field Warranty Claims</x:v>
      </x:c>
      <x:c r="N2898" s="37" t="n">
        <x:v>46092</x:v>
      </x:c>
      <x:c r="O2898" s="37"/>
      <x:c r="P2898" s="34" t="n">
        <x:v>48.13</x:v>
      </x:c>
      <x:c r="Q2898" s="37" t="n">
        <x:v>46106.020370370374</x:v>
      </x:c>
    </x:row>
    <x:row r="2899">
      <x:c r="A2899" s="22" t="n">
        <x:v>32086</x:v>
      </x:c>
      <x:c r="B2899" s="28" t="n">
        <x:v>237.5</x:v>
      </x:c>
      <x:c r="C2899" s="28"/>
      <x:c r="D2899" s="31" t="str">
        <x:f>IF(OR(ISBLANK(B2899),ISBLANK(C2899),B2899=0),"",(C2899-B2899)/B2899)</x:f>
      </x:c>
      <x:c r="E2899" s="22" t="str">
        <x:f>IF(ISBLANK(C2899),"AmountIncludingTax缺失",IF(ABS(B2899-C2899)&lt;0.005,"一致","不一致"))</x:f>
        <x:v>AmountIncludingTax缺失</x:v>
      </x:c>
      <x:c r="F2899" s="19" t="str">
        <x:v>approved</x:v>
      </x:c>
      <x:c r="G2899" s="19" t="str">
        <x:v>Repair in Progress</x:v>
      </x:c>
      <x:c r="H2899" s="19" t="str">
        <x:v>In Field</x:v>
      </x:c>
      <x:c r="I2899" s="37" t="n">
        <x:v>46111</x:v>
      </x:c>
      <x:c r="J2899" s="37" t="n">
        <x:v>46111</x:v>
      </x:c>
      <x:c r="K2899" s="19" t="str">
        <x:v>The Caravan Hub - Townsville</x:v>
      </x:c>
      <x:c r="L2899" s="19" t="str">
        <x:v>Z006</x:v>
      </x:c>
      <x:c r="M2899" s="19" t="str">
        <x:v>In Field Warranty Claims</x:v>
      </x:c>
      <x:c r="N2899" s="37" t="n">
        <x:v>46092</x:v>
      </x:c>
      <x:c r="O2899" s="37"/>
      <x:c r="P2899" s="34" t="n">
        <x:v>0</x:v>
      </x:c>
      <x:c r="Q2899" s="37" t="n">
        <x:v>46111.2153587963</x:v>
      </x:c>
    </x:row>
    <x:row r="2900">
      <x:c r="A2900" s="22" t="n">
        <x:v>32085</x:v>
      </x:c>
      <x:c r="B2900" s="28" t="n">
        <x:v>343.75</x:v>
      </x:c>
      <x:c r="C2900" s="28" t="n">
        <x:v>378.13</x:v>
      </x:c>
      <x:c r="D2900" s="31" t="n">
        <x:f>IF(OR(ISBLANK(B2900),ISBLANK(C2900),B2900=0),"",(C2900-B2900)/B2900)</x:f>
        <x:v>0.10001454545454544</x:v>
      </x:c>
      <x:c r="E2900" s="22" t="str">
        <x:f>IF(ISBLANK(C2900),"AmountIncludingTax缺失",IF(ABS(B2900-C2900)&lt;0.005,"一致","不一致"))</x:f>
        <x:v>不一致</x:v>
      </x:c>
      <x:c r="F2900" s="19" t="str">
        <x:v>approved</x:v>
      </x:c>
      <x:c r="G2900" s="19" t="str">
        <x:v>Repairer Invoiced Processed</x:v>
      </x:c>
      <x:c r="H2900" s="19" t="str">
        <x:v>In Field</x:v>
      </x:c>
      <x:c r="I2900" s="37" t="n">
        <x:v>46097</x:v>
      </x:c>
      <x:c r="J2900" s="37" t="n">
        <x:v>46097</x:v>
      </x:c>
      <x:c r="K2900" s="19" t="str">
        <x:v>Lesiure Lion-New Castle</x:v>
      </x:c>
      <x:c r="L2900" s="19" t="str">
        <x:v>Z006</x:v>
      </x:c>
      <x:c r="M2900" s="19" t="str">
        <x:v>In Field Warranty Claims</x:v>
      </x:c>
      <x:c r="N2900" s="37" t="n">
        <x:v>46092</x:v>
      </x:c>
      <x:c r="O2900" s="37"/>
      <x:c r="P2900" s="34" t="n">
        <x:v>378.13</x:v>
      </x:c>
      <x:c r="Q2900" s="37" t="n">
        <x:v>46097.099270833336</x:v>
      </x:c>
    </x:row>
    <x:row r="2901">
      <x:c r="A2901" s="22" t="n">
        <x:v>32083</x:v>
      </x:c>
      <x:c r="B2901" s="28" t="n">
        <x:v>303.75</x:v>
      </x:c>
      <x:c r="C2901" s="28"/>
      <x:c r="D2901" s="31" t="str">
        <x:f>IF(OR(ISBLANK(B2901),ISBLANK(C2901),B2901=0),"",(C2901-B2901)/B2901)</x:f>
      </x:c>
      <x:c r="E2901" s="22" t="str">
        <x:f>IF(ISBLANK(C2901),"AmountIncludingTax缺失",IF(ABS(B2901-C2901)&lt;0.005,"一致","不一致"))</x:f>
        <x:v>AmountIncludingTax缺失</x:v>
      </x:c>
      <x:c r="F2901" s="19" t="str">
        <x:v>approved</x:v>
      </x:c>
      <x:c r="G2901" s="19" t="str">
        <x:v>Repair in Progress</x:v>
      </x:c>
      <x:c r="H2901" s="19" t="str">
        <x:v>In Field</x:v>
      </x:c>
      <x:c r="I2901" s="37" t="n">
        <x:v>46169</x:v>
      </x:c>
      <x:c r="J2901" s="37" t="n">
        <x:v>46169</x:v>
      </x:c>
      <x:c r="K2901" s="19" t="str">
        <x:v>Green RV - Forest Glen</x:v>
      </x:c>
      <x:c r="L2901" s="19" t="str">
        <x:v>Z006</x:v>
      </x:c>
      <x:c r="M2901" s="19" t="str">
        <x:v>In Field Warranty Claims</x:v>
      </x:c>
      <x:c r="N2901" s="37" t="n">
        <x:v>46092</x:v>
      </x:c>
      <x:c r="O2901" s="37"/>
      <x:c r="P2901" s="34" t="n">
        <x:v>0</x:v>
      </x:c>
      <x:c r="Q2901" s="37" t="n">
        <x:v>46169.074166666665</x:v>
      </x:c>
    </x:row>
    <x:row r="2902">
      <x:c r="A2902" s="22" t="n">
        <x:v>32082</x:v>
      </x:c>
      <x:c r="B2902" s="28" t="n">
        <x:v>44.55</x:v>
      </x:c>
      <x:c r="C2902" s="28"/>
      <x:c r="D2902" s="31" t="str">
        <x:f>IF(OR(ISBLANK(B2902),ISBLANK(C2902),B2902=0),"",(C2902-B2902)/B2902)</x:f>
      </x:c>
      <x:c r="E2902" s="22" t="str">
        <x:f>IF(ISBLANK(C2902),"AmountIncludingTax缺失",IF(ABS(B2902-C2902)&lt;0.005,"一致","不一致"))</x:f>
        <x:v>AmountIncludingTax缺失</x:v>
      </x:c>
      <x:c r="F2902" s="19" t="str">
        <x:v>approved</x:v>
      </x:c>
      <x:c r="G2902" s="19" t="str">
        <x:v>Repair in Progress</x:v>
      </x:c>
      <x:c r="H2902" s="19" t="str">
        <x:v>In Field</x:v>
      </x:c>
      <x:c r="I2902" s="37" t="n">
        <x:v>46100</x:v>
      </x:c>
      <x:c r="J2902" s="37" t="n">
        <x:v>46100</x:v>
      </x:c>
      <x:c r="K2902" s="19" t="str">
        <x:v>Green RV - Forest Glen</x:v>
      </x:c>
      <x:c r="L2902" s="19" t="str">
        <x:v>Z006</x:v>
      </x:c>
      <x:c r="M2902" s="19" t="str">
        <x:v>In Field Warranty Claims</x:v>
      </x:c>
      <x:c r="N2902" s="37" t="n">
        <x:v>46091</x:v>
      </x:c>
      <x:c r="O2902" s="37"/>
      <x:c r="P2902" s="34" t="n">
        <x:v>0</x:v>
      </x:c>
      <x:c r="Q2902" s="37" t="n">
        <x:v>46100.07346064815</x:v>
      </x:c>
    </x:row>
    <x:row r="2903">
      <x:c r="A2903" s="22" t="n">
        <x:v>32080</x:v>
      </x:c>
      <x:c r="B2903" s="28" t="n">
        <x:v>101.25</x:v>
      </x:c>
      <x:c r="C2903" s="28"/>
      <x:c r="D2903" s="31" t="str">
        <x:f>IF(OR(ISBLANK(B2903),ISBLANK(C2903),B2903=0),"",(C2903-B2903)/B2903)</x:f>
      </x:c>
      <x:c r="E2903" s="22" t="str">
        <x:f>IF(ISBLANK(C2903),"AmountIncludingTax缺失",IF(ABS(B2903-C2903)&lt;0.005,"一致","不一致"))</x:f>
        <x:v>AmountIncludingTax缺失</x:v>
      </x:c>
      <x:c r="F2903" s="19" t="str">
        <x:v>approved</x:v>
      </x:c>
      <x:c r="G2903" s="19" t="str">
        <x:v>Repair in Progress</x:v>
      </x:c>
      <x:c r="H2903" s="19" t="str">
        <x:v>In Field</x:v>
      </x:c>
      <x:c r="I2903" s="37" t="n">
        <x:v>46094</x:v>
      </x:c>
      <x:c r="J2903" s="37" t="n">
        <x:v>46094</x:v>
      </x:c>
      <x:c r="K2903" s="19" t="str">
        <x:v>Regent RV - Toowoomba</x:v>
      </x:c>
      <x:c r="L2903" s="19" t="str">
        <x:v>Z006</x:v>
      </x:c>
      <x:c r="M2903" s="19" t="str">
        <x:v>In Field Warranty Claims</x:v>
      </x:c>
      <x:c r="N2903" s="37" t="n">
        <x:v>46092</x:v>
      </x:c>
      <x:c r="O2903" s="37"/>
      <x:c r="P2903" s="34" t="n">
        <x:v>0</x:v>
      </x:c>
      <x:c r="Q2903" s="37" t="n">
        <x:v>46094.2446875</x:v>
      </x:c>
    </x:row>
    <x:row r="2904">
      <x:c r="A2904" s="22" t="n">
        <x:v>32079</x:v>
      </x:c>
      <x:c r="B2904" s="28" t="n">
        <x:v>506.25</x:v>
      </x:c>
      <x:c r="C2904" s="28"/>
      <x:c r="D2904" s="31" t="str">
        <x:f>IF(OR(ISBLANK(B2904),ISBLANK(C2904),B2904=0),"",(C2904-B2904)/B2904)</x:f>
      </x:c>
      <x:c r="E2904" s="22" t="str">
        <x:f>IF(ISBLANK(C2904),"AmountIncludingTax缺失",IF(ABS(B2904-C2904)&lt;0.005,"一致","不一致"))</x:f>
        <x:v>AmountIncludingTax缺失</x:v>
      </x:c>
      <x:c r="F2904" s="19" t="str">
        <x:v>approved</x:v>
      </x:c>
      <x:c r="G2904" s="19" t="str">
        <x:v>Repair in Progress</x:v>
      </x:c>
      <x:c r="H2904" s="19" t="str">
        <x:v>In Field</x:v>
      </x:c>
      <x:c r="I2904" s="37" t="n">
        <x:v>46105</x:v>
      </x:c>
      <x:c r="J2904" s="37" t="n">
        <x:v>46105</x:v>
      </x:c>
      <x:c r="K2904" s="19" t="str">
        <x:v>Green RV - Slacks Creek</x:v>
      </x:c>
      <x:c r="L2904" s="19" t="str">
        <x:v>Z006</x:v>
      </x:c>
      <x:c r="M2904" s="19" t="str">
        <x:v>In Field Warranty Claims</x:v>
      </x:c>
      <x:c r="N2904" s="37" t="n">
        <x:v>46092</x:v>
      </x:c>
      <x:c r="O2904" s="37"/>
      <x:c r="P2904" s="34" t="n">
        <x:v>0</x:v>
      </x:c>
      <x:c r="Q2904" s="37" t="n">
        <x:v>46104.98069444444</x:v>
      </x:c>
    </x:row>
    <x:row r="2905">
      <x:c r="A2905" s="22" t="n">
        <x:v>32078</x:v>
      </x:c>
      <x:c r="B2905" s="28" t="n">
        <x:v>111.25</x:v>
      </x:c>
      <x:c r="C2905" s="28"/>
      <x:c r="D2905" s="31" t="str">
        <x:f>IF(OR(ISBLANK(B2905),ISBLANK(C2905),B2905=0),"",(C2905-B2905)/B2905)</x:f>
      </x:c>
      <x:c r="E2905" s="22" t="str">
        <x:f>IF(ISBLANK(C2905),"AmountIncludingTax缺失",IF(ABS(B2905-C2905)&lt;0.005,"一致","不一致"))</x:f>
        <x:v>AmountIncludingTax缺失</x:v>
      </x:c>
      <x:c r="F2905" s="19" t="str">
        <x:v>approved</x:v>
      </x:c>
      <x:c r="G2905" s="19" t="str">
        <x:v>Repairer Invoiced Processed</x:v>
      </x:c>
      <x:c r="H2905" s="19" t="str">
        <x:v>In Field</x:v>
      </x:c>
      <x:c r="I2905" s="37" t="n">
        <x:v>46098</x:v>
      </x:c>
      <x:c r="J2905" s="37" t="n">
        <x:v>46098</x:v>
      </x:c>
      <x:c r="K2905" s="19" t="str">
        <x:v>Snowy River Wangaratta</x:v>
      </x:c>
      <x:c r="L2905" s="19" t="str">
        <x:v>Z006</x:v>
      </x:c>
      <x:c r="M2905" s="19" t="str">
        <x:v>In Field Warranty Claims</x:v>
      </x:c>
      <x:c r="N2905" s="37" t="n">
        <x:v>46092</x:v>
      </x:c>
      <x:c r="O2905" s="37"/>
      <x:c r="P2905" s="34" t="n">
        <x:v>0</x:v>
      </x:c>
      <x:c r="Q2905" s="37" t="n">
        <x:v>46098.076261574075</x:v>
      </x:c>
    </x:row>
    <x:row r="2906">
      <x:c r="A2906" s="22" t="n">
        <x:v>32077</x:v>
      </x:c>
      <x:c r="B2906" s="28" t="n">
        <x:v>303.75</x:v>
      </x:c>
      <x:c r="C2906" s="28"/>
      <x:c r="D2906" s="31" t="str">
        <x:f>IF(OR(ISBLANK(B2906),ISBLANK(C2906),B2906=0),"",(C2906-B2906)/B2906)</x:f>
      </x:c>
      <x:c r="E2906" s="22" t="str">
        <x:f>IF(ISBLANK(C2906),"AmountIncludingTax缺失",IF(ABS(B2906-C2906)&lt;0.005,"一致","不一致"))</x:f>
        <x:v>AmountIncludingTax缺失</x:v>
      </x:c>
      <x:c r="F2906" s="19" t="str">
        <x:v>approved</x:v>
      </x:c>
      <x:c r="G2906" s="19" t="str">
        <x:v>Repairer Invoiced Processed</x:v>
      </x:c>
      <x:c r="H2906" s="19" t="str">
        <x:v>In Field</x:v>
      </x:c>
      <x:c r="I2906" s="37" t="n">
        <x:v>46098</x:v>
      </x:c>
      <x:c r="J2906" s="37" t="n">
        <x:v>46098</x:v>
      </x:c>
      <x:c r="K2906" s="19" t="str">
        <x:v>Not Assigned</x:v>
      </x:c>
      <x:c r="L2906" s="19" t="str">
        <x:v>Z006</x:v>
      </x:c>
      <x:c r="M2906" s="19" t="str">
        <x:v>In Field Warranty Claims</x:v>
      </x:c>
      <x:c r="N2906" s="37" t="n">
        <x:v>46092</x:v>
      </x:c>
      <x:c r="O2906" s="37"/>
      <x:c r="P2906" s="34" t="n">
        <x:v>0</x:v>
      </x:c>
      <x:c r="Q2906" s="37" t="n">
        <x:v>46097.90640046296</x:v>
      </x:c>
    </x:row>
    <x:row r="2907">
      <x:c r="A2907" s="22" t="n">
        <x:v>32076</x:v>
      </x:c>
      <x:c r="B2907" s="28" t="n">
        <x:v>544.55</x:v>
      </x:c>
      <x:c r="C2907" s="28"/>
      <x:c r="D2907" s="31" t="str">
        <x:f>IF(OR(ISBLANK(B2907),ISBLANK(C2907),B2907=0),"",(C2907-B2907)/B2907)</x:f>
      </x:c>
      <x:c r="E2907" s="22" t="str">
        <x:f>IF(ISBLANK(C2907),"AmountIncludingTax缺失",IF(ABS(B2907-C2907)&lt;0.005,"一致","不一致"))</x:f>
        <x:v>AmountIncludingTax缺失</x:v>
      </x:c>
      <x:c r="F2907" s="19" t="str">
        <x:v>approved</x:v>
      </x:c>
      <x:c r="G2907" s="19" t="str">
        <x:v>Repairer Invoiced Processed</x:v>
      </x:c>
      <x:c r="H2907" s="19" t="str">
        <x:v>Pre Delivery</x:v>
      </x:c>
      <x:c r="I2907" s="37" t="n">
        <x:v>46133</x:v>
      </x:c>
      <x:c r="J2907" s="37" t="n">
        <x:v>46135</x:v>
      </x:c>
      <x:c r="K2907" s="19" t="str">
        <x:v>Green RV - Slacks Creek</x:v>
      </x:c>
      <x:c r="L2907" s="19" t="str">
        <x:v>Z005</x:v>
      </x:c>
      <x:c r="M2907" s="19" t="str">
        <x:v>Pre Delivery Warranty Claims</x:v>
      </x:c>
      <x:c r="N2907" s="37" t="n">
        <x:v>46092</x:v>
      </x:c>
      <x:c r="O2907" s="37"/>
      <x:c r="P2907" s="34" t="n">
        <x:v>0</x:v>
      </x:c>
      <x:c r="Q2907" s="37" t="n">
        <x:v>46133.20924768518</x:v>
      </x:c>
    </x:row>
    <x:row r="2908">
      <x:c r="A2908" s="22" t="n">
        <x:v>32075</x:v>
      </x:c>
      <x:c r="B2908" s="28" t="n">
        <x:v>168.75</x:v>
      </x:c>
      <x:c r="C2908" s="28"/>
      <x:c r="D2908" s="31" t="str">
        <x:f>IF(OR(ISBLANK(B2908),ISBLANK(C2908),B2908=0),"",(C2908-B2908)/B2908)</x:f>
      </x:c>
      <x:c r="E2908" s="22" t="str">
        <x:f>IF(ISBLANK(C2908),"AmountIncludingTax缺失",IF(ABS(B2908-C2908)&lt;0.005,"一致","不一致"))</x:f>
        <x:v>AmountIncludingTax缺失</x:v>
      </x:c>
      <x:c r="F2908" s="19" t="str">
        <x:v>approved</x:v>
      </x:c>
      <x:c r="G2908" s="19" t="str">
        <x:v>Repairer Invoiced Processed</x:v>
      </x:c>
      <x:c r="H2908" s="19" t="str">
        <x:v>In Field</x:v>
      </x:c>
      <x:c r="I2908" s="37" t="n">
        <x:v>46100</x:v>
      </x:c>
      <x:c r="J2908" s="37" t="n">
        <x:v>46100</x:v>
      </x:c>
      <x:c r="K2908" s="19" t="str">
        <x:v>Not Assigned</x:v>
      </x:c>
      <x:c r="L2908" s="19" t="str">
        <x:v>Z006</x:v>
      </x:c>
      <x:c r="M2908" s="19" t="str">
        <x:v>In Field Warranty Claims</x:v>
      </x:c>
      <x:c r="N2908" s="37" t="n">
        <x:v>46092</x:v>
      </x:c>
      <x:c r="O2908" s="37"/>
      <x:c r="P2908" s="34" t="n">
        <x:v>0</x:v>
      </x:c>
      <x:c r="Q2908" s="37" t="n">
        <x:v>46100.135659722226</x:v>
      </x:c>
    </x:row>
    <x:row r="2909">
      <x:c r="A2909" s="22" t="n">
        <x:v>32073</x:v>
      </x:c>
      <x:c r="B2909" s="28" t="n">
        <x:v>145</x:v>
      </x:c>
      <x:c r="C2909" s="28"/>
      <x:c r="D2909" s="31" t="str">
        <x:f>IF(OR(ISBLANK(B2909),ISBLANK(C2909),B2909=0),"",(C2909-B2909)/B2909)</x:f>
      </x:c>
      <x:c r="E2909" s="22" t="str">
        <x:f>IF(ISBLANK(C2909),"AmountIncludingTax缺失",IF(ABS(B2909-C2909)&lt;0.005,"一致","不一致"))</x:f>
        <x:v>AmountIncludingTax缺失</x:v>
      </x:c>
      <x:c r="F2909" s="19" t="str">
        <x:v>approved</x:v>
      </x:c>
      <x:c r="G2909" s="19" t="str">
        <x:v>Repairer Invoiced Processed</x:v>
      </x:c>
      <x:c r="H2909" s="19" t="str">
        <x:v>In Field</x:v>
      </x:c>
      <x:c r="I2909" s="37" t="n">
        <x:v>46094</x:v>
      </x:c>
      <x:c r="J2909" s="37" t="n">
        <x:v>46094</x:v>
      </x:c>
      <x:c r="K2909" s="19" t="str">
        <x:v>Green RV - Forest Glen</x:v>
      </x:c>
      <x:c r="L2909" s="19" t="str">
        <x:v>Z006</x:v>
      </x:c>
      <x:c r="M2909" s="19" t="str">
        <x:v>In Field Warranty Claims</x:v>
      </x:c>
      <x:c r="N2909" s="37" t="n">
        <x:v>46092</x:v>
      </x:c>
      <x:c r="O2909" s="37"/>
      <x:c r="P2909" s="34" t="n">
        <x:v>0</x:v>
      </x:c>
      <x:c r="Q2909" s="37" t="n">
        <x:v>46094.13642361111</x:v>
      </x:c>
    </x:row>
    <x:row r="2910">
      <x:c r="A2910" s="22" t="n">
        <x:v>32072</x:v>
      </x:c>
      <x:c r="B2910" s="28" t="n">
        <x:v>212.5</x:v>
      </x:c>
      <x:c r="C2910" s="28"/>
      <x:c r="D2910" s="31" t="str">
        <x:f>IF(OR(ISBLANK(B2910),ISBLANK(C2910),B2910=0),"",(C2910-B2910)/B2910)</x:f>
      </x:c>
      <x:c r="E2910" s="22" t="str">
        <x:f>IF(ISBLANK(C2910),"AmountIncludingTax缺失",IF(ABS(B2910-C2910)&lt;0.005,"一致","不一致"))</x:f>
        <x:v>AmountIncludingTax缺失</x:v>
      </x:c>
      <x:c r="F2910" s="19" t="str">
        <x:v>approved</x:v>
      </x:c>
      <x:c r="G2910" s="19" t="str">
        <x:v>Repair in Progress</x:v>
      </x:c>
      <x:c r="H2910" s="19" t="str">
        <x:v>In Field</x:v>
      </x:c>
      <x:c r="I2910" s="37" t="n">
        <x:v>46106</x:v>
      </x:c>
      <x:c r="J2910" s="37" t="n">
        <x:v>46106</x:v>
      </x:c>
      <x:c r="K2910" s="19" t="str">
        <x:v>Destiny RV - South Australia</x:v>
      </x:c>
      <x:c r="L2910" s="19" t="str">
        <x:v>Z006</x:v>
      </x:c>
      <x:c r="M2910" s="19" t="str">
        <x:v>In Field Warranty Claims</x:v>
      </x:c>
      <x:c r="N2910" s="37" t="n">
        <x:v>46091</x:v>
      </x:c>
      <x:c r="O2910" s="37"/>
      <x:c r="P2910" s="34" t="n">
        <x:v>0</x:v>
      </x:c>
      <x:c r="Q2910" s="37" t="n">
        <x:v>46106.019849537035</x:v>
      </x:c>
    </x:row>
    <x:row r="2911">
      <x:c r="A2911" s="22" t="n">
        <x:v>32071</x:v>
      </x:c>
      <x:c r="B2911" s="28" t="n">
        <x:v>762.5</x:v>
      </x:c>
      <x:c r="C2911" s="28"/>
      <x:c r="D2911" s="31" t="str">
        <x:f>IF(OR(ISBLANK(B2911),ISBLANK(C2911),B2911=0),"",(C2911-B2911)/B2911)</x:f>
      </x:c>
      <x:c r="E2911" s="22" t="str">
        <x:f>IF(ISBLANK(C2911),"AmountIncludingTax缺失",IF(ABS(B2911-C2911)&lt;0.005,"一致","不一致"))</x:f>
        <x:v>AmountIncludingTax缺失</x:v>
      </x:c>
      <x:c r="F2911" s="19" t="str">
        <x:v>approved</x:v>
      </x:c>
      <x:c r="G2911" s="19" t="str">
        <x:v>Repair in Progress</x:v>
      </x:c>
      <x:c r="H2911" s="19" t="str">
        <x:v>Pre Delivery</x:v>
      </x:c>
      <x:c r="I2911" s="37" t="n">
        <x:v>46147</x:v>
      </x:c>
      <x:c r="J2911" s="37" t="n">
        <x:v>46147</x:v>
      </x:c>
      <x:c r="K2911" s="19" t="str">
        <x:v>Lesiure Lion-New Castle</x:v>
      </x:c>
      <x:c r="L2911" s="19" t="str">
        <x:v>Z005</x:v>
      </x:c>
      <x:c r="M2911" s="19" t="str">
        <x:v>Pre Delivery Warranty Claims</x:v>
      </x:c>
      <x:c r="N2911" s="37" t="n">
        <x:v>46091</x:v>
      </x:c>
      <x:c r="O2911" s="37"/>
      <x:c r="P2911" s="34" t="n">
        <x:v>0</x:v>
      </x:c>
      <x:c r="Q2911" s="37" t="n">
        <x:v>46147.13238425926</x:v>
      </x:c>
    </x:row>
    <x:row r="2912">
      <x:c r="A2912" s="22" t="n">
        <x:v>32070</x:v>
      </x:c>
      <x:c r="B2912" s="28" t="n">
        <x:v>237.5</x:v>
      </x:c>
      <x:c r="C2912" s="28"/>
      <x:c r="D2912" s="31" t="str">
        <x:f>IF(OR(ISBLANK(B2912),ISBLANK(C2912),B2912=0),"",(C2912-B2912)/B2912)</x:f>
      </x:c>
      <x:c r="E2912" s="22" t="str">
        <x:f>IF(ISBLANK(C2912),"AmountIncludingTax缺失",IF(ABS(B2912-C2912)&lt;0.005,"一致","不一致"))</x:f>
        <x:v>AmountIncludingTax缺失</x:v>
      </x:c>
      <x:c r="F2912" s="19" t="str">
        <x:v>approved</x:v>
      </x:c>
      <x:c r="G2912" s="19" t="str">
        <x:v>Sales Order Approved</x:v>
      </x:c>
      <x:c r="H2912" s="19" t="str">
        <x:v>Pre Delivery</x:v>
      </x:c>
      <x:c r="I2912" s="37" t="n">
        <x:v>46139</x:v>
      </x:c>
      <x:c r="J2912" s="37" t="n">
        <x:v>46139</x:v>
      </x:c>
      <x:c r="K2912" s="19" t="str">
        <x:v>The Caravan Hub - Townsville</x:v>
      </x:c>
      <x:c r="L2912" s="19" t="str">
        <x:v>Z005</x:v>
      </x:c>
      <x:c r="M2912" s="19" t="str">
        <x:v>Pre Delivery Warranty Claims</x:v>
      </x:c>
      <x:c r="N2912" s="37" t="n">
        <x:v>46091</x:v>
      </x:c>
      <x:c r="O2912" s="37"/>
      <x:c r="P2912" s="34" t="n">
        <x:v>0</x:v>
      </x:c>
      <x:c r="Q2912" s="37" t="n">
        <x:v>46139.06767361111</x:v>
      </x:c>
    </x:row>
    <x:row r="2913">
      <x:c r="A2913" s="22" t="n">
        <x:v>32066</x:v>
      </x:c>
      <x:c r="B2913" s="28" t="n">
        <x:v>675</x:v>
      </x:c>
      <x:c r="C2913" s="28"/>
      <x:c r="D2913" s="31" t="str">
        <x:f>IF(OR(ISBLANK(B2913),ISBLANK(C2913),B2913=0),"",(C2913-B2913)/B2913)</x:f>
      </x:c>
      <x:c r="E2913" s="22" t="str">
        <x:f>IF(ISBLANK(C2913),"AmountIncludingTax缺失",IF(ABS(B2913-C2913)&lt;0.005,"一致","不一致"))</x:f>
        <x:v>AmountIncludingTax缺失</x:v>
      </x:c>
      <x:c r="F2913" s="19" t="str">
        <x:v>approved</x:v>
      </x:c>
      <x:c r="G2913" s="19" t="str">
        <x:v>Repair in Progress</x:v>
      </x:c>
      <x:c r="H2913" s="19" t="str">
        <x:v>In Field</x:v>
      </x:c>
      <x:c r="I2913" s="37" t="n">
        <x:v>46098</x:v>
      </x:c>
      <x:c r="J2913" s="37" t="n">
        <x:v>46098</x:v>
      </x:c>
      <x:c r="K2913" s="19" t="str">
        <x:v>Dario Caravans - Pooraka</x:v>
      </x:c>
      <x:c r="L2913" s="19" t="str">
        <x:v>Z006</x:v>
      </x:c>
      <x:c r="M2913" s="19" t="str">
        <x:v>In Field Warranty Claims</x:v>
      </x:c>
      <x:c r="N2913" s="37" t="n">
        <x:v>46091</x:v>
      </x:c>
      <x:c r="O2913" s="37"/>
      <x:c r="P2913" s="34" t="n">
        <x:v>0</x:v>
      </x:c>
      <x:c r="Q2913" s="37" t="n">
        <x:v>46097.878969907404</x:v>
      </x:c>
    </x:row>
    <x:row r="2914">
      <x:c r="A2914" s="22" t="n">
        <x:v>32065</x:v>
      </x:c>
      <x:c r="B2914" s="28" t="n">
        <x:v>69.09</x:v>
      </x:c>
      <x:c r="C2914" s="28"/>
      <x:c r="D2914" s="31" t="str">
        <x:f>IF(OR(ISBLANK(B2914),ISBLANK(C2914),B2914=0),"",(C2914-B2914)/B2914)</x:f>
      </x:c>
      <x:c r="E2914" s="22" t="str">
        <x:f>IF(ISBLANK(C2914),"AmountIncludingTax缺失",IF(ABS(B2914-C2914)&lt;0.005,"一致","不一致"))</x:f>
        <x:v>AmountIncludingTax缺失</x:v>
      </x:c>
      <x:c r="F2914" s="19" t="str">
        <x:v>approved</x:v>
      </x:c>
      <x:c r="G2914" s="19" t="str">
        <x:v>Sales Order Approved</x:v>
      </x:c>
      <x:c r="H2914" s="19" t="str">
        <x:v>Pre Delivery</x:v>
      </x:c>
      <x:c r="I2914" s="37" t="n">
        <x:v>46135</x:v>
      </x:c>
      <x:c r="J2914" s="37" t="n">
        <x:v>46135</x:v>
      </x:c>
      <x:c r="K2914" s="19" t="str">
        <x:v>Auswide Caravans - South Nowra</x:v>
      </x:c>
      <x:c r="L2914" s="19" t="str">
        <x:v>Z005</x:v>
      </x:c>
      <x:c r="M2914" s="19" t="str">
        <x:v>Pre Delivery Warranty Claims</x:v>
      </x:c>
      <x:c r="N2914" s="37" t="n">
        <x:v>46091</x:v>
      </x:c>
      <x:c r="O2914" s="37"/>
      <x:c r="P2914" s="34" t="n">
        <x:v>0</x:v>
      </x:c>
      <x:c r="Q2914" s="37" t="n">
        <x:v>46134.93071759259</x:v>
      </x:c>
    </x:row>
    <x:row r="2915">
      <x:c r="A2915" s="22" t="n">
        <x:v>32064</x:v>
      </x:c>
      <x:c r="B2915" s="28" t="n">
        <x:v>69.09</x:v>
      </x:c>
      <x:c r="C2915" s="28"/>
      <x:c r="D2915" s="31" t="str">
        <x:f>IF(OR(ISBLANK(B2915),ISBLANK(C2915),B2915=0),"",(C2915-B2915)/B2915)</x:f>
      </x:c>
      <x:c r="E2915" s="22" t="str">
        <x:f>IF(ISBLANK(C2915),"AmountIncludingTax缺失",IF(ABS(B2915-C2915)&lt;0.005,"一致","不一致"))</x:f>
        <x:v>AmountIncludingTax缺失</x:v>
      </x:c>
      <x:c r="F2915" s="19" t="str">
        <x:v>approved</x:v>
      </x:c>
      <x:c r="G2915" s="19" t="str">
        <x:v>Repairer Invoiced Processed</x:v>
      </x:c>
      <x:c r="H2915" s="19" t="str">
        <x:v>In Field</x:v>
      </x:c>
      <x:c r="I2915" s="37" t="n">
        <x:v>46092</x:v>
      </x:c>
      <x:c r="J2915" s="37" t="n">
        <x:v>46092</x:v>
      </x:c>
      <x:c r="K2915" s="19" t="str">
        <x:v>Auswide Caravans - South Nowra</x:v>
      </x:c>
      <x:c r="L2915" s="19" t="str">
        <x:v>Z006</x:v>
      </x:c>
      <x:c r="M2915" s="19" t="str">
        <x:v>In Field Warranty Claims</x:v>
      </x:c>
      <x:c r="N2915" s="37" t="n">
        <x:v>46091</x:v>
      </x:c>
      <x:c r="O2915" s="37"/>
      <x:c r="P2915" s="34" t="n">
        <x:v>0</x:v>
      </x:c>
      <x:c r="Q2915" s="37" t="n">
        <x:v>46092.07067129629</x:v>
      </x:c>
    </x:row>
    <x:row r="2916">
      <x:c r="A2916" s="22" t="n">
        <x:v>32063</x:v>
      </x:c>
      <x:c r="B2916" s="28" t="n">
        <x:v>1490.82</x:v>
      </x:c>
      <x:c r="C2916" s="28"/>
      <x:c r="D2916" s="31" t="str">
        <x:f>IF(OR(ISBLANK(B2916),ISBLANK(C2916),B2916=0),"",(C2916-B2916)/B2916)</x:f>
      </x:c>
      <x:c r="E2916" s="22" t="str">
        <x:f>IF(ISBLANK(C2916),"AmountIncludingTax缺失",IF(ABS(B2916-C2916)&lt;0.005,"一致","不一致"))</x:f>
        <x:v>AmountIncludingTax缺失</x:v>
      </x:c>
      <x:c r="F2916" s="19" t="str">
        <x:v>approved</x:v>
      </x:c>
      <x:c r="G2916" s="19" t="str">
        <x:v>Sales Order Approved</x:v>
      </x:c>
      <x:c r="H2916" s="19" t="str">
        <x:v>Pre Delivery</x:v>
      </x:c>
      <x:c r="I2916" s="37" t="n">
        <x:v>46178</x:v>
      </x:c>
      <x:c r="J2916" s="37" t="n">
        <x:v>46178</x:v>
      </x:c>
      <x:c r="K2916" s="19" t="str">
        <x:v>The Caravan Hub - Townsville</x:v>
      </x:c>
      <x:c r="L2916" s="19" t="str">
        <x:v>Z005</x:v>
      </x:c>
      <x:c r="M2916" s="19" t="str">
        <x:v>Pre Delivery Warranty Claims</x:v>
      </x:c>
      <x:c r="N2916" s="37" t="n">
        <x:v>46091</x:v>
      </x:c>
      <x:c r="O2916" s="37"/>
      <x:c r="P2916" s="34" t="n">
        <x:v>0</x:v>
      </x:c>
      <x:c r="Q2916" s="37" t="n">
        <x:v>46178.168391203704</x:v>
      </x:c>
    </x:row>
    <x:row r="2917">
      <x:c r="A2917" s="22" t="n">
        <x:v>32062</x:v>
      </x:c>
      <x:c r="B2917" s="28" t="n">
        <x:v>150</x:v>
      </x:c>
      <x:c r="C2917" s="28" t="n">
        <x:v>165</x:v>
      </x:c>
      <x:c r="D2917" s="31" t="n">
        <x:f>IF(OR(ISBLANK(B2917),ISBLANK(C2917),B2917=0),"",(C2917-B2917)/B2917)</x:f>
        <x:v>0.1</x:v>
      </x:c>
      <x:c r="E2917" s="22" t="str">
        <x:f>IF(ISBLANK(C2917),"AmountIncludingTax缺失",IF(ABS(B2917-C2917)&lt;0.005,"一致","不一致"))</x:f>
        <x:v>不一致</x:v>
      </x:c>
      <x:c r="F2917" s="19" t="str">
        <x:v>approved</x:v>
      </x:c>
      <x:c r="G2917" s="19" t="str">
        <x:v>Repairer Invoiced Processed</x:v>
      </x:c>
      <x:c r="H2917" s="19" t="str">
        <x:v>In Field</x:v>
      </x:c>
      <x:c r="I2917" s="37" t="n">
        <x:v>46099</x:v>
      </x:c>
      <x:c r="J2917" s="37" t="n">
        <x:v>46099</x:v>
      </x:c>
      <x:c r="K2917" s="19" t="str">
        <x:v>Lesiure Lion-New Castle</x:v>
      </x:c>
      <x:c r="L2917" s="19" t="str">
        <x:v>Z006</x:v>
      </x:c>
      <x:c r="M2917" s="19" t="str">
        <x:v>In Field Warranty Claims</x:v>
      </x:c>
      <x:c r="N2917" s="37" t="n">
        <x:v>46091</x:v>
      </x:c>
      <x:c r="O2917" s="37"/>
      <x:c r="P2917" s="34" t="n">
        <x:v>165</x:v>
      </x:c>
      <x:c r="Q2917" s="37" t="n">
        <x:v>46099.09738425926</x:v>
      </x:c>
    </x:row>
    <x:row r="2918">
      <x:c r="A2918" s="22" t="n">
        <x:v>32061</x:v>
      </x:c>
      <x:c r="B2918" s="28" t="n">
        <x:v>768.75</x:v>
      </x:c>
      <x:c r="C2918" s="28"/>
      <x:c r="D2918" s="31" t="str">
        <x:f>IF(OR(ISBLANK(B2918),ISBLANK(C2918),B2918=0),"",(C2918-B2918)/B2918)</x:f>
      </x:c>
      <x:c r="E2918" s="22" t="str">
        <x:f>IF(ISBLANK(C2918),"AmountIncludingTax缺失",IF(ABS(B2918-C2918)&lt;0.005,"一致","不一致"))</x:f>
        <x:v>AmountIncludingTax缺失</x:v>
      </x:c>
      <x:c r="F2918" s="19" t="str">
        <x:v>approved</x:v>
      </x:c>
      <x:c r="G2918" s="19" t="str">
        <x:v>Repair in Progress</x:v>
      </x:c>
      <x:c r="H2918" s="19" t="str">
        <x:v>In Field</x:v>
      </x:c>
      <x:c r="I2918" s="37" t="n">
        <x:v>46094</x:v>
      </x:c>
      <x:c r="J2918" s="37" t="n">
        <x:v>46094</x:v>
      </x:c>
      <x:c r="K2918" s="19" t="str">
        <x:v>Leisure Lion Pty Ltd - Toowoomba</x:v>
      </x:c>
      <x:c r="L2918" s="19" t="str">
        <x:v>Z006</x:v>
      </x:c>
      <x:c r="M2918" s="19" t="str">
        <x:v>In Field Warranty Claims</x:v>
      </x:c>
      <x:c r="N2918" s="37" t="n">
        <x:v>46091</x:v>
      </x:c>
      <x:c r="O2918" s="37"/>
      <x:c r="P2918" s="34" t="n">
        <x:v>0</x:v>
      </x:c>
      <x:c r="Q2918" s="37" t="n">
        <x:v>46094.231944444444</x:v>
      </x:c>
    </x:row>
    <x:row r="2919">
      <x:c r="A2919" s="22" t="n">
        <x:v>32060</x:v>
      </x:c>
      <x:c r="B2919" s="28" t="n">
        <x:v>1800</x:v>
      </x:c>
      <x:c r="C2919" s="28"/>
      <x:c r="D2919" s="31" t="str">
        <x:f>IF(OR(ISBLANK(B2919),ISBLANK(C2919),B2919=0),"",(C2919-B2919)/B2919)</x:f>
      </x:c>
      <x:c r="E2919" s="22" t="str">
        <x:f>IF(ISBLANK(C2919),"AmountIncludingTax缺失",IF(ABS(B2919-C2919)&lt;0.005,"一致","不一致"))</x:f>
        <x:v>AmountIncludingTax缺失</x:v>
      </x:c>
      <x:c r="F2919" s="19" t="str">
        <x:v>approved</x:v>
      </x:c>
      <x:c r="G2919" s="19" t="str">
        <x:v>Sales Order Approved</x:v>
      </x:c>
      <x:c r="H2919" s="19" t="str">
        <x:v>Pre Delivery</x:v>
      </x:c>
      <x:c r="I2919" s="37" t="n">
        <x:v>46178</x:v>
      </x:c>
      <x:c r="J2919" s="37" t="n">
        <x:v>46178</x:v>
      </x:c>
      <x:c r="K2919" s="19" t="str">
        <x:v>The Caravan Hub - Townsville</x:v>
      </x:c>
      <x:c r="L2919" s="19" t="str">
        <x:v>Z005</x:v>
      </x:c>
      <x:c r="M2919" s="19" t="str">
        <x:v>Pre Delivery Warranty Claims</x:v>
      </x:c>
      <x:c r="N2919" s="37" t="n">
        <x:v>46091</x:v>
      </x:c>
      <x:c r="O2919" s="37"/>
      <x:c r="P2919" s="34" t="n">
        <x:v>0</x:v>
      </x:c>
      <x:c r="Q2919" s="37" t="n">
        <x:v>46177.97025462963</x:v>
      </x:c>
    </x:row>
    <x:row r="2920">
      <x:c r="A2920" s="22" t="n">
        <x:v>32059</x:v>
      </x:c>
      <x:c r="B2920" s="28" t="n">
        <x:v>2463.75</x:v>
      </x:c>
      <x:c r="C2920" s="28"/>
      <x:c r="D2920" s="31" t="str">
        <x:f>IF(OR(ISBLANK(B2920),ISBLANK(C2920),B2920=0),"",(C2920-B2920)/B2920)</x:f>
      </x:c>
      <x:c r="E2920" s="22" t="str">
        <x:f>IF(ISBLANK(C2920),"AmountIncludingTax缺失",IF(ABS(B2920-C2920)&lt;0.005,"一致","不一致"))</x:f>
        <x:v>AmountIncludingTax缺失</x:v>
      </x:c>
      <x:c r="F2920" s="19" t="str">
        <x:v>approved</x:v>
      </x:c>
      <x:c r="G2920" s="19" t="str">
        <x:v>Repair in Progress</x:v>
      </x:c>
      <x:c r="H2920" s="19" t="str">
        <x:v>In Field</x:v>
      </x:c>
      <x:c r="I2920" s="37" t="n">
        <x:v>46115</x:v>
      </x:c>
      <x:c r="J2920" s="37" t="n">
        <x:v>46115</x:v>
      </x:c>
      <x:c r="K2920" s="19" t="str">
        <x:v>Leisure Lion Pty Ltd - Toowoomba</x:v>
      </x:c>
      <x:c r="L2920" s="19" t="str">
        <x:v>Z006</x:v>
      </x:c>
      <x:c r="M2920" s="19" t="str">
        <x:v>In Field Warranty Claims</x:v>
      </x:c>
      <x:c r="N2920" s="37" t="n">
        <x:v>46091</x:v>
      </x:c>
      <x:c r="O2920" s="37"/>
      <x:c r="P2920" s="34" t="n">
        <x:v>0</x:v>
      </x:c>
      <x:c r="Q2920" s="37" t="n">
        <x:v>46115.326898148145</x:v>
      </x:c>
    </x:row>
    <x:row r="2921">
      <x:c r="A2921" s="22" t="n">
        <x:v>32058</x:v>
      </x:c>
      <x:c r="B2921" s="28" t="n">
        <x:v>276.36</x:v>
      </x:c>
      <x:c r="C2921" s="28"/>
      <x:c r="D2921" s="31" t="str">
        <x:f>IF(OR(ISBLANK(B2921),ISBLANK(C2921),B2921=0),"",(C2921-B2921)/B2921)</x:f>
      </x:c>
      <x:c r="E2921" s="22" t="str">
        <x:f>IF(ISBLANK(C2921),"AmountIncludingTax缺失",IF(ABS(B2921-C2921)&lt;0.005,"一致","不一致"))</x:f>
        <x:v>AmountIncludingTax缺失</x:v>
      </x:c>
      <x:c r="F2921" s="19" t="str">
        <x:v>approved</x:v>
      </x:c>
      <x:c r="G2921" s="19" t="str">
        <x:v>Repairer Invoiced Processed</x:v>
      </x:c>
      <x:c r="H2921" s="19" t="str">
        <x:v>Pre Delivery</x:v>
      </x:c>
      <x:c r="I2921" s="37" t="n">
        <x:v>46135</x:v>
      </x:c>
      <x:c r="J2921" s="37" t="n">
        <x:v>46135</x:v>
      </x:c>
      <x:c r="K2921" s="19" t="str">
        <x:v>Auswide Caravans - South Nowra</x:v>
      </x:c>
      <x:c r="L2921" s="19" t="str">
        <x:v>Z005</x:v>
      </x:c>
      <x:c r="M2921" s="19" t="str">
        <x:v>Pre Delivery Warranty Claims</x:v>
      </x:c>
      <x:c r="N2921" s="37" t="n">
        <x:v>46091</x:v>
      </x:c>
      <x:c r="O2921" s="37"/>
      <x:c r="P2921" s="34" t="n">
        <x:v>0</x:v>
      </x:c>
      <x:c r="Q2921" s="37" t="n">
        <x:v>46134.93033564815</x:v>
      </x:c>
    </x:row>
    <x:row r="2922">
      <x:c r="A2922" s="22" t="n">
        <x:v>32057</x:v>
      </x:c>
      <x:c r="B2922" s="28" t="n">
        <x:v>2029.25</x:v>
      </x:c>
      <x:c r="C2922" s="28"/>
      <x:c r="D2922" s="31" t="str">
        <x:f>IF(OR(ISBLANK(B2922),ISBLANK(C2922),B2922=0),"",(C2922-B2922)/B2922)</x:f>
      </x:c>
      <x:c r="E2922" s="22" t="str">
        <x:f>IF(ISBLANK(C2922),"AmountIncludingTax缺失",IF(ABS(B2922-C2922)&lt;0.005,"一致","不一致"))</x:f>
        <x:v>AmountIncludingTax缺失</x:v>
      </x:c>
      <x:c r="F2922" s="19" t="str">
        <x:v>approved</x:v>
      </x:c>
      <x:c r="G2922" s="19" t="str">
        <x:v>Repair in Progress</x:v>
      </x:c>
      <x:c r="H2922" s="19" t="str">
        <x:v>Pre Delivery</x:v>
      </x:c>
      <x:c r="I2922" s="37" t="n">
        <x:v>46169</x:v>
      </x:c>
      <x:c r="J2922" s="37" t="n">
        <x:v>46169</x:v>
      </x:c>
      <x:c r="K2922" s="19" t="str">
        <x:v>QCCC - Gympie</x:v>
      </x:c>
      <x:c r="L2922" s="19" t="str">
        <x:v>Z005</x:v>
      </x:c>
      <x:c r="M2922" s="19" t="str">
        <x:v>Pre Delivery Warranty Claims</x:v>
      </x:c>
      <x:c r="N2922" s="37" t="n">
        <x:v>46091</x:v>
      </x:c>
      <x:c r="O2922" s="37"/>
      <x:c r="P2922" s="34" t="n">
        <x:v>0</x:v>
      </x:c>
      <x:c r="Q2922" s="37" t="n">
        <x:v>46168.93424768518</x:v>
      </x:c>
    </x:row>
    <x:row r="2923">
      <x:c r="A2923" s="22" t="n">
        <x:v>32056</x:v>
      </x:c>
      <x:c r="B2923" s="28" t="n">
        <x:v>80</x:v>
      </x:c>
      <x:c r="C2923" s="28" t="n">
        <x:v>88</x:v>
      </x:c>
      <x:c r="D2923" s="31" t="n">
        <x:f>IF(OR(ISBLANK(B2923),ISBLANK(C2923),B2923=0),"",(C2923-B2923)/B2923)</x:f>
        <x:v>0.1</x:v>
      </x:c>
      <x:c r="E2923" s="22" t="str">
        <x:f>IF(ISBLANK(C2923),"AmountIncludingTax缺失",IF(ABS(B2923-C2923)&lt;0.005,"一致","不一致"))</x:f>
        <x:v>不一致</x:v>
      </x:c>
      <x:c r="F2923" s="19" t="str">
        <x:v>approved</x:v>
      </x:c>
      <x:c r="G2923" s="19" t="str">
        <x:v>Repairer Invoiced Processed</x:v>
      </x:c>
      <x:c r="H2923" s="19" t="str">
        <x:v>In Field</x:v>
      </x:c>
      <x:c r="I2923" s="37" t="n">
        <x:v>46174</x:v>
      </x:c>
      <x:c r="J2923" s="37" t="n">
        <x:v>46174</x:v>
      </x:c>
      <x:c r="K2923" s="19" t="str">
        <x:v>Auswide Caravans - South Nowra</x:v>
      </x:c>
      <x:c r="L2923" s="19" t="str">
        <x:v>Z006</x:v>
      </x:c>
      <x:c r="M2923" s="19" t="str">
        <x:v>In Field Warranty Claims</x:v>
      </x:c>
      <x:c r="N2923" s="37" t="n">
        <x:v>46091</x:v>
      </x:c>
      <x:c r="O2923" s="37"/>
      <x:c r="P2923" s="34" t="n">
        <x:v>88</x:v>
      </x:c>
      <x:c r="Q2923" s="37" t="n">
        <x:v>46174.1902662037</x:v>
      </x:c>
    </x:row>
    <x:row r="2924">
      <x:c r="A2924" s="22" t="n">
        <x:v>32055</x:v>
      </x:c>
      <x:c r="B2924" s="28" t="n">
        <x:v>536.25</x:v>
      </x:c>
      <x:c r="C2924" s="28"/>
      <x:c r="D2924" s="31" t="str">
        <x:f>IF(OR(ISBLANK(B2924),ISBLANK(C2924),B2924=0),"",(C2924-B2924)/B2924)</x:f>
      </x:c>
      <x:c r="E2924" s="22" t="str">
        <x:f>IF(ISBLANK(C2924),"AmountIncludingTax缺失",IF(ABS(B2924-C2924)&lt;0.005,"一致","不一致"))</x:f>
        <x:v>AmountIncludingTax缺失</x:v>
      </x:c>
      <x:c r="F2924" s="19" t="str">
        <x:v>approved</x:v>
      </x:c>
      <x:c r="G2924" s="19" t="str">
        <x:v>Repair in Progress</x:v>
      </x:c>
      <x:c r="H2924" s="19" t="str">
        <x:v>Pre Delivery</x:v>
      </x:c>
      <x:c r="I2924" s="37" t="n">
        <x:v>46155</x:v>
      </x:c>
      <x:c r="J2924" s="37" t="n">
        <x:v>46155</x:v>
      </x:c>
      <x:c r="K2924" s="19" t="str">
        <x:v>Regent RV - Toowoomba</x:v>
      </x:c>
      <x:c r="L2924" s="19" t="str">
        <x:v>Z005</x:v>
      </x:c>
      <x:c r="M2924" s="19" t="str">
        <x:v>Pre Delivery Warranty Claims</x:v>
      </x:c>
      <x:c r="N2924" s="37" t="n">
        <x:v>46091</x:v>
      </x:c>
      <x:c r="O2924" s="37"/>
      <x:c r="P2924" s="34" t="n">
        <x:v>0</x:v>
      </x:c>
      <x:c r="Q2924" s="37" t="n">
        <x:v>46155.50815972222</x:v>
      </x:c>
    </x:row>
    <x:row r="2925">
      <x:c r="A2925" s="22" t="n">
        <x:v>32054</x:v>
      </x:c>
      <x:c r="B2925" s="28" t="n">
        <x:v>101.25</x:v>
      </x:c>
      <x:c r="C2925" s="28"/>
      <x:c r="D2925" s="31" t="str">
        <x:f>IF(OR(ISBLANK(B2925),ISBLANK(C2925),B2925=0),"",(C2925-B2925)/B2925)</x:f>
      </x:c>
      <x:c r="E2925" s="22" t="str">
        <x:f>IF(ISBLANK(C2925),"AmountIncludingTax缺失",IF(ABS(B2925-C2925)&lt;0.005,"一致","不一致"))</x:f>
        <x:v>AmountIncludingTax缺失</x:v>
      </x:c>
      <x:c r="F2925" s="19" t="str">
        <x:v>approved</x:v>
      </x:c>
      <x:c r="G2925" s="19" t="str">
        <x:v>Repairer Invoiced Processed</x:v>
      </x:c>
      <x:c r="H2925" s="19" t="str">
        <x:v>Pre Delivery</x:v>
      </x:c>
      <x:c r="I2925" s="37" t="n">
        <x:v>46133</x:v>
      </x:c>
      <x:c r="J2925" s="37" t="n">
        <x:v>46133</x:v>
      </x:c>
      <x:c r="K2925" s="19" t="str">
        <x:v>Green RV - Slacks Creek</x:v>
      </x:c>
      <x:c r="L2925" s="19" t="str">
        <x:v>Z005</x:v>
      </x:c>
      <x:c r="M2925" s="19" t="str">
        <x:v>Pre Delivery Warranty Claims</x:v>
      </x:c>
      <x:c r="N2925" s="37" t="n">
        <x:v>46091</x:v>
      </x:c>
      <x:c r="O2925" s="37"/>
      <x:c r="P2925" s="34" t="n">
        <x:v>0</x:v>
      </x:c>
      <x:c r="Q2925" s="37" t="n">
        <x:v>46132.900416666664</x:v>
      </x:c>
    </x:row>
    <x:row r="2926">
      <x:c r="A2926" s="22" t="n">
        <x:v>32052</x:v>
      </x:c>
      <x:c r="B2926" s="28" t="n">
        <x:v>155</x:v>
      </x:c>
      <x:c r="C2926" s="28"/>
      <x:c r="D2926" s="31" t="str">
        <x:f>IF(OR(ISBLANK(B2926),ISBLANK(C2926),B2926=0),"",(C2926-B2926)/B2926)</x:f>
      </x:c>
      <x:c r="E2926" s="22" t="str">
        <x:f>IF(ISBLANK(C2926),"AmountIncludingTax缺失",IF(ABS(B2926-C2926)&lt;0.005,"一致","不一致"))</x:f>
        <x:v>AmountIncludingTax缺失</x:v>
      </x:c>
      <x:c r="F2926" s="19" t="str">
        <x:v>approved</x:v>
      </x:c>
      <x:c r="G2926" s="19" t="str">
        <x:v>Sales Order Approved</x:v>
      </x:c>
      <x:c r="H2926" s="19" t="str">
        <x:v>Pre Delivery</x:v>
      </x:c>
      <x:c r="I2926" s="37" t="n">
        <x:v>46197</x:v>
      </x:c>
      <x:c r="J2926" s="37" t="n">
        <x:v>46197</x:v>
      </x:c>
      <x:c r="K2926" s="19" t="str">
        <x:v>Snowy River Launceston</x:v>
      </x:c>
      <x:c r="L2926" s="19" t="str">
        <x:v>Z005</x:v>
      </x:c>
      <x:c r="M2926" s="19" t="str">
        <x:v>Pre Delivery Warranty Claims</x:v>
      </x:c>
      <x:c r="N2926" s="37" t="n">
        <x:v>46091</x:v>
      </x:c>
      <x:c r="O2926" s="37"/>
      <x:c r="P2926" s="34" t="n">
        <x:v>0</x:v>
      </x:c>
      <x:c r="Q2926" s="37" t="n">
        <x:v>46197.02074074074</x:v>
      </x:c>
    </x:row>
    <x:row r="2927">
      <x:c r="A2927" s="22" t="n">
        <x:v>32051</x:v>
      </x:c>
      <x:c r="B2927" s="28" t="n">
        <x:v>135</x:v>
      </x:c>
      <x:c r="C2927" s="28"/>
      <x:c r="D2927" s="31" t="str">
        <x:f>IF(OR(ISBLANK(B2927),ISBLANK(C2927),B2927=0),"",(C2927-B2927)/B2927)</x:f>
      </x:c>
      <x:c r="E2927" s="22" t="str">
        <x:f>IF(ISBLANK(C2927),"AmountIncludingTax缺失",IF(ABS(B2927-C2927)&lt;0.005,"一致","不一致"))</x:f>
        <x:v>AmountIncludingTax缺失</x:v>
      </x:c>
      <x:c r="F2927" s="19" t="str">
        <x:v>approved</x:v>
      </x:c>
      <x:c r="G2927" s="19" t="str">
        <x:v>Repairer Invoiced Processed</x:v>
      </x:c>
      <x:c r="H2927" s="19" t="str">
        <x:v>In Field</x:v>
      </x:c>
      <x:c r="I2927" s="37" t="n">
        <x:v>46107</x:v>
      </x:c>
      <x:c r="J2927" s="37" t="n">
        <x:v>46107</x:v>
      </x:c>
      <x:c r="K2927" s="19" t="str">
        <x:v>Regent RV - Frankston</x:v>
      </x:c>
      <x:c r="L2927" s="19" t="str">
        <x:v>Z006</x:v>
      </x:c>
      <x:c r="M2927" s="19" t="str">
        <x:v>In Field Warranty Claims</x:v>
      </x:c>
      <x:c r="N2927" s="37" t="n">
        <x:v>46091</x:v>
      </x:c>
      <x:c r="O2927" s="37"/>
      <x:c r="P2927" s="34" t="n">
        <x:v>0</x:v>
      </x:c>
      <x:c r="Q2927" s="37" t="n">
        <x:v>46106.93424768518</x:v>
      </x:c>
    </x:row>
    <x:row r="2928">
      <x:c r="A2928" s="22" t="n">
        <x:v>32050</x:v>
      </x:c>
      <x:c r="B2928" s="28" t="n">
        <x:v>657.5</x:v>
      </x:c>
      <x:c r="C2928" s="28"/>
      <x:c r="D2928" s="31" t="str">
        <x:f>IF(OR(ISBLANK(B2928),ISBLANK(C2928),B2928=0),"",(C2928-B2928)/B2928)</x:f>
      </x:c>
      <x:c r="E2928" s="22" t="str">
        <x:f>IF(ISBLANK(C2928),"AmountIncludingTax缺失",IF(ABS(B2928-C2928)&lt;0.005,"一致","不一致"))</x:f>
        <x:v>AmountIncludingTax缺失</x:v>
      </x:c>
      <x:c r="F2928" s="19" t="str">
        <x:v>approved</x:v>
      </x:c>
      <x:c r="G2928" s="19" t="str">
        <x:v>Repairer Invoiced Processed</x:v>
      </x:c>
      <x:c r="H2928" s="19" t="str">
        <x:v>Pre Delivery</x:v>
      </x:c>
      <x:c r="I2928" s="37" t="n">
        <x:v>46134</x:v>
      </x:c>
      <x:c r="J2928" s="37" t="n">
        <x:v>46134</x:v>
      </x:c>
      <x:c r="K2928" s="19" t="str">
        <x:v>Snowy River Launceston</x:v>
      </x:c>
      <x:c r="L2928" s="19" t="str">
        <x:v>Z005</x:v>
      </x:c>
      <x:c r="M2928" s="19" t="str">
        <x:v>Pre Delivery Warranty Claims</x:v>
      </x:c>
      <x:c r="N2928" s="37" t="n">
        <x:v>46091</x:v>
      </x:c>
      <x:c r="O2928" s="37"/>
      <x:c r="P2928" s="34" t="n">
        <x:v>0</x:v>
      </x:c>
      <x:c r="Q2928" s="37" t="n">
        <x:v>46134.005902777775</x:v>
      </x:c>
    </x:row>
    <x:row r="2929">
      <x:c r="A2929" s="22" t="n">
        <x:v>32049</x:v>
      </x:c>
      <x:c r="B2929" s="28" t="n">
        <x:v>145</x:v>
      </x:c>
      <x:c r="C2929" s="28"/>
      <x:c r="D2929" s="31" t="str">
        <x:f>IF(OR(ISBLANK(B2929),ISBLANK(C2929),B2929=0),"",(C2929-B2929)/B2929)</x:f>
      </x:c>
      <x:c r="E2929" s="22" t="str">
        <x:f>IF(ISBLANK(C2929),"AmountIncludingTax缺失",IF(ABS(B2929-C2929)&lt;0.005,"一致","不一致"))</x:f>
        <x:v>AmountIncludingTax缺失</x:v>
      </x:c>
      <x:c r="F2929" s="19" t="str">
        <x:v>approved</x:v>
      </x:c>
      <x:c r="G2929" s="19" t="str">
        <x:v>Repair in Progress</x:v>
      </x:c>
      <x:c r="H2929" s="19" t="str">
        <x:v>In Field</x:v>
      </x:c>
      <x:c r="I2929" s="37" t="n">
        <x:v>46091</x:v>
      </x:c>
      <x:c r="J2929" s="37" t="n">
        <x:v>46091</x:v>
      </x:c>
      <x:c r="K2929" s="19" t="str">
        <x:v>The Caravan Hub - Townsville</x:v>
      </x:c>
      <x:c r="L2929" s="19" t="str">
        <x:v>Z006</x:v>
      </x:c>
      <x:c r="M2929" s="19" t="str">
        <x:v>In Field Warranty Claims</x:v>
      </x:c>
      <x:c r="N2929" s="37" t="n">
        <x:v>46091</x:v>
      </x:c>
      <x:c r="O2929" s="37"/>
      <x:c r="P2929" s="34" t="n">
        <x:v>0</x:v>
      </x:c>
      <x:c r="Q2929" s="37" t="n">
        <x:v>46091.21971064815</x:v>
      </x:c>
    </x:row>
    <x:row r="2930">
      <x:c r="A2930" s="22" t="n">
        <x:v>32048</x:v>
      </x:c>
      <x:c r="B2930" s="28" t="n">
        <x:v>38.75</x:v>
      </x:c>
      <x:c r="C2930" s="28"/>
      <x:c r="D2930" s="31" t="str">
        <x:f>IF(OR(ISBLANK(B2930),ISBLANK(C2930),B2930=0),"",(C2930-B2930)/B2930)</x:f>
      </x:c>
      <x:c r="E2930" s="22" t="str">
        <x:f>IF(ISBLANK(C2930),"AmountIncludingTax缺失",IF(ABS(B2930-C2930)&lt;0.005,"一致","不一致"))</x:f>
        <x:v>AmountIncludingTax缺失</x:v>
      </x:c>
      <x:c r="F2930" s="19" t="str">
        <x:v>approved</x:v>
      </x:c>
      <x:c r="G2930" s="19" t="str">
        <x:v>Repairer Invoiced Processed</x:v>
      </x:c>
      <x:c r="H2930" s="19" t="str">
        <x:v>Pre Delivery</x:v>
      </x:c>
      <x:c r="I2930" s="37" t="n">
        <x:v>46135</x:v>
      </x:c>
      <x:c r="J2930" s="37" t="n">
        <x:v>46135</x:v>
      </x:c>
      <x:c r="K2930" s="19" t="str">
        <x:v>Snowy River Launceston</x:v>
      </x:c>
      <x:c r="L2930" s="19" t="str">
        <x:v>Z005</x:v>
      </x:c>
      <x:c r="M2930" s="19" t="str">
        <x:v>Pre Delivery Warranty Claims</x:v>
      </x:c>
      <x:c r="N2930" s="37" t="n">
        <x:v>46091</x:v>
      </x:c>
      <x:c r="O2930" s="37"/>
      <x:c r="P2930" s="34" t="n">
        <x:v>0</x:v>
      </x:c>
      <x:c r="Q2930" s="37" t="n">
        <x:v>46134.931076388886</x:v>
      </x:c>
    </x:row>
    <x:row r="2931">
      <x:c r="A2931" s="22" t="n">
        <x:v>32047</x:v>
      </x:c>
      <x:c r="B2931" s="28" t="n">
        <x:v>1080</x:v>
      </x:c>
      <x:c r="C2931" s="28"/>
      <x:c r="D2931" s="31" t="str">
        <x:f>IF(OR(ISBLANK(B2931),ISBLANK(C2931),B2931=0),"",(C2931-B2931)/B2931)</x:f>
      </x:c>
      <x:c r="E2931" s="22" t="str">
        <x:f>IF(ISBLANK(C2931),"AmountIncludingTax缺失",IF(ABS(B2931-C2931)&lt;0.005,"一致","不一致"))</x:f>
        <x:v>AmountIncludingTax缺失</x:v>
      </x:c>
      <x:c r="F2931" s="19" t="str">
        <x:v>approved</x:v>
      </x:c>
      <x:c r="G2931" s="19" t="str">
        <x:v>Repairer Invoiced Processed</x:v>
      </x:c>
      <x:c r="H2931" s="19" t="str">
        <x:v>In Field</x:v>
      </x:c>
      <x:c r="I2931" s="37" t="n">
        <x:v>46097</x:v>
      </x:c>
      <x:c r="J2931" s="37" t="n">
        <x:v>46097</x:v>
      </x:c>
      <x:c r="K2931" s="19" t="str">
        <x:v>Leisure Lion Pty Ltd - Toowoomba</x:v>
      </x:c>
      <x:c r="L2931" s="19" t="str">
        <x:v>Z006</x:v>
      </x:c>
      <x:c r="M2931" s="19" t="str">
        <x:v>In Field Warranty Claims</x:v>
      </x:c>
      <x:c r="N2931" s="37" t="n">
        <x:v>46091</x:v>
      </x:c>
      <x:c r="O2931" s="37"/>
      <x:c r="P2931" s="34" t="n">
        <x:v>1188</x:v>
      </x:c>
      <x:c r="Q2931" s="37" t="n">
        <x:v>46097.05212962963</x:v>
      </x:c>
    </x:row>
    <x:row r="2932">
      <x:c r="A2932" s="22" t="n">
        <x:v>32046</x:v>
      </x:c>
      <x:c r="B2932" s="28" t="n">
        <x:v>345</x:v>
      </x:c>
      <x:c r="C2932" s="28"/>
      <x:c r="D2932" s="31" t="str">
        <x:f>IF(OR(ISBLANK(B2932),ISBLANK(C2932),B2932=0),"",(C2932-B2932)/B2932)</x:f>
      </x:c>
      <x:c r="E2932" s="22" t="str">
        <x:f>IF(ISBLANK(C2932),"AmountIncludingTax缺失",IF(ABS(B2932-C2932)&lt;0.005,"一致","不一致"))</x:f>
        <x:v>AmountIncludingTax缺失</x:v>
      </x:c>
      <x:c r="F2932" s="19" t="str">
        <x:v>approved</x:v>
      </x:c>
      <x:c r="G2932" s="19" t="str">
        <x:v>Repairer Invoiced Processed</x:v>
      </x:c>
      <x:c r="H2932" s="19" t="str">
        <x:v>Pre Delivery</x:v>
      </x:c>
      <x:c r="I2932" s="37" t="n">
        <x:v>46134</x:v>
      </x:c>
      <x:c r="J2932" s="37" t="n">
        <x:v>46134</x:v>
      </x:c>
      <x:c r="K2932" s="19" t="str">
        <x:v>Snowy River Launceston</x:v>
      </x:c>
      <x:c r="L2932" s="19" t="str">
        <x:v>Z005</x:v>
      </x:c>
      <x:c r="M2932" s="19" t="str">
        <x:v>Pre Delivery Warranty Claims</x:v>
      </x:c>
      <x:c r="N2932" s="37" t="n">
        <x:v>46091</x:v>
      </x:c>
      <x:c r="O2932" s="37"/>
      <x:c r="P2932" s="34" t="n">
        <x:v>0</x:v>
      </x:c>
      <x:c r="Q2932" s="37" t="n">
        <x:v>46134.012604166666</x:v>
      </x:c>
    </x:row>
    <x:row r="2933">
      <x:c r="A2933" s="22" t="n">
        <x:v>32045</x:v>
      </x:c>
      <x:c r="B2933" s="28" t="n">
        <x:v>135</x:v>
      </x:c>
      <x:c r="C2933" s="28"/>
      <x:c r="D2933" s="31" t="str">
        <x:f>IF(OR(ISBLANK(B2933),ISBLANK(C2933),B2933=0),"",(C2933-B2933)/B2933)</x:f>
      </x:c>
      <x:c r="E2933" s="22" t="str">
        <x:f>IF(ISBLANK(C2933),"AmountIncludingTax缺失",IF(ABS(B2933-C2933)&lt;0.005,"一致","不一致"))</x:f>
        <x:v>AmountIncludingTax缺失</x:v>
      </x:c>
      <x:c r="F2933" s="19" t="str">
        <x:v>unapproved_closed</x:v>
      </x:c>
      <x:c r="G2933" s="19" t="str">
        <x:v>Unapproved Claims Closed (Closed)</x:v>
      </x:c>
      <x:c r="H2933" s="19" t="str">
        <x:v>Pre Delivery</x:v>
      </x:c>
      <x:c r="I2933" s="37" t="n">
        <x:v>46139</x:v>
      </x:c>
      <x:c r="J2933" s="37" t="n">
        <x:v>46139</x:v>
      </x:c>
      <x:c r="K2933" s="19" t="str">
        <x:v>Regent RV - Perth</x:v>
      </x:c>
      <x:c r="L2933" s="19" t="str">
        <x:v>Z005</x:v>
      </x:c>
      <x:c r="M2933" s="19" t="str">
        <x:v>Pre Delivery Warranty Claims</x:v>
      </x:c>
      <x:c r="N2933" s="37" t="n">
        <x:v>46091</x:v>
      </x:c>
      <x:c r="O2933" s="37" t="n">
        <x:v>46139</x:v>
      </x:c>
      <x:c r="P2933" s="34" t="n">
        <x:v>0</x:v>
      </x:c>
      <x:c r="Q2933" s="37" t="n">
        <x:v>46139.019467592596</x:v>
      </x:c>
    </x:row>
    <x:row r="2934">
      <x:c r="A2934" s="22" t="n">
        <x:v>32044</x:v>
      </x:c>
      <x:c r="B2934" s="28" t="n">
        <x:v>101.25</x:v>
      </x:c>
      <x:c r="C2934" s="28"/>
      <x:c r="D2934" s="31" t="str">
        <x:f>IF(OR(ISBLANK(B2934),ISBLANK(C2934),B2934=0),"",(C2934-B2934)/B2934)</x:f>
      </x:c>
      <x:c r="E2934" s="22" t="str">
        <x:f>IF(ISBLANK(C2934),"AmountIncludingTax缺失",IF(ABS(B2934-C2934)&lt;0.005,"一致","不一致"))</x:f>
        <x:v>AmountIncludingTax缺失</x:v>
      </x:c>
      <x:c r="F2934" s="19" t="str">
        <x:v>approved</x:v>
      </x:c>
      <x:c r="G2934" s="19" t="str">
        <x:v>Repairer Invoiced Processed</x:v>
      </x:c>
      <x:c r="H2934" s="19" t="str">
        <x:v>In Field</x:v>
      </x:c>
      <x:c r="I2934" s="37" t="n">
        <x:v>46093</x:v>
      </x:c>
      <x:c r="J2934" s="37" t="n">
        <x:v>46093</x:v>
      </x:c>
      <x:c r="K2934" s="19" t="str">
        <x:v>Regent RV - Frankston</x:v>
      </x:c>
      <x:c r="L2934" s="19" t="str">
        <x:v>Z006</x:v>
      </x:c>
      <x:c r="M2934" s="19" t="str">
        <x:v>In Field Warranty Claims</x:v>
      </x:c>
      <x:c r="N2934" s="37" t="n">
        <x:v>46091</x:v>
      </x:c>
      <x:c r="O2934" s="37"/>
      <x:c r="P2934" s="34" t="n">
        <x:v>0</x:v>
      </x:c>
      <x:c r="Q2934" s="37" t="n">
        <x:v>46093.26259259259</x:v>
      </x:c>
    </x:row>
    <x:row r="2935">
      <x:c r="A2935" s="22" t="n">
        <x:v>32043</x:v>
      </x:c>
      <x:c r="B2935" s="28" t="n">
        <x:v>648.18</x:v>
      </x:c>
      <x:c r="C2935" s="28" t="n">
        <x:v>713</x:v>
      </x:c>
      <x:c r="D2935" s="31" t="n">
        <x:f>IF(OR(ISBLANK(B2935),ISBLANK(C2935),B2935=0),"",(C2935-B2935)/B2935)</x:f>
        <x:v>0.10000308556265243</x:v>
      </x:c>
      <x:c r="E2935" s="22" t="str">
        <x:f>IF(ISBLANK(C2935),"AmountIncludingTax缺失",IF(ABS(B2935-C2935)&lt;0.005,"一致","不一致"))</x:f>
        <x:v>不一致</x:v>
      </x:c>
      <x:c r="F2935" s="19" t="str">
        <x:v>approved</x:v>
      </x:c>
      <x:c r="G2935" s="19" t="str">
        <x:v>Repair in Progress</x:v>
      </x:c>
      <x:c r="H2935" s="19" t="str">
        <x:v>In Field</x:v>
      </x:c>
      <x:c r="I2935" s="37" t="n">
        <x:v>46134</x:v>
      </x:c>
      <x:c r="J2935" s="37" t="n">
        <x:v>46134</x:v>
      </x:c>
      <x:c r="K2935" s="19" t="str">
        <x:v>Regent RV - Perth</x:v>
      </x:c>
      <x:c r="L2935" s="19" t="str">
        <x:v>Z006</x:v>
      </x:c>
      <x:c r="M2935" s="19" t="str">
        <x:v>In Field Warranty Claims</x:v>
      </x:c>
      <x:c r="N2935" s="37" t="n">
        <x:v>46091</x:v>
      </x:c>
      <x:c r="O2935" s="37" t="n">
        <x:v>46120</x:v>
      </x:c>
      <x:c r="P2935" s="34" t="n">
        <x:v>713</x:v>
      </x:c>
      <x:c r="Q2935" s="37" t="n">
        <x:v>46133.930231481485</x:v>
      </x:c>
    </x:row>
    <x:row r="2936">
      <x:c r="A2936" s="22" t="n">
        <x:v>32042</x:v>
      </x:c>
      <x:c r="B2936" s="28" t="n">
        <x:v>675</x:v>
      </x:c>
      <x:c r="C2936" s="28"/>
      <x:c r="D2936" s="31" t="str">
        <x:f>IF(OR(ISBLANK(B2936),ISBLANK(C2936),B2936=0),"",(C2936-B2936)/B2936)</x:f>
      </x:c>
      <x:c r="E2936" s="22" t="str">
        <x:f>IF(ISBLANK(C2936),"AmountIncludingTax缺失",IF(ABS(B2936-C2936)&lt;0.005,"一致","不一致"))</x:f>
        <x:v>AmountIncludingTax缺失</x:v>
      </x:c>
      <x:c r="F2936" s="19" t="str">
        <x:v>approved</x:v>
      </x:c>
      <x:c r="G2936" s="19" t="str">
        <x:v>Repair in Progress</x:v>
      </x:c>
      <x:c r="H2936" s="19" t="str">
        <x:v>In Field</x:v>
      </x:c>
      <x:c r="I2936" s="37" t="n">
        <x:v>46092</x:v>
      </x:c>
      <x:c r="J2936" s="37" t="n">
        <x:v>46092</x:v>
      </x:c>
      <x:c r="K2936" s="19" t="str">
        <x:v>QCCC - Gympie</x:v>
      </x:c>
      <x:c r="L2936" s="19" t="str">
        <x:v>Z006</x:v>
      </x:c>
      <x:c r="M2936" s="19" t="str">
        <x:v>In Field Warranty Claims</x:v>
      </x:c>
      <x:c r="N2936" s="37" t="n">
        <x:v>46091</x:v>
      </x:c>
      <x:c r="O2936" s="37"/>
      <x:c r="P2936" s="34" t="n">
        <x:v>0</x:v>
      </x:c>
      <x:c r="Q2936" s="37" t="n">
        <x:v>46092.149930555555</x:v>
      </x:c>
    </x:row>
    <x:row r="2937">
      <x:c r="A2937" s="22" t="n">
        <x:v>32041</x:v>
      </x:c>
      <x:c r="B2937" s="28" t="n">
        <x:v>897.5</x:v>
      </x:c>
      <x:c r="C2937" s="28"/>
      <x:c r="D2937" s="31" t="str">
        <x:f>IF(OR(ISBLANK(B2937),ISBLANK(C2937),B2937=0),"",(C2937-B2937)/B2937)</x:f>
      </x:c>
      <x:c r="E2937" s="22" t="str">
        <x:f>IF(ISBLANK(C2937),"AmountIncludingTax缺失",IF(ABS(B2937-C2937)&lt;0.005,"一致","不一致"))</x:f>
        <x:v>AmountIncludingTax缺失</x:v>
      </x:c>
      <x:c r="F2937" s="19" t="str">
        <x:v>approved</x:v>
      </x:c>
      <x:c r="G2937" s="19" t="str">
        <x:v>Repair in Progress</x:v>
      </x:c>
      <x:c r="H2937" s="19" t="str">
        <x:v>In Field</x:v>
      </x:c>
      <x:c r="I2937" s="37" t="n">
        <x:v>46098</x:v>
      </x:c>
      <x:c r="J2937" s="37" t="n">
        <x:v>46098</x:v>
      </x:c>
      <x:c r="K2937" s="19" t="str">
        <x:v>Regent RV - Frankston</x:v>
      </x:c>
      <x:c r="L2937" s="19" t="str">
        <x:v>Z006</x:v>
      </x:c>
      <x:c r="M2937" s="19" t="str">
        <x:v>In Field Warranty Claims</x:v>
      </x:c>
      <x:c r="N2937" s="37" t="n">
        <x:v>46090</x:v>
      </x:c>
      <x:c r="O2937" s="37"/>
      <x:c r="P2937" s="34" t="n">
        <x:v>0</x:v>
      </x:c>
      <x:c r="Q2937" s="37" t="n">
        <x:v>46097.94211805556</x:v>
      </x:c>
    </x:row>
    <x:row r="2938">
      <x:c r="A2938" s="22" t="n">
        <x:v>32040</x:v>
      </x:c>
      <x:c r="B2938" s="28" t="n">
        <x:v>135</x:v>
      </x:c>
      <x:c r="C2938" s="28"/>
      <x:c r="D2938" s="31" t="str">
        <x:f>IF(OR(ISBLANK(B2938),ISBLANK(C2938),B2938=0),"",(C2938-B2938)/B2938)</x:f>
      </x:c>
      <x:c r="E2938" s="22" t="str">
        <x:f>IF(ISBLANK(C2938),"AmountIncludingTax缺失",IF(ABS(B2938-C2938)&lt;0.005,"一致","不一致"))</x:f>
        <x:v>AmountIncludingTax缺失</x:v>
      </x:c>
      <x:c r="F2938" s="19" t="str">
        <x:v>approved</x:v>
      </x:c>
      <x:c r="G2938" s="19" t="str">
        <x:v>Repair in Progress</x:v>
      </x:c>
      <x:c r="H2938" s="19" t="str">
        <x:v>Pre Delivery</x:v>
      </x:c>
      <x:c r="I2938" s="37" t="n">
        <x:v>46122</x:v>
      </x:c>
      <x:c r="J2938" s="37" t="n">
        <x:v>46122</x:v>
      </x:c>
      <x:c r="K2938" s="19" t="str">
        <x:v>Regent RV - Perth</x:v>
      </x:c>
      <x:c r="L2938" s="19" t="str">
        <x:v>Z005</x:v>
      </x:c>
      <x:c r="M2938" s="19" t="str">
        <x:v>Pre Delivery Warranty Claims</x:v>
      </x:c>
      <x:c r="N2938" s="37" t="n">
        <x:v>46091</x:v>
      </x:c>
      <x:c r="O2938" s="37"/>
      <x:c r="P2938" s="34" t="n">
        <x:v>0</x:v>
      </x:c>
      <x:c r="Q2938" s="37" t="n">
        <x:v>46121.97589120371</x:v>
      </x:c>
    </x:row>
    <x:row r="2939">
      <x:c r="A2939" s="22" t="n">
        <x:v>32039</x:v>
      </x:c>
      <x:c r="B2939" s="28" t="n">
        <x:v>135</x:v>
      </x:c>
      <x:c r="C2939" s="28"/>
      <x:c r="D2939" s="31" t="str">
        <x:f>IF(OR(ISBLANK(B2939),ISBLANK(C2939),B2939=0),"",(C2939-B2939)/B2939)</x:f>
      </x:c>
      <x:c r="E2939" s="22" t="str">
        <x:f>IF(ISBLANK(C2939),"AmountIncludingTax缺失",IF(ABS(B2939-C2939)&lt;0.005,"一致","不一致"))</x:f>
        <x:v>AmountIncludingTax缺失</x:v>
      </x:c>
      <x:c r="F2939" s="19" t="str">
        <x:v>approved</x:v>
      </x:c>
      <x:c r="G2939" s="19" t="str">
        <x:v>Sales Order Approved</x:v>
      </x:c>
      <x:c r="H2939" s="19" t="str">
        <x:v>In Field</x:v>
      </x:c>
      <x:c r="I2939" s="37" t="n">
        <x:v>46200</x:v>
      </x:c>
      <x:c r="J2939" s="37" t="n">
        <x:v>46097</x:v>
      </x:c>
      <x:c r="K2939" s="19" t="str">
        <x:v>Not Assigned</x:v>
      </x:c>
      <x:c r="L2939" s="19" t="str">
        <x:v>Z006</x:v>
      </x:c>
      <x:c r="M2939" s="19" t="str">
        <x:v>In Field Warranty Claims</x:v>
      </x:c>
      <x:c r="N2939" s="37" t="n">
        <x:v>46091</x:v>
      </x:c>
      <x:c r="O2939" s="37"/>
      <x:c r="P2939" s="34" t="n">
        <x:v>0</x:v>
      </x:c>
      <x:c r="Q2939" s="37" t="n">
        <x:v>46200.435891203706</x:v>
      </x:c>
    </x:row>
    <x:row r="2940">
      <x:c r="A2940" s="22" t="n">
        <x:v>32038</x:v>
      </x:c>
      <x:c r="B2940" s="28" t="n">
        <x:v>1086.25</x:v>
      </x:c>
      <x:c r="C2940" s="28"/>
      <x:c r="D2940" s="31" t="str">
        <x:f>IF(OR(ISBLANK(B2940),ISBLANK(C2940),B2940=0),"",(C2940-B2940)/B2940)</x:f>
      </x:c>
      <x:c r="E2940" s="22" t="str">
        <x:f>IF(ISBLANK(C2940),"AmountIncludingTax缺失",IF(ABS(B2940-C2940)&lt;0.005,"一致","不一致"))</x:f>
        <x:v>AmountIncludingTax缺失</x:v>
      </x:c>
      <x:c r="F2940" s="19" t="str">
        <x:v>approved</x:v>
      </x:c>
      <x:c r="G2940" s="19" t="str">
        <x:v>Repairer Invoiced Processed</x:v>
      </x:c>
      <x:c r="H2940" s="19" t="str">
        <x:v>Pre Delivery</x:v>
      </x:c>
      <x:c r="I2940" s="37" t="n">
        <x:v>46135</x:v>
      </x:c>
      <x:c r="J2940" s="37" t="n">
        <x:v>46135</x:v>
      </x:c>
      <x:c r="K2940" s="19" t="str">
        <x:v>Snowy River Launceston</x:v>
      </x:c>
      <x:c r="L2940" s="19" t="str">
        <x:v>Z005</x:v>
      </x:c>
      <x:c r="M2940" s="19" t="str">
        <x:v>Pre Delivery Warranty Claims</x:v>
      </x:c>
      <x:c r="N2940" s="37" t="n">
        <x:v>46091</x:v>
      </x:c>
      <x:c r="O2940" s="37"/>
      <x:c r="P2940" s="34" t="n">
        <x:v>0</x:v>
      </x:c>
      <x:c r="Q2940" s="37" t="n">
        <x:v>46134.94616898148</x:v>
      </x:c>
    </x:row>
    <x:row r="2941">
      <x:c r="A2941" s="22" t="n">
        <x:v>32035</x:v>
      </x:c>
      <x:c r="B2941" s="28" t="n">
        <x:v>735</x:v>
      </x:c>
      <x:c r="C2941" s="28"/>
      <x:c r="D2941" s="31" t="str">
        <x:f>IF(OR(ISBLANK(B2941),ISBLANK(C2941),B2941=0),"",(C2941-B2941)/B2941)</x:f>
      </x:c>
      <x:c r="E2941" s="22" t="str">
        <x:f>IF(ISBLANK(C2941),"AmountIncludingTax缺失",IF(ABS(B2941-C2941)&lt;0.005,"一致","不一致"))</x:f>
        <x:v>AmountIncludingTax缺失</x:v>
      </x:c>
      <x:c r="F2941" s="19" t="str">
        <x:v>approved</x:v>
      </x:c>
      <x:c r="G2941" s="19" t="str">
        <x:v>Sales Order Approved</x:v>
      </x:c>
      <x:c r="H2941" s="19" t="str">
        <x:v>Pre Delivery</x:v>
      </x:c>
      <x:c r="I2941" s="37" t="n">
        <x:v>46134</x:v>
      </x:c>
      <x:c r="J2941" s="37" t="n">
        <x:v>46134</x:v>
      </x:c>
      <x:c r="K2941" s="19" t="str">
        <x:v>Snowy River Launceston</x:v>
      </x:c>
      <x:c r="L2941" s="19" t="str">
        <x:v>Z005</x:v>
      </x:c>
      <x:c r="M2941" s="19" t="str">
        <x:v>Pre Delivery Warranty Claims</x:v>
      </x:c>
      <x:c r="N2941" s="37" t="n">
        <x:v>46090</x:v>
      </x:c>
      <x:c r="O2941" s="37"/>
      <x:c r="P2941" s="34" t="n">
        <x:v>0</x:v>
      </x:c>
      <x:c r="Q2941" s="37" t="n">
        <x:v>46134.015914351854</x:v>
      </x:c>
    </x:row>
    <x:row r="2942">
      <x:c r="A2942" s="22" t="n">
        <x:v>32034</x:v>
      </x:c>
      <x:c r="B2942" s="28" t="n">
        <x:v>405</x:v>
      </x:c>
      <x:c r="C2942" s="28"/>
      <x:c r="D2942" s="31" t="str">
        <x:f>IF(OR(ISBLANK(B2942),ISBLANK(C2942),B2942=0),"",(C2942-B2942)/B2942)</x:f>
      </x:c>
      <x:c r="E2942" s="22" t="str">
        <x:f>IF(ISBLANK(C2942),"AmountIncludingTax缺失",IF(ABS(B2942-C2942)&lt;0.005,"一致","不一致"))</x:f>
        <x:v>AmountIncludingTax缺失</x:v>
      </x:c>
      <x:c r="F2942" s="19" t="str">
        <x:v>approved</x:v>
      </x:c>
      <x:c r="G2942" s="19" t="str">
        <x:v>Repairer Invoiced Processed</x:v>
      </x:c>
      <x:c r="H2942" s="19" t="str">
        <x:v>In Field</x:v>
      </x:c>
      <x:c r="I2942" s="37" t="n">
        <x:v>46125</x:v>
      </x:c>
      <x:c r="J2942" s="37" t="n">
        <x:v>46125</x:v>
      </x:c>
      <x:c r="K2942" s="19" t="str">
        <x:v>Not Assigned</x:v>
      </x:c>
      <x:c r="L2942" s="19" t="str">
        <x:v>Z006</x:v>
      </x:c>
      <x:c r="M2942" s="19" t="str">
        <x:v>In Field Warranty Claims</x:v>
      </x:c>
      <x:c r="N2942" s="37" t="n">
        <x:v>46090</x:v>
      </x:c>
      <x:c r="O2942" s="37" t="n">
        <x:v>46104</x:v>
      </x:c>
      <x:c r="P2942" s="34" t="n">
        <x:v>0</x:v>
      </x:c>
      <x:c r="Q2942" s="37" t="n">
        <x:v>46125.075219907405</x:v>
      </x:c>
    </x:row>
    <x:row r="2943">
      <x:c r="A2943" s="22" t="n">
        <x:v>32031</x:v>
      </x:c>
      <x:c r="B2943" s="28" t="n">
        <x:v>337.5</x:v>
      </x:c>
      <x:c r="C2943" s="28"/>
      <x:c r="D2943" s="31" t="str">
        <x:f>IF(OR(ISBLANK(B2943),ISBLANK(C2943),B2943=0),"",(C2943-B2943)/B2943)</x:f>
      </x:c>
      <x:c r="E2943" s="22" t="str">
        <x:f>IF(ISBLANK(C2943),"AmountIncludingTax缺失",IF(ABS(B2943-C2943)&lt;0.005,"一致","不一致"))</x:f>
        <x:v>AmountIncludingTax缺失</x:v>
      </x:c>
      <x:c r="F2943" s="19" t="str">
        <x:v>approved</x:v>
      </x:c>
      <x:c r="G2943" s="19" t="str">
        <x:v>Repair in Progress</x:v>
      </x:c>
      <x:c r="H2943" s="19" t="str">
        <x:v>In Field</x:v>
      </x:c>
      <x:c r="I2943" s="37" t="n">
        <x:v>46097</x:v>
      </x:c>
      <x:c r="J2943" s="37" t="n">
        <x:v>46097</x:v>
      </x:c>
      <x:c r="K2943" s="19" t="str">
        <x:v>Regent RV - Toowoomba</x:v>
      </x:c>
      <x:c r="L2943" s="19" t="str">
        <x:v>Z006</x:v>
      </x:c>
      <x:c r="M2943" s="19" t="str">
        <x:v>In Field Warranty Claims</x:v>
      </x:c>
      <x:c r="N2943" s="37" t="n">
        <x:v>46090</x:v>
      </x:c>
      <x:c r="O2943" s="37"/>
      <x:c r="P2943" s="34" t="n">
        <x:v>0</x:v>
      </x:c>
      <x:c r="Q2943" s="37" t="n">
        <x:v>46097.21350694444</x:v>
      </x:c>
    </x:row>
    <x:row r="2944">
      <x:c r="A2944" s="22" t="n">
        <x:v>32030</x:v>
      </x:c>
      <x:c r="B2944" s="28" t="n">
        <x:v>810</x:v>
      </x:c>
      <x:c r="C2944" s="28"/>
      <x:c r="D2944" s="31" t="str">
        <x:f>IF(OR(ISBLANK(B2944),ISBLANK(C2944),B2944=0),"",(C2944-B2944)/B2944)</x:f>
      </x:c>
      <x:c r="E2944" s="22" t="str">
        <x:f>IF(ISBLANK(C2944),"AmountIncludingTax缺失",IF(ABS(B2944-C2944)&lt;0.005,"一致","不一致"))</x:f>
        <x:v>AmountIncludingTax缺失</x:v>
      </x:c>
      <x:c r="F2944" s="19" t="str">
        <x:v>approved</x:v>
      </x:c>
      <x:c r="G2944" s="19" t="str">
        <x:v>Repair in Progress</x:v>
      </x:c>
      <x:c r="H2944" s="19" t="str">
        <x:v>In Field</x:v>
      </x:c>
      <x:c r="I2944" s="37" t="n">
        <x:v>46101</x:v>
      </x:c>
      <x:c r="J2944" s="37" t="n">
        <x:v>46101</x:v>
      </x:c>
      <x:c r="K2944" s="19" t="str">
        <x:v>Not Assigned</x:v>
      </x:c>
      <x:c r="L2944" s="19" t="str">
        <x:v>Z006</x:v>
      </x:c>
      <x:c r="M2944" s="19" t="str">
        <x:v>In Field Warranty Claims</x:v>
      </x:c>
      <x:c r="N2944" s="37" t="n">
        <x:v>46090</x:v>
      </x:c>
      <x:c r="O2944" s="37"/>
      <x:c r="P2944" s="34" t="n">
        <x:v>0</x:v>
      </x:c>
      <x:c r="Q2944" s="37" t="n">
        <x:v>46101.162152777775</x:v>
      </x:c>
    </x:row>
    <x:row r="2945">
      <x:c r="A2945" s="22" t="n">
        <x:v>32029</x:v>
      </x:c>
      <x:c r="B2945" s="28" t="n">
        <x:v>802.5</x:v>
      </x:c>
      <x:c r="C2945" s="28"/>
      <x:c r="D2945" s="31" t="str">
        <x:f>IF(OR(ISBLANK(B2945),ISBLANK(C2945),B2945=0),"",(C2945-B2945)/B2945)</x:f>
      </x:c>
      <x:c r="E2945" s="22" t="str">
        <x:f>IF(ISBLANK(C2945),"AmountIncludingTax缺失",IF(ABS(B2945-C2945)&lt;0.005,"一致","不一致"))</x:f>
        <x:v>AmountIncludingTax缺失</x:v>
      </x:c>
      <x:c r="F2945" s="19" t="str">
        <x:v>approved</x:v>
      </x:c>
      <x:c r="G2945" s="19" t="str">
        <x:v>Repairer Invoiced Processed</x:v>
      </x:c>
      <x:c r="H2945" s="19" t="str">
        <x:v>In Field</x:v>
      </x:c>
      <x:c r="I2945" s="37" t="n">
        <x:v>46097</x:v>
      </x:c>
      <x:c r="J2945" s="37" t="n">
        <x:v>46097</x:v>
      </x:c>
      <x:c r="K2945" s="19" t="str">
        <x:v>Leisure Lion Pty Ltd - Morisset</x:v>
      </x:c>
      <x:c r="L2945" s="19" t="str">
        <x:v>Z006</x:v>
      </x:c>
      <x:c r="M2945" s="19" t="str">
        <x:v>In Field Warranty Claims</x:v>
      </x:c>
      <x:c r="N2945" s="37" t="n">
        <x:v>46090</x:v>
      </x:c>
      <x:c r="O2945" s="37"/>
      <x:c r="P2945" s="34" t="n">
        <x:v>0</x:v>
      </x:c>
      <x:c r="Q2945" s="37" t="n">
        <x:v>46097.05887731481</x:v>
      </x:c>
    </x:row>
    <x:row r="2946">
      <x:c r="A2946" s="22" t="n">
        <x:v>32028</x:v>
      </x:c>
      <x:c r="B2946" s="28" t="n">
        <x:v>168.75</x:v>
      </x:c>
      <x:c r="C2946" s="28"/>
      <x:c r="D2946" s="31" t="str">
        <x:f>IF(OR(ISBLANK(B2946),ISBLANK(C2946),B2946=0),"",(C2946-B2946)/B2946)</x:f>
      </x:c>
      <x:c r="E2946" s="22" t="str">
        <x:f>IF(ISBLANK(C2946),"AmountIncludingTax缺失",IF(ABS(B2946-C2946)&lt;0.005,"一致","不一致"))</x:f>
        <x:v>AmountIncludingTax缺失</x:v>
      </x:c>
      <x:c r="F2946" s="19" t="str">
        <x:v>approved</x:v>
      </x:c>
      <x:c r="G2946" s="19" t="str">
        <x:v>Repairer Invoiced Processed</x:v>
      </x:c>
      <x:c r="H2946" s="19" t="str">
        <x:v>Pre Delivery</x:v>
      </x:c>
      <x:c r="I2946" s="37" t="n">
        <x:v>46134</x:v>
      </x:c>
      <x:c r="J2946" s="37" t="n">
        <x:v>46134</x:v>
      </x:c>
      <x:c r="K2946" s="19" t="str">
        <x:v>Snowy River Launceston</x:v>
      </x:c>
      <x:c r="L2946" s="19" t="str">
        <x:v>Z005</x:v>
      </x:c>
      <x:c r="M2946" s="19" t="str">
        <x:v>Pre Delivery Warranty Claims</x:v>
      </x:c>
      <x:c r="N2946" s="37" t="n">
        <x:v>46090</x:v>
      </x:c>
      <x:c r="O2946" s="37"/>
      <x:c r="P2946" s="34" t="n">
        <x:v>0</x:v>
      </x:c>
      <x:c r="Q2946" s="37" t="n">
        <x:v>46134.04833333333</x:v>
      </x:c>
    </x:row>
    <x:row r="2947">
      <x:c r="A2947" s="22" t="n">
        <x:v>32027</x:v>
      </x:c>
      <x:c r="B2947" s="28" t="n">
        <x:v>506.25</x:v>
      </x:c>
      <x:c r="C2947" s="28"/>
      <x:c r="D2947" s="31" t="str">
        <x:f>IF(OR(ISBLANK(B2947),ISBLANK(C2947),B2947=0),"",(C2947-B2947)/B2947)</x:f>
      </x:c>
      <x:c r="E2947" s="22" t="str">
        <x:f>IF(ISBLANK(C2947),"AmountIncludingTax缺失",IF(ABS(B2947-C2947)&lt;0.005,"一致","不一致"))</x:f>
        <x:v>AmountIncludingTax缺失</x:v>
      </x:c>
      <x:c r="F2947" s="19" t="str">
        <x:v>approved</x:v>
      </x:c>
      <x:c r="G2947" s="19" t="str">
        <x:v>Repairer Invoiced Processed</x:v>
      </x:c>
      <x:c r="H2947" s="19" t="str">
        <x:v>In Field</x:v>
      </x:c>
      <x:c r="I2947" s="37" t="n">
        <x:v>46091</x:v>
      </x:c>
      <x:c r="J2947" s="37" t="n">
        <x:v>46091</x:v>
      </x:c>
      <x:c r="K2947" s="19" t="str">
        <x:v>Not Assigned</x:v>
      </x:c>
      <x:c r="L2947" s="19" t="str">
        <x:v>Z006</x:v>
      </x:c>
      <x:c r="M2947" s="19" t="str">
        <x:v>In Field Warranty Claims</x:v>
      </x:c>
      <x:c r="N2947" s="37" t="n">
        <x:v>46090</x:v>
      </x:c>
      <x:c r="O2947" s="37"/>
      <x:c r="P2947" s="34" t="n">
        <x:v>0</x:v>
      </x:c>
      <x:c r="Q2947" s="37" t="n">
        <x:v>46091.08127314815</x:v>
      </x:c>
    </x:row>
    <x:row r="2948">
      <x:c r="A2948" s="22" t="n">
        <x:v>32026</x:v>
      </x:c>
      <x:c r="B2948" s="28" t="n">
        <x:v>282.72</x:v>
      </x:c>
      <x:c r="C2948" s="28"/>
      <x:c r="D2948" s="31" t="str">
        <x:f>IF(OR(ISBLANK(B2948),ISBLANK(C2948),B2948=0),"",(C2948-B2948)/B2948)</x:f>
      </x:c>
      <x:c r="E2948" s="22" t="str">
        <x:f>IF(ISBLANK(C2948),"AmountIncludingTax缺失",IF(ABS(B2948-C2948)&lt;0.005,"一致","不一致"))</x:f>
        <x:v>AmountIncludingTax缺失</x:v>
      </x:c>
      <x:c r="F2948" s="19" t="str">
        <x:v>approved</x:v>
      </x:c>
      <x:c r="G2948" s="19" t="str">
        <x:v>Repairer Invoiced Processed</x:v>
      </x:c>
      <x:c r="H2948" s="19" t="str">
        <x:v>In Field</x:v>
      </x:c>
      <x:c r="I2948" s="37" t="n">
        <x:v>46099</x:v>
      </x:c>
      <x:c r="J2948" s="37" t="n">
        <x:v>46099</x:v>
      </x:c>
      <x:c r="K2948" s="19" t="str">
        <x:v>Not Assigned</x:v>
      </x:c>
      <x:c r="L2948" s="19" t="str">
        <x:v>Z006</x:v>
      </x:c>
      <x:c r="M2948" s="19" t="str">
        <x:v>In Field Warranty Claims</x:v>
      </x:c>
      <x:c r="N2948" s="37" t="n">
        <x:v>46090</x:v>
      </x:c>
      <x:c r="O2948" s="37"/>
      <x:c r="P2948" s="34" t="n">
        <x:v>0</x:v>
      </x:c>
      <x:c r="Q2948" s="37" t="n">
        <x:v>46098.89430555556</x:v>
      </x:c>
    </x:row>
    <x:row r="2949">
      <x:c r="A2949" s="22" t="n">
        <x:v>32025</x:v>
      </x:c>
      <x:c r="B2949" s="28" t="n">
        <x:v>543.7</x:v>
      </x:c>
      <x:c r="C2949" s="28" t="n">
        <x:v>598.07</x:v>
      </x:c>
      <x:c r="D2949" s="31" t="n">
        <x:f>IF(OR(ISBLANK(B2949),ISBLANK(C2949),B2949=0),"",(C2949-B2949)/B2949)</x:f>
        <x:v>0.1</x:v>
      </x:c>
      <x:c r="E2949" s="22" t="str">
        <x:f>IF(ISBLANK(C2949),"AmountIncludingTax缺失",IF(ABS(B2949-C2949)&lt;0.005,"一致","不一致"))</x:f>
        <x:v>不一致</x:v>
      </x:c>
      <x:c r="F2949" s="19" t="str">
        <x:v>approved</x:v>
      </x:c>
      <x:c r="G2949" s="19" t="str">
        <x:v>Repairer Invoiced Processed</x:v>
      </x:c>
      <x:c r="H2949" s="19" t="str">
        <x:v>In Field</x:v>
      </x:c>
      <x:c r="I2949" s="37" t="n">
        <x:v>46107</x:v>
      </x:c>
      <x:c r="J2949" s="37" t="n">
        <x:v>46107</x:v>
      </x:c>
      <x:c r="K2949" s="19" t="str">
        <x:v>Regent RV - Perth</x:v>
      </x:c>
      <x:c r="L2949" s="19" t="str">
        <x:v>Z006</x:v>
      </x:c>
      <x:c r="M2949" s="19" t="str">
        <x:v>In Field Warranty Claims</x:v>
      </x:c>
      <x:c r="N2949" s="37" t="n">
        <x:v>46090</x:v>
      </x:c>
      <x:c r="O2949" s="37"/>
      <x:c r="P2949" s="34" t="n">
        <x:v>598.07</x:v>
      </x:c>
      <x:c r="Q2949" s="37" t="n">
        <x:v>46106.8747337963</x:v>
      </x:c>
    </x:row>
    <x:row r="2950">
      <x:c r="A2950" s="22" t="n">
        <x:v>32024</x:v>
      </x:c>
      <x:c r="B2950" s="28" t="n">
        <x:v>1401.25</x:v>
      </x:c>
      <x:c r="C2950" s="28"/>
      <x:c r="D2950" s="31" t="str">
        <x:f>IF(OR(ISBLANK(B2950),ISBLANK(C2950),B2950=0),"",(C2950-B2950)/B2950)</x:f>
      </x:c>
      <x:c r="E2950" s="22" t="str">
        <x:f>IF(ISBLANK(C2950),"AmountIncludingTax缺失",IF(ABS(B2950-C2950)&lt;0.005,"一致","不一致"))</x:f>
        <x:v>AmountIncludingTax缺失</x:v>
      </x:c>
      <x:c r="F2950" s="19" t="str">
        <x:v>approved</x:v>
      </x:c>
      <x:c r="G2950" s="19" t="str">
        <x:v>Repair in Progress</x:v>
      </x:c>
      <x:c r="H2950" s="19" t="str">
        <x:v>In Field</x:v>
      </x:c>
      <x:c r="I2950" s="37" t="n">
        <x:v>46107</x:v>
      </x:c>
      <x:c r="J2950" s="37" t="n">
        <x:v>46107</x:v>
      </x:c>
      <x:c r="K2950" s="19" t="str">
        <x:v>Regent RV - Townsville</x:v>
      </x:c>
      <x:c r="L2950" s="19" t="str">
        <x:v>Z006</x:v>
      </x:c>
      <x:c r="M2950" s="19" t="str">
        <x:v>In Field Warranty Claims</x:v>
      </x:c>
      <x:c r="N2950" s="37" t="n">
        <x:v>46090</x:v>
      </x:c>
      <x:c r="O2950" s="37"/>
      <x:c r="P2950" s="34" t="n">
        <x:v>0</x:v>
      </x:c>
      <x:c r="Q2950" s="37" t="n">
        <x:v>46106.87525462963</x:v>
      </x:c>
    </x:row>
    <x:row r="2951">
      <x:c r="A2951" s="22" t="n">
        <x:v>32020</x:v>
      </x:c>
      <x:c r="B2951" s="28" t="n">
        <x:v>111.25</x:v>
      </x:c>
      <x:c r="C2951" s="28"/>
      <x:c r="D2951" s="31" t="str">
        <x:f>IF(OR(ISBLANK(B2951),ISBLANK(C2951),B2951=0),"",(C2951-B2951)/B2951)</x:f>
      </x:c>
      <x:c r="E2951" s="22" t="str">
        <x:f>IF(ISBLANK(C2951),"AmountIncludingTax缺失",IF(ABS(B2951-C2951)&lt;0.005,"一致","不一致"))</x:f>
        <x:v>AmountIncludingTax缺失</x:v>
      </x:c>
      <x:c r="F2951" s="19" t="str">
        <x:v>approved</x:v>
      </x:c>
      <x:c r="G2951" s="19" t="str">
        <x:v>Repairer Invoiced Processed</x:v>
      </x:c>
      <x:c r="H2951" s="19" t="str">
        <x:v>In Field</x:v>
      </x:c>
      <x:c r="I2951" s="37" t="n">
        <x:v>46093</x:v>
      </x:c>
      <x:c r="J2951" s="37" t="n">
        <x:v>46093</x:v>
      </x:c>
      <x:c r="K2951" s="19" t="str">
        <x:v>Regent RV - Toowoomba</x:v>
      </x:c>
      <x:c r="L2951" s="19" t="str">
        <x:v>Z006</x:v>
      </x:c>
      <x:c r="M2951" s="19" t="str">
        <x:v>In Field Warranty Claims</x:v>
      </x:c>
      <x:c r="N2951" s="37" t="n">
        <x:v>46090</x:v>
      </x:c>
      <x:c r="O2951" s="37"/>
      <x:c r="P2951" s="34" t="n">
        <x:v>0</x:v>
      </x:c>
      <x:c r="Q2951" s="37" t="n">
        <x:v>46093.26148148148</x:v>
      </x:c>
    </x:row>
    <x:row r="2952">
      <x:c r="A2952" s="22" t="n">
        <x:v>32019</x:v>
      </x:c>
      <x:c r="B2952" s="28" t="n">
        <x:v>145.45</x:v>
      </x:c>
      <x:c r="C2952" s="28" t="n">
        <x:v>160</x:v>
      </x:c>
      <x:c r="D2952" s="31" t="n">
        <x:f>IF(OR(ISBLANK(B2952),ISBLANK(C2952),B2952=0),"",(C2952-B2952)/B2952)</x:f>
        <x:v>0.1000343760742524</x:v>
      </x:c>
      <x:c r="E2952" s="22" t="str">
        <x:f>IF(ISBLANK(C2952),"AmountIncludingTax缺失",IF(ABS(B2952-C2952)&lt;0.005,"一致","不一致"))</x:f>
        <x:v>不一致</x:v>
      </x:c>
      <x:c r="F2952" s="19" t="str">
        <x:v>approved</x:v>
      </x:c>
      <x:c r="G2952" s="19" t="str">
        <x:v>Repairer Invoiced Processed</x:v>
      </x:c>
      <x:c r="H2952" s="19" t="str">
        <x:v>In Field</x:v>
      </x:c>
      <x:c r="I2952" s="37" t="n">
        <x:v>46122</x:v>
      </x:c>
      <x:c r="J2952" s="37" t="n">
        <x:v>46122</x:v>
      </x:c>
      <x:c r="K2952" s="19" t="str">
        <x:v>Regent RV - Perth</x:v>
      </x:c>
      <x:c r="L2952" s="19" t="str">
        <x:v>Z006</x:v>
      </x:c>
      <x:c r="M2952" s="19" t="str">
        <x:v>In Field Warranty Claims</x:v>
      </x:c>
      <x:c r="N2952" s="37" t="n">
        <x:v>46090</x:v>
      </x:c>
      <x:c r="O2952" s="37"/>
      <x:c r="P2952" s="34" t="n">
        <x:v>160</x:v>
      </x:c>
      <x:c r="Q2952" s="37" t="n">
        <x:v>46122.24424768519</x:v>
      </x:c>
    </x:row>
    <x:row r="2953">
      <x:c r="A2953" s="22" t="n">
        <x:v>32018</x:v>
      </x:c>
      <x:c r="B2953" s="28" t="n">
        <x:v>67.5</x:v>
      </x:c>
      <x:c r="C2953" s="28"/>
      <x:c r="D2953" s="31" t="str">
        <x:f>IF(OR(ISBLANK(B2953),ISBLANK(C2953),B2953=0),"",(C2953-B2953)/B2953)</x:f>
      </x:c>
      <x:c r="E2953" s="22" t="str">
        <x:f>IF(ISBLANK(C2953),"AmountIncludingTax缺失",IF(ABS(B2953-C2953)&lt;0.005,"一致","不一致"))</x:f>
        <x:v>AmountIncludingTax缺失</x:v>
      </x:c>
      <x:c r="F2953" s="19" t="str">
        <x:v>approved</x:v>
      </x:c>
      <x:c r="G2953" s="19" t="str">
        <x:v>Repair in Progress</x:v>
      </x:c>
      <x:c r="H2953" s="19" t="str">
        <x:v>In Field</x:v>
      </x:c>
      <x:c r="I2953" s="37" t="n">
        <x:v>46103</x:v>
      </x:c>
      <x:c r="J2953" s="37" t="n">
        <x:v>46103</x:v>
      </x:c>
      <x:c r="K2953" s="19" t="str">
        <x:v>Regent RV - Perth</x:v>
      </x:c>
      <x:c r="L2953" s="19" t="str">
        <x:v>Z006</x:v>
      </x:c>
      <x:c r="M2953" s="19" t="str">
        <x:v>In Field Warranty Claims</x:v>
      </x:c>
      <x:c r="N2953" s="37" t="n">
        <x:v>46090</x:v>
      </x:c>
      <x:c r="O2953" s="37"/>
      <x:c r="P2953" s="34" t="n">
        <x:v>0</x:v>
      </x:c>
      <x:c r="Q2953" s="37" t="n">
        <x:v>46103.45077546296</x:v>
      </x:c>
    </x:row>
    <x:row r="2954">
      <x:c r="A2954" s="22" t="n">
        <x:v>32017</x:v>
      </x:c>
      <x:c r="B2954" s="28" t="n">
        <x:v>613.75</x:v>
      </x:c>
      <x:c r="C2954" s="28"/>
      <x:c r="D2954" s="31" t="str">
        <x:f>IF(OR(ISBLANK(B2954),ISBLANK(C2954),B2954=0),"",(C2954-B2954)/B2954)</x:f>
      </x:c>
      <x:c r="E2954" s="22" t="str">
        <x:f>IF(ISBLANK(C2954),"AmountIncludingTax缺失",IF(ABS(B2954-C2954)&lt;0.005,"一致","不一致"))</x:f>
        <x:v>AmountIncludingTax缺失</x:v>
      </x:c>
      <x:c r="F2954" s="19" t="str">
        <x:v>approved</x:v>
      </x:c>
      <x:c r="G2954" s="19" t="str">
        <x:v>Repair in Progress</x:v>
      </x:c>
      <x:c r="H2954" s="19" t="str">
        <x:v>In Field</x:v>
      </x:c>
      <x:c r="I2954" s="37" t="n">
        <x:v>46098</x:v>
      </x:c>
      <x:c r="J2954" s="37" t="n">
        <x:v>46098</x:v>
      </x:c>
      <x:c r="K2954" s="19" t="str">
        <x:v>Not Assigned</x:v>
      </x:c>
      <x:c r="L2954" s="19" t="str">
        <x:v>Z006</x:v>
      </x:c>
      <x:c r="M2954" s="19" t="str">
        <x:v>In Field Warranty Claims</x:v>
      </x:c>
      <x:c r="N2954" s="37" t="n">
        <x:v>46090</x:v>
      </x:c>
      <x:c r="O2954" s="37"/>
      <x:c r="P2954" s="34" t="n">
        <x:v>0</x:v>
      </x:c>
      <x:c r="Q2954" s="37" t="n">
        <x:v>46097.90403935185</x:v>
      </x:c>
    </x:row>
    <x:row r="2955">
      <x:c r="A2955" s="22" t="n">
        <x:v>32015</x:v>
      </x:c>
      <x:c r="B2955" s="28" t="n">
        <x:v>135</x:v>
      </x:c>
      <x:c r="C2955" s="28"/>
      <x:c r="D2955" s="31" t="str">
        <x:f>IF(OR(ISBLANK(B2955),ISBLANK(C2955),B2955=0),"",(C2955-B2955)/B2955)</x:f>
      </x:c>
      <x:c r="E2955" s="22" t="str">
        <x:f>IF(ISBLANK(C2955),"AmountIncludingTax缺失",IF(ABS(B2955-C2955)&lt;0.005,"一致","不一致"))</x:f>
        <x:v>AmountIncludingTax缺失</x:v>
      </x:c>
      <x:c r="F2955" s="19" t="str">
        <x:v>approved</x:v>
      </x:c>
      <x:c r="G2955" s="19" t="str">
        <x:v>Repair in Progress</x:v>
      </x:c>
      <x:c r="H2955" s="19" t="str">
        <x:v>In Field</x:v>
      </x:c>
      <x:c r="I2955" s="37" t="n">
        <x:v>46094</x:v>
      </x:c>
      <x:c r="J2955" s="37" t="n">
        <x:v>46094</x:v>
      </x:c>
      <x:c r="K2955" s="19" t="str">
        <x:v>Regent RV Pty Ltd</x:v>
      </x:c>
      <x:c r="L2955" s="19" t="str">
        <x:v>Z006</x:v>
      </x:c>
      <x:c r="M2955" s="19" t="str">
        <x:v>In Field Warranty Claims</x:v>
      </x:c>
      <x:c r="N2955" s="37" t="n">
        <x:v>46090</x:v>
      </x:c>
      <x:c r="O2955" s="37"/>
      <x:c r="P2955" s="34" t="n">
        <x:v>0</x:v>
      </x:c>
      <x:c r="Q2955" s="37" t="n">
        <x:v>46094.20427083333</x:v>
      </x:c>
    </x:row>
    <x:row r="2956">
      <x:c r="A2956" s="22" t="n">
        <x:v>32013</x:v>
      </x:c>
      <x:c r="B2956" s="28" t="n">
        <x:v>2785</x:v>
      </x:c>
      <x:c r="C2956" s="28"/>
      <x:c r="D2956" s="31" t="str">
        <x:f>IF(OR(ISBLANK(B2956),ISBLANK(C2956),B2956=0),"",(C2956-B2956)/B2956)</x:f>
      </x:c>
      <x:c r="E2956" s="22" t="str">
        <x:f>IF(ISBLANK(C2956),"AmountIncludingTax缺失",IF(ABS(B2956-C2956)&lt;0.005,"一致","不一致"))</x:f>
        <x:v>AmountIncludingTax缺失</x:v>
      </x:c>
      <x:c r="F2956" s="19" t="str">
        <x:v>approved</x:v>
      </x:c>
      <x:c r="G2956" s="19" t="str">
        <x:v>Repair in Progress</x:v>
      </x:c>
      <x:c r="H2956" s="19" t="str">
        <x:v>In Field</x:v>
      </x:c>
      <x:c r="I2956" s="37" t="n">
        <x:v>46163</x:v>
      </x:c>
      <x:c r="J2956" s="37" t="n">
        <x:v>46160</x:v>
      </x:c>
      <x:c r="K2956" s="19" t="str">
        <x:v>Green RV - Forest Glen</x:v>
      </x:c>
      <x:c r="L2956" s="19" t="str">
        <x:v>Z006</x:v>
      </x:c>
      <x:c r="M2956" s="19" t="str">
        <x:v>In Field Warranty Claims</x:v>
      </x:c>
      <x:c r="N2956" s="37" t="n">
        <x:v>46089</x:v>
      </x:c>
      <x:c r="O2956" s="37"/>
      <x:c r="P2956" s="34" t="n">
        <x:v>0</x:v>
      </x:c>
      <x:c r="Q2956" s="37" t="n">
        <x:v>46163.094293981485</x:v>
      </x:c>
    </x:row>
    <x:row r="2957">
      <x:c r="A2957" s="22" t="n">
        <x:v>32012</x:v>
      </x:c>
      <x:c r="B2957" s="28" t="n">
        <x:v>482.5</x:v>
      </x:c>
      <x:c r="C2957" s="28"/>
      <x:c r="D2957" s="31" t="str">
        <x:f>IF(OR(ISBLANK(B2957),ISBLANK(C2957),B2957=0),"",(C2957-B2957)/B2957)</x:f>
      </x:c>
      <x:c r="E2957" s="22" t="str">
        <x:f>IF(ISBLANK(C2957),"AmountIncludingTax缺失",IF(ABS(B2957-C2957)&lt;0.005,"一致","不一致"))</x:f>
        <x:v>AmountIncludingTax缺失</x:v>
      </x:c>
      <x:c r="F2957" s="19" t="str">
        <x:v>approved</x:v>
      </x:c>
      <x:c r="G2957" s="19" t="str">
        <x:v>Repair in Progress</x:v>
      </x:c>
      <x:c r="H2957" s="19" t="str">
        <x:v>In Field</x:v>
      </x:c>
      <x:c r="I2957" s="37" t="n">
        <x:v>46140</x:v>
      </x:c>
      <x:c r="J2957" s="37" t="n">
        <x:v>46139</x:v>
      </x:c>
      <x:c r="K2957" s="19" t="str">
        <x:v>Auswide Caravans - South Nowra</x:v>
      </x:c>
      <x:c r="L2957" s="19" t="str">
        <x:v>Z006</x:v>
      </x:c>
      <x:c r="M2957" s="19" t="str">
        <x:v>In Field Warranty Claims</x:v>
      </x:c>
      <x:c r="N2957" s="37" t="n">
        <x:v>46089</x:v>
      </x:c>
      <x:c r="O2957" s="37"/>
      <x:c r="P2957" s="34" t="n">
        <x:v>0</x:v>
      </x:c>
      <x:c r="Q2957" s="37" t="n">
        <x:v>46140.123020833336</x:v>
      </x:c>
    </x:row>
    <x:row r="2958">
      <x:c r="A2958" s="22" t="n">
        <x:v>32011</x:v>
      </x:c>
      <x:c r="B2958" s="28" t="n">
        <x:v>717.5</x:v>
      </x:c>
      <x:c r="C2958" s="28" t="n">
        <x:v>649.62</x:v>
      </x:c>
      <x:c r="D2958" s="31" t="n">
        <x:f>IF(OR(ISBLANK(B2958),ISBLANK(C2958),B2958=0),"",(C2958-B2958)/B2958)</x:f>
        <x:v>-0.09460627177700348</x:v>
      </x:c>
      <x:c r="E2958" s="22" t="str">
        <x:f>IF(ISBLANK(C2958),"AmountIncludingTax缺失",IF(ABS(B2958-C2958)&lt;0.005,"一致","不一致"))</x:f>
        <x:v>不一致</x:v>
      </x:c>
      <x:c r="F2958" s="19" t="str">
        <x:v>approved</x:v>
      </x:c>
      <x:c r="G2958" s="19" t="str">
        <x:v>Repairer Invoiced Processed</x:v>
      </x:c>
      <x:c r="H2958" s="19" t="str">
        <x:v>In Field</x:v>
      </x:c>
      <x:c r="I2958" s="37" t="n">
        <x:v>46170</x:v>
      </x:c>
      <x:c r="J2958" s="37" t="n">
        <x:v>46170</x:v>
      </x:c>
      <x:c r="K2958" s="19" t="str">
        <x:v>Vanari Caravans - Marden Point</x:v>
      </x:c>
      <x:c r="L2958" s="19" t="str">
        <x:v>Z006</x:v>
      </x:c>
      <x:c r="M2958" s="19" t="str">
        <x:v>In Field Warranty Claims</x:v>
      </x:c>
      <x:c r="N2958" s="37" t="n">
        <x:v>46089</x:v>
      </x:c>
      <x:c r="O2958" s="37"/>
      <x:c r="P2958" s="34" t="n">
        <x:v>649.62</x:v>
      </x:c>
      <x:c r="Q2958" s="37" t="n">
        <x:v>46170.15207175926</x:v>
      </x:c>
    </x:row>
    <x:row r="2959">
      <x:c r="A2959" s="22" t="n">
        <x:v>32005</x:v>
      </x:c>
      <x:c r="B2959" s="28" t="n">
        <x:v>135</x:v>
      </x:c>
      <x:c r="C2959" s="28"/>
      <x:c r="D2959" s="31" t="str">
        <x:f>IF(OR(ISBLANK(B2959),ISBLANK(C2959),B2959=0),"",(C2959-B2959)/B2959)</x:f>
      </x:c>
      <x:c r="E2959" s="22" t="str">
        <x:f>IF(ISBLANK(C2959),"AmountIncludingTax缺失",IF(ABS(B2959-C2959)&lt;0.005,"一致","不一致"))</x:f>
        <x:v>AmountIncludingTax缺失</x:v>
      </x:c>
      <x:c r="F2959" s="19" t="str">
        <x:v>approved</x:v>
      </x:c>
      <x:c r="G2959" s="19" t="str">
        <x:v>Repairer Invoiced Processed</x:v>
      </x:c>
      <x:c r="H2959" s="19" t="str">
        <x:v>Pre Delivery</x:v>
      </x:c>
      <x:c r="I2959" s="37" t="n">
        <x:v>46135</x:v>
      </x:c>
      <x:c r="J2959" s="37" t="n">
        <x:v>46135</x:v>
      </x:c>
      <x:c r="K2959" s="19" t="str">
        <x:v>Snowy River Wangaratta</x:v>
      </x:c>
      <x:c r="L2959" s="19" t="str">
        <x:v>Z005</x:v>
      </x:c>
      <x:c r="M2959" s="19" t="str">
        <x:v>Pre Delivery Warranty Claims</x:v>
      </x:c>
      <x:c r="N2959" s="37" t="n">
        <x:v>46088</x:v>
      </x:c>
      <x:c r="O2959" s="37"/>
      <x:c r="P2959" s="34" t="n">
        <x:v>0</x:v>
      </x:c>
      <x:c r="Q2959" s="37" t="n">
        <x:v>46134.91625</x:v>
      </x:c>
    </x:row>
    <x:row r="2960">
      <x:c r="A2960" s="22" t="n">
        <x:v>32004</x:v>
      </x:c>
      <x:c r="B2960" s="28" t="n">
        <x:v>202.5</x:v>
      </x:c>
      <x:c r="C2960" s="28"/>
      <x:c r="D2960" s="31" t="str">
        <x:f>IF(OR(ISBLANK(B2960),ISBLANK(C2960),B2960=0),"",(C2960-B2960)/B2960)</x:f>
      </x:c>
      <x:c r="E2960" s="22" t="str">
        <x:f>IF(ISBLANK(C2960),"AmountIncludingTax缺失",IF(ABS(B2960-C2960)&lt;0.005,"一致","不一致"))</x:f>
        <x:v>AmountIncludingTax缺失</x:v>
      </x:c>
      <x:c r="F2960" s="19" t="str">
        <x:v>approved</x:v>
      </x:c>
      <x:c r="G2960" s="19" t="str">
        <x:v>Repairer Invoiced Processed</x:v>
      </x:c>
      <x:c r="H2960" s="19" t="str">
        <x:v>In Field</x:v>
      </x:c>
      <x:c r="I2960" s="37" t="n">
        <x:v>46126</x:v>
      </x:c>
      <x:c r="J2960" s="37" t="n">
        <x:v>46126</x:v>
      </x:c>
      <x:c r="K2960" s="19" t="str">
        <x:v>Dario Caravans - Pooraka</x:v>
      </x:c>
      <x:c r="L2960" s="19" t="str">
        <x:v>Z006</x:v>
      </x:c>
      <x:c r="M2960" s="19" t="str">
        <x:v>In Field Warranty Claims</x:v>
      </x:c>
      <x:c r="N2960" s="37" t="n">
        <x:v>46087</x:v>
      </x:c>
      <x:c r="O2960" s="37"/>
      <x:c r="P2960" s="34" t="n">
        <x:v>0</x:v>
      </x:c>
      <x:c r="Q2960" s="37" t="n">
        <x:v>46125.96409722222</x:v>
      </x:c>
    </x:row>
    <x:row r="2961">
      <x:c r="A2961" s="22" t="n">
        <x:v>32003</x:v>
      </x:c>
      <x:c r="B2961" s="28" t="n">
        <x:v>270</x:v>
      </x:c>
      <x:c r="C2961" s="28"/>
      <x:c r="D2961" s="31" t="str">
        <x:f>IF(OR(ISBLANK(B2961),ISBLANK(C2961),B2961=0),"",(C2961-B2961)/B2961)</x:f>
      </x:c>
      <x:c r="E2961" s="22" t="str">
        <x:f>IF(ISBLANK(C2961),"AmountIncludingTax缺失",IF(ABS(B2961-C2961)&lt;0.005,"一致","不一致"))</x:f>
        <x:v>AmountIncludingTax缺失</x:v>
      </x:c>
      <x:c r="F2961" s="19" t="str">
        <x:v>approved</x:v>
      </x:c>
      <x:c r="G2961" s="19" t="str">
        <x:v>Repair in Progress</x:v>
      </x:c>
      <x:c r="H2961" s="19" t="str">
        <x:v>In Field</x:v>
      </x:c>
      <x:c r="I2961" s="37" t="n">
        <x:v>46101</x:v>
      </x:c>
      <x:c r="J2961" s="37" t="n">
        <x:v>46101</x:v>
      </x:c>
      <x:c r="K2961" s="19" t="str">
        <x:v>Not Assigned</x:v>
      </x:c>
      <x:c r="L2961" s="19" t="str">
        <x:v>Z006</x:v>
      </x:c>
      <x:c r="M2961" s="19" t="str">
        <x:v>In Field Warranty Claims</x:v>
      </x:c>
      <x:c r="N2961" s="37" t="n">
        <x:v>46087</x:v>
      </x:c>
      <x:c r="O2961" s="37"/>
      <x:c r="P2961" s="34" t="n">
        <x:v>0</x:v>
      </x:c>
      <x:c r="Q2961" s="37" t="n">
        <x:v>46101.16322916667</x:v>
      </x:c>
    </x:row>
    <x:row r="2962">
      <x:c r="A2962" s="22" t="n">
        <x:v>32002</x:v>
      </x:c>
      <x:c r="B2962" s="28" t="n">
        <x:v>270</x:v>
      </x:c>
      <x:c r="C2962" s="28"/>
      <x:c r="D2962" s="31" t="str">
        <x:f>IF(OR(ISBLANK(B2962),ISBLANK(C2962),B2962=0),"",(C2962-B2962)/B2962)</x:f>
      </x:c>
      <x:c r="E2962" s="22" t="str">
        <x:f>IF(ISBLANK(C2962),"AmountIncludingTax缺失",IF(ABS(B2962-C2962)&lt;0.005,"一致","不一致"))</x:f>
        <x:v>AmountIncludingTax缺失</x:v>
      </x:c>
      <x:c r="F2962" s="19" t="str">
        <x:v>approved</x:v>
      </x:c>
      <x:c r="G2962" s="19" t="str">
        <x:v>Repairer Invoiced Processed</x:v>
      </x:c>
      <x:c r="H2962" s="19" t="str">
        <x:v>In Field</x:v>
      </x:c>
      <x:c r="I2962" s="37" t="n">
        <x:v>46100</x:v>
      </x:c>
      <x:c r="J2962" s="37" t="n">
        <x:v>46100</x:v>
      </x:c>
      <x:c r="K2962" s="19" t="str">
        <x:v>Green RV - Forest Glen</x:v>
      </x:c>
      <x:c r="L2962" s="19" t="str">
        <x:v>Z006</x:v>
      </x:c>
      <x:c r="M2962" s="19" t="str">
        <x:v>In Field Warranty Claims</x:v>
      </x:c>
      <x:c r="N2962" s="37" t="n">
        <x:v>46087</x:v>
      </x:c>
      <x:c r="O2962" s="37"/>
      <x:c r="P2962" s="34" t="n">
        <x:v>0</x:v>
      </x:c>
      <x:c r="Q2962" s="37" t="n">
        <x:v>46100.09266203704</x:v>
      </x:c>
    </x:row>
    <x:row r="2963">
      <x:c r="A2963" s="22" t="n">
        <x:v>31997</x:v>
      </x:c>
      <x:c r="B2963" s="28" t="n">
        <x:v>202.5</x:v>
      </x:c>
      <x:c r="C2963" s="28"/>
      <x:c r="D2963" s="31" t="str">
        <x:f>IF(OR(ISBLANK(B2963),ISBLANK(C2963),B2963=0),"",(C2963-B2963)/B2963)</x:f>
      </x:c>
      <x:c r="E2963" s="22" t="str">
        <x:f>IF(ISBLANK(C2963),"AmountIncludingTax缺失",IF(ABS(B2963-C2963)&lt;0.005,"一致","不一致"))</x:f>
        <x:v>AmountIncludingTax缺失</x:v>
      </x:c>
      <x:c r="F2963" s="19" t="str">
        <x:v>approved</x:v>
      </x:c>
      <x:c r="G2963" s="19" t="str">
        <x:v>Repairer Invoiced Processed</x:v>
      </x:c>
      <x:c r="H2963" s="19" t="str">
        <x:v>In Field</x:v>
      </x:c>
      <x:c r="I2963" s="37" t="n">
        <x:v>46103</x:v>
      </x:c>
      <x:c r="J2963" s="37" t="n">
        <x:v>46103</x:v>
      </x:c>
      <x:c r="K2963" s="19" t="str">
        <x:v>Destiny RV - South Australia</x:v>
      </x:c>
      <x:c r="L2963" s="19" t="str">
        <x:v>Z006</x:v>
      </x:c>
      <x:c r="M2963" s="19" t="str">
        <x:v>In Field Warranty Claims</x:v>
      </x:c>
      <x:c r="N2963" s="37" t="n">
        <x:v>46088</x:v>
      </x:c>
      <x:c r="O2963" s="37"/>
      <x:c r="P2963" s="34" t="n">
        <x:v>0</x:v>
      </x:c>
      <x:c r="Q2963" s="37" t="n">
        <x:v>46103.44789351852</x:v>
      </x:c>
    </x:row>
    <x:row r="2964">
      <x:c r="A2964" s="22" t="n">
        <x:v>31996</x:v>
      </x:c>
      <x:c r="B2964" s="28" t="n">
        <x:v>740.3</x:v>
      </x:c>
      <x:c r="C2964" s="28"/>
      <x:c r="D2964" s="31" t="str">
        <x:f>IF(OR(ISBLANK(B2964),ISBLANK(C2964),B2964=0),"",(C2964-B2964)/B2964)</x:f>
      </x:c>
      <x:c r="E2964" s="22" t="str">
        <x:f>IF(ISBLANK(C2964),"AmountIncludingTax缺失",IF(ABS(B2964-C2964)&lt;0.005,"一致","不一致"))</x:f>
        <x:v>AmountIncludingTax缺失</x:v>
      </x:c>
      <x:c r="F2964" s="19" t="str">
        <x:v>approved</x:v>
      </x:c>
      <x:c r="G2964" s="19" t="str">
        <x:v>Repair in Progress</x:v>
      </x:c>
      <x:c r="H2964" s="19" t="str">
        <x:v>In Field</x:v>
      </x:c>
      <x:c r="I2964" s="37" t="n">
        <x:v>46148</x:v>
      </x:c>
      <x:c r="J2964" s="37" t="n">
        <x:v>46148</x:v>
      </x:c>
      <x:c r="K2964" s="19" t="str">
        <x:v>Green RV - Forest Glen</x:v>
      </x:c>
      <x:c r="L2964" s="19" t="str">
        <x:v>Z006</x:v>
      </x:c>
      <x:c r="M2964" s="19" t="str">
        <x:v>In Field Warranty Claims</x:v>
      </x:c>
      <x:c r="N2964" s="37" t="n">
        <x:v>46088</x:v>
      </x:c>
      <x:c r="O2964" s="37"/>
      <x:c r="P2964" s="34" t="n">
        <x:v>0</x:v>
      </x:c>
      <x:c r="Q2964" s="37" t="n">
        <x:v>46147.895266203705</x:v>
      </x:c>
    </x:row>
    <x:row r="2965">
      <x:c r="A2965" s="22" t="n">
        <x:v>31994</x:v>
      </x:c>
      <x:c r="B2965" s="28" t="n">
        <x:v>202.5</x:v>
      </x:c>
      <x:c r="C2965" s="28"/>
      <x:c r="D2965" s="31" t="str">
        <x:f>IF(OR(ISBLANK(B2965),ISBLANK(C2965),B2965=0),"",(C2965-B2965)/B2965)</x:f>
      </x:c>
      <x:c r="E2965" s="22" t="str">
        <x:f>IF(ISBLANK(C2965),"AmountIncludingTax缺失",IF(ABS(B2965-C2965)&lt;0.005,"一致","不一致"))</x:f>
        <x:v>AmountIncludingTax缺失</x:v>
      </x:c>
      <x:c r="F2965" s="19" t="str">
        <x:v>approved</x:v>
      </x:c>
      <x:c r="G2965" s="19" t="str">
        <x:v>Repair in Progress</x:v>
      </x:c>
      <x:c r="H2965" s="19" t="str">
        <x:v>In Field</x:v>
      </x:c>
      <x:c r="I2965" s="37" t="n">
        <x:v>46094</x:v>
      </x:c>
      <x:c r="J2965" s="37" t="n">
        <x:v>46094</x:v>
      </x:c>
      <x:c r="K2965" s="19" t="str">
        <x:v>Green RV - Slacks Creek</x:v>
      </x:c>
      <x:c r="L2965" s="19" t="str">
        <x:v>Z006</x:v>
      </x:c>
      <x:c r="M2965" s="19" t="str">
        <x:v>In Field Warranty Claims</x:v>
      </x:c>
      <x:c r="N2965" s="37" t="n">
        <x:v>46087</x:v>
      </x:c>
      <x:c r="O2965" s="37"/>
      <x:c r="P2965" s="34" t="n">
        <x:v>0</x:v>
      </x:c>
      <x:c r="Q2965" s="37" t="n">
        <x:v>46093.955509259256</x:v>
      </x:c>
    </x:row>
    <x:row r="2966">
      <x:c r="A2966" s="22" t="n">
        <x:v>31993</x:v>
      </x:c>
      <x:c r="B2966" s="28" t="n">
        <x:v>168.75</x:v>
      </x:c>
      <x:c r="C2966" s="28"/>
      <x:c r="D2966" s="31" t="str">
        <x:f>IF(OR(ISBLANK(B2966),ISBLANK(C2966),B2966=0),"",(C2966-B2966)/B2966)</x:f>
      </x:c>
      <x:c r="E2966" s="22" t="str">
        <x:f>IF(ISBLANK(C2966),"AmountIncludingTax缺失",IF(ABS(B2966-C2966)&lt;0.005,"一致","不一致"))</x:f>
        <x:v>AmountIncludingTax缺失</x:v>
      </x:c>
      <x:c r="F2966" s="19" t="str">
        <x:v>approved</x:v>
      </x:c>
      <x:c r="G2966" s="19" t="str">
        <x:v>Repair in Progress</x:v>
      </x:c>
      <x:c r="H2966" s="19" t="str">
        <x:v>In Field</x:v>
      </x:c>
      <x:c r="I2966" s="37" t="n">
        <x:v>46094</x:v>
      </x:c>
      <x:c r="J2966" s="37" t="n">
        <x:v>46094</x:v>
      </x:c>
      <x:c r="K2966" s="19" t="str">
        <x:v>Green RV - Slacks Creek</x:v>
      </x:c>
      <x:c r="L2966" s="19" t="str">
        <x:v>Z006</x:v>
      </x:c>
      <x:c r="M2966" s="19" t="str">
        <x:v>In Field Warranty Claims</x:v>
      </x:c>
      <x:c r="N2966" s="37" t="n">
        <x:v>46087</x:v>
      </x:c>
      <x:c r="O2966" s="37"/>
      <x:c r="P2966" s="34" t="n">
        <x:v>0</x:v>
      </x:c>
      <x:c r="Q2966" s="37" t="n">
        <x:v>46093.97268518519</x:v>
      </x:c>
    </x:row>
    <x:row r="2967">
      <x:c r="A2967" s="22" t="n">
        <x:v>31992</x:v>
      </x:c>
      <x:c r="B2967" s="28" t="n">
        <x:v>1206.25</x:v>
      </x:c>
      <x:c r="C2967" s="28"/>
      <x:c r="D2967" s="31" t="str">
        <x:f>IF(OR(ISBLANK(B2967),ISBLANK(C2967),B2967=0),"",(C2967-B2967)/B2967)</x:f>
      </x:c>
      <x:c r="E2967" s="22" t="str">
        <x:f>IF(ISBLANK(C2967),"AmountIncludingTax缺失",IF(ABS(B2967-C2967)&lt;0.005,"一致","不一致"))</x:f>
        <x:v>AmountIncludingTax缺失</x:v>
      </x:c>
      <x:c r="F2967" s="19" t="str">
        <x:v>approved</x:v>
      </x:c>
      <x:c r="G2967" s="19" t="str">
        <x:v>Repair in Progress</x:v>
      </x:c>
      <x:c r="H2967" s="19" t="str">
        <x:v>Pre Delivery</x:v>
      </x:c>
      <x:c r="I2967" s="37" t="n">
        <x:v>46127</x:v>
      </x:c>
      <x:c r="J2967" s="37" t="n">
        <x:v>46127</x:v>
      </x:c>
      <x:c r="K2967" s="19" t="str">
        <x:v>Green RV - Slacks Creek</x:v>
      </x:c>
      <x:c r="L2967" s="19" t="str">
        <x:v>Z005</x:v>
      </x:c>
      <x:c r="M2967" s="19" t="str">
        <x:v>Pre Delivery Warranty Claims</x:v>
      </x:c>
      <x:c r="N2967" s="37" t="n">
        <x:v>46087</x:v>
      </x:c>
      <x:c r="O2967" s="37"/>
      <x:c r="P2967" s="34" t="n">
        <x:v>0</x:v>
      </x:c>
      <x:c r="Q2967" s="37" t="n">
        <x:v>46127.18480324074</x:v>
      </x:c>
    </x:row>
    <x:row r="2968">
      <x:c r="A2968" s="22" t="n">
        <x:v>31990</x:v>
      </x:c>
      <x:c r="B2968" s="28" t="n">
        <x:v>985</x:v>
      </x:c>
      <x:c r="C2968" s="28"/>
      <x:c r="D2968" s="31" t="str">
        <x:f>IF(OR(ISBLANK(B2968),ISBLANK(C2968),B2968=0),"",(C2968-B2968)/B2968)</x:f>
      </x:c>
      <x:c r="E2968" s="22" t="str">
        <x:f>IF(ISBLANK(C2968),"AmountIncludingTax缺失",IF(ABS(B2968-C2968)&lt;0.005,"一致","不一致"))</x:f>
        <x:v>AmountIncludingTax缺失</x:v>
      </x:c>
      <x:c r="F2968" s="19" t="str">
        <x:v>approved</x:v>
      </x:c>
      <x:c r="G2968" s="19" t="str">
        <x:v>Repairer Invoiced Processed</x:v>
      </x:c>
      <x:c r="H2968" s="19" t="str">
        <x:v>In Field</x:v>
      </x:c>
      <x:c r="I2968" s="37" t="n">
        <x:v>46094</x:v>
      </x:c>
      <x:c r="J2968" s="37" t="n">
        <x:v>46094</x:v>
      </x:c>
      <x:c r="K2968" s="19" t="str">
        <x:v>Regent RV Pty Ltd</x:v>
      </x:c>
      <x:c r="L2968" s="19" t="str">
        <x:v>Z006</x:v>
      </x:c>
      <x:c r="M2968" s="19" t="str">
        <x:v>In Field Warranty Claims</x:v>
      </x:c>
      <x:c r="N2968" s="37" t="n">
        <x:v>46091</x:v>
      </x:c>
      <x:c r="O2968" s="37"/>
      <x:c r="P2968" s="34" t="n">
        <x:v>0</x:v>
      </x:c>
      <x:c r="Q2968" s="37" t="n">
        <x:v>46094.224340277775</x:v>
      </x:c>
    </x:row>
    <x:row r="2969">
      <x:c r="A2969" s="22" t="n">
        <x:v>31984</x:v>
      </x:c>
      <x:c r="B2969" s="28" t="n">
        <x:v>69.09</x:v>
      </x:c>
      <x:c r="C2969" s="28"/>
      <x:c r="D2969" s="31" t="str">
        <x:f>IF(OR(ISBLANK(B2969),ISBLANK(C2969),B2969=0),"",(C2969-B2969)/B2969)</x:f>
      </x:c>
      <x:c r="E2969" s="22" t="str">
        <x:f>IF(ISBLANK(C2969),"AmountIncludingTax缺失",IF(ABS(B2969-C2969)&lt;0.005,"一致","不一致"))</x:f>
        <x:v>AmountIncludingTax缺失</x:v>
      </x:c>
      <x:c r="F2969" s="19" t="str">
        <x:v>approved</x:v>
      </x:c>
      <x:c r="G2969" s="19" t="str">
        <x:v>Repairer Invoiced Processed</x:v>
      </x:c>
      <x:c r="H2969" s="19" t="str">
        <x:v>In Field</x:v>
      </x:c>
      <x:c r="I2969" s="37" t="n">
        <x:v>46092</x:v>
      </x:c>
      <x:c r="J2969" s="37" t="n">
        <x:v>46092</x:v>
      </x:c>
      <x:c r="K2969" s="19" t="str">
        <x:v>Auswide Caravans - South Nowra</x:v>
      </x:c>
      <x:c r="L2969" s="19" t="str">
        <x:v>Z006</x:v>
      </x:c>
      <x:c r="M2969" s="19" t="str">
        <x:v>In Field Warranty Claims</x:v>
      </x:c>
      <x:c r="N2969" s="37" t="n">
        <x:v>46090</x:v>
      </x:c>
      <x:c r="O2969" s="37"/>
      <x:c r="P2969" s="34" t="n">
        <x:v>0</x:v>
      </x:c>
      <x:c r="Q2969" s="37" t="n">
        <x:v>46092.15199074074</x:v>
      </x:c>
    </x:row>
    <x:row r="2970">
      <x:c r="A2970" s="22" t="n">
        <x:v>31981</x:v>
      </x:c>
      <x:c r="B2970" s="28" t="n">
        <x:v>1821.82</x:v>
      </x:c>
      <x:c r="C2970" s="28"/>
      <x:c r="D2970" s="31" t="str">
        <x:f>IF(OR(ISBLANK(B2970),ISBLANK(C2970),B2970=0),"",(C2970-B2970)/B2970)</x:f>
      </x:c>
      <x:c r="E2970" s="22" t="str">
        <x:f>IF(ISBLANK(C2970),"AmountIncludingTax缺失",IF(ABS(B2970-C2970)&lt;0.005,"一致","不一致"))</x:f>
        <x:v>AmountIncludingTax缺失</x:v>
      </x:c>
      <x:c r="F2970" s="19" t="str">
        <x:v>approved</x:v>
      </x:c>
      <x:c r="G2970" s="19" t="str">
        <x:v>Repairer Invoiced Processed</x:v>
      </x:c>
      <x:c r="H2970" s="19" t="str">
        <x:v>In Field</x:v>
      </x:c>
      <x:c r="I2970" s="37" t="n">
        <x:v>46087</x:v>
      </x:c>
      <x:c r="J2970" s="37" t="n">
        <x:v>46087</x:v>
      </x:c>
      <x:c r="K2970" s="19" t="str">
        <x:v>Sherrif Caravans &amp; Traliers - Prospect Vale</x:v>
      </x:c>
      <x:c r="L2970" s="19" t="str">
        <x:v>Z006</x:v>
      </x:c>
      <x:c r="M2970" s="19" t="str">
        <x:v>In Field Warranty Claims</x:v>
      </x:c>
      <x:c r="N2970" s="37" t="n">
        <x:v>46087</x:v>
      </x:c>
      <x:c r="O2970" s="37"/>
      <x:c r="P2970" s="34" t="n">
        <x:v>2004</x:v>
      </x:c>
      <x:c r="Q2970" s="37" t="n">
        <x:v>46087.207719907405</x:v>
      </x:c>
    </x:row>
    <x:row r="2971">
      <x:c r="A2971" s="22" t="n">
        <x:v>31980</x:v>
      </x:c>
      <x:c r="B2971" s="28" t="n">
        <x:v>1496.25</x:v>
      </x:c>
      <x:c r="C2971" s="28"/>
      <x:c r="D2971" s="31" t="str">
        <x:f>IF(OR(ISBLANK(B2971),ISBLANK(C2971),B2971=0),"",(C2971-B2971)/B2971)</x:f>
      </x:c>
      <x:c r="E2971" s="22" t="str">
        <x:f>IF(ISBLANK(C2971),"AmountIncludingTax缺失",IF(ABS(B2971-C2971)&lt;0.005,"一致","不一致"))</x:f>
        <x:v>AmountIncludingTax缺失</x:v>
      </x:c>
      <x:c r="F2971" s="19" t="str">
        <x:v>approved</x:v>
      </x:c>
      <x:c r="G2971" s="19" t="str">
        <x:v>Partially Picked</x:v>
      </x:c>
      <x:c r="H2971" s="19" t="str">
        <x:v>In Field</x:v>
      </x:c>
      <x:c r="I2971" s="37" t="n">
        <x:v>46106</x:v>
      </x:c>
      <x:c r="J2971" s="37" t="n">
        <x:v>46106</x:v>
      </x:c>
      <x:c r="K2971" s="19" t="str">
        <x:v>Not Assigned</x:v>
      </x:c>
      <x:c r="L2971" s="19" t="str">
        <x:v>Z006</x:v>
      </x:c>
      <x:c r="M2971" s="19" t="str">
        <x:v>In Field Warranty Claims</x:v>
      </x:c>
      <x:c r="N2971" s="37" t="n">
        <x:v>46087</x:v>
      </x:c>
      <x:c r="O2971" s="37"/>
      <x:c r="P2971" s="34" t="n">
        <x:v>0</x:v>
      </x:c>
      <x:c r="Q2971" s="37" t="n">
        <x:v>46106.07730324074</x:v>
      </x:c>
    </x:row>
    <x:row r="2972">
      <x:c r="A2972" s="22" t="n">
        <x:v>31979</x:v>
      </x:c>
      <x:c r="B2972" s="28" t="n">
        <x:v>1397.7</x:v>
      </x:c>
      <x:c r="C2972" s="28"/>
      <x:c r="D2972" s="31" t="str">
        <x:f>IF(OR(ISBLANK(B2972),ISBLANK(C2972),B2972=0),"",(C2972-B2972)/B2972)</x:f>
      </x:c>
      <x:c r="E2972" s="22" t="str">
        <x:f>IF(ISBLANK(C2972),"AmountIncludingTax缺失",IF(ABS(B2972-C2972)&lt;0.005,"一致","不一致"))</x:f>
        <x:v>AmountIncludingTax缺失</x:v>
      </x:c>
      <x:c r="F2972" s="19" t="str">
        <x:v>approved</x:v>
      </x:c>
      <x:c r="G2972" s="19" t="str">
        <x:v>Repairer Invoiced Processed</x:v>
      </x:c>
      <x:c r="H2972" s="19" t="str">
        <x:v>In Field</x:v>
      </x:c>
      <x:c r="I2972" s="37" t="n">
        <x:v>46097</x:v>
      </x:c>
      <x:c r="J2972" s="37" t="n">
        <x:v>46097</x:v>
      </x:c>
      <x:c r="K2972" s="19" t="str">
        <x:v>Vanari Caravans - Marden Point</x:v>
      </x:c>
      <x:c r="L2972" s="19" t="str">
        <x:v>Z006</x:v>
      </x:c>
      <x:c r="M2972" s="19" t="str">
        <x:v>In Field Warranty Claims</x:v>
      </x:c>
      <x:c r="N2972" s="37" t="n">
        <x:v>46087</x:v>
      </x:c>
      <x:c r="O2972" s="37"/>
      <x:c r="P2972" s="34" t="n">
        <x:v>1265.48</x:v>
      </x:c>
      <x:c r="Q2972" s="37" t="n">
        <x:v>46097.06696759259</x:v>
      </x:c>
    </x:row>
    <x:row r="2973">
      <x:c r="A2973" s="22" t="n">
        <x:v>31978</x:v>
      </x:c>
      <x:c r="B2973" s="28" t="n">
        <x:v>1332.5</x:v>
      </x:c>
      <x:c r="C2973" s="28"/>
      <x:c r="D2973" s="31" t="str">
        <x:f>IF(OR(ISBLANK(B2973),ISBLANK(C2973),B2973=0),"",(C2973-B2973)/B2973)</x:f>
      </x:c>
      <x:c r="E2973" s="22" t="str">
        <x:f>IF(ISBLANK(C2973),"AmountIncludingTax缺失",IF(ABS(B2973-C2973)&lt;0.005,"一致","不一致"))</x:f>
        <x:v>AmountIncludingTax缺失</x:v>
      </x:c>
      <x:c r="F2973" s="19" t="str">
        <x:v>approved</x:v>
      </x:c>
      <x:c r="G2973" s="19" t="str">
        <x:v>Repairer Invoiced Processed</x:v>
      </x:c>
      <x:c r="H2973" s="19" t="str">
        <x:v>Pre Delivery</x:v>
      </x:c>
      <x:c r="I2973" s="37" t="n">
        <x:v>46136</x:v>
      </x:c>
      <x:c r="J2973" s="37" t="n">
        <x:v>46136</x:v>
      </x:c>
      <x:c r="K2973" s="19" t="str">
        <x:v>Regent RV - Toowoomba</x:v>
      </x:c>
      <x:c r="L2973" s="19" t="str">
        <x:v>Z005</x:v>
      </x:c>
      <x:c r="M2973" s="19" t="str">
        <x:v>Pre Delivery Warranty Claims</x:v>
      </x:c>
      <x:c r="N2973" s="37" t="n">
        <x:v>46087</x:v>
      </x:c>
      <x:c r="O2973" s="37"/>
      <x:c r="P2973" s="34" t="n">
        <x:v>0</x:v>
      </x:c>
      <x:c r="Q2973" s="37" t="n">
        <x:v>46135.96806712963</x:v>
      </x:c>
    </x:row>
    <x:row r="2974">
      <x:c r="A2974" s="22" t="n">
        <x:v>31977</x:v>
      </x:c>
      <x:c r="B2974" s="28" t="n">
        <x:v>1337.5</x:v>
      </x:c>
      <x:c r="C2974" s="28"/>
      <x:c r="D2974" s="31" t="str">
        <x:f>IF(OR(ISBLANK(B2974),ISBLANK(C2974),B2974=0),"",(C2974-B2974)/B2974)</x:f>
      </x:c>
      <x:c r="E2974" s="22" t="str">
        <x:f>IF(ISBLANK(C2974),"AmountIncludingTax缺失",IF(ABS(B2974-C2974)&lt;0.005,"一致","不一致"))</x:f>
        <x:v>AmountIncludingTax缺失</x:v>
      </x:c>
      <x:c r="F2974" s="19" t="str">
        <x:v>approved</x:v>
      </x:c>
      <x:c r="G2974" s="19" t="str">
        <x:v>Repair in Progress</x:v>
      </x:c>
      <x:c r="H2974" s="19" t="str">
        <x:v>In Field</x:v>
      </x:c>
      <x:c r="I2974" s="37" t="n">
        <x:v>46108</x:v>
      </x:c>
      <x:c r="J2974" s="37" t="n">
        <x:v>46108</x:v>
      </x:c>
      <x:c r="K2974" s="19" t="str">
        <x:v>Not Assigned</x:v>
      </x:c>
      <x:c r="L2974" s="19" t="str">
        <x:v>Z006</x:v>
      </x:c>
      <x:c r="M2974" s="19" t="str">
        <x:v>In Field Warranty Claims</x:v>
      </x:c>
      <x:c r="N2974" s="37" t="n">
        <x:v>46087</x:v>
      </x:c>
      <x:c r="O2974" s="37"/>
      <x:c r="P2974" s="34" t="n">
        <x:v>0</x:v>
      </x:c>
      <x:c r="Q2974" s="37" t="n">
        <x:v>46108.11001157408</x:v>
      </x:c>
    </x:row>
    <x:row r="2975">
      <x:c r="A2975" s="22" t="n">
        <x:v>31976</x:v>
      </x:c>
      <x:c r="B2975" s="28" t="n">
        <x:v>270</x:v>
      </x:c>
      <x:c r="C2975" s="28"/>
      <x:c r="D2975" s="31" t="str">
        <x:f>IF(OR(ISBLANK(B2975),ISBLANK(C2975),B2975=0),"",(C2975-B2975)/B2975)</x:f>
      </x:c>
      <x:c r="E2975" s="22" t="str">
        <x:f>IF(ISBLANK(C2975),"AmountIncludingTax缺失",IF(ABS(B2975-C2975)&lt;0.005,"一致","不一致"))</x:f>
        <x:v>AmountIncludingTax缺失</x:v>
      </x:c>
      <x:c r="F2975" s="19" t="str">
        <x:v>approved</x:v>
      </x:c>
      <x:c r="G2975" s="19" t="str">
        <x:v>Repairer Invoiced Processed</x:v>
      </x:c>
      <x:c r="H2975" s="19" t="str">
        <x:v>In Field</x:v>
      </x:c>
      <x:c r="I2975" s="37" t="n">
        <x:v>46093</x:v>
      </x:c>
      <x:c r="J2975" s="37" t="n">
        <x:v>46093</x:v>
      </x:c>
      <x:c r="K2975" s="19" t="str">
        <x:v>Snowy River Wangaratta</x:v>
      </x:c>
      <x:c r="L2975" s="19" t="str">
        <x:v>Z006</x:v>
      </x:c>
      <x:c r="M2975" s="19" t="str">
        <x:v>In Field Warranty Claims</x:v>
      </x:c>
      <x:c r="N2975" s="37" t="n">
        <x:v>46087</x:v>
      </x:c>
      <x:c r="O2975" s="37"/>
      <x:c r="P2975" s="34" t="n">
        <x:v>0</x:v>
      </x:c>
      <x:c r="Q2975" s="37" t="n">
        <x:v>46093.26130787037</x:v>
      </x:c>
    </x:row>
    <x:row r="2976">
      <x:c r="A2976" s="22" t="n">
        <x:v>31975</x:v>
      </x:c>
      <x:c r="B2976" s="28" t="n">
        <x:v>1491.25</x:v>
      </x:c>
      <x:c r="C2976" s="28"/>
      <x:c r="D2976" s="31" t="str">
        <x:f>IF(OR(ISBLANK(B2976),ISBLANK(C2976),B2976=0),"",(C2976-B2976)/B2976)</x:f>
      </x:c>
      <x:c r="E2976" s="22" t="str">
        <x:f>IF(ISBLANK(C2976),"AmountIncludingTax缺失",IF(ABS(B2976-C2976)&lt;0.005,"一致","不一致"))</x:f>
        <x:v>AmountIncludingTax缺失</x:v>
      </x:c>
      <x:c r="F2976" s="19" t="str">
        <x:v>approved</x:v>
      </x:c>
      <x:c r="G2976" s="19" t="str">
        <x:v>Repair in Progress</x:v>
      </x:c>
      <x:c r="H2976" s="19" t="str">
        <x:v>Pre Delivery</x:v>
      </x:c>
      <x:c r="I2976" s="37" t="n">
        <x:v>46147</x:v>
      </x:c>
      <x:c r="J2976" s="37" t="n">
        <x:v>46147</x:v>
      </x:c>
      <x:c r="K2976" s="19" t="str">
        <x:v>Regent RV - Toowoomba</x:v>
      </x:c>
      <x:c r="L2976" s="19" t="str">
        <x:v>Z005</x:v>
      </x:c>
      <x:c r="M2976" s="19" t="str">
        <x:v>Pre Delivery Warranty Claims</x:v>
      </x:c>
      <x:c r="N2976" s="37" t="n">
        <x:v>46087</x:v>
      </x:c>
      <x:c r="O2976" s="37"/>
      <x:c r="P2976" s="34" t="n">
        <x:v>0</x:v>
      </x:c>
      <x:c r="Q2976" s="37" t="n">
        <x:v>46147.18578703704</x:v>
      </x:c>
    </x:row>
    <x:row r="2977">
      <x:c r="A2977" s="22" t="n">
        <x:v>31974</x:v>
      </x:c>
      <x:c r="B2977" s="28" t="n">
        <x:v>271.2</x:v>
      </x:c>
      <x:c r="C2977" s="28" t="n">
        <x:v>245.54</x:v>
      </x:c>
      <x:c r="D2977" s="31" t="n">
        <x:f>IF(OR(ISBLANK(B2977),ISBLANK(C2977),B2977=0),"",(C2977-B2977)/B2977)</x:f>
        <x:v>-0.09461651917404129</x:v>
      </x:c>
      <x:c r="E2977" s="22" t="str">
        <x:f>IF(ISBLANK(C2977),"AmountIncludingTax缺失",IF(ABS(B2977-C2977)&lt;0.005,"一致","不一致"))</x:f>
        <x:v>不一致</x:v>
      </x:c>
      <x:c r="F2977" s="19" t="str">
        <x:v>approved</x:v>
      </x:c>
      <x:c r="G2977" s="19" t="str">
        <x:v>Repairer Invoiced Processed</x:v>
      </x:c>
      <x:c r="H2977" s="19" t="str">
        <x:v>In Field</x:v>
      </x:c>
      <x:c r="I2977" s="37" t="n">
        <x:v>46170</x:v>
      </x:c>
      <x:c r="J2977" s="37" t="n">
        <x:v>46170</x:v>
      </x:c>
      <x:c r="K2977" s="19" t="str">
        <x:v>Vanari Caravans - Marden Point</x:v>
      </x:c>
      <x:c r="L2977" s="19" t="str">
        <x:v>Z006</x:v>
      </x:c>
      <x:c r="M2977" s="19" t="str">
        <x:v>In Field Warranty Claims</x:v>
      </x:c>
      <x:c r="N2977" s="37" t="n">
        <x:v>46087</x:v>
      </x:c>
      <x:c r="O2977" s="37"/>
      <x:c r="P2977" s="34" t="n">
        <x:v>245.54</x:v>
      </x:c>
      <x:c r="Q2977" s="37" t="n">
        <x:v>46170.19225694444</x:v>
      </x:c>
    </x:row>
    <x:row r="2978">
      <x:c r="A2978" s="22" t="n">
        <x:v>31973</x:v>
      </x:c>
      <x:c r="B2978" s="28" t="n">
        <x:v>67.5</x:v>
      </x:c>
      <x:c r="C2978" s="28"/>
      <x:c r="D2978" s="31" t="str">
        <x:f>IF(OR(ISBLANK(B2978),ISBLANK(C2978),B2978=0),"",(C2978-B2978)/B2978)</x:f>
      </x:c>
      <x:c r="E2978" s="22" t="str">
        <x:f>IF(ISBLANK(C2978),"AmountIncludingTax缺失",IF(ABS(B2978-C2978)&lt;0.005,"一致","不一致"))</x:f>
        <x:v>AmountIncludingTax缺失</x:v>
      </x:c>
      <x:c r="F2978" s="19" t="str">
        <x:v>approved</x:v>
      </x:c>
      <x:c r="G2978" s="19" t="str">
        <x:v>Repairer Invoiced Processed</x:v>
      </x:c>
      <x:c r="H2978" s="19" t="str">
        <x:v>In Field</x:v>
      </x:c>
      <x:c r="I2978" s="37" t="n">
        <x:v>46092</x:v>
      </x:c>
      <x:c r="J2978" s="37" t="n">
        <x:v>46092</x:v>
      </x:c>
      <x:c r="K2978" s="19" t="str">
        <x:v>Not Assigned</x:v>
      </x:c>
      <x:c r="L2978" s="19" t="str">
        <x:v>Z006</x:v>
      </x:c>
      <x:c r="M2978" s="19" t="str">
        <x:v>In Field Warranty Claims</x:v>
      </x:c>
      <x:c r="N2978" s="37" t="n">
        <x:v>46087</x:v>
      </x:c>
      <x:c r="O2978" s="37"/>
      <x:c r="P2978" s="34" t="n">
        <x:v>0</x:v>
      </x:c>
      <x:c r="Q2978" s="37" t="n">
        <x:v>46092.03907407408</x:v>
      </x:c>
    </x:row>
    <x:row r="2979">
      <x:c r="A2979" s="22" t="n">
        <x:v>31972</x:v>
      </x:c>
      <x:c r="B2979" s="28" t="n">
        <x:v>70</x:v>
      </x:c>
      <x:c r="C2979" s="28" t="n">
        <x:v>63.38</x:v>
      </x:c>
      <x:c r="D2979" s="31" t="n">
        <x:f>IF(OR(ISBLANK(B2979),ISBLANK(C2979),B2979=0),"",(C2979-B2979)/B2979)</x:f>
        <x:v>-0.09457142857142853</x:v>
      </x:c>
      <x:c r="E2979" s="22" t="str">
        <x:f>IF(ISBLANK(C2979),"AmountIncludingTax缺失",IF(ABS(B2979-C2979)&lt;0.005,"一致","不一致"))</x:f>
        <x:v>不一致</x:v>
      </x:c>
      <x:c r="F2979" s="19" t="str">
        <x:v>approved</x:v>
      </x:c>
      <x:c r="G2979" s="19" t="str">
        <x:v>Repairer Invoiced Processed</x:v>
      </x:c>
      <x:c r="H2979" s="19" t="str">
        <x:v>Pre Delivery</x:v>
      </x:c>
      <x:c r="I2979" s="37" t="n">
        <x:v>46154</x:v>
      </x:c>
      <x:c r="J2979" s="37" t="n">
        <x:v>46154</x:v>
      </x:c>
      <x:c r="K2979" s="19" t="str">
        <x:v>Vanari Caravans - Marden Point</x:v>
      </x:c>
      <x:c r="L2979" s="19" t="str">
        <x:v>Z005</x:v>
      </x:c>
      <x:c r="M2979" s="19" t="str">
        <x:v>Pre Delivery Warranty Claims</x:v>
      </x:c>
      <x:c r="N2979" s="37" t="n">
        <x:v>46087</x:v>
      </x:c>
      <x:c r="O2979" s="37"/>
      <x:c r="P2979" s="34" t="n">
        <x:v>63.38</x:v>
      </x:c>
      <x:c r="Q2979" s="37" t="n">
        <x:v>46153.98287037037</x:v>
      </x:c>
    </x:row>
    <x:row r="2980">
      <x:c r="A2980" s="22" t="n">
        <x:v>31971</x:v>
      </x:c>
      <x:c r="B2980" s="28" t="n">
        <x:v>92.05</x:v>
      </x:c>
      <x:c r="C2980" s="28" t="n">
        <x:v>101.26</x:v>
      </x:c>
      <x:c r="D2980" s="31" t="n">
        <x:f>IF(OR(ISBLANK(B2980),ISBLANK(C2980),B2980=0),"",(C2980-B2980)/B2980)</x:f>
        <x:v>0.10005431830526897</x:v>
      </x:c>
      <x:c r="E2980" s="22" t="str">
        <x:f>IF(ISBLANK(C2980),"AmountIncludingTax缺失",IF(ABS(B2980-C2980)&lt;0.005,"一致","不一致"))</x:f>
        <x:v>不一致</x:v>
      </x:c>
      <x:c r="F2980" s="19" t="str">
        <x:v>approved</x:v>
      </x:c>
      <x:c r="G2980" s="19" t="str">
        <x:v>Repairer Invoiced Processed</x:v>
      </x:c>
      <x:c r="H2980" s="19" t="str">
        <x:v>Pre Delivery</x:v>
      </x:c>
      <x:c r="I2980" s="37" t="n">
        <x:v>46161</x:v>
      </x:c>
      <x:c r="J2980" s="37" t="n">
        <x:v>46161</x:v>
      </x:c>
      <x:c r="K2980" s="19" t="str">
        <x:v>Green RV - Slacks Creek</x:v>
      </x:c>
      <x:c r="L2980" s="19" t="str">
        <x:v>Z005</x:v>
      </x:c>
      <x:c r="M2980" s="19" t="str">
        <x:v>Pre Delivery Warranty Claims</x:v>
      </x:c>
      <x:c r="N2980" s="37" t="n">
        <x:v>46087</x:v>
      </x:c>
      <x:c r="O2980" s="37"/>
      <x:c r="P2980" s="34" t="n">
        <x:v>101.26</x:v>
      </x:c>
      <x:c r="Q2980" s="37" t="n">
        <x:v>46161.087789351855</x:v>
      </x:c>
    </x:row>
    <x:row r="2981">
      <x:c r="A2981" s="22" t="n">
        <x:v>31959</x:v>
      </x:c>
      <x:c r="B2981" s="28" t="n">
        <x:v>67.5</x:v>
      </x:c>
      <x:c r="C2981" s="28"/>
      <x:c r="D2981" s="31" t="str">
        <x:f>IF(OR(ISBLANK(B2981),ISBLANK(C2981),B2981=0),"",(C2981-B2981)/B2981)</x:f>
      </x:c>
      <x:c r="E2981" s="22" t="str">
        <x:f>IF(ISBLANK(C2981),"AmountIncludingTax缺失",IF(ABS(B2981-C2981)&lt;0.005,"一致","不一致"))</x:f>
        <x:v>AmountIncludingTax缺失</x:v>
      </x:c>
      <x:c r="F2981" s="19" t="str">
        <x:v>approved</x:v>
      </x:c>
      <x:c r="G2981" s="19" t="str">
        <x:v>Repair in Progress</x:v>
      </x:c>
      <x:c r="H2981" s="19" t="str">
        <x:v>In Field</x:v>
      </x:c>
      <x:c r="I2981" s="37" t="n">
        <x:v>46105</x:v>
      </x:c>
      <x:c r="J2981" s="37" t="n">
        <x:v>46105</x:v>
      </x:c>
      <x:c r="K2981" s="19" t="str">
        <x:v>Green RV - Forest Glen</x:v>
      </x:c>
      <x:c r="L2981" s="19" t="str">
        <x:v>Z006</x:v>
      </x:c>
      <x:c r="M2981" s="19" t="str">
        <x:v>In Field Warranty Claims</x:v>
      </x:c>
      <x:c r="N2981" s="37" t="n">
        <x:v>46087</x:v>
      </x:c>
      <x:c r="O2981" s="37"/>
      <x:c r="P2981" s="34" t="n">
        <x:v>0</x:v>
      </x:c>
      <x:c r="Q2981" s="37" t="n">
        <x:v>46104.98055555556</x:v>
      </x:c>
    </x:row>
    <x:row r="2982">
      <x:c r="A2982" s="22" t="n">
        <x:v>31958</x:v>
      </x:c>
      <x:c r="B2982" s="28" t="n">
        <x:v>930</x:v>
      </x:c>
      <x:c r="C2982" s="28" t="n">
        <x:v>842.02</x:v>
      </x:c>
      <x:c r="D2982" s="31" t="n">
        <x:f>IF(OR(ISBLANK(B2982),ISBLANK(C2982),B2982=0),"",(C2982-B2982)/B2982)</x:f>
        <x:v>-0.09460215053763443</x:v>
      </x:c>
      <x:c r="E2982" s="22" t="str">
        <x:f>IF(ISBLANK(C2982),"AmountIncludingTax缺失",IF(ABS(B2982-C2982)&lt;0.005,"一致","不一致"))</x:f>
        <x:v>不一致</x:v>
      </x:c>
      <x:c r="F2982" s="19" t="str">
        <x:v>approved</x:v>
      </x:c>
      <x:c r="G2982" s="19" t="str">
        <x:v>Repairer Invoiced Processed</x:v>
      </x:c>
      <x:c r="H2982" s="19" t="str">
        <x:v>In Field</x:v>
      </x:c>
      <x:c r="I2982" s="37" t="n">
        <x:v>46101</x:v>
      </x:c>
      <x:c r="J2982" s="37" t="n">
        <x:v>46101</x:v>
      </x:c>
      <x:c r="K2982" s="19" t="str">
        <x:v>Vanari Caravans - Marden Point</x:v>
      </x:c>
      <x:c r="L2982" s="19" t="str">
        <x:v>Z006</x:v>
      </x:c>
      <x:c r="M2982" s="19" t="str">
        <x:v>In Field Warranty Claims</x:v>
      </x:c>
      <x:c r="N2982" s="37" t="n">
        <x:v>46087</x:v>
      </x:c>
      <x:c r="O2982" s="37"/>
      <x:c r="P2982" s="34" t="n">
        <x:v>842.02</x:v>
      </x:c>
      <x:c r="Q2982" s="37" t="n">
        <x:v>46100.90981481481</x:v>
      </x:c>
    </x:row>
    <x:row r="2983">
      <x:c r="A2983" s="22" t="n">
        <x:v>31957</x:v>
      </x:c>
      <x:c r="B2983" s="28" t="n">
        <x:v>135</x:v>
      </x:c>
      <x:c r="C2983" s="28"/>
      <x:c r="D2983" s="31" t="str">
        <x:f>IF(OR(ISBLANK(B2983),ISBLANK(C2983),B2983=0),"",(C2983-B2983)/B2983)</x:f>
      </x:c>
      <x:c r="E2983" s="22" t="str">
        <x:f>IF(ISBLANK(C2983),"AmountIncludingTax缺失",IF(ABS(B2983-C2983)&lt;0.005,"一致","不一致"))</x:f>
        <x:v>AmountIncludingTax缺失</x:v>
      </x:c>
      <x:c r="F2983" s="19" t="str">
        <x:v>approved</x:v>
      </x:c>
      <x:c r="G2983" s="19" t="str">
        <x:v>Repair in Progress</x:v>
      </x:c>
      <x:c r="H2983" s="19" t="str">
        <x:v>In Field</x:v>
      </x:c>
      <x:c r="I2983" s="37" t="n">
        <x:v>46148</x:v>
      </x:c>
      <x:c r="J2983" s="37" t="n">
        <x:v>46097</x:v>
      </x:c>
      <x:c r="K2983" s="19" t="str">
        <x:v>Regent RV - Toowoomba</x:v>
      </x:c>
      <x:c r="L2983" s="19" t="str">
        <x:v>Z006</x:v>
      </x:c>
      <x:c r="M2983" s="19" t="str">
        <x:v>In Field Warranty Claims</x:v>
      </x:c>
      <x:c r="N2983" s="37" t="n">
        <x:v>46087</x:v>
      </x:c>
      <x:c r="O2983" s="37"/>
      <x:c r="P2983" s="34" t="n">
        <x:v>0</x:v>
      </x:c>
      <x:c r="Q2983" s="37" t="n">
        <x:v>46148.20707175926</x:v>
      </x:c>
    </x:row>
    <x:row r="2984">
      <x:c r="A2984" s="22" t="n">
        <x:v>31956</x:v>
      </x:c>
      <x:c r="B2984" s="28" t="n">
        <x:v>357.5</x:v>
      </x:c>
      <x:c r="C2984" s="28"/>
      <x:c r="D2984" s="31" t="str">
        <x:f>IF(OR(ISBLANK(B2984),ISBLANK(C2984),B2984=0),"",(C2984-B2984)/B2984)</x:f>
      </x:c>
      <x:c r="E2984" s="22" t="str">
        <x:f>IF(ISBLANK(C2984),"AmountIncludingTax缺失",IF(ABS(B2984-C2984)&lt;0.005,"一致","不一致"))</x:f>
        <x:v>AmountIncludingTax缺失</x:v>
      </x:c>
      <x:c r="F2984" s="19" t="str">
        <x:v>approved</x:v>
      </x:c>
      <x:c r="G2984" s="19" t="str">
        <x:v>Repair in Progress</x:v>
      </x:c>
      <x:c r="H2984" s="19" t="str">
        <x:v>In Field</x:v>
      </x:c>
      <x:c r="I2984" s="37" t="n">
        <x:v>46097</x:v>
      </x:c>
      <x:c r="J2984" s="37" t="n">
        <x:v>46097</x:v>
      </x:c>
      <x:c r="K2984" s="19" t="str">
        <x:v>Not Assigned</x:v>
      </x:c>
      <x:c r="L2984" s="19" t="str">
        <x:v>Z006</x:v>
      </x:c>
      <x:c r="M2984" s="19" t="str">
        <x:v>In Field Warranty Claims</x:v>
      </x:c>
      <x:c r="N2984" s="37" t="n">
        <x:v>46087</x:v>
      </x:c>
      <x:c r="O2984" s="37"/>
      <x:c r="P2984" s="34" t="n">
        <x:v>0</x:v>
      </x:c>
      <x:c r="Q2984" s="37" t="n">
        <x:v>46097.13474537037</x:v>
      </x:c>
    </x:row>
    <x:row r="2985">
      <x:c r="A2985" s="22" t="n">
        <x:v>31955</x:v>
      </x:c>
      <x:c r="B2985" s="28" t="n">
        <x:v>830</x:v>
      </x:c>
      <x:c r="C2985" s="28"/>
      <x:c r="D2985" s="31" t="str">
        <x:f>IF(OR(ISBLANK(B2985),ISBLANK(C2985),B2985=0),"",(C2985-B2985)/B2985)</x:f>
      </x:c>
      <x:c r="E2985" s="22" t="str">
        <x:f>IF(ISBLANK(C2985),"AmountIncludingTax缺失",IF(ABS(B2985-C2985)&lt;0.005,"一致","不一致"))</x:f>
        <x:v>AmountIncludingTax缺失</x:v>
      </x:c>
      <x:c r="F2985" s="19" t="str">
        <x:v>approved</x:v>
      </x:c>
      <x:c r="G2985" s="19" t="str">
        <x:v>Repairer Invoiced Processed</x:v>
      </x:c>
      <x:c r="H2985" s="19" t="str">
        <x:v>Pre Delivery</x:v>
      </x:c>
      <x:c r="I2985" s="37" t="n">
        <x:v>46147</x:v>
      </x:c>
      <x:c r="J2985" s="37" t="n">
        <x:v>46147</x:v>
      </x:c>
      <x:c r="K2985" s="19" t="str">
        <x:v>Lesiure Lion-New Castle</x:v>
      </x:c>
      <x:c r="L2985" s="19" t="str">
        <x:v>Z005</x:v>
      </x:c>
      <x:c r="M2985" s="19" t="str">
        <x:v>Pre Delivery Warranty Claims</x:v>
      </x:c>
      <x:c r="N2985" s="37" t="n">
        <x:v>46087</x:v>
      </x:c>
      <x:c r="O2985" s="37"/>
      <x:c r="P2985" s="34" t="n">
        <x:v>0</x:v>
      </x:c>
      <x:c r="Q2985" s="37" t="n">
        <x:v>46147.16685185185</x:v>
      </x:c>
    </x:row>
    <x:row r="2986">
      <x:c r="A2986" s="22" t="n">
        <x:v>31954</x:v>
      </x:c>
      <x:c r="B2986" s="28" t="n">
        <x:v>275</x:v>
      </x:c>
      <x:c r="C2986" s="28"/>
      <x:c r="D2986" s="31" t="str">
        <x:f>IF(OR(ISBLANK(B2986),ISBLANK(C2986),B2986=0),"",(C2986-B2986)/B2986)</x:f>
      </x:c>
      <x:c r="E2986" s="22" t="str">
        <x:f>IF(ISBLANK(C2986),"AmountIncludingTax缺失",IF(ABS(B2986-C2986)&lt;0.005,"一致","不一致"))</x:f>
        <x:v>AmountIncludingTax缺失</x:v>
      </x:c>
      <x:c r="F2986" s="19" t="str">
        <x:v>approved</x:v>
      </x:c>
      <x:c r="G2986" s="19" t="str">
        <x:v>Repairer Invoiced Processed</x:v>
      </x:c>
      <x:c r="H2986" s="19" t="str">
        <x:v>In Field</x:v>
      </x:c>
      <x:c r="I2986" s="37" t="n">
        <x:v>46094</x:v>
      </x:c>
      <x:c r="J2986" s="37" t="n">
        <x:v>46094</x:v>
      </x:c>
      <x:c r="K2986" s="19" t="str">
        <x:v>Green RV - Slacks Creek</x:v>
      </x:c>
      <x:c r="L2986" s="19" t="str">
        <x:v>Z006</x:v>
      </x:c>
      <x:c r="M2986" s="19" t="str">
        <x:v>In Field Warranty Claims</x:v>
      </x:c>
      <x:c r="N2986" s="37" t="n">
        <x:v>46087</x:v>
      </x:c>
      <x:c r="O2986" s="37"/>
      <x:c r="P2986" s="34" t="n">
        <x:v>0</x:v>
      </x:c>
      <x:c r="Q2986" s="37" t="n">
        <x:v>46093.975625</x:v>
      </x:c>
    </x:row>
    <x:row r="2987">
      <x:c r="A2987" s="22" t="n">
        <x:v>31953</x:v>
      </x:c>
      <x:c r="B2987" s="28" t="n">
        <x:v>222.5</x:v>
      </x:c>
      <x:c r="C2987" s="28"/>
      <x:c r="D2987" s="31" t="str">
        <x:f>IF(OR(ISBLANK(B2987),ISBLANK(C2987),B2987=0),"",(C2987-B2987)/B2987)</x:f>
      </x:c>
      <x:c r="E2987" s="22" t="str">
        <x:f>IF(ISBLANK(C2987),"AmountIncludingTax缺失",IF(ABS(B2987-C2987)&lt;0.005,"一致","不一致"))</x:f>
        <x:v>AmountIncludingTax缺失</x:v>
      </x:c>
      <x:c r="F2987" s="19" t="str">
        <x:v>approved</x:v>
      </x:c>
      <x:c r="G2987" s="19" t="str">
        <x:v>Repair in Progress</x:v>
      </x:c>
      <x:c r="H2987" s="19" t="str">
        <x:v>In Field</x:v>
      </x:c>
      <x:c r="I2987" s="37" t="n">
        <x:v>46093</x:v>
      </x:c>
      <x:c r="J2987" s="37" t="n">
        <x:v>46093</x:v>
      </x:c>
      <x:c r="K2987" s="19" t="str">
        <x:v>Not Assigned</x:v>
      </x:c>
      <x:c r="L2987" s="19" t="str">
        <x:v>Z006</x:v>
      </x:c>
      <x:c r="M2987" s="19" t="str">
        <x:v>In Field Warranty Claims</x:v>
      </x:c>
      <x:c r="N2987" s="37" t="n">
        <x:v>46087</x:v>
      </x:c>
      <x:c r="O2987" s="37"/>
      <x:c r="P2987" s="34" t="n">
        <x:v>0</x:v>
      </x:c>
      <x:c r="Q2987" s="37" t="n">
        <x:v>46092.86148148148</x:v>
      </x:c>
    </x:row>
    <x:row r="2988">
      <x:c r="A2988" s="22" t="n">
        <x:v>31952</x:v>
      </x:c>
      <x:c r="B2988" s="28" t="n">
        <x:v>67.5</x:v>
      </x:c>
      <x:c r="C2988" s="28"/>
      <x:c r="D2988" s="31" t="str">
        <x:f>IF(OR(ISBLANK(B2988),ISBLANK(C2988),B2988=0),"",(C2988-B2988)/B2988)</x:f>
      </x:c>
      <x:c r="E2988" s="22" t="str">
        <x:f>IF(ISBLANK(C2988),"AmountIncludingTax缺失",IF(ABS(B2988-C2988)&lt;0.005,"一致","不一致"))</x:f>
        <x:v>AmountIncludingTax缺失</x:v>
      </x:c>
      <x:c r="F2988" s="19" t="str">
        <x:v>approved</x:v>
      </x:c>
      <x:c r="G2988" s="19" t="str">
        <x:v>Repairer Invoiced Processed</x:v>
      </x:c>
      <x:c r="H2988" s="19" t="str">
        <x:v>In Field</x:v>
      </x:c>
      <x:c r="I2988" s="37" t="n">
        <x:v>46105</x:v>
      </x:c>
      <x:c r="J2988" s="37" t="n">
        <x:v>46105</x:v>
      </x:c>
      <x:c r="K2988" s="19" t="str">
        <x:v>Green RV - Forest Glen</x:v>
      </x:c>
      <x:c r="L2988" s="19" t="str">
        <x:v>Z006</x:v>
      </x:c>
      <x:c r="M2988" s="19" t="str">
        <x:v>In Field Warranty Claims</x:v>
      </x:c>
      <x:c r="N2988" s="37" t="n">
        <x:v>46086</x:v>
      </x:c>
      <x:c r="O2988" s="37"/>
      <x:c r="P2988" s="34" t="n">
        <x:v>0</x:v>
      </x:c>
      <x:c r="Q2988" s="37" t="n">
        <x:v>46104.98038194444</x:v>
      </x:c>
    </x:row>
    <x:row r="2989">
      <x:c r="A2989" s="22" t="n">
        <x:v>31951</x:v>
      </x:c>
      <x:c r="B2989" s="28" t="n">
        <x:v>129.77</x:v>
      </x:c>
      <x:c r="C2989" s="28" t="n">
        <x:v>142.75</x:v>
      </x:c>
      <x:c r="D2989" s="31" t="n">
        <x:f>IF(OR(ISBLANK(B2989),ISBLANK(C2989),B2989=0),"",(C2989-B2989)/B2989)</x:f>
        <x:v>0.1000231178238421</x:v>
      </x:c>
      <x:c r="E2989" s="22" t="str">
        <x:f>IF(ISBLANK(C2989),"AmountIncludingTax缺失",IF(ABS(B2989-C2989)&lt;0.005,"一致","不一致"))</x:f>
        <x:v>不一致</x:v>
      </x:c>
      <x:c r="F2989" s="19" t="str">
        <x:v>approved</x:v>
      </x:c>
      <x:c r="G2989" s="19" t="str">
        <x:v>Repairer Invoiced Processed</x:v>
      </x:c>
      <x:c r="H2989" s="19" t="str">
        <x:v>In Field</x:v>
      </x:c>
      <x:c r="I2989" s="37" t="n">
        <x:v>46098</x:v>
      </x:c>
      <x:c r="J2989" s="37" t="n">
        <x:v>46098</x:v>
      </x:c>
      <x:c r="K2989" s="19" t="str">
        <x:v>ABCO Caravans - Boambee Valley</x:v>
      </x:c>
      <x:c r="L2989" s="19" t="str">
        <x:v>Z006</x:v>
      </x:c>
      <x:c r="M2989" s="19" t="str">
        <x:v>In Field Warranty Claims</x:v>
      </x:c>
      <x:c r="N2989" s="37" t="n">
        <x:v>46086</x:v>
      </x:c>
      <x:c r="O2989" s="37"/>
      <x:c r="P2989" s="34" t="n">
        <x:v>142.75</x:v>
      </x:c>
      <x:c r="Q2989" s="37" t="n">
        <x:v>46097.91737268519</x:v>
      </x:c>
    </x:row>
    <x:row r="2990">
      <x:c r="A2990" s="22" t="n">
        <x:v>31950</x:v>
      </x:c>
      <x:c r="B2990" s="28" t="n">
        <x:v>1080</x:v>
      </x:c>
      <x:c r="C2990" s="28"/>
      <x:c r="D2990" s="31" t="str">
        <x:f>IF(OR(ISBLANK(B2990),ISBLANK(C2990),B2990=0),"",(C2990-B2990)/B2990)</x:f>
      </x:c>
      <x:c r="E2990" s="22" t="str">
        <x:f>IF(ISBLANK(C2990),"AmountIncludingTax缺失",IF(ABS(B2990-C2990)&lt;0.005,"一致","不一致"))</x:f>
        <x:v>AmountIncludingTax缺失</x:v>
      </x:c>
      <x:c r="F2990" s="19" t="str">
        <x:v>approved</x:v>
      </x:c>
      <x:c r="G2990" s="19" t="str">
        <x:v>Partially Picked</x:v>
      </x:c>
      <x:c r="H2990" s="19" t="str">
        <x:v>In Field</x:v>
      </x:c>
      <x:c r="I2990" s="37" t="n">
        <x:v>46120</x:v>
      </x:c>
      <x:c r="J2990" s="37" t="n">
        <x:v>46120</x:v>
      </x:c>
      <x:c r="K2990" s="19" t="str">
        <x:v>Not Assigned</x:v>
      </x:c>
      <x:c r="L2990" s="19" t="str">
        <x:v>Z006</x:v>
      </x:c>
      <x:c r="M2990" s="19" t="str">
        <x:v>In Field Warranty Claims</x:v>
      </x:c>
      <x:c r="N2990" s="37" t="n">
        <x:v>46087</x:v>
      </x:c>
      <x:c r="O2990" s="37"/>
      <x:c r="P2990" s="34" t="n">
        <x:v>0</x:v>
      </x:c>
      <x:c r="Q2990" s="37" t="n">
        <x:v>46120.159849537034</x:v>
      </x:c>
    </x:row>
    <x:row r="2991">
      <x:c r="A2991" s="22" t="n">
        <x:v>31948</x:v>
      </x:c>
      <x:c r="B2991" s="28" t="n">
        <x:v>288</x:v>
      </x:c>
      <x:c r="C2991" s="28" t="n">
        <x:v>316.8</x:v>
      </x:c>
      <x:c r="D2991" s="31" t="n">
        <x:f>IF(OR(ISBLANK(B2991),ISBLANK(C2991),B2991=0),"",(C2991-B2991)/B2991)</x:f>
        <x:v>0.10000000000000003</x:v>
      </x:c>
      <x:c r="E2991" s="22" t="str">
        <x:f>IF(ISBLANK(C2991),"AmountIncludingTax缺失",IF(ABS(B2991-C2991)&lt;0.005,"一致","不一致"))</x:f>
        <x:v>不一致</x:v>
      </x:c>
      <x:c r="F2991" s="19" t="str">
        <x:v>approved</x:v>
      </x:c>
      <x:c r="G2991" s="19" t="str">
        <x:v>Repair in Progress</x:v>
      </x:c>
      <x:c r="H2991" s="19" t="str">
        <x:v>In Field</x:v>
      </x:c>
      <x:c r="I2991" s="37" t="n">
        <x:v>46105</x:v>
      </x:c>
      <x:c r="J2991" s="37" t="n">
        <x:v>46105</x:v>
      </x:c>
      <x:c r="K2991" s="19" t="str">
        <x:v>Green RV - Forest Glen</x:v>
      </x:c>
      <x:c r="L2991" s="19" t="str">
        <x:v>Z006</x:v>
      </x:c>
      <x:c r="M2991" s="19" t="str">
        <x:v>In Field Warranty Claims</x:v>
      </x:c>
      <x:c r="N2991" s="37" t="n">
        <x:v>46087</x:v>
      </x:c>
      <x:c r="O2991" s="37"/>
      <x:c r="P2991" s="34" t="n">
        <x:v>316.8</x:v>
      </x:c>
      <x:c r="Q2991" s="37" t="n">
        <x:v>46104.972974537035</x:v>
      </x:c>
    </x:row>
    <x:row r="2992">
      <x:c r="A2992" s="22" t="n">
        <x:v>31947</x:v>
      </x:c>
      <x:c r="B2992" s="28" t="n">
        <x:v>129.77</x:v>
      </x:c>
      <x:c r="C2992" s="28" t="n">
        <x:v>142.75</x:v>
      </x:c>
      <x:c r="D2992" s="31" t="n">
        <x:f>IF(OR(ISBLANK(B2992),ISBLANK(C2992),B2992=0),"",(C2992-B2992)/B2992)</x:f>
        <x:v>0.1000231178238421</x:v>
      </x:c>
      <x:c r="E2992" s="22" t="str">
        <x:f>IF(ISBLANK(C2992),"AmountIncludingTax缺失",IF(ABS(B2992-C2992)&lt;0.005,"一致","不一致"))</x:f>
        <x:v>不一致</x:v>
      </x:c>
      <x:c r="F2992" s="19" t="str">
        <x:v>approved</x:v>
      </x:c>
      <x:c r="G2992" s="19" t="str">
        <x:v>Repairer Invoiced Processed</x:v>
      </x:c>
      <x:c r="H2992" s="19" t="str">
        <x:v>In Field</x:v>
      </x:c>
      <x:c r="I2992" s="37" t="n">
        <x:v>46112</x:v>
      </x:c>
      <x:c r="J2992" s="37" t="n">
        <x:v>46112</x:v>
      </x:c>
      <x:c r="K2992" s="19" t="str">
        <x:v>ABCO Caravans - Boambee Valley</x:v>
      </x:c>
      <x:c r="L2992" s="19" t="str">
        <x:v>Z006</x:v>
      </x:c>
      <x:c r="M2992" s="19" t="str">
        <x:v>In Field Warranty Claims</x:v>
      </x:c>
      <x:c r="N2992" s="37" t="n">
        <x:v>46086</x:v>
      </x:c>
      <x:c r="O2992" s="37"/>
      <x:c r="P2992" s="34" t="n">
        <x:v>142.75</x:v>
      </x:c>
      <x:c r="Q2992" s="37" t="n">
        <x:v>46111.92149305555</x:v>
      </x:c>
    </x:row>
    <x:row r="2993">
      <x:c r="A2993" s="22" t="n">
        <x:v>31946</x:v>
      </x:c>
      <x:c r="B2993" s="28" t="n">
        <x:v>67.5</x:v>
      </x:c>
      <x:c r="C2993" s="28"/>
      <x:c r="D2993" s="31" t="str">
        <x:f>IF(OR(ISBLANK(B2993),ISBLANK(C2993),B2993=0),"",(C2993-B2993)/B2993)</x:f>
      </x:c>
      <x:c r="E2993" s="22" t="str">
        <x:f>IF(ISBLANK(C2993),"AmountIncludingTax缺失",IF(ABS(B2993-C2993)&lt;0.005,"一致","不一致"))</x:f>
        <x:v>AmountIncludingTax缺失</x:v>
      </x:c>
      <x:c r="F2993" s="19" t="str">
        <x:v>approved</x:v>
      </x:c>
      <x:c r="G2993" s="19" t="str">
        <x:v>Repair in Progress</x:v>
      </x:c>
      <x:c r="H2993" s="19" t="str">
        <x:v>In Field</x:v>
      </x:c>
      <x:c r="I2993" s="37" t="n">
        <x:v>46103</x:v>
      </x:c>
      <x:c r="J2993" s="37" t="n">
        <x:v>46103</x:v>
      </x:c>
      <x:c r="K2993" s="19" t="str">
        <x:v>Not Assigned</x:v>
      </x:c>
      <x:c r="L2993" s="19" t="str">
        <x:v>Z006</x:v>
      </x:c>
      <x:c r="M2993" s="19" t="str">
        <x:v>In Field Warranty Claims</x:v>
      </x:c>
      <x:c r="N2993" s="37" t="n">
        <x:v>46086</x:v>
      </x:c>
      <x:c r="O2993" s="37"/>
      <x:c r="P2993" s="34" t="n">
        <x:v>0</x:v>
      </x:c>
      <x:c r="Q2993" s="37" t="n">
        <x:v>46103.45622685185</x:v>
      </x:c>
    </x:row>
    <x:row r="2994">
      <x:c r="A2994" s="22" t="n">
        <x:v>31945</x:v>
      </x:c>
      <x:c r="B2994" s="28" t="n">
        <x:v>25.1</x:v>
      </x:c>
      <x:c r="C2994" s="28" t="n">
        <x:v>22.73</x:v>
      </x:c>
      <x:c r="D2994" s="31" t="n">
        <x:f>IF(OR(ISBLANK(B2994),ISBLANK(C2994),B2994=0),"",(C2994-B2994)/B2994)</x:f>
        <x:v>-0.09442231075697215</x:v>
      </x:c>
      <x:c r="E2994" s="22" t="str">
        <x:f>IF(ISBLANK(C2994),"AmountIncludingTax缺失",IF(ABS(B2994-C2994)&lt;0.005,"一致","不一致"))</x:f>
        <x:v>不一致</x:v>
      </x:c>
      <x:c r="F2994" s="19" t="str">
        <x:v>approved</x:v>
      </x:c>
      <x:c r="G2994" s="19" t="str">
        <x:v>Repairer Invoiced Processed</x:v>
      </x:c>
      <x:c r="H2994" s="19" t="str">
        <x:v>In Field</x:v>
      </x:c>
      <x:c r="I2994" s="37" t="n">
        <x:v>46103</x:v>
      </x:c>
      <x:c r="J2994" s="37" t="n">
        <x:v>46103</x:v>
      </x:c>
      <x:c r="K2994" s="19" t="str">
        <x:v>Vanari Caravans - Marden Point</x:v>
      </x:c>
      <x:c r="L2994" s="19" t="str">
        <x:v>Z006</x:v>
      </x:c>
      <x:c r="M2994" s="19" t="str">
        <x:v>In Field Warranty Claims</x:v>
      </x:c>
      <x:c r="N2994" s="37" t="n">
        <x:v>46086</x:v>
      </x:c>
      <x:c r="O2994" s="37"/>
      <x:c r="P2994" s="34" t="n">
        <x:v>22.73</x:v>
      </x:c>
      <x:c r="Q2994" s="37" t="n">
        <x:v>46103.46105324074</x:v>
      </x:c>
    </x:row>
    <x:row r="2995">
      <x:c r="A2995" s="22" t="n">
        <x:v>31944</x:v>
      </x:c>
      <x:c r="B2995" s="28" t="n">
        <x:v>375.45</x:v>
      </x:c>
      <x:c r="C2995" s="28" t="n">
        <x:v>413</x:v>
      </x:c>
      <x:c r="D2995" s="31" t="n">
        <x:f>IF(OR(ISBLANK(B2995),ISBLANK(C2995),B2995=0),"",(C2995-B2995)/B2995)</x:f>
        <x:v>0.10001331735251036</x:v>
      </x:c>
      <x:c r="E2995" s="22" t="str">
        <x:f>IF(ISBLANK(C2995),"AmountIncludingTax缺失",IF(ABS(B2995-C2995)&lt;0.005,"一致","不一致"))</x:f>
        <x:v>不一致</x:v>
      </x:c>
      <x:c r="F2995" s="19" t="str">
        <x:v>approved</x:v>
      </x:c>
      <x:c r="G2995" s="19" t="str">
        <x:v>Repairer Invoiced Processed</x:v>
      </x:c>
      <x:c r="H2995" s="19" t="str">
        <x:v>In Field</x:v>
      </x:c>
      <x:c r="I2995" s="37" t="n">
        <x:v>46143</x:v>
      </x:c>
      <x:c r="J2995" s="37" t="n">
        <x:v>46143</x:v>
      </x:c>
      <x:c r="K2995" s="19" t="str">
        <x:v>Regent RV - Perth</x:v>
      </x:c>
      <x:c r="L2995" s="19" t="str">
        <x:v>Z006</x:v>
      </x:c>
      <x:c r="M2995" s="19" t="str">
        <x:v>In Field Warranty Claims</x:v>
      </x:c>
      <x:c r="N2995" s="37" t="n">
        <x:v>46086</x:v>
      </x:c>
      <x:c r="O2995" s="37"/>
      <x:c r="P2995" s="34" t="n">
        <x:v>413</x:v>
      </x:c>
      <x:c r="Q2995" s="37" t="n">
        <x:v>46142.995162037034</x:v>
      </x:c>
    </x:row>
    <x:row r="2996">
      <x:c r="A2996" s="22" t="n">
        <x:v>31939</x:v>
      </x:c>
      <x:c r="B2996" s="28" t="n">
        <x:v>247.5</x:v>
      </x:c>
      <x:c r="C2996" s="28"/>
      <x:c r="D2996" s="31" t="str">
        <x:f>IF(OR(ISBLANK(B2996),ISBLANK(C2996),B2996=0),"",(C2996-B2996)/B2996)</x:f>
      </x:c>
      <x:c r="E2996" s="22" t="str">
        <x:f>IF(ISBLANK(C2996),"AmountIncludingTax缺失",IF(ABS(B2996-C2996)&lt;0.005,"一致","不一致"))</x:f>
        <x:v>AmountIncludingTax缺失</x:v>
      </x:c>
      <x:c r="F2996" s="19" t="str">
        <x:v>approved</x:v>
      </x:c>
      <x:c r="G2996" s="19" t="str">
        <x:v>Partially Picked</x:v>
      </x:c>
      <x:c r="H2996" s="19" t="str">
        <x:v>In Field</x:v>
      </x:c>
      <x:c r="I2996" s="37" t="n">
        <x:v>46103</x:v>
      </x:c>
      <x:c r="J2996" s="37" t="n">
        <x:v>46103</x:v>
      </x:c>
      <x:c r="K2996" s="19" t="str">
        <x:v>Regent RV - Frankston</x:v>
      </x:c>
      <x:c r="L2996" s="19" t="str">
        <x:v>Z006</x:v>
      </x:c>
      <x:c r="M2996" s="19" t="str">
        <x:v>In Field Warranty Claims</x:v>
      </x:c>
      <x:c r="N2996" s="37" t="n">
        <x:v>46086</x:v>
      </x:c>
      <x:c r="O2996" s="37"/>
      <x:c r="P2996" s="34" t="n">
        <x:v>0</x:v>
      </x:c>
      <x:c r="Q2996" s="37" t="n">
        <x:v>46103.45712962963</x:v>
      </x:c>
    </x:row>
    <x:row r="2997">
      <x:c r="A2997" s="22" t="n">
        <x:v>31938</x:v>
      </x:c>
      <x:c r="B2997" s="28" t="n">
        <x:v>202.5</x:v>
      </x:c>
      <x:c r="C2997" s="28"/>
      <x:c r="D2997" s="31" t="str">
        <x:f>IF(OR(ISBLANK(B2997),ISBLANK(C2997),B2997=0),"",(C2997-B2997)/B2997)</x:f>
      </x:c>
      <x:c r="E2997" s="22" t="str">
        <x:f>IF(ISBLANK(C2997),"AmountIncludingTax缺失",IF(ABS(B2997-C2997)&lt;0.005,"一致","不一致"))</x:f>
        <x:v>AmountIncludingTax缺失</x:v>
      </x:c>
      <x:c r="F2997" s="19" t="str">
        <x:v>approved</x:v>
      </x:c>
      <x:c r="G2997" s="19" t="str">
        <x:v>Repair in Progress</x:v>
      </x:c>
      <x:c r="H2997" s="19" t="str">
        <x:v>In Field</x:v>
      </x:c>
      <x:c r="I2997" s="37" t="n">
        <x:v>46103</x:v>
      </x:c>
      <x:c r="J2997" s="37" t="n">
        <x:v>46103</x:v>
      </x:c>
      <x:c r="K2997" s="19" t="str">
        <x:v>Regent RV - Frankston</x:v>
      </x:c>
      <x:c r="L2997" s="19" t="str">
        <x:v>Z006</x:v>
      </x:c>
      <x:c r="M2997" s="19" t="str">
        <x:v>In Field Warranty Claims</x:v>
      </x:c>
      <x:c r="N2997" s="37" t="n">
        <x:v>46086</x:v>
      </x:c>
      <x:c r="O2997" s="37"/>
      <x:c r="P2997" s="34" t="n">
        <x:v>0</x:v>
      </x:c>
      <x:c r="Q2997" s="37" t="n">
        <x:v>46103.45413194445</x:v>
      </x:c>
    </x:row>
    <x:row r="2998">
      <x:c r="A2998" s="22" t="n">
        <x:v>31935</x:v>
      </x:c>
      <x:c r="B2998" s="28" t="n">
        <x:v>802.5</x:v>
      </x:c>
      <x:c r="C2998" s="28"/>
      <x:c r="D2998" s="31" t="str">
        <x:f>IF(OR(ISBLANK(B2998),ISBLANK(C2998),B2998=0),"",(C2998-B2998)/B2998)</x:f>
      </x:c>
      <x:c r="E2998" s="22" t="str">
        <x:f>IF(ISBLANK(C2998),"AmountIncludingTax缺失",IF(ABS(B2998-C2998)&lt;0.005,"一致","不一致"))</x:f>
        <x:v>AmountIncludingTax缺失</x:v>
      </x:c>
      <x:c r="F2998" s="19" t="str">
        <x:v>approved</x:v>
      </x:c>
      <x:c r="G2998" s="19" t="str">
        <x:v>Repair in Progress</x:v>
      </x:c>
      <x:c r="H2998" s="19" t="str">
        <x:v>In Field</x:v>
      </x:c>
      <x:c r="I2998" s="37" t="n">
        <x:v>46087</x:v>
      </x:c>
      <x:c r="J2998" s="37" t="n">
        <x:v>46087</x:v>
      </x:c>
      <x:c r="K2998" s="19" t="str">
        <x:v>Dario Caravans - Pooraka</x:v>
      </x:c>
      <x:c r="L2998" s="19" t="str">
        <x:v>Z006</x:v>
      </x:c>
      <x:c r="M2998" s="19" t="str">
        <x:v>In Field Warranty Claims</x:v>
      </x:c>
      <x:c r="N2998" s="37" t="n">
        <x:v>46086</x:v>
      </x:c>
      <x:c r="O2998" s="37"/>
      <x:c r="P2998" s="34" t="n">
        <x:v>0</x:v>
      </x:c>
      <x:c r="Q2998" s="37" t="n">
        <x:v>46087.04232638889</x:v>
      </x:c>
    </x:row>
    <x:row r="2999">
      <x:c r="A2999" s="22" t="n">
        <x:v>31929</x:v>
      </x:c>
      <x:c r="B2999" s="28" t="n">
        <x:v>202.5</x:v>
      </x:c>
      <x:c r="C2999" s="28"/>
      <x:c r="D2999" s="31" t="str">
        <x:f>IF(OR(ISBLANK(B2999),ISBLANK(C2999),B2999=0),"",(C2999-B2999)/B2999)</x:f>
      </x:c>
      <x:c r="E2999" s="22" t="str">
        <x:f>IF(ISBLANK(C2999),"AmountIncludingTax缺失",IF(ABS(B2999-C2999)&lt;0.005,"一致","不一致"))</x:f>
        <x:v>AmountIncludingTax缺失</x:v>
      </x:c>
      <x:c r="F2999" s="19" t="str">
        <x:v>approved</x:v>
      </x:c>
      <x:c r="G2999" s="19" t="str">
        <x:v>Repairer Invoiced Processed</x:v>
      </x:c>
      <x:c r="H2999" s="19" t="str">
        <x:v>In Field</x:v>
      </x:c>
      <x:c r="I2999" s="37" t="n">
        <x:v>46097</x:v>
      </x:c>
      <x:c r="J2999" s="37" t="n">
        <x:v>46097</x:v>
      </x:c>
      <x:c r="K2999" s="19" t="str">
        <x:v>Regent RV - Toowoomba</x:v>
      </x:c>
      <x:c r="L2999" s="19" t="str">
        <x:v>Z006</x:v>
      </x:c>
      <x:c r="M2999" s="19" t="str">
        <x:v>In Field Warranty Claims</x:v>
      </x:c>
      <x:c r="N2999" s="37" t="n">
        <x:v>46086</x:v>
      </x:c>
      <x:c r="O2999" s="37"/>
      <x:c r="P2999" s="34" t="n">
        <x:v>0</x:v>
      </x:c>
      <x:c r="Q2999" s="37" t="n">
        <x:v>46097.21512731481</x:v>
      </x:c>
    </x:row>
    <x:row r="3000">
      <x:c r="A3000" s="22" t="n">
        <x:v>31927</x:v>
      </x:c>
      <x:c r="B3000" s="28" t="n">
        <x:v>487.5</x:v>
      </x:c>
      <x:c r="C3000" s="28"/>
      <x:c r="D3000" s="31" t="str">
        <x:f>IF(OR(ISBLANK(B3000),ISBLANK(C3000),B3000=0),"",(C3000-B3000)/B3000)</x:f>
      </x:c>
      <x:c r="E3000" s="22" t="str">
        <x:f>IF(ISBLANK(C3000),"AmountIncludingTax缺失",IF(ABS(B3000-C3000)&lt;0.005,"一致","不一致"))</x:f>
        <x:v>AmountIncludingTax缺失</x:v>
      </x:c>
      <x:c r="F3000" s="19" t="str">
        <x:v>approved</x:v>
      </x:c>
      <x:c r="G3000" s="19" t="str">
        <x:v>Repair in Progress</x:v>
      </x:c>
      <x:c r="H3000" s="19" t="str">
        <x:v>In Field</x:v>
      </x:c>
      <x:c r="I3000" s="37" t="n">
        <x:v>46107</x:v>
      </x:c>
      <x:c r="J3000" s="37" t="n">
        <x:v>46107</x:v>
      </x:c>
      <x:c r="K3000" s="19" t="str">
        <x:v>Newcastle RV Super Centre - Beresfield</x:v>
      </x:c>
      <x:c r="L3000" s="19" t="str">
        <x:v>Z006</x:v>
      </x:c>
      <x:c r="M3000" s="19" t="str">
        <x:v>In Field Warranty Claims</x:v>
      </x:c>
      <x:c r="N3000" s="37" t="n">
        <x:v>46086</x:v>
      </x:c>
      <x:c r="O3000" s="37"/>
      <x:c r="P3000" s="34" t="n">
        <x:v>0</x:v>
      </x:c>
      <x:c r="Q3000" s="37" t="n">
        <x:v>46107.05167824074</x:v>
      </x:c>
    </x:row>
    <x:row r="3001">
      <x:c r="A3001" s="22" t="n">
        <x:v>31926</x:v>
      </x:c>
      <x:c r="B3001" s="28" t="n">
        <x:v>179.55</x:v>
      </x:c>
      <x:c r="C3001" s="28"/>
      <x:c r="D3001" s="31" t="str">
        <x:f>IF(OR(ISBLANK(B3001),ISBLANK(C3001),B3001=0),"",(C3001-B3001)/B3001)</x:f>
      </x:c>
      <x:c r="E3001" s="22" t="str">
        <x:f>IF(ISBLANK(C3001),"AmountIncludingTax缺失",IF(ABS(B3001-C3001)&lt;0.005,"一致","不一致"))</x:f>
        <x:v>AmountIncludingTax缺失</x:v>
      </x:c>
      <x:c r="F3001" s="19" t="str">
        <x:v>approved</x:v>
      </x:c>
      <x:c r="G3001" s="19" t="str">
        <x:v>Repair in Progress</x:v>
      </x:c>
      <x:c r="H3001" s="19" t="str">
        <x:v>In Field</x:v>
      </x:c>
      <x:c r="I3001" s="37" t="n">
        <x:v>46107</x:v>
      </x:c>
      <x:c r="J3001" s="37" t="n">
        <x:v>46107</x:v>
      </x:c>
      <x:c r="K3001" s="19" t="str">
        <x:v>Newcastle RV Super Centre - Beresfield</x:v>
      </x:c>
      <x:c r="L3001" s="19" t="str">
        <x:v>Z006</x:v>
      </x:c>
      <x:c r="M3001" s="19" t="str">
        <x:v>In Field Warranty Claims</x:v>
      </x:c>
      <x:c r="N3001" s="37" t="n">
        <x:v>46086</x:v>
      </x:c>
      <x:c r="O3001" s="37"/>
      <x:c r="P3001" s="34" t="n">
        <x:v>0</x:v>
      </x:c>
      <x:c r="Q3001" s="37" t="n">
        <x:v>46107.05248842593</x:v>
      </x:c>
    </x:row>
    <x:row r="3002">
      <x:c r="A3002" s="22" t="n">
        <x:v>31925</x:v>
      </x:c>
      <x:c r="B3002" s="28" t="n">
        <x:v>101.25</x:v>
      </x:c>
      <x:c r="C3002" s="28"/>
      <x:c r="D3002" s="31" t="str">
        <x:f>IF(OR(ISBLANK(B3002),ISBLANK(C3002),B3002=0),"",(C3002-B3002)/B3002)</x:f>
      </x:c>
      <x:c r="E3002" s="22" t="str">
        <x:f>IF(ISBLANK(C3002),"AmountIncludingTax缺失",IF(ABS(B3002-C3002)&lt;0.005,"一致","不一致"))</x:f>
        <x:v>AmountIncludingTax缺失</x:v>
      </x:c>
      <x:c r="F3002" s="19" t="str">
        <x:v>approved</x:v>
      </x:c>
      <x:c r="G3002" s="19" t="str">
        <x:v>Repair in Progress</x:v>
      </x:c>
      <x:c r="H3002" s="19" t="str">
        <x:v>In Field</x:v>
      </x:c>
      <x:c r="I3002" s="37" t="n">
        <x:v>46106</x:v>
      </x:c>
      <x:c r="J3002" s="37" t="n">
        <x:v>46106</x:v>
      </x:c>
      <x:c r="K3002" s="19" t="str">
        <x:v>Newcastle RV Super Centre - Beresfield</x:v>
      </x:c>
      <x:c r="L3002" s="19" t="str">
        <x:v>Z006</x:v>
      </x:c>
      <x:c r="M3002" s="19" t="str">
        <x:v>In Field Warranty Claims</x:v>
      </x:c>
      <x:c r="N3002" s="37" t="n">
        <x:v>46086</x:v>
      </x:c>
      <x:c r="O3002" s="37"/>
      <x:c r="P3002" s="34" t="n">
        <x:v>0</x:v>
      </x:c>
      <x:c r="Q3002" s="37" t="n">
        <x:v>46106.21796296296</x:v>
      </x:c>
    </x:row>
    <x:row r="3003">
      <x:c r="A3003" s="22" t="n">
        <x:v>31923</x:v>
      </x:c>
      <x:c r="B3003" s="28" t="n">
        <x:v>540</x:v>
      </x:c>
      <x:c r="C3003" s="28"/>
      <x:c r="D3003" s="31" t="str">
        <x:f>IF(OR(ISBLANK(B3003),ISBLANK(C3003),B3003=0),"",(C3003-B3003)/B3003)</x:f>
      </x:c>
      <x:c r="E3003" s="22" t="str">
        <x:f>IF(ISBLANK(C3003),"AmountIncludingTax缺失",IF(ABS(B3003-C3003)&lt;0.005,"一致","不一致"))</x:f>
        <x:v>AmountIncludingTax缺失</x:v>
      </x:c>
      <x:c r="F3003" s="19" t="str">
        <x:v>approved</x:v>
      </x:c>
      <x:c r="G3003" s="19" t="str">
        <x:v>Repairer Invoiced Processed</x:v>
      </x:c>
      <x:c r="H3003" s="19" t="str">
        <x:v>In Field</x:v>
      </x:c>
      <x:c r="I3003" s="37" t="n">
        <x:v>46104</x:v>
      </x:c>
      <x:c r="J3003" s="37" t="n">
        <x:v>46104</x:v>
      </x:c>
      <x:c r="K3003" s="19" t="str">
        <x:v>Regent RV Pty Ltd</x:v>
      </x:c>
      <x:c r="L3003" s="19" t="str">
        <x:v>Z006</x:v>
      </x:c>
      <x:c r="M3003" s="19" t="str">
        <x:v>In Field Warranty Claims</x:v>
      </x:c>
      <x:c r="N3003" s="37" t="n">
        <x:v>46086</x:v>
      </x:c>
      <x:c r="O3003" s="37"/>
      <x:c r="P3003" s="34" t="n">
        <x:v>0</x:v>
      </x:c>
      <x:c r="Q3003" s="37" t="n">
        <x:v>46104.097025462965</x:v>
      </x:c>
    </x:row>
    <x:row r="3004">
      <x:c r="A3004" s="22" t="n">
        <x:v>31921</x:v>
      </x:c>
      <x:c r="B3004" s="28" t="n">
        <x:v>2050</x:v>
      </x:c>
      <x:c r="C3004" s="28"/>
      <x:c r="D3004" s="31" t="str">
        <x:f>IF(OR(ISBLANK(B3004),ISBLANK(C3004),B3004=0),"",(C3004-B3004)/B3004)</x:f>
      </x:c>
      <x:c r="E3004" s="22" t="str">
        <x:f>IF(ISBLANK(C3004),"AmountIncludingTax缺失",IF(ABS(B3004-C3004)&lt;0.005,"一致","不一致"))</x:f>
        <x:v>AmountIncludingTax缺失</x:v>
      </x:c>
      <x:c r="F3004" s="19" t="str">
        <x:v>approved</x:v>
      </x:c>
      <x:c r="G3004" s="19" t="str">
        <x:v>Repair in Progress</x:v>
      </x:c>
      <x:c r="H3004" s="19" t="str">
        <x:v>In Field</x:v>
      </x:c>
      <x:c r="I3004" s="37" t="n">
        <x:v>46157</x:v>
      </x:c>
      <x:c r="J3004" s="37" t="n">
        <x:v>46157</x:v>
      </x:c>
      <x:c r="K3004" s="19" t="str">
        <x:v>Leisure Lion Pty Ltd - Gympie</x:v>
      </x:c>
      <x:c r="L3004" s="19" t="str">
        <x:v>Z006</x:v>
      </x:c>
      <x:c r="M3004" s="19" t="str">
        <x:v>In Field Warranty Claims</x:v>
      </x:c>
      <x:c r="N3004" s="37" t="n">
        <x:v>46086</x:v>
      </x:c>
      <x:c r="O3004" s="37"/>
      <x:c r="P3004" s="34" t="n">
        <x:v>0</x:v>
      </x:c>
      <x:c r="Q3004" s="37" t="n">
        <x:v>46157.20002314815</x:v>
      </x:c>
    </x:row>
    <x:row r="3005">
      <x:c r="A3005" s="22" t="n">
        <x:v>31920</x:v>
      </x:c>
      <x:c r="B3005" s="28" t="n">
        <x:v>357.5</x:v>
      </x:c>
      <x:c r="C3005" s="28"/>
      <x:c r="D3005" s="31" t="str">
        <x:f>IF(OR(ISBLANK(B3005),ISBLANK(C3005),B3005=0),"",(C3005-B3005)/B3005)</x:f>
      </x:c>
      <x:c r="E3005" s="22" t="str">
        <x:f>IF(ISBLANK(C3005),"AmountIncludingTax缺失",IF(ABS(B3005-C3005)&lt;0.005,"一致","不一致"))</x:f>
        <x:v>AmountIncludingTax缺失</x:v>
      </x:c>
      <x:c r="F3005" s="19" t="str">
        <x:v>approved</x:v>
      </x:c>
      <x:c r="G3005" s="19" t="str">
        <x:v>Repairer Invoiced Processed</x:v>
      </x:c>
      <x:c r="H3005" s="19" t="str">
        <x:v>In Field</x:v>
      </x:c>
      <x:c r="I3005" s="37" t="n">
        <x:v>46101</x:v>
      </x:c>
      <x:c r="J3005" s="37" t="n">
        <x:v>46098</x:v>
      </x:c>
      <x:c r="K3005" s="19" t="str">
        <x:v>Dario Caravans - Pooraka</x:v>
      </x:c>
      <x:c r="L3005" s="19" t="str">
        <x:v>Z006</x:v>
      </x:c>
      <x:c r="M3005" s="19" t="str">
        <x:v>In Field Warranty Claims</x:v>
      </x:c>
      <x:c r="N3005" s="37" t="n">
        <x:v>46086</x:v>
      </x:c>
      <x:c r="O3005" s="37"/>
      <x:c r="P3005" s="34" t="n">
        <x:v>0</x:v>
      </x:c>
      <x:c r="Q3005" s="37" t="n">
        <x:v>46101.18355324074</x:v>
      </x:c>
    </x:row>
    <x:row r="3006">
      <x:c r="A3006" s="22" t="n">
        <x:v>31919</x:v>
      </x:c>
      <x:c r="B3006" s="28" t="n">
        <x:v>135</x:v>
      </x:c>
      <x:c r="C3006" s="28"/>
      <x:c r="D3006" s="31" t="str">
        <x:f>IF(OR(ISBLANK(B3006),ISBLANK(C3006),B3006=0),"",(C3006-B3006)/B3006)</x:f>
      </x:c>
      <x:c r="E3006" s="22" t="str">
        <x:f>IF(ISBLANK(C3006),"AmountIncludingTax缺失",IF(ABS(B3006-C3006)&lt;0.005,"一致","不一致"))</x:f>
        <x:v>AmountIncludingTax缺失</x:v>
      </x:c>
      <x:c r="F3006" s="19" t="str">
        <x:v>approved</x:v>
      </x:c>
      <x:c r="G3006" s="19" t="str">
        <x:v>Repair in Progress</x:v>
      </x:c>
      <x:c r="H3006" s="19" t="str">
        <x:v>In Field</x:v>
      </x:c>
      <x:c r="I3006" s="37" t="n">
        <x:v>46098</x:v>
      </x:c>
      <x:c r="J3006" s="37" t="n">
        <x:v>46098</x:v>
      </x:c>
      <x:c r="K3006" s="19" t="str">
        <x:v>ABCO Caravans - Boambee Valley</x:v>
      </x:c>
      <x:c r="L3006" s="19" t="str">
        <x:v>Z006</x:v>
      </x:c>
      <x:c r="M3006" s="19" t="str">
        <x:v>In Field Warranty Claims</x:v>
      </x:c>
      <x:c r="N3006" s="37" t="n">
        <x:v>46086</x:v>
      </x:c>
      <x:c r="O3006" s="37" t="n">
        <x:v>46098</x:v>
      </x:c>
      <x:c r="P3006" s="34" t="n">
        <x:v>0</x:v>
      </x:c>
      <x:c r="Q3006" s="37" t="n">
        <x:v>46098.098495370374</x:v>
      </x:c>
    </x:row>
    <x:row r="3007">
      <x:c r="A3007" s="22" t="n">
        <x:v>31918</x:v>
      </x:c>
      <x:c r="B3007" s="28" t="n">
        <x:v>135</x:v>
      </x:c>
      <x:c r="C3007" s="28"/>
      <x:c r="D3007" s="31" t="str">
        <x:f>IF(OR(ISBLANK(B3007),ISBLANK(C3007),B3007=0),"",(C3007-B3007)/B3007)</x:f>
      </x:c>
      <x:c r="E3007" s="22" t="str">
        <x:f>IF(ISBLANK(C3007),"AmountIncludingTax缺失",IF(ABS(B3007-C3007)&lt;0.005,"一致","不一致"))</x:f>
        <x:v>AmountIncludingTax缺失</x:v>
      </x:c>
      <x:c r="F3007" s="19" t="str">
        <x:v>approved</x:v>
      </x:c>
      <x:c r="G3007" s="19" t="str">
        <x:v>Repair in Progress</x:v>
      </x:c>
      <x:c r="H3007" s="19" t="str">
        <x:v>In Field</x:v>
      </x:c>
      <x:c r="I3007" s="37" t="n">
        <x:v>46094</x:v>
      </x:c>
      <x:c r="J3007" s="37" t="n">
        <x:v>46094</x:v>
      </x:c>
      <x:c r="K3007" s="19" t="str">
        <x:v>Newcastle RV Super Centre - Beresfield</x:v>
      </x:c>
      <x:c r="L3007" s="19" t="str">
        <x:v>Z006</x:v>
      </x:c>
      <x:c r="M3007" s="19" t="str">
        <x:v>In Field Warranty Claims</x:v>
      </x:c>
      <x:c r="N3007" s="37" t="n">
        <x:v>46086</x:v>
      </x:c>
      <x:c r="O3007" s="37"/>
      <x:c r="P3007" s="34" t="n">
        <x:v>0</x:v>
      </x:c>
      <x:c r="Q3007" s="37" t="n">
        <x:v>46094.25822916667</x:v>
      </x:c>
    </x:row>
    <x:row r="3008">
      <x:c r="A3008" s="22" t="n">
        <x:v>31917</x:v>
      </x:c>
      <x:c r="B3008" s="28" t="n">
        <x:v>927.5</x:v>
      </x:c>
      <x:c r="C3008" s="28"/>
      <x:c r="D3008" s="31" t="str">
        <x:f>IF(OR(ISBLANK(B3008),ISBLANK(C3008),B3008=0),"",(C3008-B3008)/B3008)</x:f>
      </x:c>
      <x:c r="E3008" s="22" t="str">
        <x:f>IF(ISBLANK(C3008),"AmountIncludingTax缺失",IF(ABS(B3008-C3008)&lt;0.005,"一致","不一致"))</x:f>
        <x:v>AmountIncludingTax缺失</x:v>
      </x:c>
      <x:c r="F3008" s="19" t="str">
        <x:v>approved</x:v>
      </x:c>
      <x:c r="G3008" s="19" t="str">
        <x:v>Repair in Progress</x:v>
      </x:c>
      <x:c r="H3008" s="19" t="str">
        <x:v>In Field</x:v>
      </x:c>
      <x:c r="I3008" s="37" t="n">
        <x:v>46098</x:v>
      </x:c>
      <x:c r="J3008" s="37" t="n">
        <x:v>46098</x:v>
      </x:c>
      <x:c r="K3008" s="19" t="str">
        <x:v>Regent RV - Traralgon</x:v>
      </x:c>
      <x:c r="L3008" s="19" t="str">
        <x:v>Z006</x:v>
      </x:c>
      <x:c r="M3008" s="19" t="str">
        <x:v>In Field Warranty Claims</x:v>
      </x:c>
      <x:c r="N3008" s="37" t="n">
        <x:v>46086</x:v>
      </x:c>
      <x:c r="O3008" s="37"/>
      <x:c r="P3008" s="34" t="n">
        <x:v>0</x:v>
      </x:c>
      <x:c r="Q3008" s="37" t="n">
        <x:v>46097.892280092594</x:v>
      </x:c>
    </x:row>
    <x:row r="3009">
      <x:c r="A3009" s="22" t="n">
        <x:v>31916</x:v>
      </x:c>
      <x:c r="B3009" s="28" t="n">
        <x:v>45</x:v>
      </x:c>
      <x:c r="C3009" s="28"/>
      <x:c r="D3009" s="31" t="str">
        <x:f>IF(OR(ISBLANK(B3009),ISBLANK(C3009),B3009=0),"",(C3009-B3009)/B3009)</x:f>
      </x:c>
      <x:c r="E3009" s="22" t="str">
        <x:f>IF(ISBLANK(C3009),"AmountIncludingTax缺失",IF(ABS(B3009-C3009)&lt;0.005,"一致","不一致"))</x:f>
        <x:v>AmountIncludingTax缺失</x:v>
      </x:c>
      <x:c r="F3009" s="19" t="str">
        <x:v>approved</x:v>
      </x:c>
      <x:c r="G3009" s="19" t="str">
        <x:v>Repairer Invoiced Processed</x:v>
      </x:c>
      <x:c r="H3009" s="19" t="str">
        <x:v>Pre Delivery</x:v>
      </x:c>
      <x:c r="I3009" s="37" t="n">
        <x:v>46135</x:v>
      </x:c>
      <x:c r="J3009" s="37" t="n">
        <x:v>46135</x:v>
      </x:c>
      <x:c r="K3009" s="19" t="str">
        <x:v>Snowy River Wangaratta</x:v>
      </x:c>
      <x:c r="L3009" s="19" t="str">
        <x:v>Z005</x:v>
      </x:c>
      <x:c r="M3009" s="19" t="str">
        <x:v>Pre Delivery Warranty Claims</x:v>
      </x:c>
      <x:c r="N3009" s="37" t="n">
        <x:v>46086</x:v>
      </x:c>
      <x:c r="O3009" s="37"/>
      <x:c r="P3009" s="34" t="n">
        <x:v>0</x:v>
      </x:c>
      <x:c r="Q3009" s="37" t="n">
        <x:v>46134.9125</x:v>
      </x:c>
    </x:row>
    <x:row r="3010">
      <x:c r="A3010" s="22" t="n">
        <x:v>31915</x:v>
      </x:c>
      <x:c r="B3010" s="28" t="n">
        <x:v>220</x:v>
      </x:c>
      <x:c r="C3010" s="28" t="n">
        <x:v>242</x:v>
      </x:c>
      <x:c r="D3010" s="31" t="n">
        <x:f>IF(OR(ISBLANK(B3010),ISBLANK(C3010),B3010=0),"",(C3010-B3010)/B3010)</x:f>
        <x:v>0.1</x:v>
      </x:c>
      <x:c r="E3010" s="22" t="str">
        <x:f>IF(ISBLANK(C3010),"AmountIncludingTax缺失",IF(ABS(B3010-C3010)&lt;0.005,"一致","不一致"))</x:f>
        <x:v>不一致</x:v>
      </x:c>
      <x:c r="F3010" s="19" t="str">
        <x:v>approved</x:v>
      </x:c>
      <x:c r="G3010" s="19" t="str">
        <x:v>Repair in Progress</x:v>
      </x:c>
      <x:c r="H3010" s="19" t="str">
        <x:v>Pre Delivery</x:v>
      </x:c>
      <x:c r="I3010" s="37" t="n">
        <x:v>46134</x:v>
      </x:c>
      <x:c r="J3010" s="37" t="n">
        <x:v>46134</x:v>
      </x:c>
      <x:c r="K3010" s="19" t="str">
        <x:v>Regent RV - Perth</x:v>
      </x:c>
      <x:c r="L3010" s="19" t="str">
        <x:v>Z005</x:v>
      </x:c>
      <x:c r="M3010" s="19" t="str">
        <x:v>Pre Delivery Warranty Claims</x:v>
      </x:c>
      <x:c r="N3010" s="37" t="n">
        <x:v>46086</x:v>
      </x:c>
      <x:c r="O3010" s="37"/>
      <x:c r="P3010" s="34" t="n">
        <x:v>242</x:v>
      </x:c>
      <x:c r="Q3010" s="37" t="n">
        <x:v>46134.2322337963</x:v>
      </x:c>
    </x:row>
    <x:row r="3011">
      <x:c r="A3011" s="22" t="n">
        <x:v>31913</x:v>
      </x:c>
      <x:c r="B3011" s="28" t="n">
        <x:v>77.5</x:v>
      </x:c>
      <x:c r="C3011" s="28"/>
      <x:c r="D3011" s="31" t="str">
        <x:f>IF(OR(ISBLANK(B3011),ISBLANK(C3011),B3011=0),"",(C3011-B3011)/B3011)</x:f>
      </x:c>
      <x:c r="E3011" s="22" t="str">
        <x:f>IF(ISBLANK(C3011),"AmountIncludingTax缺失",IF(ABS(B3011-C3011)&lt;0.005,"一致","不一致"))</x:f>
        <x:v>AmountIncludingTax缺失</x:v>
      </x:c>
      <x:c r="F3011" s="19" t="str">
        <x:v>approved</x:v>
      </x:c>
      <x:c r="G3011" s="19" t="str">
        <x:v>Sales Order Approved</x:v>
      </x:c>
      <x:c r="H3011" s="19" t="str">
        <x:v>Pre Delivery</x:v>
      </x:c>
      <x:c r="I3011" s="37" t="n">
        <x:v>46135</x:v>
      </x:c>
      <x:c r="J3011" s="37" t="n">
        <x:v>46135</x:v>
      </x:c>
      <x:c r="K3011" s="19" t="str">
        <x:v>Snowy River Wangaratta</x:v>
      </x:c>
      <x:c r="L3011" s="19" t="str">
        <x:v>Z005</x:v>
      </x:c>
      <x:c r="M3011" s="19" t="str">
        <x:v>Pre Delivery Warranty Claims</x:v>
      </x:c>
      <x:c r="N3011" s="37" t="n">
        <x:v>46086</x:v>
      </x:c>
      <x:c r="O3011" s="37"/>
      <x:c r="P3011" s="34" t="n">
        <x:v>0</x:v>
      </x:c>
      <x:c r="Q3011" s="37" t="n">
        <x:v>46134.932962962965</x:v>
      </x:c>
    </x:row>
    <x:row r="3012">
      <x:c r="A3012" s="22" t="n">
        <x:v>31910</x:v>
      </x:c>
      <x:c r="B3012" s="28" t="n">
        <x:v>73.68</x:v>
      </x:c>
      <x:c r="C3012" s="28" t="n">
        <x:v>81.05</x:v>
      </x:c>
      <x:c r="D3012" s="31" t="n">
        <x:f>IF(OR(ISBLANK(B3012),ISBLANK(C3012),B3012=0),"",(C3012-B3012)/B3012)</x:f>
        <x:v>0.10002714440825176</x:v>
      </x:c>
      <x:c r="E3012" s="22" t="str">
        <x:f>IF(ISBLANK(C3012),"AmountIncludingTax缺失",IF(ABS(B3012-C3012)&lt;0.005,"一致","不一致"))</x:f>
        <x:v>不一致</x:v>
      </x:c>
      <x:c r="F3012" s="19" t="str">
        <x:v>approved</x:v>
      </x:c>
      <x:c r="G3012" s="19" t="str">
        <x:v>Repairer Invoiced Processed</x:v>
      </x:c>
      <x:c r="H3012" s="19" t="str">
        <x:v>In Field</x:v>
      </x:c>
      <x:c r="I3012" s="37" t="n">
        <x:v>46086</x:v>
      </x:c>
      <x:c r="J3012" s="37" t="n">
        <x:v>46086</x:v>
      </x:c>
      <x:c r="K3012" s="19" t="str">
        <x:v>Newcastle RV Super Centre - Beresfield</x:v>
      </x:c>
      <x:c r="L3012" s="19" t="str">
        <x:v>Z006</x:v>
      </x:c>
      <x:c r="M3012" s="19" t="str">
        <x:v>In Field Warranty Claims</x:v>
      </x:c>
      <x:c r="N3012" s="37" t="n">
        <x:v>46085</x:v>
      </x:c>
      <x:c r="O3012" s="37"/>
      <x:c r="P3012" s="34" t="n">
        <x:v>81.05</x:v>
      </x:c>
      <x:c r="Q3012" s="37" t="n">
        <x:v>46085.93981481482</x:v>
      </x:c>
    </x:row>
    <x:row r="3013">
      <x:c r="A3013" s="22" t="n">
        <x:v>31909</x:v>
      </x:c>
      <x:c r="B3013" s="28" t="n">
        <x:v>725</x:v>
      </x:c>
      <x:c r="C3013" s="28"/>
      <x:c r="D3013" s="31" t="str">
        <x:f>IF(OR(ISBLANK(B3013),ISBLANK(C3013),B3013=0),"",(C3013-B3013)/B3013)</x:f>
      </x:c>
      <x:c r="E3013" s="22" t="str">
        <x:f>IF(ISBLANK(C3013),"AmountIncludingTax缺失",IF(ABS(B3013-C3013)&lt;0.005,"一致","不一致"))</x:f>
        <x:v>AmountIncludingTax缺失</x:v>
      </x:c>
      <x:c r="F3013" s="19" t="str">
        <x:v>approved</x:v>
      </x:c>
      <x:c r="G3013" s="19" t="str">
        <x:v>Repair in Progress</x:v>
      </x:c>
      <x:c r="H3013" s="19" t="str">
        <x:v>In Field</x:v>
      </x:c>
      <x:c r="I3013" s="37" t="n">
        <x:v>46098</x:v>
      </x:c>
      <x:c r="J3013" s="37" t="n">
        <x:v>46098</x:v>
      </x:c>
      <x:c r="K3013" s="19" t="str">
        <x:v>Regent RV Pty Ltd</x:v>
      </x:c>
      <x:c r="L3013" s="19" t="str">
        <x:v>Z006</x:v>
      </x:c>
      <x:c r="M3013" s="19" t="str">
        <x:v>In Field Warranty Claims</x:v>
      </x:c>
      <x:c r="N3013" s="37" t="n">
        <x:v>46085</x:v>
      </x:c>
      <x:c r="O3013" s="37"/>
      <x:c r="P3013" s="34" t="n">
        <x:v>0</x:v>
      </x:c>
      <x:c r="Q3013" s="37" t="n">
        <x:v>46098.064467592594</x:v>
      </x:c>
    </x:row>
    <x:row r="3014">
      <x:c r="A3014" s="22" t="n">
        <x:v>31908</x:v>
      </x:c>
      <x:c r="B3014" s="28" t="n">
        <x:v>101.25</x:v>
      </x:c>
      <x:c r="C3014" s="28"/>
      <x:c r="D3014" s="31" t="str">
        <x:f>IF(OR(ISBLANK(B3014),ISBLANK(C3014),B3014=0),"",(C3014-B3014)/B3014)</x:f>
      </x:c>
      <x:c r="E3014" s="22" t="str">
        <x:f>IF(ISBLANK(C3014),"AmountIncludingTax缺失",IF(ABS(B3014-C3014)&lt;0.005,"一致","不一致"))</x:f>
        <x:v>AmountIncludingTax缺失</x:v>
      </x:c>
      <x:c r="F3014" s="19" t="str">
        <x:v>approved</x:v>
      </x:c>
      <x:c r="G3014" s="19" t="str">
        <x:v>Repair in Progress</x:v>
      </x:c>
      <x:c r="H3014" s="19" t="str">
        <x:v>In Field</x:v>
      </x:c>
      <x:c r="I3014" s="37" t="n">
        <x:v>46105</x:v>
      </x:c>
      <x:c r="J3014" s="37" t="n">
        <x:v>46105</x:v>
      </x:c>
      <x:c r="K3014" s="19" t="str">
        <x:v>Regent RV - Perth</x:v>
      </x:c>
      <x:c r="L3014" s="19" t="str">
        <x:v>Z006</x:v>
      </x:c>
      <x:c r="M3014" s="19" t="str">
        <x:v>In Field Warranty Claims</x:v>
      </x:c>
      <x:c r="N3014" s="37" t="n">
        <x:v>46085</x:v>
      </x:c>
      <x:c r="O3014" s="37"/>
      <x:c r="P3014" s="34" t="n">
        <x:v>0</x:v>
      </x:c>
      <x:c r="Q3014" s="37" t="n">
        <x:v>46105.13847222222</x:v>
      </x:c>
    </x:row>
    <x:row r="3015">
      <x:c r="A3015" s="22" t="n">
        <x:v>31906</x:v>
      </x:c>
      <x:c r="B3015" s="28" t="n">
        <x:v>405</x:v>
      </x:c>
      <x:c r="C3015" s="28"/>
      <x:c r="D3015" s="31" t="str">
        <x:f>IF(OR(ISBLANK(B3015),ISBLANK(C3015),B3015=0),"",(C3015-B3015)/B3015)</x:f>
      </x:c>
      <x:c r="E3015" s="22" t="str">
        <x:f>IF(ISBLANK(C3015),"AmountIncludingTax缺失",IF(ABS(B3015-C3015)&lt;0.005,"一致","不一致"))</x:f>
        <x:v>AmountIncludingTax缺失</x:v>
      </x:c>
      <x:c r="F3015" s="19" t="str">
        <x:v>approved</x:v>
      </x:c>
      <x:c r="G3015" s="19" t="str">
        <x:v>Repairer Invoiced Processed</x:v>
      </x:c>
      <x:c r="H3015" s="19" t="str">
        <x:v>In Field</x:v>
      </x:c>
      <x:c r="I3015" s="37" t="n">
        <x:v>46087</x:v>
      </x:c>
      <x:c r="J3015" s="37" t="n">
        <x:v>46087</x:v>
      </x:c>
      <x:c r="K3015" s="19" t="str">
        <x:v>Not Assigned</x:v>
      </x:c>
      <x:c r="L3015" s="19" t="str">
        <x:v>Z006</x:v>
      </x:c>
      <x:c r="M3015" s="19" t="str">
        <x:v>In Field Warranty Claims</x:v>
      </x:c>
      <x:c r="N3015" s="37" t="n">
        <x:v>46085</x:v>
      </x:c>
      <x:c r="O3015" s="37"/>
      <x:c r="P3015" s="34" t="n">
        <x:v>0</x:v>
      </x:c>
      <x:c r="Q3015" s="37" t="n">
        <x:v>46086.947164351855</x:v>
      </x:c>
    </x:row>
    <x:row r="3016">
      <x:c r="A3016" s="22" t="n">
        <x:v>31905</x:v>
      </x:c>
      <x:c r="B3016" s="28" t="n">
        <x:v>831.82</x:v>
      </x:c>
      <x:c r="C3016" s="28" t="n">
        <x:v>915</x:v>
      </x:c>
      <x:c r="D3016" s="31" t="n">
        <x:f>IF(OR(ISBLANK(B3016),ISBLANK(C3016),B3016=0),"",(C3016-B3016)/B3016)</x:f>
        <x:v>0.09999759563367068</x:v>
      </x:c>
      <x:c r="E3016" s="22" t="str">
        <x:f>IF(ISBLANK(C3016),"AmountIncludingTax缺失",IF(ABS(B3016-C3016)&lt;0.005,"一致","不一致"))</x:f>
        <x:v>不一致</x:v>
      </x:c>
      <x:c r="F3016" s="19" t="str">
        <x:v>approved</x:v>
      </x:c>
      <x:c r="G3016" s="19" t="str">
        <x:v>Repairer Invoiced Processed</x:v>
      </x:c>
      <x:c r="H3016" s="19" t="str">
        <x:v>In Field</x:v>
      </x:c>
      <x:c r="I3016" s="37" t="n">
        <x:v>46149</x:v>
      </x:c>
      <x:c r="J3016" s="37" t="n">
        <x:v>46146</x:v>
      </x:c>
      <x:c r="K3016" s="19" t="str">
        <x:v>Not Assigned</x:v>
      </x:c>
      <x:c r="L3016" s="19" t="str">
        <x:v>Z006</x:v>
      </x:c>
      <x:c r="M3016" s="19" t="str">
        <x:v>In Field Warranty Claims</x:v>
      </x:c>
      <x:c r="N3016" s="37" t="n">
        <x:v>46085</x:v>
      </x:c>
      <x:c r="O3016" s="37"/>
      <x:c r="P3016" s="34" t="n">
        <x:v>915</x:v>
      </x:c>
      <x:c r="Q3016" s="37" t="n">
        <x:v>46149.16881944444</x:v>
      </x:c>
    </x:row>
    <x:row r="3017">
      <x:c r="A3017" s="22" t="n">
        <x:v>31903</x:v>
      </x:c>
      <x:c r="B3017" s="28" t="n">
        <x:v>1316.25</x:v>
      </x:c>
      <x:c r="C3017" s="28"/>
      <x:c r="D3017" s="31" t="str">
        <x:f>IF(OR(ISBLANK(B3017),ISBLANK(C3017),B3017=0),"",(C3017-B3017)/B3017)</x:f>
      </x:c>
      <x:c r="E3017" s="22" t="str">
        <x:f>IF(ISBLANK(C3017),"AmountIncludingTax缺失",IF(ABS(B3017-C3017)&lt;0.005,"一致","不一致"))</x:f>
        <x:v>AmountIncludingTax缺失</x:v>
      </x:c>
      <x:c r="F3017" s="19" t="str">
        <x:v>approved</x:v>
      </x:c>
      <x:c r="G3017" s="19" t="str">
        <x:v>Repair in Progress</x:v>
      </x:c>
      <x:c r="H3017" s="19" t="str">
        <x:v>In Field</x:v>
      </x:c>
      <x:c r="I3017" s="37" t="n">
        <x:v>46094</x:v>
      </x:c>
      <x:c r="J3017" s="37" t="n">
        <x:v>46094</x:v>
      </x:c>
      <x:c r="K3017" s="19" t="str">
        <x:v>Newcastle RV Super Centre - Beresfield</x:v>
      </x:c>
      <x:c r="L3017" s="19" t="str">
        <x:v>Z006</x:v>
      </x:c>
      <x:c r="M3017" s="19" t="str">
        <x:v>In Field Warranty Claims</x:v>
      </x:c>
      <x:c r="N3017" s="37" t="n">
        <x:v>46085</x:v>
      </x:c>
      <x:c r="O3017" s="37"/>
      <x:c r="P3017" s="34" t="n">
        <x:v>0</x:v>
      </x:c>
      <x:c r="Q3017" s="37" t="n">
        <x:v>46093.87782407407</x:v>
      </x:c>
    </x:row>
    <x:row r="3018">
      <x:c r="A3018" s="22" t="n">
        <x:v>31901</x:v>
      </x:c>
      <x:c r="B3018" s="28" t="n">
        <x:v>541.25</x:v>
      </x:c>
      <x:c r="C3018" s="28"/>
      <x:c r="D3018" s="31" t="str">
        <x:f>IF(OR(ISBLANK(B3018),ISBLANK(C3018),B3018=0),"",(C3018-B3018)/B3018)</x:f>
      </x:c>
      <x:c r="E3018" s="22" t="str">
        <x:f>IF(ISBLANK(C3018),"AmountIncludingTax缺失",IF(ABS(B3018-C3018)&lt;0.005,"一致","不一致"))</x:f>
        <x:v>AmountIncludingTax缺失</x:v>
      </x:c>
      <x:c r="F3018" s="19" t="str">
        <x:v>approved</x:v>
      </x:c>
      <x:c r="G3018" s="19" t="str">
        <x:v>Repair in Progress</x:v>
      </x:c>
      <x:c r="H3018" s="19" t="str">
        <x:v>In Field</x:v>
      </x:c>
      <x:c r="I3018" s="37" t="n">
        <x:v>46099</x:v>
      </x:c>
      <x:c r="J3018" s="37" t="n">
        <x:v>46099</x:v>
      </x:c>
      <x:c r="K3018" s="19" t="str">
        <x:v>Snowy River Geelong</x:v>
      </x:c>
      <x:c r="L3018" s="19" t="str">
        <x:v>Z006</x:v>
      </x:c>
      <x:c r="M3018" s="19" t="str">
        <x:v>In Field Warranty Claims</x:v>
      </x:c>
      <x:c r="N3018" s="37" t="n">
        <x:v>46085</x:v>
      </x:c>
      <x:c r="O3018" s="37"/>
      <x:c r="P3018" s="34" t="n">
        <x:v>0</x:v>
      </x:c>
      <x:c r="Q3018" s="37" t="n">
        <x:v>46098.89743055555</x:v>
      </x:c>
    </x:row>
    <x:row r="3019">
      <x:c r="A3019" s="22" t="n">
        <x:v>31899</x:v>
      </x:c>
      <x:c r="B3019" s="28" t="n">
        <x:v>405</x:v>
      </x:c>
      <x:c r="C3019" s="28"/>
      <x:c r="D3019" s="31" t="str">
        <x:f>IF(OR(ISBLANK(B3019),ISBLANK(C3019),B3019=0),"",(C3019-B3019)/B3019)</x:f>
      </x:c>
      <x:c r="E3019" s="22" t="str">
        <x:f>IF(ISBLANK(C3019),"AmountIncludingTax缺失",IF(ABS(B3019-C3019)&lt;0.005,"一致","不一致"))</x:f>
        <x:v>AmountIncludingTax缺失</x:v>
      </x:c>
      <x:c r="F3019" s="19" t="str">
        <x:v>approved</x:v>
      </x:c>
      <x:c r="G3019" s="19" t="str">
        <x:v>Repairer Invoiced Processed</x:v>
      </x:c>
      <x:c r="H3019" s="19" t="str">
        <x:v>In Field</x:v>
      </x:c>
      <x:c r="I3019" s="37" t="n">
        <x:v>46087</x:v>
      </x:c>
      <x:c r="J3019" s="37" t="n">
        <x:v>46087</x:v>
      </x:c>
      <x:c r="K3019" s="19" t="str">
        <x:v>Dario Caravans -St.Marys</x:v>
      </x:c>
      <x:c r="L3019" s="19" t="str">
        <x:v>Z006</x:v>
      </x:c>
      <x:c r="M3019" s="19" t="str">
        <x:v>In Field Warranty Claims</x:v>
      </x:c>
      <x:c r="N3019" s="37" t="n">
        <x:v>46087</x:v>
      </x:c>
      <x:c r="O3019" s="37"/>
      <x:c r="P3019" s="34" t="n">
        <x:v>0</x:v>
      </x:c>
      <x:c r="Q3019" s="37" t="n">
        <x:v>46087.10959490741</x:v>
      </x:c>
    </x:row>
    <x:row r="3020">
      <x:c r="A3020" s="22" t="n">
        <x:v>31898</x:v>
      </x:c>
      <x:c r="B3020" s="28" t="n">
        <x:v>405</x:v>
      </x:c>
      <x:c r="C3020" s="28"/>
      <x:c r="D3020" s="31" t="str">
        <x:f>IF(OR(ISBLANK(B3020),ISBLANK(C3020),B3020=0),"",(C3020-B3020)/B3020)</x:f>
      </x:c>
      <x:c r="E3020" s="22" t="str">
        <x:f>IF(ISBLANK(C3020),"AmountIncludingTax缺失",IF(ABS(B3020-C3020)&lt;0.005,"一致","不一致"))</x:f>
        <x:v>AmountIncludingTax缺失</x:v>
      </x:c>
      <x:c r="F3020" s="19" t="str">
        <x:v>approved</x:v>
      </x:c>
      <x:c r="G3020" s="19" t="str">
        <x:v>Repairer Invoiced Processed</x:v>
      </x:c>
      <x:c r="H3020" s="19" t="str">
        <x:v>In Field</x:v>
      </x:c>
      <x:c r="I3020" s="37" t="n">
        <x:v>46087</x:v>
      </x:c>
      <x:c r="J3020" s="37" t="n">
        <x:v>46087</x:v>
      </x:c>
      <x:c r="K3020" s="19" t="str">
        <x:v>Dario Caravans -St.Marys</x:v>
      </x:c>
      <x:c r="L3020" s="19" t="str">
        <x:v>Z006</x:v>
      </x:c>
      <x:c r="M3020" s="19" t="str">
        <x:v>In Field Warranty Claims</x:v>
      </x:c>
      <x:c r="N3020" s="37" t="n">
        <x:v>46087</x:v>
      </x:c>
      <x:c r="O3020" s="37"/>
      <x:c r="P3020" s="34" t="n">
        <x:v>0</x:v>
      </x:c>
      <x:c r="Q3020" s="37" t="n">
        <x:v>46087.12212962963</x:v>
      </x:c>
    </x:row>
    <x:row r="3021">
      <x:c r="A3021" s="22" t="n">
        <x:v>31890</x:v>
      </x:c>
      <x:c r="B3021" s="28" t="n">
        <x:v>695</x:v>
      </x:c>
      <x:c r="C3021" s="28"/>
      <x:c r="D3021" s="31" t="str">
        <x:f>IF(OR(ISBLANK(B3021),ISBLANK(C3021),B3021=0),"",(C3021-B3021)/B3021)</x:f>
      </x:c>
      <x:c r="E3021" s="22" t="str">
        <x:f>IF(ISBLANK(C3021),"AmountIncludingTax缺失",IF(ABS(B3021-C3021)&lt;0.005,"一致","不一致"))</x:f>
        <x:v>AmountIncludingTax缺失</x:v>
      </x:c>
      <x:c r="F3021" s="19" t="str">
        <x:v>approved</x:v>
      </x:c>
      <x:c r="G3021" s="19" t="str">
        <x:v>Partially Picked</x:v>
      </x:c>
      <x:c r="H3021" s="19" t="str">
        <x:v>Pre Delivery</x:v>
      </x:c>
      <x:c r="I3021" s="37" t="n">
        <x:v>46135</x:v>
      </x:c>
      <x:c r="J3021" s="37" t="n">
        <x:v>46135</x:v>
      </x:c>
      <x:c r="K3021" s="19" t="str">
        <x:v>Regent RV - Perth</x:v>
      </x:c>
      <x:c r="L3021" s="19" t="str">
        <x:v>Z005</x:v>
      </x:c>
      <x:c r="M3021" s="19" t="str">
        <x:v>Pre Delivery Warranty Claims</x:v>
      </x:c>
      <x:c r="N3021" s="37" t="n">
        <x:v>46086</x:v>
      </x:c>
      <x:c r="O3021" s="37"/>
      <x:c r="P3021" s="34" t="n">
        <x:v>0</x:v>
      </x:c>
      <x:c r="Q3021" s="37" t="n">
        <x:v>46134.94732638889</x:v>
      </x:c>
    </x:row>
    <x:row r="3022">
      <x:c r="A3022" s="22" t="n">
        <x:v>31888</x:v>
      </x:c>
      <x:c r="B3022" s="28" t="n">
        <x:v>1215</x:v>
      </x:c>
      <x:c r="C3022" s="28"/>
      <x:c r="D3022" s="31" t="str">
        <x:f>IF(OR(ISBLANK(B3022),ISBLANK(C3022),B3022=0),"",(C3022-B3022)/B3022)</x:f>
      </x:c>
      <x:c r="E3022" s="22" t="str">
        <x:f>IF(ISBLANK(C3022),"AmountIncludingTax缺失",IF(ABS(B3022-C3022)&lt;0.005,"一致","不一致"))</x:f>
        <x:v>AmountIncludingTax缺失</x:v>
      </x:c>
      <x:c r="F3022" s="19" t="str">
        <x:v>approved</x:v>
      </x:c>
      <x:c r="G3022" s="19" t="str">
        <x:v>Repairer Invoiced Processed</x:v>
      </x:c>
      <x:c r="H3022" s="19" t="str">
        <x:v>In Field</x:v>
      </x:c>
      <x:c r="I3022" s="37" t="n">
        <x:v>46098</x:v>
      </x:c>
      <x:c r="J3022" s="37" t="n">
        <x:v>46098</x:v>
      </x:c>
      <x:c r="K3022" s="19" t="str">
        <x:v>Dario Caravans -St.Marys</x:v>
      </x:c>
      <x:c r="L3022" s="19" t="str">
        <x:v>Z006</x:v>
      </x:c>
      <x:c r="M3022" s="19" t="str">
        <x:v>In Field Warranty Claims</x:v>
      </x:c>
      <x:c r="N3022" s="37" t="n">
        <x:v>46086</x:v>
      </x:c>
      <x:c r="O3022" s="37"/>
      <x:c r="P3022" s="34" t="n">
        <x:v>0</x:v>
      </x:c>
      <x:c r="Q3022" s="37" t="n">
        <x:v>46098.091469907406</x:v>
      </x:c>
    </x:row>
    <x:row r="3023">
      <x:c r="A3023" s="22" t="n">
        <x:v>31887</x:v>
      </x:c>
      <x:c r="B3023" s="28" t="n">
        <x:v>288.18</x:v>
      </x:c>
      <x:c r="C3023" s="28"/>
      <x:c r="D3023" s="31" t="str">
        <x:f>IF(OR(ISBLANK(B3023),ISBLANK(C3023),B3023=0),"",(C3023-B3023)/B3023)</x:f>
      </x:c>
      <x:c r="E3023" s="22" t="str">
        <x:f>IF(ISBLANK(C3023),"AmountIncludingTax缺失",IF(ABS(B3023-C3023)&lt;0.005,"一致","不一致"))</x:f>
        <x:v>AmountIncludingTax缺失</x:v>
      </x:c>
      <x:c r="F3023" s="19" t="str">
        <x:v>approved</x:v>
      </x:c>
      <x:c r="G3023" s="19" t="str">
        <x:v>Repairer Invoiced Processed</x:v>
      </x:c>
      <x:c r="H3023" s="19" t="str">
        <x:v>In Field</x:v>
      </x:c>
      <x:c r="I3023" s="37" t="n">
        <x:v>46126</x:v>
      </x:c>
      <x:c r="J3023" s="37" t="n">
        <x:v>46126</x:v>
      </x:c>
      <x:c r="K3023" s="19" t="str">
        <x:v>Leisure Lion Pty Ltd - Gympie</x:v>
      </x:c>
      <x:c r="L3023" s="19" t="str">
        <x:v>Z006</x:v>
      </x:c>
      <x:c r="M3023" s="19" t="str">
        <x:v>In Field Warranty Claims</x:v>
      </x:c>
      <x:c r="N3023" s="37" t="n">
        <x:v>46086</x:v>
      </x:c>
      <x:c r="O3023" s="37"/>
      <x:c r="P3023" s="34" t="n">
        <x:v>0</x:v>
      </x:c>
      <x:c r="Q3023" s="37" t="n">
        <x:v>46126.07565972222</x:v>
      </x:c>
    </x:row>
    <x:row r="3024">
      <x:c r="A3024" s="22" t="n">
        <x:v>31886</x:v>
      </x:c>
      <x:c r="B3024" s="28" t="n">
        <x:v>200</x:v>
      </x:c>
      <x:c r="C3024" s="28" t="n">
        <x:v>220</x:v>
      </x:c>
      <x:c r="D3024" s="31" t="n">
        <x:f>IF(OR(ISBLANK(B3024),ISBLANK(C3024),B3024=0),"",(C3024-B3024)/B3024)</x:f>
        <x:v>0.1</x:v>
      </x:c>
      <x:c r="E3024" s="22" t="str">
        <x:f>IF(ISBLANK(C3024),"AmountIncludingTax缺失",IF(ABS(B3024-C3024)&lt;0.005,"一致","不一致"))</x:f>
        <x:v>不一致</x:v>
      </x:c>
      <x:c r="F3024" s="19" t="str">
        <x:v>approved</x:v>
      </x:c>
      <x:c r="G3024" s="19" t="str">
        <x:v>Repairer Invoiced Processed</x:v>
      </x:c>
      <x:c r="H3024" s="19" t="str">
        <x:v>In Field</x:v>
      </x:c>
      <x:c r="I3024" s="37" t="n">
        <x:v>46125</x:v>
      </x:c>
      <x:c r="J3024" s="37" t="n">
        <x:v>46125</x:v>
      </x:c>
      <x:c r="K3024" s="19" t="str">
        <x:v>Regent RV - Perth</x:v>
      </x:c>
      <x:c r="L3024" s="19" t="str">
        <x:v>Z006</x:v>
      </x:c>
      <x:c r="M3024" s="19" t="str">
        <x:v>In Field Warranty Claims</x:v>
      </x:c>
      <x:c r="N3024" s="37" t="n">
        <x:v>46085</x:v>
      </x:c>
      <x:c r="O3024" s="37"/>
      <x:c r="P3024" s="34" t="n">
        <x:v>220</x:v>
      </x:c>
      <x:c r="Q3024" s="37" t="n">
        <x:v>46125.07607638889</x:v>
      </x:c>
    </x:row>
    <x:row r="3025">
      <x:c r="A3025" s="22" t="n">
        <x:v>31885</x:v>
      </x:c>
      <x:c r="B3025" s="28" t="n">
        <x:v>67.5</x:v>
      </x:c>
      <x:c r="C3025" s="28"/>
      <x:c r="D3025" s="31" t="str">
        <x:f>IF(OR(ISBLANK(B3025),ISBLANK(C3025),B3025=0),"",(C3025-B3025)/B3025)</x:f>
      </x:c>
      <x:c r="E3025" s="22" t="str">
        <x:f>IF(ISBLANK(C3025),"AmountIncludingTax缺失",IF(ABS(B3025-C3025)&lt;0.005,"一致","不一致"))</x:f>
        <x:v>AmountIncludingTax缺失</x:v>
      </x:c>
      <x:c r="F3025" s="19" t="str">
        <x:v>approved</x:v>
      </x:c>
      <x:c r="G3025" s="19" t="str">
        <x:v>Sales Order Approved</x:v>
      </x:c>
      <x:c r="H3025" s="19" t="str">
        <x:v>Pre Delivery</x:v>
      </x:c>
      <x:c r="I3025" s="37" t="n">
        <x:v>46135</x:v>
      </x:c>
      <x:c r="J3025" s="37" t="n">
        <x:v>46135</x:v>
      </x:c>
      <x:c r="K3025" s="19" t="str">
        <x:v>Lesiure Lion-New Castle</x:v>
      </x:c>
      <x:c r="L3025" s="19" t="str">
        <x:v>Z005</x:v>
      </x:c>
      <x:c r="M3025" s="19" t="str">
        <x:v>Pre Delivery Warranty Claims</x:v>
      </x:c>
      <x:c r="N3025" s="37" t="n">
        <x:v>46085</x:v>
      </x:c>
      <x:c r="O3025" s="37"/>
      <x:c r="P3025" s="34" t="n">
        <x:v>0</x:v>
      </x:c>
      <x:c r="Q3025" s="37" t="n">
        <x:v>46134.933344907404</x:v>
      </x:c>
    </x:row>
    <x:row r="3026">
      <x:c r="A3026" s="22" t="n">
        <x:v>31884</x:v>
      </x:c>
      <x:c r="B3026" s="28" t="n">
        <x:v>220.68</x:v>
      </x:c>
      <x:c r="C3026" s="28"/>
      <x:c r="D3026" s="31" t="str">
        <x:f>IF(OR(ISBLANK(B3026),ISBLANK(C3026),B3026=0),"",(C3026-B3026)/B3026)</x:f>
      </x:c>
      <x:c r="E3026" s="22" t="str">
        <x:f>IF(ISBLANK(C3026),"AmountIncludingTax缺失",IF(ABS(B3026-C3026)&lt;0.005,"一致","不一致"))</x:f>
        <x:v>AmountIncludingTax缺失</x:v>
      </x:c>
      <x:c r="F3026" s="19" t="str">
        <x:v>approved</x:v>
      </x:c>
      <x:c r="G3026" s="19" t="str">
        <x:v>Repairer Invoiced Processed</x:v>
      </x:c>
      <x:c r="H3026" s="19" t="str">
        <x:v>Pre Delivery</x:v>
      </x:c>
      <x:c r="I3026" s="37" t="n">
        <x:v>46135</x:v>
      </x:c>
      <x:c r="J3026" s="37" t="n">
        <x:v>46135</x:v>
      </x:c>
      <x:c r="K3026" s="19" t="str">
        <x:v>Lesiure Lion-New Castle</x:v>
      </x:c>
      <x:c r="L3026" s="19" t="str">
        <x:v>Z005</x:v>
      </x:c>
      <x:c r="M3026" s="19" t="str">
        <x:v>Pre Delivery Warranty Claims</x:v>
      </x:c>
      <x:c r="N3026" s="37" t="n">
        <x:v>46085</x:v>
      </x:c>
      <x:c r="O3026" s="37"/>
      <x:c r="P3026" s="34" t="n">
        <x:v>0</x:v>
      </x:c>
      <x:c r="Q3026" s="37" t="n">
        <x:v>46134.93375</x:v>
      </x:c>
    </x:row>
    <x:row r="3027">
      <x:c r="A3027" s="22" t="n">
        <x:v>31883</x:v>
      </x:c>
      <x:c r="B3027" s="28" t="n">
        <x:v>458.75</x:v>
      </x:c>
      <x:c r="C3027" s="28"/>
      <x:c r="D3027" s="31" t="str">
        <x:f>IF(OR(ISBLANK(B3027),ISBLANK(C3027),B3027=0),"",(C3027-B3027)/B3027)</x:f>
      </x:c>
      <x:c r="E3027" s="22" t="str">
        <x:f>IF(ISBLANK(C3027),"AmountIncludingTax缺失",IF(ABS(B3027-C3027)&lt;0.005,"一致","不一致"))</x:f>
        <x:v>AmountIncludingTax缺失</x:v>
      </x:c>
      <x:c r="F3027" s="19" t="str">
        <x:v>approved</x:v>
      </x:c>
      <x:c r="G3027" s="19" t="str">
        <x:v>Repair in Progress</x:v>
      </x:c>
      <x:c r="H3027" s="19" t="str">
        <x:v>In Field</x:v>
      </x:c>
      <x:c r="I3027" s="37" t="n">
        <x:v>46098</x:v>
      </x:c>
      <x:c r="J3027" s="37" t="n">
        <x:v>46098</x:v>
      </x:c>
      <x:c r="K3027" s="19" t="str">
        <x:v>Not Assigned</x:v>
      </x:c>
      <x:c r="L3027" s="19" t="str">
        <x:v>Z006</x:v>
      </x:c>
      <x:c r="M3027" s="19" t="str">
        <x:v>In Field Warranty Claims</x:v>
      </x:c>
      <x:c r="N3027" s="37" t="n">
        <x:v>46085</x:v>
      </x:c>
      <x:c r="O3027" s="37"/>
      <x:c r="P3027" s="34" t="n">
        <x:v>0</x:v>
      </x:c>
      <x:c r="Q3027" s="37" t="n">
        <x:v>46098.10748842593</x:v>
      </x:c>
    </x:row>
    <x:row r="3028">
      <x:c r="A3028" s="22" t="n">
        <x:v>31877</x:v>
      </x:c>
      <x:c r="B3028" s="28" t="n">
        <x:v>1046.25</x:v>
      </x:c>
      <x:c r="C3028" s="28"/>
      <x:c r="D3028" s="31" t="str">
        <x:f>IF(OR(ISBLANK(B3028),ISBLANK(C3028),B3028=0),"",(C3028-B3028)/B3028)</x:f>
      </x:c>
      <x:c r="E3028" s="22" t="str">
        <x:f>IF(ISBLANK(C3028),"AmountIncludingTax缺失",IF(ABS(B3028-C3028)&lt;0.005,"一致","不一致"))</x:f>
        <x:v>AmountIncludingTax缺失</x:v>
      </x:c>
      <x:c r="F3028" s="19" t="str">
        <x:v>approved</x:v>
      </x:c>
      <x:c r="G3028" s="19" t="str">
        <x:v>Repairer Invoiced Processed</x:v>
      </x:c>
      <x:c r="H3028" s="19" t="str">
        <x:v>Pre Delivery</x:v>
      </x:c>
      <x:c r="I3028" s="37" t="n">
        <x:v>46087</x:v>
      </x:c>
      <x:c r="J3028" s="37" t="n">
        <x:v>46087</x:v>
      </x:c>
      <x:c r="K3028" s="19" t="str">
        <x:v>Lesiure Lion-New Castle</x:v>
      </x:c>
      <x:c r="L3028" s="19" t="str">
        <x:v>Z005</x:v>
      </x:c>
      <x:c r="M3028" s="19" t="str">
        <x:v>Pre Delivery Warranty Claims</x:v>
      </x:c>
      <x:c r="N3028" s="37" t="n">
        <x:v>46086</x:v>
      </x:c>
      <x:c r="O3028" s="37"/>
      <x:c r="P3028" s="34" t="n">
        <x:v>0</x:v>
      </x:c>
      <x:c r="Q3028" s="37" t="n">
        <x:v>46087.17271990741</x:v>
      </x:c>
    </x:row>
    <x:row r="3029">
      <x:c r="A3029" s="22" t="n">
        <x:v>31876</x:v>
      </x:c>
      <x:c r="B3029" s="28" t="n">
        <x:v>350</x:v>
      </x:c>
      <x:c r="C3029" s="28" t="n">
        <x:v>385</x:v>
      </x:c>
      <x:c r="D3029" s="31" t="n">
        <x:f>IF(OR(ISBLANK(B3029),ISBLANK(C3029),B3029=0),"",(C3029-B3029)/B3029)</x:f>
        <x:v>0.1</x:v>
      </x:c>
      <x:c r="E3029" s="22" t="str">
        <x:f>IF(ISBLANK(C3029),"AmountIncludingTax缺失",IF(ABS(B3029-C3029)&lt;0.005,"一致","不一致"))</x:f>
        <x:v>不一致</x:v>
      </x:c>
      <x:c r="F3029" s="19" t="str">
        <x:v>approved</x:v>
      </x:c>
      <x:c r="G3029" s="19" t="str">
        <x:v>Repairer Invoiced Processed</x:v>
      </x:c>
      <x:c r="H3029" s="19" t="str">
        <x:v>In Field</x:v>
      </x:c>
      <x:c r="I3029" s="37" t="n">
        <x:v>46086</x:v>
      </x:c>
      <x:c r="J3029" s="37" t="n">
        <x:v>46086</x:v>
      </x:c>
      <x:c r="K3029" s="19" t="str">
        <x:v>Regent RV - Toowoomba</x:v>
      </x:c>
      <x:c r="L3029" s="19" t="str">
        <x:v>Z006</x:v>
      </x:c>
      <x:c r="M3029" s="19" t="str">
        <x:v>In Field Warranty Claims</x:v>
      </x:c>
      <x:c r="N3029" s="37" t="n">
        <x:v>46085</x:v>
      </x:c>
      <x:c r="O3029" s="37"/>
      <x:c r="P3029" s="34" t="n">
        <x:v>385</x:v>
      </x:c>
      <x:c r="Q3029" s="37" t="n">
        <x:v>46085.9747337963</x:v>
      </x:c>
    </x:row>
    <x:row r="3030">
      <x:c r="A3030" s="22" t="n">
        <x:v>31874</x:v>
      </x:c>
      <x:c r="B3030" s="28" t="n">
        <x:v>1055</x:v>
      </x:c>
      <x:c r="C3030" s="28"/>
      <x:c r="D3030" s="31" t="str">
        <x:f>IF(OR(ISBLANK(B3030),ISBLANK(C3030),B3030=0),"",(C3030-B3030)/B3030)</x:f>
      </x:c>
      <x:c r="E3030" s="22" t="str">
        <x:f>IF(ISBLANK(C3030),"AmountIncludingTax缺失",IF(ABS(B3030-C3030)&lt;0.005,"一致","不一致"))</x:f>
        <x:v>AmountIncludingTax缺失</x:v>
      </x:c>
      <x:c r="F3030" s="19" t="str">
        <x:v>approved</x:v>
      </x:c>
      <x:c r="G3030" s="19" t="str">
        <x:v>Repairer Invoiced Processed</x:v>
      </x:c>
      <x:c r="H3030" s="19" t="str">
        <x:v>In Field</x:v>
      </x:c>
      <x:c r="I3030" s="37" t="n">
        <x:v>46086</x:v>
      </x:c>
      <x:c r="J3030" s="37" t="n">
        <x:v>46086</x:v>
      </x:c>
      <x:c r="K3030" s="19" t="str">
        <x:v>Regent RV - Perth</x:v>
      </x:c>
      <x:c r="L3030" s="19" t="str">
        <x:v>Z006</x:v>
      </x:c>
      <x:c r="M3030" s="19" t="str">
        <x:v>In Field Warranty Claims</x:v>
      </x:c>
      <x:c r="N3030" s="37" t="n">
        <x:v>46085</x:v>
      </x:c>
      <x:c r="O3030" s="37"/>
      <x:c r="P3030" s="34" t="n">
        <x:v>1160.5</x:v>
      </x:c>
      <x:c r="Q3030" s="37" t="n">
        <x:v>46086.14131944445</x:v>
      </x:c>
    </x:row>
    <x:row r="3031">
      <x:c r="A3031" s="22" t="n">
        <x:v>31867</x:v>
      </x:c>
      <x:c r="B3031" s="28" t="n">
        <x:v>1510.34</x:v>
      </x:c>
      <x:c r="C3031" s="28"/>
      <x:c r="D3031" s="31" t="str">
        <x:f>IF(OR(ISBLANK(B3031),ISBLANK(C3031),B3031=0),"",(C3031-B3031)/B3031)</x:f>
      </x:c>
      <x:c r="E3031" s="22" t="str">
        <x:f>IF(ISBLANK(C3031),"AmountIncludingTax缺失",IF(ABS(B3031-C3031)&lt;0.005,"一致","不一致"))</x:f>
        <x:v>AmountIncludingTax缺失</x:v>
      </x:c>
      <x:c r="F3031" s="19" t="str">
        <x:v>approved</x:v>
      </x:c>
      <x:c r="G3031" s="19" t="str">
        <x:v>Repairer Invoiced Processed</x:v>
      </x:c>
      <x:c r="H3031" s="19" t="str">
        <x:v>Pre Delivery</x:v>
      </x:c>
      <x:c r="I3031" s="37" t="n">
        <x:v>46147</x:v>
      </x:c>
      <x:c r="J3031" s="37" t="n">
        <x:v>46147</x:v>
      </x:c>
      <x:c r="K3031" s="19" t="str">
        <x:v>Lesiure Lion-New Castle</x:v>
      </x:c>
      <x:c r="L3031" s="19" t="str">
        <x:v>Z005</x:v>
      </x:c>
      <x:c r="M3031" s="19" t="str">
        <x:v>Pre Delivery Warranty Claims</x:v>
      </x:c>
      <x:c r="N3031" s="37" t="n">
        <x:v>46085</x:v>
      </x:c>
      <x:c r="O3031" s="37"/>
      <x:c r="P3031" s="34" t="n">
        <x:v>0</x:v>
      </x:c>
      <x:c r="Q3031" s="37" t="n">
        <x:v>46147.15907407407</x:v>
      </x:c>
    </x:row>
    <x:row r="3032">
      <x:c r="A3032" s="22" t="n">
        <x:v>31866</x:v>
      </x:c>
      <x:c r="B3032" s="28" t="n">
        <x:v>135</x:v>
      </x:c>
      <x:c r="C3032" s="28"/>
      <x:c r="D3032" s="31" t="str">
        <x:f>IF(OR(ISBLANK(B3032),ISBLANK(C3032),B3032=0),"",(C3032-B3032)/B3032)</x:f>
      </x:c>
      <x:c r="E3032" s="22" t="str">
        <x:f>IF(ISBLANK(C3032),"AmountIncludingTax缺失",IF(ABS(B3032-C3032)&lt;0.005,"一致","不一致"))</x:f>
        <x:v>AmountIncludingTax缺失</x:v>
      </x:c>
      <x:c r="F3032" s="19" t="str">
        <x:v>approved</x:v>
      </x:c>
      <x:c r="G3032" s="19" t="str">
        <x:v>Repair in Progress</x:v>
      </x:c>
      <x:c r="H3032" s="19" t="str">
        <x:v>In Field</x:v>
      </x:c>
      <x:c r="I3032" s="37" t="n">
        <x:v>46103</x:v>
      </x:c>
      <x:c r="J3032" s="37" t="n">
        <x:v>46101</x:v>
      </x:c>
      <x:c r="K3032" s="19" t="str">
        <x:v>Regent RV - Perth</x:v>
      </x:c>
      <x:c r="L3032" s="19" t="str">
        <x:v>Z006</x:v>
      </x:c>
      <x:c r="M3032" s="19" t="str">
        <x:v>In Field Warranty Claims</x:v>
      </x:c>
      <x:c r="N3032" s="37" t="n">
        <x:v>46085</x:v>
      </x:c>
      <x:c r="O3032" s="37"/>
      <x:c r="P3032" s="34" t="n">
        <x:v>0</x:v>
      </x:c>
      <x:c r="Q3032" s="37" t="n">
        <x:v>46103.44869212963</x:v>
      </x:c>
    </x:row>
    <x:row r="3033">
      <x:c r="A3033" s="22" t="n">
        <x:v>31864</x:v>
      </x:c>
      <x:c r="B3033" s="28" t="n">
        <x:v>978.34</x:v>
      </x:c>
      <x:c r="C3033" s="28"/>
      <x:c r="D3033" s="31" t="str">
        <x:f>IF(OR(ISBLANK(B3033),ISBLANK(C3033),B3033=0),"",(C3033-B3033)/B3033)</x:f>
      </x:c>
      <x:c r="E3033" s="22" t="str">
        <x:f>IF(ISBLANK(C3033),"AmountIncludingTax缺失",IF(ABS(B3033-C3033)&lt;0.005,"一致","不一致"))</x:f>
        <x:v>AmountIncludingTax缺失</x:v>
      </x:c>
      <x:c r="F3033" s="19" t="str">
        <x:v>approved</x:v>
      </x:c>
      <x:c r="G3033" s="19" t="str">
        <x:v>Repair in Progress</x:v>
      </x:c>
      <x:c r="H3033" s="19" t="str">
        <x:v>In Field</x:v>
      </x:c>
      <x:c r="I3033" s="37" t="n">
        <x:v>46111</x:v>
      </x:c>
      <x:c r="J3033" s="37" t="n">
        <x:v>46111</x:v>
      </x:c>
      <x:c r="K3033" s="19" t="str">
        <x:v>Regent RV Pty Ltd</x:v>
      </x:c>
      <x:c r="L3033" s="19" t="str">
        <x:v>Z006</x:v>
      </x:c>
      <x:c r="M3033" s="19" t="str">
        <x:v>In Field Warranty Claims</x:v>
      </x:c>
      <x:c r="N3033" s="37" t="n">
        <x:v>46085</x:v>
      </x:c>
      <x:c r="O3033" s="37"/>
      <x:c r="P3033" s="34" t="n">
        <x:v>0</x:v>
      </x:c>
      <x:c r="Q3033" s="37" t="n">
        <x:v>46111.1033912037</x:v>
      </x:c>
    </x:row>
    <x:row r="3034">
      <x:c r="A3034" s="22" t="n">
        <x:v>31863</x:v>
      </x:c>
      <x:c r="B3034" s="28" t="n">
        <x:v>101.25</x:v>
      </x:c>
      <x:c r="C3034" s="28"/>
      <x:c r="D3034" s="31" t="str">
        <x:f>IF(OR(ISBLANK(B3034),ISBLANK(C3034),B3034=0),"",(C3034-B3034)/B3034)</x:f>
      </x:c>
      <x:c r="E3034" s="22" t="str">
        <x:f>IF(ISBLANK(C3034),"AmountIncludingTax缺失",IF(ABS(B3034-C3034)&lt;0.005,"一致","不一致"))</x:f>
        <x:v>AmountIncludingTax缺失</x:v>
      </x:c>
      <x:c r="F3034" s="19" t="str">
        <x:v>approved</x:v>
      </x:c>
      <x:c r="G3034" s="19" t="str">
        <x:v>Repairer Invoiced Processed</x:v>
      </x:c>
      <x:c r="H3034" s="19" t="str">
        <x:v>In Field</x:v>
      </x:c>
      <x:c r="I3034" s="37" t="n">
        <x:v>46098</x:v>
      </x:c>
      <x:c r="J3034" s="37" t="n">
        <x:v>46098</x:v>
      </x:c>
      <x:c r="K3034" s="19" t="str">
        <x:v>Not Assigned</x:v>
      </x:c>
      <x:c r="L3034" s="19" t="str">
        <x:v>Z006</x:v>
      </x:c>
      <x:c r="M3034" s="19" t="str">
        <x:v>In Field Warranty Claims</x:v>
      </x:c>
      <x:c r="N3034" s="37" t="n">
        <x:v>46085</x:v>
      </x:c>
      <x:c r="O3034" s="37"/>
      <x:c r="P3034" s="34" t="n">
        <x:v>0</x:v>
      </x:c>
      <x:c r="Q3034" s="37" t="n">
        <x:v>46098.02621527778</x:v>
      </x:c>
    </x:row>
    <x:row r="3035">
      <x:c r="A3035" s="22" t="n">
        <x:v>31862</x:v>
      </x:c>
      <x:c r="B3035" s="28" t="n">
        <x:v>330</x:v>
      </x:c>
      <x:c r="C3035" s="28"/>
      <x:c r="D3035" s="31" t="str">
        <x:f>IF(OR(ISBLANK(B3035),ISBLANK(C3035),B3035=0),"",(C3035-B3035)/B3035)</x:f>
      </x:c>
      <x:c r="E3035" s="22" t="str">
        <x:f>IF(ISBLANK(C3035),"AmountIncludingTax缺失",IF(ABS(B3035-C3035)&lt;0.005,"一致","不一致"))</x:f>
        <x:v>AmountIncludingTax缺失</x:v>
      </x:c>
      <x:c r="F3035" s="19" t="str">
        <x:v>approved</x:v>
      </x:c>
      <x:c r="G3035" s="19" t="str">
        <x:v>Repair in Progress</x:v>
      </x:c>
      <x:c r="H3035" s="19" t="str">
        <x:v>Pre Delivery</x:v>
      </x:c>
      <x:c r="I3035" s="37" t="n">
        <x:v>46149</x:v>
      </x:c>
      <x:c r="J3035" s="37" t="n">
        <x:v>46149</x:v>
      </x:c>
      <x:c r="K3035" s="19" t="str">
        <x:v>Regent RV - Perth</x:v>
      </x:c>
      <x:c r="L3035" s="19" t="str">
        <x:v>Z005</x:v>
      </x:c>
      <x:c r="M3035" s="19" t="str">
        <x:v>Pre Delivery Warranty Claims</x:v>
      </x:c>
      <x:c r="N3035" s="37" t="n">
        <x:v>46085</x:v>
      </x:c>
      <x:c r="O3035" s="37"/>
      <x:c r="P3035" s="34" t="n">
        <x:v>0</x:v>
      </x:c>
      <x:c r="Q3035" s="37" t="n">
        <x:v>46149.439780092594</x:v>
      </x:c>
    </x:row>
    <x:row r="3036">
      <x:c r="A3036" s="22" t="n">
        <x:v>31861</x:v>
      </x:c>
      <x:c r="B3036" s="28" t="n">
        <x:v>725</x:v>
      </x:c>
      <x:c r="C3036" s="28"/>
      <x:c r="D3036" s="31" t="str">
        <x:f>IF(OR(ISBLANK(B3036),ISBLANK(C3036),B3036=0),"",(C3036-B3036)/B3036)</x:f>
      </x:c>
      <x:c r="E3036" s="22" t="str">
        <x:f>IF(ISBLANK(C3036),"AmountIncludingTax缺失",IF(ABS(B3036-C3036)&lt;0.005,"一致","不一致"))</x:f>
        <x:v>AmountIncludingTax缺失</x:v>
      </x:c>
      <x:c r="F3036" s="19" t="str">
        <x:v>approved</x:v>
      </x:c>
      <x:c r="G3036" s="19" t="str">
        <x:v>Repair in Progress</x:v>
      </x:c>
      <x:c r="H3036" s="19" t="str">
        <x:v>In Field</x:v>
      </x:c>
      <x:c r="I3036" s="37" t="n">
        <x:v>46094</x:v>
      </x:c>
      <x:c r="J3036" s="37" t="n">
        <x:v>46094</x:v>
      </x:c>
      <x:c r="K3036" s="19" t="str">
        <x:v>Snowy River Wangaratta</x:v>
      </x:c>
      <x:c r="L3036" s="19" t="str">
        <x:v>Z006</x:v>
      </x:c>
      <x:c r="M3036" s="19" t="str">
        <x:v>In Field Warranty Claims</x:v>
      </x:c>
      <x:c r="N3036" s="37" t="n">
        <x:v>46085</x:v>
      </x:c>
      <x:c r="O3036" s="37"/>
      <x:c r="P3036" s="34" t="n">
        <x:v>0</x:v>
      </x:c>
      <x:c r="Q3036" s="37" t="n">
        <x:v>46094.273668981485</x:v>
      </x:c>
    </x:row>
    <x:row r="3037">
      <x:c r="A3037" s="22" t="n">
        <x:v>31860</x:v>
      </x:c>
      <x:c r="B3037" s="28" t="n">
        <x:v>250</x:v>
      </x:c>
      <x:c r="C3037" s="28" t="n">
        <x:v>275</x:v>
      </x:c>
      <x:c r="D3037" s="31" t="n">
        <x:f>IF(OR(ISBLANK(B3037),ISBLANK(C3037),B3037=0),"",(C3037-B3037)/B3037)</x:f>
        <x:v>0.1</x:v>
      </x:c>
      <x:c r="E3037" s="22" t="str">
        <x:f>IF(ISBLANK(C3037),"AmountIncludingTax缺失",IF(ABS(B3037-C3037)&lt;0.005,"一致","不一致"))</x:f>
        <x:v>不一致</x:v>
      </x:c>
      <x:c r="F3037" s="19" t="str">
        <x:v>approved</x:v>
      </x:c>
      <x:c r="G3037" s="19" t="str">
        <x:v>Repairer Invoiced Processed</x:v>
      </x:c>
      <x:c r="H3037" s="19" t="str">
        <x:v>In Field</x:v>
      </x:c>
      <x:c r="I3037" s="37" t="n">
        <x:v>46160</x:v>
      </x:c>
      <x:c r="J3037" s="37" t="n">
        <x:v>46160</x:v>
      </x:c>
      <x:c r="K3037" s="19" t="str">
        <x:v>Regent RV Pty Ltd</x:v>
      </x:c>
      <x:c r="L3037" s="19" t="str">
        <x:v>Z006</x:v>
      </x:c>
      <x:c r="M3037" s="19" t="str">
        <x:v>In Field Warranty Claims</x:v>
      </x:c>
      <x:c r="N3037" s="37" t="n">
        <x:v>46085</x:v>
      </x:c>
      <x:c r="O3037" s="37"/>
      <x:c r="P3037" s="34" t="n">
        <x:v>275</x:v>
      </x:c>
      <x:c r="Q3037" s="37" t="n">
        <x:v>46159.92866898148</x:v>
      </x:c>
    </x:row>
    <x:row r="3038">
      <x:c r="A3038" s="22" t="n">
        <x:v>31858</x:v>
      </x:c>
      <x:c r="B3038" s="28" t="n">
        <x:v>1342.5</x:v>
      </x:c>
      <x:c r="C3038" s="28"/>
      <x:c r="D3038" s="31" t="str">
        <x:f>IF(OR(ISBLANK(B3038),ISBLANK(C3038),B3038=0),"",(C3038-B3038)/B3038)</x:f>
      </x:c>
      <x:c r="E3038" s="22" t="str">
        <x:f>IF(ISBLANK(C3038),"AmountIncludingTax缺失",IF(ABS(B3038-C3038)&lt;0.005,"一致","不一致"))</x:f>
        <x:v>AmountIncludingTax缺失</x:v>
      </x:c>
      <x:c r="F3038" s="19" t="str">
        <x:v>approved</x:v>
      </x:c>
      <x:c r="G3038" s="19" t="str">
        <x:v>Repairer Invoiced Processed</x:v>
      </x:c>
      <x:c r="H3038" s="19" t="str">
        <x:v>In Field</x:v>
      </x:c>
      <x:c r="I3038" s="37" t="n">
        <x:v>46120</x:v>
      </x:c>
      <x:c r="J3038" s="37" t="n">
        <x:v>46120</x:v>
      </x:c>
      <x:c r="K3038" s="19" t="str">
        <x:v>Green RV - Forest Glen</x:v>
      </x:c>
      <x:c r="L3038" s="19" t="str">
        <x:v>Z006</x:v>
      </x:c>
      <x:c r="M3038" s="19" t="str">
        <x:v>In Field Warranty Claims</x:v>
      </x:c>
      <x:c r="N3038" s="37" t="n">
        <x:v>46085</x:v>
      </x:c>
      <x:c r="O3038" s="37"/>
      <x:c r="P3038" s="34" t="n">
        <x:v>0</x:v>
      </x:c>
      <x:c r="Q3038" s="37" t="n">
        <x:v>46120.15412037037</x:v>
      </x:c>
    </x:row>
    <x:row r="3039">
      <x:c r="A3039" s="22" t="n">
        <x:v>31857</x:v>
      </x:c>
      <x:c r="B3039" s="28" t="n">
        <x:v>318.18</x:v>
      </x:c>
      <x:c r="C3039" s="28" t="n">
        <x:v>350</x:v>
      </x:c>
      <x:c r="D3039" s="31" t="n">
        <x:f>IF(OR(ISBLANK(B3039),ISBLANK(C3039),B3039=0),"",(C3039-B3039)/B3039)</x:f>
        <x:v>0.10000628575020426</x:v>
      </x:c>
      <x:c r="E3039" s="22" t="str">
        <x:f>IF(ISBLANK(C3039),"AmountIncludingTax缺失",IF(ABS(B3039-C3039)&lt;0.005,"一致","不一致"))</x:f>
        <x:v>不一致</x:v>
      </x:c>
      <x:c r="F3039" s="19" t="str">
        <x:v>approved</x:v>
      </x:c>
      <x:c r="G3039" s="19" t="str">
        <x:v>Repairer Invoiced Processed</x:v>
      </x:c>
      <x:c r="H3039" s="19" t="str">
        <x:v>In Field</x:v>
      </x:c>
      <x:c r="I3039" s="37" t="n">
        <x:v>46156</x:v>
      </x:c>
      <x:c r="J3039" s="37" t="n">
        <x:v>46156</x:v>
      </x:c>
      <x:c r="K3039" s="19" t="str">
        <x:v>Regent RV - Townsville</x:v>
      </x:c>
      <x:c r="L3039" s="19" t="str">
        <x:v>Z006</x:v>
      </x:c>
      <x:c r="M3039" s="19" t="str">
        <x:v>In Field Warranty Claims</x:v>
      </x:c>
      <x:c r="N3039" s="37" t="n">
        <x:v>46085</x:v>
      </x:c>
      <x:c r="O3039" s="37"/>
      <x:c r="P3039" s="34" t="n">
        <x:v>350</x:v>
      </x:c>
      <x:c r="Q3039" s="37" t="n">
        <x:v>46156.196122685185</x:v>
      </x:c>
    </x:row>
    <x:row r="3040">
      <x:c r="A3040" s="22" t="n">
        <x:v>31856</x:v>
      </x:c>
      <x:c r="B3040" s="28" t="n">
        <x:v>2240.09</x:v>
      </x:c>
      <x:c r="C3040" s="28"/>
      <x:c r="D3040" s="31" t="str">
        <x:f>IF(OR(ISBLANK(B3040),ISBLANK(C3040),B3040=0),"",(C3040-B3040)/B3040)</x:f>
      </x:c>
      <x:c r="E3040" s="22" t="str">
        <x:f>IF(ISBLANK(C3040),"AmountIncludingTax缺失",IF(ABS(B3040-C3040)&lt;0.005,"一致","不一致"))</x:f>
        <x:v>AmountIncludingTax缺失</x:v>
      </x:c>
      <x:c r="F3040" s="19" t="str">
        <x:v>approved</x:v>
      </x:c>
      <x:c r="G3040" s="19" t="str">
        <x:v>Sales Order Approved</x:v>
      </x:c>
      <x:c r="H3040" s="19" t="str">
        <x:v>Pre Delivery</x:v>
      </x:c>
      <x:c r="I3040" s="37" t="n">
        <x:v>46188</x:v>
      </x:c>
      <x:c r="J3040" s="37" t="n">
        <x:v>46188</x:v>
      </x:c>
      <x:c r="K3040" s="19" t="str">
        <x:v>The Caravan Hub - Townsville</x:v>
      </x:c>
      <x:c r="L3040" s="19" t="str">
        <x:v>Z005</x:v>
      </x:c>
      <x:c r="M3040" s="19" t="str">
        <x:v>Pre Delivery Warranty Claims</x:v>
      </x:c>
      <x:c r="N3040" s="37" t="n">
        <x:v>46085</x:v>
      </x:c>
      <x:c r="O3040" s="37"/>
      <x:c r="P3040" s="34" t="n">
        <x:v>0</x:v>
      </x:c>
      <x:c r="Q3040" s="37" t="n">
        <x:v>46188.22230324074</x:v>
      </x:c>
    </x:row>
    <x:row r="3041">
      <x:c r="A3041" s="22" t="n">
        <x:v>31854</x:v>
      </x:c>
      <x:c r="B3041" s="28" t="n">
        <x:v>499.99</x:v>
      </x:c>
      <x:c r="C3041" s="28" t="n">
        <x:v>549.99</x:v>
      </x:c>
      <x:c r="D3041" s="31" t="n">
        <x:f>IF(OR(ISBLANK(B3041),ISBLANK(C3041),B3041=0),"",(C3041-B3041)/B3041)</x:f>
        <x:v>0.1000020000400008</x:v>
      </x:c>
      <x:c r="E3041" s="22" t="str">
        <x:f>IF(ISBLANK(C3041),"AmountIncludingTax缺失",IF(ABS(B3041-C3041)&lt;0.005,"一致","不一致"))</x:f>
        <x:v>不一致</x:v>
      </x:c>
      <x:c r="F3041" s="19" t="str">
        <x:v>approved</x:v>
      </x:c>
      <x:c r="G3041" s="19" t="str">
        <x:v>Repairer Invoiced Processed</x:v>
      </x:c>
      <x:c r="H3041" s="19" t="str">
        <x:v>In Field</x:v>
      </x:c>
      <x:c r="I3041" s="37" t="n">
        <x:v>46171</x:v>
      </x:c>
      <x:c r="J3041" s="37" t="n">
        <x:v>46171</x:v>
      </x:c>
      <x:c r="K3041" s="19" t="str">
        <x:v>Auswide Caravans - South Nowra</x:v>
      </x:c>
      <x:c r="L3041" s="19" t="str">
        <x:v>Z006</x:v>
      </x:c>
      <x:c r="M3041" s="19" t="str">
        <x:v>In Field Warranty Claims</x:v>
      </x:c>
      <x:c r="N3041" s="37" t="n">
        <x:v>46085</x:v>
      </x:c>
      <x:c r="O3041" s="37"/>
      <x:c r="P3041" s="34" t="n">
        <x:v>549.99</x:v>
      </x:c>
      <x:c r="Q3041" s="37" t="n">
        <x:v>46170.939733796295</x:v>
      </x:c>
    </x:row>
    <x:row r="3042">
      <x:c r="A3042" s="22" t="n">
        <x:v>31853</x:v>
      </x:c>
      <x:c r="B3042" s="28" t="n">
        <x:v>322.73</x:v>
      </x:c>
      <x:c r="C3042" s="28"/>
      <x:c r="D3042" s="31" t="str">
        <x:f>IF(OR(ISBLANK(B3042),ISBLANK(C3042),B3042=0),"",(C3042-B3042)/B3042)</x:f>
      </x:c>
      <x:c r="E3042" s="22" t="str">
        <x:f>IF(ISBLANK(C3042),"AmountIncludingTax缺失",IF(ABS(B3042-C3042)&lt;0.005,"一致","不一致"))</x:f>
        <x:v>AmountIncludingTax缺失</x:v>
      </x:c>
      <x:c r="F3042" s="19" t="str">
        <x:v>approved</x:v>
      </x:c>
      <x:c r="G3042" s="19" t="str">
        <x:v>Sales Order Approved</x:v>
      </x:c>
      <x:c r="H3042" s="19" t="str">
        <x:v>Pre Delivery</x:v>
      </x:c>
      <x:c r="I3042" s="37" t="n">
        <x:v>46190</x:v>
      </x:c>
      <x:c r="J3042" s="37" t="n">
        <x:v>46190</x:v>
      </x:c>
      <x:c r="K3042" s="19" t="str">
        <x:v>The Caravan Hub - Townsville</x:v>
      </x:c>
      <x:c r="L3042" s="19" t="str">
        <x:v>Z005</x:v>
      </x:c>
      <x:c r="M3042" s="19" t="str">
        <x:v>Pre Delivery Warranty Claims</x:v>
      </x:c>
      <x:c r="N3042" s="37" t="n">
        <x:v>46085</x:v>
      </x:c>
      <x:c r="O3042" s="37"/>
      <x:c r="P3042" s="34" t="n">
        <x:v>0</x:v>
      </x:c>
      <x:c r="Q3042" s="37" t="n">
        <x:v>46190.23737268519</x:v>
      </x:c>
    </x:row>
    <x:row r="3043">
      <x:c r="A3043" s="22" t="n">
        <x:v>31851</x:v>
      </x:c>
      <x:c r="B3043" s="28" t="n">
        <x:v>236.25</x:v>
      </x:c>
      <x:c r="C3043" s="28"/>
      <x:c r="D3043" s="31" t="str">
        <x:f>IF(OR(ISBLANK(B3043),ISBLANK(C3043),B3043=0),"",(C3043-B3043)/B3043)</x:f>
      </x:c>
      <x:c r="E3043" s="22" t="str">
        <x:f>IF(ISBLANK(C3043),"AmountIncludingTax缺失",IF(ABS(B3043-C3043)&lt;0.005,"一致","不一致"))</x:f>
        <x:v>AmountIncludingTax缺失</x:v>
      </x:c>
      <x:c r="F3043" s="19" t="str">
        <x:v>approved</x:v>
      </x:c>
      <x:c r="G3043" s="19" t="str">
        <x:v>Sales Order Approved</x:v>
      </x:c>
      <x:c r="H3043" s="19" t="str">
        <x:v>Pre Delivery</x:v>
      </x:c>
      <x:c r="I3043" s="37" t="n">
        <x:v>46147</x:v>
      </x:c>
      <x:c r="J3043" s="37" t="n">
        <x:v>46147</x:v>
      </x:c>
      <x:c r="K3043" s="19" t="str">
        <x:v>Regent RV - Perth</x:v>
      </x:c>
      <x:c r="L3043" s="19" t="str">
        <x:v>Z005</x:v>
      </x:c>
      <x:c r="M3043" s="19" t="str">
        <x:v>Pre Delivery Warranty Claims</x:v>
      </x:c>
      <x:c r="N3043" s="37" t="n">
        <x:v>46085</x:v>
      </x:c>
      <x:c r="O3043" s="37"/>
      <x:c r="P3043" s="34" t="n">
        <x:v>0</x:v>
      </x:c>
      <x:c r="Q3043" s="37" t="n">
        <x:v>46146.93543981481</x:v>
      </x:c>
    </x:row>
    <x:row r="3044">
      <x:c r="A3044" s="22" t="n">
        <x:v>31850</x:v>
      </x:c>
      <x:c r="B3044" s="28" t="n">
        <x:v>1458.75</x:v>
      </x:c>
      <x:c r="C3044" s="28"/>
      <x:c r="D3044" s="31" t="str">
        <x:f>IF(OR(ISBLANK(B3044),ISBLANK(C3044),B3044=0),"",(C3044-B3044)/B3044)</x:f>
      </x:c>
      <x:c r="E3044" s="22" t="str">
        <x:f>IF(ISBLANK(C3044),"AmountIncludingTax缺失",IF(ABS(B3044-C3044)&lt;0.005,"一致","不一致"))</x:f>
        <x:v>AmountIncludingTax缺失</x:v>
      </x:c>
      <x:c r="F3044" s="19" t="str">
        <x:v>approved</x:v>
      </x:c>
      <x:c r="G3044" s="19" t="str">
        <x:v>Sales Order Approved</x:v>
      </x:c>
      <x:c r="H3044" s="19" t="str">
        <x:v>Pre Delivery</x:v>
      </x:c>
      <x:c r="I3044" s="37" t="n">
        <x:v>46178</x:v>
      </x:c>
      <x:c r="J3044" s="37" t="n">
        <x:v>46178</x:v>
      </x:c>
      <x:c r="K3044" s="19" t="str">
        <x:v>The Caravan Hub - Townsville</x:v>
      </x:c>
      <x:c r="L3044" s="19" t="str">
        <x:v>Z005</x:v>
      </x:c>
      <x:c r="M3044" s="19" t="str">
        <x:v>Pre Delivery Warranty Claims</x:v>
      </x:c>
      <x:c r="N3044" s="37" t="n">
        <x:v>46084</x:v>
      </x:c>
      <x:c r="O3044" s="37"/>
      <x:c r="P3044" s="34" t="n">
        <x:v>0</x:v>
      </x:c>
      <x:c r="Q3044" s="37" t="n">
        <x:v>46177.971875</x:v>
      </x:c>
    </x:row>
    <x:row r="3045">
      <x:c r="A3045" s="22" t="n">
        <x:v>31849</x:v>
      </x:c>
      <x:c r="B3045" s="28" t="n">
        <x:v>1350</x:v>
      </x:c>
      <x:c r="C3045" s="28"/>
      <x:c r="D3045" s="31" t="str">
        <x:f>IF(OR(ISBLANK(B3045),ISBLANK(C3045),B3045=0),"",(C3045-B3045)/B3045)</x:f>
      </x:c>
      <x:c r="E3045" s="22" t="str">
        <x:f>IF(ISBLANK(C3045),"AmountIncludingTax缺失",IF(ABS(B3045-C3045)&lt;0.005,"一致","不一致"))</x:f>
        <x:v>AmountIncludingTax缺失</x:v>
      </x:c>
      <x:c r="F3045" s="19" t="str">
        <x:v>approved</x:v>
      </x:c>
      <x:c r="G3045" s="19" t="str">
        <x:v>Partially Picked</x:v>
      </x:c>
      <x:c r="H3045" s="19" t="str">
        <x:v>In Field</x:v>
      </x:c>
      <x:c r="I3045" s="37" t="n">
        <x:v>46111</x:v>
      </x:c>
      <x:c r="J3045" s="37" t="n">
        <x:v>46111</x:v>
      </x:c>
      <x:c r="K3045" s="19" t="str">
        <x:v>Dario Caravans -St.Marys</x:v>
      </x:c>
      <x:c r="L3045" s="19" t="str">
        <x:v>Z006</x:v>
      </x:c>
      <x:c r="M3045" s="19" t="str">
        <x:v>In Field Warranty Claims</x:v>
      </x:c>
      <x:c r="N3045" s="37" t="n">
        <x:v>46084</x:v>
      </x:c>
      <x:c r="O3045" s="37"/>
      <x:c r="P3045" s="34" t="n">
        <x:v>0</x:v>
      </x:c>
      <x:c r="Q3045" s="37" t="n">
        <x:v>46110.869363425925</x:v>
      </x:c>
    </x:row>
    <x:row r="3046">
      <x:c r="A3046" s="22" t="n">
        <x:v>31848</x:v>
      </x:c>
      <x:c r="B3046" s="28" t="n">
        <x:v>217.25</x:v>
      </x:c>
      <x:c r="C3046" s="28"/>
      <x:c r="D3046" s="31" t="str">
        <x:f>IF(OR(ISBLANK(B3046),ISBLANK(C3046),B3046=0),"",(C3046-B3046)/B3046)</x:f>
      </x:c>
      <x:c r="E3046" s="22" t="str">
        <x:f>IF(ISBLANK(C3046),"AmountIncludingTax缺失",IF(ABS(B3046-C3046)&lt;0.005,"一致","不一致"))</x:f>
        <x:v>AmountIncludingTax缺失</x:v>
      </x:c>
      <x:c r="F3046" s="19" t="str">
        <x:v>approved</x:v>
      </x:c>
      <x:c r="G3046" s="19" t="str">
        <x:v>Sales Order Approved</x:v>
      </x:c>
      <x:c r="H3046" s="19" t="str">
        <x:v>Pre Delivery</x:v>
      </x:c>
      <x:c r="I3046" s="37" t="n">
        <x:v>46178</x:v>
      </x:c>
      <x:c r="J3046" s="37" t="n">
        <x:v>46178</x:v>
      </x:c>
      <x:c r="K3046" s="19" t="str">
        <x:v>The Caravan Hub - Townsville</x:v>
      </x:c>
      <x:c r="L3046" s="19" t="str">
        <x:v>Z005</x:v>
      </x:c>
      <x:c r="M3046" s="19" t="str">
        <x:v>Pre Delivery Warranty Claims</x:v>
      </x:c>
      <x:c r="N3046" s="37" t="n">
        <x:v>46084</x:v>
      </x:c>
      <x:c r="O3046" s="37"/>
      <x:c r="P3046" s="34" t="n">
        <x:v>0</x:v>
      </x:c>
      <x:c r="Q3046" s="37" t="n">
        <x:v>46178.01965277778</x:v>
      </x:c>
    </x:row>
    <x:row r="3047">
      <x:c r="A3047" s="22" t="n">
        <x:v>31847</x:v>
      </x:c>
      <x:c r="B3047" s="28" t="n">
        <x:v>340.9</x:v>
      </x:c>
      <x:c r="C3047" s="28" t="n">
        <x:v>374.99</x:v>
      </x:c>
      <x:c r="D3047" s="31" t="n">
        <x:f>IF(OR(ISBLANK(B3047),ISBLANK(C3047),B3047=0),"",(C3047-B3047)/B3047)</x:f>
        <x:v>0.1000000000000001</x:v>
      </x:c>
      <x:c r="E3047" s="22" t="str">
        <x:f>IF(ISBLANK(C3047),"AmountIncludingTax缺失",IF(ABS(B3047-C3047)&lt;0.005,"一致","不一致"))</x:f>
        <x:v>不一致</x:v>
      </x:c>
      <x:c r="F3047" s="19" t="str">
        <x:v>approved</x:v>
      </x:c>
      <x:c r="G3047" s="19" t="str">
        <x:v>Repairer Invoiced Processed</x:v>
      </x:c>
      <x:c r="H3047" s="19" t="str">
        <x:v>Pre Delivery</x:v>
      </x:c>
      <x:c r="I3047" s="37" t="n">
        <x:v>46132</x:v>
      </x:c>
      <x:c r="J3047" s="37" t="n">
        <x:v>46132</x:v>
      </x:c>
      <x:c r="K3047" s="19" t="str">
        <x:v>NEWCASTLE CARAVANS &amp; RVS</x:v>
      </x:c>
      <x:c r="L3047" s="19" t="str">
        <x:v>Z005</x:v>
      </x:c>
      <x:c r="M3047" s="19" t="str">
        <x:v>Pre Delivery Warranty Claims</x:v>
      </x:c>
      <x:c r="N3047" s="37" t="n">
        <x:v>46084</x:v>
      </x:c>
      <x:c r="O3047" s="37"/>
      <x:c r="P3047" s="34" t="n">
        <x:v>374.99</x:v>
      </x:c>
      <x:c r="Q3047" s="37" t="n">
        <x:v>46132.02590277778</x:v>
      </x:c>
    </x:row>
    <x:row r="3048">
      <x:c r="A3048" s="22" t="n">
        <x:v>31846</x:v>
      </x:c>
      <x:c r="B3048" s="28" t="n">
        <x:v>222.5</x:v>
      </x:c>
      <x:c r="C3048" s="28"/>
      <x:c r="D3048" s="31" t="str">
        <x:f>IF(OR(ISBLANK(B3048),ISBLANK(C3048),B3048=0),"",(C3048-B3048)/B3048)</x:f>
      </x:c>
      <x:c r="E3048" s="22" t="str">
        <x:f>IF(ISBLANK(C3048),"AmountIncludingTax缺失",IF(ABS(B3048-C3048)&lt;0.005,"一致","不一致"))</x:f>
        <x:v>AmountIncludingTax缺失</x:v>
      </x:c>
      <x:c r="F3048" s="19" t="str">
        <x:v>approved</x:v>
      </x:c>
      <x:c r="G3048" s="19" t="str">
        <x:v>Repair in Progress</x:v>
      </x:c>
      <x:c r="H3048" s="19" t="str">
        <x:v>In Field</x:v>
      </x:c>
      <x:c r="I3048" s="37" t="n">
        <x:v>46111</x:v>
      </x:c>
      <x:c r="J3048" s="37" t="n">
        <x:v>46111</x:v>
      </x:c>
      <x:c r="K3048" s="19" t="str">
        <x:v>The Caravan Hub - Townsville</x:v>
      </x:c>
      <x:c r="L3048" s="19" t="str">
        <x:v>Z006</x:v>
      </x:c>
      <x:c r="M3048" s="19" t="str">
        <x:v>In Field Warranty Claims</x:v>
      </x:c>
      <x:c r="N3048" s="37" t="n">
        <x:v>46084</x:v>
      </x:c>
      <x:c r="O3048" s="37"/>
      <x:c r="P3048" s="34" t="n">
        <x:v>0</x:v>
      </x:c>
      <x:c r="Q3048" s="37" t="n">
        <x:v>46111.09998842593</x:v>
      </x:c>
    </x:row>
    <x:row r="3049">
      <x:c r="A3049" s="22" t="n">
        <x:v>31845</x:v>
      </x:c>
      <x:c r="B3049" s="28" t="n">
        <x:v>870.4</x:v>
      </x:c>
      <x:c r="C3049" s="28" t="n">
        <x:v>788.06</x:v>
      </x:c>
      <x:c r="D3049" s="31" t="n">
        <x:f>IF(OR(ISBLANK(B3049),ISBLANK(C3049),B3049=0),"",(C3049-B3049)/B3049)</x:f>
        <x:v>-0.09460018382352946</x:v>
      </x:c>
      <x:c r="E3049" s="22" t="str">
        <x:f>IF(ISBLANK(C3049),"AmountIncludingTax缺失",IF(ABS(B3049-C3049)&lt;0.005,"一致","不一致"))</x:f>
        <x:v>不一致</x:v>
      </x:c>
      <x:c r="F3049" s="19" t="str">
        <x:v>approved</x:v>
      </x:c>
      <x:c r="G3049" s="19" t="str">
        <x:v>Repairer Invoiced Processed</x:v>
      </x:c>
      <x:c r="H3049" s="19" t="str">
        <x:v>In Field</x:v>
      </x:c>
      <x:c r="I3049" s="37" t="n">
        <x:v>46170</x:v>
      </x:c>
      <x:c r="J3049" s="37" t="n">
        <x:v>46103</x:v>
      </x:c>
      <x:c r="K3049" s="19" t="str">
        <x:v>Vanari Caravans - Marden Point</x:v>
      </x:c>
      <x:c r="L3049" s="19" t="str">
        <x:v>Z006</x:v>
      </x:c>
      <x:c r="M3049" s="19" t="str">
        <x:v>In Field Warranty Claims</x:v>
      </x:c>
      <x:c r="N3049" s="37" t="n">
        <x:v>46084</x:v>
      </x:c>
      <x:c r="O3049" s="37"/>
      <x:c r="P3049" s="34" t="n">
        <x:v>788.06</x:v>
      </x:c>
      <x:c r="Q3049" s="37" t="n">
        <x:v>46170.156863425924</x:v>
      </x:c>
    </x:row>
    <x:row r="3050">
      <x:c r="A3050" s="22" t="n">
        <x:v>31844</x:v>
      </x:c>
      <x:c r="B3050" s="28" t="n">
        <x:v>81.5</x:v>
      </x:c>
      <x:c r="C3050" s="28" t="n">
        <x:v>73.79</x:v>
      </x:c>
      <x:c r="D3050" s="31" t="n">
        <x:f>IF(OR(ISBLANK(B3050),ISBLANK(C3050),B3050=0),"",(C3050-B3050)/B3050)</x:f>
        <x:v>-0.09460122699386496</x:v>
      </x:c>
      <x:c r="E3050" s="22" t="str">
        <x:f>IF(ISBLANK(C3050),"AmountIncludingTax缺失",IF(ABS(B3050-C3050)&lt;0.005,"一致","不一致"))</x:f>
        <x:v>不一致</x:v>
      </x:c>
      <x:c r="F3050" s="19" t="str">
        <x:v>approved</x:v>
      </x:c>
      <x:c r="G3050" s="19" t="str">
        <x:v>Repairer Invoiced Processed</x:v>
      </x:c>
      <x:c r="H3050" s="19" t="str">
        <x:v>In Field</x:v>
      </x:c>
      <x:c r="I3050" s="37" t="n">
        <x:v>46103</x:v>
      </x:c>
      <x:c r="J3050" s="37" t="n">
        <x:v>46103</x:v>
      </x:c>
      <x:c r="K3050" s="19" t="str">
        <x:v>Vanari Caravans - Marden Point</x:v>
      </x:c>
      <x:c r="L3050" s="19" t="str">
        <x:v>Z006</x:v>
      </x:c>
      <x:c r="M3050" s="19" t="str">
        <x:v>In Field Warranty Claims</x:v>
      </x:c>
      <x:c r="N3050" s="37" t="n">
        <x:v>46084</x:v>
      </x:c>
      <x:c r="O3050" s="37"/>
      <x:c r="P3050" s="34" t="n">
        <x:v>73.79</x:v>
      </x:c>
      <x:c r="Q3050" s="37" t="n">
        <x:v>46103.44174768519</x:v>
      </x:c>
    </x:row>
    <x:row r="3051">
      <x:c r="A3051" s="22" t="n">
        <x:v>31843</x:v>
      </x:c>
      <x:c r="B3051" s="28" t="n">
        <x:v>797</x:v>
      </x:c>
      <x:c r="C3051" s="28" t="n">
        <x:v>721.6</x:v>
      </x:c>
      <x:c r="D3051" s="31" t="n">
        <x:f>IF(OR(ISBLANK(B3051),ISBLANK(C3051),B3051=0),"",(C3051-B3051)/B3051)</x:f>
        <x:v>-0.09460476787954827</x:v>
      </x:c>
      <x:c r="E3051" s="22" t="str">
        <x:f>IF(ISBLANK(C3051),"AmountIncludingTax缺失",IF(ABS(B3051-C3051)&lt;0.005,"一致","不一致"))</x:f>
        <x:v>不一致</x:v>
      </x:c>
      <x:c r="F3051" s="19" t="str">
        <x:v>approved</x:v>
      </x:c>
      <x:c r="G3051" s="19" t="str">
        <x:v>Repairer Invoiced Processed</x:v>
      </x:c>
      <x:c r="H3051" s="19" t="str">
        <x:v>In Field</x:v>
      </x:c>
      <x:c r="I3051" s="37" t="n">
        <x:v>46103</x:v>
      </x:c>
      <x:c r="J3051" s="37" t="n">
        <x:v>46103</x:v>
      </x:c>
      <x:c r="K3051" s="19" t="str">
        <x:v>Vanari Caravans - Marden Point</x:v>
      </x:c>
      <x:c r="L3051" s="19" t="str">
        <x:v>Z006</x:v>
      </x:c>
      <x:c r="M3051" s="19" t="str">
        <x:v>In Field Warranty Claims</x:v>
      </x:c>
      <x:c r="N3051" s="37" t="n">
        <x:v>46084</x:v>
      </x:c>
      <x:c r="O3051" s="37"/>
      <x:c r="P3051" s="34" t="n">
        <x:v>721.6</x:v>
      </x:c>
      <x:c r="Q3051" s="37" t="n">
        <x:v>46103.44241898148</x:v>
      </x:c>
    </x:row>
    <x:row r="3052">
      <x:c r="A3052" s="22" t="n">
        <x:v>31842</x:v>
      </x:c>
      <x:c r="B3052" s="28" t="n">
        <x:v>212.95</x:v>
      </x:c>
      <x:c r="C3052" s="28" t="n">
        <x:v>234.25</x:v>
      </x:c>
      <x:c r="D3052" s="31" t="n">
        <x:f>IF(OR(ISBLANK(B3052),ISBLANK(C3052),B3052=0),"",(C3052-B3052)/B3052)</x:f>
        <x:v>0.10002347969006815</x:v>
      </x:c>
      <x:c r="E3052" s="22" t="str">
        <x:f>IF(ISBLANK(C3052),"AmountIncludingTax缺失",IF(ABS(B3052-C3052)&lt;0.005,"一致","不一致"))</x:f>
        <x:v>不一致</x:v>
      </x:c>
      <x:c r="F3052" s="19" t="str">
        <x:v>approved</x:v>
      </x:c>
      <x:c r="G3052" s="19" t="str">
        <x:v>Repair in Progress</x:v>
      </x:c>
      <x:c r="H3052" s="19" t="str">
        <x:v>In Field</x:v>
      </x:c>
      <x:c r="I3052" s="37" t="n">
        <x:v>46119</x:v>
      </x:c>
      <x:c r="J3052" s="37" t="n">
        <x:v>46119</x:v>
      </x:c>
      <x:c r="K3052" s="19" t="str">
        <x:v>Bendigo Caravan Group - Bendigo</x:v>
      </x:c>
      <x:c r="L3052" s="19" t="str">
        <x:v>Z006</x:v>
      </x:c>
      <x:c r="M3052" s="19" t="str">
        <x:v>In Field Warranty Claims</x:v>
      </x:c>
      <x:c r="N3052" s="37" t="n">
        <x:v>46084</x:v>
      </x:c>
      <x:c r="O3052" s="37"/>
      <x:c r="P3052" s="34" t="n">
        <x:v>234.25</x:v>
      </x:c>
      <x:c r="Q3052" s="37" t="n">
        <x:v>46119.10649305556</x:v>
      </x:c>
    </x:row>
    <x:row r="3053">
      <x:c r="A3053" s="22" t="n">
        <x:v>31841</x:v>
      </x:c>
      <x:c r="B3053" s="28" t="n">
        <x:v>830</x:v>
      </x:c>
      <x:c r="C3053" s="28" t="n">
        <x:v>913</x:v>
      </x:c>
      <x:c r="D3053" s="31" t="n">
        <x:f>IF(OR(ISBLANK(B3053),ISBLANK(C3053),B3053=0),"",(C3053-B3053)/B3053)</x:f>
        <x:v>0.1</x:v>
      </x:c>
      <x:c r="E3053" s="22" t="str">
        <x:f>IF(ISBLANK(C3053),"AmountIncludingTax缺失",IF(ABS(B3053-C3053)&lt;0.005,"一致","不一致"))</x:f>
        <x:v>不一致</x:v>
      </x:c>
      <x:c r="F3053" s="19" t="str">
        <x:v>approved</x:v>
      </x:c>
      <x:c r="G3053" s="19" t="str">
        <x:v>Repairer Invoiced Processed</x:v>
      </x:c>
      <x:c r="H3053" s="19" t="str">
        <x:v>In Field</x:v>
      </x:c>
      <x:c r="I3053" s="37" t="n">
        <x:v>46140</x:v>
      </x:c>
      <x:c r="J3053" s="37" t="n">
        <x:v>46140</x:v>
      </x:c>
      <x:c r="K3053" s="19" t="str">
        <x:v>Regent RV - Frankston</x:v>
      </x:c>
      <x:c r="L3053" s="19" t="str">
        <x:v>Z006</x:v>
      </x:c>
      <x:c r="M3053" s="19" t="str">
        <x:v>In Field Warranty Claims</x:v>
      </x:c>
      <x:c r="N3053" s="37" t="n">
        <x:v>46084</x:v>
      </x:c>
      <x:c r="O3053" s="37"/>
      <x:c r="P3053" s="34" t="n">
        <x:v>913</x:v>
      </x:c>
      <x:c r="Q3053" s="37" t="n">
        <x:v>46140.261967592596</x:v>
      </x:c>
    </x:row>
    <x:row r="3054">
      <x:c r="A3054" s="22" t="n">
        <x:v>31838</x:v>
      </x:c>
      <x:c r="B3054" s="28" t="n">
        <x:v>300</x:v>
      </x:c>
      <x:c r="C3054" s="28"/>
      <x:c r="D3054" s="31" t="str">
        <x:f>IF(OR(ISBLANK(B3054),ISBLANK(C3054),B3054=0),"",(C3054-B3054)/B3054)</x:f>
      </x:c>
      <x:c r="E3054" s="22" t="str">
        <x:f>IF(ISBLANK(C3054),"AmountIncludingTax缺失",IF(ABS(B3054-C3054)&lt;0.005,"一致","不一致"))</x:f>
        <x:v>AmountIncludingTax缺失</x:v>
      </x:c>
      <x:c r="F3054" s="19" t="str">
        <x:v>approved</x:v>
      </x:c>
      <x:c r="G3054" s="19" t="str">
        <x:v>Sales Order Approved</x:v>
      </x:c>
      <x:c r="H3054" s="19" t="str">
        <x:v>Pre Delivery</x:v>
      </x:c>
      <x:c r="I3054" s="37" t="n">
        <x:v>46182</x:v>
      </x:c>
      <x:c r="J3054" s="37" t="n">
        <x:v>46182</x:v>
      </x:c>
      <x:c r="K3054" s="19" t="str">
        <x:v>The Caravan Hub - Townsville</x:v>
      </x:c>
      <x:c r="L3054" s="19" t="str">
        <x:v>Z005</x:v>
      </x:c>
      <x:c r="M3054" s="19" t="str">
        <x:v>Pre Delivery Warranty Claims</x:v>
      </x:c>
      <x:c r="N3054" s="37" t="n">
        <x:v>46085</x:v>
      </x:c>
      <x:c r="O3054" s="37"/>
      <x:c r="P3054" s="34" t="n">
        <x:v>0</x:v>
      </x:c>
      <x:c r="Q3054" s="37" t="n">
        <x:v>46182.12756944444</x:v>
      </x:c>
    </x:row>
    <x:row r="3055">
      <x:c r="A3055" s="22" t="n">
        <x:v>31837</x:v>
      </x:c>
      <x:c r="B3055" s="28" t="n">
        <x:v>168.75</x:v>
      </x:c>
      <x:c r="C3055" s="28" t="n">
        <x:v>185.63</x:v>
      </x:c>
      <x:c r="D3055" s="31" t="n">
        <x:f>IF(OR(ISBLANK(B3055),ISBLANK(C3055),B3055=0),"",(C3055-B3055)/B3055)</x:f>
        <x:v>0.10002962962962961</x:v>
      </x:c>
      <x:c r="E3055" s="22" t="str">
        <x:f>IF(ISBLANK(C3055),"AmountIncludingTax缺失",IF(ABS(B3055-C3055)&lt;0.005,"一致","不一致"))</x:f>
        <x:v>不一致</x:v>
      </x:c>
      <x:c r="F3055" s="19" t="str">
        <x:v>approved</x:v>
      </x:c>
      <x:c r="G3055" s="19" t="str">
        <x:v>Repairer Invoiced Processed</x:v>
      </x:c>
      <x:c r="H3055" s="19" t="str">
        <x:v>In Field</x:v>
      </x:c>
      <x:c r="I3055" s="37" t="n">
        <x:v>46099</x:v>
      </x:c>
      <x:c r="J3055" s="37" t="n">
        <x:v>46099</x:v>
      </x:c>
      <x:c r="K3055" s="19" t="str">
        <x:v>Auswide Caravans - South Nowra</x:v>
      </x:c>
      <x:c r="L3055" s="19" t="str">
        <x:v>Z006</x:v>
      </x:c>
      <x:c r="M3055" s="19" t="str">
        <x:v>In Field Warranty Claims</x:v>
      </x:c>
      <x:c r="N3055" s="37" t="n">
        <x:v>46085</x:v>
      </x:c>
      <x:c r="O3055" s="37"/>
      <x:c r="P3055" s="34" t="n">
        <x:v>185.63</x:v>
      </x:c>
      <x:c r="Q3055" s="37" t="n">
        <x:v>46099.20348379629</x:v>
      </x:c>
    </x:row>
    <x:row r="3056">
      <x:c r="A3056" s="22" t="n">
        <x:v>31835</x:v>
      </x:c>
      <x:c r="B3056" s="28" t="n">
        <x:v>101.25</x:v>
      </x:c>
      <x:c r="C3056" s="28"/>
      <x:c r="D3056" s="31" t="str">
        <x:f>IF(OR(ISBLANK(B3056),ISBLANK(C3056),B3056=0),"",(C3056-B3056)/B3056)</x:f>
      </x:c>
      <x:c r="E3056" s="22" t="str">
        <x:f>IF(ISBLANK(C3056),"AmountIncludingTax缺失",IF(ABS(B3056-C3056)&lt;0.005,"一致","不一致"))</x:f>
        <x:v>AmountIncludingTax缺失</x:v>
      </x:c>
      <x:c r="F3056" s="19" t="str">
        <x:v>approved</x:v>
      </x:c>
      <x:c r="G3056" s="19" t="str">
        <x:v>Repair in Progress</x:v>
      </x:c>
      <x:c r="H3056" s="19" t="str">
        <x:v>Pre Delivery</x:v>
      </x:c>
      <x:c r="I3056" s="37" t="n">
        <x:v>46135</x:v>
      </x:c>
      <x:c r="J3056" s="37" t="n">
        <x:v>46135</x:v>
      </x:c>
      <x:c r="K3056" s="19" t="str">
        <x:v>ABCO Caravans - Boambee Valley</x:v>
      </x:c>
      <x:c r="L3056" s="19" t="str">
        <x:v>Z005</x:v>
      </x:c>
      <x:c r="M3056" s="19" t="str">
        <x:v>Pre Delivery Warranty Claims</x:v>
      </x:c>
      <x:c r="N3056" s="37" t="n">
        <x:v>46084</x:v>
      </x:c>
      <x:c r="O3056" s="37"/>
      <x:c r="P3056" s="34" t="n">
        <x:v>0</x:v>
      </x:c>
      <x:c r="Q3056" s="37" t="n">
        <x:v>46134.93412037037</x:v>
      </x:c>
    </x:row>
    <x:row r="3057">
      <x:c r="A3057" s="22" t="n">
        <x:v>31834</x:v>
      </x:c>
      <x:c r="B3057" s="28" t="n">
        <x:v>665</x:v>
      </x:c>
      <x:c r="C3057" s="28" t="n">
        <x:v>602.09</x:v>
      </x:c>
      <x:c r="D3057" s="31" t="n">
        <x:f>IF(OR(ISBLANK(B3057),ISBLANK(C3057),B3057=0),"",(C3057-B3057)/B3057)</x:f>
        <x:v>-0.09460150375939845</x:v>
      </x:c>
      <x:c r="E3057" s="22" t="str">
        <x:f>IF(ISBLANK(C3057),"AmountIncludingTax缺失",IF(ABS(B3057-C3057)&lt;0.005,"一致","不一致"))</x:f>
        <x:v>不一致</x:v>
      </x:c>
      <x:c r="F3057" s="19" t="str">
        <x:v>approved</x:v>
      </x:c>
      <x:c r="G3057" s="19" t="str">
        <x:v>Repairer Invoiced Processed</x:v>
      </x:c>
      <x:c r="H3057" s="19" t="str">
        <x:v>In Field</x:v>
      </x:c>
      <x:c r="I3057" s="37" t="n">
        <x:v>46103</x:v>
      </x:c>
      <x:c r="J3057" s="37" t="n">
        <x:v>46103</x:v>
      </x:c>
      <x:c r="K3057" s="19" t="str">
        <x:v>Vanari Caravans - Marden Point</x:v>
      </x:c>
      <x:c r="L3057" s="19" t="str">
        <x:v>Z006</x:v>
      </x:c>
      <x:c r="M3057" s="19" t="str">
        <x:v>In Field Warranty Claims</x:v>
      </x:c>
      <x:c r="N3057" s="37" t="n">
        <x:v>46084</x:v>
      </x:c>
      <x:c r="O3057" s="37"/>
      <x:c r="P3057" s="34" t="n">
        <x:v>602.09</x:v>
      </x:c>
      <x:c r="Q3057" s="37" t="n">
        <x:v>46103.44042824074</x:v>
      </x:c>
    </x:row>
    <x:row r="3058">
      <x:c r="A3058" s="22" t="n">
        <x:v>31833</x:v>
      </x:c>
      <x:c r="B3058" s="28" t="n">
        <x:v>1262.25</x:v>
      </x:c>
      <x:c r="C3058" s="28"/>
      <x:c r="D3058" s="31" t="str">
        <x:f>IF(OR(ISBLANK(B3058),ISBLANK(C3058),B3058=0),"",(C3058-B3058)/B3058)</x:f>
      </x:c>
      <x:c r="E3058" s="22" t="str">
        <x:f>IF(ISBLANK(C3058),"AmountIncludingTax缺失",IF(ABS(B3058-C3058)&lt;0.005,"一致","不一致"))</x:f>
        <x:v>AmountIncludingTax缺失</x:v>
      </x:c>
      <x:c r="F3058" s="19" t="str">
        <x:v>approved</x:v>
      </x:c>
      <x:c r="G3058" s="19" t="str">
        <x:v>Repair in Progress</x:v>
      </x:c>
      <x:c r="H3058" s="19" t="str">
        <x:v>In Field</x:v>
      </x:c>
      <x:c r="I3058" s="37" t="n">
        <x:v>46090</x:v>
      </x:c>
      <x:c r="J3058" s="37" t="n">
        <x:v>46090</x:v>
      </x:c>
      <x:c r="K3058" s="19" t="str">
        <x:v>Dario Caravans -St.Marys</x:v>
      </x:c>
      <x:c r="L3058" s="19" t="str">
        <x:v>Z006</x:v>
      </x:c>
      <x:c r="M3058" s="19" t="str">
        <x:v>In Field Warranty Claims</x:v>
      </x:c>
      <x:c r="N3058" s="37" t="n">
        <x:v>46084</x:v>
      </x:c>
      <x:c r="O3058" s="37"/>
      <x:c r="P3058" s="34" t="n">
        <x:v>0</x:v>
      </x:c>
      <x:c r="Q3058" s="37" t="n">
        <x:v>46089.913831018515</x:v>
      </x:c>
    </x:row>
    <x:row r="3059">
      <x:c r="A3059" s="22" t="n">
        <x:v>31832</x:v>
      </x:c>
      <x:c r="B3059" s="28" t="n">
        <x:v>423</x:v>
      </x:c>
      <x:c r="C3059" s="28"/>
      <x:c r="D3059" s="31" t="str">
        <x:f>IF(OR(ISBLANK(B3059),ISBLANK(C3059),B3059=0),"",(C3059-B3059)/B3059)</x:f>
      </x:c>
      <x:c r="E3059" s="22" t="str">
        <x:f>IF(ISBLANK(C3059),"AmountIncludingTax缺失",IF(ABS(B3059-C3059)&lt;0.005,"一致","不一致"))</x:f>
        <x:v>AmountIncludingTax缺失</x:v>
      </x:c>
      <x:c r="F3059" s="19" t="str">
        <x:v>approved</x:v>
      </x:c>
      <x:c r="G3059" s="19" t="str">
        <x:v>Repairer Invoiced Processed</x:v>
      </x:c>
      <x:c r="H3059" s="19" t="str">
        <x:v>In Field</x:v>
      </x:c>
      <x:c r="I3059" s="37" t="n">
        <x:v>46092</x:v>
      </x:c>
      <x:c r="J3059" s="37" t="n">
        <x:v>46092</x:v>
      </x:c>
      <x:c r="K3059" s="19" t="str">
        <x:v>Not Assigned</x:v>
      </x:c>
      <x:c r="L3059" s="19" t="str">
        <x:v>Z006</x:v>
      </x:c>
      <x:c r="M3059" s="19" t="str">
        <x:v>In Field Warranty Claims</x:v>
      </x:c>
      <x:c r="N3059" s="37" t="n">
        <x:v>46084</x:v>
      </x:c>
      <x:c r="O3059" s="37"/>
      <x:c r="P3059" s="34" t="n">
        <x:v>0</x:v>
      </x:c>
      <x:c r="Q3059" s="37" t="n">
        <x:v>46092.10209490741</x:v>
      </x:c>
    </x:row>
    <x:row r="3060">
      <x:c r="A3060" s="22" t="n">
        <x:v>31825</x:v>
      </x:c>
      <x:c r="B3060" s="28" t="n">
        <x:v>135</x:v>
      </x:c>
      <x:c r="C3060" s="28"/>
      <x:c r="D3060" s="31" t="str">
        <x:f>IF(OR(ISBLANK(B3060),ISBLANK(C3060),B3060=0),"",(C3060-B3060)/B3060)</x:f>
      </x:c>
      <x:c r="E3060" s="22" t="str">
        <x:f>IF(ISBLANK(C3060),"AmountIncludingTax缺失",IF(ABS(B3060-C3060)&lt;0.005,"一致","不一致"))</x:f>
        <x:v>AmountIncludingTax缺失</x:v>
      </x:c>
      <x:c r="F3060" s="19" t="str">
        <x:v>approved</x:v>
      </x:c>
      <x:c r="G3060" s="19" t="str">
        <x:v>Repair in Progress</x:v>
      </x:c>
      <x:c r="H3060" s="19" t="str">
        <x:v>In Field</x:v>
      </x:c>
      <x:c r="I3060" s="37" t="n">
        <x:v>46105</x:v>
      </x:c>
      <x:c r="J3060" s="37" t="n">
        <x:v>46105</x:v>
      </x:c>
      <x:c r="K3060" s="19" t="str">
        <x:v>Not Assigned</x:v>
      </x:c>
      <x:c r="L3060" s="19" t="str">
        <x:v>Z006</x:v>
      </x:c>
      <x:c r="M3060" s="19" t="str">
        <x:v>In Field Warranty Claims</x:v>
      </x:c>
      <x:c r="N3060" s="37" t="n">
        <x:v>46084</x:v>
      </x:c>
      <x:c r="O3060" s="37"/>
      <x:c r="P3060" s="34" t="n">
        <x:v>0</x:v>
      </x:c>
      <x:c r="Q3060" s="37" t="n">
        <x:v>46104.97572916667</x:v>
      </x:c>
    </x:row>
    <x:row r="3061">
      <x:c r="A3061" s="22" t="n">
        <x:v>31823</x:v>
      </x:c>
      <x:c r="B3061" s="28" t="n">
        <x:v>67.5</x:v>
      </x:c>
      <x:c r="C3061" s="28"/>
      <x:c r="D3061" s="31" t="str">
        <x:f>IF(OR(ISBLANK(B3061),ISBLANK(C3061),B3061=0),"",(C3061-B3061)/B3061)</x:f>
      </x:c>
      <x:c r="E3061" s="22" t="str">
        <x:f>IF(ISBLANK(C3061),"AmountIncludingTax缺失",IF(ABS(B3061-C3061)&lt;0.005,"一致","不一致"))</x:f>
        <x:v>AmountIncludingTax缺失</x:v>
      </x:c>
      <x:c r="F3061" s="19" t="str">
        <x:v>approved</x:v>
      </x:c>
      <x:c r="G3061" s="19" t="str">
        <x:v>Repairer Invoiced Processed</x:v>
      </x:c>
      <x:c r="H3061" s="19" t="str">
        <x:v>In Field</x:v>
      </x:c>
      <x:c r="I3061" s="37" t="n">
        <x:v>46093</x:v>
      </x:c>
      <x:c r="J3061" s="37" t="n">
        <x:v>46093</x:v>
      </x:c>
      <x:c r="K3061" s="19" t="str">
        <x:v>Not Assigned</x:v>
      </x:c>
      <x:c r="L3061" s="19" t="str">
        <x:v>Z006</x:v>
      </x:c>
      <x:c r="M3061" s="19" t="str">
        <x:v>In Field Warranty Claims</x:v>
      </x:c>
      <x:c r="N3061" s="37" t="n">
        <x:v>46084</x:v>
      </x:c>
      <x:c r="O3061" s="37"/>
      <x:c r="P3061" s="34" t="n">
        <x:v>0</x:v>
      </x:c>
      <x:c r="Q3061" s="37" t="n">
        <x:v>46092.94328703704</x:v>
      </x:c>
    </x:row>
    <x:row r="3062">
      <x:c r="A3062" s="22" t="n">
        <x:v>31821</x:v>
      </x:c>
      <x:c r="B3062" s="28" t="n">
        <x:v>135</x:v>
      </x:c>
      <x:c r="C3062" s="28"/>
      <x:c r="D3062" s="31" t="str">
        <x:f>IF(OR(ISBLANK(B3062),ISBLANK(C3062),B3062=0),"",(C3062-B3062)/B3062)</x:f>
      </x:c>
      <x:c r="E3062" s="22" t="str">
        <x:f>IF(ISBLANK(C3062),"AmountIncludingTax缺失",IF(ABS(B3062-C3062)&lt;0.005,"一致","不一致"))</x:f>
        <x:v>AmountIncludingTax缺失</x:v>
      </x:c>
      <x:c r="F3062" s="19" t="str">
        <x:v>approved</x:v>
      </x:c>
      <x:c r="G3062" s="19" t="str">
        <x:v>Sales Order Approved</x:v>
      </x:c>
      <x:c r="H3062" s="19" t="str">
        <x:v>In Field</x:v>
      </x:c>
      <x:c r="I3062" s="37" t="n">
        <x:v>46087</x:v>
      </x:c>
      <x:c r="J3062" s="37" t="n">
        <x:v>46087</x:v>
      </x:c>
      <x:c r="K3062" s="19" t="str">
        <x:v>Not Assigned</x:v>
      </x:c>
      <x:c r="L3062" s="19" t="str">
        <x:v>Z006</x:v>
      </x:c>
      <x:c r="M3062" s="19" t="str">
        <x:v>In Field Warranty Claims</x:v>
      </x:c>
      <x:c r="N3062" s="37" t="n">
        <x:v>46084</x:v>
      </x:c>
      <x:c r="O3062" s="37"/>
      <x:c r="P3062" s="34" t="n">
        <x:v>0</x:v>
      </x:c>
      <x:c r="Q3062" s="37" t="n">
        <x:v>46086.94629629629</x:v>
      </x:c>
    </x:row>
    <x:row r="3063">
      <x:c r="A3063" s="22" t="n">
        <x:v>31820</x:v>
      </x:c>
      <x:c r="B3063" s="28" t="n">
        <x:v>1082.5</x:v>
      </x:c>
      <x:c r="C3063" s="28"/>
      <x:c r="D3063" s="31" t="str">
        <x:f>IF(OR(ISBLANK(B3063),ISBLANK(C3063),B3063=0),"",(C3063-B3063)/B3063)</x:f>
      </x:c>
      <x:c r="E3063" s="22" t="str">
        <x:f>IF(ISBLANK(C3063),"AmountIncludingTax缺失",IF(ABS(B3063-C3063)&lt;0.005,"一致","不一致"))</x:f>
        <x:v>AmountIncludingTax缺失</x:v>
      </x:c>
      <x:c r="F3063" s="19" t="str">
        <x:v>approved</x:v>
      </x:c>
      <x:c r="G3063" s="19" t="str">
        <x:v>Repairer Invoiced Processed</x:v>
      </x:c>
      <x:c r="H3063" s="19" t="str">
        <x:v>In Field</x:v>
      </x:c>
      <x:c r="I3063" s="37" t="n">
        <x:v>46093</x:v>
      </x:c>
      <x:c r="J3063" s="37" t="n">
        <x:v>46093</x:v>
      </x:c>
      <x:c r="K3063" s="19" t="str">
        <x:v>Newcastle RV Super Centre - Beresfield</x:v>
      </x:c>
      <x:c r="L3063" s="19" t="str">
        <x:v>Z006</x:v>
      </x:c>
      <x:c r="M3063" s="19" t="str">
        <x:v>In Field Warranty Claims</x:v>
      </x:c>
      <x:c r="N3063" s="37" t="n">
        <x:v>46084</x:v>
      </x:c>
      <x:c r="O3063" s="37"/>
      <x:c r="P3063" s="34" t="n">
        <x:v>0</x:v>
      </x:c>
      <x:c r="Q3063" s="37" t="n">
        <x:v>46093.49518518519</x:v>
      </x:c>
    </x:row>
    <x:row r="3064">
      <x:c r="A3064" s="22" t="n">
        <x:v>31818</x:v>
      </x:c>
      <x:c r="B3064" s="28" t="n">
        <x:v>405</x:v>
      </x:c>
      <x:c r="C3064" s="28"/>
      <x:c r="D3064" s="31" t="str">
        <x:f>IF(OR(ISBLANK(B3064),ISBLANK(C3064),B3064=0),"",(C3064-B3064)/B3064)</x:f>
      </x:c>
      <x:c r="E3064" s="22" t="str">
        <x:f>IF(ISBLANK(C3064),"AmountIncludingTax缺失",IF(ABS(B3064-C3064)&lt;0.005,"一致","不一致"))</x:f>
        <x:v>AmountIncludingTax缺失</x:v>
      </x:c>
      <x:c r="F3064" s="19" t="str">
        <x:v>approved</x:v>
      </x:c>
      <x:c r="G3064" s="19" t="str">
        <x:v>Repair in Progress</x:v>
      </x:c>
      <x:c r="H3064" s="19" t="str">
        <x:v>In Field</x:v>
      </x:c>
      <x:c r="I3064" s="37" t="n">
        <x:v>46099</x:v>
      </x:c>
      <x:c r="J3064" s="37" t="n">
        <x:v>46099</x:v>
      </x:c>
      <x:c r="K3064" s="19" t="str">
        <x:v>Not Assigned</x:v>
      </x:c>
      <x:c r="L3064" s="19" t="str">
        <x:v>Z006</x:v>
      </x:c>
      <x:c r="M3064" s="19" t="str">
        <x:v>In Field Warranty Claims</x:v>
      </x:c>
      <x:c r="N3064" s="37" t="n">
        <x:v>46084</x:v>
      </x:c>
      <x:c r="O3064" s="37"/>
      <x:c r="P3064" s="34" t="n">
        <x:v>0</x:v>
      </x:c>
      <x:c r="Q3064" s="37" t="n">
        <x:v>46099.1740625</x:v>
      </x:c>
    </x:row>
    <x:row r="3065">
      <x:c r="A3065" s="22" t="n">
        <x:v>31817</x:v>
      </x:c>
      <x:c r="B3065" s="28" t="n">
        <x:v>135</x:v>
      </x:c>
      <x:c r="C3065" s="28" t="n">
        <x:v>148.5</x:v>
      </x:c>
      <x:c r="D3065" s="31" t="n">
        <x:f>IF(OR(ISBLANK(B3065),ISBLANK(C3065),B3065=0),"",(C3065-B3065)/B3065)</x:f>
        <x:v>0.1</x:v>
      </x:c>
      <x:c r="E3065" s="22" t="str">
        <x:f>IF(ISBLANK(C3065),"AmountIncludingTax缺失",IF(ABS(B3065-C3065)&lt;0.005,"一致","不一致"))</x:f>
        <x:v>不一致</x:v>
      </x:c>
      <x:c r="F3065" s="19" t="str">
        <x:v>approved</x:v>
      </x:c>
      <x:c r="G3065" s="19" t="str">
        <x:v>Repair in Progress</x:v>
      </x:c>
      <x:c r="H3065" s="19" t="str">
        <x:v>In Field</x:v>
      </x:c>
      <x:c r="I3065" s="37" t="n">
        <x:v>46097</x:v>
      </x:c>
      <x:c r="J3065" s="37" t="n">
        <x:v>46097</x:v>
      </x:c>
      <x:c r="K3065" s="19" t="str">
        <x:v>Leisure Lion Pty Ltd - Toowoomba</x:v>
      </x:c>
      <x:c r="L3065" s="19" t="str">
        <x:v>Z006</x:v>
      </x:c>
      <x:c r="M3065" s="19" t="str">
        <x:v>In Field Warranty Claims</x:v>
      </x:c>
      <x:c r="N3065" s="37" t="n">
        <x:v>46084</x:v>
      </x:c>
      <x:c r="O3065" s="37"/>
      <x:c r="P3065" s="34" t="n">
        <x:v>148.5</x:v>
      </x:c>
      <x:c r="Q3065" s="37" t="n">
        <x:v>46097.257002314815</x:v>
      </x:c>
    </x:row>
    <x:row r="3066">
      <x:c r="A3066" s="22" t="n">
        <x:v>31813</x:v>
      </x:c>
      <x:c r="B3066" s="28" t="n">
        <x:v>238.46</x:v>
      </x:c>
      <x:c r="C3066" s="28" t="n">
        <x:v>262.31</x:v>
      </x:c>
      <x:c r="D3066" s="31" t="n">
        <x:f>IF(OR(ISBLANK(B3066),ISBLANK(C3066),B3066=0),"",(C3066-B3066)/B3066)</x:f>
        <x:v>0.10001677430176967</x:v>
      </x:c>
      <x:c r="E3066" s="22" t="str">
        <x:f>IF(ISBLANK(C3066),"AmountIncludingTax缺失",IF(ABS(B3066-C3066)&lt;0.005,"一致","不一致"))</x:f>
        <x:v>不一致</x:v>
      </x:c>
      <x:c r="F3066" s="19" t="str">
        <x:v>approved</x:v>
      </x:c>
      <x:c r="G3066" s="19" t="str">
        <x:v>Repairer Invoiced Processed</x:v>
      </x:c>
      <x:c r="H3066" s="19" t="str">
        <x:v>In Field</x:v>
      </x:c>
      <x:c r="I3066" s="37" t="n">
        <x:v>46136</x:v>
      </x:c>
      <x:c r="J3066" s="37" t="n">
        <x:v>46136</x:v>
      </x:c>
      <x:c r="K3066" s="19" t="str">
        <x:v>Green RV - Slacks Creek</x:v>
      </x:c>
      <x:c r="L3066" s="19" t="str">
        <x:v>Z006</x:v>
      </x:c>
      <x:c r="M3066" s="19" t="str">
        <x:v>In Field Warranty Claims</x:v>
      </x:c>
      <x:c r="N3066" s="37" t="n">
        <x:v>46084</x:v>
      </x:c>
      <x:c r="O3066" s="37"/>
      <x:c r="P3066" s="34" t="n">
        <x:v>262.31</x:v>
      </x:c>
      <x:c r="Q3066" s="37" t="n">
        <x:v>46136.20431712963</x:v>
      </x:c>
    </x:row>
    <x:row r="3067">
      <x:c r="A3067" s="22" t="n">
        <x:v>31812</x:v>
      </x:c>
      <x:c r="B3067" s="28" t="n">
        <x:v>90.45</x:v>
      </x:c>
      <x:c r="C3067" s="28"/>
      <x:c r="D3067" s="31" t="str">
        <x:f>IF(OR(ISBLANK(B3067),ISBLANK(C3067),B3067=0),"",(C3067-B3067)/B3067)</x:f>
      </x:c>
      <x:c r="E3067" s="22" t="str">
        <x:f>IF(ISBLANK(C3067),"AmountIncludingTax缺失",IF(ABS(B3067-C3067)&lt;0.005,"一致","不一致"))</x:f>
        <x:v>AmountIncludingTax缺失</x:v>
      </x:c>
      <x:c r="F3067" s="19" t="str">
        <x:v>approved</x:v>
      </x:c>
      <x:c r="G3067" s="19" t="str">
        <x:v>Repairer Invoiced Processed</x:v>
      </x:c>
      <x:c r="H3067" s="19" t="str">
        <x:v>In Field</x:v>
      </x:c>
      <x:c r="I3067" s="37" t="n">
        <x:v>46094</x:v>
      </x:c>
      <x:c r="J3067" s="37" t="n">
        <x:v>46094</x:v>
      </x:c>
      <x:c r="K3067" s="19" t="str">
        <x:v>Regent RV - Toowoomba</x:v>
      </x:c>
      <x:c r="L3067" s="19" t="str">
        <x:v>Z006</x:v>
      </x:c>
      <x:c r="M3067" s="19" t="str">
        <x:v>In Field Warranty Claims</x:v>
      </x:c>
      <x:c r="N3067" s="37" t="n">
        <x:v>46084</x:v>
      </x:c>
      <x:c r="O3067" s="37"/>
      <x:c r="P3067" s="34" t="n">
        <x:v>0</x:v>
      </x:c>
      <x:c r="Q3067" s="37" t="n">
        <x:v>46093.91056712963</x:v>
      </x:c>
    </x:row>
    <x:row r="3068">
      <x:c r="A3068" s="22" t="n">
        <x:v>31810</x:v>
      </x:c>
      <x:c r="B3068" s="28" t="n">
        <x:v>145</x:v>
      </x:c>
      <x:c r="C3068" s="28"/>
      <x:c r="D3068" s="31" t="str">
        <x:f>IF(OR(ISBLANK(B3068),ISBLANK(C3068),B3068=0),"",(C3068-B3068)/B3068)</x:f>
      </x:c>
      <x:c r="E3068" s="22" t="str">
        <x:f>IF(ISBLANK(C3068),"AmountIncludingTax缺失",IF(ABS(B3068-C3068)&lt;0.005,"一致","不一致"))</x:f>
        <x:v>AmountIncludingTax缺失</x:v>
      </x:c>
      <x:c r="F3068" s="19" t="str">
        <x:v>approved</x:v>
      </x:c>
      <x:c r="G3068" s="19" t="str">
        <x:v>Sales Order Approved</x:v>
      </x:c>
      <x:c r="H3068" s="19" t="str">
        <x:v>Pre Delivery</x:v>
      </x:c>
      <x:c r="I3068" s="37" t="n">
        <x:v>46177</x:v>
      </x:c>
      <x:c r="J3068" s="37" t="n">
        <x:v>46177</x:v>
      </x:c>
      <x:c r="K3068" s="19" t="str">
        <x:v>The Caravan Hub - Townsville</x:v>
      </x:c>
      <x:c r="L3068" s="19" t="str">
        <x:v>Z005</x:v>
      </x:c>
      <x:c r="M3068" s="19" t="str">
        <x:v>Pre Delivery Warranty Claims</x:v>
      </x:c>
      <x:c r="N3068" s="37" t="n">
        <x:v>46084</x:v>
      </x:c>
      <x:c r="O3068" s="37"/>
      <x:c r="P3068" s="34" t="n">
        <x:v>0</x:v>
      </x:c>
      <x:c r="Q3068" s="37" t="n">
        <x:v>46177.234293981484</x:v>
      </x:c>
    </x:row>
    <x:row r="3069">
      <x:c r="A3069" s="22" t="n">
        <x:v>31809</x:v>
      </x:c>
      <x:c r="B3069" s="28" t="n">
        <x:v>937.5</x:v>
      </x:c>
      <x:c r="C3069" s="28"/>
      <x:c r="D3069" s="31" t="str">
        <x:f>IF(OR(ISBLANK(B3069),ISBLANK(C3069),B3069=0),"",(C3069-B3069)/B3069)</x:f>
      </x:c>
      <x:c r="E3069" s="22" t="str">
        <x:f>IF(ISBLANK(C3069),"AmountIncludingTax缺失",IF(ABS(B3069-C3069)&lt;0.005,"一致","不一致"))</x:f>
        <x:v>AmountIncludingTax缺失</x:v>
      </x:c>
      <x:c r="F3069" s="19" t="str">
        <x:v>approved</x:v>
      </x:c>
      <x:c r="G3069" s="19" t="str">
        <x:v>Repairer Invoiced Processed</x:v>
      </x:c>
      <x:c r="H3069" s="19" t="str">
        <x:v>In Field</x:v>
      </x:c>
      <x:c r="I3069" s="37" t="n">
        <x:v>46086</x:v>
      </x:c>
      <x:c r="J3069" s="37" t="n">
        <x:v>46086</x:v>
      </x:c>
      <x:c r="K3069" s="19" t="str">
        <x:v>Regent RV - Toowoomba</x:v>
      </x:c>
      <x:c r="L3069" s="19" t="str">
        <x:v>Z006</x:v>
      </x:c>
      <x:c r="M3069" s="19" t="str">
        <x:v>In Field Warranty Claims</x:v>
      </x:c>
      <x:c r="N3069" s="37" t="n">
        <x:v>46084</x:v>
      </x:c>
      <x:c r="O3069" s="37"/>
      <x:c r="P3069" s="34" t="n">
        <x:v>0</x:v>
      </x:c>
      <x:c r="Q3069" s="37" t="n">
        <x:v>46085.88309027778</x:v>
      </x:c>
    </x:row>
    <x:row r="3070">
      <x:c r="A3070" s="22" t="n">
        <x:v>31808</x:v>
      </x:c>
      <x:c r="B3070" s="28" t="n">
        <x:v>251.25</x:v>
      </x:c>
      <x:c r="C3070" s="28"/>
      <x:c r="D3070" s="31" t="str">
        <x:f>IF(OR(ISBLANK(B3070),ISBLANK(C3070),B3070=0),"",(C3070-B3070)/B3070)</x:f>
      </x:c>
      <x:c r="E3070" s="22" t="str">
        <x:f>IF(ISBLANK(C3070),"AmountIncludingTax缺失",IF(ABS(B3070-C3070)&lt;0.005,"一致","不一致"))</x:f>
        <x:v>AmountIncludingTax缺失</x:v>
      </x:c>
      <x:c r="F3070" s="19" t="str">
        <x:v>approved</x:v>
      </x:c>
      <x:c r="G3070" s="19" t="str">
        <x:v>Repair in Progress</x:v>
      </x:c>
      <x:c r="H3070" s="19" t="str">
        <x:v>In Field</x:v>
      </x:c>
      <x:c r="I3070" s="37" t="n">
        <x:v>46102</x:v>
      </x:c>
      <x:c r="J3070" s="37" t="n">
        <x:v>46102</x:v>
      </x:c>
      <x:c r="K3070" s="19" t="str">
        <x:v>Green RV - Forest Glen</x:v>
      </x:c>
      <x:c r="L3070" s="19" t="str">
        <x:v>Z006</x:v>
      </x:c>
      <x:c r="M3070" s="19" t="str">
        <x:v>In Field Warranty Claims</x:v>
      </x:c>
      <x:c r="N3070" s="37" t="n">
        <x:v>46084</x:v>
      </x:c>
      <x:c r="O3070" s="37"/>
      <x:c r="P3070" s="34" t="n">
        <x:v>0</x:v>
      </x:c>
      <x:c r="Q3070" s="37" t="n">
        <x:v>46101.952627314815</x:v>
      </x:c>
    </x:row>
    <x:row r="3071">
      <x:c r="A3071" s="22" t="n">
        <x:v>31806</x:v>
      </x:c>
      <x:c r="B3071" s="28" t="n">
        <x:v>135</x:v>
      </x:c>
      <x:c r="C3071" s="28"/>
      <x:c r="D3071" s="31" t="str">
        <x:f>IF(OR(ISBLANK(B3071),ISBLANK(C3071),B3071=0),"",(C3071-B3071)/B3071)</x:f>
      </x:c>
      <x:c r="E3071" s="22" t="str">
        <x:f>IF(ISBLANK(C3071),"AmountIncludingTax缺失",IF(ABS(B3071-C3071)&lt;0.005,"一致","不一致"))</x:f>
        <x:v>AmountIncludingTax缺失</x:v>
      </x:c>
      <x:c r="F3071" s="19" t="str">
        <x:v>approved</x:v>
      </x:c>
      <x:c r="G3071" s="19" t="str">
        <x:v>Repair in Progress</x:v>
      </x:c>
      <x:c r="H3071" s="19" t="str">
        <x:v>In Field</x:v>
      </x:c>
      <x:c r="I3071" s="37" t="n">
        <x:v>46105</x:v>
      </x:c>
      <x:c r="J3071" s="37" t="n">
        <x:v>46105</x:v>
      </x:c>
      <x:c r="K3071" s="19" t="str">
        <x:v>Regent RV Pty Ltd</x:v>
      </x:c>
      <x:c r="L3071" s="19" t="str">
        <x:v>Z006</x:v>
      </x:c>
      <x:c r="M3071" s="19" t="str">
        <x:v>In Field Warranty Claims</x:v>
      </x:c>
      <x:c r="N3071" s="37" t="n">
        <x:v>46084</x:v>
      </x:c>
      <x:c r="O3071" s="37"/>
      <x:c r="P3071" s="34" t="n">
        <x:v>0</x:v>
      </x:c>
      <x:c r="Q3071" s="37" t="n">
        <x:v>46104.980266203704</x:v>
      </x:c>
    </x:row>
    <x:row r="3072">
      <x:c r="A3072" s="22" t="n">
        <x:v>31804</x:v>
      </x:c>
      <x:c r="B3072" s="28" t="n">
        <x:v>155</x:v>
      </x:c>
      <x:c r="C3072" s="28"/>
      <x:c r="D3072" s="31" t="str">
        <x:f>IF(OR(ISBLANK(B3072),ISBLANK(C3072),B3072=0),"",(C3072-B3072)/B3072)</x:f>
      </x:c>
      <x:c r="E3072" s="22" t="str">
        <x:f>IF(ISBLANK(C3072),"AmountIncludingTax缺失",IF(ABS(B3072-C3072)&lt;0.005,"一致","不一致"))</x:f>
        <x:v>AmountIncludingTax缺失</x:v>
      </x:c>
      <x:c r="F3072" s="19" t="str">
        <x:v>approved</x:v>
      </x:c>
      <x:c r="G3072" s="19" t="str">
        <x:v>Repairer Invoiced Processed</x:v>
      </x:c>
      <x:c r="H3072" s="19" t="str">
        <x:v>In Field</x:v>
      </x:c>
      <x:c r="I3072" s="37" t="n">
        <x:v>46084</x:v>
      </x:c>
      <x:c r="J3072" s="37" t="n">
        <x:v>46084</x:v>
      </x:c>
      <x:c r="K3072" s="19" t="str">
        <x:v>Green RV - Forest Glen</x:v>
      </x:c>
      <x:c r="L3072" s="19" t="str">
        <x:v>Z006</x:v>
      </x:c>
      <x:c r="M3072" s="19" t="str">
        <x:v>In Field Warranty Claims</x:v>
      </x:c>
      <x:c r="N3072" s="37" t="n">
        <x:v>46084</x:v>
      </x:c>
      <x:c r="O3072" s="37"/>
      <x:c r="P3072" s="34" t="n">
        <x:v>0</x:v>
      </x:c>
      <x:c r="Q3072" s="37" t="n">
        <x:v>46084.11371527778</x:v>
      </x:c>
    </x:row>
    <x:row r="3073">
      <x:c r="A3073" s="22" t="n">
        <x:v>31803</x:v>
      </x:c>
      <x:c r="B3073" s="28" t="n">
        <x:v>67.5</x:v>
      </x:c>
      <x:c r="C3073" s="28"/>
      <x:c r="D3073" s="31" t="str">
        <x:f>IF(OR(ISBLANK(B3073),ISBLANK(C3073),B3073=0),"",(C3073-B3073)/B3073)</x:f>
      </x:c>
      <x:c r="E3073" s="22" t="str">
        <x:f>IF(ISBLANK(C3073),"AmountIncludingTax缺失",IF(ABS(B3073-C3073)&lt;0.005,"一致","不一致"))</x:f>
        <x:v>AmountIncludingTax缺失</x:v>
      </x:c>
      <x:c r="F3073" s="19" t="str">
        <x:v>approved</x:v>
      </x:c>
      <x:c r="G3073" s="19" t="str">
        <x:v>Repair in Progress</x:v>
      </x:c>
      <x:c r="H3073" s="19" t="str">
        <x:v>In Field</x:v>
      </x:c>
      <x:c r="I3073" s="37" t="n">
        <x:v>46087</x:v>
      </x:c>
      <x:c r="J3073" s="37" t="n">
        <x:v>46087</x:v>
      </x:c>
      <x:c r="K3073" s="19" t="str">
        <x:v>Not Assigned</x:v>
      </x:c>
      <x:c r="L3073" s="19" t="str">
        <x:v>Z006</x:v>
      </x:c>
      <x:c r="M3073" s="19" t="str">
        <x:v>In Field Warranty Claims</x:v>
      </x:c>
      <x:c r="N3073" s="37" t="n">
        <x:v>46084</x:v>
      </x:c>
      <x:c r="O3073" s="37"/>
      <x:c r="P3073" s="34" t="n">
        <x:v>0</x:v>
      </x:c>
      <x:c r="Q3073" s="37" t="n">
        <x:v>46086.94604166667</x:v>
      </x:c>
    </x:row>
    <x:row r="3074">
      <x:c r="A3074" s="22" t="n">
        <x:v>31802</x:v>
      </x:c>
      <x:c r="B3074" s="28" t="n">
        <x:v>607.5</x:v>
      </x:c>
      <x:c r="C3074" s="28"/>
      <x:c r="D3074" s="31" t="str">
        <x:f>IF(OR(ISBLANK(B3074),ISBLANK(C3074),B3074=0),"",(C3074-B3074)/B3074)</x:f>
      </x:c>
      <x:c r="E3074" s="22" t="str">
        <x:f>IF(ISBLANK(C3074),"AmountIncludingTax缺失",IF(ABS(B3074-C3074)&lt;0.005,"一致","不一致"))</x:f>
        <x:v>AmountIncludingTax缺失</x:v>
      </x:c>
      <x:c r="F3074" s="19" t="str">
        <x:v>approved</x:v>
      </x:c>
      <x:c r="G3074" s="19" t="str">
        <x:v>Repairer Invoiced Processed</x:v>
      </x:c>
      <x:c r="H3074" s="19" t="str">
        <x:v>In Field</x:v>
      </x:c>
      <x:c r="I3074" s="37" t="n">
        <x:v>46105</x:v>
      </x:c>
      <x:c r="J3074" s="37" t="n">
        <x:v>46105</x:v>
      </x:c>
      <x:c r="K3074" s="19" t="str">
        <x:v>Green RV - Forest Glen</x:v>
      </x:c>
      <x:c r="L3074" s="19" t="str">
        <x:v>Z006</x:v>
      </x:c>
      <x:c r="M3074" s="19" t="str">
        <x:v>In Field Warranty Claims</x:v>
      </x:c>
      <x:c r="N3074" s="37" t="n">
        <x:v>46084</x:v>
      </x:c>
      <x:c r="O3074" s="37"/>
      <x:c r="P3074" s="34" t="n">
        <x:v>0</x:v>
      </x:c>
      <x:c r="Q3074" s="37" t="n">
        <x:v>46104.980150462965</x:v>
      </x:c>
    </x:row>
    <x:row r="3075">
      <x:c r="A3075" s="22" t="n">
        <x:v>31801</x:v>
      </x:c>
      <x:c r="B3075" s="28" t="n">
        <x:v>72.5</x:v>
      </x:c>
      <x:c r="C3075" s="28"/>
      <x:c r="D3075" s="31" t="str">
        <x:f>IF(OR(ISBLANK(B3075),ISBLANK(C3075),B3075=0),"",(C3075-B3075)/B3075)</x:f>
      </x:c>
      <x:c r="E3075" s="22" t="str">
        <x:f>IF(ISBLANK(C3075),"AmountIncludingTax缺失",IF(ABS(B3075-C3075)&lt;0.005,"一致","不一致"))</x:f>
        <x:v>AmountIncludingTax缺失</x:v>
      </x:c>
      <x:c r="F3075" s="19" t="str">
        <x:v>approved</x:v>
      </x:c>
      <x:c r="G3075" s="19" t="str">
        <x:v>Repairer Invoiced Processed</x:v>
      </x:c>
      <x:c r="H3075" s="19" t="str">
        <x:v>Pre Delivery</x:v>
      </x:c>
      <x:c r="I3075" s="37" t="n">
        <x:v>46134</x:v>
      </x:c>
      <x:c r="J3075" s="37" t="n">
        <x:v>46134</x:v>
      </x:c>
      <x:c r="K3075" s="19" t="str">
        <x:v>Snowy River Launceston</x:v>
      </x:c>
      <x:c r="L3075" s="19" t="str">
        <x:v>Z005</x:v>
      </x:c>
      <x:c r="M3075" s="19" t="str">
        <x:v>Pre Delivery Warranty Claims</x:v>
      </x:c>
      <x:c r="N3075" s="37" t="n">
        <x:v>46084</x:v>
      </x:c>
      <x:c r="O3075" s="37"/>
      <x:c r="P3075" s="34" t="n">
        <x:v>0</x:v>
      </x:c>
      <x:c r="Q3075" s="37" t="n">
        <x:v>46134.13792824074</x:v>
      </x:c>
    </x:row>
    <x:row r="3076">
      <x:c r="A3076" s="22" t="n">
        <x:v>31800</x:v>
      </x:c>
      <x:c r="B3076" s="28" t="n">
        <x:v>72.5</x:v>
      </x:c>
      <x:c r="C3076" s="28"/>
      <x:c r="D3076" s="31" t="str">
        <x:f>IF(OR(ISBLANK(B3076),ISBLANK(C3076),B3076=0),"",(C3076-B3076)/B3076)</x:f>
      </x:c>
      <x:c r="E3076" s="22" t="str">
        <x:f>IF(ISBLANK(C3076),"AmountIncludingTax缺失",IF(ABS(B3076-C3076)&lt;0.005,"一致","不一致"))</x:f>
        <x:v>AmountIncludingTax缺失</x:v>
      </x:c>
      <x:c r="F3076" s="19" t="str">
        <x:v>approved</x:v>
      </x:c>
      <x:c r="G3076" s="19" t="str">
        <x:v>Repairer Invoiced Processed</x:v>
      </x:c>
      <x:c r="H3076" s="19" t="str">
        <x:v>In Field</x:v>
      </x:c>
      <x:c r="I3076" s="37" t="n">
        <x:v>46091</x:v>
      </x:c>
      <x:c r="J3076" s="37" t="n">
        <x:v>46091</x:v>
      </x:c>
      <x:c r="K3076" s="19" t="str">
        <x:v>Green RV - Forest Glen</x:v>
      </x:c>
      <x:c r="L3076" s="19" t="str">
        <x:v>Z006</x:v>
      </x:c>
      <x:c r="M3076" s="19" t="str">
        <x:v>In Field Warranty Claims</x:v>
      </x:c>
      <x:c r="N3076" s="37" t="n">
        <x:v>46084</x:v>
      </x:c>
      <x:c r="O3076" s="37"/>
      <x:c r="P3076" s="34" t="n">
        <x:v>0</x:v>
      </x:c>
      <x:c r="Q3076" s="37" t="n">
        <x:v>46091.06402777778</x:v>
      </x:c>
    </x:row>
    <x:row r="3077">
      <x:c r="A3077" s="22" t="n">
        <x:v>31799</x:v>
      </x:c>
      <x:c r="B3077" s="28" t="n">
        <x:v>67.5</x:v>
      </x:c>
      <x:c r="C3077" s="28"/>
      <x:c r="D3077" s="31" t="str">
        <x:f>IF(OR(ISBLANK(B3077),ISBLANK(C3077),B3077=0),"",(C3077-B3077)/B3077)</x:f>
      </x:c>
      <x:c r="E3077" s="22" t="str">
        <x:f>IF(ISBLANK(C3077),"AmountIncludingTax缺失",IF(ABS(B3077-C3077)&lt;0.005,"一致","不一致"))</x:f>
        <x:v>AmountIncludingTax缺失</x:v>
      </x:c>
      <x:c r="F3077" s="19" t="str">
        <x:v>approved</x:v>
      </x:c>
      <x:c r="G3077" s="19" t="str">
        <x:v>Repair in Progress</x:v>
      </x:c>
      <x:c r="H3077" s="19" t="str">
        <x:v>In Field</x:v>
      </x:c>
      <x:c r="I3077" s="37" t="n">
        <x:v>46086</x:v>
      </x:c>
      <x:c r="J3077" s="37" t="n">
        <x:v>46086</x:v>
      </x:c>
      <x:c r="K3077" s="19" t="str">
        <x:v>Not Assigned</x:v>
      </x:c>
      <x:c r="L3077" s="19" t="str">
        <x:v>Z006</x:v>
      </x:c>
      <x:c r="M3077" s="19" t="str">
        <x:v>In Field Warranty Claims</x:v>
      </x:c>
      <x:c r="N3077" s="37" t="n">
        <x:v>46084</x:v>
      </x:c>
      <x:c r="O3077" s="37"/>
      <x:c r="P3077" s="34" t="n">
        <x:v>0</x:v>
      </x:c>
      <x:c r="Q3077" s="37" t="n">
        <x:v>46085.854537037034</x:v>
      </x:c>
    </x:row>
    <x:row r="3078">
      <x:c r="A3078" s="22" t="n">
        <x:v>31798</x:v>
      </x:c>
      <x:c r="B3078" s="28" t="n">
        <x:v>1275</x:v>
      </x:c>
      <x:c r="C3078" s="28"/>
      <x:c r="D3078" s="31" t="str">
        <x:f>IF(OR(ISBLANK(B3078),ISBLANK(C3078),B3078=0),"",(C3078-B3078)/B3078)</x:f>
      </x:c>
      <x:c r="E3078" s="22" t="str">
        <x:f>IF(ISBLANK(C3078),"AmountIncludingTax缺失",IF(ABS(B3078-C3078)&lt;0.005,"一致","不一致"))</x:f>
        <x:v>AmountIncludingTax缺失</x:v>
      </x:c>
      <x:c r="F3078" s="19" t="str">
        <x:v>approved</x:v>
      </x:c>
      <x:c r="G3078" s="19" t="str">
        <x:v>Repair in Progress</x:v>
      </x:c>
      <x:c r="H3078" s="19" t="str">
        <x:v>In Field</x:v>
      </x:c>
      <x:c r="I3078" s="37" t="n">
        <x:v>46142</x:v>
      </x:c>
      <x:c r="J3078" s="37" t="n">
        <x:v>46142</x:v>
      </x:c>
      <x:c r="K3078" s="19" t="str">
        <x:v>Not Assigned</x:v>
      </x:c>
      <x:c r="L3078" s="19" t="str">
        <x:v>Z006</x:v>
      </x:c>
      <x:c r="M3078" s="19" t="str">
        <x:v>In Field Warranty Claims</x:v>
      </x:c>
      <x:c r="N3078" s="37" t="n">
        <x:v>46084</x:v>
      </x:c>
      <x:c r="O3078" s="37"/>
      <x:c r="P3078" s="34" t="n">
        <x:v>0</x:v>
      </x:c>
      <x:c r="Q3078" s="37" t="n">
        <x:v>46142.11309027778</x:v>
      </x:c>
    </x:row>
    <x:row r="3079">
      <x:c r="A3079" s="22" t="n">
        <x:v>31797</x:v>
      </x:c>
      <x:c r="B3079" s="28" t="n">
        <x:v>521.25</x:v>
      </x:c>
      <x:c r="C3079" s="28"/>
      <x:c r="D3079" s="31" t="str">
        <x:f>IF(OR(ISBLANK(B3079),ISBLANK(C3079),B3079=0),"",(C3079-B3079)/B3079)</x:f>
      </x:c>
      <x:c r="E3079" s="22" t="str">
        <x:f>IF(ISBLANK(C3079),"AmountIncludingTax缺失",IF(ABS(B3079-C3079)&lt;0.005,"一致","不一致"))</x:f>
        <x:v>AmountIncludingTax缺失</x:v>
      </x:c>
      <x:c r="F3079" s="19" t="str">
        <x:v>approved</x:v>
      </x:c>
      <x:c r="G3079" s="19" t="str">
        <x:v>Repairer Invoiced Processed</x:v>
      </x:c>
      <x:c r="H3079" s="19" t="str">
        <x:v>Pre Delivery</x:v>
      </x:c>
      <x:c r="I3079" s="37" t="n">
        <x:v>46127</x:v>
      </x:c>
      <x:c r="J3079" s="37" t="n">
        <x:v>46127</x:v>
      </x:c>
      <x:c r="K3079" s="19" t="str">
        <x:v>Green RV - Slacks Creek</x:v>
      </x:c>
      <x:c r="L3079" s="19" t="str">
        <x:v>Z005</x:v>
      </x:c>
      <x:c r="M3079" s="19" t="str">
        <x:v>Pre Delivery Warranty Claims</x:v>
      </x:c>
      <x:c r="N3079" s="37" t="n">
        <x:v>46084</x:v>
      </x:c>
      <x:c r="O3079" s="37"/>
      <x:c r="P3079" s="34" t="n">
        <x:v>0</x:v>
      </x:c>
      <x:c r="Q3079" s="37" t="n">
        <x:v>46127.192557870374</x:v>
      </x:c>
    </x:row>
    <x:row r="3080">
      <x:c r="A3080" s="22" t="n">
        <x:v>31796</x:v>
      </x:c>
      <x:c r="B3080" s="28" t="n">
        <x:v>355.5</x:v>
      </x:c>
      <x:c r="C3080" s="28"/>
      <x:c r="D3080" s="31" t="str">
        <x:f>IF(OR(ISBLANK(B3080),ISBLANK(C3080),B3080=0),"",(C3080-B3080)/B3080)</x:f>
      </x:c>
      <x:c r="E3080" s="22" t="str">
        <x:f>IF(ISBLANK(C3080),"AmountIncludingTax缺失",IF(ABS(B3080-C3080)&lt;0.005,"一致","不一致"))</x:f>
        <x:v>AmountIncludingTax缺失</x:v>
      </x:c>
      <x:c r="F3080" s="19" t="str">
        <x:v>approved</x:v>
      </x:c>
      <x:c r="G3080" s="19" t="str">
        <x:v>Repairer Invoiced Received</x:v>
      </x:c>
      <x:c r="H3080" s="19" t="str">
        <x:v>In Field</x:v>
      </x:c>
      <x:c r="I3080" s="37" t="n">
        <x:v>46086</x:v>
      </x:c>
      <x:c r="J3080" s="37" t="n">
        <x:v>46086</x:v>
      </x:c>
      <x:c r="K3080" s="19" t="str">
        <x:v>Green RV - Slacks Creek</x:v>
      </x:c>
      <x:c r="L3080" s="19" t="str">
        <x:v>Z006</x:v>
      </x:c>
      <x:c r="M3080" s="19" t="str">
        <x:v>In Field Warranty Claims</x:v>
      </x:c>
      <x:c r="N3080" s="37" t="n">
        <x:v>46084</x:v>
      </x:c>
      <x:c r="O3080" s="37"/>
      <x:c r="P3080" s="34" t="n">
        <x:v>0</x:v>
      </x:c>
      <x:c r="Q3080" s="37" t="n">
        <x:v>46085.98715277778</x:v>
      </x:c>
    </x:row>
    <x:row r="3081">
      <x:c r="A3081" s="22" t="n">
        <x:v>31795</x:v>
      </x:c>
      <x:c r="B3081" s="28" t="n">
        <x:v>1668.75</x:v>
      </x:c>
      <x:c r="C3081" s="28"/>
      <x:c r="D3081" s="31" t="str">
        <x:f>IF(OR(ISBLANK(B3081),ISBLANK(C3081),B3081=0),"",(C3081-B3081)/B3081)</x:f>
      </x:c>
      <x:c r="E3081" s="22" t="str">
        <x:f>IF(ISBLANK(C3081),"AmountIncludingTax缺失",IF(ABS(B3081-C3081)&lt;0.005,"一致","不一致"))</x:f>
        <x:v>AmountIncludingTax缺失</x:v>
      </x:c>
      <x:c r="F3081" s="19" t="str">
        <x:v>approved</x:v>
      </x:c>
      <x:c r="G3081" s="19" t="str">
        <x:v>Repairer Invoiced Processed</x:v>
      </x:c>
      <x:c r="H3081" s="19" t="str">
        <x:v>Pre Delivery</x:v>
      </x:c>
      <x:c r="I3081" s="37" t="n">
        <x:v>46206</x:v>
      </x:c>
      <x:c r="J3081" s="37" t="n">
        <x:v>46136</x:v>
      </x:c>
      <x:c r="K3081" s="19" t="str">
        <x:v>Lesiure Lion-New Castle</x:v>
      </x:c>
      <x:c r="L3081" s="19" t="str">
        <x:v>Z005</x:v>
      </x:c>
      <x:c r="M3081" s="19" t="str">
        <x:v>Pre Delivery Warranty Claims</x:v>
      </x:c>
      <x:c r="N3081" s="37" t="n">
        <x:v>46084</x:v>
      </x:c>
      <x:c r="O3081" s="37"/>
      <x:c r="P3081" s="34" t="n">
        <x:v>0</x:v>
      </x:c>
      <x:c r="Q3081" s="37" t="n">
        <x:v>46206.179293981484</x:v>
      </x:c>
    </x:row>
    <x:row r="3082">
      <x:c r="A3082" s="22" t="n">
        <x:v>31794</x:v>
      </x:c>
      <x:c r="B3082" s="28" t="n">
        <x:v>776.25</x:v>
      </x:c>
      <x:c r="C3082" s="28"/>
      <x:c r="D3082" s="31" t="str">
        <x:f>IF(OR(ISBLANK(B3082),ISBLANK(C3082),B3082=0),"",(C3082-B3082)/B3082)</x:f>
      </x:c>
      <x:c r="E3082" s="22" t="str">
        <x:f>IF(ISBLANK(C3082),"AmountIncludingTax缺失",IF(ABS(B3082-C3082)&lt;0.005,"一致","不一致"))</x:f>
        <x:v>AmountIncludingTax缺失</x:v>
      </x:c>
      <x:c r="F3082" s="19" t="str">
        <x:v>approved</x:v>
      </x:c>
      <x:c r="G3082" s="19" t="str">
        <x:v>Partially Picked</x:v>
      </x:c>
      <x:c r="H3082" s="19" t="str">
        <x:v>Pre Delivery</x:v>
      </x:c>
      <x:c r="I3082" s="37" t="n">
        <x:v>46146</x:v>
      </x:c>
      <x:c r="J3082" s="37" t="n">
        <x:v>46146</x:v>
      </x:c>
      <x:c r="K3082" s="19" t="str">
        <x:v>Snowy River Launceston</x:v>
      </x:c>
      <x:c r="L3082" s="19" t="str">
        <x:v>Z005</x:v>
      </x:c>
      <x:c r="M3082" s="19" t="str">
        <x:v>Pre Delivery Warranty Claims</x:v>
      </x:c>
      <x:c r="N3082" s="37" t="n">
        <x:v>46084</x:v>
      </x:c>
      <x:c r="O3082" s="37"/>
      <x:c r="P3082" s="34" t="n">
        <x:v>0</x:v>
      </x:c>
      <x:c r="Q3082" s="37" t="n">
        <x:v>46145.983935185184</x:v>
      </x:c>
    </x:row>
    <x:row r="3083">
      <x:c r="A3083" s="22" t="n">
        <x:v>31793</x:v>
      </x:c>
      <x:c r="B3083" s="28" t="n">
        <x:v>101.25</x:v>
      </x:c>
      <x:c r="C3083" s="28"/>
      <x:c r="D3083" s="31" t="str">
        <x:f>IF(OR(ISBLANK(B3083),ISBLANK(C3083),B3083=0),"",(C3083-B3083)/B3083)</x:f>
      </x:c>
      <x:c r="E3083" s="22" t="str">
        <x:f>IF(ISBLANK(C3083),"AmountIncludingTax缺失",IF(ABS(B3083-C3083)&lt;0.005,"一致","不一致"))</x:f>
        <x:v>AmountIncludingTax缺失</x:v>
      </x:c>
      <x:c r="F3083" s="19" t="str">
        <x:v>approved</x:v>
      </x:c>
      <x:c r="G3083" s="19" t="str">
        <x:v>Repairer Invoiced Processed</x:v>
      </x:c>
      <x:c r="H3083" s="19" t="str">
        <x:v>In Field</x:v>
      </x:c>
      <x:c r="I3083" s="37" t="n">
        <x:v>46102</x:v>
      </x:c>
      <x:c r="J3083" s="37" t="n">
        <x:v>46102</x:v>
      </x:c>
      <x:c r="K3083" s="19" t="str">
        <x:v>Bendigo Caravan Group - Bendigo</x:v>
      </x:c>
      <x:c r="L3083" s="19" t="str">
        <x:v>Z006</x:v>
      </x:c>
      <x:c r="M3083" s="19" t="str">
        <x:v>In Field Warranty Claims</x:v>
      </x:c>
      <x:c r="N3083" s="37" t="n">
        <x:v>46084</x:v>
      </x:c>
      <x:c r="O3083" s="37"/>
      <x:c r="P3083" s="34" t="n">
        <x:v>0</x:v>
      </x:c>
      <x:c r="Q3083" s="37" t="n">
        <x:v>46101.954884259256</x:v>
      </x:c>
    </x:row>
    <x:row r="3084">
      <x:c r="A3084" s="22" t="n">
        <x:v>31792</x:v>
      </x:c>
      <x:c r="B3084" s="28" t="n">
        <x:v>810</x:v>
      </x:c>
      <x:c r="C3084" s="28"/>
      <x:c r="D3084" s="31" t="str">
        <x:f>IF(OR(ISBLANK(B3084),ISBLANK(C3084),B3084=0),"",(C3084-B3084)/B3084)</x:f>
      </x:c>
      <x:c r="E3084" s="22" t="str">
        <x:f>IF(ISBLANK(C3084),"AmountIncludingTax缺失",IF(ABS(B3084-C3084)&lt;0.005,"一致","不一致"))</x:f>
        <x:v>AmountIncludingTax缺失</x:v>
      </x:c>
      <x:c r="F3084" s="19" t="str">
        <x:v>approved</x:v>
      </x:c>
      <x:c r="G3084" s="19" t="str">
        <x:v>Repairer Invoiced Processed</x:v>
      </x:c>
      <x:c r="H3084" s="19" t="str">
        <x:v>In Field</x:v>
      </x:c>
      <x:c r="I3084" s="37" t="n">
        <x:v>46084</x:v>
      </x:c>
      <x:c r="J3084" s="37" t="n">
        <x:v>46084</x:v>
      </x:c>
      <x:c r="K3084" s="19" t="str">
        <x:v>Dario Caravans - Pooraka</x:v>
      </x:c>
      <x:c r="L3084" s="19" t="str">
        <x:v>Z006</x:v>
      </x:c>
      <x:c r="M3084" s="19" t="str">
        <x:v>In Field Warranty Claims</x:v>
      </x:c>
      <x:c r="N3084" s="37" t="n">
        <x:v>46083</x:v>
      </x:c>
      <x:c r="O3084" s="37"/>
      <x:c r="P3084" s="34" t="n">
        <x:v>0</x:v>
      </x:c>
      <x:c r="Q3084" s="37" t="n">
        <x:v>46084.189733796295</x:v>
      </x:c>
    </x:row>
    <x:row r="3085">
      <x:c r="A3085" s="22" t="n">
        <x:v>31791</x:v>
      </x:c>
      <x:c r="B3085" s="28" t="n">
        <x:v>492.5</x:v>
      </x:c>
      <x:c r="C3085" s="28"/>
      <x:c r="D3085" s="31" t="str">
        <x:f>IF(OR(ISBLANK(B3085),ISBLANK(C3085),B3085=0),"",(C3085-B3085)/B3085)</x:f>
      </x:c>
      <x:c r="E3085" s="22" t="str">
        <x:f>IF(ISBLANK(C3085),"AmountIncludingTax缺失",IF(ABS(B3085-C3085)&lt;0.005,"一致","不一致"))</x:f>
        <x:v>AmountIncludingTax缺失</x:v>
      </x:c>
      <x:c r="F3085" s="19" t="str">
        <x:v>approved</x:v>
      </x:c>
      <x:c r="G3085" s="19" t="str">
        <x:v>Repairer Invoiced Processed</x:v>
      </x:c>
      <x:c r="H3085" s="19" t="str">
        <x:v>Pre Delivery</x:v>
      </x:c>
      <x:c r="I3085" s="37" t="n">
        <x:v>46134</x:v>
      </x:c>
      <x:c r="J3085" s="37" t="n">
        <x:v>46134</x:v>
      </x:c>
      <x:c r="K3085" s="19" t="str">
        <x:v>Snowy River Launceston</x:v>
      </x:c>
      <x:c r="L3085" s="19" t="str">
        <x:v>Z005</x:v>
      </x:c>
      <x:c r="M3085" s="19" t="str">
        <x:v>Pre Delivery Warranty Claims</x:v>
      </x:c>
      <x:c r="N3085" s="37" t="n">
        <x:v>46083</x:v>
      </x:c>
      <x:c r="O3085" s="37"/>
      <x:c r="P3085" s="34" t="n">
        <x:v>0</x:v>
      </x:c>
      <x:c r="Q3085" s="37" t="n">
        <x:v>46134.024733796294</x:v>
      </x:c>
    </x:row>
    <x:row r="3086">
      <x:c r="A3086" s="22" t="n">
        <x:v>31790</x:v>
      </x:c>
      <x:c r="B3086" s="28" t="n">
        <x:v>173.18</x:v>
      </x:c>
      <x:c r="C3086" s="28" t="n">
        <x:v>190.5</x:v>
      </x:c>
      <x:c r="D3086" s="31" t="n">
        <x:f>IF(OR(ISBLANK(B3086),ISBLANK(C3086),B3086=0),"",(C3086-B3086)/B3086)</x:f>
        <x:v>0.10001154867767637</x:v>
      </x:c>
      <x:c r="E3086" s="22" t="str">
        <x:f>IF(ISBLANK(C3086),"AmountIncludingTax缺失",IF(ABS(B3086-C3086)&lt;0.005,"一致","不一致"))</x:f>
        <x:v>不一致</x:v>
      </x:c>
      <x:c r="F3086" s="19" t="str">
        <x:v>approved</x:v>
      </x:c>
      <x:c r="G3086" s="19" t="str">
        <x:v>Repairer Invoiced Processed</x:v>
      </x:c>
      <x:c r="H3086" s="19" t="str">
        <x:v>In Field</x:v>
      </x:c>
      <x:c r="I3086" s="37" t="n">
        <x:v>46110</x:v>
      </x:c>
      <x:c r="J3086" s="37" t="n">
        <x:v>46110</x:v>
      </x:c>
      <x:c r="K3086" s="19" t="str">
        <x:v>Regent RV - Townsville</x:v>
      </x:c>
      <x:c r="L3086" s="19" t="str">
        <x:v>Z006</x:v>
      </x:c>
      <x:c r="M3086" s="19" t="str">
        <x:v>In Field Warranty Claims</x:v>
      </x:c>
      <x:c r="N3086" s="37" t="n">
        <x:v>46084</x:v>
      </x:c>
      <x:c r="O3086" s="37"/>
      <x:c r="P3086" s="34" t="n">
        <x:v>190.5</x:v>
      </x:c>
      <x:c r="Q3086" s="37" t="n">
        <x:v>46110.49884259259</x:v>
      </x:c>
    </x:row>
    <x:row r="3087">
      <x:c r="A3087" s="22" t="n">
        <x:v>31789</x:v>
      </x:c>
      <x:c r="B3087" s="28" t="n">
        <x:v>455.5</x:v>
      </x:c>
      <x:c r="C3087" s="28"/>
      <x:c r="D3087" s="31" t="str">
        <x:f>IF(OR(ISBLANK(B3087),ISBLANK(C3087),B3087=0),"",(C3087-B3087)/B3087)</x:f>
      </x:c>
      <x:c r="E3087" s="22" t="str">
        <x:f>IF(ISBLANK(C3087),"AmountIncludingTax缺失",IF(ABS(B3087-C3087)&lt;0.005,"一致","不一致"))</x:f>
        <x:v>AmountIncludingTax缺失</x:v>
      </x:c>
      <x:c r="F3087" s="19" t="str">
        <x:v>approved</x:v>
      </x:c>
      <x:c r="G3087" s="19" t="str">
        <x:v>Sales Order Approved</x:v>
      </x:c>
      <x:c r="H3087" s="19" t="str">
        <x:v>Pre Delivery</x:v>
      </x:c>
      <x:c r="I3087" s="37" t="n">
        <x:v>46134</x:v>
      </x:c>
      <x:c r="J3087" s="37" t="n">
        <x:v>46134</x:v>
      </x:c>
      <x:c r="K3087" s="19" t="str">
        <x:v>Snowy River Launceston</x:v>
      </x:c>
      <x:c r="L3087" s="19" t="str">
        <x:v>Z005</x:v>
      </x:c>
      <x:c r="M3087" s="19" t="str">
        <x:v>Pre Delivery Warranty Claims</x:v>
      </x:c>
      <x:c r="N3087" s="37" t="n">
        <x:v>46084</x:v>
      </x:c>
      <x:c r="O3087" s="37"/>
      <x:c r="P3087" s="34" t="n">
        <x:v>0</x:v>
      </x:c>
      <x:c r="Q3087" s="37" t="n">
        <x:v>46134.02106481481</x:v>
      </x:c>
    </x:row>
    <x:row r="3088">
      <x:c r="A3088" s="22" t="n">
        <x:v>31788</x:v>
      </x:c>
      <x:c r="B3088" s="28" t="n">
        <x:v>200</x:v>
      </x:c>
      <x:c r="C3088" s="28"/>
      <x:c r="D3088" s="31" t="str">
        <x:f>IF(OR(ISBLANK(B3088),ISBLANK(C3088),B3088=0),"",(C3088-B3088)/B3088)</x:f>
      </x:c>
      <x:c r="E3088" s="22" t="str">
        <x:f>IF(ISBLANK(C3088),"AmountIncludingTax缺失",IF(ABS(B3088-C3088)&lt;0.005,"一致","不一致"))</x:f>
        <x:v>AmountIncludingTax缺失</x:v>
      </x:c>
      <x:c r="F3088" s="19" t="str">
        <x:v>approved</x:v>
      </x:c>
      <x:c r="G3088" s="19" t="str">
        <x:v>Repairer Invoiced Processed</x:v>
      </x:c>
      <x:c r="H3088" s="19" t="str">
        <x:v>In Field</x:v>
      </x:c>
      <x:c r="I3088" s="37" t="n">
        <x:v>46155</x:v>
      </x:c>
      <x:c r="J3088" s="37" t="n">
        <x:v>46119</x:v>
      </x:c>
      <x:c r="K3088" s="19" t="str">
        <x:v>Auswide Caravans - South Nowra</x:v>
      </x:c>
      <x:c r="L3088" s="19" t="str">
        <x:v>Z006</x:v>
      </x:c>
      <x:c r="M3088" s="19" t="str">
        <x:v>In Field Warranty Claims</x:v>
      </x:c>
      <x:c r="N3088" s="37" t="n">
        <x:v>46083</x:v>
      </x:c>
      <x:c r="O3088" s="37"/>
      <x:c r="P3088" s="34" t="n">
        <x:v>0</x:v>
      </x:c>
      <x:c r="Q3088" s="37" t="n">
        <x:v>46155.22609953704</x:v>
      </x:c>
    </x:row>
    <x:row r="3089">
      <x:c r="A3089" s="22" t="n">
        <x:v>31786</x:v>
      </x:c>
      <x:c r="B3089" s="28" t="n">
        <x:v>1075</x:v>
      </x:c>
      <x:c r="C3089" s="28"/>
      <x:c r="D3089" s="31" t="str">
        <x:f>IF(OR(ISBLANK(B3089),ISBLANK(C3089),B3089=0),"",(C3089-B3089)/B3089)</x:f>
      </x:c>
      <x:c r="E3089" s="22" t="str">
        <x:f>IF(ISBLANK(C3089),"AmountIncludingTax缺失",IF(ABS(B3089-C3089)&lt;0.005,"一致","不一致"))</x:f>
        <x:v>AmountIncludingTax缺失</x:v>
      </x:c>
      <x:c r="F3089" s="19" t="str">
        <x:v>approved</x:v>
      </x:c>
      <x:c r="G3089" s="19" t="str">
        <x:v>Repair in Progress</x:v>
      </x:c>
      <x:c r="H3089" s="19" t="str">
        <x:v>In Field</x:v>
      </x:c>
      <x:c r="I3089" s="37" t="n">
        <x:v>46111</x:v>
      </x:c>
      <x:c r="J3089" s="37" t="n">
        <x:v>46111</x:v>
      </x:c>
      <x:c r="K3089" s="19" t="str">
        <x:v>Regent RV - Townsville</x:v>
      </x:c>
      <x:c r="L3089" s="19" t="str">
        <x:v>Z006</x:v>
      </x:c>
      <x:c r="M3089" s="19" t="str">
        <x:v>In Field Warranty Claims</x:v>
      </x:c>
      <x:c r="N3089" s="37" t="n">
        <x:v>46083</x:v>
      </x:c>
      <x:c r="O3089" s="37"/>
      <x:c r="P3089" s="34" t="n">
        <x:v>0</x:v>
      </x:c>
      <x:c r="Q3089" s="37" t="n">
        <x:v>46110.974756944444</x:v>
      </x:c>
    </x:row>
    <x:row r="3090">
      <x:c r="A3090" s="22" t="n">
        <x:v>31784</x:v>
      </x:c>
      <x:c r="B3090" s="28" t="n">
        <x:v>454.12</x:v>
      </x:c>
      <x:c r="C3090" s="28" t="n">
        <x:v>499.53</x:v>
      </x:c>
      <x:c r="D3090" s="31" t="n">
        <x:f>IF(OR(ISBLANK(B3090),ISBLANK(C3090),B3090=0),"",(C3090-B3090)/B3090)</x:f>
        <x:v>0.0999955958777415</x:v>
      </x:c>
      <x:c r="E3090" s="22" t="str">
        <x:f>IF(ISBLANK(C3090),"AmountIncludingTax缺失",IF(ABS(B3090-C3090)&lt;0.005,"一致","不一致"))</x:f>
        <x:v>不一致</x:v>
      </x:c>
      <x:c r="F3090" s="19" t="str">
        <x:v>approved</x:v>
      </x:c>
      <x:c r="G3090" s="19" t="str">
        <x:v>Repairer Invoiced Processed</x:v>
      </x:c>
      <x:c r="H3090" s="19" t="str">
        <x:v>In Field</x:v>
      </x:c>
      <x:c r="I3090" s="37" t="n">
        <x:v>46113</x:v>
      </x:c>
      <x:c r="J3090" s="37" t="n">
        <x:v>46113</x:v>
      </x:c>
      <x:c r="K3090" s="19" t="str">
        <x:v>Regent RV - Townsville</x:v>
      </x:c>
      <x:c r="L3090" s="19" t="str">
        <x:v>Z006</x:v>
      </x:c>
      <x:c r="M3090" s="19" t="str">
        <x:v>In Field Warranty Claims</x:v>
      </x:c>
      <x:c r="N3090" s="37" t="n">
        <x:v>46083</x:v>
      </x:c>
      <x:c r="O3090" s="37"/>
      <x:c r="P3090" s="34" t="n">
        <x:v>499.53</x:v>
      </x:c>
      <x:c r="Q3090" s="37" t="n">
        <x:v>46113.153865740744</x:v>
      </x:c>
    </x:row>
    <x:row r="3091">
      <x:c r="A3091" s="22" t="n">
        <x:v>31783</x:v>
      </x:c>
      <x:c r="B3091" s="28" t="n">
        <x:v>275</x:v>
      </x:c>
      <x:c r="C3091" s="28"/>
      <x:c r="D3091" s="31" t="str">
        <x:f>IF(OR(ISBLANK(B3091),ISBLANK(C3091),B3091=0),"",(C3091-B3091)/B3091)</x:f>
      </x:c>
      <x:c r="E3091" s="22" t="str">
        <x:f>IF(ISBLANK(C3091),"AmountIncludingTax缺失",IF(ABS(B3091-C3091)&lt;0.005,"一致","不一致"))</x:f>
        <x:v>AmountIncludingTax缺失</x:v>
      </x:c>
      <x:c r="F3091" s="19" t="str">
        <x:v>approved</x:v>
      </x:c>
      <x:c r="G3091" s="19" t="str">
        <x:v>Repairer Invoiced Processed</x:v>
      </x:c>
      <x:c r="H3091" s="19" t="str">
        <x:v>In Field</x:v>
      </x:c>
      <x:c r="I3091" s="37" t="n">
        <x:v>46085</x:v>
      </x:c>
      <x:c r="J3091" s="37" t="n">
        <x:v>46085</x:v>
      </x:c>
      <x:c r="K3091" s="19" t="str">
        <x:v>Regent RV Pty Ltd</x:v>
      </x:c>
      <x:c r="L3091" s="19" t="str">
        <x:v>Z006</x:v>
      </x:c>
      <x:c r="M3091" s="19" t="str">
        <x:v>In Field Warranty Claims</x:v>
      </x:c>
      <x:c r="N3091" s="37" t="n">
        <x:v>46083</x:v>
      </x:c>
      <x:c r="O3091" s="37"/>
      <x:c r="P3091" s="34" t="n">
        <x:v>0</x:v>
      </x:c>
      <x:c r="Q3091" s="37" t="n">
        <x:v>46085.142118055555</x:v>
      </x:c>
    </x:row>
    <x:row r="3092">
      <x:c r="A3092" s="22" t="n">
        <x:v>31782</x:v>
      </x:c>
      <x:c r="B3092" s="28" t="n">
        <x:v>560</x:v>
      </x:c>
      <x:c r="C3092" s="28" t="n">
        <x:v>616</x:v>
      </x:c>
      <x:c r="D3092" s="31" t="n">
        <x:f>IF(OR(ISBLANK(B3092),ISBLANK(C3092),B3092=0),"",(C3092-B3092)/B3092)</x:f>
        <x:v>0.1</x:v>
      </x:c>
      <x:c r="E3092" s="22" t="str">
        <x:f>IF(ISBLANK(C3092),"AmountIncludingTax缺失",IF(ABS(B3092-C3092)&lt;0.005,"一致","不一致"))</x:f>
        <x:v>不一致</x:v>
      </x:c>
      <x:c r="F3092" s="19" t="str">
        <x:v>approved</x:v>
      </x:c>
      <x:c r="G3092" s="19" t="str">
        <x:v>Repairer Invoiced Processed</x:v>
      </x:c>
      <x:c r="H3092" s="19" t="str">
        <x:v>In Field</x:v>
      </x:c>
      <x:c r="I3092" s="37" t="n">
        <x:v>46084</x:v>
      </x:c>
      <x:c r="J3092" s="37" t="n">
        <x:v>46084</x:v>
      </x:c>
      <x:c r="K3092" s="19" t="str">
        <x:v>Green RV - Forest Glen</x:v>
      </x:c>
      <x:c r="L3092" s="19" t="str">
        <x:v>Z006</x:v>
      </x:c>
      <x:c r="M3092" s="19" t="str">
        <x:v>In Field Warranty Claims</x:v>
      </x:c>
      <x:c r="N3092" s="37" t="n">
        <x:v>46083</x:v>
      </x:c>
      <x:c r="O3092" s="37"/>
      <x:c r="P3092" s="34" t="n">
        <x:v>616</x:v>
      </x:c>
      <x:c r="Q3092" s="37" t="n">
        <x:v>46083.93311342593</x:v>
      </x:c>
    </x:row>
    <x:row r="3093">
      <x:c r="A3093" s="22" t="n">
        <x:v>31781</x:v>
      </x:c>
      <x:c r="B3093" s="28" t="n">
        <x:v>472.5</x:v>
      </x:c>
      <x:c r="C3093" s="28"/>
      <x:c r="D3093" s="31" t="str">
        <x:f>IF(OR(ISBLANK(B3093),ISBLANK(C3093),B3093=0),"",(C3093-B3093)/B3093)</x:f>
      </x:c>
      <x:c r="E3093" s="22" t="str">
        <x:f>IF(ISBLANK(C3093),"AmountIncludingTax缺失",IF(ABS(B3093-C3093)&lt;0.005,"一致","不一致"))</x:f>
        <x:v>AmountIncludingTax缺失</x:v>
      </x:c>
      <x:c r="F3093" s="19" t="str">
        <x:v>approved</x:v>
      </x:c>
      <x:c r="G3093" s="19" t="str">
        <x:v>Repair in Progress</x:v>
      </x:c>
      <x:c r="H3093" s="19" t="str">
        <x:v>In Field</x:v>
      </x:c>
      <x:c r="I3093" s="37" t="n">
        <x:v>46139</x:v>
      </x:c>
      <x:c r="J3093" s="37" t="n">
        <x:v>46139</x:v>
      </x:c>
      <x:c r="K3093" s="19" t="str">
        <x:v>Not Assigned</x:v>
      </x:c>
      <x:c r="L3093" s="19" t="str">
        <x:v>Z006</x:v>
      </x:c>
      <x:c r="M3093" s="19" t="str">
        <x:v>In Field Warranty Claims</x:v>
      </x:c>
      <x:c r="N3093" s="37" t="n">
        <x:v>46083</x:v>
      </x:c>
      <x:c r="O3093" s="37"/>
      <x:c r="P3093" s="34" t="n">
        <x:v>0</x:v>
      </x:c>
      <x:c r="Q3093" s="37" t="n">
        <x:v>46138.98986111111</x:v>
      </x:c>
    </x:row>
    <x:row r="3094">
      <x:c r="A3094" s="22" t="n">
        <x:v>31776</x:v>
      </x:c>
      <x:c r="B3094" s="28" t="n">
        <x:v>512.5</x:v>
      </x:c>
      <x:c r="C3094" s="28"/>
      <x:c r="D3094" s="31" t="str">
        <x:f>IF(OR(ISBLANK(B3094),ISBLANK(C3094),B3094=0),"",(C3094-B3094)/B3094)</x:f>
      </x:c>
      <x:c r="E3094" s="22" t="str">
        <x:f>IF(ISBLANK(C3094),"AmountIncludingTax缺失",IF(ABS(B3094-C3094)&lt;0.005,"一致","不一致"))</x:f>
        <x:v>AmountIncludingTax缺失</x:v>
      </x:c>
      <x:c r="F3094" s="19" t="str">
        <x:v>approved</x:v>
      </x:c>
      <x:c r="G3094" s="19" t="str">
        <x:v>Repairer Invoiced Processed</x:v>
      </x:c>
      <x:c r="H3094" s="19" t="str">
        <x:v>In Field</x:v>
      </x:c>
      <x:c r="I3094" s="37" t="n">
        <x:v>46084</x:v>
      </x:c>
      <x:c r="J3094" s="37" t="n">
        <x:v>46084</x:v>
      </x:c>
      <x:c r="K3094" s="19" t="str">
        <x:v>Green RV - Forest Glen</x:v>
      </x:c>
      <x:c r="L3094" s="19" t="str">
        <x:v>Z006</x:v>
      </x:c>
      <x:c r="M3094" s="19" t="str">
        <x:v>In Field Warranty Claims</x:v>
      </x:c>
      <x:c r="N3094" s="37" t="n">
        <x:v>46084</x:v>
      </x:c>
      <x:c r="O3094" s="37"/>
      <x:c r="P3094" s="34" t="n">
        <x:v>0</x:v>
      </x:c>
      <x:c r="Q3094" s="37" t="n">
        <x:v>46084.10996527778</x:v>
      </x:c>
    </x:row>
    <x:row r="3095">
      <x:c r="A3095" s="22" t="n">
        <x:v>31775</x:v>
      </x:c>
      <x:c r="B3095" s="28" t="n">
        <x:v>330</x:v>
      </x:c>
      <x:c r="C3095" s="28" t="n">
        <x:v>363</x:v>
      </x:c>
      <x:c r="D3095" s="31" t="n">
        <x:f>IF(OR(ISBLANK(B3095),ISBLANK(C3095),B3095=0),"",(C3095-B3095)/B3095)</x:f>
        <x:v>0.1</x:v>
      </x:c>
      <x:c r="E3095" s="22" t="str">
        <x:f>IF(ISBLANK(C3095),"AmountIncludingTax缺失",IF(ABS(B3095-C3095)&lt;0.005,"一致","不一致"))</x:f>
        <x:v>不一致</x:v>
      </x:c>
      <x:c r="F3095" s="19" t="str">
        <x:v>approved</x:v>
      </x:c>
      <x:c r="G3095" s="19" t="str">
        <x:v>Repairer Invoiced Processed</x:v>
      </x:c>
      <x:c r="H3095" s="19" t="str">
        <x:v>In Field</x:v>
      </x:c>
      <x:c r="I3095" s="37" t="n">
        <x:v>46106</x:v>
      </x:c>
      <x:c r="J3095" s="37" t="n">
        <x:v>46106</x:v>
      </x:c>
      <x:c r="K3095" s="19" t="str">
        <x:v>Regent RV - Frankston</x:v>
      </x:c>
      <x:c r="L3095" s="19" t="str">
        <x:v>Z006</x:v>
      </x:c>
      <x:c r="M3095" s="19" t="str">
        <x:v>In Field Warranty Claims</x:v>
      </x:c>
      <x:c r="N3095" s="37" t="n">
        <x:v>46084</x:v>
      </x:c>
      <x:c r="O3095" s="37"/>
      <x:c r="P3095" s="34" t="n">
        <x:v>363</x:v>
      </x:c>
      <x:c r="Q3095" s="37" t="n">
        <x:v>46106.228946759256</x:v>
      </x:c>
    </x:row>
    <x:row r="3096">
      <x:c r="A3096" s="22" t="n">
        <x:v>31774</x:v>
      </x:c>
      <x:c r="B3096" s="28" t="n">
        <x:v>517.27</x:v>
      </x:c>
      <x:c r="C3096" s="28" t="n">
        <x:v>569</x:v>
      </x:c>
      <x:c r="D3096" s="31" t="n">
        <x:f>IF(OR(ISBLANK(B3096),ISBLANK(C3096),B3096=0),"",(C3096-B3096)/B3096)</x:f>
        <x:v>0.10000579967908446</x:v>
      </x:c>
      <x:c r="E3096" s="22" t="str">
        <x:f>IF(ISBLANK(C3096),"AmountIncludingTax缺失",IF(ABS(B3096-C3096)&lt;0.005,"一致","不一致"))</x:f>
        <x:v>不一致</x:v>
      </x:c>
      <x:c r="F3096" s="19" t="str">
        <x:v>approved</x:v>
      </x:c>
      <x:c r="G3096" s="19" t="str">
        <x:v>Repairer Invoiced Processed</x:v>
      </x:c>
      <x:c r="H3096" s="19" t="str">
        <x:v>In Field</x:v>
      </x:c>
      <x:c r="I3096" s="37" t="n">
        <x:v>46126</x:v>
      </x:c>
      <x:c r="J3096" s="37" t="n">
        <x:v>46126</x:v>
      </x:c>
      <x:c r="K3096" s="19" t="str">
        <x:v>Snowy River Launceston</x:v>
      </x:c>
      <x:c r="L3096" s="19" t="str">
        <x:v>Z006</x:v>
      </x:c>
      <x:c r="M3096" s="19" t="str">
        <x:v>In Field Warranty Claims</x:v>
      </x:c>
      <x:c r="N3096" s="37" t="n">
        <x:v>46083</x:v>
      </x:c>
      <x:c r="O3096" s="37"/>
      <x:c r="P3096" s="34" t="n">
        <x:v>569</x:v>
      </x:c>
      <x:c r="Q3096" s="37" t="n">
        <x:v>46126.24055555555</x:v>
      </x:c>
    </x:row>
    <x:row r="3097">
      <x:c r="A3097" s="22" t="n">
        <x:v>31770</x:v>
      </x:c>
      <x:c r="B3097" s="28" t="n">
        <x:v>1153.75</x:v>
      </x:c>
      <x:c r="C3097" s="28"/>
      <x:c r="D3097" s="31" t="str">
        <x:f>IF(OR(ISBLANK(B3097),ISBLANK(C3097),B3097=0),"",(C3097-B3097)/B3097)</x:f>
      </x:c>
      <x:c r="E3097" s="22" t="str">
        <x:f>IF(ISBLANK(C3097),"AmountIncludingTax缺失",IF(ABS(B3097-C3097)&lt;0.005,"一致","不一致"))</x:f>
        <x:v>AmountIncludingTax缺失</x:v>
      </x:c>
      <x:c r="F3097" s="19" t="str">
        <x:v>approved</x:v>
      </x:c>
      <x:c r="G3097" s="19" t="str">
        <x:v>Repairer Invoiced Processed</x:v>
      </x:c>
      <x:c r="H3097" s="19" t="str">
        <x:v>Pre Delivery</x:v>
      </x:c>
      <x:c r="I3097" s="37" t="n">
        <x:v>46140</x:v>
      </x:c>
      <x:c r="J3097" s="37" t="n">
        <x:v>46140</x:v>
      </x:c>
      <x:c r="K3097" s="19" t="str">
        <x:v>Lesiure Lion-New Castle</x:v>
      </x:c>
      <x:c r="L3097" s="19" t="str">
        <x:v>Z005</x:v>
      </x:c>
      <x:c r="M3097" s="19" t="str">
        <x:v>Pre Delivery Warranty Claims</x:v>
      </x:c>
      <x:c r="N3097" s="37" t="n">
        <x:v>46083</x:v>
      </x:c>
      <x:c r="O3097" s="37"/>
      <x:c r="P3097" s="34" t="n">
        <x:v>0</x:v>
      </x:c>
      <x:c r="Q3097" s="37" t="n">
        <x:v>46140.179375</x:v>
      </x:c>
    </x:row>
    <x:row r="3098">
      <x:c r="A3098" s="22" t="n">
        <x:v>31769</x:v>
      </x:c>
      <x:c r="B3098" s="28" t="n">
        <x:v>450</x:v>
      </x:c>
      <x:c r="C3098" s="28"/>
      <x:c r="D3098" s="31" t="str">
        <x:f>IF(OR(ISBLANK(B3098),ISBLANK(C3098),B3098=0),"",(C3098-B3098)/B3098)</x:f>
      </x:c>
      <x:c r="E3098" s="22" t="str">
        <x:f>IF(ISBLANK(C3098),"AmountIncludingTax缺失",IF(ABS(B3098-C3098)&lt;0.005,"一致","不一致"))</x:f>
        <x:v>AmountIncludingTax缺失</x:v>
      </x:c>
      <x:c r="F3098" s="19" t="str">
        <x:v>approved</x:v>
      </x:c>
      <x:c r="G3098" s="19" t="str">
        <x:v>Partially Picked</x:v>
      </x:c>
      <x:c r="H3098" s="19" t="str">
        <x:v>Pre Delivery</x:v>
      </x:c>
      <x:c r="I3098" s="37" t="n">
        <x:v>46139</x:v>
      </x:c>
      <x:c r="J3098" s="37" t="n">
        <x:v>46139</x:v>
      </x:c>
      <x:c r="K3098" s="19" t="str">
        <x:v>The Caravan Hub - Townsville</x:v>
      </x:c>
      <x:c r="L3098" s="19" t="str">
        <x:v>Z005</x:v>
      </x:c>
      <x:c r="M3098" s="19" t="str">
        <x:v>Pre Delivery Warranty Claims</x:v>
      </x:c>
      <x:c r="N3098" s="37" t="n">
        <x:v>46083</x:v>
      </x:c>
      <x:c r="O3098" s="37"/>
      <x:c r="P3098" s="34" t="n">
        <x:v>0</x:v>
      </x:c>
      <x:c r="Q3098" s="37" t="n">
        <x:v>46139.07135416667</x:v>
      </x:c>
    </x:row>
    <x:row r="3099">
      <x:c r="A3099" s="22" t="n">
        <x:v>31766</x:v>
      </x:c>
      <x:c r="B3099" s="28" t="n">
        <x:v>1585</x:v>
      </x:c>
      <x:c r="C3099" s="28"/>
      <x:c r="D3099" s="31" t="str">
        <x:f>IF(OR(ISBLANK(B3099),ISBLANK(C3099),B3099=0),"",(C3099-B3099)/B3099)</x:f>
      </x:c>
      <x:c r="E3099" s="22" t="str">
        <x:f>IF(ISBLANK(C3099),"AmountIncludingTax缺失",IF(ABS(B3099-C3099)&lt;0.005,"一致","不一致"))</x:f>
        <x:v>AmountIncludingTax缺失</x:v>
      </x:c>
      <x:c r="F3099" s="19" t="str">
        <x:v>approved</x:v>
      </x:c>
      <x:c r="G3099" s="19" t="str">
        <x:v>Repairer Invoiced Processed</x:v>
      </x:c>
      <x:c r="H3099" s="19" t="str">
        <x:v>In Field</x:v>
      </x:c>
      <x:c r="I3099" s="37" t="n">
        <x:v>46101</x:v>
      </x:c>
      <x:c r="J3099" s="37" t="n">
        <x:v>46101</x:v>
      </x:c>
      <x:c r="K3099" s="19" t="str">
        <x:v>Regent RV - Perth</x:v>
      </x:c>
      <x:c r="L3099" s="19" t="str">
        <x:v>Z006</x:v>
      </x:c>
      <x:c r="M3099" s="19" t="str">
        <x:v>In Field Warranty Claims</x:v>
      </x:c>
      <x:c r="N3099" s="37" t="n">
        <x:v>46083</x:v>
      </x:c>
      <x:c r="O3099" s="37"/>
      <x:c r="P3099" s="34" t="n">
        <x:v>0</x:v>
      </x:c>
      <x:c r="Q3099" s="37" t="n">
        <x:v>46101.16438657408</x:v>
      </x:c>
    </x:row>
    <x:row r="3100">
      <x:c r="A3100" s="22" t="n">
        <x:v>31765</x:v>
      </x:c>
      <x:c r="B3100" s="28" t="n">
        <x:v>645.8</x:v>
      </x:c>
      <x:c r="C3100" s="28" t="n">
        <x:v>737.69</x:v>
      </x:c>
      <x:c r="D3100" s="31" t="n">
        <x:f>IF(OR(ISBLANK(B3100),ISBLANK(C3100),B3100=0),"",(C3100-B3100)/B3100)</x:f>
        <x:v>0.1422886342520906</x:v>
      </x:c>
      <x:c r="E3100" s="22" t="str">
        <x:f>IF(ISBLANK(C3100),"AmountIncludingTax缺失",IF(ABS(B3100-C3100)&lt;0.005,"一致","不一致"))</x:f>
        <x:v>不一致</x:v>
      </x:c>
      <x:c r="F3100" s="19" t="str">
        <x:v>approved</x:v>
      </x:c>
      <x:c r="G3100" s="19" t="str">
        <x:v>Repair in Progress</x:v>
      </x:c>
      <x:c r="H3100" s="19" t="str">
        <x:v>In Field</x:v>
      </x:c>
      <x:c r="I3100" s="37" t="n">
        <x:v>46087</x:v>
      </x:c>
      <x:c r="J3100" s="37" t="n">
        <x:v>46087</x:v>
      </x:c>
      <x:c r="K3100" s="19" t="str">
        <x:v>Green RV - Slacks Creek</x:v>
      </x:c>
      <x:c r="L3100" s="19" t="str">
        <x:v>Z006</x:v>
      </x:c>
      <x:c r="M3100" s="19" t="str">
        <x:v>In Field Warranty Claims</x:v>
      </x:c>
      <x:c r="N3100" s="37" t="n">
        <x:v>46083</x:v>
      </x:c>
      <x:c r="O3100" s="37"/>
      <x:c r="P3100" s="34" t="n">
        <x:v>737.69</x:v>
      </x:c>
      <x:c r="Q3100" s="37" t="n">
        <x:v>46086.94903935185</x:v>
      </x:c>
    </x:row>
    <x:row r="3101">
      <x:c r="A3101" s="22" t="n">
        <x:v>31764</x:v>
      </x:c>
      <x:c r="B3101" s="28" t="n">
        <x:v>525</x:v>
      </x:c>
      <x:c r="C3101" s="28" t="n">
        <x:v>475.34</x:v>
      </x:c>
      <x:c r="D3101" s="31" t="n">
        <x:f>IF(OR(ISBLANK(B3101),ISBLANK(C3101),B3101=0),"",(C3101-B3101)/B3101)</x:f>
        <x:v>-0.09459047619047624</x:v>
      </x:c>
      <x:c r="E3101" s="22" t="str">
        <x:f>IF(ISBLANK(C3101),"AmountIncludingTax缺失",IF(ABS(B3101-C3101)&lt;0.005,"一致","不一致"))</x:f>
        <x:v>不一致</x:v>
      </x:c>
      <x:c r="F3101" s="19" t="str">
        <x:v>approved</x:v>
      </x:c>
      <x:c r="G3101" s="19" t="str">
        <x:v>Repair in Progress</x:v>
      </x:c>
      <x:c r="H3101" s="19" t="str">
        <x:v>In Field</x:v>
      </x:c>
      <x:c r="I3101" s="37" t="n">
        <x:v>46212</x:v>
      </x:c>
      <x:c r="J3101" s="37" t="n">
        <x:v>46212</x:v>
      </x:c>
      <x:c r="K3101" s="19" t="str">
        <x:v>Vanari Caravans - Marden Point</x:v>
      </x:c>
      <x:c r="L3101" s="19" t="str">
        <x:v>Z006</x:v>
      </x:c>
      <x:c r="M3101" s="19" t="str">
        <x:v>In Field Warranty Claims</x:v>
      </x:c>
      <x:c r="N3101" s="37" t="n">
        <x:v>46083</x:v>
      </x:c>
      <x:c r="O3101" s="37"/>
      <x:c r="P3101" s="34" t="n">
        <x:v>475.34</x:v>
      </x:c>
      <x:c r="Q3101" s="37" t="n">
        <x:v>46212.040034722224</x:v>
      </x:c>
    </x:row>
    <x:row r="3102">
      <x:c r="A3102" s="22" t="n">
        <x:v>31763</x:v>
      </x:c>
      <x:c r="B3102" s="28" t="n">
        <x:v>1362.5</x:v>
      </x:c>
      <x:c r="C3102" s="28"/>
      <x:c r="D3102" s="31" t="str">
        <x:f>IF(OR(ISBLANK(B3102),ISBLANK(C3102),B3102=0),"",(C3102-B3102)/B3102)</x:f>
      </x:c>
      <x:c r="E3102" s="22" t="str">
        <x:f>IF(ISBLANK(C3102),"AmountIncludingTax缺失",IF(ABS(B3102-C3102)&lt;0.005,"一致","不一致"))</x:f>
        <x:v>AmountIncludingTax缺失</x:v>
      </x:c>
      <x:c r="F3102" s="19" t="str">
        <x:v>approved</x:v>
      </x:c>
      <x:c r="G3102" s="19" t="str">
        <x:v>Repair in Progress</x:v>
      </x:c>
      <x:c r="H3102" s="19" t="str">
        <x:v>In Field</x:v>
      </x:c>
      <x:c r="I3102" s="37" t="n">
        <x:v>46095</x:v>
      </x:c>
      <x:c r="J3102" s="37" t="n">
        <x:v>46095</x:v>
      </x:c>
      <x:c r="K3102" s="19" t="str">
        <x:v>Lesiure Lion-New Castle</x:v>
      </x:c>
      <x:c r="L3102" s="19" t="str">
        <x:v>Z006</x:v>
      </x:c>
      <x:c r="M3102" s="19" t="str">
        <x:v>In Field Warranty Claims</x:v>
      </x:c>
      <x:c r="N3102" s="37" t="n">
        <x:v>46083</x:v>
      </x:c>
      <x:c r="O3102" s="37"/>
      <x:c r="P3102" s="34" t="n">
        <x:v>0</x:v>
      </x:c>
      <x:c r="Q3102" s="37" t="n">
        <x:v>46095.10839120371</x:v>
      </x:c>
    </x:row>
    <x:row r="3103">
      <x:c r="A3103" s="22" t="n">
        <x:v>31762</x:v>
      </x:c>
      <x:c r="B3103" s="28" t="n">
        <x:v>101.25</x:v>
      </x:c>
      <x:c r="C3103" s="28"/>
      <x:c r="D3103" s="31" t="str">
        <x:f>IF(OR(ISBLANK(B3103),ISBLANK(C3103),B3103=0),"",(C3103-B3103)/B3103)</x:f>
      </x:c>
      <x:c r="E3103" s="22" t="str">
        <x:f>IF(ISBLANK(C3103),"AmountIncludingTax缺失",IF(ABS(B3103-C3103)&lt;0.005,"一致","不一致"))</x:f>
        <x:v>AmountIncludingTax缺失</x:v>
      </x:c>
      <x:c r="F3103" s="19" t="str">
        <x:v>approved</x:v>
      </x:c>
      <x:c r="G3103" s="19" t="str">
        <x:v>Repairer Invoiced Processed</x:v>
      </x:c>
      <x:c r="H3103" s="19" t="str">
        <x:v>In Field</x:v>
      </x:c>
      <x:c r="I3103" s="37" t="n">
        <x:v>46084</x:v>
      </x:c>
      <x:c r="J3103" s="37" t="n">
        <x:v>46084</x:v>
      </x:c>
      <x:c r="K3103" s="19" t="str">
        <x:v>Not Assigned</x:v>
      </x:c>
      <x:c r="L3103" s="19" t="str">
        <x:v>Z006</x:v>
      </x:c>
      <x:c r="M3103" s="19" t="str">
        <x:v>In Field Warranty Claims</x:v>
      </x:c>
      <x:c r="N3103" s="37" t="n">
        <x:v>46083</x:v>
      </x:c>
      <x:c r="O3103" s="37"/>
      <x:c r="P3103" s="34" t="n">
        <x:v>0</x:v>
      </x:c>
      <x:c r="Q3103" s="37" t="n">
        <x:v>46083.88303240741</x:v>
      </x:c>
    </x:row>
    <x:row r="3104">
      <x:c r="A3104" s="22" t="n">
        <x:v>31760</x:v>
      </x:c>
      <x:c r="B3104" s="28" t="n">
        <x:v>415</x:v>
      </x:c>
      <x:c r="C3104" s="28"/>
      <x:c r="D3104" s="31" t="str">
        <x:f>IF(OR(ISBLANK(B3104),ISBLANK(C3104),B3104=0),"",(C3104-B3104)/B3104)</x:f>
      </x:c>
      <x:c r="E3104" s="22" t="str">
        <x:f>IF(ISBLANK(C3104),"AmountIncludingTax缺失",IF(ABS(B3104-C3104)&lt;0.005,"一致","不一致"))</x:f>
        <x:v>AmountIncludingTax缺失</x:v>
      </x:c>
      <x:c r="F3104" s="19" t="str">
        <x:v>approved</x:v>
      </x:c>
      <x:c r="G3104" s="19" t="str">
        <x:v>Repairer Invoiced Processed</x:v>
      </x:c>
      <x:c r="H3104" s="19" t="str">
        <x:v>In Field</x:v>
      </x:c>
      <x:c r="I3104" s="37" t="n">
        <x:v>46102</x:v>
      </x:c>
      <x:c r="J3104" s="37" t="n">
        <x:v>46102</x:v>
      </x:c>
      <x:c r="K3104" s="19" t="str">
        <x:v>Green RV - Forest Glen</x:v>
      </x:c>
      <x:c r="L3104" s="19" t="str">
        <x:v>Z006</x:v>
      </x:c>
      <x:c r="M3104" s="19" t="str">
        <x:v>In Field Warranty Claims</x:v>
      </x:c>
      <x:c r="N3104" s="37" t="n">
        <x:v>46083</x:v>
      </x:c>
      <x:c r="O3104" s="37"/>
      <x:c r="P3104" s="34" t="n">
        <x:v>0</x:v>
      </x:c>
      <x:c r="Q3104" s="37" t="n">
        <x:v>46101.96123842592</x:v>
      </x:c>
    </x:row>
    <x:row r="3105">
      <x:c r="A3105" s="22" t="n">
        <x:v>31759</x:v>
      </x:c>
      <x:c r="B3105" s="28" t="n">
        <x:v>207.5</x:v>
      </x:c>
      <x:c r="C3105" s="28"/>
      <x:c r="D3105" s="31" t="str">
        <x:f>IF(OR(ISBLANK(B3105),ISBLANK(C3105),B3105=0),"",(C3105-B3105)/B3105)</x:f>
      </x:c>
      <x:c r="E3105" s="22" t="str">
        <x:f>IF(ISBLANK(C3105),"AmountIncludingTax缺失",IF(ABS(B3105-C3105)&lt;0.005,"一致","不一致"))</x:f>
        <x:v>AmountIncludingTax缺失</x:v>
      </x:c>
      <x:c r="F3105" s="19" t="str">
        <x:v>approved</x:v>
      </x:c>
      <x:c r="G3105" s="19" t="str">
        <x:v>Repairer Invoiced Processed</x:v>
      </x:c>
      <x:c r="H3105" s="19" t="str">
        <x:v>In Field</x:v>
      </x:c>
      <x:c r="I3105" s="37" t="n">
        <x:v>46160</x:v>
      </x:c>
      <x:c r="J3105" s="37" t="n">
        <x:v>46160</x:v>
      </x:c>
      <x:c r="K3105" s="19" t="str">
        <x:v>Not Assigned</x:v>
      </x:c>
      <x:c r="L3105" s="19" t="str">
        <x:v>Z006</x:v>
      </x:c>
      <x:c r="M3105" s="19" t="str">
        <x:v>In Field Warranty Claims</x:v>
      </x:c>
      <x:c r="N3105" s="37" t="n">
        <x:v>46083</x:v>
      </x:c>
      <x:c r="O3105" s="37"/>
      <x:c r="P3105" s="34" t="n">
        <x:v>0</x:v>
      </x:c>
      <x:c r="Q3105" s="37" t="n">
        <x:v>46160.252858796295</x:v>
      </x:c>
    </x:row>
    <x:row r="3106">
      <x:c r="A3106" s="22" t="n">
        <x:v>31758</x:v>
      </x:c>
      <x:c r="B3106" s="28" t="n">
        <x:v>135</x:v>
      </x:c>
      <x:c r="C3106" s="28"/>
      <x:c r="D3106" s="31" t="str">
        <x:f>IF(OR(ISBLANK(B3106),ISBLANK(C3106),B3106=0),"",(C3106-B3106)/B3106)</x:f>
      </x:c>
      <x:c r="E3106" s="22" t="str">
        <x:f>IF(ISBLANK(C3106),"AmountIncludingTax缺失",IF(ABS(B3106-C3106)&lt;0.005,"一致","不一致"))</x:f>
        <x:v>AmountIncludingTax缺失</x:v>
      </x:c>
      <x:c r="F3106" s="19" t="str">
        <x:v>approved</x:v>
      </x:c>
      <x:c r="G3106" s="19" t="str">
        <x:v>Repairer Invoiced Processed</x:v>
      </x:c>
      <x:c r="H3106" s="19" t="str">
        <x:v>Pre Delivery</x:v>
      </x:c>
      <x:c r="I3106" s="37" t="n">
        <x:v>46085</x:v>
      </x:c>
      <x:c r="J3106" s="37" t="n">
        <x:v>46085</x:v>
      </x:c>
      <x:c r="K3106" s="19" t="str">
        <x:v>Snowy River Wangaratta</x:v>
      </x:c>
      <x:c r="L3106" s="19" t="str">
        <x:v>Z005</x:v>
      </x:c>
      <x:c r="M3106" s="19" t="str">
        <x:v>Pre Delivery Warranty Claims</x:v>
      </x:c>
      <x:c r="N3106" s="37" t="n">
        <x:v>46083</x:v>
      </x:c>
      <x:c r="O3106" s="37"/>
      <x:c r="P3106" s="34" t="n">
        <x:v>0</x:v>
      </x:c>
      <x:c r="Q3106" s="37" t="n">
        <x:v>46085.123761574076</x:v>
      </x:c>
    </x:row>
    <x:row r="3107">
      <x:c r="A3107" s="22" t="n">
        <x:v>31757</x:v>
      </x:c>
      <x:c r="B3107" s="28" t="n">
        <x:v>903.75</x:v>
      </x:c>
      <x:c r="C3107" s="28"/>
      <x:c r="D3107" s="31" t="str">
        <x:f>IF(OR(ISBLANK(B3107),ISBLANK(C3107),B3107=0),"",(C3107-B3107)/B3107)</x:f>
      </x:c>
      <x:c r="E3107" s="22" t="str">
        <x:f>IF(ISBLANK(C3107),"AmountIncludingTax缺失",IF(ABS(B3107-C3107)&lt;0.005,"一致","不一致"))</x:f>
        <x:v>AmountIncludingTax缺失</x:v>
      </x:c>
      <x:c r="F3107" s="19" t="str">
        <x:v>approved</x:v>
      </x:c>
      <x:c r="G3107" s="19" t="str">
        <x:v>Repair in Progress</x:v>
      </x:c>
      <x:c r="H3107" s="19" t="str">
        <x:v>In Field</x:v>
      </x:c>
      <x:c r="I3107" s="37" t="n">
        <x:v>46092</x:v>
      </x:c>
      <x:c r="J3107" s="37" t="n">
        <x:v>46092</x:v>
      </x:c>
      <x:c r="K3107" s="19" t="str">
        <x:v>Green RV - Slacks Creek</x:v>
      </x:c>
      <x:c r="L3107" s="19" t="str">
        <x:v>Z006</x:v>
      </x:c>
      <x:c r="M3107" s="19" t="str">
        <x:v>In Field Warranty Claims</x:v>
      </x:c>
      <x:c r="N3107" s="37" t="n">
        <x:v>46083</x:v>
      </x:c>
      <x:c r="O3107" s="37"/>
      <x:c r="P3107" s="34" t="n">
        <x:v>0</x:v>
      </x:c>
      <x:c r="Q3107" s="37" t="n">
        <x:v>46091.90684027778</x:v>
      </x:c>
    </x:row>
    <x:row r="3108">
      <x:c r="A3108" s="22" t="n">
        <x:v>31756</x:v>
      </x:c>
      <x:c r="B3108" s="28" t="n">
        <x:v>1356.25</x:v>
      </x:c>
      <x:c r="C3108" s="28"/>
      <x:c r="D3108" s="31" t="str">
        <x:f>IF(OR(ISBLANK(B3108),ISBLANK(C3108),B3108=0),"",(C3108-B3108)/B3108)</x:f>
      </x:c>
      <x:c r="E3108" s="22" t="str">
        <x:f>IF(ISBLANK(C3108),"AmountIncludingTax缺失",IF(ABS(B3108-C3108)&lt;0.005,"一致","不一致"))</x:f>
        <x:v>AmountIncludingTax缺失</x:v>
      </x:c>
      <x:c r="F3108" s="19" t="str">
        <x:v>approved</x:v>
      </x:c>
      <x:c r="G3108" s="19" t="str">
        <x:v>Repair in Progress</x:v>
      </x:c>
      <x:c r="H3108" s="19" t="str">
        <x:v>In Field</x:v>
      </x:c>
      <x:c r="I3108" s="37" t="n">
        <x:v>46101</x:v>
      </x:c>
      <x:c r="J3108" s="37" t="n">
        <x:v>46101</x:v>
      </x:c>
      <x:c r="K3108" s="19" t="str">
        <x:v>Lesiure Lion-New Castle</x:v>
      </x:c>
      <x:c r="L3108" s="19" t="str">
        <x:v>Z006</x:v>
      </x:c>
      <x:c r="M3108" s="19" t="str">
        <x:v>In Field Warranty Claims</x:v>
      </x:c>
      <x:c r="N3108" s="37" t="n">
        <x:v>46083</x:v>
      </x:c>
      <x:c r="O3108" s="37"/>
      <x:c r="P3108" s="34" t="n">
        <x:v>0</x:v>
      </x:c>
      <x:c r="Q3108" s="37" t="n">
        <x:v>46100.91475694445</x:v>
      </x:c>
    </x:row>
    <x:row r="3109">
      <x:c r="A3109" s="22" t="n">
        <x:v>31755</x:v>
      </x:c>
      <x:c r="B3109" s="28" t="n">
        <x:v>1618.75</x:v>
      </x:c>
      <x:c r="C3109" s="28"/>
      <x:c r="D3109" s="31" t="str">
        <x:f>IF(OR(ISBLANK(B3109),ISBLANK(C3109),B3109=0),"",(C3109-B3109)/B3109)</x:f>
      </x:c>
      <x:c r="E3109" s="22" t="str">
        <x:f>IF(ISBLANK(C3109),"AmountIncludingTax缺失",IF(ABS(B3109-C3109)&lt;0.005,"一致","不一致"))</x:f>
        <x:v>AmountIncludingTax缺失</x:v>
      </x:c>
      <x:c r="F3109" s="19" t="str">
        <x:v>approved</x:v>
      </x:c>
      <x:c r="G3109" s="19" t="str">
        <x:v>Repair in Progress</x:v>
      </x:c>
      <x:c r="H3109" s="19" t="str">
        <x:v>In Field</x:v>
      </x:c>
      <x:c r="I3109" s="37" t="n">
        <x:v>46167</x:v>
      </x:c>
      <x:c r="J3109" s="37" t="n">
        <x:v>46098</x:v>
      </x:c>
      <x:c r="K3109" s="19" t="str">
        <x:v>Not Assigned</x:v>
      </x:c>
      <x:c r="L3109" s="19" t="str">
        <x:v>Z006</x:v>
      </x:c>
      <x:c r="M3109" s="19" t="str">
        <x:v>In Field Warranty Claims</x:v>
      </x:c>
      <x:c r="N3109" s="37" t="n">
        <x:v>46083</x:v>
      </x:c>
      <x:c r="O3109" s="37"/>
      <x:c r="P3109" s="34" t="n">
        <x:v>0</x:v>
      </x:c>
      <x:c r="Q3109" s="37" t="n">
        <x:v>46167.0534375</x:v>
      </x:c>
    </x:row>
    <x:row r="3110">
      <x:c r="A3110" s="22" t="n">
        <x:v>31752</x:v>
      </x:c>
      <x:c r="B3110" s="28" t="n">
        <x:v>432</x:v>
      </x:c>
      <x:c r="C3110" s="28" t="n">
        <x:v>475.2</x:v>
      </x:c>
      <x:c r="D3110" s="31" t="n">
        <x:f>IF(OR(ISBLANK(B3110),ISBLANK(C3110),B3110=0),"",(C3110-B3110)/B3110)</x:f>
        <x:v>0.09999999999999998</x:v>
      </x:c>
      <x:c r="E3110" s="22" t="str">
        <x:f>IF(ISBLANK(C3110),"AmountIncludingTax缺失",IF(ABS(B3110-C3110)&lt;0.005,"一致","不一致"))</x:f>
        <x:v>不一致</x:v>
      </x:c>
      <x:c r="F3110" s="19" t="str">
        <x:v>approved</x:v>
      </x:c>
      <x:c r="G3110" s="19" t="str">
        <x:v>Repairer Invoiced Processed</x:v>
      </x:c>
      <x:c r="H3110" s="19" t="str">
        <x:v>In Field</x:v>
      </x:c>
      <x:c r="I3110" s="37" t="n">
        <x:v>46189</x:v>
      </x:c>
      <x:c r="J3110" s="37" t="n">
        <x:v>46189</x:v>
      </x:c>
      <x:c r="K3110" s="19" t="str">
        <x:v>Green RV - Forest Glen</x:v>
      </x:c>
      <x:c r="L3110" s="19" t="str">
        <x:v>Z006</x:v>
      </x:c>
      <x:c r="M3110" s="19" t="str">
        <x:v>In Field Warranty Claims</x:v>
      </x:c>
      <x:c r="N3110" s="37" t="n">
        <x:v>46081</x:v>
      </x:c>
      <x:c r="O3110" s="37" t="n">
        <x:v>46099</x:v>
      </x:c>
      <x:c r="P3110" s="34" t="n">
        <x:v>475.2</x:v>
      </x:c>
      <x:c r="Q3110" s="37" t="n">
        <x:v>46189.061203703706</x:v>
      </x:c>
    </x:row>
    <x:row r="3111">
      <x:c r="A3111" s="22" t="n">
        <x:v>31751</x:v>
      </x:c>
      <x:c r="B3111" s="28" t="n">
        <x:v>81.82</x:v>
      </x:c>
      <x:c r="C3111" s="28" t="n">
        <x:v>90</x:v>
      </x:c>
      <x:c r="D3111" s="31" t="n">
        <x:f>IF(OR(ISBLANK(B3111),ISBLANK(C3111),B3111=0),"",(C3111-B3111)/B3111)</x:f>
        <x:v>0.09997555609875346</x:v>
      </x:c>
      <x:c r="E3111" s="22" t="str">
        <x:f>IF(ISBLANK(C3111),"AmountIncludingTax缺失",IF(ABS(B3111-C3111)&lt;0.005,"一致","不一致"))</x:f>
        <x:v>不一致</x:v>
      </x:c>
      <x:c r="F3111" s="19" t="str">
        <x:v>approved</x:v>
      </x:c>
      <x:c r="G3111" s="19" t="str">
        <x:v>Repair in Progress</x:v>
      </x:c>
      <x:c r="H3111" s="19" t="str">
        <x:v>In Field</x:v>
      </x:c>
      <x:c r="I3111" s="37" t="n">
        <x:v>46100</x:v>
      </x:c>
      <x:c r="J3111" s="37" t="n">
        <x:v>46100</x:v>
      </x:c>
      <x:c r="K3111" s="19" t="str">
        <x:v>Green RV - Forest Glen</x:v>
      </x:c>
      <x:c r="L3111" s="19" t="str">
        <x:v>Z006</x:v>
      </x:c>
      <x:c r="M3111" s="19" t="str">
        <x:v>In Field Warranty Claims</x:v>
      </x:c>
      <x:c r="N3111" s="37" t="n">
        <x:v>46080</x:v>
      </x:c>
      <x:c r="O3111" s="37"/>
      <x:c r="P3111" s="34" t="n">
        <x:v>90</x:v>
      </x:c>
      <x:c r="Q3111" s="37" t="n">
        <x:v>46100.03847222222</x:v>
      </x:c>
    </x:row>
    <x:row r="3112">
      <x:c r="A3112" s="22" t="n">
        <x:v>31748</x:v>
      </x:c>
      <x:c r="B3112" s="28" t="n">
        <x:v>67.5</x:v>
      </x:c>
      <x:c r="C3112" s="28" t="n">
        <x:v>74.25</x:v>
      </x:c>
      <x:c r="D3112" s="31" t="n">
        <x:f>IF(OR(ISBLANK(B3112),ISBLANK(C3112),B3112=0),"",(C3112-B3112)/B3112)</x:f>
        <x:v>0.1</x:v>
      </x:c>
      <x:c r="E3112" s="22" t="str">
        <x:f>IF(ISBLANK(C3112),"AmountIncludingTax缺失",IF(ABS(B3112-C3112)&lt;0.005,"一致","不一致"))</x:f>
        <x:v>不一致</x:v>
      </x:c>
      <x:c r="F3112" s="19" t="str">
        <x:v>approved</x:v>
      </x:c>
      <x:c r="G3112" s="19" t="str">
        <x:v>Repairer Invoiced Processed</x:v>
      </x:c>
      <x:c r="H3112" s="19" t="str">
        <x:v>Pre Delivery</x:v>
      </x:c>
      <x:c r="I3112" s="37" t="n">
        <x:v>46156</x:v>
      </x:c>
      <x:c r="J3112" s="37" t="n">
        <x:v>46156</x:v>
      </x:c>
      <x:c r="K3112" s="19" t="str">
        <x:v>Regent RV Pty Ltd</x:v>
      </x:c>
      <x:c r="L3112" s="19" t="str">
        <x:v>Z005</x:v>
      </x:c>
      <x:c r="M3112" s="19" t="str">
        <x:v>Pre Delivery Warranty Claims</x:v>
      </x:c>
      <x:c r="N3112" s="37" t="n">
        <x:v>46083</x:v>
      </x:c>
      <x:c r="O3112" s="37"/>
      <x:c r="P3112" s="34" t="n">
        <x:v>74.25</x:v>
      </x:c>
      <x:c r="Q3112" s="37" t="n">
        <x:v>46156.21346064815</x:v>
      </x:c>
    </x:row>
    <x:row r="3113">
      <x:c r="A3113" s="22" t="n">
        <x:v>31747</x:v>
      </x:c>
      <x:c r="B3113" s="28" t="n">
        <x:v>365</x:v>
      </x:c>
      <x:c r="C3113" s="28" t="n">
        <x:v>401.5</x:v>
      </x:c>
      <x:c r="D3113" s="31" t="n">
        <x:f>IF(OR(ISBLANK(B3113),ISBLANK(C3113),B3113=0),"",(C3113-B3113)/B3113)</x:f>
        <x:v>0.1</x:v>
      </x:c>
      <x:c r="E3113" s="22" t="str">
        <x:f>IF(ISBLANK(C3113),"AmountIncludingTax缺失",IF(ABS(B3113-C3113)&lt;0.005,"一致","不一致"))</x:f>
        <x:v>不一致</x:v>
      </x:c>
      <x:c r="F3113" s="19" t="str">
        <x:v>approved</x:v>
      </x:c>
      <x:c r="G3113" s="19" t="str">
        <x:v>Repairer Invoiced Processed</x:v>
      </x:c>
      <x:c r="H3113" s="19" t="str">
        <x:v>In Field</x:v>
      </x:c>
      <x:c r="I3113" s="37" t="n">
        <x:v>46127</x:v>
      </x:c>
      <x:c r="J3113" s="37" t="n">
        <x:v>46127</x:v>
      </x:c>
      <x:c r="K3113" s="19" t="str">
        <x:v>Regent RV Pty Ltd</x:v>
      </x:c>
      <x:c r="L3113" s="19" t="str">
        <x:v>Z006</x:v>
      </x:c>
      <x:c r="M3113" s="19" t="str">
        <x:v>In Field Warranty Claims</x:v>
      </x:c>
      <x:c r="N3113" s="37" t="n">
        <x:v>46083</x:v>
      </x:c>
      <x:c r="O3113" s="37"/>
      <x:c r="P3113" s="34" t="n">
        <x:v>401.5</x:v>
      </x:c>
      <x:c r="Q3113" s="37" t="n">
        <x:v>46126.984768518516</x:v>
      </x:c>
    </x:row>
    <x:row r="3114">
      <x:c r="A3114" s="22" t="n">
        <x:v>31746</x:v>
      </x:c>
      <x:c r="B3114" s="28" t="n">
        <x:v>1183.86</x:v>
      </x:c>
      <x:c r="C3114" s="28"/>
      <x:c r="D3114" s="31" t="str">
        <x:f>IF(OR(ISBLANK(B3114),ISBLANK(C3114),B3114=0),"",(C3114-B3114)/B3114)</x:f>
      </x:c>
      <x:c r="E3114" s="22" t="str">
        <x:f>IF(ISBLANK(C3114),"AmountIncludingTax缺失",IF(ABS(B3114-C3114)&lt;0.005,"一致","不一致"))</x:f>
        <x:v>AmountIncludingTax缺失</x:v>
      </x:c>
      <x:c r="F3114" s="19" t="str">
        <x:v>approved</x:v>
      </x:c>
      <x:c r="G3114" s="19" t="str">
        <x:v>Repairer Invoiced Processed</x:v>
      </x:c>
      <x:c r="H3114" s="19" t="str">
        <x:v>Pre Delivery</x:v>
      </x:c>
      <x:c r="I3114" s="37" t="n">
        <x:v>46171</x:v>
      </x:c>
      <x:c r="J3114" s="37" t="n">
        <x:v>46114</x:v>
      </x:c>
      <x:c r="K3114" s="19" t="str">
        <x:v>Lesiure Lion-New Castle</x:v>
      </x:c>
      <x:c r="L3114" s="19" t="str">
        <x:v>Z005</x:v>
      </x:c>
      <x:c r="M3114" s="19" t="str">
        <x:v>Pre Delivery Warranty Claims</x:v>
      </x:c>
      <x:c r="N3114" s="37" t="n">
        <x:v>46082</x:v>
      </x:c>
      <x:c r="O3114" s="37"/>
      <x:c r="P3114" s="34" t="n">
        <x:v>0</x:v>
      </x:c>
      <x:c r="Q3114" s="37" t="n">
        <x:v>46170.95381944445</x:v>
      </x:c>
    </x:row>
    <x:row r="3115">
      <x:c r="A3115" s="22" t="n">
        <x:v>31745</x:v>
      </x:c>
      <x:c r="B3115" s="28" t="n">
        <x:v>1282.5</x:v>
      </x:c>
      <x:c r="C3115" s="28"/>
      <x:c r="D3115" s="31" t="str">
        <x:f>IF(OR(ISBLANK(B3115),ISBLANK(C3115),B3115=0),"",(C3115-B3115)/B3115)</x:f>
      </x:c>
      <x:c r="E3115" s="22" t="str">
        <x:f>IF(ISBLANK(C3115),"AmountIncludingTax缺失",IF(ABS(B3115-C3115)&lt;0.005,"一致","不一致"))</x:f>
        <x:v>AmountIncludingTax缺失</x:v>
      </x:c>
      <x:c r="F3115" s="19" t="str">
        <x:v>approved</x:v>
      </x:c>
      <x:c r="G3115" s="19" t="str">
        <x:v>Repair in Progress</x:v>
      </x:c>
      <x:c r="H3115" s="19" t="str">
        <x:v>In Field</x:v>
      </x:c>
      <x:c r="I3115" s="37" t="n">
        <x:v>46182</x:v>
      </x:c>
      <x:c r="J3115" s="37" t="n">
        <x:v>46182</x:v>
      </x:c>
      <x:c r="K3115" s="19" t="str">
        <x:v>Not Assigned</x:v>
      </x:c>
      <x:c r="L3115" s="19" t="str">
        <x:v>Z006</x:v>
      </x:c>
      <x:c r="M3115" s="19" t="str">
        <x:v>In Field Warranty Claims</x:v>
      </x:c>
      <x:c r="N3115" s="37" t="n">
        <x:v>46082</x:v>
      </x:c>
      <x:c r="O3115" s="37"/>
      <x:c r="P3115" s="34" t="n">
        <x:v>0</x:v>
      </x:c>
      <x:c r="Q3115" s="37" t="n">
        <x:v>46182.146585648145</x:v>
      </x:c>
    </x:row>
    <x:row r="3116">
      <x:c r="A3116" s="22" t="n">
        <x:v>31740</x:v>
      </x:c>
      <x:c r="B3116" s="28" t="n">
        <x:v>760.01</x:v>
      </x:c>
      <x:c r="C3116" s="28"/>
      <x:c r="D3116" s="31" t="str">
        <x:f>IF(OR(ISBLANK(B3116),ISBLANK(C3116),B3116=0),"",(C3116-B3116)/B3116)</x:f>
      </x:c>
      <x:c r="E3116" s="22" t="str">
        <x:f>IF(ISBLANK(C3116),"AmountIncludingTax缺失",IF(ABS(B3116-C3116)&lt;0.005,"一致","不一致"))</x:f>
        <x:v>AmountIncludingTax缺失</x:v>
      </x:c>
      <x:c r="F3116" s="19" t="str">
        <x:v>approved</x:v>
      </x:c>
      <x:c r="G3116" s="19" t="str">
        <x:v>Repair in Progress</x:v>
      </x:c>
      <x:c r="H3116" s="19" t="str">
        <x:v>In Field</x:v>
      </x:c>
      <x:c r="I3116" s="37" t="n">
        <x:v>46096</x:v>
      </x:c>
      <x:c r="J3116" s="37" t="n">
        <x:v>46096</x:v>
      </x:c>
      <x:c r="K3116" s="19" t="str">
        <x:v>Auswide Caravans - South Nowra</x:v>
      </x:c>
      <x:c r="L3116" s="19" t="str">
        <x:v>Z006</x:v>
      </x:c>
      <x:c r="M3116" s="19" t="str">
        <x:v>In Field Warranty Claims</x:v>
      </x:c>
      <x:c r="N3116" s="37" t="n">
        <x:v>46080</x:v>
      </x:c>
      <x:c r="O3116" s="37"/>
      <x:c r="P3116" s="34" t="n">
        <x:v>0</x:v>
      </x:c>
      <x:c r="Q3116" s="37" t="n">
        <x:v>46096.49650462963</x:v>
      </x:c>
    </x:row>
    <x:row r="3117">
      <x:c r="A3117" s="22" t="n">
        <x:v>31735</x:v>
      </x:c>
      <x:c r="B3117" s="28" t="n">
        <x:v>260.57</x:v>
      </x:c>
      <x:c r="C3117" s="28"/>
      <x:c r="D3117" s="31" t="str">
        <x:f>IF(OR(ISBLANK(B3117),ISBLANK(C3117),B3117=0),"",(C3117-B3117)/B3117)</x:f>
      </x:c>
      <x:c r="E3117" s="22" t="str">
        <x:f>IF(ISBLANK(C3117),"AmountIncludingTax缺失",IF(ABS(B3117-C3117)&lt;0.005,"一致","不一致"))</x:f>
        <x:v>AmountIncludingTax缺失</x:v>
      </x:c>
      <x:c r="F3117" s="19" t="str">
        <x:v>approved</x:v>
      </x:c>
      <x:c r="G3117" s="19" t="str">
        <x:v>Repair in Progress</x:v>
      </x:c>
      <x:c r="H3117" s="19" t="str">
        <x:v>In Field</x:v>
      </x:c>
      <x:c r="I3117" s="37" t="n">
        <x:v>46096</x:v>
      </x:c>
      <x:c r="J3117" s="37" t="n">
        <x:v>46096</x:v>
      </x:c>
      <x:c r="K3117" s="19" t="str">
        <x:v>The Caravan Hub - Townsville</x:v>
      </x:c>
      <x:c r="L3117" s="19" t="str">
        <x:v>Z006</x:v>
      </x:c>
      <x:c r="M3117" s="19" t="str">
        <x:v>In Field Warranty Claims</x:v>
      </x:c>
      <x:c r="N3117" s="37" t="n">
        <x:v>46080</x:v>
      </x:c>
      <x:c r="O3117" s="37"/>
      <x:c r="P3117" s="34" t="n">
        <x:v>0</x:v>
      </x:c>
      <x:c r="Q3117" s="37" t="n">
        <x:v>46096.51256944444</x:v>
      </x:c>
    </x:row>
    <x:row r="3118">
      <x:c r="A3118" s="22" t="n">
        <x:v>31734</x:v>
      </x:c>
      <x:c r="B3118" s="28" t="n">
        <x:v>135</x:v>
      </x:c>
      <x:c r="C3118" s="28"/>
      <x:c r="D3118" s="31" t="str">
        <x:f>IF(OR(ISBLANK(B3118),ISBLANK(C3118),B3118=0),"",(C3118-B3118)/B3118)</x:f>
      </x:c>
      <x:c r="E3118" s="22" t="str">
        <x:f>IF(ISBLANK(C3118),"AmountIncludingTax缺失",IF(ABS(B3118-C3118)&lt;0.005,"一致","不一致"))</x:f>
        <x:v>AmountIncludingTax缺失</x:v>
      </x:c>
      <x:c r="F3118" s="19" t="str">
        <x:v>approved</x:v>
      </x:c>
      <x:c r="G3118" s="19" t="str">
        <x:v>Repair in Progress</x:v>
      </x:c>
      <x:c r="H3118" s="19" t="str">
        <x:v>In Field</x:v>
      </x:c>
      <x:c r="I3118" s="37" t="n">
        <x:v>46087</x:v>
      </x:c>
      <x:c r="J3118" s="37" t="n">
        <x:v>46087</x:v>
      </x:c>
      <x:c r="K3118" s="19" t="str">
        <x:v>Not Assigned</x:v>
      </x:c>
      <x:c r="L3118" s="19" t="str">
        <x:v>Z006</x:v>
      </x:c>
      <x:c r="M3118" s="19" t="str">
        <x:v>In Field Warranty Claims</x:v>
      </x:c>
      <x:c r="N3118" s="37" t="n">
        <x:v>46080</x:v>
      </x:c>
      <x:c r="O3118" s="37"/>
      <x:c r="P3118" s="34" t="n">
        <x:v>0</x:v>
      </x:c>
      <x:c r="Q3118" s="37" t="n">
        <x:v>46086.941782407404</x:v>
      </x:c>
    </x:row>
    <x:row r="3119">
      <x:c r="A3119" s="22" t="n">
        <x:v>31733</x:v>
      </x:c>
      <x:c r="B3119" s="28" t="n">
        <x:v>202.5</x:v>
      </x:c>
      <x:c r="C3119" s="28" t="n">
        <x:v>222.75</x:v>
      </x:c>
      <x:c r="D3119" s="31" t="n">
        <x:f>IF(OR(ISBLANK(B3119),ISBLANK(C3119),B3119=0),"",(C3119-B3119)/B3119)</x:f>
        <x:v>0.1</x:v>
      </x:c>
      <x:c r="E3119" s="22" t="str">
        <x:f>IF(ISBLANK(C3119),"AmountIncludingTax缺失",IF(ABS(B3119-C3119)&lt;0.005,"一致","不一致"))</x:f>
        <x:v>不一致</x:v>
      </x:c>
      <x:c r="F3119" s="19" t="str">
        <x:v>approved</x:v>
      </x:c>
      <x:c r="G3119" s="19" t="str">
        <x:v>Repairer Invoiced Processed</x:v>
      </x:c>
      <x:c r="H3119" s="19" t="str">
        <x:v>Pre Delivery</x:v>
      </x:c>
      <x:c r="I3119" s="37" t="n">
        <x:v>46092</x:v>
      </x:c>
      <x:c r="J3119" s="37" t="n">
        <x:v>46092</x:v>
      </x:c>
      <x:c r="K3119" s="19" t="str">
        <x:v>Great Ocean Road RV &amp; Caravans - Warrnambool</x:v>
      </x:c>
      <x:c r="L3119" s="19" t="str">
        <x:v>Z005</x:v>
      </x:c>
      <x:c r="M3119" s="19" t="str">
        <x:v>Pre Delivery Warranty Claims</x:v>
      </x:c>
      <x:c r="N3119" s="37" t="n">
        <x:v>46079</x:v>
      </x:c>
      <x:c r="O3119" s="37"/>
      <x:c r="P3119" s="34" t="n">
        <x:v>222.75</x:v>
      </x:c>
      <x:c r="Q3119" s="37" t="n">
        <x:v>46091.90708333333</x:v>
      </x:c>
    </x:row>
    <x:row r="3120">
      <x:c r="A3120" s="22" t="n">
        <x:v>31732</x:v>
      </x:c>
      <x:c r="B3120" s="28" t="n">
        <x:v>540</x:v>
      </x:c>
      <x:c r="C3120" s="28"/>
      <x:c r="D3120" s="31" t="str">
        <x:f>IF(OR(ISBLANK(B3120),ISBLANK(C3120),B3120=0),"",(C3120-B3120)/B3120)</x:f>
      </x:c>
      <x:c r="E3120" s="22" t="str">
        <x:f>IF(ISBLANK(C3120),"AmountIncludingTax缺失",IF(ABS(B3120-C3120)&lt;0.005,"一致","不一致"))</x:f>
        <x:v>AmountIncludingTax缺失</x:v>
      </x:c>
      <x:c r="F3120" s="19" t="str">
        <x:v>approved</x:v>
      </x:c>
      <x:c r="G3120" s="19" t="str">
        <x:v>Repair in Progress</x:v>
      </x:c>
      <x:c r="H3120" s="19" t="str">
        <x:v>In Field</x:v>
      </x:c>
      <x:c r="I3120" s="37" t="n">
        <x:v>46104</x:v>
      </x:c>
      <x:c r="J3120" s="37" t="n">
        <x:v>46104</x:v>
      </x:c>
      <x:c r="K3120" s="19" t="str">
        <x:v>Newcastle RV Super Centre - Beresfield</x:v>
      </x:c>
      <x:c r="L3120" s="19" t="str">
        <x:v>Z006</x:v>
      </x:c>
      <x:c r="M3120" s="19" t="str">
        <x:v>In Field Warranty Claims</x:v>
      </x:c>
      <x:c r="N3120" s="37" t="n">
        <x:v>46079</x:v>
      </x:c>
      <x:c r="O3120" s="37"/>
      <x:c r="P3120" s="34" t="n">
        <x:v>0</x:v>
      </x:c>
      <x:c r="Q3120" s="37" t="n">
        <x:v>46103.89331018519</x:v>
      </x:c>
    </x:row>
    <x:row r="3121">
      <x:c r="A3121" s="22" t="n">
        <x:v>31731</x:v>
      </x:c>
      <x:c r="B3121" s="28" t="n">
        <x:v>165.45</x:v>
      </x:c>
      <x:c r="C3121" s="28" t="n">
        <x:v>182</x:v>
      </x:c>
      <x:c r="D3121" s="31" t="n">
        <x:f>IF(OR(ISBLANK(B3121),ISBLANK(C3121),B3121=0),"",(C3121-B3121)/B3121)</x:f>
        <x:v>0.10003022061045641</x:v>
      </x:c>
      <x:c r="E3121" s="22" t="str">
        <x:f>IF(ISBLANK(C3121),"AmountIncludingTax缺失",IF(ABS(B3121-C3121)&lt;0.005,"一致","不一致"))</x:f>
        <x:v>不一致</x:v>
      </x:c>
      <x:c r="F3121" s="19" t="str">
        <x:v>approved</x:v>
      </x:c>
      <x:c r="G3121" s="19" t="str">
        <x:v>Repairer Invoiced Processed</x:v>
      </x:c>
      <x:c r="H3121" s="19" t="str">
        <x:v>In Field</x:v>
      </x:c>
      <x:c r="I3121" s="37" t="n">
        <x:v>46094</x:v>
      </x:c>
      <x:c r="J3121" s="37" t="n">
        <x:v>46094</x:v>
      </x:c>
      <x:c r="K3121" s="19" t="str">
        <x:v>Not Assigned</x:v>
      </x:c>
      <x:c r="L3121" s="19" t="str">
        <x:v>Z006</x:v>
      </x:c>
      <x:c r="M3121" s="19" t="str">
        <x:v>In Field Warranty Claims</x:v>
      </x:c>
      <x:c r="N3121" s="37" t="n">
        <x:v>46079</x:v>
      </x:c>
      <x:c r="O3121" s="37"/>
      <x:c r="P3121" s="34" t="n">
        <x:v>182</x:v>
      </x:c>
      <x:c r="Q3121" s="37" t="n">
        <x:v>46094.19537037037</x:v>
      </x:c>
    </x:row>
    <x:row r="3122">
      <x:c r="A3122" s="22" t="n">
        <x:v>31730</x:v>
      </x:c>
      <x:c r="B3122" s="28" t="n">
        <x:v>572.73</x:v>
      </x:c>
      <x:c r="C3122" s="28" t="n">
        <x:v>630</x:v>
      </x:c>
      <x:c r="D3122" s="31" t="n">
        <x:f>IF(OR(ISBLANK(B3122),ISBLANK(C3122),B3122=0),"",(C3122-B3122)/B3122)</x:f>
        <x:v>0.09999476192970506</x:v>
      </x:c>
      <x:c r="E3122" s="22" t="str">
        <x:f>IF(ISBLANK(C3122),"AmountIncludingTax缺失",IF(ABS(B3122-C3122)&lt;0.005,"一致","不一致"))</x:f>
        <x:v>不一致</x:v>
      </x:c>
      <x:c r="F3122" s="19" t="str">
        <x:v>approved</x:v>
      </x:c>
      <x:c r="G3122" s="19" t="str">
        <x:v>Repairer Invoiced Processed</x:v>
      </x:c>
      <x:c r="H3122" s="19" t="str">
        <x:v>In Field</x:v>
      </x:c>
      <x:c r="I3122" s="37" t="n">
        <x:v>46149</x:v>
      </x:c>
      <x:c r="J3122" s="37" t="n">
        <x:v>46149</x:v>
      </x:c>
      <x:c r="K3122" s="19" t="str">
        <x:v>Regent RV - Traralgon</x:v>
      </x:c>
      <x:c r="L3122" s="19" t="str">
        <x:v>Z006</x:v>
      </x:c>
      <x:c r="M3122" s="19" t="str">
        <x:v>In Field Warranty Claims</x:v>
      </x:c>
      <x:c r="N3122" s="37" t="n">
        <x:v>46080</x:v>
      </x:c>
      <x:c r="O3122" s="37"/>
      <x:c r="P3122" s="34" t="n">
        <x:v>630</x:v>
      </x:c>
      <x:c r="Q3122" s="37" t="n">
        <x:v>46149.115625</x:v>
      </x:c>
    </x:row>
    <x:row r="3123">
      <x:c r="A3123" s="22" t="n">
        <x:v>31729</x:v>
      </x:c>
      <x:c r="B3123" s="28" t="n">
        <x:v>122.73</x:v>
      </x:c>
      <x:c r="C3123" s="28"/>
      <x:c r="D3123" s="31" t="str">
        <x:f>IF(OR(ISBLANK(B3123),ISBLANK(C3123),B3123=0),"",(C3123-B3123)/B3123)</x:f>
      </x:c>
      <x:c r="E3123" s="22" t="str">
        <x:f>IF(ISBLANK(C3123),"AmountIncludingTax缺失",IF(ABS(B3123-C3123)&lt;0.005,"一致","不一致"))</x:f>
        <x:v>AmountIncludingTax缺失</x:v>
      </x:c>
      <x:c r="F3123" s="19" t="str">
        <x:v>approved</x:v>
      </x:c>
      <x:c r="G3123" s="19" t="str">
        <x:v>Repairer Invoiced Processed</x:v>
      </x:c>
      <x:c r="H3123" s="19" t="str">
        <x:v>Pre Delivery</x:v>
      </x:c>
      <x:c r="I3123" s="37" t="n">
        <x:v>46083</x:v>
      </x:c>
      <x:c r="J3123" s="37" t="n">
        <x:v>46083</x:v>
      </x:c>
      <x:c r="K3123" s="19" t="str">
        <x:v>Green RV - Slacks Creek</x:v>
      </x:c>
      <x:c r="L3123" s="19" t="str">
        <x:v>Z005</x:v>
      </x:c>
      <x:c r="M3123" s="19" t="str">
        <x:v>Pre Delivery Warranty Claims</x:v>
      </x:c>
      <x:c r="N3123" s="37" t="n">
        <x:v>46080</x:v>
      </x:c>
      <x:c r="O3123" s="37"/>
      <x:c r="P3123" s="34" t="n">
        <x:v>0</x:v>
      </x:c>
      <x:c r="Q3123" s="37" t="n">
        <x:v>46083.169652777775</x:v>
      </x:c>
    </x:row>
    <x:row r="3124">
      <x:c r="A3124" s="22" t="n">
        <x:v>31728</x:v>
      </x:c>
      <x:c r="B3124" s="28" t="n">
        <x:v>108.75</x:v>
      </x:c>
      <x:c r="C3124" s="28"/>
      <x:c r="D3124" s="31" t="str">
        <x:f>IF(OR(ISBLANK(B3124),ISBLANK(C3124),B3124=0),"",(C3124-B3124)/B3124)</x:f>
      </x:c>
      <x:c r="E3124" s="22" t="str">
        <x:f>IF(ISBLANK(C3124),"AmountIncludingTax缺失",IF(ABS(B3124-C3124)&lt;0.005,"一致","不一致"))</x:f>
        <x:v>AmountIncludingTax缺失</x:v>
      </x:c>
      <x:c r="F3124" s="19" t="str">
        <x:v>approved</x:v>
      </x:c>
      <x:c r="G3124" s="19" t="str">
        <x:v>Repair in Progress</x:v>
      </x:c>
      <x:c r="H3124" s="19" t="str">
        <x:v>In Field</x:v>
      </x:c>
      <x:c r="I3124" s="37" t="n">
        <x:v>46096</x:v>
      </x:c>
      <x:c r="J3124" s="37" t="n">
        <x:v>46096</x:v>
      </x:c>
      <x:c r="K3124" s="19" t="str">
        <x:v>Regent RV - Townsville</x:v>
      </x:c>
      <x:c r="L3124" s="19" t="str">
        <x:v>Z006</x:v>
      </x:c>
      <x:c r="M3124" s="19" t="str">
        <x:v>In Field Warranty Claims</x:v>
      </x:c>
      <x:c r="N3124" s="37" t="n">
        <x:v>46080</x:v>
      </x:c>
      <x:c r="O3124" s="37"/>
      <x:c r="P3124" s="34" t="n">
        <x:v>0</x:v>
      </x:c>
      <x:c r="Q3124" s="37" t="n">
        <x:v>46096.50177083333</x:v>
      </x:c>
    </x:row>
    <x:row r="3125">
      <x:c r="A3125" s="22" t="n">
        <x:v>31727</x:v>
      </x:c>
      <x:c r="B3125" s="28" t="n">
        <x:v>113.75</x:v>
      </x:c>
      <x:c r="C3125" s="28"/>
      <x:c r="D3125" s="31" t="str">
        <x:f>IF(OR(ISBLANK(B3125),ISBLANK(C3125),B3125=0),"",(C3125-B3125)/B3125)</x:f>
      </x:c>
      <x:c r="E3125" s="22" t="str">
        <x:f>IF(ISBLANK(C3125),"AmountIncludingTax缺失",IF(ABS(B3125-C3125)&lt;0.005,"一致","不一致"))</x:f>
        <x:v>AmountIncludingTax缺失</x:v>
      </x:c>
      <x:c r="F3125" s="19" t="str">
        <x:v>approved</x:v>
      </x:c>
      <x:c r="G3125" s="19" t="str">
        <x:v>Repairer Invoiced Processed</x:v>
      </x:c>
      <x:c r="H3125" s="19" t="str">
        <x:v>In Field</x:v>
      </x:c>
      <x:c r="I3125" s="37" t="n">
        <x:v>46082</x:v>
      </x:c>
      <x:c r="J3125" s="37" t="n">
        <x:v>46082</x:v>
      </x:c>
      <x:c r="K3125" s="19" t="str">
        <x:v>Regent RV - Townsville</x:v>
      </x:c>
      <x:c r="L3125" s="19" t="str">
        <x:v>Z006</x:v>
      </x:c>
      <x:c r="M3125" s="19" t="str">
        <x:v>In Field Warranty Claims</x:v>
      </x:c>
      <x:c r="N3125" s="37" t="n">
        <x:v>46080</x:v>
      </x:c>
      <x:c r="O3125" s="37"/>
      <x:c r="P3125" s="34" t="n">
        <x:v>0</x:v>
      </x:c>
      <x:c r="Q3125" s="37" t="n">
        <x:v>46082.23840277778</x:v>
      </x:c>
    </x:row>
    <x:row r="3126">
      <x:c r="A3126" s="22" t="n">
        <x:v>31726</x:v>
      </x:c>
      <x:c r="B3126" s="28" t="n">
        <x:v>1592.5</x:v>
      </x:c>
      <x:c r="C3126" s="28"/>
      <x:c r="D3126" s="31" t="str">
        <x:f>IF(OR(ISBLANK(B3126),ISBLANK(C3126),B3126=0),"",(C3126-B3126)/B3126)</x:f>
      </x:c>
      <x:c r="E3126" s="22" t="str">
        <x:f>IF(ISBLANK(C3126),"AmountIncludingTax缺失",IF(ABS(B3126-C3126)&lt;0.005,"一致","不一致"))</x:f>
        <x:v>AmountIncludingTax缺失</x:v>
      </x:c>
      <x:c r="F3126" s="19" t="str">
        <x:v>approved</x:v>
      </x:c>
      <x:c r="G3126" s="19" t="str">
        <x:v>Repairer Invoiced Processed</x:v>
      </x:c>
      <x:c r="H3126" s="19" t="str">
        <x:v>In Field</x:v>
      </x:c>
      <x:c r="I3126" s="37" t="n">
        <x:v>46104</x:v>
      </x:c>
      <x:c r="J3126" s="37" t="n">
        <x:v>46104</x:v>
      </x:c>
      <x:c r="K3126" s="19" t="str">
        <x:v>Not Assigned</x:v>
      </x:c>
      <x:c r="L3126" s="19" t="str">
        <x:v>Z006</x:v>
      </x:c>
      <x:c r="M3126" s="19" t="str">
        <x:v>In Field Warranty Claims</x:v>
      </x:c>
      <x:c r="N3126" s="37" t="n">
        <x:v>46080</x:v>
      </x:c>
      <x:c r="O3126" s="37"/>
      <x:c r="P3126" s="34" t="n">
        <x:v>0</x:v>
      </x:c>
      <x:c r="Q3126" s="37" t="n">
        <x:v>46104.12766203703</x:v>
      </x:c>
    </x:row>
    <x:row r="3127">
      <x:c r="A3127" s="22" t="n">
        <x:v>31725</x:v>
      </x:c>
      <x:c r="B3127" s="28" t="n">
        <x:v>1381.25</x:v>
      </x:c>
      <x:c r="C3127" s="28"/>
      <x:c r="D3127" s="31" t="str">
        <x:f>IF(OR(ISBLANK(B3127),ISBLANK(C3127),B3127=0),"",(C3127-B3127)/B3127)</x:f>
      </x:c>
      <x:c r="E3127" s="22" t="str">
        <x:f>IF(ISBLANK(C3127),"AmountIncludingTax缺失",IF(ABS(B3127-C3127)&lt;0.005,"一致","不一致"))</x:f>
        <x:v>AmountIncludingTax缺失</x:v>
      </x:c>
      <x:c r="F3127" s="19" t="str">
        <x:v>approved</x:v>
      </x:c>
      <x:c r="G3127" s="19" t="str">
        <x:v>Sales Order Approved</x:v>
      </x:c>
      <x:c r="H3127" s="19" t="str">
        <x:v>Pre Delivery</x:v>
      </x:c>
      <x:c r="I3127" s="37" t="n">
        <x:v>46178</x:v>
      </x:c>
      <x:c r="J3127" s="37" t="n">
        <x:v>46178</x:v>
      </x:c>
      <x:c r="K3127" s="19" t="str">
        <x:v>The Caravan Hub - Townsville</x:v>
      </x:c>
      <x:c r="L3127" s="19" t="str">
        <x:v>Z005</x:v>
      </x:c>
      <x:c r="M3127" s="19" t="str">
        <x:v>Pre Delivery Warranty Claims</x:v>
      </x:c>
      <x:c r="N3127" s="37" t="n">
        <x:v>46080</x:v>
      </x:c>
      <x:c r="O3127" s="37"/>
      <x:c r="P3127" s="34" t="n">
        <x:v>0</x:v>
      </x:c>
      <x:c r="Q3127" s="37" t="n">
        <x:v>46177.970983796295</x:v>
      </x:c>
    </x:row>
    <x:row r="3128">
      <x:c r="A3128" s="22" t="n">
        <x:v>31724</x:v>
      </x:c>
      <x:c r="B3128" s="28" t="n">
        <x:v>675</x:v>
      </x:c>
      <x:c r="C3128" s="28"/>
      <x:c r="D3128" s="31" t="str">
        <x:f>IF(OR(ISBLANK(B3128),ISBLANK(C3128),B3128=0),"",(C3128-B3128)/B3128)</x:f>
      </x:c>
      <x:c r="E3128" s="22" t="str">
        <x:f>IF(ISBLANK(C3128),"AmountIncludingTax缺失",IF(ABS(B3128-C3128)&lt;0.005,"一致","不一致"))</x:f>
        <x:v>AmountIncludingTax缺失</x:v>
      </x:c>
      <x:c r="F3128" s="19" t="str">
        <x:v>approved</x:v>
      </x:c>
      <x:c r="G3128" s="19" t="str">
        <x:v>Repairer Invoiced Processed</x:v>
      </x:c>
      <x:c r="H3128" s="19" t="str">
        <x:v>In Field</x:v>
      </x:c>
      <x:c r="I3128" s="37" t="n">
        <x:v>46087</x:v>
      </x:c>
      <x:c r="J3128" s="37" t="n">
        <x:v>46087</x:v>
      </x:c>
      <x:c r="K3128" s="19" t="str">
        <x:v>Not Assigned</x:v>
      </x:c>
      <x:c r="L3128" s="19" t="str">
        <x:v>Z006</x:v>
      </x:c>
      <x:c r="M3128" s="19" t="str">
        <x:v>In Field Warranty Claims</x:v>
      </x:c>
      <x:c r="N3128" s="37" t="n">
        <x:v>46080</x:v>
      </x:c>
      <x:c r="O3128" s="37"/>
      <x:c r="P3128" s="34" t="n">
        <x:v>0</x:v>
      </x:c>
      <x:c r="Q3128" s="37" t="n">
        <x:v>46087.051712962966</x:v>
      </x:c>
    </x:row>
    <x:row r="3129">
      <x:c r="A3129" s="22" t="n">
        <x:v>31723</x:v>
      </x:c>
      <x:c r="B3129" s="28" t="n">
        <x:v>222.5</x:v>
      </x:c>
      <x:c r="C3129" s="28"/>
      <x:c r="D3129" s="31" t="str">
        <x:f>IF(OR(ISBLANK(B3129),ISBLANK(C3129),B3129=0),"",(C3129-B3129)/B3129)</x:f>
      </x:c>
      <x:c r="E3129" s="22" t="str">
        <x:f>IF(ISBLANK(C3129),"AmountIncludingTax缺失",IF(ABS(B3129-C3129)&lt;0.005,"一致","不一致"))</x:f>
        <x:v>AmountIncludingTax缺失</x:v>
      </x:c>
      <x:c r="F3129" s="19" t="str">
        <x:v>approved</x:v>
      </x:c>
      <x:c r="G3129" s="19" t="str">
        <x:v>Sales Order Approved</x:v>
      </x:c>
      <x:c r="H3129" s="19" t="str">
        <x:v>Pre Delivery</x:v>
      </x:c>
      <x:c r="I3129" s="37" t="n">
        <x:v>46135</x:v>
      </x:c>
      <x:c r="J3129" s="37" t="n">
        <x:v>46135</x:v>
      </x:c>
      <x:c r="K3129" s="19" t="str">
        <x:v>Snowy River Wangaratta</x:v>
      </x:c>
      <x:c r="L3129" s="19" t="str">
        <x:v>Z005</x:v>
      </x:c>
      <x:c r="M3129" s="19" t="str">
        <x:v>Pre Delivery Warranty Claims</x:v>
      </x:c>
      <x:c r="N3129" s="37" t="n">
        <x:v>46080</x:v>
      </x:c>
      <x:c r="O3129" s="37"/>
      <x:c r="P3129" s="34" t="n">
        <x:v>0</x:v>
      </x:c>
      <x:c r="Q3129" s="37" t="n">
        <x:v>46134.93440972222</x:v>
      </x:c>
    </x:row>
    <x:row r="3130">
      <x:c r="A3130" s="22" t="n">
        <x:v>31721</x:v>
      </x:c>
      <x:c r="B3130" s="28" t="n">
        <x:v>145</x:v>
      </x:c>
      <x:c r="C3130" s="28" t="n">
        <x:v>159.5</x:v>
      </x:c>
      <x:c r="D3130" s="31" t="n">
        <x:f>IF(OR(ISBLANK(B3130),ISBLANK(C3130),B3130=0),"",(C3130-B3130)/B3130)</x:f>
        <x:v>0.1</x:v>
      </x:c>
      <x:c r="E3130" s="22" t="str">
        <x:f>IF(ISBLANK(C3130),"AmountIncludingTax缺失",IF(ABS(B3130-C3130)&lt;0.005,"一致","不一致"))</x:f>
        <x:v>不一致</x:v>
      </x:c>
      <x:c r="F3130" s="19" t="str">
        <x:v>approved</x:v>
      </x:c>
      <x:c r="G3130" s="19" t="str">
        <x:v>Repairer Invoiced Processed</x:v>
      </x:c>
      <x:c r="H3130" s="19" t="str">
        <x:v>In Field</x:v>
      </x:c>
      <x:c r="I3130" s="37" t="n">
        <x:v>46175</x:v>
      </x:c>
      <x:c r="J3130" s="37" t="n">
        <x:v>46175</x:v>
      </x:c>
      <x:c r="K3130" s="19" t="str">
        <x:v>The Caravan Hub - Townsville</x:v>
      </x:c>
      <x:c r="L3130" s="19" t="str">
        <x:v>Z006</x:v>
      </x:c>
      <x:c r="M3130" s="19" t="str">
        <x:v>In Field Warranty Claims</x:v>
      </x:c>
      <x:c r="N3130" s="37" t="n">
        <x:v>46079</x:v>
      </x:c>
      <x:c r="O3130" s="37"/>
      <x:c r="P3130" s="34" t="n">
        <x:v>159.5</x:v>
      </x:c>
      <x:c r="Q3130" s="37" t="n">
        <x:v>46175.20327546296</x:v>
      </x:c>
    </x:row>
    <x:row r="3131">
      <x:c r="A3131" s="22" t="n">
        <x:v>31719</x:v>
      </x:c>
      <x:c r="B3131" s="28" t="n">
        <x:v>540</x:v>
      </x:c>
      <x:c r="C3131" s="28"/>
      <x:c r="D3131" s="31" t="str">
        <x:f>IF(OR(ISBLANK(B3131),ISBLANK(C3131),B3131=0),"",(C3131-B3131)/B3131)</x:f>
      </x:c>
      <x:c r="E3131" s="22" t="str">
        <x:f>IF(ISBLANK(C3131),"AmountIncludingTax缺失",IF(ABS(B3131-C3131)&lt;0.005,"一致","不一致"))</x:f>
        <x:v>AmountIncludingTax缺失</x:v>
      </x:c>
      <x:c r="F3131" s="19" t="str">
        <x:v>approved</x:v>
      </x:c>
      <x:c r="G3131" s="19" t="str">
        <x:v>Repair in Progress</x:v>
      </x:c>
      <x:c r="H3131" s="19" t="str">
        <x:v>In Field</x:v>
      </x:c>
      <x:c r="I3131" s="37" t="n">
        <x:v>46106</x:v>
      </x:c>
      <x:c r="J3131" s="37" t="n">
        <x:v>46106</x:v>
      </x:c>
      <x:c r="K3131" s="19" t="str">
        <x:v>Not Assigned</x:v>
      </x:c>
      <x:c r="L3131" s="19" t="str">
        <x:v>Z006</x:v>
      </x:c>
      <x:c r="M3131" s="19" t="str">
        <x:v>In Field Warranty Claims</x:v>
      </x:c>
      <x:c r="N3131" s="37" t="n">
        <x:v>46079</x:v>
      </x:c>
      <x:c r="O3131" s="37"/>
      <x:c r="P3131" s="34" t="n">
        <x:v>0</x:v>
      </x:c>
      <x:c r="Q3131" s="37" t="n">
        <x:v>46106.15043981482</x:v>
      </x:c>
    </x:row>
    <x:row r="3132">
      <x:c r="A3132" s="22" t="n">
        <x:v>31718</x:v>
      </x:c>
      <x:c r="B3132" s="28" t="n">
        <x:v>675</x:v>
      </x:c>
      <x:c r="C3132" s="28" t="n">
        <x:v>742.5</x:v>
      </x:c>
      <x:c r="D3132" s="31" t="n">
        <x:f>IF(OR(ISBLANK(B3132),ISBLANK(C3132),B3132=0),"",(C3132-B3132)/B3132)</x:f>
        <x:v>0.1</x:v>
      </x:c>
      <x:c r="E3132" s="22" t="str">
        <x:f>IF(ISBLANK(C3132),"AmountIncludingTax缺失",IF(ABS(B3132-C3132)&lt;0.005,"一致","不一致"))</x:f>
        <x:v>不一致</x:v>
      </x:c>
      <x:c r="F3132" s="19" t="str">
        <x:v>approved</x:v>
      </x:c>
      <x:c r="G3132" s="19" t="str">
        <x:v>Repair in Progress</x:v>
      </x:c>
      <x:c r="H3132" s="19" t="str">
        <x:v>In Field</x:v>
      </x:c>
      <x:c r="I3132" s="37" t="n">
        <x:v>46105</x:v>
      </x:c>
      <x:c r="J3132" s="37" t="n">
        <x:v>46105</x:v>
      </x:c>
      <x:c r="K3132" s="19" t="str">
        <x:v>Green RV - Forest Glen</x:v>
      </x:c>
      <x:c r="L3132" s="19" t="str">
        <x:v>Z006</x:v>
      </x:c>
      <x:c r="M3132" s="19" t="str">
        <x:v>In Field Warranty Claims</x:v>
      </x:c>
      <x:c r="N3132" s="37" t="n">
        <x:v>46079</x:v>
      </x:c>
      <x:c r="O3132" s="37"/>
      <x:c r="P3132" s="34" t="n">
        <x:v>742.5</x:v>
      </x:c>
      <x:c r="Q3132" s="37" t="n">
        <x:v>46105.119733796295</x:v>
      </x:c>
    </x:row>
    <x:row r="3133">
      <x:c r="A3133" s="22" t="n">
        <x:v>31717</x:v>
      </x:c>
      <x:c r="B3133" s="28" t="n">
        <x:v>1095.68</x:v>
      </x:c>
      <x:c r="C3133" s="28"/>
      <x:c r="D3133" s="31" t="str">
        <x:f>IF(OR(ISBLANK(B3133),ISBLANK(C3133),B3133=0),"",(C3133-B3133)/B3133)</x:f>
      </x:c>
      <x:c r="E3133" s="22" t="str">
        <x:f>IF(ISBLANK(C3133),"AmountIncludingTax缺失",IF(ABS(B3133-C3133)&lt;0.005,"一致","不一致"))</x:f>
        <x:v>AmountIncludingTax缺失</x:v>
      </x:c>
      <x:c r="F3133" s="19" t="str">
        <x:v>approved</x:v>
      </x:c>
      <x:c r="G3133" s="19" t="str">
        <x:v>Sales Order Approved</x:v>
      </x:c>
      <x:c r="H3133" s="19" t="str">
        <x:v>Pre Delivery</x:v>
      </x:c>
      <x:c r="I3133" s="37" t="n">
        <x:v>46177</x:v>
      </x:c>
      <x:c r="J3133" s="37" t="n">
        <x:v>46177</x:v>
      </x:c>
      <x:c r="K3133" s="19" t="str">
        <x:v>The Caravan Hub - Townsville</x:v>
      </x:c>
      <x:c r="L3133" s="19" t="str">
        <x:v>Z005</x:v>
      </x:c>
      <x:c r="M3133" s="19" t="str">
        <x:v>Pre Delivery Warranty Claims</x:v>
      </x:c>
      <x:c r="N3133" s="37" t="n">
        <x:v>46079</x:v>
      </x:c>
      <x:c r="O3133" s="37"/>
      <x:c r="P3133" s="34" t="n">
        <x:v>0</x:v>
      </x:c>
      <x:c r="Q3133" s="37" t="n">
        <x:v>46177.23320601852</x:v>
      </x:c>
    </x:row>
    <x:row r="3134">
      <x:c r="A3134" s="22" t="n">
        <x:v>31716</x:v>
      </x:c>
      <x:c r="B3134" s="28" t="n">
        <x:v>232.5</x:v>
      </x:c>
      <x:c r="C3134" s="28"/>
      <x:c r="D3134" s="31" t="str">
        <x:f>IF(OR(ISBLANK(B3134),ISBLANK(C3134),B3134=0),"",(C3134-B3134)/B3134)</x:f>
      </x:c>
      <x:c r="E3134" s="22" t="str">
        <x:f>IF(ISBLANK(C3134),"AmountIncludingTax缺失",IF(ABS(B3134-C3134)&lt;0.005,"一致","不一致"))</x:f>
        <x:v>AmountIncludingTax缺失</x:v>
      </x:c>
      <x:c r="F3134" s="19" t="str">
        <x:v>approved</x:v>
      </x:c>
      <x:c r="G3134" s="19" t="str">
        <x:v>Sales Order Approved</x:v>
      </x:c>
      <x:c r="H3134" s="19" t="str">
        <x:v>Pre Delivery</x:v>
      </x:c>
      <x:c r="I3134" s="37" t="n">
        <x:v>46139</x:v>
      </x:c>
      <x:c r="J3134" s="37" t="n">
        <x:v>46139</x:v>
      </x:c>
      <x:c r="K3134" s="19" t="str">
        <x:v>The Caravan Hub - Townsville</x:v>
      </x:c>
      <x:c r="L3134" s="19" t="str">
        <x:v>Z005</x:v>
      </x:c>
      <x:c r="M3134" s="19" t="str">
        <x:v>Pre Delivery Warranty Claims</x:v>
      </x:c>
      <x:c r="N3134" s="37" t="n">
        <x:v>46079</x:v>
      </x:c>
      <x:c r="O3134" s="37"/>
      <x:c r="P3134" s="34" t="n">
        <x:v>0</x:v>
      </x:c>
      <x:c r="Q3134" s="37" t="n">
        <x:v>46139.073379629626</x:v>
      </x:c>
    </x:row>
    <x:row r="3135">
      <x:c r="A3135" s="22" t="n">
        <x:v>31714</x:v>
      </x:c>
      <x:c r="B3135" s="28" t="n">
        <x:v>1080</x:v>
      </x:c>
      <x:c r="C3135" s="28"/>
      <x:c r="D3135" s="31" t="str">
        <x:f>IF(OR(ISBLANK(B3135),ISBLANK(C3135),B3135=0),"",(C3135-B3135)/B3135)</x:f>
      </x:c>
      <x:c r="E3135" s="22" t="str">
        <x:f>IF(ISBLANK(C3135),"AmountIncludingTax缺失",IF(ABS(B3135-C3135)&lt;0.005,"一致","不一致"))</x:f>
        <x:v>AmountIncludingTax缺失</x:v>
      </x:c>
      <x:c r="F3135" s="19" t="str">
        <x:v>approved</x:v>
      </x:c>
      <x:c r="G3135" s="19" t="str">
        <x:v>Repairer Invoiced Processed</x:v>
      </x:c>
      <x:c r="H3135" s="19" t="str">
        <x:v>In Field</x:v>
      </x:c>
      <x:c r="I3135" s="37" t="n">
        <x:v>46107</x:v>
      </x:c>
      <x:c r="J3135" s="37" t="n">
        <x:v>46107</x:v>
      </x:c>
      <x:c r="K3135" s="19" t="str">
        <x:v>Not Assigned</x:v>
      </x:c>
      <x:c r="L3135" s="19" t="str">
        <x:v>Z006</x:v>
      </x:c>
      <x:c r="M3135" s="19" t="str">
        <x:v>In Field Warranty Claims</x:v>
      </x:c>
      <x:c r="N3135" s="37" t="n">
        <x:v>46079</x:v>
      </x:c>
      <x:c r="O3135" s="37"/>
      <x:c r="P3135" s="34" t="n">
        <x:v>1188</x:v>
      </x:c>
      <x:c r="Q3135" s="37" t="n">
        <x:v>46106.907222222224</x:v>
      </x:c>
    </x:row>
    <x:row r="3136">
      <x:c r="A3136" s="22" t="n">
        <x:v>31711</x:v>
      </x:c>
      <x:c r="B3136" s="28" t="n">
        <x:v>67.5</x:v>
      </x:c>
      <x:c r="C3136" s="28"/>
      <x:c r="D3136" s="31" t="str">
        <x:f>IF(OR(ISBLANK(B3136),ISBLANK(C3136),B3136=0),"",(C3136-B3136)/B3136)</x:f>
      </x:c>
      <x:c r="E3136" s="22" t="str">
        <x:f>IF(ISBLANK(C3136),"AmountIncludingTax缺失",IF(ABS(B3136-C3136)&lt;0.005,"一致","不一致"))</x:f>
        <x:v>AmountIncludingTax缺失</x:v>
      </x:c>
      <x:c r="F3136" s="19" t="str">
        <x:v>approved</x:v>
      </x:c>
      <x:c r="G3136" s="19" t="str">
        <x:v>Repairer Invoiced Processed</x:v>
      </x:c>
      <x:c r="H3136" s="19" t="str">
        <x:v>In Field</x:v>
      </x:c>
      <x:c r="I3136" s="37" t="n">
        <x:v>46094</x:v>
      </x:c>
      <x:c r="J3136" s="37" t="n">
        <x:v>46094</x:v>
      </x:c>
      <x:c r="K3136" s="19" t="str">
        <x:v>Not Assigned</x:v>
      </x:c>
      <x:c r="L3136" s="19" t="str">
        <x:v>Z006</x:v>
      </x:c>
      <x:c r="M3136" s="19" t="str">
        <x:v>In Field Warranty Claims</x:v>
      </x:c>
      <x:c r="N3136" s="37" t="n">
        <x:v>46079</x:v>
      </x:c>
      <x:c r="O3136" s="37"/>
      <x:c r="P3136" s="34" t="n">
        <x:v>0</x:v>
      </x:c>
      <x:c r="Q3136" s="37" t="n">
        <x:v>46094.17412037037</x:v>
      </x:c>
    </x:row>
    <x:row r="3137">
      <x:c r="A3137" s="22" t="n">
        <x:v>31709</x:v>
      </x:c>
      <x:c r="B3137" s="28" t="n">
        <x:v>202.5</x:v>
      </x:c>
      <x:c r="C3137" s="28"/>
      <x:c r="D3137" s="31" t="str">
        <x:f>IF(OR(ISBLANK(B3137),ISBLANK(C3137),B3137=0),"",(C3137-B3137)/B3137)</x:f>
      </x:c>
      <x:c r="E3137" s="22" t="str">
        <x:f>IF(ISBLANK(C3137),"AmountIncludingTax缺失",IF(ABS(B3137-C3137)&lt;0.005,"一致","不一致"))</x:f>
        <x:v>AmountIncludingTax缺失</x:v>
      </x:c>
      <x:c r="F3137" s="19" t="str">
        <x:v>approved</x:v>
      </x:c>
      <x:c r="G3137" s="19" t="str">
        <x:v>Partially Picked</x:v>
      </x:c>
      <x:c r="H3137" s="19" t="str">
        <x:v>In Field</x:v>
      </x:c>
      <x:c r="I3137" s="37" t="n">
        <x:v>46177</x:v>
      </x:c>
      <x:c r="J3137" s="37" t="n">
        <x:v>46177</x:v>
      </x:c>
      <x:c r="K3137" s="19" t="str">
        <x:v>Regent RV - Perth</x:v>
      </x:c>
      <x:c r="L3137" s="19" t="str">
        <x:v>Z006</x:v>
      </x:c>
      <x:c r="M3137" s="19" t="str">
        <x:v>In Field Warranty Claims</x:v>
      </x:c>
      <x:c r="N3137" s="37" t="n">
        <x:v>46079</x:v>
      </x:c>
      <x:c r="O3137" s="37"/>
      <x:c r="P3137" s="34" t="n">
        <x:v>0</x:v>
      </x:c>
      <x:c r="Q3137" s="37" t="n">
        <x:v>46176.911458333336</x:v>
      </x:c>
    </x:row>
    <x:row r="3138">
      <x:c r="A3138" s="22" t="n">
        <x:v>31708</x:v>
      </x:c>
      <x:c r="B3138" s="28" t="n">
        <x:v>102.63</x:v>
      </x:c>
      <x:c r="C3138" s="28"/>
      <x:c r="D3138" s="31" t="str">
        <x:f>IF(OR(ISBLANK(B3138),ISBLANK(C3138),B3138=0),"",(C3138-B3138)/B3138)</x:f>
      </x:c>
      <x:c r="E3138" s="22" t="str">
        <x:f>IF(ISBLANK(C3138),"AmountIncludingTax缺失",IF(ABS(B3138-C3138)&lt;0.005,"一致","不一致"))</x:f>
        <x:v>AmountIncludingTax缺失</x:v>
      </x:c>
      <x:c r="F3138" s="19" t="str">
        <x:v>approved_closed</x:v>
      </x:c>
      <x:c r="G3138" s="19" t="str">
        <x:v>Approved Claims Closed (Closed)</x:v>
      </x:c>
      <x:c r="H3138" s="19" t="str">
        <x:v>In Field</x:v>
      </x:c>
      <x:c r="I3138" s="37" t="n">
        <x:v>46190</x:v>
      </x:c>
      <x:c r="J3138" s="37" t="n">
        <x:v>46104</x:v>
      </x:c>
      <x:c r="K3138" s="19" t="str">
        <x:v>Lesiure Lion-New Castle</x:v>
      </x:c>
      <x:c r="L3138" s="19" t="str">
        <x:v>Z006</x:v>
      </x:c>
      <x:c r="M3138" s="19" t="str">
        <x:v>In Field Warranty Claims</x:v>
      </x:c>
      <x:c r="N3138" s="37" t="n">
        <x:v>46079</x:v>
      </x:c>
      <x:c r="O3138" s="37" t="n">
        <x:v>46190</x:v>
      </x:c>
      <x:c r="P3138" s="34" t="n">
        <x:v>0</x:v>
      </x:c>
      <x:c r="Q3138" s="37" t="n">
        <x:v>46190.21662037037</x:v>
      </x:c>
    </x:row>
    <x:row r="3139">
      <x:c r="A3139" s="22" t="n">
        <x:v>31707</x:v>
      </x:c>
      <x:c r="B3139" s="28" t="n">
        <x:v>236.36</x:v>
      </x:c>
      <x:c r="C3139" s="28" t="n">
        <x:v>260</x:v>
      </x:c>
      <x:c r="D3139" s="31" t="n">
        <x:f>IF(OR(ISBLANK(B3139),ISBLANK(C3139),B3139=0),"",(C3139-B3139)/B3139)</x:f>
        <x:v>0.10001692333728204</x:v>
      </x:c>
      <x:c r="E3139" s="22" t="str">
        <x:f>IF(ISBLANK(C3139),"AmountIncludingTax缺失",IF(ABS(B3139-C3139)&lt;0.005,"一致","不一致"))</x:f>
        <x:v>不一致</x:v>
      </x:c>
      <x:c r="F3139" s="19" t="str">
        <x:v>approved</x:v>
      </x:c>
      <x:c r="G3139" s="19" t="str">
        <x:v>Repairer Invoiced Processed</x:v>
      </x:c>
      <x:c r="H3139" s="19" t="str">
        <x:v>In Field</x:v>
      </x:c>
      <x:c r="I3139" s="37" t="n">
        <x:v>46140</x:v>
      </x:c>
      <x:c r="J3139" s="37" t="n">
        <x:v>46140</x:v>
      </x:c>
      <x:c r="K3139" s="19" t="str">
        <x:v>Regent RV Pty Ltd</x:v>
      </x:c>
      <x:c r="L3139" s="19" t="str">
        <x:v>Z006</x:v>
      </x:c>
      <x:c r="M3139" s="19" t="str">
        <x:v>In Field Warranty Claims</x:v>
      </x:c>
      <x:c r="N3139" s="37" t="n">
        <x:v>46079</x:v>
      </x:c>
      <x:c r="O3139" s="37"/>
      <x:c r="P3139" s="34" t="n">
        <x:v>260</x:v>
      </x:c>
      <x:c r="Q3139" s="37" t="n">
        <x:v>46140.250925925924</x:v>
      </x:c>
    </x:row>
    <x:row r="3140">
      <x:c r="A3140" s="22" t="n">
        <x:v>31705</x:v>
      </x:c>
      <x:c r="B3140" s="28" t="n">
        <x:v>745.12</x:v>
      </x:c>
      <x:c r="C3140" s="28"/>
      <x:c r="D3140" s="31" t="str">
        <x:f>IF(OR(ISBLANK(B3140),ISBLANK(C3140),B3140=0),"",(C3140-B3140)/B3140)</x:f>
      </x:c>
      <x:c r="E3140" s="22" t="str">
        <x:f>IF(ISBLANK(C3140),"AmountIncludingTax缺失",IF(ABS(B3140-C3140)&lt;0.005,"一致","不一致"))</x:f>
        <x:v>AmountIncludingTax缺失</x:v>
      </x:c>
      <x:c r="F3140" s="19" t="str">
        <x:v>approved</x:v>
      </x:c>
      <x:c r="G3140" s="19" t="str">
        <x:v>Repairer Invoiced Processed</x:v>
      </x:c>
      <x:c r="H3140" s="19" t="str">
        <x:v>Pre Delivery</x:v>
      </x:c>
      <x:c r="I3140" s="37" t="n">
        <x:v>46134</x:v>
      </x:c>
      <x:c r="J3140" s="37" t="n">
        <x:v>46134</x:v>
      </x:c>
      <x:c r="K3140" s="19" t="str">
        <x:v>Lesiure Lion-New Castle</x:v>
      </x:c>
      <x:c r="L3140" s="19" t="str">
        <x:v>Z005</x:v>
      </x:c>
      <x:c r="M3140" s="19" t="str">
        <x:v>Pre Delivery Warranty Claims</x:v>
      </x:c>
      <x:c r="N3140" s="37" t="n">
        <x:v>46079</x:v>
      </x:c>
      <x:c r="O3140" s="37"/>
      <x:c r="P3140" s="34" t="n">
        <x:v>0</x:v>
      </x:c>
      <x:c r="Q3140" s="37" t="n">
        <x:v>46134.04075231482</x:v>
      </x:c>
    </x:row>
    <x:row r="3141">
      <x:c r="A3141" s="22" t="n">
        <x:v>31704</x:v>
      </x:c>
      <x:c r="B3141" s="28" t="n">
        <x:v>1890</x:v>
      </x:c>
      <x:c r="C3141" s="28"/>
      <x:c r="D3141" s="31" t="str">
        <x:f>IF(OR(ISBLANK(B3141),ISBLANK(C3141),B3141=0),"",(C3141-B3141)/B3141)</x:f>
      </x:c>
      <x:c r="E3141" s="22" t="str">
        <x:f>IF(ISBLANK(C3141),"AmountIncludingTax缺失",IF(ABS(B3141-C3141)&lt;0.005,"一致","不一致"))</x:f>
        <x:v>AmountIncludingTax缺失</x:v>
      </x:c>
      <x:c r="F3141" s="19" t="str">
        <x:v>approved</x:v>
      </x:c>
      <x:c r="G3141" s="19" t="str">
        <x:v>Repairer Invoiced Processed</x:v>
      </x:c>
      <x:c r="H3141" s="19" t="str">
        <x:v>In Field</x:v>
      </x:c>
      <x:c r="I3141" s="37" t="n">
        <x:v>46093</x:v>
      </x:c>
      <x:c r="J3141" s="37" t="n">
        <x:v>46093</x:v>
      </x:c>
      <x:c r="K3141" s="19" t="str">
        <x:v>Green RV - Forest Glen</x:v>
      </x:c>
      <x:c r="L3141" s="19" t="str">
        <x:v>Z006</x:v>
      </x:c>
      <x:c r="M3141" s="19" t="str">
        <x:v>In Field Warranty Claims</x:v>
      </x:c>
      <x:c r="N3141" s="37" t="n">
        <x:v>46079</x:v>
      </x:c>
      <x:c r="O3141" s="37"/>
      <x:c r="P3141" s="34" t="n">
        <x:v>0</x:v>
      </x:c>
      <x:c r="Q3141" s="37" t="n">
        <x:v>46093.379641203705</x:v>
      </x:c>
    </x:row>
    <x:row r="3142">
      <x:c r="A3142" s="22" t="n">
        <x:v>31702</x:v>
      </x:c>
      <x:c r="B3142" s="28" t="n">
        <x:v>50</x:v>
      </x:c>
      <x:c r="C3142" s="28" t="n">
        <x:v>55</x:v>
      </x:c>
      <x:c r="D3142" s="31" t="n">
        <x:f>IF(OR(ISBLANK(B3142),ISBLANK(C3142),B3142=0),"",(C3142-B3142)/B3142)</x:f>
        <x:v>0.1</x:v>
      </x:c>
      <x:c r="E3142" s="22" t="str">
        <x:f>IF(ISBLANK(C3142),"AmountIncludingTax缺失",IF(ABS(B3142-C3142)&lt;0.005,"一致","不一致"))</x:f>
        <x:v>不一致</x:v>
      </x:c>
      <x:c r="F3142" s="19" t="str">
        <x:v>approved</x:v>
      </x:c>
      <x:c r="G3142" s="19" t="str">
        <x:v>Repairer Invoiced Processed</x:v>
      </x:c>
      <x:c r="H3142" s="19" t="str">
        <x:v>In Field</x:v>
      </x:c>
      <x:c r="I3142" s="37" t="n">
        <x:v>46113</x:v>
      </x:c>
      <x:c r="J3142" s="37" t="n">
        <x:v>46113</x:v>
      </x:c>
      <x:c r="K3142" s="19" t="str">
        <x:v>Great Ocean Road RV &amp; Caravans - Warrnambool</x:v>
      </x:c>
      <x:c r="L3142" s="19" t="str">
        <x:v>Z006</x:v>
      </x:c>
      <x:c r="M3142" s="19" t="str">
        <x:v>In Field Warranty Claims</x:v>
      </x:c>
      <x:c r="N3142" s="37" t="n">
        <x:v>46079</x:v>
      </x:c>
      <x:c r="O3142" s="37" t="n">
        <x:v>46112</x:v>
      </x:c>
      <x:c r="P3142" s="34" t="n">
        <x:v>55</x:v>
      </x:c>
      <x:c r="Q3142" s="37" t="n">
        <x:v>46113.08230324074</x:v>
      </x:c>
    </x:row>
    <x:row r="3143">
      <x:c r="A3143" s="22" t="n">
        <x:v>31700</x:v>
      </x:c>
      <x:c r="B3143" s="28" t="n">
        <x:v>270</x:v>
      </x:c>
      <x:c r="C3143" s="28"/>
      <x:c r="D3143" s="31" t="str">
        <x:f>IF(OR(ISBLANK(B3143),ISBLANK(C3143),B3143=0),"",(C3143-B3143)/B3143)</x:f>
      </x:c>
      <x:c r="E3143" s="22" t="str">
        <x:f>IF(ISBLANK(C3143),"AmountIncludingTax缺失",IF(ABS(B3143-C3143)&lt;0.005,"一致","不一致"))</x:f>
        <x:v>AmountIncludingTax缺失</x:v>
      </x:c>
      <x:c r="F3143" s="19" t="str">
        <x:v>approved</x:v>
      </x:c>
      <x:c r="G3143" s="19" t="str">
        <x:v>Repair in Progress</x:v>
      </x:c>
      <x:c r="H3143" s="19" t="str">
        <x:v>Pre Delivery</x:v>
      </x:c>
      <x:c r="I3143" s="37" t="n">
        <x:v>46147</x:v>
      </x:c>
      <x:c r="J3143" s="37" t="n">
        <x:v>46149</x:v>
      </x:c>
      <x:c r="K3143" s="19" t="str">
        <x:v>NEWCASTLE CARAVANS &amp; RVS</x:v>
      </x:c>
      <x:c r="L3143" s="19" t="str">
        <x:v>Z005</x:v>
      </x:c>
      <x:c r="M3143" s="19" t="str">
        <x:v>Pre Delivery Warranty Claims</x:v>
      </x:c>
      <x:c r="N3143" s="37" t="n">
        <x:v>46079</x:v>
      </x:c>
      <x:c r="O3143" s="37"/>
      <x:c r="P3143" s="34" t="n">
        <x:v>0</x:v>
      </x:c>
      <x:c r="Q3143" s="37" t="n">
        <x:v>46146.92438657407</x:v>
      </x:c>
    </x:row>
    <x:row r="3144">
      <x:c r="A3144" s="22" t="n">
        <x:v>31699</x:v>
      </x:c>
      <x:c r="B3144" s="28" t="n">
        <x:v>405</x:v>
      </x:c>
      <x:c r="C3144" s="28"/>
      <x:c r="D3144" s="31" t="str">
        <x:f>IF(OR(ISBLANK(B3144),ISBLANK(C3144),B3144=0),"",(C3144-B3144)/B3144)</x:f>
      </x:c>
      <x:c r="E3144" s="22" t="str">
        <x:f>IF(ISBLANK(C3144),"AmountIncludingTax缺失",IF(ABS(B3144-C3144)&lt;0.005,"一致","不一致"))</x:f>
        <x:v>AmountIncludingTax缺失</x:v>
      </x:c>
      <x:c r="F3144" s="19" t="str">
        <x:v>approved</x:v>
      </x:c>
      <x:c r="G3144" s="19" t="str">
        <x:v>Repairer Invoiced Processed</x:v>
      </x:c>
      <x:c r="H3144" s="19" t="str">
        <x:v>In Field</x:v>
      </x:c>
      <x:c r="I3144" s="37" t="n">
        <x:v>46163</x:v>
      </x:c>
      <x:c r="J3144" s="37" t="n">
        <x:v>46163</x:v>
      </x:c>
      <x:c r="K3144" s="19" t="str">
        <x:v>Snowy River Wangaratta</x:v>
      </x:c>
      <x:c r="L3144" s="19" t="str">
        <x:v>Z006</x:v>
      </x:c>
      <x:c r="M3144" s="19" t="str">
        <x:v>In Field Warranty Claims</x:v>
      </x:c>
      <x:c r="N3144" s="37" t="n">
        <x:v>46079</x:v>
      </x:c>
      <x:c r="O3144" s="37"/>
      <x:c r="P3144" s="34" t="n">
        <x:v>0</x:v>
      </x:c>
      <x:c r="Q3144" s="37" t="n">
        <x:v>46163.068402777775</x:v>
      </x:c>
    </x:row>
    <x:row r="3145">
      <x:c r="A3145" s="22" t="n">
        <x:v>31698</x:v>
      </x:c>
      <x:c r="B3145" s="28" t="n">
        <x:v>202.5</x:v>
      </x:c>
      <x:c r="C3145" s="28"/>
      <x:c r="D3145" s="31" t="str">
        <x:f>IF(OR(ISBLANK(B3145),ISBLANK(C3145),B3145=0),"",(C3145-B3145)/B3145)</x:f>
      </x:c>
      <x:c r="E3145" s="22" t="str">
        <x:f>IF(ISBLANK(C3145),"AmountIncludingTax缺失",IF(ABS(B3145-C3145)&lt;0.005,"一致","不一致"))</x:f>
        <x:v>AmountIncludingTax缺失</x:v>
      </x:c>
      <x:c r="F3145" s="19" t="str">
        <x:v>approved</x:v>
      </x:c>
      <x:c r="G3145" s="19" t="str">
        <x:v>Repair in Progress</x:v>
      </x:c>
      <x:c r="H3145" s="19" t="str">
        <x:v>In Field</x:v>
      </x:c>
      <x:c r="I3145" s="37" t="n">
        <x:v>46188</x:v>
      </x:c>
      <x:c r="J3145" s="37" t="n">
        <x:v>46188</x:v>
      </x:c>
      <x:c r="K3145" s="19" t="str">
        <x:v>Leisure Lion Pty Ltd - Toowoomba</x:v>
      </x:c>
      <x:c r="L3145" s="19" t="str">
        <x:v>Z006</x:v>
      </x:c>
      <x:c r="M3145" s="19" t="str">
        <x:v>In Field Warranty Claims</x:v>
      </x:c>
      <x:c r="N3145" s="37" t="n">
        <x:v>46079</x:v>
      </x:c>
      <x:c r="O3145" s="37"/>
      <x:c r="P3145" s="34" t="n">
        <x:v>0</x:v>
      </x:c>
      <x:c r="Q3145" s="37" t="n">
        <x:v>46187.89787037037</x:v>
      </x:c>
    </x:row>
    <x:row r="3146">
      <x:c r="A3146" s="22" t="n">
        <x:v>31694</x:v>
      </x:c>
      <x:c r="B3146" s="28" t="n">
        <x:v>512.5</x:v>
      </x:c>
      <x:c r="C3146" s="28"/>
      <x:c r="D3146" s="31" t="str">
        <x:f>IF(OR(ISBLANK(B3146),ISBLANK(C3146),B3146=0),"",(C3146-B3146)/B3146)</x:f>
      </x:c>
      <x:c r="E3146" s="22" t="str">
        <x:f>IF(ISBLANK(C3146),"AmountIncludingTax缺失",IF(ABS(B3146-C3146)&lt;0.005,"一致","不一致"))</x:f>
        <x:v>AmountIncludingTax缺失</x:v>
      </x:c>
      <x:c r="F3146" s="19" t="str">
        <x:v>approved</x:v>
      </x:c>
      <x:c r="G3146" s="19" t="str">
        <x:v>Repair in Progress</x:v>
      </x:c>
      <x:c r="H3146" s="19" t="str">
        <x:v>In Field</x:v>
      </x:c>
      <x:c r="I3146" s="37" t="n">
        <x:v>46124</x:v>
      </x:c>
      <x:c r="J3146" s="37" t="n">
        <x:v>46124</x:v>
      </x:c>
      <x:c r="K3146" s="19" t="str">
        <x:v>ABCO Caravans - Boambee Valley</x:v>
      </x:c>
      <x:c r="L3146" s="19" t="str">
        <x:v>Z006</x:v>
      </x:c>
      <x:c r="M3146" s="19" t="str">
        <x:v>In Field Warranty Claims</x:v>
      </x:c>
      <x:c r="N3146" s="37" t="n">
        <x:v>46079</x:v>
      </x:c>
      <x:c r="O3146" s="37"/>
      <x:c r="P3146" s="34" t="n">
        <x:v>0</x:v>
      </x:c>
      <x:c r="Q3146" s="37" t="n">
        <x:v>46124.19671296296</x:v>
      </x:c>
    </x:row>
    <x:row r="3147">
      <x:c r="A3147" s="22" t="n">
        <x:v>31693</x:v>
      </x:c>
      <x:c r="B3147" s="28" t="n">
        <x:v>2380</x:v>
      </x:c>
      <x:c r="C3147" s="28"/>
      <x:c r="D3147" s="31" t="str">
        <x:f>IF(OR(ISBLANK(B3147),ISBLANK(C3147),B3147=0),"",(C3147-B3147)/B3147)</x:f>
      </x:c>
      <x:c r="E3147" s="22" t="str">
        <x:f>IF(ISBLANK(C3147),"AmountIncludingTax缺失",IF(ABS(B3147-C3147)&lt;0.005,"一致","不一致"))</x:f>
        <x:v>AmountIncludingTax缺失</x:v>
      </x:c>
      <x:c r="F3147" s="19" t="str">
        <x:v>approved</x:v>
      </x:c>
      <x:c r="G3147" s="19" t="str">
        <x:v>Sales Order Approved</x:v>
      </x:c>
      <x:c r="H3147" s="19" t="str">
        <x:v>Pre Delivery</x:v>
      </x:c>
      <x:c r="I3147" s="37" t="n">
        <x:v>46183</x:v>
      </x:c>
      <x:c r="J3147" s="37" t="n">
        <x:v>46183</x:v>
      </x:c>
      <x:c r="K3147" s="19" t="str">
        <x:v>The Caravan Hub - Townsville</x:v>
      </x:c>
      <x:c r="L3147" s="19" t="str">
        <x:v>Z005</x:v>
      </x:c>
      <x:c r="M3147" s="19" t="str">
        <x:v>Pre Delivery Warranty Claims</x:v>
      </x:c>
      <x:c r="N3147" s="37" t="n">
        <x:v>46079</x:v>
      </x:c>
      <x:c r="O3147" s="37"/>
      <x:c r="P3147" s="34" t="n">
        <x:v>0</x:v>
      </x:c>
      <x:c r="Q3147" s="37" t="n">
        <x:v>46182.97126157407</x:v>
      </x:c>
    </x:row>
    <x:row r="3148">
      <x:c r="A3148" s="22" t="n">
        <x:v>31692</x:v>
      </x:c>
      <x:c r="B3148" s="28" t="n">
        <x:v>135</x:v>
      </x:c>
      <x:c r="C3148" s="28"/>
      <x:c r="D3148" s="31" t="str">
        <x:f>IF(OR(ISBLANK(B3148),ISBLANK(C3148),B3148=0),"",(C3148-B3148)/B3148)</x:f>
      </x:c>
      <x:c r="E3148" s="22" t="str">
        <x:f>IF(ISBLANK(C3148),"AmountIncludingTax缺失",IF(ABS(B3148-C3148)&lt;0.005,"一致","不一致"))</x:f>
        <x:v>AmountIncludingTax缺失</x:v>
      </x:c>
      <x:c r="F3148" s="19" t="str">
        <x:v>approved</x:v>
      </x:c>
      <x:c r="G3148" s="19" t="str">
        <x:v>Repairer Invoiced Processed</x:v>
      </x:c>
      <x:c r="H3148" s="19" t="str">
        <x:v>In Field</x:v>
      </x:c>
      <x:c r="I3148" s="37" t="n">
        <x:v>46079</x:v>
      </x:c>
      <x:c r="J3148" s="37" t="n">
        <x:v>46079</x:v>
      </x:c>
      <x:c r="K3148" s="19" t="str">
        <x:v>Destiny RV - South Australia</x:v>
      </x:c>
      <x:c r="L3148" s="19" t="str">
        <x:v>Z006</x:v>
      </x:c>
      <x:c r="M3148" s="19" t="str">
        <x:v>In Field Warranty Claims</x:v>
      </x:c>
      <x:c r="N3148" s="37" t="n">
        <x:v>46078</x:v>
      </x:c>
      <x:c r="O3148" s="37"/>
      <x:c r="P3148" s="34" t="n">
        <x:v>0</x:v>
      </x:c>
      <x:c r="Q3148" s="37" t="n">
        <x:v>46079.14111111111</x:v>
      </x:c>
    </x:row>
    <x:row r="3149">
      <x:c r="A3149" s="22" t="n">
        <x:v>31691</x:v>
      </x:c>
      <x:c r="B3149" s="28" t="n">
        <x:v>270</x:v>
      </x:c>
      <x:c r="C3149" s="28"/>
      <x:c r="D3149" s="31" t="str">
        <x:f>IF(OR(ISBLANK(B3149),ISBLANK(C3149),B3149=0),"",(C3149-B3149)/B3149)</x:f>
      </x:c>
      <x:c r="E3149" s="22" t="str">
        <x:f>IF(ISBLANK(C3149),"AmountIncludingTax缺失",IF(ABS(B3149-C3149)&lt;0.005,"一致","不一致"))</x:f>
        <x:v>AmountIncludingTax缺失</x:v>
      </x:c>
      <x:c r="F3149" s="19" t="str">
        <x:v>approved</x:v>
      </x:c>
      <x:c r="G3149" s="19" t="str">
        <x:v>Repair in Progress</x:v>
      </x:c>
      <x:c r="H3149" s="19" t="str">
        <x:v>Pre Delivery</x:v>
      </x:c>
      <x:c r="I3149" s="37" t="n">
        <x:v>46087</x:v>
      </x:c>
      <x:c r="J3149" s="37" t="n">
        <x:v>46087</x:v>
      </x:c>
      <x:c r="K3149" s="19" t="str">
        <x:v>Snowy River Wangaratta</x:v>
      </x:c>
      <x:c r="L3149" s="19" t="str">
        <x:v>Z005</x:v>
      </x:c>
      <x:c r="M3149" s="19" t="str">
        <x:v>Pre Delivery Warranty Claims</x:v>
      </x:c>
      <x:c r="N3149" s="37" t="n">
        <x:v>46078</x:v>
      </x:c>
      <x:c r="O3149" s="37"/>
      <x:c r="P3149" s="34" t="n">
        <x:v>0</x:v>
      </x:c>
      <x:c r="Q3149" s="37" t="n">
        <x:v>46087.21550925926</x:v>
      </x:c>
    </x:row>
    <x:row r="3150">
      <x:c r="A3150" s="22" t="n">
        <x:v>31690</x:v>
      </x:c>
      <x:c r="B3150" s="28" t="n">
        <x:v>957</x:v>
      </x:c>
      <x:c r="C3150" s="28" t="n">
        <x:v>866.47</x:v>
      </x:c>
      <x:c r="D3150" s="31" t="n">
        <x:f>IF(OR(ISBLANK(B3150),ISBLANK(C3150),B3150=0),"",(C3150-B3150)/B3150)</x:f>
        <x:v>-0.09459770114942526</x:v>
      </x:c>
      <x:c r="E3150" s="22" t="str">
        <x:f>IF(ISBLANK(C3150),"AmountIncludingTax缺失",IF(ABS(B3150-C3150)&lt;0.005,"一致","不一致"))</x:f>
        <x:v>不一致</x:v>
      </x:c>
      <x:c r="F3150" s="19" t="str">
        <x:v>approved</x:v>
      </x:c>
      <x:c r="G3150" s="19" t="str">
        <x:v>Repairer Invoiced Processed</x:v>
      </x:c>
      <x:c r="H3150" s="19" t="str">
        <x:v>In Field</x:v>
      </x:c>
      <x:c r="I3150" s="37" t="n">
        <x:v>46103</x:v>
      </x:c>
      <x:c r="J3150" s="37" t="n">
        <x:v>46103</x:v>
      </x:c>
      <x:c r="K3150" s="19" t="str">
        <x:v>Vanari Caravans - Marden Point</x:v>
      </x:c>
      <x:c r="L3150" s="19" t="str">
        <x:v>Z006</x:v>
      </x:c>
      <x:c r="M3150" s="19" t="str">
        <x:v>In Field Warranty Claims</x:v>
      </x:c>
      <x:c r="N3150" s="37" t="n">
        <x:v>46079</x:v>
      </x:c>
      <x:c r="O3150" s="37"/>
      <x:c r="P3150" s="34" t="n">
        <x:v>866.47</x:v>
      </x:c>
      <x:c r="Q3150" s="37" t="n">
        <x:v>46103.446226851855</x:v>
      </x:c>
    </x:row>
    <x:row r="3151">
      <x:c r="A3151" s="22" t="n">
        <x:v>31689</x:v>
      </x:c>
      <x:c r="B3151" s="28" t="n">
        <x:v>192.8</x:v>
      </x:c>
      <x:c r="C3151" s="28" t="n">
        <x:v>174.56</x:v>
      </x:c>
      <x:c r="D3151" s="31" t="n">
        <x:f>IF(OR(ISBLANK(B3151),ISBLANK(C3151),B3151=0),"",(C3151-B3151)/B3151)</x:f>
        <x:v>-0.09460580912863074</x:v>
      </x:c>
      <x:c r="E3151" s="22" t="str">
        <x:f>IF(ISBLANK(C3151),"AmountIncludingTax缺失",IF(ABS(B3151-C3151)&lt;0.005,"一致","不一致"))</x:f>
        <x:v>不一致</x:v>
      </x:c>
      <x:c r="F3151" s="19" t="str">
        <x:v>approved</x:v>
      </x:c>
      <x:c r="G3151" s="19" t="str">
        <x:v>Repairer Invoiced Processed</x:v>
      </x:c>
      <x:c r="H3151" s="19" t="str">
        <x:v>Pre Delivery</x:v>
      </x:c>
      <x:c r="I3151" s="37" t="n">
        <x:v>46134</x:v>
      </x:c>
      <x:c r="J3151" s="37" t="n">
        <x:v>46134</x:v>
      </x:c>
      <x:c r="K3151" s="19" t="str">
        <x:v>Vanari Caravans - Marden Point</x:v>
      </x:c>
      <x:c r="L3151" s="19" t="str">
        <x:v>Z005</x:v>
      </x:c>
      <x:c r="M3151" s="19" t="str">
        <x:v>Pre Delivery Warranty Claims</x:v>
      </x:c>
      <x:c r="N3151" s="37" t="n">
        <x:v>46079</x:v>
      </x:c>
      <x:c r="O3151" s="37"/>
      <x:c r="P3151" s="34" t="n">
        <x:v>174.56</x:v>
      </x:c>
      <x:c r="Q3151" s="37" t="n">
        <x:v>46134.1472337963</x:v>
      </x:c>
    </x:row>
    <x:row r="3152">
      <x:c r="A3152" s="22" t="n">
        <x:v>31687</x:v>
      </x:c>
      <x:c r="B3152" s="28" t="n">
        <x:v>2240</x:v>
      </x:c>
      <x:c r="C3152" s="28"/>
      <x:c r="D3152" s="31" t="str">
        <x:f>IF(OR(ISBLANK(B3152),ISBLANK(C3152),B3152=0),"",(C3152-B3152)/B3152)</x:f>
      </x:c>
      <x:c r="E3152" s="22" t="str">
        <x:f>IF(ISBLANK(C3152),"AmountIncludingTax缺失",IF(ABS(B3152-C3152)&lt;0.005,"一致","不一致"))</x:f>
        <x:v>AmountIncludingTax缺失</x:v>
      </x:c>
      <x:c r="F3152" s="19" t="str">
        <x:v>approved</x:v>
      </x:c>
      <x:c r="G3152" s="19" t="str">
        <x:v>Sales Order Approved</x:v>
      </x:c>
      <x:c r="H3152" s="19" t="str">
        <x:v>Pre Delivery</x:v>
      </x:c>
      <x:c r="I3152" s="37" t="n">
        <x:v>46183</x:v>
      </x:c>
      <x:c r="J3152" s="37" t="n">
        <x:v>46183</x:v>
      </x:c>
      <x:c r="K3152" s="19" t="str">
        <x:v>The Caravan Hub - Townsville</x:v>
      </x:c>
      <x:c r="L3152" s="19" t="str">
        <x:v>Z005</x:v>
      </x:c>
      <x:c r="M3152" s="19" t="str">
        <x:v>Pre Delivery Warranty Claims</x:v>
      </x:c>
      <x:c r="N3152" s="37" t="n">
        <x:v>46078</x:v>
      </x:c>
      <x:c r="O3152" s="37"/>
      <x:c r="P3152" s="34" t="n">
        <x:v>0</x:v>
      </x:c>
      <x:c r="Q3152" s="37" t="n">
        <x:v>46182.97356481481</x:v>
      </x:c>
    </x:row>
    <x:row r="3153">
      <x:c r="A3153" s="22" t="n">
        <x:v>31685</x:v>
      </x:c>
      <x:c r="B3153" s="28" t="n">
        <x:v>67.5</x:v>
      </x:c>
      <x:c r="C3153" s="28"/>
      <x:c r="D3153" s="31" t="str">
        <x:f>IF(OR(ISBLANK(B3153),ISBLANK(C3153),B3153=0),"",(C3153-B3153)/B3153)</x:f>
      </x:c>
      <x:c r="E3153" s="22" t="str">
        <x:f>IF(ISBLANK(C3153),"AmountIncludingTax缺失",IF(ABS(B3153-C3153)&lt;0.005,"一致","不一致"))</x:f>
        <x:v>AmountIncludingTax缺失</x:v>
      </x:c>
      <x:c r="F3153" s="19" t="str">
        <x:v>approved</x:v>
      </x:c>
      <x:c r="G3153" s="19" t="str">
        <x:v>Repair in Progress</x:v>
      </x:c>
      <x:c r="H3153" s="19" t="str">
        <x:v>In Field</x:v>
      </x:c>
      <x:c r="I3153" s="37" t="n">
        <x:v>46140</x:v>
      </x:c>
      <x:c r="J3153" s="37" t="n">
        <x:v>46140</x:v>
      </x:c>
      <x:c r="K3153" s="19" t="str">
        <x:v>Auswide Caravans - South Nowra</x:v>
      </x:c>
      <x:c r="L3153" s="19" t="str">
        <x:v>Z006</x:v>
      </x:c>
      <x:c r="M3153" s="19" t="str">
        <x:v>In Field Warranty Claims</x:v>
      </x:c>
      <x:c r="N3153" s="37" t="n">
        <x:v>46078</x:v>
      </x:c>
      <x:c r="O3153" s="37"/>
      <x:c r="P3153" s="34" t="n">
        <x:v>0</x:v>
      </x:c>
      <x:c r="Q3153" s="37" t="n">
        <x:v>46139.84019675926</x:v>
      </x:c>
    </x:row>
    <x:row r="3154">
      <x:c r="A3154" s="22" t="n">
        <x:v>31674</x:v>
      </x:c>
      <x:c r="B3154" s="28" t="n">
        <x:v>571.6</x:v>
      </x:c>
      <x:c r="C3154" s="28" t="n">
        <x:v>628.76</x:v>
      </x:c>
      <x:c r="D3154" s="31" t="n">
        <x:f>IF(OR(ISBLANK(B3154),ISBLANK(C3154),B3154=0),"",(C3154-B3154)/B3154)</x:f>
        <x:v>0.09999999999999994</x:v>
      </x:c>
      <x:c r="E3154" s="22" t="str">
        <x:f>IF(ISBLANK(C3154),"AmountIncludingTax缺失",IF(ABS(B3154-C3154)&lt;0.005,"一致","不一致"))</x:f>
        <x:v>不一致</x:v>
      </x:c>
      <x:c r="F3154" s="19" t="str">
        <x:v>approved</x:v>
      </x:c>
      <x:c r="G3154" s="19" t="str">
        <x:v>Repairer Invoiced Processed</x:v>
      </x:c>
      <x:c r="H3154" s="19" t="str">
        <x:v>In Field</x:v>
      </x:c>
      <x:c r="I3154" s="37" t="n">
        <x:v>46080</x:v>
      </x:c>
      <x:c r="J3154" s="37" t="n">
        <x:v>46080</x:v>
      </x:c>
      <x:c r="K3154" s="19" t="str">
        <x:v>Green RV - Forest Glen</x:v>
      </x:c>
      <x:c r="L3154" s="19" t="str">
        <x:v>Z006</x:v>
      </x:c>
      <x:c r="M3154" s="19" t="str">
        <x:v>In Field Warranty Claims</x:v>
      </x:c>
      <x:c r="N3154" s="37" t="n">
        <x:v>46079</x:v>
      </x:c>
      <x:c r="O3154" s="37"/>
      <x:c r="P3154" s="34" t="n">
        <x:v>628.76</x:v>
      </x:c>
      <x:c r="Q3154" s="37" t="n">
        <x:v>46079.95359953704</x:v>
      </x:c>
    </x:row>
    <x:row r="3155">
      <x:c r="A3155" s="22" t="n">
        <x:v>31670</x:v>
      </x:c>
      <x:c r="B3155" s="28" t="n">
        <x:v>280</x:v>
      </x:c>
      <x:c r="C3155" s="28"/>
      <x:c r="D3155" s="31" t="str">
        <x:f>IF(OR(ISBLANK(B3155),ISBLANK(C3155),B3155=0),"",(C3155-B3155)/B3155)</x:f>
      </x:c>
      <x:c r="E3155" s="22" t="str">
        <x:f>IF(ISBLANK(C3155),"AmountIncludingTax缺失",IF(ABS(B3155-C3155)&lt;0.005,"一致","不一致"))</x:f>
        <x:v>AmountIncludingTax缺失</x:v>
      </x:c>
      <x:c r="F3155" s="19" t="str">
        <x:v>approved</x:v>
      </x:c>
      <x:c r="G3155" s="19" t="str">
        <x:v>Repairer Invoiced Processed</x:v>
      </x:c>
      <x:c r="H3155" s="19" t="str">
        <x:v>In Field</x:v>
      </x:c>
      <x:c r="I3155" s="37" t="n">
        <x:v>46099</x:v>
      </x:c>
      <x:c r="J3155" s="37" t="n">
        <x:v>46099</x:v>
      </x:c>
      <x:c r="K3155" s="19" t="str">
        <x:v>Lesiure Lion-New Castle</x:v>
      </x:c>
      <x:c r="L3155" s="19" t="str">
        <x:v>Z006</x:v>
      </x:c>
      <x:c r="M3155" s="19" t="str">
        <x:v>In Field Warranty Claims</x:v>
      </x:c>
      <x:c r="N3155" s="37" t="n">
        <x:v>46078</x:v>
      </x:c>
      <x:c r="O3155" s="37"/>
      <x:c r="P3155" s="34" t="n">
        <x:v>0</x:v>
      </x:c>
      <x:c r="Q3155" s="37" t="n">
        <x:v>46098.896203703705</x:v>
      </x:c>
    </x:row>
    <x:row r="3156">
      <x:c r="A3156" s="22" t="n">
        <x:v>31669</x:v>
      </x:c>
      <x:c r="B3156" s="28" t="n">
        <x:v>217.5</x:v>
      </x:c>
      <x:c r="C3156" s="28"/>
      <x:c r="D3156" s="31" t="str">
        <x:f>IF(OR(ISBLANK(B3156),ISBLANK(C3156),B3156=0),"",(C3156-B3156)/B3156)</x:f>
      </x:c>
      <x:c r="E3156" s="22" t="str">
        <x:f>IF(ISBLANK(C3156),"AmountIncludingTax缺失",IF(ABS(B3156-C3156)&lt;0.005,"一致","不一致"))</x:f>
        <x:v>AmountIncludingTax缺失</x:v>
      </x:c>
      <x:c r="F3156" s="19" t="str">
        <x:v>approved</x:v>
      </x:c>
      <x:c r="G3156" s="19" t="str">
        <x:v>Repair in Progress</x:v>
      </x:c>
      <x:c r="H3156" s="19" t="str">
        <x:v>In Field</x:v>
      </x:c>
      <x:c r="I3156" s="37" t="n">
        <x:v>46087</x:v>
      </x:c>
      <x:c r="J3156" s="37" t="n">
        <x:v>46087</x:v>
      </x:c>
      <x:c r="K3156" s="19" t="str">
        <x:v>The Caravan Hub - Townsville</x:v>
      </x:c>
      <x:c r="L3156" s="19" t="str">
        <x:v>Z006</x:v>
      </x:c>
      <x:c r="M3156" s="19" t="str">
        <x:v>In Field Warranty Claims</x:v>
      </x:c>
      <x:c r="N3156" s="37" t="n">
        <x:v>46078</x:v>
      </x:c>
      <x:c r="O3156" s="37"/>
      <x:c r="P3156" s="34" t="n">
        <x:v>0</x:v>
      </x:c>
      <x:c r="Q3156" s="37" t="n">
        <x:v>46087.22813657407</x:v>
      </x:c>
    </x:row>
    <x:row r="3157">
      <x:c r="A3157" s="22" t="n">
        <x:v>31666</x:v>
      </x:c>
      <x:c r="B3157" s="28" t="n">
        <x:v>135</x:v>
      </x:c>
      <x:c r="C3157" s="28"/>
      <x:c r="D3157" s="31" t="str">
        <x:f>IF(OR(ISBLANK(B3157),ISBLANK(C3157),B3157=0),"",(C3157-B3157)/B3157)</x:f>
      </x:c>
      <x:c r="E3157" s="22" t="str">
        <x:f>IF(ISBLANK(C3157),"AmountIncludingTax缺失",IF(ABS(B3157-C3157)&lt;0.005,"一致","不一致"))</x:f>
        <x:v>AmountIncludingTax缺失</x:v>
      </x:c>
      <x:c r="F3157" s="19" t="str">
        <x:v>approved</x:v>
      </x:c>
      <x:c r="G3157" s="19" t="str">
        <x:v>Repair in Progress</x:v>
      </x:c>
      <x:c r="H3157" s="19" t="str">
        <x:v>In Field</x:v>
      </x:c>
      <x:c r="I3157" s="37" t="n">
        <x:v>46107</x:v>
      </x:c>
      <x:c r="J3157" s="37" t="n">
        <x:v>46107</x:v>
      </x:c>
      <x:c r="K3157" s="19" t="str">
        <x:v>Not Assigned</x:v>
      </x:c>
      <x:c r="L3157" s="19" t="str">
        <x:v>Z006</x:v>
      </x:c>
      <x:c r="M3157" s="19" t="str">
        <x:v>In Field Warranty Claims</x:v>
      </x:c>
      <x:c r="N3157" s="37" t="n">
        <x:v>46078</x:v>
      </x:c>
      <x:c r="O3157" s="37" t="n">
        <x:v>46099</x:v>
      </x:c>
      <x:c r="P3157" s="34" t="n">
        <x:v>0</x:v>
      </x:c>
      <x:c r="Q3157" s="37" t="n">
        <x:v>46106.92934027778</x:v>
      </x:c>
    </x:row>
    <x:row r="3158">
      <x:c r="A3158" s="22" t="n">
        <x:v>31661</x:v>
      </x:c>
      <x:c r="B3158" s="28" t="n">
        <x:v>557.73</x:v>
      </x:c>
      <x:c r="C3158" s="28"/>
      <x:c r="D3158" s="31" t="str">
        <x:f>IF(OR(ISBLANK(B3158),ISBLANK(C3158),B3158=0),"",(C3158-B3158)/B3158)</x:f>
      </x:c>
      <x:c r="E3158" s="22" t="str">
        <x:f>IF(ISBLANK(C3158),"AmountIncludingTax缺失",IF(ABS(B3158-C3158)&lt;0.005,"一致","不一致"))</x:f>
        <x:v>AmountIncludingTax缺失</x:v>
      </x:c>
      <x:c r="F3158" s="19" t="str">
        <x:v>approved</x:v>
      </x:c>
      <x:c r="G3158" s="19" t="str">
        <x:v>Repairer Invoiced Processed</x:v>
      </x:c>
      <x:c r="H3158" s="19" t="str">
        <x:v>In Field</x:v>
      </x:c>
      <x:c r="I3158" s="37" t="n">
        <x:v>46093</x:v>
      </x:c>
      <x:c r="J3158" s="37" t="n">
        <x:v>46093</x:v>
      </x:c>
      <x:c r="K3158" s="19" t="str">
        <x:v>Not Assigned</x:v>
      </x:c>
      <x:c r="L3158" s="19" t="str">
        <x:v>Z006</x:v>
      </x:c>
      <x:c r="M3158" s="19" t="str">
        <x:v>In Field Warranty Claims</x:v>
      </x:c>
      <x:c r="N3158" s="37" t="n">
        <x:v>46078</x:v>
      </x:c>
      <x:c r="O3158" s="37"/>
      <x:c r="P3158" s="34" t="n">
        <x:v>0</x:v>
      </x:c>
      <x:c r="Q3158" s="37" t="n">
        <x:v>46093.43577546296</x:v>
      </x:c>
    </x:row>
    <x:row r="3159">
      <x:c r="A3159" s="22" t="n">
        <x:v>31657</x:v>
      </x:c>
      <x:c r="B3159" s="28" t="n">
        <x:v>593.75</x:v>
      </x:c>
      <x:c r="C3159" s="28"/>
      <x:c r="D3159" s="31" t="str">
        <x:f>IF(OR(ISBLANK(B3159),ISBLANK(C3159),B3159=0),"",(C3159-B3159)/B3159)</x:f>
      </x:c>
      <x:c r="E3159" s="22" t="str">
        <x:f>IF(ISBLANK(C3159),"AmountIncludingTax缺失",IF(ABS(B3159-C3159)&lt;0.005,"一致","不一致"))</x:f>
        <x:v>AmountIncludingTax缺失</x:v>
      </x:c>
      <x:c r="F3159" s="19" t="str">
        <x:v>approved</x:v>
      </x:c>
      <x:c r="G3159" s="19" t="str">
        <x:v>Repair in Progress</x:v>
      </x:c>
      <x:c r="H3159" s="19" t="str">
        <x:v>In Field</x:v>
      </x:c>
      <x:c r="I3159" s="37" t="n">
        <x:v>46157</x:v>
      </x:c>
      <x:c r="J3159" s="37" t="n">
        <x:v>46156</x:v>
      </x:c>
      <x:c r="K3159" s="19" t="str">
        <x:v>Regent RV - Perth</x:v>
      </x:c>
      <x:c r="L3159" s="19" t="str">
        <x:v>Z006</x:v>
      </x:c>
      <x:c r="M3159" s="19" t="str">
        <x:v>In Field Warranty Claims</x:v>
      </x:c>
      <x:c r="N3159" s="37" t="n">
        <x:v>46078</x:v>
      </x:c>
      <x:c r="O3159" s="37"/>
      <x:c r="P3159" s="34" t="n">
        <x:v>0</x:v>
      </x:c>
      <x:c r="Q3159" s="37" t="n">
        <x:v>46156.96255787037</x:v>
      </x:c>
    </x:row>
    <x:row r="3160">
      <x:c r="A3160" s="22" t="n">
        <x:v>31656</x:v>
      </x:c>
      <x:c r="B3160" s="28" t="n">
        <x:v>242.73</x:v>
      </x:c>
      <x:c r="C3160" s="28" t="n">
        <x:v>267</x:v>
      </x:c>
      <x:c r="D3160" s="31" t="n">
        <x:f>IF(OR(ISBLANK(B3160),ISBLANK(C3160),B3160=0),"",(C3160-B3160)/B3160)</x:f>
        <x:v>0.09998764058830804</x:v>
      </x:c>
      <x:c r="E3160" s="22" t="str">
        <x:f>IF(ISBLANK(C3160),"AmountIncludingTax缺失",IF(ABS(B3160-C3160)&lt;0.005,"一致","不一致"))</x:f>
        <x:v>不一致</x:v>
      </x:c>
      <x:c r="F3160" s="19" t="str">
        <x:v>approved</x:v>
      </x:c>
      <x:c r="G3160" s="19" t="str">
        <x:v>Repair in Progress</x:v>
      </x:c>
      <x:c r="H3160" s="19" t="str">
        <x:v>In Field</x:v>
      </x:c>
      <x:c r="I3160" s="37" t="n">
        <x:v>46169</x:v>
      </x:c>
      <x:c r="J3160" s="37" t="n">
        <x:v>46169</x:v>
      </x:c>
      <x:c r="K3160" s="19" t="str">
        <x:v>Regent RV - Frankston</x:v>
      </x:c>
      <x:c r="L3160" s="19" t="str">
        <x:v>Z006</x:v>
      </x:c>
      <x:c r="M3160" s="19" t="str">
        <x:v>In Field Warranty Claims</x:v>
      </x:c>
      <x:c r="N3160" s="37" t="n">
        <x:v>46078</x:v>
      </x:c>
      <x:c r="O3160" s="37"/>
      <x:c r="P3160" s="34" t="n">
        <x:v>267</x:v>
      </x:c>
      <x:c r="Q3160" s="37" t="n">
        <x:v>46169.25599537037</x:v>
      </x:c>
    </x:row>
    <x:row r="3161">
      <x:c r="A3161" s="22" t="n">
        <x:v>31654</x:v>
      </x:c>
      <x:c r="B3161" s="28" t="n">
        <x:v>135</x:v>
      </x:c>
      <x:c r="C3161" s="28"/>
      <x:c r="D3161" s="31" t="str">
        <x:f>IF(OR(ISBLANK(B3161),ISBLANK(C3161),B3161=0),"",(C3161-B3161)/B3161)</x:f>
      </x:c>
      <x:c r="E3161" s="22" t="str">
        <x:f>IF(ISBLANK(C3161),"AmountIncludingTax缺失",IF(ABS(B3161-C3161)&lt;0.005,"一致","不一致"))</x:f>
        <x:v>AmountIncludingTax缺失</x:v>
      </x:c>
      <x:c r="F3161" s="19" t="str">
        <x:v>approved</x:v>
      </x:c>
      <x:c r="G3161" s="19" t="str">
        <x:v>Repairer Invoiced Processed</x:v>
      </x:c>
      <x:c r="H3161" s="19" t="str">
        <x:v>In Field</x:v>
      </x:c>
      <x:c r="I3161" s="37" t="n">
        <x:v>46134</x:v>
      </x:c>
      <x:c r="J3161" s="37" t="n">
        <x:v>46134</x:v>
      </x:c>
      <x:c r="K3161" s="19" t="str">
        <x:v>Regent RV - Toowoomba</x:v>
      </x:c>
      <x:c r="L3161" s="19" t="str">
        <x:v>Z006</x:v>
      </x:c>
      <x:c r="M3161" s="19" t="str">
        <x:v>In Field Warranty Claims</x:v>
      </x:c>
      <x:c r="N3161" s="37" t="n">
        <x:v>46078</x:v>
      </x:c>
      <x:c r="O3161" s="37"/>
      <x:c r="P3161" s="34" t="n">
        <x:v>0</x:v>
      </x:c>
      <x:c r="Q3161" s="37" t="n">
        <x:v>46134.13741898148</x:v>
      </x:c>
    </x:row>
    <x:row r="3162">
      <x:c r="A3162" s="22" t="n">
        <x:v>31651</x:v>
      </x:c>
      <x:c r="B3162" s="28" t="n">
        <x:v>72.5</x:v>
      </x:c>
      <x:c r="C3162" s="28"/>
      <x:c r="D3162" s="31" t="str">
        <x:f>IF(OR(ISBLANK(B3162),ISBLANK(C3162),B3162=0),"",(C3162-B3162)/B3162)</x:f>
      </x:c>
      <x:c r="E3162" s="22" t="str">
        <x:f>IF(ISBLANK(C3162),"AmountIncludingTax缺失",IF(ABS(B3162-C3162)&lt;0.005,"一致","不一致"))</x:f>
        <x:v>AmountIncludingTax缺失</x:v>
      </x:c>
      <x:c r="F3162" s="19" t="str">
        <x:v>approved</x:v>
      </x:c>
      <x:c r="G3162" s="19" t="str">
        <x:v>Sales Order Approved</x:v>
      </x:c>
      <x:c r="H3162" s="19" t="str">
        <x:v>Pre Delivery</x:v>
      </x:c>
      <x:c r="I3162" s="37" t="n">
        <x:v>46177</x:v>
      </x:c>
      <x:c r="J3162" s="37" t="n">
        <x:v>46177</x:v>
      </x:c>
      <x:c r="K3162" s="19" t="str">
        <x:v>The Caravan Hub - Townsville</x:v>
      </x:c>
      <x:c r="L3162" s="19" t="str">
        <x:v>Z005</x:v>
      </x:c>
      <x:c r="M3162" s="19" t="str">
        <x:v>Pre Delivery Warranty Claims</x:v>
      </x:c>
      <x:c r="N3162" s="37" t="n">
        <x:v>46078</x:v>
      </x:c>
      <x:c r="O3162" s="37"/>
      <x:c r="P3162" s="34" t="n">
        <x:v>0</x:v>
      </x:c>
      <x:c r="Q3162" s="37" t="n">
        <x:v>46177.184166666666</x:v>
      </x:c>
    </x:row>
    <x:row r="3163">
      <x:c r="A3163" s="22" t="n">
        <x:v>31647</x:v>
      </x:c>
      <x:c r="B3163" s="28" t="n">
        <x:v>2181.82</x:v>
      </x:c>
      <x:c r="C3163" s="28"/>
      <x:c r="D3163" s="31" t="str">
        <x:f>IF(OR(ISBLANK(B3163),ISBLANK(C3163),B3163=0),"",(C3163-B3163)/B3163)</x:f>
      </x:c>
      <x:c r="E3163" s="22" t="str">
        <x:f>IF(ISBLANK(C3163),"AmountIncludingTax缺失",IF(ABS(B3163-C3163)&lt;0.005,"一致","不一致"))</x:f>
        <x:v>AmountIncludingTax缺失</x:v>
      </x:c>
      <x:c r="F3163" s="19" t="str">
        <x:v>approved</x:v>
      </x:c>
      <x:c r="G3163" s="19" t="str">
        <x:v>Repairer Invoiced Processed</x:v>
      </x:c>
      <x:c r="H3163" s="19" t="str">
        <x:v>In Field</x:v>
      </x:c>
      <x:c r="I3163" s="37" t="n">
        <x:v>46079</x:v>
      </x:c>
      <x:c r="J3163" s="37" t="n">
        <x:v>46079</x:v>
      </x:c>
      <x:c r="K3163" s="19" t="str">
        <x:v>Green RV - Forest Glen</x:v>
      </x:c>
      <x:c r="L3163" s="19" t="str">
        <x:v>Z006</x:v>
      </x:c>
      <x:c r="M3163" s="19" t="str">
        <x:v>In Field Warranty Claims</x:v>
      </x:c>
      <x:c r="N3163" s="37" t="n">
        <x:v>46079</x:v>
      </x:c>
      <x:c r="O3163" s="37"/>
      <x:c r="P3163" s="34" t="n">
        <x:v>2400</x:v>
      </x:c>
      <x:c r="Q3163" s="37" t="n">
        <x:v>46079.194131944445</x:v>
      </x:c>
    </x:row>
    <x:row r="3164">
      <x:c r="A3164" s="22" t="n">
        <x:v>31646</x:v>
      </x:c>
      <x:c r="B3164" s="28" t="n">
        <x:v>826.92</x:v>
      </x:c>
      <x:c r="C3164" s="28"/>
      <x:c r="D3164" s="31" t="str">
        <x:f>IF(OR(ISBLANK(B3164),ISBLANK(C3164),B3164=0),"",(C3164-B3164)/B3164)</x:f>
      </x:c>
      <x:c r="E3164" s="22" t="str">
        <x:f>IF(ISBLANK(C3164),"AmountIncludingTax缺失",IF(ABS(B3164-C3164)&lt;0.005,"一致","不一致"))</x:f>
        <x:v>AmountIncludingTax缺失</x:v>
      </x:c>
      <x:c r="F3164" s="19" t="str">
        <x:v>approved</x:v>
      </x:c>
      <x:c r="G3164" s="19" t="str">
        <x:v>Repairer Invoiced Processed</x:v>
      </x:c>
      <x:c r="H3164" s="19" t="str">
        <x:v>In Field</x:v>
      </x:c>
      <x:c r="I3164" s="37" t="n">
        <x:v>46136</x:v>
      </x:c>
      <x:c r="J3164" s="37" t="n">
        <x:v>46136</x:v>
      </x:c>
      <x:c r="K3164" s="19" t="str">
        <x:v>Regent RV - Perth</x:v>
      </x:c>
      <x:c r="L3164" s="19" t="str">
        <x:v>Z006</x:v>
      </x:c>
      <x:c r="M3164" s="19" t="str">
        <x:v>In Field Warranty Claims</x:v>
      </x:c>
      <x:c r="N3164" s="37" t="n">
        <x:v>46079</x:v>
      </x:c>
      <x:c r="O3164" s="37"/>
      <x:c r="P3164" s="34" t="n">
        <x:v>0</x:v>
      </x:c>
      <x:c r="Q3164" s="37" t="n">
        <x:v>46136.054618055554</x:v>
      </x:c>
    </x:row>
    <x:row r="3165">
      <x:c r="A3165" s="22" t="n">
        <x:v>31640</x:v>
      </x:c>
      <x:c r="B3165" s="28" t="n">
        <x:v>135</x:v>
      </x:c>
      <x:c r="C3165" s="28"/>
      <x:c r="D3165" s="31" t="str">
        <x:f>IF(OR(ISBLANK(B3165),ISBLANK(C3165),B3165=0),"",(C3165-B3165)/B3165)</x:f>
      </x:c>
      <x:c r="E3165" s="22" t="str">
        <x:f>IF(ISBLANK(C3165),"AmountIncludingTax缺失",IF(ABS(B3165-C3165)&lt;0.005,"一致","不一致"))</x:f>
        <x:v>AmountIncludingTax缺失</x:v>
      </x:c>
      <x:c r="F3165" s="19" t="str">
        <x:v>approved</x:v>
      </x:c>
      <x:c r="G3165" s="19" t="str">
        <x:v>Repair in Progress</x:v>
      </x:c>
      <x:c r="H3165" s="19" t="str">
        <x:v>In Field</x:v>
      </x:c>
      <x:c r="I3165" s="37" t="n">
        <x:v>46086</x:v>
      </x:c>
      <x:c r="J3165" s="37" t="n">
        <x:v>46086</x:v>
      </x:c>
      <x:c r="K3165" s="19" t="str">
        <x:v>Newcastle RV Super Centre - Beresfield</x:v>
      </x:c>
      <x:c r="L3165" s="19" t="str">
        <x:v>Z006</x:v>
      </x:c>
      <x:c r="M3165" s="19" t="str">
        <x:v>In Field Warranty Claims</x:v>
      </x:c>
      <x:c r="N3165" s="37" t="n">
        <x:v>46078</x:v>
      </x:c>
      <x:c r="O3165" s="37"/>
      <x:c r="P3165" s="34" t="n">
        <x:v>0</x:v>
      </x:c>
      <x:c r="Q3165" s="37" t="n">
        <x:v>46086.17538194444</x:v>
      </x:c>
    </x:row>
    <x:row r="3166">
      <x:c r="A3166" s="22" t="n">
        <x:v>31639</x:v>
      </x:c>
      <x:c r="B3166" s="28" t="n">
        <x:v>272.73</x:v>
      </x:c>
      <x:c r="C3166" s="28" t="n">
        <x:v>300</x:v>
      </x:c>
      <x:c r="D3166" s="31" t="n">
        <x:f>IF(OR(ISBLANK(B3166),ISBLANK(C3166),B3166=0),"",(C3166-B3166)/B3166)</x:f>
        <x:v>0.09998900010999882</x:v>
      </x:c>
      <x:c r="E3166" s="22" t="str">
        <x:f>IF(ISBLANK(C3166),"AmountIncludingTax缺失",IF(ABS(B3166-C3166)&lt;0.005,"一致","不一致"))</x:f>
        <x:v>不一致</x:v>
      </x:c>
      <x:c r="F3166" s="19" t="str">
        <x:v>approved</x:v>
      </x:c>
      <x:c r="G3166" s="19" t="str">
        <x:v>Repairer Invoiced Processed</x:v>
      </x:c>
      <x:c r="H3166" s="19" t="str">
        <x:v>In Field</x:v>
      </x:c>
      <x:c r="I3166" s="37" t="n">
        <x:v>46127</x:v>
      </x:c>
      <x:c r="J3166" s="37" t="n">
        <x:v>46127</x:v>
      </x:c>
      <x:c r="K3166" s="19" t="str">
        <x:v>Regent RV - Perth</x:v>
      </x:c>
      <x:c r="L3166" s="19" t="str">
        <x:v>Z006</x:v>
      </x:c>
      <x:c r="M3166" s="19" t="str">
        <x:v>In Field Warranty Claims</x:v>
      </x:c>
      <x:c r="N3166" s="37" t="n">
        <x:v>46078</x:v>
      </x:c>
      <x:c r="O3166" s="37"/>
      <x:c r="P3166" s="34" t="n">
        <x:v>300</x:v>
      </x:c>
      <x:c r="Q3166" s="37" t="n">
        <x:v>46127.25954861111</x:v>
      </x:c>
    </x:row>
    <x:row r="3167">
      <x:c r="A3167" s="22" t="n">
        <x:v>31638</x:v>
      </x:c>
      <x:c r="B3167" s="28" t="n">
        <x:v>87.88</x:v>
      </x:c>
      <x:c r="C3167" s="28"/>
      <x:c r="D3167" s="31" t="str">
        <x:f>IF(OR(ISBLANK(B3167),ISBLANK(C3167),B3167=0),"",(C3167-B3167)/B3167)</x:f>
      </x:c>
      <x:c r="E3167" s="22" t="str">
        <x:f>IF(ISBLANK(C3167),"AmountIncludingTax缺失",IF(ABS(B3167-C3167)&lt;0.005,"一致","不一致"))</x:f>
        <x:v>AmountIncludingTax缺失</x:v>
      </x:c>
      <x:c r="F3167" s="19" t="str">
        <x:v>approved</x:v>
      </x:c>
      <x:c r="G3167" s="19" t="str">
        <x:v>Repairer Invoiced Processed</x:v>
      </x:c>
      <x:c r="H3167" s="19" t="str">
        <x:v>Pre Delivery</x:v>
      </x:c>
      <x:c r="I3167" s="37" t="n">
        <x:v>46154</x:v>
      </x:c>
      <x:c r="J3167" s="37" t="n">
        <x:v>46154</x:v>
      </x:c>
      <x:c r="K3167" s="19" t="str">
        <x:v>The Caravan Hub - Townsville</x:v>
      </x:c>
      <x:c r="L3167" s="19" t="str">
        <x:v>Z005</x:v>
      </x:c>
      <x:c r="M3167" s="19" t="str">
        <x:v>Pre Delivery Warranty Claims</x:v>
      </x:c>
      <x:c r="N3167" s="37" t="n">
        <x:v>46078</x:v>
      </x:c>
      <x:c r="O3167" s="37"/>
      <x:c r="P3167" s="34" t="n">
        <x:v>0</x:v>
      </x:c>
      <x:c r="Q3167" s="37" t="n">
        <x:v>46154.02376157408</x:v>
      </x:c>
    </x:row>
    <x:row r="3168">
      <x:c r="A3168" s="22" t="n">
        <x:v>31637</x:v>
      </x:c>
      <x:c r="B3168" s="28" t="n">
        <x:v>636.25</x:v>
      </x:c>
      <x:c r="C3168" s="28"/>
      <x:c r="D3168" s="31" t="str">
        <x:f>IF(OR(ISBLANK(B3168),ISBLANK(C3168),B3168=0),"",(C3168-B3168)/B3168)</x:f>
      </x:c>
      <x:c r="E3168" s="22" t="str">
        <x:f>IF(ISBLANK(C3168),"AmountIncludingTax缺失",IF(ABS(B3168-C3168)&lt;0.005,"一致","不一致"))</x:f>
        <x:v>AmountIncludingTax缺失</x:v>
      </x:c>
      <x:c r="F3168" s="19" t="str">
        <x:v>approved</x:v>
      </x:c>
      <x:c r="G3168" s="19" t="str">
        <x:v>Repair in Progress</x:v>
      </x:c>
      <x:c r="H3168" s="19" t="str">
        <x:v>In Field</x:v>
      </x:c>
      <x:c r="I3168" s="37" t="n">
        <x:v>46079</x:v>
      </x:c>
      <x:c r="J3168" s="37" t="n">
        <x:v>46079</x:v>
      </x:c>
      <x:c r="K3168" s="19" t="str">
        <x:v>The Caravan Hub - Townsville</x:v>
      </x:c>
      <x:c r="L3168" s="19" t="str">
        <x:v>Z006</x:v>
      </x:c>
      <x:c r="M3168" s="19" t="str">
        <x:v>In Field Warranty Claims</x:v>
      </x:c>
      <x:c r="N3168" s="37" t="n">
        <x:v>46078</x:v>
      </x:c>
      <x:c r="O3168" s="37"/>
      <x:c r="P3168" s="34" t="n">
        <x:v>0</x:v>
      </x:c>
      <x:c r="Q3168" s="37" t="n">
        <x:v>46078.90283564815</x:v>
      </x:c>
    </x:row>
    <x:row r="3169">
      <x:c r="A3169" s="22" t="n">
        <x:v>31633</x:v>
      </x:c>
      <x:c r="B3169" s="28" t="n">
        <x:v>145.45</x:v>
      </x:c>
      <x:c r="C3169" s="28" t="n">
        <x:v>160</x:v>
      </x:c>
      <x:c r="D3169" s="31" t="n">
        <x:f>IF(OR(ISBLANK(B3169),ISBLANK(C3169),B3169=0),"",(C3169-B3169)/B3169)</x:f>
        <x:v>0.1000343760742524</x:v>
      </x:c>
      <x:c r="E3169" s="22" t="str">
        <x:f>IF(ISBLANK(C3169),"AmountIncludingTax缺失",IF(ABS(B3169-C3169)&lt;0.005,"一致","不一致"))</x:f>
        <x:v>不一致</x:v>
      </x:c>
      <x:c r="F3169" s="19" t="str">
        <x:v>approved</x:v>
      </x:c>
      <x:c r="G3169" s="19" t="str">
        <x:v>Repairer Invoiced Processed</x:v>
      </x:c>
      <x:c r="H3169" s="19" t="str">
        <x:v>In Field</x:v>
      </x:c>
      <x:c r="I3169" s="37" t="n">
        <x:v>46162</x:v>
      </x:c>
      <x:c r="J3169" s="37" t="n">
        <x:v>46162</x:v>
      </x:c>
      <x:c r="K3169" s="19" t="str">
        <x:v>Green RV - Slacks Creek</x:v>
      </x:c>
      <x:c r="L3169" s="19" t="str">
        <x:v>Z006</x:v>
      </x:c>
      <x:c r="M3169" s="19" t="str">
        <x:v>In Field Warranty Claims</x:v>
      </x:c>
      <x:c r="N3169" s="37" t="n">
        <x:v>46078</x:v>
      </x:c>
      <x:c r="O3169" s="37"/>
      <x:c r="P3169" s="34" t="n">
        <x:v>160</x:v>
      </x:c>
      <x:c r="Q3169" s="37" t="n">
        <x:v>46162.05212962963</x:v>
      </x:c>
    </x:row>
    <x:row r="3170">
      <x:c r="A3170" s="22" t="n">
        <x:v>31631</x:v>
      </x:c>
      <x:c r="B3170" s="28" t="n">
        <x:v>326.48</x:v>
      </x:c>
      <x:c r="C3170" s="28"/>
      <x:c r="D3170" s="31" t="str">
        <x:f>IF(OR(ISBLANK(B3170),ISBLANK(C3170),B3170=0),"",(C3170-B3170)/B3170)</x:f>
      </x:c>
      <x:c r="E3170" s="22" t="str">
        <x:f>IF(ISBLANK(C3170),"AmountIncludingTax缺失",IF(ABS(B3170-C3170)&lt;0.005,"一致","不一致"))</x:f>
        <x:v>AmountIncludingTax缺失</x:v>
      </x:c>
      <x:c r="F3170" s="19" t="str">
        <x:v>approved</x:v>
      </x:c>
      <x:c r="G3170" s="19" t="str">
        <x:v>Repairer Invoiced Processed</x:v>
      </x:c>
      <x:c r="H3170" s="19" t="str">
        <x:v>Pre Delivery</x:v>
      </x:c>
      <x:c r="I3170" s="37" t="n">
        <x:v>46113</x:v>
      </x:c>
      <x:c r="J3170" s="37" t="n">
        <x:v>46113</x:v>
      </x:c>
      <x:c r="K3170" s="19" t="str">
        <x:v>Lesiure Lion-New Castle</x:v>
      </x:c>
      <x:c r="L3170" s="19" t="str">
        <x:v>Z005</x:v>
      </x:c>
      <x:c r="M3170" s="19" t="str">
        <x:v>Pre Delivery Warranty Claims</x:v>
      </x:c>
      <x:c r="N3170" s="37" t="n">
        <x:v>46078</x:v>
      </x:c>
      <x:c r="O3170" s="37"/>
      <x:c r="P3170" s="34" t="n">
        <x:v>0</x:v>
      </x:c>
      <x:c r="Q3170" s="37" t="n">
        <x:v>46112.90899305556</x:v>
      </x:c>
    </x:row>
    <x:row r="3171">
      <x:c r="A3171" s="22" t="n">
        <x:v>31630</x:v>
      </x:c>
      <x:c r="B3171" s="28" t="n">
        <x:v>405</x:v>
      </x:c>
      <x:c r="C3171" s="28"/>
      <x:c r="D3171" s="31" t="str">
        <x:f>IF(OR(ISBLANK(B3171),ISBLANK(C3171),B3171=0),"",(C3171-B3171)/B3171)</x:f>
      </x:c>
      <x:c r="E3171" s="22" t="str">
        <x:f>IF(ISBLANK(C3171),"AmountIncludingTax缺失",IF(ABS(B3171-C3171)&lt;0.005,"一致","不一致"))</x:f>
        <x:v>AmountIncludingTax缺失</x:v>
      </x:c>
      <x:c r="F3171" s="19" t="str">
        <x:v>approved</x:v>
      </x:c>
      <x:c r="G3171" s="19" t="str">
        <x:v>Repair in Progress</x:v>
      </x:c>
      <x:c r="H3171" s="19" t="str">
        <x:v>In Field</x:v>
      </x:c>
      <x:c r="I3171" s="37" t="n">
        <x:v>46128</x:v>
      </x:c>
      <x:c r="J3171" s="37" t="n">
        <x:v>46128</x:v>
      </x:c>
      <x:c r="K3171" s="19" t="str">
        <x:v>Not Assigned</x:v>
      </x:c>
      <x:c r="L3171" s="19" t="str">
        <x:v>Z006</x:v>
      </x:c>
      <x:c r="M3171" s="19" t="str">
        <x:v>In Field Warranty Claims</x:v>
      </x:c>
      <x:c r="N3171" s="37" t="n">
        <x:v>46078</x:v>
      </x:c>
      <x:c r="O3171" s="37"/>
      <x:c r="P3171" s="34" t="n">
        <x:v>0</x:v>
      </x:c>
      <x:c r="Q3171" s="37" t="n">
        <x:v>46127.935277777775</x:v>
      </x:c>
    </x:row>
    <x:row r="3172">
      <x:c r="A3172" s="22" t="n">
        <x:v>31627</x:v>
      </x:c>
      <x:c r="B3172" s="28" t="n">
        <x:v>324.41</x:v>
      </x:c>
      <x:c r="C3172" s="28" t="n">
        <x:v>356.85</x:v>
      </x:c>
      <x:c r="D3172" s="31" t="n">
        <x:f>IF(OR(ISBLANK(B3172),ISBLANK(C3172),B3172=0),"",(C3172-B3172)/B3172)</x:f>
        <x:v>0.09999691748096542</x:v>
      </x:c>
      <x:c r="E3172" s="22" t="str">
        <x:f>IF(ISBLANK(C3172),"AmountIncludingTax缺失",IF(ABS(B3172-C3172)&lt;0.005,"一致","不一致"))</x:f>
        <x:v>不一致</x:v>
      </x:c>
      <x:c r="F3172" s="19" t="str">
        <x:v>approved</x:v>
      </x:c>
      <x:c r="G3172" s="19" t="str">
        <x:v>Repairer Invoiced Processed</x:v>
      </x:c>
      <x:c r="H3172" s="19" t="str">
        <x:v>In Field</x:v>
      </x:c>
      <x:c r="I3172" s="37" t="n">
        <x:v>46082</x:v>
      </x:c>
      <x:c r="J3172" s="37" t="n">
        <x:v>46082</x:v>
      </x:c>
      <x:c r="K3172" s="19" t="str">
        <x:v>The Caravan Hub - Townsville</x:v>
      </x:c>
      <x:c r="L3172" s="19" t="str">
        <x:v>Z006</x:v>
      </x:c>
      <x:c r="M3172" s="19" t="str">
        <x:v>In Field Warranty Claims</x:v>
      </x:c>
      <x:c r="N3172" s="37" t="n">
        <x:v>46078</x:v>
      </x:c>
      <x:c r="O3172" s="37"/>
      <x:c r="P3172" s="34" t="n">
        <x:v>356.85</x:v>
      </x:c>
      <x:c r="Q3172" s="37" t="n">
        <x:v>46082.29039351852</x:v>
      </x:c>
    </x:row>
    <x:row r="3173">
      <x:c r="A3173" s="22" t="n">
        <x:v>31626</x:v>
      </x:c>
      <x:c r="B3173" s="28" t="n">
        <x:v>411.25</x:v>
      </x:c>
      <x:c r="C3173" s="28"/>
      <x:c r="D3173" s="31" t="str">
        <x:f>IF(OR(ISBLANK(B3173),ISBLANK(C3173),B3173=0),"",(C3173-B3173)/B3173)</x:f>
      </x:c>
      <x:c r="E3173" s="22" t="str">
        <x:f>IF(ISBLANK(C3173),"AmountIncludingTax缺失",IF(ABS(B3173-C3173)&lt;0.005,"一致","不一致"))</x:f>
        <x:v>AmountIncludingTax缺失</x:v>
      </x:c>
      <x:c r="F3173" s="19" t="str">
        <x:v>approved</x:v>
      </x:c>
      <x:c r="G3173" s="19" t="str">
        <x:v>Repair in Progress</x:v>
      </x:c>
      <x:c r="H3173" s="19" t="str">
        <x:v>In Field</x:v>
      </x:c>
      <x:c r="I3173" s="37" t="n">
        <x:v>46119</x:v>
      </x:c>
      <x:c r="J3173" s="37" t="n">
        <x:v>46119</x:v>
      </x:c>
      <x:c r="K3173" s="19" t="str">
        <x:v>ABCO Caravans - Boambee Valley</x:v>
      </x:c>
      <x:c r="L3173" s="19" t="str">
        <x:v>Z006</x:v>
      </x:c>
      <x:c r="M3173" s="19" t="str">
        <x:v>In Field Warranty Claims</x:v>
      </x:c>
      <x:c r="N3173" s="37" t="n">
        <x:v>46078</x:v>
      </x:c>
      <x:c r="O3173" s="37"/>
      <x:c r="P3173" s="34" t="n">
        <x:v>0</x:v>
      </x:c>
      <x:c r="Q3173" s="37" t="n">
        <x:v>46119.132210648146</x:v>
      </x:c>
    </x:row>
    <x:row r="3174">
      <x:c r="A3174" s="22" t="n">
        <x:v>31624</x:v>
      </x:c>
      <x:c r="B3174" s="28" t="n">
        <x:v>113.75</x:v>
      </x:c>
      <x:c r="C3174" s="28"/>
      <x:c r="D3174" s="31" t="str">
        <x:f>IF(OR(ISBLANK(B3174),ISBLANK(C3174),B3174=0),"",(C3174-B3174)/B3174)</x:f>
      </x:c>
      <x:c r="E3174" s="22" t="str">
        <x:f>IF(ISBLANK(C3174),"AmountIncludingTax缺失",IF(ABS(B3174-C3174)&lt;0.005,"一致","不一致"))</x:f>
        <x:v>AmountIncludingTax缺失</x:v>
      </x:c>
      <x:c r="F3174" s="19" t="str">
        <x:v>approved</x:v>
      </x:c>
      <x:c r="G3174" s="19" t="str">
        <x:v>Repair in Progress</x:v>
      </x:c>
      <x:c r="H3174" s="19" t="str">
        <x:v>In Field</x:v>
      </x:c>
      <x:c r="I3174" s="37" t="n">
        <x:v>46143</x:v>
      </x:c>
      <x:c r="J3174" s="37" t="n">
        <x:v>46143</x:v>
      </x:c>
      <x:c r="K3174" s="19" t="str">
        <x:v>Regent RV - Townsville</x:v>
      </x:c>
      <x:c r="L3174" s="19" t="str">
        <x:v>Z006</x:v>
      </x:c>
      <x:c r="M3174" s="19" t="str">
        <x:v>In Field Warranty Claims</x:v>
      </x:c>
      <x:c r="N3174" s="37" t="n">
        <x:v>46078</x:v>
      </x:c>
      <x:c r="O3174" s="37"/>
      <x:c r="P3174" s="34" t="n">
        <x:v>0</x:v>
      </x:c>
      <x:c r="Q3174" s="37" t="n">
        <x:v>46143.08988425926</x:v>
      </x:c>
    </x:row>
    <x:row r="3175">
      <x:c r="A3175" s="22" t="n">
        <x:v>31623</x:v>
      </x:c>
      <x:c r="B3175" s="28" t="n">
        <x:v>186.25</x:v>
      </x:c>
      <x:c r="C3175" s="28"/>
      <x:c r="D3175" s="31" t="str">
        <x:f>IF(OR(ISBLANK(B3175),ISBLANK(C3175),B3175=0),"",(C3175-B3175)/B3175)</x:f>
      </x:c>
      <x:c r="E3175" s="22" t="str">
        <x:f>IF(ISBLANK(C3175),"AmountIncludingTax缺失",IF(ABS(B3175-C3175)&lt;0.005,"一致","不一致"))</x:f>
        <x:v>AmountIncludingTax缺失</x:v>
      </x:c>
      <x:c r="F3175" s="19" t="str">
        <x:v>approved</x:v>
      </x:c>
      <x:c r="G3175" s="19" t="str">
        <x:v>Repairer Invoiced Processed</x:v>
      </x:c>
      <x:c r="H3175" s="19" t="str">
        <x:v>Pre Delivery</x:v>
      </x:c>
      <x:c r="I3175" s="37" t="n">
        <x:v>46139</x:v>
      </x:c>
      <x:c r="J3175" s="37" t="n">
        <x:v>46139</x:v>
      </x:c>
      <x:c r="K3175" s="19" t="str">
        <x:v>The Caravan Hub - Townsville</x:v>
      </x:c>
      <x:c r="L3175" s="19" t="str">
        <x:v>Z005</x:v>
      </x:c>
      <x:c r="M3175" s="19" t="str">
        <x:v>Pre Delivery Warranty Claims</x:v>
      </x:c>
      <x:c r="N3175" s="37" t="n">
        <x:v>46078</x:v>
      </x:c>
      <x:c r="O3175" s="37"/>
      <x:c r="P3175" s="34" t="n">
        <x:v>0</x:v>
      </x:c>
      <x:c r="Q3175" s="37" t="n">
        <x:v>46139.07493055556</x:v>
      </x:c>
    </x:row>
    <x:row r="3176">
      <x:c r="A3176" s="22" t="n">
        <x:v>31622</x:v>
      </x:c>
      <x:c r="B3176" s="28" t="n">
        <x:v>67.5</x:v>
      </x:c>
      <x:c r="C3176" s="28"/>
      <x:c r="D3176" s="31" t="str">
        <x:f>IF(OR(ISBLANK(B3176),ISBLANK(C3176),B3176=0),"",(C3176-B3176)/B3176)</x:f>
      </x:c>
      <x:c r="E3176" s="22" t="str">
        <x:f>IF(ISBLANK(C3176),"AmountIncludingTax缺失",IF(ABS(B3176-C3176)&lt;0.005,"一致","不一致"))</x:f>
        <x:v>AmountIncludingTax缺失</x:v>
      </x:c>
      <x:c r="F3176" s="19" t="str">
        <x:v>approved</x:v>
      </x:c>
      <x:c r="G3176" s="19" t="str">
        <x:v>Repair in Progress</x:v>
      </x:c>
      <x:c r="H3176" s="19" t="str">
        <x:v>In Field</x:v>
      </x:c>
      <x:c r="I3176" s="37" t="n">
        <x:v>46098</x:v>
      </x:c>
      <x:c r="J3176" s="37" t="n">
        <x:v>46098</x:v>
      </x:c>
      <x:c r="K3176" s="19" t="str">
        <x:v>Not Assigned</x:v>
      </x:c>
      <x:c r="L3176" s="19" t="str">
        <x:v>Z006</x:v>
      </x:c>
      <x:c r="M3176" s="19" t="str">
        <x:v>In Field Warranty Claims</x:v>
      </x:c>
      <x:c r="N3176" s="37" t="n">
        <x:v>46078</x:v>
      </x:c>
      <x:c r="O3176" s="37"/>
      <x:c r="P3176" s="34" t="n">
        <x:v>0</x:v>
      </x:c>
      <x:c r="Q3176" s="37" t="n">
        <x:v>46097.90541666667</x:v>
      </x:c>
    </x:row>
    <x:row r="3177">
      <x:c r="A3177" s="22" t="n">
        <x:v>31621</x:v>
      </x:c>
      <x:c r="B3177" s="28" t="n">
        <x:v>405</x:v>
      </x:c>
      <x:c r="C3177" s="28"/>
      <x:c r="D3177" s="31" t="str">
        <x:f>IF(OR(ISBLANK(B3177),ISBLANK(C3177),B3177=0),"",(C3177-B3177)/B3177)</x:f>
      </x:c>
      <x:c r="E3177" s="22" t="str">
        <x:f>IF(ISBLANK(C3177),"AmountIncludingTax缺失",IF(ABS(B3177-C3177)&lt;0.005,"一致","不一致"))</x:f>
        <x:v>AmountIncludingTax缺失</x:v>
      </x:c>
      <x:c r="F3177" s="19" t="str">
        <x:v>approved</x:v>
      </x:c>
      <x:c r="G3177" s="19" t="str">
        <x:v>Repair in Progress</x:v>
      </x:c>
      <x:c r="H3177" s="19" t="str">
        <x:v>In Field</x:v>
      </x:c>
      <x:c r="I3177" s="37" t="n">
        <x:v>46093</x:v>
      </x:c>
      <x:c r="J3177" s="37" t="n">
        <x:v>46093</x:v>
      </x:c>
      <x:c r="K3177" s="19" t="str">
        <x:v>Green RV - Slacks Creek</x:v>
      </x:c>
      <x:c r="L3177" s="19" t="str">
        <x:v>Z006</x:v>
      </x:c>
      <x:c r="M3177" s="19" t="str">
        <x:v>In Field Warranty Claims</x:v>
      </x:c>
      <x:c r="N3177" s="37" t="n">
        <x:v>46078</x:v>
      </x:c>
      <x:c r="O3177" s="37"/>
      <x:c r="P3177" s="34" t="n">
        <x:v>0</x:v>
      </x:c>
      <x:c r="Q3177" s="37" t="n">
        <x:v>46093.12866898148</x:v>
      </x:c>
    </x:row>
    <x:row r="3178">
      <x:c r="A3178" s="22" t="n">
        <x:v>31620</x:v>
      </x:c>
      <x:c r="B3178" s="28" t="n">
        <x:v>770.65</x:v>
      </x:c>
      <x:c r="C3178" s="28"/>
      <x:c r="D3178" s="31" t="str">
        <x:f>IF(OR(ISBLANK(B3178),ISBLANK(C3178),B3178=0),"",(C3178-B3178)/B3178)</x:f>
      </x:c>
      <x:c r="E3178" s="22" t="str">
        <x:f>IF(ISBLANK(C3178),"AmountIncludingTax缺失",IF(ABS(B3178-C3178)&lt;0.005,"一致","不一致"))</x:f>
        <x:v>AmountIncludingTax缺失</x:v>
      </x:c>
      <x:c r="F3178" s="19" t="str">
        <x:v>approved</x:v>
      </x:c>
      <x:c r="G3178" s="19" t="str">
        <x:v>Repair in Progress</x:v>
      </x:c>
      <x:c r="H3178" s="19" t="str">
        <x:v>In Field</x:v>
      </x:c>
      <x:c r="I3178" s="37" t="n">
        <x:v>46082</x:v>
      </x:c>
      <x:c r="J3178" s="37" t="n">
        <x:v>46082</x:v>
      </x:c>
      <x:c r="K3178" s="19" t="str">
        <x:v>The Caravan Hub - Townsville</x:v>
      </x:c>
      <x:c r="L3178" s="19" t="str">
        <x:v>Z006</x:v>
      </x:c>
      <x:c r="M3178" s="19" t="str">
        <x:v>In Field Warranty Claims</x:v>
      </x:c>
      <x:c r="N3178" s="37" t="n">
        <x:v>46078</x:v>
      </x:c>
      <x:c r="O3178" s="37"/>
      <x:c r="P3178" s="34" t="n">
        <x:v>0</x:v>
      </x:c>
      <x:c r="Q3178" s="37" t="n">
        <x:v>46082.24868055555</x:v>
      </x:c>
    </x:row>
    <x:row r="3179">
      <x:c r="A3179" s="22" t="n">
        <x:v>31619</x:v>
      </x:c>
      <x:c r="B3179" s="28" t="n">
        <x:v>560</x:v>
      </x:c>
      <x:c r="C3179" s="28"/>
      <x:c r="D3179" s="31" t="str">
        <x:f>IF(OR(ISBLANK(B3179),ISBLANK(C3179),B3179=0),"",(C3179-B3179)/B3179)</x:f>
      </x:c>
      <x:c r="E3179" s="22" t="str">
        <x:f>IF(ISBLANK(C3179),"AmountIncludingTax缺失",IF(ABS(B3179-C3179)&lt;0.005,"一致","不一致"))</x:f>
        <x:v>AmountIncludingTax缺失</x:v>
      </x:c>
      <x:c r="F3179" s="19" t="str">
        <x:v>approved</x:v>
      </x:c>
      <x:c r="G3179" s="19" t="str">
        <x:v>Repairer Invoiced Processed</x:v>
      </x:c>
      <x:c r="H3179" s="19" t="str">
        <x:v>In Field</x:v>
      </x:c>
      <x:c r="I3179" s="37" t="n">
        <x:v>46133</x:v>
      </x:c>
      <x:c r="J3179" s="37" t="n">
        <x:v>46133</x:v>
      </x:c>
      <x:c r="K3179" s="19" t="str">
        <x:v>Not Assigned</x:v>
      </x:c>
      <x:c r="L3179" s="19" t="str">
        <x:v>Z006</x:v>
      </x:c>
      <x:c r="M3179" s="19" t="str">
        <x:v>In Field Warranty Claims</x:v>
      </x:c>
      <x:c r="N3179" s="37" t="n">
        <x:v>46078</x:v>
      </x:c>
      <x:c r="O3179" s="37"/>
      <x:c r="P3179" s="34" t="n">
        <x:v>0</x:v>
      </x:c>
      <x:c r="Q3179" s="37" t="n">
        <x:v>46133.073796296296</x:v>
      </x:c>
    </x:row>
    <x:row r="3180">
      <x:c r="A3180" s="22" t="n">
        <x:v>31618</x:v>
      </x:c>
      <x:c r="B3180" s="28" t="n">
        <x:v>67.5</x:v>
      </x:c>
      <x:c r="C3180" s="28"/>
      <x:c r="D3180" s="31" t="str">
        <x:f>IF(OR(ISBLANK(B3180),ISBLANK(C3180),B3180=0),"",(C3180-B3180)/B3180)</x:f>
      </x:c>
      <x:c r="E3180" s="22" t="str">
        <x:f>IF(ISBLANK(C3180),"AmountIncludingTax缺失",IF(ABS(B3180-C3180)&lt;0.005,"一致","不一致"))</x:f>
        <x:v>AmountIncludingTax缺失</x:v>
      </x:c>
      <x:c r="F3180" s="19" t="str">
        <x:v>approved</x:v>
      </x:c>
      <x:c r="G3180" s="19" t="str">
        <x:v>Repairer Invoiced Processed</x:v>
      </x:c>
      <x:c r="H3180" s="19" t="str">
        <x:v>In Field</x:v>
      </x:c>
      <x:c r="I3180" s="37" t="n">
        <x:v>46128</x:v>
      </x:c>
      <x:c r="J3180" s="37" t="n">
        <x:v>46128</x:v>
      </x:c>
      <x:c r="K3180" s="19" t="str">
        <x:v>Not Assigned</x:v>
      </x:c>
      <x:c r="L3180" s="19" t="str">
        <x:v>Z006</x:v>
      </x:c>
      <x:c r="M3180" s="19" t="str">
        <x:v>In Field Warranty Claims</x:v>
      </x:c>
      <x:c r="N3180" s="37" t="n">
        <x:v>46078</x:v>
      </x:c>
      <x:c r="O3180" s="37"/>
      <x:c r="P3180" s="34" t="n">
        <x:v>0</x:v>
      </x:c>
      <x:c r="Q3180" s="37" t="n">
        <x:v>46127.95234953704</x:v>
      </x:c>
    </x:row>
    <x:row r="3181">
      <x:c r="A3181" s="22" t="n">
        <x:v>31617</x:v>
      </x:c>
      <x:c r="B3181" s="28" t="n">
        <x:v>1620</x:v>
      </x:c>
      <x:c r="C3181" s="28"/>
      <x:c r="D3181" s="31" t="str">
        <x:f>IF(OR(ISBLANK(B3181),ISBLANK(C3181),B3181=0),"",(C3181-B3181)/B3181)</x:f>
      </x:c>
      <x:c r="E3181" s="22" t="str">
        <x:f>IF(ISBLANK(C3181),"AmountIncludingTax缺失",IF(ABS(B3181-C3181)&lt;0.005,"一致","不一致"))</x:f>
        <x:v>AmountIncludingTax缺失</x:v>
      </x:c>
      <x:c r="F3181" s="19" t="str">
        <x:v>approved</x:v>
      </x:c>
      <x:c r="G3181" s="19" t="str">
        <x:v>Repairer Invoiced Processed</x:v>
      </x:c>
      <x:c r="H3181" s="19" t="str">
        <x:v>In Field</x:v>
      </x:c>
      <x:c r="I3181" s="37" t="n">
        <x:v>46157</x:v>
      </x:c>
      <x:c r="J3181" s="37" t="n">
        <x:v>46101</x:v>
      </x:c>
      <x:c r="K3181" s="19" t="str">
        <x:v>Auswide Caravans - South Nowra</x:v>
      </x:c>
      <x:c r="L3181" s="19" t="str">
        <x:v>Z006</x:v>
      </x:c>
      <x:c r="M3181" s="19" t="str">
        <x:v>In Field Warranty Claims</x:v>
      </x:c>
      <x:c r="N3181" s="37" t="n">
        <x:v>46078</x:v>
      </x:c>
      <x:c r="O3181" s="37"/>
      <x:c r="P3181" s="34" t="n">
        <x:v>1782</x:v>
      </x:c>
      <x:c r="Q3181" s="37" t="n">
        <x:v>46157.15673611111</x:v>
      </x:c>
    </x:row>
    <x:row r="3182">
      <x:c r="A3182" s="22" t="n">
        <x:v>31616</x:v>
      </x:c>
      <x:c r="B3182" s="28" t="n">
        <x:v>191.25</x:v>
      </x:c>
      <x:c r="C3182" s="28"/>
      <x:c r="D3182" s="31" t="str">
        <x:f>IF(OR(ISBLANK(B3182),ISBLANK(C3182),B3182=0),"",(C3182-B3182)/B3182)</x:f>
      </x:c>
      <x:c r="E3182" s="22" t="str">
        <x:f>IF(ISBLANK(C3182),"AmountIncludingTax缺失",IF(ABS(B3182-C3182)&lt;0.005,"一致","不一致"))</x:f>
        <x:v>AmountIncludingTax缺失</x:v>
      </x:c>
      <x:c r="F3182" s="19" t="str">
        <x:v>approved</x:v>
      </x:c>
      <x:c r="G3182" s="19" t="str">
        <x:v>Repair in Progress</x:v>
      </x:c>
      <x:c r="H3182" s="19" t="str">
        <x:v>In Field</x:v>
      </x:c>
      <x:c r="I3182" s="37" t="n">
        <x:v>46082</x:v>
      </x:c>
      <x:c r="J3182" s="37" t="n">
        <x:v>46082</x:v>
      </x:c>
      <x:c r="K3182" s="19" t="str">
        <x:v>The Caravan Hub - Townsville</x:v>
      </x:c>
      <x:c r="L3182" s="19" t="str">
        <x:v>Z006</x:v>
      </x:c>
      <x:c r="M3182" s="19" t="str">
        <x:v>In Field Warranty Claims</x:v>
      </x:c>
      <x:c r="N3182" s="37" t="n">
        <x:v>46078</x:v>
      </x:c>
      <x:c r="O3182" s="37"/>
      <x:c r="P3182" s="34" t="n">
        <x:v>0</x:v>
      </x:c>
      <x:c r="Q3182" s="37" t="n">
        <x:v>46082.314050925925</x:v>
      </x:c>
    </x:row>
    <x:row r="3183">
      <x:c r="A3183" s="22" t="n">
        <x:v>31615</x:v>
      </x:c>
      <x:c r="B3183" s="28" t="n">
        <x:v>542.5</x:v>
      </x:c>
      <x:c r="C3183" s="28"/>
      <x:c r="D3183" s="31" t="str">
        <x:f>IF(OR(ISBLANK(B3183),ISBLANK(C3183),B3183=0),"",(C3183-B3183)/B3183)</x:f>
      </x:c>
      <x:c r="E3183" s="22" t="str">
        <x:f>IF(ISBLANK(C3183),"AmountIncludingTax缺失",IF(ABS(B3183-C3183)&lt;0.005,"一致","不一致"))</x:f>
        <x:v>AmountIncludingTax缺失</x:v>
      </x:c>
      <x:c r="F3183" s="19" t="str">
        <x:v>approved</x:v>
      </x:c>
      <x:c r="G3183" s="19" t="str">
        <x:v>Repair in Progress</x:v>
      </x:c>
      <x:c r="H3183" s="19" t="str">
        <x:v>In Field</x:v>
      </x:c>
      <x:c r="I3183" s="37" t="n">
        <x:v>46139</x:v>
      </x:c>
      <x:c r="J3183" s="37" t="n">
        <x:v>46139</x:v>
      </x:c>
      <x:c r="K3183" s="19" t="str">
        <x:v>Regent RV - Townsville</x:v>
      </x:c>
      <x:c r="L3183" s="19" t="str">
        <x:v>Z006</x:v>
      </x:c>
      <x:c r="M3183" s="19" t="str">
        <x:v>In Field Warranty Claims</x:v>
      </x:c>
      <x:c r="N3183" s="37" t="n">
        <x:v>46078</x:v>
      </x:c>
      <x:c r="O3183" s="37"/>
      <x:c r="P3183" s="34" t="n">
        <x:v>0</x:v>
      </x:c>
      <x:c r="Q3183" s="37" t="n">
        <x:v>46139.05677083333</x:v>
      </x:c>
    </x:row>
    <x:row r="3184">
      <x:c r="A3184" s="22" t="n">
        <x:v>31614</x:v>
      </x:c>
      <x:c r="B3184" s="28" t="n">
        <x:v>750</x:v>
      </x:c>
      <x:c r="C3184" s="28"/>
      <x:c r="D3184" s="31" t="str">
        <x:f>IF(OR(ISBLANK(B3184),ISBLANK(C3184),B3184=0),"",(C3184-B3184)/B3184)</x:f>
      </x:c>
      <x:c r="E3184" s="22" t="str">
        <x:f>IF(ISBLANK(C3184),"AmountIncludingTax缺失",IF(ABS(B3184-C3184)&lt;0.005,"一致","不一致"))</x:f>
        <x:v>AmountIncludingTax缺失</x:v>
      </x:c>
      <x:c r="F3184" s="19" t="str">
        <x:v>approved</x:v>
      </x:c>
      <x:c r="G3184" s="19" t="str">
        <x:v>Repair in Progress</x:v>
      </x:c>
      <x:c r="H3184" s="19" t="str">
        <x:v>In Field</x:v>
      </x:c>
      <x:c r="I3184" s="37" t="n">
        <x:v>46115</x:v>
      </x:c>
      <x:c r="J3184" s="37" t="n">
        <x:v>46115</x:v>
      </x:c>
      <x:c r="K3184" s="19" t="str">
        <x:v>Regent RV - Townsville</x:v>
      </x:c>
      <x:c r="L3184" s="19" t="str">
        <x:v>Z006</x:v>
      </x:c>
      <x:c r="M3184" s="19" t="str">
        <x:v>In Field Warranty Claims</x:v>
      </x:c>
      <x:c r="N3184" s="37" t="n">
        <x:v>46077</x:v>
      </x:c>
      <x:c r="O3184" s="37"/>
      <x:c r="P3184" s="34" t="n">
        <x:v>0</x:v>
      </x:c>
      <x:c r="Q3184" s="37" t="n">
        <x:v>46115.45668981481</x:v>
      </x:c>
    </x:row>
    <x:row r="3185">
      <x:c r="A3185" s="22" t="n">
        <x:v>31613</x:v>
      </x:c>
      <x:c r="B3185" s="28" t="n">
        <x:v>1968.2</x:v>
      </x:c>
      <x:c r="C3185" s="28"/>
      <x:c r="D3185" s="31" t="str">
        <x:f>IF(OR(ISBLANK(B3185),ISBLANK(C3185),B3185=0),"",(C3185-B3185)/B3185)</x:f>
      </x:c>
      <x:c r="E3185" s="22" t="str">
        <x:f>IF(ISBLANK(C3185),"AmountIncludingTax缺失",IF(ABS(B3185-C3185)&lt;0.005,"一致","不一致"))</x:f>
        <x:v>AmountIncludingTax缺失</x:v>
      </x:c>
      <x:c r="F3185" s="19" t="str">
        <x:v>approved</x:v>
      </x:c>
      <x:c r="G3185" s="19" t="str">
        <x:v>Repairer Invoiced Processed</x:v>
      </x:c>
      <x:c r="H3185" s="19" t="str">
        <x:v>In Field</x:v>
      </x:c>
      <x:c r="I3185" s="37" t="n">
        <x:v>46139</x:v>
      </x:c>
      <x:c r="J3185" s="37" t="n">
        <x:v>46139</x:v>
      </x:c>
      <x:c r="K3185" s="19" t="str">
        <x:v>Vanari Caravans - Marden Point</x:v>
      </x:c>
      <x:c r="L3185" s="19" t="str">
        <x:v>Z006</x:v>
      </x:c>
      <x:c r="M3185" s="19" t="str">
        <x:v>In Field Warranty Claims</x:v>
      </x:c>
      <x:c r="N3185" s="37" t="n">
        <x:v>46077</x:v>
      </x:c>
      <x:c r="O3185" s="37"/>
      <x:c r="P3185" s="34" t="n">
        <x:v>1782.01</x:v>
      </x:c>
      <x:c r="Q3185" s="37" t="n">
        <x:v>46138.978738425925</x:v>
      </x:c>
    </x:row>
    <x:row r="3186">
      <x:c r="A3186" s="22" t="n">
        <x:v>31612</x:v>
      </x:c>
      <x:c r="B3186" s="28" t="n">
        <x:v>360</x:v>
      </x:c>
      <x:c r="C3186" s="28" t="n">
        <x:v>396</x:v>
      </x:c>
      <x:c r="D3186" s="31" t="n">
        <x:f>IF(OR(ISBLANK(B3186),ISBLANK(C3186),B3186=0),"",(C3186-B3186)/B3186)</x:f>
        <x:v>0.1</x:v>
      </x:c>
      <x:c r="E3186" s="22" t="str">
        <x:f>IF(ISBLANK(C3186),"AmountIncludingTax缺失",IF(ABS(B3186-C3186)&lt;0.005,"一致","不一致"))</x:f>
        <x:v>不一致</x:v>
      </x:c>
      <x:c r="F3186" s="19" t="str">
        <x:v>approved</x:v>
      </x:c>
      <x:c r="G3186" s="19" t="str">
        <x:v>Repairer Invoiced Processed</x:v>
      </x:c>
      <x:c r="H3186" s="19" t="str">
        <x:v>In Field</x:v>
      </x:c>
      <x:c r="I3186" s="37" t="n">
        <x:v>46100</x:v>
      </x:c>
      <x:c r="J3186" s="37" t="n">
        <x:v>46100</x:v>
      </x:c>
      <x:c r="K3186" s="19" t="str">
        <x:v>Lesiure Lion-New Castle</x:v>
      </x:c>
      <x:c r="L3186" s="19" t="str">
        <x:v>Z006</x:v>
      </x:c>
      <x:c r="M3186" s="19" t="str">
        <x:v>In Field Warranty Claims</x:v>
      </x:c>
      <x:c r="N3186" s="37" t="n">
        <x:v>46077</x:v>
      </x:c>
      <x:c r="O3186" s="37"/>
      <x:c r="P3186" s="34" t="n">
        <x:v>396</x:v>
      </x:c>
      <x:c r="Q3186" s="37" t="n">
        <x:v>46100.00636574074</x:v>
      </x:c>
    </x:row>
    <x:row r="3187">
      <x:c r="A3187" s="22" t="n">
        <x:v>31611</x:v>
      </x:c>
      <x:c r="B3187" s="28" t="n">
        <x:v>1721.25</x:v>
      </x:c>
      <x:c r="C3187" s="28"/>
      <x:c r="D3187" s="31" t="str">
        <x:f>IF(OR(ISBLANK(B3187),ISBLANK(C3187),B3187=0),"",(C3187-B3187)/B3187)</x:f>
      </x:c>
      <x:c r="E3187" s="22" t="str">
        <x:f>IF(ISBLANK(C3187),"AmountIncludingTax缺失",IF(ABS(B3187-C3187)&lt;0.005,"一致","不一致"))</x:f>
        <x:v>AmountIncludingTax缺失</x:v>
      </x:c>
      <x:c r="F3187" s="19" t="str">
        <x:v>approved</x:v>
      </x:c>
      <x:c r="G3187" s="19" t="str">
        <x:v>Repairer Invoiced Processed</x:v>
      </x:c>
      <x:c r="H3187" s="19" t="str">
        <x:v>In Field</x:v>
      </x:c>
      <x:c r="I3187" s="37" t="n">
        <x:v>46112</x:v>
      </x:c>
      <x:c r="J3187" s="37" t="n">
        <x:v>46112</x:v>
      </x:c>
      <x:c r="K3187" s="19" t="str">
        <x:v>Snowy River Launceston</x:v>
      </x:c>
      <x:c r="L3187" s="19" t="str">
        <x:v>Z006</x:v>
      </x:c>
      <x:c r="M3187" s="19" t="str">
        <x:v>In Field Warranty Claims</x:v>
      </x:c>
      <x:c r="N3187" s="37" t="n">
        <x:v>46077</x:v>
      </x:c>
      <x:c r="O3187" s="37"/>
      <x:c r="P3187" s="34" t="n">
        <x:v>0</x:v>
      </x:c>
      <x:c r="Q3187" s="37" t="n">
        <x:v>46111.90677083333</x:v>
      </x:c>
    </x:row>
    <x:row r="3188">
      <x:c r="A3188" s="22" t="n">
        <x:v>31610</x:v>
      </x:c>
      <x:c r="B3188" s="28" t="n">
        <x:v>118.75</x:v>
      </x:c>
      <x:c r="C3188" s="28"/>
      <x:c r="D3188" s="31" t="str">
        <x:f>IF(OR(ISBLANK(B3188),ISBLANK(C3188),B3188=0),"",(C3188-B3188)/B3188)</x:f>
      </x:c>
      <x:c r="E3188" s="22" t="str">
        <x:f>IF(ISBLANK(C3188),"AmountIncludingTax缺失",IF(ABS(B3188-C3188)&lt;0.005,"一致","不一致"))</x:f>
        <x:v>AmountIncludingTax缺失</x:v>
      </x:c>
      <x:c r="F3188" s="19" t="str">
        <x:v>approved</x:v>
      </x:c>
      <x:c r="G3188" s="19" t="str">
        <x:v>Repair in Progress</x:v>
      </x:c>
      <x:c r="H3188" s="19" t="str">
        <x:v>In Field</x:v>
      </x:c>
      <x:c r="I3188" s="37" t="n">
        <x:v>46082</x:v>
      </x:c>
      <x:c r="J3188" s="37" t="n">
        <x:v>46082</x:v>
      </x:c>
      <x:c r="K3188" s="19" t="str">
        <x:v>The Caravan Hub - Townsville</x:v>
      </x:c>
      <x:c r="L3188" s="19" t="str">
        <x:v>Z006</x:v>
      </x:c>
      <x:c r="M3188" s="19" t="str">
        <x:v>In Field Warranty Claims</x:v>
      </x:c>
      <x:c r="N3188" s="37" t="n">
        <x:v>46078</x:v>
      </x:c>
      <x:c r="O3188" s="37"/>
      <x:c r="P3188" s="34" t="n">
        <x:v>0</x:v>
      </x:c>
      <x:c r="Q3188" s="37" t="n">
        <x:v>46082.30136574074</x:v>
      </x:c>
    </x:row>
    <x:row r="3189">
      <x:c r="A3189" s="22" t="n">
        <x:v>31609</x:v>
      </x:c>
      <x:c r="B3189" s="28" t="n">
        <x:v>237.63</x:v>
      </x:c>
      <x:c r="C3189" s="28" t="n">
        <x:v>261.39</x:v>
      </x:c>
      <x:c r="D3189" s="31" t="n">
        <x:f>IF(OR(ISBLANK(B3189),ISBLANK(C3189),B3189=0),"",(C3189-B3189)/B3189)</x:f>
        <x:v>0.09998737533139751</x:v>
      </x:c>
      <x:c r="E3189" s="22" t="str">
        <x:f>IF(ISBLANK(C3189),"AmountIncludingTax缺失",IF(ABS(B3189-C3189)&lt;0.005,"一致","不一致"))</x:f>
        <x:v>不一致</x:v>
      </x:c>
      <x:c r="F3189" s="19" t="str">
        <x:v>approved</x:v>
      </x:c>
      <x:c r="G3189" s="19" t="str">
        <x:v>Repairer Invoiced Processed</x:v>
      </x:c>
      <x:c r="H3189" s="19" t="str">
        <x:v>In Field</x:v>
      </x:c>
      <x:c r="I3189" s="37" t="n">
        <x:v>46100</x:v>
      </x:c>
      <x:c r="J3189" s="37" t="n">
        <x:v>46100</x:v>
      </x:c>
      <x:c r="K3189" s="19" t="str">
        <x:v>Lesiure Lion-New Castle</x:v>
      </x:c>
      <x:c r="L3189" s="19" t="str">
        <x:v>Z006</x:v>
      </x:c>
      <x:c r="M3189" s="19" t="str">
        <x:v>In Field Warranty Claims</x:v>
      </x:c>
      <x:c r="N3189" s="37" t="n">
        <x:v>46078</x:v>
      </x:c>
      <x:c r="O3189" s="37"/>
      <x:c r="P3189" s="34" t="n">
        <x:v>261.39</x:v>
      </x:c>
      <x:c r="Q3189" s="37" t="n">
        <x:v>46100.0778125</x:v>
      </x:c>
    </x:row>
    <x:row r="3190">
      <x:c r="A3190" s="22" t="n">
        <x:v>31608</x:v>
      </x:c>
      <x:c r="B3190" s="28" t="n">
        <x:v>828.18</x:v>
      </x:c>
      <x:c r="C3190" s="28"/>
      <x:c r="D3190" s="31" t="str">
        <x:f>IF(OR(ISBLANK(B3190),ISBLANK(C3190),B3190=0),"",(C3190-B3190)/B3190)</x:f>
      </x:c>
      <x:c r="E3190" s="22" t="str">
        <x:f>IF(ISBLANK(C3190),"AmountIncludingTax缺失",IF(ABS(B3190-C3190)&lt;0.005,"一致","不一致"))</x:f>
        <x:v>AmountIncludingTax缺失</x:v>
      </x:c>
      <x:c r="F3190" s="19" t="str">
        <x:v>approved</x:v>
      </x:c>
      <x:c r="G3190" s="19" t="str">
        <x:v>Repairer Invoiced Processed</x:v>
      </x:c>
      <x:c r="H3190" s="19" t="str">
        <x:v>In Field</x:v>
      </x:c>
      <x:c r="I3190" s="37" t="n">
        <x:v>46087</x:v>
      </x:c>
      <x:c r="J3190" s="37" t="n">
        <x:v>46087</x:v>
      </x:c>
      <x:c r="K3190" s="19" t="str">
        <x:v>Green RV - Forest Glen</x:v>
      </x:c>
      <x:c r="L3190" s="19" t="str">
        <x:v>Z006</x:v>
      </x:c>
      <x:c r="M3190" s="19" t="str">
        <x:v>In Field Warranty Claims</x:v>
      </x:c>
      <x:c r="N3190" s="37" t="n">
        <x:v>46078</x:v>
      </x:c>
      <x:c r="O3190" s="37"/>
      <x:c r="P3190" s="34" t="n">
        <x:v>0</x:v>
      </x:c>
      <x:c r="Q3190" s="37" t="n">
        <x:v>46086.949849537035</x:v>
      </x:c>
    </x:row>
    <x:row r="3191">
      <x:c r="A3191" s="22" t="n">
        <x:v>31607</x:v>
      </x:c>
      <x:c r="B3191" s="28" t="n">
        <x:v>360</x:v>
      </x:c>
      <x:c r="C3191" s="28"/>
      <x:c r="D3191" s="31" t="str">
        <x:f>IF(OR(ISBLANK(B3191),ISBLANK(C3191),B3191=0),"",(C3191-B3191)/B3191)</x:f>
      </x:c>
      <x:c r="E3191" s="22" t="str">
        <x:f>IF(ISBLANK(C3191),"AmountIncludingTax缺失",IF(ABS(B3191-C3191)&lt;0.005,"一致","不一致"))</x:f>
        <x:v>AmountIncludingTax缺失</x:v>
      </x:c>
      <x:c r="F3191" s="19" t="str">
        <x:v>approved</x:v>
      </x:c>
      <x:c r="G3191" s="19" t="str">
        <x:v>Repair in Progress</x:v>
      </x:c>
      <x:c r="H3191" s="19" t="str">
        <x:v>In Field</x:v>
      </x:c>
      <x:c r="I3191" s="37" t="n">
        <x:v>46098</x:v>
      </x:c>
      <x:c r="J3191" s="37" t="n">
        <x:v>46093</x:v>
      </x:c>
      <x:c r="K3191" s="19" t="str">
        <x:v>Not Assigned</x:v>
      </x:c>
      <x:c r="L3191" s="19" t="str">
        <x:v>Z006</x:v>
      </x:c>
      <x:c r="M3191" s="19" t="str">
        <x:v>In Field Warranty Claims</x:v>
      </x:c>
      <x:c r="N3191" s="37" t="n">
        <x:v>46078</x:v>
      </x:c>
      <x:c r="O3191" s="37"/>
      <x:c r="P3191" s="34" t="n">
        <x:v>0</x:v>
      </x:c>
      <x:c r="Q3191" s="37" t="n">
        <x:v>46098.074849537035</x:v>
      </x:c>
    </x:row>
    <x:row r="3192">
      <x:c r="A3192" s="22" t="n">
        <x:v>31605</x:v>
      </x:c>
      <x:c r="B3192" s="28" t="n">
        <x:v>168.75</x:v>
      </x:c>
      <x:c r="C3192" s="28"/>
      <x:c r="D3192" s="31" t="str">
        <x:f>IF(OR(ISBLANK(B3192),ISBLANK(C3192),B3192=0),"",(C3192-B3192)/B3192)</x:f>
      </x:c>
      <x:c r="E3192" s="22" t="str">
        <x:f>IF(ISBLANK(C3192),"AmountIncludingTax缺失",IF(ABS(B3192-C3192)&lt;0.005,"一致","不一致"))</x:f>
        <x:v>AmountIncludingTax缺失</x:v>
      </x:c>
      <x:c r="F3192" s="19" t="str">
        <x:v>approved</x:v>
      </x:c>
      <x:c r="G3192" s="19" t="str">
        <x:v>Repairer Invoiced Processed</x:v>
      </x:c>
      <x:c r="H3192" s="19" t="str">
        <x:v>In Field</x:v>
      </x:c>
      <x:c r="I3192" s="37" t="n">
        <x:v>46086</x:v>
      </x:c>
      <x:c r="J3192" s="37" t="n">
        <x:v>46086</x:v>
      </x:c>
      <x:c r="K3192" s="19" t="str">
        <x:v>Dario Caravans - Pooraka</x:v>
      </x:c>
      <x:c r="L3192" s="19" t="str">
        <x:v>Z006</x:v>
      </x:c>
      <x:c r="M3192" s="19" t="str">
        <x:v>In Field Warranty Claims</x:v>
      </x:c>
      <x:c r="N3192" s="37" t="n">
        <x:v>46077</x:v>
      </x:c>
      <x:c r="O3192" s="37"/>
      <x:c r="P3192" s="34" t="n">
        <x:v>0</x:v>
      </x:c>
      <x:c r="Q3192" s="37" t="n">
        <x:v>46086.46053240741</x:v>
      </x:c>
    </x:row>
    <x:row r="3193">
      <x:c r="A3193" s="22" t="n">
        <x:v>31604</x:v>
      </x:c>
      <x:c r="B3193" s="28" t="n">
        <x:v>1055.34</x:v>
      </x:c>
      <x:c r="C3193" s="28"/>
      <x:c r="D3193" s="31" t="str">
        <x:f>IF(OR(ISBLANK(B3193),ISBLANK(C3193),B3193=0),"",(C3193-B3193)/B3193)</x:f>
      </x:c>
      <x:c r="E3193" s="22" t="str">
        <x:f>IF(ISBLANK(C3193),"AmountIncludingTax缺失",IF(ABS(B3193-C3193)&lt;0.005,"一致","不一致"))</x:f>
        <x:v>AmountIncludingTax缺失</x:v>
      </x:c>
      <x:c r="F3193" s="19" t="str">
        <x:v>approved</x:v>
      </x:c>
      <x:c r="G3193" s="19" t="str">
        <x:v>Repairer Invoiced Processed</x:v>
      </x:c>
      <x:c r="H3193" s="19" t="str">
        <x:v>Pre Delivery</x:v>
      </x:c>
      <x:c r="I3193" s="37" t="n">
        <x:v>46133</x:v>
      </x:c>
      <x:c r="J3193" s="37" t="n">
        <x:v>46133</x:v>
      </x:c>
      <x:c r="K3193" s="19" t="str">
        <x:v>Snowy River Launceston</x:v>
      </x:c>
      <x:c r="L3193" s="19" t="str">
        <x:v>Z005</x:v>
      </x:c>
      <x:c r="M3193" s="19" t="str">
        <x:v>Pre Delivery Warranty Claims</x:v>
      </x:c>
      <x:c r="N3193" s="37" t="n">
        <x:v>46077</x:v>
      </x:c>
      <x:c r="O3193" s="37"/>
      <x:c r="P3193" s="34" t="n">
        <x:v>0</x:v>
      </x:c>
      <x:c r="Q3193" s="37" t="n">
        <x:v>46133.1584375</x:v>
      </x:c>
    </x:row>
    <x:row r="3194">
      <x:c r="A3194" s="22" t="n">
        <x:v>31603</x:v>
      </x:c>
      <x:c r="B3194" s="28" t="n">
        <x:v>202.5</x:v>
      </x:c>
      <x:c r="C3194" s="28"/>
      <x:c r="D3194" s="31" t="str">
        <x:f>IF(OR(ISBLANK(B3194),ISBLANK(C3194),B3194=0),"",(C3194-B3194)/B3194)</x:f>
      </x:c>
      <x:c r="E3194" s="22" t="str">
        <x:f>IF(ISBLANK(C3194),"AmountIncludingTax缺失",IF(ABS(B3194-C3194)&lt;0.005,"一致","不一致"))</x:f>
        <x:v>AmountIncludingTax缺失</x:v>
      </x:c>
      <x:c r="F3194" s="19" t="str">
        <x:v>approved</x:v>
      </x:c>
      <x:c r="G3194" s="19" t="str">
        <x:v>Repairer Invoiced Processed</x:v>
      </x:c>
      <x:c r="H3194" s="19" t="str">
        <x:v>In Field</x:v>
      </x:c>
      <x:c r="I3194" s="37" t="n">
        <x:v>46097</x:v>
      </x:c>
      <x:c r="J3194" s="37" t="n">
        <x:v>46097</x:v>
      </x:c>
      <x:c r="K3194" s="19" t="str">
        <x:v>Regent RV Pty Ltd</x:v>
      </x:c>
      <x:c r="L3194" s="19" t="str">
        <x:v>Z006</x:v>
      </x:c>
      <x:c r="M3194" s="19" t="str">
        <x:v>In Field Warranty Claims</x:v>
      </x:c>
      <x:c r="N3194" s="37" t="n">
        <x:v>46077</x:v>
      </x:c>
      <x:c r="O3194" s="37"/>
      <x:c r="P3194" s="34" t="n">
        <x:v>0</x:v>
      </x:c>
      <x:c r="Q3194" s="37" t="n">
        <x:v>46096.906064814815</x:v>
      </x:c>
    </x:row>
    <x:row r="3195">
      <x:c r="A3195" s="22" t="n">
        <x:v>31601</x:v>
      </x:c>
      <x:c r="B3195" s="28" t="n">
        <x:v>425</x:v>
      </x:c>
      <x:c r="C3195" s="28"/>
      <x:c r="D3195" s="31" t="str">
        <x:f>IF(OR(ISBLANK(B3195),ISBLANK(C3195),B3195=0),"",(C3195-B3195)/B3195)</x:f>
      </x:c>
      <x:c r="E3195" s="22" t="str">
        <x:f>IF(ISBLANK(C3195),"AmountIncludingTax缺失",IF(ABS(B3195-C3195)&lt;0.005,"一致","不一致"))</x:f>
        <x:v>AmountIncludingTax缺失</x:v>
      </x:c>
      <x:c r="F3195" s="19" t="str">
        <x:v>approved</x:v>
      </x:c>
      <x:c r="G3195" s="19" t="str">
        <x:v>Repairer Invoiced Processed</x:v>
      </x:c>
      <x:c r="H3195" s="19" t="str">
        <x:v>In Field</x:v>
      </x:c>
      <x:c r="I3195" s="37" t="n">
        <x:v>46100</x:v>
      </x:c>
      <x:c r="J3195" s="37" t="n">
        <x:v>46100</x:v>
      </x:c>
      <x:c r="K3195" s="19" t="str">
        <x:v>Lesiure Lion-New Castle</x:v>
      </x:c>
      <x:c r="L3195" s="19" t="str">
        <x:v>Z006</x:v>
      </x:c>
      <x:c r="M3195" s="19" t="str">
        <x:v>In Field Warranty Claims</x:v>
      </x:c>
      <x:c r="N3195" s="37" t="n">
        <x:v>46077</x:v>
      </x:c>
      <x:c r="O3195" s="37"/>
      <x:c r="P3195" s="34" t="n">
        <x:v>0</x:v>
      </x:c>
      <x:c r="Q3195" s="37" t="n">
        <x:v>46100.152141203704</x:v>
      </x:c>
    </x:row>
    <x:row r="3196">
      <x:c r="A3196" s="22" t="n">
        <x:v>31600</x:v>
      </x:c>
      <x:c r="B3196" s="28" t="n">
        <x:v>67.5</x:v>
      </x:c>
      <x:c r="C3196" s="28"/>
      <x:c r="D3196" s="31" t="str">
        <x:f>IF(OR(ISBLANK(B3196),ISBLANK(C3196),B3196=0),"",(C3196-B3196)/B3196)</x:f>
      </x:c>
      <x:c r="E3196" s="22" t="str">
        <x:f>IF(ISBLANK(C3196),"AmountIncludingTax缺失",IF(ABS(B3196-C3196)&lt;0.005,"一致","不一致"))</x:f>
        <x:v>AmountIncludingTax缺失</x:v>
      </x:c>
      <x:c r="F3196" s="19" t="str">
        <x:v>approved</x:v>
      </x:c>
      <x:c r="G3196" s="19" t="str">
        <x:v>Repair in Progress</x:v>
      </x:c>
      <x:c r="H3196" s="19" t="str">
        <x:v>In Field</x:v>
      </x:c>
      <x:c r="I3196" s="37" t="n">
        <x:v>46108</x:v>
      </x:c>
      <x:c r="J3196" s="37" t="n">
        <x:v>46108</x:v>
      </x:c>
      <x:c r="K3196" s="19" t="str">
        <x:v>Not Assigned</x:v>
      </x:c>
      <x:c r="L3196" s="19" t="str">
        <x:v>Z006</x:v>
      </x:c>
      <x:c r="M3196" s="19" t="str">
        <x:v>In Field Warranty Claims</x:v>
      </x:c>
      <x:c r="N3196" s="37" t="n">
        <x:v>46077</x:v>
      </x:c>
      <x:c r="O3196" s="37"/>
      <x:c r="P3196" s="34" t="n">
        <x:v>0</x:v>
      </x:c>
      <x:c r="Q3196" s="37" t="n">
        <x:v>46107.870034722226</x:v>
      </x:c>
    </x:row>
    <x:row r="3197">
      <x:c r="A3197" s="22" t="n">
        <x:v>31596</x:v>
      </x:c>
      <x:c r="B3197" s="28" t="n">
        <x:v>915</x:v>
      </x:c>
      <x:c r="C3197" s="28"/>
      <x:c r="D3197" s="31" t="str">
        <x:f>IF(OR(ISBLANK(B3197),ISBLANK(C3197),B3197=0),"",(C3197-B3197)/B3197)</x:f>
      </x:c>
      <x:c r="E3197" s="22" t="str">
        <x:f>IF(ISBLANK(C3197),"AmountIncludingTax缺失",IF(ABS(B3197-C3197)&lt;0.005,"一致","不一致"))</x:f>
        <x:v>AmountIncludingTax缺失</x:v>
      </x:c>
      <x:c r="F3197" s="19" t="str">
        <x:v>approved</x:v>
      </x:c>
      <x:c r="G3197" s="19" t="str">
        <x:v>Repairer Invoiced Processed</x:v>
      </x:c>
      <x:c r="H3197" s="19" t="str">
        <x:v>In Field</x:v>
      </x:c>
      <x:c r="I3197" s="37" t="n">
        <x:v>46094</x:v>
      </x:c>
      <x:c r="J3197" s="37" t="n">
        <x:v>46094</x:v>
      </x:c>
      <x:c r="K3197" s="19" t="str">
        <x:v>Green RV - Forest Glen</x:v>
      </x:c>
      <x:c r="L3197" s="19" t="str">
        <x:v>Z006</x:v>
      </x:c>
      <x:c r="M3197" s="19" t="str">
        <x:v>In Field Warranty Claims</x:v>
      </x:c>
      <x:c r="N3197" s="37" t="n">
        <x:v>46077</x:v>
      </x:c>
      <x:c r="O3197" s="37"/>
      <x:c r="P3197" s="34" t="n">
        <x:v>0</x:v>
      </x:c>
      <x:c r="Q3197" s="37" t="n">
        <x:v>46093.92288194445</x:v>
      </x:c>
    </x:row>
    <x:row r="3198">
      <x:c r="A3198" s="22" t="n">
        <x:v>31593</x:v>
      </x:c>
      <x:c r="B3198" s="28" t="n">
        <x:v>602.5</x:v>
      </x:c>
      <x:c r="C3198" s="28"/>
      <x:c r="D3198" s="31" t="str">
        <x:f>IF(OR(ISBLANK(B3198),ISBLANK(C3198),B3198=0),"",(C3198-B3198)/B3198)</x:f>
      </x:c>
      <x:c r="E3198" s="22" t="str">
        <x:f>IF(ISBLANK(C3198),"AmountIncludingTax缺失",IF(ABS(B3198-C3198)&lt;0.005,"一致","不一致"))</x:f>
        <x:v>AmountIncludingTax缺失</x:v>
      </x:c>
      <x:c r="F3198" s="19" t="str">
        <x:v>approved</x:v>
      </x:c>
      <x:c r="G3198" s="19" t="str">
        <x:v>Sales Order Approved</x:v>
      </x:c>
      <x:c r="H3198" s="19" t="str">
        <x:v>Pre Delivery</x:v>
      </x:c>
      <x:c r="I3198" s="37" t="n">
        <x:v>46139</x:v>
      </x:c>
      <x:c r="J3198" s="37" t="n">
        <x:v>46139</x:v>
      </x:c>
      <x:c r="K3198" s="19" t="str">
        <x:v>The Caravan Hub - Townsville</x:v>
      </x:c>
      <x:c r="L3198" s="19" t="str">
        <x:v>Z005</x:v>
      </x:c>
      <x:c r="M3198" s="19" t="str">
        <x:v>Pre Delivery Warranty Claims</x:v>
      </x:c>
      <x:c r="N3198" s="37" t="n">
        <x:v>46077</x:v>
      </x:c>
      <x:c r="O3198" s="37"/>
      <x:c r="P3198" s="34" t="n">
        <x:v>0</x:v>
      </x:c>
      <x:c r="Q3198" s="37" t="n">
        <x:v>46139.078564814816</x:v>
      </x:c>
    </x:row>
    <x:row r="3199">
      <x:c r="A3199" s="22" t="n">
        <x:v>31592</x:v>
      </x:c>
      <x:c r="B3199" s="28" t="n">
        <x:v>606.25</x:v>
      </x:c>
      <x:c r="C3199" s="28"/>
      <x:c r="D3199" s="31" t="str">
        <x:f>IF(OR(ISBLANK(B3199),ISBLANK(C3199),B3199=0),"",(C3199-B3199)/B3199)</x:f>
      </x:c>
      <x:c r="E3199" s="22" t="str">
        <x:f>IF(ISBLANK(C3199),"AmountIncludingTax缺失",IF(ABS(B3199-C3199)&lt;0.005,"一致","不一致"))</x:f>
        <x:v>AmountIncludingTax缺失</x:v>
      </x:c>
      <x:c r="F3199" s="19" t="str">
        <x:v>approved</x:v>
      </x:c>
      <x:c r="G3199" s="19" t="str">
        <x:v>Repairer Invoiced Processed</x:v>
      </x:c>
      <x:c r="H3199" s="19" t="str">
        <x:v>Pre Delivery</x:v>
      </x:c>
      <x:c r="I3199" s="37" t="n">
        <x:v>46108</x:v>
      </x:c>
      <x:c r="J3199" s="37" t="n">
        <x:v>46091</x:v>
      </x:c>
      <x:c r="K3199" s="19" t="str">
        <x:v>Lesiure Lion-New Castle</x:v>
      </x:c>
      <x:c r="L3199" s="19" t="str">
        <x:v>Z005</x:v>
      </x:c>
      <x:c r="M3199" s="19" t="str">
        <x:v>Pre Delivery Warranty Claims</x:v>
      </x:c>
      <x:c r="N3199" s="37" t="n">
        <x:v>46077</x:v>
      </x:c>
      <x:c r="O3199" s="37" t="n">
        <x:v>46132</x:v>
      </x:c>
      <x:c r="P3199" s="34" t="n">
        <x:v>0</x:v>
      </x:c>
      <x:c r="Q3199" s="37" t="n">
        <x:v>46108.190150462964</x:v>
      </x:c>
    </x:row>
    <x:row r="3200">
      <x:c r="A3200" s="22" t="n">
        <x:v>31589</x:v>
      </x:c>
      <x:c r="B3200" s="28" t="n">
        <x:v>588.75</x:v>
      </x:c>
      <x:c r="C3200" s="28"/>
      <x:c r="D3200" s="31" t="str">
        <x:f>IF(OR(ISBLANK(B3200),ISBLANK(C3200),B3200=0),"",(C3200-B3200)/B3200)</x:f>
      </x:c>
      <x:c r="E3200" s="22" t="str">
        <x:f>IF(ISBLANK(C3200),"AmountIncludingTax缺失",IF(ABS(B3200-C3200)&lt;0.005,"一致","不一致"))</x:f>
        <x:v>AmountIncludingTax缺失</x:v>
      </x:c>
      <x:c r="F3200" s="19" t="str">
        <x:v>approved</x:v>
      </x:c>
      <x:c r="G3200" s="19" t="str">
        <x:v>Repair in Progress</x:v>
      </x:c>
      <x:c r="H3200" s="19" t="str">
        <x:v>In Field</x:v>
      </x:c>
      <x:c r="I3200" s="37" t="n">
        <x:v>46082</x:v>
      </x:c>
      <x:c r="J3200" s="37" t="n">
        <x:v>46082</x:v>
      </x:c>
      <x:c r="K3200" s="19" t="str">
        <x:v>Green RV - Slacks Creek</x:v>
      </x:c>
      <x:c r="L3200" s="19" t="str">
        <x:v>Z006</x:v>
      </x:c>
      <x:c r="M3200" s="19" t="str">
        <x:v>In Field Warranty Claims</x:v>
      </x:c>
      <x:c r="N3200" s="37" t="n">
        <x:v>46077</x:v>
      </x:c>
      <x:c r="O3200" s="37"/>
      <x:c r="P3200" s="34" t="n">
        <x:v>0</x:v>
      </x:c>
      <x:c r="Q3200" s="37" t="n">
        <x:v>46082.273310185185</x:v>
      </x:c>
    </x:row>
    <x:row r="3201">
      <x:c r="A3201" s="22" t="n">
        <x:v>31588</x:v>
      </x:c>
      <x:c r="B3201" s="28" t="n">
        <x:v>685</x:v>
      </x:c>
      <x:c r="C3201" s="28"/>
      <x:c r="D3201" s="31" t="str">
        <x:f>IF(OR(ISBLANK(B3201),ISBLANK(C3201),B3201=0),"",(C3201-B3201)/B3201)</x:f>
      </x:c>
      <x:c r="E3201" s="22" t="str">
        <x:f>IF(ISBLANK(C3201),"AmountIncludingTax缺失",IF(ABS(B3201-C3201)&lt;0.005,"一致","不一致"))</x:f>
        <x:v>AmountIncludingTax缺失</x:v>
      </x:c>
      <x:c r="F3201" s="19" t="str">
        <x:v>approved</x:v>
      </x:c>
      <x:c r="G3201" s="19" t="str">
        <x:v>Repair in Progress</x:v>
      </x:c>
      <x:c r="H3201" s="19" t="str">
        <x:v>In Field</x:v>
      </x:c>
      <x:c r="I3201" s="37" t="n">
        <x:v>46094</x:v>
      </x:c>
      <x:c r="J3201" s="37" t="n">
        <x:v>46094</x:v>
      </x:c>
      <x:c r="K3201" s="19" t="str">
        <x:v>Green RV - Slacks Creek</x:v>
      </x:c>
      <x:c r="L3201" s="19" t="str">
        <x:v>Z006</x:v>
      </x:c>
      <x:c r="M3201" s="19" t="str">
        <x:v>In Field Warranty Claims</x:v>
      </x:c>
      <x:c r="N3201" s="37" t="n">
        <x:v>46077</x:v>
      </x:c>
      <x:c r="O3201" s="37"/>
      <x:c r="P3201" s="34" t="n">
        <x:v>0</x:v>
      </x:c>
      <x:c r="Q3201" s="37" t="n">
        <x:v>46093.88071759259</x:v>
      </x:c>
    </x:row>
    <x:row r="3202">
      <x:c r="A3202" s="22" t="n">
        <x:v>31587</x:v>
      </x:c>
      <x:c r="B3202" s="28" t="n">
        <x:v>135</x:v>
      </x:c>
      <x:c r="C3202" s="28" t="n">
        <x:v>148.5</x:v>
      </x:c>
      <x:c r="D3202" s="31" t="n">
        <x:f>IF(OR(ISBLANK(B3202),ISBLANK(C3202),B3202=0),"",(C3202-B3202)/B3202)</x:f>
        <x:v>0.1</x:v>
      </x:c>
      <x:c r="E3202" s="22" t="str">
        <x:f>IF(ISBLANK(C3202),"AmountIncludingTax缺失",IF(ABS(B3202-C3202)&lt;0.005,"一致","不一致"))</x:f>
        <x:v>不一致</x:v>
      </x:c>
      <x:c r="F3202" s="19" t="str">
        <x:v>approved</x:v>
      </x:c>
      <x:c r="G3202" s="19" t="str">
        <x:v>Repairer Invoiced Processed</x:v>
      </x:c>
      <x:c r="H3202" s="19" t="str">
        <x:v>In Field</x:v>
      </x:c>
      <x:c r="I3202" s="37" t="n">
        <x:v>46094</x:v>
      </x:c>
      <x:c r="J3202" s="37" t="n">
        <x:v>46094</x:v>
      </x:c>
      <x:c r="K3202" s="19" t="str">
        <x:v>Not Assigned</x:v>
      </x:c>
      <x:c r="L3202" s="19" t="str">
        <x:v>Z006</x:v>
      </x:c>
      <x:c r="M3202" s="19" t="str">
        <x:v>In Field Warranty Claims</x:v>
      </x:c>
      <x:c r="N3202" s="37" t="n">
        <x:v>46077</x:v>
      </x:c>
      <x:c r="O3202" s="37"/>
      <x:c r="P3202" s="34" t="n">
        <x:v>148.5</x:v>
      </x:c>
      <x:c r="Q3202" s="37" t="n">
        <x:v>46093.894479166665</x:v>
      </x:c>
    </x:row>
    <x:row r="3203">
      <x:c r="A3203" s="22" t="n">
        <x:v>31586</x:v>
      </x:c>
      <x:c r="B3203" s="28" t="n">
        <x:v>135</x:v>
      </x:c>
      <x:c r="C3203" s="28"/>
      <x:c r="D3203" s="31" t="str">
        <x:f>IF(OR(ISBLANK(B3203),ISBLANK(C3203),B3203=0),"",(C3203-B3203)/B3203)</x:f>
      </x:c>
      <x:c r="E3203" s="22" t="str">
        <x:f>IF(ISBLANK(C3203),"AmountIncludingTax缺失",IF(ABS(B3203-C3203)&lt;0.005,"一致","不一致"))</x:f>
        <x:v>AmountIncludingTax缺失</x:v>
      </x:c>
      <x:c r="F3203" s="19" t="str">
        <x:v>approved</x:v>
      </x:c>
      <x:c r="G3203" s="19" t="str">
        <x:v>Repairer Invoiced Processed</x:v>
      </x:c>
      <x:c r="H3203" s="19" t="str">
        <x:v>In Field</x:v>
      </x:c>
      <x:c r="I3203" s="37" t="n">
        <x:v>46189</x:v>
      </x:c>
      <x:c r="J3203" s="37" t="n">
        <x:v>46189</x:v>
      </x:c>
      <x:c r="K3203" s="19" t="str">
        <x:v>Snowy River Wangaratta</x:v>
      </x:c>
      <x:c r="L3203" s="19" t="str">
        <x:v>Z006</x:v>
      </x:c>
      <x:c r="M3203" s="19" t="str">
        <x:v>In Field Warranty Claims</x:v>
      </x:c>
      <x:c r="N3203" s="37" t="n">
        <x:v>46077</x:v>
      </x:c>
      <x:c r="O3203" s="37"/>
      <x:c r="P3203" s="34" t="n">
        <x:v>0</x:v>
      </x:c>
      <x:c r="Q3203" s="37" t="n">
        <x:v>46189.208657407406</x:v>
      </x:c>
    </x:row>
    <x:row r="3204">
      <x:c r="A3204" s="22" t="n">
        <x:v>31583</x:v>
      </x:c>
      <x:c r="B3204" s="28" t="n">
        <x:v>120</x:v>
      </x:c>
      <x:c r="C3204" s="28"/>
      <x:c r="D3204" s="31" t="str">
        <x:f>IF(OR(ISBLANK(B3204),ISBLANK(C3204),B3204=0),"",(C3204-B3204)/B3204)</x:f>
      </x:c>
      <x:c r="E3204" s="22" t="str">
        <x:f>IF(ISBLANK(C3204),"AmountIncludingTax缺失",IF(ABS(B3204-C3204)&lt;0.005,"一致","不一致"))</x:f>
        <x:v>AmountIncludingTax缺失</x:v>
      </x:c>
      <x:c r="F3204" s="19" t="str">
        <x:v>approved</x:v>
      </x:c>
      <x:c r="G3204" s="19" t="str">
        <x:v>Repair in Progress</x:v>
      </x:c>
      <x:c r="H3204" s="19" t="str">
        <x:v>In Field</x:v>
      </x:c>
      <x:c r="I3204" s="37" t="n">
        <x:v>46119</x:v>
      </x:c>
      <x:c r="J3204" s="37" t="n">
        <x:v>46119</x:v>
      </x:c>
      <x:c r="K3204" s="19" t="str">
        <x:v>Regent RV - Traralgon</x:v>
      </x:c>
      <x:c r="L3204" s="19" t="str">
        <x:v>Z006</x:v>
      </x:c>
      <x:c r="M3204" s="19" t="str">
        <x:v>In Field Warranty Claims</x:v>
      </x:c>
      <x:c r="N3204" s="37" t="n">
        <x:v>46077</x:v>
      </x:c>
      <x:c r="O3204" s="37"/>
      <x:c r="P3204" s="34" t="n">
        <x:v>0</x:v>
      </x:c>
      <x:c r="Q3204" s="37" t="n">
        <x:v>46118.92927083333</x:v>
      </x:c>
    </x:row>
    <x:row r="3205">
      <x:c r="A3205" s="22" t="n">
        <x:v>31582</x:v>
      </x:c>
      <x:c r="B3205" s="28" t="n">
        <x:v>202.5</x:v>
      </x:c>
      <x:c r="C3205" s="28"/>
      <x:c r="D3205" s="31" t="str">
        <x:f>IF(OR(ISBLANK(B3205),ISBLANK(C3205),B3205=0),"",(C3205-B3205)/B3205)</x:f>
      </x:c>
      <x:c r="E3205" s="22" t="str">
        <x:f>IF(ISBLANK(C3205),"AmountIncludingTax缺失",IF(ABS(B3205-C3205)&lt;0.005,"一致","不一致"))</x:f>
        <x:v>AmountIncludingTax缺失</x:v>
      </x:c>
      <x:c r="F3205" s="19" t="str">
        <x:v>approved</x:v>
      </x:c>
      <x:c r="G3205" s="19" t="str">
        <x:v>Repair in Progress</x:v>
      </x:c>
      <x:c r="H3205" s="19" t="str">
        <x:v>In Field</x:v>
      </x:c>
      <x:c r="I3205" s="37" t="n">
        <x:v>46086</x:v>
      </x:c>
      <x:c r="J3205" s="37" t="n">
        <x:v>46086</x:v>
      </x:c>
      <x:c r="K3205" s="19" t="str">
        <x:v>Newcastle RV Super Centre - Beresfield</x:v>
      </x:c>
      <x:c r="L3205" s="19" t="str">
        <x:v>Z006</x:v>
      </x:c>
      <x:c r="M3205" s="19" t="str">
        <x:v>In Field Warranty Claims</x:v>
      </x:c>
      <x:c r="N3205" s="37" t="n">
        <x:v>46077</x:v>
      </x:c>
      <x:c r="O3205" s="37"/>
      <x:c r="P3205" s="34" t="n">
        <x:v>0</x:v>
      </x:c>
      <x:c r="Q3205" s="37" t="n">
        <x:v>46086.176932870374</x:v>
      </x:c>
    </x:row>
    <x:row r="3206">
      <x:c r="A3206" s="22" t="n">
        <x:v>31580</x:v>
      </x:c>
      <x:c r="B3206" s="28" t="n">
        <x:v>135</x:v>
      </x:c>
      <x:c r="C3206" s="28" t="n">
        <x:v>148.5</x:v>
      </x:c>
      <x:c r="D3206" s="31" t="n">
        <x:f>IF(OR(ISBLANK(B3206),ISBLANK(C3206),B3206=0),"",(C3206-B3206)/B3206)</x:f>
        <x:v>0.1</x:v>
      </x:c>
      <x:c r="E3206" s="22" t="str">
        <x:f>IF(ISBLANK(C3206),"AmountIncludingTax缺失",IF(ABS(B3206-C3206)&lt;0.005,"一致","不一致"))</x:f>
        <x:v>不一致</x:v>
      </x:c>
      <x:c r="F3206" s="19" t="str">
        <x:v>approved</x:v>
      </x:c>
      <x:c r="G3206" s="19" t="str">
        <x:v>Repair in Progress</x:v>
      </x:c>
      <x:c r="H3206" s="19" t="str">
        <x:v>In Field</x:v>
      </x:c>
      <x:c r="I3206" s="37" t="n">
        <x:v>46107</x:v>
      </x:c>
      <x:c r="J3206" s="37" t="n">
        <x:v>46107</x:v>
      </x:c>
      <x:c r="K3206" s="19" t="str">
        <x:v>Not Assigned</x:v>
      </x:c>
      <x:c r="L3206" s="19" t="str">
        <x:v>Z006</x:v>
      </x:c>
      <x:c r="M3206" s="19" t="str">
        <x:v>In Field Warranty Claims</x:v>
      </x:c>
      <x:c r="N3206" s="37" t="n">
        <x:v>46077</x:v>
      </x:c>
      <x:c r="O3206" s="37"/>
      <x:c r="P3206" s="34" t="n">
        <x:v>148.5</x:v>
      </x:c>
      <x:c r="Q3206" s="37" t="n">
        <x:v>46107.13997685185</x:v>
      </x:c>
    </x:row>
    <x:row r="3207">
      <x:c r="A3207" s="22" t="n">
        <x:v>31579</x:v>
      </x:c>
      <x:c r="B3207" s="28" t="n">
        <x:v>177.5</x:v>
      </x:c>
      <x:c r="C3207" s="28" t="n">
        <x:v>195.25</x:v>
      </x:c>
      <x:c r="D3207" s="31" t="n">
        <x:f>IF(OR(ISBLANK(B3207),ISBLANK(C3207),B3207=0),"",(C3207-B3207)/B3207)</x:f>
        <x:v>0.1</x:v>
      </x:c>
      <x:c r="E3207" s="22" t="str">
        <x:f>IF(ISBLANK(C3207),"AmountIncludingTax缺失",IF(ABS(B3207-C3207)&lt;0.005,"一致","不一致"))</x:f>
        <x:v>不一致</x:v>
      </x:c>
      <x:c r="F3207" s="19" t="str">
        <x:v>approved</x:v>
      </x:c>
      <x:c r="G3207" s="19" t="str">
        <x:v>Repairer Invoiced Processed</x:v>
      </x:c>
      <x:c r="H3207" s="19" t="str">
        <x:v>In Field</x:v>
      </x:c>
      <x:c r="I3207" s="37" t="n">
        <x:v>46107</x:v>
      </x:c>
      <x:c r="J3207" s="37" t="n">
        <x:v>46107</x:v>
      </x:c>
      <x:c r="K3207" s="19" t="str">
        <x:v>Dario Caravans - Pooraka</x:v>
      </x:c>
      <x:c r="L3207" s="19" t="str">
        <x:v>Z006</x:v>
      </x:c>
      <x:c r="M3207" s="19" t="str">
        <x:v>In Field Warranty Claims</x:v>
      </x:c>
      <x:c r="N3207" s="37" t="n">
        <x:v>46077</x:v>
      </x:c>
      <x:c r="O3207" s="37"/>
      <x:c r="P3207" s="34" t="n">
        <x:v>195.25</x:v>
      </x:c>
      <x:c r="Q3207" s="37" t="n">
        <x:v>46107.16339120371</x:v>
      </x:c>
    </x:row>
    <x:row r="3208">
      <x:c r="A3208" s="22" t="n">
        <x:v>31575</x:v>
      </x:c>
      <x:c r="B3208" s="28" t="n">
        <x:v>168.75</x:v>
      </x:c>
      <x:c r="C3208" s="28"/>
      <x:c r="D3208" s="31" t="str">
        <x:f>IF(OR(ISBLANK(B3208),ISBLANK(C3208),B3208=0),"",(C3208-B3208)/B3208)</x:f>
      </x:c>
      <x:c r="E3208" s="22" t="str">
        <x:f>IF(ISBLANK(C3208),"AmountIncludingTax缺失",IF(ABS(B3208-C3208)&lt;0.005,"一致","不一致"))</x:f>
        <x:v>AmountIncludingTax缺失</x:v>
      </x:c>
      <x:c r="F3208" s="19" t="str">
        <x:v>approved</x:v>
      </x:c>
      <x:c r="G3208" s="19" t="str">
        <x:v>Repairer Invoiced Processed</x:v>
      </x:c>
      <x:c r="H3208" s="19" t="str">
        <x:v>Pre Delivery</x:v>
      </x:c>
      <x:c r="I3208" s="37" t="n">
        <x:v>46091</x:v>
      </x:c>
      <x:c r="J3208" s="37" t="n">
        <x:v>46091</x:v>
      </x:c>
      <x:c r="K3208" s="19" t="str">
        <x:v>Lesiure Lion-New Castle</x:v>
      </x:c>
      <x:c r="L3208" s="19" t="str">
        <x:v>Z005</x:v>
      </x:c>
      <x:c r="M3208" s="19" t="str">
        <x:v>Pre Delivery Warranty Claims</x:v>
      </x:c>
      <x:c r="N3208" s="37" t="n">
        <x:v>46077</x:v>
      </x:c>
      <x:c r="O3208" s="37"/>
      <x:c r="P3208" s="34" t="n">
        <x:v>0</x:v>
      </x:c>
      <x:c r="Q3208" s="37" t="n">
        <x:v>46090.89100694445</x:v>
      </x:c>
    </x:row>
    <x:row r="3209">
      <x:c r="A3209" s="22" t="n">
        <x:v>31574</x:v>
      </x:c>
      <x:c r="B3209" s="28" t="n">
        <x:v>218.18</x:v>
      </x:c>
      <x:c r="C3209" s="28"/>
      <x:c r="D3209" s="31" t="str">
        <x:f>IF(OR(ISBLANK(B3209),ISBLANK(C3209),B3209=0),"",(C3209-B3209)/B3209)</x:f>
      </x:c>
      <x:c r="E3209" s="22" t="str">
        <x:f>IF(ISBLANK(C3209),"AmountIncludingTax缺失",IF(ABS(B3209-C3209)&lt;0.005,"一致","不一致"))</x:f>
        <x:v>AmountIncludingTax缺失</x:v>
      </x:c>
      <x:c r="F3209" s="19" t="str">
        <x:v>approved</x:v>
      </x:c>
      <x:c r="G3209" s="19" t="str">
        <x:v>Repairer Invoiced Processed</x:v>
      </x:c>
      <x:c r="H3209" s="19" t="str">
        <x:v>In Field</x:v>
      </x:c>
      <x:c r="I3209" s="37" t="n">
        <x:v>46092</x:v>
      </x:c>
      <x:c r="J3209" s="37" t="n">
        <x:v>46092</x:v>
      </x:c>
      <x:c r="K3209" s="19" t="str">
        <x:v>ABCO Caravans - Boambee Valley</x:v>
      </x:c>
      <x:c r="L3209" s="19" t="str">
        <x:v>Z006</x:v>
      </x:c>
      <x:c r="M3209" s="19" t="str">
        <x:v>In Field Warranty Claims</x:v>
      </x:c>
      <x:c r="N3209" s="37" t="n">
        <x:v>46077</x:v>
      </x:c>
      <x:c r="O3209" s="37"/>
      <x:c r="P3209" s="34" t="n">
        <x:v>0</x:v>
      </x:c>
      <x:c r="Q3209" s="37" t="n">
        <x:v>46092.043125</x:v>
      </x:c>
    </x:row>
    <x:row r="3210">
      <x:c r="A3210" s="22" t="n">
        <x:v>31573</x:v>
      </x:c>
      <x:c r="B3210" s="28" t="n">
        <x:v>826.25</x:v>
      </x:c>
      <x:c r="C3210" s="28"/>
      <x:c r="D3210" s="31" t="str">
        <x:f>IF(OR(ISBLANK(B3210),ISBLANK(C3210),B3210=0),"",(C3210-B3210)/B3210)</x:f>
      </x:c>
      <x:c r="E3210" s="22" t="str">
        <x:f>IF(ISBLANK(C3210),"AmountIncludingTax缺失",IF(ABS(B3210-C3210)&lt;0.005,"一致","不一致"))</x:f>
        <x:v>AmountIncludingTax缺失</x:v>
      </x:c>
      <x:c r="F3210" s="19" t="str">
        <x:v>approved</x:v>
      </x:c>
      <x:c r="G3210" s="19" t="str">
        <x:v>Repairer Invoiced Processed</x:v>
      </x:c>
      <x:c r="H3210" s="19" t="str">
        <x:v>In Field</x:v>
      </x:c>
      <x:c r="I3210" s="37" t="n">
        <x:v>46127</x:v>
      </x:c>
      <x:c r="J3210" s="37" t="n">
        <x:v>46127</x:v>
      </x:c>
      <x:c r="K3210" s="19" t="str">
        <x:v>Dario Caravans - Pooraka</x:v>
      </x:c>
      <x:c r="L3210" s="19" t="str">
        <x:v>Z006</x:v>
      </x:c>
      <x:c r="M3210" s="19" t="str">
        <x:v>In Field Warranty Claims</x:v>
      </x:c>
      <x:c r="N3210" s="37" t="n">
        <x:v>46077</x:v>
      </x:c>
      <x:c r="O3210" s="37"/>
      <x:c r="P3210" s="34" t="n">
        <x:v>0</x:v>
      </x:c>
      <x:c r="Q3210" s="37" t="n">
        <x:v>46126.92429398148</x:v>
      </x:c>
    </x:row>
    <x:row r="3211">
      <x:c r="A3211" s="22" t="n">
        <x:v>31572</x:v>
      </x:c>
      <x:c r="B3211" s="28" t="n">
        <x:v>945</x:v>
      </x:c>
      <x:c r="C3211" s="28"/>
      <x:c r="D3211" s="31" t="str">
        <x:f>IF(OR(ISBLANK(B3211),ISBLANK(C3211),B3211=0),"",(C3211-B3211)/B3211)</x:f>
      </x:c>
      <x:c r="E3211" s="22" t="str">
        <x:f>IF(ISBLANK(C3211),"AmountIncludingTax缺失",IF(ABS(B3211-C3211)&lt;0.005,"一致","不一致"))</x:f>
        <x:v>AmountIncludingTax缺失</x:v>
      </x:c>
      <x:c r="F3211" s="19" t="str">
        <x:v>approved</x:v>
      </x:c>
      <x:c r="G3211" s="19" t="str">
        <x:v>Repair in Progress</x:v>
      </x:c>
      <x:c r="H3211" s="19" t="str">
        <x:v>In Field</x:v>
      </x:c>
      <x:c r="I3211" s="37" t="n">
        <x:v>46085</x:v>
      </x:c>
      <x:c r="J3211" s="37" t="n">
        <x:v>46085</x:v>
      </x:c>
      <x:c r="K3211" s="19" t="str">
        <x:v>Regent RV - Frankston</x:v>
      </x:c>
      <x:c r="L3211" s="19" t="str">
        <x:v>Z006</x:v>
      </x:c>
      <x:c r="M3211" s="19" t="str">
        <x:v>In Field Warranty Claims</x:v>
      </x:c>
      <x:c r="N3211" s="37" t="n">
        <x:v>46077</x:v>
      </x:c>
      <x:c r="O3211" s="37"/>
      <x:c r="P3211" s="34" t="n">
        <x:v>0</x:v>
      </x:c>
      <x:c r="Q3211" s="37" t="n">
        <x:v>46085.17039351852</x:v>
      </x:c>
    </x:row>
    <x:row r="3212">
      <x:c r="A3212" s="22" t="n">
        <x:v>31571</x:v>
      </x:c>
      <x:c r="B3212" s="28" t="n">
        <x:v>68.18</x:v>
      </x:c>
      <x:c r="C3212" s="28"/>
      <x:c r="D3212" s="31" t="str">
        <x:f>IF(OR(ISBLANK(B3212),ISBLANK(C3212),B3212=0),"",(C3212-B3212)/B3212)</x:f>
      </x:c>
      <x:c r="E3212" s="22" t="str">
        <x:f>IF(ISBLANK(C3212),"AmountIncludingTax缺失",IF(ABS(B3212-C3212)&lt;0.005,"一致","不一致"))</x:f>
        <x:v>AmountIncludingTax缺失</x:v>
      </x:c>
      <x:c r="F3212" s="19" t="str">
        <x:v>approved</x:v>
      </x:c>
      <x:c r="G3212" s="19" t="str">
        <x:v>Repair in Progress</x:v>
      </x:c>
      <x:c r="H3212" s="19" t="str">
        <x:v>Pre Delivery</x:v>
      </x:c>
      <x:c r="I3212" s="37" t="n">
        <x:v>46133</x:v>
      </x:c>
      <x:c r="J3212" s="37" t="n">
        <x:v>46133</x:v>
      </x:c>
      <x:c r="K3212" s="19" t="str">
        <x:v>NEWCASTLE CARAVANS &amp; RVS</x:v>
      </x:c>
      <x:c r="L3212" s="19" t="str">
        <x:v>Z005</x:v>
      </x:c>
      <x:c r="M3212" s="19" t="str">
        <x:v>Pre Delivery Warranty Claims</x:v>
      </x:c>
      <x:c r="N3212" s="37" t="n">
        <x:v>46077</x:v>
      </x:c>
      <x:c r="O3212" s="37"/>
      <x:c r="P3212" s="34" t="n">
        <x:v>0</x:v>
      </x:c>
      <x:c r="Q3212" s="37" t="n">
        <x:v>46133.231307870374</x:v>
      </x:c>
    </x:row>
    <x:row r="3213">
      <x:c r="A3213" s="22" t="n">
        <x:v>31570</x:v>
      </x:c>
      <x:c r="B3213" s="28" t="n">
        <x:v>236.36</x:v>
      </x:c>
      <x:c r="C3213" s="28" t="n">
        <x:v>260</x:v>
      </x:c>
      <x:c r="D3213" s="31" t="n">
        <x:f>IF(OR(ISBLANK(B3213),ISBLANK(C3213),B3213=0),"",(C3213-B3213)/B3213)</x:f>
        <x:v>0.10001692333728204</x:v>
      </x:c>
      <x:c r="E3213" s="22" t="str">
        <x:f>IF(ISBLANK(C3213),"AmountIncludingTax缺失",IF(ABS(B3213-C3213)&lt;0.005,"一致","不一致"))</x:f>
        <x:v>不一致</x:v>
      </x:c>
      <x:c r="F3213" s="19" t="str">
        <x:v>approved</x:v>
      </x:c>
      <x:c r="G3213" s="19" t="str">
        <x:v>Repairer Invoiced Processed</x:v>
      </x:c>
      <x:c r="H3213" s="19" t="str">
        <x:v>In Field</x:v>
      </x:c>
      <x:c r="I3213" s="37" t="n">
        <x:v>46114</x:v>
      </x:c>
      <x:c r="J3213" s="37" t="n">
        <x:v>46114</x:v>
      </x:c>
      <x:c r="K3213" s="19" t="str">
        <x:v>Not Assigned</x:v>
      </x:c>
      <x:c r="L3213" s="19" t="str">
        <x:v>Z006</x:v>
      </x:c>
      <x:c r="M3213" s="19" t="str">
        <x:v>In Field Warranty Claims</x:v>
      </x:c>
      <x:c r="N3213" s="37" t="n">
        <x:v>46077</x:v>
      </x:c>
      <x:c r="O3213" s="37"/>
      <x:c r="P3213" s="34" t="n">
        <x:v>260</x:v>
      </x:c>
      <x:c r="Q3213" s="37" t="n">
        <x:v>46114.073587962965</x:v>
      </x:c>
    </x:row>
    <x:row r="3214">
      <x:c r="A3214" s="22" t="n">
        <x:v>31568</x:v>
      </x:c>
      <x:c r="B3214" s="28" t="n">
        <x:v>520.23</x:v>
      </x:c>
      <x:c r="C3214" s="28"/>
      <x:c r="D3214" s="31" t="str">
        <x:f>IF(OR(ISBLANK(B3214),ISBLANK(C3214),B3214=0),"",(C3214-B3214)/B3214)</x:f>
      </x:c>
      <x:c r="E3214" s="22" t="str">
        <x:f>IF(ISBLANK(C3214),"AmountIncludingTax缺失",IF(ABS(B3214-C3214)&lt;0.005,"一致","不一致"))</x:f>
        <x:v>AmountIncludingTax缺失</x:v>
      </x:c>
      <x:c r="F3214" s="19" t="str">
        <x:v>approved</x:v>
      </x:c>
      <x:c r="G3214" s="19" t="str">
        <x:v>Sales Order Approved</x:v>
      </x:c>
      <x:c r="H3214" s="19" t="str">
        <x:v>Pre Delivery</x:v>
      </x:c>
      <x:c r="I3214" s="37" t="n">
        <x:v>46177</x:v>
      </x:c>
      <x:c r="J3214" s="37" t="n">
        <x:v>46177</x:v>
      </x:c>
      <x:c r="K3214" s="19" t="str">
        <x:v>The Caravan Hub - Townsville</x:v>
      </x:c>
      <x:c r="L3214" s="19" t="str">
        <x:v>Z005</x:v>
      </x:c>
      <x:c r="M3214" s="19" t="str">
        <x:v>Pre Delivery Warranty Claims</x:v>
      </x:c>
      <x:c r="N3214" s="37" t="n">
        <x:v>46077</x:v>
      </x:c>
      <x:c r="O3214" s="37"/>
      <x:c r="P3214" s="34" t="n">
        <x:v>0</x:v>
      </x:c>
      <x:c r="Q3214" s="37" t="n">
        <x:v>46177.1009837963</x:v>
      </x:c>
    </x:row>
    <x:row r="3215">
      <x:c r="A3215" s="22" t="n">
        <x:v>31567</x:v>
      </x:c>
      <x:c r="B3215" s="28" t="n">
        <x:v>386</x:v>
      </x:c>
      <x:c r="C3215" s="28" t="n">
        <x:v>349.48</x:v>
      </x:c>
      <x:c r="D3215" s="31" t="n">
        <x:f>IF(OR(ISBLANK(B3215),ISBLANK(C3215),B3215=0),"",(C3215-B3215)/B3215)</x:f>
        <x:v>-0.09461139896373053</x:v>
      </x:c>
      <x:c r="E3215" s="22" t="str">
        <x:f>IF(ISBLANK(C3215),"AmountIncludingTax缺失",IF(ABS(B3215-C3215)&lt;0.005,"一致","不一致"))</x:f>
        <x:v>不一致</x:v>
      </x:c>
      <x:c r="F3215" s="19" t="str">
        <x:v>approved</x:v>
      </x:c>
      <x:c r="G3215" s="19" t="str">
        <x:v>Repairer Invoiced Processed</x:v>
      </x:c>
      <x:c r="H3215" s="19" t="str">
        <x:v>Pre Delivery</x:v>
      </x:c>
      <x:c r="I3215" s="37" t="n">
        <x:v>46135</x:v>
      </x:c>
      <x:c r="J3215" s="37" t="n">
        <x:v>46135</x:v>
      </x:c>
      <x:c r="K3215" s="19" t="str">
        <x:v>Vanari Caravans - Marden Point</x:v>
      </x:c>
      <x:c r="L3215" s="19" t="str">
        <x:v>Z005</x:v>
      </x:c>
      <x:c r="M3215" s="19" t="str">
        <x:v>Pre Delivery Warranty Claims</x:v>
      </x:c>
      <x:c r="N3215" s="37" t="n">
        <x:v>46077</x:v>
      </x:c>
      <x:c r="O3215" s="37"/>
      <x:c r="P3215" s="34" t="n">
        <x:v>349.48</x:v>
      </x:c>
      <x:c r="Q3215" s="37" t="n">
        <x:v>46134.936527777776</x:v>
      </x:c>
    </x:row>
    <x:row r="3216">
      <x:c r="A3216" s="22" t="n">
        <x:v>31565</x:v>
      </x:c>
      <x:c r="B3216" s="28" t="n">
        <x:v>101.25</x:v>
      </x:c>
      <x:c r="C3216" s="28"/>
      <x:c r="D3216" s="31" t="str">
        <x:f>IF(OR(ISBLANK(B3216),ISBLANK(C3216),B3216=0),"",(C3216-B3216)/B3216)</x:f>
      </x:c>
      <x:c r="E3216" s="22" t="str">
        <x:f>IF(ISBLANK(C3216),"AmountIncludingTax缺失",IF(ABS(B3216-C3216)&lt;0.005,"一致","不一致"))</x:f>
        <x:v>AmountIncludingTax缺失</x:v>
      </x:c>
      <x:c r="F3216" s="19" t="str">
        <x:v>approved</x:v>
      </x:c>
      <x:c r="G3216" s="19" t="str">
        <x:v>Repair in Progress</x:v>
      </x:c>
      <x:c r="H3216" s="19" t="str">
        <x:v>Pre Delivery</x:v>
      </x:c>
      <x:c r="I3216" s="37" t="n">
        <x:v>46127</x:v>
      </x:c>
      <x:c r="J3216" s="37" t="n">
        <x:v>46127</x:v>
      </x:c>
      <x:c r="K3216" s="19" t="str">
        <x:v>Snowy River Frankston</x:v>
      </x:c>
      <x:c r="L3216" s="19" t="str">
        <x:v>Z005</x:v>
      </x:c>
      <x:c r="M3216" s="19" t="str">
        <x:v>Pre Delivery Warranty Claims</x:v>
      </x:c>
      <x:c r="N3216" s="37" t="n">
        <x:v>46077</x:v>
      </x:c>
      <x:c r="O3216" s="37"/>
      <x:c r="P3216" s="34" t="n">
        <x:v>0</x:v>
      </x:c>
      <x:c r="Q3216" s="37" t="n">
        <x:v>46127.18025462963</x:v>
      </x:c>
    </x:row>
    <x:row r="3217">
      <x:c r="A3217" s="22" t="n">
        <x:v>31564</x:v>
      </x:c>
      <x:c r="B3217" s="28" t="n">
        <x:v>135</x:v>
      </x:c>
      <x:c r="C3217" s="28"/>
      <x:c r="D3217" s="31" t="str">
        <x:f>IF(OR(ISBLANK(B3217),ISBLANK(C3217),B3217=0),"",(C3217-B3217)/B3217)</x:f>
      </x:c>
      <x:c r="E3217" s="22" t="str">
        <x:f>IF(ISBLANK(C3217),"AmountIncludingTax缺失",IF(ABS(B3217-C3217)&lt;0.005,"一致","不一致"))</x:f>
        <x:v>AmountIncludingTax缺失</x:v>
      </x:c>
      <x:c r="F3217" s="19" t="str">
        <x:v>approved</x:v>
      </x:c>
      <x:c r="G3217" s="19" t="str">
        <x:v>Repair in Progress</x:v>
      </x:c>
      <x:c r="H3217" s="19" t="str">
        <x:v>In Field</x:v>
      </x:c>
      <x:c r="I3217" s="37" t="n">
        <x:v>46092</x:v>
      </x:c>
      <x:c r="J3217" s="37" t="n">
        <x:v>46092</x:v>
      </x:c>
      <x:c r="K3217" s="19" t="str">
        <x:v>Regent RV - Frankston</x:v>
      </x:c>
      <x:c r="L3217" s="19" t="str">
        <x:v>Z006</x:v>
      </x:c>
      <x:c r="M3217" s="19" t="str">
        <x:v>In Field Warranty Claims</x:v>
      </x:c>
      <x:c r="N3217" s="37" t="n">
        <x:v>46077</x:v>
      </x:c>
      <x:c r="O3217" s="37"/>
      <x:c r="P3217" s="34" t="n">
        <x:v>0</x:v>
      </x:c>
      <x:c r="Q3217" s="37" t="n">
        <x:v>46091.85784722222</x:v>
      </x:c>
    </x:row>
    <x:row r="3218">
      <x:c r="A3218" s="22" t="n">
        <x:v>31563</x:v>
      </x:c>
      <x:c r="B3218" s="28" t="n">
        <x:v>475</x:v>
      </x:c>
      <x:c r="C3218" s="28"/>
      <x:c r="D3218" s="31" t="str">
        <x:f>IF(OR(ISBLANK(B3218),ISBLANK(C3218),B3218=0),"",(C3218-B3218)/B3218)</x:f>
      </x:c>
      <x:c r="E3218" s="22" t="str">
        <x:f>IF(ISBLANK(C3218),"AmountIncludingTax缺失",IF(ABS(B3218-C3218)&lt;0.005,"一致","不一致"))</x:f>
        <x:v>AmountIncludingTax缺失</x:v>
      </x:c>
      <x:c r="F3218" s="19" t="str">
        <x:v>approved</x:v>
      </x:c>
      <x:c r="G3218" s="19" t="str">
        <x:v>Repair in Progress</x:v>
      </x:c>
      <x:c r="H3218" s="19" t="str">
        <x:v>In Field</x:v>
      </x:c>
      <x:c r="I3218" s="37" t="n">
        <x:v>46082</x:v>
      </x:c>
      <x:c r="J3218" s="37" t="n">
        <x:v>46082</x:v>
      </x:c>
      <x:c r="K3218" s="19" t="str">
        <x:v>The Caravan Hub - Townsville</x:v>
      </x:c>
      <x:c r="L3218" s="19" t="str">
        <x:v>Z006</x:v>
      </x:c>
      <x:c r="M3218" s="19" t="str">
        <x:v>In Field Warranty Claims</x:v>
      </x:c>
      <x:c r="N3218" s="37" t="n">
        <x:v>46077</x:v>
      </x:c>
      <x:c r="O3218" s="37"/>
      <x:c r="P3218" s="34" t="n">
        <x:v>0</x:v>
      </x:c>
      <x:c r="Q3218" s="37" t="n">
        <x:v>46082.26241898148</x:v>
      </x:c>
    </x:row>
    <x:row r="3219">
      <x:c r="A3219" s="22" t="n">
        <x:v>31562</x:v>
      </x:c>
      <x:c r="B3219" s="28" t="n">
        <x:v>1590</x:v>
      </x:c>
      <x:c r="C3219" s="28"/>
      <x:c r="D3219" s="31" t="str">
        <x:f>IF(OR(ISBLANK(B3219),ISBLANK(C3219),B3219=0),"",(C3219-B3219)/B3219)</x:f>
      </x:c>
      <x:c r="E3219" s="22" t="str">
        <x:f>IF(ISBLANK(C3219),"AmountIncludingTax缺失",IF(ABS(B3219-C3219)&lt;0.005,"一致","不一致"))</x:f>
        <x:v>AmountIncludingTax缺失</x:v>
      </x:c>
      <x:c r="F3219" s="19" t="str">
        <x:v>approved</x:v>
      </x:c>
      <x:c r="G3219" s="19" t="str">
        <x:v>Repair in Progress</x:v>
      </x:c>
      <x:c r="H3219" s="19" t="str">
        <x:v>In Field</x:v>
      </x:c>
      <x:c r="I3219" s="37" t="n">
        <x:v>46107</x:v>
      </x:c>
      <x:c r="J3219" s="37" t="n">
        <x:v>46107</x:v>
      </x:c>
      <x:c r="K3219" s="19" t="str">
        <x:v>The Caravan Hub - Townsville</x:v>
      </x:c>
      <x:c r="L3219" s="19" t="str">
        <x:v>Z006</x:v>
      </x:c>
      <x:c r="M3219" s="19" t="str">
        <x:v>In Field Warranty Claims</x:v>
      </x:c>
      <x:c r="N3219" s="37" t="n">
        <x:v>46077</x:v>
      </x:c>
      <x:c r="O3219" s="37"/>
      <x:c r="P3219" s="34" t="n">
        <x:v>0</x:v>
      </x:c>
      <x:c r="Q3219" s="37" t="n">
        <x:v>46106.87598379629</x:v>
      </x:c>
    </x:row>
    <x:row r="3220">
      <x:c r="A3220" s="22" t="n">
        <x:v>31561</x:v>
      </x:c>
      <x:c r="B3220" s="28" t="n">
        <x:v>145</x:v>
      </x:c>
      <x:c r="C3220" s="28"/>
      <x:c r="D3220" s="31" t="str">
        <x:f>IF(OR(ISBLANK(B3220),ISBLANK(C3220),B3220=0),"",(C3220-B3220)/B3220)</x:f>
      </x:c>
      <x:c r="E3220" s="22" t="str">
        <x:f>IF(ISBLANK(C3220),"AmountIncludingTax缺失",IF(ABS(B3220-C3220)&lt;0.005,"一致","不一致"))</x:f>
        <x:v>AmountIncludingTax缺失</x:v>
      </x:c>
      <x:c r="F3220" s="19" t="str">
        <x:v>approved</x:v>
      </x:c>
      <x:c r="G3220" s="19" t="str">
        <x:v>Repair in Progress</x:v>
      </x:c>
      <x:c r="H3220" s="19" t="str">
        <x:v>In Field</x:v>
      </x:c>
      <x:c r="I3220" s="37" t="n">
        <x:v>46175</x:v>
      </x:c>
      <x:c r="J3220" s="37" t="n">
        <x:v>46175</x:v>
      </x:c>
      <x:c r="K3220" s="19" t="str">
        <x:v>The Caravan Hub - Townsville</x:v>
      </x:c>
      <x:c r="L3220" s="19" t="str">
        <x:v>Z006</x:v>
      </x:c>
      <x:c r="M3220" s="19" t="str">
        <x:v>In Field Warranty Claims</x:v>
      </x:c>
      <x:c r="N3220" s="37" t="n">
        <x:v>46076</x:v>
      </x:c>
      <x:c r="O3220" s="37" t="n">
        <x:v>46111</x:v>
      </x:c>
      <x:c r="P3220" s="34" t="n">
        <x:v>0</x:v>
      </x:c>
      <x:c r="Q3220" s="37" t="n">
        <x:v>46175.1108912037</x:v>
      </x:c>
    </x:row>
    <x:row r="3221">
      <x:c r="A3221" s="22" t="n">
        <x:v>31560</x:v>
      </x:c>
      <x:c r="B3221" s="28" t="n">
        <x:v>507.5</x:v>
      </x:c>
      <x:c r="C3221" s="28"/>
      <x:c r="D3221" s="31" t="str">
        <x:f>IF(OR(ISBLANK(B3221),ISBLANK(C3221),B3221=0),"",(C3221-B3221)/B3221)</x:f>
      </x:c>
      <x:c r="E3221" s="22" t="str">
        <x:f>IF(ISBLANK(C3221),"AmountIncludingTax缺失",IF(ABS(B3221-C3221)&lt;0.005,"一致","不一致"))</x:f>
        <x:v>AmountIncludingTax缺失</x:v>
      </x:c>
      <x:c r="F3221" s="19" t="str">
        <x:v>approved</x:v>
      </x:c>
      <x:c r="G3221" s="19" t="str">
        <x:v>Repairer Invoiced Processed</x:v>
      </x:c>
      <x:c r="H3221" s="19" t="str">
        <x:v>Pre Delivery</x:v>
      </x:c>
      <x:c r="I3221" s="37" t="n">
        <x:v>46161</x:v>
      </x:c>
      <x:c r="J3221" s="37" t="n">
        <x:v>46161</x:v>
      </x:c>
      <x:c r="K3221" s="19" t="str">
        <x:v>The Caravan Hub - Townsville</x:v>
      </x:c>
      <x:c r="L3221" s="19" t="str">
        <x:v>Z005</x:v>
      </x:c>
      <x:c r="M3221" s="19" t="str">
        <x:v>Pre Delivery Warranty Claims</x:v>
      </x:c>
      <x:c r="N3221" s="37" t="n">
        <x:v>46076</x:v>
      </x:c>
      <x:c r="O3221" s="37"/>
      <x:c r="P3221" s="34" t="n">
        <x:v>0</x:v>
      </x:c>
      <x:c r="Q3221" s="37" t="n">
        <x:v>46161.098958333336</x:v>
      </x:c>
    </x:row>
    <x:row r="3222">
      <x:c r="A3222" s="22" t="n">
        <x:v>31559</x:v>
      </x:c>
      <x:c r="B3222" s="28" t="n">
        <x:v>810</x:v>
      </x:c>
      <x:c r="C3222" s="28"/>
      <x:c r="D3222" s="31" t="str">
        <x:f>IF(OR(ISBLANK(B3222),ISBLANK(C3222),B3222=0),"",(C3222-B3222)/B3222)</x:f>
      </x:c>
      <x:c r="E3222" s="22" t="str">
        <x:f>IF(ISBLANK(C3222),"AmountIncludingTax缺失",IF(ABS(B3222-C3222)&lt;0.005,"一致","不一致"))</x:f>
        <x:v>AmountIncludingTax缺失</x:v>
      </x:c>
      <x:c r="F3222" s="19" t="str">
        <x:v>approved</x:v>
      </x:c>
      <x:c r="G3222" s="19" t="str">
        <x:v>Partially Picked</x:v>
      </x:c>
      <x:c r="H3222" s="19" t="str">
        <x:v>In Field</x:v>
      </x:c>
      <x:c r="I3222" s="37" t="n">
        <x:v>46106</x:v>
      </x:c>
      <x:c r="J3222" s="37" t="n">
        <x:v>46106</x:v>
      </x:c>
      <x:c r="K3222" s="19" t="str">
        <x:v>Newcastle RV Super Centre - Beresfield</x:v>
      </x:c>
      <x:c r="L3222" s="19" t="str">
        <x:v>Z006</x:v>
      </x:c>
      <x:c r="M3222" s="19" t="str">
        <x:v>In Field Warranty Claims</x:v>
      </x:c>
      <x:c r="N3222" s="37" t="n">
        <x:v>46076</x:v>
      </x:c>
      <x:c r="O3222" s="37"/>
      <x:c r="P3222" s="34" t="n">
        <x:v>0</x:v>
      </x:c>
      <x:c r="Q3222" s="37" t="n">
        <x:v>46106.079189814816</x:v>
      </x:c>
    </x:row>
    <x:row r="3223">
      <x:c r="A3223" s="22" t="n">
        <x:v>31557</x:v>
      </x:c>
      <x:c r="B3223" s="28" t="n">
        <x:v>270</x:v>
      </x:c>
      <x:c r="C3223" s="28"/>
      <x:c r="D3223" s="31" t="str">
        <x:f>IF(OR(ISBLANK(B3223),ISBLANK(C3223),B3223=0),"",(C3223-B3223)/B3223)</x:f>
      </x:c>
      <x:c r="E3223" s="22" t="str">
        <x:f>IF(ISBLANK(C3223),"AmountIncludingTax缺失",IF(ABS(B3223-C3223)&lt;0.005,"一致","不一致"))</x:f>
        <x:v>AmountIncludingTax缺失</x:v>
      </x:c>
      <x:c r="F3223" s="19" t="str">
        <x:v>approved</x:v>
      </x:c>
      <x:c r="G3223" s="19" t="str">
        <x:v>Repair in Progress</x:v>
      </x:c>
      <x:c r="H3223" s="19" t="str">
        <x:v>In Field</x:v>
      </x:c>
      <x:c r="I3223" s="37" t="n">
        <x:v>46157</x:v>
      </x:c>
      <x:c r="J3223" s="37" t="n">
        <x:v>46157</x:v>
      </x:c>
      <x:c r="K3223" s="19" t="str">
        <x:v>Regent RV - Perth</x:v>
      </x:c>
      <x:c r="L3223" s="19" t="str">
        <x:v>Z006</x:v>
      </x:c>
      <x:c r="M3223" s="19" t="str">
        <x:v>In Field Warranty Claims</x:v>
      </x:c>
      <x:c r="N3223" s="37" t="n">
        <x:v>46076</x:v>
      </x:c>
      <x:c r="O3223" s="37"/>
      <x:c r="P3223" s="34" t="n">
        <x:v>0</x:v>
      </x:c>
      <x:c r="Q3223" s="37" t="n">
        <x:v>46157.10400462963</x:v>
      </x:c>
    </x:row>
    <x:row r="3224">
      <x:c r="A3224" s="22" t="n">
        <x:v>31556</x:v>
      </x:c>
      <x:c r="B3224" s="28" t="n">
        <x:v>41.25</x:v>
      </x:c>
      <x:c r="C3224" s="28"/>
      <x:c r="D3224" s="31" t="str">
        <x:f>IF(OR(ISBLANK(B3224),ISBLANK(C3224),B3224=0),"",(C3224-B3224)/B3224)</x:f>
      </x:c>
      <x:c r="E3224" s="22" t="str">
        <x:f>IF(ISBLANK(C3224),"AmountIncludingTax缺失",IF(ABS(B3224-C3224)&lt;0.005,"一致","不一致"))</x:f>
        <x:v>AmountIncludingTax缺失</x:v>
      </x:c>
      <x:c r="F3224" s="19" t="str">
        <x:v>approved</x:v>
      </x:c>
      <x:c r="G3224" s="19" t="str">
        <x:v>Repair in Progress</x:v>
      </x:c>
      <x:c r="H3224" s="19" t="str">
        <x:v>In Field</x:v>
      </x:c>
      <x:c r="I3224" s="37" t="n">
        <x:v>46119</x:v>
      </x:c>
      <x:c r="J3224" s="37" t="n">
        <x:v>46119</x:v>
      </x:c>
      <x:c r="K3224" s="19" t="str">
        <x:v>Regent RV - Townsville</x:v>
      </x:c>
      <x:c r="L3224" s="19" t="str">
        <x:v>Z006</x:v>
      </x:c>
      <x:c r="M3224" s="19" t="str">
        <x:v>In Field Warranty Claims</x:v>
      </x:c>
      <x:c r="N3224" s="37" t="n">
        <x:v>46076</x:v>
      </x:c>
      <x:c r="O3224" s="37"/>
      <x:c r="P3224" s="34" t="n">
        <x:v>0</x:v>
      </x:c>
      <x:c r="Q3224" s="37" t="n">
        <x:v>46119.14607638889</x:v>
      </x:c>
    </x:row>
    <x:row r="3225">
      <x:c r="A3225" s="22" t="n">
        <x:v>31555</x:v>
      </x:c>
      <x:c r="B3225" s="28" t="n">
        <x:v>362.5</x:v>
      </x:c>
      <x:c r="C3225" s="28"/>
      <x:c r="D3225" s="31" t="str">
        <x:f>IF(OR(ISBLANK(B3225),ISBLANK(C3225),B3225=0),"",(C3225-B3225)/B3225)</x:f>
      </x:c>
      <x:c r="E3225" s="22" t="str">
        <x:f>IF(ISBLANK(C3225),"AmountIncludingTax缺失",IF(ABS(B3225-C3225)&lt;0.005,"一致","不一致"))</x:f>
        <x:v>AmountIncludingTax缺失</x:v>
      </x:c>
      <x:c r="F3225" s="19" t="str">
        <x:v>approved</x:v>
      </x:c>
      <x:c r="G3225" s="19" t="str">
        <x:v>Repairer Invoiced Processed</x:v>
      </x:c>
      <x:c r="H3225" s="19" t="str">
        <x:v>In Field</x:v>
      </x:c>
      <x:c r="I3225" s="37" t="n">
        <x:v>46082</x:v>
      </x:c>
      <x:c r="J3225" s="37" t="n">
        <x:v>46082</x:v>
      </x:c>
      <x:c r="K3225" s="19" t="str">
        <x:v>The Caravan Hub - Townsville</x:v>
      </x:c>
      <x:c r="L3225" s="19" t="str">
        <x:v>Z006</x:v>
      </x:c>
      <x:c r="M3225" s="19" t="str">
        <x:v>In Field Warranty Claims</x:v>
      </x:c>
      <x:c r="N3225" s="37" t="n">
        <x:v>46076</x:v>
      </x:c>
      <x:c r="O3225" s="37"/>
      <x:c r="P3225" s="34" t="n">
        <x:v>0</x:v>
      </x:c>
      <x:c r="Q3225" s="37" t="n">
        <x:v>46082.32297453703</x:v>
      </x:c>
    </x:row>
    <x:row r="3226">
      <x:c r="A3226" s="22" t="n">
        <x:v>31553</x:v>
      </x:c>
      <x:c r="B3226" s="28" t="n">
        <x:v>360</x:v>
      </x:c>
      <x:c r="C3226" s="28"/>
      <x:c r="D3226" s="31" t="str">
        <x:f>IF(OR(ISBLANK(B3226),ISBLANK(C3226),B3226=0),"",(C3226-B3226)/B3226)</x:f>
      </x:c>
      <x:c r="E3226" s="22" t="str">
        <x:f>IF(ISBLANK(C3226),"AmountIncludingTax缺失",IF(ABS(B3226-C3226)&lt;0.005,"一致","不一致"))</x:f>
        <x:v>AmountIncludingTax缺失</x:v>
      </x:c>
      <x:c r="F3226" s="19" t="str">
        <x:v>approved</x:v>
      </x:c>
      <x:c r="G3226" s="19" t="str">
        <x:v>Repairer Invoiced Processed</x:v>
      </x:c>
      <x:c r="H3226" s="19" t="str">
        <x:v>In Field</x:v>
      </x:c>
      <x:c r="I3226" s="37" t="n">
        <x:v>46093</x:v>
      </x:c>
      <x:c r="J3226" s="37" t="n">
        <x:v>46093</x:v>
      </x:c>
      <x:c r="K3226" s="19" t="str">
        <x:v>Lesiure Lion-New Castle</x:v>
      </x:c>
      <x:c r="L3226" s="19" t="str">
        <x:v>Z006</x:v>
      </x:c>
      <x:c r="M3226" s="19" t="str">
        <x:v>In Field Warranty Claims</x:v>
      </x:c>
      <x:c r="N3226" s="37" t="n">
        <x:v>46076</x:v>
      </x:c>
      <x:c r="O3226" s="37"/>
      <x:c r="P3226" s="34" t="n">
        <x:v>0</x:v>
      </x:c>
      <x:c r="Q3226" s="37" t="n">
        <x:v>46093.26091435185</x:v>
      </x:c>
    </x:row>
    <x:row r="3227">
      <x:c r="A3227" s="22" t="n">
        <x:v>31552</x:v>
      </x:c>
      <x:c r="B3227" s="28" t="n">
        <x:v>1297.5</x:v>
      </x:c>
      <x:c r="C3227" s="28"/>
      <x:c r="D3227" s="31" t="str">
        <x:f>IF(OR(ISBLANK(B3227),ISBLANK(C3227),B3227=0),"",(C3227-B3227)/B3227)</x:f>
      </x:c>
      <x:c r="E3227" s="22" t="str">
        <x:f>IF(ISBLANK(C3227),"AmountIncludingTax缺失",IF(ABS(B3227-C3227)&lt;0.005,"一致","不一致"))</x:f>
        <x:v>AmountIncludingTax缺失</x:v>
      </x:c>
      <x:c r="F3227" s="19" t="str">
        <x:v>approved</x:v>
      </x:c>
      <x:c r="G3227" s="19" t="str">
        <x:v>Sales Order Approved</x:v>
      </x:c>
      <x:c r="H3227" s="19" t="str">
        <x:v>Pre Delivery</x:v>
      </x:c>
      <x:c r="I3227" s="37" t="n">
        <x:v>46157</x:v>
      </x:c>
      <x:c r="J3227" s="37" t="n">
        <x:v>46157</x:v>
      </x:c>
      <x:c r="K3227" s="19" t="str">
        <x:v>The Caravan Hub - Townsville</x:v>
      </x:c>
      <x:c r="L3227" s="19" t="str">
        <x:v>Z005</x:v>
      </x:c>
      <x:c r="M3227" s="19" t="str">
        <x:v>Pre Delivery Warranty Claims</x:v>
      </x:c>
      <x:c r="N3227" s="37" t="n">
        <x:v>46076</x:v>
      </x:c>
      <x:c r="O3227" s="37"/>
      <x:c r="P3227" s="34" t="n">
        <x:v>0</x:v>
      </x:c>
      <x:c r="Q3227" s="37" t="n">
        <x:v>46156.95880787037</x:v>
      </x:c>
    </x:row>
    <x:row r="3228">
      <x:c r="A3228" s="22" t="n">
        <x:v>31551</x:v>
      </x:c>
      <x:c r="B3228" s="28" t="n">
        <x:v>222.5</x:v>
      </x:c>
      <x:c r="C3228" s="28"/>
      <x:c r="D3228" s="31" t="str">
        <x:f>IF(OR(ISBLANK(B3228),ISBLANK(C3228),B3228=0),"",(C3228-B3228)/B3228)</x:f>
      </x:c>
      <x:c r="E3228" s="22" t="str">
        <x:f>IF(ISBLANK(C3228),"AmountIncludingTax缺失",IF(ABS(B3228-C3228)&lt;0.005,"一致","不一致"))</x:f>
        <x:v>AmountIncludingTax缺失</x:v>
      </x:c>
      <x:c r="F3228" s="19" t="str">
        <x:v>approved</x:v>
      </x:c>
      <x:c r="G3228" s="19" t="str">
        <x:v>Repair in Progress</x:v>
      </x:c>
      <x:c r="H3228" s="19" t="str">
        <x:v>In Field</x:v>
      </x:c>
      <x:c r="I3228" s="37" t="n">
        <x:v>46107</x:v>
      </x:c>
      <x:c r="J3228" s="37" t="n">
        <x:v>46107</x:v>
      </x:c>
      <x:c r="K3228" s="19" t="str">
        <x:v>Regent RV Pty Ltd</x:v>
      </x:c>
      <x:c r="L3228" s="19" t="str">
        <x:v>Z006</x:v>
      </x:c>
      <x:c r="M3228" s="19" t="str">
        <x:v>In Field Warranty Claims</x:v>
      </x:c>
      <x:c r="N3228" s="37" t="n">
        <x:v>46076</x:v>
      </x:c>
      <x:c r="O3228" s="37"/>
      <x:c r="P3228" s="34" t="n">
        <x:v>0</x:v>
      </x:c>
      <x:c r="Q3228" s="37" t="n">
        <x:v>46107.16103009259</x:v>
      </x:c>
    </x:row>
    <x:row r="3229">
      <x:c r="A3229" s="22" t="n">
        <x:v>31540</x:v>
      </x:c>
      <x:c r="B3229" s="28" t="n">
        <x:v>212.5</x:v>
      </x:c>
      <x:c r="C3229" s="28"/>
      <x:c r="D3229" s="31" t="str">
        <x:f>IF(OR(ISBLANK(B3229),ISBLANK(C3229),B3229=0),"",(C3229-B3229)/B3229)</x:f>
      </x:c>
      <x:c r="E3229" s="22" t="str">
        <x:f>IF(ISBLANK(C3229),"AmountIncludingTax缺失",IF(ABS(B3229-C3229)&lt;0.005,"一致","不一致"))</x:f>
        <x:v>AmountIncludingTax缺失</x:v>
      </x:c>
      <x:c r="F3229" s="19" t="str">
        <x:v>approved</x:v>
      </x:c>
      <x:c r="G3229" s="19" t="str">
        <x:v>Repair in Progress</x:v>
      </x:c>
      <x:c r="H3229" s="19" t="str">
        <x:v>Pre Delivery</x:v>
      </x:c>
      <x:c r="I3229" s="37" t="n">
        <x:v>46135</x:v>
      </x:c>
      <x:c r="J3229" s="37" t="n">
        <x:v>46135</x:v>
      </x:c>
      <x:c r="K3229" s="19" t="str">
        <x:v>NEWCASTLE CARAVANS &amp; RVS</x:v>
      </x:c>
      <x:c r="L3229" s="19" t="str">
        <x:v>Z005</x:v>
      </x:c>
      <x:c r="M3229" s="19" t="str">
        <x:v>Pre Delivery Warranty Claims</x:v>
      </x:c>
      <x:c r="N3229" s="37" t="n">
        <x:v>46077</x:v>
      </x:c>
      <x:c r="O3229" s="37"/>
      <x:c r="P3229" s="34" t="n">
        <x:v>0</x:v>
      </x:c>
      <x:c r="Q3229" s="37" t="n">
        <x:v>46134.936956018515</x:v>
      </x:c>
    </x:row>
    <x:row r="3230">
      <x:c r="A3230" s="22" t="n">
        <x:v>31539</x:v>
      </x:c>
      <x:c r="B3230" s="28" t="n">
        <x:v>150</x:v>
      </x:c>
      <x:c r="C3230" s="28"/>
      <x:c r="D3230" s="31" t="str">
        <x:f>IF(OR(ISBLANK(B3230),ISBLANK(C3230),B3230=0),"",(C3230-B3230)/B3230)</x:f>
      </x:c>
      <x:c r="E3230" s="22" t="str">
        <x:f>IF(ISBLANK(C3230),"AmountIncludingTax缺失",IF(ABS(B3230-C3230)&lt;0.005,"一致","不一致"))</x:f>
        <x:v>AmountIncludingTax缺失</x:v>
      </x:c>
      <x:c r="F3230" s="19" t="str">
        <x:v>approved</x:v>
      </x:c>
      <x:c r="G3230" s="19" t="str">
        <x:v>Repairer Invoiced Processed</x:v>
      </x:c>
      <x:c r="H3230" s="19" t="str">
        <x:v>In Field</x:v>
      </x:c>
      <x:c r="I3230" s="37" t="n">
        <x:v>46115</x:v>
      </x:c>
      <x:c r="J3230" s="37" t="n">
        <x:v>46115</x:v>
      </x:c>
      <x:c r="K3230" s="19" t="str">
        <x:v>Regent RV - Townsville</x:v>
      </x:c>
      <x:c r="L3230" s="19" t="str">
        <x:v>Z006</x:v>
      </x:c>
      <x:c r="M3230" s="19" t="str">
        <x:v>In Field Warranty Claims</x:v>
      </x:c>
      <x:c r="N3230" s="37" t="n">
        <x:v>46076</x:v>
      </x:c>
      <x:c r="O3230" s="37"/>
      <x:c r="P3230" s="34" t="n">
        <x:v>0</x:v>
      </x:c>
      <x:c r="Q3230" s="37" t="n">
        <x:v>46115.47956018519</x:v>
      </x:c>
    </x:row>
    <x:row r="3231">
      <x:c r="A3231" s="22" t="n">
        <x:v>31538</x:v>
      </x:c>
      <x:c r="B3231" s="28" t="n">
        <x:v>170</x:v>
      </x:c>
      <x:c r="C3231" s="28"/>
      <x:c r="D3231" s="31" t="str">
        <x:f>IF(OR(ISBLANK(B3231),ISBLANK(C3231),B3231=0),"",(C3231-B3231)/B3231)</x:f>
      </x:c>
      <x:c r="E3231" s="22" t="str">
        <x:f>IF(ISBLANK(C3231),"AmountIncludingTax缺失",IF(ABS(B3231-C3231)&lt;0.005,"一致","不一致"))</x:f>
        <x:v>AmountIncludingTax缺失</x:v>
      </x:c>
      <x:c r="F3231" s="19" t="str">
        <x:v>approved</x:v>
      </x:c>
      <x:c r="G3231" s="19" t="str">
        <x:v>Repair in Progress</x:v>
      </x:c>
      <x:c r="H3231" s="19" t="str">
        <x:v>In Field</x:v>
      </x:c>
      <x:c r="I3231" s="37" t="n">
        <x:v>46119</x:v>
      </x:c>
      <x:c r="J3231" s="37" t="n">
        <x:v>46119</x:v>
      </x:c>
      <x:c r="K3231" s="19" t="str">
        <x:v>Not Assigned</x:v>
      </x:c>
      <x:c r="L3231" s="19" t="str">
        <x:v>Z006</x:v>
      </x:c>
      <x:c r="M3231" s="19" t="str">
        <x:v>In Field Warranty Claims</x:v>
      </x:c>
      <x:c r="N3231" s="37" t="n">
        <x:v>46076</x:v>
      </x:c>
      <x:c r="O3231" s="37"/>
      <x:c r="P3231" s="34" t="n">
        <x:v>0</x:v>
      </x:c>
      <x:c r="Q3231" s="37" t="n">
        <x:v>46119.14540509259</x:v>
      </x:c>
    </x:row>
    <x:row r="3232">
      <x:c r="A3232" s="22" t="n">
        <x:v>31536</x:v>
      </x:c>
      <x:c r="B3232" s="28" t="n">
        <x:v>67.5</x:v>
      </x:c>
      <x:c r="C3232" s="28" t="n">
        <x:v>74.25</x:v>
      </x:c>
      <x:c r="D3232" s="31" t="n">
        <x:f>IF(OR(ISBLANK(B3232),ISBLANK(C3232),B3232=0),"",(C3232-B3232)/B3232)</x:f>
        <x:v>0.1</x:v>
      </x:c>
      <x:c r="E3232" s="22" t="str">
        <x:f>IF(ISBLANK(C3232),"AmountIncludingTax缺失",IF(ABS(B3232-C3232)&lt;0.005,"一致","不一致"))</x:f>
        <x:v>不一致</x:v>
      </x:c>
      <x:c r="F3232" s="19" t="str">
        <x:v>approved</x:v>
      </x:c>
      <x:c r="G3232" s="19" t="str">
        <x:v>Repair in Progress</x:v>
      </x:c>
      <x:c r="H3232" s="19" t="str">
        <x:v>Pre Delivery</x:v>
      </x:c>
      <x:c r="I3232" s="37" t="n">
        <x:v>46153</x:v>
      </x:c>
      <x:c r="J3232" s="37" t="n">
        <x:v>46153</x:v>
      </x:c>
      <x:c r="K3232" s="19" t="str">
        <x:v>Auswide Caravans - South Nowra</x:v>
      </x:c>
      <x:c r="L3232" s="19" t="str">
        <x:v>Z005</x:v>
      </x:c>
      <x:c r="M3232" s="19" t="str">
        <x:v>Pre Delivery Warranty Claims</x:v>
      </x:c>
      <x:c r="N3232" s="37" t="n">
        <x:v>46076</x:v>
      </x:c>
      <x:c r="O3232" s="37"/>
      <x:c r="P3232" s="34" t="n">
        <x:v>74.25</x:v>
      </x:c>
      <x:c r="Q3232" s="37" t="n">
        <x:v>46153.06725694444</x:v>
      </x:c>
    </x:row>
    <x:row r="3233">
      <x:c r="A3233" s="22" t="n">
        <x:v>31534</x:v>
      </x:c>
      <x:c r="B3233" s="28" t="n">
        <x:v>225</x:v>
      </x:c>
      <x:c r="C3233" s="28"/>
      <x:c r="D3233" s="31" t="str">
        <x:f>IF(OR(ISBLANK(B3233),ISBLANK(C3233),B3233=0),"",(C3233-B3233)/B3233)</x:f>
      </x:c>
      <x:c r="E3233" s="22" t="str">
        <x:f>IF(ISBLANK(C3233),"AmountIncludingTax缺失",IF(ABS(B3233-C3233)&lt;0.005,"一致","不一致"))</x:f>
        <x:v>AmountIncludingTax缺失</x:v>
      </x:c>
      <x:c r="F3233" s="19" t="str">
        <x:v>approved</x:v>
      </x:c>
      <x:c r="G3233" s="19" t="str">
        <x:v>Repairer Invoiced Processed</x:v>
      </x:c>
      <x:c r="H3233" s="19" t="str">
        <x:v>Pre Delivery</x:v>
      </x:c>
      <x:c r="I3233" s="37" t="n">
        <x:v>46160</x:v>
      </x:c>
      <x:c r="J3233" s="37" t="n">
        <x:v>46160</x:v>
      </x:c>
      <x:c r="K3233" s="19" t="str">
        <x:v>Great Ocean Road RV &amp; Caravans - Warrnambool</x:v>
      </x:c>
      <x:c r="L3233" s="19" t="str">
        <x:v>Z005</x:v>
      </x:c>
      <x:c r="M3233" s="19" t="str">
        <x:v>Pre Delivery Warranty Claims</x:v>
      </x:c>
      <x:c r="N3233" s="37" t="n">
        <x:v>46076</x:v>
      </x:c>
      <x:c r="O3233" s="37"/>
      <x:c r="P3233" s="34" t="n">
        <x:v>0</x:v>
      </x:c>
      <x:c r="Q3233" s="37" t="n">
        <x:v>46159.95668981481</x:v>
      </x:c>
    </x:row>
    <x:row r="3234">
      <x:c r="A3234" s="22" t="n">
        <x:v>31533</x:v>
      </x:c>
      <x:c r="B3234" s="28" t="n">
        <x:v>138.18</x:v>
      </x:c>
      <x:c r="C3234" s="28"/>
      <x:c r="D3234" s="31" t="str">
        <x:f>IF(OR(ISBLANK(B3234),ISBLANK(C3234),B3234=0),"",(C3234-B3234)/B3234)</x:f>
      </x:c>
      <x:c r="E3234" s="22" t="str">
        <x:f>IF(ISBLANK(C3234),"AmountIncludingTax缺失",IF(ABS(B3234-C3234)&lt;0.005,"一致","不一致"))</x:f>
        <x:v>AmountIncludingTax缺失</x:v>
      </x:c>
      <x:c r="F3234" s="19" t="str">
        <x:v>approved</x:v>
      </x:c>
      <x:c r="G3234" s="19" t="str">
        <x:v>Repairer Invoiced Processed</x:v>
      </x:c>
      <x:c r="H3234" s="19" t="str">
        <x:v>In Field</x:v>
      </x:c>
      <x:c r="I3234" s="37" t="n">
        <x:v>46096</x:v>
      </x:c>
      <x:c r="J3234" s="37" t="n">
        <x:v>46096</x:v>
      </x:c>
      <x:c r="K3234" s="19" t="str">
        <x:v>Auswide Caravans - South Nowra</x:v>
      </x:c>
      <x:c r="L3234" s="19" t="str">
        <x:v>Z006</x:v>
      </x:c>
      <x:c r="M3234" s="19" t="str">
        <x:v>In Field Warranty Claims</x:v>
      </x:c>
      <x:c r="N3234" s="37" t="n">
        <x:v>46076</x:v>
      </x:c>
      <x:c r="O3234" s="37"/>
      <x:c r="P3234" s="34" t="n">
        <x:v>0</x:v>
      </x:c>
      <x:c r="Q3234" s="37" t="n">
        <x:v>46096.537094907406</x:v>
      </x:c>
    </x:row>
    <x:row r="3235">
      <x:c r="A3235" s="22" t="n">
        <x:v>31532</x:v>
      </x:c>
      <x:c r="B3235" s="28" t="n">
        <x:v>1131.93</x:v>
      </x:c>
      <x:c r="C3235" s="28"/>
      <x:c r="D3235" s="31" t="str">
        <x:f>IF(OR(ISBLANK(B3235),ISBLANK(C3235),B3235=0),"",(C3235-B3235)/B3235)</x:f>
      </x:c>
      <x:c r="E3235" s="22" t="str">
        <x:f>IF(ISBLANK(C3235),"AmountIncludingTax缺失",IF(ABS(B3235-C3235)&lt;0.005,"一致","不一致"))</x:f>
        <x:v>AmountIncludingTax缺失</x:v>
      </x:c>
      <x:c r="F3235" s="19" t="str">
        <x:v>approved</x:v>
      </x:c>
      <x:c r="G3235" s="19" t="str">
        <x:v>Sales Order Approved</x:v>
      </x:c>
      <x:c r="H3235" s="19" t="str">
        <x:v>Pre Delivery</x:v>
      </x:c>
      <x:c r="I3235" s="37" t="n">
        <x:v>46133</x:v>
      </x:c>
      <x:c r="J3235" s="37" t="n">
        <x:v>46133</x:v>
      </x:c>
      <x:c r="K3235" s="19" t="str">
        <x:v>Snowy River Launceston</x:v>
      </x:c>
      <x:c r="L3235" s="19" t="str">
        <x:v>Z005</x:v>
      </x:c>
      <x:c r="M3235" s="19" t="str">
        <x:v>Pre Delivery Warranty Claims</x:v>
      </x:c>
      <x:c r="N3235" s="37" t="n">
        <x:v>46076</x:v>
      </x:c>
      <x:c r="O3235" s="37"/>
      <x:c r="P3235" s="34" t="n">
        <x:v>0</x:v>
      </x:c>
      <x:c r="Q3235" s="37" t="n">
        <x:v>46133.15667824074</x:v>
      </x:c>
    </x:row>
    <x:row r="3236">
      <x:c r="A3236" s="22" t="n">
        <x:v>31529</x:v>
      </x:c>
      <x:c r="B3236" s="28" t="n">
        <x:v>331.25</x:v>
      </x:c>
      <x:c r="C3236" s="28"/>
      <x:c r="D3236" s="31" t="str">
        <x:f>IF(OR(ISBLANK(B3236),ISBLANK(C3236),B3236=0),"",(C3236-B3236)/B3236)</x:f>
      </x:c>
      <x:c r="E3236" s="22" t="str">
        <x:f>IF(ISBLANK(C3236),"AmountIncludingTax缺失",IF(ABS(B3236-C3236)&lt;0.005,"一致","不一致"))</x:f>
        <x:v>AmountIncludingTax缺失</x:v>
      </x:c>
      <x:c r="F3236" s="19" t="str">
        <x:v>approved</x:v>
      </x:c>
      <x:c r="G3236" s="19" t="str">
        <x:v>Repair in Progress</x:v>
      </x:c>
      <x:c r="H3236" s="19" t="str">
        <x:v>In Field</x:v>
      </x:c>
      <x:c r="I3236" s="37" t="n">
        <x:v>46115</x:v>
      </x:c>
      <x:c r="J3236" s="37" t="n">
        <x:v>46115</x:v>
      </x:c>
      <x:c r="K3236" s="19" t="str">
        <x:v>Regent RV - Townsville</x:v>
      </x:c>
      <x:c r="L3236" s="19" t="str">
        <x:v>Z006</x:v>
      </x:c>
      <x:c r="M3236" s="19" t="str">
        <x:v>In Field Warranty Claims</x:v>
      </x:c>
      <x:c r="N3236" s="37" t="n">
        <x:v>46076</x:v>
      </x:c>
      <x:c r="O3236" s="37"/>
      <x:c r="P3236" s="34" t="n">
        <x:v>0</x:v>
      </x:c>
      <x:c r="Q3236" s="37" t="n">
        <x:v>46115.49462962963</x:v>
      </x:c>
    </x:row>
    <x:row r="3237">
      <x:c r="A3237" s="22" t="n">
        <x:v>31528</x:v>
      </x:c>
      <x:c r="B3237" s="28" t="n">
        <x:v>911.25</x:v>
      </x:c>
      <x:c r="C3237" s="28"/>
      <x:c r="D3237" s="31" t="str">
        <x:f>IF(OR(ISBLANK(B3237),ISBLANK(C3237),B3237=0),"",(C3237-B3237)/B3237)</x:f>
      </x:c>
      <x:c r="E3237" s="22" t="str">
        <x:f>IF(ISBLANK(C3237),"AmountIncludingTax缺失",IF(ABS(B3237-C3237)&lt;0.005,"一致","不一致"))</x:f>
        <x:v>AmountIncludingTax缺失</x:v>
      </x:c>
      <x:c r="F3237" s="19" t="str">
        <x:v>approved</x:v>
      </x:c>
      <x:c r="G3237" s="19" t="str">
        <x:v>Sales Order Approved</x:v>
      </x:c>
      <x:c r="H3237" s="19" t="str">
        <x:v>Pre Delivery</x:v>
      </x:c>
      <x:c r="I3237" s="37" t="n">
        <x:v>46133</x:v>
      </x:c>
      <x:c r="J3237" s="37" t="n">
        <x:v>46133</x:v>
      </x:c>
      <x:c r="K3237" s="19" t="str">
        <x:v>Snowy River Launceston</x:v>
      </x:c>
      <x:c r="L3237" s="19" t="str">
        <x:v>Z005</x:v>
      </x:c>
      <x:c r="M3237" s="19" t="str">
        <x:v>Pre Delivery Warranty Claims</x:v>
      </x:c>
      <x:c r="N3237" s="37" t="n">
        <x:v>46076</x:v>
      </x:c>
      <x:c r="O3237" s="37"/>
      <x:c r="P3237" s="34" t="n">
        <x:v>0</x:v>
      </x:c>
      <x:c r="Q3237" s="37" t="n">
        <x:v>46133.15269675926</x:v>
      </x:c>
    </x:row>
    <x:row r="3238">
      <x:c r="A3238" s="22" t="n">
        <x:v>31527</x:v>
      </x:c>
      <x:c r="B3238" s="28" t="n">
        <x:v>917.5</x:v>
      </x:c>
      <x:c r="C3238" s="28"/>
      <x:c r="D3238" s="31" t="str">
        <x:f>IF(OR(ISBLANK(B3238),ISBLANK(C3238),B3238=0),"",(C3238-B3238)/B3238)</x:f>
      </x:c>
      <x:c r="E3238" s="22" t="str">
        <x:f>IF(ISBLANK(C3238),"AmountIncludingTax缺失",IF(ABS(B3238-C3238)&lt;0.005,"一致","不一致"))</x:f>
        <x:v>AmountIncludingTax缺失</x:v>
      </x:c>
      <x:c r="F3238" s="19" t="str">
        <x:v>approved</x:v>
      </x:c>
      <x:c r="G3238" s="19" t="str">
        <x:v>Repair in Progress</x:v>
      </x:c>
      <x:c r="H3238" s="19" t="str">
        <x:v>In Field</x:v>
      </x:c>
      <x:c r="I3238" s="37" t="n">
        <x:v>46098</x:v>
      </x:c>
      <x:c r="J3238" s="37" t="n">
        <x:v>46098</x:v>
      </x:c>
      <x:c r="K3238" s="19" t="str">
        <x:v>Not Assigned</x:v>
      </x:c>
      <x:c r="L3238" s="19" t="str">
        <x:v>Z006</x:v>
      </x:c>
      <x:c r="M3238" s="19" t="str">
        <x:v>In Field Warranty Claims</x:v>
      </x:c>
      <x:c r="N3238" s="37" t="n">
        <x:v>46076</x:v>
      </x:c>
      <x:c r="O3238" s="37"/>
      <x:c r="P3238" s="34" t="n">
        <x:v>0</x:v>
      </x:c>
      <x:c r="Q3238" s="37" t="n">
        <x:v>46098.065254629626</x:v>
      </x:c>
    </x:row>
    <x:row r="3239">
      <x:c r="A3239" s="22" t="n">
        <x:v>31526</x:v>
      </x:c>
      <x:c r="B3239" s="28" t="n">
        <x:v>500</x:v>
      </x:c>
      <x:c r="C3239" s="28" t="n">
        <x:v>550</x:v>
      </x:c>
      <x:c r="D3239" s="31" t="n">
        <x:f>IF(OR(ISBLANK(B3239),ISBLANK(C3239),B3239=0),"",(C3239-B3239)/B3239)</x:f>
        <x:v>0.1</x:v>
      </x:c>
      <x:c r="E3239" s="22" t="str">
        <x:f>IF(ISBLANK(C3239),"AmountIncludingTax缺失",IF(ABS(B3239-C3239)&lt;0.005,"一致","不一致"))</x:f>
        <x:v>不一致</x:v>
      </x:c>
      <x:c r="F3239" s="19" t="str">
        <x:v>approved</x:v>
      </x:c>
      <x:c r="G3239" s="19" t="str">
        <x:v>Repairer Invoiced Processed</x:v>
      </x:c>
      <x:c r="H3239" s="19" t="str">
        <x:v>In Field</x:v>
      </x:c>
      <x:c r="I3239" s="37" t="n">
        <x:v>46076</x:v>
      </x:c>
      <x:c r="J3239" s="37" t="n">
        <x:v>46076</x:v>
      </x:c>
      <x:c r="K3239" s="19" t="str">
        <x:v>Auswide Caravans - South Nowra</x:v>
      </x:c>
      <x:c r="L3239" s="19" t="str">
        <x:v>Z006</x:v>
      </x:c>
      <x:c r="M3239" s="19" t="str">
        <x:v>In Field Warranty Claims</x:v>
      </x:c>
      <x:c r="N3239" s="37" t="n">
        <x:v>46076</x:v>
      </x:c>
      <x:c r="O3239" s="37"/>
      <x:c r="P3239" s="34" t="n">
        <x:v>550</x:v>
      </x:c>
      <x:c r="Q3239" s="37" t="n">
        <x:v>46076.20875</x:v>
      </x:c>
    </x:row>
    <x:row r="3240">
      <x:c r="A3240" s="22" t="n">
        <x:v>31524</x:v>
      </x:c>
      <x:c r="B3240" s="28" t="n">
        <x:v>155</x:v>
      </x:c>
      <x:c r="C3240" s="28"/>
      <x:c r="D3240" s="31" t="str">
        <x:f>IF(OR(ISBLANK(B3240),ISBLANK(C3240),B3240=0),"",(C3240-B3240)/B3240)</x:f>
      </x:c>
      <x:c r="E3240" s="22" t="str">
        <x:f>IF(ISBLANK(C3240),"AmountIncludingTax缺失",IF(ABS(B3240-C3240)&lt;0.005,"一致","不一致"))</x:f>
        <x:v>AmountIncludingTax缺失</x:v>
      </x:c>
      <x:c r="F3240" s="19" t="str">
        <x:v>approved</x:v>
      </x:c>
      <x:c r="G3240" s="19" t="str">
        <x:v>Repair in Progress</x:v>
      </x:c>
      <x:c r="H3240" s="19" t="str">
        <x:v>In Field</x:v>
      </x:c>
      <x:c r="I3240" s="37" t="n">
        <x:v>46107</x:v>
      </x:c>
      <x:c r="J3240" s="37" t="n">
        <x:v>46107</x:v>
      </x:c>
      <x:c r="K3240" s="19" t="str">
        <x:v>Regent RV - Perth</x:v>
      </x:c>
      <x:c r="L3240" s="19" t="str">
        <x:v>Z006</x:v>
      </x:c>
      <x:c r="M3240" s="19" t="str">
        <x:v>In Field Warranty Claims</x:v>
      </x:c>
      <x:c r="N3240" s="37" t="n">
        <x:v>46076</x:v>
      </x:c>
      <x:c r="O3240" s="37"/>
      <x:c r="P3240" s="34" t="n">
        <x:v>0</x:v>
      </x:c>
      <x:c r="Q3240" s="37" t="n">
        <x:v>46106.9924537037</x:v>
      </x:c>
    </x:row>
    <x:row r="3241">
      <x:c r="A3241" s="22" t="n">
        <x:v>31523</x:v>
      </x:c>
      <x:c r="B3241" s="28" t="n">
        <x:v>1360</x:v>
      </x:c>
      <x:c r="C3241" s="28"/>
      <x:c r="D3241" s="31" t="str">
        <x:f>IF(OR(ISBLANK(B3241),ISBLANK(C3241),B3241=0),"",(C3241-B3241)/B3241)</x:f>
      </x:c>
      <x:c r="E3241" s="22" t="str">
        <x:f>IF(ISBLANK(C3241),"AmountIncludingTax缺失",IF(ABS(B3241-C3241)&lt;0.005,"一致","不一致"))</x:f>
        <x:v>AmountIncludingTax缺失</x:v>
      </x:c>
      <x:c r="F3241" s="19" t="str">
        <x:v>approved</x:v>
      </x:c>
      <x:c r="G3241" s="19" t="str">
        <x:v>Partially Picked</x:v>
      </x:c>
      <x:c r="H3241" s="19" t="str">
        <x:v>In Field</x:v>
      </x:c>
      <x:c r="I3241" s="37" t="n">
        <x:v>46104</x:v>
      </x:c>
      <x:c r="J3241" s="37" t="n">
        <x:v>46104</x:v>
      </x:c>
      <x:c r="K3241" s="19" t="str">
        <x:v>Green RV - Forest Glen</x:v>
      </x:c>
      <x:c r="L3241" s="19" t="str">
        <x:v>Z006</x:v>
      </x:c>
      <x:c r="M3241" s="19" t="str">
        <x:v>In Field Warranty Claims</x:v>
      </x:c>
      <x:c r="N3241" s="37" t="n">
        <x:v>46076</x:v>
      </x:c>
      <x:c r="O3241" s="37"/>
      <x:c r="P3241" s="34" t="n">
        <x:v>0</x:v>
      </x:c>
      <x:c r="Q3241" s="37" t="n">
        <x:v>46104.00881944445</x:v>
      </x:c>
    </x:row>
    <x:row r="3242">
      <x:c r="A3242" s="22" t="n">
        <x:v>31521</x:v>
      </x:c>
      <x:c r="B3242" s="28" t="n">
        <x:v>985</x:v>
      </x:c>
      <x:c r="C3242" s="28"/>
      <x:c r="D3242" s="31" t="str">
        <x:f>IF(OR(ISBLANK(B3242),ISBLANK(C3242),B3242=0),"",(C3242-B3242)/B3242)</x:f>
      </x:c>
      <x:c r="E3242" s="22" t="str">
        <x:f>IF(ISBLANK(C3242),"AmountIncludingTax缺失",IF(ABS(B3242-C3242)&lt;0.005,"一致","不一致"))</x:f>
        <x:v>AmountIncludingTax缺失</x:v>
      </x:c>
      <x:c r="F3242" s="19" t="str">
        <x:v>approved</x:v>
      </x:c>
      <x:c r="G3242" s="19" t="str">
        <x:v>Repairer Invoiced Processed</x:v>
      </x:c>
      <x:c r="H3242" s="19" t="str">
        <x:v>In Field</x:v>
      </x:c>
      <x:c r="I3242" s="37" t="n">
        <x:v>46087</x:v>
      </x:c>
      <x:c r="J3242" s="37" t="n">
        <x:v>46087</x:v>
      </x:c>
      <x:c r="K3242" s="19" t="str">
        <x:v>Green RV - Forest Glen</x:v>
      </x:c>
      <x:c r="L3242" s="19" t="str">
        <x:v>Z006</x:v>
      </x:c>
      <x:c r="M3242" s="19" t="str">
        <x:v>In Field Warranty Claims</x:v>
      </x:c>
      <x:c r="N3242" s="37" t="n">
        <x:v>46076</x:v>
      </x:c>
      <x:c r="O3242" s="37"/>
      <x:c r="P3242" s="34" t="n">
        <x:v>0</x:v>
      </x:c>
      <x:c r="Q3242" s="37" t="n">
        <x:v>46086.951006944444</x:v>
      </x:c>
    </x:row>
    <x:row r="3243">
      <x:c r="A3243" s="22" t="n">
        <x:v>31520</x:v>
      </x:c>
      <x:c r="B3243" s="28" t="n">
        <x:v>936.25</x:v>
      </x:c>
      <x:c r="C3243" s="28"/>
      <x:c r="D3243" s="31" t="str">
        <x:f>IF(OR(ISBLANK(B3243),ISBLANK(C3243),B3243=0),"",(C3243-B3243)/B3243)</x:f>
      </x:c>
      <x:c r="E3243" s="22" t="str">
        <x:f>IF(ISBLANK(C3243),"AmountIncludingTax缺失",IF(ABS(B3243-C3243)&lt;0.005,"一致","不一致"))</x:f>
        <x:v>AmountIncludingTax缺失</x:v>
      </x:c>
      <x:c r="F3243" s="19" t="str">
        <x:v>approved</x:v>
      </x:c>
      <x:c r="G3243" s="19" t="str">
        <x:v>Repairer Invoiced Processed</x:v>
      </x:c>
      <x:c r="H3243" s="19" t="str">
        <x:v>In Field</x:v>
      </x:c>
      <x:c r="I3243" s="37" t="n">
        <x:v>46086</x:v>
      </x:c>
      <x:c r="J3243" s="37" t="n">
        <x:v>46086</x:v>
      </x:c>
      <x:c r="K3243" s="19" t="str">
        <x:v>Green RV - Forest Glen</x:v>
      </x:c>
      <x:c r="L3243" s="19" t="str">
        <x:v>Z006</x:v>
      </x:c>
      <x:c r="M3243" s="19" t="str">
        <x:v>In Field Warranty Claims</x:v>
      </x:c>
      <x:c r="N3243" s="37" t="n">
        <x:v>46076</x:v>
      </x:c>
      <x:c r="O3243" s="37"/>
      <x:c r="P3243" s="34" t="n">
        <x:v>0</x:v>
      </x:c>
      <x:c r="Q3243" s="37" t="n">
        <x:v>46086.43864583333</x:v>
      </x:c>
    </x:row>
    <x:row r="3244">
      <x:c r="A3244" s="22" t="n">
        <x:v>31519</x:v>
      </x:c>
      <x:c r="B3244" s="28" t="n">
        <x:v>168.75</x:v>
      </x:c>
      <x:c r="C3244" s="28"/>
      <x:c r="D3244" s="31" t="str">
        <x:f>IF(OR(ISBLANK(B3244),ISBLANK(C3244),B3244=0),"",(C3244-B3244)/B3244)</x:f>
      </x:c>
      <x:c r="E3244" s="22" t="str">
        <x:f>IF(ISBLANK(C3244),"AmountIncludingTax缺失",IF(ABS(B3244-C3244)&lt;0.005,"一致","不一致"))</x:f>
        <x:v>AmountIncludingTax缺失</x:v>
      </x:c>
      <x:c r="F3244" s="19" t="str">
        <x:v>approved</x:v>
      </x:c>
      <x:c r="G3244" s="19" t="str">
        <x:v>Repairer Invoiced Processed</x:v>
      </x:c>
      <x:c r="H3244" s="19" t="str">
        <x:v>In Field</x:v>
      </x:c>
      <x:c r="I3244" s="37" t="n">
        <x:v>46106</x:v>
      </x:c>
      <x:c r="J3244" s="37" t="n">
        <x:v>46106</x:v>
      </x:c>
      <x:c r="K3244" s="19" t="str">
        <x:v>Not Assigned</x:v>
      </x:c>
      <x:c r="L3244" s="19" t="str">
        <x:v>Z006</x:v>
      </x:c>
      <x:c r="M3244" s="19" t="str">
        <x:v>In Field Warranty Claims</x:v>
      </x:c>
      <x:c r="N3244" s="37" t="n">
        <x:v>46076</x:v>
      </x:c>
      <x:c r="O3244" s="37"/>
      <x:c r="P3244" s="34" t="n">
        <x:v>0</x:v>
      </x:c>
      <x:c r="Q3244" s="37" t="n">
        <x:v>46106.00912037037</x:v>
      </x:c>
    </x:row>
    <x:row r="3245">
      <x:c r="A3245" s="22" t="n">
        <x:v>31517</x:v>
      </x:c>
      <x:c r="B3245" s="28" t="n">
        <x:v>810</x:v>
      </x:c>
      <x:c r="C3245" s="28"/>
      <x:c r="D3245" s="31" t="str">
        <x:f>IF(OR(ISBLANK(B3245),ISBLANK(C3245),B3245=0),"",(C3245-B3245)/B3245)</x:f>
      </x:c>
      <x:c r="E3245" s="22" t="str">
        <x:f>IF(ISBLANK(C3245),"AmountIncludingTax缺失",IF(ABS(B3245-C3245)&lt;0.005,"一致","不一致"))</x:f>
        <x:v>AmountIncludingTax缺失</x:v>
      </x:c>
      <x:c r="F3245" s="19" t="str">
        <x:v>approved</x:v>
      </x:c>
      <x:c r="G3245" s="19" t="str">
        <x:v>Repair in Progress</x:v>
      </x:c>
      <x:c r="H3245" s="19" t="str">
        <x:v>In Field</x:v>
      </x:c>
      <x:c r="I3245" s="37" t="n">
        <x:v>46083</x:v>
      </x:c>
      <x:c r="J3245" s="37" t="n">
        <x:v>46083</x:v>
      </x:c>
      <x:c r="K3245" s="19" t="str">
        <x:v>Regent RV - Frankston</x:v>
      </x:c>
      <x:c r="L3245" s="19" t="str">
        <x:v>Z006</x:v>
      </x:c>
      <x:c r="M3245" s="19" t="str">
        <x:v>In Field Warranty Claims</x:v>
      </x:c>
      <x:c r="N3245" s="37" t="n">
        <x:v>46076</x:v>
      </x:c>
      <x:c r="O3245" s="37"/>
      <x:c r="P3245" s="34" t="n">
        <x:v>0</x:v>
      </x:c>
      <x:c r="Q3245" s="37" t="n">
        <x:v>46083.023831018516</x:v>
      </x:c>
    </x:row>
    <x:row r="3246">
      <x:c r="A3246" s="22" t="n">
        <x:v>31516</x:v>
      </x:c>
      <x:c r="B3246" s="28" t="n">
        <x:v>1926.25</x:v>
      </x:c>
      <x:c r="C3246" s="28"/>
      <x:c r="D3246" s="31" t="str">
        <x:f>IF(OR(ISBLANK(B3246),ISBLANK(C3246),B3246=0),"",(C3246-B3246)/B3246)</x:f>
      </x:c>
      <x:c r="E3246" s="22" t="str">
        <x:f>IF(ISBLANK(C3246),"AmountIncludingTax缺失",IF(ABS(B3246-C3246)&lt;0.005,"一致","不一致"))</x:f>
        <x:v>AmountIncludingTax缺失</x:v>
      </x:c>
      <x:c r="F3246" s="19" t="str">
        <x:v>approved</x:v>
      </x:c>
      <x:c r="G3246" s="19" t="str">
        <x:v>Repairer Invoiced Processed</x:v>
      </x:c>
      <x:c r="H3246" s="19" t="str">
        <x:v>In Field</x:v>
      </x:c>
      <x:c r="I3246" s="37" t="n">
        <x:v>46079</x:v>
      </x:c>
      <x:c r="J3246" s="37" t="n">
        <x:v>46079</x:v>
      </x:c>
      <x:c r="K3246" s="19" t="str">
        <x:v>Vanari Caravans - Christchurch</x:v>
      </x:c>
      <x:c r="L3246" s="19" t="str">
        <x:v>Z006</x:v>
      </x:c>
      <x:c r="M3246" s="19" t="str">
        <x:v>In Field Warranty Claims</x:v>
      </x:c>
      <x:c r="N3246" s="37" t="n">
        <x:v>46076</x:v>
      </x:c>
      <x:c r="O3246" s="37"/>
      <x:c r="P3246" s="34" t="n">
        <x:v>1744.03</x:v>
      </x:c>
      <x:c r="Q3246" s="37" t="n">
        <x:v>46079.25378472222</x:v>
      </x:c>
    </x:row>
    <x:row r="3247">
      <x:c r="A3247" s="22" t="n">
        <x:v>31515</x:v>
      </x:c>
      <x:c r="B3247" s="28" t="n">
        <x:v>1870.42</x:v>
      </x:c>
      <x:c r="C3247" s="28"/>
      <x:c r="D3247" s="31" t="str">
        <x:f>IF(OR(ISBLANK(B3247),ISBLANK(C3247),B3247=0),"",(C3247-B3247)/B3247)</x:f>
      </x:c>
      <x:c r="E3247" s="22" t="str">
        <x:f>IF(ISBLANK(C3247),"AmountIncludingTax缺失",IF(ABS(B3247-C3247)&lt;0.005,"一致","不一致"))</x:f>
        <x:v>AmountIncludingTax缺失</x:v>
      </x:c>
      <x:c r="F3247" s="19" t="str">
        <x:v>approved</x:v>
      </x:c>
      <x:c r="G3247" s="19" t="str">
        <x:v>Repairer Invoiced Processed</x:v>
      </x:c>
      <x:c r="H3247" s="19" t="str">
        <x:v>In Field</x:v>
      </x:c>
      <x:c r="I3247" s="37" t="n">
        <x:v>46101</x:v>
      </x:c>
      <x:c r="J3247" s="37" t="n">
        <x:v>46101</x:v>
      </x:c>
      <x:c r="K3247" s="19" t="str">
        <x:v>Lesiure Lion-New Castle</x:v>
      </x:c>
      <x:c r="L3247" s="19" t="str">
        <x:v>Z006</x:v>
      </x:c>
      <x:c r="M3247" s="19" t="str">
        <x:v>In Field Warranty Claims</x:v>
      </x:c>
      <x:c r="N3247" s="37" t="n">
        <x:v>46076</x:v>
      </x:c>
      <x:c r="O3247" s="37"/>
      <x:c r="P3247" s="34" t="n">
        <x:v>2057.46</x:v>
      </x:c>
      <x:c r="Q3247" s="37" t="n">
        <x:v>46100.91856481481</x:v>
      </x:c>
    </x:row>
    <x:row r="3248">
      <x:c r="A3248" s="22" t="n">
        <x:v>31514</x:v>
      </x:c>
      <x:c r="B3248" s="28" t="n">
        <x:v>33.75</x:v>
      </x:c>
      <x:c r="C3248" s="28"/>
      <x:c r="D3248" s="31" t="str">
        <x:f>IF(OR(ISBLANK(B3248),ISBLANK(C3248),B3248=0),"",(C3248-B3248)/B3248)</x:f>
      </x:c>
      <x:c r="E3248" s="22" t="str">
        <x:f>IF(ISBLANK(C3248),"AmountIncludingTax缺失",IF(ABS(B3248-C3248)&lt;0.005,"一致","不一致"))</x:f>
        <x:v>AmountIncludingTax缺失</x:v>
      </x:c>
      <x:c r="F3248" s="19" t="str">
        <x:v>approved</x:v>
      </x:c>
      <x:c r="G3248" s="19" t="str">
        <x:v>Sales Order Approved</x:v>
      </x:c>
      <x:c r="H3248" s="19" t="str">
        <x:v>Pre Delivery</x:v>
      </x:c>
      <x:c r="I3248" s="37" t="n">
        <x:v>46122</x:v>
      </x:c>
      <x:c r="J3248" s="37" t="n">
        <x:v>46122</x:v>
      </x:c>
      <x:c r="K3248" s="19" t="str">
        <x:v>Regent RV - Perth</x:v>
      </x:c>
      <x:c r="L3248" s="19" t="str">
        <x:v>Z005</x:v>
      </x:c>
      <x:c r="M3248" s="19" t="str">
        <x:v>Pre Delivery Warranty Claims</x:v>
      </x:c>
      <x:c r="N3248" s="37" t="n">
        <x:v>46076</x:v>
      </x:c>
      <x:c r="O3248" s="37"/>
      <x:c r="P3248" s="34" t="n">
        <x:v>0</x:v>
      </x:c>
      <x:c r="Q3248" s="37" t="n">
        <x:v>46121.96960648148</x:v>
      </x:c>
    </x:row>
    <x:row r="3249">
      <x:c r="A3249" s="22" t="n">
        <x:v>31513</x:v>
      </x:c>
      <x:c r="B3249" s="28" t="n">
        <x:v>41.25</x:v>
      </x:c>
      <x:c r="C3249" s="28"/>
      <x:c r="D3249" s="31" t="str">
        <x:f>IF(OR(ISBLANK(B3249),ISBLANK(C3249),B3249=0),"",(C3249-B3249)/B3249)</x:f>
      </x:c>
      <x:c r="E3249" s="22" t="str">
        <x:f>IF(ISBLANK(C3249),"AmountIncludingTax缺失",IF(ABS(B3249-C3249)&lt;0.005,"一致","不一致"))</x:f>
        <x:v>AmountIncludingTax缺失</x:v>
      </x:c>
      <x:c r="F3249" s="19" t="str">
        <x:v>approved</x:v>
      </x:c>
      <x:c r="G3249" s="19" t="str">
        <x:v>Repairer Invoiced Processed</x:v>
      </x:c>
      <x:c r="H3249" s="19" t="str">
        <x:v>In Field</x:v>
      </x:c>
      <x:c r="I3249" s="37" t="n">
        <x:v>46139</x:v>
      </x:c>
      <x:c r="J3249" s="37" t="n">
        <x:v>46139</x:v>
      </x:c>
      <x:c r="K3249" s="19" t="str">
        <x:v>Regent RV Pty Ltd</x:v>
      </x:c>
      <x:c r="L3249" s="19" t="str">
        <x:v>Z006</x:v>
      </x:c>
      <x:c r="M3249" s="19" t="str">
        <x:v>In Field Warranty Claims</x:v>
      </x:c>
      <x:c r="N3249" s="37" t="n">
        <x:v>46076</x:v>
      </x:c>
      <x:c r="O3249" s="37"/>
      <x:c r="P3249" s="34" t="n">
        <x:v>0</x:v>
      </x:c>
      <x:c r="Q3249" s="37" t="n">
        <x:v>46139.08230324074</x:v>
      </x:c>
    </x:row>
    <x:row r="3250">
      <x:c r="A3250" s="22" t="n">
        <x:v>31512</x:v>
      </x:c>
      <x:c r="B3250" s="28" t="n">
        <x:v>72.5</x:v>
      </x:c>
      <x:c r="C3250" s="28"/>
      <x:c r="D3250" s="31" t="str">
        <x:f>IF(OR(ISBLANK(B3250),ISBLANK(C3250),B3250=0),"",(C3250-B3250)/B3250)</x:f>
      </x:c>
      <x:c r="E3250" s="22" t="str">
        <x:f>IF(ISBLANK(C3250),"AmountIncludingTax缺失",IF(ABS(B3250-C3250)&lt;0.005,"一致","不一致"))</x:f>
        <x:v>AmountIncludingTax缺失</x:v>
      </x:c>
      <x:c r="F3250" s="19" t="str">
        <x:v>approved</x:v>
      </x:c>
      <x:c r="G3250" s="19" t="str">
        <x:v>Repairer Invoiced Processed</x:v>
      </x:c>
      <x:c r="H3250" s="19" t="str">
        <x:v>In Field</x:v>
      </x:c>
      <x:c r="I3250" s="37" t="n">
        <x:v>46107</x:v>
      </x:c>
      <x:c r="J3250" s="37" t="n">
        <x:v>46107</x:v>
      </x:c>
      <x:c r="K3250" s="19" t="str">
        <x:v>The Caravan Hub - Townsville</x:v>
      </x:c>
      <x:c r="L3250" s="19" t="str">
        <x:v>Z006</x:v>
      </x:c>
      <x:c r="M3250" s="19" t="str">
        <x:v>In Field Warranty Claims</x:v>
      </x:c>
      <x:c r="N3250" s="37" t="n">
        <x:v>46076</x:v>
      </x:c>
      <x:c r="O3250" s="37"/>
      <x:c r="P3250" s="34" t="n">
        <x:v>0</x:v>
      </x:c>
      <x:c r="Q3250" s="37" t="n">
        <x:v>46106.98578703704</x:v>
      </x:c>
    </x:row>
    <x:row r="3251">
      <x:c r="A3251" s="22" t="n">
        <x:v>31511</x:v>
      </x:c>
      <x:c r="B3251" s="28" t="n">
        <x:v>137.5</x:v>
      </x:c>
      <x:c r="C3251" s="28"/>
      <x:c r="D3251" s="31" t="str">
        <x:f>IF(OR(ISBLANK(B3251),ISBLANK(C3251),B3251=0),"",(C3251-B3251)/B3251)</x:f>
      </x:c>
      <x:c r="E3251" s="22" t="str">
        <x:f>IF(ISBLANK(C3251),"AmountIncludingTax缺失",IF(ABS(B3251-C3251)&lt;0.005,"一致","不一致"))</x:f>
        <x:v>AmountIncludingTax缺失</x:v>
      </x:c>
      <x:c r="F3251" s="19" t="str">
        <x:v>approved</x:v>
      </x:c>
      <x:c r="G3251" s="19" t="str">
        <x:v>Sales Order Approved</x:v>
      </x:c>
      <x:c r="H3251" s="19" t="str">
        <x:v>Pre Delivery</x:v>
      </x:c>
      <x:c r="I3251" s="37" t="n">
        <x:v>46155</x:v>
      </x:c>
      <x:c r="J3251" s="37" t="n">
        <x:v>46155</x:v>
      </x:c>
      <x:c r="K3251" s="19" t="str">
        <x:v>Regent RV - Perth</x:v>
      </x:c>
      <x:c r="L3251" s="19" t="str">
        <x:v>Z005</x:v>
      </x:c>
      <x:c r="M3251" s="19" t="str">
        <x:v>Pre Delivery Warranty Claims</x:v>
      </x:c>
      <x:c r="N3251" s="37" t="n">
        <x:v>46075</x:v>
      </x:c>
      <x:c r="O3251" s="37"/>
      <x:c r="P3251" s="34" t="n">
        <x:v>0</x:v>
      </x:c>
      <x:c r="Q3251" s="37" t="n">
        <x:v>46154.977118055554</x:v>
      </x:c>
    </x:row>
    <x:row r="3252">
      <x:c r="A3252" s="22" t="n">
        <x:v>31510</x:v>
      </x:c>
      <x:c r="B3252" s="28" t="n">
        <x:v>1451.25</x:v>
      </x:c>
      <x:c r="C3252" s="28"/>
      <x:c r="D3252" s="31" t="str">
        <x:f>IF(OR(ISBLANK(B3252),ISBLANK(C3252),B3252=0),"",(C3252-B3252)/B3252)</x:f>
      </x:c>
      <x:c r="E3252" s="22" t="str">
        <x:f>IF(ISBLANK(C3252),"AmountIncludingTax缺失",IF(ABS(B3252-C3252)&lt;0.005,"一致","不一致"))</x:f>
        <x:v>AmountIncludingTax缺失</x:v>
      </x:c>
      <x:c r="F3252" s="19" t="str">
        <x:v>approved</x:v>
      </x:c>
      <x:c r="G3252" s="19" t="str">
        <x:v>Partially Picked</x:v>
      </x:c>
      <x:c r="H3252" s="19" t="str">
        <x:v>In Field</x:v>
      </x:c>
      <x:c r="I3252" s="37" t="n">
        <x:v>46107</x:v>
      </x:c>
      <x:c r="J3252" s="37" t="n">
        <x:v>46107</x:v>
      </x:c>
      <x:c r="K3252" s="19" t="str">
        <x:v>Green RV - Forest Glen</x:v>
      </x:c>
      <x:c r="L3252" s="19" t="str">
        <x:v>Z006</x:v>
      </x:c>
      <x:c r="M3252" s="19" t="str">
        <x:v>In Field Warranty Claims</x:v>
      </x:c>
      <x:c r="N3252" s="37" t="n">
        <x:v>46076</x:v>
      </x:c>
      <x:c r="O3252" s="37"/>
      <x:c r="P3252" s="34" t="n">
        <x:v>0</x:v>
      </x:c>
      <x:c r="Q3252" s="37" t="n">
        <x:v>46106.886666666665</x:v>
      </x:c>
    </x:row>
    <x:row r="3253">
      <x:c r="A3253" s="22" t="n">
        <x:v>31509</x:v>
      </x:c>
      <x:c r="B3253" s="28" t="n">
        <x:v>685</x:v>
      </x:c>
      <x:c r="C3253" s="28"/>
      <x:c r="D3253" s="31" t="str">
        <x:f>IF(OR(ISBLANK(B3253),ISBLANK(C3253),B3253=0),"",(C3253-B3253)/B3253)</x:f>
      </x:c>
      <x:c r="E3253" s="22" t="str">
        <x:f>IF(ISBLANK(C3253),"AmountIncludingTax缺失",IF(ABS(B3253-C3253)&lt;0.005,"一致","不一致"))</x:f>
        <x:v>AmountIncludingTax缺失</x:v>
      </x:c>
      <x:c r="F3253" s="19" t="str">
        <x:v>approved</x:v>
      </x:c>
      <x:c r="G3253" s="19" t="str">
        <x:v>Repairer Invoiced Processed</x:v>
      </x:c>
      <x:c r="H3253" s="19" t="str">
        <x:v>In Field</x:v>
      </x:c>
      <x:c r="I3253" s="37" t="n">
        <x:v>46084</x:v>
      </x:c>
      <x:c r="J3253" s="37" t="n">
        <x:v>46084</x:v>
      </x:c>
      <x:c r="K3253" s="19" t="str">
        <x:v>Regent RV Pty Ltd</x:v>
      </x:c>
      <x:c r="L3253" s="19" t="str">
        <x:v>Z006</x:v>
      </x:c>
      <x:c r="M3253" s="19" t="str">
        <x:v>In Field Warranty Claims</x:v>
      </x:c>
      <x:c r="N3253" s="37" t="n">
        <x:v>46076</x:v>
      </x:c>
      <x:c r="O3253" s="37"/>
      <x:c r="P3253" s="34" t="n">
        <x:v>0</x:v>
      </x:c>
      <x:c r="Q3253" s="37" t="n">
        <x:v>46084.18716435185</x:v>
      </x:c>
    </x:row>
    <x:row r="3254">
      <x:c r="A3254" s="22" t="n">
        <x:v>31507</x:v>
      </x:c>
      <x:c r="B3254" s="28" t="n">
        <x:v>2166.25</x:v>
      </x:c>
      <x:c r="C3254" s="28"/>
      <x:c r="D3254" s="31" t="str">
        <x:f>IF(OR(ISBLANK(B3254),ISBLANK(C3254),B3254=0),"",(C3254-B3254)/B3254)</x:f>
      </x:c>
      <x:c r="E3254" s="22" t="str">
        <x:f>IF(ISBLANK(C3254),"AmountIncludingTax缺失",IF(ABS(B3254-C3254)&lt;0.005,"一致","不一致"))</x:f>
        <x:v>AmountIncludingTax缺失</x:v>
      </x:c>
      <x:c r="F3254" s="19" t="str">
        <x:v>approved</x:v>
      </x:c>
      <x:c r="G3254" s="19" t="str">
        <x:v>Repair in Progress</x:v>
      </x:c>
      <x:c r="H3254" s="19" t="str">
        <x:v>In Field</x:v>
      </x:c>
      <x:c r="I3254" s="37" t="n">
        <x:v>46142</x:v>
      </x:c>
      <x:c r="J3254" s="37" t="n">
        <x:v>46142</x:v>
      </x:c>
      <x:c r="K3254" s="19" t="str">
        <x:v>Regent RV - Perth</x:v>
      </x:c>
      <x:c r="L3254" s="19" t="str">
        <x:v>Z006</x:v>
      </x:c>
      <x:c r="M3254" s="19" t="str">
        <x:v>In Field Warranty Claims</x:v>
      </x:c>
      <x:c r="N3254" s="37" t="n">
        <x:v>46075</x:v>
      </x:c>
      <x:c r="O3254" s="37"/>
      <x:c r="P3254" s="34" t="n">
        <x:v>0</x:v>
      </x:c>
      <x:c r="Q3254" s="37" t="n">
        <x:v>46142.19799768519</x:v>
      </x:c>
    </x:row>
    <x:row r="3255">
      <x:c r="A3255" s="22" t="n">
        <x:v>31506</x:v>
      </x:c>
      <x:c r="B3255" s="28" t="n">
        <x:v>1555.6</x:v>
      </x:c>
      <x:c r="C3255" s="28"/>
      <x:c r="D3255" s="31" t="str">
        <x:f>IF(OR(ISBLANK(B3255),ISBLANK(C3255),B3255=0),"",(C3255-B3255)/B3255)</x:f>
      </x:c>
      <x:c r="E3255" s="22" t="str">
        <x:f>IF(ISBLANK(C3255),"AmountIncludingTax缺失",IF(ABS(B3255-C3255)&lt;0.005,"一致","不一致"))</x:f>
        <x:v>AmountIncludingTax缺失</x:v>
      </x:c>
      <x:c r="F3255" s="19" t="str">
        <x:v>approved</x:v>
      </x:c>
      <x:c r="G3255" s="19" t="str">
        <x:v>Repair in Progress</x:v>
      </x:c>
      <x:c r="H3255" s="19" t="str">
        <x:v>In Field</x:v>
      </x:c>
      <x:c r="I3255" s="37" t="n">
        <x:v>46205</x:v>
      </x:c>
      <x:c r="J3255" s="37" t="n">
        <x:v>46205</x:v>
      </x:c>
      <x:c r="K3255" s="19" t="str">
        <x:v>Vanari Caravans - Marden Point</x:v>
      </x:c>
      <x:c r="L3255" s="19" t="str">
        <x:v>Z006</x:v>
      </x:c>
      <x:c r="M3255" s="19" t="str">
        <x:v>In Field Warranty Claims</x:v>
      </x:c>
      <x:c r="N3255" s="37" t="n">
        <x:v>46074</x:v>
      </x:c>
      <x:c r="O3255" s="37" t="n">
        <x:v>46192</x:v>
      </x:c>
      <x:c r="P3255" s="34" t="n">
        <x:v>1408.44</x:v>
      </x:c>
      <x:c r="Q3255" s="37" t="n">
        <x:v>46205.161307870374</x:v>
      </x:c>
    </x:row>
    <x:row r="3256">
      <x:c r="A3256" s="22" t="n">
        <x:v>31504</x:v>
      </x:c>
      <x:c r="B3256" s="28" t="n">
        <x:v>90.91</x:v>
      </x:c>
      <x:c r="C3256" s="28" t="n">
        <x:v>100</x:v>
      </x:c>
      <x:c r="D3256" s="31" t="n">
        <x:f>IF(OR(ISBLANK(B3256),ISBLANK(C3256),B3256=0),"",(C3256-B3256)/B3256)</x:f>
        <x:v>0.09998900010999894</x:v>
      </x:c>
      <x:c r="E3256" s="22" t="str">
        <x:f>IF(ISBLANK(C3256),"AmountIncludingTax缺失",IF(ABS(B3256-C3256)&lt;0.005,"一致","不一致"))</x:f>
        <x:v>不一致</x:v>
      </x:c>
      <x:c r="F3256" s="19" t="str">
        <x:v>approved</x:v>
      </x:c>
      <x:c r="G3256" s="19" t="str">
        <x:v>Repairer Invoiced Processed</x:v>
      </x:c>
      <x:c r="H3256" s="19" t="str">
        <x:v>In Field</x:v>
      </x:c>
      <x:c r="I3256" s="37" t="n">
        <x:v>46122</x:v>
      </x:c>
      <x:c r="J3256" s="37" t="n">
        <x:v>46122</x:v>
      </x:c>
      <x:c r="K3256" s="19" t="str">
        <x:v>Regent RV - Frankston</x:v>
      </x:c>
      <x:c r="L3256" s="19" t="str">
        <x:v>Z006</x:v>
      </x:c>
      <x:c r="M3256" s="19" t="str">
        <x:v>In Field Warranty Claims</x:v>
      </x:c>
      <x:c r="N3256" s="37" t="n">
        <x:v>46074</x:v>
      </x:c>
      <x:c r="O3256" s="37"/>
      <x:c r="P3256" s="34" t="n">
        <x:v>100</x:v>
      </x:c>
      <x:c r="Q3256" s="37" t="n">
        <x:v>46122.134722222225</x:v>
      </x:c>
    </x:row>
    <x:row r="3257">
      <x:c r="A3257" s="22" t="n">
        <x:v>31503</x:v>
      </x:c>
      <x:c r="B3257" s="28" t="n">
        <x:v>77.5</x:v>
      </x:c>
      <x:c r="C3257" s="28"/>
      <x:c r="D3257" s="31" t="str">
        <x:f>IF(OR(ISBLANK(B3257),ISBLANK(C3257),B3257=0),"",(C3257-B3257)/B3257)</x:f>
      </x:c>
      <x:c r="E3257" s="22" t="str">
        <x:f>IF(ISBLANK(C3257),"AmountIncludingTax缺失",IF(ABS(B3257-C3257)&lt;0.005,"一致","不一致"))</x:f>
        <x:v>AmountIncludingTax缺失</x:v>
      </x:c>
      <x:c r="F3257" s="19" t="str">
        <x:v>approved</x:v>
      </x:c>
      <x:c r="G3257" s="19" t="str">
        <x:v>Repairer Invoiced Processed</x:v>
      </x:c>
      <x:c r="H3257" s="19" t="str">
        <x:v>In Field</x:v>
      </x:c>
      <x:c r="I3257" s="37" t="n">
        <x:v>46192</x:v>
      </x:c>
      <x:c r="J3257" s="37" t="n">
        <x:v>46192</x:v>
      </x:c>
      <x:c r="K3257" s="19" t="str">
        <x:v>Dario Caravans - Pooraka</x:v>
      </x:c>
      <x:c r="L3257" s="19" t="str">
        <x:v>Z006</x:v>
      </x:c>
      <x:c r="M3257" s="19" t="str">
        <x:v>In Field Warranty Claims</x:v>
      </x:c>
      <x:c r="N3257" s="37" t="n">
        <x:v>46074</x:v>
      </x:c>
      <x:c r="O3257" s="37"/>
      <x:c r="P3257" s="34" t="n">
        <x:v>0</x:v>
      </x:c>
      <x:c r="Q3257" s="37" t="n">
        <x:v>46192.07914351852</x:v>
      </x:c>
    </x:row>
    <x:row r="3258">
      <x:c r="A3258" s="22" t="n">
        <x:v>31501</x:v>
      </x:c>
      <x:c r="B3258" s="28" t="n">
        <x:v>3272.55</x:v>
      </x:c>
      <x:c r="C3258" s="28"/>
      <x:c r="D3258" s="31" t="str">
        <x:f>IF(OR(ISBLANK(B3258),ISBLANK(C3258),B3258=0),"",(C3258-B3258)/B3258)</x:f>
      </x:c>
      <x:c r="E3258" s="22" t="str">
        <x:f>IF(ISBLANK(C3258),"AmountIncludingTax缺失",IF(ABS(B3258-C3258)&lt;0.005,"一致","不一致"))</x:f>
        <x:v>AmountIncludingTax缺失</x:v>
      </x:c>
      <x:c r="F3258" s="19" t="str">
        <x:v>approved</x:v>
      </x:c>
      <x:c r="G3258" s="19" t="str">
        <x:v>Repairer Invoiced Processed</x:v>
      </x:c>
      <x:c r="H3258" s="19" t="str">
        <x:v>In Field</x:v>
      </x:c>
      <x:c r="I3258" s="37" t="n">
        <x:v>46108</x:v>
      </x:c>
      <x:c r="J3258" s="37" t="n">
        <x:v>46108</x:v>
      </x:c>
      <x:c r="K3258" s="19" t="str">
        <x:v>CMG Campers - Christchurch</x:v>
      </x:c>
      <x:c r="L3258" s="19" t="str">
        <x:v>Z006</x:v>
      </x:c>
      <x:c r="M3258" s="19" t="str">
        <x:v>In Field Warranty Claims</x:v>
      </x:c>
      <x:c r="N3258" s="37" t="n">
        <x:v>46073</x:v>
      </x:c>
      <x:c r="O3258" s="37"/>
      <x:c r="P3258" s="34" t="n">
        <x:v>2962.97</x:v>
      </x:c>
      <x:c r="Q3258" s="37" t="n">
        <x:v>46107.94163194444</x:v>
      </x:c>
    </x:row>
    <x:row r="3259">
      <x:c r="A3259" s="22" t="n">
        <x:v>31500</x:v>
      </x:c>
      <x:c r="B3259" s="28" t="n">
        <x:v>1659.9</x:v>
      </x:c>
      <x:c r="C3259" s="28"/>
      <x:c r="D3259" s="31" t="str">
        <x:f>IF(OR(ISBLANK(B3259),ISBLANK(C3259),B3259=0),"",(C3259-B3259)/B3259)</x:f>
      </x:c>
      <x:c r="E3259" s="22" t="str">
        <x:f>IF(ISBLANK(C3259),"AmountIncludingTax缺失",IF(ABS(B3259-C3259)&lt;0.005,"一致","不一致"))</x:f>
        <x:v>AmountIncludingTax缺失</x:v>
      </x:c>
      <x:c r="F3259" s="19" t="str">
        <x:v>approved</x:v>
      </x:c>
      <x:c r="G3259" s="19" t="str">
        <x:v>Sales Order Approved</x:v>
      </x:c>
      <x:c r="H3259" s="19" t="str">
        <x:v>In Field</x:v>
      </x:c>
      <x:c r="I3259" s="37" t="n">
        <x:v>46205</x:v>
      </x:c>
      <x:c r="J3259" s="37" t="n">
        <x:v>46205</x:v>
      </x:c>
      <x:c r="K3259" s="19" t="str">
        <x:v>Not Assigned</x:v>
      </x:c>
      <x:c r="L3259" s="19" t="str">
        <x:v>Z006</x:v>
      </x:c>
      <x:c r="M3259" s="19" t="str">
        <x:v>In Field Warranty Claims</x:v>
      </x:c>
      <x:c r="N3259" s="37" t="n">
        <x:v>46075</x:v>
      </x:c>
      <x:c r="O3259" s="37"/>
      <x:c r="P3259" s="34" t="n">
        <x:v>0</x:v>
      </x:c>
      <x:c r="Q3259" s="37" t="n">
        <x:v>46205.13072916667</x:v>
      </x:c>
    </x:row>
    <x:row r="3260">
      <x:c r="A3260" s="22" t="n">
        <x:v>31494</x:v>
      </x:c>
      <x:c r="B3260" s="28" t="n">
        <x:v>405</x:v>
      </x:c>
      <x:c r="C3260" s="28"/>
      <x:c r="D3260" s="31" t="str">
        <x:f>IF(OR(ISBLANK(B3260),ISBLANK(C3260),B3260=0),"",(C3260-B3260)/B3260)</x:f>
      </x:c>
      <x:c r="E3260" s="22" t="str">
        <x:f>IF(ISBLANK(C3260),"AmountIncludingTax缺失",IF(ABS(B3260-C3260)&lt;0.005,"一致","不一致"))</x:f>
        <x:v>AmountIncludingTax缺失</x:v>
      </x:c>
      <x:c r="F3260" s="19" t="str">
        <x:v>approved</x:v>
      </x:c>
      <x:c r="G3260" s="19" t="str">
        <x:v>Repairer Invoiced Processed</x:v>
      </x:c>
      <x:c r="H3260" s="19" t="str">
        <x:v>In Field</x:v>
      </x:c>
      <x:c r="I3260" s="37" t="n">
        <x:v>46111</x:v>
      </x:c>
      <x:c r="J3260" s="37" t="n">
        <x:v>46111</x:v>
      </x:c>
      <x:c r="K3260" s="19" t="str">
        <x:v>Dario Caravans -St.Marys</x:v>
      </x:c>
      <x:c r="L3260" s="19" t="str">
        <x:v>Z006</x:v>
      </x:c>
      <x:c r="M3260" s="19" t="str">
        <x:v>In Field Warranty Claims</x:v>
      </x:c>
      <x:c r="N3260" s="37" t="n">
        <x:v>46073</x:v>
      </x:c>
      <x:c r="O3260" s="37"/>
      <x:c r="P3260" s="34" t="n">
        <x:v>0</x:v>
      </x:c>
      <x:c r="Q3260" s="37" t="n">
        <x:v>46111.02773148148</x:v>
      </x:c>
    </x:row>
    <x:row r="3261">
      <x:c r="A3261" s="22" t="n">
        <x:v>31492</x:v>
      </x:c>
      <x:c r="B3261" s="28" t="n">
        <x:v>245</x:v>
      </x:c>
      <x:c r="C3261" s="28" t="n">
        <x:v>274.62</x:v>
      </x:c>
      <x:c r="D3261" s="31" t="n">
        <x:f>IF(OR(ISBLANK(B3261),ISBLANK(C3261),B3261=0),"",(C3261-B3261)/B3261)</x:f>
        <x:v>0.12089795918367349</x:v>
      </x:c>
      <x:c r="E3261" s="22" t="str">
        <x:f>IF(ISBLANK(C3261),"AmountIncludingTax缺失",IF(ABS(B3261-C3261)&lt;0.005,"一致","不一致"))</x:f>
        <x:v>不一致</x:v>
      </x:c>
      <x:c r="F3261" s="19" t="str">
        <x:v>approved</x:v>
      </x:c>
      <x:c r="G3261" s="19" t="str">
        <x:v>Repairer Invoiced Processed</x:v>
      </x:c>
      <x:c r="H3261" s="19" t="str">
        <x:v>In Field</x:v>
      </x:c>
      <x:c r="I3261" s="37" t="n">
        <x:v>46140</x:v>
      </x:c>
      <x:c r="J3261" s="37" t="n">
        <x:v>46139</x:v>
      </x:c>
      <x:c r="K3261" s="19" t="str">
        <x:v>Newcastle RV Super Centre - Beresfield</x:v>
      </x:c>
      <x:c r="L3261" s="19" t="str">
        <x:v>Z006</x:v>
      </x:c>
      <x:c r="M3261" s="19" t="str">
        <x:v>In Field Warranty Claims</x:v>
      </x:c>
      <x:c r="N3261" s="37" t="n">
        <x:v>46073</x:v>
      </x:c>
      <x:c r="O3261" s="37"/>
      <x:c r="P3261" s="34" t="n">
        <x:v>274.62</x:v>
      </x:c>
      <x:c r="Q3261" s="37" t="n">
        <x:v>46139.971030092594</x:v>
      </x:c>
    </x:row>
    <x:row r="3262">
      <x:c r="A3262" s="22" t="n">
        <x:v>31491</x:v>
      </x:c>
      <x:c r="B3262" s="28" t="n">
        <x:v>515.34</x:v>
      </x:c>
      <x:c r="C3262" s="28"/>
      <x:c r="D3262" s="31" t="str">
        <x:f>IF(OR(ISBLANK(B3262),ISBLANK(C3262),B3262=0),"",(C3262-B3262)/B3262)</x:f>
      </x:c>
      <x:c r="E3262" s="22" t="str">
        <x:f>IF(ISBLANK(C3262),"AmountIncludingTax缺失",IF(ABS(B3262-C3262)&lt;0.005,"一致","不一致"))</x:f>
        <x:v>AmountIncludingTax缺失</x:v>
      </x:c>
      <x:c r="F3262" s="19" t="str">
        <x:v>approved</x:v>
      </x:c>
      <x:c r="G3262" s="19" t="str">
        <x:v>Repair in Progress</x:v>
      </x:c>
      <x:c r="H3262" s="19" t="str">
        <x:v>In Field</x:v>
      </x:c>
      <x:c r="I3262" s="37" t="n">
        <x:v>46094</x:v>
      </x:c>
      <x:c r="J3262" s="37" t="n">
        <x:v>46094</x:v>
      </x:c>
      <x:c r="K3262" s="19" t="str">
        <x:v>Green RV - Slacks Creek</x:v>
      </x:c>
      <x:c r="L3262" s="19" t="str">
        <x:v>Z006</x:v>
      </x:c>
      <x:c r="M3262" s="19" t="str">
        <x:v>In Field Warranty Claims</x:v>
      </x:c>
      <x:c r="N3262" s="37" t="n">
        <x:v>46073</x:v>
      </x:c>
      <x:c r="O3262" s="37"/>
      <x:c r="P3262" s="34" t="n">
        <x:v>0</x:v>
      </x:c>
      <x:c r="Q3262" s="37" t="n">
        <x:v>46093.93974537037</x:v>
      </x:c>
    </x:row>
    <x:row r="3263">
      <x:c r="A3263" s="22" t="n">
        <x:v>31490</x:v>
      </x:c>
      <x:c r="B3263" s="28" t="n">
        <x:v>810</x:v>
      </x:c>
      <x:c r="C3263" s="28"/>
      <x:c r="D3263" s="31" t="str">
        <x:f>IF(OR(ISBLANK(B3263),ISBLANK(C3263),B3263=0),"",(C3263-B3263)/B3263)</x:f>
      </x:c>
      <x:c r="E3263" s="22" t="str">
        <x:f>IF(ISBLANK(C3263),"AmountIncludingTax缺失",IF(ABS(B3263-C3263)&lt;0.005,"一致","不一致"))</x:f>
        <x:v>AmountIncludingTax缺失</x:v>
      </x:c>
      <x:c r="F3263" s="19" t="str">
        <x:v>approved</x:v>
      </x:c>
      <x:c r="G3263" s="19" t="str">
        <x:v>Partially Picked</x:v>
      </x:c>
      <x:c r="H3263" s="19" t="str">
        <x:v>In Field</x:v>
      </x:c>
      <x:c r="I3263" s="37" t="n">
        <x:v>46104</x:v>
      </x:c>
      <x:c r="J3263" s="37" t="n">
        <x:v>46104</x:v>
      </x:c>
      <x:c r="K3263" s="19" t="str">
        <x:v>Green RV - Forest Glen</x:v>
      </x:c>
      <x:c r="L3263" s="19" t="str">
        <x:v>Z006</x:v>
      </x:c>
      <x:c r="M3263" s="19" t="str">
        <x:v>In Field Warranty Claims</x:v>
      </x:c>
      <x:c r="N3263" s="37" t="n">
        <x:v>46073</x:v>
      </x:c>
      <x:c r="O3263" s="37"/>
      <x:c r="P3263" s="34" t="n">
        <x:v>0</x:v>
      </x:c>
      <x:c r="Q3263" s="37" t="n">
        <x:v>46104.00734953704</x:v>
      </x:c>
    </x:row>
    <x:row r="3264">
      <x:c r="A3264" s="22" t="n">
        <x:v>31488</x:v>
      </x:c>
      <x:c r="B3264" s="28" t="n">
        <x:v>725</x:v>
      </x:c>
      <x:c r="C3264" s="28"/>
      <x:c r="D3264" s="31" t="str">
        <x:f>IF(OR(ISBLANK(B3264),ISBLANK(C3264),B3264=0),"",(C3264-B3264)/B3264)</x:f>
      </x:c>
      <x:c r="E3264" s="22" t="str">
        <x:f>IF(ISBLANK(C3264),"AmountIncludingTax缺失",IF(ABS(B3264-C3264)&lt;0.005,"一致","不一致"))</x:f>
        <x:v>AmountIncludingTax缺失</x:v>
      </x:c>
      <x:c r="F3264" s="19" t="str">
        <x:v>approved</x:v>
      </x:c>
      <x:c r="G3264" s="19" t="str">
        <x:v>Repairer Invoiced Processed</x:v>
      </x:c>
      <x:c r="H3264" s="19" t="str">
        <x:v>In Field</x:v>
      </x:c>
      <x:c r="I3264" s="37" t="n">
        <x:v>46177</x:v>
      </x:c>
      <x:c r="J3264" s="37" t="n">
        <x:v>46177</x:v>
      </x:c>
      <x:c r="K3264" s="19" t="str">
        <x:v>Green RV - Forest Glen</x:v>
      </x:c>
      <x:c r="L3264" s="19" t="str">
        <x:v>Z006</x:v>
      </x:c>
      <x:c r="M3264" s="19" t="str">
        <x:v>In Field Warranty Claims</x:v>
      </x:c>
      <x:c r="N3264" s="37" t="n">
        <x:v>46073</x:v>
      </x:c>
      <x:c r="O3264" s="37"/>
      <x:c r="P3264" s="34" t="n">
        <x:v>0</x:v>
      </x:c>
      <x:c r="Q3264" s="37" t="n">
        <x:v>46177.07952546296</x:v>
      </x:c>
    </x:row>
    <x:row r="3265">
      <x:c r="A3265" s="22" t="n">
        <x:v>31485</x:v>
      </x:c>
      <x:c r="B3265" s="28" t="n">
        <x:v>270</x:v>
      </x:c>
      <x:c r="C3265" s="28"/>
      <x:c r="D3265" s="31" t="str">
        <x:f>IF(OR(ISBLANK(B3265),ISBLANK(C3265),B3265=0),"",(C3265-B3265)/B3265)</x:f>
      </x:c>
      <x:c r="E3265" s="22" t="str">
        <x:f>IF(ISBLANK(C3265),"AmountIncludingTax缺失",IF(ABS(B3265-C3265)&lt;0.005,"一致","不一致"))</x:f>
        <x:v>AmountIncludingTax缺失</x:v>
      </x:c>
      <x:c r="F3265" s="19" t="str">
        <x:v>approved</x:v>
      </x:c>
      <x:c r="G3265" s="19" t="str">
        <x:v>Repair in Progress</x:v>
      </x:c>
      <x:c r="H3265" s="19" t="str">
        <x:v>In Field</x:v>
      </x:c>
      <x:c r="I3265" s="37" t="n">
        <x:v>46086</x:v>
      </x:c>
      <x:c r="J3265" s="37" t="n">
        <x:v>46086</x:v>
      </x:c>
      <x:c r="K3265" s="19" t="str">
        <x:v>Newcastle RV Super Centre - Beresfield</x:v>
      </x:c>
      <x:c r="L3265" s="19" t="str">
        <x:v>Z006</x:v>
      </x:c>
      <x:c r="M3265" s="19" t="str">
        <x:v>In Field Warranty Claims</x:v>
      </x:c>
      <x:c r="N3265" s="37" t="n">
        <x:v>46073</x:v>
      </x:c>
      <x:c r="O3265" s="37"/>
      <x:c r="P3265" s="34" t="n">
        <x:v>0</x:v>
      </x:c>
      <x:c r="Q3265" s="37" t="n">
        <x:v>46086.17847222222</x:v>
      </x:c>
    </x:row>
    <x:row r="3266">
      <x:c r="A3266" s="22" t="n">
        <x:v>31484</x:v>
      </x:c>
      <x:c r="B3266" s="28" t="n">
        <x:v>660</x:v>
      </x:c>
      <x:c r="C3266" s="28"/>
      <x:c r="D3266" s="31" t="str">
        <x:f>IF(OR(ISBLANK(B3266),ISBLANK(C3266),B3266=0),"",(C3266-B3266)/B3266)</x:f>
      </x:c>
      <x:c r="E3266" s="22" t="str">
        <x:f>IF(ISBLANK(C3266),"AmountIncludingTax缺失",IF(ABS(B3266-C3266)&lt;0.005,"一致","不一致"))</x:f>
        <x:v>AmountIncludingTax缺失</x:v>
      </x:c>
      <x:c r="F3266" s="19" t="str">
        <x:v>approved</x:v>
      </x:c>
      <x:c r="G3266" s="19" t="str">
        <x:v>Repair in Progress</x:v>
      </x:c>
      <x:c r="H3266" s="19" t="str">
        <x:v>In Field</x:v>
      </x:c>
      <x:c r="I3266" s="37" t="n">
        <x:v>46108</x:v>
      </x:c>
      <x:c r="J3266" s="37" t="n">
        <x:v>46108</x:v>
      </x:c>
      <x:c r="K3266" s="19" t="str">
        <x:v>Not Assigned</x:v>
      </x:c>
      <x:c r="L3266" s="19" t="str">
        <x:v>Z006</x:v>
      </x:c>
      <x:c r="M3266" s="19" t="str">
        <x:v>In Field Warranty Claims</x:v>
      </x:c>
      <x:c r="N3266" s="37" t="n">
        <x:v>46073</x:v>
      </x:c>
      <x:c r="O3266" s="37"/>
      <x:c r="P3266" s="34" t="n">
        <x:v>0</x:v>
      </x:c>
      <x:c r="Q3266" s="37" t="n">
        <x:v>46107.87679398148</x:v>
      </x:c>
    </x:row>
    <x:row r="3267">
      <x:c r="A3267" s="22" t="n">
        <x:v>31483</x:v>
      </x:c>
      <x:c r="B3267" s="28" t="n">
        <x:v>492.5</x:v>
      </x:c>
      <x:c r="C3267" s="28"/>
      <x:c r="D3267" s="31" t="str">
        <x:f>IF(OR(ISBLANK(B3267),ISBLANK(C3267),B3267=0),"",(C3267-B3267)/B3267)</x:f>
      </x:c>
      <x:c r="E3267" s="22" t="str">
        <x:f>IF(ISBLANK(C3267),"AmountIncludingTax缺失",IF(ABS(B3267-C3267)&lt;0.005,"一致","不一致"))</x:f>
        <x:v>AmountIncludingTax缺失</x:v>
      </x:c>
      <x:c r="F3267" s="19" t="str">
        <x:v>approved</x:v>
      </x:c>
      <x:c r="G3267" s="19" t="str">
        <x:v>Repairer Invoiced Processed</x:v>
      </x:c>
      <x:c r="H3267" s="19" t="str">
        <x:v>In Field</x:v>
      </x:c>
      <x:c r="I3267" s="37" t="n">
        <x:v>46098</x:v>
      </x:c>
      <x:c r="J3267" s="37" t="n">
        <x:v>46098</x:v>
      </x:c>
      <x:c r="K3267" s="19" t="str">
        <x:v>Green RV - Forest Glen</x:v>
      </x:c>
      <x:c r="L3267" s="19" t="str">
        <x:v>Z006</x:v>
      </x:c>
      <x:c r="M3267" s="19" t="str">
        <x:v>In Field Warranty Claims</x:v>
      </x:c>
      <x:c r="N3267" s="37" t="n">
        <x:v>46073</x:v>
      </x:c>
      <x:c r="O3267" s="37"/>
      <x:c r="P3267" s="34" t="n">
        <x:v>0</x:v>
      </x:c>
      <x:c r="Q3267" s="37" t="n">
        <x:v>46098.04108796296</x:v>
      </x:c>
    </x:row>
    <x:row r="3268">
      <x:c r="A3268" s="22" t="n">
        <x:v>31482</x:v>
      </x:c>
      <x:c r="B3268" s="28" t="n">
        <x:v>767.5</x:v>
      </x:c>
      <x:c r="C3268" s="28"/>
      <x:c r="D3268" s="31" t="str">
        <x:f>IF(OR(ISBLANK(B3268),ISBLANK(C3268),B3268=0),"",(C3268-B3268)/B3268)</x:f>
      </x:c>
      <x:c r="E3268" s="22" t="str">
        <x:f>IF(ISBLANK(C3268),"AmountIncludingTax缺失",IF(ABS(B3268-C3268)&lt;0.005,"一致","不一致"))</x:f>
        <x:v>AmountIncludingTax缺失</x:v>
      </x:c>
      <x:c r="F3268" s="19" t="str">
        <x:v>approved</x:v>
      </x:c>
      <x:c r="G3268" s="19" t="str">
        <x:v>Repairer Invoiced Processed</x:v>
      </x:c>
      <x:c r="H3268" s="19" t="str">
        <x:v>In Field</x:v>
      </x:c>
      <x:c r="I3268" s="37" t="n">
        <x:v>46093</x:v>
      </x:c>
      <x:c r="J3268" s="37" t="n">
        <x:v>46093</x:v>
      </x:c>
      <x:c r="K3268" s="19" t="str">
        <x:v>Not Assigned</x:v>
      </x:c>
      <x:c r="L3268" s="19" t="str">
        <x:v>Z006</x:v>
      </x:c>
      <x:c r="M3268" s="19" t="str">
        <x:v>In Field Warranty Claims</x:v>
      </x:c>
      <x:c r="N3268" s="37" t="n">
        <x:v>46073</x:v>
      </x:c>
      <x:c r="O3268" s="37"/>
      <x:c r="P3268" s="34" t="n">
        <x:v>0</x:v>
      </x:c>
      <x:c r="Q3268" s="37" t="n">
        <x:v>46093.26074074074</x:v>
      </x:c>
    </x:row>
    <x:row r="3269">
      <x:c r="A3269" s="22" t="n">
        <x:v>31481</x:v>
      </x:c>
      <x:c r="B3269" s="28" t="n">
        <x:v>67.5</x:v>
      </x:c>
      <x:c r="C3269" s="28"/>
      <x:c r="D3269" s="31" t="str">
        <x:f>IF(OR(ISBLANK(B3269),ISBLANK(C3269),B3269=0),"",(C3269-B3269)/B3269)</x:f>
      </x:c>
      <x:c r="E3269" s="22" t="str">
        <x:f>IF(ISBLANK(C3269),"AmountIncludingTax缺失",IF(ABS(B3269-C3269)&lt;0.005,"一致","不一致"))</x:f>
        <x:v>AmountIncludingTax缺失</x:v>
      </x:c>
      <x:c r="F3269" s="19" t="str">
        <x:v>approved</x:v>
      </x:c>
      <x:c r="G3269" s="19" t="str">
        <x:v>Repair in Progress</x:v>
      </x:c>
      <x:c r="H3269" s="19" t="str">
        <x:v>In Field</x:v>
      </x:c>
      <x:c r="I3269" s="37" t="n">
        <x:v>46119</x:v>
      </x:c>
      <x:c r="J3269" s="37" t="n">
        <x:v>46119</x:v>
      </x:c>
      <x:c r="K3269" s="19" t="str">
        <x:v>Leisure Lion Pty Ltd - Toowoomba</x:v>
      </x:c>
      <x:c r="L3269" s="19" t="str">
        <x:v>Z006</x:v>
      </x:c>
      <x:c r="M3269" s="19" t="str">
        <x:v>In Field Warranty Claims</x:v>
      </x:c>
      <x:c r="N3269" s="37" t="n">
        <x:v>46073</x:v>
      </x:c>
      <x:c r="O3269" s="37"/>
      <x:c r="P3269" s="34" t="n">
        <x:v>0</x:v>
      </x:c>
      <x:c r="Q3269" s="37" t="n">
        <x:v>46119.17780092593</x:v>
      </x:c>
    </x:row>
    <x:row r="3270">
      <x:c r="A3270" s="22" t="n">
        <x:v>31479</x:v>
      </x:c>
      <x:c r="B3270" s="28" t="n">
        <x:v>1230</x:v>
      </x:c>
      <x:c r="C3270" s="28"/>
      <x:c r="D3270" s="31" t="str">
        <x:f>IF(OR(ISBLANK(B3270),ISBLANK(C3270),B3270=0),"",(C3270-B3270)/B3270)</x:f>
      </x:c>
      <x:c r="E3270" s="22" t="str">
        <x:f>IF(ISBLANK(C3270),"AmountIncludingTax缺失",IF(ABS(B3270-C3270)&lt;0.005,"一致","不一致"))</x:f>
        <x:v>AmountIncludingTax缺失</x:v>
      </x:c>
      <x:c r="F3270" s="19" t="str">
        <x:v>approved</x:v>
      </x:c>
      <x:c r="G3270" s="19" t="str">
        <x:v>Repair in Progress</x:v>
      </x:c>
      <x:c r="H3270" s="19" t="str">
        <x:v>In Field</x:v>
      </x:c>
      <x:c r="I3270" s="37" t="n">
        <x:v>46122</x:v>
      </x:c>
      <x:c r="J3270" s="37" t="n">
        <x:v>46122</x:v>
      </x:c>
      <x:c r="K3270" s="19" t="str">
        <x:v>Regent RV - Perth</x:v>
      </x:c>
      <x:c r="L3270" s="19" t="str">
        <x:v>Z006</x:v>
      </x:c>
      <x:c r="M3270" s="19" t="str">
        <x:v>In Field Warranty Claims</x:v>
      </x:c>
      <x:c r="N3270" s="37" t="n">
        <x:v>46073</x:v>
      </x:c>
      <x:c r="O3270" s="37"/>
      <x:c r="P3270" s="34" t="n">
        <x:v>1353</x:v>
      </x:c>
      <x:c r="Q3270" s="37" t="n">
        <x:v>46121.973495370374</x:v>
      </x:c>
    </x:row>
    <x:row r="3271">
      <x:c r="A3271" s="22" t="n">
        <x:v>31478</x:v>
      </x:c>
      <x:c r="B3271" s="28" t="n">
        <x:v>55</x:v>
      </x:c>
      <x:c r="C3271" s="28"/>
      <x:c r="D3271" s="31" t="str">
        <x:f>IF(OR(ISBLANK(B3271),ISBLANK(C3271),B3271=0),"",(C3271-B3271)/B3271)</x:f>
      </x:c>
      <x:c r="E3271" s="22" t="str">
        <x:f>IF(ISBLANK(C3271),"AmountIncludingTax缺失",IF(ABS(B3271-C3271)&lt;0.005,"一致","不一致"))</x:f>
        <x:v>AmountIncludingTax缺失</x:v>
      </x:c>
      <x:c r="F3271" s="19" t="str">
        <x:v>approved</x:v>
      </x:c>
      <x:c r="G3271" s="19" t="str">
        <x:v>Repair in Progress</x:v>
      </x:c>
      <x:c r="H3271" s="19" t="str">
        <x:v>In Field</x:v>
      </x:c>
      <x:c r="I3271" s="37" t="n">
        <x:v>46107</x:v>
      </x:c>
      <x:c r="J3271" s="37" t="n">
        <x:v>46107</x:v>
      </x:c>
      <x:c r="K3271" s="19" t="str">
        <x:v>Regent RV - Perth</x:v>
      </x:c>
      <x:c r="L3271" s="19" t="str">
        <x:v>Z006</x:v>
      </x:c>
      <x:c r="M3271" s="19" t="str">
        <x:v>In Field Warranty Claims</x:v>
      </x:c>
      <x:c r="N3271" s="37" t="n">
        <x:v>46073</x:v>
      </x:c>
      <x:c r="O3271" s="37"/>
      <x:c r="P3271" s="34" t="n">
        <x:v>0</x:v>
      </x:c>
      <x:c r="Q3271" s="37" t="n">
        <x:v>46107.04820601852</x:v>
      </x:c>
    </x:row>
    <x:row r="3272">
      <x:c r="A3272" s="22" t="n">
        <x:v>31477</x:v>
      </x:c>
      <x:c r="B3272" s="28" t="n">
        <x:v>345.18</x:v>
      </x:c>
      <x:c r="C3272" s="28" t="n">
        <x:v>379.7</x:v>
      </x:c>
      <x:c r="D3272" s="31" t="n">
        <x:f>IF(OR(ISBLANK(B3272),ISBLANK(C3272),B3272=0),"",(C3272-B3272)/B3272)</x:f>
        <x:v>0.10000579407845177</x:v>
      </x:c>
      <x:c r="E3272" s="22" t="str">
        <x:f>IF(ISBLANK(C3272),"AmountIncludingTax缺失",IF(ABS(B3272-C3272)&lt;0.005,"一致","不一致"))</x:f>
        <x:v>不一致</x:v>
      </x:c>
      <x:c r="F3272" s="19" t="str">
        <x:v>approved</x:v>
      </x:c>
      <x:c r="G3272" s="19" t="str">
        <x:v>Repairer Invoiced Processed</x:v>
      </x:c>
      <x:c r="H3272" s="19" t="str">
        <x:v>In Field</x:v>
      </x:c>
      <x:c r="I3272" s="37" t="n">
        <x:v>46113</x:v>
      </x:c>
      <x:c r="J3272" s="37" t="n">
        <x:v>46113</x:v>
      </x:c>
      <x:c r="K3272" s="19" t="str">
        <x:v>Regent RV - Perth</x:v>
      </x:c>
      <x:c r="L3272" s="19" t="str">
        <x:v>Z006</x:v>
      </x:c>
      <x:c r="M3272" s="19" t="str">
        <x:v>In Field Warranty Claims</x:v>
      </x:c>
      <x:c r="N3272" s="37" t="n">
        <x:v>46073</x:v>
      </x:c>
      <x:c r="O3272" s="37"/>
      <x:c r="P3272" s="34" t="n">
        <x:v>379.7</x:v>
      </x:c>
      <x:c r="Q3272" s="37" t="n">
        <x:v>46113.02974537037</x:v>
      </x:c>
    </x:row>
    <x:row r="3273">
      <x:c r="A3273" s="22" t="n">
        <x:v>31476</x:v>
      </x:c>
      <x:c r="B3273" s="28" t="n">
        <x:v>800</x:v>
      </x:c>
      <x:c r="C3273" s="28" t="n">
        <x:v>880</x:v>
      </x:c>
      <x:c r="D3273" s="31" t="n">
        <x:f>IF(OR(ISBLANK(B3273),ISBLANK(C3273),B3273=0),"",(C3273-B3273)/B3273)</x:f>
        <x:v>0.1</x:v>
      </x:c>
      <x:c r="E3273" s="22" t="str">
        <x:f>IF(ISBLANK(C3273),"AmountIncludingTax缺失",IF(ABS(B3273-C3273)&lt;0.005,"一致","不一致"))</x:f>
        <x:v>不一致</x:v>
      </x:c>
      <x:c r="F3273" s="19" t="str">
        <x:v>approved</x:v>
      </x:c>
      <x:c r="G3273" s="19" t="str">
        <x:v>Repair in Progress</x:v>
      </x:c>
      <x:c r="H3273" s="19" t="str">
        <x:v>In Field</x:v>
      </x:c>
      <x:c r="I3273" s="37" t="n">
        <x:v>46086</x:v>
      </x:c>
      <x:c r="J3273" s="37" t="n">
        <x:v>46086</x:v>
      </x:c>
      <x:c r="K3273" s="19" t="str">
        <x:v>Regent RV - Toowoomba</x:v>
      </x:c>
      <x:c r="L3273" s="19" t="str">
        <x:v>Z006</x:v>
      </x:c>
      <x:c r="M3273" s="19" t="str">
        <x:v>In Field Warranty Claims</x:v>
      </x:c>
      <x:c r="N3273" s="37" t="n">
        <x:v>46073</x:v>
      </x:c>
      <x:c r="O3273" s="37"/>
      <x:c r="P3273" s="34" t="n">
        <x:v>880</x:v>
      </x:c>
      <x:c r="Q3273" s="37" t="n">
        <x:v>46085.955092592594</x:v>
      </x:c>
    </x:row>
    <x:row r="3274">
      <x:c r="A3274" s="22" t="n">
        <x:v>31475</x:v>
      </x:c>
      <x:c r="B3274" s="28" t="n">
        <x:v>136.36</x:v>
      </x:c>
      <x:c r="C3274" s="28" t="n">
        <x:v>150</x:v>
      </x:c>
      <x:c r="D3274" s="31" t="n">
        <x:f>IF(OR(ISBLANK(B3274),ISBLANK(C3274),B3274=0),"",(C3274-B3274)/B3274)</x:f>
        <x:v>0.10002933411557631</x:v>
      </x:c>
      <x:c r="E3274" s="22" t="str">
        <x:f>IF(ISBLANK(C3274),"AmountIncludingTax缺失",IF(ABS(B3274-C3274)&lt;0.005,"一致","不一致"))</x:f>
        <x:v>不一致</x:v>
      </x:c>
      <x:c r="F3274" s="19" t="str">
        <x:v>approved</x:v>
      </x:c>
      <x:c r="G3274" s="19" t="str">
        <x:v>Repair in Progress</x:v>
      </x:c>
      <x:c r="H3274" s="19" t="str">
        <x:v>In Field</x:v>
      </x:c>
      <x:c r="I3274" s="37" t="n">
        <x:v>46156</x:v>
      </x:c>
      <x:c r="J3274" s="37" t="n">
        <x:v>46156</x:v>
      </x:c>
      <x:c r="K3274" s="19" t="str">
        <x:v>Auswide Caravans - South Nowra</x:v>
      </x:c>
      <x:c r="L3274" s="19" t="str">
        <x:v>Z006</x:v>
      </x:c>
      <x:c r="M3274" s="19" t="str">
        <x:v>In Field Warranty Claims</x:v>
      </x:c>
      <x:c r="N3274" s="37" t="n">
        <x:v>46073</x:v>
      </x:c>
      <x:c r="O3274" s="37"/>
      <x:c r="P3274" s="34" t="n">
        <x:v>150</x:v>
      </x:c>
      <x:c r="Q3274" s="37" t="n">
        <x:v>46155.99983796296</x:v>
      </x:c>
    </x:row>
    <x:row r="3275">
      <x:c r="A3275" s="22" t="n">
        <x:v>31474</x:v>
      </x:c>
      <x:c r="B3275" s="28" t="n">
        <x:v>1687.5</x:v>
      </x:c>
      <x:c r="C3275" s="28"/>
      <x:c r="D3275" s="31" t="str">
        <x:f>IF(OR(ISBLANK(B3275),ISBLANK(C3275),B3275=0),"",(C3275-B3275)/B3275)</x:f>
      </x:c>
      <x:c r="E3275" s="22" t="str">
        <x:f>IF(ISBLANK(C3275),"AmountIncludingTax缺失",IF(ABS(B3275-C3275)&lt;0.005,"一致","不一致"))</x:f>
        <x:v>AmountIncludingTax缺失</x:v>
      </x:c>
      <x:c r="F3275" s="19" t="str">
        <x:v>approved</x:v>
      </x:c>
      <x:c r="G3275" s="19" t="str">
        <x:v>Repair in Progress</x:v>
      </x:c>
      <x:c r="H3275" s="19" t="str">
        <x:v>In Field</x:v>
      </x:c>
      <x:c r="I3275" s="37" t="n">
        <x:v>46101</x:v>
      </x:c>
      <x:c r="J3275" s="37" t="n">
        <x:v>46101</x:v>
      </x:c>
      <x:c r="K3275" s="19" t="str">
        <x:v>Sherrif Caravans &amp; Traliers - Prospect Vale</x:v>
      </x:c>
      <x:c r="L3275" s="19" t="str">
        <x:v>Z006</x:v>
      </x:c>
      <x:c r="M3275" s="19" t="str">
        <x:v>In Field Warranty Claims</x:v>
      </x:c>
      <x:c r="N3275" s="37" t="n">
        <x:v>46073</x:v>
      </x:c>
      <x:c r="O3275" s="37"/>
      <x:c r="P3275" s="34" t="n">
        <x:v>0</x:v>
      </x:c>
      <x:c r="Q3275" s="37" t="n">
        <x:v>46101.53988425926</x:v>
      </x:c>
    </x:row>
    <x:row r="3276">
      <x:c r="A3276" s="22" t="n">
        <x:v>31471</x:v>
      </x:c>
      <x:c r="B3276" s="28" t="n">
        <x:v>819.09</x:v>
      </x:c>
      <x:c r="C3276" s="28"/>
      <x:c r="D3276" s="31" t="str">
        <x:f>IF(OR(ISBLANK(B3276),ISBLANK(C3276),B3276=0),"",(C3276-B3276)/B3276)</x:f>
      </x:c>
      <x:c r="E3276" s="22" t="str">
        <x:f>IF(ISBLANK(C3276),"AmountIncludingTax缺失",IF(ABS(B3276-C3276)&lt;0.005,"一致","不一致"))</x:f>
        <x:v>AmountIncludingTax缺失</x:v>
      </x:c>
      <x:c r="F3276" s="19" t="str">
        <x:v>approved</x:v>
      </x:c>
      <x:c r="G3276" s="19" t="str">
        <x:v>Repairer Invoiced Processed</x:v>
      </x:c>
      <x:c r="H3276" s="19" t="str">
        <x:v>Pre Delivery</x:v>
      </x:c>
      <x:c r="I3276" s="37" t="n">
        <x:v>46132</x:v>
      </x:c>
      <x:c r="J3276" s="37" t="n">
        <x:v>46132</x:v>
      </x:c>
      <x:c r="K3276" s="19" t="str">
        <x:v>Snowy River Launceston</x:v>
      </x:c>
      <x:c r="L3276" s="19" t="str">
        <x:v>Z005</x:v>
      </x:c>
      <x:c r="M3276" s="19" t="str">
        <x:v>Pre Delivery Warranty Claims</x:v>
      </x:c>
      <x:c r="N3276" s="37" t="n">
        <x:v>46073</x:v>
      </x:c>
      <x:c r="O3276" s="37"/>
      <x:c r="P3276" s="34" t="n">
        <x:v>0</x:v>
      </x:c>
      <x:c r="Q3276" s="37" t="n">
        <x:v>46132.29111111111</x:v>
      </x:c>
    </x:row>
    <x:row r="3277">
      <x:c r="A3277" s="22" t="n">
        <x:v>31461</x:v>
      </x:c>
      <x:c r="B3277" s="28" t="n">
        <x:v>390.41</x:v>
      </x:c>
      <x:c r="C3277" s="28" t="n">
        <x:v>429.45</x:v>
      </x:c>
      <x:c r="D3277" s="31" t="n">
        <x:f>IF(OR(ISBLANK(B3277),ISBLANK(C3277),B3277=0),"",(C3277-B3277)/B3277)</x:f>
        <x:v>0.09999743859019995</x:v>
      </x:c>
      <x:c r="E3277" s="22" t="str">
        <x:f>IF(ISBLANK(C3277),"AmountIncludingTax缺失",IF(ABS(B3277-C3277)&lt;0.005,"一致","不一致"))</x:f>
        <x:v>不一致</x:v>
      </x:c>
      <x:c r="F3277" s="19" t="str">
        <x:v>approved</x:v>
      </x:c>
      <x:c r="G3277" s="19" t="str">
        <x:v>Repair in Progress</x:v>
      </x:c>
      <x:c r="H3277" s="19" t="str">
        <x:v>Pre Delivery</x:v>
      </x:c>
      <x:c r="I3277" s="37" t="n">
        <x:v>46153</x:v>
      </x:c>
      <x:c r="J3277" s="37" t="n">
        <x:v>46153</x:v>
      </x:c>
      <x:c r="K3277" s="19" t="str">
        <x:v>Regent RV - Perth</x:v>
      </x:c>
      <x:c r="L3277" s="19" t="str">
        <x:v>Z005</x:v>
      </x:c>
      <x:c r="M3277" s="19" t="str">
        <x:v>Pre Delivery Warranty Claims</x:v>
      </x:c>
      <x:c r="N3277" s="37" t="n">
        <x:v>46073</x:v>
      </x:c>
      <x:c r="O3277" s="37"/>
      <x:c r="P3277" s="34" t="n">
        <x:v>429.45</x:v>
      </x:c>
      <x:c r="Q3277" s="37" t="n">
        <x:v>46153.005057870374</x:v>
      </x:c>
    </x:row>
    <x:row r="3278">
      <x:c r="A3278" s="22" t="n">
        <x:v>31460</x:v>
      </x:c>
      <x:c r="B3278" s="28" t="n">
        <x:v>405</x:v>
      </x:c>
      <x:c r="C3278" s="28"/>
      <x:c r="D3278" s="31" t="str">
        <x:f>IF(OR(ISBLANK(B3278),ISBLANK(C3278),B3278=0),"",(C3278-B3278)/B3278)</x:f>
      </x:c>
      <x:c r="E3278" s="22" t="str">
        <x:f>IF(ISBLANK(C3278),"AmountIncludingTax缺失",IF(ABS(B3278-C3278)&lt;0.005,"一致","不一致"))</x:f>
        <x:v>AmountIncludingTax缺失</x:v>
      </x:c>
      <x:c r="F3278" s="19" t="str">
        <x:v>approved</x:v>
      </x:c>
      <x:c r="G3278" s="19" t="str">
        <x:v>Repair in Progress</x:v>
      </x:c>
      <x:c r="H3278" s="19" t="str">
        <x:v>In Field</x:v>
      </x:c>
      <x:c r="I3278" s="37" t="n">
        <x:v>46093</x:v>
      </x:c>
      <x:c r="J3278" s="37" t="n">
        <x:v>46093</x:v>
      </x:c>
      <x:c r="K3278" s="19" t="str">
        <x:v>Green RV - Forest Glen</x:v>
      </x:c>
      <x:c r="L3278" s="19" t="str">
        <x:v>Z006</x:v>
      </x:c>
      <x:c r="M3278" s="19" t="str">
        <x:v>In Field Warranty Claims</x:v>
      </x:c>
      <x:c r="N3278" s="37" t="n">
        <x:v>46073</x:v>
      </x:c>
      <x:c r="O3278" s="37"/>
      <x:c r="P3278" s="34" t="n">
        <x:v>0</x:v>
      </x:c>
      <x:c r="Q3278" s="37" t="n">
        <x:v>46093.2584375</x:v>
      </x:c>
    </x:row>
    <x:row r="3279">
      <x:c r="A3279" s="22" t="n">
        <x:v>31459</x:v>
      </x:c>
      <x:c r="B3279" s="28" t="n">
        <x:v>418.19</x:v>
      </x:c>
      <x:c r="C3279" s="28"/>
      <x:c r="D3279" s="31" t="str">
        <x:f>IF(OR(ISBLANK(B3279),ISBLANK(C3279),B3279=0),"",(C3279-B3279)/B3279)</x:f>
      </x:c>
      <x:c r="E3279" s="22" t="str">
        <x:f>IF(ISBLANK(C3279),"AmountIncludingTax缺失",IF(ABS(B3279-C3279)&lt;0.005,"一致","不一致"))</x:f>
        <x:v>AmountIncludingTax缺失</x:v>
      </x:c>
      <x:c r="F3279" s="19" t="str">
        <x:v>approved</x:v>
      </x:c>
      <x:c r="G3279" s="19" t="str">
        <x:v>Repairer Invoiced Processed</x:v>
      </x:c>
      <x:c r="H3279" s="19" t="str">
        <x:v>In Field</x:v>
      </x:c>
      <x:c r="I3279" s="37" t="n">
        <x:v>46087</x:v>
      </x:c>
      <x:c r="J3279" s="37" t="n">
        <x:v>46087</x:v>
      </x:c>
      <x:c r="K3279" s="19" t="str">
        <x:v>Green RV - Forest Glen</x:v>
      </x:c>
      <x:c r="L3279" s="19" t="str">
        <x:v>Z006</x:v>
      </x:c>
      <x:c r="M3279" s="19" t="str">
        <x:v>In Field Warranty Claims</x:v>
      </x:c>
      <x:c r="N3279" s="37" t="n">
        <x:v>46073</x:v>
      </x:c>
      <x:c r="O3279" s="37"/>
      <x:c r="P3279" s="34" t="n">
        <x:v>0</x:v>
      </x:c>
      <x:c r="Q3279" s="37" t="n">
        <x:v>46087.44119212963</x:v>
      </x:c>
    </x:row>
    <x:row r="3280">
      <x:c r="A3280" s="22" t="n">
        <x:v>31458</x:v>
      </x:c>
      <x:c r="B3280" s="28" t="n">
        <x:v>325.41</x:v>
      </x:c>
      <x:c r="C3280" s="28" t="n">
        <x:v>357.95</x:v>
      </x:c>
      <x:c r="D3280" s="31" t="n">
        <x:f>IF(OR(ISBLANK(B3280),ISBLANK(C3280),B3280=0),"",(C3280-B3280)/B3280)</x:f>
        <x:v>0.09999692695368907</x:v>
      </x:c>
      <x:c r="E3280" s="22" t="str">
        <x:f>IF(ISBLANK(C3280),"AmountIncludingTax缺失",IF(ABS(B3280-C3280)&lt;0.005,"一致","不一致"))</x:f>
        <x:v>不一致</x:v>
      </x:c>
      <x:c r="F3280" s="19" t="str">
        <x:v>approved</x:v>
      </x:c>
      <x:c r="G3280" s="19" t="str">
        <x:v>Repairer Invoiced Processed</x:v>
      </x:c>
      <x:c r="H3280" s="19" t="str">
        <x:v>In Field</x:v>
      </x:c>
      <x:c r="I3280" s="37" t="n">
        <x:v>46094</x:v>
      </x:c>
      <x:c r="J3280" s="37" t="n">
        <x:v>46094</x:v>
      </x:c>
      <x:c r="K3280" s="19" t="str">
        <x:v>Newcastle RV Super Centre - Beresfield</x:v>
      </x:c>
      <x:c r="L3280" s="19" t="str">
        <x:v>Z006</x:v>
      </x:c>
      <x:c r="M3280" s="19" t="str">
        <x:v>In Field Warranty Claims</x:v>
      </x:c>
      <x:c r="N3280" s="37" t="n">
        <x:v>46073</x:v>
      </x:c>
      <x:c r="O3280" s="37"/>
      <x:c r="P3280" s="34" t="n">
        <x:v>357.95</x:v>
      </x:c>
      <x:c r="Q3280" s="37" t="n">
        <x:v>46094.20471064815</x:v>
      </x:c>
    </x:row>
    <x:row r="3281">
      <x:c r="A3281" s="22" t="n">
        <x:v>31457</x:v>
      </x:c>
      <x:c r="B3281" s="28" t="n">
        <x:v>500</x:v>
      </x:c>
      <x:c r="C3281" s="28" t="n">
        <x:v>550</x:v>
      </x:c>
      <x:c r="D3281" s="31" t="n">
        <x:f>IF(OR(ISBLANK(B3281),ISBLANK(C3281),B3281=0),"",(C3281-B3281)/B3281)</x:f>
        <x:v>0.1</x:v>
      </x:c>
      <x:c r="E3281" s="22" t="str">
        <x:f>IF(ISBLANK(C3281),"AmountIncludingTax缺失",IF(ABS(B3281-C3281)&lt;0.005,"一致","不一致"))</x:f>
        <x:v>不一致</x:v>
      </x:c>
      <x:c r="F3281" s="19" t="str">
        <x:v>approved</x:v>
      </x:c>
      <x:c r="G3281" s="19" t="str">
        <x:v>Repair in Progress</x:v>
      </x:c>
      <x:c r="H3281" s="19" t="str">
        <x:v>In Field</x:v>
      </x:c>
      <x:c r="I3281" s="37" t="n">
        <x:v>46097</x:v>
      </x:c>
      <x:c r="J3281" s="37" t="n">
        <x:v>46097</x:v>
      </x:c>
      <x:c r="K3281" s="19" t="str">
        <x:v>Green RV - Forest Glen</x:v>
      </x:c>
      <x:c r="L3281" s="19" t="str">
        <x:v>Z006</x:v>
      </x:c>
      <x:c r="M3281" s="19" t="str">
        <x:v>In Field Warranty Claims</x:v>
      </x:c>
      <x:c r="N3281" s="37" t="n">
        <x:v>46073</x:v>
      </x:c>
      <x:c r="O3281" s="37"/>
      <x:c r="P3281" s="34" t="n">
        <x:v>550</x:v>
      </x:c>
      <x:c r="Q3281" s="37" t="n">
        <x:v>46096.89150462963</x:v>
      </x:c>
    </x:row>
    <x:row r="3282">
      <x:c r="A3282" s="22" t="n">
        <x:v>31456</x:v>
      </x:c>
      <x:c r="B3282" s="28" t="n">
        <x:v>409.05</x:v>
      </x:c>
      <x:c r="C3282" s="28" t="n">
        <x:v>449.96</x:v>
      </x:c>
      <x:c r="D3282" s="31" t="n">
        <x:f>IF(OR(ISBLANK(B3282),ISBLANK(C3282),B3282=0),"",(C3282-B3282)/B3282)</x:f>
        <x:v>0.1000122234445666</x:v>
      </x:c>
      <x:c r="E3282" s="22" t="str">
        <x:f>IF(ISBLANK(C3282),"AmountIncludingTax缺失",IF(ABS(B3282-C3282)&lt;0.005,"一致","不一致"))</x:f>
        <x:v>不一致</x:v>
      </x:c>
      <x:c r="F3282" s="19" t="str">
        <x:v>approved</x:v>
      </x:c>
      <x:c r="G3282" s="19" t="str">
        <x:v>Repairer Invoiced Processed</x:v>
      </x:c>
      <x:c r="H3282" s="19" t="str">
        <x:v>In Field</x:v>
      </x:c>
      <x:c r="I3282" s="37" t="n">
        <x:v>46076</x:v>
      </x:c>
      <x:c r="J3282" s="37" t="n">
        <x:v>46076</x:v>
      </x:c>
      <x:c r="K3282" s="19" t="str">
        <x:v>Destiny RV - South Australia</x:v>
      </x:c>
      <x:c r="L3282" s="19" t="str">
        <x:v>Z006</x:v>
      </x:c>
      <x:c r="M3282" s="19" t="str">
        <x:v>In Field Warranty Claims</x:v>
      </x:c>
      <x:c r="N3282" s="37" t="n">
        <x:v>46073</x:v>
      </x:c>
      <x:c r="O3282" s="37"/>
      <x:c r="P3282" s="34" t="n">
        <x:v>449.96</x:v>
      </x:c>
      <x:c r="Q3282" s="37" t="n">
        <x:v>46076.10696759259</x:v>
      </x:c>
    </x:row>
    <x:row r="3283">
      <x:c r="A3283" s="22" t="n">
        <x:v>31455</x:v>
      </x:c>
      <x:c r="B3283" s="28" t="n">
        <x:v>135</x:v>
      </x:c>
      <x:c r="C3283" s="28"/>
      <x:c r="D3283" s="31" t="str">
        <x:f>IF(OR(ISBLANK(B3283),ISBLANK(C3283),B3283=0),"",(C3283-B3283)/B3283)</x:f>
      </x:c>
      <x:c r="E3283" s="22" t="str">
        <x:f>IF(ISBLANK(C3283),"AmountIncludingTax缺失",IF(ABS(B3283-C3283)&lt;0.005,"一致","不一致"))</x:f>
        <x:v>AmountIncludingTax缺失</x:v>
      </x:c>
      <x:c r="F3283" s="19" t="str">
        <x:v>approved</x:v>
      </x:c>
      <x:c r="G3283" s="19" t="str">
        <x:v>Repair in Progress</x:v>
      </x:c>
      <x:c r="H3283" s="19" t="str">
        <x:v>In Field</x:v>
      </x:c>
      <x:c r="I3283" s="37" t="n">
        <x:v>46134</x:v>
      </x:c>
      <x:c r="J3283" s="37" t="n">
        <x:v>46134</x:v>
      </x:c>
      <x:c r="K3283" s="19" t="str">
        <x:v>ABCO Caravans - Boambee Valley</x:v>
      </x:c>
      <x:c r="L3283" s="19" t="str">
        <x:v>Z006</x:v>
      </x:c>
      <x:c r="M3283" s="19" t="str">
        <x:v>In Field Warranty Claims</x:v>
      </x:c>
      <x:c r="N3283" s="37" t="n">
        <x:v>46073</x:v>
      </x:c>
      <x:c r="O3283" s="37"/>
      <x:c r="P3283" s="34" t="n">
        <x:v>0</x:v>
      </x:c>
      <x:c r="Q3283" s="37" t="n">
        <x:v>46134.03613425926</x:v>
      </x:c>
    </x:row>
    <x:row r="3284">
      <x:c r="A3284" s="22" t="n">
        <x:v>31454</x:v>
      </x:c>
      <x:c r="B3284" s="28" t="n">
        <x:v>986.7</x:v>
      </x:c>
      <x:c r="C3284" s="28" t="n">
        <x:v>893.36</x:v>
      </x:c>
      <x:c r="D3284" s="31" t="n">
        <x:f>IF(OR(ISBLANK(B3284),ISBLANK(C3284),B3284=0),"",(C3284-B3284)/B3284)</x:f>
        <x:v>-0.09459815546772071</x:v>
      </x:c>
      <x:c r="E3284" s="22" t="str">
        <x:f>IF(ISBLANK(C3284),"AmountIncludingTax缺失",IF(ABS(B3284-C3284)&lt;0.005,"一致","不一致"))</x:f>
        <x:v>不一致</x:v>
      </x:c>
      <x:c r="F3284" s="19" t="str">
        <x:v>approved</x:v>
      </x:c>
      <x:c r="G3284" s="19" t="str">
        <x:v>Repair in Progress</x:v>
      </x:c>
      <x:c r="H3284" s="19" t="str">
        <x:v>In Field</x:v>
      </x:c>
      <x:c r="I3284" s="37" t="n">
        <x:v>46175</x:v>
      </x:c>
      <x:c r="J3284" s="37" t="n">
        <x:v>46108</x:v>
      </x:c>
      <x:c r="K3284" s="19" t="str">
        <x:v>Vanari Caravans - Marden Point</x:v>
      </x:c>
      <x:c r="L3284" s="19" t="str">
        <x:v>Z006</x:v>
      </x:c>
      <x:c r="M3284" s="19" t="str">
        <x:v>In Field Warranty Claims</x:v>
      </x:c>
      <x:c r="N3284" s="37" t="n">
        <x:v>46073</x:v>
      </x:c>
      <x:c r="O3284" s="37"/>
      <x:c r="P3284" s="34" t="n">
        <x:v>893.36</x:v>
      </x:c>
      <x:c r="Q3284" s="37" t="n">
        <x:v>46174.95868055556</x:v>
      </x:c>
    </x:row>
    <x:row r="3285">
      <x:c r="A3285" s="22" t="n">
        <x:v>31451</x:v>
      </x:c>
      <x:c r="B3285" s="28" t="n">
        <x:v>281.99</x:v>
      </x:c>
      <x:c r="C3285" s="28" t="n">
        <x:v>310.19</x:v>
      </x:c>
      <x:c r="D3285" s="31" t="n">
        <x:f>IF(OR(ISBLANK(B3285),ISBLANK(C3285),B3285=0),"",(C3285-B3285)/B3285)</x:f>
        <x:v>0.1000035462250434</x:v>
      </x:c>
      <x:c r="E3285" s="22" t="str">
        <x:f>IF(ISBLANK(C3285),"AmountIncludingTax缺失",IF(ABS(B3285-C3285)&lt;0.005,"一致","不一致"))</x:f>
        <x:v>不一致</x:v>
      </x:c>
      <x:c r="F3285" s="19" t="str">
        <x:v>approved</x:v>
      </x:c>
      <x:c r="G3285" s="19" t="str">
        <x:v>Repairer Invoiced Processed</x:v>
      </x:c>
      <x:c r="H3285" s="19" t="str">
        <x:v>Pre Delivery</x:v>
      </x:c>
      <x:c r="I3285" s="37" t="n">
        <x:v>46140</x:v>
      </x:c>
      <x:c r="J3285" s="37" t="n">
        <x:v>46140</x:v>
      </x:c>
      <x:c r="K3285" s="19" t="str">
        <x:v>Lesiure Lion-New Castle</x:v>
      </x:c>
      <x:c r="L3285" s="19" t="str">
        <x:v>Z005</x:v>
      </x:c>
      <x:c r="M3285" s="19" t="str">
        <x:v>Pre Delivery Warranty Claims</x:v>
      </x:c>
      <x:c r="N3285" s="37" t="n">
        <x:v>46073</x:v>
      </x:c>
      <x:c r="O3285" s="37"/>
      <x:c r="P3285" s="34" t="n">
        <x:v>310.19</x:v>
      </x:c>
      <x:c r="Q3285" s="37" t="n">
        <x:v>46139.99793981481</x:v>
      </x:c>
    </x:row>
    <x:row r="3286">
      <x:c r="A3286" s="22" t="n">
        <x:v>31450</x:v>
      </x:c>
      <x:c r="B3286" s="28" t="n">
        <x:v>1116.36</x:v>
      </x:c>
      <x:c r="C3286" s="28"/>
      <x:c r="D3286" s="31" t="str">
        <x:f>IF(OR(ISBLANK(B3286),ISBLANK(C3286),B3286=0),"",(C3286-B3286)/B3286)</x:f>
      </x:c>
      <x:c r="E3286" s="22" t="str">
        <x:f>IF(ISBLANK(C3286),"AmountIncludingTax缺失",IF(ABS(B3286-C3286)&lt;0.005,"一致","不一致"))</x:f>
        <x:v>AmountIncludingTax缺失</x:v>
      </x:c>
      <x:c r="F3286" s="19" t="str">
        <x:v>approved</x:v>
      </x:c>
      <x:c r="G3286" s="19" t="str">
        <x:v>Sales Order Approved</x:v>
      </x:c>
      <x:c r="H3286" s="19" t="str">
        <x:v>In Field</x:v>
      </x:c>
      <x:c r="I3286" s="37" t="n">
        <x:v>46211</x:v>
      </x:c>
      <x:c r="J3286" s="37" t="n">
        <x:v>46108</x:v>
      </x:c>
      <x:c r="K3286" s="19" t="str">
        <x:v>Regent RV - Toowoomba</x:v>
      </x:c>
      <x:c r="L3286" s="19" t="str">
        <x:v>Z006</x:v>
      </x:c>
      <x:c r="M3286" s="19" t="str">
        <x:v>In Field Warranty Claims</x:v>
      </x:c>
      <x:c r="N3286" s="37" t="n">
        <x:v>46073</x:v>
      </x:c>
      <x:c r="O3286" s="37"/>
      <x:c r="P3286" s="34" t="n">
        <x:v>0</x:v>
      </x:c>
      <x:c r="Q3286" s="37" t="n">
        <x:v>46211.256631944445</x:v>
      </x:c>
    </x:row>
    <x:row r="3287">
      <x:c r="A3287" s="22" t="n">
        <x:v>31449</x:v>
      </x:c>
      <x:c r="B3287" s="28" t="n">
        <x:v>67.5</x:v>
      </x:c>
      <x:c r="C3287" s="28"/>
      <x:c r="D3287" s="31" t="str">
        <x:f>IF(OR(ISBLANK(B3287),ISBLANK(C3287),B3287=0),"",(C3287-B3287)/B3287)</x:f>
      </x:c>
      <x:c r="E3287" s="22" t="str">
        <x:f>IF(ISBLANK(C3287),"AmountIncludingTax缺失",IF(ABS(B3287-C3287)&lt;0.005,"一致","不一致"))</x:f>
        <x:v>AmountIncludingTax缺失</x:v>
      </x:c>
      <x:c r="F3287" s="19" t="str">
        <x:v>approved</x:v>
      </x:c>
      <x:c r="G3287" s="19" t="str">
        <x:v>Repairer Invoiced Processed</x:v>
      </x:c>
      <x:c r="H3287" s="19" t="str">
        <x:v>In Field</x:v>
      </x:c>
      <x:c r="I3287" s="37" t="n">
        <x:v>46104</x:v>
      </x:c>
      <x:c r="J3287" s="37" t="n">
        <x:v>46104</x:v>
      </x:c>
      <x:c r="K3287" s="19" t="str">
        <x:v>Green RV - Forest Glen</x:v>
      </x:c>
      <x:c r="L3287" s="19" t="str">
        <x:v>Z006</x:v>
      </x:c>
      <x:c r="M3287" s="19" t="str">
        <x:v>In Field Warranty Claims</x:v>
      </x:c>
      <x:c r="N3287" s="37" t="n">
        <x:v>46073</x:v>
      </x:c>
      <x:c r="O3287" s="37"/>
      <x:c r="P3287" s="34" t="n">
        <x:v>0</x:v>
      </x:c>
      <x:c r="Q3287" s="37" t="n">
        <x:v>46103.89834490741</x:v>
      </x:c>
    </x:row>
    <x:row r="3288">
      <x:c r="A3288" s="22" t="n">
        <x:v>31448</x:v>
      </x:c>
      <x:c r="B3288" s="28" t="n">
        <x:v>135</x:v>
      </x:c>
      <x:c r="C3288" s="28"/>
      <x:c r="D3288" s="31" t="str">
        <x:f>IF(OR(ISBLANK(B3288),ISBLANK(C3288),B3288=0),"",(C3288-B3288)/B3288)</x:f>
      </x:c>
      <x:c r="E3288" s="22" t="str">
        <x:f>IF(ISBLANK(C3288),"AmountIncludingTax缺失",IF(ABS(B3288-C3288)&lt;0.005,"一致","不一致"))</x:f>
        <x:v>AmountIncludingTax缺失</x:v>
      </x:c>
      <x:c r="F3288" s="19" t="str">
        <x:v>approved</x:v>
      </x:c>
      <x:c r="G3288" s="19" t="str">
        <x:v>Repair in Progress</x:v>
      </x:c>
      <x:c r="H3288" s="19" t="str">
        <x:v>In Field</x:v>
      </x:c>
      <x:c r="I3288" s="37" t="n">
        <x:v>46099</x:v>
      </x:c>
      <x:c r="J3288" s="37" t="n">
        <x:v>46099</x:v>
      </x:c>
      <x:c r="K3288" s="19" t="str">
        <x:v>Not Assigned</x:v>
      </x:c>
      <x:c r="L3288" s="19" t="str">
        <x:v>Z006</x:v>
      </x:c>
      <x:c r="M3288" s="19" t="str">
        <x:v>In Field Warranty Claims</x:v>
      </x:c>
      <x:c r="N3288" s="37" t="n">
        <x:v>46072</x:v>
      </x:c>
      <x:c r="O3288" s="37"/>
      <x:c r="P3288" s="34" t="n">
        <x:v>0</x:v>
      </x:c>
      <x:c r="Q3288" s="37" t="n">
        <x:v>46098.852743055555</x:v>
      </x:c>
    </x:row>
    <x:row r="3289">
      <x:c r="A3289" s="22" t="n">
        <x:v>31447</x:v>
      </x:c>
      <x:c r="B3289" s="28" t="n">
        <x:v>337.5</x:v>
      </x:c>
      <x:c r="C3289" s="28" t="n">
        <x:v>371.25</x:v>
      </x:c>
      <x:c r="D3289" s="31" t="n">
        <x:f>IF(OR(ISBLANK(B3289),ISBLANK(C3289),B3289=0),"",(C3289-B3289)/B3289)</x:f>
        <x:v>0.1</x:v>
      </x:c>
      <x:c r="E3289" s="22" t="str">
        <x:f>IF(ISBLANK(C3289),"AmountIncludingTax缺失",IF(ABS(B3289-C3289)&lt;0.005,"一致","不一致"))</x:f>
        <x:v>不一致</x:v>
      </x:c>
      <x:c r="F3289" s="19" t="str">
        <x:v>approved</x:v>
      </x:c>
      <x:c r="G3289" s="19" t="str">
        <x:v>Repair in Progress</x:v>
      </x:c>
      <x:c r="H3289" s="19" t="str">
        <x:v>In Field</x:v>
      </x:c>
      <x:c r="I3289" s="37" t="n">
        <x:v>46122</x:v>
      </x:c>
      <x:c r="J3289" s="37" t="n">
        <x:v>46122</x:v>
      </x:c>
      <x:c r="K3289" s="19" t="str">
        <x:v>Regent RV - Perth</x:v>
      </x:c>
      <x:c r="L3289" s="19" t="str">
        <x:v>Z006</x:v>
      </x:c>
      <x:c r="M3289" s="19" t="str">
        <x:v>In Field Warranty Claims</x:v>
      </x:c>
      <x:c r="N3289" s="37" t="n">
        <x:v>46072</x:v>
      </x:c>
      <x:c r="O3289" s="37"/>
      <x:c r="P3289" s="34" t="n">
        <x:v>371.25</x:v>
      </x:c>
      <x:c r="Q3289" s="37" t="n">
        <x:v>46121.99256944445</x:v>
      </x:c>
    </x:row>
    <x:row r="3290">
      <x:c r="A3290" s="22" t="n">
        <x:v>31446</x:v>
      </x:c>
      <x:c r="B3290" s="28" t="n">
        <x:v>67.5</x:v>
      </x:c>
      <x:c r="C3290" s="28"/>
      <x:c r="D3290" s="31" t="str">
        <x:f>IF(OR(ISBLANK(B3290),ISBLANK(C3290),B3290=0),"",(C3290-B3290)/B3290)</x:f>
      </x:c>
      <x:c r="E3290" s="22" t="str">
        <x:f>IF(ISBLANK(C3290),"AmountIncludingTax缺失",IF(ABS(B3290-C3290)&lt;0.005,"一致","不一致"))</x:f>
        <x:v>AmountIncludingTax缺失</x:v>
      </x:c>
      <x:c r="F3290" s="19" t="str">
        <x:v>approved</x:v>
      </x:c>
      <x:c r="G3290" s="19" t="str">
        <x:v>Repairer Invoiced Processed</x:v>
      </x:c>
      <x:c r="H3290" s="19" t="str">
        <x:v>In Field</x:v>
      </x:c>
      <x:c r="I3290" s="37" t="n">
        <x:v>46135</x:v>
      </x:c>
      <x:c r="J3290" s="37" t="n">
        <x:v>46135</x:v>
      </x:c>
      <x:c r="K3290" s="19" t="str">
        <x:v>Lesiure Lion-New Castle</x:v>
      </x:c>
      <x:c r="L3290" s="19" t="str">
        <x:v>Z006</x:v>
      </x:c>
      <x:c r="M3290" s="19" t="str">
        <x:v>In Field Warranty Claims</x:v>
      </x:c>
      <x:c r="N3290" s="37" t="n">
        <x:v>46072</x:v>
      </x:c>
      <x:c r="O3290" s="37"/>
      <x:c r="P3290" s="34" t="n">
        <x:v>0</x:v>
      </x:c>
      <x:c r="Q3290" s="37" t="n">
        <x:v>46135.05488425926</x:v>
      </x:c>
    </x:row>
    <x:row r="3291">
      <x:c r="A3291" s="22" t="n">
        <x:v>31445</x:v>
      </x:c>
      <x:c r="B3291" s="28" t="n">
        <x:v>419.43</x:v>
      </x:c>
      <x:c r="C3291" s="28"/>
      <x:c r="D3291" s="31" t="str">
        <x:f>IF(OR(ISBLANK(B3291),ISBLANK(C3291),B3291=0),"",(C3291-B3291)/B3291)</x:f>
      </x:c>
      <x:c r="E3291" s="22" t="str">
        <x:f>IF(ISBLANK(C3291),"AmountIncludingTax缺失",IF(ABS(B3291-C3291)&lt;0.005,"一致","不一致"))</x:f>
        <x:v>AmountIncludingTax缺失</x:v>
      </x:c>
      <x:c r="F3291" s="19" t="str">
        <x:v>approved</x:v>
      </x:c>
      <x:c r="G3291" s="19" t="str">
        <x:v>Repairer Invoiced Processed</x:v>
      </x:c>
      <x:c r="H3291" s="19" t="str">
        <x:v>In Field</x:v>
      </x:c>
      <x:c r="I3291" s="37" t="n">
        <x:v>46098</x:v>
      </x:c>
      <x:c r="J3291" s="37" t="n">
        <x:v>46098</x:v>
      </x:c>
      <x:c r="K3291" s="19" t="str">
        <x:v>Green RV - Forest Glen</x:v>
      </x:c>
      <x:c r="L3291" s="19" t="str">
        <x:v>Z006</x:v>
      </x:c>
      <x:c r="M3291" s="19" t="str">
        <x:v>In Field Warranty Claims</x:v>
      </x:c>
      <x:c r="N3291" s="37" t="n">
        <x:v>46072</x:v>
      </x:c>
      <x:c r="O3291" s="37"/>
      <x:c r="P3291" s="34" t="n">
        <x:v>0</x:v>
      </x:c>
      <x:c r="Q3291" s="37" t="n">
        <x:v>46098.03633101852</x:v>
      </x:c>
    </x:row>
    <x:row r="3292">
      <x:c r="A3292" s="22" t="n">
        <x:v>31444</x:v>
      </x:c>
      <x:c r="B3292" s="28" t="n">
        <x:v>728.75</x:v>
      </x:c>
      <x:c r="C3292" s="28" t="n">
        <x:v>801.63</x:v>
      </x:c>
      <x:c r="D3292" s="31" t="n">
        <x:f>IF(OR(ISBLANK(B3292),ISBLANK(C3292),B3292=0),"",(C3292-B3292)/B3292)</x:f>
        <x:v>0.10000686106346483</x:v>
      </x:c>
      <x:c r="E3292" s="22" t="str">
        <x:f>IF(ISBLANK(C3292),"AmountIncludingTax缺失",IF(ABS(B3292-C3292)&lt;0.005,"一致","不一致"))</x:f>
        <x:v>不一致</x:v>
      </x:c>
      <x:c r="F3292" s="19" t="str">
        <x:v>approved</x:v>
      </x:c>
      <x:c r="G3292" s="19" t="str">
        <x:v>Repairer Invoiced Processed</x:v>
      </x:c>
      <x:c r="H3292" s="19" t="str">
        <x:v>Pre Delivery</x:v>
      </x:c>
      <x:c r="I3292" s="37" t="n">
        <x:v>46111</x:v>
      </x:c>
      <x:c r="J3292" s="37" t="n">
        <x:v>46111</x:v>
      </x:c>
      <x:c r="K3292" s="19" t="str">
        <x:v>Green RV - Slacks Creek</x:v>
      </x:c>
      <x:c r="L3292" s="19" t="str">
        <x:v>Z005</x:v>
      </x:c>
      <x:c r="M3292" s="19" t="str">
        <x:v>Pre Delivery Warranty Claims</x:v>
      </x:c>
      <x:c r="N3292" s="37" t="n">
        <x:v>46072</x:v>
      </x:c>
      <x:c r="O3292" s="37"/>
      <x:c r="P3292" s="34" t="n">
        <x:v>801.63</x:v>
      </x:c>
      <x:c r="Q3292" s="37" t="n">
        <x:v>46111.012349537035</x:v>
      </x:c>
    </x:row>
    <x:row r="3293">
      <x:c r="A3293" s="22" t="n">
        <x:v>31443</x:v>
      </x:c>
      <x:c r="B3293" s="28" t="n">
        <x:v>67.5</x:v>
      </x:c>
      <x:c r="C3293" s="28"/>
      <x:c r="D3293" s="31" t="str">
        <x:f>IF(OR(ISBLANK(B3293),ISBLANK(C3293),B3293=0),"",(C3293-B3293)/B3293)</x:f>
      </x:c>
      <x:c r="E3293" s="22" t="str">
        <x:f>IF(ISBLANK(C3293),"AmountIncludingTax缺失",IF(ABS(B3293-C3293)&lt;0.005,"一致","不一致"))</x:f>
        <x:v>AmountIncludingTax缺失</x:v>
      </x:c>
      <x:c r="F3293" s="19" t="str">
        <x:v>approved</x:v>
      </x:c>
      <x:c r="G3293" s="19" t="str">
        <x:v>Repairer Invoiced Processed</x:v>
      </x:c>
      <x:c r="H3293" s="19" t="str">
        <x:v>In Field</x:v>
      </x:c>
      <x:c r="I3293" s="37" t="n">
        <x:v>46107</x:v>
      </x:c>
      <x:c r="J3293" s="37" t="n">
        <x:v>46107</x:v>
      </x:c>
      <x:c r="K3293" s="19" t="str">
        <x:v>Dario Caravans -St.Marys</x:v>
      </x:c>
      <x:c r="L3293" s="19" t="str">
        <x:v>Z006</x:v>
      </x:c>
      <x:c r="M3293" s="19" t="str">
        <x:v>In Field Warranty Claims</x:v>
      </x:c>
      <x:c r="N3293" s="37" t="n">
        <x:v>46072</x:v>
      </x:c>
      <x:c r="O3293" s="37"/>
      <x:c r="P3293" s="34" t="n">
        <x:v>0</x:v>
      </x:c>
      <x:c r="Q3293" s="37" t="n">
        <x:v>46106.92883101852</x:v>
      </x:c>
    </x:row>
    <x:row r="3294">
      <x:c r="A3294" s="22" t="n">
        <x:v>31442</x:v>
      </x:c>
      <x:c r="B3294" s="28" t="n">
        <x:v>1100</x:v>
      </x:c>
      <x:c r="C3294" s="28"/>
      <x:c r="D3294" s="31" t="str">
        <x:f>IF(OR(ISBLANK(B3294),ISBLANK(C3294),B3294=0),"",(C3294-B3294)/B3294)</x:f>
      </x:c>
      <x:c r="E3294" s="22" t="str">
        <x:f>IF(ISBLANK(C3294),"AmountIncludingTax缺失",IF(ABS(B3294-C3294)&lt;0.005,"一致","不一致"))</x:f>
        <x:v>AmountIncludingTax缺失</x:v>
      </x:c>
      <x:c r="F3294" s="19" t="str">
        <x:v>approved</x:v>
      </x:c>
      <x:c r="G3294" s="19" t="str">
        <x:v>Repair in Progress</x:v>
      </x:c>
      <x:c r="H3294" s="19" t="str">
        <x:v>Pre Delivery</x:v>
      </x:c>
      <x:c r="I3294" s="37" t="n">
        <x:v>46178</x:v>
      </x:c>
      <x:c r="J3294" s="37" t="n">
        <x:v>46178</x:v>
      </x:c>
      <x:c r="K3294" s="19" t="str">
        <x:v>Lesiure Lion-New Castle</x:v>
      </x:c>
      <x:c r="L3294" s="19" t="str">
        <x:v>Z005</x:v>
      </x:c>
      <x:c r="M3294" s="19" t="str">
        <x:v>Pre Delivery Warranty Claims</x:v>
      </x:c>
      <x:c r="N3294" s="37" t="n">
        <x:v>46072</x:v>
      </x:c>
      <x:c r="O3294" s="37"/>
      <x:c r="P3294" s="34" t="n">
        <x:v>0</x:v>
      </x:c>
      <x:c r="Q3294" s="37" t="n">
        <x:v>46178.227430555555</x:v>
      </x:c>
    </x:row>
    <x:row r="3295">
      <x:c r="A3295" s="22" t="n">
        <x:v>31441</x:v>
      </x:c>
      <x:c r="B3295" s="28" t="n">
        <x:v>313.75</x:v>
      </x:c>
      <x:c r="C3295" s="28"/>
      <x:c r="D3295" s="31" t="str">
        <x:f>IF(OR(ISBLANK(B3295),ISBLANK(C3295),B3295=0),"",(C3295-B3295)/B3295)</x:f>
      </x:c>
      <x:c r="E3295" s="22" t="str">
        <x:f>IF(ISBLANK(C3295),"AmountIncludingTax缺失",IF(ABS(B3295-C3295)&lt;0.005,"一致","不一致"))</x:f>
        <x:v>AmountIncludingTax缺失</x:v>
      </x:c>
      <x:c r="F3295" s="19" t="str">
        <x:v>approved</x:v>
      </x:c>
      <x:c r="G3295" s="19" t="str">
        <x:v>Repair in Progress</x:v>
      </x:c>
      <x:c r="H3295" s="19" t="str">
        <x:v>Pre Delivery</x:v>
      </x:c>
      <x:c r="I3295" s="37" t="n">
        <x:v>46127</x:v>
      </x:c>
      <x:c r="J3295" s="37" t="n">
        <x:v>46127</x:v>
      </x:c>
      <x:c r="K3295" s="19" t="str">
        <x:v>Snowy River Frankston</x:v>
      </x:c>
      <x:c r="L3295" s="19" t="str">
        <x:v>Z005</x:v>
      </x:c>
      <x:c r="M3295" s="19" t="str">
        <x:v>Pre Delivery Warranty Claims</x:v>
      </x:c>
      <x:c r="N3295" s="37" t="n">
        <x:v>46072</x:v>
      </x:c>
      <x:c r="O3295" s="37"/>
      <x:c r="P3295" s="34" t="n">
        <x:v>0</x:v>
      </x:c>
      <x:c r="Q3295" s="37" t="n">
        <x:v>46127.17668981481</x:v>
      </x:c>
    </x:row>
    <x:row r="3296">
      <x:c r="A3296" s="22" t="n">
        <x:v>31440</x:v>
      </x:c>
      <x:c r="B3296" s="28" t="n">
        <x:v>337.5</x:v>
      </x:c>
      <x:c r="C3296" s="28"/>
      <x:c r="D3296" s="31" t="str">
        <x:f>IF(OR(ISBLANK(B3296),ISBLANK(C3296),B3296=0),"",(C3296-B3296)/B3296)</x:f>
      </x:c>
      <x:c r="E3296" s="22" t="str">
        <x:f>IF(ISBLANK(C3296),"AmountIncludingTax缺失",IF(ABS(B3296-C3296)&lt;0.005,"一致","不一致"))</x:f>
        <x:v>AmountIncludingTax缺失</x:v>
      </x:c>
      <x:c r="F3296" s="19" t="str">
        <x:v>approved</x:v>
      </x:c>
      <x:c r="G3296" s="19" t="str">
        <x:v>Repair in Progress</x:v>
      </x:c>
      <x:c r="H3296" s="19" t="str">
        <x:v>In Field</x:v>
      </x:c>
      <x:c r="I3296" s="37" t="n">
        <x:v>46134</x:v>
      </x:c>
      <x:c r="J3296" s="37" t="n">
        <x:v>46134</x:v>
      </x:c>
      <x:c r="K3296" s="19" t="str">
        <x:v>Not Assigned</x:v>
      </x:c>
      <x:c r="L3296" s="19" t="str">
        <x:v>Z006</x:v>
      </x:c>
      <x:c r="M3296" s="19" t="str">
        <x:v>In Field Warranty Claims</x:v>
      </x:c>
      <x:c r="N3296" s="37" t="n">
        <x:v>46073</x:v>
      </x:c>
      <x:c r="O3296" s="37"/>
      <x:c r="P3296" s="34" t="n">
        <x:v>0</x:v>
      </x:c>
      <x:c r="Q3296" s="37" t="n">
        <x:v>46134.03429398148</x:v>
      </x:c>
    </x:row>
    <x:row r="3297">
      <x:c r="A3297" s="22" t="n">
        <x:v>31438</x:v>
      </x:c>
      <x:c r="B3297" s="28" t="n">
        <x:v>1207.5</x:v>
      </x:c>
      <x:c r="C3297" s="28"/>
      <x:c r="D3297" s="31" t="str">
        <x:f>IF(OR(ISBLANK(B3297),ISBLANK(C3297),B3297=0),"",(C3297-B3297)/B3297)</x:f>
      </x:c>
      <x:c r="E3297" s="22" t="str">
        <x:f>IF(ISBLANK(C3297),"AmountIncludingTax缺失",IF(ABS(B3297-C3297)&lt;0.005,"一致","不一致"))</x:f>
        <x:v>AmountIncludingTax缺失</x:v>
      </x:c>
      <x:c r="F3297" s="19" t="str">
        <x:v>approved</x:v>
      </x:c>
      <x:c r="G3297" s="19" t="str">
        <x:v>Repair in Progress</x:v>
      </x:c>
      <x:c r="H3297" s="19" t="str">
        <x:v>In Field</x:v>
      </x:c>
      <x:c r="I3297" s="37" t="n">
        <x:v>46097</x:v>
      </x:c>
      <x:c r="J3297" s="37" t="n">
        <x:v>46097</x:v>
      </x:c>
      <x:c r="K3297" s="19" t="str">
        <x:v>Green RV - Forest Glen</x:v>
      </x:c>
      <x:c r="L3297" s="19" t="str">
        <x:v>Z006</x:v>
      </x:c>
      <x:c r="M3297" s="19" t="str">
        <x:v>In Field Warranty Claims</x:v>
      </x:c>
      <x:c r="N3297" s="37" t="n">
        <x:v>46073</x:v>
      </x:c>
      <x:c r="O3297" s="37"/>
      <x:c r="P3297" s="34" t="n">
        <x:v>0</x:v>
      </x:c>
      <x:c r="Q3297" s="37" t="n">
        <x:v>46097.144155092596</x:v>
      </x:c>
    </x:row>
    <x:row r="3298">
      <x:c r="A3298" s="22" t="n">
        <x:v>31436</x:v>
      </x:c>
      <x:c r="B3298" s="28" t="n">
        <x:v>540</x:v>
      </x:c>
      <x:c r="C3298" s="28"/>
      <x:c r="D3298" s="31" t="str">
        <x:f>IF(OR(ISBLANK(B3298),ISBLANK(C3298),B3298=0),"",(C3298-B3298)/B3298)</x:f>
      </x:c>
      <x:c r="E3298" s="22" t="str">
        <x:f>IF(ISBLANK(C3298),"AmountIncludingTax缺失",IF(ABS(B3298-C3298)&lt;0.005,"一致","不一致"))</x:f>
        <x:v>AmountIncludingTax缺失</x:v>
      </x:c>
      <x:c r="F3298" s="19" t="str">
        <x:v>approved</x:v>
      </x:c>
      <x:c r="G3298" s="19" t="str">
        <x:v>Repairer Invoiced Processed</x:v>
      </x:c>
      <x:c r="H3298" s="19" t="str">
        <x:v>In Field</x:v>
      </x:c>
      <x:c r="I3298" s="37" t="n">
        <x:v>46087</x:v>
      </x:c>
      <x:c r="J3298" s="37" t="n">
        <x:v>46087</x:v>
      </x:c>
      <x:c r="K3298" s="19" t="str">
        <x:v>Green RV - Forest Glen</x:v>
      </x:c>
      <x:c r="L3298" s="19" t="str">
        <x:v>Z006</x:v>
      </x:c>
      <x:c r="M3298" s="19" t="str">
        <x:v>In Field Warranty Claims</x:v>
      </x:c>
      <x:c r="N3298" s="37" t="n">
        <x:v>46072</x:v>
      </x:c>
      <x:c r="O3298" s="37"/>
      <x:c r="P3298" s="34" t="n">
        <x:v>0</x:v>
      </x:c>
      <x:c r="Q3298" s="37" t="n">
        <x:v>46086.951585648145</x:v>
      </x:c>
    </x:row>
    <x:row r="3299">
      <x:c r="A3299" s="22" t="n">
        <x:v>31435</x:v>
      </x:c>
      <x:c r="B3299" s="28" t="n">
        <x:v>1080</x:v>
      </x:c>
      <x:c r="C3299" s="28"/>
      <x:c r="D3299" s="31" t="str">
        <x:f>IF(OR(ISBLANK(B3299),ISBLANK(C3299),B3299=0),"",(C3299-B3299)/B3299)</x:f>
      </x:c>
      <x:c r="E3299" s="22" t="str">
        <x:f>IF(ISBLANK(C3299),"AmountIncludingTax缺失",IF(ABS(B3299-C3299)&lt;0.005,"一致","不一致"))</x:f>
        <x:v>AmountIncludingTax缺失</x:v>
      </x:c>
      <x:c r="F3299" s="19" t="str">
        <x:v>approved</x:v>
      </x:c>
      <x:c r="G3299" s="19" t="str">
        <x:v>Repair in Progress</x:v>
      </x:c>
      <x:c r="H3299" s="19" t="str">
        <x:v>Pre Delivery</x:v>
      </x:c>
      <x:c r="I3299" s="37" t="n">
        <x:v>46133</x:v>
      </x:c>
      <x:c r="J3299" s="37" t="n">
        <x:v>46133</x:v>
      </x:c>
      <x:c r="K3299" s="19" t="str">
        <x:v>Snowy River Launceston</x:v>
      </x:c>
      <x:c r="L3299" s="19" t="str">
        <x:v>Z005</x:v>
      </x:c>
      <x:c r="M3299" s="19" t="str">
        <x:v>Pre Delivery Warranty Claims</x:v>
      </x:c>
      <x:c r="N3299" s="37" t="n">
        <x:v>46072</x:v>
      </x:c>
      <x:c r="O3299" s="37"/>
      <x:c r="P3299" s="34" t="n">
        <x:v>0</x:v>
      </x:c>
      <x:c r="Q3299" s="37" t="n">
        <x:v>46133.15090277778</x:v>
      </x:c>
    </x:row>
    <x:row r="3300">
      <x:c r="A3300" s="22" t="n">
        <x:v>31434</x:v>
      </x:c>
      <x:c r="B3300" s="28" t="n">
        <x:v>212.5</x:v>
      </x:c>
      <x:c r="C3300" s="28"/>
      <x:c r="D3300" s="31" t="str">
        <x:f>IF(OR(ISBLANK(B3300),ISBLANK(C3300),B3300=0),"",(C3300-B3300)/B3300)</x:f>
      </x:c>
      <x:c r="E3300" s="22" t="str">
        <x:f>IF(ISBLANK(C3300),"AmountIncludingTax缺失",IF(ABS(B3300-C3300)&lt;0.005,"一致","不一致"))</x:f>
        <x:v>AmountIncludingTax缺失</x:v>
      </x:c>
      <x:c r="F3300" s="19" t="str">
        <x:v>approved</x:v>
      </x:c>
      <x:c r="G3300" s="19" t="str">
        <x:v>Repair in Progress</x:v>
      </x:c>
      <x:c r="H3300" s="19" t="str">
        <x:v>In Field</x:v>
      </x:c>
      <x:c r="I3300" s="37" t="n">
        <x:v>46119</x:v>
      </x:c>
      <x:c r="J3300" s="37" t="n">
        <x:v>46119</x:v>
      </x:c>
      <x:c r="K3300" s="19" t="str">
        <x:v>ABCO Caravans - Boambee Valley</x:v>
      </x:c>
      <x:c r="L3300" s="19" t="str">
        <x:v>Z006</x:v>
      </x:c>
      <x:c r="M3300" s="19" t="str">
        <x:v>In Field Warranty Claims</x:v>
      </x:c>
      <x:c r="N3300" s="37" t="n">
        <x:v>46072</x:v>
      </x:c>
      <x:c r="O3300" s="37"/>
      <x:c r="P3300" s="34" t="n">
        <x:v>0</x:v>
      </x:c>
      <x:c r="Q3300" s="37" t="n">
        <x:v>46119.133564814816</x:v>
      </x:c>
    </x:row>
    <x:row r="3301">
      <x:c r="A3301" s="22" t="n">
        <x:v>31432</x:v>
      </x:c>
      <x:c r="B3301" s="28" t="n">
        <x:v>101.25</x:v>
      </x:c>
      <x:c r="C3301" s="28"/>
      <x:c r="D3301" s="31" t="str">
        <x:f>IF(OR(ISBLANK(B3301),ISBLANK(C3301),B3301=0),"",(C3301-B3301)/B3301)</x:f>
      </x:c>
      <x:c r="E3301" s="22" t="str">
        <x:f>IF(ISBLANK(C3301),"AmountIncludingTax缺失",IF(ABS(B3301-C3301)&lt;0.005,"一致","不一致"))</x:f>
        <x:v>AmountIncludingTax缺失</x:v>
      </x:c>
      <x:c r="F3301" s="19" t="str">
        <x:v>approved</x:v>
      </x:c>
      <x:c r="G3301" s="19" t="str">
        <x:v>Repair in Progress</x:v>
      </x:c>
      <x:c r="H3301" s="19" t="str">
        <x:v>In Field</x:v>
      </x:c>
      <x:c r="I3301" s="37" t="n">
        <x:v>46093</x:v>
      </x:c>
      <x:c r="J3301" s="37" t="n">
        <x:v>46093</x:v>
      </x:c>
      <x:c r="K3301" s="19" t="str">
        <x:v>Newcastle RV Super Centre - Beresfield</x:v>
      </x:c>
      <x:c r="L3301" s="19" t="str">
        <x:v>Z006</x:v>
      </x:c>
      <x:c r="M3301" s="19" t="str">
        <x:v>In Field Warranty Claims</x:v>
      </x:c>
      <x:c r="N3301" s="37" t="n">
        <x:v>46072</x:v>
      </x:c>
      <x:c r="O3301" s="37"/>
      <x:c r="P3301" s="34" t="n">
        <x:v>0</x:v>
      </x:c>
      <x:c r="Q3301" s="37" t="n">
        <x:v>46093.26011574074</x:v>
      </x:c>
    </x:row>
    <x:row r="3302">
      <x:c r="A3302" s="22" t="n">
        <x:v>31431</x:v>
      </x:c>
      <x:c r="B3302" s="28" t="n">
        <x:v>272.73</x:v>
      </x:c>
      <x:c r="C3302" s="28" t="n">
        <x:v>300</x:v>
      </x:c>
      <x:c r="D3302" s="31" t="n">
        <x:f>IF(OR(ISBLANK(B3302),ISBLANK(C3302),B3302=0),"",(C3302-B3302)/B3302)</x:f>
        <x:v>0.09998900010999882</x:v>
      </x:c>
      <x:c r="E3302" s="22" t="str">
        <x:f>IF(ISBLANK(C3302),"AmountIncludingTax缺失",IF(ABS(B3302-C3302)&lt;0.005,"一致","不一致"))</x:f>
        <x:v>不一致</x:v>
      </x:c>
      <x:c r="F3302" s="19" t="str">
        <x:v>approved</x:v>
      </x:c>
      <x:c r="G3302" s="19" t="str">
        <x:v>Repairer Invoiced Processed</x:v>
      </x:c>
      <x:c r="H3302" s="19" t="str">
        <x:v>In Field</x:v>
      </x:c>
      <x:c r="I3302" s="37" t="n">
        <x:v>46077</x:v>
      </x:c>
      <x:c r="J3302" s="37" t="n">
        <x:v>46077</x:v>
      </x:c>
      <x:c r="K3302" s="19" t="str">
        <x:v>Green RV - Forest Glen</x:v>
      </x:c>
      <x:c r="L3302" s="19" t="str">
        <x:v>Z006</x:v>
      </x:c>
      <x:c r="M3302" s="19" t="str">
        <x:v>In Field Warranty Claims</x:v>
      </x:c>
      <x:c r="N3302" s="37" t="n">
        <x:v>46072</x:v>
      </x:c>
      <x:c r="O3302" s="37"/>
      <x:c r="P3302" s="34" t="n">
        <x:v>300</x:v>
      </x:c>
      <x:c r="Q3302" s="37" t="n">
        <x:v>46077.15655092592</x:v>
      </x:c>
    </x:row>
    <x:row r="3303">
      <x:c r="A3303" s="22" t="n">
        <x:v>31429</x:v>
      </x:c>
      <x:c r="B3303" s="28" t="n">
        <x:v>1640</x:v>
      </x:c>
      <x:c r="C3303" s="28"/>
      <x:c r="D3303" s="31" t="str">
        <x:f>IF(OR(ISBLANK(B3303),ISBLANK(C3303),B3303=0),"",(C3303-B3303)/B3303)</x:f>
      </x:c>
      <x:c r="E3303" s="22" t="str">
        <x:f>IF(ISBLANK(C3303),"AmountIncludingTax缺失",IF(ABS(B3303-C3303)&lt;0.005,"一致","不一致"))</x:f>
        <x:v>AmountIncludingTax缺失</x:v>
      </x:c>
      <x:c r="F3303" s="19" t="str">
        <x:v>approved</x:v>
      </x:c>
      <x:c r="G3303" s="19" t="str">
        <x:v>Repair in Progress</x:v>
      </x:c>
      <x:c r="H3303" s="19" t="str">
        <x:v>In Field</x:v>
      </x:c>
      <x:c r="I3303" s="37" t="n">
        <x:v>46142</x:v>
      </x:c>
      <x:c r="J3303" s="37" t="n">
        <x:v>46142</x:v>
      </x:c>
      <x:c r="K3303" s="19" t="str">
        <x:v>ABCO Caravans - Boambee Valley</x:v>
      </x:c>
      <x:c r="L3303" s="19" t="str">
        <x:v>Z006</x:v>
      </x:c>
      <x:c r="M3303" s="19" t="str">
        <x:v>In Field Warranty Claims</x:v>
      </x:c>
      <x:c r="N3303" s="37" t="n">
        <x:v>46072</x:v>
      </x:c>
      <x:c r="O3303" s="37"/>
      <x:c r="P3303" s="34" t="n">
        <x:v>0</x:v>
      </x:c>
      <x:c r="Q3303" s="37" t="n">
        <x:v>46141.86505787037</x:v>
      </x:c>
    </x:row>
    <x:row r="3304">
      <x:c r="A3304" s="22" t="n">
        <x:v>31425</x:v>
      </x:c>
      <x:c r="B3304" s="28" t="n">
        <x:v>544.55</x:v>
      </x:c>
      <x:c r="C3304" s="28"/>
      <x:c r="D3304" s="31" t="str">
        <x:f>IF(OR(ISBLANK(B3304),ISBLANK(C3304),B3304=0),"",(C3304-B3304)/B3304)</x:f>
      </x:c>
      <x:c r="E3304" s="22" t="str">
        <x:f>IF(ISBLANK(C3304),"AmountIncludingTax缺失",IF(ABS(B3304-C3304)&lt;0.005,"一致","不一致"))</x:f>
        <x:v>AmountIncludingTax缺失</x:v>
      </x:c>
      <x:c r="F3304" s="19" t="str">
        <x:v>approved</x:v>
      </x:c>
      <x:c r="G3304" s="19" t="str">
        <x:v>Repairer Invoiced Processed</x:v>
      </x:c>
      <x:c r="H3304" s="19" t="str">
        <x:v>In Field</x:v>
      </x:c>
      <x:c r="I3304" s="37" t="n">
        <x:v>46093</x:v>
      </x:c>
      <x:c r="J3304" s="37" t="n">
        <x:v>46093</x:v>
      </x:c>
      <x:c r="K3304" s="19" t="str">
        <x:v>Regent RV - Toowoomba</x:v>
      </x:c>
      <x:c r="L3304" s="19" t="str">
        <x:v>Z006</x:v>
      </x:c>
      <x:c r="M3304" s="19" t="str">
        <x:v>In Field Warranty Claims</x:v>
      </x:c>
      <x:c r="N3304" s="37" t="n">
        <x:v>46072</x:v>
      </x:c>
      <x:c r="O3304" s="37"/>
      <x:c r="P3304" s="34" t="n">
        <x:v>0</x:v>
      </x:c>
      <x:c r="Q3304" s="37" t="n">
        <x:v>46093.25822916667</x:v>
      </x:c>
    </x:row>
    <x:row r="3305">
      <x:c r="A3305" s="22" t="n">
        <x:v>31424</x:v>
      </x:c>
      <x:c r="B3305" s="28" t="n">
        <x:v>917.5</x:v>
      </x:c>
      <x:c r="C3305" s="28"/>
      <x:c r="D3305" s="31" t="str">
        <x:f>IF(OR(ISBLANK(B3305),ISBLANK(C3305),B3305=0),"",(C3305-B3305)/B3305)</x:f>
      </x:c>
      <x:c r="E3305" s="22" t="str">
        <x:f>IF(ISBLANK(C3305),"AmountIncludingTax缺失",IF(ABS(B3305-C3305)&lt;0.005,"一致","不一致"))</x:f>
        <x:v>AmountIncludingTax缺失</x:v>
      </x:c>
      <x:c r="F3305" s="19" t="str">
        <x:v>approved</x:v>
      </x:c>
      <x:c r="G3305" s="19" t="str">
        <x:v>Repairer Invoiced Processed</x:v>
      </x:c>
      <x:c r="H3305" s="19" t="str">
        <x:v>In Field</x:v>
      </x:c>
      <x:c r="I3305" s="37" t="n">
        <x:v>46077</x:v>
      </x:c>
      <x:c r="J3305" s="37" t="n">
        <x:v>46077</x:v>
      </x:c>
      <x:c r="K3305" s="19" t="str">
        <x:v>Green RV - Forest Glen</x:v>
      </x:c>
      <x:c r="L3305" s="19" t="str">
        <x:v>Z006</x:v>
      </x:c>
      <x:c r="M3305" s="19" t="str">
        <x:v>In Field Warranty Claims</x:v>
      </x:c>
      <x:c r="N3305" s="37" t="n">
        <x:v>46072</x:v>
      </x:c>
      <x:c r="O3305" s="37"/>
      <x:c r="P3305" s="34" t="n">
        <x:v>0</x:v>
      </x:c>
      <x:c r="Q3305" s="37" t="n">
        <x:v>46077.16856481481</x:v>
      </x:c>
    </x:row>
    <x:row r="3306">
      <x:c r="A3306" s="22" t="n">
        <x:v>31423</x:v>
      </x:c>
      <x:c r="B3306" s="28" t="n">
        <x:v>506.25</x:v>
      </x:c>
      <x:c r="C3306" s="28"/>
      <x:c r="D3306" s="31" t="str">
        <x:f>IF(OR(ISBLANK(B3306),ISBLANK(C3306),B3306=0),"",(C3306-B3306)/B3306)</x:f>
      </x:c>
      <x:c r="E3306" s="22" t="str">
        <x:f>IF(ISBLANK(C3306),"AmountIncludingTax缺失",IF(ABS(B3306-C3306)&lt;0.005,"一致","不一致"))</x:f>
        <x:v>AmountIncludingTax缺失</x:v>
      </x:c>
      <x:c r="F3306" s="19" t="str">
        <x:v>approved</x:v>
      </x:c>
      <x:c r="G3306" s="19" t="str">
        <x:v>Repair in Progress</x:v>
      </x:c>
      <x:c r="H3306" s="19" t="str">
        <x:v>Pre Delivery</x:v>
      </x:c>
      <x:c r="I3306" s="37" t="n">
        <x:v>46084</x:v>
      </x:c>
      <x:c r="J3306" s="37" t="n">
        <x:v>46084</x:v>
      </x:c>
      <x:c r="K3306" s="19" t="str">
        <x:v>Great Ocean Road RV &amp; Caravans - Warrnambool</x:v>
      </x:c>
      <x:c r="L3306" s="19" t="str">
        <x:v>Z005</x:v>
      </x:c>
      <x:c r="M3306" s="19" t="str">
        <x:v>Pre Delivery Warranty Claims</x:v>
      </x:c>
      <x:c r="N3306" s="37" t="n">
        <x:v>46072</x:v>
      </x:c>
      <x:c r="O3306" s="37"/>
      <x:c r="P3306" s="34" t="n">
        <x:v>0</x:v>
      </x:c>
      <x:c r="Q3306" s="37" t="n">
        <x:v>46084.03978009259</x:v>
      </x:c>
    </x:row>
    <x:row r="3307">
      <x:c r="A3307" s="22" t="n">
        <x:v>31422</x:v>
      </x:c>
      <x:c r="B3307" s="28" t="n">
        <x:v>135</x:v>
      </x:c>
      <x:c r="C3307" s="28"/>
      <x:c r="D3307" s="31" t="str">
        <x:f>IF(OR(ISBLANK(B3307),ISBLANK(C3307),B3307=0),"",(C3307-B3307)/B3307)</x:f>
      </x:c>
      <x:c r="E3307" s="22" t="str">
        <x:f>IF(ISBLANK(C3307),"AmountIncludingTax缺失",IF(ABS(B3307-C3307)&lt;0.005,"一致","不一致"))</x:f>
        <x:v>AmountIncludingTax缺失</x:v>
      </x:c>
      <x:c r="F3307" s="19" t="str">
        <x:v>approved</x:v>
      </x:c>
      <x:c r="G3307" s="19" t="str">
        <x:v>Repairer Invoiced Processed</x:v>
      </x:c>
      <x:c r="H3307" s="19" t="str">
        <x:v>In Field</x:v>
      </x:c>
      <x:c r="I3307" s="37" t="n">
        <x:v>46185</x:v>
      </x:c>
      <x:c r="J3307" s="37" t="n">
        <x:v>46101</x:v>
      </x:c>
      <x:c r="K3307" s="19" t="str">
        <x:v>Green RV - Forest Glen</x:v>
      </x:c>
      <x:c r="L3307" s="19" t="str">
        <x:v>Z006</x:v>
      </x:c>
      <x:c r="M3307" s="19" t="str">
        <x:v>In Field Warranty Claims</x:v>
      </x:c>
      <x:c r="N3307" s="37" t="n">
        <x:v>46072</x:v>
      </x:c>
      <x:c r="O3307" s="37"/>
      <x:c r="P3307" s="34" t="n">
        <x:v>0</x:v>
      </x:c>
      <x:c r="Q3307" s="37" t="n">
        <x:v>46185.03313657407</x:v>
      </x:c>
    </x:row>
    <x:row r="3308">
      <x:c r="A3308" s="22" t="n">
        <x:v>31421</x:v>
      </x:c>
      <x:c r="B3308" s="28" t="n">
        <x:v>695</x:v>
      </x:c>
      <x:c r="C3308" s="28" t="n">
        <x:v>764.5</x:v>
      </x:c>
      <x:c r="D3308" s="31" t="n">
        <x:f>IF(OR(ISBLANK(B3308),ISBLANK(C3308),B3308=0),"",(C3308-B3308)/B3308)</x:f>
        <x:v>0.1</x:v>
      </x:c>
      <x:c r="E3308" s="22" t="str">
        <x:f>IF(ISBLANK(C3308),"AmountIncludingTax缺失",IF(ABS(B3308-C3308)&lt;0.005,"一致","不一致"))</x:f>
        <x:v>不一致</x:v>
      </x:c>
      <x:c r="F3308" s="19" t="str">
        <x:v>approved</x:v>
      </x:c>
      <x:c r="G3308" s="19" t="str">
        <x:v>Repairer Invoiced Processed</x:v>
      </x:c>
      <x:c r="H3308" s="19" t="str">
        <x:v>In Field</x:v>
      </x:c>
      <x:c r="I3308" s="37" t="n">
        <x:v>46113</x:v>
      </x:c>
      <x:c r="J3308" s="37" t="n">
        <x:v>46113</x:v>
      </x:c>
      <x:c r="K3308" s="19" t="str">
        <x:v>ABCO Caravans - Boambee Valley</x:v>
      </x:c>
      <x:c r="L3308" s="19" t="str">
        <x:v>Z006</x:v>
      </x:c>
      <x:c r="M3308" s="19" t="str">
        <x:v>In Field Warranty Claims</x:v>
      </x:c>
      <x:c r="N3308" s="37" t="n">
        <x:v>46072</x:v>
      </x:c>
      <x:c r="O3308" s="37"/>
      <x:c r="P3308" s="34" t="n">
        <x:v>764.5</x:v>
      </x:c>
      <x:c r="Q3308" s="37" t="n">
        <x:v>46112.92429398148</x:v>
      </x:c>
    </x:row>
    <x:row r="3309">
      <x:c r="A3309" s="22" t="n">
        <x:v>31419</x:v>
      </x:c>
      <x:c r="B3309" s="28" t="n">
        <x:v>725.27</x:v>
      </x:c>
      <x:c r="C3309" s="28" t="n">
        <x:v>656.66</x:v>
      </x:c>
      <x:c r="D3309" s="31" t="n">
        <x:f>IF(OR(ISBLANK(B3309),ISBLANK(C3309),B3309=0),"",(C3309-B3309)/B3309)</x:f>
        <x:v>-0.0945992526921009</x:v>
      </x:c>
      <x:c r="E3309" s="22" t="str">
        <x:f>IF(ISBLANK(C3309),"AmountIncludingTax缺失",IF(ABS(B3309-C3309)&lt;0.005,"一致","不一致"))</x:f>
        <x:v>不一致</x:v>
      </x:c>
      <x:c r="F3309" s="19" t="str">
        <x:v>approved</x:v>
      </x:c>
      <x:c r="G3309" s="19" t="str">
        <x:v>Repairer Invoiced Processed</x:v>
      </x:c>
      <x:c r="H3309" s="19" t="str">
        <x:v>In Field</x:v>
      </x:c>
      <x:c r="I3309" s="37" t="n">
        <x:v>46122</x:v>
      </x:c>
      <x:c r="J3309" s="37" t="n">
        <x:v>46103</x:v>
      </x:c>
      <x:c r="K3309" s="19" t="str">
        <x:v>Vanari Caravans - Marden Point</x:v>
      </x:c>
      <x:c r="L3309" s="19" t="str">
        <x:v>Z006</x:v>
      </x:c>
      <x:c r="M3309" s="19" t="str">
        <x:v>In Field Warranty Claims</x:v>
      </x:c>
      <x:c r="N3309" s="37" t="n">
        <x:v>46072</x:v>
      </x:c>
      <x:c r="O3309" s="37"/>
      <x:c r="P3309" s="34" t="n">
        <x:v>656.66</x:v>
      </x:c>
      <x:c r="Q3309" s="37" t="n">
        <x:v>46122.07381944444</x:v>
      </x:c>
    </x:row>
    <x:row r="3310">
      <x:c r="A3310" s="22" t="n">
        <x:v>31418</x:v>
      </x:c>
      <x:c r="B3310" s="28" t="n">
        <x:v>1018.75</x:v>
      </x:c>
      <x:c r="C3310" s="28"/>
      <x:c r="D3310" s="31" t="str">
        <x:f>IF(OR(ISBLANK(B3310),ISBLANK(C3310),B3310=0),"",(C3310-B3310)/B3310)</x:f>
      </x:c>
      <x:c r="E3310" s="22" t="str">
        <x:f>IF(ISBLANK(C3310),"AmountIncludingTax缺失",IF(ABS(B3310-C3310)&lt;0.005,"一致","不一致"))</x:f>
        <x:v>AmountIncludingTax缺失</x:v>
      </x:c>
      <x:c r="F3310" s="19" t="str">
        <x:v>approved</x:v>
      </x:c>
      <x:c r="G3310" s="19" t="str">
        <x:v>Repair in Progress</x:v>
      </x:c>
      <x:c r="H3310" s="19" t="str">
        <x:v>In Field</x:v>
      </x:c>
      <x:c r="I3310" s="37" t="n">
        <x:v>46135</x:v>
      </x:c>
      <x:c r="J3310" s="37" t="n">
        <x:v>46135</x:v>
      </x:c>
      <x:c r="K3310" s="19" t="str">
        <x:v>Not Assigned</x:v>
      </x:c>
      <x:c r="L3310" s="19" t="str">
        <x:v>Z006</x:v>
      </x:c>
      <x:c r="M3310" s="19" t="str">
        <x:v>In Field Warranty Claims</x:v>
      </x:c>
      <x:c r="N3310" s="37" t="n">
        <x:v>46072</x:v>
      </x:c>
      <x:c r="O3310" s="37"/>
      <x:c r="P3310" s="34" t="n">
        <x:v>0</x:v>
      </x:c>
      <x:c r="Q3310" s="37" t="n">
        <x:v>46134.952256944445</x:v>
      </x:c>
    </x:row>
    <x:row r="3311">
      <x:c r="A3311" s="22" t="n">
        <x:v>31417</x:v>
      </x:c>
      <x:c r="B3311" s="28" t="n">
        <x:v>236.25</x:v>
      </x:c>
      <x:c r="C3311" s="28"/>
      <x:c r="D3311" s="31" t="str">
        <x:f>IF(OR(ISBLANK(B3311),ISBLANK(C3311),B3311=0),"",(C3311-B3311)/B3311)</x:f>
      </x:c>
      <x:c r="E3311" s="22" t="str">
        <x:f>IF(ISBLANK(C3311),"AmountIncludingTax缺失",IF(ABS(B3311-C3311)&lt;0.005,"一致","不一致"))</x:f>
        <x:v>AmountIncludingTax缺失</x:v>
      </x:c>
      <x:c r="F3311" s="19" t="str">
        <x:v>approved</x:v>
      </x:c>
      <x:c r="G3311" s="19" t="str">
        <x:v>Repair in Progress</x:v>
      </x:c>
      <x:c r="H3311" s="19" t="str">
        <x:v>Pre Delivery</x:v>
      </x:c>
      <x:c r="I3311" s="37" t="n">
        <x:v>46134</x:v>
      </x:c>
      <x:c r="J3311" s="37" t="n">
        <x:v>46134</x:v>
      </x:c>
      <x:c r="K3311" s="19" t="str">
        <x:v>Great Ocean Road RV &amp; Caravans - Warrnambool</x:v>
      </x:c>
      <x:c r="L3311" s="19" t="str">
        <x:v>Z005</x:v>
      </x:c>
      <x:c r="M3311" s="19" t="str">
        <x:v>Pre Delivery Warranty Claims</x:v>
      </x:c>
      <x:c r="N3311" s="37" t="n">
        <x:v>46072</x:v>
      </x:c>
      <x:c r="O3311" s="37"/>
      <x:c r="P3311" s="34" t="n">
        <x:v>0</x:v>
      </x:c>
      <x:c r="Q3311" s="37" t="n">
        <x:v>46134.04243055556</x:v>
      </x:c>
    </x:row>
    <x:row r="3312">
      <x:c r="A3312" s="22" t="n">
        <x:v>31416</x:v>
      </x:c>
      <x:c r="B3312" s="28" t="n">
        <x:v>101.25</x:v>
      </x:c>
      <x:c r="C3312" s="28"/>
      <x:c r="D3312" s="31" t="str">
        <x:f>IF(OR(ISBLANK(B3312),ISBLANK(C3312),B3312=0),"",(C3312-B3312)/B3312)</x:f>
      </x:c>
      <x:c r="E3312" s="22" t="str">
        <x:f>IF(ISBLANK(C3312),"AmountIncludingTax缺失",IF(ABS(B3312-C3312)&lt;0.005,"一致","不一致"))</x:f>
        <x:v>AmountIncludingTax缺失</x:v>
      </x:c>
      <x:c r="F3312" s="19" t="str">
        <x:v>approved</x:v>
      </x:c>
      <x:c r="G3312" s="19" t="str">
        <x:v>Repairer Invoiced Processed</x:v>
      </x:c>
      <x:c r="H3312" s="19" t="str">
        <x:v>In Field</x:v>
      </x:c>
      <x:c r="I3312" s="37" t="n">
        <x:v>46133</x:v>
      </x:c>
      <x:c r="J3312" s="37" t="n">
        <x:v>46133</x:v>
      </x:c>
      <x:c r="K3312" s="19" t="str">
        <x:v>Not Assigned</x:v>
      </x:c>
      <x:c r="L3312" s="19" t="str">
        <x:v>Z006</x:v>
      </x:c>
      <x:c r="M3312" s="19" t="str">
        <x:v>In Field Warranty Claims</x:v>
      </x:c>
      <x:c r="N3312" s="37" t="n">
        <x:v>46072</x:v>
      </x:c>
      <x:c r="O3312" s="37"/>
      <x:c r="P3312" s="34" t="n">
        <x:v>0</x:v>
      </x:c>
      <x:c r="Q3312" s="37" t="n">
        <x:v>46133.056296296294</x:v>
      </x:c>
    </x:row>
    <x:row r="3313">
      <x:c r="A3313" s="22" t="n">
        <x:v>31415</x:v>
      </x:c>
      <x:c r="B3313" s="28" t="n">
        <x:v>135</x:v>
      </x:c>
      <x:c r="C3313" s="28"/>
      <x:c r="D3313" s="31" t="str">
        <x:f>IF(OR(ISBLANK(B3313),ISBLANK(C3313),B3313=0),"",(C3313-B3313)/B3313)</x:f>
      </x:c>
      <x:c r="E3313" s="22" t="str">
        <x:f>IF(ISBLANK(C3313),"AmountIncludingTax缺失",IF(ABS(B3313-C3313)&lt;0.005,"一致","不一致"))</x:f>
        <x:v>AmountIncludingTax缺失</x:v>
      </x:c>
      <x:c r="F3313" s="19" t="str">
        <x:v>approved</x:v>
      </x:c>
      <x:c r="G3313" s="19" t="str">
        <x:v>Repair in Progress</x:v>
      </x:c>
      <x:c r="H3313" s="19" t="str">
        <x:v>In Field</x:v>
      </x:c>
      <x:c r="I3313" s="37" t="n">
        <x:v>46134</x:v>
      </x:c>
      <x:c r="J3313" s="37" t="n">
        <x:v>46134</x:v>
      </x:c>
      <x:c r="K3313" s="19" t="str">
        <x:v>Not Assigned</x:v>
      </x:c>
      <x:c r="L3313" s="19" t="str">
        <x:v>Z006</x:v>
      </x:c>
      <x:c r="M3313" s="19" t="str">
        <x:v>In Field Warranty Claims</x:v>
      </x:c>
      <x:c r="N3313" s="37" t="n">
        <x:v>46072</x:v>
      </x:c>
      <x:c r="O3313" s="37"/>
      <x:c r="P3313" s="34" t="n">
        <x:v>0</x:v>
      </x:c>
      <x:c r="Q3313" s="37" t="n">
        <x:v>46134.03671296296</x:v>
      </x:c>
    </x:row>
    <x:row r="3314">
      <x:c r="A3314" s="22" t="n">
        <x:v>31414</x:v>
      </x:c>
      <x:c r="B3314" s="28" t="n">
        <x:v>82.5</x:v>
      </x:c>
      <x:c r="C3314" s="28"/>
      <x:c r="D3314" s="31" t="str">
        <x:f>IF(OR(ISBLANK(B3314),ISBLANK(C3314),B3314=0),"",(C3314-B3314)/B3314)</x:f>
      </x:c>
      <x:c r="E3314" s="22" t="str">
        <x:f>IF(ISBLANK(C3314),"AmountIncludingTax缺失",IF(ABS(B3314-C3314)&lt;0.005,"一致","不一致"))</x:f>
        <x:v>AmountIncludingTax缺失</x:v>
      </x:c>
      <x:c r="F3314" s="19" t="str">
        <x:v>approved</x:v>
      </x:c>
      <x:c r="G3314" s="19" t="str">
        <x:v>Repair in Progress</x:v>
      </x:c>
      <x:c r="H3314" s="19" t="str">
        <x:v>In Field</x:v>
      </x:c>
      <x:c r="I3314" s="37" t="n">
        <x:v>46092</x:v>
      </x:c>
      <x:c r="J3314" s="37" t="n">
        <x:v>46092</x:v>
      </x:c>
      <x:c r="K3314" s="19" t="str">
        <x:v>Regent RV - Frankston</x:v>
      </x:c>
      <x:c r="L3314" s="19" t="str">
        <x:v>Z006</x:v>
      </x:c>
      <x:c r="M3314" s="19" t="str">
        <x:v>In Field Warranty Claims</x:v>
      </x:c>
      <x:c r="N3314" s="37" t="n">
        <x:v>46072</x:v>
      </x:c>
      <x:c r="O3314" s="37"/>
      <x:c r="P3314" s="34" t="n">
        <x:v>0</x:v>
      </x:c>
      <x:c r="Q3314" s="37" t="n">
        <x:v>46091.8759375</x:v>
      </x:c>
    </x:row>
    <x:row r="3315">
      <x:c r="A3315" s="22" t="n">
        <x:v>31413</x:v>
      </x:c>
      <x:c r="B3315" s="28" t="n">
        <x:v>300</x:v>
      </x:c>
      <x:c r="C3315" s="28" t="n">
        <x:v>330</x:v>
      </x:c>
      <x:c r="D3315" s="31" t="n">
        <x:f>IF(OR(ISBLANK(B3315),ISBLANK(C3315),B3315=0),"",(C3315-B3315)/B3315)</x:f>
        <x:v>0.1</x:v>
      </x:c>
      <x:c r="E3315" s="22" t="str">
        <x:f>IF(ISBLANK(C3315),"AmountIncludingTax缺失",IF(ABS(B3315-C3315)&lt;0.005,"一致","不一致"))</x:f>
        <x:v>不一致</x:v>
      </x:c>
      <x:c r="F3315" s="19" t="str">
        <x:v>approved</x:v>
      </x:c>
      <x:c r="G3315" s="19" t="str">
        <x:v>Repairer Invoiced Processed</x:v>
      </x:c>
      <x:c r="H3315" s="19" t="str">
        <x:v>In Field</x:v>
      </x:c>
      <x:c r="I3315" s="37" t="n">
        <x:v>46086</x:v>
      </x:c>
      <x:c r="J3315" s="37" t="n">
        <x:v>46086</x:v>
      </x:c>
      <x:c r="K3315" s="19" t="str">
        <x:v>Green RV - Forest Glen</x:v>
      </x:c>
      <x:c r="L3315" s="19" t="str">
        <x:v>Z006</x:v>
      </x:c>
      <x:c r="M3315" s="19" t="str">
        <x:v>In Field Warranty Claims</x:v>
      </x:c>
      <x:c r="N3315" s="37" t="n">
        <x:v>46072</x:v>
      </x:c>
      <x:c r="O3315" s="37"/>
      <x:c r="P3315" s="34" t="n">
        <x:v>330</x:v>
      </x:c>
      <x:c r="Q3315" s="37" t="n">
        <x:v>46086.48898148148</x:v>
      </x:c>
    </x:row>
    <x:row r="3316">
      <x:c r="A3316" s="22" t="n">
        <x:v>31411</x:v>
      </x:c>
      <x:c r="B3316" s="28" t="n">
        <x:v>1215</x:v>
      </x:c>
      <x:c r="C3316" s="28"/>
      <x:c r="D3316" s="31" t="str">
        <x:f>IF(OR(ISBLANK(B3316),ISBLANK(C3316),B3316=0),"",(C3316-B3316)/B3316)</x:f>
      </x:c>
      <x:c r="E3316" s="22" t="str">
        <x:f>IF(ISBLANK(C3316),"AmountIncludingTax缺失",IF(ABS(B3316-C3316)&lt;0.005,"一致","不一致"))</x:f>
        <x:v>AmountIncludingTax缺失</x:v>
      </x:c>
      <x:c r="F3316" s="19" t="str">
        <x:v>approved</x:v>
      </x:c>
      <x:c r="G3316" s="19" t="str">
        <x:v>Repair in Progress</x:v>
      </x:c>
      <x:c r="H3316" s="19" t="str">
        <x:v>In Field</x:v>
      </x:c>
      <x:c r="I3316" s="37" t="n">
        <x:v>46097</x:v>
      </x:c>
      <x:c r="J3316" s="37" t="n">
        <x:v>46097</x:v>
      </x:c>
      <x:c r="K3316" s="19" t="str">
        <x:v>Green RV - Forest Glen</x:v>
      </x:c>
      <x:c r="L3316" s="19" t="str">
        <x:v>Z006</x:v>
      </x:c>
      <x:c r="M3316" s="19" t="str">
        <x:v>In Field Warranty Claims</x:v>
      </x:c>
      <x:c r="N3316" s="37" t="n">
        <x:v>46072</x:v>
      </x:c>
      <x:c r="O3316" s="37"/>
      <x:c r="P3316" s="34" t="n">
        <x:v>0</x:v>
      </x:c>
      <x:c r="Q3316" s="37" t="n">
        <x:v>46097.14640046296</x:v>
      </x:c>
    </x:row>
    <x:row r="3317">
      <x:c r="A3317" s="22" t="n">
        <x:v>31409</x:v>
      </x:c>
      <x:c r="B3317" s="28" t="n">
        <x:v>258.08</x:v>
      </x:c>
      <x:c r="C3317" s="28" t="n">
        <x:v>283.89</x:v>
      </x:c>
      <x:c r="D3317" s="31" t="n">
        <x:f>IF(OR(ISBLANK(B3317),ISBLANK(C3317),B3317=0),"",(C3317-B3317)/B3317)</x:f>
        <x:v>0.10000774953502792</x:v>
      </x:c>
      <x:c r="E3317" s="22" t="str">
        <x:f>IF(ISBLANK(C3317),"AmountIncludingTax缺失",IF(ABS(B3317-C3317)&lt;0.005,"一致","不一致"))</x:f>
        <x:v>不一致</x:v>
      </x:c>
      <x:c r="F3317" s="19" t="str">
        <x:v>approved</x:v>
      </x:c>
      <x:c r="G3317" s="19" t="str">
        <x:v>Repairer Invoiced Processed</x:v>
      </x:c>
      <x:c r="H3317" s="19" t="str">
        <x:v>Pre Delivery</x:v>
      </x:c>
      <x:c r="I3317" s="37" t="n">
        <x:v>46092</x:v>
      </x:c>
      <x:c r="J3317" s="37" t="n">
        <x:v>46092</x:v>
      </x:c>
      <x:c r="K3317" s="19" t="str">
        <x:v>Great Ocean Road RV &amp; Caravans - Warrnambool</x:v>
      </x:c>
      <x:c r="L3317" s="19" t="str">
        <x:v>Z005</x:v>
      </x:c>
      <x:c r="M3317" s="19" t="str">
        <x:v>Pre Delivery Warranty Claims</x:v>
      </x:c>
      <x:c r="N3317" s="37" t="n">
        <x:v>46072</x:v>
      </x:c>
      <x:c r="O3317" s="37"/>
      <x:c r="P3317" s="34" t="n">
        <x:v>283.89</x:v>
      </x:c>
      <x:c r="Q3317" s="37" t="n">
        <x:v>46091.92854166667</x:v>
      </x:c>
    </x:row>
    <x:row r="3318">
      <x:c r="A3318" s="22" t="n">
        <x:v>31408</x:v>
      </x:c>
      <x:c r="B3318" s="28" t="n">
        <x:v>540</x:v>
      </x:c>
      <x:c r="C3318" s="28"/>
      <x:c r="D3318" s="31" t="str">
        <x:f>IF(OR(ISBLANK(B3318),ISBLANK(C3318),B3318=0),"",(C3318-B3318)/B3318)</x:f>
      </x:c>
      <x:c r="E3318" s="22" t="str">
        <x:f>IF(ISBLANK(C3318),"AmountIncludingTax缺失",IF(ABS(B3318-C3318)&lt;0.005,"一致","不一致"))</x:f>
        <x:v>AmountIncludingTax缺失</x:v>
      </x:c>
      <x:c r="F3318" s="19" t="str">
        <x:v>approved</x:v>
      </x:c>
      <x:c r="G3318" s="19" t="str">
        <x:v>Repair in Progress</x:v>
      </x:c>
      <x:c r="H3318" s="19" t="str">
        <x:v>In Field</x:v>
      </x:c>
      <x:c r="I3318" s="37" t="n">
        <x:v>46085</x:v>
      </x:c>
      <x:c r="J3318" s="37" t="n">
        <x:v>46085</x:v>
      </x:c>
      <x:c r="K3318" s="19" t="str">
        <x:v>Not Assigned</x:v>
      </x:c>
      <x:c r="L3318" s="19" t="str">
        <x:v>Z006</x:v>
      </x:c>
      <x:c r="M3318" s="19" t="str">
        <x:v>In Field Warranty Claims</x:v>
      </x:c>
      <x:c r="N3318" s="37" t="n">
        <x:v>46072</x:v>
      </x:c>
      <x:c r="O3318" s="37"/>
      <x:c r="P3318" s="34" t="n">
        <x:v>0</x:v>
      </x:c>
      <x:c r="Q3318" s="37" t="n">
        <x:v>46085.174421296295</x:v>
      </x:c>
    </x:row>
    <x:row r="3319">
      <x:c r="A3319" s="22" t="n">
        <x:v>31407</x:v>
      </x:c>
      <x:c r="B3319" s="28" t="n">
        <x:v>270</x:v>
      </x:c>
      <x:c r="C3319" s="28"/>
      <x:c r="D3319" s="31" t="str">
        <x:f>IF(OR(ISBLANK(B3319),ISBLANK(C3319),B3319=0),"",(C3319-B3319)/B3319)</x:f>
      </x:c>
      <x:c r="E3319" s="22" t="str">
        <x:f>IF(ISBLANK(C3319),"AmountIncludingTax缺失",IF(ABS(B3319-C3319)&lt;0.005,"一致","不一致"))</x:f>
        <x:v>AmountIncludingTax缺失</x:v>
      </x:c>
      <x:c r="F3319" s="19" t="str">
        <x:v>approved</x:v>
      </x:c>
      <x:c r="G3319" s="19" t="str">
        <x:v>Repair in Progress</x:v>
      </x:c>
      <x:c r="H3319" s="19" t="str">
        <x:v>In Field</x:v>
      </x:c>
      <x:c r="I3319" s="37" t="n">
        <x:v>46132</x:v>
      </x:c>
      <x:c r="J3319" s="37" t="n">
        <x:v>46132</x:v>
      </x:c>
      <x:c r="K3319" s="19" t="str">
        <x:v>Not Assigned</x:v>
      </x:c>
      <x:c r="L3319" s="19" t="str">
        <x:v>Z006</x:v>
      </x:c>
      <x:c r="M3319" s="19" t="str">
        <x:v>In Field Warranty Claims</x:v>
      </x:c>
      <x:c r="N3319" s="37" t="n">
        <x:v>46072</x:v>
      </x:c>
      <x:c r="O3319" s="37"/>
      <x:c r="P3319" s="34" t="n">
        <x:v>0</x:v>
      </x:c>
      <x:c r="Q3319" s="37" t="n">
        <x:v>46131.905706018515</x:v>
      </x:c>
    </x:row>
    <x:row r="3320">
      <x:c r="A3320" s="22" t="n">
        <x:v>31406</x:v>
      </x:c>
      <x:c r="B3320" s="28" t="n">
        <x:v>661.9</x:v>
      </x:c>
      <x:c r="C3320" s="28" t="n">
        <x:v>599.28</x:v>
      </x:c>
      <x:c r="D3320" s="31" t="n">
        <x:f>IF(OR(ISBLANK(B3320),ISBLANK(C3320),B3320=0),"",(C3320-B3320)/B3320)</x:f>
        <x:v>-0.09460643601752532</x:v>
      </x:c>
      <x:c r="E3320" s="22" t="str">
        <x:f>IF(ISBLANK(C3320),"AmountIncludingTax缺失",IF(ABS(B3320-C3320)&lt;0.005,"一致","不一致"))</x:f>
        <x:v>不一致</x:v>
      </x:c>
      <x:c r="F3320" s="19" t="str">
        <x:v>approved</x:v>
      </x:c>
      <x:c r="G3320" s="19" t="str">
        <x:v>Repairer Invoiced Processed</x:v>
      </x:c>
      <x:c r="H3320" s="19" t="str">
        <x:v>In Field</x:v>
      </x:c>
      <x:c r="I3320" s="37" t="n">
        <x:v>46160</x:v>
      </x:c>
      <x:c r="J3320" s="37" t="n">
        <x:v>46107</x:v>
      </x:c>
      <x:c r="K3320" s="19" t="str">
        <x:v>Vanari Caravans - Marden Point</x:v>
      </x:c>
      <x:c r="L3320" s="19" t="str">
        <x:v>Z006</x:v>
      </x:c>
      <x:c r="M3320" s="19" t="str">
        <x:v>In Field Warranty Claims</x:v>
      </x:c>
      <x:c r="N3320" s="37" t="n">
        <x:v>46072</x:v>
      </x:c>
      <x:c r="O3320" s="37"/>
      <x:c r="P3320" s="34" t="n">
        <x:v>599.28</x:v>
      </x:c>
      <x:c r="Q3320" s="37" t="n">
        <x:v>46160.187523148146</x:v>
      </x:c>
    </x:row>
    <x:row r="3321">
      <x:c r="A3321" s="22" t="n">
        <x:v>31405</x:v>
      </x:c>
      <x:c r="B3321" s="28" t="n">
        <x:v>270</x:v>
      </x:c>
      <x:c r="C3321" s="28"/>
      <x:c r="D3321" s="31" t="str">
        <x:f>IF(OR(ISBLANK(B3321),ISBLANK(C3321),B3321=0),"",(C3321-B3321)/B3321)</x:f>
      </x:c>
      <x:c r="E3321" s="22" t="str">
        <x:f>IF(ISBLANK(C3321),"AmountIncludingTax缺失",IF(ABS(B3321-C3321)&lt;0.005,"一致","不一致"))</x:f>
        <x:v>AmountIncludingTax缺失</x:v>
      </x:c>
      <x:c r="F3321" s="19" t="str">
        <x:v>approved</x:v>
      </x:c>
      <x:c r="G3321" s="19" t="str">
        <x:v>Repair in Progress</x:v>
      </x:c>
      <x:c r="H3321" s="19" t="str">
        <x:v>Pre Delivery</x:v>
      </x:c>
      <x:c r="I3321" s="37" t="n">
        <x:v>46127</x:v>
      </x:c>
      <x:c r="J3321" s="37" t="n">
        <x:v>46127</x:v>
      </x:c>
      <x:c r="K3321" s="19" t="str">
        <x:v>Snowy River Frankston</x:v>
      </x:c>
      <x:c r="L3321" s="19" t="str">
        <x:v>Z005</x:v>
      </x:c>
      <x:c r="M3321" s="19" t="str">
        <x:v>Pre Delivery Warranty Claims</x:v>
      </x:c>
      <x:c r="N3321" s="37" t="n">
        <x:v>46072</x:v>
      </x:c>
      <x:c r="O3321" s="37"/>
      <x:c r="P3321" s="34" t="n">
        <x:v>0</x:v>
      </x:c>
      <x:c r="Q3321" s="37" t="n">
        <x:v>46127.1727662037</x:v>
      </x:c>
    </x:row>
    <x:row r="3322">
      <x:c r="A3322" s="22" t="n">
        <x:v>31404</x:v>
      </x:c>
      <x:c r="B3322" s="28" t="n">
        <x:v>2654.75</x:v>
      </x:c>
      <x:c r="C3322" s="28"/>
      <x:c r="D3322" s="31" t="str">
        <x:f>IF(OR(ISBLANK(B3322),ISBLANK(C3322),B3322=0),"",(C3322-B3322)/B3322)</x:f>
      </x:c>
      <x:c r="E3322" s="22" t="str">
        <x:f>IF(ISBLANK(C3322),"AmountIncludingTax缺失",IF(ABS(B3322-C3322)&lt;0.005,"一致","不一致"))</x:f>
        <x:v>AmountIncludingTax缺失</x:v>
      </x:c>
      <x:c r="F3322" s="19" t="str">
        <x:v>approved</x:v>
      </x:c>
      <x:c r="G3322" s="19" t="str">
        <x:v>Repairer Invoiced Processed</x:v>
      </x:c>
      <x:c r="H3322" s="19" t="str">
        <x:v>In Field</x:v>
      </x:c>
      <x:c r="I3322" s="37" t="n">
        <x:v>46203</x:v>
      </x:c>
      <x:c r="J3322" s="37" t="n">
        <x:v>46167</x:v>
      </x:c>
      <x:c r="K3322" s="19" t="str">
        <x:v>Regent RV - Traralgon</x:v>
      </x:c>
      <x:c r="L3322" s="19" t="str">
        <x:v>Z006</x:v>
      </x:c>
      <x:c r="M3322" s="19" t="str">
        <x:v>In Field Warranty Claims</x:v>
      </x:c>
      <x:c r="N3322" s="37" t="n">
        <x:v>46072</x:v>
      </x:c>
      <x:c r="O3322" s="37"/>
      <x:c r="P3322" s="34" t="n">
        <x:v>2920.23</x:v>
      </x:c>
      <x:c r="Q3322" s="37" t="n">
        <x:v>46203.17701388889</x:v>
      </x:c>
    </x:row>
    <x:row r="3323">
      <x:c r="A3323" s="22" t="n">
        <x:v>31402</x:v>
      </x:c>
      <x:c r="B3323" s="28" t="n">
        <x:v>580</x:v>
      </x:c>
      <x:c r="C3323" s="28"/>
      <x:c r="D3323" s="31" t="str">
        <x:f>IF(OR(ISBLANK(B3323),ISBLANK(C3323),B3323=0),"",(C3323-B3323)/B3323)</x:f>
      </x:c>
      <x:c r="E3323" s="22" t="str">
        <x:f>IF(ISBLANK(C3323),"AmountIncludingTax缺失",IF(ABS(B3323-C3323)&lt;0.005,"一致","不一致"))</x:f>
        <x:v>AmountIncludingTax缺失</x:v>
      </x:c>
      <x:c r="F3323" s="19" t="str">
        <x:v>approved</x:v>
      </x:c>
      <x:c r="G3323" s="19" t="str">
        <x:v>Repairer Invoiced Processed</x:v>
      </x:c>
      <x:c r="H3323" s="19" t="str">
        <x:v>In Field</x:v>
      </x:c>
      <x:c r="I3323" s="37" t="n">
        <x:v>46078</x:v>
      </x:c>
      <x:c r="J3323" s="37" t="n">
        <x:v>46078</x:v>
      </x:c>
      <x:c r="K3323" s="19" t="str">
        <x:v>Green RV - Forest Glen</x:v>
      </x:c>
      <x:c r="L3323" s="19" t="str">
        <x:v>Z006</x:v>
      </x:c>
      <x:c r="M3323" s="19" t="str">
        <x:v>In Field Warranty Claims</x:v>
      </x:c>
      <x:c r="N3323" s="37" t="n">
        <x:v>46072</x:v>
      </x:c>
      <x:c r="O3323" s="37"/>
      <x:c r="P3323" s="34" t="n">
        <x:v>0</x:v>
      </x:c>
      <x:c r="Q3323" s="37" t="n">
        <x:v>46077.851689814815</x:v>
      </x:c>
    </x:row>
    <x:row r="3324">
      <x:c r="A3324" s="22" t="n">
        <x:v>31401</x:v>
      </x:c>
      <x:c r="B3324" s="28" t="n">
        <x:v>776.25</x:v>
      </x:c>
      <x:c r="C3324" s="28"/>
      <x:c r="D3324" s="31" t="str">
        <x:f>IF(OR(ISBLANK(B3324),ISBLANK(C3324),B3324=0),"",(C3324-B3324)/B3324)</x:f>
      </x:c>
      <x:c r="E3324" s="22" t="str">
        <x:f>IF(ISBLANK(C3324),"AmountIncludingTax缺失",IF(ABS(B3324-C3324)&lt;0.005,"一致","不一致"))</x:f>
        <x:v>AmountIncludingTax缺失</x:v>
      </x:c>
      <x:c r="F3324" s="19" t="str">
        <x:v>approved</x:v>
      </x:c>
      <x:c r="G3324" s="19" t="str">
        <x:v>Repairer Invoiced Processed</x:v>
      </x:c>
      <x:c r="H3324" s="19" t="str">
        <x:v>In Field</x:v>
      </x:c>
      <x:c r="I3324" s="37" t="n">
        <x:v>46132</x:v>
      </x:c>
      <x:c r="J3324" s="37" t="n">
        <x:v>46132</x:v>
      </x:c>
      <x:c r="K3324" s="19" t="str">
        <x:v>Newcastle RV Super Centre - Beresfield</x:v>
      </x:c>
      <x:c r="L3324" s="19" t="str">
        <x:v>Z006</x:v>
      </x:c>
      <x:c r="M3324" s="19" t="str">
        <x:v>In Field Warranty Claims</x:v>
      </x:c>
      <x:c r="N3324" s="37" t="n">
        <x:v>46072</x:v>
      </x:c>
      <x:c r="O3324" s="37"/>
      <x:c r="P3324" s="34" t="n">
        <x:v>0</x:v>
      </x:c>
      <x:c r="Q3324" s="37" t="n">
        <x:v>46131.904652777775</x:v>
      </x:c>
    </x:row>
    <x:row r="3325">
      <x:c r="A3325" s="22" t="n">
        <x:v>31400</x:v>
      </x:c>
      <x:c r="B3325" s="28" t="n">
        <x:v>270</x:v>
      </x:c>
      <x:c r="C3325" s="28"/>
      <x:c r="D3325" s="31" t="str">
        <x:f>IF(OR(ISBLANK(B3325),ISBLANK(C3325),B3325=0),"",(C3325-B3325)/B3325)</x:f>
      </x:c>
      <x:c r="E3325" s="22" t="str">
        <x:f>IF(ISBLANK(C3325),"AmountIncludingTax缺失",IF(ABS(B3325-C3325)&lt;0.005,"一致","不一致"))</x:f>
        <x:v>AmountIncludingTax缺失</x:v>
      </x:c>
      <x:c r="F3325" s="19" t="str">
        <x:v>approved</x:v>
      </x:c>
      <x:c r="G3325" s="19" t="str">
        <x:v>Repairer Invoiced Processed</x:v>
      </x:c>
      <x:c r="H3325" s="19" t="str">
        <x:v>In Field</x:v>
      </x:c>
      <x:c r="I3325" s="37" t="n">
        <x:v>46093</x:v>
      </x:c>
      <x:c r="J3325" s="37" t="n">
        <x:v>46093</x:v>
      </x:c>
      <x:c r="K3325" s="19" t="str">
        <x:v>Regent RV Pty Ltd</x:v>
      </x:c>
      <x:c r="L3325" s="19" t="str">
        <x:v>Z006</x:v>
      </x:c>
      <x:c r="M3325" s="19" t="str">
        <x:v>In Field Warranty Claims</x:v>
      </x:c>
      <x:c r="N3325" s="37" t="n">
        <x:v>46072</x:v>
      </x:c>
      <x:c r="O3325" s="37"/>
      <x:c r="P3325" s="34" t="n">
        <x:v>0</x:v>
      </x:c>
      <x:c r="Q3325" s="37" t="n">
        <x:v>46093.18543981481</x:v>
      </x:c>
    </x:row>
    <x:row r="3326">
      <x:c r="A3326" s="22" t="n">
        <x:v>31399</x:v>
      </x:c>
      <x:c r="B3326" s="28" t="n">
        <x:v>202.5</x:v>
      </x:c>
      <x:c r="C3326" s="28"/>
      <x:c r="D3326" s="31" t="str">
        <x:f>IF(OR(ISBLANK(B3326),ISBLANK(C3326),B3326=0),"",(C3326-B3326)/B3326)</x:f>
      </x:c>
      <x:c r="E3326" s="22" t="str">
        <x:f>IF(ISBLANK(C3326),"AmountIncludingTax缺失",IF(ABS(B3326-C3326)&lt;0.005,"一致","不一致"))</x:f>
        <x:v>AmountIncludingTax缺失</x:v>
      </x:c>
      <x:c r="F3326" s="19" t="str">
        <x:v>approved</x:v>
      </x:c>
      <x:c r="G3326" s="19" t="str">
        <x:v>Repairer Invoiced Processed</x:v>
      </x:c>
      <x:c r="H3326" s="19" t="str">
        <x:v>In Field</x:v>
      </x:c>
      <x:c r="I3326" s="37" t="n">
        <x:v>46087</x:v>
      </x:c>
      <x:c r="J3326" s="37" t="n">
        <x:v>46087</x:v>
      </x:c>
      <x:c r="K3326" s="19" t="str">
        <x:v>Green RV - Forest Glen</x:v>
      </x:c>
      <x:c r="L3326" s="19" t="str">
        <x:v>Z006</x:v>
      </x:c>
      <x:c r="M3326" s="19" t="str">
        <x:v>In Field Warranty Claims</x:v>
      </x:c>
      <x:c r="N3326" s="37" t="n">
        <x:v>46072</x:v>
      </x:c>
      <x:c r="O3326" s="37"/>
      <x:c r="P3326" s="34" t="n">
        <x:v>0</x:v>
      </x:c>
      <x:c r="Q3326" s="37" t="n">
        <x:v>46086.94143518519</x:v>
      </x:c>
    </x:row>
    <x:row r="3327">
      <x:c r="A3327" s="22" t="n">
        <x:v>31396</x:v>
      </x:c>
      <x:c r="B3327" s="28" t="n">
        <x:v>270</x:v>
      </x:c>
      <x:c r="C3327" s="28"/>
      <x:c r="D3327" s="31" t="str">
        <x:f>IF(OR(ISBLANK(B3327),ISBLANK(C3327),B3327=0),"",(C3327-B3327)/B3327)</x:f>
      </x:c>
      <x:c r="E3327" s="22" t="str">
        <x:f>IF(ISBLANK(C3327),"AmountIncludingTax缺失",IF(ABS(B3327-C3327)&lt;0.005,"一致","不一致"))</x:f>
        <x:v>AmountIncludingTax缺失</x:v>
      </x:c>
      <x:c r="F3327" s="19" t="str">
        <x:v>approved</x:v>
      </x:c>
      <x:c r="G3327" s="19" t="str">
        <x:v>Repair in Progress</x:v>
      </x:c>
      <x:c r="H3327" s="19" t="str">
        <x:v>In Field</x:v>
      </x:c>
      <x:c r="I3327" s="37" t="n">
        <x:v>46134</x:v>
      </x:c>
      <x:c r="J3327" s="37" t="n">
        <x:v>46134</x:v>
      </x:c>
      <x:c r="K3327" s="19" t="str">
        <x:v>Regent RV - Toowoomba</x:v>
      </x:c>
      <x:c r="L3327" s="19" t="str">
        <x:v>Z006</x:v>
      </x:c>
      <x:c r="M3327" s="19" t="str">
        <x:v>In Field Warranty Claims</x:v>
      </x:c>
      <x:c r="N3327" s="37" t="n">
        <x:v>46072</x:v>
      </x:c>
      <x:c r="O3327" s="37"/>
      <x:c r="P3327" s="34" t="n">
        <x:v>0</x:v>
      </x:c>
      <x:c r="Q3327" s="37" t="n">
        <x:v>46133.916180555556</x:v>
      </x:c>
    </x:row>
    <x:row r="3328">
      <x:c r="A3328" s="22" t="n">
        <x:v>31395</x:v>
      </x:c>
      <x:c r="B3328" s="28" t="n">
        <x:v>338.53</x:v>
      </x:c>
      <x:c r="C3328" s="28" t="n">
        <x:v>306.51</x:v>
      </x:c>
      <x:c r="D3328" s="31" t="n">
        <x:f>IF(OR(ISBLANK(B3328),ISBLANK(C3328),B3328=0),"",(C3328-B3328)/B3328)</x:f>
        <x:v>-0.09458541340501576</x:v>
      </x:c>
      <x:c r="E3328" s="22" t="str">
        <x:f>IF(ISBLANK(C3328),"AmountIncludingTax缺失",IF(ABS(B3328-C3328)&lt;0.005,"一致","不一致"))</x:f>
        <x:v>不一致</x:v>
      </x:c>
      <x:c r="F3328" s="19" t="str">
        <x:v>approved</x:v>
      </x:c>
      <x:c r="G3328" s="19" t="str">
        <x:v>Repairer Invoiced Processed</x:v>
      </x:c>
      <x:c r="H3328" s="19" t="str">
        <x:v>In Field</x:v>
      </x:c>
      <x:c r="I3328" s="37" t="n">
        <x:v>46103</x:v>
      </x:c>
      <x:c r="J3328" s="37" t="n">
        <x:v>46101</x:v>
      </x:c>
      <x:c r="K3328" s="19" t="str">
        <x:v>Vanari Caravans - Marden Point</x:v>
      </x:c>
      <x:c r="L3328" s="19" t="str">
        <x:v>Z006</x:v>
      </x:c>
      <x:c r="M3328" s="19" t="str">
        <x:v>In Field Warranty Claims</x:v>
      </x:c>
      <x:c r="N3328" s="37" t="n">
        <x:v>46072</x:v>
      </x:c>
      <x:c r="O3328" s="37"/>
      <x:c r="P3328" s="34" t="n">
        <x:v>306.51</x:v>
      </x:c>
      <x:c r="Q3328" s="37" t="n">
        <x:v>46103.447164351855</x:v>
      </x:c>
    </x:row>
    <x:row r="3329">
      <x:c r="A3329" s="22" t="n">
        <x:v>31394</x:v>
      </x:c>
      <x:c r="B3329" s="28" t="n">
        <x:v>481.59</x:v>
      </x:c>
      <x:c r="C3329" s="28"/>
      <x:c r="D3329" s="31" t="str">
        <x:f>IF(OR(ISBLANK(B3329),ISBLANK(C3329),B3329=0),"",(C3329-B3329)/B3329)</x:f>
      </x:c>
      <x:c r="E3329" s="22" t="str">
        <x:f>IF(ISBLANK(C3329),"AmountIncludingTax缺失",IF(ABS(B3329-C3329)&lt;0.005,"一致","不一致"))</x:f>
        <x:v>AmountIncludingTax缺失</x:v>
      </x:c>
      <x:c r="F3329" s="19" t="str">
        <x:v>approved</x:v>
      </x:c>
      <x:c r="G3329" s="19" t="str">
        <x:v>Repair in Progress</x:v>
      </x:c>
      <x:c r="H3329" s="19" t="str">
        <x:v>In Field</x:v>
      </x:c>
      <x:c r="I3329" s="37" t="n">
        <x:v>46087</x:v>
      </x:c>
      <x:c r="J3329" s="37" t="n">
        <x:v>46087</x:v>
      </x:c>
      <x:c r="K3329" s="19" t="str">
        <x:v>Green RV - Forest Glen</x:v>
      </x:c>
      <x:c r="L3329" s="19" t="str">
        <x:v>Z006</x:v>
      </x:c>
      <x:c r="M3329" s="19" t="str">
        <x:v>In Field Warranty Claims</x:v>
      </x:c>
      <x:c r="N3329" s="37" t="n">
        <x:v>46072</x:v>
      </x:c>
      <x:c r="O3329" s="37"/>
      <x:c r="P3329" s="34" t="n">
        <x:v>0</x:v>
      </x:c>
      <x:c r="Q3329" s="37" t="n">
        <x:v>46086.94043981482</x:v>
      </x:c>
    </x:row>
    <x:row r="3330">
      <x:c r="A3330" s="22" t="n">
        <x:v>31393</x:v>
      </x:c>
      <x:c r="B3330" s="28" t="n">
        <x:v>1215</x:v>
      </x:c>
      <x:c r="C3330" s="28"/>
      <x:c r="D3330" s="31" t="str">
        <x:f>IF(OR(ISBLANK(B3330),ISBLANK(C3330),B3330=0),"",(C3330-B3330)/B3330)</x:f>
      </x:c>
      <x:c r="E3330" s="22" t="str">
        <x:f>IF(ISBLANK(C3330),"AmountIncludingTax缺失",IF(ABS(B3330-C3330)&lt;0.005,"一致","不一致"))</x:f>
        <x:v>AmountIncludingTax缺失</x:v>
      </x:c>
      <x:c r="F3330" s="19" t="str">
        <x:v>approved</x:v>
      </x:c>
      <x:c r="G3330" s="19" t="str">
        <x:v>Repairer Invoiced Processed</x:v>
      </x:c>
      <x:c r="H3330" s="19" t="str">
        <x:v>Pre Delivery</x:v>
      </x:c>
      <x:c r="I3330" s="37" t="n">
        <x:v>46154</x:v>
      </x:c>
      <x:c r="J3330" s="37" t="n">
        <x:v>46154</x:v>
      </x:c>
      <x:c r="K3330" s="19" t="str">
        <x:v>Dario Caravans -St.Marys</x:v>
      </x:c>
      <x:c r="L3330" s="19" t="str">
        <x:v>Z005</x:v>
      </x:c>
      <x:c r="M3330" s="19" t="str">
        <x:v>Pre Delivery Warranty Claims</x:v>
      </x:c>
      <x:c r="N3330" s="37" t="n">
        <x:v>46072</x:v>
      </x:c>
      <x:c r="O3330" s="37"/>
      <x:c r="P3330" s="34" t="n">
        <x:v>0</x:v>
      </x:c>
      <x:c r="Q3330" s="37" t="n">
        <x:v>46154.12966435185</x:v>
      </x:c>
    </x:row>
    <x:row r="3331">
      <x:c r="A3331" s="22" t="n">
        <x:v>31392</x:v>
      </x:c>
      <x:c r="B3331" s="28" t="n">
        <x:v>810</x:v>
      </x:c>
      <x:c r="C3331" s="28" t="n">
        <x:v>891</x:v>
      </x:c>
      <x:c r="D3331" s="31" t="n">
        <x:f>IF(OR(ISBLANK(B3331),ISBLANK(C3331),B3331=0),"",(C3331-B3331)/B3331)</x:f>
        <x:v>0.1</x:v>
      </x:c>
      <x:c r="E3331" s="22" t="str">
        <x:f>IF(ISBLANK(C3331),"AmountIncludingTax缺失",IF(ABS(B3331-C3331)&lt;0.005,"一致","不一致"))</x:f>
        <x:v>不一致</x:v>
      </x:c>
      <x:c r="F3331" s="19" t="str">
        <x:v>approved</x:v>
      </x:c>
      <x:c r="G3331" s="19" t="str">
        <x:v>Repairer Invoiced Processed</x:v>
      </x:c>
      <x:c r="H3331" s="19" t="str">
        <x:v>In Field</x:v>
      </x:c>
      <x:c r="I3331" s="37" t="n">
        <x:v>46085</x:v>
      </x:c>
      <x:c r="J3331" s="37" t="n">
        <x:v>46085</x:v>
      </x:c>
      <x:c r="K3331" s="19" t="str">
        <x:v>Snowy River Wangaratta</x:v>
      </x:c>
      <x:c r="L3331" s="19" t="str">
        <x:v>Z006</x:v>
      </x:c>
      <x:c r="M3331" s="19" t="str">
        <x:v>In Field Warranty Claims</x:v>
      </x:c>
      <x:c r="N3331" s="37" t="n">
        <x:v>46072</x:v>
      </x:c>
      <x:c r="O3331" s="37"/>
      <x:c r="P3331" s="34" t="n">
        <x:v>891</x:v>
      </x:c>
      <x:c r="Q3331" s="37" t="n">
        <x:v>46085.203148148146</x:v>
      </x:c>
    </x:row>
    <x:row r="3332">
      <x:c r="A3332" s="22" t="n">
        <x:v>31391</x:v>
      </x:c>
      <x:c r="B3332" s="28" t="n">
        <x:v>111.27</x:v>
      </x:c>
      <x:c r="C3332" s="28" t="n">
        <x:v>122.4</x:v>
      </x:c>
      <x:c r="D3332" s="31" t="n">
        <x:f>IF(OR(ISBLANK(B3332),ISBLANK(C3332),B3332=0),"",(C3332-B3332)/B3332)</x:f>
        <x:v>0.10002696144513355</x:v>
      </x:c>
      <x:c r="E3332" s="22" t="str">
        <x:f>IF(ISBLANK(C3332),"AmountIncludingTax缺失",IF(ABS(B3332-C3332)&lt;0.005,"一致","不一致"))</x:f>
        <x:v>不一致</x:v>
      </x:c>
      <x:c r="F3332" s="19" t="str">
        <x:v>approved</x:v>
      </x:c>
      <x:c r="G3332" s="19" t="str">
        <x:v>Repairer Invoiced Processed</x:v>
      </x:c>
      <x:c r="H3332" s="19" t="str">
        <x:v>In Field</x:v>
      </x:c>
      <x:c r="I3332" s="37" t="n">
        <x:v>46183</x:v>
      </x:c>
      <x:c r="J3332" s="37" t="n">
        <x:v>46183</x:v>
      </x:c>
      <x:c r="K3332" s="19" t="str">
        <x:v>Regent RV - Toowoomba</x:v>
      </x:c>
      <x:c r="L3332" s="19" t="str">
        <x:v>Z006</x:v>
      </x:c>
      <x:c r="M3332" s="19" t="str">
        <x:v>In Field Warranty Claims</x:v>
      </x:c>
      <x:c r="N3332" s="37" t="n">
        <x:v>46072</x:v>
      </x:c>
      <x:c r="O3332" s="37"/>
      <x:c r="P3332" s="34" t="n">
        <x:v>122.4</x:v>
      </x:c>
      <x:c r="Q3332" s="37" t="n">
        <x:v>46183.070081018515</x:v>
      </x:c>
    </x:row>
    <x:row r="3333">
      <x:c r="A3333" s="22" t="n">
        <x:v>31382</x:v>
      </x:c>
      <x:c r="B3333" s="28" t="n">
        <x:v>391.05</x:v>
      </x:c>
      <x:c r="C3333" s="28"/>
      <x:c r="D3333" s="31" t="str">
        <x:f>IF(OR(ISBLANK(B3333),ISBLANK(C3333),B3333=0),"",(C3333-B3333)/B3333)</x:f>
      </x:c>
      <x:c r="E3333" s="22" t="str">
        <x:f>IF(ISBLANK(C3333),"AmountIncludingTax缺失",IF(ABS(B3333-C3333)&lt;0.005,"一致","不一致"))</x:f>
        <x:v>AmountIncludingTax缺失</x:v>
      </x:c>
      <x:c r="F3333" s="19" t="str">
        <x:v>approved</x:v>
      </x:c>
      <x:c r="G3333" s="19" t="str">
        <x:v>Repairer Invoiced Processed</x:v>
      </x:c>
      <x:c r="H3333" s="19" t="str">
        <x:v>In Field</x:v>
      </x:c>
      <x:c r="I3333" s="37" t="n">
        <x:v>46073</x:v>
      </x:c>
      <x:c r="J3333" s="37" t="n">
        <x:v>46077</x:v>
      </x:c>
      <x:c r="K3333" s="19" t="str">
        <x:v>Auswide Caravans - South Nowra</x:v>
      </x:c>
      <x:c r="L3333" s="19" t="str">
        <x:v>Z006</x:v>
      </x:c>
      <x:c r="M3333" s="19" t="str">
        <x:v>In Field Warranty Claims</x:v>
      </x:c>
      <x:c r="N3333" s="37" t="n">
        <x:v>46073</x:v>
      </x:c>
      <x:c r="O3333" s="37"/>
      <x:c r="P3333" s="34" t="n">
        <x:v>0</x:v>
      </x:c>
      <x:c r="Q3333" s="37" t="n">
        <x:v>46073.16203703704</x:v>
      </x:c>
    </x:row>
    <x:row r="3334">
      <x:c r="A3334" s="22" t="n">
        <x:v>31380</x:v>
      </x:c>
      <x:c r="B3334" s="28" t="n">
        <x:v>517.5</x:v>
      </x:c>
      <x:c r="C3334" s="28"/>
      <x:c r="D3334" s="31" t="str">
        <x:f>IF(OR(ISBLANK(B3334),ISBLANK(C3334),B3334=0),"",(C3334-B3334)/B3334)</x:f>
      </x:c>
      <x:c r="E3334" s="22" t="str">
        <x:f>IF(ISBLANK(C3334),"AmountIncludingTax缺失",IF(ABS(B3334-C3334)&lt;0.005,"一致","不一致"))</x:f>
        <x:v>AmountIncludingTax缺失</x:v>
      </x:c>
      <x:c r="F3334" s="19" t="str">
        <x:v>approved</x:v>
      </x:c>
      <x:c r="G3334" s="19" t="str">
        <x:v>Repair in Progress</x:v>
      </x:c>
      <x:c r="H3334" s="19" t="str">
        <x:v>In Field</x:v>
      </x:c>
      <x:c r="I3334" s="37" t="n">
        <x:v>46119</x:v>
      </x:c>
      <x:c r="J3334" s="37" t="n">
        <x:v>46119</x:v>
      </x:c>
      <x:c r="K3334" s="19" t="str">
        <x:v>ABCO Caravans - Boambee Valley</x:v>
      </x:c>
      <x:c r="L3334" s="19" t="str">
        <x:v>Z006</x:v>
      </x:c>
      <x:c r="M3334" s="19" t="str">
        <x:v>In Field Warranty Claims</x:v>
      </x:c>
      <x:c r="N3334" s="37" t="n">
        <x:v>46072</x:v>
      </x:c>
      <x:c r="O3334" s="37"/>
      <x:c r="P3334" s="34" t="n">
        <x:v>0</x:v>
      </x:c>
      <x:c r="Q3334" s="37" t="n">
        <x:v>46119.140706018516</x:v>
      </x:c>
    </x:row>
    <x:row r="3335">
      <x:c r="A3335" s="22" t="n">
        <x:v>31379</x:v>
      </x:c>
      <x:c r="B3335" s="28" t="n">
        <x:v>129.77</x:v>
      </x:c>
      <x:c r="C3335" s="28" t="n">
        <x:v>142.75</x:v>
      </x:c>
      <x:c r="D3335" s="31" t="n">
        <x:f>IF(OR(ISBLANK(B3335),ISBLANK(C3335),B3335=0),"",(C3335-B3335)/B3335)</x:f>
        <x:v>0.1000231178238421</x:v>
      </x:c>
      <x:c r="E3335" s="22" t="str">
        <x:f>IF(ISBLANK(C3335),"AmountIncludingTax缺失",IF(ABS(B3335-C3335)&lt;0.005,"一致","不一致"))</x:f>
        <x:v>不一致</x:v>
      </x:c>
      <x:c r="F3335" s="19" t="str">
        <x:v>approved</x:v>
      </x:c>
      <x:c r="G3335" s="19" t="str">
        <x:v>Repairer Invoiced Processed</x:v>
      </x:c>
      <x:c r="H3335" s="19" t="str">
        <x:v>In Field</x:v>
      </x:c>
      <x:c r="I3335" s="37" t="n">
        <x:v>46094</x:v>
      </x:c>
      <x:c r="J3335" s="37" t="n">
        <x:v>46094</x:v>
      </x:c>
      <x:c r="K3335" s="19" t="str">
        <x:v>ABCO Caravans - Boambee Valley</x:v>
      </x:c>
      <x:c r="L3335" s="19" t="str">
        <x:v>Z006</x:v>
      </x:c>
      <x:c r="M3335" s="19" t="str">
        <x:v>In Field Warranty Claims</x:v>
      </x:c>
      <x:c r="N3335" s="37" t="n">
        <x:v>46072</x:v>
      </x:c>
      <x:c r="O3335" s="37"/>
      <x:c r="P3335" s="34" t="n">
        <x:v>142.75</x:v>
      </x:c>
      <x:c r="Q3335" s="37" t="n">
        <x:v>46093.89604166667</x:v>
      </x:c>
    </x:row>
    <x:row r="3336">
      <x:c r="A3336" s="22" t="n">
        <x:v>31378</x:v>
      </x:c>
      <x:c r="B3336" s="28" t="n">
        <x:v>129.77</x:v>
      </x:c>
      <x:c r="C3336" s="28" t="n">
        <x:v>142.75</x:v>
      </x:c>
      <x:c r="D3336" s="31" t="n">
        <x:f>IF(OR(ISBLANK(B3336),ISBLANK(C3336),B3336=0),"",(C3336-B3336)/B3336)</x:f>
        <x:v>0.1000231178238421</x:v>
      </x:c>
      <x:c r="E3336" s="22" t="str">
        <x:f>IF(ISBLANK(C3336),"AmountIncludingTax缺失",IF(ABS(B3336-C3336)&lt;0.005,"一致","不一致"))</x:f>
        <x:v>不一致</x:v>
      </x:c>
      <x:c r="F3336" s="19" t="str">
        <x:v>approved</x:v>
      </x:c>
      <x:c r="G3336" s="19" t="str">
        <x:v>Repair in Progress</x:v>
      </x:c>
      <x:c r="H3336" s="19" t="str">
        <x:v>In Field</x:v>
      </x:c>
      <x:c r="I3336" s="37" t="n">
        <x:v>46129</x:v>
      </x:c>
      <x:c r="J3336" s="37" t="n">
        <x:v>46129</x:v>
      </x:c>
      <x:c r="K3336" s="19" t="str">
        <x:v>ABCO Caravans - Boambee Valley</x:v>
      </x:c>
      <x:c r="L3336" s="19" t="str">
        <x:v>Z006</x:v>
      </x:c>
      <x:c r="M3336" s="19" t="str">
        <x:v>In Field Warranty Claims</x:v>
      </x:c>
      <x:c r="N3336" s="37" t="n">
        <x:v>46071</x:v>
      </x:c>
      <x:c r="O3336" s="37"/>
      <x:c r="P3336" s="34" t="n">
        <x:v>142.75</x:v>
      </x:c>
      <x:c r="Q3336" s="37" t="n">
        <x:v>46129.220972222225</x:v>
      </x:c>
    </x:row>
    <x:row r="3337">
      <x:c r="A3337" s="22" t="n">
        <x:v>31377</x:v>
      </x:c>
      <x:c r="B3337" s="28" t="n">
        <x:v>135</x:v>
      </x:c>
      <x:c r="C3337" s="28"/>
      <x:c r="D3337" s="31" t="str">
        <x:f>IF(OR(ISBLANK(B3337),ISBLANK(C3337),B3337=0),"",(C3337-B3337)/B3337)</x:f>
      </x:c>
      <x:c r="E3337" s="22" t="str">
        <x:f>IF(ISBLANK(C3337),"AmountIncludingTax缺失",IF(ABS(B3337-C3337)&lt;0.005,"一致","不一致"))</x:f>
        <x:v>AmountIncludingTax缺失</x:v>
      </x:c>
      <x:c r="F3337" s="19" t="str">
        <x:v>approved</x:v>
      </x:c>
      <x:c r="G3337" s="19" t="str">
        <x:v>Repair in Progress</x:v>
      </x:c>
      <x:c r="H3337" s="19" t="str">
        <x:v>In Field</x:v>
      </x:c>
      <x:c r="I3337" s="37" t="n">
        <x:v>46112</x:v>
      </x:c>
      <x:c r="J3337" s="37" t="n">
        <x:v>46112</x:v>
      </x:c>
      <x:c r="K3337" s="19" t="str">
        <x:v>Sherrif Caravans &amp; Traliers - Prospect Vale</x:v>
      </x:c>
      <x:c r="L3337" s="19" t="str">
        <x:v>Z006</x:v>
      </x:c>
      <x:c r="M3337" s="19" t="str">
        <x:v>In Field Warranty Claims</x:v>
      </x:c>
      <x:c r="N3337" s="37" t="n">
        <x:v>46071</x:v>
      </x:c>
      <x:c r="O3337" s="37"/>
      <x:c r="P3337" s="34" t="n">
        <x:v>0</x:v>
      </x:c>
      <x:c r="Q3337" s="37" t="n">
        <x:v>46112.02515046296</x:v>
      </x:c>
    </x:row>
    <x:row r="3338">
      <x:c r="A3338" s="22" t="n">
        <x:v>31376</x:v>
      </x:c>
      <x:c r="B3338" s="28" t="n">
        <x:v>202.5</x:v>
      </x:c>
      <x:c r="C3338" s="28"/>
      <x:c r="D3338" s="31" t="str">
        <x:f>IF(OR(ISBLANK(B3338),ISBLANK(C3338),B3338=0),"",(C3338-B3338)/B3338)</x:f>
      </x:c>
      <x:c r="E3338" s="22" t="str">
        <x:f>IF(ISBLANK(C3338),"AmountIncludingTax缺失",IF(ABS(B3338-C3338)&lt;0.005,"一致","不一致"))</x:f>
        <x:v>AmountIncludingTax缺失</x:v>
      </x:c>
      <x:c r="F3338" s="19" t="str">
        <x:v>approved</x:v>
      </x:c>
      <x:c r="G3338" s="19" t="str">
        <x:v>Repair in Progress</x:v>
      </x:c>
      <x:c r="H3338" s="19" t="str">
        <x:v>In Field</x:v>
      </x:c>
      <x:c r="I3338" s="37" t="n">
        <x:v>46119</x:v>
      </x:c>
      <x:c r="J3338" s="37" t="n">
        <x:v>46119</x:v>
      </x:c>
      <x:c r="K3338" s="19" t="str">
        <x:v>ABCO Caravans - Boambee Valley</x:v>
      </x:c>
      <x:c r="L3338" s="19" t="str">
        <x:v>Z006</x:v>
      </x:c>
      <x:c r="M3338" s="19" t="str">
        <x:v>In Field Warranty Claims</x:v>
      </x:c>
      <x:c r="N3338" s="37" t="n">
        <x:v>46071</x:v>
      </x:c>
      <x:c r="O3338" s="37"/>
      <x:c r="P3338" s="34" t="n">
        <x:v>0</x:v>
      </x:c>
      <x:c r="Q3338" s="37" t="n">
        <x:v>46119.14278935185</x:v>
      </x:c>
    </x:row>
    <x:row r="3339">
      <x:c r="A3339" s="22" t="n">
        <x:v>31375</x:v>
      </x:c>
      <x:c r="B3339" s="28" t="n">
        <x:v>1859</x:v>
      </x:c>
      <x:c r="C3339" s="28"/>
      <x:c r="D3339" s="31" t="str">
        <x:f>IF(OR(ISBLANK(B3339),ISBLANK(C3339),B3339=0),"",(C3339-B3339)/B3339)</x:f>
      </x:c>
      <x:c r="E3339" s="22" t="str">
        <x:f>IF(ISBLANK(C3339),"AmountIncludingTax缺失",IF(ABS(B3339-C3339)&lt;0.005,"一致","不一致"))</x:f>
        <x:v>AmountIncludingTax缺失</x:v>
      </x:c>
      <x:c r="F3339" s="19" t="str">
        <x:v>approved</x:v>
      </x:c>
      <x:c r="G3339" s="19" t="str">
        <x:v>Partially Picked</x:v>
      </x:c>
      <x:c r="H3339" s="19" t="str">
        <x:v>In Field</x:v>
      </x:c>
      <x:c r="I3339" s="37" t="n">
        <x:v>46119</x:v>
      </x:c>
      <x:c r="J3339" s="37" t="n">
        <x:v>46119</x:v>
      </x:c>
      <x:c r="K3339" s="19" t="str">
        <x:v>Dario Caravans - Pooraka</x:v>
      </x:c>
      <x:c r="L3339" s="19" t="str">
        <x:v>Z006</x:v>
      </x:c>
      <x:c r="M3339" s="19" t="str">
        <x:v>In Field Warranty Claims</x:v>
      </x:c>
      <x:c r="N3339" s="37" t="n">
        <x:v>46071</x:v>
      </x:c>
      <x:c r="O3339" s="37"/>
      <x:c r="P3339" s="34" t="n">
        <x:v>0</x:v>
      </x:c>
      <x:c r="Q3339" s="37" t="n">
        <x:v>46119.05773148148</x:v>
      </x:c>
    </x:row>
    <x:row r="3340">
      <x:c r="A3340" s="22" t="n">
        <x:v>31374</x:v>
      </x:c>
      <x:c r="B3340" s="28" t="n">
        <x:v>135</x:v>
      </x:c>
      <x:c r="C3340" s="28"/>
      <x:c r="D3340" s="31" t="str">
        <x:f>IF(OR(ISBLANK(B3340),ISBLANK(C3340),B3340=0),"",(C3340-B3340)/B3340)</x:f>
      </x:c>
      <x:c r="E3340" s="22" t="str">
        <x:f>IF(ISBLANK(C3340),"AmountIncludingTax缺失",IF(ABS(B3340-C3340)&lt;0.005,"一致","不一致"))</x:f>
        <x:v>AmountIncludingTax缺失</x:v>
      </x:c>
      <x:c r="F3340" s="19" t="str">
        <x:v>approved</x:v>
      </x:c>
      <x:c r="G3340" s="19" t="str">
        <x:v>Repair in Progress</x:v>
      </x:c>
      <x:c r="H3340" s="19" t="str">
        <x:v>In Field</x:v>
      </x:c>
      <x:c r="I3340" s="37" t="n">
        <x:v>46114</x:v>
      </x:c>
      <x:c r="J3340" s="37" t="n">
        <x:v>46114</x:v>
      </x:c>
      <x:c r="K3340" s="19" t="str">
        <x:v>Not Assigned</x:v>
      </x:c>
      <x:c r="L3340" s="19" t="str">
        <x:v>Z006</x:v>
      </x:c>
      <x:c r="M3340" s="19" t="str">
        <x:v>In Field Warranty Claims</x:v>
      </x:c>
      <x:c r="N3340" s="37" t="n">
        <x:v>46071</x:v>
      </x:c>
      <x:c r="O3340" s="37"/>
      <x:c r="P3340" s="34" t="n">
        <x:v>0</x:v>
      </x:c>
      <x:c r="Q3340" s="37" t="n">
        <x:v>46113.895104166666</x:v>
      </x:c>
    </x:row>
    <x:row r="3341">
      <x:c r="A3341" s="22" t="n">
        <x:v>31370</x:v>
      </x:c>
      <x:c r="B3341" s="28" t="n">
        <x:v>202.5</x:v>
      </x:c>
      <x:c r="C3341" s="28"/>
      <x:c r="D3341" s="31" t="str">
        <x:f>IF(OR(ISBLANK(B3341),ISBLANK(C3341),B3341=0),"",(C3341-B3341)/B3341)</x:f>
      </x:c>
      <x:c r="E3341" s="22" t="str">
        <x:f>IF(ISBLANK(C3341),"AmountIncludingTax缺失",IF(ABS(B3341-C3341)&lt;0.005,"一致","不一致"))</x:f>
        <x:v>AmountIncludingTax缺失</x:v>
      </x:c>
      <x:c r="F3341" s="19" t="str">
        <x:v>approved</x:v>
      </x:c>
      <x:c r="G3341" s="19" t="str">
        <x:v>Repair in Progress</x:v>
      </x:c>
      <x:c r="H3341" s="19" t="str">
        <x:v>In Field</x:v>
      </x:c>
      <x:c r="I3341" s="37" t="n">
        <x:v>46087</x:v>
      </x:c>
      <x:c r="J3341" s="37" t="n">
        <x:v>46087</x:v>
      </x:c>
      <x:c r="K3341" s="19" t="str">
        <x:v>Green RV - Forest Glen</x:v>
      </x:c>
      <x:c r="L3341" s="19" t="str">
        <x:v>Z006</x:v>
      </x:c>
      <x:c r="M3341" s="19" t="str">
        <x:v>In Field Warranty Claims</x:v>
      </x:c>
      <x:c r="N3341" s="37" t="n">
        <x:v>46072</x:v>
      </x:c>
      <x:c r="O3341" s="37"/>
      <x:c r="P3341" s="34" t="n">
        <x:v>0</x:v>
      </x:c>
      <x:c r="Q3341" s="37" t="n">
        <x:v>46087.071747685186</x:v>
      </x:c>
    </x:row>
    <x:row r="3342">
      <x:c r="A3342" s="22" t="n">
        <x:v>31369</x:v>
      </x:c>
      <x:c r="B3342" s="28" t="n">
        <x:v>2565</x:v>
      </x:c>
      <x:c r="C3342" s="28"/>
      <x:c r="D3342" s="31" t="str">
        <x:f>IF(OR(ISBLANK(B3342),ISBLANK(C3342),B3342=0),"",(C3342-B3342)/B3342)</x:f>
      </x:c>
      <x:c r="E3342" s="22" t="str">
        <x:f>IF(ISBLANK(C3342),"AmountIncludingTax缺失",IF(ABS(B3342-C3342)&lt;0.005,"一致","不一致"))</x:f>
        <x:v>AmountIncludingTax缺失</x:v>
      </x:c>
      <x:c r="F3342" s="19" t="str">
        <x:v>approved</x:v>
      </x:c>
      <x:c r="G3342" s="19" t="str">
        <x:v>Repairer Invoiced Processed</x:v>
      </x:c>
      <x:c r="H3342" s="19" t="str">
        <x:v>In Field</x:v>
      </x:c>
      <x:c r="I3342" s="37" t="n">
        <x:v>46106</x:v>
      </x:c>
      <x:c r="J3342" s="37" t="n">
        <x:v>46106</x:v>
      </x:c>
      <x:c r="K3342" s="19" t="str">
        <x:v>Green RV - Forest Glen</x:v>
      </x:c>
      <x:c r="L3342" s="19" t="str">
        <x:v>Z006</x:v>
      </x:c>
      <x:c r="M3342" s="19" t="str">
        <x:v>In Field Warranty Claims</x:v>
      </x:c>
      <x:c r="N3342" s="37" t="n">
        <x:v>46071</x:v>
      </x:c>
      <x:c r="O3342" s="37"/>
      <x:c r="P3342" s="34" t="n">
        <x:v>0</x:v>
      </x:c>
      <x:c r="Q3342" s="37" t="n">
        <x:v>46106.09517361111</x:v>
      </x:c>
    </x:row>
    <x:row r="3343">
      <x:c r="A3343" s="22" t="n">
        <x:v>31366</x:v>
      </x:c>
      <x:c r="B3343" s="28" t="n">
        <x:v>823.29</x:v>
      </x:c>
      <x:c r="C3343" s="28"/>
      <x:c r="D3343" s="31" t="str">
        <x:f>IF(OR(ISBLANK(B3343),ISBLANK(C3343),B3343=0),"",(C3343-B3343)/B3343)</x:f>
      </x:c>
      <x:c r="E3343" s="22" t="str">
        <x:f>IF(ISBLANK(C3343),"AmountIncludingTax缺失",IF(ABS(B3343-C3343)&lt;0.005,"一致","不一致"))</x:f>
        <x:v>AmountIncludingTax缺失</x:v>
      </x:c>
      <x:c r="F3343" s="19" t="str">
        <x:v>approved</x:v>
      </x:c>
      <x:c r="G3343" s="19" t="str">
        <x:v>Repair in Progress</x:v>
      </x:c>
      <x:c r="H3343" s="19" t="str">
        <x:v>In Field</x:v>
      </x:c>
      <x:c r="I3343" s="37" t="n">
        <x:v>46136</x:v>
      </x:c>
      <x:c r="J3343" s="37" t="n">
        <x:v>46087</x:v>
      </x:c>
      <x:c r="K3343" s="19" t="str">
        <x:v>Newcastle RV Super Centre - Beresfield</x:v>
      </x:c>
      <x:c r="L3343" s="19" t="str">
        <x:v>Z006</x:v>
      </x:c>
      <x:c r="M3343" s="19" t="str">
        <x:v>In Field Warranty Claims</x:v>
      </x:c>
      <x:c r="N3343" s="37" t="n">
        <x:v>46071</x:v>
      </x:c>
      <x:c r="O3343" s="37"/>
      <x:c r="P3343" s="34" t="n">
        <x:v>0</x:v>
      </x:c>
      <x:c r="Q3343" s="37" t="n">
        <x:v>46136.020520833335</x:v>
      </x:c>
    </x:row>
    <x:row r="3344">
      <x:c r="A3344" s="22" t="n">
        <x:v>31362</x:v>
      </x:c>
      <x:c r="B3344" s="28" t="n">
        <x:v>202.5</x:v>
      </x:c>
      <x:c r="C3344" s="28"/>
      <x:c r="D3344" s="31" t="str">
        <x:f>IF(OR(ISBLANK(B3344),ISBLANK(C3344),B3344=0),"",(C3344-B3344)/B3344)</x:f>
      </x:c>
      <x:c r="E3344" s="22" t="str">
        <x:f>IF(ISBLANK(C3344),"AmountIncludingTax缺失",IF(ABS(B3344-C3344)&lt;0.005,"一致","不一致"))</x:f>
        <x:v>AmountIncludingTax缺失</x:v>
      </x:c>
      <x:c r="F3344" s="19" t="str">
        <x:v>approved</x:v>
      </x:c>
      <x:c r="G3344" s="19" t="str">
        <x:v>Repair in Progress</x:v>
      </x:c>
      <x:c r="H3344" s="19" t="str">
        <x:v>In Field</x:v>
      </x:c>
      <x:c r="I3344" s="37" t="n">
        <x:v>46129</x:v>
      </x:c>
      <x:c r="J3344" s="37" t="n">
        <x:v>46129</x:v>
      </x:c>
      <x:c r="K3344" s="19" t="str">
        <x:v>Dario Caravans - Pooraka</x:v>
      </x:c>
      <x:c r="L3344" s="19" t="str">
        <x:v>Z006</x:v>
      </x:c>
      <x:c r="M3344" s="19" t="str">
        <x:v>In Field Warranty Claims</x:v>
      </x:c>
      <x:c r="N3344" s="37" t="n">
        <x:v>46071</x:v>
      </x:c>
      <x:c r="O3344" s="37"/>
      <x:c r="P3344" s="34" t="n">
        <x:v>0</x:v>
      </x:c>
      <x:c r="Q3344" s="37" t="n">
        <x:v>46128.8521875</x:v>
      </x:c>
    </x:row>
    <x:row r="3345">
      <x:c r="A3345" s="22" t="n">
        <x:v>31359</x:v>
      </x:c>
      <x:c r="B3345" s="28" t="n">
        <x:v>202.5</x:v>
      </x:c>
      <x:c r="C3345" s="28"/>
      <x:c r="D3345" s="31" t="str">
        <x:f>IF(OR(ISBLANK(B3345),ISBLANK(C3345),B3345=0),"",(C3345-B3345)/B3345)</x:f>
      </x:c>
      <x:c r="E3345" s="22" t="str">
        <x:f>IF(ISBLANK(C3345),"AmountIncludingTax缺失",IF(ABS(B3345-C3345)&lt;0.005,"一致","不一致"))</x:f>
        <x:v>AmountIncludingTax缺失</x:v>
      </x:c>
      <x:c r="F3345" s="19" t="str">
        <x:v>approved</x:v>
      </x:c>
      <x:c r="G3345" s="19" t="str">
        <x:v>Repair in Progress</x:v>
      </x:c>
      <x:c r="H3345" s="19" t="str">
        <x:v>In Field</x:v>
      </x:c>
      <x:c r="I3345" s="37" t="n">
        <x:v>46107</x:v>
      </x:c>
      <x:c r="J3345" s="37" t="n">
        <x:v>46106</x:v>
      </x:c>
      <x:c r="K3345" s="19" t="str">
        <x:v>Not Assigned</x:v>
      </x:c>
      <x:c r="L3345" s="19" t="str">
        <x:v>Z006</x:v>
      </x:c>
      <x:c r="M3345" s="19" t="str">
        <x:v>In Field Warranty Claims</x:v>
      </x:c>
      <x:c r="N3345" s="37" t="n">
        <x:v>46071</x:v>
      </x:c>
      <x:c r="O3345" s="37"/>
      <x:c r="P3345" s="34" t="n">
        <x:v>0</x:v>
      </x:c>
      <x:c r="Q3345" s="37" t="n">
        <x:v>46106.8590625</x:v>
      </x:c>
    </x:row>
    <x:row r="3346">
      <x:c r="A3346" s="22" t="n">
        <x:v>31357</x:v>
      </x:c>
      <x:c r="B3346" s="28" t="n">
        <x:v>270</x:v>
      </x:c>
      <x:c r="C3346" s="28"/>
      <x:c r="D3346" s="31" t="str">
        <x:f>IF(OR(ISBLANK(B3346),ISBLANK(C3346),B3346=0),"",(C3346-B3346)/B3346)</x:f>
      </x:c>
      <x:c r="E3346" s="22" t="str">
        <x:f>IF(ISBLANK(C3346),"AmountIncludingTax缺失",IF(ABS(B3346-C3346)&lt;0.005,"一致","不一致"))</x:f>
        <x:v>AmountIncludingTax缺失</x:v>
      </x:c>
      <x:c r="F3346" s="19" t="str">
        <x:v>approved</x:v>
      </x:c>
      <x:c r="G3346" s="19" t="str">
        <x:v>Repair in Progress</x:v>
      </x:c>
      <x:c r="H3346" s="19" t="str">
        <x:v>In Field</x:v>
      </x:c>
      <x:c r="I3346" s="37" t="n">
        <x:v>46129</x:v>
      </x:c>
      <x:c r="J3346" s="37" t="n">
        <x:v>46129</x:v>
      </x:c>
      <x:c r="K3346" s="19" t="str">
        <x:v>Not Assigned</x:v>
      </x:c>
      <x:c r="L3346" s="19" t="str">
        <x:v>Z006</x:v>
      </x:c>
      <x:c r="M3346" s="19" t="str">
        <x:v>In Field Warranty Claims</x:v>
      </x:c>
      <x:c r="N3346" s="37" t="n">
        <x:v>46071</x:v>
      </x:c>
      <x:c r="O3346" s="37"/>
      <x:c r="P3346" s="34" t="n">
        <x:v>0</x:v>
      </x:c>
      <x:c r="Q3346" s="37" t="n">
        <x:v>46129.21984953704</x:v>
      </x:c>
    </x:row>
    <x:row r="3347">
      <x:c r="A3347" s="22" t="n">
        <x:v>31356</x:v>
      </x:c>
      <x:c r="B3347" s="28" t="n">
        <x:v>207.05</x:v>
      </x:c>
      <x:c r="C3347" s="28" t="n">
        <x:v>227.76</x:v>
      </x:c>
      <x:c r="D3347" s="31" t="n">
        <x:f>IF(OR(ISBLANK(B3347),ISBLANK(C3347),B3347=0),"",(C3347-B3347)/B3347)</x:f>
        <x:v>0.10002414875633894</x:v>
      </x:c>
      <x:c r="E3347" s="22" t="str">
        <x:f>IF(ISBLANK(C3347),"AmountIncludingTax缺失",IF(ABS(B3347-C3347)&lt;0.005,"一致","不一致"))</x:f>
        <x:v>不一致</x:v>
      </x:c>
      <x:c r="F3347" s="19" t="str">
        <x:v>approved</x:v>
      </x:c>
      <x:c r="G3347" s="19" t="str">
        <x:v>Repairer Invoiced Processed</x:v>
      </x:c>
      <x:c r="H3347" s="19" t="str">
        <x:v>Pre Delivery</x:v>
      </x:c>
      <x:c r="I3347" s="37" t="n">
        <x:v>46132</x:v>
      </x:c>
      <x:c r="J3347" s="37" t="n">
        <x:v>46132</x:v>
      </x:c>
      <x:c r="K3347" s="19" t="str">
        <x:v>Snowy River Launceston</x:v>
      </x:c>
      <x:c r="L3347" s="19" t="str">
        <x:v>Z005</x:v>
      </x:c>
      <x:c r="M3347" s="19" t="str">
        <x:v>Pre Delivery Warranty Claims</x:v>
      </x:c>
      <x:c r="N3347" s="37" t="n">
        <x:v>46071</x:v>
      </x:c>
      <x:c r="O3347" s="37" t="n">
        <x:v>46132</x:v>
      </x:c>
      <x:c r="P3347" s="34" t="n">
        <x:v>227.76</x:v>
      </x:c>
      <x:c r="Q3347" s="37" t="n">
        <x:v>46132.29175925926</x:v>
      </x:c>
    </x:row>
    <x:row r="3348">
      <x:c r="A3348" s="22" t="n">
        <x:v>31355</x:v>
      </x:c>
      <x:c r="B3348" s="28" t="n">
        <x:v>135</x:v>
      </x:c>
      <x:c r="C3348" s="28" t="n">
        <x:v>148.5</x:v>
      </x:c>
      <x:c r="D3348" s="31" t="n">
        <x:f>IF(OR(ISBLANK(B3348),ISBLANK(C3348),B3348=0),"",(C3348-B3348)/B3348)</x:f>
        <x:v>0.1</x:v>
      </x:c>
      <x:c r="E3348" s="22" t="str">
        <x:f>IF(ISBLANK(C3348),"AmountIncludingTax缺失",IF(ABS(B3348-C3348)&lt;0.005,"一致","不一致"))</x:f>
        <x:v>不一致</x:v>
      </x:c>
      <x:c r="F3348" s="19" t="str">
        <x:v>approved</x:v>
      </x:c>
      <x:c r="G3348" s="19" t="str">
        <x:v>Repairer Invoiced Processed</x:v>
      </x:c>
      <x:c r="H3348" s="19" t="str">
        <x:v>In Field</x:v>
      </x:c>
      <x:c r="I3348" s="37" t="n">
        <x:v>46076</x:v>
      </x:c>
      <x:c r="J3348" s="37" t="n">
        <x:v>46076</x:v>
      </x:c>
      <x:c r="K3348" s="19" t="str">
        <x:v>Green RV - Forest Glen</x:v>
      </x:c>
      <x:c r="L3348" s="19" t="str">
        <x:v>Z006</x:v>
      </x:c>
      <x:c r="M3348" s="19" t="str">
        <x:v>In Field Warranty Claims</x:v>
      </x:c>
      <x:c r="N3348" s="37" t="n">
        <x:v>46071</x:v>
      </x:c>
      <x:c r="O3348" s="37"/>
      <x:c r="P3348" s="34" t="n">
        <x:v>148.5</x:v>
      </x:c>
      <x:c r="Q3348" s="37" t="n">
        <x:v>46076.080196759256</x:v>
      </x:c>
    </x:row>
    <x:row r="3349">
      <x:c r="A3349" s="22" t="n">
        <x:v>31354</x:v>
      </x:c>
      <x:c r="B3349" s="28" t="n">
        <x:v>425</x:v>
      </x:c>
      <x:c r="C3349" s="28"/>
      <x:c r="D3349" s="31" t="str">
        <x:f>IF(OR(ISBLANK(B3349),ISBLANK(C3349),B3349=0),"",(C3349-B3349)/B3349)</x:f>
      </x:c>
      <x:c r="E3349" s="22" t="str">
        <x:f>IF(ISBLANK(C3349),"AmountIncludingTax缺失",IF(ABS(B3349-C3349)&lt;0.005,"一致","不一致"))</x:f>
        <x:v>AmountIncludingTax缺失</x:v>
      </x:c>
      <x:c r="F3349" s="19" t="str">
        <x:v>approved</x:v>
      </x:c>
      <x:c r="G3349" s="19" t="str">
        <x:v>Repairer Invoiced Processed</x:v>
      </x:c>
      <x:c r="H3349" s="19" t="str">
        <x:v>In Field</x:v>
      </x:c>
      <x:c r="I3349" s="37" t="n">
        <x:v>46071</x:v>
      </x:c>
      <x:c r="J3349" s="37" t="n">
        <x:v>46071</x:v>
      </x:c>
      <x:c r="K3349" s="19" t="str">
        <x:v>Green RV - Forest Glen</x:v>
      </x:c>
      <x:c r="L3349" s="19" t="str">
        <x:v>Z006</x:v>
      </x:c>
      <x:c r="M3349" s="19" t="str">
        <x:v>In Field Warranty Claims</x:v>
      </x:c>
      <x:c r="N3349" s="37" t="n">
        <x:v>46071</x:v>
      </x:c>
      <x:c r="O3349" s="37"/>
      <x:c r="P3349" s="34" t="n">
        <x:v>0</x:v>
      </x:c>
      <x:c r="Q3349" s="37" t="n">
        <x:v>46071.117685185185</x:v>
      </x:c>
    </x:row>
    <x:row r="3350">
      <x:c r="A3350" s="22" t="n">
        <x:v>31352</x:v>
      </x:c>
      <x:c r="B3350" s="28" t="n">
        <x:v>135</x:v>
      </x:c>
      <x:c r="C3350" s="28"/>
      <x:c r="D3350" s="31" t="str">
        <x:f>IF(OR(ISBLANK(B3350),ISBLANK(C3350),B3350=0),"",(C3350-B3350)/B3350)</x:f>
      </x:c>
      <x:c r="E3350" s="22" t="str">
        <x:f>IF(ISBLANK(C3350),"AmountIncludingTax缺失",IF(ABS(B3350-C3350)&lt;0.005,"一致","不一致"))</x:f>
        <x:v>AmountIncludingTax缺失</x:v>
      </x:c>
      <x:c r="F3350" s="19" t="str">
        <x:v>approved</x:v>
      </x:c>
      <x:c r="G3350" s="19" t="str">
        <x:v>Repairer Invoiced Processed</x:v>
      </x:c>
      <x:c r="H3350" s="19" t="str">
        <x:v>Pre Delivery</x:v>
      </x:c>
      <x:c r="I3350" s="37" t="n">
        <x:v>46076</x:v>
      </x:c>
      <x:c r="J3350" s="37" t="n">
        <x:v>46076</x:v>
      </x:c>
      <x:c r="K3350" s="19" t="str">
        <x:v>Snowy River Launceston</x:v>
      </x:c>
      <x:c r="L3350" s="19" t="str">
        <x:v>Z005</x:v>
      </x:c>
      <x:c r="M3350" s="19" t="str">
        <x:v>Pre Delivery Warranty Claims</x:v>
      </x:c>
      <x:c r="N3350" s="37" t="n">
        <x:v>46071</x:v>
      </x:c>
      <x:c r="O3350" s="37"/>
      <x:c r="P3350" s="34" t="n">
        <x:v>0</x:v>
      </x:c>
      <x:c r="Q3350" s="37" t="n">
        <x:v>46075.88533564815</x:v>
      </x:c>
    </x:row>
    <x:row r="3351">
      <x:c r="A3351" s="22" t="n">
        <x:v>31350</x:v>
      </x:c>
      <x:c r="B3351" s="28" t="n">
        <x:v>135</x:v>
      </x:c>
      <x:c r="C3351" s="28"/>
      <x:c r="D3351" s="31" t="str">
        <x:f>IF(OR(ISBLANK(B3351),ISBLANK(C3351),B3351=0),"",(C3351-B3351)/B3351)</x:f>
      </x:c>
      <x:c r="E3351" s="22" t="str">
        <x:f>IF(ISBLANK(C3351),"AmountIncludingTax缺失",IF(ABS(B3351-C3351)&lt;0.005,"一致","不一致"))</x:f>
        <x:v>AmountIncludingTax缺失</x:v>
      </x:c>
      <x:c r="F3351" s="19" t="str">
        <x:v>approved</x:v>
      </x:c>
      <x:c r="G3351" s="19" t="str">
        <x:v>Repair in Progress</x:v>
      </x:c>
      <x:c r="H3351" s="19" t="str">
        <x:v>Pre Delivery</x:v>
      </x:c>
      <x:c r="I3351" s="37" t="n">
        <x:v>46076</x:v>
      </x:c>
      <x:c r="J3351" s="37" t="n">
        <x:v>46076</x:v>
      </x:c>
      <x:c r="K3351" s="19" t="str">
        <x:v>Snowy River Launceston</x:v>
      </x:c>
      <x:c r="L3351" s="19" t="str">
        <x:v>Z005</x:v>
      </x:c>
      <x:c r="M3351" s="19" t="str">
        <x:v>Pre Delivery Warranty Claims</x:v>
      </x:c>
      <x:c r="N3351" s="37" t="n">
        <x:v>46071</x:v>
      </x:c>
      <x:c r="O3351" s="37"/>
      <x:c r="P3351" s="34" t="n">
        <x:v>0</x:v>
      </x:c>
      <x:c r="Q3351" s="37" t="n">
        <x:v>46075.88967592592</x:v>
      </x:c>
    </x:row>
    <x:row r="3352">
      <x:c r="A3352" s="22" t="n">
        <x:v>31347</x:v>
      </x:c>
      <x:c r="B3352" s="28" t="n">
        <x:v>67.5</x:v>
      </x:c>
      <x:c r="C3352" s="28"/>
      <x:c r="D3352" s="31" t="str">
        <x:f>IF(OR(ISBLANK(B3352),ISBLANK(C3352),B3352=0),"",(C3352-B3352)/B3352)</x:f>
      </x:c>
      <x:c r="E3352" s="22" t="str">
        <x:f>IF(ISBLANK(C3352),"AmountIncludingTax缺失",IF(ABS(B3352-C3352)&lt;0.005,"一致","不一致"))</x:f>
        <x:v>AmountIncludingTax缺失</x:v>
      </x:c>
      <x:c r="F3352" s="19" t="str">
        <x:v>approved</x:v>
      </x:c>
      <x:c r="G3352" s="19" t="str">
        <x:v>Repair in Progress</x:v>
      </x:c>
      <x:c r="H3352" s="19" t="str">
        <x:v>In Field</x:v>
      </x:c>
      <x:c r="I3352" s="37" t="n">
        <x:v>46112</x:v>
      </x:c>
      <x:c r="J3352" s="37" t="n">
        <x:v>46112</x:v>
      </x:c>
      <x:c r="K3352" s="19" t="str">
        <x:v>Regent RV - Traralgon</x:v>
      </x:c>
      <x:c r="L3352" s="19" t="str">
        <x:v>Z006</x:v>
      </x:c>
      <x:c r="M3352" s="19" t="str">
        <x:v>In Field Warranty Claims</x:v>
      </x:c>
      <x:c r="N3352" s="37" t="n">
        <x:v>46071</x:v>
      </x:c>
      <x:c r="O3352" s="37"/>
      <x:c r="P3352" s="34" t="n">
        <x:v>0</x:v>
      </x:c>
      <x:c r="Q3352" s="37" t="n">
        <x:v>46111.90524305555</x:v>
      </x:c>
    </x:row>
    <x:row r="3353">
      <x:c r="A3353" s="22" t="n">
        <x:v>31346</x:v>
      </x:c>
      <x:c r="B3353" s="28" t="n">
        <x:v>371.25</x:v>
      </x:c>
      <x:c r="C3353" s="28"/>
      <x:c r="D3353" s="31" t="str">
        <x:f>IF(OR(ISBLANK(B3353),ISBLANK(C3353),B3353=0),"",(C3353-B3353)/B3353)</x:f>
      </x:c>
      <x:c r="E3353" s="22" t="str">
        <x:f>IF(ISBLANK(C3353),"AmountIncludingTax缺失",IF(ABS(B3353-C3353)&lt;0.005,"一致","不一致"))</x:f>
        <x:v>AmountIncludingTax缺失</x:v>
      </x:c>
      <x:c r="F3353" s="19" t="str">
        <x:v>approved</x:v>
      </x:c>
      <x:c r="G3353" s="19" t="str">
        <x:v>Partially Picked</x:v>
      </x:c>
      <x:c r="H3353" s="19" t="str">
        <x:v>In Field</x:v>
      </x:c>
      <x:c r="I3353" s="37" t="n">
        <x:v>46129</x:v>
      </x:c>
      <x:c r="J3353" s="37" t="n">
        <x:v>46129</x:v>
      </x:c>
      <x:c r="K3353" s="19" t="str">
        <x:v>Not Assigned</x:v>
      </x:c>
      <x:c r="L3353" s="19" t="str">
        <x:v>Z006</x:v>
      </x:c>
      <x:c r="M3353" s="19" t="str">
        <x:v>In Field Warranty Claims</x:v>
      </x:c>
      <x:c r="N3353" s="37" t="n">
        <x:v>46071</x:v>
      </x:c>
      <x:c r="O3353" s="37"/>
      <x:c r="P3353" s="34" t="n">
        <x:v>0</x:v>
      </x:c>
      <x:c r="Q3353" s="37" t="n">
        <x:v>46129.17636574074</x:v>
      </x:c>
    </x:row>
    <x:row r="3354">
      <x:c r="A3354" s="22" t="n">
        <x:v>31344</x:v>
      </x:c>
      <x:c r="B3354" s="28" t="n">
        <x:v>1290.91</x:v>
      </x:c>
      <x:c r="C3354" s="28"/>
      <x:c r="D3354" s="31" t="str">
        <x:f>IF(OR(ISBLANK(B3354),ISBLANK(C3354),B3354=0),"",(C3354-B3354)/B3354)</x:f>
      </x:c>
      <x:c r="E3354" s="22" t="str">
        <x:f>IF(ISBLANK(C3354),"AmountIncludingTax缺失",IF(ABS(B3354-C3354)&lt;0.005,"一致","不一致"))</x:f>
        <x:v>AmountIncludingTax缺失</x:v>
      </x:c>
      <x:c r="F3354" s="19" t="str">
        <x:v>approved</x:v>
      </x:c>
      <x:c r="G3354" s="19" t="str">
        <x:v>Repairer Invoiced Processed</x:v>
      </x:c>
      <x:c r="H3354" s="19" t="str">
        <x:v>In Field</x:v>
      </x:c>
      <x:c r="I3354" s="37" t="n">
        <x:v>46162</x:v>
      </x:c>
      <x:c r="J3354" s="37" t="n">
        <x:v>46162</x:v>
      </x:c>
      <x:c r="K3354" s="19" t="str">
        <x:v>Not Assigned</x:v>
      </x:c>
      <x:c r="L3354" s="19" t="str">
        <x:v>Z006</x:v>
      </x:c>
      <x:c r="M3354" s="19" t="str">
        <x:v>In Field Warranty Claims</x:v>
      </x:c>
      <x:c r="N3354" s="37" t="n">
        <x:v>46071</x:v>
      </x:c>
      <x:c r="O3354" s="37"/>
      <x:c r="P3354" s="34" t="n">
        <x:v>1420</x:v>
      </x:c>
      <x:c r="Q3354" s="37" t="n">
        <x:v>46161.98197916667</x:v>
      </x:c>
    </x:row>
    <x:row r="3355">
      <x:c r="A3355" s="22" t="n">
        <x:v>31343</x:v>
      </x:c>
      <x:c r="B3355" s="28" t="n">
        <x:v>135</x:v>
      </x:c>
      <x:c r="C3355" s="28"/>
      <x:c r="D3355" s="31" t="str">
        <x:f>IF(OR(ISBLANK(B3355),ISBLANK(C3355),B3355=0),"",(C3355-B3355)/B3355)</x:f>
      </x:c>
      <x:c r="E3355" s="22" t="str">
        <x:f>IF(ISBLANK(C3355),"AmountIncludingTax缺失",IF(ABS(B3355-C3355)&lt;0.005,"一致","不一致"))</x:f>
        <x:v>AmountIncludingTax缺失</x:v>
      </x:c>
      <x:c r="F3355" s="19" t="str">
        <x:v>approved</x:v>
      </x:c>
      <x:c r="G3355" s="19" t="str">
        <x:v>Repair in Progress</x:v>
      </x:c>
      <x:c r="H3355" s="19" t="str">
        <x:v>In Field</x:v>
      </x:c>
      <x:c r="I3355" s="37" t="n">
        <x:v>46112</x:v>
      </x:c>
      <x:c r="J3355" s="37" t="n">
        <x:v>46112</x:v>
      </x:c>
      <x:c r="K3355" s="19" t="str">
        <x:v>Sherrif Caravans &amp; Traliers - Prospect Vale</x:v>
      </x:c>
      <x:c r="L3355" s="19" t="str">
        <x:v>Z006</x:v>
      </x:c>
      <x:c r="M3355" s="19" t="str">
        <x:v>In Field Warranty Claims</x:v>
      </x:c>
      <x:c r="N3355" s="37" t="n">
        <x:v>46071</x:v>
      </x:c>
      <x:c r="O3355" s="37"/>
      <x:c r="P3355" s="34" t="n">
        <x:v>0</x:v>
      </x:c>
      <x:c r="Q3355" s="37" t="n">
        <x:v>46111.88650462963</x:v>
      </x:c>
    </x:row>
    <x:row r="3356">
      <x:c r="A3356" s="22" t="n">
        <x:v>31342</x:v>
      </x:c>
      <x:c r="B3356" s="28" t="n">
        <x:v>719.55</x:v>
      </x:c>
      <x:c r="C3356" s="28"/>
      <x:c r="D3356" s="31" t="str">
        <x:f>IF(OR(ISBLANK(B3356),ISBLANK(C3356),B3356=0),"",(C3356-B3356)/B3356)</x:f>
      </x:c>
      <x:c r="E3356" s="22" t="str">
        <x:f>IF(ISBLANK(C3356),"AmountIncludingTax缺失",IF(ABS(B3356-C3356)&lt;0.005,"一致","不一致"))</x:f>
        <x:v>AmountIncludingTax缺失</x:v>
      </x:c>
      <x:c r="F3356" s="19" t="str">
        <x:v>approved</x:v>
      </x:c>
      <x:c r="G3356" s="19" t="str">
        <x:v>Repairer Invoiced Processed</x:v>
      </x:c>
      <x:c r="H3356" s="19" t="str">
        <x:v>In Field</x:v>
      </x:c>
      <x:c r="I3356" s="37" t="n">
        <x:v>46101</x:v>
      </x:c>
      <x:c r="J3356" s="37" t="n">
        <x:v>46101</x:v>
      </x:c>
      <x:c r="K3356" s="19" t="str">
        <x:v>Regent RV Pty Ltd</x:v>
      </x:c>
      <x:c r="L3356" s="19" t="str">
        <x:v>Z006</x:v>
      </x:c>
      <x:c r="M3356" s="19" t="str">
        <x:v>In Field Warranty Claims</x:v>
      </x:c>
      <x:c r="N3356" s="37" t="n">
        <x:v>46071</x:v>
      </x:c>
      <x:c r="O3356" s="37"/>
      <x:c r="P3356" s="34" t="n">
        <x:v>0</x:v>
      </x:c>
      <x:c r="Q3356" s="37" t="n">
        <x:v>46101.00613425926</x:v>
      </x:c>
    </x:row>
    <x:row r="3357">
      <x:c r="A3357" s="22" t="n">
        <x:v>31341</x:v>
      </x:c>
      <x:c r="B3357" s="28" t="n">
        <x:v>371.25</x:v>
      </x:c>
      <x:c r="C3357" s="28"/>
      <x:c r="D3357" s="31" t="str">
        <x:f>IF(OR(ISBLANK(B3357),ISBLANK(C3357),B3357=0),"",(C3357-B3357)/B3357)</x:f>
      </x:c>
      <x:c r="E3357" s="22" t="str">
        <x:f>IF(ISBLANK(C3357),"AmountIncludingTax缺失",IF(ABS(B3357-C3357)&lt;0.005,"一致","不一致"))</x:f>
        <x:v>AmountIncludingTax缺失</x:v>
      </x:c>
      <x:c r="F3357" s="19" t="str">
        <x:v>approved</x:v>
      </x:c>
      <x:c r="G3357" s="19" t="str">
        <x:v>Repairer Invoiced Processed</x:v>
      </x:c>
      <x:c r="H3357" s="19" t="str">
        <x:v>Pre Delivery</x:v>
      </x:c>
      <x:c r="I3357" s="37" t="n">
        <x:v>46077</x:v>
      </x:c>
      <x:c r="J3357" s="37" t="n">
        <x:v>46077</x:v>
      </x:c>
      <x:c r="K3357" s="19" t="str">
        <x:v>Lesiure Lion-New Castle</x:v>
      </x:c>
      <x:c r="L3357" s="19" t="str">
        <x:v>Z005</x:v>
      </x:c>
      <x:c r="M3357" s="19" t="str">
        <x:v>Pre Delivery Warranty Claims</x:v>
      </x:c>
      <x:c r="N3357" s="37" t="n">
        <x:v>46071</x:v>
      </x:c>
      <x:c r="O3357" s="37"/>
      <x:c r="P3357" s="34" t="n">
        <x:v>0</x:v>
      </x:c>
      <x:c r="Q3357" s="37" t="n">
        <x:v>46076.91667824074</x:v>
      </x:c>
    </x:row>
    <x:row r="3358">
      <x:c r="A3358" s="22" t="n">
        <x:v>31339</x:v>
      </x:c>
      <x:c r="B3358" s="28" t="n">
        <x:v>436.59</x:v>
      </x:c>
      <x:c r="C3358" s="28" t="n">
        <x:v>480.25</x:v>
      </x:c>
      <x:c r="D3358" s="31" t="n">
        <x:f>IF(OR(ISBLANK(B3358),ISBLANK(C3358),B3358=0),"",(C3358-B3358)/B3358)</x:f>
        <x:v>0.10000229047848101</x:v>
      </x:c>
      <x:c r="E3358" s="22" t="str">
        <x:f>IF(ISBLANK(C3358),"AmountIncludingTax缺失",IF(ABS(B3358-C3358)&lt;0.005,"一致","不一致"))</x:f>
        <x:v>不一致</x:v>
      </x:c>
      <x:c r="F3358" s="19" t="str">
        <x:v>approved</x:v>
      </x:c>
      <x:c r="G3358" s="19" t="str">
        <x:v>Repair in Progress</x:v>
      </x:c>
      <x:c r="H3358" s="19" t="str">
        <x:v>Pre Delivery</x:v>
      </x:c>
      <x:c r="I3358" s="37" t="n">
        <x:v>46072</x:v>
      </x:c>
      <x:c r="J3358" s="37" t="n">
        <x:v>46072</x:v>
      </x:c>
      <x:c r="K3358" s="19" t="str">
        <x:v>Snowy River Launceston</x:v>
      </x:c>
      <x:c r="L3358" s="19" t="str">
        <x:v>Z005</x:v>
      </x:c>
      <x:c r="M3358" s="19" t="str">
        <x:v>Pre Delivery Warranty Claims</x:v>
      </x:c>
      <x:c r="N3358" s="37" t="n">
        <x:v>46071</x:v>
      </x:c>
      <x:c r="O3358" s="37"/>
      <x:c r="P3358" s="34" t="n">
        <x:v>480.25</x:v>
      </x:c>
      <x:c r="Q3358" s="37" t="n">
        <x:v>46072.22114583333</x:v>
      </x:c>
    </x:row>
    <x:row r="3359">
      <x:c r="A3359" s="22" t="n">
        <x:v>31338</x:v>
      </x:c>
      <x:c r="B3359" s="28" t="n">
        <x:v>222.5</x:v>
      </x:c>
      <x:c r="C3359" s="28" t="n">
        <x:v>244.75</x:v>
      </x:c>
      <x:c r="D3359" s="31" t="n">
        <x:f>IF(OR(ISBLANK(B3359),ISBLANK(C3359),B3359=0),"",(C3359-B3359)/B3359)</x:f>
        <x:v>0.1</x:v>
      </x:c>
      <x:c r="E3359" s="22" t="str">
        <x:f>IF(ISBLANK(C3359),"AmountIncludingTax缺失",IF(ABS(B3359-C3359)&lt;0.005,"一致","不一致"))</x:f>
        <x:v>不一致</x:v>
      </x:c>
      <x:c r="F3359" s="19" t="str">
        <x:v>approved</x:v>
      </x:c>
      <x:c r="G3359" s="19" t="str">
        <x:v>Repair in Progress</x:v>
      </x:c>
      <x:c r="H3359" s="19" t="str">
        <x:v>In Field</x:v>
      </x:c>
      <x:c r="I3359" s="37" t="n">
        <x:v>46098</x:v>
      </x:c>
      <x:c r="J3359" s="37" t="n">
        <x:v>46098</x:v>
      </x:c>
      <x:c r="K3359" s="19" t="str">
        <x:v>Not Assigned</x:v>
      </x:c>
      <x:c r="L3359" s="19" t="str">
        <x:v>Z006</x:v>
      </x:c>
      <x:c r="M3359" s="19" t="str">
        <x:v>In Field Warranty Claims</x:v>
      </x:c>
      <x:c r="N3359" s="37" t="n">
        <x:v>46071</x:v>
      </x:c>
      <x:c r="O3359" s="37"/>
      <x:c r="P3359" s="34" t="n">
        <x:v>244.75</x:v>
      </x:c>
      <x:c r="Q3359" s="37" t="n">
        <x:v>46098.1015625</x:v>
      </x:c>
    </x:row>
    <x:row r="3360">
      <x:c r="A3360" s="22" t="n">
        <x:v>31334</x:v>
      </x:c>
      <x:c r="B3360" s="28" t="n">
        <x:v>860</x:v>
      </x:c>
      <x:c r="C3360" s="28"/>
      <x:c r="D3360" s="31" t="str">
        <x:f>IF(OR(ISBLANK(B3360),ISBLANK(C3360),B3360=0),"",(C3360-B3360)/B3360)</x:f>
      </x:c>
      <x:c r="E3360" s="22" t="str">
        <x:f>IF(ISBLANK(C3360),"AmountIncludingTax缺失",IF(ABS(B3360-C3360)&lt;0.005,"一致","不一致"))</x:f>
        <x:v>AmountIncludingTax缺失</x:v>
      </x:c>
      <x:c r="F3360" s="19" t="str">
        <x:v>approved</x:v>
      </x:c>
      <x:c r="G3360" s="19" t="str">
        <x:v>Repairer Invoiced Processed</x:v>
      </x:c>
      <x:c r="H3360" s="19" t="str">
        <x:v>In Field</x:v>
      </x:c>
      <x:c r="I3360" s="37" t="n">
        <x:v>46129</x:v>
      </x:c>
      <x:c r="J3360" s="37" t="n">
        <x:v>46129</x:v>
      </x:c>
      <x:c r="K3360" s="19" t="str">
        <x:v>Dario Caravans -St.Marys</x:v>
      </x:c>
      <x:c r="L3360" s="19" t="str">
        <x:v>Z006</x:v>
      </x:c>
      <x:c r="M3360" s="19" t="str">
        <x:v>In Field Warranty Claims</x:v>
      </x:c>
      <x:c r="N3360" s="37" t="n">
        <x:v>46071</x:v>
      </x:c>
      <x:c r="O3360" s="37"/>
      <x:c r="P3360" s="34" t="n">
        <x:v>0</x:v>
      </x:c>
      <x:c r="Q3360" s="37" t="n">
        <x:v>46128.846180555556</x:v>
      </x:c>
    </x:row>
    <x:row r="3361">
      <x:c r="A3361" s="22" t="n">
        <x:v>31331</x:v>
      </x:c>
      <x:c r="B3361" s="28" t="n">
        <x:v>540</x:v>
      </x:c>
      <x:c r="C3361" s="28"/>
      <x:c r="D3361" s="31" t="str">
        <x:f>IF(OR(ISBLANK(B3361),ISBLANK(C3361),B3361=0),"",(C3361-B3361)/B3361)</x:f>
      </x:c>
      <x:c r="E3361" s="22" t="str">
        <x:f>IF(ISBLANK(C3361),"AmountIncludingTax缺失",IF(ABS(B3361-C3361)&lt;0.005,"一致","不一致"))</x:f>
        <x:v>AmountIncludingTax缺失</x:v>
      </x:c>
      <x:c r="F3361" s="19" t="str">
        <x:v>approved</x:v>
      </x:c>
      <x:c r="G3361" s="19" t="str">
        <x:v>Repair in Progress</x:v>
      </x:c>
      <x:c r="H3361" s="19" t="str">
        <x:v>In Field</x:v>
      </x:c>
      <x:c r="I3361" s="37" t="n">
        <x:v>46112</x:v>
      </x:c>
      <x:c r="J3361" s="37" t="n">
        <x:v>46112</x:v>
      </x:c>
      <x:c r="K3361" s="19" t="str">
        <x:v>Snowy River Launceston</x:v>
      </x:c>
      <x:c r="L3361" s="19" t="str">
        <x:v>Z006</x:v>
      </x:c>
      <x:c r="M3361" s="19" t="str">
        <x:v>In Field Warranty Claims</x:v>
      </x:c>
      <x:c r="N3361" s="37" t="n">
        <x:v>46071</x:v>
      </x:c>
      <x:c r="O3361" s="37"/>
      <x:c r="P3361" s="34" t="n">
        <x:v>0</x:v>
      </x:c>
      <x:c r="Q3361" s="37" t="n">
        <x:v>46111.88570601852</x:v>
      </x:c>
    </x:row>
    <x:row r="3362">
      <x:c r="A3362" s="22" t="n">
        <x:v>31330</x:v>
      </x:c>
      <x:c r="B3362" s="28" t="n">
        <x:v>67.5</x:v>
      </x:c>
      <x:c r="C3362" s="28"/>
      <x:c r="D3362" s="31" t="str">
        <x:f>IF(OR(ISBLANK(B3362),ISBLANK(C3362),B3362=0),"",(C3362-B3362)/B3362)</x:f>
      </x:c>
      <x:c r="E3362" s="22" t="str">
        <x:f>IF(ISBLANK(C3362),"AmountIncludingTax缺失",IF(ABS(B3362-C3362)&lt;0.005,"一致","不一致"))</x:f>
        <x:v>AmountIncludingTax缺失</x:v>
      </x:c>
      <x:c r="F3362" s="19" t="str">
        <x:v>approved</x:v>
      </x:c>
      <x:c r="G3362" s="19" t="str">
        <x:v>Repair in Progress</x:v>
      </x:c>
      <x:c r="H3362" s="19" t="str">
        <x:v>In Field</x:v>
      </x:c>
      <x:c r="I3362" s="37" t="n">
        <x:v>46099</x:v>
      </x:c>
      <x:c r="J3362" s="37" t="n">
        <x:v>46099</x:v>
      </x:c>
      <x:c r="K3362" s="19" t="str">
        <x:v>Green RV - Forest Glen</x:v>
      </x:c>
      <x:c r="L3362" s="19" t="str">
        <x:v>Z006</x:v>
      </x:c>
      <x:c r="M3362" s="19" t="str">
        <x:v>In Field Warranty Claims</x:v>
      </x:c>
      <x:c r="N3362" s="37" t="n">
        <x:v>46071</x:v>
      </x:c>
      <x:c r="O3362" s="37"/>
      <x:c r="P3362" s="34" t="n">
        <x:v>0</x:v>
      </x:c>
      <x:c r="Q3362" s="37" t="n">
        <x:v>46099.09431712963</x:v>
      </x:c>
    </x:row>
    <x:row r="3363">
      <x:c r="A3363" s="22" t="n">
        <x:v>31329</x:v>
      </x:c>
      <x:c r="B3363" s="28" t="n">
        <x:v>101.25</x:v>
      </x:c>
      <x:c r="C3363" s="28"/>
      <x:c r="D3363" s="31" t="str">
        <x:f>IF(OR(ISBLANK(B3363),ISBLANK(C3363),B3363=0),"",(C3363-B3363)/B3363)</x:f>
      </x:c>
      <x:c r="E3363" s="22" t="str">
        <x:f>IF(ISBLANK(C3363),"AmountIncludingTax缺失",IF(ABS(B3363-C3363)&lt;0.005,"一致","不一致"))</x:f>
        <x:v>AmountIncludingTax缺失</x:v>
      </x:c>
      <x:c r="F3363" s="19" t="str">
        <x:v>approved</x:v>
      </x:c>
      <x:c r="G3363" s="19" t="str">
        <x:v>Repair in Progress</x:v>
      </x:c>
      <x:c r="H3363" s="19" t="str">
        <x:v>Pre Delivery</x:v>
      </x:c>
      <x:c r="I3363" s="37" t="n">
        <x:v>46132</x:v>
      </x:c>
      <x:c r="J3363" s="37" t="n">
        <x:v>46132</x:v>
      </x:c>
      <x:c r="K3363" s="19" t="str">
        <x:v>Green RV - Forest Glen</x:v>
      </x:c>
      <x:c r="L3363" s="19" t="str">
        <x:v>Z005</x:v>
      </x:c>
      <x:c r="M3363" s="19" t="str">
        <x:v>Pre Delivery Warranty Claims</x:v>
      </x:c>
      <x:c r="N3363" s="37" t="n">
        <x:v>46070</x:v>
      </x:c>
      <x:c r="O3363" s="37"/>
      <x:c r="P3363" s="34" t="n">
        <x:v>0</x:v>
      </x:c>
      <x:c r="Q3363" s="37" t="n">
        <x:v>46132.308125</x:v>
      </x:c>
    </x:row>
    <x:row r="3364">
      <x:c r="A3364" s="22" t="n">
        <x:v>31328</x:v>
      </x:c>
      <x:c r="B3364" s="28" t="n">
        <x:v>212.5</x:v>
      </x:c>
      <x:c r="C3364" s="28"/>
      <x:c r="D3364" s="31" t="str">
        <x:f>IF(OR(ISBLANK(B3364),ISBLANK(C3364),B3364=0),"",(C3364-B3364)/B3364)</x:f>
      </x:c>
      <x:c r="E3364" s="22" t="str">
        <x:f>IF(ISBLANK(C3364),"AmountIncludingTax缺失",IF(ABS(B3364-C3364)&lt;0.005,"一致","不一致"))</x:f>
        <x:v>AmountIncludingTax缺失</x:v>
      </x:c>
      <x:c r="F3364" s="19" t="str">
        <x:v>approved</x:v>
      </x:c>
      <x:c r="G3364" s="19" t="str">
        <x:v>Repairer Invoiced Processed</x:v>
      </x:c>
      <x:c r="H3364" s="19" t="str">
        <x:v>Pre Delivery</x:v>
      </x:c>
      <x:c r="I3364" s="37" t="n">
        <x:v>46134</x:v>
      </x:c>
      <x:c r="J3364" s="37" t="n">
        <x:v>46134</x:v>
      </x:c>
      <x:c r="K3364" s="19" t="str">
        <x:v>Snowy River Launceston</x:v>
      </x:c>
      <x:c r="L3364" s="19" t="str">
        <x:v>Z005</x:v>
      </x:c>
      <x:c r="M3364" s="19" t="str">
        <x:v>Pre Delivery Warranty Claims</x:v>
      </x:c>
      <x:c r="N3364" s="37" t="n">
        <x:v>46070</x:v>
      </x:c>
      <x:c r="O3364" s="37"/>
      <x:c r="P3364" s="34" t="n">
        <x:v>0</x:v>
      </x:c>
      <x:c r="Q3364" s="37" t="n">
        <x:v>46134.039675925924</x:v>
      </x:c>
    </x:row>
    <x:row r="3365">
      <x:c r="A3365" s="22" t="n">
        <x:v>31327</x:v>
      </x:c>
      <x:c r="B3365" s="28" t="n">
        <x:v>802.5</x:v>
      </x:c>
      <x:c r="C3365" s="28"/>
      <x:c r="D3365" s="31" t="str">
        <x:f>IF(OR(ISBLANK(B3365),ISBLANK(C3365),B3365=0),"",(C3365-B3365)/B3365)</x:f>
      </x:c>
      <x:c r="E3365" s="22" t="str">
        <x:f>IF(ISBLANK(C3365),"AmountIncludingTax缺失",IF(ABS(B3365-C3365)&lt;0.005,"一致","不一致"))</x:f>
        <x:v>AmountIncludingTax缺失</x:v>
      </x:c>
      <x:c r="F3365" s="19" t="str">
        <x:v>approved</x:v>
      </x:c>
      <x:c r="G3365" s="19" t="str">
        <x:v>Repair in Progress</x:v>
      </x:c>
      <x:c r="H3365" s="19" t="str">
        <x:v>In Field</x:v>
      </x:c>
      <x:c r="I3365" s="37" t="n">
        <x:v>46136</x:v>
      </x:c>
      <x:c r="J3365" s="37" t="n">
        <x:v>46136</x:v>
      </x:c>
      <x:c r="K3365" s="19" t="str">
        <x:v>Dario Caravans -St.Marys</x:v>
      </x:c>
      <x:c r="L3365" s="19" t="str">
        <x:v>Z006</x:v>
      </x:c>
      <x:c r="M3365" s="19" t="str">
        <x:v>In Field Warranty Claims</x:v>
      </x:c>
      <x:c r="N3365" s="37" t="n">
        <x:v>46070</x:v>
      </x:c>
      <x:c r="O3365" s="37"/>
      <x:c r="P3365" s="34" t="n">
        <x:v>0</x:v>
      </x:c>
      <x:c r="Q3365" s="37" t="n">
        <x:v>46136.0880787037</x:v>
      </x:c>
    </x:row>
    <x:row r="3366">
      <x:c r="A3366" s="22" t="n">
        <x:v>31326</x:v>
      </x:c>
      <x:c r="B3366" s="28" t="n">
        <x:v>1727.5</x:v>
      </x:c>
      <x:c r="C3366" s="28"/>
      <x:c r="D3366" s="31" t="str">
        <x:f>IF(OR(ISBLANK(B3366),ISBLANK(C3366),B3366=0),"",(C3366-B3366)/B3366)</x:f>
      </x:c>
      <x:c r="E3366" s="22" t="str">
        <x:f>IF(ISBLANK(C3366),"AmountIncludingTax缺失",IF(ABS(B3366-C3366)&lt;0.005,"一致","不一致"))</x:f>
        <x:v>AmountIncludingTax缺失</x:v>
      </x:c>
      <x:c r="F3366" s="19" t="str">
        <x:v>approved</x:v>
      </x:c>
      <x:c r="G3366" s="19" t="str">
        <x:v>Repair in Progress</x:v>
      </x:c>
      <x:c r="H3366" s="19" t="str">
        <x:v>In Field</x:v>
      </x:c>
      <x:c r="I3366" s="37" t="n">
        <x:v>46162</x:v>
      </x:c>
      <x:c r="J3366" s="37" t="n">
        <x:v>46162</x:v>
      </x:c>
      <x:c r="K3366" s="19" t="str">
        <x:v>Snowy River Launceston</x:v>
      </x:c>
      <x:c r="L3366" s="19" t="str">
        <x:v>Z006</x:v>
      </x:c>
      <x:c r="M3366" s="19" t="str">
        <x:v>In Field Warranty Claims</x:v>
      </x:c>
      <x:c r="N3366" s="37" t="n">
        <x:v>46070</x:v>
      </x:c>
      <x:c r="O3366" s="37" t="n">
        <x:v>46157</x:v>
      </x:c>
      <x:c r="P3366" s="34" t="n">
        <x:v>0</x:v>
      </x:c>
      <x:c r="Q3366" s="37" t="n">
        <x:v>46162.130891203706</x:v>
      </x:c>
    </x:row>
    <x:row r="3367">
      <x:c r="A3367" s="22" t="n">
        <x:v>31325</x:v>
      </x:c>
      <x:c r="B3367" s="28" t="n">
        <x:v>776.25</x:v>
      </x:c>
      <x:c r="C3367" s="28"/>
      <x:c r="D3367" s="31" t="str">
        <x:f>IF(OR(ISBLANK(B3367),ISBLANK(C3367),B3367=0),"",(C3367-B3367)/B3367)</x:f>
      </x:c>
      <x:c r="E3367" s="22" t="str">
        <x:f>IF(ISBLANK(C3367),"AmountIncludingTax缺失",IF(ABS(B3367-C3367)&lt;0.005,"一致","不一致"))</x:f>
        <x:v>AmountIncludingTax缺失</x:v>
      </x:c>
      <x:c r="F3367" s="19" t="str">
        <x:v>approved</x:v>
      </x:c>
      <x:c r="G3367" s="19" t="str">
        <x:v>Repair in Progress</x:v>
      </x:c>
      <x:c r="H3367" s="19" t="str">
        <x:v>In Field</x:v>
      </x:c>
      <x:c r="I3367" s="37" t="n">
        <x:v>46092</x:v>
      </x:c>
      <x:c r="J3367" s="37" t="n">
        <x:v>46092</x:v>
      </x:c>
      <x:c r="K3367" s="19" t="str">
        <x:v>Regent RV - Frankston</x:v>
      </x:c>
      <x:c r="L3367" s="19" t="str">
        <x:v>Z006</x:v>
      </x:c>
      <x:c r="M3367" s="19" t="str">
        <x:v>In Field Warranty Claims</x:v>
      </x:c>
      <x:c r="N3367" s="37" t="n">
        <x:v>46070</x:v>
      </x:c>
      <x:c r="O3367" s="37"/>
      <x:c r="P3367" s="34" t="n">
        <x:v>0</x:v>
      </x:c>
      <x:c r="Q3367" s="37" t="n">
        <x:v>46091.87869212963</x:v>
      </x:c>
    </x:row>
    <x:row r="3368">
      <x:c r="A3368" s="22" t="n">
        <x:v>31324</x:v>
      </x:c>
      <x:c r="B3368" s="28" t="n">
        <x:v>405</x:v>
      </x:c>
      <x:c r="C3368" s="28"/>
      <x:c r="D3368" s="31" t="str">
        <x:f>IF(OR(ISBLANK(B3368),ISBLANK(C3368),B3368=0),"",(C3368-B3368)/B3368)</x:f>
      </x:c>
      <x:c r="E3368" s="22" t="str">
        <x:f>IF(ISBLANK(C3368),"AmountIncludingTax缺失",IF(ABS(B3368-C3368)&lt;0.005,"一致","不一致"))</x:f>
        <x:v>AmountIncludingTax缺失</x:v>
      </x:c>
      <x:c r="F3368" s="19" t="str">
        <x:v>approved</x:v>
      </x:c>
      <x:c r="G3368" s="19" t="str">
        <x:v>Repair in Progress</x:v>
      </x:c>
      <x:c r="H3368" s="19" t="str">
        <x:v>In Field</x:v>
      </x:c>
      <x:c r="I3368" s="37" t="n">
        <x:v>46085</x:v>
      </x:c>
      <x:c r="J3368" s="37" t="n">
        <x:v>46085</x:v>
      </x:c>
      <x:c r="K3368" s="19" t="str">
        <x:v>Regent RV - Frankston</x:v>
      </x:c>
      <x:c r="L3368" s="19" t="str">
        <x:v>Z006</x:v>
      </x:c>
      <x:c r="M3368" s="19" t="str">
        <x:v>In Field Warranty Claims</x:v>
      </x:c>
      <x:c r="N3368" s="37" t="n">
        <x:v>46070</x:v>
      </x:c>
      <x:c r="O3368" s="37"/>
      <x:c r="P3368" s="34" t="n">
        <x:v>0</x:v>
      </x:c>
      <x:c r="Q3368" s="37" t="n">
        <x:v>46084.867372685185</x:v>
      </x:c>
    </x:row>
    <x:row r="3369">
      <x:c r="A3369" s="22" t="n">
        <x:v>31322</x:v>
      </x:c>
      <x:c r="B3369" s="28" t="n">
        <x:v>270</x:v>
      </x:c>
      <x:c r="C3369" s="28"/>
      <x:c r="D3369" s="31" t="str">
        <x:f>IF(OR(ISBLANK(B3369),ISBLANK(C3369),B3369=0),"",(C3369-B3369)/B3369)</x:f>
      </x:c>
      <x:c r="E3369" s="22" t="str">
        <x:f>IF(ISBLANK(C3369),"AmountIncludingTax缺失",IF(ABS(B3369-C3369)&lt;0.005,"一致","不一致"))</x:f>
        <x:v>AmountIncludingTax缺失</x:v>
      </x:c>
      <x:c r="F3369" s="19" t="str">
        <x:v>approved</x:v>
      </x:c>
      <x:c r="G3369" s="19" t="str">
        <x:v>Repair in Progress</x:v>
      </x:c>
      <x:c r="H3369" s="19" t="str">
        <x:v>In Field</x:v>
      </x:c>
      <x:c r="I3369" s="37" t="n">
        <x:v>46107</x:v>
      </x:c>
      <x:c r="J3369" s="37" t="n">
        <x:v>46107</x:v>
      </x:c>
      <x:c r="K3369" s="19" t="str">
        <x:v>Newcastle RV Super Centre - Beresfield</x:v>
      </x:c>
      <x:c r="L3369" s="19" t="str">
        <x:v>Z006</x:v>
      </x:c>
      <x:c r="M3369" s="19" t="str">
        <x:v>In Field Warranty Claims</x:v>
      </x:c>
      <x:c r="N3369" s="37" t="n">
        <x:v>46070</x:v>
      </x:c>
      <x:c r="O3369" s="37"/>
      <x:c r="P3369" s="34" t="n">
        <x:v>0</x:v>
      </x:c>
      <x:c r="Q3369" s="37" t="n">
        <x:v>46107.14261574074</x:v>
      </x:c>
    </x:row>
    <x:row r="3370">
      <x:c r="A3370" s="22" t="n">
        <x:v>31321</x:v>
      </x:c>
      <x:c r="B3370" s="28" t="n">
        <x:v>641.25</x:v>
      </x:c>
      <x:c r="C3370" s="28"/>
      <x:c r="D3370" s="31" t="str">
        <x:f>IF(OR(ISBLANK(B3370),ISBLANK(C3370),B3370=0),"",(C3370-B3370)/B3370)</x:f>
      </x:c>
      <x:c r="E3370" s="22" t="str">
        <x:f>IF(ISBLANK(C3370),"AmountIncludingTax缺失",IF(ABS(B3370-C3370)&lt;0.005,"一致","不一致"))</x:f>
        <x:v>AmountIncludingTax缺失</x:v>
      </x:c>
      <x:c r="F3370" s="19" t="str">
        <x:v>approved</x:v>
      </x:c>
      <x:c r="G3370" s="19" t="str">
        <x:v>Repair in Progress</x:v>
      </x:c>
      <x:c r="H3370" s="19" t="str">
        <x:v>In Field</x:v>
      </x:c>
      <x:c r="I3370" s="37" t="n">
        <x:v>46092</x:v>
      </x:c>
      <x:c r="J3370" s="37" t="n">
        <x:v>46092</x:v>
      </x:c>
      <x:c r="K3370" s="19" t="str">
        <x:v>Regent RV - Frankston</x:v>
      </x:c>
      <x:c r="L3370" s="19" t="str">
        <x:v>Z006</x:v>
      </x:c>
      <x:c r="M3370" s="19" t="str">
        <x:v>In Field Warranty Claims</x:v>
      </x:c>
      <x:c r="N3370" s="37" t="n">
        <x:v>46070</x:v>
      </x:c>
      <x:c r="O3370" s="37"/>
      <x:c r="P3370" s="34" t="n">
        <x:v>0</x:v>
      </x:c>
      <x:c r="Q3370" s="37" t="n">
        <x:v>46091.88857638889</x:v>
      </x:c>
    </x:row>
    <x:row r="3371">
      <x:c r="A3371" s="22" t="n">
        <x:v>31320</x:v>
      </x:c>
      <x:c r="B3371" s="28" t="n">
        <x:v>202.5</x:v>
      </x:c>
      <x:c r="C3371" s="28"/>
      <x:c r="D3371" s="31" t="str">
        <x:f>IF(OR(ISBLANK(B3371),ISBLANK(C3371),B3371=0),"",(C3371-B3371)/B3371)</x:f>
      </x:c>
      <x:c r="E3371" s="22" t="str">
        <x:f>IF(ISBLANK(C3371),"AmountIncludingTax缺失",IF(ABS(B3371-C3371)&lt;0.005,"一致","不一致"))</x:f>
        <x:v>AmountIncludingTax缺失</x:v>
      </x:c>
      <x:c r="F3371" s="19" t="str">
        <x:v>approved</x:v>
      </x:c>
      <x:c r="G3371" s="19" t="str">
        <x:v>Repairer Invoiced Processed</x:v>
      </x:c>
      <x:c r="H3371" s="19" t="str">
        <x:v>In Field</x:v>
      </x:c>
      <x:c r="I3371" s="37" t="n">
        <x:v>46107</x:v>
      </x:c>
      <x:c r="J3371" s="37" t="n">
        <x:v>46107</x:v>
      </x:c>
      <x:c r="K3371" s="19" t="str">
        <x:v>Leisure Lion Pty Ltd - Morisset</x:v>
      </x:c>
      <x:c r="L3371" s="19" t="str">
        <x:v>Z006</x:v>
      </x:c>
      <x:c r="M3371" s="19" t="str">
        <x:v>In Field Warranty Claims</x:v>
      </x:c>
      <x:c r="N3371" s="37" t="n">
        <x:v>46071</x:v>
      </x:c>
      <x:c r="O3371" s="37"/>
      <x:c r="P3371" s="34" t="n">
        <x:v>0</x:v>
      </x:c>
      <x:c r="Q3371" s="37" t="n">
        <x:v>46107.09347222222</x:v>
      </x:c>
    </x:row>
    <x:row r="3372">
      <x:c r="A3372" s="22" t="n">
        <x:v>31318</x:v>
      </x:c>
      <x:c r="B3372" s="28" t="n">
        <x:v>312.84</x:v>
      </x:c>
      <x:c r="C3372" s="28"/>
      <x:c r="D3372" s="31" t="str">
        <x:f>IF(OR(ISBLANK(B3372),ISBLANK(C3372),B3372=0),"",(C3372-B3372)/B3372)</x:f>
      </x:c>
      <x:c r="E3372" s="22" t="str">
        <x:f>IF(ISBLANK(C3372),"AmountIncludingTax缺失",IF(ABS(B3372-C3372)&lt;0.005,"一致","不一致"))</x:f>
        <x:v>AmountIncludingTax缺失</x:v>
      </x:c>
      <x:c r="F3372" s="19" t="str">
        <x:v>approved</x:v>
      </x:c>
      <x:c r="G3372" s="19" t="str">
        <x:v>Repairer Invoiced Processed</x:v>
      </x:c>
      <x:c r="H3372" s="19" t="str">
        <x:v>Pre Delivery</x:v>
      </x:c>
      <x:c r="I3372" s="37" t="n">
        <x:v>46132</x:v>
      </x:c>
      <x:c r="J3372" s="37" t="n">
        <x:v>46132</x:v>
      </x:c>
      <x:c r="K3372" s="19" t="str">
        <x:v>Snowy River Launceston</x:v>
      </x:c>
      <x:c r="L3372" s="19" t="str">
        <x:v>Z005</x:v>
      </x:c>
      <x:c r="M3372" s="19" t="str">
        <x:v>Pre Delivery Warranty Claims</x:v>
      </x:c>
      <x:c r="N3372" s="37" t="n">
        <x:v>46071</x:v>
      </x:c>
      <x:c r="O3372" s="37"/>
      <x:c r="P3372" s="34" t="n">
        <x:v>0</x:v>
      </x:c>
      <x:c r="Q3372" s="37" t="n">
        <x:v>46132.303298611114</x:v>
      </x:c>
    </x:row>
    <x:row r="3373">
      <x:c r="A3373" s="22" t="n">
        <x:v>31317</x:v>
      </x:c>
      <x:c r="B3373" s="28" t="n">
        <x:v>202.5</x:v>
      </x:c>
      <x:c r="C3373" s="28"/>
      <x:c r="D3373" s="31" t="str">
        <x:f>IF(OR(ISBLANK(B3373),ISBLANK(C3373),B3373=0),"",(C3373-B3373)/B3373)</x:f>
      </x:c>
      <x:c r="E3373" s="22" t="str">
        <x:f>IF(ISBLANK(C3373),"AmountIncludingTax缺失",IF(ABS(B3373-C3373)&lt;0.005,"一致","不一致"))</x:f>
        <x:v>AmountIncludingTax缺失</x:v>
      </x:c>
      <x:c r="F3373" s="19" t="str">
        <x:v>approved</x:v>
      </x:c>
      <x:c r="G3373" s="19" t="str">
        <x:v>Repair in Progress</x:v>
      </x:c>
      <x:c r="H3373" s="19" t="str">
        <x:v>Pre Delivery</x:v>
      </x:c>
      <x:c r="I3373" s="37" t="n">
        <x:v>46155</x:v>
      </x:c>
      <x:c r="J3373" s="37" t="n">
        <x:v>46155</x:v>
      </x:c>
      <x:c r="K3373" s="19" t="str">
        <x:v>Destiny RV - South Australia</x:v>
      </x:c>
      <x:c r="L3373" s="19" t="str">
        <x:v>Z005</x:v>
      </x:c>
      <x:c r="M3373" s="19" t="str">
        <x:v>Pre Delivery Warranty Claims</x:v>
      </x:c>
      <x:c r="N3373" s="37" t="n">
        <x:v>46071</x:v>
      </x:c>
      <x:c r="O3373" s="37"/>
      <x:c r="P3373" s="34" t="n">
        <x:v>0</x:v>
      </x:c>
      <x:c r="Q3373" s="37" t="n">
        <x:v>46154.96891203704</x:v>
      </x:c>
    </x:row>
    <x:row r="3374">
      <x:c r="A3374" s="22" t="n">
        <x:v>31316</x:v>
      </x:c>
      <x:c r="B3374" s="28" t="n">
        <x:v>207.5</x:v>
      </x:c>
      <x:c r="C3374" s="28"/>
      <x:c r="D3374" s="31" t="str">
        <x:f>IF(OR(ISBLANK(B3374),ISBLANK(C3374),B3374=0),"",(C3374-B3374)/B3374)</x:f>
      </x:c>
      <x:c r="E3374" s="22" t="str">
        <x:f>IF(ISBLANK(C3374),"AmountIncludingTax缺失",IF(ABS(B3374-C3374)&lt;0.005,"一致","不一致"))</x:f>
        <x:v>AmountIncludingTax缺失</x:v>
      </x:c>
      <x:c r="F3374" s="19" t="str">
        <x:v>approved</x:v>
      </x:c>
      <x:c r="G3374" s="19" t="str">
        <x:v>Repairer Invoiced Processed</x:v>
      </x:c>
      <x:c r="H3374" s="19" t="str">
        <x:v>In Field</x:v>
      </x:c>
      <x:c r="I3374" s="37" t="n">
        <x:v>46087</x:v>
      </x:c>
      <x:c r="J3374" s="37" t="n">
        <x:v>46087</x:v>
      </x:c>
      <x:c r="K3374" s="19" t="str">
        <x:v>Green RV - Forest Glen</x:v>
      </x:c>
      <x:c r="L3374" s="19" t="str">
        <x:v>Z006</x:v>
      </x:c>
      <x:c r="M3374" s="19" t="str">
        <x:v>In Field Warranty Claims</x:v>
      </x:c>
      <x:c r="N3374" s="37" t="n">
        <x:v>46071</x:v>
      </x:c>
      <x:c r="O3374" s="37"/>
      <x:c r="P3374" s="34" t="n">
        <x:v>0</x:v>
      </x:c>
      <x:c r="Q3374" s="37" t="n">
        <x:v>46087.07109953704</x:v>
      </x:c>
    </x:row>
    <x:row r="3375">
      <x:c r="A3375" s="22" t="n">
        <x:v>31314</x:v>
      </x:c>
      <x:c r="B3375" s="28" t="n">
        <x:v>679.55</x:v>
      </x:c>
      <x:c r="C3375" s="28"/>
      <x:c r="D3375" s="31" t="str">
        <x:f>IF(OR(ISBLANK(B3375),ISBLANK(C3375),B3375=0),"",(C3375-B3375)/B3375)</x:f>
      </x:c>
      <x:c r="E3375" s="22" t="str">
        <x:f>IF(ISBLANK(C3375),"AmountIncludingTax缺失",IF(ABS(B3375-C3375)&lt;0.005,"一致","不一致"))</x:f>
        <x:v>AmountIncludingTax缺失</x:v>
      </x:c>
      <x:c r="F3375" s="19" t="str">
        <x:v>approved</x:v>
      </x:c>
      <x:c r="G3375" s="19" t="str">
        <x:v>Repair in Progress</x:v>
      </x:c>
      <x:c r="H3375" s="19" t="str">
        <x:v>In Field</x:v>
      </x:c>
      <x:c r="I3375" s="37" t="n">
        <x:v>46087</x:v>
      </x:c>
      <x:c r="J3375" s="37" t="n">
        <x:v>46087</x:v>
      </x:c>
      <x:c r="K3375" s="19" t="str">
        <x:v>Green RV - Forest Glen</x:v>
      </x:c>
      <x:c r="L3375" s="19" t="str">
        <x:v>Z006</x:v>
      </x:c>
      <x:c r="M3375" s="19" t="str">
        <x:v>In Field Warranty Claims</x:v>
      </x:c>
      <x:c r="N3375" s="37" t="n">
        <x:v>46070</x:v>
      </x:c>
      <x:c r="O3375" s="37"/>
      <x:c r="P3375" s="34" t="n">
        <x:v>0</x:v>
      </x:c>
      <x:c r="Q3375" s="37" t="n">
        <x:v>46087.095821759256</x:v>
      </x:c>
    </x:row>
    <x:row r="3376">
      <x:c r="A3376" s="22" t="n">
        <x:v>31312</x:v>
      </x:c>
      <x:c r="B3376" s="28" t="n">
        <x:v>38.3</x:v>
      </x:c>
      <x:c r="C3376" s="28"/>
      <x:c r="D3376" s="31" t="str">
        <x:f>IF(OR(ISBLANK(B3376),ISBLANK(C3376),B3376=0),"",(C3376-B3376)/B3376)</x:f>
      </x:c>
      <x:c r="E3376" s="22" t="str">
        <x:f>IF(ISBLANK(C3376),"AmountIncludingTax缺失",IF(ABS(B3376-C3376)&lt;0.005,"一致","不一致"))</x:f>
        <x:v>AmountIncludingTax缺失</x:v>
      </x:c>
      <x:c r="F3376" s="19" t="str">
        <x:v>approved</x:v>
      </x:c>
      <x:c r="G3376" s="19" t="str">
        <x:v>Repairer Invoiced Processed</x:v>
      </x:c>
      <x:c r="H3376" s="19" t="str">
        <x:v>Pre Delivery</x:v>
      </x:c>
      <x:c r="I3376" s="37" t="n">
        <x:v>46132</x:v>
      </x:c>
      <x:c r="J3376" s="37" t="n">
        <x:v>46132</x:v>
      </x:c>
      <x:c r="K3376" s="19" t="str">
        <x:v>Snowy River Launceston</x:v>
      </x:c>
      <x:c r="L3376" s="19" t="str">
        <x:v>Z005</x:v>
      </x:c>
      <x:c r="M3376" s="19" t="str">
        <x:v>Pre Delivery Warranty Claims</x:v>
      </x:c>
      <x:c r="N3376" s="37" t="n">
        <x:v>46070</x:v>
      </x:c>
      <x:c r="O3376" s="37"/>
      <x:c r="P3376" s="34" t="n">
        <x:v>0</x:v>
      </x:c>
      <x:c r="Q3376" s="37" t="n">
        <x:v>46132.30777777778</x:v>
      </x:c>
    </x:row>
    <x:row r="3377">
      <x:c r="A3377" s="22" t="n">
        <x:v>31307</x:v>
      </x:c>
      <x:c r="B3377" s="28" t="n">
        <x:v>675</x:v>
      </x:c>
      <x:c r="C3377" s="28" t="n">
        <x:v>742.5</x:v>
      </x:c>
      <x:c r="D3377" s="31" t="n">
        <x:f>IF(OR(ISBLANK(B3377),ISBLANK(C3377),B3377=0),"",(C3377-B3377)/B3377)</x:f>
        <x:v>0.1</x:v>
      </x:c>
      <x:c r="E3377" s="22" t="str">
        <x:f>IF(ISBLANK(C3377),"AmountIncludingTax缺失",IF(ABS(B3377-C3377)&lt;0.005,"一致","不一致"))</x:f>
        <x:v>不一致</x:v>
      </x:c>
      <x:c r="F3377" s="19" t="str">
        <x:v>approved</x:v>
      </x:c>
      <x:c r="G3377" s="19" t="str">
        <x:v>Repair in Progress</x:v>
      </x:c>
      <x:c r="H3377" s="19" t="str">
        <x:v>In Field</x:v>
      </x:c>
      <x:c r="I3377" s="37" t="n">
        <x:v>46108</x:v>
      </x:c>
      <x:c r="J3377" s="37" t="n">
        <x:v>46108</x:v>
      </x:c>
      <x:c r="K3377" s="19" t="str">
        <x:v>Not Assigned</x:v>
      </x:c>
      <x:c r="L3377" s="19" t="str">
        <x:v>Z006</x:v>
      </x:c>
      <x:c r="M3377" s="19" t="str">
        <x:v>In Field Warranty Claims</x:v>
      </x:c>
      <x:c r="N3377" s="37" t="n">
        <x:v>46070</x:v>
      </x:c>
      <x:c r="O3377" s="37"/>
      <x:c r="P3377" s="34" t="n">
        <x:v>742.5</x:v>
      </x:c>
      <x:c r="Q3377" s="37" t="n">
        <x:v>46108.067453703705</x:v>
      </x:c>
    </x:row>
    <x:row r="3378">
      <x:c r="A3378" s="22" t="n">
        <x:v>31304</x:v>
      </x:c>
      <x:c r="B3378" s="28" t="n">
        <x:v>1604.25</x:v>
      </x:c>
      <x:c r="C3378" s="28"/>
      <x:c r="D3378" s="31" t="str">
        <x:f>IF(OR(ISBLANK(B3378),ISBLANK(C3378),B3378=0),"",(C3378-B3378)/B3378)</x:f>
      </x:c>
      <x:c r="E3378" s="22" t="str">
        <x:f>IF(ISBLANK(C3378),"AmountIncludingTax缺失",IF(ABS(B3378-C3378)&lt;0.005,"一致","不一致"))</x:f>
        <x:v>AmountIncludingTax缺失</x:v>
      </x:c>
      <x:c r="F3378" s="19" t="str">
        <x:v>approved</x:v>
      </x:c>
      <x:c r="G3378" s="19" t="str">
        <x:v>Repair in Progress</x:v>
      </x:c>
      <x:c r="H3378" s="19" t="str">
        <x:v>In Field</x:v>
      </x:c>
      <x:c r="I3378" s="37" t="n">
        <x:v>46112</x:v>
      </x:c>
      <x:c r="J3378" s="37" t="n">
        <x:v>46112</x:v>
      </x:c>
      <x:c r="K3378" s="19" t="str">
        <x:v>Lesiure Lion-New Castle</x:v>
      </x:c>
      <x:c r="L3378" s="19" t="str">
        <x:v>Z006</x:v>
      </x:c>
      <x:c r="M3378" s="19" t="str">
        <x:v>In Field Warranty Claims</x:v>
      </x:c>
      <x:c r="N3378" s="37" t="n">
        <x:v>46070</x:v>
      </x:c>
      <x:c r="O3378" s="37"/>
      <x:c r="P3378" s="34" t="n">
        <x:v>0</x:v>
      </x:c>
      <x:c r="Q3378" s="37" t="n">
        <x:v>46112.01600694445</x:v>
      </x:c>
    </x:row>
    <x:row r="3379">
      <x:c r="A3379" s="22" t="n">
        <x:v>31303</x:v>
      </x:c>
      <x:c r="B3379" s="28" t="n">
        <x:v>160</x:v>
      </x:c>
      <x:c r="C3379" s="28"/>
      <x:c r="D3379" s="31" t="str">
        <x:f>IF(OR(ISBLANK(B3379),ISBLANK(C3379),B3379=0),"",(C3379-B3379)/B3379)</x:f>
      </x:c>
      <x:c r="E3379" s="22" t="str">
        <x:f>IF(ISBLANK(C3379),"AmountIncludingTax缺失",IF(ABS(B3379-C3379)&lt;0.005,"一致","不一致"))</x:f>
        <x:v>AmountIncludingTax缺失</x:v>
      </x:c>
      <x:c r="F3379" s="19" t="str">
        <x:v>approved</x:v>
      </x:c>
      <x:c r="G3379" s="19" t="str">
        <x:v>Repairer Invoiced Processed</x:v>
      </x:c>
      <x:c r="H3379" s="19" t="str">
        <x:v>In Field</x:v>
      </x:c>
      <x:c r="I3379" s="37" t="n">
        <x:v>46133</x:v>
      </x:c>
      <x:c r="J3379" s="37" t="n">
        <x:v>46133</x:v>
      </x:c>
      <x:c r="K3379" s="19" t="str">
        <x:v>Green RV - Forest Glen</x:v>
      </x:c>
      <x:c r="L3379" s="19" t="str">
        <x:v>Z006</x:v>
      </x:c>
      <x:c r="M3379" s="19" t="str">
        <x:v>In Field Warranty Claims</x:v>
      </x:c>
      <x:c r="N3379" s="37" t="n">
        <x:v>46070</x:v>
      </x:c>
      <x:c r="O3379" s="37"/>
      <x:c r="P3379" s="34" t="n">
        <x:v>0</x:v>
      </x:c>
      <x:c r="Q3379" s="37" t="n">
        <x:v>46133.01835648148</x:v>
      </x:c>
    </x:row>
    <x:row r="3380">
      <x:c r="A3380" s="22" t="n">
        <x:v>31301</x:v>
      </x:c>
      <x:c r="B3380" s="28" t="n">
        <x:v>526.25</x:v>
      </x:c>
      <x:c r="C3380" s="28"/>
      <x:c r="D3380" s="31" t="str">
        <x:f>IF(OR(ISBLANK(B3380),ISBLANK(C3380),B3380=0),"",(C3380-B3380)/B3380)</x:f>
      </x:c>
      <x:c r="E3380" s="22" t="str">
        <x:f>IF(ISBLANK(C3380),"AmountIncludingTax缺失",IF(ABS(B3380-C3380)&lt;0.005,"一致","不一致"))</x:f>
        <x:v>AmountIncludingTax缺失</x:v>
      </x:c>
      <x:c r="F3380" s="19" t="str">
        <x:v>approved</x:v>
      </x:c>
      <x:c r="G3380" s="19" t="str">
        <x:v>Repair in Progress</x:v>
      </x:c>
      <x:c r="H3380" s="19" t="str">
        <x:v>In Field</x:v>
      </x:c>
      <x:c r="I3380" s="37" t="n">
        <x:v>46125</x:v>
      </x:c>
      <x:c r="J3380" s="37" t="n">
        <x:v>46125</x:v>
      </x:c>
      <x:c r="K3380" s="19" t="str">
        <x:v>ABCO Caravans - Boambee Valley</x:v>
      </x:c>
      <x:c r="L3380" s="19" t="str">
        <x:v>Z006</x:v>
      </x:c>
      <x:c r="M3380" s="19" t="str">
        <x:v>In Field Warranty Claims</x:v>
      </x:c>
      <x:c r="N3380" s="37" t="n">
        <x:v>46070</x:v>
      </x:c>
      <x:c r="O3380" s="37"/>
      <x:c r="P3380" s="34" t="n">
        <x:v>0</x:v>
      </x:c>
      <x:c r="Q3380" s="37" t="n">
        <x:v>46125.372083333335</x:v>
      </x:c>
    </x:row>
    <x:row r="3381">
      <x:c r="A3381" s="22" t="n">
        <x:v>31297</x:v>
      </x:c>
      <x:c r="B3381" s="28" t="n">
        <x:v>405</x:v>
      </x:c>
      <x:c r="C3381" s="28"/>
      <x:c r="D3381" s="31" t="str">
        <x:f>IF(OR(ISBLANK(B3381),ISBLANK(C3381),B3381=0),"",(C3381-B3381)/B3381)</x:f>
      </x:c>
      <x:c r="E3381" s="22" t="str">
        <x:f>IF(ISBLANK(C3381),"AmountIncludingTax缺失",IF(ABS(B3381-C3381)&lt;0.005,"一致","不一致"))</x:f>
        <x:v>AmountIncludingTax缺失</x:v>
      </x:c>
      <x:c r="F3381" s="19" t="str">
        <x:v>approved</x:v>
      </x:c>
      <x:c r="G3381" s="19" t="str">
        <x:v>Repairer Invoiced Processed</x:v>
      </x:c>
      <x:c r="H3381" s="19" t="str">
        <x:v>In Field</x:v>
      </x:c>
      <x:c r="I3381" s="37" t="n">
        <x:v>46087</x:v>
      </x:c>
      <x:c r="J3381" s="37" t="n">
        <x:v>46087</x:v>
      </x:c>
      <x:c r="K3381" s="19" t="str">
        <x:v>Not Assigned</x:v>
      </x:c>
      <x:c r="L3381" s="19" t="str">
        <x:v>Z006</x:v>
      </x:c>
      <x:c r="M3381" s="19" t="str">
        <x:v>In Field Warranty Claims</x:v>
      </x:c>
      <x:c r="N3381" s="37" t="n">
        <x:v>46070</x:v>
      </x:c>
      <x:c r="O3381" s="37"/>
      <x:c r="P3381" s="34" t="n">
        <x:v>0</x:v>
      </x:c>
      <x:c r="Q3381" s="37" t="n">
        <x:v>46086.940358796295</x:v>
      </x:c>
    </x:row>
    <x:row r="3382">
      <x:c r="A3382" s="22" t="n">
        <x:v>31296</x:v>
      </x:c>
      <x:c r="B3382" s="28" t="n">
        <x:v>288</x:v>
      </x:c>
      <x:c r="C3382" s="28"/>
      <x:c r="D3382" s="31" t="str">
        <x:f>IF(OR(ISBLANK(B3382),ISBLANK(C3382),B3382=0),"",(C3382-B3382)/B3382)</x:f>
      </x:c>
      <x:c r="E3382" s="22" t="str">
        <x:f>IF(ISBLANK(C3382),"AmountIncludingTax缺失",IF(ABS(B3382-C3382)&lt;0.005,"一致","不一致"))</x:f>
        <x:v>AmountIncludingTax缺失</x:v>
      </x:c>
      <x:c r="F3382" s="19" t="str">
        <x:v>approved</x:v>
      </x:c>
      <x:c r="G3382" s="19" t="str">
        <x:v>Repairer Invoiced Processed</x:v>
      </x:c>
      <x:c r="H3382" s="19" t="str">
        <x:v>In Field</x:v>
      </x:c>
      <x:c r="I3382" s="37" t="n">
        <x:v>46094</x:v>
      </x:c>
      <x:c r="J3382" s="37" t="n">
        <x:v>46094</x:v>
      </x:c>
      <x:c r="K3382" s="19" t="str">
        <x:v>Leisure Lion Pty Ltd - Gympie</x:v>
      </x:c>
      <x:c r="L3382" s="19" t="str">
        <x:v>Z006</x:v>
      </x:c>
      <x:c r="M3382" s="19" t="str">
        <x:v>In Field Warranty Claims</x:v>
      </x:c>
      <x:c r="N3382" s="37" t="n">
        <x:v>46070</x:v>
      </x:c>
      <x:c r="O3382" s="37"/>
      <x:c r="P3382" s="34" t="n">
        <x:v>0</x:v>
      </x:c>
      <x:c r="Q3382" s="37" t="n">
        <x:v>46093.928194444445</x:v>
      </x:c>
    </x:row>
    <x:row r="3383">
      <x:c r="A3383" s="22" t="n">
        <x:v>31295</x:v>
      </x:c>
      <x:c r="B3383" s="28" t="n">
        <x:v>1350</x:v>
      </x:c>
      <x:c r="C3383" s="28"/>
      <x:c r="D3383" s="31" t="str">
        <x:f>IF(OR(ISBLANK(B3383),ISBLANK(C3383),B3383=0),"",(C3383-B3383)/B3383)</x:f>
      </x:c>
      <x:c r="E3383" s="22" t="str">
        <x:f>IF(ISBLANK(C3383),"AmountIncludingTax缺失",IF(ABS(B3383-C3383)&lt;0.005,"一致","不一致"))</x:f>
        <x:v>AmountIncludingTax缺失</x:v>
      </x:c>
      <x:c r="F3383" s="19" t="str">
        <x:v>approved</x:v>
      </x:c>
      <x:c r="G3383" s="19" t="str">
        <x:v>Partially Picked</x:v>
      </x:c>
      <x:c r="H3383" s="19" t="str">
        <x:v>In Field</x:v>
      </x:c>
      <x:c r="I3383" s="37" t="n">
        <x:v>46108</x:v>
      </x:c>
      <x:c r="J3383" s="37" t="n">
        <x:v>46108</x:v>
      </x:c>
      <x:c r="K3383" s="19" t="str">
        <x:v>Green RV - Forest Glen</x:v>
      </x:c>
      <x:c r="L3383" s="19" t="str">
        <x:v>Z006</x:v>
      </x:c>
      <x:c r="M3383" s="19" t="str">
        <x:v>In Field Warranty Claims</x:v>
      </x:c>
      <x:c r="N3383" s="37" t="n">
        <x:v>46070</x:v>
      </x:c>
      <x:c r="O3383" s="37"/>
      <x:c r="P3383" s="34" t="n">
        <x:v>0</x:v>
      </x:c>
      <x:c r="Q3383" s="37" t="n">
        <x:v>46108.14451388889</x:v>
      </x:c>
    </x:row>
    <x:row r="3384">
      <x:c r="A3384" s="22" t="n">
        <x:v>31294</x:v>
      </x:c>
      <x:c r="B3384" s="28" t="n">
        <x:v>101.27</x:v>
      </x:c>
      <x:c r="C3384" s="28"/>
      <x:c r="D3384" s="31" t="str">
        <x:f>IF(OR(ISBLANK(B3384),ISBLANK(C3384),B3384=0),"",(C3384-B3384)/B3384)</x:f>
      </x:c>
      <x:c r="E3384" s="22" t="str">
        <x:f>IF(ISBLANK(C3384),"AmountIncludingTax缺失",IF(ABS(B3384-C3384)&lt;0.005,"一致","不一致"))</x:f>
        <x:v>AmountIncludingTax缺失</x:v>
      </x:c>
      <x:c r="F3384" s="19" t="str">
        <x:v>approved</x:v>
      </x:c>
      <x:c r="G3384" s="19" t="str">
        <x:v>Repairer Invoiced Processed</x:v>
      </x:c>
      <x:c r="H3384" s="19" t="str">
        <x:v>Pre Delivery</x:v>
      </x:c>
      <x:c r="I3384" s="37" t="n">
        <x:v>46133</x:v>
      </x:c>
      <x:c r="J3384" s="37" t="n">
        <x:v>46133</x:v>
      </x:c>
      <x:c r="K3384" s="19" t="str">
        <x:v>Snowy River Wangaratta</x:v>
      </x:c>
      <x:c r="L3384" s="19" t="str">
        <x:v>Z005</x:v>
      </x:c>
      <x:c r="M3384" s="19" t="str">
        <x:v>Pre Delivery Warranty Claims</x:v>
      </x:c>
      <x:c r="N3384" s="37" t="n">
        <x:v>46070</x:v>
      </x:c>
      <x:c r="O3384" s="37"/>
      <x:c r="P3384" s="34" t="n">
        <x:v>0</x:v>
      </x:c>
      <x:c r="Q3384" s="37" t="n">
        <x:v>46133.232094907406</x:v>
      </x:c>
    </x:row>
    <x:row r="3385">
      <x:c r="A3385" s="22" t="n">
        <x:v>31293</x:v>
      </x:c>
      <x:c r="B3385" s="28" t="n">
        <x:v>303.77</x:v>
      </x:c>
      <x:c r="C3385" s="28"/>
      <x:c r="D3385" s="31" t="str">
        <x:f>IF(OR(ISBLANK(B3385),ISBLANK(C3385),B3385=0),"",(C3385-B3385)/B3385)</x:f>
      </x:c>
      <x:c r="E3385" s="22" t="str">
        <x:f>IF(ISBLANK(C3385),"AmountIncludingTax缺失",IF(ABS(B3385-C3385)&lt;0.005,"一致","不一致"))</x:f>
        <x:v>AmountIncludingTax缺失</x:v>
      </x:c>
      <x:c r="F3385" s="19" t="str">
        <x:v>approved</x:v>
      </x:c>
      <x:c r="G3385" s="19" t="str">
        <x:v>Repairer Invoiced Processed</x:v>
      </x:c>
      <x:c r="H3385" s="19" t="str">
        <x:v>Pre Delivery</x:v>
      </x:c>
      <x:c r="I3385" s="37" t="n">
        <x:v>46134</x:v>
      </x:c>
      <x:c r="J3385" s="37" t="n">
        <x:v>46134</x:v>
      </x:c>
      <x:c r="K3385" s="19" t="str">
        <x:v>Snowy River Wangaratta</x:v>
      </x:c>
      <x:c r="L3385" s="19" t="str">
        <x:v>Z005</x:v>
      </x:c>
      <x:c r="M3385" s="19" t="str">
        <x:v>Pre Delivery Warranty Claims</x:v>
      </x:c>
      <x:c r="N3385" s="37" t="n">
        <x:v>46070</x:v>
      </x:c>
      <x:c r="O3385" s="37"/>
      <x:c r="P3385" s="34" t="n">
        <x:v>0</x:v>
      </x:c>
      <x:c r="Q3385" s="37" t="n">
        <x:v>46134.04145833333</x:v>
      </x:c>
    </x:row>
    <x:row r="3386">
      <x:c r="A3386" s="22" t="n">
        <x:v>31292</x:v>
      </x:c>
      <x:c r="B3386" s="28" t="n">
        <x:v>941.25</x:v>
      </x:c>
      <x:c r="C3386" s="28"/>
      <x:c r="D3386" s="31" t="str">
        <x:f>IF(OR(ISBLANK(B3386),ISBLANK(C3386),B3386=0),"",(C3386-B3386)/B3386)</x:f>
      </x:c>
      <x:c r="E3386" s="22" t="str">
        <x:f>IF(ISBLANK(C3386),"AmountIncludingTax缺失",IF(ABS(B3386-C3386)&lt;0.005,"一致","不一致"))</x:f>
        <x:v>AmountIncludingTax缺失</x:v>
      </x:c>
      <x:c r="F3386" s="19" t="str">
        <x:v>approved</x:v>
      </x:c>
      <x:c r="G3386" s="19" t="str">
        <x:v>Partially Picked</x:v>
      </x:c>
      <x:c r="H3386" s="19" t="str">
        <x:v>Pre Delivery</x:v>
      </x:c>
      <x:c r="I3386" s="37" t="n">
        <x:v>46177</x:v>
      </x:c>
      <x:c r="J3386" s="37" t="n">
        <x:v>46177</x:v>
      </x:c>
      <x:c r="K3386" s="19" t="str">
        <x:v>The Caravan Hub - Townsville</x:v>
      </x:c>
      <x:c r="L3386" s="19" t="str">
        <x:v>Z005</x:v>
      </x:c>
      <x:c r="M3386" s="19" t="str">
        <x:v>Pre Delivery Warranty Claims</x:v>
      </x:c>
      <x:c r="N3386" s="37" t="n">
        <x:v>46070</x:v>
      </x:c>
      <x:c r="O3386" s="37"/>
      <x:c r="P3386" s="34" t="n">
        <x:v>0</x:v>
      </x:c>
      <x:c r="Q3386" s="37" t="n">
        <x:v>46177.11440972222</x:v>
      </x:c>
    </x:row>
    <x:row r="3387">
      <x:c r="A3387" s="22" t="n">
        <x:v>31291</x:v>
      </x:c>
      <x:c r="B3387" s="28" t="n">
        <x:v>194.55</x:v>
      </x:c>
      <x:c r="C3387" s="28"/>
      <x:c r="D3387" s="31" t="str">
        <x:f>IF(OR(ISBLANK(B3387),ISBLANK(C3387),B3387=0),"",(C3387-B3387)/B3387)</x:f>
      </x:c>
      <x:c r="E3387" s="22" t="str">
        <x:f>IF(ISBLANK(C3387),"AmountIncludingTax缺失",IF(ABS(B3387-C3387)&lt;0.005,"一致","不一致"))</x:f>
        <x:v>AmountIncludingTax缺失</x:v>
      </x:c>
      <x:c r="F3387" s="19" t="str">
        <x:v>approved</x:v>
      </x:c>
      <x:c r="G3387" s="19" t="str">
        <x:v>Repair in Progress</x:v>
      </x:c>
      <x:c r="H3387" s="19" t="str">
        <x:v>In Field</x:v>
      </x:c>
      <x:c r="I3387" s="37" t="n">
        <x:v>46097</x:v>
      </x:c>
      <x:c r="J3387" s="37" t="n">
        <x:v>46097</x:v>
      </x:c>
      <x:c r="K3387" s="19" t="str">
        <x:v>Green RV - Forest Glen</x:v>
      </x:c>
      <x:c r="L3387" s="19" t="str">
        <x:v>Z006</x:v>
      </x:c>
      <x:c r="M3387" s="19" t="str">
        <x:v>In Field Warranty Claims</x:v>
      </x:c>
      <x:c r="N3387" s="37" t="n">
        <x:v>46070</x:v>
      </x:c>
      <x:c r="O3387" s="37"/>
      <x:c r="P3387" s="34" t="n">
        <x:v>0</x:v>
      </x:c>
      <x:c r="Q3387" s="37" t="n">
        <x:v>46096.90583333333</x:v>
      </x:c>
    </x:row>
    <x:row r="3388">
      <x:c r="A3388" s="22" t="n">
        <x:v>31290</x:v>
      </x:c>
      <x:c r="B3388" s="28" t="n">
        <x:v>67.5</x:v>
      </x:c>
      <x:c r="C3388" s="28"/>
      <x:c r="D3388" s="31" t="str">
        <x:f>IF(OR(ISBLANK(B3388),ISBLANK(C3388),B3388=0),"",(C3388-B3388)/B3388)</x:f>
      </x:c>
      <x:c r="E3388" s="22" t="str">
        <x:f>IF(ISBLANK(C3388),"AmountIncludingTax缺失",IF(ABS(B3388-C3388)&lt;0.005,"一致","不一致"))</x:f>
        <x:v>AmountIncludingTax缺失</x:v>
      </x:c>
      <x:c r="F3388" s="19" t="str">
        <x:v>approved</x:v>
      </x:c>
      <x:c r="G3388" s="19" t="str">
        <x:v>Repairer Invoiced Processed</x:v>
      </x:c>
      <x:c r="H3388" s="19" t="str">
        <x:v>In Field</x:v>
      </x:c>
      <x:c r="I3388" s="37" t="n">
        <x:v>46100</x:v>
      </x:c>
      <x:c r="J3388" s="37" t="n">
        <x:v>46100</x:v>
      </x:c>
      <x:c r="K3388" s="19" t="str">
        <x:v>Lesiure Lion-New Castle</x:v>
      </x:c>
      <x:c r="L3388" s="19" t="str">
        <x:v>Z006</x:v>
      </x:c>
      <x:c r="M3388" s="19" t="str">
        <x:v>In Field Warranty Claims</x:v>
      </x:c>
      <x:c r="N3388" s="37" t="n">
        <x:v>46070</x:v>
      </x:c>
      <x:c r="O3388" s="37"/>
      <x:c r="P3388" s="34" t="n">
        <x:v>0</x:v>
      </x:c>
      <x:c r="Q3388" s="37" t="n">
        <x:v>46099.93854166667</x:v>
      </x:c>
    </x:row>
    <x:row r="3389">
      <x:c r="A3389" s="22" t="n">
        <x:v>31289</x:v>
      </x:c>
      <x:c r="B3389" s="28" t="n">
        <x:v>270</x:v>
      </x:c>
      <x:c r="C3389" s="28"/>
      <x:c r="D3389" s="31" t="str">
        <x:f>IF(OR(ISBLANK(B3389),ISBLANK(C3389),B3389=0),"",(C3389-B3389)/B3389)</x:f>
      </x:c>
      <x:c r="E3389" s="22" t="str">
        <x:f>IF(ISBLANK(C3389),"AmountIncludingTax缺失",IF(ABS(B3389-C3389)&lt;0.005,"一致","不一致"))</x:f>
        <x:v>AmountIncludingTax缺失</x:v>
      </x:c>
      <x:c r="F3389" s="19" t="str">
        <x:v>approved</x:v>
      </x:c>
      <x:c r="G3389" s="19" t="str">
        <x:v>Repair in Progress</x:v>
      </x:c>
      <x:c r="H3389" s="19" t="str">
        <x:v>In Field</x:v>
      </x:c>
      <x:c r="I3389" s="37" t="n">
        <x:v>46084</x:v>
      </x:c>
      <x:c r="J3389" s="37" t="n">
        <x:v>46084</x:v>
      </x:c>
      <x:c r="K3389" s="19" t="str">
        <x:v>Regent RV Pty Ltd</x:v>
      </x:c>
      <x:c r="L3389" s="19" t="str">
        <x:v>Z006</x:v>
      </x:c>
      <x:c r="M3389" s="19" t="str">
        <x:v>In Field Warranty Claims</x:v>
      </x:c>
      <x:c r="N3389" s="37" t="n">
        <x:v>46070</x:v>
      </x:c>
      <x:c r="O3389" s="37"/>
      <x:c r="P3389" s="34" t="n">
        <x:v>0</x:v>
      </x:c>
      <x:c r="Q3389" s="37" t="n">
        <x:v>46084.06164351852</x:v>
      </x:c>
    </x:row>
    <x:row r="3390">
      <x:c r="A3390" s="22" t="n">
        <x:v>31288</x:v>
      </x:c>
      <x:c r="B3390" s="28" t="n">
        <x:v>203.41</x:v>
      </x:c>
      <x:c r="C3390" s="28"/>
      <x:c r="D3390" s="31" t="str">
        <x:f>IF(OR(ISBLANK(B3390),ISBLANK(C3390),B3390=0),"",(C3390-B3390)/B3390)</x:f>
      </x:c>
      <x:c r="E3390" s="22" t="str">
        <x:f>IF(ISBLANK(C3390),"AmountIncludingTax缺失",IF(ABS(B3390-C3390)&lt;0.005,"一致","不一致"))</x:f>
        <x:v>AmountIncludingTax缺失</x:v>
      </x:c>
      <x:c r="F3390" s="19" t="str">
        <x:v>approved</x:v>
      </x:c>
      <x:c r="G3390" s="19" t="str">
        <x:v>Repairer Invoiced Processed</x:v>
      </x:c>
      <x:c r="H3390" s="19" t="str">
        <x:v>In Field</x:v>
      </x:c>
      <x:c r="I3390" s="37" t="n">
        <x:v>46097</x:v>
      </x:c>
      <x:c r="J3390" s="37" t="n">
        <x:v>46096</x:v>
      </x:c>
      <x:c r="K3390" s="19" t="str">
        <x:v>Dario Caravans - Pooraka</x:v>
      </x:c>
      <x:c r="L3390" s="19" t="str">
        <x:v>Z006</x:v>
      </x:c>
      <x:c r="M3390" s="19" t="str">
        <x:v>In Field Warranty Claims</x:v>
      </x:c>
      <x:c r="N3390" s="37" t="n">
        <x:v>46070</x:v>
      </x:c>
      <x:c r="O3390" s="37"/>
      <x:c r="P3390" s="34" t="n">
        <x:v>0</x:v>
      </x:c>
      <x:c r="Q3390" s="37" t="n">
        <x:v>46096.5428125</x:v>
      </x:c>
    </x:row>
    <x:row r="3391">
      <x:c r="A3391" s="22" t="n">
        <x:v>31287</x:v>
      </x:c>
      <x:c r="B3391" s="28" t="n">
        <x:v>168.75</x:v>
      </x:c>
      <x:c r="C3391" s="28"/>
      <x:c r="D3391" s="31" t="str">
        <x:f>IF(OR(ISBLANK(B3391),ISBLANK(C3391),B3391=0),"",(C3391-B3391)/B3391)</x:f>
      </x:c>
      <x:c r="E3391" s="22" t="str">
        <x:f>IF(ISBLANK(C3391),"AmountIncludingTax缺失",IF(ABS(B3391-C3391)&lt;0.005,"一致","不一致"))</x:f>
        <x:v>AmountIncludingTax缺失</x:v>
      </x:c>
      <x:c r="F3391" s="19" t="str">
        <x:v>approved</x:v>
      </x:c>
      <x:c r="G3391" s="19" t="str">
        <x:v>Repair in Progress</x:v>
      </x:c>
      <x:c r="H3391" s="19" t="str">
        <x:v>In Field</x:v>
      </x:c>
      <x:c r="I3391" s="37" t="n">
        <x:v>46108</x:v>
      </x:c>
      <x:c r="J3391" s="37" t="n">
        <x:v>46108</x:v>
      </x:c>
      <x:c r="K3391" s="19" t="str">
        <x:v>Not Assigned</x:v>
      </x:c>
      <x:c r="L3391" s="19" t="str">
        <x:v>Z006</x:v>
      </x:c>
      <x:c r="M3391" s="19" t="str">
        <x:v>In Field Warranty Claims</x:v>
      </x:c>
      <x:c r="N3391" s="37" t="n">
        <x:v>46070</x:v>
      </x:c>
      <x:c r="O3391" s="37"/>
      <x:c r="P3391" s="34" t="n">
        <x:v>0</x:v>
      </x:c>
      <x:c r="Q3391" s="37" t="n">
        <x:v>46108.139502314814</x:v>
      </x:c>
    </x:row>
    <x:row r="3392">
      <x:c r="A3392" s="22" t="n">
        <x:v>31286</x:v>
      </x:c>
      <x:c r="B3392" s="28" t="n">
        <x:v>77.5</x:v>
      </x:c>
      <x:c r="C3392" s="28"/>
      <x:c r="D3392" s="31" t="str">
        <x:f>IF(OR(ISBLANK(B3392),ISBLANK(C3392),B3392=0),"",(C3392-B3392)/B3392)</x:f>
      </x:c>
      <x:c r="E3392" s="22" t="str">
        <x:f>IF(ISBLANK(C3392),"AmountIncludingTax缺失",IF(ABS(B3392-C3392)&lt;0.005,"一致","不一致"))</x:f>
        <x:v>AmountIncludingTax缺失</x:v>
      </x:c>
      <x:c r="F3392" s="19" t="str">
        <x:v>approved</x:v>
      </x:c>
      <x:c r="G3392" s="19" t="str">
        <x:v>Repairer Invoiced Processed</x:v>
      </x:c>
      <x:c r="H3392" s="19" t="str">
        <x:v>In Field</x:v>
      </x:c>
      <x:c r="I3392" s="37" t="n">
        <x:v>46100</x:v>
      </x:c>
      <x:c r="J3392" s="37" t="n">
        <x:v>46100</x:v>
      </x:c>
      <x:c r="K3392" s="19" t="str">
        <x:v>Lesiure Lion-New Castle</x:v>
      </x:c>
      <x:c r="L3392" s="19" t="str">
        <x:v>Z006</x:v>
      </x:c>
      <x:c r="M3392" s="19" t="str">
        <x:v>In Field Warranty Claims</x:v>
      </x:c>
      <x:c r="N3392" s="37" t="n">
        <x:v>46070</x:v>
      </x:c>
      <x:c r="O3392" s="37"/>
      <x:c r="P3392" s="34" t="n">
        <x:v>0</x:v>
      </x:c>
      <x:c r="Q3392" s="37" t="n">
        <x:v>46099.935960648145</x:v>
      </x:c>
    </x:row>
    <x:row r="3393">
      <x:c r="A3393" s="22" t="n">
        <x:v>31284</x:v>
      </x:c>
      <x:c r="B3393" s="28" t="n">
        <x:v>111.25</x:v>
      </x:c>
      <x:c r="C3393" s="28"/>
      <x:c r="D3393" s="31" t="str">
        <x:f>IF(OR(ISBLANK(B3393),ISBLANK(C3393),B3393=0),"",(C3393-B3393)/B3393)</x:f>
      </x:c>
      <x:c r="E3393" s="22" t="str">
        <x:f>IF(ISBLANK(C3393),"AmountIncludingTax缺失",IF(ABS(B3393-C3393)&lt;0.005,"一致","不一致"))</x:f>
        <x:v>AmountIncludingTax缺失</x:v>
      </x:c>
      <x:c r="F3393" s="19" t="str">
        <x:v>approved</x:v>
      </x:c>
      <x:c r="G3393" s="19" t="str">
        <x:v>Repair in Progress</x:v>
      </x:c>
      <x:c r="H3393" s="19" t="str">
        <x:v>In Field</x:v>
      </x:c>
      <x:c r="I3393" s="37" t="n">
        <x:v>46093</x:v>
      </x:c>
      <x:c r="J3393" s="37" t="n">
        <x:v>46093</x:v>
      </x:c>
      <x:c r="K3393" s="19" t="str">
        <x:v>Green RV - Slacks Creek</x:v>
      </x:c>
      <x:c r="L3393" s="19" t="str">
        <x:v>Z006</x:v>
      </x:c>
      <x:c r="M3393" s="19" t="str">
        <x:v>In Field Warranty Claims</x:v>
      </x:c>
      <x:c r="N3393" s="37" t="n">
        <x:v>46070</x:v>
      </x:c>
      <x:c r="O3393" s="37"/>
      <x:c r="P3393" s="34" t="n">
        <x:v>0</x:v>
      </x:c>
      <x:c r="Q3393" s="37" t="n">
        <x:v>46093.14020833333</x:v>
      </x:c>
    </x:row>
    <x:row r="3394">
      <x:c r="A3394" s="22" t="n">
        <x:v>31283</x:v>
      </x:c>
      <x:c r="B3394" s="28" t="n">
        <x:v>38.3</x:v>
      </x:c>
      <x:c r="C3394" s="28"/>
      <x:c r="D3394" s="31" t="str">
        <x:f>IF(OR(ISBLANK(B3394),ISBLANK(C3394),B3394=0),"",(C3394-B3394)/B3394)</x:f>
      </x:c>
      <x:c r="E3394" s="22" t="str">
        <x:f>IF(ISBLANK(C3394),"AmountIncludingTax缺失",IF(ABS(B3394-C3394)&lt;0.005,"一致","不一致"))</x:f>
        <x:v>AmountIncludingTax缺失</x:v>
      </x:c>
      <x:c r="F3394" s="19" t="str">
        <x:v>approved</x:v>
      </x:c>
      <x:c r="G3394" s="19" t="str">
        <x:v>Sales Order Approved</x:v>
      </x:c>
      <x:c r="H3394" s="19" t="str">
        <x:v>Pre Delivery</x:v>
      </x:c>
      <x:c r="I3394" s="37" t="n">
        <x:v>46132</x:v>
      </x:c>
      <x:c r="J3394" s="37" t="n">
        <x:v>46132</x:v>
      </x:c>
      <x:c r="K3394" s="19" t="str">
        <x:v>Snowy River Launceston</x:v>
      </x:c>
      <x:c r="L3394" s="19" t="str">
        <x:v>Z005</x:v>
      </x:c>
      <x:c r="M3394" s="19" t="str">
        <x:v>Pre Delivery Warranty Claims</x:v>
      </x:c>
      <x:c r="N3394" s="37" t="n">
        <x:v>46070</x:v>
      </x:c>
      <x:c r="O3394" s="37"/>
      <x:c r="P3394" s="34" t="n">
        <x:v>0</x:v>
      </x:c>
      <x:c r="Q3394" s="37" t="n">
        <x:v>46132.30752314815</x:v>
      </x:c>
    </x:row>
    <x:row r="3395">
      <x:c r="A3395" s="22" t="n">
        <x:v>31282</x:v>
      </x:c>
      <x:c r="B3395" s="28" t="n">
        <x:v>106.25</x:v>
      </x:c>
      <x:c r="C3395" s="28"/>
      <x:c r="D3395" s="31" t="str">
        <x:f>IF(OR(ISBLANK(B3395),ISBLANK(C3395),B3395=0),"",(C3395-B3395)/B3395)</x:f>
      </x:c>
      <x:c r="E3395" s="22" t="str">
        <x:f>IF(ISBLANK(C3395),"AmountIncludingTax缺失",IF(ABS(B3395-C3395)&lt;0.005,"一致","不一致"))</x:f>
        <x:v>AmountIncludingTax缺失</x:v>
      </x:c>
      <x:c r="F3395" s="19" t="str">
        <x:v>approved</x:v>
      </x:c>
      <x:c r="G3395" s="19" t="str">
        <x:v>Sales Order Approved</x:v>
      </x:c>
      <x:c r="H3395" s="19" t="str">
        <x:v>Pre Delivery</x:v>
      </x:c>
      <x:c r="I3395" s="37" t="n">
        <x:v>46197</x:v>
      </x:c>
      <x:c r="J3395" s="37" t="n">
        <x:v>46197</x:v>
      </x:c>
      <x:c r="K3395" s="19" t="str">
        <x:v>Snowy River Launceston</x:v>
      </x:c>
      <x:c r="L3395" s="19" t="str">
        <x:v>Z005</x:v>
      </x:c>
      <x:c r="M3395" s="19" t="str">
        <x:v>Pre Delivery Warranty Claims</x:v>
      </x:c>
      <x:c r="N3395" s="37" t="n">
        <x:v>46070</x:v>
      </x:c>
      <x:c r="O3395" s="37" t="n">
        <x:v>46101</x:v>
      </x:c>
      <x:c r="P3395" s="34" t="n">
        <x:v>0</x:v>
      </x:c>
      <x:c r="Q3395" s="37" t="n">
        <x:v>46197.03314814815</x:v>
      </x:c>
    </x:row>
    <x:row r="3396">
      <x:c r="A3396" s="22" t="n">
        <x:v>31279</x:v>
      </x:c>
      <x:c r="B3396" s="28" t="n">
        <x:v>675</x:v>
      </x:c>
      <x:c r="C3396" s="28"/>
      <x:c r="D3396" s="31" t="str">
        <x:f>IF(OR(ISBLANK(B3396),ISBLANK(C3396),B3396=0),"",(C3396-B3396)/B3396)</x:f>
      </x:c>
      <x:c r="E3396" s="22" t="str">
        <x:f>IF(ISBLANK(C3396),"AmountIncludingTax缺失",IF(ABS(B3396-C3396)&lt;0.005,"一致","不一致"))</x:f>
        <x:v>AmountIncludingTax缺失</x:v>
      </x:c>
      <x:c r="F3396" s="19" t="str">
        <x:v>approved</x:v>
      </x:c>
      <x:c r="G3396" s="19" t="str">
        <x:v>Repair in Progress</x:v>
      </x:c>
      <x:c r="H3396" s="19" t="str">
        <x:v>In Field</x:v>
      </x:c>
      <x:c r="I3396" s="37" t="n">
        <x:v>46087</x:v>
      </x:c>
      <x:c r="J3396" s="37" t="n">
        <x:v>46087</x:v>
      </x:c>
      <x:c r="K3396" s="19" t="str">
        <x:v>Not Assigned</x:v>
      </x:c>
      <x:c r="L3396" s="19" t="str">
        <x:v>Z006</x:v>
      </x:c>
      <x:c r="M3396" s="19" t="str">
        <x:v>In Field Warranty Claims</x:v>
      </x:c>
      <x:c r="N3396" s="37" t="n">
        <x:v>46070</x:v>
      </x:c>
      <x:c r="O3396" s="37"/>
      <x:c r="P3396" s="34" t="n">
        <x:v>0</x:v>
      </x:c>
      <x:c r="Q3396" s="37" t="n">
        <x:v>46086.941087962965</x:v>
      </x:c>
    </x:row>
    <x:row r="3397">
      <x:c r="A3397" s="22" t="n">
        <x:v>31278</x:v>
      </x:c>
      <x:c r="B3397" s="28" t="n">
        <x:v>310</x:v>
      </x:c>
      <x:c r="C3397" s="28"/>
      <x:c r="D3397" s="31" t="str">
        <x:f>IF(OR(ISBLANK(B3397),ISBLANK(C3397),B3397=0),"",(C3397-B3397)/B3397)</x:f>
      </x:c>
      <x:c r="E3397" s="22" t="str">
        <x:f>IF(ISBLANK(C3397),"AmountIncludingTax缺失",IF(ABS(B3397-C3397)&lt;0.005,"一致","不一致"))</x:f>
        <x:v>AmountIncludingTax缺失</x:v>
      </x:c>
      <x:c r="F3397" s="19" t="str">
        <x:v>approved</x:v>
      </x:c>
      <x:c r="G3397" s="19" t="str">
        <x:v>Repairer Invoiced Processed</x:v>
      </x:c>
      <x:c r="H3397" s="19" t="str">
        <x:v>In Field</x:v>
      </x:c>
      <x:c r="I3397" s="37" t="n">
        <x:v>46071</x:v>
      </x:c>
      <x:c r="J3397" s="37" t="n">
        <x:v>46071</x:v>
      </x:c>
      <x:c r="K3397" s="19" t="str">
        <x:v>Green RV - Forest Glen</x:v>
      </x:c>
      <x:c r="L3397" s="19" t="str">
        <x:v>Z006</x:v>
      </x:c>
      <x:c r="M3397" s="19" t="str">
        <x:v>In Field Warranty Claims</x:v>
      </x:c>
      <x:c r="N3397" s="37" t="n">
        <x:v>46070</x:v>
      </x:c>
      <x:c r="O3397" s="37"/>
      <x:c r="P3397" s="34" t="n">
        <x:v>0</x:v>
      </x:c>
      <x:c r="Q3397" s="37" t="n">
        <x:v>46070.965092592596</x:v>
      </x:c>
    </x:row>
    <x:row r="3398">
      <x:c r="A3398" s="22" t="n">
        <x:v>31277</x:v>
      </x:c>
      <x:c r="B3398" s="28" t="n">
        <x:v>1628</x:v>
      </x:c>
      <x:c r="C3398" s="28"/>
      <x:c r="D3398" s="31" t="str">
        <x:f>IF(OR(ISBLANK(B3398),ISBLANK(C3398),B3398=0),"",(C3398-B3398)/B3398)</x:f>
      </x:c>
      <x:c r="E3398" s="22" t="str">
        <x:f>IF(ISBLANK(C3398),"AmountIncludingTax缺失",IF(ABS(B3398-C3398)&lt;0.005,"一致","不一致"))</x:f>
        <x:v>AmountIncludingTax缺失</x:v>
      </x:c>
      <x:c r="F3398" s="19" t="str">
        <x:v>approved</x:v>
      </x:c>
      <x:c r="G3398" s="19" t="str">
        <x:v>Partially Picked</x:v>
      </x:c>
      <x:c r="H3398" s="19" t="str">
        <x:v>In Field</x:v>
      </x:c>
      <x:c r="I3398" s="37" t="n">
        <x:v>46204</x:v>
      </x:c>
      <x:c r="J3398" s="37" t="n">
        <x:v>46204</x:v>
      </x:c>
      <x:c r="K3398" s="19" t="str">
        <x:v>Not Assigned</x:v>
      </x:c>
      <x:c r="L3398" s="19" t="str">
        <x:v>Z006</x:v>
      </x:c>
      <x:c r="M3398" s="19" t="str">
        <x:v>In Field Warranty Claims</x:v>
      </x:c>
      <x:c r="N3398" s="37" t="n">
        <x:v>46070</x:v>
      </x:c>
      <x:c r="O3398" s="37"/>
      <x:c r="P3398" s="34" t="n">
        <x:v>0</x:v>
      </x:c>
      <x:c r="Q3398" s="37" t="n">
        <x:v>46204.23386574074</x:v>
      </x:c>
    </x:row>
    <x:row r="3399">
      <x:c r="A3399" s="22" t="n">
        <x:v>31273</x:v>
      </x:c>
      <x:c r="B3399" s="28" t="n">
        <x:v>796.25</x:v>
      </x:c>
      <x:c r="C3399" s="28"/>
      <x:c r="D3399" s="31" t="str">
        <x:f>IF(OR(ISBLANK(B3399),ISBLANK(C3399),B3399=0),"",(C3399-B3399)/B3399)</x:f>
      </x:c>
      <x:c r="E3399" s="22" t="str">
        <x:f>IF(ISBLANK(C3399),"AmountIncludingTax缺失",IF(ABS(B3399-C3399)&lt;0.005,"一致","不一致"))</x:f>
        <x:v>AmountIncludingTax缺失</x:v>
      </x:c>
      <x:c r="F3399" s="19" t="str">
        <x:v>approved</x:v>
      </x:c>
      <x:c r="G3399" s="19" t="str">
        <x:v>Repairer Invoiced Processed</x:v>
      </x:c>
      <x:c r="H3399" s="19" t="str">
        <x:v>In Field</x:v>
      </x:c>
      <x:c r="I3399" s="37" t="n">
        <x:v>46134</x:v>
      </x:c>
      <x:c r="J3399" s="37" t="n">
        <x:v>46134</x:v>
      </x:c>
      <x:c r="K3399" s="19" t="str">
        <x:v>Regent RV - Perth</x:v>
      </x:c>
      <x:c r="L3399" s="19" t="str">
        <x:v>Z006</x:v>
      </x:c>
      <x:c r="M3399" s="19" t="str">
        <x:v>In Field Warranty Claims</x:v>
      </x:c>
      <x:c r="N3399" s="37" t="n">
        <x:v>46070</x:v>
      </x:c>
      <x:c r="O3399" s="37"/>
      <x:c r="P3399" s="34" t="n">
        <x:v>0</x:v>
      </x:c>
      <x:c r="Q3399" s="37" t="n">
        <x:v>46133.91883101852</x:v>
      </x:c>
    </x:row>
    <x:row r="3400">
      <x:c r="A3400" s="22" t="n">
        <x:v>31272</x:v>
      </x:c>
      <x:c r="B3400" s="28" t="n">
        <x:v>895</x:v>
      </x:c>
      <x:c r="C3400" s="28"/>
      <x:c r="D3400" s="31" t="str">
        <x:f>IF(OR(ISBLANK(B3400),ISBLANK(C3400),B3400=0),"",(C3400-B3400)/B3400)</x:f>
      </x:c>
      <x:c r="E3400" s="22" t="str">
        <x:f>IF(ISBLANK(C3400),"AmountIncludingTax缺失",IF(ABS(B3400-C3400)&lt;0.005,"一致","不一致"))</x:f>
        <x:v>AmountIncludingTax缺失</x:v>
      </x:c>
      <x:c r="F3400" s="19" t="str">
        <x:v>approved</x:v>
      </x:c>
      <x:c r="G3400" s="19" t="str">
        <x:v>Partially Picked</x:v>
      </x:c>
      <x:c r="H3400" s="19" t="str">
        <x:v>Pre Delivery</x:v>
      </x:c>
      <x:c r="I3400" s="37" t="n">
        <x:v>46184</x:v>
      </x:c>
      <x:c r="J3400" s="37" t="n">
        <x:v>46184</x:v>
      </x:c>
      <x:c r="K3400" s="19" t="str">
        <x:v>Regent RV - Townsville</x:v>
      </x:c>
      <x:c r="L3400" s="19" t="str">
        <x:v>Z005</x:v>
      </x:c>
      <x:c r="M3400" s="19" t="str">
        <x:v>Pre Delivery Warranty Claims</x:v>
      </x:c>
      <x:c r="N3400" s="37" t="n">
        <x:v>46070</x:v>
      </x:c>
      <x:c r="O3400" s="37"/>
      <x:c r="P3400" s="34" t="n">
        <x:v>0</x:v>
      </x:c>
      <x:c r="Q3400" s="37" t="n">
        <x:v>46184.08452546296</x:v>
      </x:c>
    </x:row>
    <x:row r="3401">
      <x:c r="A3401" s="22" t="n">
        <x:v>31271</x:v>
      </x:c>
      <x:c r="B3401" s="28" t="n">
        <x:v>405</x:v>
      </x:c>
      <x:c r="C3401" s="28" t="n">
        <x:v>445.5</x:v>
      </x:c>
      <x:c r="D3401" s="31" t="n">
        <x:f>IF(OR(ISBLANK(B3401),ISBLANK(C3401),B3401=0),"",(C3401-B3401)/B3401)</x:f>
        <x:v>0.1</x:v>
      </x:c>
      <x:c r="E3401" s="22" t="str">
        <x:f>IF(ISBLANK(C3401),"AmountIncludingTax缺失",IF(ABS(B3401-C3401)&lt;0.005,"一致","不一致"))</x:f>
        <x:v>不一致</x:v>
      </x:c>
      <x:c r="F3401" s="19" t="str">
        <x:v>approved</x:v>
      </x:c>
      <x:c r="G3401" s="19" t="str">
        <x:v>Repair in Progress</x:v>
      </x:c>
      <x:c r="H3401" s="19" t="str">
        <x:v>In Field</x:v>
      </x:c>
      <x:c r="I3401" s="37" t="n">
        <x:v>46086</x:v>
      </x:c>
      <x:c r="J3401" s="37" t="n">
        <x:v>46086</x:v>
      </x:c>
      <x:c r="K3401" s="19" t="str">
        <x:v>Not Assigned</x:v>
      </x:c>
      <x:c r="L3401" s="19" t="str">
        <x:v>Z006</x:v>
      </x:c>
      <x:c r="M3401" s="19" t="str">
        <x:v>In Field Warranty Claims</x:v>
      </x:c>
      <x:c r="N3401" s="37" t="n">
        <x:v>46070</x:v>
      </x:c>
      <x:c r="O3401" s="37"/>
      <x:c r="P3401" s="34" t="n">
        <x:v>445.5</x:v>
      </x:c>
      <x:c r="Q3401" s="37" t="n">
        <x:v>46086.519953703704</x:v>
      </x:c>
    </x:row>
    <x:row r="3402">
      <x:c r="A3402" s="22" t="n">
        <x:v>31270</x:v>
      </x:c>
      <x:c r="B3402" s="28" t="n">
        <x:v>101.25</x:v>
      </x:c>
      <x:c r="C3402" s="28"/>
      <x:c r="D3402" s="31" t="str">
        <x:f>IF(OR(ISBLANK(B3402),ISBLANK(C3402),B3402=0),"",(C3402-B3402)/B3402)</x:f>
      </x:c>
      <x:c r="E3402" s="22" t="str">
        <x:f>IF(ISBLANK(C3402),"AmountIncludingTax缺失",IF(ABS(B3402-C3402)&lt;0.005,"一致","不一致"))</x:f>
        <x:v>AmountIncludingTax缺失</x:v>
      </x:c>
      <x:c r="F3402" s="19" t="str">
        <x:v>approved</x:v>
      </x:c>
      <x:c r="G3402" s="19" t="str">
        <x:v>Sales Order Approved</x:v>
      </x:c>
      <x:c r="H3402" s="19" t="str">
        <x:v>Pre Delivery</x:v>
      </x:c>
      <x:c r="I3402" s="37" t="n">
        <x:v>46139</x:v>
      </x:c>
      <x:c r="J3402" s="37" t="n">
        <x:v>46139</x:v>
      </x:c>
      <x:c r="K3402" s="19" t="str">
        <x:v>Green RV - Forest Glen</x:v>
      </x:c>
      <x:c r="L3402" s="19" t="str">
        <x:v>Z005</x:v>
      </x:c>
      <x:c r="M3402" s="19" t="str">
        <x:v>Pre Delivery Warranty Claims</x:v>
      </x:c>
      <x:c r="N3402" s="37" t="n">
        <x:v>46070</x:v>
      </x:c>
      <x:c r="O3402" s="37"/>
      <x:c r="P3402" s="34" t="n">
        <x:v>0</x:v>
      </x:c>
      <x:c r="Q3402" s="37" t="n">
        <x:v>46138.992800925924</x:v>
      </x:c>
    </x:row>
    <x:row r="3403">
      <x:c r="A3403" s="22" t="n">
        <x:v>31269</x:v>
      </x:c>
      <x:c r="B3403" s="28" t="n">
        <x:v>168.49</x:v>
      </x:c>
      <x:c r="C3403" s="28" t="n">
        <x:v>185.34</x:v>
      </x:c>
      <x:c r="D3403" s="31" t="n">
        <x:f>IF(OR(ISBLANK(B3403),ISBLANK(C3403),B3403=0),"",(C3403-B3403)/B3403)</x:f>
        <x:v>0.10000593507033055</x:v>
      </x:c>
      <x:c r="E3403" s="22" t="str">
        <x:f>IF(ISBLANK(C3403),"AmountIncludingTax缺失",IF(ABS(B3403-C3403)&lt;0.005,"一致","不一致"))</x:f>
        <x:v>不一致</x:v>
      </x:c>
      <x:c r="F3403" s="19" t="str">
        <x:v>approved</x:v>
      </x:c>
      <x:c r="G3403" s="19" t="str">
        <x:v>Repairer Invoiced Processed</x:v>
      </x:c>
      <x:c r="H3403" s="19" t="str">
        <x:v>In Field</x:v>
      </x:c>
      <x:c r="I3403" s="37" t="n">
        <x:v>46143</x:v>
      </x:c>
      <x:c r="J3403" s="37" t="n">
        <x:v>46143</x:v>
      </x:c>
      <x:c r="K3403" s="19" t="str">
        <x:v>Newcastle RV Super Centre - Beresfield</x:v>
      </x:c>
      <x:c r="L3403" s="19" t="str">
        <x:v>Z006</x:v>
      </x:c>
      <x:c r="M3403" s="19" t="str">
        <x:v>In Field Warranty Claims</x:v>
      </x:c>
      <x:c r="N3403" s="37" t="n">
        <x:v>46070</x:v>
      </x:c>
      <x:c r="O3403" s="37"/>
      <x:c r="P3403" s="34" t="n">
        <x:v>185.34</x:v>
      </x:c>
      <x:c r="Q3403" s="37" t="n">
        <x:v>46143.22125</x:v>
      </x:c>
    </x:row>
    <x:row r="3404">
      <x:c r="A3404" s="22" t="n">
        <x:v>31266</x:v>
      </x:c>
      <x:c r="B3404" s="28" t="n">
        <x:v>290</x:v>
      </x:c>
      <x:c r="C3404" s="28" t="n">
        <x:v>319</x:v>
      </x:c>
      <x:c r="D3404" s="31" t="n">
        <x:f>IF(OR(ISBLANK(B3404),ISBLANK(C3404),B3404=0),"",(C3404-B3404)/B3404)</x:f>
        <x:v>0.1</x:v>
      </x:c>
      <x:c r="E3404" s="22" t="str">
        <x:f>IF(ISBLANK(C3404),"AmountIncludingTax缺失",IF(ABS(B3404-C3404)&lt;0.005,"一致","不一致"))</x:f>
        <x:v>不一致</x:v>
      </x:c>
      <x:c r="F3404" s="19" t="str">
        <x:v>approved</x:v>
      </x:c>
      <x:c r="G3404" s="19" t="str">
        <x:v>Repairer Invoiced Processed</x:v>
      </x:c>
      <x:c r="H3404" s="19" t="str">
        <x:v>In Field</x:v>
      </x:c>
      <x:c r="I3404" s="37" t="n">
        <x:v>46080</x:v>
      </x:c>
      <x:c r="J3404" s="37" t="n">
        <x:v>46080</x:v>
      </x:c>
      <x:c r="K3404" s="19" t="str">
        <x:v>Green RV - Forest Glen</x:v>
      </x:c>
      <x:c r="L3404" s="19" t="str">
        <x:v>Z006</x:v>
      </x:c>
      <x:c r="M3404" s="19" t="str">
        <x:v>In Field Warranty Claims</x:v>
      </x:c>
      <x:c r="N3404" s="37" t="n">
        <x:v>46070</x:v>
      </x:c>
      <x:c r="O3404" s="37"/>
      <x:c r="P3404" s="34" t="n">
        <x:v>319</x:v>
      </x:c>
      <x:c r="Q3404" s="37" t="n">
        <x:v>46080.050833333335</x:v>
      </x:c>
    </x:row>
    <x:row r="3405">
      <x:c r="A3405" s="22" t="n">
        <x:v>31264</x:v>
      </x:c>
      <x:c r="B3405" s="28" t="n">
        <x:v>1181.25</x:v>
      </x:c>
      <x:c r="C3405" s="28"/>
      <x:c r="D3405" s="31" t="str">
        <x:f>IF(OR(ISBLANK(B3405),ISBLANK(C3405),B3405=0),"",(C3405-B3405)/B3405)</x:f>
      </x:c>
      <x:c r="E3405" s="22" t="str">
        <x:f>IF(ISBLANK(C3405),"AmountIncludingTax缺失",IF(ABS(B3405-C3405)&lt;0.005,"一致","不一致"))</x:f>
        <x:v>AmountIncludingTax缺失</x:v>
      </x:c>
      <x:c r="F3405" s="19" t="str">
        <x:v>approved</x:v>
      </x:c>
      <x:c r="G3405" s="19" t="str">
        <x:v>Repairer Invoiced Processed</x:v>
      </x:c>
      <x:c r="H3405" s="19" t="str">
        <x:v>Pre Delivery</x:v>
      </x:c>
      <x:c r="I3405" s="37" t="n">
        <x:v>46174</x:v>
      </x:c>
      <x:c r="J3405" s="37" t="n">
        <x:v>46174</x:v>
      </x:c>
      <x:c r="K3405" s="19" t="str">
        <x:v>Green RV - Forest Glen</x:v>
      </x:c>
      <x:c r="L3405" s="19" t="str">
        <x:v>Z005</x:v>
      </x:c>
      <x:c r="M3405" s="19" t="str">
        <x:v>Pre Delivery Warranty Claims</x:v>
      </x:c>
      <x:c r="N3405" s="37" t="n">
        <x:v>46070</x:v>
      </x:c>
      <x:c r="O3405" s="37"/>
      <x:c r="P3405" s="34" t="n">
        <x:v>0</x:v>
      </x:c>
      <x:c r="Q3405" s="37" t="n">
        <x:v>46173.932488425926</x:v>
      </x:c>
    </x:row>
    <x:row r="3406">
      <x:c r="A3406" s="22" t="n">
        <x:v>31263</x:v>
      </x:c>
      <x:c r="B3406" s="28" t="n">
        <x:v>591.75</x:v>
      </x:c>
      <x:c r="C3406" s="28"/>
      <x:c r="D3406" s="31" t="str">
        <x:f>IF(OR(ISBLANK(B3406),ISBLANK(C3406),B3406=0),"",(C3406-B3406)/B3406)</x:f>
      </x:c>
      <x:c r="E3406" s="22" t="str">
        <x:f>IF(ISBLANK(C3406),"AmountIncludingTax缺失",IF(ABS(B3406-C3406)&lt;0.005,"一致","不一致"))</x:f>
        <x:v>AmountIncludingTax缺失</x:v>
      </x:c>
      <x:c r="F3406" s="19" t="str">
        <x:v>approved</x:v>
      </x:c>
      <x:c r="G3406" s="19" t="str">
        <x:v>Repair in Progress</x:v>
      </x:c>
      <x:c r="H3406" s="19" t="str">
        <x:v>In Field</x:v>
      </x:c>
      <x:c r="I3406" s="37" t="n">
        <x:v>46112</x:v>
      </x:c>
      <x:c r="J3406" s="37" t="n">
        <x:v>46112</x:v>
      </x:c>
      <x:c r="K3406" s="19" t="str">
        <x:v>Green RV - Forest Glen</x:v>
      </x:c>
      <x:c r="L3406" s="19" t="str">
        <x:v>Z006</x:v>
      </x:c>
      <x:c r="M3406" s="19" t="str">
        <x:v>In Field Warranty Claims</x:v>
      </x:c>
      <x:c r="N3406" s="37" t="n">
        <x:v>46070</x:v>
      </x:c>
      <x:c r="O3406" s="37"/>
      <x:c r="P3406" s="34" t="n">
        <x:v>0</x:v>
      </x:c>
      <x:c r="Q3406" s="37" t="n">
        <x:v>46111.8518287037</x:v>
      </x:c>
    </x:row>
    <x:row r="3407">
      <x:c r="A3407" s="22" t="n">
        <x:v>31261</x:v>
      </x:c>
      <x:c r="B3407" s="28" t="n">
        <x:v>792.38</x:v>
      </x:c>
      <x:c r="C3407" s="28" t="n">
        <x:v>717.42</x:v>
      </x:c>
      <x:c r="D3407" s="31" t="n">
        <x:f>IF(OR(ISBLANK(B3407),ISBLANK(C3407),B3407=0),"",(C3407-B3407)/B3407)</x:f>
        <x:v>-0.09460107524167702</x:v>
      </x:c>
      <x:c r="E3407" s="22" t="str">
        <x:f>IF(ISBLANK(C3407),"AmountIncludingTax缺失",IF(ABS(B3407-C3407)&lt;0.005,"一致","不一致"))</x:f>
        <x:v>不一致</x:v>
      </x:c>
      <x:c r="F3407" s="19" t="str">
        <x:v>approved</x:v>
      </x:c>
      <x:c r="G3407" s="19" t="str">
        <x:v>Repairer Invoiced Processed</x:v>
      </x:c>
      <x:c r="H3407" s="19" t="str">
        <x:v>In Field</x:v>
      </x:c>
      <x:c r="I3407" s="37" t="n">
        <x:v>46105</x:v>
      </x:c>
      <x:c r="J3407" s="37" t="n">
        <x:v>46105</x:v>
      </x:c>
      <x:c r="K3407" s="19" t="str">
        <x:v>Not Assigned</x:v>
      </x:c>
      <x:c r="L3407" s="19" t="str">
        <x:v>Z006</x:v>
      </x:c>
      <x:c r="M3407" s="19" t="str">
        <x:v>In Field Warranty Claims</x:v>
      </x:c>
      <x:c r="N3407" s="37" t="n">
        <x:v>46069</x:v>
      </x:c>
      <x:c r="O3407" s="37"/>
      <x:c r="P3407" s="34" t="n">
        <x:v>717.42</x:v>
      </x:c>
      <x:c r="Q3407" s="37" t="n">
        <x:v>46105.03289351852</x:v>
      </x:c>
    </x:row>
    <x:row r="3408">
      <x:c r="A3408" s="22" t="n">
        <x:v>31259</x:v>
      </x:c>
      <x:c r="B3408" s="28" t="n">
        <x:v>173.75</x:v>
      </x:c>
      <x:c r="C3408" s="28"/>
      <x:c r="D3408" s="31" t="str">
        <x:f>IF(OR(ISBLANK(B3408),ISBLANK(C3408),B3408=0),"",(C3408-B3408)/B3408)</x:f>
      </x:c>
      <x:c r="E3408" s="22" t="str">
        <x:f>IF(ISBLANK(C3408),"AmountIncludingTax缺失",IF(ABS(B3408-C3408)&lt;0.005,"一致","不一致"))</x:f>
        <x:v>AmountIncludingTax缺失</x:v>
      </x:c>
      <x:c r="F3408" s="19" t="str">
        <x:v>approved</x:v>
      </x:c>
      <x:c r="G3408" s="19" t="str">
        <x:v>Repairer Invoiced Processed</x:v>
      </x:c>
      <x:c r="H3408" s="19" t="str">
        <x:v>In Field</x:v>
      </x:c>
      <x:c r="I3408" s="37" t="n">
        <x:v>46097</x:v>
      </x:c>
      <x:c r="J3408" s="37" t="n">
        <x:v>46097</x:v>
      </x:c>
      <x:c r="K3408" s="19" t="str">
        <x:v>Green RV - Forest Glen</x:v>
      </x:c>
      <x:c r="L3408" s="19" t="str">
        <x:v>Z006</x:v>
      </x:c>
      <x:c r="M3408" s="19" t="str">
        <x:v>In Field Warranty Claims</x:v>
      </x:c>
      <x:c r="N3408" s="37" t="n">
        <x:v>46070</x:v>
      </x:c>
      <x:c r="O3408" s="37"/>
      <x:c r="P3408" s="34" t="n">
        <x:v>0</x:v>
      </x:c>
      <x:c r="Q3408" s="37" t="n">
        <x:v>46096.90733796296</x:v>
      </x:c>
    </x:row>
    <x:row r="3409">
      <x:c r="A3409" s="22" t="n">
        <x:v>31258</x:v>
      </x:c>
      <x:c r="B3409" s="28" t="n">
        <x:v>917.5</x:v>
      </x:c>
      <x:c r="C3409" s="28"/>
      <x:c r="D3409" s="31" t="str">
        <x:f>IF(OR(ISBLANK(B3409),ISBLANK(C3409),B3409=0),"",(C3409-B3409)/B3409)</x:f>
      </x:c>
      <x:c r="E3409" s="22" t="str">
        <x:f>IF(ISBLANK(C3409),"AmountIncludingTax缺失",IF(ABS(B3409-C3409)&lt;0.005,"一致","不一致"))</x:f>
        <x:v>AmountIncludingTax缺失</x:v>
      </x:c>
      <x:c r="F3409" s="19" t="str">
        <x:v>approved</x:v>
      </x:c>
      <x:c r="G3409" s="19" t="str">
        <x:v>Repairer Invoiced Processed</x:v>
      </x:c>
      <x:c r="H3409" s="19" t="str">
        <x:v>In Field</x:v>
      </x:c>
      <x:c r="I3409" s="37" t="n">
        <x:v>46142</x:v>
      </x:c>
      <x:c r="J3409" s="37" t="n">
        <x:v>46142</x:v>
      </x:c>
      <x:c r="K3409" s="19" t="str">
        <x:v>Dario Caravans -St.Marys</x:v>
      </x:c>
      <x:c r="L3409" s="19" t="str">
        <x:v>Z006</x:v>
      </x:c>
      <x:c r="M3409" s="19" t="str">
        <x:v>In Field Warranty Claims</x:v>
      </x:c>
      <x:c r="N3409" s="37" t="n">
        <x:v>46070</x:v>
      </x:c>
      <x:c r="O3409" s="37"/>
      <x:c r="P3409" s="34" t="n">
        <x:v>0</x:v>
      </x:c>
      <x:c r="Q3409" s="37" t="n">
        <x:v>46141.86292824074</x:v>
      </x:c>
    </x:row>
    <x:row r="3410">
      <x:c r="A3410" s="22" t="n">
        <x:v>31256</x:v>
      </x:c>
      <x:c r="B3410" s="28" t="n">
        <x:v>964.55</x:v>
      </x:c>
      <x:c r="C3410" s="28"/>
      <x:c r="D3410" s="31" t="str">
        <x:f>IF(OR(ISBLANK(B3410),ISBLANK(C3410),B3410=0),"",(C3410-B3410)/B3410)</x:f>
      </x:c>
      <x:c r="E3410" s="22" t="str">
        <x:f>IF(ISBLANK(C3410),"AmountIncludingTax缺失",IF(ABS(B3410-C3410)&lt;0.005,"一致","不一致"))</x:f>
        <x:v>AmountIncludingTax缺失</x:v>
      </x:c>
      <x:c r="F3410" s="19" t="str">
        <x:v>approved</x:v>
      </x:c>
      <x:c r="G3410" s="19" t="str">
        <x:v>Repairer Invoiced Processed</x:v>
      </x:c>
      <x:c r="H3410" s="19" t="str">
        <x:v>In Field</x:v>
      </x:c>
      <x:c r="I3410" s="37" t="n">
        <x:v>46160</x:v>
      </x:c>
      <x:c r="J3410" s="37" t="n">
        <x:v>46160</x:v>
      </x:c>
      <x:c r="K3410" s="19" t="str">
        <x:v>Regent RV Pty Ltd</x:v>
      </x:c>
      <x:c r="L3410" s="19" t="str">
        <x:v>Z006</x:v>
      </x:c>
      <x:c r="M3410" s="19" t="str">
        <x:v>In Field Warranty Claims</x:v>
      </x:c>
      <x:c r="N3410" s="37" t="n">
        <x:v>46069</x:v>
      </x:c>
      <x:c r="O3410" s="37"/>
      <x:c r="P3410" s="34" t="n">
        <x:v>1061.01</x:v>
      </x:c>
      <x:c r="Q3410" s="37" t="n">
        <x:v>46159.91273148148</x:v>
      </x:c>
    </x:row>
    <x:row r="3411">
      <x:c r="A3411" s="22" t="n">
        <x:v>31254</x:v>
      </x:c>
      <x:c r="B3411" s="28" t="n">
        <x:v>202.5</x:v>
      </x:c>
      <x:c r="C3411" s="28"/>
      <x:c r="D3411" s="31" t="str">
        <x:f>IF(OR(ISBLANK(B3411),ISBLANK(C3411),B3411=0),"",(C3411-B3411)/B3411)</x:f>
      </x:c>
      <x:c r="E3411" s="22" t="str">
        <x:f>IF(ISBLANK(C3411),"AmountIncludingTax缺失",IF(ABS(B3411-C3411)&lt;0.005,"一致","不一致"))</x:f>
        <x:v>AmountIncludingTax缺失</x:v>
      </x:c>
      <x:c r="F3411" s="19" t="str">
        <x:v>approved</x:v>
      </x:c>
      <x:c r="G3411" s="19" t="str">
        <x:v>Repair in Progress</x:v>
      </x:c>
      <x:c r="H3411" s="19" t="str">
        <x:v>In Field</x:v>
      </x:c>
      <x:c r="I3411" s="37" t="n">
        <x:v>46097</x:v>
      </x:c>
      <x:c r="J3411" s="37" t="n">
        <x:v>46097</x:v>
      </x:c>
      <x:c r="K3411" s="19" t="str">
        <x:v>Green RV - Forest Glen</x:v>
      </x:c>
      <x:c r="L3411" s="19" t="str">
        <x:v>Z006</x:v>
      </x:c>
      <x:c r="M3411" s="19" t="str">
        <x:v>In Field Warranty Claims</x:v>
      </x:c>
      <x:c r="N3411" s="37" t="n">
        <x:v>46069</x:v>
      </x:c>
      <x:c r="O3411" s="37"/>
      <x:c r="P3411" s="34" t="n">
        <x:v>0</x:v>
      </x:c>
      <x:c r="Q3411" s="37" t="n">
        <x:v>46096.908738425926</x:v>
      </x:c>
    </x:row>
    <x:row r="3412">
      <x:c r="A3412" s="22" t="n">
        <x:v>31252</x:v>
      </x:c>
      <x:c r="B3412" s="28" t="n">
        <x:v>857.5</x:v>
      </x:c>
      <x:c r="C3412" s="28"/>
      <x:c r="D3412" s="31" t="str">
        <x:f>IF(OR(ISBLANK(B3412),ISBLANK(C3412),B3412=0),"",(C3412-B3412)/B3412)</x:f>
      </x:c>
      <x:c r="E3412" s="22" t="str">
        <x:f>IF(ISBLANK(C3412),"AmountIncludingTax缺失",IF(ABS(B3412-C3412)&lt;0.005,"一致","不一致"))</x:f>
        <x:v>AmountIncludingTax缺失</x:v>
      </x:c>
      <x:c r="F3412" s="19" t="str">
        <x:v>approved</x:v>
      </x:c>
      <x:c r="G3412" s="19" t="str">
        <x:v>Sales Order Approved</x:v>
      </x:c>
      <x:c r="H3412" s="19" t="str">
        <x:v>Pre Delivery</x:v>
      </x:c>
      <x:c r="I3412" s="37" t="n">
        <x:v>46177</x:v>
      </x:c>
      <x:c r="J3412" s="37" t="n">
        <x:v>46177</x:v>
      </x:c>
      <x:c r="K3412" s="19" t="str">
        <x:v>Regent RV - Townsville</x:v>
      </x:c>
      <x:c r="L3412" s="19" t="str">
        <x:v>Z005</x:v>
      </x:c>
      <x:c r="M3412" s="19" t="str">
        <x:v>Pre Delivery Warranty Claims</x:v>
      </x:c>
      <x:c r="N3412" s="37" t="n">
        <x:v>46069</x:v>
      </x:c>
      <x:c r="O3412" s="37"/>
      <x:c r="P3412" s="34" t="n">
        <x:v>0</x:v>
      </x:c>
      <x:c r="Q3412" s="37" t="n">
        <x:v>46177.18547453704</x:v>
      </x:c>
    </x:row>
    <x:row r="3413">
      <x:c r="A3413" s="22" t="n">
        <x:v>31251</x:v>
      </x:c>
      <x:c r="B3413" s="28" t="n">
        <x:v>438.75</x:v>
      </x:c>
      <x:c r="C3413" s="28"/>
      <x:c r="D3413" s="31" t="str">
        <x:f>IF(OR(ISBLANK(B3413),ISBLANK(C3413),B3413=0),"",(C3413-B3413)/B3413)</x:f>
      </x:c>
      <x:c r="E3413" s="22" t="str">
        <x:f>IF(ISBLANK(C3413),"AmountIncludingTax缺失",IF(ABS(B3413-C3413)&lt;0.005,"一致","不一致"))</x:f>
        <x:v>AmountIncludingTax缺失</x:v>
      </x:c>
      <x:c r="F3413" s="19" t="str">
        <x:v>approved</x:v>
      </x:c>
      <x:c r="G3413" s="19" t="str">
        <x:v>Repair in Progress</x:v>
      </x:c>
      <x:c r="H3413" s="19" t="str">
        <x:v>In Field</x:v>
      </x:c>
      <x:c r="I3413" s="37" t="n">
        <x:v>46097</x:v>
      </x:c>
      <x:c r="J3413" s="37" t="n">
        <x:v>46097</x:v>
      </x:c>
      <x:c r="K3413" s="19" t="str">
        <x:v>Snowy River Launceston</x:v>
      </x:c>
      <x:c r="L3413" s="19" t="str">
        <x:v>Z006</x:v>
      </x:c>
      <x:c r="M3413" s="19" t="str">
        <x:v>In Field Warranty Claims</x:v>
      </x:c>
      <x:c r="N3413" s="37" t="n">
        <x:v>46069</x:v>
      </x:c>
      <x:c r="O3413" s="37"/>
      <x:c r="P3413" s="34" t="n">
        <x:v>0</x:v>
      </x:c>
      <x:c r="Q3413" s="37" t="n">
        <x:v>46097.210439814815</x:v>
      </x:c>
    </x:row>
    <x:row r="3414">
      <x:c r="A3414" s="22" t="n">
        <x:v>31249</x:v>
      </x:c>
      <x:c r="B3414" s="28" t="n">
        <x:v>742.5</x:v>
      </x:c>
      <x:c r="C3414" s="28" t="n">
        <x:v>816.75</x:v>
      </x:c>
      <x:c r="D3414" s="31" t="n">
        <x:f>IF(OR(ISBLANK(B3414),ISBLANK(C3414),B3414=0),"",(C3414-B3414)/B3414)</x:f>
        <x:v>0.1</x:v>
      </x:c>
      <x:c r="E3414" s="22" t="str">
        <x:f>IF(ISBLANK(C3414),"AmountIncludingTax缺失",IF(ABS(B3414-C3414)&lt;0.005,"一致","不一致"))</x:f>
        <x:v>不一致</x:v>
      </x:c>
      <x:c r="F3414" s="19" t="str">
        <x:v>approved</x:v>
      </x:c>
      <x:c r="G3414" s="19" t="str">
        <x:v>Repair in Progress</x:v>
      </x:c>
      <x:c r="H3414" s="19" t="str">
        <x:v>In Field</x:v>
      </x:c>
      <x:c r="I3414" s="37" t="n">
        <x:v>46120</x:v>
      </x:c>
      <x:c r="J3414" s="37" t="n">
        <x:v>46120</x:v>
      </x:c>
      <x:c r="K3414" s="19" t="str">
        <x:v>Regent RV - Perth</x:v>
      </x:c>
      <x:c r="L3414" s="19" t="str">
        <x:v>Z006</x:v>
      </x:c>
      <x:c r="M3414" s="19" t="str">
        <x:v>In Field Warranty Claims</x:v>
      </x:c>
      <x:c r="N3414" s="37" t="n">
        <x:v>46069</x:v>
      </x:c>
      <x:c r="O3414" s="37"/>
      <x:c r="P3414" s="34" t="n">
        <x:v>816.75</x:v>
      </x:c>
      <x:c r="Q3414" s="37" t="n">
        <x:v>46120.08488425926</x:v>
      </x:c>
    </x:row>
    <x:row r="3415">
      <x:c r="A3415" s="22" t="n">
        <x:v>31248</x:v>
      </x:c>
      <x:c r="B3415" s="28" t="n">
        <x:v>1230</x:v>
      </x:c>
      <x:c r="C3415" s="28"/>
      <x:c r="D3415" s="31" t="str">
        <x:f>IF(OR(ISBLANK(B3415),ISBLANK(C3415),B3415=0),"",(C3415-B3415)/B3415)</x:f>
      </x:c>
      <x:c r="E3415" s="22" t="str">
        <x:f>IF(ISBLANK(C3415),"AmountIncludingTax缺失",IF(ABS(B3415-C3415)&lt;0.005,"一致","不一致"))</x:f>
        <x:v>AmountIncludingTax缺失</x:v>
      </x:c>
      <x:c r="F3415" s="19" t="str">
        <x:v>approved</x:v>
      </x:c>
      <x:c r="G3415" s="19" t="str">
        <x:v>Repairer Invoiced Processed</x:v>
      </x:c>
      <x:c r="H3415" s="19" t="str">
        <x:v>In Field</x:v>
      </x:c>
      <x:c r="I3415" s="37" t="n">
        <x:v>46112</x:v>
      </x:c>
      <x:c r="J3415" s="37" t="n">
        <x:v>46112</x:v>
      </x:c>
      <x:c r="K3415" s="19" t="str">
        <x:v>Regent RV - Townsville</x:v>
      </x:c>
      <x:c r="L3415" s="19" t="str">
        <x:v>Z006</x:v>
      </x:c>
      <x:c r="M3415" s="19" t="str">
        <x:v>In Field Warranty Claims</x:v>
      </x:c>
      <x:c r="N3415" s="37" t="n">
        <x:v>46069</x:v>
      </x:c>
      <x:c r="O3415" s="37"/>
      <x:c r="P3415" s="34" t="n">
        <x:v>0</x:v>
      </x:c>
      <x:c r="Q3415" s="37" t="n">
        <x:v>46111.895219907405</x:v>
      </x:c>
    </x:row>
    <x:row r="3416">
      <x:c r="A3416" s="22" t="n">
        <x:v>31247</x:v>
      </x:c>
      <x:c r="B3416" s="28" t="n">
        <x:v>982.5</x:v>
      </x:c>
      <x:c r="C3416" s="28"/>
      <x:c r="D3416" s="31" t="str">
        <x:f>IF(OR(ISBLANK(B3416),ISBLANK(C3416),B3416=0),"",(C3416-B3416)/B3416)</x:f>
      </x:c>
      <x:c r="E3416" s="22" t="str">
        <x:f>IF(ISBLANK(C3416),"AmountIncludingTax缺失",IF(ABS(B3416-C3416)&lt;0.005,"一致","不一致"))</x:f>
        <x:v>AmountIncludingTax缺失</x:v>
      </x:c>
      <x:c r="F3416" s="19" t="str">
        <x:v>approved</x:v>
      </x:c>
      <x:c r="G3416" s="19" t="str">
        <x:v>Repair in Progress</x:v>
      </x:c>
      <x:c r="H3416" s="19" t="str">
        <x:v>In Field</x:v>
      </x:c>
      <x:c r="I3416" s="37" t="n">
        <x:v>46072</x:v>
      </x:c>
      <x:c r="J3416" s="37" t="n">
        <x:v>46072</x:v>
      </x:c>
      <x:c r="K3416" s="19" t="str">
        <x:v>The Caravan Hub - Townsville</x:v>
      </x:c>
      <x:c r="L3416" s="19" t="str">
        <x:v>Z006</x:v>
      </x:c>
      <x:c r="M3416" s="19" t="str">
        <x:v>In Field Warranty Claims</x:v>
      </x:c>
      <x:c r="N3416" s="37" t="n">
        <x:v>46069</x:v>
      </x:c>
      <x:c r="O3416" s="37"/>
      <x:c r="P3416" s="34" t="n">
        <x:v>0</x:v>
      </x:c>
      <x:c r="Q3416" s="37" t="n">
        <x:v>46072.04493055555</x:v>
      </x:c>
    </x:row>
    <x:row r="3417">
      <x:c r="A3417" s="22" t="n">
        <x:v>31246</x:v>
      </x:c>
      <x:c r="B3417" s="28" t="n">
        <x:v>149.55</x:v>
      </x:c>
      <x:c r="C3417" s="28"/>
      <x:c r="D3417" s="31" t="str">
        <x:f>IF(OR(ISBLANK(B3417),ISBLANK(C3417),B3417=0),"",(C3417-B3417)/B3417)</x:f>
      </x:c>
      <x:c r="E3417" s="22" t="str">
        <x:f>IF(ISBLANK(C3417),"AmountIncludingTax缺失",IF(ABS(B3417-C3417)&lt;0.005,"一致","不一致"))</x:f>
        <x:v>AmountIncludingTax缺失</x:v>
      </x:c>
      <x:c r="F3417" s="19" t="str">
        <x:v>approved</x:v>
      </x:c>
      <x:c r="G3417" s="19" t="str">
        <x:v>Repair in Progress</x:v>
      </x:c>
      <x:c r="H3417" s="19" t="str">
        <x:v>In Field</x:v>
      </x:c>
      <x:c r="I3417" s="37" t="n">
        <x:v>46107</x:v>
      </x:c>
      <x:c r="J3417" s="37" t="n">
        <x:v>46107</x:v>
      </x:c>
      <x:c r="K3417" s="19" t="str">
        <x:v>The Caravan Hub - Townsville</x:v>
      </x:c>
      <x:c r="L3417" s="19" t="str">
        <x:v>Z006</x:v>
      </x:c>
      <x:c r="M3417" s="19" t="str">
        <x:v>In Field Warranty Claims</x:v>
      </x:c>
      <x:c r="N3417" s="37" t="n">
        <x:v>46069</x:v>
      </x:c>
      <x:c r="O3417" s="37"/>
      <x:c r="P3417" s="34" t="n">
        <x:v>0</x:v>
      </x:c>
      <x:c r="Q3417" s="37" t="n">
        <x:v>46106.981574074074</x:v>
      </x:c>
    </x:row>
    <x:row r="3418">
      <x:c r="A3418" s="22" t="n">
        <x:v>31245</x:v>
      </x:c>
      <x:c r="B3418" s="28" t="n">
        <x:v>2092.5</x:v>
      </x:c>
      <x:c r="C3418" s="28"/>
      <x:c r="D3418" s="31" t="str">
        <x:f>IF(OR(ISBLANK(B3418),ISBLANK(C3418),B3418=0),"",(C3418-B3418)/B3418)</x:f>
      </x:c>
      <x:c r="E3418" s="22" t="str">
        <x:f>IF(ISBLANK(C3418),"AmountIncludingTax缺失",IF(ABS(B3418-C3418)&lt;0.005,"一致","不一致"))</x:f>
        <x:v>AmountIncludingTax缺失</x:v>
      </x:c>
      <x:c r="F3418" s="19" t="str">
        <x:v>approved</x:v>
      </x:c>
      <x:c r="G3418" s="19" t="str">
        <x:v>Repairer Invoiced Processed</x:v>
      </x:c>
      <x:c r="H3418" s="19" t="str">
        <x:v>In Field</x:v>
      </x:c>
      <x:c r="I3418" s="37" t="n">
        <x:v>46155</x:v>
      </x:c>
      <x:c r="J3418" s="37" t="n">
        <x:v>46101</x:v>
      </x:c>
      <x:c r="K3418" s="19" t="str">
        <x:v>Not Assigned</x:v>
      </x:c>
      <x:c r="L3418" s="19" t="str">
        <x:v>Z006</x:v>
      </x:c>
      <x:c r="M3418" s="19" t="str">
        <x:v>In Field Warranty Claims</x:v>
      </x:c>
      <x:c r="N3418" s="37" t="n">
        <x:v>46069</x:v>
      </x:c>
      <x:c r="O3418" s="37"/>
      <x:c r="P3418" s="34" t="n">
        <x:v>0</x:v>
      </x:c>
      <x:c r="Q3418" s="37" t="n">
        <x:v>46155.19200231481</x:v>
      </x:c>
    </x:row>
    <x:row r="3419">
      <x:c r="A3419" s="22" t="n">
        <x:v>31244</x:v>
      </x:c>
      <x:c r="B3419" s="28" t="n">
        <x:v>1305</x:v>
      </x:c>
      <x:c r="C3419" s="28"/>
      <x:c r="D3419" s="31" t="str">
        <x:f>IF(OR(ISBLANK(B3419),ISBLANK(C3419),B3419=0),"",(C3419-B3419)/B3419)</x:f>
      </x:c>
      <x:c r="E3419" s="22" t="str">
        <x:f>IF(ISBLANK(C3419),"AmountIncludingTax缺失",IF(ABS(B3419-C3419)&lt;0.005,"一致","不一致"))</x:f>
        <x:v>AmountIncludingTax缺失</x:v>
      </x:c>
      <x:c r="F3419" s="19" t="str">
        <x:v>approved</x:v>
      </x:c>
      <x:c r="G3419" s="19" t="str">
        <x:v>Partially Picked</x:v>
      </x:c>
      <x:c r="H3419" s="19" t="str">
        <x:v>In Field</x:v>
      </x:c>
      <x:c r="I3419" s="37" t="n">
        <x:v>46112</x:v>
      </x:c>
      <x:c r="J3419" s="37" t="n">
        <x:v>46112</x:v>
      </x:c>
      <x:c r="K3419" s="19" t="str">
        <x:v>The Caravan Hub - Townsville</x:v>
      </x:c>
      <x:c r="L3419" s="19" t="str">
        <x:v>Z006</x:v>
      </x:c>
      <x:c r="M3419" s="19" t="str">
        <x:v>In Field Warranty Claims</x:v>
      </x:c>
      <x:c r="N3419" s="37" t="n">
        <x:v>46069</x:v>
      </x:c>
      <x:c r="O3419" s="37"/>
      <x:c r="P3419" s="34" t="n">
        <x:v>0</x:v>
      </x:c>
      <x:c r="Q3419" s="37" t="n">
        <x:v>46111.89813657408</x:v>
      </x:c>
    </x:row>
    <x:row r="3420">
      <x:c r="A3420" s="22" t="n">
        <x:v>31240</x:v>
      </x:c>
      <x:c r="B3420" s="28" t="n">
        <x:v>2126.7</x:v>
      </x:c>
      <x:c r="C3420" s="28"/>
      <x:c r="D3420" s="31" t="str">
        <x:f>IF(OR(ISBLANK(B3420),ISBLANK(C3420),B3420=0),"",(C3420-B3420)/B3420)</x:f>
      </x:c>
      <x:c r="E3420" s="22" t="str">
        <x:f>IF(ISBLANK(C3420),"AmountIncludingTax缺失",IF(ABS(B3420-C3420)&lt;0.005,"一致","不一致"))</x:f>
        <x:v>AmountIncludingTax缺失</x:v>
      </x:c>
      <x:c r="F3420" s="19" t="str">
        <x:v>approved</x:v>
      </x:c>
      <x:c r="G3420" s="19" t="str">
        <x:v>Partially Picked</x:v>
      </x:c>
      <x:c r="H3420" s="19" t="str">
        <x:v>In Field</x:v>
      </x:c>
      <x:c r="I3420" s="37" t="n">
        <x:v>46111</x:v>
      </x:c>
      <x:c r="J3420" s="37" t="n">
        <x:v>46111</x:v>
      </x:c>
      <x:c r="K3420" s="19" t="str">
        <x:v>Green RV - Forest Glen</x:v>
      </x:c>
      <x:c r="L3420" s="19" t="str">
        <x:v>Z006</x:v>
      </x:c>
      <x:c r="M3420" s="19" t="str">
        <x:v>In Field Warranty Claims</x:v>
      </x:c>
      <x:c r="N3420" s="37" t="n">
        <x:v>46069</x:v>
      </x:c>
      <x:c r="O3420" s="37"/>
      <x:c r="P3420" s="34" t="n">
        <x:v>0</x:v>
      </x:c>
      <x:c r="Q3420" s="37" t="n">
        <x:v>46111.19261574074</x:v>
      </x:c>
    </x:row>
    <x:row r="3421">
      <x:c r="A3421" s="22" t="n">
        <x:v>31237</x:v>
      </x:c>
      <x:c r="B3421" s="28" t="n">
        <x:v>920</x:v>
      </x:c>
      <x:c r="C3421" s="28"/>
      <x:c r="D3421" s="31" t="str">
        <x:f>IF(OR(ISBLANK(B3421),ISBLANK(C3421),B3421=0),"",(C3421-B3421)/B3421)</x:f>
      </x:c>
      <x:c r="E3421" s="22" t="str">
        <x:f>IF(ISBLANK(C3421),"AmountIncludingTax缺失",IF(ABS(B3421-C3421)&lt;0.005,"一致","不一致"))</x:f>
        <x:v>AmountIncludingTax缺失</x:v>
      </x:c>
      <x:c r="F3421" s="19" t="str">
        <x:v>approved</x:v>
      </x:c>
      <x:c r="G3421" s="19" t="str">
        <x:v>Repair in Progress</x:v>
      </x:c>
      <x:c r="H3421" s="19" t="str">
        <x:v>In Field</x:v>
      </x:c>
      <x:c r="I3421" s="37" t="n">
        <x:v>46107</x:v>
      </x:c>
      <x:c r="J3421" s="37" t="n">
        <x:v>46107</x:v>
      </x:c>
      <x:c r="K3421" s="19" t="str">
        <x:v>The Caravan Hub - Townsville</x:v>
      </x:c>
      <x:c r="L3421" s="19" t="str">
        <x:v>Z006</x:v>
      </x:c>
      <x:c r="M3421" s="19" t="str">
        <x:v>In Field Warranty Claims</x:v>
      </x:c>
      <x:c r="N3421" s="37" t="n">
        <x:v>46069</x:v>
      </x:c>
      <x:c r="O3421" s="37"/>
      <x:c r="P3421" s="34" t="n">
        <x:v>0</x:v>
      </x:c>
      <x:c r="Q3421" s="37" t="n">
        <x:v>46106.98633101852</x:v>
      </x:c>
    </x:row>
    <x:row r="3422">
      <x:c r="A3422" s="22" t="n">
        <x:v>31236</x:v>
      </x:c>
      <x:c r="B3422" s="28" t="n">
        <x:v>77.05</x:v>
      </x:c>
      <x:c r="C3422" s="28"/>
      <x:c r="D3422" s="31" t="str">
        <x:f>IF(OR(ISBLANK(B3422),ISBLANK(C3422),B3422=0),"",(C3422-B3422)/B3422)</x:f>
      </x:c>
      <x:c r="E3422" s="22" t="str">
        <x:f>IF(ISBLANK(C3422),"AmountIncludingTax缺失",IF(ABS(B3422-C3422)&lt;0.005,"一致","不一致"))</x:f>
        <x:v>AmountIncludingTax缺失</x:v>
      </x:c>
      <x:c r="F3422" s="19" t="str">
        <x:v>approved</x:v>
      </x:c>
      <x:c r="G3422" s="19" t="str">
        <x:v>Repairer Invoiced Processed</x:v>
      </x:c>
      <x:c r="H3422" s="19" t="str">
        <x:v>In Field</x:v>
      </x:c>
      <x:c r="I3422" s="37" t="n">
        <x:v>46096</x:v>
      </x:c>
      <x:c r="J3422" s="37" t="n">
        <x:v>46096</x:v>
      </x:c>
      <x:c r="K3422" s="19" t="str">
        <x:v>The Caravan Hub - Townsville</x:v>
      </x:c>
      <x:c r="L3422" s="19" t="str">
        <x:v>Z006</x:v>
      </x:c>
      <x:c r="M3422" s="19" t="str">
        <x:v>In Field Warranty Claims</x:v>
      </x:c>
      <x:c r="N3422" s="37" t="n">
        <x:v>46069</x:v>
      </x:c>
      <x:c r="O3422" s="37"/>
      <x:c r="P3422" s="34" t="n">
        <x:v>0</x:v>
      </x:c>
      <x:c r="Q3422" s="37" t="n">
        <x:v>46096.518125</x:v>
      </x:c>
    </x:row>
    <x:row r="3423">
      <x:c r="A3423" s="22" t="n">
        <x:v>31234</x:v>
      </x:c>
      <x:c r="B3423" s="28" t="n">
        <x:v>145</x:v>
      </x:c>
      <x:c r="C3423" s="28"/>
      <x:c r="D3423" s="31" t="str">
        <x:f>IF(OR(ISBLANK(B3423),ISBLANK(C3423),B3423=0),"",(C3423-B3423)/B3423)</x:f>
      </x:c>
      <x:c r="E3423" s="22" t="str">
        <x:f>IF(ISBLANK(C3423),"AmountIncludingTax缺失",IF(ABS(B3423-C3423)&lt;0.005,"一致","不一致"))</x:f>
        <x:v>AmountIncludingTax缺失</x:v>
      </x:c>
      <x:c r="F3423" s="19" t="str">
        <x:v>approved</x:v>
      </x:c>
      <x:c r="G3423" s="19" t="str">
        <x:v>Repair in Progress</x:v>
      </x:c>
      <x:c r="H3423" s="19" t="str">
        <x:v>In Field</x:v>
      </x:c>
      <x:c r="I3423" s="37" t="n">
        <x:v>46108</x:v>
      </x:c>
      <x:c r="J3423" s="37" t="n">
        <x:v>46108</x:v>
      </x:c>
      <x:c r="K3423" s="19" t="str">
        <x:v>Regent RV - Perth</x:v>
      </x:c>
      <x:c r="L3423" s="19" t="str">
        <x:v>Z006</x:v>
      </x:c>
      <x:c r="M3423" s="19" t="str">
        <x:v>In Field Warranty Claims</x:v>
      </x:c>
      <x:c r="N3423" s="37" t="n">
        <x:v>46069</x:v>
      </x:c>
      <x:c r="O3423" s="37"/>
      <x:c r="P3423" s="34" t="n">
        <x:v>0</x:v>
      </x:c>
      <x:c r="Q3423" s="37" t="n">
        <x:v>46107.91483796296</x:v>
      </x:c>
    </x:row>
    <x:row r="3424">
      <x:c r="A3424" s="22" t="n">
        <x:v>31233</x:v>
      </x:c>
      <x:c r="B3424" s="28" t="n">
        <x:v>257.5</x:v>
      </x:c>
      <x:c r="C3424" s="28"/>
      <x:c r="D3424" s="31" t="str">
        <x:f>IF(OR(ISBLANK(B3424),ISBLANK(C3424),B3424=0),"",(C3424-B3424)/B3424)</x:f>
      </x:c>
      <x:c r="E3424" s="22" t="str">
        <x:f>IF(ISBLANK(C3424),"AmountIncludingTax缺失",IF(ABS(B3424-C3424)&lt;0.005,"一致","不一致"))</x:f>
        <x:v>AmountIncludingTax缺失</x:v>
      </x:c>
      <x:c r="F3424" s="19" t="str">
        <x:v>approved</x:v>
      </x:c>
      <x:c r="G3424" s="19" t="str">
        <x:v>Repair in Progress</x:v>
      </x:c>
      <x:c r="H3424" s="19" t="str">
        <x:v>In Field</x:v>
      </x:c>
      <x:c r="I3424" s="37" t="n">
        <x:v>46134</x:v>
      </x:c>
      <x:c r="J3424" s="37" t="n">
        <x:v>46122</x:v>
      </x:c>
      <x:c r="K3424" s="19" t="str">
        <x:v>Dario Caravans -St.Marys</x:v>
      </x:c>
      <x:c r="L3424" s="19" t="str">
        <x:v>Z006</x:v>
      </x:c>
      <x:c r="M3424" s="19" t="str">
        <x:v>In Field Warranty Claims</x:v>
      </x:c>
      <x:c r="N3424" s="37" t="n">
        <x:v>46069</x:v>
      </x:c>
      <x:c r="O3424" s="37"/>
      <x:c r="P3424" s="34" t="n">
        <x:v>0</x:v>
      </x:c>
      <x:c r="Q3424" s="37" t="n">
        <x:v>46134.27149305555</x:v>
      </x:c>
    </x:row>
    <x:row r="3425">
      <x:c r="A3425" s="22" t="n">
        <x:v>31232</x:v>
      </x:c>
      <x:c r="B3425" s="28" t="n">
        <x:v>655.73</x:v>
      </x:c>
      <x:c r="C3425" s="28"/>
      <x:c r="D3425" s="31" t="str">
        <x:f>IF(OR(ISBLANK(B3425),ISBLANK(C3425),B3425=0),"",(C3425-B3425)/B3425)</x:f>
      </x:c>
      <x:c r="E3425" s="22" t="str">
        <x:f>IF(ISBLANK(C3425),"AmountIncludingTax缺失",IF(ABS(B3425-C3425)&lt;0.005,"一致","不一致"))</x:f>
        <x:v>AmountIncludingTax缺失</x:v>
      </x:c>
      <x:c r="F3425" s="19" t="str">
        <x:v>approved</x:v>
      </x:c>
      <x:c r="G3425" s="19" t="str">
        <x:v>Repair in Progress</x:v>
      </x:c>
      <x:c r="H3425" s="19" t="str">
        <x:v>In Field</x:v>
      </x:c>
      <x:c r="I3425" s="37" t="n">
        <x:v>46070</x:v>
      </x:c>
      <x:c r="J3425" s="37" t="n">
        <x:v>46070</x:v>
      </x:c>
      <x:c r="K3425" s="19" t="str">
        <x:v>Green RV - Forest Glen</x:v>
      </x:c>
      <x:c r="L3425" s="19" t="str">
        <x:v>Z006</x:v>
      </x:c>
      <x:c r="M3425" s="19" t="str">
        <x:v>In Field Warranty Claims</x:v>
      </x:c>
      <x:c r="N3425" s="37" t="n">
        <x:v>46069</x:v>
      </x:c>
      <x:c r="O3425" s="37"/>
      <x:c r="P3425" s="34" t="n">
        <x:v>0</x:v>
      </x:c>
      <x:c r="Q3425" s="37" t="n">
        <x:v>46070.03318287037</x:v>
      </x:c>
    </x:row>
    <x:row r="3426">
      <x:c r="A3426" s="22" t="n">
        <x:v>31230</x:v>
      </x:c>
      <x:c r="B3426" s="28" t="n">
        <x:v>44.55</x:v>
      </x:c>
      <x:c r="C3426" s="28"/>
      <x:c r="D3426" s="31" t="str">
        <x:f>IF(OR(ISBLANK(B3426),ISBLANK(C3426),B3426=0),"",(C3426-B3426)/B3426)</x:f>
      </x:c>
      <x:c r="E3426" s="22" t="str">
        <x:f>IF(ISBLANK(C3426),"AmountIncludingTax缺失",IF(ABS(B3426-C3426)&lt;0.005,"一致","不一致"))</x:f>
        <x:v>AmountIncludingTax缺失</x:v>
      </x:c>
      <x:c r="F3426" s="19" t="str">
        <x:v>approved</x:v>
      </x:c>
      <x:c r="G3426" s="19" t="str">
        <x:v>Dispatch Parts</x:v>
      </x:c>
      <x:c r="H3426" s="19" t="str">
        <x:v>Pre Delivery</x:v>
      </x:c>
      <x:c r="I3426" s="37" t="n">
        <x:v>46134</x:v>
      </x:c>
      <x:c r="J3426" s="37" t="n">
        <x:v>46134</x:v>
      </x:c>
      <x:c r="K3426" s="19" t="str">
        <x:v>Green RV - Forest Glen</x:v>
      </x:c>
      <x:c r="L3426" s="19" t="str">
        <x:v>Z005</x:v>
      </x:c>
      <x:c r="M3426" s="19" t="str">
        <x:v>Pre Delivery Warranty Claims</x:v>
      </x:c>
      <x:c r="N3426" s="37" t="n">
        <x:v>46069</x:v>
      </x:c>
      <x:c r="O3426" s="37"/>
      <x:c r="P3426" s="34" t="n">
        <x:v>0</x:v>
      </x:c>
      <x:c r="Q3426" s="37" t="n">
        <x:v>46134.19605324074</x:v>
      </x:c>
    </x:row>
    <x:row r="3427">
      <x:c r="A3427" s="22" t="n">
        <x:v>31229</x:v>
      </x:c>
      <x:c r="B3427" s="28" t="n">
        <x:v>184.1</x:v>
      </x:c>
      <x:c r="C3427" s="28"/>
      <x:c r="D3427" s="31" t="str">
        <x:f>IF(OR(ISBLANK(B3427),ISBLANK(C3427),B3427=0),"",(C3427-B3427)/B3427)</x:f>
      </x:c>
      <x:c r="E3427" s="22" t="str">
        <x:f>IF(ISBLANK(C3427),"AmountIncludingTax缺失",IF(ABS(B3427-C3427)&lt;0.005,"一致","不一致"))</x:f>
        <x:v>AmountIncludingTax缺失</x:v>
      </x:c>
      <x:c r="F3427" s="19" t="str">
        <x:v>approved</x:v>
      </x:c>
      <x:c r="G3427" s="19" t="str">
        <x:v>Repairer Invoiced Processed</x:v>
      </x:c>
      <x:c r="H3427" s="19" t="str">
        <x:v>Pre Delivery</x:v>
      </x:c>
      <x:c r="I3427" s="37" t="n">
        <x:v>46155</x:v>
      </x:c>
      <x:c r="J3427" s="37" t="n">
        <x:v>46155</x:v>
      </x:c>
      <x:c r="K3427" s="19" t="str">
        <x:v>Green RV - Slacks Creek</x:v>
      </x:c>
      <x:c r="L3427" s="19" t="str">
        <x:v>Z005</x:v>
      </x:c>
      <x:c r="M3427" s="19" t="str">
        <x:v>Pre Delivery Warranty Claims</x:v>
      </x:c>
      <x:c r="N3427" s="37" t="n">
        <x:v>46069</x:v>
      </x:c>
      <x:c r="O3427" s="37"/>
      <x:c r="P3427" s="34" t="n">
        <x:v>0</x:v>
      </x:c>
      <x:c r="Q3427" s="37" t="n">
        <x:v>46154.96604166667</x:v>
      </x:c>
    </x:row>
    <x:row r="3428">
      <x:c r="A3428" s="22" t="n">
        <x:v>31227</x:v>
      </x:c>
      <x:c r="B3428" s="28" t="n">
        <x:v>1046.25</x:v>
      </x:c>
      <x:c r="C3428" s="28"/>
      <x:c r="D3428" s="31" t="str">
        <x:f>IF(OR(ISBLANK(B3428),ISBLANK(C3428),B3428=0),"",(C3428-B3428)/B3428)</x:f>
      </x:c>
      <x:c r="E3428" s="22" t="str">
        <x:f>IF(ISBLANK(C3428),"AmountIncludingTax缺失",IF(ABS(B3428-C3428)&lt;0.005,"一致","不一致"))</x:f>
        <x:v>AmountIncludingTax缺失</x:v>
      </x:c>
      <x:c r="F3428" s="19" t="str">
        <x:v>approved</x:v>
      </x:c>
      <x:c r="G3428" s="19" t="str">
        <x:v>Repair in Progress</x:v>
      </x:c>
      <x:c r="H3428" s="19" t="str">
        <x:v>In Field</x:v>
      </x:c>
      <x:c r="I3428" s="37" t="n">
        <x:v>46125</x:v>
      </x:c>
      <x:c r="J3428" s="37" t="n">
        <x:v>46125</x:v>
      </x:c>
      <x:c r="K3428" s="19" t="str">
        <x:v>Green RV - Forest Glen</x:v>
      </x:c>
      <x:c r="L3428" s="19" t="str">
        <x:v>Z006</x:v>
      </x:c>
      <x:c r="M3428" s="19" t="str">
        <x:v>In Field Warranty Claims</x:v>
      </x:c>
      <x:c r="N3428" s="37" t="n">
        <x:v>46069</x:v>
      </x:c>
      <x:c r="O3428" s="37"/>
      <x:c r="P3428" s="34" t="n">
        <x:v>0</x:v>
      </x:c>
      <x:c r="Q3428" s="37" t="n">
        <x:v>46124.92047453704</x:v>
      </x:c>
    </x:row>
    <x:row r="3429">
      <x:c r="A3429" s="22" t="n">
        <x:v>31225</x:v>
      </x:c>
      <x:c r="B3429" s="28" t="n">
        <x:v>155</x:v>
      </x:c>
      <x:c r="C3429" s="28"/>
      <x:c r="D3429" s="31" t="str">
        <x:f>IF(OR(ISBLANK(B3429),ISBLANK(C3429),B3429=0),"",(C3429-B3429)/B3429)</x:f>
      </x:c>
      <x:c r="E3429" s="22" t="str">
        <x:f>IF(ISBLANK(C3429),"AmountIncludingTax缺失",IF(ABS(B3429-C3429)&lt;0.005,"一致","不一致"))</x:f>
        <x:v>AmountIncludingTax缺失</x:v>
      </x:c>
      <x:c r="F3429" s="19" t="str">
        <x:v>approved</x:v>
      </x:c>
      <x:c r="G3429" s="19" t="str">
        <x:v>Repairer Invoiced Processed</x:v>
      </x:c>
      <x:c r="H3429" s="19" t="str">
        <x:v>In Field</x:v>
      </x:c>
      <x:c r="I3429" s="37" t="n">
        <x:v>46079</x:v>
      </x:c>
      <x:c r="J3429" s="37" t="n">
        <x:v>46079</x:v>
      </x:c>
      <x:c r="K3429" s="19" t="str">
        <x:v>Green RV - Forest Glen</x:v>
      </x:c>
      <x:c r="L3429" s="19" t="str">
        <x:v>Z006</x:v>
      </x:c>
      <x:c r="M3429" s="19" t="str">
        <x:v>In Field Warranty Claims</x:v>
      </x:c>
      <x:c r="N3429" s="37" t="n">
        <x:v>46069</x:v>
      </x:c>
      <x:c r="O3429" s="37"/>
      <x:c r="P3429" s="34" t="n">
        <x:v>0</x:v>
      </x:c>
      <x:c r="Q3429" s="37" t="n">
        <x:v>46078.98541666667</x:v>
      </x:c>
    </x:row>
    <x:row r="3430">
      <x:c r="A3430" s="22" t="n">
        <x:v>31224</x:v>
      </x:c>
      <x:c r="B3430" s="28" t="n">
        <x:v>472.5</x:v>
      </x:c>
      <x:c r="C3430" s="28"/>
      <x:c r="D3430" s="31" t="str">
        <x:f>IF(OR(ISBLANK(B3430),ISBLANK(C3430),B3430=0),"",(C3430-B3430)/B3430)</x:f>
      </x:c>
      <x:c r="E3430" s="22" t="str">
        <x:f>IF(ISBLANK(C3430),"AmountIncludingTax缺失",IF(ABS(B3430-C3430)&lt;0.005,"一致","不一致"))</x:f>
        <x:v>AmountIncludingTax缺失</x:v>
      </x:c>
      <x:c r="F3430" s="19" t="str">
        <x:v>approved</x:v>
      </x:c>
      <x:c r="G3430" s="19" t="str">
        <x:v>Repair in Progress</x:v>
      </x:c>
      <x:c r="H3430" s="19" t="str">
        <x:v>In Field</x:v>
      </x:c>
      <x:c r="I3430" s="37" t="n">
        <x:v>46086</x:v>
      </x:c>
      <x:c r="J3430" s="37" t="n">
        <x:v>46086</x:v>
      </x:c>
      <x:c r="K3430" s="19" t="str">
        <x:v>Snowy River Launceston</x:v>
      </x:c>
      <x:c r="L3430" s="19" t="str">
        <x:v>Z006</x:v>
      </x:c>
      <x:c r="M3430" s="19" t="str">
        <x:v>In Field Warranty Claims</x:v>
      </x:c>
      <x:c r="N3430" s="37" t="n">
        <x:v>46069</x:v>
      </x:c>
      <x:c r="O3430" s="37"/>
      <x:c r="P3430" s="34" t="n">
        <x:v>0</x:v>
      </x:c>
      <x:c r="Q3430" s="37" t="n">
        <x:v>46085.92601851852</x:v>
      </x:c>
    </x:row>
    <x:row r="3431">
      <x:c r="A3431" s="22" t="n">
        <x:v>31223</x:v>
      </x:c>
      <x:c r="B3431" s="28" t="n">
        <x:v>101.25</x:v>
      </x:c>
      <x:c r="C3431" s="28"/>
      <x:c r="D3431" s="31" t="str">
        <x:f>IF(OR(ISBLANK(B3431),ISBLANK(C3431),B3431=0),"",(C3431-B3431)/B3431)</x:f>
      </x:c>
      <x:c r="E3431" s="22" t="str">
        <x:f>IF(ISBLANK(C3431),"AmountIncludingTax缺失",IF(ABS(B3431-C3431)&lt;0.005,"一致","不一致"))</x:f>
        <x:v>AmountIncludingTax缺失</x:v>
      </x:c>
      <x:c r="F3431" s="19" t="str">
        <x:v>approved</x:v>
      </x:c>
      <x:c r="G3431" s="19" t="str">
        <x:v>Repair in Progress</x:v>
      </x:c>
      <x:c r="H3431" s="19" t="str">
        <x:v>In Field</x:v>
      </x:c>
      <x:c r="I3431" s="37" t="n">
        <x:v>46087</x:v>
      </x:c>
      <x:c r="J3431" s="37" t="n">
        <x:v>46087</x:v>
      </x:c>
      <x:c r="K3431" s="19" t="str">
        <x:v>Dario Caravans - Pooraka</x:v>
      </x:c>
      <x:c r="L3431" s="19" t="str">
        <x:v>Z006</x:v>
      </x:c>
      <x:c r="M3431" s="19" t="str">
        <x:v>In Field Warranty Claims</x:v>
      </x:c>
      <x:c r="N3431" s="37" t="n">
        <x:v>46069</x:v>
      </x:c>
      <x:c r="O3431" s="37"/>
      <x:c r="P3431" s="34" t="n">
        <x:v>0</x:v>
      </x:c>
      <x:c r="Q3431" s="37" t="n">
        <x:v>46087.070439814815</x:v>
      </x:c>
    </x:row>
    <x:row r="3432">
      <x:c r="A3432" s="22" t="n">
        <x:v>31221</x:v>
      </x:c>
      <x:c r="B3432" s="28" t="n">
        <x:v>72.5</x:v>
      </x:c>
      <x:c r="C3432" s="28"/>
      <x:c r="D3432" s="31" t="str">
        <x:f>IF(OR(ISBLANK(B3432),ISBLANK(C3432),B3432=0),"",(C3432-B3432)/B3432)</x:f>
      </x:c>
      <x:c r="E3432" s="22" t="str">
        <x:f>IF(ISBLANK(C3432),"AmountIncludingTax缺失",IF(ABS(B3432-C3432)&lt;0.005,"一致","不一致"))</x:f>
        <x:v>AmountIncludingTax缺失</x:v>
      </x:c>
      <x:c r="F3432" s="19" t="str">
        <x:v>approved</x:v>
      </x:c>
      <x:c r="G3432" s="19" t="str">
        <x:v>Repair in Progress</x:v>
      </x:c>
      <x:c r="H3432" s="19" t="str">
        <x:v>In Field</x:v>
      </x:c>
      <x:c r="I3432" s="37" t="n">
        <x:v>46121</x:v>
      </x:c>
      <x:c r="J3432" s="37" t="n">
        <x:v>46120</x:v>
      </x:c>
      <x:c r="K3432" s="19" t="str">
        <x:v>Green RV - Slacks Creek</x:v>
      </x:c>
      <x:c r="L3432" s="19" t="str">
        <x:v>Z006</x:v>
      </x:c>
      <x:c r="M3432" s="19" t="str">
        <x:v>In Field Warranty Claims</x:v>
      </x:c>
      <x:c r="N3432" s="37" t="n">
        <x:v>46069</x:v>
      </x:c>
      <x:c r="O3432" s="37"/>
      <x:c r="P3432" s="34" t="n">
        <x:v>0</x:v>
      </x:c>
      <x:c r="Q3432" s="37" t="n">
        <x:v>46120.60430555556</x:v>
      </x:c>
    </x:row>
    <x:row r="3433">
      <x:c r="A3433" s="22" t="n">
        <x:v>31220</x:v>
      </x:c>
      <x:c r="B3433" s="28" t="n">
        <x:v>870</x:v>
      </x:c>
      <x:c r="C3433" s="28"/>
      <x:c r="D3433" s="31" t="str">
        <x:f>IF(OR(ISBLANK(B3433),ISBLANK(C3433),B3433=0),"",(C3433-B3433)/B3433)</x:f>
      </x:c>
      <x:c r="E3433" s="22" t="str">
        <x:f>IF(ISBLANK(C3433),"AmountIncludingTax缺失",IF(ABS(B3433-C3433)&lt;0.005,"一致","不一致"))</x:f>
        <x:v>AmountIncludingTax缺失</x:v>
      </x:c>
      <x:c r="F3433" s="19" t="str">
        <x:v>approved</x:v>
      </x:c>
      <x:c r="G3433" s="19" t="str">
        <x:v>Repairer Invoiced Processed</x:v>
      </x:c>
      <x:c r="H3433" s="19" t="str">
        <x:v>In Field</x:v>
      </x:c>
      <x:c r="I3433" s="37" t="n">
        <x:v>46104</x:v>
      </x:c>
      <x:c r="J3433" s="37" t="n">
        <x:v>46104</x:v>
      </x:c>
      <x:c r="K3433" s="19" t="str">
        <x:v>Green RV - Forest Glen</x:v>
      </x:c>
      <x:c r="L3433" s="19" t="str">
        <x:v>Z006</x:v>
      </x:c>
      <x:c r="M3433" s="19" t="str">
        <x:v>In Field Warranty Claims</x:v>
      </x:c>
      <x:c r="N3433" s="37" t="n">
        <x:v>46069</x:v>
      </x:c>
      <x:c r="O3433" s="37"/>
      <x:c r="P3433" s="34" t="n">
        <x:v>0</x:v>
      </x:c>
      <x:c r="Q3433" s="37" t="n">
        <x:v>46104.0062962963</x:v>
      </x:c>
    </x:row>
    <x:row r="3434">
      <x:c r="A3434" s="22" t="n">
        <x:v>31219</x:v>
      </x:c>
      <x:c r="B3434" s="28" t="n">
        <x:v>742.5</x:v>
      </x:c>
      <x:c r="C3434" s="28"/>
      <x:c r="D3434" s="31" t="str">
        <x:f>IF(OR(ISBLANK(B3434),ISBLANK(C3434),B3434=0),"",(C3434-B3434)/B3434)</x:f>
      </x:c>
      <x:c r="E3434" s="22" t="str">
        <x:f>IF(ISBLANK(C3434),"AmountIncludingTax缺失",IF(ABS(B3434-C3434)&lt;0.005,"一致","不一致"))</x:f>
        <x:v>AmountIncludingTax缺失</x:v>
      </x:c>
      <x:c r="F3434" s="19" t="str">
        <x:v>approved</x:v>
      </x:c>
      <x:c r="G3434" s="19" t="str">
        <x:v>Repair in Progress</x:v>
      </x:c>
      <x:c r="H3434" s="19" t="str">
        <x:v>In Field</x:v>
      </x:c>
      <x:c r="I3434" s="37" t="n">
        <x:v>46112</x:v>
      </x:c>
      <x:c r="J3434" s="37" t="n">
        <x:v>46112</x:v>
      </x:c>
      <x:c r="K3434" s="19" t="str">
        <x:v>Sherrif Caravans &amp; Traliers - Prospect Vale</x:v>
      </x:c>
      <x:c r="L3434" s="19" t="str">
        <x:v>Z006</x:v>
      </x:c>
      <x:c r="M3434" s="19" t="str">
        <x:v>In Field Warranty Claims</x:v>
      </x:c>
      <x:c r="N3434" s="37" t="n">
        <x:v>46069</x:v>
      </x:c>
      <x:c r="O3434" s="37"/>
      <x:c r="P3434" s="34" t="n">
        <x:v>0</x:v>
      </x:c>
      <x:c r="Q3434" s="37" t="n">
        <x:v>46112.031643518516</x:v>
      </x:c>
    </x:row>
    <x:row r="3435">
      <x:c r="A3435" s="22" t="n">
        <x:v>31217</x:v>
      </x:c>
      <x:c r="B3435" s="28" t="n">
        <x:v>67.5</x:v>
      </x:c>
      <x:c r="C3435" s="28"/>
      <x:c r="D3435" s="31" t="str">
        <x:f>IF(OR(ISBLANK(B3435),ISBLANK(C3435),B3435=0),"",(C3435-B3435)/B3435)</x:f>
      </x:c>
      <x:c r="E3435" s="22" t="str">
        <x:f>IF(ISBLANK(C3435),"AmountIncludingTax缺失",IF(ABS(B3435-C3435)&lt;0.005,"一致","不一致"))</x:f>
        <x:v>AmountIncludingTax缺失</x:v>
      </x:c>
      <x:c r="F3435" s="19" t="str">
        <x:v>approved</x:v>
      </x:c>
      <x:c r="G3435" s="19" t="str">
        <x:v>Repairer Invoiced Processed</x:v>
      </x:c>
      <x:c r="H3435" s="19" t="str">
        <x:v>In Field</x:v>
      </x:c>
      <x:c r="I3435" s="37" t="n">
        <x:v>46120</x:v>
      </x:c>
      <x:c r="J3435" s="37" t="n">
        <x:v>46120</x:v>
      </x:c>
      <x:c r="K3435" s="19" t="str">
        <x:v>QCCC - Gympie</x:v>
      </x:c>
      <x:c r="L3435" s="19" t="str">
        <x:v>Z006</x:v>
      </x:c>
      <x:c r="M3435" s="19" t="str">
        <x:v>In Field Warranty Claims</x:v>
      </x:c>
      <x:c r="N3435" s="37" t="n">
        <x:v>46069</x:v>
      </x:c>
      <x:c r="O3435" s="37"/>
      <x:c r="P3435" s="34" t="n">
        <x:v>0</x:v>
      </x:c>
      <x:c r="Q3435" s="37" t="n">
        <x:v>46119.98401620371</x:v>
      </x:c>
    </x:row>
    <x:row r="3436">
      <x:c r="A3436" s="22" t="n">
        <x:v>31215</x:v>
      </x:c>
      <x:c r="B3436" s="28" t="n">
        <x:v>67.5</x:v>
      </x:c>
      <x:c r="C3436" s="28"/>
      <x:c r="D3436" s="31" t="str">
        <x:f>IF(OR(ISBLANK(B3436),ISBLANK(C3436),B3436=0),"",(C3436-B3436)/B3436)</x:f>
      </x:c>
      <x:c r="E3436" s="22" t="str">
        <x:f>IF(ISBLANK(C3436),"AmountIncludingTax缺失",IF(ABS(B3436-C3436)&lt;0.005,"一致","不一致"))</x:f>
        <x:v>AmountIncludingTax缺失</x:v>
      </x:c>
      <x:c r="F3436" s="19" t="str">
        <x:v>approved</x:v>
      </x:c>
      <x:c r="G3436" s="19" t="str">
        <x:v>Repair in Progress</x:v>
      </x:c>
      <x:c r="H3436" s="19" t="str">
        <x:v>In Field</x:v>
      </x:c>
      <x:c r="I3436" s="37" t="n">
        <x:v>46136</x:v>
      </x:c>
      <x:c r="J3436" s="37" t="n">
        <x:v>46136</x:v>
      </x:c>
      <x:c r="K3436" s="19" t="str">
        <x:v>Regent RV - Traralgon</x:v>
      </x:c>
      <x:c r="L3436" s="19" t="str">
        <x:v>Z006</x:v>
      </x:c>
      <x:c r="M3436" s="19" t="str">
        <x:v>In Field Warranty Claims</x:v>
      </x:c>
      <x:c r="N3436" s="37" t="n">
        <x:v>46069</x:v>
      </x:c>
      <x:c r="O3436" s="37"/>
      <x:c r="P3436" s="34" t="n">
        <x:v>0</x:v>
      </x:c>
      <x:c r="Q3436" s="37" t="n">
        <x:v>46136.08023148148</x:v>
      </x:c>
    </x:row>
    <x:row r="3437">
      <x:c r="A3437" s="22" t="n">
        <x:v>31214</x:v>
      </x:c>
      <x:c r="B3437" s="28" t="n">
        <x:v>67.5</x:v>
      </x:c>
      <x:c r="C3437" s="28"/>
      <x:c r="D3437" s="31" t="str">
        <x:f>IF(OR(ISBLANK(B3437),ISBLANK(C3437),B3437=0),"",(C3437-B3437)/B3437)</x:f>
      </x:c>
      <x:c r="E3437" s="22" t="str">
        <x:f>IF(ISBLANK(C3437),"AmountIncludingTax缺失",IF(ABS(B3437-C3437)&lt;0.005,"一致","不一致"))</x:f>
        <x:v>AmountIncludingTax缺失</x:v>
      </x:c>
      <x:c r="F3437" s="19" t="str">
        <x:v>approved</x:v>
      </x:c>
      <x:c r="G3437" s="19" t="str">
        <x:v>Repairer Invoiced Processed</x:v>
      </x:c>
      <x:c r="H3437" s="19" t="str">
        <x:v>In Field</x:v>
      </x:c>
      <x:c r="I3437" s="37" t="n">
        <x:v>46107</x:v>
      </x:c>
      <x:c r="J3437" s="37" t="n">
        <x:v>46107</x:v>
      </x:c>
      <x:c r="K3437" s="19" t="str">
        <x:v>Not Assigned</x:v>
      </x:c>
      <x:c r="L3437" s="19" t="str">
        <x:v>Z006</x:v>
      </x:c>
      <x:c r="M3437" s="19" t="str">
        <x:v>In Field Warranty Claims</x:v>
      </x:c>
      <x:c r="N3437" s="37" t="n">
        <x:v>46069</x:v>
      </x:c>
      <x:c r="O3437" s="37"/>
      <x:c r="P3437" s="34" t="n">
        <x:v>0</x:v>
      </x:c>
      <x:c r="Q3437" s="37" t="n">
        <x:v>46107.11759259259</x:v>
      </x:c>
    </x:row>
    <x:row r="3438">
      <x:c r="A3438" s="22" t="n">
        <x:v>31213</x:v>
      </x:c>
      <x:c r="B3438" s="28" t="n">
        <x:v>1338.75</x:v>
      </x:c>
      <x:c r="C3438" s="28"/>
      <x:c r="D3438" s="31" t="str">
        <x:f>IF(OR(ISBLANK(B3438),ISBLANK(C3438),B3438=0),"",(C3438-B3438)/B3438)</x:f>
      </x:c>
      <x:c r="E3438" s="22" t="str">
        <x:f>IF(ISBLANK(C3438),"AmountIncludingTax缺失",IF(ABS(B3438-C3438)&lt;0.005,"一致","不一致"))</x:f>
        <x:v>AmountIncludingTax缺失</x:v>
      </x:c>
      <x:c r="F3438" s="19" t="str">
        <x:v>approved</x:v>
      </x:c>
      <x:c r="G3438" s="19" t="str">
        <x:v>Repair in Progress</x:v>
      </x:c>
      <x:c r="H3438" s="19" t="str">
        <x:v>In Field</x:v>
      </x:c>
      <x:c r="I3438" s="37" t="n">
        <x:v>46104</x:v>
      </x:c>
      <x:c r="J3438" s="37" t="n">
        <x:v>46104</x:v>
      </x:c>
      <x:c r="K3438" s="19" t="str">
        <x:v>Green RV - Forest Glen</x:v>
      </x:c>
      <x:c r="L3438" s="19" t="str">
        <x:v>Z006</x:v>
      </x:c>
      <x:c r="M3438" s="19" t="str">
        <x:v>In Field Warranty Claims</x:v>
      </x:c>
      <x:c r="N3438" s="37" t="n">
        <x:v>46069</x:v>
      </x:c>
      <x:c r="O3438" s="37"/>
      <x:c r="P3438" s="34" t="n">
        <x:v>0</x:v>
      </x:c>
      <x:c r="Q3438" s="37" t="n">
        <x:v>46104.00255787037</x:v>
      </x:c>
    </x:row>
    <x:row r="3439">
      <x:c r="A3439" s="22" t="n">
        <x:v>31212</x:v>
      </x:c>
      <x:c r="B3439" s="28" t="n">
        <x:v>1332.5</x:v>
      </x:c>
      <x:c r="C3439" s="28"/>
      <x:c r="D3439" s="31" t="str">
        <x:f>IF(OR(ISBLANK(B3439),ISBLANK(C3439),B3439=0),"",(C3439-B3439)/B3439)</x:f>
      </x:c>
      <x:c r="E3439" s="22" t="str">
        <x:f>IF(ISBLANK(C3439),"AmountIncludingTax缺失",IF(ABS(B3439-C3439)&lt;0.005,"一致","不一致"))</x:f>
        <x:v>AmountIncludingTax缺失</x:v>
      </x:c>
      <x:c r="F3439" s="19" t="str">
        <x:v>approved</x:v>
      </x:c>
      <x:c r="G3439" s="19" t="str">
        <x:v>Repairer Invoiced Processed</x:v>
      </x:c>
      <x:c r="H3439" s="19" t="str">
        <x:v>In Field</x:v>
      </x:c>
      <x:c r="I3439" s="37" t="n">
        <x:v>46104</x:v>
      </x:c>
      <x:c r="J3439" s="37" t="n">
        <x:v>46104</x:v>
      </x:c>
      <x:c r="K3439" s="19" t="str">
        <x:v>Green RV - Forest Glen</x:v>
      </x:c>
      <x:c r="L3439" s="19" t="str">
        <x:v>Z006</x:v>
      </x:c>
      <x:c r="M3439" s="19" t="str">
        <x:v>In Field Warranty Claims</x:v>
      </x:c>
      <x:c r="N3439" s="37" t="n">
        <x:v>46069</x:v>
      </x:c>
      <x:c r="O3439" s="37"/>
      <x:c r="P3439" s="34" t="n">
        <x:v>0</x:v>
      </x:c>
      <x:c r="Q3439" s="37" t="n">
        <x:v>46104.00958333333</x:v>
      </x:c>
    </x:row>
    <x:row r="3440">
      <x:c r="A3440" s="22" t="n">
        <x:v>31211</x:v>
      </x:c>
      <x:c r="B3440" s="28" t="n">
        <x:v>168.75</x:v>
      </x:c>
      <x:c r="C3440" s="28"/>
      <x:c r="D3440" s="31" t="str">
        <x:f>IF(OR(ISBLANK(B3440),ISBLANK(C3440),B3440=0),"",(C3440-B3440)/B3440)</x:f>
      </x:c>
      <x:c r="E3440" s="22" t="str">
        <x:f>IF(ISBLANK(C3440),"AmountIncludingTax缺失",IF(ABS(B3440-C3440)&lt;0.005,"一致","不一致"))</x:f>
        <x:v>AmountIncludingTax缺失</x:v>
      </x:c>
      <x:c r="F3440" s="19" t="str">
        <x:v>approved</x:v>
      </x:c>
      <x:c r="G3440" s="19" t="str">
        <x:v>Repair in Progress</x:v>
      </x:c>
      <x:c r="H3440" s="19" t="str">
        <x:v>In Field</x:v>
      </x:c>
      <x:c r="I3440" s="37" t="n">
        <x:v>46127</x:v>
      </x:c>
      <x:c r="J3440" s="37" t="n">
        <x:v>46127</x:v>
      </x:c>
      <x:c r="K3440" s="19" t="str">
        <x:v>Dario Caravans -St.Marys</x:v>
      </x:c>
      <x:c r="L3440" s="19" t="str">
        <x:v>Z006</x:v>
      </x:c>
      <x:c r="M3440" s="19" t="str">
        <x:v>In Field Warranty Claims</x:v>
      </x:c>
      <x:c r="N3440" s="37" t="n">
        <x:v>46069</x:v>
      </x:c>
      <x:c r="O3440" s="37"/>
      <x:c r="P3440" s="34" t="n">
        <x:v>0</x:v>
      </x:c>
      <x:c r="Q3440" s="37" t="n">
        <x:v>46126.92344907407</x:v>
      </x:c>
    </x:row>
    <x:row r="3441">
      <x:c r="A3441" s="22" t="n">
        <x:v>31207</x:v>
      </x:c>
      <x:c r="B3441" s="28" t="n">
        <x:v>75</x:v>
      </x:c>
      <x:c r="C3441" s="28"/>
      <x:c r="D3441" s="31" t="str">
        <x:f>IF(OR(ISBLANK(B3441),ISBLANK(C3441),B3441=0),"",(C3441-B3441)/B3441)</x:f>
      </x:c>
      <x:c r="E3441" s="22" t="str">
        <x:f>IF(ISBLANK(C3441),"AmountIncludingTax缺失",IF(ABS(B3441-C3441)&lt;0.005,"一致","不一致"))</x:f>
        <x:v>AmountIncludingTax缺失</x:v>
      </x:c>
      <x:c r="F3441" s="19" t="str">
        <x:v>approved</x:v>
      </x:c>
      <x:c r="G3441" s="19" t="str">
        <x:v>Repair in Progress</x:v>
      </x:c>
      <x:c r="H3441" s="19" t="str">
        <x:v>Pre Delivery</x:v>
      </x:c>
      <x:c r="I3441" s="37" t="n">
        <x:v>46072</x:v>
      </x:c>
      <x:c r="J3441" s="37" t="n">
        <x:v>46072</x:v>
      </x:c>
      <x:c r="K3441" s="19" t="str">
        <x:v>Regent RV - Frankston</x:v>
      </x:c>
      <x:c r="L3441" s="19" t="str">
        <x:v>Z005</x:v>
      </x:c>
      <x:c r="M3441" s="19" t="str">
        <x:v>Pre Delivery Warranty Claims</x:v>
      </x:c>
      <x:c r="N3441" s="37" t="n">
        <x:v>46071</x:v>
      </x:c>
      <x:c r="O3441" s="37"/>
      <x:c r="P3441" s="34" t="n">
        <x:v>0</x:v>
      </x:c>
      <x:c r="Q3441" s="37" t="n">
        <x:v>46071.90726851852</x:v>
      </x:c>
    </x:row>
    <x:row r="3442">
      <x:c r="A3442" s="22" t="n">
        <x:v>31202</x:v>
      </x:c>
      <x:c r="B3442" s="28" t="n">
        <x:v>3591.81</x:v>
      </x:c>
      <x:c r="C3442" s="28"/>
      <x:c r="D3442" s="31" t="str">
        <x:f>IF(OR(ISBLANK(B3442),ISBLANK(C3442),B3442=0),"",(C3442-B3442)/B3442)</x:f>
      </x:c>
      <x:c r="E3442" s="22" t="str">
        <x:f>IF(ISBLANK(C3442),"AmountIncludingTax缺失",IF(ABS(B3442-C3442)&lt;0.005,"一致","不一致"))</x:f>
        <x:v>AmountIncludingTax缺失</x:v>
      </x:c>
      <x:c r="F3442" s="19" t="str">
        <x:v>approved</x:v>
      </x:c>
      <x:c r="G3442" s="19" t="str">
        <x:v>Repairer Invoiced Processed</x:v>
      </x:c>
      <x:c r="H3442" s="19" t="str">
        <x:v>In Field</x:v>
      </x:c>
      <x:c r="I3442" s="37" t="n">
        <x:v>46070</x:v>
      </x:c>
      <x:c r="J3442" s="37" t="n">
        <x:v>46070</x:v>
      </x:c>
      <x:c r="K3442" s="19" t="str">
        <x:v>Vanari Caravans - Marden Point</x:v>
      </x:c>
      <x:c r="L3442" s="19" t="str">
        <x:v>Z006</x:v>
      </x:c>
      <x:c r="M3442" s="19" t="str">
        <x:v>In Field Warranty Claims</x:v>
      </x:c>
      <x:c r="N3442" s="37" t="n">
        <x:v>46070</x:v>
      </x:c>
      <x:c r="O3442" s="37"/>
      <x:c r="P3442" s="34" t="n">
        <x:v>3252.02</x:v>
      </x:c>
      <x:c r="Q3442" s="37" t="n">
        <x:v>46070.19898148148</x:v>
      </x:c>
    </x:row>
    <x:row r="3443">
      <x:c r="A3443" s="22" t="n">
        <x:v>31201</x:v>
      </x:c>
      <x:c r="B3443" s="28" t="n">
        <x:v>50</x:v>
      </x:c>
      <x:c r="C3443" s="28" t="n">
        <x:v>45.27</x:v>
      </x:c>
      <x:c r="D3443" s="31" t="n">
        <x:f>IF(OR(ISBLANK(B3443),ISBLANK(C3443),B3443=0),"",(C3443-B3443)/B3443)</x:f>
        <x:v>-0.09459999999999993</x:v>
      </x:c>
      <x:c r="E3443" s="22" t="str">
        <x:f>IF(ISBLANK(C3443),"AmountIncludingTax缺失",IF(ABS(B3443-C3443)&lt;0.005,"一致","不一致"))</x:f>
        <x:v>不一致</x:v>
      </x:c>
      <x:c r="F3443" s="19" t="str">
        <x:v>approved</x:v>
      </x:c>
      <x:c r="G3443" s="19" t="str">
        <x:v>Repairer Invoiced Processed</x:v>
      </x:c>
      <x:c r="H3443" s="19" t="str">
        <x:v>In Field</x:v>
      </x:c>
      <x:c r="I3443" s="37" t="n">
        <x:v>46069</x:v>
      </x:c>
      <x:c r="J3443" s="37" t="n">
        <x:v>46069</x:v>
      </x:c>
      <x:c r="K3443" s="19" t="str">
        <x:v>Vanari Caravans - Marden Point</x:v>
      </x:c>
      <x:c r="L3443" s="19" t="str">
        <x:v>Z006</x:v>
      </x:c>
      <x:c r="M3443" s="19" t="str">
        <x:v>In Field Warranty Claims</x:v>
      </x:c>
      <x:c r="N3443" s="37" t="n">
        <x:v>46069</x:v>
      </x:c>
      <x:c r="O3443" s="37"/>
      <x:c r="P3443" s="34" t="n">
        <x:v>45.27</x:v>
      </x:c>
      <x:c r="Q3443" s="37" t="n">
        <x:v>46069.0359375</x:v>
      </x:c>
    </x:row>
    <x:row r="3444">
      <x:c r="A3444" s="22" t="n">
        <x:v>31200</x:v>
      </x:c>
      <x:c r="B3444" s="28" t="n">
        <x:v>405</x:v>
      </x:c>
      <x:c r="C3444" s="28"/>
      <x:c r="D3444" s="31" t="str">
        <x:f>IF(OR(ISBLANK(B3444),ISBLANK(C3444),B3444=0),"",(C3444-B3444)/B3444)</x:f>
      </x:c>
      <x:c r="E3444" s="22" t="str">
        <x:f>IF(ISBLANK(C3444),"AmountIncludingTax缺失",IF(ABS(B3444-C3444)&lt;0.005,"一致","不一致"))</x:f>
        <x:v>AmountIncludingTax缺失</x:v>
      </x:c>
      <x:c r="F3444" s="19" t="str">
        <x:v>approved</x:v>
      </x:c>
      <x:c r="G3444" s="19" t="str">
        <x:v>Repairer Invoiced Processed</x:v>
      </x:c>
      <x:c r="H3444" s="19" t="str">
        <x:v>In Field</x:v>
      </x:c>
      <x:c r="I3444" s="37" t="n">
        <x:v>46098</x:v>
      </x:c>
      <x:c r="J3444" s="37" t="n">
        <x:v>46098</x:v>
      </x:c>
      <x:c r="K3444" s="19" t="str">
        <x:v>Green RV - Forest Glen</x:v>
      </x:c>
      <x:c r="L3444" s="19" t="str">
        <x:v>Z006</x:v>
      </x:c>
      <x:c r="M3444" s="19" t="str">
        <x:v>In Field Warranty Claims</x:v>
      </x:c>
      <x:c r="N3444" s="37" t="n">
        <x:v>46069</x:v>
      </x:c>
      <x:c r="O3444" s="37"/>
      <x:c r="P3444" s="34" t="n">
        <x:v>0</x:v>
      </x:c>
      <x:c r="Q3444" s="37" t="n">
        <x:v>46098.01849537037</x:v>
      </x:c>
    </x:row>
    <x:row r="3445">
      <x:c r="A3445" s="22" t="n">
        <x:v>31199</x:v>
      </x:c>
      <x:c r="B3445" s="28" t="n">
        <x:v>792.5</x:v>
      </x:c>
      <x:c r="C3445" s="28"/>
      <x:c r="D3445" s="31" t="str">
        <x:f>IF(OR(ISBLANK(B3445),ISBLANK(C3445),B3445=0),"",(C3445-B3445)/B3445)</x:f>
      </x:c>
      <x:c r="E3445" s="22" t="str">
        <x:f>IF(ISBLANK(C3445),"AmountIncludingTax缺失",IF(ABS(B3445-C3445)&lt;0.005,"一致","不一致"))</x:f>
        <x:v>AmountIncludingTax缺失</x:v>
      </x:c>
      <x:c r="F3445" s="19" t="str">
        <x:v>approved</x:v>
      </x:c>
      <x:c r="G3445" s="19" t="str">
        <x:v>Repair in Progress</x:v>
      </x:c>
      <x:c r="H3445" s="19" t="str">
        <x:v>In Field</x:v>
      </x:c>
      <x:c r="I3445" s="37" t="n">
        <x:v>46098</x:v>
      </x:c>
      <x:c r="J3445" s="37" t="n">
        <x:v>46098</x:v>
      </x:c>
      <x:c r="K3445" s="19" t="str">
        <x:v>Green RV - Forest Glen</x:v>
      </x:c>
      <x:c r="L3445" s="19" t="str">
        <x:v>Z006</x:v>
      </x:c>
      <x:c r="M3445" s="19" t="str">
        <x:v>In Field Warranty Claims</x:v>
      </x:c>
      <x:c r="N3445" s="37" t="n">
        <x:v>46069</x:v>
      </x:c>
      <x:c r="O3445" s="37"/>
      <x:c r="P3445" s="34" t="n">
        <x:v>0</x:v>
      </x:c>
      <x:c r="Q3445" s="37" t="n">
        <x:v>46098.02060185185</x:v>
      </x:c>
    </x:row>
    <x:row r="3446">
      <x:c r="A3446" s="22" t="n">
        <x:v>31198</x:v>
      </x:c>
      <x:c r="B3446" s="28" t="n">
        <x:v>604</x:v>
      </x:c>
      <x:c r="C3446" s="28" t="n">
        <x:v>664.4</x:v>
      </x:c>
      <x:c r="D3446" s="31" t="n">
        <x:f>IF(OR(ISBLANK(B3446),ISBLANK(C3446),B3446=0),"",(C3446-B3446)/B3446)</x:f>
        <x:v>0.09999999999999996</x:v>
      </x:c>
      <x:c r="E3446" s="22" t="str">
        <x:f>IF(ISBLANK(C3446),"AmountIncludingTax缺失",IF(ABS(B3446-C3446)&lt;0.005,"一致","不一致"))</x:f>
        <x:v>不一致</x:v>
      </x:c>
      <x:c r="F3446" s="19" t="str">
        <x:v>approved</x:v>
      </x:c>
      <x:c r="G3446" s="19" t="str">
        <x:v>Repair in Progress</x:v>
      </x:c>
      <x:c r="H3446" s="19" t="str">
        <x:v>Pre Delivery</x:v>
      </x:c>
      <x:c r="I3446" s="37" t="n">
        <x:v>46177</x:v>
      </x:c>
      <x:c r="J3446" s="37" t="n">
        <x:v>46177</x:v>
      </x:c>
      <x:c r="K3446" s="19" t="str">
        <x:v>The Caravan Hub - Townsville</x:v>
      </x:c>
      <x:c r="L3446" s="19" t="str">
        <x:v>Z005</x:v>
      </x:c>
      <x:c r="M3446" s="19" t="str">
        <x:v>Pre Delivery Warranty Claims</x:v>
      </x:c>
      <x:c r="N3446" s="37" t="n">
        <x:v>46069</x:v>
      </x:c>
      <x:c r="O3446" s="37"/>
      <x:c r="P3446" s="34" t="n">
        <x:v>664.4</x:v>
      </x:c>
      <x:c r="Q3446" s="37" t="n">
        <x:v>46177.10425925926</x:v>
      </x:c>
    </x:row>
    <x:row r="3447">
      <x:c r="A3447" s="22" t="n">
        <x:v>31197</x:v>
      </x:c>
      <x:c r="B3447" s="28" t="n">
        <x:v>270</x:v>
      </x:c>
      <x:c r="C3447" s="28" t="n">
        <x:v>297</x:v>
      </x:c>
      <x:c r="D3447" s="31" t="n">
        <x:f>IF(OR(ISBLANK(B3447),ISBLANK(C3447),B3447=0),"",(C3447-B3447)/B3447)</x:f>
        <x:v>0.1</x:v>
      </x:c>
      <x:c r="E3447" s="22" t="str">
        <x:f>IF(ISBLANK(C3447),"AmountIncludingTax缺失",IF(ABS(B3447-C3447)&lt;0.005,"一致","不一致"))</x:f>
        <x:v>不一致</x:v>
      </x:c>
      <x:c r="F3447" s="19" t="str">
        <x:v>approved</x:v>
      </x:c>
      <x:c r="G3447" s="19" t="str">
        <x:v>Repairer Invoiced Processed</x:v>
      </x:c>
      <x:c r="H3447" s="19" t="str">
        <x:v>In Field</x:v>
      </x:c>
      <x:c r="I3447" s="37" t="n">
        <x:v>46094</x:v>
      </x:c>
      <x:c r="J3447" s="37" t="n">
        <x:v>46094</x:v>
      </x:c>
      <x:c r="K3447" s="19" t="str">
        <x:v>Green RV - Forest Glen</x:v>
      </x:c>
      <x:c r="L3447" s="19" t="str">
        <x:v>Z006</x:v>
      </x:c>
      <x:c r="M3447" s="19" t="str">
        <x:v>In Field Warranty Claims</x:v>
      </x:c>
      <x:c r="N3447" s="37" t="n">
        <x:v>46069</x:v>
      </x:c>
      <x:c r="O3447" s="37"/>
      <x:c r="P3447" s="34" t="n">
        <x:v>297</x:v>
      </x:c>
      <x:c r="Q3447" s="37" t="n">
        <x:v>46094.292766203704</x:v>
      </x:c>
    </x:row>
    <x:row r="3448">
      <x:c r="A3448" s="22" t="n">
        <x:v>31195</x:v>
      </x:c>
      <x:c r="B3448" s="28" t="n">
        <x:v>1583</x:v>
      </x:c>
      <x:c r="C3448" s="28"/>
      <x:c r="D3448" s="31" t="str">
        <x:f>IF(OR(ISBLANK(B3448),ISBLANK(C3448),B3448=0),"",(C3448-B3448)/B3448)</x:f>
      </x:c>
      <x:c r="E3448" s="22" t="str">
        <x:f>IF(ISBLANK(C3448),"AmountIncludingTax缺失",IF(ABS(B3448-C3448)&lt;0.005,"一致","不一致"))</x:f>
        <x:v>AmountIncludingTax缺失</x:v>
      </x:c>
      <x:c r="F3448" s="19" t="str">
        <x:v>approved</x:v>
      </x:c>
      <x:c r="G3448" s="19" t="str">
        <x:v>Repairer Invoiced Processed</x:v>
      </x:c>
      <x:c r="H3448" s="19" t="str">
        <x:v>In Field</x:v>
      </x:c>
      <x:c r="I3448" s="37" t="n">
        <x:v>46079</x:v>
      </x:c>
      <x:c r="J3448" s="37" t="n">
        <x:v>46079</x:v>
      </x:c>
      <x:c r="K3448" s="19" t="str">
        <x:v>Green RV - Forest Glen</x:v>
      </x:c>
      <x:c r="L3448" s="19" t="str">
        <x:v>Z006</x:v>
      </x:c>
      <x:c r="M3448" s="19" t="str">
        <x:v>In Field Warranty Claims</x:v>
      </x:c>
      <x:c r="N3448" s="37" t="n">
        <x:v>46069</x:v>
      </x:c>
      <x:c r="O3448" s="37"/>
      <x:c r="P3448" s="34" t="n">
        <x:v>0</x:v>
      </x:c>
      <x:c r="Q3448" s="37" t="n">
        <x:v>46079.137025462966</x:v>
      </x:c>
    </x:row>
    <x:row r="3449">
      <x:c r="A3449" s="22" t="n">
        <x:v>31194</x:v>
      </x:c>
      <x:c r="B3449" s="28" t="n">
        <x:v>949.55</x:v>
      </x:c>
      <x:c r="C3449" s="28"/>
      <x:c r="D3449" s="31" t="str">
        <x:f>IF(OR(ISBLANK(B3449),ISBLANK(C3449),B3449=0),"",(C3449-B3449)/B3449)</x:f>
      </x:c>
      <x:c r="E3449" s="22" t="str">
        <x:f>IF(ISBLANK(C3449),"AmountIncludingTax缺失",IF(ABS(B3449-C3449)&lt;0.005,"一致","不一致"))</x:f>
        <x:v>AmountIncludingTax缺失</x:v>
      </x:c>
      <x:c r="F3449" s="19" t="str">
        <x:v>approved</x:v>
      </x:c>
      <x:c r="G3449" s="19" t="str">
        <x:v>Repair in Progress</x:v>
      </x:c>
      <x:c r="H3449" s="19" t="str">
        <x:v>In Field</x:v>
      </x:c>
      <x:c r="I3449" s="37" t="n">
        <x:v>46121</x:v>
      </x:c>
      <x:c r="J3449" s="37" t="n">
        <x:v>46121</x:v>
      </x:c>
      <x:c r="K3449" s="19" t="str">
        <x:v>Not Assigned</x:v>
      </x:c>
      <x:c r="L3449" s="19" t="str">
        <x:v>Z006</x:v>
      </x:c>
      <x:c r="M3449" s="19" t="str">
        <x:v>In Field Warranty Claims</x:v>
      </x:c>
      <x:c r="N3449" s="37" t="n">
        <x:v>46069</x:v>
      </x:c>
      <x:c r="O3449" s="37"/>
      <x:c r="P3449" s="34" t="n">
        <x:v>0</x:v>
      </x:c>
      <x:c r="Q3449" s="37" t="n">
        <x:v>46120.93680555555</x:v>
      </x:c>
    </x:row>
    <x:row r="3450">
      <x:c r="A3450" s="22" t="n">
        <x:v>31193</x:v>
      </x:c>
      <x:c r="B3450" s="28" t="n">
        <x:v>371.25</x:v>
      </x:c>
      <x:c r="C3450" s="28"/>
      <x:c r="D3450" s="31" t="str">
        <x:f>IF(OR(ISBLANK(B3450),ISBLANK(C3450),B3450=0),"",(C3450-B3450)/B3450)</x:f>
      </x:c>
      <x:c r="E3450" s="22" t="str">
        <x:f>IF(ISBLANK(C3450),"AmountIncludingTax缺失",IF(ABS(B3450-C3450)&lt;0.005,"一致","不一致"))</x:f>
        <x:v>AmountIncludingTax缺失</x:v>
      </x:c>
      <x:c r="F3450" s="19" t="str">
        <x:v>approved</x:v>
      </x:c>
      <x:c r="G3450" s="19" t="str">
        <x:v>Repair in Progress</x:v>
      </x:c>
      <x:c r="H3450" s="19" t="str">
        <x:v>In Field</x:v>
      </x:c>
      <x:c r="I3450" s="37" t="n">
        <x:v>46107</x:v>
      </x:c>
      <x:c r="J3450" s="37" t="n">
        <x:v>46107</x:v>
      </x:c>
      <x:c r="K3450" s="19" t="str">
        <x:v>Not Assigned</x:v>
      </x:c>
      <x:c r="L3450" s="19" t="str">
        <x:v>Z006</x:v>
      </x:c>
      <x:c r="M3450" s="19" t="str">
        <x:v>In Field Warranty Claims</x:v>
      </x:c>
      <x:c r="N3450" s="37" t="n">
        <x:v>46069</x:v>
      </x:c>
      <x:c r="O3450" s="37"/>
      <x:c r="P3450" s="34" t="n">
        <x:v>0</x:v>
      </x:c>
      <x:c r="Q3450" s="37" t="n">
        <x:v>46107.1159375</x:v>
      </x:c>
    </x:row>
    <x:row r="3451">
      <x:c r="A3451" s="22" t="n">
        <x:v>31192</x:v>
      </x:c>
      <x:c r="B3451" s="28" t="n">
        <x:v>526.25</x:v>
      </x:c>
      <x:c r="C3451" s="28"/>
      <x:c r="D3451" s="31" t="str">
        <x:f>IF(OR(ISBLANK(B3451),ISBLANK(C3451),B3451=0),"",(C3451-B3451)/B3451)</x:f>
      </x:c>
      <x:c r="E3451" s="22" t="str">
        <x:f>IF(ISBLANK(C3451),"AmountIncludingTax缺失",IF(ABS(B3451-C3451)&lt;0.005,"一致","不一致"))</x:f>
        <x:v>AmountIncludingTax缺失</x:v>
      </x:c>
      <x:c r="F3451" s="19" t="str">
        <x:v>approved</x:v>
      </x:c>
      <x:c r="G3451" s="19" t="str">
        <x:v>Repairer Invoiced Processed</x:v>
      </x:c>
      <x:c r="H3451" s="19" t="str">
        <x:v>In Field</x:v>
      </x:c>
      <x:c r="I3451" s="37" t="n">
        <x:v>46073</x:v>
      </x:c>
      <x:c r="J3451" s="37" t="n">
        <x:v>46073</x:v>
      </x:c>
      <x:c r="K3451" s="19" t="str">
        <x:v>ABCO Caravans - Boambee Valley</x:v>
      </x:c>
      <x:c r="L3451" s="19" t="str">
        <x:v>Z006</x:v>
      </x:c>
      <x:c r="M3451" s="19" t="str">
        <x:v>In Field Warranty Claims</x:v>
      </x:c>
      <x:c r="N3451" s="37" t="n">
        <x:v>46069</x:v>
      </x:c>
      <x:c r="O3451" s="37"/>
      <x:c r="P3451" s="34" t="n">
        <x:v>0</x:v>
      </x:c>
      <x:c r="Q3451" s="37" t="n">
        <x:v>46072.94861111111</x:v>
      </x:c>
    </x:row>
    <x:row r="3452">
      <x:c r="A3452" s="22" t="n">
        <x:v>31191</x:v>
      </x:c>
      <x:c r="B3452" s="28" t="n">
        <x:v>405</x:v>
      </x:c>
      <x:c r="C3452" s="28" t="n">
        <x:v>456.01</x:v>
      </x:c>
      <x:c r="D3452" s="31" t="n">
        <x:f>IF(OR(ISBLANK(B3452),ISBLANK(C3452),B3452=0),"",(C3452-B3452)/B3452)</x:f>
        <x:v>0.1259506172839506</x:v>
      </x:c>
      <x:c r="E3452" s="22" t="str">
        <x:f>IF(ISBLANK(C3452),"AmountIncludingTax缺失",IF(ABS(B3452-C3452)&lt;0.005,"一致","不一致"))</x:f>
        <x:v>不一致</x:v>
      </x:c>
      <x:c r="F3452" s="19" t="str">
        <x:v>approved</x:v>
      </x:c>
      <x:c r="G3452" s="19" t="str">
        <x:v>Repair in Progress</x:v>
      </x:c>
      <x:c r="H3452" s="19" t="str">
        <x:v>In Field</x:v>
      </x:c>
      <x:c r="I3452" s="37" t="n">
        <x:v>46139</x:v>
      </x:c>
      <x:c r="J3452" s="37" t="n">
        <x:v>46139</x:v>
      </x:c>
      <x:c r="K3452" s="19" t="str">
        <x:v>Auswide Caravans - South Nowra</x:v>
      </x:c>
      <x:c r="L3452" s="19" t="str">
        <x:v>Z006</x:v>
      </x:c>
      <x:c r="M3452" s="19" t="str">
        <x:v>In Field Warranty Claims</x:v>
      </x:c>
      <x:c r="N3452" s="37" t="n">
        <x:v>46069</x:v>
      </x:c>
      <x:c r="O3452" s="37"/>
      <x:c r="P3452" s="34" t="n">
        <x:v>456.01</x:v>
      </x:c>
      <x:c r="Q3452" s="37" t="n">
        <x:v>46139.07952546296</x:v>
      </x:c>
    </x:row>
    <x:row r="3453">
      <x:c r="A3453" s="22" t="n">
        <x:v>31180</x:v>
      </x:c>
      <x:c r="B3453" s="28" t="n">
        <x:v>560</x:v>
      </x:c>
      <x:c r="C3453" s="28"/>
      <x:c r="D3453" s="31" t="str">
        <x:f>IF(OR(ISBLANK(B3453),ISBLANK(C3453),B3453=0),"",(C3453-B3453)/B3453)</x:f>
      </x:c>
      <x:c r="E3453" s="22" t="str">
        <x:f>IF(ISBLANK(C3453),"AmountIncludingTax缺失",IF(ABS(B3453-C3453)&lt;0.005,"一致","不一致"))</x:f>
        <x:v>AmountIncludingTax缺失</x:v>
      </x:c>
      <x:c r="F3453" s="19" t="str">
        <x:v>approved</x:v>
      </x:c>
      <x:c r="G3453" s="19" t="str">
        <x:v>Repairer Invoiced Processed</x:v>
      </x:c>
      <x:c r="H3453" s="19" t="str">
        <x:v>In Field</x:v>
      </x:c>
      <x:c r="I3453" s="37" t="n">
        <x:v>46070</x:v>
      </x:c>
      <x:c r="J3453" s="37" t="n">
        <x:v>46070</x:v>
      </x:c>
      <x:c r="K3453" s="19" t="str">
        <x:v>Not Assigned</x:v>
      </x:c>
      <x:c r="L3453" s="19" t="str">
        <x:v>Z006</x:v>
      </x:c>
      <x:c r="M3453" s="19" t="str">
        <x:v>In Field Warranty Claims</x:v>
      </x:c>
      <x:c r="N3453" s="37" t="n">
        <x:v>46069</x:v>
      </x:c>
      <x:c r="O3453" s="37"/>
      <x:c r="P3453" s="34" t="n">
        <x:v>0</x:v>
      </x:c>
      <x:c r="Q3453" s="37" t="n">
        <x:v>46070.024664351855</x:v>
      </x:c>
    </x:row>
    <x:row r="3454">
      <x:c r="A3454" s="22" t="n">
        <x:v>31179</x:v>
      </x:c>
      <x:c r="B3454" s="28" t="n">
        <x:v>250.23</x:v>
      </x:c>
      <x:c r="C3454" s="28" t="n">
        <x:v>275.25</x:v>
      </x:c>
      <x:c r="D3454" s="31" t="n">
        <x:f>IF(OR(ISBLANK(B3454),ISBLANK(C3454),B3454=0),"",(C3454-B3454)/B3454)</x:f>
        <x:v>0.09998801102985258</x:v>
      </x:c>
      <x:c r="E3454" s="22" t="str">
        <x:f>IF(ISBLANK(C3454),"AmountIncludingTax缺失",IF(ABS(B3454-C3454)&lt;0.005,"一致","不一致"))</x:f>
        <x:v>不一致</x:v>
      </x:c>
      <x:c r="F3454" s="19" t="str">
        <x:v>approved</x:v>
      </x:c>
      <x:c r="G3454" s="19" t="str">
        <x:v>Repair in Progress</x:v>
      </x:c>
      <x:c r="H3454" s="19" t="str">
        <x:v>Pre Delivery</x:v>
      </x:c>
      <x:c r="I3454" s="37" t="n">
        <x:v>46177</x:v>
      </x:c>
      <x:c r="J3454" s="37" t="n">
        <x:v>46177</x:v>
      </x:c>
      <x:c r="K3454" s="19" t="str">
        <x:v>The Caravan Hub - Townsville</x:v>
      </x:c>
      <x:c r="L3454" s="19" t="str">
        <x:v>Z005</x:v>
      </x:c>
      <x:c r="M3454" s="19" t="str">
        <x:v>Pre Delivery Warranty Claims</x:v>
      </x:c>
      <x:c r="N3454" s="37" t="n">
        <x:v>46069</x:v>
      </x:c>
      <x:c r="O3454" s="37"/>
      <x:c r="P3454" s="34" t="n">
        <x:v>275.25</x:v>
      </x:c>
      <x:c r="Q3454" s="37" t="n">
        <x:v>46177.13792824074</x:v>
      </x:c>
    </x:row>
    <x:row r="3455">
      <x:c r="A3455" s="22" t="n">
        <x:v>31177</x:v>
      </x:c>
      <x:c r="B3455" s="28" t="n">
        <x:v>201.25</x:v>
      </x:c>
      <x:c r="C3455" s="28"/>
      <x:c r="D3455" s="31" t="str">
        <x:f>IF(OR(ISBLANK(B3455),ISBLANK(C3455),B3455=0),"",(C3455-B3455)/B3455)</x:f>
      </x:c>
      <x:c r="E3455" s="22" t="str">
        <x:f>IF(ISBLANK(C3455),"AmountIncludingTax缺失",IF(ABS(B3455-C3455)&lt;0.005,"一致","不一致"))</x:f>
        <x:v>AmountIncludingTax缺失</x:v>
      </x:c>
      <x:c r="F3455" s="19" t="str">
        <x:v>approved</x:v>
      </x:c>
      <x:c r="G3455" s="19" t="str">
        <x:v>Sales Order Approved</x:v>
      </x:c>
      <x:c r="H3455" s="19" t="str">
        <x:v>Pre Delivery</x:v>
      </x:c>
      <x:c r="I3455" s="37" t="n">
        <x:v>46177</x:v>
      </x:c>
      <x:c r="J3455" s="37" t="n">
        <x:v>46177</x:v>
      </x:c>
      <x:c r="K3455" s="19" t="str">
        <x:v>The Caravan Hub - Townsville</x:v>
      </x:c>
      <x:c r="L3455" s="19" t="str">
        <x:v>Z005</x:v>
      </x:c>
      <x:c r="M3455" s="19" t="str">
        <x:v>Pre Delivery Warranty Claims</x:v>
      </x:c>
      <x:c r="N3455" s="37" t="n">
        <x:v>46069</x:v>
      </x:c>
      <x:c r="O3455" s="37"/>
      <x:c r="P3455" s="34" t="n">
        <x:v>0</x:v>
      </x:c>
      <x:c r="Q3455" s="37" t="n">
        <x:v>46177.10326388889</x:v>
      </x:c>
    </x:row>
    <x:row r="3456">
      <x:c r="A3456" s="22" t="n">
        <x:v>31176</x:v>
      </x:c>
      <x:c r="B3456" s="28" t="n">
        <x:v>675</x:v>
      </x:c>
      <x:c r="C3456" s="28"/>
      <x:c r="D3456" s="31" t="str">
        <x:f>IF(OR(ISBLANK(B3456),ISBLANK(C3456),B3456=0),"",(C3456-B3456)/B3456)</x:f>
      </x:c>
      <x:c r="E3456" s="22" t="str">
        <x:f>IF(ISBLANK(C3456),"AmountIncludingTax缺失",IF(ABS(B3456-C3456)&lt;0.005,"一致","不一致"))</x:f>
        <x:v>AmountIncludingTax缺失</x:v>
      </x:c>
      <x:c r="F3456" s="19" t="str">
        <x:v>approved</x:v>
      </x:c>
      <x:c r="G3456" s="19" t="str">
        <x:v>Repairer Invoiced Processed</x:v>
      </x:c>
      <x:c r="H3456" s="19" t="str">
        <x:v>In Field</x:v>
      </x:c>
      <x:c r="I3456" s="37" t="n">
        <x:v>46108</x:v>
      </x:c>
      <x:c r="J3456" s="37" t="n">
        <x:v>46108</x:v>
      </x:c>
      <x:c r="K3456" s="19" t="str">
        <x:v>Regent RV Pty Ltd</x:v>
      </x:c>
      <x:c r="L3456" s="19" t="str">
        <x:v>Z006</x:v>
      </x:c>
      <x:c r="M3456" s="19" t="str">
        <x:v>In Field Warranty Claims</x:v>
      </x:c>
      <x:c r="N3456" s="37" t="n">
        <x:v>46069</x:v>
      </x:c>
      <x:c r="O3456" s="37"/>
      <x:c r="P3456" s="34" t="n">
        <x:v>0</x:v>
      </x:c>
      <x:c r="Q3456" s="37" t="n">
        <x:v>46108.06989583333</x:v>
      </x:c>
    </x:row>
    <x:row r="3457">
      <x:c r="A3457" s="22" t="n">
        <x:v>31174</x:v>
      </x:c>
      <x:c r="B3457" s="28" t="n">
        <x:v>389.25</x:v>
      </x:c>
      <x:c r="C3457" s="28"/>
      <x:c r="D3457" s="31" t="str">
        <x:f>IF(OR(ISBLANK(B3457),ISBLANK(C3457),B3457=0),"",(C3457-B3457)/B3457)</x:f>
      </x:c>
      <x:c r="E3457" s="22" t="str">
        <x:f>IF(ISBLANK(C3457),"AmountIncludingTax缺失",IF(ABS(B3457-C3457)&lt;0.005,"一致","不一致"))</x:f>
        <x:v>AmountIncludingTax缺失</x:v>
      </x:c>
      <x:c r="F3457" s="19" t="str">
        <x:v>approved</x:v>
      </x:c>
      <x:c r="G3457" s="19" t="str">
        <x:v>Repairer Invoiced Processed</x:v>
      </x:c>
      <x:c r="H3457" s="19" t="str">
        <x:v>In Field</x:v>
      </x:c>
      <x:c r="I3457" s="37" t="n">
        <x:v>46121</x:v>
      </x:c>
      <x:c r="J3457" s="37" t="n">
        <x:v>46121</x:v>
      </x:c>
      <x:c r="K3457" s="19" t="str">
        <x:v>Green RV - Slacks Creek</x:v>
      </x:c>
      <x:c r="L3457" s="19" t="str">
        <x:v>Z006</x:v>
      </x:c>
      <x:c r="M3457" s="19" t="str">
        <x:v>In Field Warranty Claims</x:v>
      </x:c>
      <x:c r="N3457" s="37" t="n">
        <x:v>46068</x:v>
      </x:c>
      <x:c r="O3457" s="37"/>
      <x:c r="P3457" s="34" t="n">
        <x:v>0</x:v>
      </x:c>
      <x:c r="Q3457" s="37" t="n">
        <x:v>46121.25462962963</x:v>
      </x:c>
    </x:row>
    <x:row r="3458">
      <x:c r="A3458" s="22" t="n">
        <x:v>31173</x:v>
      </x:c>
      <x:c r="B3458" s="28" t="n">
        <x:v>77.5</x:v>
      </x:c>
      <x:c r="C3458" s="28"/>
      <x:c r="D3458" s="31" t="str">
        <x:f>IF(OR(ISBLANK(B3458),ISBLANK(C3458),B3458=0),"",(C3458-B3458)/B3458)</x:f>
      </x:c>
      <x:c r="E3458" s="22" t="str">
        <x:f>IF(ISBLANK(C3458),"AmountIncludingTax缺失",IF(ABS(B3458-C3458)&lt;0.005,"一致","不一致"))</x:f>
        <x:v>AmountIncludingTax缺失</x:v>
      </x:c>
      <x:c r="F3458" s="19" t="str">
        <x:v>approved</x:v>
      </x:c>
      <x:c r="G3458" s="19" t="str">
        <x:v>Repairer Invoiced Processed</x:v>
      </x:c>
      <x:c r="H3458" s="19" t="str">
        <x:v>In Field</x:v>
      </x:c>
      <x:c r="I3458" s="37" t="n">
        <x:v>46100</x:v>
      </x:c>
      <x:c r="J3458" s="37" t="n">
        <x:v>46100</x:v>
      </x:c>
      <x:c r="K3458" s="19" t="str">
        <x:v>Lesiure Lion-New Castle</x:v>
      </x:c>
      <x:c r="L3458" s="19" t="str">
        <x:v>Z006</x:v>
      </x:c>
      <x:c r="M3458" s="19" t="str">
        <x:v>In Field Warranty Claims</x:v>
      </x:c>
      <x:c r="N3458" s="37" t="n">
        <x:v>46068</x:v>
      </x:c>
      <x:c r="O3458" s="37"/>
      <x:c r="P3458" s="34" t="n">
        <x:v>0</x:v>
      </x:c>
      <x:c r="Q3458" s="37" t="n">
        <x:v>46099.99931712963</x:v>
      </x:c>
    </x:row>
    <x:row r="3459">
      <x:c r="A3459" s="22" t="n">
        <x:v>31172</x:v>
      </x:c>
      <x:c r="B3459" s="28" t="n">
        <x:v>101.25</x:v>
      </x:c>
      <x:c r="C3459" s="28"/>
      <x:c r="D3459" s="31" t="str">
        <x:f>IF(OR(ISBLANK(B3459),ISBLANK(C3459),B3459=0),"",(C3459-B3459)/B3459)</x:f>
      </x:c>
      <x:c r="E3459" s="22" t="str">
        <x:f>IF(ISBLANK(C3459),"AmountIncludingTax缺失",IF(ABS(B3459-C3459)&lt;0.005,"一致","不一致"))</x:f>
        <x:v>AmountIncludingTax缺失</x:v>
      </x:c>
      <x:c r="F3459" s="19" t="str">
        <x:v>approved</x:v>
      </x:c>
      <x:c r="G3459" s="19" t="str">
        <x:v>Repairer Invoiced Processed</x:v>
      </x:c>
      <x:c r="H3459" s="19" t="str">
        <x:v>In Field</x:v>
      </x:c>
      <x:c r="I3459" s="37" t="n">
        <x:v>46099</x:v>
      </x:c>
      <x:c r="J3459" s="37" t="n">
        <x:v>46099</x:v>
      </x:c>
      <x:c r="K3459" s="19" t="str">
        <x:v>Dario Caravans - Pooraka</x:v>
      </x:c>
      <x:c r="L3459" s="19" t="str">
        <x:v>Z006</x:v>
      </x:c>
      <x:c r="M3459" s="19" t="str">
        <x:v>In Field Warranty Claims</x:v>
      </x:c>
      <x:c r="N3459" s="37" t="n">
        <x:v>46068</x:v>
      </x:c>
      <x:c r="O3459" s="37"/>
      <x:c r="P3459" s="34" t="n">
        <x:v>0</x:v>
      </x:c>
      <x:c r="Q3459" s="37" t="n">
        <x:v>46099.0534375</x:v>
      </x:c>
    </x:row>
    <x:row r="3460">
      <x:c r="A3460" s="22" t="n">
        <x:v>31171</x:v>
      </x:c>
      <x:c r="B3460" s="28" t="n">
        <x:v>198</x:v>
      </x:c>
      <x:c r="C3460" s="28" t="n">
        <x:v>179.27</x:v>
      </x:c>
      <x:c r="D3460" s="31" t="n">
        <x:f>IF(OR(ISBLANK(B3460),ISBLANK(C3460),B3460=0),"",(C3460-B3460)/B3460)</x:f>
        <x:v>-0.09459595959595954</x:v>
      </x:c>
      <x:c r="E3460" s="22" t="str">
        <x:f>IF(ISBLANK(C3460),"AmountIncludingTax缺失",IF(ABS(B3460-C3460)&lt;0.005,"一致","不一致"))</x:f>
        <x:v>不一致</x:v>
      </x:c>
      <x:c r="F3460" s="19" t="str">
        <x:v>approved</x:v>
      </x:c>
      <x:c r="G3460" s="19" t="str">
        <x:v>Repairer Invoiced Processed</x:v>
      </x:c>
      <x:c r="H3460" s="19" t="str">
        <x:v>In Field</x:v>
      </x:c>
      <x:c r="I3460" s="37" t="n">
        <x:v>46086</x:v>
      </x:c>
      <x:c r="J3460" s="37" t="n">
        <x:v>46086</x:v>
      </x:c>
      <x:c r="K3460" s="19" t="str">
        <x:v>Vanari Caravans - Marden Point</x:v>
      </x:c>
      <x:c r="L3460" s="19" t="str">
        <x:v>Z006</x:v>
      </x:c>
      <x:c r="M3460" s="19" t="str">
        <x:v>In Field Warranty Claims</x:v>
      </x:c>
      <x:c r="N3460" s="37" t="n">
        <x:v>46068</x:v>
      </x:c>
      <x:c r="O3460" s="37"/>
      <x:c r="P3460" s="34" t="n">
        <x:v>179.27</x:v>
      </x:c>
      <x:c r="Q3460" s="37" t="n">
        <x:v>46086.13700231481</x:v>
      </x:c>
    </x:row>
    <x:row r="3461">
      <x:c r="A3461" s="22" t="n">
        <x:v>31169</x:v>
      </x:c>
      <x:c r="B3461" s="28" t="n">
        <x:v>113.09</x:v>
      </x:c>
      <x:c r="C3461" s="28" t="n">
        <x:v>124.4</x:v>
      </x:c>
      <x:c r="D3461" s="31" t="n">
        <x:f>IF(OR(ISBLANK(B3461),ISBLANK(C3461),B3461=0),"",(C3461-B3461)/B3461)</x:f>
        <x:v>0.10000884251481124</x:v>
      </x:c>
      <x:c r="E3461" s="22" t="str">
        <x:f>IF(ISBLANK(C3461),"AmountIncludingTax缺失",IF(ABS(B3461-C3461)&lt;0.005,"一致","不一致"))</x:f>
        <x:v>不一致</x:v>
      </x:c>
      <x:c r="F3461" s="19" t="str">
        <x:v>approved</x:v>
      </x:c>
      <x:c r="G3461" s="19" t="str">
        <x:v>Repairer Invoiced Processed</x:v>
      </x:c>
      <x:c r="H3461" s="19" t="str">
        <x:v>In Field</x:v>
      </x:c>
      <x:c r="I3461" s="37" t="n">
        <x:v>46150</x:v>
      </x:c>
      <x:c r="J3461" s="37" t="n">
        <x:v>46150</x:v>
      </x:c>
      <x:c r="K3461" s="19" t="str">
        <x:v>Regent RV - Frankston</x:v>
      </x:c>
      <x:c r="L3461" s="19" t="str">
        <x:v>Z006</x:v>
      </x:c>
      <x:c r="M3461" s="19" t="str">
        <x:v>In Field Warranty Claims</x:v>
      </x:c>
      <x:c r="N3461" s="37" t="n">
        <x:v>46069</x:v>
      </x:c>
      <x:c r="O3461" s="37"/>
      <x:c r="P3461" s="34" t="n">
        <x:v>124.4</x:v>
      </x:c>
      <x:c r="Q3461" s="37" t="n">
        <x:v>46150.266018518516</x:v>
      </x:c>
    </x:row>
    <x:row r="3462">
      <x:c r="A3462" s="22" t="n">
        <x:v>31168</x:v>
      </x:c>
      <x:c r="B3462" s="28" t="n">
        <x:v>896.8</x:v>
      </x:c>
      <x:c r="C3462" s="28" t="n">
        <x:v>986.48</x:v>
      </x:c>
      <x:c r="D3462" s="31" t="n">
        <x:f>IF(OR(ISBLANK(B3462),ISBLANK(C3462),B3462=0),"",(C3462-B3462)/B3462)</x:f>
        <x:v>0.10000000000000007</x:v>
      </x:c>
      <x:c r="E3462" s="22" t="str">
        <x:f>IF(ISBLANK(C3462),"AmountIncludingTax缺失",IF(ABS(B3462-C3462)&lt;0.005,"一致","不一致"))</x:f>
        <x:v>不一致</x:v>
      </x:c>
      <x:c r="F3462" s="19" t="str">
        <x:v>approved</x:v>
      </x:c>
      <x:c r="G3462" s="19" t="str">
        <x:v>Repairer Invoiced Processed</x:v>
      </x:c>
      <x:c r="H3462" s="19" t="str">
        <x:v>In Field</x:v>
      </x:c>
      <x:c r="I3462" s="37" t="n">
        <x:v>46086</x:v>
      </x:c>
      <x:c r="J3462" s="37" t="n">
        <x:v>46086</x:v>
      </x:c>
      <x:c r="K3462" s="19" t="str">
        <x:v>Not Assigned</x:v>
      </x:c>
      <x:c r="L3462" s="19" t="str">
        <x:v>Z006</x:v>
      </x:c>
      <x:c r="M3462" s="19" t="str">
        <x:v>In Field Warranty Claims</x:v>
      </x:c>
      <x:c r="N3462" s="37" t="n">
        <x:v>46068</x:v>
      </x:c>
      <x:c r="O3462" s="37"/>
      <x:c r="P3462" s="34" t="n">
        <x:v>986.48</x:v>
      </x:c>
      <x:c r="Q3462" s="37" t="n">
        <x:v>46086.469409722224</x:v>
      </x:c>
    </x:row>
    <x:row r="3463">
      <x:c r="A3463" s="22" t="n">
        <x:v>31167</x:v>
      </x:c>
      <x:c r="B3463" s="28" t="n">
        <x:v>405</x:v>
      </x:c>
      <x:c r="C3463" s="28"/>
      <x:c r="D3463" s="31" t="str">
        <x:f>IF(OR(ISBLANK(B3463),ISBLANK(C3463),B3463=0),"",(C3463-B3463)/B3463)</x:f>
      </x:c>
      <x:c r="E3463" s="22" t="str">
        <x:f>IF(ISBLANK(C3463),"AmountIncludingTax缺失",IF(ABS(B3463-C3463)&lt;0.005,"一致","不一致"))</x:f>
        <x:v>AmountIncludingTax缺失</x:v>
      </x:c>
      <x:c r="F3463" s="19" t="str">
        <x:v>approved</x:v>
      </x:c>
      <x:c r="G3463" s="19" t="str">
        <x:v>Repairer Invoiced Processed</x:v>
      </x:c>
      <x:c r="H3463" s="19" t="str">
        <x:v>In Field</x:v>
      </x:c>
      <x:c r="I3463" s="37" t="n">
        <x:v>46100</x:v>
      </x:c>
      <x:c r="J3463" s="37" t="n">
        <x:v>46100</x:v>
      </x:c>
      <x:c r="K3463" s="19" t="str">
        <x:v>Not Assigned</x:v>
      </x:c>
      <x:c r="L3463" s="19" t="str">
        <x:v>Z006</x:v>
      </x:c>
      <x:c r="M3463" s="19" t="str">
        <x:v>In Field Warranty Claims</x:v>
      </x:c>
      <x:c r="N3463" s="37" t="n">
        <x:v>46068</x:v>
      </x:c>
      <x:c r="O3463" s="37"/>
      <x:c r="P3463" s="34" t="n">
        <x:v>0</x:v>
      </x:c>
      <x:c r="Q3463" s="37" t="n">
        <x:v>46100.14745370371</x:v>
      </x:c>
    </x:row>
    <x:row r="3464">
      <x:c r="A3464" s="22" t="n">
        <x:v>31165</x:v>
      </x:c>
      <x:c r="B3464" s="28" t="n">
        <x:v>1255</x:v>
      </x:c>
      <x:c r="C3464" s="28"/>
      <x:c r="D3464" s="31" t="str">
        <x:f>IF(OR(ISBLANK(B3464),ISBLANK(C3464),B3464=0),"",(C3464-B3464)/B3464)</x:f>
      </x:c>
      <x:c r="E3464" s="22" t="str">
        <x:f>IF(ISBLANK(C3464),"AmountIncludingTax缺失",IF(ABS(B3464-C3464)&lt;0.005,"一致","不一致"))</x:f>
        <x:v>AmountIncludingTax缺失</x:v>
      </x:c>
      <x:c r="F3464" s="19" t="str">
        <x:v>approved</x:v>
      </x:c>
      <x:c r="G3464" s="19" t="str">
        <x:v>Repairer Invoiced Processed</x:v>
      </x:c>
      <x:c r="H3464" s="19" t="str">
        <x:v>Pre Delivery</x:v>
      </x:c>
      <x:c r="I3464" s="37" t="n">
        <x:v>46113</x:v>
      </x:c>
      <x:c r="J3464" s="37" t="n">
        <x:v>46113</x:v>
      </x:c>
      <x:c r="K3464" s="19" t="str">
        <x:v>Green RV - Slacks Creek</x:v>
      </x:c>
      <x:c r="L3464" s="19" t="str">
        <x:v>Z005</x:v>
      </x:c>
      <x:c r="M3464" s="19" t="str">
        <x:v>Pre Delivery Warranty Claims</x:v>
      </x:c>
      <x:c r="N3464" s="37" t="n">
        <x:v>46068</x:v>
      </x:c>
      <x:c r="O3464" s="37"/>
      <x:c r="P3464" s="34" t="n">
        <x:v>0</x:v>
      </x:c>
      <x:c r="Q3464" s="37" t="n">
        <x:v>46112.90641203704</x:v>
      </x:c>
    </x:row>
    <x:row r="3465">
      <x:c r="A3465" s="22" t="n">
        <x:v>31164</x:v>
      </x:c>
      <x:c r="B3465" s="28" t="n">
        <x:v>593.75</x:v>
      </x:c>
      <x:c r="C3465" s="28" t="n">
        <x:v>653.13</x:v>
      </x:c>
      <x:c r="D3465" s="31" t="n">
        <x:f>IF(OR(ISBLANK(B3465),ISBLANK(C3465),B3465=0),"",(C3465-B3465)/B3465)</x:f>
        <x:v>0.10000842105263157</x:v>
      </x:c>
      <x:c r="E3465" s="22" t="str">
        <x:f>IF(ISBLANK(C3465),"AmountIncludingTax缺失",IF(ABS(B3465-C3465)&lt;0.005,"一致","不一致"))</x:f>
        <x:v>不一致</x:v>
      </x:c>
      <x:c r="F3465" s="19" t="str">
        <x:v>approved</x:v>
      </x:c>
      <x:c r="G3465" s="19" t="str">
        <x:v>Repairer Invoiced Processed</x:v>
      </x:c>
      <x:c r="H3465" s="19" t="str">
        <x:v>Pre Delivery</x:v>
      </x:c>
      <x:c r="I3465" s="37" t="n">
        <x:v>46111</x:v>
      </x:c>
      <x:c r="J3465" s="37" t="n">
        <x:v>46111</x:v>
      </x:c>
      <x:c r="K3465" s="19" t="str">
        <x:v>Green RV - Slacks Creek</x:v>
      </x:c>
      <x:c r="L3465" s="19" t="str">
        <x:v>Z005</x:v>
      </x:c>
      <x:c r="M3465" s="19" t="str">
        <x:v>Pre Delivery Warranty Claims</x:v>
      </x:c>
      <x:c r="N3465" s="37" t="n">
        <x:v>46068</x:v>
      </x:c>
      <x:c r="O3465" s="37"/>
      <x:c r="P3465" s="34" t="n">
        <x:v>653.13</x:v>
      </x:c>
      <x:c r="Q3465" s="37" t="n">
        <x:v>46110.98465277778</x:v>
      </x:c>
    </x:row>
    <x:row r="3466">
      <x:c r="A3466" s="22" t="n">
        <x:v>31163</x:v>
      </x:c>
      <x:c r="B3466" s="28" t="n">
        <x:v>1127.5</x:v>
      </x:c>
      <x:c r="C3466" s="28"/>
      <x:c r="D3466" s="31" t="str">
        <x:f>IF(OR(ISBLANK(B3466),ISBLANK(C3466),B3466=0),"",(C3466-B3466)/B3466)</x:f>
      </x:c>
      <x:c r="E3466" s="22" t="str">
        <x:f>IF(ISBLANK(C3466),"AmountIncludingTax缺失",IF(ABS(B3466-C3466)&lt;0.005,"一致","不一致"))</x:f>
        <x:v>AmountIncludingTax缺失</x:v>
      </x:c>
      <x:c r="F3466" s="19" t="str">
        <x:v>approved</x:v>
      </x:c>
      <x:c r="G3466" s="19" t="str">
        <x:v>Sales Order Approved</x:v>
      </x:c>
      <x:c r="H3466" s="19" t="str">
        <x:v>Pre Delivery</x:v>
      </x:c>
      <x:c r="I3466" s="37" t="n">
        <x:v>46177</x:v>
      </x:c>
      <x:c r="J3466" s="37" t="n">
        <x:v>46177</x:v>
      </x:c>
      <x:c r="K3466" s="19" t="str">
        <x:v>Regent RV - Townsville</x:v>
      </x:c>
      <x:c r="L3466" s="19" t="str">
        <x:v>Z005</x:v>
      </x:c>
      <x:c r="M3466" s="19" t="str">
        <x:v>Pre Delivery Warranty Claims</x:v>
      </x:c>
      <x:c r="N3466" s="37" t="n">
        <x:v>46068</x:v>
      </x:c>
      <x:c r="O3466" s="37"/>
      <x:c r="P3466" s="34" t="n">
        <x:v>0</x:v>
      </x:c>
      <x:c r="Q3466" s="37" t="n">
        <x:v>46177.11310185185</x:v>
      </x:c>
    </x:row>
    <x:row r="3467">
      <x:c r="A3467" s="22" t="n">
        <x:v>31162</x:v>
      </x:c>
      <x:c r="B3467" s="28" t="n">
        <x:v>378.9</x:v>
      </x:c>
      <x:c r="C3467" s="28" t="n">
        <x:v>343.06</x:v>
      </x:c>
      <x:c r="D3467" s="31" t="n">
        <x:f>IF(OR(ISBLANK(B3467),ISBLANK(C3467),B3467=0),"",(C3467-B3467)/B3467)</x:f>
        <x:v>-0.09458960147796246</x:v>
      </x:c>
      <x:c r="E3467" s="22" t="str">
        <x:f>IF(ISBLANK(C3467),"AmountIncludingTax缺失",IF(ABS(B3467-C3467)&lt;0.005,"一致","不一致"))</x:f>
        <x:v>不一致</x:v>
      </x:c>
      <x:c r="F3467" s="19" t="str">
        <x:v>approved</x:v>
      </x:c>
      <x:c r="G3467" s="19" t="str">
        <x:v>Repairer Invoiced Processed</x:v>
      </x:c>
      <x:c r="H3467" s="19" t="str">
        <x:v>In Field</x:v>
      </x:c>
      <x:c r="I3467" s="37" t="n">
        <x:v>46069</x:v>
      </x:c>
      <x:c r="J3467" s="37" t="n">
        <x:v>46069</x:v>
      </x:c>
      <x:c r="K3467" s="19" t="str">
        <x:v>Vanari Caravans - Marden Point</x:v>
      </x:c>
      <x:c r="L3467" s="19" t="str">
        <x:v>Z006</x:v>
      </x:c>
      <x:c r="M3467" s="19" t="str">
        <x:v>In Field Warranty Claims</x:v>
      </x:c>
      <x:c r="N3467" s="37" t="n">
        <x:v>46068</x:v>
      </x:c>
      <x:c r="O3467" s="37"/>
      <x:c r="P3467" s="34" t="n">
        <x:v>343.06</x:v>
      </x:c>
      <x:c r="Q3467" s="37" t="n">
        <x:v>46069.02673611111</x:v>
      </x:c>
    </x:row>
    <x:row r="3468">
      <x:c r="A3468" s="22" t="n">
        <x:v>31160</x:v>
      </x:c>
      <x:c r="B3468" s="28" t="n">
        <x:v>67.5</x:v>
      </x:c>
      <x:c r="C3468" s="28"/>
      <x:c r="D3468" s="31" t="str">
        <x:f>IF(OR(ISBLANK(B3468),ISBLANK(C3468),B3468=0),"",(C3468-B3468)/B3468)</x:f>
      </x:c>
      <x:c r="E3468" s="22" t="str">
        <x:f>IF(ISBLANK(C3468),"AmountIncludingTax缺失",IF(ABS(B3468-C3468)&lt;0.005,"一致","不一致"))</x:f>
        <x:v>AmountIncludingTax缺失</x:v>
      </x:c>
      <x:c r="F3468" s="19" t="str">
        <x:v>approved</x:v>
      </x:c>
      <x:c r="G3468" s="19" t="str">
        <x:v>Repair in Progress</x:v>
      </x:c>
      <x:c r="H3468" s="19" t="str">
        <x:v>In Field</x:v>
      </x:c>
      <x:c r="I3468" s="37" t="n">
        <x:v>46087</x:v>
      </x:c>
      <x:c r="J3468" s="37" t="n">
        <x:v>46087</x:v>
      </x:c>
      <x:c r="K3468" s="19" t="str">
        <x:v>Regent RV - Perth</x:v>
      </x:c>
      <x:c r="L3468" s="19" t="str">
        <x:v>Z006</x:v>
      </x:c>
      <x:c r="M3468" s="19" t="str">
        <x:v>In Field Warranty Claims</x:v>
      </x:c>
      <x:c r="N3468" s="37" t="n">
        <x:v>46068</x:v>
      </x:c>
      <x:c r="O3468" s="37"/>
      <x:c r="P3468" s="34" t="n">
        <x:v>0</x:v>
      </x:c>
      <x:c r="Q3468" s="37" t="n">
        <x:v>46087.031122685185</x:v>
      </x:c>
    </x:row>
    <x:row r="3469">
      <x:c r="A3469" s="22" t="n">
        <x:v>31159</x:v>
      </x:c>
      <x:c r="B3469" s="28" t="n">
        <x:v>405</x:v>
      </x:c>
      <x:c r="C3469" s="28"/>
      <x:c r="D3469" s="31" t="str">
        <x:f>IF(OR(ISBLANK(B3469),ISBLANK(C3469),B3469=0),"",(C3469-B3469)/B3469)</x:f>
      </x:c>
      <x:c r="E3469" s="22" t="str">
        <x:f>IF(ISBLANK(C3469),"AmountIncludingTax缺失",IF(ABS(B3469-C3469)&lt;0.005,"一致","不一致"))</x:f>
        <x:v>AmountIncludingTax缺失</x:v>
      </x:c>
      <x:c r="F3469" s="19" t="str">
        <x:v>approved</x:v>
      </x:c>
      <x:c r="G3469" s="19" t="str">
        <x:v>Repair in Progress</x:v>
      </x:c>
      <x:c r="H3469" s="19" t="str">
        <x:v>In Field</x:v>
      </x:c>
      <x:c r="I3469" s="37" t="n">
        <x:v>46122</x:v>
      </x:c>
      <x:c r="J3469" s="37" t="n">
        <x:v>46122</x:v>
      </x:c>
      <x:c r="K3469" s="19" t="str">
        <x:v>Regent RV - Perth</x:v>
      </x:c>
      <x:c r="L3469" s="19" t="str">
        <x:v>Z006</x:v>
      </x:c>
      <x:c r="M3469" s="19" t="str">
        <x:v>In Field Warranty Claims</x:v>
      </x:c>
      <x:c r="N3469" s="37" t="n">
        <x:v>46068</x:v>
      </x:c>
      <x:c r="O3469" s="37"/>
      <x:c r="P3469" s="34" t="n">
        <x:v>0</x:v>
      </x:c>
      <x:c r="Q3469" s="37" t="n">
        <x:v>46122.069131944445</x:v>
      </x:c>
    </x:row>
    <x:row r="3470">
      <x:c r="A3470" s="22" t="n">
        <x:v>31158</x:v>
      </x:c>
      <x:c r="B3470" s="28" t="n">
        <x:v>987</x:v>
      </x:c>
      <x:c r="C3470" s="28"/>
      <x:c r="D3470" s="31" t="str">
        <x:f>IF(OR(ISBLANK(B3470),ISBLANK(C3470),B3470=0),"",(C3470-B3470)/B3470)</x:f>
      </x:c>
      <x:c r="E3470" s="22" t="str">
        <x:f>IF(ISBLANK(C3470),"AmountIncludingTax缺失",IF(ABS(B3470-C3470)&lt;0.005,"一致","不一致"))</x:f>
        <x:v>AmountIncludingTax缺失</x:v>
      </x:c>
      <x:c r="F3470" s="19" t="str">
        <x:v>approved</x:v>
      </x:c>
      <x:c r="G3470" s="19" t="str">
        <x:v>Repair in Progress</x:v>
      </x:c>
      <x:c r="H3470" s="19" t="str">
        <x:v>In Field</x:v>
      </x:c>
      <x:c r="I3470" s="37" t="n">
        <x:v>46093</x:v>
      </x:c>
      <x:c r="J3470" s="37" t="n">
        <x:v>46093</x:v>
      </x:c>
      <x:c r="K3470" s="19" t="str">
        <x:v>Regent RV - Perth</x:v>
      </x:c>
      <x:c r="L3470" s="19" t="str">
        <x:v>Z006</x:v>
      </x:c>
      <x:c r="M3470" s="19" t="str">
        <x:v>In Field Warranty Claims</x:v>
      </x:c>
      <x:c r="N3470" s="37" t="n">
        <x:v>46068</x:v>
      </x:c>
      <x:c r="O3470" s="37"/>
      <x:c r="P3470" s="34" t="n">
        <x:v>1085.7</x:v>
      </x:c>
      <x:c r="Q3470" s="37" t="n">
        <x:v>46093.0815162037</x:v>
      </x:c>
    </x:row>
    <x:row r="3471">
      <x:c r="A3471" s="22" t="n">
        <x:v>31156</x:v>
      </x:c>
      <x:c r="B3471" s="28" t="n">
        <x:v>440</x:v>
      </x:c>
      <x:c r="C3471" s="28" t="n">
        <x:v>484</x:v>
      </x:c>
      <x:c r="D3471" s="31" t="n">
        <x:f>IF(OR(ISBLANK(B3471),ISBLANK(C3471),B3471=0),"",(C3471-B3471)/B3471)</x:f>
        <x:v>0.1</x:v>
      </x:c>
      <x:c r="E3471" s="22" t="str">
        <x:f>IF(ISBLANK(C3471),"AmountIncludingTax缺失",IF(ABS(B3471-C3471)&lt;0.005,"一致","不一致"))</x:f>
        <x:v>不一致</x:v>
      </x:c>
      <x:c r="F3471" s="19" t="str">
        <x:v>approved</x:v>
      </x:c>
      <x:c r="G3471" s="19" t="str">
        <x:v>Repair in Progress</x:v>
      </x:c>
      <x:c r="H3471" s="19" t="str">
        <x:v>In Field</x:v>
      </x:c>
      <x:c r="I3471" s="37" t="n">
        <x:v>46112</x:v>
      </x:c>
      <x:c r="J3471" s="37" t="n">
        <x:v>46112</x:v>
      </x:c>
      <x:c r="K3471" s="19" t="str">
        <x:v>Regent RV - Perth</x:v>
      </x:c>
      <x:c r="L3471" s="19" t="str">
        <x:v>Z006</x:v>
      </x:c>
      <x:c r="M3471" s="19" t="str">
        <x:v>In Field Warranty Claims</x:v>
      </x:c>
      <x:c r="N3471" s="37" t="n">
        <x:v>46068</x:v>
      </x:c>
      <x:c r="O3471" s="37"/>
      <x:c r="P3471" s="34" t="n">
        <x:v>484</x:v>
      </x:c>
      <x:c r="Q3471" s="37" t="n">
        <x:v>46111.935381944444</x:v>
      </x:c>
    </x:row>
    <x:row r="3472">
      <x:c r="A3472" s="22" t="n">
        <x:v>31155</x:v>
      </x:c>
      <x:c r="B3472" s="28" t="n">
        <x:v>173.75</x:v>
      </x:c>
      <x:c r="C3472" s="28"/>
      <x:c r="D3472" s="31" t="str">
        <x:f>IF(OR(ISBLANK(B3472),ISBLANK(C3472),B3472=0),"",(C3472-B3472)/B3472)</x:f>
      </x:c>
      <x:c r="E3472" s="22" t="str">
        <x:f>IF(ISBLANK(C3472),"AmountIncludingTax缺失",IF(ABS(B3472-C3472)&lt;0.005,"一致","不一致"))</x:f>
        <x:v>AmountIncludingTax缺失</x:v>
      </x:c>
      <x:c r="F3472" s="19" t="str">
        <x:v>approved</x:v>
      </x:c>
      <x:c r="G3472" s="19" t="str">
        <x:v>Repairer Invoiced Processed</x:v>
      </x:c>
      <x:c r="H3472" s="19" t="str">
        <x:v>In Field</x:v>
      </x:c>
      <x:c r="I3472" s="37" t="n">
        <x:v>46086</x:v>
      </x:c>
      <x:c r="J3472" s="37" t="n">
        <x:v>46086</x:v>
      </x:c>
      <x:c r="K3472" s="19" t="str">
        <x:v>Not Assigned</x:v>
      </x:c>
      <x:c r="L3472" s="19" t="str">
        <x:v>Z006</x:v>
      </x:c>
      <x:c r="M3472" s="19" t="str">
        <x:v>In Field Warranty Claims</x:v>
      </x:c>
      <x:c r="N3472" s="37" t="n">
        <x:v>46068</x:v>
      </x:c>
      <x:c r="O3472" s="37"/>
      <x:c r="P3472" s="34" t="n">
        <x:v>0</x:v>
      </x:c>
      <x:c r="Q3472" s="37" t="n">
        <x:v>46085.90325231481</x:v>
      </x:c>
    </x:row>
    <x:row r="3473">
      <x:c r="A3473" s="22" t="n">
        <x:v>31154</x:v>
      </x:c>
      <x:c r="B3473" s="28" t="n">
        <x:v>695</x:v>
      </x:c>
      <x:c r="C3473" s="28"/>
      <x:c r="D3473" s="31" t="str">
        <x:f>IF(OR(ISBLANK(B3473),ISBLANK(C3473),B3473=0),"",(C3473-B3473)/B3473)</x:f>
      </x:c>
      <x:c r="E3473" s="22" t="str">
        <x:f>IF(ISBLANK(C3473),"AmountIncludingTax缺失",IF(ABS(B3473-C3473)&lt;0.005,"一致","不一致"))</x:f>
        <x:v>AmountIncludingTax缺失</x:v>
      </x:c>
      <x:c r="F3473" s="19" t="str">
        <x:v>approved</x:v>
      </x:c>
      <x:c r="G3473" s="19" t="str">
        <x:v>Repair in Progress</x:v>
      </x:c>
      <x:c r="H3473" s="19" t="str">
        <x:v>In Field</x:v>
      </x:c>
      <x:c r="I3473" s="37" t="n">
        <x:v>46133</x:v>
      </x:c>
      <x:c r="J3473" s="37" t="n">
        <x:v>46133</x:v>
      </x:c>
      <x:c r="K3473" s="19" t="str">
        <x:v>Regent RV Pty Ltd</x:v>
      </x:c>
      <x:c r="L3473" s="19" t="str">
        <x:v>Z006</x:v>
      </x:c>
      <x:c r="M3473" s="19" t="str">
        <x:v>In Field Warranty Claims</x:v>
      </x:c>
      <x:c r="N3473" s="37" t="n">
        <x:v>46068</x:v>
      </x:c>
      <x:c r="O3473" s="37"/>
      <x:c r="P3473" s="34" t="n">
        <x:v>0</x:v>
      </x:c>
      <x:c r="Q3473" s="37" t="n">
        <x:v>46133.00769675926</x:v>
      </x:c>
    </x:row>
    <x:row r="3474">
      <x:c r="A3474" s="22" t="n">
        <x:v>31144</x:v>
      </x:c>
      <x:c r="B3474" s="28" t="n">
        <x:v>1478.25</x:v>
      </x:c>
      <x:c r="C3474" s="28"/>
      <x:c r="D3474" s="31" t="str">
        <x:f>IF(OR(ISBLANK(B3474),ISBLANK(C3474),B3474=0),"",(C3474-B3474)/B3474)</x:f>
      </x:c>
      <x:c r="E3474" s="22" t="str">
        <x:f>IF(ISBLANK(C3474),"AmountIncludingTax缺失",IF(ABS(B3474-C3474)&lt;0.005,"一致","不一致"))</x:f>
        <x:v>AmountIncludingTax缺失</x:v>
      </x:c>
      <x:c r="F3474" s="19" t="str">
        <x:v>approved</x:v>
      </x:c>
      <x:c r="G3474" s="19" t="str">
        <x:v>Sales Order Approved</x:v>
      </x:c>
      <x:c r="H3474" s="19" t="str">
        <x:v>In Field</x:v>
      </x:c>
      <x:c r="I3474" s="37" t="n">
        <x:v>46209</x:v>
      </x:c>
      <x:c r="J3474" s="37" t="n">
        <x:v>46209</x:v>
      </x:c>
      <x:c r="K3474" s="19" t="str">
        <x:v>Not Assigned</x:v>
      </x:c>
      <x:c r="L3474" s="19" t="str">
        <x:v>Z006</x:v>
      </x:c>
      <x:c r="M3474" s="19" t="str">
        <x:v>In Field Warranty Claims</x:v>
      </x:c>
      <x:c r="N3474" s="37" t="n">
        <x:v>46067</x:v>
      </x:c>
      <x:c r="O3474" s="37"/>
      <x:c r="P3474" s="34" t="n">
        <x:v>0</x:v>
      </x:c>
      <x:c r="Q3474" s="37" t="n">
        <x:v>46209.25912037037</x:v>
      </x:c>
    </x:row>
    <x:row r="3475">
      <x:c r="A3475" s="22" t="n">
        <x:v>31143</x:v>
      </x:c>
      <x:c r="B3475" s="28" t="n">
        <x:v>275</x:v>
      </x:c>
      <x:c r="C3475" s="28"/>
      <x:c r="D3475" s="31" t="str">
        <x:f>IF(OR(ISBLANK(B3475),ISBLANK(C3475),B3475=0),"",(C3475-B3475)/B3475)</x:f>
      </x:c>
      <x:c r="E3475" s="22" t="str">
        <x:f>IF(ISBLANK(C3475),"AmountIncludingTax缺失",IF(ABS(B3475-C3475)&lt;0.005,"一致","不一致"))</x:f>
        <x:v>AmountIncludingTax缺失</x:v>
      </x:c>
      <x:c r="F3475" s="19" t="str">
        <x:v>approved</x:v>
      </x:c>
      <x:c r="G3475" s="19" t="str">
        <x:v>Repair in Progress</x:v>
      </x:c>
      <x:c r="H3475" s="19" t="str">
        <x:v>In Field</x:v>
      </x:c>
      <x:c r="I3475" s="37" t="n">
        <x:v>46076</x:v>
      </x:c>
      <x:c r="J3475" s="37" t="n">
        <x:v>46076</x:v>
      </x:c>
      <x:c r="K3475" s="19" t="str">
        <x:v>Regent RV - Perth</x:v>
      </x:c>
      <x:c r="L3475" s="19" t="str">
        <x:v>Z006</x:v>
      </x:c>
      <x:c r="M3475" s="19" t="str">
        <x:v>In Field Warranty Claims</x:v>
      </x:c>
      <x:c r="N3475" s="37" t="n">
        <x:v>46067</x:v>
      </x:c>
      <x:c r="O3475" s="37"/>
      <x:c r="P3475" s="34" t="n">
        <x:v>0</x:v>
      </x:c>
      <x:c r="Q3475" s="37" t="n">
        <x:v>46075.923622685186</x:v>
      </x:c>
    </x:row>
    <x:row r="3476">
      <x:c r="A3476" s="22" t="n">
        <x:v>31141</x:v>
      </x:c>
      <x:c r="B3476" s="28" t="n">
        <x:v>825</x:v>
      </x:c>
      <x:c r="C3476" s="28"/>
      <x:c r="D3476" s="31" t="str">
        <x:f>IF(OR(ISBLANK(B3476),ISBLANK(C3476),B3476=0),"",(C3476-B3476)/B3476)</x:f>
      </x:c>
      <x:c r="E3476" s="22" t="str">
        <x:f>IF(ISBLANK(C3476),"AmountIncludingTax缺失",IF(ABS(B3476-C3476)&lt;0.005,"一致","不一致"))</x:f>
        <x:v>AmountIncludingTax缺失</x:v>
      </x:c>
      <x:c r="F3476" s="19" t="str">
        <x:v>approved</x:v>
      </x:c>
      <x:c r="G3476" s="19" t="str">
        <x:v>Repairer Invoiced Processed</x:v>
      </x:c>
      <x:c r="H3476" s="19" t="str">
        <x:v>In Field</x:v>
      </x:c>
      <x:c r="I3476" s="37" t="n">
        <x:v>46130</x:v>
      </x:c>
      <x:c r="J3476" s="37" t="n">
        <x:v>46130</x:v>
      </x:c>
      <x:c r="K3476" s="19" t="str">
        <x:v>Not Assigned</x:v>
      </x:c>
      <x:c r="L3476" s="19" t="str">
        <x:v>Z006</x:v>
      </x:c>
      <x:c r="M3476" s="19" t="str">
        <x:v>In Field Warranty Claims</x:v>
      </x:c>
      <x:c r="N3476" s="37" t="n">
        <x:v>46066</x:v>
      </x:c>
      <x:c r="O3476" s="37"/>
      <x:c r="P3476" s="34" t="n">
        <x:v>0</x:v>
      </x:c>
      <x:c r="Q3476" s="37" t="n">
        <x:v>46130.11777777778</x:v>
      </x:c>
    </x:row>
    <x:row r="3477">
      <x:c r="A3477" s="22" t="n">
        <x:v>31138</x:v>
      </x:c>
      <x:c r="B3477" s="28" t="n">
        <x:v>271.82</x:v>
      </x:c>
      <x:c r="C3477" s="28" t="n">
        <x:v>299</x:v>
      </x:c>
      <x:c r="D3477" s="31" t="n">
        <x:f>IF(OR(ISBLANK(B3477),ISBLANK(C3477),B3477=0),"",(C3477-B3477)/B3477)</x:f>
        <x:v>0.09999264218968437</x:v>
      </x:c>
      <x:c r="E3477" s="22" t="str">
        <x:f>IF(ISBLANK(C3477),"AmountIncludingTax缺失",IF(ABS(B3477-C3477)&lt;0.005,"一致","不一致"))</x:f>
        <x:v>不一致</x:v>
      </x:c>
      <x:c r="F3477" s="19" t="str">
        <x:v>approved</x:v>
      </x:c>
      <x:c r="G3477" s="19" t="str">
        <x:v>Repair in Progress</x:v>
      </x:c>
      <x:c r="H3477" s="19" t="str">
        <x:v>In Field</x:v>
      </x:c>
      <x:c r="I3477" s="37" t="n">
        <x:v>46167</x:v>
      </x:c>
      <x:c r="J3477" s="37" t="n">
        <x:v>46167</x:v>
      </x:c>
      <x:c r="K3477" s="19" t="str">
        <x:v>Regent RV Pty Ltd</x:v>
      </x:c>
      <x:c r="L3477" s="19" t="str">
        <x:v>Z006</x:v>
      </x:c>
      <x:c r="M3477" s="19" t="str">
        <x:v>In Field Warranty Claims</x:v>
      </x:c>
      <x:c r="N3477" s="37" t="n">
        <x:v>46067</x:v>
      </x:c>
      <x:c r="O3477" s="37"/>
      <x:c r="P3477" s="34" t="n">
        <x:v>299</x:v>
      </x:c>
      <x:c r="Q3477" s="37" t="n">
        <x:v>46167.20949074074</x:v>
      </x:c>
    </x:row>
    <x:row r="3478">
      <x:c r="A3478" s="22" t="n">
        <x:v>31137</x:v>
      </x:c>
      <x:c r="B3478" s="28" t="n">
        <x:v>1088</x:v>
      </x:c>
      <x:c r="C3478" s="28"/>
      <x:c r="D3478" s="31" t="str">
        <x:f>IF(OR(ISBLANK(B3478),ISBLANK(C3478),B3478=0),"",(C3478-B3478)/B3478)</x:f>
      </x:c>
      <x:c r="E3478" s="22" t="str">
        <x:f>IF(ISBLANK(C3478),"AmountIncludingTax缺失",IF(ABS(B3478-C3478)&lt;0.005,"一致","不一致"))</x:f>
        <x:v>AmountIncludingTax缺失</x:v>
      </x:c>
      <x:c r="F3478" s="19" t="str">
        <x:v>approved</x:v>
      </x:c>
      <x:c r="G3478" s="19" t="str">
        <x:v>Repairer Invoiced Processed</x:v>
      </x:c>
      <x:c r="H3478" s="19" t="str">
        <x:v>In Field</x:v>
      </x:c>
      <x:c r="I3478" s="37" t="n">
        <x:v>46091</x:v>
      </x:c>
      <x:c r="J3478" s="37" t="n">
        <x:v>46091</x:v>
      </x:c>
      <x:c r="K3478" s="19" t="str">
        <x:v>Green RV - Forest Glen</x:v>
      </x:c>
      <x:c r="L3478" s="19" t="str">
        <x:v>Z006</x:v>
      </x:c>
      <x:c r="M3478" s="19" t="str">
        <x:v>In Field Warranty Claims</x:v>
      </x:c>
      <x:c r="N3478" s="37" t="n">
        <x:v>46067</x:v>
      </x:c>
      <x:c r="O3478" s="37"/>
      <x:c r="P3478" s="34" t="n">
        <x:v>0</x:v>
      </x:c>
      <x:c r="Q3478" s="37" t="n">
        <x:v>46090.974710648145</x:v>
      </x:c>
    </x:row>
    <x:row r="3479">
      <x:c r="A3479" s="22" t="n">
        <x:v>31135</x:v>
      </x:c>
      <x:c r="B3479" s="28" t="n">
        <x:v>335</x:v>
      </x:c>
      <x:c r="C3479" s="28" t="n">
        <x:v>368.5</x:v>
      </x:c>
      <x:c r="D3479" s="31" t="n">
        <x:f>IF(OR(ISBLANK(B3479),ISBLANK(C3479),B3479=0),"",(C3479-B3479)/B3479)</x:f>
        <x:v>0.1</x:v>
      </x:c>
      <x:c r="E3479" s="22" t="str">
        <x:f>IF(ISBLANK(C3479),"AmountIncludingTax缺失",IF(ABS(B3479-C3479)&lt;0.005,"一致","不一致"))</x:f>
        <x:v>不一致</x:v>
      </x:c>
      <x:c r="F3479" s="19" t="str">
        <x:v>approved</x:v>
      </x:c>
      <x:c r="G3479" s="19" t="str">
        <x:v>Repairer Invoiced Processed</x:v>
      </x:c>
      <x:c r="H3479" s="19" t="str">
        <x:v>In Field</x:v>
      </x:c>
      <x:c r="I3479" s="37" t="n">
        <x:v>46125</x:v>
      </x:c>
      <x:c r="J3479" s="37" t="n">
        <x:v>46125</x:v>
      </x:c>
      <x:c r="K3479" s="19" t="str">
        <x:v>Regent RV - Perth</x:v>
      </x:c>
      <x:c r="L3479" s="19" t="str">
        <x:v>Z006</x:v>
      </x:c>
      <x:c r="M3479" s="19" t="str">
        <x:v>In Field Warranty Claims</x:v>
      </x:c>
      <x:c r="N3479" s="37" t="n">
        <x:v>46067</x:v>
      </x:c>
      <x:c r="O3479" s="37"/>
      <x:c r="P3479" s="34" t="n">
        <x:v>368.5</x:v>
      </x:c>
      <x:c r="Q3479" s="37" t="n">
        <x:v>46124.99533564815</x:v>
      </x:c>
    </x:row>
    <x:row r="3480">
      <x:c r="A3480" s="22" t="n">
        <x:v>31134</x:v>
      </x:c>
      <x:c r="B3480" s="28" t="n">
        <x:v>20</x:v>
      </x:c>
      <x:c r="C3480" s="28" t="n">
        <x:v>18.11</x:v>
      </x:c>
      <x:c r="D3480" s="31" t="n">
        <x:f>IF(OR(ISBLANK(B3480),ISBLANK(C3480),B3480=0),"",(C3480-B3480)/B3480)</x:f>
        <x:v>-0.09450000000000003</x:v>
      </x:c>
      <x:c r="E3480" s="22" t="str">
        <x:f>IF(ISBLANK(C3480),"AmountIncludingTax缺失",IF(ABS(B3480-C3480)&lt;0.005,"一致","不一致"))</x:f>
        <x:v>不一致</x:v>
      </x:c>
      <x:c r="F3480" s="19" t="str">
        <x:v>approved</x:v>
      </x:c>
      <x:c r="G3480" s="19" t="str">
        <x:v>Repairer Invoiced Processed</x:v>
      </x:c>
      <x:c r="H3480" s="19" t="str">
        <x:v>In Field</x:v>
      </x:c>
      <x:c r="I3480" s="37" t="n">
        <x:v>46069</x:v>
      </x:c>
      <x:c r="J3480" s="37" t="n">
        <x:v>46069</x:v>
      </x:c>
      <x:c r="K3480" s="19" t="str">
        <x:v>Vanari Caravans - Christchurch</x:v>
      </x:c>
      <x:c r="L3480" s="19" t="str">
        <x:v>Z006</x:v>
      </x:c>
      <x:c r="M3480" s="19" t="str">
        <x:v>In Field Warranty Claims</x:v>
      </x:c>
      <x:c r="N3480" s="37" t="n">
        <x:v>46066</x:v>
      </x:c>
      <x:c r="O3480" s="37"/>
      <x:c r="P3480" s="34" t="n">
        <x:v>18.11</x:v>
      </x:c>
      <x:c r="Q3480" s="37" t="n">
        <x:v>46069.00199074074</x:v>
      </x:c>
    </x:row>
    <x:row r="3481">
      <x:c r="A3481" s="22" t="n">
        <x:v>31132</x:v>
      </x:c>
      <x:c r="B3481" s="28" t="n">
        <x:v>431.82</x:v>
      </x:c>
      <x:c r="C3481" s="28" t="n">
        <x:v>475</x:v>
      </x:c>
      <x:c r="D3481" s="31" t="n">
        <x:f>IF(OR(ISBLANK(B3481),ISBLANK(C3481),B3481=0),"",(C3481-B3481)/B3481)</x:f>
        <x:v>0.09999536844055396</x:v>
      </x:c>
      <x:c r="E3481" s="22" t="str">
        <x:f>IF(ISBLANK(C3481),"AmountIncludingTax缺失",IF(ABS(B3481-C3481)&lt;0.005,"一致","不一致"))</x:f>
        <x:v>不一致</x:v>
      </x:c>
      <x:c r="F3481" s="19" t="str">
        <x:v>approved</x:v>
      </x:c>
      <x:c r="G3481" s="19" t="str">
        <x:v>Repairer Invoiced Processed</x:v>
      </x:c>
      <x:c r="H3481" s="19" t="str">
        <x:v>In Field</x:v>
      </x:c>
      <x:c r="I3481" s="37" t="n">
        <x:v>46178</x:v>
      </x:c>
      <x:c r="J3481" s="37" t="n">
        <x:v>46178</x:v>
      </x:c>
      <x:c r="K3481" s="19" t="str">
        <x:v>Regent RV - Perth</x:v>
      </x:c>
      <x:c r="L3481" s="19" t="str">
        <x:v>Z006</x:v>
      </x:c>
      <x:c r="M3481" s="19" t="str">
        <x:v>In Field Warranty Claims</x:v>
      </x:c>
      <x:c r="N3481" s="37" t="n">
        <x:v>46066</x:v>
      </x:c>
      <x:c r="O3481" s="37"/>
      <x:c r="P3481" s="34" t="n">
        <x:v>475</x:v>
      </x:c>
      <x:c r="Q3481" s="37" t="n">
        <x:v>46178.09459490741</x:v>
      </x:c>
    </x:row>
    <x:row r="3482">
      <x:c r="A3482" s="22" t="n">
        <x:v>31131</x:v>
      </x:c>
      <x:c r="B3482" s="28" t="n">
        <x:v>67.5</x:v>
      </x:c>
      <x:c r="C3482" s="28"/>
      <x:c r="D3482" s="31" t="str">
        <x:f>IF(OR(ISBLANK(B3482),ISBLANK(C3482),B3482=0),"",(C3482-B3482)/B3482)</x:f>
      </x:c>
      <x:c r="E3482" s="22" t="str">
        <x:f>IF(ISBLANK(C3482),"AmountIncludingTax缺失",IF(ABS(B3482-C3482)&lt;0.005,"一致","不一致"))</x:f>
        <x:v>AmountIncludingTax缺失</x:v>
      </x:c>
      <x:c r="F3482" s="19" t="str">
        <x:v>approved</x:v>
      </x:c>
      <x:c r="G3482" s="19" t="str">
        <x:v>Repairer Invoiced Processed</x:v>
      </x:c>
      <x:c r="H3482" s="19" t="str">
        <x:v>In Field</x:v>
      </x:c>
      <x:c r="I3482" s="37" t="n">
        <x:v>46104</x:v>
      </x:c>
      <x:c r="J3482" s="37" t="n">
        <x:v>46104</x:v>
      </x:c>
      <x:c r="K3482" s="19" t="str">
        <x:v>Destiny RV - South Australia</x:v>
      </x:c>
      <x:c r="L3482" s="19" t="str">
        <x:v>Z006</x:v>
      </x:c>
      <x:c r="M3482" s="19" t="str">
        <x:v>In Field Warranty Claims</x:v>
      </x:c>
      <x:c r="N3482" s="37" t="n">
        <x:v>46066</x:v>
      </x:c>
      <x:c r="O3482" s="37"/>
      <x:c r="P3482" s="34" t="n">
        <x:v>0</x:v>
      </x:c>
      <x:c r="Q3482" s="37" t="n">
        <x:v>46103.90042824074</x:v>
      </x:c>
    </x:row>
    <x:row r="3483">
      <x:c r="A3483" s="22" t="n">
        <x:v>31129</x:v>
      </x:c>
      <x:c r="B3483" s="28" t="n">
        <x:v>830</x:v>
      </x:c>
      <x:c r="C3483" s="28"/>
      <x:c r="D3483" s="31" t="str">
        <x:f>IF(OR(ISBLANK(B3483),ISBLANK(C3483),B3483=0),"",(C3483-B3483)/B3483)</x:f>
      </x:c>
      <x:c r="E3483" s="22" t="str">
        <x:f>IF(ISBLANK(C3483),"AmountIncludingTax缺失",IF(ABS(B3483-C3483)&lt;0.005,"一致","不一致"))</x:f>
        <x:v>AmountIncludingTax缺失</x:v>
      </x:c>
      <x:c r="F3483" s="19" t="str">
        <x:v>approved</x:v>
      </x:c>
      <x:c r="G3483" s="19" t="str">
        <x:v>Repair in Progress</x:v>
      </x:c>
      <x:c r="H3483" s="19" t="str">
        <x:v>In Field</x:v>
      </x:c>
      <x:c r="I3483" s="37" t="n">
        <x:v>46087</x:v>
      </x:c>
      <x:c r="J3483" s="37" t="n">
        <x:v>46087</x:v>
      </x:c>
      <x:c r="K3483" s="19" t="str">
        <x:v>Dario Caravans -St.Marys</x:v>
      </x:c>
      <x:c r="L3483" s="19" t="str">
        <x:v>Z006</x:v>
      </x:c>
      <x:c r="M3483" s="19" t="str">
        <x:v>In Field Warranty Claims</x:v>
      </x:c>
      <x:c r="N3483" s="37" t="n">
        <x:v>46066</x:v>
      </x:c>
      <x:c r="O3483" s="37"/>
      <x:c r="P3483" s="34" t="n">
        <x:v>0</x:v>
      </x:c>
      <x:c r="Q3483" s="37" t="n">
        <x:v>46087.423472222225</x:v>
      </x:c>
    </x:row>
    <x:row r="3484">
      <x:c r="A3484" s="22" t="n">
        <x:v>31123</x:v>
      </x:c>
      <x:c r="B3484" s="28" t="n">
        <x:v>1267.05</x:v>
      </x:c>
      <x:c r="C3484" s="28"/>
      <x:c r="D3484" s="31" t="str">
        <x:f>IF(OR(ISBLANK(B3484),ISBLANK(C3484),B3484=0),"",(C3484-B3484)/B3484)</x:f>
      </x:c>
      <x:c r="E3484" s="22" t="str">
        <x:f>IF(ISBLANK(C3484),"AmountIncludingTax缺失",IF(ABS(B3484-C3484)&lt;0.005,"一致","不一致"))</x:f>
        <x:v>AmountIncludingTax缺失</x:v>
      </x:c>
      <x:c r="F3484" s="19" t="str">
        <x:v>approved</x:v>
      </x:c>
      <x:c r="G3484" s="19" t="str">
        <x:v>Repairer Invoiced Processed</x:v>
      </x:c>
      <x:c r="H3484" s="19" t="str">
        <x:v>In Field</x:v>
      </x:c>
      <x:c r="I3484" s="37" t="n">
        <x:v>46093</x:v>
      </x:c>
      <x:c r="J3484" s="37" t="n">
        <x:v>46093</x:v>
      </x:c>
      <x:c r="K3484" s="19" t="str">
        <x:v>Not Assigned</x:v>
      </x:c>
      <x:c r="L3484" s="19" t="str">
        <x:v>Z006</x:v>
      </x:c>
      <x:c r="M3484" s="19" t="str">
        <x:v>In Field Warranty Claims</x:v>
      </x:c>
      <x:c r="N3484" s="37" t="n">
        <x:v>46066</x:v>
      </x:c>
      <x:c r="O3484" s="37"/>
      <x:c r="P3484" s="34" t="n">
        <x:v>1393.76</x:v>
      </x:c>
      <x:c r="Q3484" s="37" t="n">
        <x:v>46092.951203703706</x:v>
      </x:c>
    </x:row>
    <x:row r="3485">
      <x:c r="A3485" s="22" t="n">
        <x:v>31122</x:v>
      </x:c>
      <x:c r="B3485" s="28" t="n">
        <x:v>540</x:v>
      </x:c>
      <x:c r="C3485" s="28"/>
      <x:c r="D3485" s="31" t="str">
        <x:f>IF(OR(ISBLANK(B3485),ISBLANK(C3485),B3485=0),"",(C3485-B3485)/B3485)</x:f>
      </x:c>
      <x:c r="E3485" s="22" t="str">
        <x:f>IF(ISBLANK(C3485),"AmountIncludingTax缺失",IF(ABS(B3485-C3485)&lt;0.005,"一致","不一致"))</x:f>
        <x:v>AmountIncludingTax缺失</x:v>
      </x:c>
      <x:c r="F3485" s="19" t="str">
        <x:v>approved</x:v>
      </x:c>
      <x:c r="G3485" s="19" t="str">
        <x:v>Repairer Invoiced Processed</x:v>
      </x:c>
      <x:c r="H3485" s="19" t="str">
        <x:v>In Field</x:v>
      </x:c>
      <x:c r="I3485" s="37" t="n">
        <x:v>46104</x:v>
      </x:c>
      <x:c r="J3485" s="37" t="n">
        <x:v>46104</x:v>
      </x:c>
      <x:c r="K3485" s="19" t="str">
        <x:v>Dario Caravans -St.Marys</x:v>
      </x:c>
      <x:c r="L3485" s="19" t="str">
        <x:v>Z006</x:v>
      </x:c>
      <x:c r="M3485" s="19" t="str">
        <x:v>In Field Warranty Claims</x:v>
      </x:c>
      <x:c r="N3485" s="37" t="n">
        <x:v>46066</x:v>
      </x:c>
      <x:c r="O3485" s="37"/>
      <x:c r="P3485" s="34" t="n">
        <x:v>0</x:v>
      </x:c>
      <x:c r="Q3485" s="37" t="n">
        <x:v>46104.14969907407</x:v>
      </x:c>
    </x:row>
    <x:row r="3486">
      <x:c r="A3486" s="22" t="n">
        <x:v>31119</x:v>
      </x:c>
      <x:c r="B3486" s="28" t="n">
        <x:v>67.5</x:v>
      </x:c>
      <x:c r="C3486" s="28" t="n">
        <x:v>74.25</x:v>
      </x:c>
      <x:c r="D3486" s="31" t="n">
        <x:f>IF(OR(ISBLANK(B3486),ISBLANK(C3486),B3486=0),"",(C3486-B3486)/B3486)</x:f>
        <x:v>0.1</x:v>
      </x:c>
      <x:c r="E3486" s="22" t="str">
        <x:f>IF(ISBLANK(C3486),"AmountIncludingTax缺失",IF(ABS(B3486-C3486)&lt;0.005,"一致","不一致"))</x:f>
        <x:v>不一致</x:v>
      </x:c>
      <x:c r="F3486" s="19" t="str">
        <x:v>approved</x:v>
      </x:c>
      <x:c r="G3486" s="19" t="str">
        <x:v>Repairer Invoiced Processed</x:v>
      </x:c>
      <x:c r="H3486" s="19" t="str">
        <x:v>In Field</x:v>
      </x:c>
      <x:c r="I3486" s="37" t="n">
        <x:v>46135</x:v>
      </x:c>
      <x:c r="J3486" s="37" t="n">
        <x:v>46135</x:v>
      </x:c>
      <x:c r="K3486" s="19" t="str">
        <x:v>Destiny RV - South Australia</x:v>
      </x:c>
      <x:c r="L3486" s="19" t="str">
        <x:v>Z006</x:v>
      </x:c>
      <x:c r="M3486" s="19" t="str">
        <x:v>In Field Warranty Claims</x:v>
      </x:c>
      <x:c r="N3486" s="37" t="n">
        <x:v>46066</x:v>
      </x:c>
      <x:c r="O3486" s="37" t="n">
        <x:v>46127</x:v>
      </x:c>
      <x:c r="P3486" s="34" t="n">
        <x:v>74.25</x:v>
      </x:c>
      <x:c r="Q3486" s="37" t="n">
        <x:v>46135.13366898148</x:v>
      </x:c>
    </x:row>
    <x:row r="3487">
      <x:c r="A3487" s="22" t="n">
        <x:v>31118</x:v>
      </x:c>
      <x:c r="B3487" s="28" t="n">
        <x:v>7046.75</x:v>
      </x:c>
      <x:c r="C3487" s="28"/>
      <x:c r="D3487" s="31" t="str">
        <x:f>IF(OR(ISBLANK(B3487),ISBLANK(C3487),B3487=0),"",(C3487-B3487)/B3487)</x:f>
      </x:c>
      <x:c r="E3487" s="22" t="str">
        <x:f>IF(ISBLANK(C3487),"AmountIncludingTax缺失",IF(ABS(B3487-C3487)&lt;0.005,"一致","不一致"))</x:f>
        <x:v>AmountIncludingTax缺失</x:v>
      </x:c>
      <x:c r="F3487" s="19" t="str">
        <x:v>approved</x:v>
      </x:c>
      <x:c r="G3487" s="19" t="str">
        <x:v>Repairer Invoiced Processed</x:v>
      </x:c>
      <x:c r="H3487" s="19" t="str">
        <x:v>In Field</x:v>
      </x:c>
      <x:c r="I3487" s="37" t="n">
        <x:v>46127</x:v>
      </x:c>
      <x:c r="J3487" s="37" t="n">
        <x:v>46091</x:v>
      </x:c>
      <x:c r="K3487" s="19" t="str">
        <x:v>Green RV - Forest Glen</x:v>
      </x:c>
      <x:c r="L3487" s="19" t="str">
        <x:v>Z006</x:v>
      </x:c>
      <x:c r="M3487" s="19" t="str">
        <x:v>In Field Warranty Claims</x:v>
      </x:c>
      <x:c r="N3487" s="37" t="n">
        <x:v>46066</x:v>
      </x:c>
      <x:c r="O3487" s="37"/>
      <x:c r="P3487" s="34" t="n">
        <x:v>0</x:v>
      </x:c>
      <x:c r="Q3487" s="37" t="n">
        <x:v>46126.94600694445</x:v>
      </x:c>
    </x:row>
    <x:row r="3488">
      <x:c r="A3488" s="22" t="n">
        <x:v>31116</x:v>
      </x:c>
      <x:c r="B3488" s="28" t="n">
        <x:v>715</x:v>
      </x:c>
      <x:c r="C3488" s="28"/>
      <x:c r="D3488" s="31" t="str">
        <x:f>IF(OR(ISBLANK(B3488),ISBLANK(C3488),B3488=0),"",(C3488-B3488)/B3488)</x:f>
      </x:c>
      <x:c r="E3488" s="22" t="str">
        <x:f>IF(ISBLANK(C3488),"AmountIncludingTax缺失",IF(ABS(B3488-C3488)&lt;0.005,"一致","不一致"))</x:f>
        <x:v>AmountIncludingTax缺失</x:v>
      </x:c>
      <x:c r="F3488" s="19" t="str">
        <x:v>approved</x:v>
      </x:c>
      <x:c r="G3488" s="19" t="str">
        <x:v>Repairer Invoiced Processed</x:v>
      </x:c>
      <x:c r="H3488" s="19" t="str">
        <x:v>In Field</x:v>
      </x:c>
      <x:c r="I3488" s="37" t="n">
        <x:v>46203</x:v>
      </x:c>
      <x:c r="J3488" s="37" t="n">
        <x:v>46100</x:v>
      </x:c>
      <x:c r="K3488" s="19" t="str">
        <x:v>Not Assigned</x:v>
      </x:c>
      <x:c r="L3488" s="19" t="str">
        <x:v>Z006</x:v>
      </x:c>
      <x:c r="M3488" s="19" t="str">
        <x:v>In Field Warranty Claims</x:v>
      </x:c>
      <x:c r="N3488" s="37" t="n">
        <x:v>46066</x:v>
      </x:c>
      <x:c r="O3488" s="37"/>
      <x:c r="P3488" s="34" t="n">
        <x:v>0</x:v>
      </x:c>
      <x:c r="Q3488" s="37" t="n">
        <x:v>46203.0490625</x:v>
      </x:c>
    </x:row>
    <x:row r="3489">
      <x:c r="A3489" s="22" t="n">
        <x:v>31114</x:v>
      </x:c>
      <x:c r="B3489" s="28" t="n">
        <x:v>253.75</x:v>
      </x:c>
      <x:c r="C3489" s="28"/>
      <x:c r="D3489" s="31" t="str">
        <x:f>IF(OR(ISBLANK(B3489),ISBLANK(C3489),B3489=0),"",(C3489-B3489)/B3489)</x:f>
      </x:c>
      <x:c r="E3489" s="22" t="str">
        <x:f>IF(ISBLANK(C3489),"AmountIncludingTax缺失",IF(ABS(B3489-C3489)&lt;0.005,"一致","不一致"))</x:f>
        <x:v>AmountIncludingTax缺失</x:v>
      </x:c>
      <x:c r="F3489" s="19" t="str">
        <x:v>approved</x:v>
      </x:c>
      <x:c r="G3489" s="19" t="str">
        <x:v>Partially Picked</x:v>
      </x:c>
      <x:c r="H3489" s="19" t="str">
        <x:v>In Field</x:v>
      </x:c>
      <x:c r="I3489" s="37" t="n">
        <x:v>46157</x:v>
      </x:c>
      <x:c r="J3489" s="37" t="n">
        <x:v>46157</x:v>
      </x:c>
      <x:c r="K3489" s="19" t="str">
        <x:v>The Caravan Hub - Townsville</x:v>
      </x:c>
      <x:c r="L3489" s="19" t="str">
        <x:v>Z006</x:v>
      </x:c>
      <x:c r="M3489" s="19" t="str">
        <x:v>In Field Warranty Claims</x:v>
      </x:c>
      <x:c r="N3489" s="37" t="n">
        <x:v>46066</x:v>
      </x:c>
      <x:c r="O3489" s="37"/>
      <x:c r="P3489" s="34" t="n">
        <x:v>0</x:v>
      </x:c>
      <x:c r="Q3489" s="37" t="n">
        <x:v>46157.11885416666</x:v>
      </x:c>
    </x:row>
    <x:row r="3490">
      <x:c r="A3490" s="22" t="n">
        <x:v>31113</x:v>
      </x:c>
      <x:c r="B3490" s="28" t="n">
        <x:v>405</x:v>
      </x:c>
      <x:c r="C3490" s="28"/>
      <x:c r="D3490" s="31" t="str">
        <x:f>IF(OR(ISBLANK(B3490),ISBLANK(C3490),B3490=0),"",(C3490-B3490)/B3490)</x:f>
      </x:c>
      <x:c r="E3490" s="22" t="str">
        <x:f>IF(ISBLANK(C3490),"AmountIncludingTax缺失",IF(ABS(B3490-C3490)&lt;0.005,"一致","不一致"))</x:f>
        <x:v>AmountIncludingTax缺失</x:v>
      </x:c>
      <x:c r="F3490" s="19" t="str">
        <x:v>approved</x:v>
      </x:c>
      <x:c r="G3490" s="19" t="str">
        <x:v>Repairer Invoiced Processed</x:v>
      </x:c>
      <x:c r="H3490" s="19" t="str">
        <x:v>In Field</x:v>
      </x:c>
      <x:c r="I3490" s="37" t="n">
        <x:v>46099</x:v>
      </x:c>
      <x:c r="J3490" s="37" t="n">
        <x:v>46099</x:v>
      </x:c>
      <x:c r="K3490" s="19" t="str">
        <x:v>Regent RV - Traralgon</x:v>
      </x:c>
      <x:c r="L3490" s="19" t="str">
        <x:v>Z006</x:v>
      </x:c>
      <x:c r="M3490" s="19" t="str">
        <x:v>In Field Warranty Claims</x:v>
      </x:c>
      <x:c r="N3490" s="37" t="n">
        <x:v>46066</x:v>
      </x:c>
      <x:c r="O3490" s="37"/>
      <x:c r="P3490" s="34" t="n">
        <x:v>0</x:v>
      </x:c>
      <x:c r="Q3490" s="37" t="n">
        <x:v>46099.21450231481</x:v>
      </x:c>
    </x:row>
    <x:row r="3491">
      <x:c r="A3491" s="22" t="n">
        <x:v>31112</x:v>
      </x:c>
      <x:c r="B3491" s="28" t="n">
        <x:v>300</x:v>
      </x:c>
      <x:c r="C3491" s="28"/>
      <x:c r="D3491" s="31" t="str">
        <x:f>IF(OR(ISBLANK(B3491),ISBLANK(C3491),B3491=0),"",(C3491-B3491)/B3491)</x:f>
      </x:c>
      <x:c r="E3491" s="22" t="str">
        <x:f>IF(ISBLANK(C3491),"AmountIncludingTax缺失",IF(ABS(B3491-C3491)&lt;0.005,"一致","不一致"))</x:f>
        <x:v>AmountIncludingTax缺失</x:v>
      </x:c>
      <x:c r="F3491" s="19" t="str">
        <x:v>approved</x:v>
      </x:c>
      <x:c r="G3491" s="19" t="str">
        <x:v>Repair in Progress</x:v>
      </x:c>
      <x:c r="H3491" s="19" t="str">
        <x:v>In Field</x:v>
      </x:c>
      <x:c r="I3491" s="37" t="n">
        <x:v>46070</x:v>
      </x:c>
      <x:c r="J3491" s="37" t="n">
        <x:v>46070</x:v>
      </x:c>
      <x:c r="K3491" s="19" t="str">
        <x:v>Snowy River Geelong</x:v>
      </x:c>
      <x:c r="L3491" s="19" t="str">
        <x:v>Z006</x:v>
      </x:c>
      <x:c r="M3491" s="19" t="str">
        <x:v>In Field Warranty Claims</x:v>
      </x:c>
      <x:c r="N3491" s="37" t="n">
        <x:v>46066</x:v>
      </x:c>
      <x:c r="O3491" s="37"/>
      <x:c r="P3491" s="34" t="n">
        <x:v>0</x:v>
      </x:c>
      <x:c r="Q3491" s="37" t="n">
        <x:v>46070.05652777778</x:v>
      </x:c>
    </x:row>
    <x:row r="3492">
      <x:c r="A3492" s="22" t="n">
        <x:v>31111</x:v>
      </x:c>
      <x:c r="B3492" s="28" t="n">
        <x:v>506.25</x:v>
      </x:c>
      <x:c r="C3492" s="28"/>
      <x:c r="D3492" s="31" t="str">
        <x:f>IF(OR(ISBLANK(B3492),ISBLANK(C3492),B3492=0),"",(C3492-B3492)/B3492)</x:f>
      </x:c>
      <x:c r="E3492" s="22" t="str">
        <x:f>IF(ISBLANK(C3492),"AmountIncludingTax缺失",IF(ABS(B3492-C3492)&lt;0.005,"一致","不一致"))</x:f>
        <x:v>AmountIncludingTax缺失</x:v>
      </x:c>
      <x:c r="F3492" s="19" t="str">
        <x:v>approved</x:v>
      </x:c>
      <x:c r="G3492" s="19" t="str">
        <x:v>Repairer Invoiced Processed</x:v>
      </x:c>
      <x:c r="H3492" s="19" t="str">
        <x:v>In Field</x:v>
      </x:c>
      <x:c r="I3492" s="37" t="n">
        <x:v>46129</x:v>
      </x:c>
      <x:c r="J3492" s="37" t="n">
        <x:v>46129</x:v>
      </x:c>
      <x:c r="K3492" s="19" t="str">
        <x:v>Newcastle RV Super Centre - Beresfield</x:v>
      </x:c>
      <x:c r="L3492" s="19" t="str">
        <x:v>Z006</x:v>
      </x:c>
      <x:c r="M3492" s="19" t="str">
        <x:v>In Field Warranty Claims</x:v>
      </x:c>
      <x:c r="N3492" s="37" t="n">
        <x:v>46066</x:v>
      </x:c>
      <x:c r="O3492" s="37"/>
      <x:c r="P3492" s="34" t="n">
        <x:v>0</x:v>
      </x:c>
      <x:c r="Q3492" s="37" t="n">
        <x:v>46129.24180555555</x:v>
      </x:c>
    </x:row>
    <x:row r="3493">
      <x:c r="A3493" s="22" t="n">
        <x:v>31109</x:v>
      </x:c>
      <x:c r="B3493" s="28" t="n">
        <x:v>455</x:v>
      </x:c>
      <x:c r="C3493" s="28"/>
      <x:c r="D3493" s="31" t="str">
        <x:f>IF(OR(ISBLANK(B3493),ISBLANK(C3493),B3493=0),"",(C3493-B3493)/B3493)</x:f>
      </x:c>
      <x:c r="E3493" s="22" t="str">
        <x:f>IF(ISBLANK(C3493),"AmountIncludingTax缺失",IF(ABS(B3493-C3493)&lt;0.005,"一致","不一致"))</x:f>
        <x:v>AmountIncludingTax缺失</x:v>
      </x:c>
      <x:c r="F3493" s="19" t="str">
        <x:v>approved</x:v>
      </x:c>
      <x:c r="G3493" s="19" t="str">
        <x:v>Repair in Progress</x:v>
      </x:c>
      <x:c r="H3493" s="19" t="str">
        <x:v>In Field</x:v>
      </x:c>
      <x:c r="I3493" s="37" t="n">
        <x:v>46112</x:v>
      </x:c>
      <x:c r="J3493" s="37" t="n">
        <x:v>46112</x:v>
      </x:c>
      <x:c r="K3493" s="19" t="str">
        <x:v>Not Assigned</x:v>
      </x:c>
      <x:c r="L3493" s="19" t="str">
        <x:v>Z006</x:v>
      </x:c>
      <x:c r="M3493" s="19" t="str">
        <x:v>In Field Warranty Claims</x:v>
      </x:c>
      <x:c r="N3493" s="37" t="n">
        <x:v>46066</x:v>
      </x:c>
      <x:c r="O3493" s="37"/>
      <x:c r="P3493" s="34" t="n">
        <x:v>0</x:v>
      </x:c>
      <x:c r="Q3493" s="37" t="n">
        <x:v>46111.94541666667</x:v>
      </x:c>
    </x:row>
    <x:row r="3494">
      <x:c r="A3494" s="22" t="n">
        <x:v>31108</x:v>
      </x:c>
      <x:c r="B3494" s="28" t="n">
        <x:v>92.05</x:v>
      </x:c>
      <x:c r="C3494" s="28" t="n">
        <x:v>101.26</x:v>
      </x:c>
      <x:c r="D3494" s="31" t="n">
        <x:f>IF(OR(ISBLANK(B3494),ISBLANK(C3494),B3494=0),"",(C3494-B3494)/B3494)</x:f>
        <x:v>0.10005431830526897</x:v>
      </x:c>
      <x:c r="E3494" s="22" t="str">
        <x:f>IF(ISBLANK(C3494),"AmountIncludingTax缺失",IF(ABS(B3494-C3494)&lt;0.005,"一致","不一致"))</x:f>
        <x:v>不一致</x:v>
      </x:c>
      <x:c r="F3494" s="19" t="str">
        <x:v>approved</x:v>
      </x:c>
      <x:c r="G3494" s="19" t="str">
        <x:v>Repairer Invoiced Processed</x:v>
      </x:c>
      <x:c r="H3494" s="19" t="str">
        <x:v>Pre Delivery</x:v>
      </x:c>
      <x:c r="I3494" s="37" t="n">
        <x:v>46111</x:v>
      </x:c>
      <x:c r="J3494" s="37" t="n">
        <x:v>46111</x:v>
      </x:c>
      <x:c r="K3494" s="19" t="str">
        <x:v>Green RV - Slacks Creek</x:v>
      </x:c>
      <x:c r="L3494" s="19" t="str">
        <x:v>Z005</x:v>
      </x:c>
      <x:c r="M3494" s="19" t="str">
        <x:v>Pre Delivery Warranty Claims</x:v>
      </x:c>
      <x:c r="N3494" s="37" t="n">
        <x:v>46066</x:v>
      </x:c>
      <x:c r="O3494" s="37"/>
      <x:c r="P3494" s="34" t="n">
        <x:v>101.26</x:v>
      </x:c>
      <x:c r="Q3494" s="37" t="n">
        <x:v>46110.95024305556</x:v>
      </x:c>
    </x:row>
    <x:row r="3495">
      <x:c r="A3495" s="22" t="n">
        <x:v>31107</x:v>
      </x:c>
      <x:c r="B3495" s="28" t="n">
        <x:v>202.5</x:v>
      </x:c>
      <x:c r="C3495" s="28"/>
      <x:c r="D3495" s="31" t="str">
        <x:f>IF(OR(ISBLANK(B3495),ISBLANK(C3495),B3495=0),"",(C3495-B3495)/B3495)</x:f>
      </x:c>
      <x:c r="E3495" s="22" t="str">
        <x:f>IF(ISBLANK(C3495),"AmountIncludingTax缺失",IF(ABS(B3495-C3495)&lt;0.005,"一致","不一致"))</x:f>
        <x:v>AmountIncludingTax缺失</x:v>
      </x:c>
      <x:c r="F3495" s="19" t="str">
        <x:v>approved</x:v>
      </x:c>
      <x:c r="G3495" s="19" t="str">
        <x:v>Repair in Progress</x:v>
      </x:c>
      <x:c r="H3495" s="19" t="str">
        <x:v>In Field</x:v>
      </x:c>
      <x:c r="I3495" s="37" t="n">
        <x:v>46119</x:v>
      </x:c>
      <x:c r="J3495" s="37" t="n">
        <x:v>46119</x:v>
      </x:c>
      <x:c r="K3495" s="19" t="str">
        <x:v>ABCO Caravans - Boambee Valley</x:v>
      </x:c>
      <x:c r="L3495" s="19" t="str">
        <x:v>Z006</x:v>
      </x:c>
      <x:c r="M3495" s="19" t="str">
        <x:v>In Field Warranty Claims</x:v>
      </x:c>
      <x:c r="N3495" s="37" t="n">
        <x:v>46066</x:v>
      </x:c>
      <x:c r="O3495" s="37"/>
      <x:c r="P3495" s="34" t="n">
        <x:v>0</x:v>
      </x:c>
      <x:c r="Q3495" s="37" t="n">
        <x:v>46119.14895833333</x:v>
      </x:c>
    </x:row>
    <x:row r="3496">
      <x:c r="A3496" s="22" t="n">
        <x:v>31106</x:v>
      </x:c>
      <x:c r="B3496" s="28" t="n">
        <x:v>150</x:v>
      </x:c>
      <x:c r="C3496" s="28"/>
      <x:c r="D3496" s="31" t="str">
        <x:f>IF(OR(ISBLANK(B3496),ISBLANK(C3496),B3496=0),"",(C3496-B3496)/B3496)</x:f>
      </x:c>
      <x:c r="E3496" s="22" t="str">
        <x:f>IF(ISBLANK(C3496),"AmountIncludingTax缺失",IF(ABS(B3496-C3496)&lt;0.005,"一致","不一致"))</x:f>
        <x:v>AmountIncludingTax缺失</x:v>
      </x:c>
      <x:c r="F3496" s="19" t="str">
        <x:v>approved</x:v>
      </x:c>
      <x:c r="G3496" s="19" t="str">
        <x:v>Repairer Invoiced Processed</x:v>
      </x:c>
      <x:c r="H3496" s="19" t="str">
        <x:v>In Field</x:v>
      </x:c>
      <x:c r="I3496" s="37" t="n">
        <x:v>46069</x:v>
      </x:c>
      <x:c r="J3496" s="37" t="n">
        <x:v>46069</x:v>
      </x:c>
      <x:c r="K3496" s="19" t="str">
        <x:v>The Caravan Hub - Townsville</x:v>
      </x:c>
      <x:c r="L3496" s="19" t="str">
        <x:v>Z006</x:v>
      </x:c>
      <x:c r="M3496" s="19" t="str">
        <x:v>In Field Warranty Claims</x:v>
      </x:c>
      <x:c r="N3496" s="37" t="n">
        <x:v>46066</x:v>
      </x:c>
      <x:c r="O3496" s="37"/>
      <x:c r="P3496" s="34" t="n">
        <x:v>0</x:v>
      </x:c>
      <x:c r="Q3496" s="37" t="n">
        <x:v>46068.95523148148</x:v>
      </x:c>
    </x:row>
    <x:row r="3497">
      <x:c r="A3497" s="22" t="n">
        <x:v>31105</x:v>
      </x:c>
      <x:c r="B3497" s="28" t="n">
        <x:v>135</x:v>
      </x:c>
      <x:c r="C3497" s="28" t="n">
        <x:v>148.5</x:v>
      </x:c>
      <x:c r="D3497" s="31" t="n">
        <x:f>IF(OR(ISBLANK(B3497),ISBLANK(C3497),B3497=0),"",(C3497-B3497)/B3497)</x:f>
        <x:v>0.1</x:v>
      </x:c>
      <x:c r="E3497" s="22" t="str">
        <x:f>IF(ISBLANK(C3497),"AmountIncludingTax缺失",IF(ABS(B3497-C3497)&lt;0.005,"一致","不一致"))</x:f>
        <x:v>不一致</x:v>
      </x:c>
      <x:c r="F3497" s="19" t="str">
        <x:v>approved</x:v>
      </x:c>
      <x:c r="G3497" s="19" t="str">
        <x:v>Repair in Progress</x:v>
      </x:c>
      <x:c r="H3497" s="19" t="str">
        <x:v>In Field</x:v>
      </x:c>
      <x:c r="I3497" s="37" t="n">
        <x:v>46129</x:v>
      </x:c>
      <x:c r="J3497" s="37" t="n">
        <x:v>46129</x:v>
      </x:c>
      <x:c r="K3497" s="19" t="str">
        <x:v>Newcastle RV Super Centre - Beresfield</x:v>
      </x:c>
      <x:c r="L3497" s="19" t="str">
        <x:v>Z006</x:v>
      </x:c>
      <x:c r="M3497" s="19" t="str">
        <x:v>In Field Warranty Claims</x:v>
      </x:c>
      <x:c r="N3497" s="37" t="n">
        <x:v>46066</x:v>
      </x:c>
      <x:c r="O3497" s="37"/>
      <x:c r="P3497" s="34" t="n">
        <x:v>148.5</x:v>
      </x:c>
      <x:c r="Q3497" s="37" t="n">
        <x:v>46128.8515625</x:v>
      </x:c>
    </x:row>
    <x:row r="3498">
      <x:c r="A3498" s="22" t="n">
        <x:v>31101</x:v>
      </x:c>
      <x:c r="B3498" s="28" t="n">
        <x:v>135</x:v>
      </x:c>
      <x:c r="C3498" s="28"/>
      <x:c r="D3498" s="31" t="str">
        <x:f>IF(OR(ISBLANK(B3498),ISBLANK(C3498),B3498=0),"",(C3498-B3498)/B3498)</x:f>
      </x:c>
      <x:c r="E3498" s="22" t="str">
        <x:f>IF(ISBLANK(C3498),"AmountIncludingTax缺失",IF(ABS(B3498-C3498)&lt;0.005,"一致","不一致"))</x:f>
        <x:v>AmountIncludingTax缺失</x:v>
      </x:c>
      <x:c r="F3498" s="19" t="str">
        <x:v>approved</x:v>
      </x:c>
      <x:c r="G3498" s="19" t="str">
        <x:v>Repairer Invoiced Processed</x:v>
      </x:c>
      <x:c r="H3498" s="19" t="str">
        <x:v>In Field</x:v>
      </x:c>
      <x:c r="I3498" s="37" t="n">
        <x:v>46103</x:v>
      </x:c>
      <x:c r="J3498" s="37" t="n">
        <x:v>46103</x:v>
      </x:c>
      <x:c r="K3498" s="19" t="str">
        <x:v>Newcastle RV Super Centre - Beresfield</x:v>
      </x:c>
      <x:c r="L3498" s="19" t="str">
        <x:v>Z006</x:v>
      </x:c>
      <x:c r="M3498" s="19" t="str">
        <x:v>In Field Warranty Claims</x:v>
      </x:c>
      <x:c r="N3498" s="37" t="n">
        <x:v>46065</x:v>
      </x:c>
      <x:c r="O3498" s="37"/>
      <x:c r="P3498" s="34" t="n">
        <x:v>0</x:v>
      </x:c>
      <x:c r="Q3498" s="37" t="n">
        <x:v>46103.18363425926</x:v>
      </x:c>
    </x:row>
    <x:row r="3499">
      <x:c r="A3499" s="22" t="n">
        <x:v>31099</x:v>
      </x:c>
      <x:c r="B3499" s="28" t="n">
        <x:v>702.5</x:v>
      </x:c>
      <x:c r="C3499" s="28"/>
      <x:c r="D3499" s="31" t="str">
        <x:f>IF(OR(ISBLANK(B3499),ISBLANK(C3499),B3499=0),"",(C3499-B3499)/B3499)</x:f>
      </x:c>
      <x:c r="E3499" s="22" t="str">
        <x:f>IF(ISBLANK(C3499),"AmountIncludingTax缺失",IF(ABS(B3499-C3499)&lt;0.005,"一致","不一致"))</x:f>
        <x:v>AmountIncludingTax缺失</x:v>
      </x:c>
      <x:c r="F3499" s="19" t="str">
        <x:v>approved</x:v>
      </x:c>
      <x:c r="G3499" s="19" t="str">
        <x:v>Repairer Invoiced Processed</x:v>
      </x:c>
      <x:c r="H3499" s="19" t="str">
        <x:v>In Field</x:v>
      </x:c>
      <x:c r="I3499" s="37" t="n">
        <x:v>46072</x:v>
      </x:c>
      <x:c r="J3499" s="37" t="n">
        <x:v>46072</x:v>
      </x:c>
      <x:c r="K3499" s="19" t="str">
        <x:v>Snowy River Wangaratta</x:v>
      </x:c>
      <x:c r="L3499" s="19" t="str">
        <x:v>Z006</x:v>
      </x:c>
      <x:c r="M3499" s="19" t="str">
        <x:v>In Field Warranty Claims</x:v>
      </x:c>
      <x:c r="N3499" s="37" t="n">
        <x:v>46066</x:v>
      </x:c>
      <x:c r="O3499" s="37"/>
      <x:c r="P3499" s="34" t="n">
        <x:v>0</x:v>
      </x:c>
      <x:c r="Q3499" s="37" t="n">
        <x:v>46072.151770833334</x:v>
      </x:c>
    </x:row>
    <x:row r="3500">
      <x:c r="A3500" s="22" t="n">
        <x:v>31098</x:v>
      </x:c>
      <x:c r="B3500" s="28" t="n">
        <x:v>320</x:v>
      </x:c>
      <x:c r="C3500" s="28"/>
      <x:c r="D3500" s="31" t="str">
        <x:f>IF(OR(ISBLANK(B3500),ISBLANK(C3500),B3500=0),"",(C3500-B3500)/B3500)</x:f>
      </x:c>
      <x:c r="E3500" s="22" t="str">
        <x:f>IF(ISBLANK(C3500),"AmountIncludingTax缺失",IF(ABS(B3500-C3500)&lt;0.005,"一致","不一致"))</x:f>
        <x:v>AmountIncludingTax缺失</x:v>
      </x:c>
      <x:c r="F3500" s="19" t="str">
        <x:v>approved</x:v>
      </x:c>
      <x:c r="G3500" s="19" t="str">
        <x:v>Repair in Progress</x:v>
      </x:c>
      <x:c r="H3500" s="19" t="str">
        <x:v>In Field</x:v>
      </x:c>
      <x:c r="I3500" s="37" t="n">
        <x:v>46129</x:v>
      </x:c>
      <x:c r="J3500" s="37" t="n">
        <x:v>46129</x:v>
      </x:c>
      <x:c r="K3500" s="19" t="str">
        <x:v>Great Ocean Road RV &amp; Caravans - Warrnambool</x:v>
      </x:c>
      <x:c r="L3500" s="19" t="str">
        <x:v>Z006</x:v>
      </x:c>
      <x:c r="M3500" s="19" t="str">
        <x:v>In Field Warranty Claims</x:v>
      </x:c>
      <x:c r="N3500" s="37" t="n">
        <x:v>46066</x:v>
      </x:c>
      <x:c r="O3500" s="37"/>
      <x:c r="P3500" s="34" t="n">
        <x:v>0</x:v>
      </x:c>
      <x:c r="Q3500" s="37" t="n">
        <x:v>46129.24570601852</x:v>
      </x:c>
    </x:row>
    <x:row r="3501">
      <x:c r="A3501" s="22" t="n">
        <x:v>31097</x:v>
      </x:c>
      <x:c r="B3501" s="28" t="n">
        <x:v>360</x:v>
      </x:c>
      <x:c r="C3501" s="28" t="n">
        <x:v>396</x:v>
      </x:c>
      <x:c r="D3501" s="31" t="n">
        <x:f>IF(OR(ISBLANK(B3501),ISBLANK(C3501),B3501=0),"",(C3501-B3501)/B3501)</x:f>
        <x:v>0.1</x:v>
      </x:c>
      <x:c r="E3501" s="22" t="str">
        <x:f>IF(ISBLANK(C3501),"AmountIncludingTax缺失",IF(ABS(B3501-C3501)&lt;0.005,"一致","不一致"))</x:f>
        <x:v>不一致</x:v>
      </x:c>
      <x:c r="F3501" s="19" t="str">
        <x:v>approved</x:v>
      </x:c>
      <x:c r="G3501" s="19" t="str">
        <x:v>Repairer Invoiced Processed</x:v>
      </x:c>
      <x:c r="H3501" s="19" t="str">
        <x:v>In Field</x:v>
      </x:c>
      <x:c r="I3501" s="37" t="n">
        <x:v>46100</x:v>
      </x:c>
      <x:c r="J3501" s="37" t="n">
        <x:v>46100</x:v>
      </x:c>
      <x:c r="K3501" s="19" t="str">
        <x:v>Lesiure Lion-New Castle</x:v>
      </x:c>
      <x:c r="L3501" s="19" t="str">
        <x:v>Z006</x:v>
      </x:c>
      <x:c r="M3501" s="19" t="str">
        <x:v>In Field Warranty Claims</x:v>
      </x:c>
      <x:c r="N3501" s="37" t="n">
        <x:v>46066</x:v>
      </x:c>
      <x:c r="O3501" s="37"/>
      <x:c r="P3501" s="34" t="n">
        <x:v>396</x:v>
      </x:c>
      <x:c r="Q3501" s="37" t="n">
        <x:v>46100.10637731481</x:v>
      </x:c>
    </x:row>
    <x:row r="3502">
      <x:c r="A3502" s="22" t="n">
        <x:v>31094</x:v>
      </x:c>
      <x:c r="B3502" s="28" t="n">
        <x:v>1898.21</x:v>
      </x:c>
      <x:c r="C3502" s="28"/>
      <x:c r="D3502" s="31" t="str">
        <x:f>IF(OR(ISBLANK(B3502),ISBLANK(C3502),B3502=0),"",(C3502-B3502)/B3502)</x:f>
      </x:c>
      <x:c r="E3502" s="22" t="str">
        <x:f>IF(ISBLANK(C3502),"AmountIncludingTax缺失",IF(ABS(B3502-C3502)&lt;0.005,"一致","不一致"))</x:f>
        <x:v>AmountIncludingTax缺失</x:v>
      </x:c>
      <x:c r="F3502" s="19" t="str">
        <x:v>approved</x:v>
      </x:c>
      <x:c r="G3502" s="19" t="str">
        <x:v>Repairer Invoiced Processed</x:v>
      </x:c>
      <x:c r="H3502" s="19" t="str">
        <x:v>In Field</x:v>
      </x:c>
      <x:c r="I3502" s="37" t="n">
        <x:v>46154</x:v>
      </x:c>
      <x:c r="J3502" s="37" t="n">
        <x:v>46154</x:v>
      </x:c>
      <x:c r="K3502" s="19" t="str">
        <x:v>Vanari Caravans - Marden Point</x:v>
      </x:c>
      <x:c r="L3502" s="19" t="str">
        <x:v>Z006</x:v>
      </x:c>
      <x:c r="M3502" s="19" t="str">
        <x:v>In Field Warranty Claims</x:v>
      </x:c>
      <x:c r="N3502" s="37" t="n">
        <x:v>46065</x:v>
      </x:c>
      <x:c r="O3502" s="37"/>
      <x:c r="P3502" s="34" t="n">
        <x:v>1718.64</x:v>
      </x:c>
      <x:c r="Q3502" s="37" t="n">
        <x:v>46154.23982638889</x:v>
      </x:c>
    </x:row>
    <x:row r="3503">
      <x:c r="A3503" s="22" t="n">
        <x:v>31093</x:v>
      </x:c>
      <x:c r="B3503" s="28" t="n">
        <x:v>202.5</x:v>
      </x:c>
      <x:c r="C3503" s="28"/>
      <x:c r="D3503" s="31" t="str">
        <x:f>IF(OR(ISBLANK(B3503),ISBLANK(C3503),B3503=0),"",(C3503-B3503)/B3503)</x:f>
      </x:c>
      <x:c r="E3503" s="22" t="str">
        <x:f>IF(ISBLANK(C3503),"AmountIncludingTax缺失",IF(ABS(B3503-C3503)&lt;0.005,"一致","不一致"))</x:f>
        <x:v>AmountIncludingTax缺失</x:v>
      </x:c>
      <x:c r="F3503" s="19" t="str">
        <x:v>approved</x:v>
      </x:c>
      <x:c r="G3503" s="19" t="str">
        <x:v>Repairer Invoiced Received</x:v>
      </x:c>
      <x:c r="H3503" s="19" t="str">
        <x:v>In Field</x:v>
      </x:c>
      <x:c r="I3503" s="37" t="n">
        <x:v>46086</x:v>
      </x:c>
      <x:c r="J3503" s="37" t="n">
        <x:v>46086</x:v>
      </x:c>
      <x:c r="K3503" s="19" t="str">
        <x:v>Newcastle RV Super Centre - Beresfield</x:v>
      </x:c>
      <x:c r="L3503" s="19" t="str">
        <x:v>Z006</x:v>
      </x:c>
      <x:c r="M3503" s="19" t="str">
        <x:v>In Field Warranty Claims</x:v>
      </x:c>
      <x:c r="N3503" s="37" t="n">
        <x:v>46065</x:v>
      </x:c>
      <x:c r="O3503" s="37"/>
      <x:c r="P3503" s="34" t="n">
        <x:v>0</x:v>
      </x:c>
      <x:c r="Q3503" s="37" t="n">
        <x:v>46086.179375</x:v>
      </x:c>
    </x:row>
    <x:row r="3504">
      <x:c r="A3504" s="22" t="n">
        <x:v>31092</x:v>
      </x:c>
      <x:c r="B3504" s="28" t="n">
        <x:v>2012.5</x:v>
      </x:c>
      <x:c r="C3504" s="28"/>
      <x:c r="D3504" s="31" t="str">
        <x:f>IF(OR(ISBLANK(B3504),ISBLANK(C3504),B3504=0),"",(C3504-B3504)/B3504)</x:f>
      </x:c>
      <x:c r="E3504" s="22" t="str">
        <x:f>IF(ISBLANK(C3504),"AmountIncludingTax缺失",IF(ABS(B3504-C3504)&lt;0.005,"一致","不一致"))</x:f>
        <x:v>AmountIncludingTax缺失</x:v>
      </x:c>
      <x:c r="F3504" s="19" t="str">
        <x:v>approved</x:v>
      </x:c>
      <x:c r="G3504" s="19" t="str">
        <x:v>Sales Order Approved</x:v>
      </x:c>
      <x:c r="H3504" s="19" t="str">
        <x:v>Pre Delivery</x:v>
      </x:c>
      <x:c r="I3504" s="37" t="n">
        <x:v>46184</x:v>
      </x:c>
      <x:c r="J3504" s="37" t="n">
        <x:v>46184</x:v>
      </x:c>
      <x:c r="K3504" s="19" t="str">
        <x:v>Regent RV - Townsville</x:v>
      </x:c>
      <x:c r="L3504" s="19" t="str">
        <x:v>Z005</x:v>
      </x:c>
      <x:c r="M3504" s="19" t="str">
        <x:v>Pre Delivery Warranty Claims</x:v>
      </x:c>
      <x:c r="N3504" s="37" t="n">
        <x:v>46065</x:v>
      </x:c>
      <x:c r="O3504" s="37"/>
      <x:c r="P3504" s="34" t="n">
        <x:v>0</x:v>
      </x:c>
      <x:c r="Q3504" s="37" t="n">
        <x:v>46184.08510416667</x:v>
      </x:c>
    </x:row>
    <x:row r="3505">
      <x:c r="A3505" s="22" t="n">
        <x:v>31091</x:v>
      </x:c>
      <x:c r="B3505" s="28" t="n">
        <x:v>255.46</x:v>
      </x:c>
      <x:c r="C3505" s="28"/>
      <x:c r="D3505" s="31" t="str">
        <x:f>IF(OR(ISBLANK(B3505),ISBLANK(C3505),B3505=0),"",(C3505-B3505)/B3505)</x:f>
      </x:c>
      <x:c r="E3505" s="22" t="str">
        <x:f>IF(ISBLANK(C3505),"AmountIncludingTax缺失",IF(ABS(B3505-C3505)&lt;0.005,"一致","不一致"))</x:f>
        <x:v>AmountIncludingTax缺失</x:v>
      </x:c>
      <x:c r="F3505" s="19"/>
      <x:c r="G3505" s="19" t="str">
        <x:v>Management Query</x:v>
      </x:c>
      <x:c r="H3505" s="19" t="str">
        <x:v>In Field</x:v>
      </x:c>
      <x:c r="I3505" s="37" t="n">
        <x:v>46086</x:v>
      </x:c>
      <x:c r="J3505" s="37" t="n">
        <x:v>46086</x:v>
      </x:c>
      <x:c r="K3505" s="19" t="str">
        <x:v>Newcastle RV Super Centre - Beresfield</x:v>
      </x:c>
      <x:c r="L3505" s="19" t="str">
        <x:v>Z006</x:v>
      </x:c>
      <x:c r="M3505" s="19" t="str">
        <x:v>In Field Warranty Claims</x:v>
      </x:c>
      <x:c r="N3505" s="37" t="n">
        <x:v>46065</x:v>
      </x:c>
      <x:c r="O3505" s="37"/>
      <x:c r="P3505" s="34" t="n">
        <x:v>0</x:v>
      </x:c>
      <x:c r="Q3505" s="37" t="n">
        <x:v>46086.180439814816</x:v>
      </x:c>
    </x:row>
    <x:row r="3506">
      <x:c r="A3506" s="22" t="n">
        <x:v>31088</x:v>
      </x:c>
      <x:c r="B3506" s="28" t="n">
        <x:v>590</x:v>
      </x:c>
      <x:c r="C3506" s="28"/>
      <x:c r="D3506" s="31" t="str">
        <x:f>IF(OR(ISBLANK(B3506),ISBLANK(C3506),B3506=0),"",(C3506-B3506)/B3506)</x:f>
      </x:c>
      <x:c r="E3506" s="22" t="str">
        <x:f>IF(ISBLANK(C3506),"AmountIncludingTax缺失",IF(ABS(B3506-C3506)&lt;0.005,"一致","不一致"))</x:f>
        <x:v>AmountIncludingTax缺失</x:v>
      </x:c>
      <x:c r="F3506" s="19" t="str">
        <x:v>approved</x:v>
      </x:c>
      <x:c r="G3506" s="19" t="str">
        <x:v>Repairer Invoiced Processed</x:v>
      </x:c>
      <x:c r="H3506" s="19" t="str">
        <x:v>In Field</x:v>
      </x:c>
      <x:c r="I3506" s="37" t="n">
        <x:v>46182</x:v>
      </x:c>
      <x:c r="J3506" s="37" t="n">
        <x:v>46182</x:v>
      </x:c>
      <x:c r="K3506" s="19" t="str">
        <x:v>The Caravan Hub - Townsville</x:v>
      </x:c>
      <x:c r="L3506" s="19" t="str">
        <x:v>Z006</x:v>
      </x:c>
      <x:c r="M3506" s="19" t="str">
        <x:v>In Field Warranty Claims</x:v>
      </x:c>
      <x:c r="N3506" s="37" t="n">
        <x:v>46065</x:v>
      </x:c>
      <x:c r="O3506" s="37"/>
      <x:c r="P3506" s="34" t="n">
        <x:v>0</x:v>
      </x:c>
      <x:c r="Q3506" s="37" t="n">
        <x:v>46182.20012731481</x:v>
      </x:c>
    </x:row>
    <x:row r="3507">
      <x:c r="A3507" s="22" t="n">
        <x:v>31087</x:v>
      </x:c>
      <x:c r="B3507" s="28" t="n">
        <x:v>1062.5</x:v>
      </x:c>
      <x:c r="C3507" s="28"/>
      <x:c r="D3507" s="31" t="str">
        <x:f>IF(OR(ISBLANK(B3507),ISBLANK(C3507),B3507=0),"",(C3507-B3507)/B3507)</x:f>
      </x:c>
      <x:c r="E3507" s="22" t="str">
        <x:f>IF(ISBLANK(C3507),"AmountIncludingTax缺失",IF(ABS(B3507-C3507)&lt;0.005,"一致","不一致"))</x:f>
        <x:v>AmountIncludingTax缺失</x:v>
      </x:c>
      <x:c r="F3507" s="19" t="str">
        <x:v>approved</x:v>
      </x:c>
      <x:c r="G3507" s="19" t="str">
        <x:v>Repairer Invoiced Processed</x:v>
      </x:c>
      <x:c r="H3507" s="19" t="str">
        <x:v>In Field</x:v>
      </x:c>
      <x:c r="I3507" s="37" t="n">
        <x:v>46070</x:v>
      </x:c>
      <x:c r="J3507" s="37" t="n">
        <x:v>46070</x:v>
      </x:c>
      <x:c r="K3507" s="19" t="str">
        <x:v>Lesiure Lion-New Castle</x:v>
      </x:c>
      <x:c r="L3507" s="19" t="str">
        <x:v>Z006</x:v>
      </x:c>
      <x:c r="M3507" s="19" t="str">
        <x:v>In Field Warranty Claims</x:v>
      </x:c>
      <x:c r="N3507" s="37" t="n">
        <x:v>46065</x:v>
      </x:c>
      <x:c r="O3507" s="37"/>
      <x:c r="P3507" s="34" t="n">
        <x:v>0</x:v>
      </x:c>
      <x:c r="Q3507" s="37" t="n">
        <x:v>46070.084027777775</x:v>
      </x:c>
    </x:row>
    <x:row r="3508">
      <x:c r="A3508" s="22" t="n">
        <x:v>31086</x:v>
      </x:c>
      <x:c r="B3508" s="28" t="n">
        <x:v>202.5</x:v>
      </x:c>
      <x:c r="C3508" s="28"/>
      <x:c r="D3508" s="31" t="str">
        <x:f>IF(OR(ISBLANK(B3508),ISBLANK(C3508),B3508=0),"",(C3508-B3508)/B3508)</x:f>
      </x:c>
      <x:c r="E3508" s="22" t="str">
        <x:f>IF(ISBLANK(C3508),"AmountIncludingTax缺失",IF(ABS(B3508-C3508)&lt;0.005,"一致","不一致"))</x:f>
        <x:v>AmountIncludingTax缺失</x:v>
      </x:c>
      <x:c r="F3508" s="19" t="str">
        <x:v>approved</x:v>
      </x:c>
      <x:c r="G3508" s="19" t="str">
        <x:v>Repairer Invoiced Processed</x:v>
      </x:c>
      <x:c r="H3508" s="19" t="str">
        <x:v>In Field</x:v>
      </x:c>
      <x:c r="I3508" s="37" t="n">
        <x:v>46102</x:v>
      </x:c>
      <x:c r="J3508" s="37" t="n">
        <x:v>46102</x:v>
      </x:c>
      <x:c r="K3508" s="19" t="str">
        <x:v>Newcastle RV Super Centre - Beresfield</x:v>
      </x:c>
      <x:c r="L3508" s="19" t="str">
        <x:v>Z006</x:v>
      </x:c>
      <x:c r="M3508" s="19" t="str">
        <x:v>In Field Warranty Claims</x:v>
      </x:c>
      <x:c r="N3508" s="37" t="n">
        <x:v>46065</x:v>
      </x:c>
      <x:c r="O3508" s="37"/>
      <x:c r="P3508" s="34" t="n">
        <x:v>0</x:v>
      </x:c>
      <x:c r="Q3508" s="37" t="n">
        <x:v>46101.92737268518</x:v>
      </x:c>
    </x:row>
    <x:row r="3509">
      <x:c r="A3509" s="22" t="n">
        <x:v>31085</x:v>
      </x:c>
      <x:c r="B3509" s="28" t="n">
        <x:v>1411.25</x:v>
      </x:c>
      <x:c r="C3509" s="28"/>
      <x:c r="D3509" s="31" t="str">
        <x:f>IF(OR(ISBLANK(B3509),ISBLANK(C3509),B3509=0),"",(C3509-B3509)/B3509)</x:f>
      </x:c>
      <x:c r="E3509" s="22" t="str">
        <x:f>IF(ISBLANK(C3509),"AmountIncludingTax缺失",IF(ABS(B3509-C3509)&lt;0.005,"一致","不一致"))</x:f>
        <x:v>AmountIncludingTax缺失</x:v>
      </x:c>
      <x:c r="F3509" s="19" t="str">
        <x:v>approved</x:v>
      </x:c>
      <x:c r="G3509" s="19" t="str">
        <x:v>Repair in Progress</x:v>
      </x:c>
      <x:c r="H3509" s="19" t="str">
        <x:v>In Field</x:v>
      </x:c>
      <x:c r="I3509" s="37" t="n">
        <x:v>46161</x:v>
      </x:c>
      <x:c r="J3509" s="37" t="n">
        <x:v>46161</x:v>
      </x:c>
      <x:c r="K3509" s="19" t="str">
        <x:v>Regent RV - Perth</x:v>
      </x:c>
      <x:c r="L3509" s="19" t="str">
        <x:v>Z006</x:v>
      </x:c>
      <x:c r="M3509" s="19" t="str">
        <x:v>In Field Warranty Claims</x:v>
      </x:c>
      <x:c r="N3509" s="37" t="n">
        <x:v>46065</x:v>
      </x:c>
      <x:c r="O3509" s="37"/>
      <x:c r="P3509" s="34" t="n">
        <x:v>0</x:v>
      </x:c>
      <x:c r="Q3509" s="37" t="n">
        <x:v>46161.1234375</x:v>
      </x:c>
    </x:row>
    <x:row r="3510">
      <x:c r="A3510" s="22" t="n">
        <x:v>31084</x:v>
      </x:c>
      <x:c r="B3510" s="28" t="n">
        <x:v>1417.5</x:v>
      </x:c>
      <x:c r="C3510" s="28"/>
      <x:c r="D3510" s="31" t="str">
        <x:f>IF(OR(ISBLANK(B3510),ISBLANK(C3510),B3510=0),"",(C3510-B3510)/B3510)</x:f>
      </x:c>
      <x:c r="E3510" s="22" t="str">
        <x:f>IF(ISBLANK(C3510),"AmountIncludingTax缺失",IF(ABS(B3510-C3510)&lt;0.005,"一致","不一致"))</x:f>
        <x:v>AmountIncludingTax缺失</x:v>
      </x:c>
      <x:c r="F3510" s="19" t="str">
        <x:v>approved</x:v>
      </x:c>
      <x:c r="G3510" s="19" t="str">
        <x:v>Partially Picked</x:v>
      </x:c>
      <x:c r="H3510" s="19" t="str">
        <x:v>In Field</x:v>
      </x:c>
      <x:c r="I3510" s="37" t="n">
        <x:v>46104</x:v>
      </x:c>
      <x:c r="J3510" s="37" t="n">
        <x:v>46104</x:v>
      </x:c>
      <x:c r="K3510" s="19" t="str">
        <x:v>Newcastle RV Super Centre - Beresfield</x:v>
      </x:c>
      <x:c r="L3510" s="19" t="str">
        <x:v>Z006</x:v>
      </x:c>
      <x:c r="M3510" s="19" t="str">
        <x:v>In Field Warranty Claims</x:v>
      </x:c>
      <x:c r="N3510" s="37" t="n">
        <x:v>46065</x:v>
      </x:c>
      <x:c r="O3510" s="37"/>
      <x:c r="P3510" s="34" t="n">
        <x:v>0</x:v>
      </x:c>
      <x:c r="Q3510" s="37" t="n">
        <x:v>46103.99996527778</x:v>
      </x:c>
    </x:row>
    <x:row r="3511">
      <x:c r="A3511" s="22" t="n">
        <x:v>31083</x:v>
      </x:c>
      <x:c r="B3511" s="28" t="n">
        <x:v>1901.91</x:v>
      </x:c>
      <x:c r="C3511" s="28"/>
      <x:c r="D3511" s="31" t="str">
        <x:f>IF(OR(ISBLANK(B3511),ISBLANK(C3511),B3511=0),"",(C3511-B3511)/B3511)</x:f>
      </x:c>
      <x:c r="E3511" s="22" t="str">
        <x:f>IF(ISBLANK(C3511),"AmountIncludingTax缺失",IF(ABS(B3511-C3511)&lt;0.005,"一致","不一致"))</x:f>
        <x:v>AmountIncludingTax缺失</x:v>
      </x:c>
      <x:c r="F3511" s="19" t="str">
        <x:v>approved</x:v>
      </x:c>
      <x:c r="G3511" s="19" t="str">
        <x:v>Repairer Invoiced Processed</x:v>
      </x:c>
      <x:c r="H3511" s="19" t="str">
        <x:v>In Field</x:v>
      </x:c>
      <x:c r="I3511" s="37" t="n">
        <x:v>46125</x:v>
      </x:c>
      <x:c r="J3511" s="37" t="n">
        <x:v>46125</x:v>
      </x:c>
      <x:c r="K3511" s="19" t="str">
        <x:v>Regent RV - Townsville</x:v>
      </x:c>
      <x:c r="L3511" s="19" t="str">
        <x:v>Z006</x:v>
      </x:c>
      <x:c r="M3511" s="19" t="str">
        <x:v>In Field Warranty Claims</x:v>
      </x:c>
      <x:c r="N3511" s="37" t="n">
        <x:v>46065</x:v>
      </x:c>
      <x:c r="O3511" s="37"/>
      <x:c r="P3511" s="34" t="n">
        <x:v>0</x:v>
      </x:c>
      <x:c r="Q3511" s="37" t="n">
        <x:v>46124.91950231481</x:v>
      </x:c>
    </x:row>
    <x:row r="3512">
      <x:c r="A3512" s="22" t="n">
        <x:v>31081</x:v>
      </x:c>
      <x:c r="B3512" s="28" t="n">
        <x:v>1290</x:v>
      </x:c>
      <x:c r="C3512" s="28"/>
      <x:c r="D3512" s="31" t="str">
        <x:f>IF(OR(ISBLANK(B3512),ISBLANK(C3512),B3512=0),"",(C3512-B3512)/B3512)</x:f>
      </x:c>
      <x:c r="E3512" s="22" t="str">
        <x:f>IF(ISBLANK(C3512),"AmountIncludingTax缺失",IF(ABS(B3512-C3512)&lt;0.005,"一致","不一致"))</x:f>
        <x:v>AmountIncludingTax缺失</x:v>
      </x:c>
      <x:c r="F3512" s="19" t="str">
        <x:v>approved</x:v>
      </x:c>
      <x:c r="G3512" s="19" t="str">
        <x:v>Repairer Invoiced Processed</x:v>
      </x:c>
      <x:c r="H3512" s="19" t="str">
        <x:v>In Field</x:v>
      </x:c>
      <x:c r="I3512" s="37" t="n">
        <x:v>46084</x:v>
      </x:c>
      <x:c r="J3512" s="37" t="n">
        <x:v>46084</x:v>
      </x:c>
      <x:c r="K3512" s="19" t="str">
        <x:v>Dario Caravans -St.Marys</x:v>
      </x:c>
      <x:c r="L3512" s="19" t="str">
        <x:v>Z006</x:v>
      </x:c>
      <x:c r="M3512" s="19" t="str">
        <x:v>In Field Warranty Claims</x:v>
      </x:c>
      <x:c r="N3512" s="37" t="n">
        <x:v>46065</x:v>
      </x:c>
      <x:c r="O3512" s="37"/>
      <x:c r="P3512" s="34" t="n">
        <x:v>1419</x:v>
      </x:c>
      <x:c r="Q3512" s="37" t="n">
        <x:v>46084.19664351852</x:v>
      </x:c>
    </x:row>
    <x:row r="3513">
      <x:c r="A3513" s="22" t="n">
        <x:v>31080</x:v>
      </x:c>
      <x:c r="B3513" s="28" t="n">
        <x:v>298.75</x:v>
      </x:c>
      <x:c r="C3513" s="28"/>
      <x:c r="D3513" s="31" t="str">
        <x:f>IF(OR(ISBLANK(B3513),ISBLANK(C3513),B3513=0),"",(C3513-B3513)/B3513)</x:f>
      </x:c>
      <x:c r="E3513" s="22" t="str">
        <x:f>IF(ISBLANK(C3513),"AmountIncludingTax缺失",IF(ABS(B3513-C3513)&lt;0.005,"一致","不一致"))</x:f>
        <x:v>AmountIncludingTax缺失</x:v>
      </x:c>
      <x:c r="F3513" s="19" t="str">
        <x:v>approved</x:v>
      </x:c>
      <x:c r="G3513" s="19" t="str">
        <x:v>Repairer Invoiced Processed</x:v>
      </x:c>
      <x:c r="H3513" s="19" t="str">
        <x:v>In Field</x:v>
      </x:c>
      <x:c r="I3513" s="37" t="n">
        <x:v>46097</x:v>
      </x:c>
      <x:c r="J3513" s="37" t="n">
        <x:v>46097</x:v>
      </x:c>
      <x:c r="K3513" s="19" t="str">
        <x:v>Not Assigned</x:v>
      </x:c>
      <x:c r="L3513" s="19" t="str">
        <x:v>Z006</x:v>
      </x:c>
      <x:c r="M3513" s="19" t="str">
        <x:v>In Field Warranty Claims</x:v>
      </x:c>
      <x:c r="N3513" s="37" t="n">
        <x:v>46065</x:v>
      </x:c>
      <x:c r="O3513" s="37"/>
      <x:c r="P3513" s="34" t="n">
        <x:v>0</x:v>
      </x:c>
      <x:c r="Q3513" s="37" t="n">
        <x:v>46096.91614583333</x:v>
      </x:c>
    </x:row>
    <x:row r="3514">
      <x:c r="A3514" s="22" t="n">
        <x:v>31079</x:v>
      </x:c>
      <x:c r="B3514" s="28" t="n">
        <x:v>662.25</x:v>
      </x:c>
      <x:c r="C3514" s="28" t="n">
        <x:v>599.6</x:v>
      </x:c>
      <x:c r="D3514" s="31" t="n">
        <x:f>IF(OR(ISBLANK(B3514),ISBLANK(C3514),B3514=0),"",(C3514-B3514)/B3514)</x:f>
        <x:v>-0.09460173650434123</x:v>
      </x:c>
      <x:c r="E3514" s="22" t="str">
        <x:f>IF(ISBLANK(C3514),"AmountIncludingTax缺失",IF(ABS(B3514-C3514)&lt;0.005,"一致","不一致"))</x:f>
        <x:v>不一致</x:v>
      </x:c>
      <x:c r="F3514" s="19" t="str">
        <x:v>approved</x:v>
      </x:c>
      <x:c r="G3514" s="19" t="str">
        <x:v>Repairer Invoiced Processed</x:v>
      </x:c>
      <x:c r="H3514" s="19" t="str">
        <x:v>In Field</x:v>
      </x:c>
      <x:c r="I3514" s="37" t="n">
        <x:v>46070</x:v>
      </x:c>
      <x:c r="J3514" s="37" t="n">
        <x:v>46070</x:v>
      </x:c>
      <x:c r="K3514" s="19" t="str">
        <x:v>Vanari Caravans - Marden Point</x:v>
      </x:c>
      <x:c r="L3514" s="19" t="str">
        <x:v>Z006</x:v>
      </x:c>
      <x:c r="M3514" s="19" t="str">
        <x:v>In Field Warranty Claims</x:v>
      </x:c>
      <x:c r="N3514" s="37" t="n">
        <x:v>46065</x:v>
      </x:c>
      <x:c r="O3514" s="37"/>
      <x:c r="P3514" s="34" t="n">
        <x:v>599.6</x:v>
      </x:c>
      <x:c r="Q3514" s="37" t="n">
        <x:v>46069.880381944444</x:v>
      </x:c>
    </x:row>
    <x:row r="3515">
      <x:c r="A3515" s="22" t="n">
        <x:v>31078</x:v>
      </x:c>
      <x:c r="B3515" s="28" t="n">
        <x:v>690</x:v>
      </x:c>
      <x:c r="C3515" s="28"/>
      <x:c r="D3515" s="31" t="str">
        <x:f>IF(OR(ISBLANK(B3515),ISBLANK(C3515),B3515=0),"",(C3515-B3515)/B3515)</x:f>
      </x:c>
      <x:c r="E3515" s="22" t="str">
        <x:f>IF(ISBLANK(C3515),"AmountIncludingTax缺失",IF(ABS(B3515-C3515)&lt;0.005,"一致","不一致"))</x:f>
        <x:v>AmountIncludingTax缺失</x:v>
      </x:c>
      <x:c r="F3515" s="19" t="str">
        <x:v>approved</x:v>
      </x:c>
      <x:c r="G3515" s="19" t="str">
        <x:v>Repairer Invoiced Processed</x:v>
      </x:c>
      <x:c r="H3515" s="19" t="str">
        <x:v>In Field</x:v>
      </x:c>
      <x:c r="I3515" s="37" t="n">
        <x:v>46102</x:v>
      </x:c>
      <x:c r="J3515" s="37" t="n">
        <x:v>46102</x:v>
      </x:c>
      <x:c r="K3515" s="19" t="str">
        <x:v>Green RV - Forest Glen</x:v>
      </x:c>
      <x:c r="L3515" s="19" t="str">
        <x:v>Z006</x:v>
      </x:c>
      <x:c r="M3515" s="19" t="str">
        <x:v>In Field Warranty Claims</x:v>
      </x:c>
      <x:c r="N3515" s="37" t="n">
        <x:v>46065</x:v>
      </x:c>
      <x:c r="O3515" s="37"/>
      <x:c r="P3515" s="34" t="n">
        <x:v>0</x:v>
      </x:c>
      <x:c r="Q3515" s="37" t="n">
        <x:v>46101.96456018519</x:v>
      </x:c>
    </x:row>
    <x:row r="3516">
      <x:c r="A3516" s="22" t="n">
        <x:v>31074</x:v>
      </x:c>
      <x:c r="B3516" s="28" t="n">
        <x:v>656.25</x:v>
      </x:c>
      <x:c r="C3516" s="28" t="n">
        <x:v>721.88</x:v>
      </x:c>
      <x:c r="D3516" s="31" t="n">
        <x:f>IF(OR(ISBLANK(B3516),ISBLANK(C3516),B3516=0),"",(C3516-B3516)/B3516)</x:f>
        <x:v>0.10000761904761904</x:v>
      </x:c>
      <x:c r="E3516" s="22" t="str">
        <x:f>IF(ISBLANK(C3516),"AmountIncludingTax缺失",IF(ABS(B3516-C3516)&lt;0.005,"一致","不一致"))</x:f>
        <x:v>不一致</x:v>
      </x:c>
      <x:c r="F3516" s="19" t="str">
        <x:v>approved</x:v>
      </x:c>
      <x:c r="G3516" s="19" t="str">
        <x:v>Repairer Invoiced Processed</x:v>
      </x:c>
      <x:c r="H3516" s="19" t="str">
        <x:v>Pre Delivery</x:v>
      </x:c>
      <x:c r="I3516" s="37" t="n">
        <x:v>46112</x:v>
      </x:c>
      <x:c r="J3516" s="37" t="n">
        <x:v>46111</x:v>
      </x:c>
      <x:c r="K3516" s="19" t="str">
        <x:v>Green RV - Slacks Creek</x:v>
      </x:c>
      <x:c r="L3516" s="19" t="str">
        <x:v>Z005</x:v>
      </x:c>
      <x:c r="M3516" s="19" t="str">
        <x:v>Pre Delivery Warranty Claims</x:v>
      </x:c>
      <x:c r="N3516" s="37" t="n">
        <x:v>46065</x:v>
      </x:c>
      <x:c r="O3516" s="37"/>
      <x:c r="P3516" s="34" t="n">
        <x:v>721.88</x:v>
      </x:c>
      <x:c r="Q3516" s="37" t="n">
        <x:v>46112.10765046296</x:v>
      </x:c>
    </x:row>
    <x:row r="3517">
      <x:c r="A3517" s="22" t="n">
        <x:v>31073</x:v>
      </x:c>
      <x:c r="B3517" s="28" t="n">
        <x:v>1406.25</x:v>
      </x:c>
      <x:c r="C3517" s="28"/>
      <x:c r="D3517" s="31" t="str">
        <x:f>IF(OR(ISBLANK(B3517),ISBLANK(C3517),B3517=0),"",(C3517-B3517)/B3517)</x:f>
      </x:c>
      <x:c r="E3517" s="22" t="str">
        <x:f>IF(ISBLANK(C3517),"AmountIncludingTax缺失",IF(ABS(B3517-C3517)&lt;0.005,"一致","不一致"))</x:f>
        <x:v>AmountIncludingTax缺失</x:v>
      </x:c>
      <x:c r="F3517" s="19" t="str">
        <x:v>approved</x:v>
      </x:c>
      <x:c r="G3517" s="19" t="str">
        <x:v>Repair in Progress</x:v>
      </x:c>
      <x:c r="H3517" s="19" t="str">
        <x:v>In Field</x:v>
      </x:c>
      <x:c r="I3517" s="37" t="n">
        <x:v>46164</x:v>
      </x:c>
      <x:c r="J3517" s="37" t="n">
        <x:v>46164</x:v>
      </x:c>
      <x:c r="K3517" s="19" t="str">
        <x:v>Regent RV - Townsville</x:v>
      </x:c>
      <x:c r="L3517" s="19" t="str">
        <x:v>Z006</x:v>
      </x:c>
      <x:c r="M3517" s="19" t="str">
        <x:v>In Field Warranty Claims</x:v>
      </x:c>
      <x:c r="N3517" s="37" t="n">
        <x:v>46065</x:v>
      </x:c>
      <x:c r="O3517" s="37"/>
      <x:c r="P3517" s="34" t="n">
        <x:v>0</x:v>
      </x:c>
      <x:c r="Q3517" s="37" t="n">
        <x:v>46164.1415162037</x:v>
      </x:c>
    </x:row>
    <x:row r="3518">
      <x:c r="A3518" s="22" t="n">
        <x:v>31072</x:v>
      </x:c>
      <x:c r="B3518" s="28" t="n">
        <x:v>866.25</x:v>
      </x:c>
      <x:c r="C3518" s="28"/>
      <x:c r="D3518" s="31" t="str">
        <x:f>IF(OR(ISBLANK(B3518),ISBLANK(C3518),B3518=0),"",(C3518-B3518)/B3518)</x:f>
      </x:c>
      <x:c r="E3518" s="22" t="str">
        <x:f>IF(ISBLANK(C3518),"AmountIncludingTax缺失",IF(ABS(B3518-C3518)&lt;0.005,"一致","不一致"))</x:f>
        <x:v>AmountIncludingTax缺失</x:v>
      </x:c>
      <x:c r="F3518" s="19" t="str">
        <x:v>approved</x:v>
      </x:c>
      <x:c r="G3518" s="19" t="str">
        <x:v>Repairer Invoiced Processed</x:v>
      </x:c>
      <x:c r="H3518" s="19" t="str">
        <x:v>In Field</x:v>
      </x:c>
      <x:c r="I3518" s="37" t="n">
        <x:v>46097</x:v>
      </x:c>
      <x:c r="J3518" s="37" t="n">
        <x:v>46097</x:v>
      </x:c>
      <x:c r="K3518" s="19" t="str">
        <x:v>Green RV - Forest Glen</x:v>
      </x:c>
      <x:c r="L3518" s="19" t="str">
        <x:v>Z006</x:v>
      </x:c>
      <x:c r="M3518" s="19" t="str">
        <x:v>In Field Warranty Claims</x:v>
      </x:c>
      <x:c r="N3518" s="37" t="n">
        <x:v>46065</x:v>
      </x:c>
      <x:c r="O3518" s="37"/>
      <x:c r="P3518" s="34" t="n">
        <x:v>0</x:v>
      </x:c>
      <x:c r="Q3518" s="37" t="n">
        <x:v>46097.075150462966</x:v>
      </x:c>
    </x:row>
    <x:row r="3519">
      <x:c r="A3519" s="22" t="n">
        <x:v>31071</x:v>
      </x:c>
      <x:c r="B3519" s="28" t="n">
        <x:v>1986.92</x:v>
      </x:c>
      <x:c r="C3519" s="28"/>
      <x:c r="D3519" s="31" t="str">
        <x:f>IF(OR(ISBLANK(B3519),ISBLANK(C3519),B3519=0),"",(C3519-B3519)/B3519)</x:f>
      </x:c>
      <x:c r="E3519" s="22" t="str">
        <x:f>IF(ISBLANK(C3519),"AmountIncludingTax缺失",IF(ABS(B3519-C3519)&lt;0.005,"一致","不一致"))</x:f>
        <x:v>AmountIncludingTax缺失</x:v>
      </x:c>
      <x:c r="F3519" s="19" t="str">
        <x:v>approved</x:v>
      </x:c>
      <x:c r="G3519" s="19" t="str">
        <x:v>Repair in Progress</x:v>
      </x:c>
      <x:c r="H3519" s="19" t="str">
        <x:v>Pre Delivery</x:v>
      </x:c>
      <x:c r="I3519" s="37" t="n">
        <x:v>46070</x:v>
      </x:c>
      <x:c r="J3519" s="37" t="n">
        <x:v>46070</x:v>
      </x:c>
      <x:c r="K3519" s="19" t="str">
        <x:v>The Caravan Hub - Townsville</x:v>
      </x:c>
      <x:c r="L3519" s="19" t="str">
        <x:v>Z005</x:v>
      </x:c>
      <x:c r="M3519" s="19" t="str">
        <x:v>Pre Delivery Warranty Claims</x:v>
      </x:c>
      <x:c r="N3519" s="37" t="n">
        <x:v>46065</x:v>
      </x:c>
      <x:c r="O3519" s="37"/>
      <x:c r="P3519" s="34" t="n">
        <x:v>2185.61</x:v>
      </x:c>
      <x:c r="Q3519" s="37" t="n">
        <x:v>46070.0859375</x:v>
      </x:c>
    </x:row>
    <x:row r="3520">
      <x:c r="A3520" s="22" t="n">
        <x:v>31060</x:v>
      </x:c>
      <x:c r="B3520" s="28" t="n">
        <x:v>742.5</x:v>
      </x:c>
      <x:c r="C3520" s="28" t="n">
        <x:v>816.75</x:v>
      </x:c>
      <x:c r="D3520" s="31" t="n">
        <x:f>IF(OR(ISBLANK(B3520),ISBLANK(C3520),B3520=0),"",(C3520-B3520)/B3520)</x:f>
        <x:v>0.1</x:v>
      </x:c>
      <x:c r="E3520" s="22" t="str">
        <x:f>IF(ISBLANK(C3520),"AmountIncludingTax缺失",IF(ABS(B3520-C3520)&lt;0.005,"一致","不一致"))</x:f>
        <x:v>不一致</x:v>
      </x:c>
      <x:c r="F3520" s="19" t="str">
        <x:v>approved</x:v>
      </x:c>
      <x:c r="G3520" s="19" t="str">
        <x:v>Repairer Invoiced Processed</x:v>
      </x:c>
      <x:c r="H3520" s="19" t="str">
        <x:v>Pre Delivery</x:v>
      </x:c>
      <x:c r="I3520" s="37" t="n">
        <x:v>46136</x:v>
      </x:c>
      <x:c r="J3520" s="37" t="n">
        <x:v>46136</x:v>
      </x:c>
      <x:c r="K3520" s="19" t="str">
        <x:v>Great Ocean Road RV &amp; Caravans - Warrnambool</x:v>
      </x:c>
      <x:c r="L3520" s="19" t="str">
        <x:v>Z005</x:v>
      </x:c>
      <x:c r="M3520" s="19" t="str">
        <x:v>Pre Delivery Warranty Claims</x:v>
      </x:c>
      <x:c r="N3520" s="37" t="n">
        <x:v>46065</x:v>
      </x:c>
      <x:c r="O3520" s="37"/>
      <x:c r="P3520" s="34" t="n">
        <x:v>816.75</x:v>
      </x:c>
      <x:c r="Q3520" s="37" t="n">
        <x:v>46135.92625</x:v>
      </x:c>
    </x:row>
    <x:row r="3521">
      <x:c r="A3521" s="22" t="n">
        <x:v>31059</x:v>
      </x:c>
      <x:c r="B3521" s="28" t="n">
        <x:v>435</x:v>
      </x:c>
      <x:c r="C3521" s="28"/>
      <x:c r="D3521" s="31" t="str">
        <x:f>IF(OR(ISBLANK(B3521),ISBLANK(C3521),B3521=0),"",(C3521-B3521)/B3521)</x:f>
      </x:c>
      <x:c r="E3521" s="22" t="str">
        <x:f>IF(ISBLANK(C3521),"AmountIncludingTax缺失",IF(ABS(B3521-C3521)&lt;0.005,"一致","不一致"))</x:f>
        <x:v>AmountIncludingTax缺失</x:v>
      </x:c>
      <x:c r="F3521" s="19" t="str">
        <x:v>approved</x:v>
      </x:c>
      <x:c r="G3521" s="19" t="str">
        <x:v>Repair in Progress</x:v>
      </x:c>
      <x:c r="H3521" s="19" t="str">
        <x:v>In Field</x:v>
      </x:c>
      <x:c r="I3521" s="37" t="n">
        <x:v>46104</x:v>
      </x:c>
      <x:c r="J3521" s="37" t="n">
        <x:v>46104</x:v>
      </x:c>
      <x:c r="K3521" s="19" t="str">
        <x:v>Green RV - Forest Glen</x:v>
      </x:c>
      <x:c r="L3521" s="19" t="str">
        <x:v>Z006</x:v>
      </x:c>
      <x:c r="M3521" s="19" t="str">
        <x:v>In Field Warranty Claims</x:v>
      </x:c>
      <x:c r="N3521" s="37" t="n">
        <x:v>46065</x:v>
      </x:c>
      <x:c r="O3521" s="37"/>
      <x:c r="P3521" s="34" t="n">
        <x:v>0</x:v>
      </x:c>
      <x:c r="Q3521" s="37" t="n">
        <x:v>46103.90216435185</x:v>
      </x:c>
    </x:row>
    <x:row r="3522">
      <x:c r="A3522" s="22" t="n">
        <x:v>31058</x:v>
      </x:c>
      <x:c r="B3522" s="28" t="n">
        <x:v>1671.75</x:v>
      </x:c>
      <x:c r="C3522" s="28"/>
      <x:c r="D3522" s="31" t="str">
        <x:f>IF(OR(ISBLANK(B3522),ISBLANK(C3522),B3522=0),"",(C3522-B3522)/B3522)</x:f>
      </x:c>
      <x:c r="E3522" s="22" t="str">
        <x:f>IF(ISBLANK(C3522),"AmountIncludingTax缺失",IF(ABS(B3522-C3522)&lt;0.005,"一致","不一致"))</x:f>
        <x:v>AmountIncludingTax缺失</x:v>
      </x:c>
      <x:c r="F3522" s="19" t="str">
        <x:v>approved</x:v>
      </x:c>
      <x:c r="G3522" s="19" t="str">
        <x:v>Repair in Progress</x:v>
      </x:c>
      <x:c r="H3522" s="19" t="str">
        <x:v>In Field</x:v>
      </x:c>
      <x:c r="I3522" s="37" t="n">
        <x:v>46101</x:v>
      </x:c>
      <x:c r="J3522" s="37" t="n">
        <x:v>46101</x:v>
      </x:c>
      <x:c r="K3522" s="19" t="str">
        <x:v>Green RV - Forest Glen</x:v>
      </x:c>
      <x:c r="L3522" s="19" t="str">
        <x:v>Z006</x:v>
      </x:c>
      <x:c r="M3522" s="19" t="str">
        <x:v>In Field Warranty Claims</x:v>
      </x:c>
      <x:c r="N3522" s="37" t="n">
        <x:v>46065</x:v>
      </x:c>
      <x:c r="O3522" s="37"/>
      <x:c r="P3522" s="34" t="n">
        <x:v>0</x:v>
      </x:c>
      <x:c r="Q3522" s="37" t="n">
        <x:v>46101.48855324074</x:v>
      </x:c>
    </x:row>
    <x:row r="3523">
      <x:c r="A3523" s="22" t="n">
        <x:v>31057</x:v>
      </x:c>
      <x:c r="B3523" s="28" t="n">
        <x:v>250</x:v>
      </x:c>
      <x:c r="C3523" s="28"/>
      <x:c r="D3523" s="31" t="str">
        <x:f>IF(OR(ISBLANK(B3523),ISBLANK(C3523),B3523=0),"",(C3523-B3523)/B3523)</x:f>
      </x:c>
      <x:c r="E3523" s="22" t="str">
        <x:f>IF(ISBLANK(C3523),"AmountIncludingTax缺失",IF(ABS(B3523-C3523)&lt;0.005,"一致","不一致"))</x:f>
        <x:v>AmountIncludingTax缺失</x:v>
      </x:c>
      <x:c r="F3523" s="19" t="str">
        <x:v>approved</x:v>
      </x:c>
      <x:c r="G3523" s="19" t="str">
        <x:v>Repairer Invoiced Processed</x:v>
      </x:c>
      <x:c r="H3523" s="19" t="str">
        <x:v>In Field</x:v>
      </x:c>
      <x:c r="I3523" s="37" t="n">
        <x:v>46066</x:v>
      </x:c>
      <x:c r="J3523" s="37" t="n">
        <x:v>46066</x:v>
      </x:c>
      <x:c r="K3523" s="19" t="str">
        <x:v>Auswide Caravans - South Nowra</x:v>
      </x:c>
      <x:c r="L3523" s="19" t="str">
        <x:v>Z006</x:v>
      </x:c>
      <x:c r="M3523" s="19" t="str">
        <x:v>In Field Warranty Claims</x:v>
      </x:c>
      <x:c r="N3523" s="37" t="n">
        <x:v>46065</x:v>
      </x:c>
      <x:c r="O3523" s="37"/>
      <x:c r="P3523" s="34" t="n">
        <x:v>0</x:v>
      </x:c>
      <x:c r="Q3523" s="37" t="n">
        <x:v>46065.993125</x:v>
      </x:c>
    </x:row>
    <x:row r="3524">
      <x:c r="A3524" s="22" t="n">
        <x:v>31056</x:v>
      </x:c>
      <x:c r="B3524" s="28" t="n">
        <x:v>575.45</x:v>
      </x:c>
      <x:c r="C3524" s="28"/>
      <x:c r="D3524" s="31" t="str">
        <x:f>IF(OR(ISBLANK(B3524),ISBLANK(C3524),B3524=0),"",(C3524-B3524)/B3524)</x:f>
      </x:c>
      <x:c r="E3524" s="22" t="str">
        <x:f>IF(ISBLANK(C3524),"AmountIncludingTax缺失",IF(ABS(B3524-C3524)&lt;0.005,"一致","不一致"))</x:f>
        <x:v>AmountIncludingTax缺失</x:v>
      </x:c>
      <x:c r="F3524" s="19" t="str">
        <x:v>approved</x:v>
      </x:c>
      <x:c r="G3524" s="19" t="str">
        <x:v>Repairer Invoiced Processed</x:v>
      </x:c>
      <x:c r="H3524" s="19" t="str">
        <x:v>In Field</x:v>
      </x:c>
      <x:c r="I3524" s="37" t="n">
        <x:v>46210</x:v>
      </x:c>
      <x:c r="J3524" s="37" t="n">
        <x:v>46104</x:v>
      </x:c>
      <x:c r="K3524" s="19" t="str">
        <x:v>Bendigo Caravan Group - Bendigo</x:v>
      </x:c>
      <x:c r="L3524" s="19" t="str">
        <x:v>Z006</x:v>
      </x:c>
      <x:c r="M3524" s="19" t="str">
        <x:v>In Field Warranty Claims</x:v>
      </x:c>
      <x:c r="N3524" s="37" t="n">
        <x:v>46065</x:v>
      </x:c>
      <x:c r="O3524" s="37"/>
      <x:c r="P3524" s="34" t="n">
        <x:v>0</x:v>
      </x:c>
      <x:c r="Q3524" s="37" t="n">
        <x:v>46210.17511574074</x:v>
      </x:c>
    </x:row>
    <x:row r="3525">
      <x:c r="A3525" s="22" t="n">
        <x:v>31055</x:v>
      </x:c>
      <x:c r="B3525" s="28" t="n">
        <x:v>45.68</x:v>
      </x:c>
      <x:c r="C3525" s="28" t="n">
        <x:v>50.25</x:v>
      </x:c>
      <x:c r="D3525" s="31" t="n">
        <x:f>IF(OR(ISBLANK(B3525),ISBLANK(C3525),B3525=0),"",(C3525-B3525)/B3525)</x:f>
        <x:v>0.10004378283712785</x:v>
      </x:c>
      <x:c r="E3525" s="22" t="str">
        <x:f>IF(ISBLANK(C3525),"AmountIncludingTax缺失",IF(ABS(B3525-C3525)&lt;0.005,"一致","不一致"))</x:f>
        <x:v>不一致</x:v>
      </x:c>
      <x:c r="F3525" s="19" t="str">
        <x:v>approved</x:v>
      </x:c>
      <x:c r="G3525" s="19" t="str">
        <x:v>Repairer Invoiced Processed</x:v>
      </x:c>
      <x:c r="H3525" s="19" t="str">
        <x:v>In Field</x:v>
      </x:c>
      <x:c r="I3525" s="37" t="n">
        <x:v>46183</x:v>
      </x:c>
      <x:c r="J3525" s="37" t="n">
        <x:v>46183</x:v>
      </x:c>
      <x:c r="K3525" s="19" t="str">
        <x:v>Not Assigned</x:v>
      </x:c>
      <x:c r="L3525" s="19" t="str">
        <x:v>Z006</x:v>
      </x:c>
      <x:c r="M3525" s="19" t="str">
        <x:v>In Field Warranty Claims</x:v>
      </x:c>
      <x:c r="N3525" s="37" t="n">
        <x:v>46065</x:v>
      </x:c>
      <x:c r="O3525" s="37" t="n">
        <x:v>46129</x:v>
      </x:c>
      <x:c r="P3525" s="34" t="n">
        <x:v>50.25</x:v>
      </x:c>
      <x:c r="Q3525" s="37" t="n">
        <x:v>46183.188101851854</x:v>
      </x:c>
    </x:row>
    <x:row r="3526">
      <x:c r="A3526" s="22" t="n">
        <x:v>31054</x:v>
      </x:c>
      <x:c r="B3526" s="28" t="n">
        <x:v>768.75</x:v>
      </x:c>
      <x:c r="C3526" s="28"/>
      <x:c r="D3526" s="31" t="str">
        <x:f>IF(OR(ISBLANK(B3526),ISBLANK(C3526),B3526=0),"",(C3526-B3526)/B3526)</x:f>
      </x:c>
      <x:c r="E3526" s="22" t="str">
        <x:f>IF(ISBLANK(C3526),"AmountIncludingTax缺失",IF(ABS(B3526-C3526)&lt;0.005,"一致","不一致"))</x:f>
        <x:v>AmountIncludingTax缺失</x:v>
      </x:c>
      <x:c r="F3526" s="19" t="str">
        <x:v>approved</x:v>
      </x:c>
      <x:c r="G3526" s="19" t="str">
        <x:v>Repairer Invoiced Processed</x:v>
      </x:c>
      <x:c r="H3526" s="19" t="str">
        <x:v>In Field</x:v>
      </x:c>
      <x:c r="I3526" s="37" t="n">
        <x:v>46101</x:v>
      </x:c>
      <x:c r="J3526" s="37" t="n">
        <x:v>46101</x:v>
      </x:c>
      <x:c r="K3526" s="19" t="str">
        <x:v>QCCC - Gympie</x:v>
      </x:c>
      <x:c r="L3526" s="19" t="str">
        <x:v>Z006</x:v>
      </x:c>
      <x:c r="M3526" s="19" t="str">
        <x:v>In Field Warranty Claims</x:v>
      </x:c>
      <x:c r="N3526" s="37" t="n">
        <x:v>46065</x:v>
      </x:c>
      <x:c r="O3526" s="37"/>
      <x:c r="P3526" s="34" t="n">
        <x:v>0</x:v>
      </x:c>
      <x:c r="Q3526" s="37" t="n">
        <x:v>46100.95559027778</x:v>
      </x:c>
    </x:row>
    <x:row r="3527">
      <x:c r="A3527" s="22" t="n">
        <x:v>31053</x:v>
      </x:c>
      <x:c r="B3527" s="28" t="n">
        <x:v>547.5</x:v>
      </x:c>
      <x:c r="C3527" s="28"/>
      <x:c r="D3527" s="31" t="str">
        <x:f>IF(OR(ISBLANK(B3527),ISBLANK(C3527),B3527=0),"",(C3527-B3527)/B3527)</x:f>
      </x:c>
      <x:c r="E3527" s="22" t="str">
        <x:f>IF(ISBLANK(C3527),"AmountIncludingTax缺失",IF(ABS(B3527-C3527)&lt;0.005,"一致","不一致"))</x:f>
        <x:v>AmountIncludingTax缺失</x:v>
      </x:c>
      <x:c r="F3527" s="19" t="str">
        <x:v>approved</x:v>
      </x:c>
      <x:c r="G3527" s="19" t="str">
        <x:v>Repair in Progress</x:v>
      </x:c>
      <x:c r="H3527" s="19" t="str">
        <x:v>In Field</x:v>
      </x:c>
      <x:c r="I3527" s="37" t="n">
        <x:v>46111</x:v>
      </x:c>
      <x:c r="J3527" s="37" t="n">
        <x:v>46111</x:v>
      </x:c>
      <x:c r="K3527" s="19" t="str">
        <x:v>Dario Caravans - Pooraka</x:v>
      </x:c>
      <x:c r="L3527" s="19" t="str">
        <x:v>Z006</x:v>
      </x:c>
      <x:c r="M3527" s="19" t="str">
        <x:v>In Field Warranty Claims</x:v>
      </x:c>
      <x:c r="N3527" s="37" t="n">
        <x:v>46064</x:v>
      </x:c>
      <x:c r="O3527" s="37"/>
      <x:c r="P3527" s="34" t="n">
        <x:v>0</x:v>
      </x:c>
      <x:c r="Q3527" s="37" t="n">
        <x:v>46111.22421296296</x:v>
      </x:c>
    </x:row>
    <x:row r="3528">
      <x:c r="A3528" s="22" t="n">
        <x:v>31051</x:v>
      </x:c>
      <x:c r="B3528" s="28" t="n">
        <x:v>486.25</x:v>
      </x:c>
      <x:c r="C3528" s="28" t="n">
        <x:v>440.25</x:v>
      </x:c>
      <x:c r="D3528" s="31" t="n">
        <x:f>IF(OR(ISBLANK(B3528),ISBLANK(C3528),B3528=0),"",(C3528-B3528)/B3528)</x:f>
        <x:v>-0.09460154241645244</x:v>
      </x:c>
      <x:c r="E3528" s="22" t="str">
        <x:f>IF(ISBLANK(C3528),"AmountIncludingTax缺失",IF(ABS(B3528-C3528)&lt;0.005,"一致","不一致"))</x:f>
        <x:v>不一致</x:v>
      </x:c>
      <x:c r="F3528" s="19" t="str">
        <x:v>approved</x:v>
      </x:c>
      <x:c r="G3528" s="19" t="str">
        <x:v>Repairer Invoiced Processed</x:v>
      </x:c>
      <x:c r="H3528" s="19" t="str">
        <x:v>In Field</x:v>
      </x:c>
      <x:c r="I3528" s="37" t="n">
        <x:v>46162</x:v>
      </x:c>
      <x:c r="J3528" s="37" t="n">
        <x:v>46162</x:v>
      </x:c>
      <x:c r="K3528" s="19" t="str">
        <x:v>Not Assigned</x:v>
      </x:c>
      <x:c r="L3528" s="19" t="str">
        <x:v>Z006</x:v>
      </x:c>
      <x:c r="M3528" s="19" t="str">
        <x:v>In Field Warranty Claims</x:v>
      </x:c>
      <x:c r="N3528" s="37" t="n">
        <x:v>46064</x:v>
      </x:c>
      <x:c r="O3528" s="37"/>
      <x:c r="P3528" s="34" t="n">
        <x:v>440.25</x:v>
      </x:c>
      <x:c r="Q3528" s="37" t="n">
        <x:v>46162.15975694444</x:v>
      </x:c>
    </x:row>
    <x:row r="3529">
      <x:c r="A3529" s="22" t="n">
        <x:v>31049</x:v>
      </x:c>
      <x:c r="B3529" s="28" t="n">
        <x:v>472.5</x:v>
      </x:c>
      <x:c r="C3529" s="28"/>
      <x:c r="D3529" s="31" t="str">
        <x:f>IF(OR(ISBLANK(B3529),ISBLANK(C3529),B3529=0),"",(C3529-B3529)/B3529)</x:f>
      </x:c>
      <x:c r="E3529" s="22" t="str">
        <x:f>IF(ISBLANK(C3529),"AmountIncludingTax缺失",IF(ABS(B3529-C3529)&lt;0.005,"一致","不一致"))</x:f>
        <x:v>AmountIncludingTax缺失</x:v>
      </x:c>
      <x:c r="F3529" s="19" t="str">
        <x:v>approved</x:v>
      </x:c>
      <x:c r="G3529" s="19" t="str">
        <x:v>Repair in Progress</x:v>
      </x:c>
      <x:c r="H3529" s="19" t="str">
        <x:v>In Field</x:v>
      </x:c>
      <x:c r="I3529" s="37" t="n">
        <x:v>46107</x:v>
      </x:c>
      <x:c r="J3529" s="37" t="n">
        <x:v>46107</x:v>
      </x:c>
      <x:c r="K3529" s="19" t="str">
        <x:v>Not Assigned</x:v>
      </x:c>
      <x:c r="L3529" s="19" t="str">
        <x:v>Z006</x:v>
      </x:c>
      <x:c r="M3529" s="19" t="str">
        <x:v>In Field Warranty Claims</x:v>
      </x:c>
      <x:c r="N3529" s="37" t="n">
        <x:v>46065</x:v>
      </x:c>
      <x:c r="O3529" s="37"/>
      <x:c r="P3529" s="34" t="n">
        <x:v>0</x:v>
      </x:c>
      <x:c r="Q3529" s="37" t="n">
        <x:v>46107.055</x:v>
      </x:c>
    </x:row>
    <x:row r="3530">
      <x:c r="A3530" s="22" t="n">
        <x:v>31048</x:v>
      </x:c>
      <x:c r="B3530" s="28" t="n">
        <x:v>2441.5</x:v>
      </x:c>
      <x:c r="C3530" s="28"/>
      <x:c r="D3530" s="31" t="str">
        <x:f>IF(OR(ISBLANK(B3530),ISBLANK(C3530),B3530=0),"",(C3530-B3530)/B3530)</x:f>
      </x:c>
      <x:c r="E3530" s="22" t="str">
        <x:f>IF(ISBLANK(C3530),"AmountIncludingTax缺失",IF(ABS(B3530-C3530)&lt;0.005,"一致","不一致"))</x:f>
        <x:v>AmountIncludingTax缺失</x:v>
      </x:c>
      <x:c r="F3530" s="19" t="str">
        <x:v>approved</x:v>
      </x:c>
      <x:c r="G3530" s="19" t="str">
        <x:v>Repair in Progress</x:v>
      </x:c>
      <x:c r="H3530" s="19" t="str">
        <x:v>In Field</x:v>
      </x:c>
      <x:c r="I3530" s="37" t="n">
        <x:v>46078</x:v>
      </x:c>
      <x:c r="J3530" s="37" t="n">
        <x:v>46078</x:v>
      </x:c>
      <x:c r="K3530" s="19" t="str">
        <x:v>The Caravan Hub - Townsville</x:v>
      </x:c>
      <x:c r="L3530" s="19" t="str">
        <x:v>Z006</x:v>
      </x:c>
      <x:c r="M3530" s="19" t="str">
        <x:v>In Field Warranty Claims</x:v>
      </x:c>
      <x:c r="N3530" s="37" t="n">
        <x:v>46065</x:v>
      </x:c>
      <x:c r="O3530" s="37"/>
      <x:c r="P3530" s="34" t="n">
        <x:v>0</x:v>
      </x:c>
      <x:c r="Q3530" s="37" t="n">
        <x:v>46078.247025462966</x:v>
      </x:c>
    </x:row>
    <x:row r="3531">
      <x:c r="A3531" s="22" t="n">
        <x:v>31045</x:v>
      </x:c>
      <x:c r="B3531" s="28" t="n">
        <x:v>405</x:v>
      </x:c>
      <x:c r="C3531" s="28"/>
      <x:c r="D3531" s="31" t="str">
        <x:f>IF(OR(ISBLANK(B3531),ISBLANK(C3531),B3531=0),"",(C3531-B3531)/B3531)</x:f>
      </x:c>
      <x:c r="E3531" s="22" t="str">
        <x:f>IF(ISBLANK(C3531),"AmountIncludingTax缺失",IF(ABS(B3531-C3531)&lt;0.005,"一致","不一致"))</x:f>
        <x:v>AmountIncludingTax缺失</x:v>
      </x:c>
      <x:c r="F3531" s="19" t="str">
        <x:v>approved</x:v>
      </x:c>
      <x:c r="G3531" s="19" t="str">
        <x:v>Repair in Progress</x:v>
      </x:c>
      <x:c r="H3531" s="19" t="str">
        <x:v>In Field</x:v>
      </x:c>
      <x:c r="I3531" s="37" t="n">
        <x:v>46070</x:v>
      </x:c>
      <x:c r="J3531" s="37" t="n">
        <x:v>46070</x:v>
      </x:c>
      <x:c r="K3531" s="19" t="str">
        <x:v>Snowy River Launceston</x:v>
      </x:c>
      <x:c r="L3531" s="19" t="str">
        <x:v>Z006</x:v>
      </x:c>
      <x:c r="M3531" s="19" t="str">
        <x:v>In Field Warranty Claims</x:v>
      </x:c>
      <x:c r="N3531" s="37" t="n">
        <x:v>46065</x:v>
      </x:c>
      <x:c r="O3531" s="37"/>
      <x:c r="P3531" s="34" t="n">
        <x:v>0</x:v>
      </x:c>
      <x:c r="Q3531" s="37" t="n">
        <x:v>46070.101956018516</x:v>
      </x:c>
    </x:row>
    <x:row r="3532">
      <x:c r="A3532" s="22" t="n">
        <x:v>31043</x:v>
      </x:c>
      <x:c r="B3532" s="28" t="n">
        <x:v>270</x:v>
      </x:c>
      <x:c r="C3532" s="28"/>
      <x:c r="D3532" s="31" t="str">
        <x:f>IF(OR(ISBLANK(B3532),ISBLANK(C3532),B3532=0),"",(C3532-B3532)/B3532)</x:f>
      </x:c>
      <x:c r="E3532" s="22" t="str">
        <x:f>IF(ISBLANK(C3532),"AmountIncludingTax缺失",IF(ABS(B3532-C3532)&lt;0.005,"一致","不一致"))</x:f>
        <x:v>AmountIncludingTax缺失</x:v>
      </x:c>
      <x:c r="F3532" s="19" t="str">
        <x:v>approved</x:v>
      </x:c>
      <x:c r="G3532" s="19" t="str">
        <x:v>Repairer Invoiced Processed</x:v>
      </x:c>
      <x:c r="H3532" s="19" t="str">
        <x:v>In Field</x:v>
      </x:c>
      <x:c r="I3532" s="37" t="n">
        <x:v>46086</x:v>
      </x:c>
      <x:c r="J3532" s="37" t="n">
        <x:v>46070</x:v>
      </x:c>
      <x:c r="K3532" s="19" t="str">
        <x:v>Snowy River Launceston</x:v>
      </x:c>
      <x:c r="L3532" s="19" t="str">
        <x:v>Z006</x:v>
      </x:c>
      <x:c r="M3532" s="19" t="str">
        <x:v>In Field Warranty Claims</x:v>
      </x:c>
      <x:c r="N3532" s="37" t="n">
        <x:v>46064</x:v>
      </x:c>
      <x:c r="O3532" s="37"/>
      <x:c r="P3532" s="34" t="n">
        <x:v>0</x:v>
      </x:c>
      <x:c r="Q3532" s="37" t="n">
        <x:v>46086.21125</x:v>
      </x:c>
    </x:row>
    <x:row r="3533">
      <x:c r="A3533" s="22" t="n">
        <x:v>31042</x:v>
      </x:c>
      <x:c r="B3533" s="28" t="n">
        <x:v>82.5</x:v>
      </x:c>
      <x:c r="C3533" s="28"/>
      <x:c r="D3533" s="31" t="str">
        <x:f>IF(OR(ISBLANK(B3533),ISBLANK(C3533),B3533=0),"",(C3533-B3533)/B3533)</x:f>
      </x:c>
      <x:c r="E3533" s="22" t="str">
        <x:f>IF(ISBLANK(C3533),"AmountIncludingTax缺失",IF(ABS(B3533-C3533)&lt;0.005,"一致","不一致"))</x:f>
        <x:v>AmountIncludingTax缺失</x:v>
      </x:c>
      <x:c r="F3533" s="19" t="str">
        <x:v>approved</x:v>
      </x:c>
      <x:c r="G3533" s="19" t="str">
        <x:v>Repair in Progress</x:v>
      </x:c>
      <x:c r="H3533" s="19" t="str">
        <x:v>In Field</x:v>
      </x:c>
      <x:c r="I3533" s="37" t="n">
        <x:v>46107</x:v>
      </x:c>
      <x:c r="J3533" s="37" t="n">
        <x:v>46107</x:v>
      </x:c>
      <x:c r="K3533" s="19" t="str">
        <x:v>The Caravan Hub - Townsville</x:v>
      </x:c>
      <x:c r="L3533" s="19" t="str">
        <x:v>Z006</x:v>
      </x:c>
      <x:c r="M3533" s="19" t="str">
        <x:v>In Field Warranty Claims</x:v>
      </x:c>
      <x:c r="N3533" s="37" t="n">
        <x:v>46064</x:v>
      </x:c>
      <x:c r="O3533" s="37"/>
      <x:c r="P3533" s="34" t="n">
        <x:v>0</x:v>
      </x:c>
      <x:c r="Q3533" s="37" t="n">
        <x:v>46106.986909722225</x:v>
      </x:c>
    </x:row>
    <x:row r="3534">
      <x:c r="A3534" s="22" t="n">
        <x:v>31039</x:v>
      </x:c>
      <x:c r="B3534" s="28" t="n">
        <x:v>540</x:v>
      </x:c>
      <x:c r="C3534" s="28" t="n">
        <x:v>594</x:v>
      </x:c>
      <x:c r="D3534" s="31" t="n">
        <x:f>IF(OR(ISBLANK(B3534),ISBLANK(C3534),B3534=0),"",(C3534-B3534)/B3534)</x:f>
        <x:v>0.1</x:v>
      </x:c>
      <x:c r="E3534" s="22" t="str">
        <x:f>IF(ISBLANK(C3534),"AmountIncludingTax缺失",IF(ABS(B3534-C3534)&lt;0.005,"一致","不一致"))</x:f>
        <x:v>不一致</x:v>
      </x:c>
      <x:c r="F3534" s="19" t="str">
        <x:v>approved</x:v>
      </x:c>
      <x:c r="G3534" s="19" t="str">
        <x:v>Repairer Invoiced Processed</x:v>
      </x:c>
      <x:c r="H3534" s="19" t="str">
        <x:v>Pre Delivery</x:v>
      </x:c>
      <x:c r="I3534" s="37" t="n">
        <x:v>46092</x:v>
      </x:c>
      <x:c r="J3534" s="37" t="n">
        <x:v>46092</x:v>
      </x:c>
      <x:c r="K3534" s="19" t="str">
        <x:v>Great Ocean Road RV &amp; Caravans - Warrnambool</x:v>
      </x:c>
      <x:c r="L3534" s="19" t="str">
        <x:v>Z005</x:v>
      </x:c>
      <x:c r="M3534" s="19" t="str">
        <x:v>Pre Delivery Warranty Claims</x:v>
      </x:c>
      <x:c r="N3534" s="37" t="n">
        <x:v>46064</x:v>
      </x:c>
      <x:c r="O3534" s="37"/>
      <x:c r="P3534" s="34" t="n">
        <x:v>594</x:v>
      </x:c>
      <x:c r="Q3534" s="37" t="n">
        <x:v>46091.91673611111</x:v>
      </x:c>
    </x:row>
    <x:row r="3535">
      <x:c r="A3535" s="22" t="n">
        <x:v>31038</x:v>
      </x:c>
      <x:c r="B3535" s="28" t="n">
        <x:v>580</x:v>
      </x:c>
      <x:c r="C3535" s="28"/>
      <x:c r="D3535" s="31" t="str">
        <x:f>IF(OR(ISBLANK(B3535),ISBLANK(C3535),B3535=0),"",(C3535-B3535)/B3535)</x:f>
      </x:c>
      <x:c r="E3535" s="22" t="str">
        <x:f>IF(ISBLANK(C3535),"AmountIncludingTax缺失",IF(ABS(B3535-C3535)&lt;0.005,"一致","不一致"))</x:f>
        <x:v>AmountIncludingTax缺失</x:v>
      </x:c>
      <x:c r="F3535" s="19" t="str">
        <x:v>approved</x:v>
      </x:c>
      <x:c r="G3535" s="19" t="str">
        <x:v>Repairer Invoiced Processed</x:v>
      </x:c>
      <x:c r="H3535" s="19" t="str">
        <x:v>In Field</x:v>
      </x:c>
      <x:c r="I3535" s="37" t="n">
        <x:v>46072</x:v>
      </x:c>
      <x:c r="J3535" s="37" t="n">
        <x:v>46072</x:v>
      </x:c>
      <x:c r="K3535" s="19" t="str">
        <x:v>Green RV - Forest Glen</x:v>
      </x:c>
      <x:c r="L3535" s="19" t="str">
        <x:v>Z006</x:v>
      </x:c>
      <x:c r="M3535" s="19" t="str">
        <x:v>In Field Warranty Claims</x:v>
      </x:c>
      <x:c r="N3535" s="37" t="n">
        <x:v>46064</x:v>
      </x:c>
      <x:c r="O3535" s="37"/>
      <x:c r="P3535" s="34" t="n">
        <x:v>0</x:v>
      </x:c>
      <x:c r="Q3535" s="37" t="n">
        <x:v>46072.177395833336</x:v>
      </x:c>
    </x:row>
    <x:row r="3536">
      <x:c r="A3536" s="22" t="n">
        <x:v>31037</x:v>
      </x:c>
      <x:c r="B3536" s="28" t="n">
        <x:v>816.25</x:v>
      </x:c>
      <x:c r="C3536" s="28"/>
      <x:c r="D3536" s="31" t="str">
        <x:f>IF(OR(ISBLANK(B3536),ISBLANK(C3536),B3536=0),"",(C3536-B3536)/B3536)</x:f>
      </x:c>
      <x:c r="E3536" s="22" t="str">
        <x:f>IF(ISBLANK(C3536),"AmountIncludingTax缺失",IF(ABS(B3536-C3536)&lt;0.005,"一致","不一致"))</x:f>
        <x:v>AmountIncludingTax缺失</x:v>
      </x:c>
      <x:c r="F3536" s="19" t="str">
        <x:v>approved</x:v>
      </x:c>
      <x:c r="G3536" s="19" t="str">
        <x:v>Repair in Progress</x:v>
      </x:c>
      <x:c r="H3536" s="19" t="str">
        <x:v>In Field</x:v>
      </x:c>
      <x:c r="I3536" s="37" t="n">
        <x:v>46073</x:v>
      </x:c>
      <x:c r="J3536" s="37" t="n">
        <x:v>46073</x:v>
      </x:c>
      <x:c r="K3536" s="19" t="str">
        <x:v>Green RV - Forest Glen</x:v>
      </x:c>
      <x:c r="L3536" s="19" t="str">
        <x:v>Z006</x:v>
      </x:c>
      <x:c r="M3536" s="19" t="str">
        <x:v>In Field Warranty Claims</x:v>
      </x:c>
      <x:c r="N3536" s="37" t="n">
        <x:v>46064</x:v>
      </x:c>
      <x:c r="O3536" s="37"/>
      <x:c r="P3536" s="34" t="n">
        <x:v>0</x:v>
      </x:c>
      <x:c r="Q3536" s="37" t="n">
        <x:v>46072.84609953704</x:v>
      </x:c>
    </x:row>
    <x:row r="3537">
      <x:c r="A3537" s="22" t="n">
        <x:v>31036</x:v>
      </x:c>
      <x:c r="B3537" s="28" t="n">
        <x:v>67.5</x:v>
      </x:c>
      <x:c r="C3537" s="28"/>
      <x:c r="D3537" s="31" t="str">
        <x:f>IF(OR(ISBLANK(B3537),ISBLANK(C3537),B3537=0),"",(C3537-B3537)/B3537)</x:f>
      </x:c>
      <x:c r="E3537" s="22" t="str">
        <x:f>IF(ISBLANK(C3537),"AmountIncludingTax缺失",IF(ABS(B3537-C3537)&lt;0.005,"一致","不一致"))</x:f>
        <x:v>AmountIncludingTax缺失</x:v>
      </x:c>
      <x:c r="F3537" s="19" t="str">
        <x:v>approved</x:v>
      </x:c>
      <x:c r="G3537" s="19" t="str">
        <x:v>Repair in Progress</x:v>
      </x:c>
      <x:c r="H3537" s="19" t="str">
        <x:v>Pre Delivery</x:v>
      </x:c>
      <x:c r="I3537" s="37" t="n">
        <x:v>46134</x:v>
      </x:c>
      <x:c r="J3537" s="37" t="n">
        <x:v>46134</x:v>
      </x:c>
      <x:c r="K3537" s="19" t="str">
        <x:v>Green RV - Forest Glen</x:v>
      </x:c>
      <x:c r="L3537" s="19" t="str">
        <x:v>Z005</x:v>
      </x:c>
      <x:c r="M3537" s="19" t="str">
        <x:v>Pre Delivery Warranty Claims</x:v>
      </x:c>
      <x:c r="N3537" s="37" t="n">
        <x:v>46064</x:v>
      </x:c>
      <x:c r="O3537" s="37"/>
      <x:c r="P3537" s="34" t="n">
        <x:v>0</x:v>
      </x:c>
      <x:c r="Q3537" s="37" t="n">
        <x:v>46134.19327546296</x:v>
      </x:c>
    </x:row>
    <x:row r="3538">
      <x:c r="A3538" s="22" t="n">
        <x:v>31035</x:v>
      </x:c>
      <x:c r="B3538" s="28" t="n">
        <x:v>682.73</x:v>
      </x:c>
      <x:c r="C3538" s="28"/>
      <x:c r="D3538" s="31" t="str">
        <x:f>IF(OR(ISBLANK(B3538),ISBLANK(C3538),B3538=0),"",(C3538-B3538)/B3538)</x:f>
      </x:c>
      <x:c r="E3538" s="22" t="str">
        <x:f>IF(ISBLANK(C3538),"AmountIncludingTax缺失",IF(ABS(B3538-C3538)&lt;0.005,"一致","不一致"))</x:f>
        <x:v>AmountIncludingTax缺失</x:v>
      </x:c>
      <x:c r="F3538" s="19" t="str">
        <x:v>approved</x:v>
      </x:c>
      <x:c r="G3538" s="19" t="str">
        <x:v>Repairer Invoiced Received</x:v>
      </x:c>
      <x:c r="H3538" s="19" t="str">
        <x:v>In Field</x:v>
      </x:c>
      <x:c r="I3538" s="37" t="n">
        <x:v>46070</x:v>
      </x:c>
      <x:c r="J3538" s="37" t="n">
        <x:v>46070</x:v>
      </x:c>
      <x:c r="K3538" s="19" t="str">
        <x:v>Green RV - Slacks Creek</x:v>
      </x:c>
      <x:c r="L3538" s="19" t="str">
        <x:v>Z006</x:v>
      </x:c>
      <x:c r="M3538" s="19" t="str">
        <x:v>In Field Warranty Claims</x:v>
      </x:c>
      <x:c r="N3538" s="37" t="n">
        <x:v>46064</x:v>
      </x:c>
      <x:c r="O3538" s="37"/>
      <x:c r="P3538" s="34" t="n">
        <x:v>0</x:v>
      </x:c>
      <x:c r="Q3538" s="37" t="n">
        <x:v>46070.154328703706</x:v>
      </x:c>
    </x:row>
    <x:row r="3539">
      <x:c r="A3539" s="22" t="n">
        <x:v>31034</x:v>
      </x:c>
      <x:c r="B3539" s="28" t="n">
        <x:v>996.36</x:v>
      </x:c>
      <x:c r="C3539" s="28"/>
      <x:c r="D3539" s="31" t="str">
        <x:f>IF(OR(ISBLANK(B3539),ISBLANK(C3539),B3539=0),"",(C3539-B3539)/B3539)</x:f>
      </x:c>
      <x:c r="E3539" s="22" t="str">
        <x:f>IF(ISBLANK(C3539),"AmountIncludingTax缺失",IF(ABS(B3539-C3539)&lt;0.005,"一致","不一致"))</x:f>
        <x:v>AmountIncludingTax缺失</x:v>
      </x:c>
      <x:c r="F3539" s="19" t="str">
        <x:v>approved</x:v>
      </x:c>
      <x:c r="G3539" s="19" t="str">
        <x:v>Repair in Progress</x:v>
      </x:c>
      <x:c r="H3539" s="19" t="str">
        <x:v>In Field</x:v>
      </x:c>
      <x:c r="I3539" s="37" t="n">
        <x:v>46070</x:v>
      </x:c>
      <x:c r="J3539" s="37" t="n">
        <x:v>46070</x:v>
      </x:c>
      <x:c r="K3539" s="19" t="str">
        <x:v>Green RV - Forest Glen</x:v>
      </x:c>
      <x:c r="L3539" s="19" t="str">
        <x:v>Z006</x:v>
      </x:c>
      <x:c r="M3539" s="19" t="str">
        <x:v>In Field Warranty Claims</x:v>
      </x:c>
      <x:c r="N3539" s="37" t="n">
        <x:v>46064</x:v>
      </x:c>
      <x:c r="O3539" s="37"/>
      <x:c r="P3539" s="34" t="n">
        <x:v>0</x:v>
      </x:c>
      <x:c r="Q3539" s="37" t="n">
        <x:v>46070.174791666665</x:v>
      </x:c>
    </x:row>
    <x:row r="3540">
      <x:c r="A3540" s="22" t="n">
        <x:v>31032</x:v>
      </x:c>
      <x:c r="B3540" s="28" t="n">
        <x:v>1005</x:v>
      </x:c>
      <x:c r="C3540" s="28"/>
      <x:c r="D3540" s="31" t="str">
        <x:f>IF(OR(ISBLANK(B3540),ISBLANK(C3540),B3540=0),"",(C3540-B3540)/B3540)</x:f>
      </x:c>
      <x:c r="E3540" s="22" t="str">
        <x:f>IF(ISBLANK(C3540),"AmountIncludingTax缺失",IF(ABS(B3540-C3540)&lt;0.005,"一致","不一致"))</x:f>
        <x:v>AmountIncludingTax缺失</x:v>
      </x:c>
      <x:c r="F3540" s="19" t="str">
        <x:v>approved</x:v>
      </x:c>
      <x:c r="G3540" s="19" t="str">
        <x:v>Repairer Invoiced Processed</x:v>
      </x:c>
      <x:c r="H3540" s="19" t="str">
        <x:v>Pre Delivery</x:v>
      </x:c>
      <x:c r="I3540" s="37" t="n">
        <x:v>46136</x:v>
      </x:c>
      <x:c r="J3540" s="37" t="n">
        <x:v>46136</x:v>
      </x:c>
      <x:c r="K3540" s="19" t="str">
        <x:v>Great Ocean Road RV &amp; Caravans - Warrnambool</x:v>
      </x:c>
      <x:c r="L3540" s="19" t="str">
        <x:v>Z005</x:v>
      </x:c>
      <x:c r="M3540" s="19" t="str">
        <x:v>Pre Delivery Warranty Claims</x:v>
      </x:c>
      <x:c r="N3540" s="37" t="n">
        <x:v>46064</x:v>
      </x:c>
      <x:c r="O3540" s="37"/>
      <x:c r="P3540" s="34" t="n">
        <x:v>0</x:v>
      </x:c>
      <x:c r="Q3540" s="37" t="n">
        <x:v>46136.02081018518</x:v>
      </x:c>
    </x:row>
    <x:row r="3541">
      <x:c r="A3541" s="22" t="n">
        <x:v>31030</x:v>
      </x:c>
      <x:c r="B3541" s="28" t="n">
        <x:v>1650</x:v>
      </x:c>
      <x:c r="C3541" s="28"/>
      <x:c r="D3541" s="31" t="str">
        <x:f>IF(OR(ISBLANK(B3541),ISBLANK(C3541),B3541=0),"",(C3541-B3541)/B3541)</x:f>
      </x:c>
      <x:c r="E3541" s="22" t="str">
        <x:f>IF(ISBLANK(C3541),"AmountIncludingTax缺失",IF(ABS(B3541-C3541)&lt;0.005,"一致","不一致"))</x:f>
        <x:v>AmountIncludingTax缺失</x:v>
      </x:c>
      <x:c r="F3541" s="19" t="str">
        <x:v>approved</x:v>
      </x:c>
      <x:c r="G3541" s="19" t="str">
        <x:v>Repair in Progress</x:v>
      </x:c>
      <x:c r="H3541" s="19" t="str">
        <x:v>In Field</x:v>
      </x:c>
      <x:c r="I3541" s="37" t="n">
        <x:v>46136</x:v>
      </x:c>
      <x:c r="J3541" s="37" t="n">
        <x:v>46136</x:v>
      </x:c>
      <x:c r="K3541" s="19" t="str">
        <x:v>Auswide Caravans - South Nowra</x:v>
      </x:c>
      <x:c r="L3541" s="19" t="str">
        <x:v>Z006</x:v>
      </x:c>
      <x:c r="M3541" s="19" t="str">
        <x:v>In Field Warranty Claims</x:v>
      </x:c>
      <x:c r="N3541" s="37" t="n">
        <x:v>46064</x:v>
      </x:c>
      <x:c r="O3541" s="37"/>
      <x:c r="P3541" s="34" t="n">
        <x:v>0</x:v>
      </x:c>
      <x:c r="Q3541" s="37" t="n">
        <x:v>46136.20712962963</x:v>
      </x:c>
    </x:row>
    <x:row r="3542">
      <x:c r="A3542" s="22" t="n">
        <x:v>31029</x:v>
      </x:c>
      <x:c r="B3542" s="28" t="n">
        <x:v>978.75</x:v>
      </x:c>
      <x:c r="C3542" s="28"/>
      <x:c r="D3542" s="31" t="str">
        <x:f>IF(OR(ISBLANK(B3542),ISBLANK(C3542),B3542=0),"",(C3542-B3542)/B3542)</x:f>
      </x:c>
      <x:c r="E3542" s="22" t="str">
        <x:f>IF(ISBLANK(C3542),"AmountIncludingTax缺失",IF(ABS(B3542-C3542)&lt;0.005,"一致","不一致"))</x:f>
        <x:v>AmountIncludingTax缺失</x:v>
      </x:c>
      <x:c r="F3542" s="19" t="str">
        <x:v>approved</x:v>
      </x:c>
      <x:c r="G3542" s="19" t="str">
        <x:v>Repairer Invoiced Processed</x:v>
      </x:c>
      <x:c r="H3542" s="19" t="str">
        <x:v>Pre Delivery</x:v>
      </x:c>
      <x:c r="I3542" s="37" t="n">
        <x:v>46133</x:v>
      </x:c>
      <x:c r="J3542" s="37" t="n">
        <x:v>46133</x:v>
      </x:c>
      <x:c r="K3542" s="19" t="str">
        <x:v>Great Ocean Road RV &amp; Caravans - Warrnambool</x:v>
      </x:c>
      <x:c r="L3542" s="19" t="str">
        <x:v>Z005</x:v>
      </x:c>
      <x:c r="M3542" s="19" t="str">
        <x:v>Pre Delivery Warranty Claims</x:v>
      </x:c>
      <x:c r="N3542" s="37" t="n">
        <x:v>46064</x:v>
      </x:c>
      <x:c r="O3542" s="37"/>
      <x:c r="P3542" s="34" t="n">
        <x:v>0</x:v>
      </x:c>
      <x:c r="Q3542" s="37" t="n">
        <x:v>46133.22099537037</x:v>
      </x:c>
    </x:row>
    <x:row r="3543">
      <x:c r="A3543" s="22" t="n">
        <x:v>31025</x:v>
      </x:c>
      <x:c r="B3543" s="28" t="n">
        <x:v>444.55</x:v>
      </x:c>
      <x:c r="C3543" s="28"/>
      <x:c r="D3543" s="31" t="str">
        <x:f>IF(OR(ISBLANK(B3543),ISBLANK(C3543),B3543=0),"",(C3543-B3543)/B3543)</x:f>
      </x:c>
      <x:c r="E3543" s="22" t="str">
        <x:f>IF(ISBLANK(C3543),"AmountIncludingTax缺失",IF(ABS(B3543-C3543)&lt;0.005,"一致","不一致"))</x:f>
        <x:v>AmountIncludingTax缺失</x:v>
      </x:c>
      <x:c r="F3543" s="19" t="str">
        <x:v>approved</x:v>
      </x:c>
      <x:c r="G3543" s="19" t="str">
        <x:v>Repairer Invoiced Processed</x:v>
      </x:c>
      <x:c r="H3543" s="19" t="str">
        <x:v>In Field</x:v>
      </x:c>
      <x:c r="I3543" s="37" t="n">
        <x:v>46071</x:v>
      </x:c>
      <x:c r="J3543" s="37" t="n">
        <x:v>46071</x:v>
      </x:c>
      <x:c r="K3543" s="19" t="str">
        <x:v>Dario Caravans -St.Marys</x:v>
      </x:c>
      <x:c r="L3543" s="19" t="str">
        <x:v>Z006</x:v>
      </x:c>
      <x:c r="M3543" s="19" t="str">
        <x:v>In Field Warranty Claims</x:v>
      </x:c>
      <x:c r="N3543" s="37" t="n">
        <x:v>46064</x:v>
      </x:c>
      <x:c r="O3543" s="37"/>
      <x:c r="P3543" s="34" t="n">
        <x:v>0</x:v>
      </x:c>
      <x:c r="Q3543" s="37" t="n">
        <x:v>46070.95674768519</x:v>
      </x:c>
    </x:row>
    <x:row r="3544">
      <x:c r="A3544" s="22" t="n">
        <x:v>31024</x:v>
      </x:c>
      <x:c r="B3544" s="28" t="n">
        <x:v>400</x:v>
      </x:c>
      <x:c r="C3544" s="28"/>
      <x:c r="D3544" s="31" t="str">
        <x:f>IF(OR(ISBLANK(B3544),ISBLANK(C3544),B3544=0),"",(C3544-B3544)/B3544)</x:f>
      </x:c>
      <x:c r="E3544" s="22" t="str">
        <x:f>IF(ISBLANK(C3544),"AmountIncludingTax缺失",IF(ABS(B3544-C3544)&lt;0.005,"一致","不一致"))</x:f>
        <x:v>AmountIncludingTax缺失</x:v>
      </x:c>
      <x:c r="F3544" s="19" t="str">
        <x:v>approved</x:v>
      </x:c>
      <x:c r="G3544" s="19" t="str">
        <x:v>Repair in Progress</x:v>
      </x:c>
      <x:c r="H3544" s="19" t="str">
        <x:v>In Field</x:v>
      </x:c>
      <x:c r="I3544" s="37" t="n">
        <x:v>46085</x:v>
      </x:c>
      <x:c r="J3544" s="37" t="n">
        <x:v>46085</x:v>
      </x:c>
      <x:c r="K3544" s="19" t="str">
        <x:v>Snowy River Geelong</x:v>
      </x:c>
      <x:c r="L3544" s="19" t="str">
        <x:v>Z006</x:v>
      </x:c>
      <x:c r="M3544" s="19" t="str">
        <x:v>In Field Warranty Claims</x:v>
      </x:c>
      <x:c r="N3544" s="37" t="n">
        <x:v>46064</x:v>
      </x:c>
      <x:c r="O3544" s="37"/>
      <x:c r="P3544" s="34" t="n">
        <x:v>0</x:v>
      </x:c>
      <x:c r="Q3544" s="37" t="n">
        <x:v>46084.871712962966</x:v>
      </x:c>
    </x:row>
    <x:row r="3545">
      <x:c r="A3545" s="22" t="n">
        <x:v>31023</x:v>
      </x:c>
      <x:c r="B3545" s="28" t="n">
        <x:v>1350</x:v>
      </x:c>
      <x:c r="C3545" s="28"/>
      <x:c r="D3545" s="31" t="str">
        <x:f>IF(OR(ISBLANK(B3545),ISBLANK(C3545),B3545=0),"",(C3545-B3545)/B3545)</x:f>
      </x:c>
      <x:c r="E3545" s="22" t="str">
        <x:f>IF(ISBLANK(C3545),"AmountIncludingTax缺失",IF(ABS(B3545-C3545)&lt;0.005,"一致","不一致"))</x:f>
        <x:v>AmountIncludingTax缺失</x:v>
      </x:c>
      <x:c r="F3545" s="19" t="str">
        <x:v>approved</x:v>
      </x:c>
      <x:c r="G3545" s="19" t="str">
        <x:v>Repair in Progress</x:v>
      </x:c>
      <x:c r="H3545" s="19" t="str">
        <x:v>In Field</x:v>
      </x:c>
      <x:c r="I3545" s="37" t="n">
        <x:v>46072</x:v>
      </x:c>
      <x:c r="J3545" s="37" t="n">
        <x:v>46072</x:v>
      </x:c>
      <x:c r="K3545" s="19" t="str">
        <x:v>Regent RV - Perth</x:v>
      </x:c>
      <x:c r="L3545" s="19" t="str">
        <x:v>Z006</x:v>
      </x:c>
      <x:c r="M3545" s="19" t="str">
        <x:v>In Field Warranty Claims</x:v>
      </x:c>
      <x:c r="N3545" s="37" t="n">
        <x:v>46064</x:v>
      </x:c>
      <x:c r="O3545" s="37"/>
      <x:c r="P3545" s="34" t="n">
        <x:v>0</x:v>
      </x:c>
      <x:c r="Q3545" s="37" t="n">
        <x:v>46072.08777777778</x:v>
      </x:c>
    </x:row>
    <x:row r="3546">
      <x:c r="A3546" s="22" t="n">
        <x:v>31021</x:v>
      </x:c>
      <x:c r="B3546" s="28" t="n">
        <x:v>340.88</x:v>
      </x:c>
      <x:c r="C3546" s="28"/>
      <x:c r="D3546" s="31" t="str">
        <x:f>IF(OR(ISBLANK(B3546),ISBLANK(C3546),B3546=0),"",(C3546-B3546)/B3546)</x:f>
      </x:c>
      <x:c r="E3546" s="22" t="str">
        <x:f>IF(ISBLANK(C3546),"AmountIncludingTax缺失",IF(ABS(B3546-C3546)&lt;0.005,"一致","不一致"))</x:f>
        <x:v>AmountIncludingTax缺失</x:v>
      </x:c>
      <x:c r="F3546" s="19" t="str">
        <x:v>approved</x:v>
      </x:c>
      <x:c r="G3546" s="19" t="str">
        <x:v>Repairer Invoiced Processed</x:v>
      </x:c>
      <x:c r="H3546" s="19" t="str">
        <x:v>In Field</x:v>
      </x:c>
      <x:c r="I3546" s="37" t="n">
        <x:v>46113</x:v>
      </x:c>
      <x:c r="J3546" s="37" t="n">
        <x:v>46113</x:v>
      </x:c>
      <x:c r="K3546" s="19" t="str">
        <x:v>Newcastle RV Super Centre - Beresfield</x:v>
      </x:c>
      <x:c r="L3546" s="19" t="str">
        <x:v>Z006</x:v>
      </x:c>
      <x:c r="M3546" s="19" t="str">
        <x:v>In Field Warranty Claims</x:v>
      </x:c>
      <x:c r="N3546" s="37" t="n">
        <x:v>46064</x:v>
      </x:c>
      <x:c r="O3546" s="37"/>
      <x:c r="P3546" s="34" t="n">
        <x:v>0</x:v>
      </x:c>
      <x:c r="Q3546" s="37" t="n">
        <x:v>46113.07974537037</x:v>
      </x:c>
    </x:row>
    <x:row r="3547">
      <x:c r="A3547" s="22" t="n">
        <x:v>31017</x:v>
      </x:c>
      <x:c r="B3547" s="28" t="n">
        <x:v>1350</x:v>
      </x:c>
      <x:c r="C3547" s="28"/>
      <x:c r="D3547" s="31" t="str">
        <x:f>IF(OR(ISBLANK(B3547),ISBLANK(C3547),B3547=0),"",(C3547-B3547)/B3547)</x:f>
      </x:c>
      <x:c r="E3547" s="22" t="str">
        <x:f>IF(ISBLANK(C3547),"AmountIncludingTax缺失",IF(ABS(B3547-C3547)&lt;0.005,"一致","不一致"))</x:f>
        <x:v>AmountIncludingTax缺失</x:v>
      </x:c>
      <x:c r="F3547" s="19" t="str">
        <x:v>approved</x:v>
      </x:c>
      <x:c r="G3547" s="19" t="str">
        <x:v>Sales Order Approved</x:v>
      </x:c>
      <x:c r="H3547" s="19" t="str">
        <x:v>In Field</x:v>
      </x:c>
      <x:c r="I3547" s="37" t="n">
        <x:v>46126</x:v>
      </x:c>
      <x:c r="J3547" s="37" t="n">
        <x:v>46126</x:v>
      </x:c>
      <x:c r="K3547" s="19" t="str">
        <x:v>Auswide Caravans - South Nowra</x:v>
      </x:c>
      <x:c r="L3547" s="19" t="str">
        <x:v>Z006</x:v>
      </x:c>
      <x:c r="M3547" s="19" t="str">
        <x:v>In Field Warranty Claims</x:v>
      </x:c>
      <x:c r="N3547" s="37" t="n">
        <x:v>46065</x:v>
      </x:c>
      <x:c r="O3547" s="37" t="n">
        <x:v>46101</x:v>
      </x:c>
      <x:c r="P3547" s="34" t="n">
        <x:v>0</x:v>
      </x:c>
      <x:c r="Q3547" s="37" t="n">
        <x:v>46125.803923611114</x:v>
      </x:c>
    </x:row>
    <x:row r="3548">
      <x:c r="A3548" s="22" t="n">
        <x:v>31014</x:v>
      </x:c>
      <x:c r="B3548" s="28" t="n">
        <x:v>2600</x:v>
      </x:c>
      <x:c r="C3548" s="28"/>
      <x:c r="D3548" s="31" t="str">
        <x:f>IF(OR(ISBLANK(B3548),ISBLANK(C3548),B3548=0),"",(C3548-B3548)/B3548)</x:f>
      </x:c>
      <x:c r="E3548" s="22" t="str">
        <x:f>IF(ISBLANK(C3548),"AmountIncludingTax缺失",IF(ABS(B3548-C3548)&lt;0.005,"一致","不一致"))</x:f>
        <x:v>AmountIncludingTax缺失</x:v>
      </x:c>
      <x:c r="F3548" s="19" t="str">
        <x:v>approved</x:v>
      </x:c>
      <x:c r="G3548" s="19" t="str">
        <x:v>Repairer Invoiced Processed</x:v>
      </x:c>
      <x:c r="H3548" s="19" t="str">
        <x:v>In Field</x:v>
      </x:c>
      <x:c r="I3548" s="37" t="n">
        <x:v>46097</x:v>
      </x:c>
      <x:c r="J3548" s="37" t="n">
        <x:v>46097</x:v>
      </x:c>
      <x:c r="K3548" s="19" t="str">
        <x:v>Regent RV - Perth</x:v>
      </x:c>
      <x:c r="L3548" s="19" t="str">
        <x:v>Z006</x:v>
      </x:c>
      <x:c r="M3548" s="19" t="str">
        <x:v>In Field Warranty Claims</x:v>
      </x:c>
      <x:c r="N3548" s="37" t="n">
        <x:v>46065</x:v>
      </x:c>
      <x:c r="O3548" s="37"/>
      <x:c r="P3548" s="34" t="n">
        <x:v>2860</x:v>
      </x:c>
      <x:c r="Q3548" s="37" t="n">
        <x:v>46097.151342592595</x:v>
      </x:c>
    </x:row>
    <x:row r="3549">
      <x:c r="A3549" s="22" t="n">
        <x:v>31010</x:v>
      </x:c>
      <x:c r="B3549" s="28" t="n">
        <x:v>481.95</x:v>
      </x:c>
      <x:c r="C3549" s="28"/>
      <x:c r="D3549" s="31" t="str">
        <x:f>IF(OR(ISBLANK(B3549),ISBLANK(C3549),B3549=0),"",(C3549-B3549)/B3549)</x:f>
      </x:c>
      <x:c r="E3549" s="22" t="str">
        <x:f>IF(ISBLANK(C3549),"AmountIncludingTax缺失",IF(ABS(B3549-C3549)&lt;0.005,"一致","不一致"))</x:f>
        <x:v>AmountIncludingTax缺失</x:v>
      </x:c>
      <x:c r="F3549" s="19" t="str">
        <x:v>approved</x:v>
      </x:c>
      <x:c r="G3549" s="19" t="str">
        <x:v>Repairer Invoiced Received</x:v>
      </x:c>
      <x:c r="H3549" s="19" t="str">
        <x:v>In Field</x:v>
      </x:c>
      <x:c r="I3549" s="37" t="n">
        <x:v>46070</x:v>
      </x:c>
      <x:c r="J3549" s="37" t="n">
        <x:v>46070</x:v>
      </x:c>
      <x:c r="K3549" s="19" t="str">
        <x:v>Dario Caravans -St.Marys</x:v>
      </x:c>
      <x:c r="L3549" s="19" t="str">
        <x:v>Z006</x:v>
      </x:c>
      <x:c r="M3549" s="19" t="str">
        <x:v>In Field Warranty Claims</x:v>
      </x:c>
      <x:c r="N3549" s="37" t="n">
        <x:v>46064</x:v>
      </x:c>
      <x:c r="O3549" s="37"/>
      <x:c r="P3549" s="34" t="n">
        <x:v>0</x:v>
      </x:c>
      <x:c r="Q3549" s="37" t="n">
        <x:v>46070.02369212963</x:v>
      </x:c>
    </x:row>
    <x:row r="3550">
      <x:c r="A3550" s="22" t="n">
        <x:v>31009</x:v>
      </x:c>
      <x:c r="B3550" s="28" t="n">
        <x:v>439.9</x:v>
      </x:c>
      <x:c r="C3550" s="28"/>
      <x:c r="D3550" s="31" t="str">
        <x:f>IF(OR(ISBLANK(B3550),ISBLANK(C3550),B3550=0),"",(C3550-B3550)/B3550)</x:f>
      </x:c>
      <x:c r="E3550" s="22" t="str">
        <x:f>IF(ISBLANK(C3550),"AmountIncludingTax缺失",IF(ABS(B3550-C3550)&lt;0.005,"一致","不一致"))</x:f>
        <x:v>AmountIncludingTax缺失</x:v>
      </x:c>
      <x:c r="F3550" s="19" t="str">
        <x:v>approved</x:v>
      </x:c>
      <x:c r="G3550" s="19" t="str">
        <x:v>Repairer Invoiced Processed</x:v>
      </x:c>
      <x:c r="H3550" s="19" t="str">
        <x:v>Pre Delivery</x:v>
      </x:c>
      <x:c r="I3550" s="37" t="n">
        <x:v>46099</x:v>
      </x:c>
      <x:c r="J3550" s="37" t="n">
        <x:v>46099</x:v>
      </x:c>
      <x:c r="K3550" s="19" t="str">
        <x:v>Great Ocean Road RV &amp; Caravans - Warrnambool</x:v>
      </x:c>
      <x:c r="L3550" s="19" t="str">
        <x:v>Z005</x:v>
      </x:c>
      <x:c r="M3550" s="19" t="str">
        <x:v>Pre Delivery Warranty Claims</x:v>
      </x:c>
      <x:c r="N3550" s="37" t="n">
        <x:v>46064</x:v>
      </x:c>
      <x:c r="O3550" s="37"/>
      <x:c r="P3550" s="34" t="n">
        <x:v>0</x:v>
      </x:c>
      <x:c r="Q3550" s="37" t="n">
        <x:v>46098.93142361111</x:v>
      </x:c>
    </x:row>
    <x:row r="3551">
      <x:c r="A3551" s="22" t="n">
        <x:v>31008</x:v>
      </x:c>
      <x:c r="B3551" s="28" t="n">
        <x:v>121.25</x:v>
      </x:c>
      <x:c r="C3551" s="28"/>
      <x:c r="D3551" s="31" t="str">
        <x:f>IF(OR(ISBLANK(B3551),ISBLANK(C3551),B3551=0),"",(C3551-B3551)/B3551)</x:f>
      </x:c>
      <x:c r="E3551" s="22" t="str">
        <x:f>IF(ISBLANK(C3551),"AmountIncludingTax缺失",IF(ABS(B3551-C3551)&lt;0.005,"一致","不一致"))</x:f>
        <x:v>AmountIncludingTax缺失</x:v>
      </x:c>
      <x:c r="F3551" s="19" t="str">
        <x:v>approved</x:v>
      </x:c>
      <x:c r="G3551" s="19" t="str">
        <x:v>Repair in Progress</x:v>
      </x:c>
      <x:c r="H3551" s="19" t="str">
        <x:v>In Field</x:v>
      </x:c>
      <x:c r="I3551" s="37" t="n">
        <x:v>46077</x:v>
      </x:c>
      <x:c r="J3551" s="37" t="n">
        <x:v>46077</x:v>
      </x:c>
      <x:c r="K3551" s="19" t="str">
        <x:v>Not Assigned</x:v>
      </x:c>
      <x:c r="L3551" s="19" t="str">
        <x:v>Z006</x:v>
      </x:c>
      <x:c r="M3551" s="19" t="str">
        <x:v>In Field Warranty Claims</x:v>
      </x:c>
      <x:c r="N3551" s="37" t="n">
        <x:v>46064</x:v>
      </x:c>
      <x:c r="O3551" s="37"/>
      <x:c r="P3551" s="34" t="n">
        <x:v>0</x:v>
      </x:c>
      <x:c r="Q3551" s="37" t="n">
        <x:v>46077.03575231481</x:v>
      </x:c>
    </x:row>
    <x:row r="3552">
      <x:c r="A3552" s="22" t="n">
        <x:v>31007</x:v>
      </x:c>
      <x:c r="B3552" s="28" t="n">
        <x:v>1147.5</x:v>
      </x:c>
      <x:c r="C3552" s="28"/>
      <x:c r="D3552" s="31" t="str">
        <x:f>IF(OR(ISBLANK(B3552),ISBLANK(C3552),B3552=0),"",(C3552-B3552)/B3552)</x:f>
      </x:c>
      <x:c r="E3552" s="22" t="str">
        <x:f>IF(ISBLANK(C3552),"AmountIncludingTax缺失",IF(ABS(B3552-C3552)&lt;0.005,"一致","不一致"))</x:f>
        <x:v>AmountIncludingTax缺失</x:v>
      </x:c>
      <x:c r="F3552" s="19" t="str">
        <x:v>approved</x:v>
      </x:c>
      <x:c r="G3552" s="19" t="str">
        <x:v>Partially Picked</x:v>
      </x:c>
      <x:c r="H3552" s="19" t="str">
        <x:v>In Field</x:v>
      </x:c>
      <x:c r="I3552" s="37" t="n">
        <x:v>46105</x:v>
      </x:c>
      <x:c r="J3552" s="37" t="n">
        <x:v>46105</x:v>
      </x:c>
      <x:c r="K3552" s="19" t="str">
        <x:v>Not Assigned</x:v>
      </x:c>
      <x:c r="L3552" s="19" t="str">
        <x:v>Z006</x:v>
      </x:c>
      <x:c r="M3552" s="19" t="str">
        <x:v>In Field Warranty Claims</x:v>
      </x:c>
      <x:c r="N3552" s="37" t="n">
        <x:v>46064</x:v>
      </x:c>
      <x:c r="O3552" s="37"/>
      <x:c r="P3552" s="34" t="n">
        <x:v>0</x:v>
      </x:c>
      <x:c r="Q3552" s="37" t="n">
        <x:v>46104.84890046297</x:v>
      </x:c>
    </x:row>
    <x:row r="3553">
      <x:c r="A3553" s="22" t="n">
        <x:v>31006</x:v>
      </x:c>
      <x:c r="B3553" s="28" t="n">
        <x:v>202.5</x:v>
      </x:c>
      <x:c r="C3553" s="28" t="n">
        <x:v>222.75</x:v>
      </x:c>
      <x:c r="D3553" s="31" t="n">
        <x:f>IF(OR(ISBLANK(B3553),ISBLANK(C3553),B3553=0),"",(C3553-B3553)/B3553)</x:f>
        <x:v>0.1</x:v>
      </x:c>
      <x:c r="E3553" s="22" t="str">
        <x:f>IF(ISBLANK(C3553),"AmountIncludingTax缺失",IF(ABS(B3553-C3553)&lt;0.005,"一致","不一致"))</x:f>
        <x:v>不一致</x:v>
      </x:c>
      <x:c r="F3553" s="19" t="str">
        <x:v>approved</x:v>
      </x:c>
      <x:c r="G3553" s="19" t="str">
        <x:v>Repair in Progress</x:v>
      </x:c>
      <x:c r="H3553" s="19" t="str">
        <x:v>In Field</x:v>
      </x:c>
      <x:c r="I3553" s="37" t="n">
        <x:v>46132</x:v>
      </x:c>
      <x:c r="J3553" s="37" t="n">
        <x:v>46132</x:v>
      </x:c>
      <x:c r="K3553" s="19" t="str">
        <x:v>Newcastle RV Super Centre - Beresfield</x:v>
      </x:c>
      <x:c r="L3553" s="19" t="str">
        <x:v>Z006</x:v>
      </x:c>
      <x:c r="M3553" s="19" t="str">
        <x:v>In Field Warranty Claims</x:v>
      </x:c>
      <x:c r="N3553" s="37" t="n">
        <x:v>46064</x:v>
      </x:c>
      <x:c r="O3553" s="37"/>
      <x:c r="P3553" s="34" t="n">
        <x:v>222.75</x:v>
      </x:c>
      <x:c r="Q3553" s="37" t="n">
        <x:v>46132.04519675926</x:v>
      </x:c>
    </x:row>
    <x:row r="3554">
      <x:c r="A3554" s="22" t="n">
        <x:v>31005</x:v>
      </x:c>
      <x:c r="B3554" s="28" t="n">
        <x:v>877.5</x:v>
      </x:c>
      <x:c r="C3554" s="28"/>
      <x:c r="D3554" s="31" t="str">
        <x:f>IF(OR(ISBLANK(B3554),ISBLANK(C3554),B3554=0),"",(C3554-B3554)/B3554)</x:f>
      </x:c>
      <x:c r="E3554" s="22" t="str">
        <x:f>IF(ISBLANK(C3554),"AmountIncludingTax缺失",IF(ABS(B3554-C3554)&lt;0.005,"一致","不一致"))</x:f>
        <x:v>AmountIncludingTax缺失</x:v>
      </x:c>
      <x:c r="F3554" s="19" t="str">
        <x:v>approved</x:v>
      </x:c>
      <x:c r="G3554" s="19" t="str">
        <x:v>Repair in Progress</x:v>
      </x:c>
      <x:c r="H3554" s="19" t="str">
        <x:v>In Field</x:v>
      </x:c>
      <x:c r="I3554" s="37" t="n">
        <x:v>46128</x:v>
      </x:c>
      <x:c r="J3554" s="37" t="n">
        <x:v>46128</x:v>
      </x:c>
      <x:c r="K3554" s="19" t="str">
        <x:v>Newcastle RV Super Centre - Beresfield</x:v>
      </x:c>
      <x:c r="L3554" s="19" t="str">
        <x:v>Z006</x:v>
      </x:c>
      <x:c r="M3554" s="19" t="str">
        <x:v>In Field Warranty Claims</x:v>
      </x:c>
      <x:c r="N3554" s="37" t="n">
        <x:v>46064</x:v>
      </x:c>
      <x:c r="O3554" s="37"/>
      <x:c r="P3554" s="34" t="n">
        <x:v>0</x:v>
      </x:c>
      <x:c r="Q3554" s="37" t="n">
        <x:v>46127.98643518519</x:v>
      </x:c>
    </x:row>
    <x:row r="3555">
      <x:c r="A3555" s="22" t="n">
        <x:v>31003</x:v>
      </x:c>
      <x:c r="B3555" s="28" t="n">
        <x:v>1401.25</x:v>
      </x:c>
      <x:c r="C3555" s="28"/>
      <x:c r="D3555" s="31" t="str">
        <x:f>IF(OR(ISBLANK(B3555),ISBLANK(C3555),B3555=0),"",(C3555-B3555)/B3555)</x:f>
      </x:c>
      <x:c r="E3555" s="22" t="str">
        <x:f>IF(ISBLANK(C3555),"AmountIncludingTax缺失",IF(ABS(B3555-C3555)&lt;0.005,"一致","不一致"))</x:f>
        <x:v>AmountIncludingTax缺失</x:v>
      </x:c>
      <x:c r="F3555" s="19" t="str">
        <x:v>approved</x:v>
      </x:c>
      <x:c r="G3555" s="19" t="str">
        <x:v>Repairer Invoiced Processed</x:v>
      </x:c>
      <x:c r="H3555" s="19" t="str">
        <x:v>Pre Delivery</x:v>
      </x:c>
      <x:c r="I3555" s="37" t="n">
        <x:v>46133</x:v>
      </x:c>
      <x:c r="J3555" s="37" t="n">
        <x:v>46133</x:v>
      </x:c>
      <x:c r="K3555" s="19" t="str">
        <x:v>Green RV - Forest Glen</x:v>
      </x:c>
      <x:c r="L3555" s="19" t="str">
        <x:v>Z005</x:v>
      </x:c>
      <x:c r="M3555" s="19" t="str">
        <x:v>Pre Delivery Warranty Claims</x:v>
      </x:c>
      <x:c r="N3555" s="37" t="n">
        <x:v>46064</x:v>
      </x:c>
      <x:c r="O3555" s="37"/>
      <x:c r="P3555" s="34" t="n">
        <x:v>0</x:v>
      </x:c>
      <x:c r="Q3555" s="37" t="n">
        <x:v>46133.25763888889</x:v>
      </x:c>
    </x:row>
    <x:row r="3556">
      <x:c r="A3556" s="22" t="n">
        <x:v>31001</x:v>
      </x:c>
      <x:c r="B3556" s="28" t="n">
        <x:v>782.5</x:v>
      </x:c>
      <x:c r="C3556" s="28"/>
      <x:c r="D3556" s="31" t="str">
        <x:f>IF(OR(ISBLANK(B3556),ISBLANK(C3556),B3556=0),"",(C3556-B3556)/B3556)</x:f>
      </x:c>
      <x:c r="E3556" s="22" t="str">
        <x:f>IF(ISBLANK(C3556),"AmountIncludingTax缺失",IF(ABS(B3556-C3556)&lt;0.005,"一致","不一致"))</x:f>
        <x:v>AmountIncludingTax缺失</x:v>
      </x:c>
      <x:c r="F3556" s="19" t="str">
        <x:v>approved</x:v>
      </x:c>
      <x:c r="G3556" s="19" t="str">
        <x:v>Repairer Invoiced Processed</x:v>
      </x:c>
      <x:c r="H3556" s="19" t="str">
        <x:v>In Field</x:v>
      </x:c>
      <x:c r="I3556" s="37" t="n">
        <x:v>46073</x:v>
      </x:c>
      <x:c r="J3556" s="37" t="n">
        <x:v>46073</x:v>
      </x:c>
      <x:c r="K3556" s="19" t="str">
        <x:v>Bendigo Caravan Group - Bendigo</x:v>
      </x:c>
      <x:c r="L3556" s="19" t="str">
        <x:v>Z006</x:v>
      </x:c>
      <x:c r="M3556" s="19" t="str">
        <x:v>In Field Warranty Claims</x:v>
      </x:c>
      <x:c r="N3556" s="37" t="n">
        <x:v>46064</x:v>
      </x:c>
      <x:c r="O3556" s="37"/>
      <x:c r="P3556" s="34" t="n">
        <x:v>0</x:v>
      </x:c>
      <x:c r="Q3556" s="37" t="n">
        <x:v>46072.856099537035</x:v>
      </x:c>
    </x:row>
    <x:row r="3557">
      <x:c r="A3557" s="22" t="n">
        <x:v>31000</x:v>
      </x:c>
      <x:c r="B3557" s="28" t="n">
        <x:v>280</x:v>
      </x:c>
      <x:c r="C3557" s="28"/>
      <x:c r="D3557" s="31" t="str">
        <x:f>IF(OR(ISBLANK(B3557),ISBLANK(C3557),B3557=0),"",(C3557-B3557)/B3557)</x:f>
      </x:c>
      <x:c r="E3557" s="22" t="str">
        <x:f>IF(ISBLANK(C3557),"AmountIncludingTax缺失",IF(ABS(B3557-C3557)&lt;0.005,"一致","不一致"))</x:f>
        <x:v>AmountIncludingTax缺失</x:v>
      </x:c>
      <x:c r="F3557" s="19" t="str">
        <x:v>approved</x:v>
      </x:c>
      <x:c r="G3557" s="19" t="str">
        <x:v>Repairer Invoiced Processed</x:v>
      </x:c>
      <x:c r="H3557" s="19" t="str">
        <x:v>In Field</x:v>
      </x:c>
      <x:c r="I3557" s="37" t="n">
        <x:v>46073</x:v>
      </x:c>
      <x:c r="J3557" s="37" t="n">
        <x:v>46073</x:v>
      </x:c>
      <x:c r="K3557" s="19" t="str">
        <x:v>Green RV - Forest Glen</x:v>
      </x:c>
      <x:c r="L3557" s="19" t="str">
        <x:v>Z006</x:v>
      </x:c>
      <x:c r="M3557" s="19" t="str">
        <x:v>In Field Warranty Claims</x:v>
      </x:c>
      <x:c r="N3557" s="37" t="n">
        <x:v>46064</x:v>
      </x:c>
      <x:c r="O3557" s="37"/>
      <x:c r="P3557" s="34" t="n">
        <x:v>0</x:v>
      </x:c>
      <x:c r="Q3557" s="37" t="n">
        <x:v>46072.85052083333</x:v>
      </x:c>
    </x:row>
    <x:row r="3558">
      <x:c r="A3558" s="22" t="n">
        <x:v>30999</x:v>
      </x:c>
      <x:c r="B3558" s="28" t="n">
        <x:v>202.5</x:v>
      </x:c>
      <x:c r="C3558" s="28"/>
      <x:c r="D3558" s="31" t="str">
        <x:f>IF(OR(ISBLANK(B3558),ISBLANK(C3558),B3558=0),"",(C3558-B3558)/B3558)</x:f>
      </x:c>
      <x:c r="E3558" s="22" t="str">
        <x:f>IF(ISBLANK(C3558),"AmountIncludingTax缺失",IF(ABS(B3558-C3558)&lt;0.005,"一致","不一致"))</x:f>
        <x:v>AmountIncludingTax缺失</x:v>
      </x:c>
      <x:c r="F3558" s="19" t="str">
        <x:v>approved</x:v>
      </x:c>
      <x:c r="G3558" s="19" t="str">
        <x:v>Repair in Progress</x:v>
      </x:c>
      <x:c r="H3558" s="19" t="str">
        <x:v>Pre Delivery</x:v>
      </x:c>
      <x:c r="I3558" s="37" t="n">
        <x:v>46079</x:v>
      </x:c>
      <x:c r="J3558" s="37" t="n">
        <x:v>46078</x:v>
      </x:c>
      <x:c r="K3558" s="19" t="str">
        <x:v>Green RV - Forest Glen</x:v>
      </x:c>
      <x:c r="L3558" s="19" t="str">
        <x:v>Z005</x:v>
      </x:c>
      <x:c r="M3558" s="19" t="str">
        <x:v>Pre Delivery Warranty Claims</x:v>
      </x:c>
      <x:c r="N3558" s="37" t="n">
        <x:v>46064</x:v>
      </x:c>
      <x:c r="O3558" s="37"/>
      <x:c r="P3558" s="34" t="n">
        <x:v>0</x:v>
      </x:c>
      <x:c r="Q3558" s="37" t="n">
        <x:v>46078.852847222224</x:v>
      </x:c>
    </x:row>
    <x:row r="3559">
      <x:c r="A3559" s="22" t="n">
        <x:v>30998</x:v>
      </x:c>
      <x:c r="B3559" s="28" t="n">
        <x:v>1308.75</x:v>
      </x:c>
      <x:c r="C3559" s="28"/>
      <x:c r="D3559" s="31" t="str">
        <x:f>IF(OR(ISBLANK(B3559),ISBLANK(C3559),B3559=0),"",(C3559-B3559)/B3559)</x:f>
      </x:c>
      <x:c r="E3559" s="22" t="str">
        <x:f>IF(ISBLANK(C3559),"AmountIncludingTax缺失",IF(ABS(B3559-C3559)&lt;0.005,"一致","不一致"))</x:f>
        <x:v>AmountIncludingTax缺失</x:v>
      </x:c>
      <x:c r="F3559" s="19" t="str">
        <x:v>approved</x:v>
      </x:c>
      <x:c r="G3559" s="19" t="str">
        <x:v>Repairer Invoiced Processed</x:v>
      </x:c>
      <x:c r="H3559" s="19" t="str">
        <x:v>In Field</x:v>
      </x:c>
      <x:c r="I3559" s="37" t="n">
        <x:v>46087</x:v>
      </x:c>
      <x:c r="J3559" s="37" t="n">
        <x:v>46087</x:v>
      </x:c>
      <x:c r="K3559" s="19" t="str">
        <x:v>Leisure Lion - Bundaberg</x:v>
      </x:c>
      <x:c r="L3559" s="19" t="str">
        <x:v>Z006</x:v>
      </x:c>
      <x:c r="M3559" s="19" t="str">
        <x:v>In Field Warranty Claims</x:v>
      </x:c>
      <x:c r="N3559" s="37" t="n">
        <x:v>46064</x:v>
      </x:c>
      <x:c r="O3559" s="37"/>
      <x:c r="P3559" s="34" t="n">
        <x:v>0</x:v>
      </x:c>
      <x:c r="Q3559" s="37" t="n">
        <x:v>46087.46099537037</x:v>
      </x:c>
    </x:row>
    <x:row r="3560">
      <x:c r="A3560" s="22" t="n">
        <x:v>30997</x:v>
      </x:c>
      <x:c r="B3560" s="28" t="n">
        <x:v>337.5</x:v>
      </x:c>
      <x:c r="C3560" s="28"/>
      <x:c r="D3560" s="31" t="str">
        <x:f>IF(OR(ISBLANK(B3560),ISBLANK(C3560),B3560=0),"",(C3560-B3560)/B3560)</x:f>
      </x:c>
      <x:c r="E3560" s="22" t="str">
        <x:f>IF(ISBLANK(C3560),"AmountIncludingTax缺失",IF(ABS(B3560-C3560)&lt;0.005,"一致","不一致"))</x:f>
        <x:v>AmountIncludingTax缺失</x:v>
      </x:c>
      <x:c r="F3560" s="19" t="str">
        <x:v>approved</x:v>
      </x:c>
      <x:c r="G3560" s="19" t="str">
        <x:v>Repair in Progress</x:v>
      </x:c>
      <x:c r="H3560" s="19" t="str">
        <x:v>In Field</x:v>
      </x:c>
      <x:c r="I3560" s="37" t="n">
        <x:v>46087</x:v>
      </x:c>
      <x:c r="J3560" s="37" t="n">
        <x:v>46087</x:v>
      </x:c>
      <x:c r="K3560" s="19" t="str">
        <x:v>QCCC - Gympie</x:v>
      </x:c>
      <x:c r="L3560" s="19" t="str">
        <x:v>Z006</x:v>
      </x:c>
      <x:c r="M3560" s="19" t="str">
        <x:v>In Field Warranty Claims</x:v>
      </x:c>
      <x:c r="N3560" s="37" t="n">
        <x:v>46064</x:v>
      </x:c>
      <x:c r="O3560" s="37"/>
      <x:c r="P3560" s="34" t="n">
        <x:v>0</x:v>
      </x:c>
      <x:c r="Q3560" s="37" t="n">
        <x:v>46087.087696759256</x:v>
      </x:c>
    </x:row>
    <x:row r="3561">
      <x:c r="A3561" s="22" t="n">
        <x:v>30993</x:v>
      </x:c>
      <x:c r="B3561" s="28" t="n">
        <x:v>405</x:v>
      </x:c>
      <x:c r="C3561" s="28" t="n">
        <x:v>445.5</x:v>
      </x:c>
      <x:c r="D3561" s="31" t="n">
        <x:f>IF(OR(ISBLANK(B3561),ISBLANK(C3561),B3561=0),"",(C3561-B3561)/B3561)</x:f>
        <x:v>0.1</x:v>
      </x:c>
      <x:c r="E3561" s="22" t="str">
        <x:f>IF(ISBLANK(C3561),"AmountIncludingTax缺失",IF(ABS(B3561-C3561)&lt;0.005,"一致","不一致"))</x:f>
        <x:v>不一致</x:v>
      </x:c>
      <x:c r="F3561" s="19" t="str">
        <x:v>approved</x:v>
      </x:c>
      <x:c r="G3561" s="19" t="str">
        <x:v>Repairer Invoiced Processed</x:v>
      </x:c>
      <x:c r="H3561" s="19" t="str">
        <x:v>In Field</x:v>
      </x:c>
      <x:c r="I3561" s="37" t="n">
        <x:v>46070</x:v>
      </x:c>
      <x:c r="J3561" s="37" t="n">
        <x:v>46070</x:v>
      </x:c>
      <x:c r="K3561" s="19" t="str">
        <x:v>Leisure Lion Pty Ltd - Toowoomba</x:v>
      </x:c>
      <x:c r="L3561" s="19" t="str">
        <x:v>Z006</x:v>
      </x:c>
      <x:c r="M3561" s="19" t="str">
        <x:v>In Field Warranty Claims</x:v>
      </x:c>
      <x:c r="N3561" s="37" t="n">
        <x:v>46063</x:v>
      </x:c>
      <x:c r="O3561" s="37"/>
      <x:c r="P3561" s="34" t="n">
        <x:v>445.5</x:v>
      </x:c>
      <x:c r="Q3561" s="37" t="n">
        <x:v>46070.08627314815</x:v>
      </x:c>
    </x:row>
    <x:row r="3562">
      <x:c r="A3562" s="22" t="n">
        <x:v>30991</x:v>
      </x:c>
      <x:c r="B3562" s="28" t="n">
        <x:v>202.5</x:v>
      </x:c>
      <x:c r="C3562" s="28"/>
      <x:c r="D3562" s="31" t="str">
        <x:f>IF(OR(ISBLANK(B3562),ISBLANK(C3562),B3562=0),"",(C3562-B3562)/B3562)</x:f>
      </x:c>
      <x:c r="E3562" s="22" t="str">
        <x:f>IF(ISBLANK(C3562),"AmountIncludingTax缺失",IF(ABS(B3562-C3562)&lt;0.005,"一致","不一致"))</x:f>
        <x:v>AmountIncludingTax缺失</x:v>
      </x:c>
      <x:c r="F3562" s="19" t="str">
        <x:v>approved</x:v>
      </x:c>
      <x:c r="G3562" s="19" t="str">
        <x:v>Repairer Invoiced Processed</x:v>
      </x:c>
      <x:c r="H3562" s="19" t="str">
        <x:v>In Field</x:v>
      </x:c>
      <x:c r="I3562" s="37" t="n">
        <x:v>46119</x:v>
      </x:c>
      <x:c r="J3562" s="37" t="n">
        <x:v>46119</x:v>
      </x:c>
      <x:c r="K3562" s="19" t="str">
        <x:v>Not Assigned</x:v>
      </x:c>
      <x:c r="L3562" s="19" t="str">
        <x:v>Z006</x:v>
      </x:c>
      <x:c r="M3562" s="19" t="str">
        <x:v>In Field Warranty Claims</x:v>
      </x:c>
      <x:c r="N3562" s="37" t="n">
        <x:v>46063</x:v>
      </x:c>
      <x:c r="O3562" s="37"/>
      <x:c r="P3562" s="34" t="n">
        <x:v>0</x:v>
      </x:c>
      <x:c r="Q3562" s="37" t="n">
        <x:v>46119.17872685185</x:v>
      </x:c>
    </x:row>
    <x:row r="3563">
      <x:c r="A3563" s="22" t="n">
        <x:v>30990</x:v>
      </x:c>
      <x:c r="B3563" s="28" t="n">
        <x:v>540.92</x:v>
      </x:c>
      <x:c r="C3563" s="28"/>
      <x:c r="D3563" s="31" t="str">
        <x:f>IF(OR(ISBLANK(B3563),ISBLANK(C3563),B3563=0),"",(C3563-B3563)/B3563)</x:f>
      </x:c>
      <x:c r="E3563" s="22" t="str">
        <x:f>IF(ISBLANK(C3563),"AmountIncludingTax缺失",IF(ABS(B3563-C3563)&lt;0.005,"一致","不一致"))</x:f>
        <x:v>AmountIncludingTax缺失</x:v>
      </x:c>
      <x:c r="F3563" s="19" t="str">
        <x:v>approved</x:v>
      </x:c>
      <x:c r="G3563" s="19" t="str">
        <x:v>Repairer Invoiced Processed</x:v>
      </x:c>
      <x:c r="H3563" s="19" t="str">
        <x:v>In Field</x:v>
      </x:c>
      <x:c r="I3563" s="37" t="n">
        <x:v>46091</x:v>
      </x:c>
      <x:c r="J3563" s="37" t="n">
        <x:v>46071</x:v>
      </x:c>
      <x:c r="K3563" s="19" t="str">
        <x:v>Green RV - Forest Glen</x:v>
      </x:c>
      <x:c r="L3563" s="19" t="str">
        <x:v>Z006</x:v>
      </x:c>
      <x:c r="M3563" s="19" t="str">
        <x:v>In Field Warranty Claims</x:v>
      </x:c>
      <x:c r="N3563" s="37" t="n">
        <x:v>46063</x:v>
      </x:c>
      <x:c r="O3563" s="37"/>
      <x:c r="P3563" s="34" t="n">
        <x:v>0</x:v>
      </x:c>
      <x:c r="Q3563" s="37" t="n">
        <x:v>46091.07697916667</x:v>
      </x:c>
    </x:row>
    <x:row r="3564">
      <x:c r="A3564" s="22" t="n">
        <x:v>30989</x:v>
      </x:c>
      <x:c r="B3564" s="28" t="n">
        <x:v>135</x:v>
      </x:c>
      <x:c r="C3564" s="28" t="n">
        <x:v>148.5</x:v>
      </x:c>
      <x:c r="D3564" s="31" t="n">
        <x:f>IF(OR(ISBLANK(B3564),ISBLANK(C3564),B3564=0),"",(C3564-B3564)/B3564)</x:f>
        <x:v>0.1</x:v>
      </x:c>
      <x:c r="E3564" s="22" t="str">
        <x:f>IF(ISBLANK(C3564),"AmountIncludingTax缺失",IF(ABS(B3564-C3564)&lt;0.005,"一致","不一致"))</x:f>
        <x:v>不一致</x:v>
      </x:c>
      <x:c r="F3564" s="19" t="str">
        <x:v>approved</x:v>
      </x:c>
      <x:c r="G3564" s="19" t="str">
        <x:v>Repair in Progress</x:v>
      </x:c>
      <x:c r="H3564" s="19" t="str">
        <x:v>In Field</x:v>
      </x:c>
      <x:c r="I3564" s="37" t="n">
        <x:v>46143</x:v>
      </x:c>
      <x:c r="J3564" s="37" t="n">
        <x:v>46143</x:v>
      </x:c>
      <x:c r="K3564" s="19" t="str">
        <x:v>Auswide Caravans - South Nowra</x:v>
      </x:c>
      <x:c r="L3564" s="19" t="str">
        <x:v>Z006</x:v>
      </x:c>
      <x:c r="M3564" s="19" t="str">
        <x:v>In Field Warranty Claims</x:v>
      </x:c>
      <x:c r="N3564" s="37" t="n">
        <x:v>46063</x:v>
      </x:c>
      <x:c r="O3564" s="37"/>
      <x:c r="P3564" s="34" t="n">
        <x:v>148.5</x:v>
      </x:c>
      <x:c r="Q3564" s="37" t="n">
        <x:v>46143.267592592594</x:v>
      </x:c>
    </x:row>
    <x:row r="3565">
      <x:c r="A3565" s="22" t="n">
        <x:v>30988</x:v>
      </x:c>
      <x:c r="B3565" s="28" t="n">
        <x:v>135</x:v>
      </x:c>
      <x:c r="C3565" s="28"/>
      <x:c r="D3565" s="31" t="str">
        <x:f>IF(OR(ISBLANK(B3565),ISBLANK(C3565),B3565=0),"",(C3565-B3565)/B3565)</x:f>
      </x:c>
      <x:c r="E3565" s="22" t="str">
        <x:f>IF(ISBLANK(C3565),"AmountIncludingTax缺失",IF(ABS(B3565-C3565)&lt;0.005,"一致","不一致"))</x:f>
        <x:v>AmountIncludingTax缺失</x:v>
      </x:c>
      <x:c r="F3565" s="19" t="str">
        <x:v>approved</x:v>
      </x:c>
      <x:c r="G3565" s="19" t="str">
        <x:v>Repair in Progress</x:v>
      </x:c>
      <x:c r="H3565" s="19" t="str">
        <x:v>In Field</x:v>
      </x:c>
      <x:c r="I3565" s="37" t="n">
        <x:v>46119</x:v>
      </x:c>
      <x:c r="J3565" s="37" t="n">
        <x:v>46119</x:v>
      </x:c>
      <x:c r="K3565" s="19" t="str">
        <x:v>ABCO Caravans - Boambee Valley</x:v>
      </x:c>
      <x:c r="L3565" s="19" t="str">
        <x:v>Z006</x:v>
      </x:c>
      <x:c r="M3565" s="19" t="str">
        <x:v>In Field Warranty Claims</x:v>
      </x:c>
      <x:c r="N3565" s="37" t="n">
        <x:v>46063</x:v>
      </x:c>
      <x:c r="O3565" s="37"/>
      <x:c r="P3565" s="34" t="n">
        <x:v>0</x:v>
      </x:c>
      <x:c r="Q3565" s="37" t="n">
        <x:v>46119.002847222226</x:v>
      </x:c>
    </x:row>
    <x:row r="3566">
      <x:c r="A3566" s="22" t="n">
        <x:v>30987</x:v>
      </x:c>
      <x:c r="B3566" s="28" t="n">
        <x:v>978.75</x:v>
      </x:c>
      <x:c r="C3566" s="28"/>
      <x:c r="D3566" s="31" t="str">
        <x:f>IF(OR(ISBLANK(B3566),ISBLANK(C3566),B3566=0),"",(C3566-B3566)/B3566)</x:f>
      </x:c>
      <x:c r="E3566" s="22" t="str">
        <x:f>IF(ISBLANK(C3566),"AmountIncludingTax缺失",IF(ABS(B3566-C3566)&lt;0.005,"一致","不一致"))</x:f>
        <x:v>AmountIncludingTax缺失</x:v>
      </x:c>
      <x:c r="F3566" s="19" t="str">
        <x:v>approved</x:v>
      </x:c>
      <x:c r="G3566" s="19" t="str">
        <x:v>Repairer Invoiced Processed</x:v>
      </x:c>
      <x:c r="H3566" s="19" t="str">
        <x:v>In Field</x:v>
      </x:c>
      <x:c r="I3566" s="37" t="n">
        <x:v>46076</x:v>
      </x:c>
      <x:c r="J3566" s="37" t="n">
        <x:v>46076</x:v>
      </x:c>
      <x:c r="K3566" s="19" t="str">
        <x:v>Lesiure Lion-New Castle</x:v>
      </x:c>
      <x:c r="L3566" s="19" t="str">
        <x:v>Z006</x:v>
      </x:c>
      <x:c r="M3566" s="19" t="str">
        <x:v>In Field Warranty Claims</x:v>
      </x:c>
      <x:c r="N3566" s="37" t="n">
        <x:v>46063</x:v>
      </x:c>
      <x:c r="O3566" s="37"/>
      <x:c r="P3566" s="34" t="n">
        <x:v>0</x:v>
      </x:c>
      <x:c r="Q3566" s="37" t="n">
        <x:v>46076.16341435185</x:v>
      </x:c>
    </x:row>
    <x:row r="3567">
      <x:c r="A3567" s="22" t="n">
        <x:v>30986</x:v>
      </x:c>
      <x:c r="B3567" s="28" t="n">
        <x:v>168.75</x:v>
      </x:c>
      <x:c r="C3567" s="28"/>
      <x:c r="D3567" s="31" t="str">
        <x:f>IF(OR(ISBLANK(B3567),ISBLANK(C3567),B3567=0),"",(C3567-B3567)/B3567)</x:f>
      </x:c>
      <x:c r="E3567" s="22" t="str">
        <x:f>IF(ISBLANK(C3567),"AmountIncludingTax缺失",IF(ABS(B3567-C3567)&lt;0.005,"一致","不一致"))</x:f>
        <x:v>AmountIncludingTax缺失</x:v>
      </x:c>
      <x:c r="F3567" s="19" t="str">
        <x:v>approved</x:v>
      </x:c>
      <x:c r="G3567" s="19" t="str">
        <x:v>Sales Order Approved</x:v>
      </x:c>
      <x:c r="H3567" s="19" t="str">
        <x:v>Pre Delivery</x:v>
      </x:c>
      <x:c r="I3567" s="37" t="n">
        <x:v>46114</x:v>
      </x:c>
      <x:c r="J3567" s="37" t="n">
        <x:v>46071</x:v>
      </x:c>
      <x:c r="K3567" s="19" t="str">
        <x:v>Snowy River Frankston</x:v>
      </x:c>
      <x:c r="L3567" s="19" t="str">
        <x:v>Z005</x:v>
      </x:c>
      <x:c r="M3567" s="19" t="str">
        <x:v>Pre Delivery Warranty Claims</x:v>
      </x:c>
      <x:c r="N3567" s="37" t="n">
        <x:v>46063</x:v>
      </x:c>
      <x:c r="O3567" s="37"/>
      <x:c r="P3567" s="34" t="n">
        <x:v>0</x:v>
      </x:c>
      <x:c r="Q3567" s="37" t="n">
        <x:v>46114.00983796296</x:v>
      </x:c>
    </x:row>
    <x:row r="3568">
      <x:c r="A3568" s="22" t="n">
        <x:v>30985</x:v>
      </x:c>
      <x:c r="B3568" s="28" t="n">
        <x:v>290.91</x:v>
      </x:c>
      <x:c r="C3568" s="28" t="n">
        <x:v>320</x:v>
      </x:c>
      <x:c r="D3568" s="31" t="n">
        <x:f>IF(OR(ISBLANK(B3568),ISBLANK(C3568),B3568=0),"",(C3568-B3568)/B3568)</x:f>
        <x:v>0.09999656251074206</x:v>
      </x:c>
      <x:c r="E3568" s="22" t="str">
        <x:f>IF(ISBLANK(C3568),"AmountIncludingTax缺失",IF(ABS(B3568-C3568)&lt;0.005,"一致","不一致"))</x:f>
        <x:v>不一致</x:v>
      </x:c>
      <x:c r="F3568" s="19" t="str">
        <x:v>approved</x:v>
      </x:c>
      <x:c r="G3568" s="19" t="str">
        <x:v>Repairer Invoiced Processed</x:v>
      </x:c>
      <x:c r="H3568" s="19" t="str">
        <x:v>In Field</x:v>
      </x:c>
      <x:c r="I3568" s="37" t="n">
        <x:v>46197</x:v>
      </x:c>
      <x:c r="J3568" s="37" t="n">
        <x:v>46197</x:v>
      </x:c>
      <x:c r="K3568" s="19" t="str">
        <x:v>Not Assigned</x:v>
      </x:c>
      <x:c r="L3568" s="19" t="str">
        <x:v>Z006</x:v>
      </x:c>
      <x:c r="M3568" s="19" t="str">
        <x:v>In Field Warranty Claims</x:v>
      </x:c>
      <x:c r="N3568" s="37" t="n">
        <x:v>46063</x:v>
      </x:c>
      <x:c r="O3568" s="37"/>
      <x:c r="P3568" s="34" t="n">
        <x:v>320</x:v>
      </x:c>
      <x:c r="Q3568" s="37" t="n">
        <x:v>46197.15520833333</x:v>
      </x:c>
    </x:row>
    <x:row r="3569">
      <x:c r="A3569" s="22" t="n">
        <x:v>30981</x:v>
      </x:c>
      <x:c r="B3569" s="28" t="n">
        <x:v>731.65</x:v>
      </x:c>
      <x:c r="C3569" s="28" t="n">
        <x:v>662.44</x:v>
      </x:c>
      <x:c r="D3569" s="31" t="n">
        <x:f>IF(OR(ISBLANK(B3569),ISBLANK(C3569),B3569=0),"",(C3569-B3569)/B3569)</x:f>
        <x:v>-0.09459440989544171</x:v>
      </x:c>
      <x:c r="E3569" s="22" t="str">
        <x:f>IF(ISBLANK(C3569),"AmountIncludingTax缺失",IF(ABS(B3569-C3569)&lt;0.005,"一致","不一致"))</x:f>
        <x:v>不一致</x:v>
      </x:c>
      <x:c r="F3569" s="19" t="str">
        <x:v>approved</x:v>
      </x:c>
      <x:c r="G3569" s="19" t="str">
        <x:v>Repair in Progress</x:v>
      </x:c>
      <x:c r="H3569" s="19" t="str">
        <x:v>In Field</x:v>
      </x:c>
      <x:c r="I3569" s="37" t="n">
        <x:v>46156</x:v>
      </x:c>
      <x:c r="J3569" s="37" t="n">
        <x:v>46156</x:v>
      </x:c>
      <x:c r="K3569" s="19" t="str">
        <x:v>Vanari Caravans - Marden Point</x:v>
      </x:c>
      <x:c r="L3569" s="19" t="str">
        <x:v>Z006</x:v>
      </x:c>
      <x:c r="M3569" s="19" t="str">
        <x:v>In Field Warranty Claims</x:v>
      </x:c>
      <x:c r="N3569" s="37" t="n">
        <x:v>46063</x:v>
      </x:c>
      <x:c r="O3569" s="37"/>
      <x:c r="P3569" s="34" t="n">
        <x:v>662.44</x:v>
      </x:c>
      <x:c r="Q3569" s="37" t="n">
        <x:v>46156.07976851852</x:v>
      </x:c>
    </x:row>
    <x:row r="3570">
      <x:c r="A3570" s="22" t="n">
        <x:v>30979</x:v>
      </x:c>
      <x:c r="B3570" s="28" t="n">
        <x:v>38.75</x:v>
      </x:c>
      <x:c r="C3570" s="28"/>
      <x:c r="D3570" s="31" t="str">
        <x:f>IF(OR(ISBLANK(B3570),ISBLANK(C3570),B3570=0),"",(C3570-B3570)/B3570)</x:f>
      </x:c>
      <x:c r="E3570" s="22" t="str">
        <x:f>IF(ISBLANK(C3570),"AmountIncludingTax缺失",IF(ABS(B3570-C3570)&lt;0.005,"一致","不一致"))</x:f>
        <x:v>AmountIncludingTax缺失</x:v>
      </x:c>
      <x:c r="F3570" s="19" t="str">
        <x:v>approved</x:v>
      </x:c>
      <x:c r="G3570" s="19" t="str">
        <x:v>Repairer Invoiced Processed</x:v>
      </x:c>
      <x:c r="H3570" s="19" t="str">
        <x:v>In Field</x:v>
      </x:c>
      <x:c r="I3570" s="37" t="n">
        <x:v>46073</x:v>
      </x:c>
      <x:c r="J3570" s="37" t="n">
        <x:v>46073</x:v>
      </x:c>
      <x:c r="K3570" s="19" t="str">
        <x:v>Green RV - Forest Glen</x:v>
      </x:c>
      <x:c r="L3570" s="19" t="str">
        <x:v>Z006</x:v>
      </x:c>
      <x:c r="M3570" s="19" t="str">
        <x:v>In Field Warranty Claims</x:v>
      </x:c>
      <x:c r="N3570" s="37" t="n">
        <x:v>46064</x:v>
      </x:c>
      <x:c r="O3570" s="37"/>
      <x:c r="P3570" s="34" t="n">
        <x:v>0</x:v>
      </x:c>
      <x:c r="Q3570" s="37" t="n">
        <x:v>46072.861597222225</x:v>
      </x:c>
    </x:row>
    <x:row r="3571">
      <x:c r="A3571" s="22" t="n">
        <x:v>30974</x:v>
      </x:c>
      <x:c r="B3571" s="28" t="n">
        <x:v>337.5</x:v>
      </x:c>
      <x:c r="C3571" s="28"/>
      <x:c r="D3571" s="31" t="str">
        <x:f>IF(OR(ISBLANK(B3571),ISBLANK(C3571),B3571=0),"",(C3571-B3571)/B3571)</x:f>
      </x:c>
      <x:c r="E3571" s="22" t="str">
        <x:f>IF(ISBLANK(C3571),"AmountIncludingTax缺失",IF(ABS(B3571-C3571)&lt;0.005,"一致","不一致"))</x:f>
        <x:v>AmountIncludingTax缺失</x:v>
      </x:c>
      <x:c r="F3571" s="19" t="str">
        <x:v>approved</x:v>
      </x:c>
      <x:c r="G3571" s="19" t="str">
        <x:v>Partially Picked</x:v>
      </x:c>
      <x:c r="H3571" s="19" t="str">
        <x:v>Pre Delivery</x:v>
      </x:c>
      <x:c r="I3571" s="37" t="n">
        <x:v>46070</x:v>
      </x:c>
      <x:c r="J3571" s="37" t="n">
        <x:v>46070</x:v>
      </x:c>
      <x:c r="K3571" s="19" t="str">
        <x:v>Snowy River Frankston</x:v>
      </x:c>
      <x:c r="L3571" s="19" t="str">
        <x:v>Z005</x:v>
      </x:c>
      <x:c r="M3571" s="19" t="str">
        <x:v>Pre Delivery Warranty Claims</x:v>
      </x:c>
      <x:c r="N3571" s="37" t="n">
        <x:v>46063</x:v>
      </x:c>
      <x:c r="O3571" s="37"/>
      <x:c r="P3571" s="34" t="n">
        <x:v>0</x:v>
      </x:c>
      <x:c r="Q3571" s="37" t="n">
        <x:v>46070.0024537037</x:v>
      </x:c>
    </x:row>
    <x:row r="3572">
      <x:c r="A3572" s="22" t="n">
        <x:v>30973</x:v>
      </x:c>
      <x:c r="B3572" s="28" t="n">
        <x:v>195.75</x:v>
      </x:c>
      <x:c r="C3572" s="28"/>
      <x:c r="D3572" s="31" t="str">
        <x:f>IF(OR(ISBLANK(B3572),ISBLANK(C3572),B3572=0),"",(C3572-B3572)/B3572)</x:f>
      </x:c>
      <x:c r="E3572" s="22" t="str">
        <x:f>IF(ISBLANK(C3572),"AmountIncludingTax缺失",IF(ABS(B3572-C3572)&lt;0.005,"一致","不一致"))</x:f>
        <x:v>AmountIncludingTax缺失</x:v>
      </x:c>
      <x:c r="F3572" s="19" t="str">
        <x:v>approved</x:v>
      </x:c>
      <x:c r="G3572" s="19" t="str">
        <x:v>Repair in Progress</x:v>
      </x:c>
      <x:c r="H3572" s="19" t="str">
        <x:v>Pre Delivery</x:v>
      </x:c>
      <x:c r="I3572" s="37" t="n">
        <x:v>46114</x:v>
      </x:c>
      <x:c r="J3572" s="37" t="n">
        <x:v>46070</x:v>
      </x:c>
      <x:c r="K3572" s="19" t="str">
        <x:v>Snowy River Frankston</x:v>
      </x:c>
      <x:c r="L3572" s="19" t="str">
        <x:v>Z005</x:v>
      </x:c>
      <x:c r="M3572" s="19" t="str">
        <x:v>Pre Delivery Warranty Claims</x:v>
      </x:c>
      <x:c r="N3572" s="37" t="n">
        <x:v>46063</x:v>
      </x:c>
      <x:c r="O3572" s="37"/>
      <x:c r="P3572" s="34" t="n">
        <x:v>0</x:v>
      </x:c>
      <x:c r="Q3572" s="37" t="n">
        <x:v>46114.00947916666</x:v>
      </x:c>
    </x:row>
    <x:row r="3573">
      <x:c r="A3573" s="22" t="n">
        <x:v>30972</x:v>
      </x:c>
      <x:c r="B3573" s="28" t="n">
        <x:v>135</x:v>
      </x:c>
      <x:c r="C3573" s="28"/>
      <x:c r="D3573" s="31" t="str">
        <x:f>IF(OR(ISBLANK(B3573),ISBLANK(C3573),B3573=0),"",(C3573-B3573)/B3573)</x:f>
      </x:c>
      <x:c r="E3573" s="22" t="str">
        <x:f>IF(ISBLANK(C3573),"AmountIncludingTax缺失",IF(ABS(B3573-C3573)&lt;0.005,"一致","不一致"))</x:f>
        <x:v>AmountIncludingTax缺失</x:v>
      </x:c>
      <x:c r="F3573" s="19" t="str">
        <x:v>approved</x:v>
      </x:c>
      <x:c r="G3573" s="19" t="str">
        <x:v>Repairer Invoiced Processed</x:v>
      </x:c>
      <x:c r="H3573" s="19" t="str">
        <x:v>In Field</x:v>
      </x:c>
      <x:c r="I3573" s="37" t="n">
        <x:v>46115</x:v>
      </x:c>
      <x:c r="J3573" s="37" t="n">
        <x:v>46115</x:v>
      </x:c>
      <x:c r="K3573" s="19" t="str">
        <x:v>Not Assigned</x:v>
      </x:c>
      <x:c r="L3573" s="19" t="str">
        <x:v>Z006</x:v>
      </x:c>
      <x:c r="M3573" s="19" t="str">
        <x:v>In Field Warranty Claims</x:v>
      </x:c>
      <x:c r="N3573" s="37" t="n">
        <x:v>46063</x:v>
      </x:c>
      <x:c r="O3573" s="37" t="n">
        <x:v>46070</x:v>
      </x:c>
      <x:c r="P3573" s="34" t="n">
        <x:v>0</x:v>
      </x:c>
      <x:c r="Q3573" s="37" t="n">
        <x:v>46115.333645833336</x:v>
      </x:c>
    </x:row>
    <x:row r="3574">
      <x:c r="A3574" s="22" t="n">
        <x:v>30971</x:v>
      </x:c>
      <x:c r="B3574" s="28" t="n">
        <x:v>927.5</x:v>
      </x:c>
      <x:c r="C3574" s="28"/>
      <x:c r="D3574" s="31" t="str">
        <x:f>IF(OR(ISBLANK(B3574),ISBLANK(C3574),B3574=0),"",(C3574-B3574)/B3574)</x:f>
      </x:c>
      <x:c r="E3574" s="22" t="str">
        <x:f>IF(ISBLANK(C3574),"AmountIncludingTax缺失",IF(ABS(B3574-C3574)&lt;0.005,"一致","不一致"))</x:f>
        <x:v>AmountIncludingTax缺失</x:v>
      </x:c>
      <x:c r="F3574" s="19" t="str">
        <x:v>approved</x:v>
      </x:c>
      <x:c r="G3574" s="19" t="str">
        <x:v>Repairer Invoiced Processed</x:v>
      </x:c>
      <x:c r="H3574" s="19" t="str">
        <x:v>Pre Delivery</x:v>
      </x:c>
      <x:c r="I3574" s="37" t="n">
        <x:v>46133</x:v>
      </x:c>
      <x:c r="J3574" s="37" t="n">
        <x:v>46133</x:v>
      </x:c>
      <x:c r="K3574" s="19" t="str">
        <x:v>Green RV - Forest Glen</x:v>
      </x:c>
      <x:c r="L3574" s="19" t="str">
        <x:v>Z005</x:v>
      </x:c>
      <x:c r="M3574" s="19" t="str">
        <x:v>Pre Delivery Warranty Claims</x:v>
      </x:c>
      <x:c r="N3574" s="37" t="n">
        <x:v>46063</x:v>
      </x:c>
      <x:c r="O3574" s="37"/>
      <x:c r="P3574" s="34" t="n">
        <x:v>0</x:v>
      </x:c>
      <x:c r="Q3574" s="37" t="n">
        <x:v>46133.27291666667</x:v>
      </x:c>
    </x:row>
    <x:row r="3575">
      <x:c r="A3575" s="22" t="n">
        <x:v>30969</x:v>
      </x:c>
      <x:c r="B3575" s="28" t="n">
        <x:v>135</x:v>
      </x:c>
      <x:c r="C3575" s="28"/>
      <x:c r="D3575" s="31" t="str">
        <x:f>IF(OR(ISBLANK(B3575),ISBLANK(C3575),B3575=0),"",(C3575-B3575)/B3575)</x:f>
      </x:c>
      <x:c r="E3575" s="22" t="str">
        <x:f>IF(ISBLANK(C3575),"AmountIncludingTax缺失",IF(ABS(B3575-C3575)&lt;0.005,"一致","不一致"))</x:f>
        <x:v>AmountIncludingTax缺失</x:v>
      </x:c>
      <x:c r="F3575" s="19" t="str">
        <x:v>approved</x:v>
      </x:c>
      <x:c r="G3575" s="19" t="str">
        <x:v>Repair in Progress</x:v>
      </x:c>
      <x:c r="H3575" s="19" t="str">
        <x:v>In Field</x:v>
      </x:c>
      <x:c r="I3575" s="37" t="n">
        <x:v>46108</x:v>
      </x:c>
      <x:c r="J3575" s="37" t="n">
        <x:v>46108</x:v>
      </x:c>
      <x:c r="K3575" s="19" t="str">
        <x:v>Regent RV - Toowoomba</x:v>
      </x:c>
      <x:c r="L3575" s="19" t="str">
        <x:v>Z006</x:v>
      </x:c>
      <x:c r="M3575" s="19" t="str">
        <x:v>In Field Warranty Claims</x:v>
      </x:c>
      <x:c r="N3575" s="37" t="n">
        <x:v>46063</x:v>
      </x:c>
      <x:c r="O3575" s="37"/>
      <x:c r="P3575" s="34" t="n">
        <x:v>0</x:v>
      </x:c>
      <x:c r="Q3575" s="37" t="n">
        <x:v>46108.05792824074</x:v>
      </x:c>
    </x:row>
    <x:row r="3576">
      <x:c r="A3576" s="22" t="n">
        <x:v>30967</x:v>
      </x:c>
      <x:c r="B3576" s="28" t="n">
        <x:v>1106.97</x:v>
      </x:c>
      <x:c r="C3576" s="28"/>
      <x:c r="D3576" s="31" t="str">
        <x:f>IF(OR(ISBLANK(B3576),ISBLANK(C3576),B3576=0),"",(C3576-B3576)/B3576)</x:f>
      </x:c>
      <x:c r="E3576" s="22" t="str">
        <x:f>IF(ISBLANK(C3576),"AmountIncludingTax缺失",IF(ABS(B3576-C3576)&lt;0.005,"一致","不一致"))</x:f>
        <x:v>AmountIncludingTax缺失</x:v>
      </x:c>
      <x:c r="F3576" s="19" t="str">
        <x:v>approved</x:v>
      </x:c>
      <x:c r="G3576" s="19" t="str">
        <x:v>Repairer Invoiced Processed</x:v>
      </x:c>
      <x:c r="H3576" s="19" t="str">
        <x:v>Pre Delivery</x:v>
      </x:c>
      <x:c r="I3576" s="37" t="n">
        <x:v>46112</x:v>
      </x:c>
      <x:c r="J3576" s="37" t="n">
        <x:v>46112</x:v>
      </x:c>
      <x:c r="K3576" s="19" t="str">
        <x:v>Lesiure Lion-New Castle</x:v>
      </x:c>
      <x:c r="L3576" s="19" t="str">
        <x:v>Z005</x:v>
      </x:c>
      <x:c r="M3576" s="19" t="str">
        <x:v>Pre Delivery Warranty Claims</x:v>
      </x:c>
      <x:c r="N3576" s="37" t="n">
        <x:v>46063</x:v>
      </x:c>
      <x:c r="O3576" s="37"/>
      <x:c r="P3576" s="34" t="n">
        <x:v>1217.67</x:v>
      </x:c>
      <x:c r="Q3576" s="37" t="n">
        <x:v>46112.143587962964</x:v>
      </x:c>
    </x:row>
    <x:row r="3577">
      <x:c r="A3577" s="22" t="n">
        <x:v>30966</x:v>
      </x:c>
      <x:c r="B3577" s="28" t="n">
        <x:v>560</x:v>
      </x:c>
      <x:c r="C3577" s="28"/>
      <x:c r="D3577" s="31" t="str">
        <x:f>IF(OR(ISBLANK(B3577),ISBLANK(C3577),B3577=0),"",(C3577-B3577)/B3577)</x:f>
      </x:c>
      <x:c r="E3577" s="22" t="str">
        <x:f>IF(ISBLANK(C3577),"AmountIncludingTax缺失",IF(ABS(B3577-C3577)&lt;0.005,"一致","不一致"))</x:f>
        <x:v>AmountIncludingTax缺失</x:v>
      </x:c>
      <x:c r="F3577" s="19" t="str">
        <x:v>approved</x:v>
      </x:c>
      <x:c r="G3577" s="19" t="str">
        <x:v>Repair in Progress</x:v>
      </x:c>
      <x:c r="H3577" s="19" t="str">
        <x:v>In Field</x:v>
      </x:c>
      <x:c r="I3577" s="37" t="n">
        <x:v>46070</x:v>
      </x:c>
      <x:c r="J3577" s="37" t="n">
        <x:v>46070</x:v>
      </x:c>
      <x:c r="K3577" s="19" t="str">
        <x:v>Green RV - Forest Glen</x:v>
      </x:c>
      <x:c r="L3577" s="19" t="str">
        <x:v>Z006</x:v>
      </x:c>
      <x:c r="M3577" s="19" t="str">
        <x:v>In Field Warranty Claims</x:v>
      </x:c>
      <x:c r="N3577" s="37" t="n">
        <x:v>46063</x:v>
      </x:c>
      <x:c r="O3577" s="37"/>
      <x:c r="P3577" s="34" t="n">
        <x:v>0</x:v>
      </x:c>
      <x:c r="Q3577" s="37" t="n">
        <x:v>46069.998136574075</x:v>
      </x:c>
    </x:row>
    <x:row r="3578">
      <x:c r="A3578" s="22" t="n">
        <x:v>30965</x:v>
      </x:c>
      <x:c r="B3578" s="28" t="n">
        <x:v>1018.75</x:v>
      </x:c>
      <x:c r="C3578" s="28"/>
      <x:c r="D3578" s="31" t="str">
        <x:f>IF(OR(ISBLANK(B3578),ISBLANK(C3578),B3578=0),"",(C3578-B3578)/B3578)</x:f>
      </x:c>
      <x:c r="E3578" s="22" t="str">
        <x:f>IF(ISBLANK(C3578),"AmountIncludingTax缺失",IF(ABS(B3578-C3578)&lt;0.005,"一致","不一致"))</x:f>
        <x:v>AmountIncludingTax缺失</x:v>
      </x:c>
      <x:c r="F3578" s="19" t="str">
        <x:v>approved</x:v>
      </x:c>
      <x:c r="G3578" s="19" t="str">
        <x:v>Repair in Progress</x:v>
      </x:c>
      <x:c r="H3578" s="19" t="str">
        <x:v>In Field</x:v>
      </x:c>
      <x:c r="I3578" s="37" t="n">
        <x:v>46071</x:v>
      </x:c>
      <x:c r="J3578" s="37" t="n">
        <x:v>46071</x:v>
      </x:c>
      <x:c r="K3578" s="19" t="str">
        <x:v>Green RV - Forest Glen</x:v>
      </x:c>
      <x:c r="L3578" s="19" t="str">
        <x:v>Z006</x:v>
      </x:c>
      <x:c r="M3578" s="19" t="str">
        <x:v>In Field Warranty Claims</x:v>
      </x:c>
      <x:c r="N3578" s="37" t="n">
        <x:v>46063</x:v>
      </x:c>
      <x:c r="O3578" s="37"/>
      <x:c r="P3578" s="34" t="n">
        <x:v>0</x:v>
      </x:c>
      <x:c r="Q3578" s="37" t="n">
        <x:v>46070.88462962963</x:v>
      </x:c>
    </x:row>
    <x:row r="3579">
      <x:c r="A3579" s="22" t="n">
        <x:v>30964</x:v>
      </x:c>
      <x:c r="B3579" s="28" t="n">
        <x:v>222.5</x:v>
      </x:c>
      <x:c r="C3579" s="28"/>
      <x:c r="D3579" s="31" t="str">
        <x:f>IF(OR(ISBLANK(B3579),ISBLANK(C3579),B3579=0),"",(C3579-B3579)/B3579)</x:f>
      </x:c>
      <x:c r="E3579" s="22" t="str">
        <x:f>IF(ISBLANK(C3579),"AmountIncludingTax缺失",IF(ABS(B3579-C3579)&lt;0.005,"一致","不一致"))</x:f>
        <x:v>AmountIncludingTax缺失</x:v>
      </x:c>
      <x:c r="F3579" s="19" t="str">
        <x:v>approved</x:v>
      </x:c>
      <x:c r="G3579" s="19" t="str">
        <x:v>Repairer Invoiced Processed</x:v>
      </x:c>
      <x:c r="H3579" s="19" t="str">
        <x:v>In Field</x:v>
      </x:c>
      <x:c r="I3579" s="37" t="n">
        <x:v>46071</x:v>
      </x:c>
      <x:c r="J3579" s="37" t="n">
        <x:v>46071</x:v>
      </x:c>
      <x:c r="K3579" s="19" t="str">
        <x:v>Green RV - Forest Glen</x:v>
      </x:c>
      <x:c r="L3579" s="19" t="str">
        <x:v>Z006</x:v>
      </x:c>
      <x:c r="M3579" s="19" t="str">
        <x:v>In Field Warranty Claims</x:v>
      </x:c>
      <x:c r="N3579" s="37" t="n">
        <x:v>46063</x:v>
      </x:c>
      <x:c r="O3579" s="37"/>
      <x:c r="P3579" s="34" t="n">
        <x:v>0</x:v>
      </x:c>
      <x:c r="Q3579" s="37" t="n">
        <x:v>46070.99858796296</x:v>
      </x:c>
    </x:row>
    <x:row r="3580">
      <x:c r="A3580" s="22" t="n">
        <x:v>30963</x:v>
      </x:c>
      <x:c r="B3580" s="28" t="n">
        <x:v>1301.91</x:v>
      </x:c>
      <x:c r="C3580" s="28"/>
      <x:c r="D3580" s="31" t="str">
        <x:f>IF(OR(ISBLANK(B3580),ISBLANK(C3580),B3580=0),"",(C3580-B3580)/B3580)</x:f>
      </x:c>
      <x:c r="E3580" s="22" t="str">
        <x:f>IF(ISBLANK(C3580),"AmountIncludingTax缺失",IF(ABS(B3580-C3580)&lt;0.005,"一致","不一致"))</x:f>
        <x:v>AmountIncludingTax缺失</x:v>
      </x:c>
      <x:c r="F3580" s="19" t="str">
        <x:v>approved</x:v>
      </x:c>
      <x:c r="G3580" s="19" t="str">
        <x:v>Repairer Invoiced Processed</x:v>
      </x:c>
      <x:c r="H3580" s="19" t="str">
        <x:v>In Field</x:v>
      </x:c>
      <x:c r="I3580" s="37" t="n">
        <x:v>46148</x:v>
      </x:c>
      <x:c r="J3580" s="37" t="n">
        <x:v>46148</x:v>
      </x:c>
      <x:c r="K3580" s="19" t="str">
        <x:v>The Caravan Hub - Townsville</x:v>
      </x:c>
      <x:c r="L3580" s="19" t="str">
        <x:v>Z006</x:v>
      </x:c>
      <x:c r="M3580" s="19" t="str">
        <x:v>In Field Warranty Claims</x:v>
      </x:c>
      <x:c r="N3580" s="37" t="n">
        <x:v>46063</x:v>
      </x:c>
      <x:c r="O3580" s="37"/>
      <x:c r="P3580" s="34" t="n">
        <x:v>0</x:v>
      </x:c>
      <x:c r="Q3580" s="37" t="n">
        <x:v>46148.25387731481</x:v>
      </x:c>
    </x:row>
    <x:row r="3581">
      <x:c r="A3581" s="22" t="n">
        <x:v>30961</x:v>
      </x:c>
      <x:c r="B3581" s="28" t="n">
        <x:v>1323.75</x:v>
      </x:c>
      <x:c r="C3581" s="28"/>
      <x:c r="D3581" s="31" t="str">
        <x:f>IF(OR(ISBLANK(B3581),ISBLANK(C3581),B3581=0),"",(C3581-B3581)/B3581)</x:f>
      </x:c>
      <x:c r="E3581" s="22" t="str">
        <x:f>IF(ISBLANK(C3581),"AmountIncludingTax缺失",IF(ABS(B3581-C3581)&lt;0.005,"一致","不一致"))</x:f>
        <x:v>AmountIncludingTax缺失</x:v>
      </x:c>
      <x:c r="F3581" s="19" t="str">
        <x:v>approved</x:v>
      </x:c>
      <x:c r="G3581" s="19" t="str">
        <x:v>Repairer Invoiced Processed</x:v>
      </x:c>
      <x:c r="H3581" s="19" t="str">
        <x:v>Pre Delivery</x:v>
      </x:c>
      <x:c r="I3581" s="37" t="n">
        <x:v>46133</x:v>
      </x:c>
      <x:c r="J3581" s="37" t="n">
        <x:v>46133</x:v>
      </x:c>
      <x:c r="K3581" s="19" t="str">
        <x:v>Green RV - Forest Glen</x:v>
      </x:c>
      <x:c r="L3581" s="19" t="str">
        <x:v>Z005</x:v>
      </x:c>
      <x:c r="M3581" s="19" t="str">
        <x:v>Pre Delivery Warranty Claims</x:v>
      </x:c>
      <x:c r="N3581" s="37" t="n">
        <x:v>46063</x:v>
      </x:c>
      <x:c r="O3581" s="37"/>
      <x:c r="P3581" s="34" t="n">
        <x:v>0</x:v>
      </x:c>
      <x:c r="Q3581" s="37" t="n">
        <x:v>46133.265231481484</x:v>
      </x:c>
    </x:row>
    <x:row r="3582">
      <x:c r="A3582" s="22" t="n">
        <x:v>30959</x:v>
      </x:c>
      <x:c r="B3582" s="28" t="n">
        <x:v>468.75</x:v>
      </x:c>
      <x:c r="C3582" s="28"/>
      <x:c r="D3582" s="31" t="str">
        <x:f>IF(OR(ISBLANK(B3582),ISBLANK(C3582),B3582=0),"",(C3582-B3582)/B3582)</x:f>
      </x:c>
      <x:c r="E3582" s="22" t="str">
        <x:f>IF(ISBLANK(C3582),"AmountIncludingTax缺失",IF(ABS(B3582-C3582)&lt;0.005,"一致","不一致"))</x:f>
        <x:v>AmountIncludingTax缺失</x:v>
      </x:c>
      <x:c r="F3582" s="19" t="str">
        <x:v>approved</x:v>
      </x:c>
      <x:c r="G3582" s="19" t="str">
        <x:v>Repairer Invoiced Processed</x:v>
      </x:c>
      <x:c r="H3582" s="19" t="str">
        <x:v>In Field</x:v>
      </x:c>
      <x:c r="I3582" s="37" t="n">
        <x:v>46070</x:v>
      </x:c>
      <x:c r="J3582" s="37" t="n">
        <x:v>46070</x:v>
      </x:c>
      <x:c r="K3582" s="19" t="str">
        <x:v>Green RV - Forest Glen</x:v>
      </x:c>
      <x:c r="L3582" s="19" t="str">
        <x:v>Z006</x:v>
      </x:c>
      <x:c r="M3582" s="19" t="str">
        <x:v>In Field Warranty Claims</x:v>
      </x:c>
      <x:c r="N3582" s="37" t="n">
        <x:v>46063</x:v>
      </x:c>
      <x:c r="O3582" s="37"/>
      <x:c r="P3582" s="34" t="n">
        <x:v>0</x:v>
      </x:c>
      <x:c r="Q3582" s="37" t="n">
        <x:v>46069.99736111111</x:v>
      </x:c>
    </x:row>
    <x:row r="3583">
      <x:c r="A3583" s="22" t="n">
        <x:v>30958</x:v>
      </x:c>
      <x:c r="B3583" s="28" t="n">
        <x:v>101.25</x:v>
      </x:c>
      <x:c r="C3583" s="28"/>
      <x:c r="D3583" s="31" t="str">
        <x:f>IF(OR(ISBLANK(B3583),ISBLANK(C3583),B3583=0),"",(C3583-B3583)/B3583)</x:f>
      </x:c>
      <x:c r="E3583" s="22" t="str">
        <x:f>IF(ISBLANK(C3583),"AmountIncludingTax缺失",IF(ABS(B3583-C3583)&lt;0.005,"一致","不一致"))</x:f>
        <x:v>AmountIncludingTax缺失</x:v>
      </x:c>
      <x:c r="F3583" s="19" t="str">
        <x:v>approved</x:v>
      </x:c>
      <x:c r="G3583" s="19" t="str">
        <x:v>Repairer Invoiced Processed</x:v>
      </x:c>
      <x:c r="H3583" s="19" t="str">
        <x:v>In Field</x:v>
      </x:c>
      <x:c r="I3583" s="37" t="n">
        <x:v>46070</x:v>
      </x:c>
      <x:c r="J3583" s="37" t="n">
        <x:v>46070</x:v>
      </x:c>
      <x:c r="K3583" s="19" t="str">
        <x:v>Green RV - Slacks Creek</x:v>
      </x:c>
      <x:c r="L3583" s="19" t="str">
        <x:v>Z006</x:v>
      </x:c>
      <x:c r="M3583" s="19" t="str">
        <x:v>In Field Warranty Claims</x:v>
      </x:c>
      <x:c r="N3583" s="37" t="n">
        <x:v>46063</x:v>
      </x:c>
      <x:c r="O3583" s="37"/>
      <x:c r="P3583" s="34" t="n">
        <x:v>0</x:v>
      </x:c>
      <x:c r="Q3583" s="37" t="n">
        <x:v>46070.00413194444</x:v>
      </x:c>
    </x:row>
    <x:row r="3584">
      <x:c r="A3584" s="22" t="n">
        <x:v>30957</x:v>
      </x:c>
      <x:c r="B3584" s="28" t="n">
        <x:v>222.5</x:v>
      </x:c>
      <x:c r="C3584" s="28"/>
      <x:c r="D3584" s="31" t="str">
        <x:f>IF(OR(ISBLANK(B3584),ISBLANK(C3584),B3584=0),"",(C3584-B3584)/B3584)</x:f>
      </x:c>
      <x:c r="E3584" s="22" t="str">
        <x:f>IF(ISBLANK(C3584),"AmountIncludingTax缺失",IF(ABS(B3584-C3584)&lt;0.005,"一致","不一致"))</x:f>
        <x:v>AmountIncludingTax缺失</x:v>
      </x:c>
      <x:c r="F3584" s="19" t="str">
        <x:v>approved</x:v>
      </x:c>
      <x:c r="G3584" s="19" t="str">
        <x:v>Repairer Invoiced Processed</x:v>
      </x:c>
      <x:c r="H3584" s="19" t="str">
        <x:v>In Field</x:v>
      </x:c>
      <x:c r="I3584" s="37" t="n">
        <x:v>46071</x:v>
      </x:c>
      <x:c r="J3584" s="37" t="n">
        <x:v>46071</x:v>
      </x:c>
      <x:c r="K3584" s="19" t="str">
        <x:v>Green RV - Forest Glen</x:v>
      </x:c>
      <x:c r="L3584" s="19" t="str">
        <x:v>Z006</x:v>
      </x:c>
      <x:c r="M3584" s="19" t="str">
        <x:v>In Field Warranty Claims</x:v>
      </x:c>
      <x:c r="N3584" s="37" t="n">
        <x:v>46063</x:v>
      </x:c>
      <x:c r="O3584" s="37"/>
      <x:c r="P3584" s="34" t="n">
        <x:v>0</x:v>
      </x:c>
      <x:c r="Q3584" s="37" t="n">
        <x:v>46071.11082175926</x:v>
      </x:c>
    </x:row>
    <x:row r="3585">
      <x:c r="A3585" s="22" t="n">
        <x:v>30956</x:v>
      </x:c>
      <x:c r="B3585" s="28" t="n">
        <x:v>222.5</x:v>
      </x:c>
      <x:c r="C3585" s="28"/>
      <x:c r="D3585" s="31" t="str">
        <x:f>IF(OR(ISBLANK(B3585),ISBLANK(C3585),B3585=0),"",(C3585-B3585)/B3585)</x:f>
      </x:c>
      <x:c r="E3585" s="22" t="str">
        <x:f>IF(ISBLANK(C3585),"AmountIncludingTax缺失",IF(ABS(B3585-C3585)&lt;0.005,"一致","不一致"))</x:f>
        <x:v>AmountIncludingTax缺失</x:v>
      </x:c>
      <x:c r="F3585" s="19" t="str">
        <x:v>approved</x:v>
      </x:c>
      <x:c r="G3585" s="19" t="str">
        <x:v>Repairer Invoiced Processed</x:v>
      </x:c>
      <x:c r="H3585" s="19" t="str">
        <x:v>In Field</x:v>
      </x:c>
      <x:c r="I3585" s="37" t="n">
        <x:v>46070</x:v>
      </x:c>
      <x:c r="J3585" s="37" t="n">
        <x:v>46070</x:v>
      </x:c>
      <x:c r="K3585" s="19" t="str">
        <x:v>Green RV - Forest Glen</x:v>
      </x:c>
      <x:c r="L3585" s="19" t="str">
        <x:v>Z006</x:v>
      </x:c>
      <x:c r="M3585" s="19" t="str">
        <x:v>In Field Warranty Claims</x:v>
      </x:c>
      <x:c r="N3585" s="37" t="n">
        <x:v>46063</x:v>
      </x:c>
      <x:c r="O3585" s="37"/>
      <x:c r="P3585" s="34" t="n">
        <x:v>0</x:v>
      </x:c>
      <x:c r="Q3585" s="37" t="n">
        <x:v>46069.991747685184</x:v>
      </x:c>
    </x:row>
    <x:row r="3586">
      <x:c r="A3586" s="22" t="n">
        <x:v>30955</x:v>
      </x:c>
      <x:c r="B3586" s="28" t="n">
        <x:v>371.25</x:v>
      </x:c>
      <x:c r="C3586" s="28"/>
      <x:c r="D3586" s="31" t="str">
        <x:f>IF(OR(ISBLANK(B3586),ISBLANK(C3586),B3586=0),"",(C3586-B3586)/B3586)</x:f>
      </x:c>
      <x:c r="E3586" s="22" t="str">
        <x:f>IF(ISBLANK(C3586),"AmountIncludingTax缺失",IF(ABS(B3586-C3586)&lt;0.005,"一致","不一致"))</x:f>
        <x:v>AmountIncludingTax缺失</x:v>
      </x:c>
      <x:c r="F3586" s="19" t="str">
        <x:v>approved</x:v>
      </x:c>
      <x:c r="G3586" s="19" t="str">
        <x:v>Repair in Progress</x:v>
      </x:c>
      <x:c r="H3586" s="19" t="str">
        <x:v>In Field</x:v>
      </x:c>
      <x:c r="I3586" s="37" t="n">
        <x:v>46086</x:v>
      </x:c>
      <x:c r="J3586" s="37" t="n">
        <x:v>46086</x:v>
      </x:c>
      <x:c r="K3586" s="19" t="str">
        <x:v>Not Assigned</x:v>
      </x:c>
      <x:c r="L3586" s="19" t="str">
        <x:v>Z006</x:v>
      </x:c>
      <x:c r="M3586" s="19" t="str">
        <x:v>In Field Warranty Claims</x:v>
      </x:c>
      <x:c r="N3586" s="37" t="n">
        <x:v>46063</x:v>
      </x:c>
      <x:c r="O3586" s="37"/>
      <x:c r="P3586" s="34" t="n">
        <x:v>0</x:v>
      </x:c>
      <x:c r="Q3586" s="37" t="n">
        <x:v>46086.10667824074</x:v>
      </x:c>
    </x:row>
    <x:row r="3587">
      <x:c r="A3587" s="22" t="n">
        <x:v>30952</x:v>
      </x:c>
      <x:c r="B3587" s="28" t="n">
        <x:v>337.5</x:v>
      </x:c>
      <x:c r="C3587" s="28"/>
      <x:c r="D3587" s="31" t="str">
        <x:f>IF(OR(ISBLANK(B3587),ISBLANK(C3587),B3587=0),"",(C3587-B3587)/B3587)</x:f>
      </x:c>
      <x:c r="E3587" s="22" t="str">
        <x:f>IF(ISBLANK(C3587),"AmountIncludingTax缺失",IF(ABS(B3587-C3587)&lt;0.005,"一致","不一致"))</x:f>
        <x:v>AmountIncludingTax缺失</x:v>
      </x:c>
      <x:c r="F3587" s="19" t="str">
        <x:v>approved</x:v>
      </x:c>
      <x:c r="G3587" s="19" t="str">
        <x:v>Repairer Invoiced Processed</x:v>
      </x:c>
      <x:c r="H3587" s="19" t="str">
        <x:v>In Field</x:v>
      </x:c>
      <x:c r="I3587" s="37" t="n">
        <x:v>46098</x:v>
      </x:c>
      <x:c r="J3587" s="37" t="n">
        <x:v>46098</x:v>
      </x:c>
      <x:c r="K3587" s="19" t="str">
        <x:v>Leisure Lion Pty Ltd - Toowoomba</x:v>
      </x:c>
      <x:c r="L3587" s="19" t="str">
        <x:v>Z006</x:v>
      </x:c>
      <x:c r="M3587" s="19" t="str">
        <x:v>In Field Warranty Claims</x:v>
      </x:c>
      <x:c r="N3587" s="37" t="n">
        <x:v>46063</x:v>
      </x:c>
      <x:c r="O3587" s="37"/>
      <x:c r="P3587" s="34" t="n">
        <x:v>0</x:v>
      </x:c>
      <x:c r="Q3587" s="37" t="n">
        <x:v>46097.88324074074</x:v>
      </x:c>
    </x:row>
    <x:row r="3588">
      <x:c r="A3588" s="22" t="n">
        <x:v>30950</x:v>
      </x:c>
      <x:c r="B3588" s="28" t="n">
        <x:v>652.5</x:v>
      </x:c>
      <x:c r="C3588" s="28"/>
      <x:c r="D3588" s="31" t="str">
        <x:f>IF(OR(ISBLANK(B3588),ISBLANK(C3588),B3588=0),"",(C3588-B3588)/B3588)</x:f>
      </x:c>
      <x:c r="E3588" s="22" t="str">
        <x:f>IF(ISBLANK(C3588),"AmountIncludingTax缺失",IF(ABS(B3588-C3588)&lt;0.005,"一致","不一致"))</x:f>
        <x:v>AmountIncludingTax缺失</x:v>
      </x:c>
      <x:c r="F3588" s="19" t="str">
        <x:v>approved</x:v>
      </x:c>
      <x:c r="G3588" s="19" t="str">
        <x:v>Partially Picked</x:v>
      </x:c>
      <x:c r="H3588" s="19" t="str">
        <x:v>In Field</x:v>
      </x:c>
      <x:c r="I3588" s="37" t="n">
        <x:v>46177</x:v>
      </x:c>
      <x:c r="J3588" s="37" t="n">
        <x:v>46177</x:v>
      </x:c>
      <x:c r="K3588" s="19" t="str">
        <x:v>Lesiure Lion-New Castle</x:v>
      </x:c>
      <x:c r="L3588" s="19" t="str">
        <x:v>Z006</x:v>
      </x:c>
      <x:c r="M3588" s="19" t="str">
        <x:v>In Field Warranty Claims</x:v>
      </x:c>
      <x:c r="N3588" s="37" t="n">
        <x:v>46063</x:v>
      </x:c>
      <x:c r="O3588" s="37"/>
      <x:c r="P3588" s="34" t="n">
        <x:v>0</x:v>
      </x:c>
      <x:c r="Q3588" s="37" t="n">
        <x:v>46177.18491898148</x:v>
      </x:c>
    </x:row>
    <x:row r="3589">
      <x:c r="A3589" s="22" t="n">
        <x:v>30949</x:v>
      </x:c>
      <x:c r="B3589" s="28" t="n">
        <x:v>169.6</x:v>
      </x:c>
      <x:c r="C3589" s="28" t="n">
        <x:v>153.56</x:v>
      </x:c>
      <x:c r="D3589" s="31" t="n">
        <x:f>IF(OR(ISBLANK(B3589),ISBLANK(C3589),B3589=0),"",(C3589-B3589)/B3589)</x:f>
        <x:v>-0.09457547169811316</x:v>
      </x:c>
      <x:c r="E3589" s="22" t="str">
        <x:f>IF(ISBLANK(C3589),"AmountIncludingTax缺失",IF(ABS(B3589-C3589)&lt;0.005,"一致","不一致"))</x:f>
        <x:v>不一致</x:v>
      </x:c>
      <x:c r="F3589" s="19" t="str">
        <x:v>approved</x:v>
      </x:c>
      <x:c r="G3589" s="19" t="str">
        <x:v>Repairer Invoiced Processed</x:v>
      </x:c>
      <x:c r="H3589" s="19" t="str">
        <x:v>In Field</x:v>
      </x:c>
      <x:c r="I3589" s="37" t="n">
        <x:v>46085</x:v>
      </x:c>
      <x:c r="J3589" s="37" t="n">
        <x:v>46085</x:v>
      </x:c>
      <x:c r="K3589" s="19" t="str">
        <x:v>Vanari Caravans - Marden Point</x:v>
      </x:c>
      <x:c r="L3589" s="19" t="str">
        <x:v>Z006</x:v>
      </x:c>
      <x:c r="M3589" s="19" t="str">
        <x:v>In Field Warranty Claims</x:v>
      </x:c>
      <x:c r="N3589" s="37" t="n">
        <x:v>46063</x:v>
      </x:c>
      <x:c r="O3589" s="37"/>
      <x:c r="P3589" s="34" t="n">
        <x:v>153.56</x:v>
      </x:c>
      <x:c r="Q3589" s="37" t="n">
        <x:v>46085.20591435185</x:v>
      </x:c>
    </x:row>
    <x:row r="3590">
      <x:c r="A3590" s="22" t="n">
        <x:v>30948</x:v>
      </x:c>
      <x:c r="B3590" s="28" t="n">
        <x:v>207</x:v>
      </x:c>
      <x:c r="C3590" s="28"/>
      <x:c r="D3590" s="31" t="str">
        <x:f>IF(OR(ISBLANK(B3590),ISBLANK(C3590),B3590=0),"",(C3590-B3590)/B3590)</x:f>
      </x:c>
      <x:c r="E3590" s="22" t="str">
        <x:f>IF(ISBLANK(C3590),"AmountIncludingTax缺失",IF(ABS(B3590-C3590)&lt;0.005,"一致","不一致"))</x:f>
        <x:v>AmountIncludingTax缺失</x:v>
      </x:c>
      <x:c r="F3590" s="19" t="str">
        <x:v>approved</x:v>
      </x:c>
      <x:c r="G3590" s="19" t="str">
        <x:v>Repair in Progress</x:v>
      </x:c>
      <x:c r="H3590" s="19" t="str">
        <x:v>In Field</x:v>
      </x:c>
      <x:c r="I3590" s="37" t="n">
        <x:v>46108</x:v>
      </x:c>
      <x:c r="J3590" s="37" t="n">
        <x:v>46108</x:v>
      </x:c>
      <x:c r="K3590" s="19" t="str">
        <x:v>Auswide Caravans - South Nowra</x:v>
      </x:c>
      <x:c r="L3590" s="19" t="str">
        <x:v>Z006</x:v>
      </x:c>
      <x:c r="M3590" s="19" t="str">
        <x:v>In Field Warranty Claims</x:v>
      </x:c>
      <x:c r="N3590" s="37" t="n">
        <x:v>46063</x:v>
      </x:c>
      <x:c r="O3590" s="37"/>
      <x:c r="P3590" s="34" t="n">
        <x:v>0</x:v>
      </x:c>
      <x:c r="Q3590" s="37" t="n">
        <x:v>46108.059594907405</x:v>
      </x:c>
    </x:row>
    <x:row r="3591">
      <x:c r="A3591" s="22" t="n">
        <x:v>30947</x:v>
      </x:c>
      <x:c r="B3591" s="28" t="n">
        <x:v>217.91</x:v>
      </x:c>
      <x:c r="C3591" s="28" t="n">
        <x:v>239.7</x:v>
      </x:c>
      <x:c r="D3591" s="31" t="n">
        <x:f>IF(OR(ISBLANK(B3591),ISBLANK(C3591),B3591=0),"",(C3591-B3591)/B3591)</x:f>
        <x:v>0.09999541094947452</x:v>
      </x:c>
      <x:c r="E3591" s="22" t="str">
        <x:f>IF(ISBLANK(C3591),"AmountIncludingTax缺失",IF(ABS(B3591-C3591)&lt;0.005,"一致","不一致"))</x:f>
        <x:v>不一致</x:v>
      </x:c>
      <x:c r="F3591" s="19" t="str">
        <x:v>approved</x:v>
      </x:c>
      <x:c r="G3591" s="19" t="str">
        <x:v>Repairer Invoiced Processed</x:v>
      </x:c>
      <x:c r="H3591" s="19" t="str">
        <x:v>In Field</x:v>
      </x:c>
      <x:c r="I3591" s="37" t="n">
        <x:v>46153</x:v>
      </x:c>
      <x:c r="J3591" s="37" t="n">
        <x:v>46153</x:v>
      </x:c>
      <x:c r="K3591" s="19" t="str">
        <x:v>Auswide Caravans - South Nowra</x:v>
      </x:c>
      <x:c r="L3591" s="19" t="str">
        <x:v>Z006</x:v>
      </x:c>
      <x:c r="M3591" s="19" t="str">
        <x:v>In Field Warranty Claims</x:v>
      </x:c>
      <x:c r="N3591" s="37" t="n">
        <x:v>46063</x:v>
      </x:c>
      <x:c r="O3591" s="37"/>
      <x:c r="P3591" s="34" t="n">
        <x:v>239.7</x:v>
      </x:c>
      <x:c r="Q3591" s="37" t="n">
        <x:v>46153.24793981481</x:v>
      </x:c>
    </x:row>
    <x:row r="3592">
      <x:c r="A3592" s="22" t="n">
        <x:v>30945</x:v>
      </x:c>
      <x:c r="B3592" s="28" t="n">
        <x:v>101.25</x:v>
      </x:c>
      <x:c r="C3592" s="28"/>
      <x:c r="D3592" s="31" t="str">
        <x:f>IF(OR(ISBLANK(B3592),ISBLANK(C3592),B3592=0),"",(C3592-B3592)/B3592)</x:f>
      </x:c>
      <x:c r="E3592" s="22" t="str">
        <x:f>IF(ISBLANK(C3592),"AmountIncludingTax缺失",IF(ABS(B3592-C3592)&lt;0.005,"一致","不一致"))</x:f>
        <x:v>AmountIncludingTax缺失</x:v>
      </x:c>
      <x:c r="F3592" s="19" t="str">
        <x:v>approved</x:v>
      </x:c>
      <x:c r="G3592" s="19" t="str">
        <x:v>Repairer Invoiced Processed</x:v>
      </x:c>
      <x:c r="H3592" s="19" t="str">
        <x:v>In Field</x:v>
      </x:c>
      <x:c r="I3592" s="37" t="n">
        <x:v>46098</x:v>
      </x:c>
      <x:c r="J3592" s="37" t="n">
        <x:v>46098</x:v>
      </x:c>
      <x:c r="K3592" s="19" t="str">
        <x:v>Leisure Lion Pty Ltd - Toowoomba</x:v>
      </x:c>
      <x:c r="L3592" s="19" t="str">
        <x:v>Z006</x:v>
      </x:c>
      <x:c r="M3592" s="19" t="str">
        <x:v>In Field Warranty Claims</x:v>
      </x:c>
      <x:c r="N3592" s="37" t="n">
        <x:v>46063</x:v>
      </x:c>
      <x:c r="O3592" s="37"/>
      <x:c r="P3592" s="34" t="n">
        <x:v>0</x:v>
      </x:c>
      <x:c r="Q3592" s="37" t="n">
        <x:v>46097.88228009259</x:v>
      </x:c>
    </x:row>
    <x:row r="3593">
      <x:c r="A3593" s="22" t="n">
        <x:v>30941</x:v>
      </x:c>
      <x:c r="B3593" s="28" t="n">
        <x:v>67.5</x:v>
      </x:c>
      <x:c r="C3593" s="28"/>
      <x:c r="D3593" s="31" t="str">
        <x:f>IF(OR(ISBLANK(B3593),ISBLANK(C3593),B3593=0),"",(C3593-B3593)/B3593)</x:f>
      </x:c>
      <x:c r="E3593" s="22" t="str">
        <x:f>IF(ISBLANK(C3593),"AmountIncludingTax缺失",IF(ABS(B3593-C3593)&lt;0.005,"一致","不一致"))</x:f>
        <x:v>AmountIncludingTax缺失</x:v>
      </x:c>
      <x:c r="F3593" s="19" t="str">
        <x:v>approved</x:v>
      </x:c>
      <x:c r="G3593" s="19" t="str">
        <x:v>Repairer Invoiced Processed</x:v>
      </x:c>
      <x:c r="H3593" s="19" t="str">
        <x:v>In Field</x:v>
      </x:c>
      <x:c r="I3593" s="37" t="n">
        <x:v>46108</x:v>
      </x:c>
      <x:c r="J3593" s="37" t="n">
        <x:v>46108</x:v>
      </x:c>
      <x:c r="K3593" s="19" t="str">
        <x:v>Leisure Lion Pty Ltd - Toowoomba</x:v>
      </x:c>
      <x:c r="L3593" s="19" t="str">
        <x:v>Z006</x:v>
      </x:c>
      <x:c r="M3593" s="19" t="str">
        <x:v>In Field Warranty Claims</x:v>
      </x:c>
      <x:c r="N3593" s="37" t="n">
        <x:v>46063</x:v>
      </x:c>
      <x:c r="O3593" s="37"/>
      <x:c r="P3593" s="34" t="n">
        <x:v>0</x:v>
      </x:c>
      <x:c r="Q3593" s="37" t="n">
        <x:v>46108.060381944444</x:v>
      </x:c>
    </x:row>
    <x:row r="3594">
      <x:c r="A3594" s="22" t="n">
        <x:v>30940</x:v>
      </x:c>
      <x:c r="B3594" s="28" t="n">
        <x:v>580</x:v>
      </x:c>
      <x:c r="C3594" s="28"/>
      <x:c r="D3594" s="31" t="str">
        <x:f>IF(OR(ISBLANK(B3594),ISBLANK(C3594),B3594=0),"",(C3594-B3594)/B3594)</x:f>
      </x:c>
      <x:c r="E3594" s="22" t="str">
        <x:f>IF(ISBLANK(C3594),"AmountIncludingTax缺失",IF(ABS(B3594-C3594)&lt;0.005,"一致","不一致"))</x:f>
        <x:v>AmountIncludingTax缺失</x:v>
      </x:c>
      <x:c r="F3594" s="19" t="str">
        <x:v>approved</x:v>
      </x:c>
      <x:c r="G3594" s="19" t="str">
        <x:v>Repair in Progress</x:v>
      </x:c>
      <x:c r="H3594" s="19" t="str">
        <x:v>In Field</x:v>
      </x:c>
      <x:c r="I3594" s="37" t="n">
        <x:v>46072</x:v>
      </x:c>
      <x:c r="J3594" s="37" t="n">
        <x:v>46072</x:v>
      </x:c>
      <x:c r="K3594" s="19" t="str">
        <x:v>Not Assigned</x:v>
      </x:c>
      <x:c r="L3594" s="19" t="str">
        <x:v>Z006</x:v>
      </x:c>
      <x:c r="M3594" s="19" t="str">
        <x:v>In Field Warranty Claims</x:v>
      </x:c>
      <x:c r="N3594" s="37" t="n">
        <x:v>46063</x:v>
      </x:c>
      <x:c r="O3594" s="37"/>
      <x:c r="P3594" s="34" t="n">
        <x:v>0</x:v>
      </x:c>
      <x:c r="Q3594" s="37" t="n">
        <x:v>46071.90861111111</x:v>
      </x:c>
    </x:row>
    <x:row r="3595">
      <x:c r="A3595" s="22" t="n">
        <x:v>30939</x:v>
      </x:c>
      <x:c r="B3595" s="28" t="n">
        <x:v>715</x:v>
      </x:c>
      <x:c r="C3595" s="28"/>
      <x:c r="D3595" s="31" t="str">
        <x:f>IF(OR(ISBLANK(B3595),ISBLANK(C3595),B3595=0),"",(C3595-B3595)/B3595)</x:f>
      </x:c>
      <x:c r="E3595" s="22" t="str">
        <x:f>IF(ISBLANK(C3595),"AmountIncludingTax缺失",IF(ABS(B3595-C3595)&lt;0.005,"一致","不一致"))</x:f>
        <x:v>AmountIncludingTax缺失</x:v>
      </x:c>
      <x:c r="F3595" s="19" t="str">
        <x:v>approved</x:v>
      </x:c>
      <x:c r="G3595" s="19" t="str">
        <x:v>Repair in Progress</x:v>
      </x:c>
      <x:c r="H3595" s="19" t="str">
        <x:v>In Field</x:v>
      </x:c>
      <x:c r="I3595" s="37" t="n">
        <x:v>46072</x:v>
      </x:c>
      <x:c r="J3595" s="37" t="n">
        <x:v>46072</x:v>
      </x:c>
      <x:c r="K3595" s="19" t="str">
        <x:v>Green RV - Forest Glen</x:v>
      </x:c>
      <x:c r="L3595" s="19" t="str">
        <x:v>Z006</x:v>
      </x:c>
      <x:c r="M3595" s="19" t="str">
        <x:v>In Field Warranty Claims</x:v>
      </x:c>
      <x:c r="N3595" s="37" t="n">
        <x:v>46063</x:v>
      </x:c>
      <x:c r="O3595" s="37"/>
      <x:c r="P3595" s="34" t="n">
        <x:v>0</x:v>
      </x:c>
      <x:c r="Q3595" s="37" t="n">
        <x:v>46071.92414351852</x:v>
      </x:c>
    </x:row>
    <x:row r="3596">
      <x:c r="A3596" s="22" t="n">
        <x:v>30938</x:v>
      </x:c>
      <x:c r="B3596" s="28" t="n">
        <x:v>290</x:v>
      </x:c>
      <x:c r="C3596" s="28"/>
      <x:c r="D3596" s="31" t="str">
        <x:f>IF(OR(ISBLANK(B3596),ISBLANK(C3596),B3596=0),"",(C3596-B3596)/B3596)</x:f>
      </x:c>
      <x:c r="E3596" s="22" t="str">
        <x:f>IF(ISBLANK(C3596),"AmountIncludingTax缺失",IF(ABS(B3596-C3596)&lt;0.005,"一致","不一致"))</x:f>
        <x:v>AmountIncludingTax缺失</x:v>
      </x:c>
      <x:c r="F3596" s="19" t="str">
        <x:v>approved</x:v>
      </x:c>
      <x:c r="G3596" s="19" t="str">
        <x:v>Repair in Progress</x:v>
      </x:c>
      <x:c r="H3596" s="19" t="str">
        <x:v>In Field</x:v>
      </x:c>
      <x:c r="I3596" s="37" t="n">
        <x:v>46135</x:v>
      </x:c>
      <x:c r="J3596" s="37" t="n">
        <x:v>46135</x:v>
      </x:c>
      <x:c r="K3596" s="19" t="str">
        <x:v>Leisure Lion Pty Ltd - Toowoomba</x:v>
      </x:c>
      <x:c r="L3596" s="19" t="str">
        <x:v>Z006</x:v>
      </x:c>
      <x:c r="M3596" s="19" t="str">
        <x:v>In Field Warranty Claims</x:v>
      </x:c>
      <x:c r="N3596" s="37" t="n">
        <x:v>46063</x:v>
      </x:c>
      <x:c r="O3596" s="37"/>
      <x:c r="P3596" s="34" t="n">
        <x:v>0</x:v>
      </x:c>
      <x:c r="Q3596" s="37" t="n">
        <x:v>46135.16378472222</x:v>
      </x:c>
    </x:row>
    <x:row r="3597">
      <x:c r="A3597" s="22" t="n">
        <x:v>30937</x:v>
      </x:c>
      <x:c r="B3597" s="28" t="n">
        <x:v>45.59</x:v>
      </x:c>
      <x:c r="C3597" s="28"/>
      <x:c r="D3597" s="31" t="str">
        <x:f>IF(OR(ISBLANK(B3597),ISBLANK(C3597),B3597=0),"",(C3597-B3597)/B3597)</x:f>
      </x:c>
      <x:c r="E3597" s="22" t="str">
        <x:f>IF(ISBLANK(C3597),"AmountIncludingTax缺失",IF(ABS(B3597-C3597)&lt;0.005,"一致","不一致"))</x:f>
        <x:v>AmountIncludingTax缺失</x:v>
      </x:c>
      <x:c r="F3597" s="19" t="str">
        <x:v>approved</x:v>
      </x:c>
      <x:c r="G3597" s="19" t="str">
        <x:v>Repair in Progress</x:v>
      </x:c>
      <x:c r="H3597" s="19" t="str">
        <x:v>In Field</x:v>
      </x:c>
      <x:c r="I3597" s="37" t="n">
        <x:v>46113</x:v>
      </x:c>
      <x:c r="J3597" s="37" t="n">
        <x:v>46113</x:v>
      </x:c>
      <x:c r="K3597" s="19" t="str">
        <x:v>Not Assigned</x:v>
      </x:c>
      <x:c r="L3597" s="19" t="str">
        <x:v>Z006</x:v>
      </x:c>
      <x:c r="M3597" s="19" t="str">
        <x:v>In Field Warranty Claims</x:v>
      </x:c>
      <x:c r="N3597" s="37" t="n">
        <x:v>46063</x:v>
      </x:c>
      <x:c r="O3597" s="37"/>
      <x:c r="P3597" s="34" t="n">
        <x:v>0</x:v>
      </x:c>
      <x:c r="Q3597" s="37" t="n">
        <x:v>46113.22840277778</x:v>
      </x:c>
    </x:row>
    <x:row r="3598">
      <x:c r="A3598" s="22" t="n">
        <x:v>30936</x:v>
      </x:c>
      <x:c r="B3598" s="28" t="n">
        <x:v>72.5</x:v>
      </x:c>
      <x:c r="C3598" s="28"/>
      <x:c r="D3598" s="31" t="str">
        <x:f>IF(OR(ISBLANK(B3598),ISBLANK(C3598),B3598=0),"",(C3598-B3598)/B3598)</x:f>
      </x:c>
      <x:c r="E3598" s="22" t="str">
        <x:f>IF(ISBLANK(C3598),"AmountIncludingTax缺失",IF(ABS(B3598-C3598)&lt;0.005,"一致","不一致"))</x:f>
        <x:v>AmountIncludingTax缺失</x:v>
      </x:c>
      <x:c r="F3598" s="19" t="str">
        <x:v>approved</x:v>
      </x:c>
      <x:c r="G3598" s="19" t="str">
        <x:v>Repair in Progress</x:v>
      </x:c>
      <x:c r="H3598" s="19" t="str">
        <x:v>In Field</x:v>
      </x:c>
      <x:c r="I3598" s="37" t="n">
        <x:v>46076</x:v>
      </x:c>
      <x:c r="J3598" s="37" t="n">
        <x:v>46076</x:v>
      </x:c>
      <x:c r="K3598" s="19" t="str">
        <x:v>Newcastle RV Super Centre - Beresfield</x:v>
      </x:c>
      <x:c r="L3598" s="19" t="str">
        <x:v>Z006</x:v>
      </x:c>
      <x:c r="M3598" s="19" t="str">
        <x:v>In Field Warranty Claims</x:v>
      </x:c>
      <x:c r="N3598" s="37" t="n">
        <x:v>46063</x:v>
      </x:c>
      <x:c r="O3598" s="37"/>
      <x:c r="P3598" s="34" t="n">
        <x:v>0</x:v>
      </x:c>
      <x:c r="Q3598" s="37" t="n">
        <x:v>46076.02930555555</x:v>
      </x:c>
    </x:row>
    <x:row r="3599">
      <x:c r="A3599" s="22" t="n">
        <x:v>30935</x:v>
      </x:c>
      <x:c r="B3599" s="28" t="n">
        <x:v>217.27</x:v>
      </x:c>
      <x:c r="C3599" s="28" t="n">
        <x:v>239</x:v>
      </x:c>
      <x:c r="D3599" s="31" t="n">
        <x:f>IF(OR(ISBLANK(B3599),ISBLANK(C3599),B3599=0),"",(C3599-B3599)/B3599)</x:f>
        <x:v>0.10001380770469917</x:v>
      </x:c>
      <x:c r="E3599" s="22" t="str">
        <x:f>IF(ISBLANK(C3599),"AmountIncludingTax缺失",IF(ABS(B3599-C3599)&lt;0.005,"一致","不一致"))</x:f>
        <x:v>不一致</x:v>
      </x:c>
      <x:c r="F3599" s="19" t="str">
        <x:v>approved</x:v>
      </x:c>
      <x:c r="G3599" s="19" t="str">
        <x:v>Repairer Invoiced Processed</x:v>
      </x:c>
      <x:c r="H3599" s="19" t="str">
        <x:v>In Field</x:v>
      </x:c>
      <x:c r="I3599" s="37" t="n">
        <x:v>46096</x:v>
      </x:c>
      <x:c r="J3599" s="37" t="n">
        <x:v>46096</x:v>
      </x:c>
      <x:c r="K3599" s="19" t="str">
        <x:v>Auswide Caravans - South Nowra</x:v>
      </x:c>
      <x:c r="L3599" s="19" t="str">
        <x:v>Z006</x:v>
      </x:c>
      <x:c r="M3599" s="19" t="str">
        <x:v>In Field Warranty Claims</x:v>
      </x:c>
      <x:c r="N3599" s="37" t="n">
        <x:v>46063</x:v>
      </x:c>
      <x:c r="O3599" s="37"/>
      <x:c r="P3599" s="34" t="n">
        <x:v>239</x:v>
      </x:c>
      <x:c r="Q3599" s="37" t="n">
        <x:v>46096.3512962963</x:v>
      </x:c>
    </x:row>
    <x:row r="3600">
      <x:c r="A3600" s="22" t="n">
        <x:v>30934</x:v>
      </x:c>
      <x:c r="B3600" s="28" t="n">
        <x:v>67.5</x:v>
      </x:c>
      <x:c r="C3600" s="28"/>
      <x:c r="D3600" s="31" t="str">
        <x:f>IF(OR(ISBLANK(B3600),ISBLANK(C3600),B3600=0),"",(C3600-B3600)/B3600)</x:f>
      </x:c>
      <x:c r="E3600" s="22" t="str">
        <x:f>IF(ISBLANK(C3600),"AmountIncludingTax缺失",IF(ABS(B3600-C3600)&lt;0.005,"一致","不一致"))</x:f>
        <x:v>AmountIncludingTax缺失</x:v>
      </x:c>
      <x:c r="F3600" s="19" t="str">
        <x:v>approved</x:v>
      </x:c>
      <x:c r="G3600" s="19" t="str">
        <x:v>Repair in Progress</x:v>
      </x:c>
      <x:c r="H3600" s="19" t="str">
        <x:v>In Field</x:v>
      </x:c>
      <x:c r="I3600" s="37" t="n">
        <x:v>46146</x:v>
      </x:c>
      <x:c r="J3600" s="37" t="n">
        <x:v>46146</x:v>
      </x:c>
      <x:c r="K3600" s="19" t="str">
        <x:v>Auswide Caravans - South Nowra</x:v>
      </x:c>
      <x:c r="L3600" s="19" t="str">
        <x:v>Z006</x:v>
      </x:c>
      <x:c r="M3600" s="19" t="str">
        <x:v>In Field Warranty Claims</x:v>
      </x:c>
      <x:c r="N3600" s="37" t="n">
        <x:v>46063</x:v>
      </x:c>
      <x:c r="O3600" s="37"/>
      <x:c r="P3600" s="34" t="n">
        <x:v>0</x:v>
      </x:c>
      <x:c r="Q3600" s="37" t="n">
        <x:v>46145.938784722224</x:v>
      </x:c>
    </x:row>
    <x:row r="3601">
      <x:c r="A3601" s="22" t="n">
        <x:v>30933</x:v>
      </x:c>
      <x:c r="B3601" s="28" t="n">
        <x:v>44.55</x:v>
      </x:c>
      <x:c r="C3601" s="28"/>
      <x:c r="D3601" s="31" t="str">
        <x:f>IF(OR(ISBLANK(B3601),ISBLANK(C3601),B3601=0),"",(C3601-B3601)/B3601)</x:f>
      </x:c>
      <x:c r="E3601" s="22" t="str">
        <x:f>IF(ISBLANK(C3601),"AmountIncludingTax缺失",IF(ABS(B3601-C3601)&lt;0.005,"一致","不一致"))</x:f>
        <x:v>AmountIncludingTax缺失</x:v>
      </x:c>
      <x:c r="F3601" s="19" t="str">
        <x:v>approved</x:v>
      </x:c>
      <x:c r="G3601" s="19" t="str">
        <x:v>Repairer Invoiced Processed</x:v>
      </x:c>
      <x:c r="H3601" s="19" t="str">
        <x:v>In Field</x:v>
      </x:c>
      <x:c r="I3601" s="37" t="n">
        <x:v>46077</x:v>
      </x:c>
      <x:c r="J3601" s="37" t="n">
        <x:v>46077</x:v>
      </x:c>
      <x:c r="K3601" s="19" t="str">
        <x:v>Leisure Lion Pty Ltd - Toowoomba</x:v>
      </x:c>
      <x:c r="L3601" s="19" t="str">
        <x:v>Z006</x:v>
      </x:c>
      <x:c r="M3601" s="19" t="str">
        <x:v>In Field Warranty Claims</x:v>
      </x:c>
      <x:c r="N3601" s="37" t="n">
        <x:v>46063</x:v>
      </x:c>
      <x:c r="O3601" s="37"/>
      <x:c r="P3601" s="34" t="n">
        <x:v>0</x:v>
      </x:c>
      <x:c r="Q3601" s="37" t="n">
        <x:v>46076.88214120371</x:v>
      </x:c>
    </x:row>
    <x:row r="3602">
      <x:c r="A3602" s="22" t="n">
        <x:v>30932</x:v>
      </x:c>
      <x:c r="B3602" s="28" t="n">
        <x:v>354.55</x:v>
      </x:c>
      <x:c r="C3602" s="28"/>
      <x:c r="D3602" s="31" t="str">
        <x:f>IF(OR(ISBLANK(B3602),ISBLANK(C3602),B3602=0),"",(C3602-B3602)/B3602)</x:f>
      </x:c>
      <x:c r="E3602" s="22" t="str">
        <x:f>IF(ISBLANK(C3602),"AmountIncludingTax缺失",IF(ABS(B3602-C3602)&lt;0.005,"一致","不一致"))</x:f>
        <x:v>AmountIncludingTax缺失</x:v>
      </x:c>
      <x:c r="F3602" s="19" t="str">
        <x:v>approved</x:v>
      </x:c>
      <x:c r="G3602" s="19" t="str">
        <x:v>Sales Order Approved</x:v>
      </x:c>
      <x:c r="H3602" s="19" t="str">
        <x:v>Pre Delivery</x:v>
      </x:c>
      <x:c r="I3602" s="37" t="n">
        <x:v>46139</x:v>
      </x:c>
      <x:c r="J3602" s="37" t="n">
        <x:v>46139</x:v>
      </x:c>
      <x:c r="K3602" s="19" t="str">
        <x:v>Lesiure Lion-New Castle</x:v>
      </x:c>
      <x:c r="L3602" s="19" t="str">
        <x:v>Z005</x:v>
      </x:c>
      <x:c r="M3602" s="19" t="str">
        <x:v>Pre Delivery Warranty Claims</x:v>
      </x:c>
      <x:c r="N3602" s="37" t="n">
        <x:v>46063</x:v>
      </x:c>
      <x:c r="O3602" s="37"/>
      <x:c r="P3602" s="34" t="n">
        <x:v>0</x:v>
      </x:c>
      <x:c r="Q3602" s="37" t="n">
        <x:v>46139.025289351855</x:v>
      </x:c>
    </x:row>
    <x:row r="3603">
      <x:c r="A3603" s="22" t="n">
        <x:v>30931</x:v>
      </x:c>
      <x:c r="B3603" s="28" t="n">
        <x:v>135</x:v>
      </x:c>
      <x:c r="C3603" s="28"/>
      <x:c r="D3603" s="31" t="str">
        <x:f>IF(OR(ISBLANK(B3603),ISBLANK(C3603),B3603=0),"",(C3603-B3603)/B3603)</x:f>
      </x:c>
      <x:c r="E3603" s="22" t="str">
        <x:f>IF(ISBLANK(C3603),"AmountIncludingTax缺失",IF(ABS(B3603-C3603)&lt;0.005,"一致","不一致"))</x:f>
        <x:v>AmountIncludingTax缺失</x:v>
      </x:c>
      <x:c r="F3603" s="19" t="str">
        <x:v>approved</x:v>
      </x:c>
      <x:c r="G3603" s="19" t="str">
        <x:v>Sales Order Approved</x:v>
      </x:c>
      <x:c r="H3603" s="19" t="str">
        <x:v>In Field</x:v>
      </x:c>
      <x:c r="I3603" s="37" t="n">
        <x:v>46125</x:v>
      </x:c>
      <x:c r="J3603" s="37" t="n">
        <x:v>46125</x:v>
      </x:c>
      <x:c r="K3603" s="19" t="str">
        <x:v>Dario Caravans - Pooraka</x:v>
      </x:c>
      <x:c r="L3603" s="19" t="str">
        <x:v>Z006</x:v>
      </x:c>
      <x:c r="M3603" s="19" t="str">
        <x:v>In Field Warranty Claims</x:v>
      </x:c>
      <x:c r="N3603" s="37" t="n">
        <x:v>46062</x:v>
      </x:c>
      <x:c r="O3603" s="37"/>
      <x:c r="P3603" s="34" t="n">
        <x:v>0</x:v>
      </x:c>
      <x:c r="Q3603" s="37" t="n">
        <x:v>46124.93900462963</x:v>
      </x:c>
    </x:row>
    <x:row r="3604">
      <x:c r="A3604" s="22" t="n">
        <x:v>30929</x:v>
      </x:c>
      <x:c r="B3604" s="28" t="n">
        <x:v>236.25</x:v>
      </x:c>
      <x:c r="C3604" s="28"/>
      <x:c r="D3604" s="31" t="str">
        <x:f>IF(OR(ISBLANK(B3604),ISBLANK(C3604),B3604=0),"",(C3604-B3604)/B3604)</x:f>
      </x:c>
      <x:c r="E3604" s="22" t="str">
        <x:f>IF(ISBLANK(C3604),"AmountIncludingTax缺失",IF(ABS(B3604-C3604)&lt;0.005,"一致","不一致"))</x:f>
        <x:v>AmountIncludingTax缺失</x:v>
      </x:c>
      <x:c r="F3604" s="19" t="str">
        <x:v>approved</x:v>
      </x:c>
      <x:c r="G3604" s="19" t="str">
        <x:v>Repair in Progress</x:v>
      </x:c>
      <x:c r="H3604" s="19" t="str">
        <x:v>In Field</x:v>
      </x:c>
      <x:c r="I3604" s="37" t="n">
        <x:v>46070</x:v>
      </x:c>
      <x:c r="J3604" s="37" t="n">
        <x:v>46070</x:v>
      </x:c>
      <x:c r="K3604" s="19" t="str">
        <x:v>Regent RV - Frankston</x:v>
      </x:c>
      <x:c r="L3604" s="19" t="str">
        <x:v>Z006</x:v>
      </x:c>
      <x:c r="M3604" s="19" t="str">
        <x:v>In Field Warranty Claims</x:v>
      </x:c>
      <x:c r="N3604" s="37" t="n">
        <x:v>46063</x:v>
      </x:c>
      <x:c r="O3604" s="37"/>
      <x:c r="P3604" s="34" t="n">
        <x:v>0</x:v>
      </x:c>
      <x:c r="Q3604" s="37" t="n">
        <x:v>46070.06642361111</x:v>
      </x:c>
    </x:row>
    <x:row r="3605">
      <x:c r="A3605" s="22" t="n">
        <x:v>30928</x:v>
      </x:c>
      <x:c r="B3605" s="28" t="n">
        <x:v>420</x:v>
      </x:c>
      <x:c r="C3605" s="28"/>
      <x:c r="D3605" s="31" t="str">
        <x:f>IF(OR(ISBLANK(B3605),ISBLANK(C3605),B3605=0),"",(C3605-B3605)/B3605)</x:f>
      </x:c>
      <x:c r="E3605" s="22" t="str">
        <x:f>IF(ISBLANK(C3605),"AmountIncludingTax缺失",IF(ABS(B3605-C3605)&lt;0.005,"一致","不一致"))</x:f>
        <x:v>AmountIncludingTax缺失</x:v>
      </x:c>
      <x:c r="F3605" s="19" t="str">
        <x:v>approved</x:v>
      </x:c>
      <x:c r="G3605" s="19" t="str">
        <x:v>Repair in Progress</x:v>
      </x:c>
      <x:c r="H3605" s="19" t="str">
        <x:v>In Field</x:v>
      </x:c>
      <x:c r="I3605" s="37" t="n">
        <x:v>46070</x:v>
      </x:c>
      <x:c r="J3605" s="37" t="n">
        <x:v>46066</x:v>
      </x:c>
      <x:c r="K3605" s="19" t="str">
        <x:v>Regent RV - Frankston</x:v>
      </x:c>
      <x:c r="L3605" s="19" t="str">
        <x:v>Z006</x:v>
      </x:c>
      <x:c r="M3605" s="19" t="str">
        <x:v>In Field Warranty Claims</x:v>
      </x:c>
      <x:c r="N3605" s="37" t="n">
        <x:v>46063</x:v>
      </x:c>
      <x:c r="O3605" s="37"/>
      <x:c r="P3605" s="34" t="n">
        <x:v>0</x:v>
      </x:c>
      <x:c r="Q3605" s="37" t="n">
        <x:v>46070.09028935185</x:v>
      </x:c>
    </x:row>
    <x:row r="3606">
      <x:c r="A3606" s="22" t="n">
        <x:v>30927</x:v>
      </x:c>
      <x:c r="B3606" s="28" t="n">
        <x:v>82.5</x:v>
      </x:c>
      <x:c r="C3606" s="28"/>
      <x:c r="D3606" s="31" t="str">
        <x:f>IF(OR(ISBLANK(B3606),ISBLANK(C3606),B3606=0),"",(C3606-B3606)/B3606)</x:f>
      </x:c>
      <x:c r="E3606" s="22" t="str">
        <x:f>IF(ISBLANK(C3606),"AmountIncludingTax缺失",IF(ABS(B3606-C3606)&lt;0.005,"一致","不一致"))</x:f>
        <x:v>AmountIncludingTax缺失</x:v>
      </x:c>
      <x:c r="F3606" s="19" t="str">
        <x:v>approved</x:v>
      </x:c>
      <x:c r="G3606" s="19" t="str">
        <x:v>Repairer Invoiced Processed</x:v>
      </x:c>
      <x:c r="H3606" s="19" t="str">
        <x:v>In Field</x:v>
      </x:c>
      <x:c r="I3606" s="37" t="n">
        <x:v>46065</x:v>
      </x:c>
      <x:c r="J3606" s="37" t="n">
        <x:v>46065</x:v>
      </x:c>
      <x:c r="K3606" s="19" t="str">
        <x:v>Green RV - Forest Glen</x:v>
      </x:c>
      <x:c r="L3606" s="19" t="str">
        <x:v>Z006</x:v>
      </x:c>
      <x:c r="M3606" s="19" t="str">
        <x:v>In Field Warranty Claims</x:v>
      </x:c>
      <x:c r="N3606" s="37" t="n">
        <x:v>46062</x:v>
      </x:c>
      <x:c r="O3606" s="37"/>
      <x:c r="P3606" s="34" t="n">
        <x:v>0</x:v>
      </x:c>
      <x:c r="Q3606" s="37" t="n">
        <x:v>46065.229849537034</x:v>
      </x:c>
    </x:row>
    <x:row r="3607">
      <x:c r="A3607" s="22" t="n">
        <x:v>30925</x:v>
      </x:c>
      <x:c r="B3607" s="28" t="n">
        <x:v>212.5</x:v>
      </x:c>
      <x:c r="C3607" s="28"/>
      <x:c r="D3607" s="31" t="str">
        <x:f>IF(OR(ISBLANK(B3607),ISBLANK(C3607),B3607=0),"",(C3607-B3607)/B3607)</x:f>
      </x:c>
      <x:c r="E3607" s="22" t="str">
        <x:f>IF(ISBLANK(C3607),"AmountIncludingTax缺失",IF(ABS(B3607-C3607)&lt;0.005,"一致","不一致"))</x:f>
        <x:v>AmountIncludingTax缺失</x:v>
      </x:c>
      <x:c r="F3607" s="19" t="str">
        <x:v>approved</x:v>
      </x:c>
      <x:c r="G3607" s="19" t="str">
        <x:v>Repair in Progress</x:v>
      </x:c>
      <x:c r="H3607" s="19" t="str">
        <x:v>In Field</x:v>
      </x:c>
      <x:c r="I3607" s="37" t="n">
        <x:v>46097</x:v>
      </x:c>
      <x:c r="J3607" s="37" t="n">
        <x:v>46097</x:v>
      </x:c>
      <x:c r="K3607" s="19" t="str">
        <x:v>Snowy River Frankston</x:v>
      </x:c>
      <x:c r="L3607" s="19" t="str">
        <x:v>Z006</x:v>
      </x:c>
      <x:c r="M3607" s="19" t="str">
        <x:v>In Field Warranty Claims</x:v>
      </x:c>
      <x:c r="N3607" s="37" t="n">
        <x:v>46062</x:v>
      </x:c>
      <x:c r="O3607" s="37"/>
      <x:c r="P3607" s="34" t="n">
        <x:v>0</x:v>
      </x:c>
      <x:c r="Q3607" s="37" t="n">
        <x:v>46097.049305555556</x:v>
      </x:c>
    </x:row>
    <x:row r="3608">
      <x:c r="A3608" s="22" t="n">
        <x:v>30924</x:v>
      </x:c>
      <x:c r="B3608" s="28" t="n">
        <x:v>810</x:v>
      </x:c>
      <x:c r="C3608" s="28" t="n">
        <x:v>891</x:v>
      </x:c>
      <x:c r="D3608" s="31" t="n">
        <x:f>IF(OR(ISBLANK(B3608),ISBLANK(C3608),B3608=0),"",(C3608-B3608)/B3608)</x:f>
        <x:v>0.1</x:v>
      </x:c>
      <x:c r="E3608" s="22" t="str">
        <x:f>IF(ISBLANK(C3608),"AmountIncludingTax缺失",IF(ABS(B3608-C3608)&lt;0.005,"一致","不一致"))</x:f>
        <x:v>不一致</x:v>
      </x:c>
      <x:c r="F3608" s="19" t="str">
        <x:v>approved</x:v>
      </x:c>
      <x:c r="G3608" s="19" t="str">
        <x:v>Repair in Progress</x:v>
      </x:c>
      <x:c r="H3608" s="19" t="str">
        <x:v>In Field</x:v>
      </x:c>
      <x:c r="I3608" s="37" t="n">
        <x:v>46064</x:v>
      </x:c>
      <x:c r="J3608" s="37" t="n">
        <x:v>46064</x:v>
      </x:c>
      <x:c r="K3608" s="19" t="str">
        <x:v>Snowy River Frankston</x:v>
      </x:c>
      <x:c r="L3608" s="19" t="str">
        <x:v>Z006</x:v>
      </x:c>
      <x:c r="M3608" s="19" t="str">
        <x:v>In Field Warranty Claims</x:v>
      </x:c>
      <x:c r="N3608" s="37" t="n">
        <x:v>46062</x:v>
      </x:c>
      <x:c r="O3608" s="37"/>
      <x:c r="P3608" s="34" t="n">
        <x:v>891</x:v>
      </x:c>
      <x:c r="Q3608" s="37" t="n">
        <x:v>46064.04634259259</x:v>
      </x:c>
    </x:row>
    <x:row r="3609">
      <x:c r="A3609" s="22" t="n">
        <x:v>30923</x:v>
      </x:c>
      <x:c r="B3609" s="28" t="n">
        <x:v>290</x:v>
      </x:c>
      <x:c r="C3609" s="28"/>
      <x:c r="D3609" s="31" t="str">
        <x:f>IF(OR(ISBLANK(B3609),ISBLANK(C3609),B3609=0),"",(C3609-B3609)/B3609)</x:f>
      </x:c>
      <x:c r="E3609" s="22" t="str">
        <x:f>IF(ISBLANK(C3609),"AmountIncludingTax缺失",IF(ABS(B3609-C3609)&lt;0.005,"一致","不一致"))</x:f>
        <x:v>AmountIncludingTax缺失</x:v>
      </x:c>
      <x:c r="F3609" s="19" t="str">
        <x:v>approved</x:v>
      </x:c>
      <x:c r="G3609" s="19" t="str">
        <x:v>Repair in Progress</x:v>
      </x:c>
      <x:c r="H3609" s="19" t="str">
        <x:v>In Field</x:v>
      </x:c>
      <x:c r="I3609" s="37" t="n">
        <x:v>46076</x:v>
      </x:c>
      <x:c r="J3609" s="37" t="n">
        <x:v>46076</x:v>
      </x:c>
      <x:c r="K3609" s="19" t="str">
        <x:v>Newcastle RV Super Centre - Beresfield</x:v>
      </x:c>
      <x:c r="L3609" s="19" t="str">
        <x:v>Z006</x:v>
      </x:c>
      <x:c r="M3609" s="19" t="str">
        <x:v>In Field Warranty Claims</x:v>
      </x:c>
      <x:c r="N3609" s="37" t="n">
        <x:v>46062</x:v>
      </x:c>
      <x:c r="O3609" s="37"/>
      <x:c r="P3609" s="34" t="n">
        <x:v>0</x:v>
      </x:c>
      <x:c r="Q3609" s="37" t="n">
        <x:v>46076.03318287037</x:v>
      </x:c>
    </x:row>
    <x:row r="3610">
      <x:c r="A3610" s="22" t="n">
        <x:v>30922</x:v>
      </x:c>
      <x:c r="B3610" s="28" t="n">
        <x:v>135</x:v>
      </x:c>
      <x:c r="C3610" s="28"/>
      <x:c r="D3610" s="31" t="str">
        <x:f>IF(OR(ISBLANK(B3610),ISBLANK(C3610),B3610=0),"",(C3610-B3610)/B3610)</x:f>
      </x:c>
      <x:c r="E3610" s="22" t="str">
        <x:f>IF(ISBLANK(C3610),"AmountIncludingTax缺失",IF(ABS(B3610-C3610)&lt;0.005,"一致","不一致"))</x:f>
        <x:v>AmountIncludingTax缺失</x:v>
      </x:c>
      <x:c r="F3610" s="19" t="str">
        <x:v>approved</x:v>
      </x:c>
      <x:c r="G3610" s="19" t="str">
        <x:v>Repair in Progress</x:v>
      </x:c>
      <x:c r="H3610" s="19" t="str">
        <x:v>In Field</x:v>
      </x:c>
      <x:c r="I3610" s="37" t="n">
        <x:v>46130</x:v>
      </x:c>
      <x:c r="J3610" s="37" t="n">
        <x:v>46130</x:v>
      </x:c>
      <x:c r="K3610" s="19" t="str">
        <x:v>Not Assigned</x:v>
      </x:c>
      <x:c r="L3610" s="19" t="str">
        <x:v>Z006</x:v>
      </x:c>
      <x:c r="M3610" s="19" t="str">
        <x:v>In Field Warranty Claims</x:v>
      </x:c>
      <x:c r="N3610" s="37" t="n">
        <x:v>46062</x:v>
      </x:c>
      <x:c r="O3610" s="37"/>
      <x:c r="P3610" s="34" t="n">
        <x:v>0</x:v>
      </x:c>
      <x:c r="Q3610" s="37" t="n">
        <x:v>46130.11572916667</x:v>
      </x:c>
    </x:row>
    <x:row r="3611">
      <x:c r="A3611" s="22" t="n">
        <x:v>30921</x:v>
      </x:c>
      <x:c r="B3611" s="28" t="n">
        <x:v>67.5</x:v>
      </x:c>
      <x:c r="C3611" s="28"/>
      <x:c r="D3611" s="31" t="str">
        <x:f>IF(OR(ISBLANK(B3611),ISBLANK(C3611),B3611=0),"",(C3611-B3611)/B3611)</x:f>
      </x:c>
      <x:c r="E3611" s="22" t="str">
        <x:f>IF(ISBLANK(C3611),"AmountIncludingTax缺失",IF(ABS(B3611-C3611)&lt;0.005,"一致","不一致"))</x:f>
        <x:v>AmountIncludingTax缺失</x:v>
      </x:c>
      <x:c r="F3611" s="19" t="str">
        <x:v>approved</x:v>
      </x:c>
      <x:c r="G3611" s="19" t="str">
        <x:v>Repairer Invoiced Processed</x:v>
      </x:c>
      <x:c r="H3611" s="19" t="str">
        <x:v>In Field</x:v>
      </x:c>
      <x:c r="I3611" s="37" t="n">
        <x:v>46119</x:v>
      </x:c>
      <x:c r="J3611" s="37" t="n">
        <x:v>46119</x:v>
      </x:c>
      <x:c r="K3611" s="19" t="str">
        <x:v>Regent RV Pty Ltd</x:v>
      </x:c>
      <x:c r="L3611" s="19" t="str">
        <x:v>Z006</x:v>
      </x:c>
      <x:c r="M3611" s="19" t="str">
        <x:v>In Field Warranty Claims</x:v>
      </x:c>
      <x:c r="N3611" s="37" t="n">
        <x:v>46062</x:v>
      </x:c>
      <x:c r="O3611" s="37"/>
      <x:c r="P3611" s="34" t="n">
        <x:v>0</x:v>
      </x:c>
      <x:c r="Q3611" s="37" t="n">
        <x:v>46119.08320601852</x:v>
      </x:c>
    </x:row>
    <x:row r="3612">
      <x:c r="A3612" s="22" t="n">
        <x:v>30917</x:v>
      </x:c>
      <x:c r="B3612" s="28" t="n">
        <x:v>1246.25</x:v>
      </x:c>
      <x:c r="C3612" s="28"/>
      <x:c r="D3612" s="31" t="str">
        <x:f>IF(OR(ISBLANK(B3612),ISBLANK(C3612),B3612=0),"",(C3612-B3612)/B3612)</x:f>
      </x:c>
      <x:c r="E3612" s="22" t="str">
        <x:f>IF(ISBLANK(C3612),"AmountIncludingTax缺失",IF(ABS(B3612-C3612)&lt;0.005,"一致","不一致"))</x:f>
        <x:v>AmountIncludingTax缺失</x:v>
      </x:c>
      <x:c r="F3612" s="19" t="str">
        <x:v>approved</x:v>
      </x:c>
      <x:c r="G3612" s="19" t="str">
        <x:v>Repair in Progress</x:v>
      </x:c>
      <x:c r="H3612" s="19" t="str">
        <x:v>In Field</x:v>
      </x:c>
      <x:c r="I3612" s="37" t="n">
        <x:v>46069</x:v>
      </x:c>
      <x:c r="J3612" s="37" t="n">
        <x:v>46069</x:v>
      </x:c>
      <x:c r="K3612" s="19" t="str">
        <x:v>The Caravan Hub - Townsville</x:v>
      </x:c>
      <x:c r="L3612" s="19" t="str">
        <x:v>Z006</x:v>
      </x:c>
      <x:c r="M3612" s="19" t="str">
        <x:v>In Field Warranty Claims</x:v>
      </x:c>
      <x:c r="N3612" s="37" t="n">
        <x:v>46062</x:v>
      </x:c>
      <x:c r="O3612" s="37"/>
      <x:c r="P3612" s="34" t="n">
        <x:v>0</x:v>
      </x:c>
      <x:c r="Q3612" s="37" t="n">
        <x:v>46069.00038194445</x:v>
      </x:c>
    </x:row>
    <x:row r="3613">
      <x:c r="A3613" s="22" t="n">
        <x:v>30916</x:v>
      </x:c>
      <x:c r="B3613" s="28" t="n">
        <x:v>560</x:v>
      </x:c>
      <x:c r="C3613" s="28"/>
      <x:c r="D3613" s="31" t="str">
        <x:f>IF(OR(ISBLANK(B3613),ISBLANK(C3613),B3613=0),"",(C3613-B3613)/B3613)</x:f>
      </x:c>
      <x:c r="E3613" s="22" t="str">
        <x:f>IF(ISBLANK(C3613),"AmountIncludingTax缺失",IF(ABS(B3613-C3613)&lt;0.005,"一致","不一致"))</x:f>
        <x:v>AmountIncludingTax缺失</x:v>
      </x:c>
      <x:c r="F3613" s="19" t="str">
        <x:v>approved</x:v>
      </x:c>
      <x:c r="G3613" s="19" t="str">
        <x:v>Repair in Progress</x:v>
      </x:c>
      <x:c r="H3613" s="19" t="str">
        <x:v>In Field</x:v>
      </x:c>
      <x:c r="I3613" s="37" t="n">
        <x:v>46070</x:v>
      </x:c>
      <x:c r="J3613" s="37" t="n">
        <x:v>46070</x:v>
      </x:c>
      <x:c r="K3613" s="19" t="str">
        <x:v>Green RV - Forest Glen</x:v>
      </x:c>
      <x:c r="L3613" s="19" t="str">
        <x:v>Z006</x:v>
      </x:c>
      <x:c r="M3613" s="19" t="str">
        <x:v>In Field Warranty Claims</x:v>
      </x:c>
      <x:c r="N3613" s="37" t="n">
        <x:v>46062</x:v>
      </x:c>
      <x:c r="O3613" s="37"/>
      <x:c r="P3613" s="34" t="n">
        <x:v>0</x:v>
      </x:c>
      <x:c r="Q3613" s="37" t="n">
        <x:v>46069.98994212963</x:v>
      </x:c>
    </x:row>
    <x:row r="3614">
      <x:c r="A3614" s="22" t="n">
        <x:v>30911</x:v>
      </x:c>
      <x:c r="B3614" s="28" t="n">
        <x:v>322.05</x:v>
      </x:c>
      <x:c r="C3614" s="28" t="n">
        <x:v>354.26</x:v>
      </x:c>
      <x:c r="D3614" s="31" t="n">
        <x:f>IF(OR(ISBLANK(B3614),ISBLANK(C3614),B3614=0),"",(C3614-B3614)/B3614)</x:f>
        <x:v>0.10001552553951243</x:v>
      </x:c>
      <x:c r="E3614" s="22" t="str">
        <x:f>IF(ISBLANK(C3614),"AmountIncludingTax缺失",IF(ABS(B3614-C3614)&lt;0.005,"一致","不一致"))</x:f>
        <x:v>不一致</x:v>
      </x:c>
      <x:c r="F3614" s="19" t="str">
        <x:v>approved</x:v>
      </x:c>
      <x:c r="G3614" s="19" t="str">
        <x:v>Repairer Invoiced Processed</x:v>
      </x:c>
      <x:c r="H3614" s="19" t="str">
        <x:v>In Field</x:v>
      </x:c>
      <x:c r="I3614" s="37" t="n">
        <x:v>46113</x:v>
      </x:c>
      <x:c r="J3614" s="37" t="n">
        <x:v>46113</x:v>
      </x:c>
      <x:c r="K3614" s="19" t="str">
        <x:v>The Caravan Hub - Townsville</x:v>
      </x:c>
      <x:c r="L3614" s="19" t="str">
        <x:v>Z006</x:v>
      </x:c>
      <x:c r="M3614" s="19" t="str">
        <x:v>In Field Warranty Claims</x:v>
      </x:c>
      <x:c r="N3614" s="37" t="n">
        <x:v>46062</x:v>
      </x:c>
      <x:c r="O3614" s="37"/>
      <x:c r="P3614" s="34" t="n">
        <x:v>354.26</x:v>
      </x:c>
      <x:c r="Q3614" s="37" t="n">
        <x:v>46113.096354166664</x:v>
      </x:c>
    </x:row>
    <x:row r="3615">
      <x:c r="A3615" s="22" t="n">
        <x:v>30909</x:v>
      </x:c>
      <x:c r="B3615" s="28" t="n">
        <x:v>540</x:v>
      </x:c>
      <x:c r="C3615" s="28"/>
      <x:c r="D3615" s="31" t="str">
        <x:f>IF(OR(ISBLANK(B3615),ISBLANK(C3615),B3615=0),"",(C3615-B3615)/B3615)</x:f>
      </x:c>
      <x:c r="E3615" s="22" t="str">
        <x:f>IF(ISBLANK(C3615),"AmountIncludingTax缺失",IF(ABS(B3615-C3615)&lt;0.005,"一致","不一致"))</x:f>
        <x:v>AmountIncludingTax缺失</x:v>
      </x:c>
      <x:c r="F3615" s="19" t="str">
        <x:v>approved</x:v>
      </x:c>
      <x:c r="G3615" s="19" t="str">
        <x:v>Repair in Progress</x:v>
      </x:c>
      <x:c r="H3615" s="19" t="str">
        <x:v>In Field</x:v>
      </x:c>
      <x:c r="I3615" s="37" t="n">
        <x:v>46078</x:v>
      </x:c>
      <x:c r="J3615" s="37" t="n">
        <x:v>46078</x:v>
      </x:c>
      <x:c r="K3615" s="19" t="str">
        <x:v>Regent RV - Frankston</x:v>
      </x:c>
      <x:c r="L3615" s="19" t="str">
        <x:v>Z006</x:v>
      </x:c>
      <x:c r="M3615" s="19" t="str">
        <x:v>In Field Warranty Claims</x:v>
      </x:c>
      <x:c r="N3615" s="37" t="n">
        <x:v>46062</x:v>
      </x:c>
      <x:c r="O3615" s="37"/>
      <x:c r="P3615" s="34" t="n">
        <x:v>0</x:v>
      </x:c>
      <x:c r="Q3615" s="37" t="n">
        <x:v>46077.85900462963</x:v>
      </x:c>
    </x:row>
    <x:row r="3616">
      <x:c r="A3616" s="22" t="n">
        <x:v>30907</x:v>
      </x:c>
      <x:c r="B3616" s="28" t="n">
        <x:v>105.8</x:v>
      </x:c>
      <x:c r="C3616" s="28"/>
      <x:c r="D3616" s="31" t="str">
        <x:f>IF(OR(ISBLANK(B3616),ISBLANK(C3616),B3616=0),"",(C3616-B3616)/B3616)</x:f>
      </x:c>
      <x:c r="E3616" s="22" t="str">
        <x:f>IF(ISBLANK(C3616),"AmountIncludingTax缺失",IF(ABS(B3616-C3616)&lt;0.005,"一致","不一致"))</x:f>
        <x:v>AmountIncludingTax缺失</x:v>
      </x:c>
      <x:c r="F3616" s="19" t="str">
        <x:v>approved</x:v>
      </x:c>
      <x:c r="G3616" s="19" t="str">
        <x:v>Repairer Invoiced Processed</x:v>
      </x:c>
      <x:c r="H3616" s="19" t="str">
        <x:v>In Field</x:v>
      </x:c>
      <x:c r="I3616" s="37" t="n">
        <x:v>46072</x:v>
      </x:c>
      <x:c r="J3616" s="37" t="n">
        <x:v>46072</x:v>
      </x:c>
      <x:c r="K3616" s="19" t="str">
        <x:v>Not Assigned</x:v>
      </x:c>
      <x:c r="L3616" s="19" t="str">
        <x:v>Z006</x:v>
      </x:c>
      <x:c r="M3616" s="19" t="str">
        <x:v>In Field Warranty Claims</x:v>
      </x:c>
      <x:c r="N3616" s="37" t="n">
        <x:v>46062</x:v>
      </x:c>
      <x:c r="O3616" s="37"/>
      <x:c r="P3616" s="34" t="n">
        <x:v>0</x:v>
      </x:c>
      <x:c r="Q3616" s="37" t="n">
        <x:v>46071.92940972222</x:v>
      </x:c>
    </x:row>
    <x:row r="3617">
      <x:c r="A3617" s="22" t="n">
        <x:v>30905</x:v>
      </x:c>
      <x:c r="B3617" s="28" t="n">
        <x:v>257.5</x:v>
      </x:c>
      <x:c r="C3617" s="28" t="n">
        <x:v>283.25</x:v>
      </x:c>
      <x:c r="D3617" s="31" t="n">
        <x:f>IF(OR(ISBLANK(B3617),ISBLANK(C3617),B3617=0),"",(C3617-B3617)/B3617)</x:f>
        <x:v>0.1</x:v>
      </x:c>
      <x:c r="E3617" s="22" t="str">
        <x:f>IF(ISBLANK(C3617),"AmountIncludingTax缺失",IF(ABS(B3617-C3617)&lt;0.005,"一致","不一致"))</x:f>
        <x:v>不一致</x:v>
      </x:c>
      <x:c r="F3617" s="19" t="str">
        <x:v>approved</x:v>
      </x:c>
      <x:c r="G3617" s="19" t="str">
        <x:v>Repairer Invoiced Processed</x:v>
      </x:c>
      <x:c r="H3617" s="19" t="str">
        <x:v>In Field</x:v>
      </x:c>
      <x:c r="I3617" s="37" t="n">
        <x:v>46068</x:v>
      </x:c>
      <x:c r="J3617" s="37" t="n">
        <x:v>46068</x:v>
      </x:c>
      <x:c r="K3617" s="19" t="str">
        <x:v>Green RV - Forest Glen</x:v>
      </x:c>
      <x:c r="L3617" s="19" t="str">
        <x:v>Z006</x:v>
      </x:c>
      <x:c r="M3617" s="19" t="str">
        <x:v>In Field Warranty Claims</x:v>
      </x:c>
      <x:c r="N3617" s="37" t="n">
        <x:v>46062</x:v>
      </x:c>
      <x:c r="O3617" s="37"/>
      <x:c r="P3617" s="34" t="n">
        <x:v>283.25</x:v>
      </x:c>
      <x:c r="Q3617" s="37" t="n">
        <x:v>46067.89287037037</x:v>
      </x:c>
    </x:row>
    <x:row r="3618">
      <x:c r="A3618" s="22" t="n">
        <x:v>30904</x:v>
      </x:c>
      <x:c r="B3618" s="28" t="n">
        <x:v>526.25</x:v>
      </x:c>
      <x:c r="C3618" s="28"/>
      <x:c r="D3618" s="31" t="str">
        <x:f>IF(OR(ISBLANK(B3618),ISBLANK(C3618),B3618=0),"",(C3618-B3618)/B3618)</x:f>
      </x:c>
      <x:c r="E3618" s="22" t="str">
        <x:f>IF(ISBLANK(C3618),"AmountIncludingTax缺失",IF(ABS(B3618-C3618)&lt;0.005,"一致","不一致"))</x:f>
        <x:v>AmountIncludingTax缺失</x:v>
      </x:c>
      <x:c r="F3618" s="19" t="str">
        <x:v>approved</x:v>
      </x:c>
      <x:c r="G3618" s="19" t="str">
        <x:v>Repairer Invoiced Processed</x:v>
      </x:c>
      <x:c r="H3618" s="19" t="str">
        <x:v>In Field</x:v>
      </x:c>
      <x:c r="I3618" s="37" t="n">
        <x:v>46073</x:v>
      </x:c>
      <x:c r="J3618" s="37" t="n">
        <x:v>46073</x:v>
      </x:c>
      <x:c r="K3618" s="19" t="str">
        <x:v>Green RV - Forest Glen</x:v>
      </x:c>
      <x:c r="L3618" s="19" t="str">
        <x:v>Z006</x:v>
      </x:c>
      <x:c r="M3618" s="19" t="str">
        <x:v>In Field Warranty Claims</x:v>
      </x:c>
      <x:c r="N3618" s="37" t="n">
        <x:v>46062</x:v>
      </x:c>
      <x:c r="O3618" s="37"/>
      <x:c r="P3618" s="34" t="n">
        <x:v>0</x:v>
      </x:c>
      <x:c r="Q3618" s="37" t="n">
        <x:v>46072.8671875</x:v>
      </x:c>
    </x:row>
    <x:row r="3619">
      <x:c r="A3619" s="22" t="n">
        <x:v>30903</x:v>
      </x:c>
      <x:c r="B3619" s="28" t="n">
        <x:v>168.75</x:v>
      </x:c>
      <x:c r="C3619" s="28"/>
      <x:c r="D3619" s="31" t="str">
        <x:f>IF(OR(ISBLANK(B3619),ISBLANK(C3619),B3619=0),"",(C3619-B3619)/B3619)</x:f>
      </x:c>
      <x:c r="E3619" s="22" t="str">
        <x:f>IF(ISBLANK(C3619),"AmountIncludingTax缺失",IF(ABS(B3619-C3619)&lt;0.005,"一致","不一致"))</x:f>
        <x:v>AmountIncludingTax缺失</x:v>
      </x:c>
      <x:c r="F3619" s="19" t="str">
        <x:v>approved</x:v>
      </x:c>
      <x:c r="G3619" s="19" t="str">
        <x:v>Repair in Progress</x:v>
      </x:c>
      <x:c r="H3619" s="19" t="str">
        <x:v>In Field</x:v>
      </x:c>
      <x:c r="I3619" s="37" t="n">
        <x:v>46070</x:v>
      </x:c>
      <x:c r="J3619" s="37" t="n">
        <x:v>46070</x:v>
      </x:c>
      <x:c r="K3619" s="19" t="str">
        <x:v>Not Assigned</x:v>
      </x:c>
      <x:c r="L3619" s="19" t="str">
        <x:v>Z006</x:v>
      </x:c>
      <x:c r="M3619" s="19" t="str">
        <x:v>In Field Warranty Claims</x:v>
      </x:c>
      <x:c r="N3619" s="37" t="n">
        <x:v>46062</x:v>
      </x:c>
      <x:c r="O3619" s="37"/>
      <x:c r="P3619" s="34" t="n">
        <x:v>0</x:v>
      </x:c>
      <x:c r="Q3619" s="37" t="n">
        <x:v>46069.98475694445</x:v>
      </x:c>
    </x:row>
    <x:row r="3620">
      <x:c r="A3620" s="22" t="n">
        <x:v>30902</x:v>
      </x:c>
      <x:c r="B3620" s="28" t="n">
        <x:v>647.5</x:v>
      </x:c>
      <x:c r="C3620" s="28"/>
      <x:c r="D3620" s="31" t="str">
        <x:f>IF(OR(ISBLANK(B3620),ISBLANK(C3620),B3620=0),"",(C3620-B3620)/B3620)</x:f>
      </x:c>
      <x:c r="E3620" s="22" t="str">
        <x:f>IF(ISBLANK(C3620),"AmountIncludingTax缺失",IF(ABS(B3620-C3620)&lt;0.005,"一致","不一致"))</x:f>
        <x:v>AmountIncludingTax缺失</x:v>
      </x:c>
      <x:c r="F3620" s="19" t="str">
        <x:v>approved</x:v>
      </x:c>
      <x:c r="G3620" s="19" t="str">
        <x:v>Repair in Progress</x:v>
      </x:c>
      <x:c r="H3620" s="19" t="str">
        <x:v>In Field</x:v>
      </x:c>
      <x:c r="I3620" s="37" t="n">
        <x:v>46125</x:v>
      </x:c>
      <x:c r="J3620" s="37" t="n">
        <x:v>46125</x:v>
      </x:c>
      <x:c r="K3620" s="19" t="str">
        <x:v>Snowy River Geelong</x:v>
      </x:c>
      <x:c r="L3620" s="19" t="str">
        <x:v>Z006</x:v>
      </x:c>
      <x:c r="M3620" s="19" t="str">
        <x:v>In Field Warranty Claims</x:v>
      </x:c>
      <x:c r="N3620" s="37" t="n">
        <x:v>46062</x:v>
      </x:c>
      <x:c r="O3620" s="37"/>
      <x:c r="P3620" s="34" t="n">
        <x:v>0</x:v>
      </x:c>
      <x:c r="Q3620" s="37" t="n">
        <x:v>46125.14090277778</x:v>
      </x:c>
    </x:row>
    <x:row r="3621">
      <x:c r="A3621" s="22" t="n">
        <x:v>30901</x:v>
      </x:c>
      <x:c r="B3621" s="28" t="n">
        <x:v>324.41</x:v>
      </x:c>
      <x:c r="C3621" s="28" t="n">
        <x:v>356.85</x:v>
      </x:c>
      <x:c r="D3621" s="31" t="n">
        <x:f>IF(OR(ISBLANK(B3621),ISBLANK(C3621),B3621=0),"",(C3621-B3621)/B3621)</x:f>
        <x:v>0.09999691748096542</x:v>
      </x:c>
      <x:c r="E3621" s="22" t="str">
        <x:f>IF(ISBLANK(C3621),"AmountIncludingTax缺失",IF(ABS(B3621-C3621)&lt;0.005,"一致","不一致"))</x:f>
        <x:v>不一致</x:v>
      </x:c>
      <x:c r="F3621" s="19" t="str">
        <x:v>approved</x:v>
      </x:c>
      <x:c r="G3621" s="19" t="str">
        <x:v>Repair in Progress</x:v>
      </x:c>
      <x:c r="H3621" s="19" t="str">
        <x:v>In Field</x:v>
      </x:c>
      <x:c r="I3621" s="37" t="n">
        <x:v>46087</x:v>
      </x:c>
      <x:c r="J3621" s="37" t="n">
        <x:v>46087</x:v>
      </x:c>
      <x:c r="K3621" s="19" t="str">
        <x:v>The Caravan Hub - Townsville</x:v>
      </x:c>
      <x:c r="L3621" s="19" t="str">
        <x:v>Z006</x:v>
      </x:c>
      <x:c r="M3621" s="19" t="str">
        <x:v>In Field Warranty Claims</x:v>
      </x:c>
      <x:c r="N3621" s="37" t="n">
        <x:v>46062</x:v>
      </x:c>
      <x:c r="O3621" s="37"/>
      <x:c r="P3621" s="34" t="n">
        <x:v>356.85</x:v>
      </x:c>
      <x:c r="Q3621" s="37" t="n">
        <x:v>46087.22167824074</x:v>
      </x:c>
    </x:row>
    <x:row r="3622">
      <x:c r="A3622" s="22" t="n">
        <x:v>30897</x:v>
      </x:c>
      <x:c r="B3622" s="28" t="n">
        <x:v>270</x:v>
      </x:c>
      <x:c r="C3622" s="28" t="n">
        <x:v>297</x:v>
      </x:c>
      <x:c r="D3622" s="31" t="n">
        <x:f>IF(OR(ISBLANK(B3622),ISBLANK(C3622),B3622=0),"",(C3622-B3622)/B3622)</x:f>
        <x:v>0.1</x:v>
      </x:c>
      <x:c r="E3622" s="22" t="str">
        <x:f>IF(ISBLANK(C3622),"AmountIncludingTax缺失",IF(ABS(B3622-C3622)&lt;0.005,"一致","不一致"))</x:f>
        <x:v>不一致</x:v>
      </x:c>
      <x:c r="F3622" s="19" t="str">
        <x:v>approved</x:v>
      </x:c>
      <x:c r="G3622" s="19" t="str">
        <x:v>Repair in Progress</x:v>
      </x:c>
      <x:c r="H3622" s="19" t="str">
        <x:v>In Field</x:v>
      </x:c>
      <x:c r="I3622" s="37" t="n">
        <x:v>46070</x:v>
      </x:c>
      <x:c r="J3622" s="37" t="n">
        <x:v>46070</x:v>
      </x:c>
      <x:c r="K3622" s="19" t="str">
        <x:v>Green RV - Slacks Creek</x:v>
      </x:c>
      <x:c r="L3622" s="19" t="str">
        <x:v>Z006</x:v>
      </x:c>
      <x:c r="M3622" s="19" t="str">
        <x:v>In Field Warranty Claims</x:v>
      </x:c>
      <x:c r="N3622" s="37" t="n">
        <x:v>46062</x:v>
      </x:c>
      <x:c r="O3622" s="37"/>
      <x:c r="P3622" s="34" t="n">
        <x:v>297</x:v>
      </x:c>
      <x:c r="Q3622" s="37" t="n">
        <x:v>46070.03228009259</x:v>
      </x:c>
    </x:row>
    <x:row r="3623">
      <x:c r="A3623" s="22" t="n">
        <x:v>30892</x:v>
      </x:c>
      <x:c r="B3623" s="28" t="n">
        <x:v>589.75</x:v>
      </x:c>
      <x:c r="C3623" s="28"/>
      <x:c r="D3623" s="31" t="str">
        <x:f>IF(OR(ISBLANK(B3623),ISBLANK(C3623),B3623=0),"",(C3623-B3623)/B3623)</x:f>
      </x:c>
      <x:c r="E3623" s="22" t="str">
        <x:f>IF(ISBLANK(C3623),"AmountIncludingTax缺失",IF(ABS(B3623-C3623)&lt;0.005,"一致","不一致"))</x:f>
        <x:v>AmountIncludingTax缺失</x:v>
      </x:c>
      <x:c r="F3623" s="19" t="str">
        <x:v>approved</x:v>
      </x:c>
      <x:c r="G3623" s="19" t="str">
        <x:v>Repairer Invoiced Processed</x:v>
      </x:c>
      <x:c r="H3623" s="19" t="str">
        <x:v>In Field</x:v>
      </x:c>
      <x:c r="I3623" s="37" t="n">
        <x:v>46070</x:v>
      </x:c>
      <x:c r="J3623" s="37" t="n">
        <x:v>46070</x:v>
      </x:c>
      <x:c r="K3623" s="19" t="str">
        <x:v>Lesiure Lion-New Castle</x:v>
      </x:c>
      <x:c r="L3623" s="19" t="str">
        <x:v>Z006</x:v>
      </x:c>
      <x:c r="M3623" s="19" t="str">
        <x:v>In Field Warranty Claims</x:v>
      </x:c>
      <x:c r="N3623" s="37" t="n">
        <x:v>46062</x:v>
      </x:c>
      <x:c r="O3623" s="37"/>
      <x:c r="P3623" s="34" t="n">
        <x:v>0</x:v>
      </x:c>
      <x:c r="Q3623" s="37" t="n">
        <x:v>46070.152708333335</x:v>
      </x:c>
    </x:row>
    <x:row r="3624">
      <x:c r="A3624" s="22" t="n">
        <x:v>30891</x:v>
      </x:c>
      <x:c r="B3624" s="28" t="n">
        <x:v>827.5</x:v>
      </x:c>
      <x:c r="C3624" s="28"/>
      <x:c r="D3624" s="31" t="str">
        <x:f>IF(OR(ISBLANK(B3624),ISBLANK(C3624),B3624=0),"",(C3624-B3624)/B3624)</x:f>
      </x:c>
      <x:c r="E3624" s="22" t="str">
        <x:f>IF(ISBLANK(C3624),"AmountIncludingTax缺失",IF(ABS(B3624-C3624)&lt;0.005,"一致","不一致"))</x:f>
        <x:v>AmountIncludingTax缺失</x:v>
      </x:c>
      <x:c r="F3624" s="19" t="str">
        <x:v>approved</x:v>
      </x:c>
      <x:c r="G3624" s="19" t="str">
        <x:v>Repair in Progress</x:v>
      </x:c>
      <x:c r="H3624" s="19" t="str">
        <x:v>In Field</x:v>
      </x:c>
      <x:c r="I3624" s="37" t="n">
        <x:v>46107</x:v>
      </x:c>
      <x:c r="J3624" s="37" t="n">
        <x:v>46107</x:v>
      </x:c>
      <x:c r="K3624" s="19" t="str">
        <x:v>Not Assigned</x:v>
      </x:c>
      <x:c r="L3624" s="19" t="str">
        <x:v>Z006</x:v>
      </x:c>
      <x:c r="M3624" s="19" t="str">
        <x:v>In Field Warranty Claims</x:v>
      </x:c>
      <x:c r="N3624" s="37" t="n">
        <x:v>46062</x:v>
      </x:c>
      <x:c r="O3624" s="37"/>
      <x:c r="P3624" s="34" t="n">
        <x:v>0</x:v>
      </x:c>
      <x:c r="Q3624" s="37" t="n">
        <x:v>46107.04907407407</x:v>
      </x:c>
    </x:row>
    <x:row r="3625">
      <x:c r="A3625" s="22" t="n">
        <x:v>30889</x:v>
      </x:c>
      <x:c r="B3625" s="28" t="n">
        <x:v>1270</x:v>
      </x:c>
      <x:c r="C3625" s="28"/>
      <x:c r="D3625" s="31" t="str">
        <x:f>IF(OR(ISBLANK(B3625),ISBLANK(C3625),B3625=0),"",(C3625-B3625)/B3625)</x:f>
      </x:c>
      <x:c r="E3625" s="22" t="str">
        <x:f>IF(ISBLANK(C3625),"AmountIncludingTax缺失",IF(ABS(B3625-C3625)&lt;0.005,"一致","不一致"))</x:f>
        <x:v>AmountIncludingTax缺失</x:v>
      </x:c>
      <x:c r="F3625" s="19" t="str">
        <x:v>approved</x:v>
      </x:c>
      <x:c r="G3625" s="19" t="str">
        <x:v>Repairer Invoiced Processed</x:v>
      </x:c>
      <x:c r="H3625" s="19" t="str">
        <x:v>In Field</x:v>
      </x:c>
      <x:c r="I3625" s="37" t="n">
        <x:v>46122</x:v>
      </x:c>
      <x:c r="J3625" s="37" t="n">
        <x:v>46122</x:v>
      </x:c>
      <x:c r="K3625" s="19" t="str">
        <x:v>Dario Caravans -St.Marys</x:v>
      </x:c>
      <x:c r="L3625" s="19" t="str">
        <x:v>Z006</x:v>
      </x:c>
      <x:c r="M3625" s="19" t="str">
        <x:v>In Field Warranty Claims</x:v>
      </x:c>
      <x:c r="N3625" s="37" t="n">
        <x:v>46062</x:v>
      </x:c>
      <x:c r="O3625" s="37"/>
      <x:c r="P3625" s="34" t="n">
        <x:v>1397</x:v>
      </x:c>
      <x:c r="Q3625" s="37" t="n">
        <x:v>46122.00289351852</x:v>
      </x:c>
    </x:row>
    <x:row r="3626">
      <x:c r="A3626" s="22" t="n">
        <x:v>30886</x:v>
      </x:c>
      <x:c r="B3626" s="28" t="n">
        <x:v>315</x:v>
      </x:c>
      <x:c r="C3626" s="28"/>
      <x:c r="D3626" s="31" t="str">
        <x:f>IF(OR(ISBLANK(B3626),ISBLANK(C3626),B3626=0),"",(C3626-B3626)/B3626)</x:f>
      </x:c>
      <x:c r="E3626" s="22" t="str">
        <x:f>IF(ISBLANK(C3626),"AmountIncludingTax缺失",IF(ABS(B3626-C3626)&lt;0.005,"一致","不一致"))</x:f>
        <x:v>AmountIncludingTax缺失</x:v>
      </x:c>
      <x:c r="F3626" s="19" t="str">
        <x:v>approved</x:v>
      </x:c>
      <x:c r="G3626" s="19" t="str">
        <x:v>Repairer Invoiced Processed</x:v>
      </x:c>
      <x:c r="H3626" s="19" t="str">
        <x:v>In Field</x:v>
      </x:c>
      <x:c r="I3626" s="37" t="n">
        <x:v>46120</x:v>
      </x:c>
      <x:c r="J3626" s="37" t="n">
        <x:v>46120</x:v>
      </x:c>
      <x:c r="K3626" s="19" t="str">
        <x:v>Not Assigned</x:v>
      </x:c>
      <x:c r="L3626" s="19" t="str">
        <x:v>Z006</x:v>
      </x:c>
      <x:c r="M3626" s="19" t="str">
        <x:v>In Field Warranty Claims</x:v>
      </x:c>
      <x:c r="N3626" s="37" t="n">
        <x:v>46062</x:v>
      </x:c>
      <x:c r="O3626" s="37"/>
      <x:c r="P3626" s="34" t="n">
        <x:v>0</x:v>
      </x:c>
      <x:c r="Q3626" s="37" t="n">
        <x:v>46120.08207175926</x:v>
      </x:c>
    </x:row>
    <x:row r="3627">
      <x:c r="A3627" s="22" t="n">
        <x:v>30885</x:v>
      </x:c>
      <x:c r="B3627" s="28" t="n">
        <x:v>129.55</x:v>
      </x:c>
      <x:c r="C3627" s="28"/>
      <x:c r="D3627" s="31" t="str">
        <x:f>IF(OR(ISBLANK(B3627),ISBLANK(C3627),B3627=0),"",(C3627-B3627)/B3627)</x:f>
      </x:c>
      <x:c r="E3627" s="22" t="str">
        <x:f>IF(ISBLANK(C3627),"AmountIncludingTax缺失",IF(ABS(B3627-C3627)&lt;0.005,"一致","不一致"))</x:f>
        <x:v>AmountIncludingTax缺失</x:v>
      </x:c>
      <x:c r="F3627" s="19" t="str">
        <x:v>approved</x:v>
      </x:c>
      <x:c r="G3627" s="19" t="str">
        <x:v>Repairer Invoiced Received</x:v>
      </x:c>
      <x:c r="H3627" s="19" t="str">
        <x:v>In Field</x:v>
      </x:c>
      <x:c r="I3627" s="37" t="n">
        <x:v>46076</x:v>
      </x:c>
      <x:c r="J3627" s="37" t="n">
        <x:v>46076</x:v>
      </x:c>
      <x:c r="K3627" s="19" t="str">
        <x:v>Leisure Lion Pty Ltd - Gympie</x:v>
      </x:c>
      <x:c r="L3627" s="19" t="str">
        <x:v>Z006</x:v>
      </x:c>
      <x:c r="M3627" s="19" t="str">
        <x:v>In Field Warranty Claims</x:v>
      </x:c>
      <x:c r="N3627" s="37" t="n">
        <x:v>46062</x:v>
      </x:c>
      <x:c r="O3627" s="37"/>
      <x:c r="P3627" s="34" t="n">
        <x:v>0</x:v>
      </x:c>
      <x:c r="Q3627" s="37" t="n">
        <x:v>46076.185381944444</x:v>
      </x:c>
    </x:row>
    <x:row r="3628">
      <x:c r="A3628" s="22" t="n">
        <x:v>30883</x:v>
      </x:c>
      <x:c r="B3628" s="28" t="n">
        <x:v>423</x:v>
      </x:c>
      <x:c r="C3628" s="28" t="n">
        <x:v>465.3</x:v>
      </x:c>
      <x:c r="D3628" s="31" t="n">
        <x:f>IF(OR(ISBLANK(B3628),ISBLANK(C3628),B3628=0),"",(C3628-B3628)/B3628)</x:f>
        <x:v>0.10000000000000003</x:v>
      </x:c>
      <x:c r="E3628" s="22" t="str">
        <x:f>IF(ISBLANK(C3628),"AmountIncludingTax缺失",IF(ABS(B3628-C3628)&lt;0.005,"一致","不一致"))</x:f>
        <x:v>不一致</x:v>
      </x:c>
      <x:c r="F3628" s="19" t="str">
        <x:v>approved</x:v>
      </x:c>
      <x:c r="G3628" s="19" t="str">
        <x:v>Repairer Invoiced Processed</x:v>
      </x:c>
      <x:c r="H3628" s="19" t="str">
        <x:v>In Field</x:v>
      </x:c>
      <x:c r="I3628" s="37" t="n">
        <x:v>46071</x:v>
      </x:c>
      <x:c r="J3628" s="37" t="n">
        <x:v>46071</x:v>
      </x:c>
      <x:c r="K3628" s="19" t="str">
        <x:v>Lesiure Lion-New Castle</x:v>
      </x:c>
      <x:c r="L3628" s="19" t="str">
        <x:v>Z006</x:v>
      </x:c>
      <x:c r="M3628" s="19" t="str">
        <x:v>In Field Warranty Claims</x:v>
      </x:c>
      <x:c r="N3628" s="37" t="n">
        <x:v>46062</x:v>
      </x:c>
      <x:c r="O3628" s="37"/>
      <x:c r="P3628" s="34" t="n">
        <x:v>465.3</x:v>
      </x:c>
      <x:c r="Q3628" s="37" t="n">
        <x:v>46071.14409722222</x:v>
      </x:c>
    </x:row>
    <x:row r="3629">
      <x:c r="A3629" s="22" t="n">
        <x:v>30882</x:v>
      </x:c>
      <x:c r="B3629" s="28" t="n">
        <x:v>835</x:v>
      </x:c>
      <x:c r="C3629" s="28"/>
      <x:c r="D3629" s="31" t="str">
        <x:f>IF(OR(ISBLANK(B3629),ISBLANK(C3629),B3629=0),"",(C3629-B3629)/B3629)</x:f>
      </x:c>
      <x:c r="E3629" s="22" t="str">
        <x:f>IF(ISBLANK(C3629),"AmountIncludingTax缺失",IF(ABS(B3629-C3629)&lt;0.005,"一致","不一致"))</x:f>
        <x:v>AmountIncludingTax缺失</x:v>
      </x:c>
      <x:c r="F3629" s="19" t="str">
        <x:v>approved</x:v>
      </x:c>
      <x:c r="G3629" s="19" t="str">
        <x:v>Repairer Invoiced Processed</x:v>
      </x:c>
      <x:c r="H3629" s="19" t="str">
        <x:v>In Field</x:v>
      </x:c>
      <x:c r="I3629" s="37" t="n">
        <x:v>46098</x:v>
      </x:c>
      <x:c r="J3629" s="37" t="n">
        <x:v>46098</x:v>
      </x:c>
      <x:c r="K3629" s="19" t="str">
        <x:v>Regent RV - Toowoomba</x:v>
      </x:c>
      <x:c r="L3629" s="19" t="str">
        <x:v>Z006</x:v>
      </x:c>
      <x:c r="M3629" s="19" t="str">
        <x:v>In Field Warranty Claims</x:v>
      </x:c>
      <x:c r="N3629" s="37" t="n">
        <x:v>46062</x:v>
      </x:c>
      <x:c r="O3629" s="37"/>
      <x:c r="P3629" s="34" t="n">
        <x:v>0</x:v>
      </x:c>
      <x:c r="Q3629" s="37" t="n">
        <x:v>46097.872094907405</x:v>
      </x:c>
    </x:row>
    <x:row r="3630">
      <x:c r="A3630" s="22" t="n">
        <x:v>30880</x:v>
      </x:c>
      <x:c r="B3630" s="28" t="n">
        <x:v>67.5</x:v>
      </x:c>
      <x:c r="C3630" s="28"/>
      <x:c r="D3630" s="31" t="str">
        <x:f>IF(OR(ISBLANK(B3630),ISBLANK(C3630),B3630=0),"",(C3630-B3630)/B3630)</x:f>
      </x:c>
      <x:c r="E3630" s="22" t="str">
        <x:f>IF(ISBLANK(C3630),"AmountIncludingTax缺失",IF(ABS(B3630-C3630)&lt;0.005,"一致","不一致"))</x:f>
        <x:v>AmountIncludingTax缺失</x:v>
      </x:c>
      <x:c r="F3630" s="19" t="str">
        <x:v>approved</x:v>
      </x:c>
      <x:c r="G3630" s="19" t="str">
        <x:v>Repair in Progress</x:v>
      </x:c>
      <x:c r="H3630" s="19" t="str">
        <x:v>In Field</x:v>
      </x:c>
      <x:c r="I3630" s="37" t="n">
        <x:v>46107</x:v>
      </x:c>
      <x:c r="J3630" s="37" t="n">
        <x:v>46107</x:v>
      </x:c>
      <x:c r="K3630" s="19" t="str">
        <x:v>Regent RV - Perth</x:v>
      </x:c>
      <x:c r="L3630" s="19" t="str">
        <x:v>Z006</x:v>
      </x:c>
      <x:c r="M3630" s="19" t="str">
        <x:v>In Field Warranty Claims</x:v>
      </x:c>
      <x:c r="N3630" s="37" t="n">
        <x:v>46062</x:v>
      </x:c>
      <x:c r="O3630" s="37"/>
      <x:c r="P3630" s="34" t="n">
        <x:v>0</x:v>
      </x:c>
      <x:c r="Q3630" s="37" t="n">
        <x:v>46107.05814814815</x:v>
      </x:c>
    </x:row>
    <x:row r="3631">
      <x:c r="A3631" s="22" t="n">
        <x:v>30879</x:v>
      </x:c>
      <x:c r="B3631" s="28" t="n">
        <x:v>1255</x:v>
      </x:c>
      <x:c r="C3631" s="28"/>
      <x:c r="D3631" s="31" t="str">
        <x:f>IF(OR(ISBLANK(B3631),ISBLANK(C3631),B3631=0),"",(C3631-B3631)/B3631)</x:f>
      </x:c>
      <x:c r="E3631" s="22" t="str">
        <x:f>IF(ISBLANK(C3631),"AmountIncludingTax缺失",IF(ABS(B3631-C3631)&lt;0.005,"一致","不一致"))</x:f>
        <x:v>AmountIncludingTax缺失</x:v>
      </x:c>
      <x:c r="F3631" s="19" t="str">
        <x:v>approved</x:v>
      </x:c>
      <x:c r="G3631" s="19" t="str">
        <x:v>Repair in Progress</x:v>
      </x:c>
      <x:c r="H3631" s="19" t="str">
        <x:v>In Field</x:v>
      </x:c>
      <x:c r="I3631" s="37" t="n">
        <x:v>46108</x:v>
      </x:c>
      <x:c r="J3631" s="37" t="n">
        <x:v>46108</x:v>
      </x:c>
      <x:c r="K3631" s="19" t="str">
        <x:v>Snowy River Launceston</x:v>
      </x:c>
      <x:c r="L3631" s="19" t="str">
        <x:v>Z006</x:v>
      </x:c>
      <x:c r="M3631" s="19" t="str">
        <x:v>In Field Warranty Claims</x:v>
      </x:c>
      <x:c r="N3631" s="37" t="n">
        <x:v>46062</x:v>
      </x:c>
      <x:c r="O3631" s="37"/>
      <x:c r="P3631" s="34" t="n">
        <x:v>0</x:v>
      </x:c>
      <x:c r="Q3631" s="37" t="n">
        <x:v>46107.91547453704</x:v>
      </x:c>
    </x:row>
    <x:row r="3632">
      <x:c r="A3632" s="22" t="n">
        <x:v>30878</x:v>
      </x:c>
      <x:c r="B3632" s="28" t="n">
        <x:v>373.54</x:v>
      </x:c>
      <x:c r="C3632" s="28"/>
      <x:c r="D3632" s="31" t="str">
        <x:f>IF(OR(ISBLANK(B3632),ISBLANK(C3632),B3632=0),"",(C3632-B3632)/B3632)</x:f>
      </x:c>
      <x:c r="E3632" s="22" t="str">
        <x:f>IF(ISBLANK(C3632),"AmountIncludingTax缺失",IF(ABS(B3632-C3632)&lt;0.005,"一致","不一致"))</x:f>
        <x:v>AmountIncludingTax缺失</x:v>
      </x:c>
      <x:c r="F3632" s="19" t="str">
        <x:v>approved</x:v>
      </x:c>
      <x:c r="G3632" s="19" t="str">
        <x:v>Repair in Progress</x:v>
      </x:c>
      <x:c r="H3632" s="19" t="str">
        <x:v>In Field</x:v>
      </x:c>
      <x:c r="I3632" s="37" t="n">
        <x:v>46160</x:v>
      </x:c>
      <x:c r="J3632" s="37" t="n">
        <x:v>46160</x:v>
      </x:c>
      <x:c r="K3632" s="19" t="str">
        <x:v>Auswide Caravans - South Nowra</x:v>
      </x:c>
      <x:c r="L3632" s="19" t="str">
        <x:v>Z006</x:v>
      </x:c>
      <x:c r="M3632" s="19" t="str">
        <x:v>In Field Warranty Claims</x:v>
      </x:c>
      <x:c r="N3632" s="37" t="n">
        <x:v>46062</x:v>
      </x:c>
      <x:c r="O3632" s="37"/>
      <x:c r="P3632" s="34" t="n">
        <x:v>0</x:v>
      </x:c>
      <x:c r="Q3632" s="37" t="n">
        <x:v>46159.97840277778</x:v>
      </x:c>
    </x:row>
    <x:row r="3633">
      <x:c r="A3633" s="22" t="n">
        <x:v>30877</x:v>
      </x:c>
      <x:c r="B3633" s="28" t="n">
        <x:v>670.36</x:v>
      </x:c>
      <x:c r="C3633" s="28" t="n">
        <x:v>737.4</x:v>
      </x:c>
      <x:c r="D3633" s="31" t="n">
        <x:f>IF(OR(ISBLANK(B3633),ISBLANK(C3633),B3633=0),"",(C3633-B3633)/B3633)</x:f>
        <x:v>0.10000596694313497</x:v>
      </x:c>
      <x:c r="E3633" s="22" t="str">
        <x:f>IF(ISBLANK(C3633),"AmountIncludingTax缺失",IF(ABS(B3633-C3633)&lt;0.005,"一致","不一致"))</x:f>
        <x:v>不一致</x:v>
      </x:c>
      <x:c r="F3633" s="19" t="str">
        <x:v>approved</x:v>
      </x:c>
      <x:c r="G3633" s="19" t="str">
        <x:v>Repairer Invoiced Processed</x:v>
      </x:c>
      <x:c r="H3633" s="19" t="str">
        <x:v>In Field</x:v>
      </x:c>
      <x:c r="I3633" s="37" t="n">
        <x:v>46127</x:v>
      </x:c>
      <x:c r="J3633" s="37" t="n">
        <x:v>46127</x:v>
      </x:c>
      <x:c r="K3633" s="19" t="str">
        <x:v>Not Assigned</x:v>
      </x:c>
      <x:c r="L3633" s="19" t="str">
        <x:v>Z006</x:v>
      </x:c>
      <x:c r="M3633" s="19" t="str">
        <x:v>In Field Warranty Claims</x:v>
      </x:c>
      <x:c r="N3633" s="37" t="n">
        <x:v>46062</x:v>
      </x:c>
      <x:c r="O3633" s="37"/>
      <x:c r="P3633" s="34" t="n">
        <x:v>737.4</x:v>
      </x:c>
      <x:c r="Q3633" s="37" t="n">
        <x:v>46127.254895833335</x:v>
      </x:c>
    </x:row>
    <x:row r="3634">
      <x:c r="A3634" s="22" t="n">
        <x:v>30876</x:v>
      </x:c>
      <x:c r="B3634" s="28" t="n">
        <x:v>998.75</x:v>
      </x:c>
      <x:c r="C3634" s="28"/>
      <x:c r="D3634" s="31" t="str">
        <x:f>IF(OR(ISBLANK(B3634),ISBLANK(C3634),B3634=0),"",(C3634-B3634)/B3634)</x:f>
      </x:c>
      <x:c r="E3634" s="22" t="str">
        <x:f>IF(ISBLANK(C3634),"AmountIncludingTax缺失",IF(ABS(B3634-C3634)&lt;0.005,"一致","不一致"))</x:f>
        <x:v>AmountIncludingTax缺失</x:v>
      </x:c>
      <x:c r="F3634" s="19" t="str">
        <x:v>approved</x:v>
      </x:c>
      <x:c r="G3634" s="19" t="str">
        <x:v>Repair in Progress</x:v>
      </x:c>
      <x:c r="H3634" s="19" t="str">
        <x:v>In Field</x:v>
      </x:c>
      <x:c r="I3634" s="37" t="n">
        <x:v>46112</x:v>
      </x:c>
      <x:c r="J3634" s="37" t="n">
        <x:v>46112</x:v>
      </x:c>
      <x:c r="K3634" s="19" t="str">
        <x:v>Regent RV - Toowoomba</x:v>
      </x:c>
      <x:c r="L3634" s="19" t="str">
        <x:v>Z006</x:v>
      </x:c>
      <x:c r="M3634" s="19" t="str">
        <x:v>In Field Warranty Claims</x:v>
      </x:c>
      <x:c r="N3634" s="37" t="n">
        <x:v>46062</x:v>
      </x:c>
      <x:c r="O3634" s="37"/>
      <x:c r="P3634" s="34" t="n">
        <x:v>0</x:v>
      </x:c>
      <x:c r="Q3634" s="37" t="n">
        <x:v>46111.907476851855</x:v>
      </x:c>
    </x:row>
    <x:row r="3635">
      <x:c r="A3635" s="22" t="n">
        <x:v>30874</x:v>
      </x:c>
      <x:c r="B3635" s="28" t="n">
        <x:v>491.25</x:v>
      </x:c>
      <x:c r="C3635" s="28"/>
      <x:c r="D3635" s="31" t="str">
        <x:f>IF(OR(ISBLANK(B3635),ISBLANK(C3635),B3635=0),"",(C3635-B3635)/B3635)</x:f>
      </x:c>
      <x:c r="E3635" s="22" t="str">
        <x:f>IF(ISBLANK(C3635),"AmountIncludingTax缺失",IF(ABS(B3635-C3635)&lt;0.005,"一致","不一致"))</x:f>
        <x:v>AmountIncludingTax缺失</x:v>
      </x:c>
      <x:c r="F3635" s="19" t="str">
        <x:v>approved</x:v>
      </x:c>
      <x:c r="G3635" s="19" t="str">
        <x:v>Repair in Progress</x:v>
      </x:c>
      <x:c r="H3635" s="19" t="str">
        <x:v>In Field</x:v>
      </x:c>
      <x:c r="I3635" s="37" t="n">
        <x:v>46113</x:v>
      </x:c>
      <x:c r="J3635" s="37" t="n">
        <x:v>46113</x:v>
      </x:c>
      <x:c r="K3635" s="19" t="str">
        <x:v>Regent RV - Townsville</x:v>
      </x:c>
      <x:c r="L3635" s="19" t="str">
        <x:v>Z006</x:v>
      </x:c>
      <x:c r="M3635" s="19" t="str">
        <x:v>In Field Warranty Claims</x:v>
      </x:c>
      <x:c r="N3635" s="37" t="n">
        <x:v>46061</x:v>
      </x:c>
      <x:c r="O3635" s="37"/>
      <x:c r="P3635" s="34" t="n">
        <x:v>0</x:v>
      </x:c>
      <x:c r="Q3635" s="37" t="n">
        <x:v>46113.07724537037</x:v>
      </x:c>
    </x:row>
    <x:row r="3636">
      <x:c r="A3636" s="22" t="n">
        <x:v>30872</x:v>
      </x:c>
      <x:c r="B3636" s="28" t="n">
        <x:v>168.75</x:v>
      </x:c>
      <x:c r="C3636" s="28"/>
      <x:c r="D3636" s="31" t="str">
        <x:f>IF(OR(ISBLANK(B3636),ISBLANK(C3636),B3636=0),"",(C3636-B3636)/B3636)</x:f>
      </x:c>
      <x:c r="E3636" s="22" t="str">
        <x:f>IF(ISBLANK(C3636),"AmountIncludingTax缺失",IF(ABS(B3636-C3636)&lt;0.005,"一致","不一致"))</x:f>
        <x:v>AmountIncludingTax缺失</x:v>
      </x:c>
      <x:c r="F3636" s="19" t="str">
        <x:v>approved</x:v>
      </x:c>
      <x:c r="G3636" s="19" t="str">
        <x:v>Sales Order Approved</x:v>
      </x:c>
      <x:c r="H3636" s="19" t="str">
        <x:v>Pre Delivery</x:v>
      </x:c>
      <x:c r="I3636" s="37" t="n">
        <x:v>46071</x:v>
      </x:c>
      <x:c r="J3636" s="37" t="n">
        <x:v>46071</x:v>
      </x:c>
      <x:c r="K3636" s="19" t="str">
        <x:v>Snowy River Frankston</x:v>
      </x:c>
      <x:c r="L3636" s="19" t="str">
        <x:v>Z005</x:v>
      </x:c>
      <x:c r="M3636" s="19" t="str">
        <x:v>Pre Delivery Warranty Claims</x:v>
      </x:c>
      <x:c r="N3636" s="37" t="n">
        <x:v>46061</x:v>
      </x:c>
      <x:c r="O3636" s="37"/>
      <x:c r="P3636" s="34" t="n">
        <x:v>0</x:v>
      </x:c>
      <x:c r="Q3636" s="37" t="n">
        <x:v>46071.18361111111</x:v>
      </x:c>
    </x:row>
    <x:row r="3637">
      <x:c r="A3637" s="22" t="n">
        <x:v>30869</x:v>
      </x:c>
      <x:c r="B3637" s="28" t="n">
        <x:v>476.75</x:v>
      </x:c>
      <x:c r="C3637" s="28"/>
      <x:c r="D3637" s="31" t="str">
        <x:f>IF(OR(ISBLANK(B3637),ISBLANK(C3637),B3637=0),"",(C3637-B3637)/B3637)</x:f>
      </x:c>
      <x:c r="E3637" s="22" t="str">
        <x:f>IF(ISBLANK(C3637),"AmountIncludingTax缺失",IF(ABS(B3637-C3637)&lt;0.005,"一致","不一致"))</x:f>
        <x:v>AmountIncludingTax缺失</x:v>
      </x:c>
      <x:c r="F3637" s="19" t="str">
        <x:v>approved</x:v>
      </x:c>
      <x:c r="G3637" s="19" t="str">
        <x:v>Repairer Invoiced Processed</x:v>
      </x:c>
      <x:c r="H3637" s="19" t="str">
        <x:v>In Field</x:v>
      </x:c>
      <x:c r="I3637" s="37" t="n">
        <x:v>46070</x:v>
      </x:c>
      <x:c r="J3637" s="37" t="n">
        <x:v>46070</x:v>
      </x:c>
      <x:c r="K3637" s="19" t="str">
        <x:v>Lesiure Lion-New Castle</x:v>
      </x:c>
      <x:c r="L3637" s="19" t="str">
        <x:v>Z006</x:v>
      </x:c>
      <x:c r="M3637" s="19" t="str">
        <x:v>In Field Warranty Claims</x:v>
      </x:c>
      <x:c r="N3637" s="37" t="n">
        <x:v>46062</x:v>
      </x:c>
      <x:c r="O3637" s="37"/>
      <x:c r="P3637" s="34" t="n">
        <x:v>0</x:v>
      </x:c>
      <x:c r="Q3637" s="37" t="n">
        <x:v>46069.993680555555</x:v>
      </x:c>
    </x:row>
    <x:row r="3638">
      <x:c r="A3638" s="22" t="n">
        <x:v>30868</x:v>
      </x:c>
      <x:c r="B3638" s="28" t="n">
        <x:v>1133.75</x:v>
      </x:c>
      <x:c r="C3638" s="28"/>
      <x:c r="D3638" s="31" t="str">
        <x:f>IF(OR(ISBLANK(B3638),ISBLANK(C3638),B3638=0),"",(C3638-B3638)/B3638)</x:f>
      </x:c>
      <x:c r="E3638" s="22" t="str">
        <x:f>IF(ISBLANK(C3638),"AmountIncludingTax缺失",IF(ABS(B3638-C3638)&lt;0.005,"一致","不一致"))</x:f>
        <x:v>AmountIncludingTax缺失</x:v>
      </x:c>
      <x:c r="F3638" s="19" t="str">
        <x:v>approved</x:v>
      </x:c>
      <x:c r="G3638" s="19" t="str">
        <x:v>Repairer Invoiced Processed</x:v>
      </x:c>
      <x:c r="H3638" s="19" t="str">
        <x:v>In Field</x:v>
      </x:c>
      <x:c r="I3638" s="37" t="n">
        <x:v>46108</x:v>
      </x:c>
      <x:c r="J3638" s="37" t="n">
        <x:v>46108</x:v>
      </x:c>
      <x:c r="K3638" s="19" t="str">
        <x:v>Regent RV - Toowoomba</x:v>
      </x:c>
      <x:c r="L3638" s="19" t="str">
        <x:v>Z006</x:v>
      </x:c>
      <x:c r="M3638" s="19" t="str">
        <x:v>In Field Warranty Claims</x:v>
      </x:c>
      <x:c r="N3638" s="37" t="n">
        <x:v>46062</x:v>
      </x:c>
      <x:c r="O3638" s="37"/>
      <x:c r="P3638" s="34" t="n">
        <x:v>0</x:v>
      </x:c>
      <x:c r="Q3638" s="37" t="n">
        <x:v>46108.12100694444</x:v>
      </x:c>
    </x:row>
    <x:row r="3639">
      <x:c r="A3639" s="22" t="n">
        <x:v>30867</x:v>
      </x:c>
      <x:c r="B3639" s="28" t="n">
        <x:v>837.5</x:v>
      </x:c>
      <x:c r="C3639" s="28"/>
      <x:c r="D3639" s="31" t="str">
        <x:f>IF(OR(ISBLANK(B3639),ISBLANK(C3639),B3639=0),"",(C3639-B3639)/B3639)</x:f>
      </x:c>
      <x:c r="E3639" s="22" t="str">
        <x:f>IF(ISBLANK(C3639),"AmountIncludingTax缺失",IF(ABS(B3639-C3639)&lt;0.005,"一致","不一致"))</x:f>
        <x:v>AmountIncludingTax缺失</x:v>
      </x:c>
      <x:c r="F3639" s="19" t="str">
        <x:v>approved</x:v>
      </x:c>
      <x:c r="G3639" s="19" t="str">
        <x:v>Sales Order Approved</x:v>
      </x:c>
      <x:c r="H3639" s="19" t="str">
        <x:v>Pre Delivery</x:v>
      </x:c>
      <x:c r="I3639" s="37" t="n">
        <x:v>46177</x:v>
      </x:c>
      <x:c r="J3639" s="37" t="n">
        <x:v>46177</x:v>
      </x:c>
      <x:c r="K3639" s="19" t="str">
        <x:v>Regent RV - Townsville</x:v>
      </x:c>
      <x:c r="L3639" s="19" t="str">
        <x:v>Z005</x:v>
      </x:c>
      <x:c r="M3639" s="19" t="str">
        <x:v>Pre Delivery Warranty Claims</x:v>
      </x:c>
      <x:c r="N3639" s="37" t="n">
        <x:v>46062</x:v>
      </x:c>
      <x:c r="O3639" s="37"/>
      <x:c r="P3639" s="34" t="n">
        <x:v>0</x:v>
      </x:c>
      <x:c r="Q3639" s="37" t="n">
        <x:v>46177.04835648148</x:v>
      </x:c>
    </x:row>
    <x:row r="3640">
      <x:c r="A3640" s="22" t="n">
        <x:v>30866</x:v>
      </x:c>
      <x:c r="B3640" s="28" t="n">
        <x:v>472.5</x:v>
      </x:c>
      <x:c r="C3640" s="28"/>
      <x:c r="D3640" s="31" t="str">
        <x:f>IF(OR(ISBLANK(B3640),ISBLANK(C3640),B3640=0),"",(C3640-B3640)/B3640)</x:f>
      </x:c>
      <x:c r="E3640" s="22" t="str">
        <x:f>IF(ISBLANK(C3640),"AmountIncludingTax缺失",IF(ABS(B3640-C3640)&lt;0.005,"一致","不一致"))</x:f>
        <x:v>AmountIncludingTax缺失</x:v>
      </x:c>
      <x:c r="F3640" s="19" t="str">
        <x:v>approved</x:v>
      </x:c>
      <x:c r="G3640" s="19" t="str">
        <x:v>Repair in Progress</x:v>
      </x:c>
      <x:c r="H3640" s="19" t="str">
        <x:v>In Field</x:v>
      </x:c>
      <x:c r="I3640" s="37" t="n">
        <x:v>46097</x:v>
      </x:c>
      <x:c r="J3640" s="37" t="n">
        <x:v>46097</x:v>
      </x:c>
      <x:c r="K3640" s="19" t="str">
        <x:v>Dario Caravans - Pooraka</x:v>
      </x:c>
      <x:c r="L3640" s="19" t="str">
        <x:v>Z006</x:v>
      </x:c>
      <x:c r="M3640" s="19" t="str">
        <x:v>In Field Warranty Claims</x:v>
      </x:c>
      <x:c r="N3640" s="37" t="n">
        <x:v>46062</x:v>
      </x:c>
      <x:c r="O3640" s="37"/>
      <x:c r="P3640" s="34" t="n">
        <x:v>0</x:v>
      </x:c>
      <x:c r="Q3640" s="37" t="n">
        <x:v>46096.92071759259</x:v>
      </x:c>
    </x:row>
    <x:row r="3641">
      <x:c r="A3641" s="22" t="n">
        <x:v>30865</x:v>
      </x:c>
      <x:c r="B3641" s="28" t="n">
        <x:v>346.77</x:v>
      </x:c>
      <x:c r="C3641" s="28"/>
      <x:c r="D3641" s="31" t="str">
        <x:f>IF(OR(ISBLANK(B3641),ISBLANK(C3641),B3641=0),"",(C3641-B3641)/B3641)</x:f>
      </x:c>
      <x:c r="E3641" s="22" t="str">
        <x:f>IF(ISBLANK(C3641),"AmountIncludingTax缺失",IF(ABS(B3641-C3641)&lt;0.005,"一致","不一致"))</x:f>
        <x:v>AmountIncludingTax缺失</x:v>
      </x:c>
      <x:c r="F3641" s="19" t="str">
        <x:v>approved</x:v>
      </x:c>
      <x:c r="G3641" s="19" t="str">
        <x:v>Repairer Invoiced Processed</x:v>
      </x:c>
      <x:c r="H3641" s="19" t="str">
        <x:v>In Field</x:v>
      </x:c>
      <x:c r="I3641" s="37" t="n">
        <x:v>46065</x:v>
      </x:c>
      <x:c r="J3641" s="37" t="n">
        <x:v>46065</x:v>
      </x:c>
      <x:c r="K3641" s="19" t="str">
        <x:v>ABCO Caravans - Boambee Valley</x:v>
      </x:c>
      <x:c r="L3641" s="19" t="str">
        <x:v>Z006</x:v>
      </x:c>
      <x:c r="M3641" s="19" t="str">
        <x:v>In Field Warranty Claims</x:v>
      </x:c>
      <x:c r="N3641" s="37" t="n">
        <x:v>46062</x:v>
      </x:c>
      <x:c r="O3641" s="37"/>
      <x:c r="P3641" s="34" t="n">
        <x:v>0</x:v>
      </x:c>
      <x:c r="Q3641" s="37" t="n">
        <x:v>46064.99424768519</x:v>
      </x:c>
    </x:row>
    <x:row r="3642">
      <x:c r="A3642" s="22" t="n">
        <x:v>30864</x:v>
      </x:c>
      <x:c r="B3642" s="28" t="n">
        <x:v>352.5</x:v>
      </x:c>
      <x:c r="C3642" s="28"/>
      <x:c r="D3642" s="31" t="str">
        <x:f>IF(OR(ISBLANK(B3642),ISBLANK(C3642),B3642=0),"",(C3642-B3642)/B3642)</x:f>
      </x:c>
      <x:c r="E3642" s="22" t="str">
        <x:f>IF(ISBLANK(C3642),"AmountIncludingTax缺失",IF(ABS(B3642-C3642)&lt;0.005,"一致","不一致"))</x:f>
        <x:v>AmountIncludingTax缺失</x:v>
      </x:c>
      <x:c r="F3642" s="19" t="str">
        <x:v>approved</x:v>
      </x:c>
      <x:c r="G3642" s="19" t="str">
        <x:v>Sales Order Approved</x:v>
      </x:c>
      <x:c r="H3642" s="19" t="str">
        <x:v>In Field</x:v>
      </x:c>
      <x:c r="I3642" s="37" t="n">
        <x:v>46157</x:v>
      </x:c>
      <x:c r="J3642" s="37" t="n">
        <x:v>46108</x:v>
      </x:c>
      <x:c r="K3642" s="19" t="str">
        <x:v>Regent RV - Toowoomba</x:v>
      </x:c>
      <x:c r="L3642" s="19" t="str">
        <x:v>Z006</x:v>
      </x:c>
      <x:c r="M3642" s="19" t="str">
        <x:v>In Field Warranty Claims</x:v>
      </x:c>
      <x:c r="N3642" s="37" t="n">
        <x:v>46061</x:v>
      </x:c>
      <x:c r="O3642" s="37"/>
      <x:c r="P3642" s="34" t="n">
        <x:v>0</x:v>
      </x:c>
      <x:c r="Q3642" s="37" t="n">
        <x:v>46157.255</x:v>
      </x:c>
    </x:row>
    <x:row r="3643">
      <x:c r="A3643" s="22" t="n">
        <x:v>30863</x:v>
      </x:c>
      <x:c r="B3643" s="28" t="n">
        <x:v>405</x:v>
      </x:c>
      <x:c r="C3643" s="28"/>
      <x:c r="D3643" s="31" t="str">
        <x:f>IF(OR(ISBLANK(B3643),ISBLANK(C3643),B3643=0),"",(C3643-B3643)/B3643)</x:f>
      </x:c>
      <x:c r="E3643" s="22" t="str">
        <x:f>IF(ISBLANK(C3643),"AmountIncludingTax缺失",IF(ABS(B3643-C3643)&lt;0.005,"一致","不一致"))</x:f>
        <x:v>AmountIncludingTax缺失</x:v>
      </x:c>
      <x:c r="F3643" s="19" t="str">
        <x:v>approved</x:v>
      </x:c>
      <x:c r="G3643" s="19" t="str">
        <x:v>Repair in Progress</x:v>
      </x:c>
      <x:c r="H3643" s="19" t="str">
        <x:v>In Field</x:v>
      </x:c>
      <x:c r="I3643" s="37" t="n">
        <x:v>46154</x:v>
      </x:c>
      <x:c r="J3643" s="37" t="n">
        <x:v>46154</x:v>
      </x:c>
      <x:c r="K3643" s="19" t="str">
        <x:v>Not Assigned</x:v>
      </x:c>
      <x:c r="L3643" s="19" t="str">
        <x:v>Z006</x:v>
      </x:c>
      <x:c r="M3643" s="19" t="str">
        <x:v>In Field Warranty Claims</x:v>
      </x:c>
      <x:c r="N3643" s="37" t="n">
        <x:v>46061</x:v>
      </x:c>
      <x:c r="O3643" s="37"/>
      <x:c r="P3643" s="34" t="n">
        <x:v>0</x:v>
      </x:c>
      <x:c r="Q3643" s="37" t="n">
        <x:v>46154.245891203704</x:v>
      </x:c>
    </x:row>
    <x:row r="3644">
      <x:c r="A3644" s="22" t="n">
        <x:v>30862</x:v>
      </x:c>
      <x:c r="B3644" s="28" t="n">
        <x:v>135</x:v>
      </x:c>
      <x:c r="C3644" s="28"/>
      <x:c r="D3644" s="31" t="str">
        <x:f>IF(OR(ISBLANK(B3644),ISBLANK(C3644),B3644=0),"",(C3644-B3644)/B3644)</x:f>
      </x:c>
      <x:c r="E3644" s="22" t="str">
        <x:f>IF(ISBLANK(C3644),"AmountIncludingTax缺失",IF(ABS(B3644-C3644)&lt;0.005,"一致","不一致"))</x:f>
        <x:v>AmountIncludingTax缺失</x:v>
      </x:c>
      <x:c r="F3644" s="19" t="str">
        <x:v>approved</x:v>
      </x:c>
      <x:c r="G3644" s="19" t="str">
        <x:v>Sales Order Approved</x:v>
      </x:c>
      <x:c r="H3644" s="19" t="str">
        <x:v>Pre Delivery</x:v>
      </x:c>
      <x:c r="I3644" s="37" t="n">
        <x:v>46072</x:v>
      </x:c>
      <x:c r="J3644" s="37" t="n">
        <x:v>46072</x:v>
      </x:c>
      <x:c r="K3644" s="19" t="str">
        <x:v>Snowy River Frankston</x:v>
      </x:c>
      <x:c r="L3644" s="19" t="str">
        <x:v>Z005</x:v>
      </x:c>
      <x:c r="M3644" s="19" t="str">
        <x:v>Pre Delivery Warranty Claims</x:v>
      </x:c>
      <x:c r="N3644" s="37" t="n">
        <x:v>46061</x:v>
      </x:c>
      <x:c r="O3644" s="37"/>
      <x:c r="P3644" s="34" t="n">
        <x:v>0</x:v>
      </x:c>
      <x:c r="Q3644" s="37" t="n">
        <x:v>46071.91502314815</x:v>
      </x:c>
    </x:row>
    <x:row r="3645">
      <x:c r="A3645" s="22" t="n">
        <x:v>30860</x:v>
      </x:c>
      <x:c r="B3645" s="28" t="n">
        <x:v>4445</x:v>
      </x:c>
      <x:c r="C3645" s="28"/>
      <x:c r="D3645" s="31" t="str">
        <x:f>IF(OR(ISBLANK(B3645),ISBLANK(C3645),B3645=0),"",(C3645-B3645)/B3645)</x:f>
      </x:c>
      <x:c r="E3645" s="22" t="str">
        <x:f>IF(ISBLANK(C3645),"AmountIncludingTax缺失",IF(ABS(B3645-C3645)&lt;0.005,"一致","不一致"))</x:f>
        <x:v>AmountIncludingTax缺失</x:v>
      </x:c>
      <x:c r="F3645" s="19" t="str">
        <x:v>approved</x:v>
      </x:c>
      <x:c r="G3645" s="19" t="str">
        <x:v>Repair in Progress</x:v>
      </x:c>
      <x:c r="H3645" s="19" t="str">
        <x:v>In Field</x:v>
      </x:c>
      <x:c r="I3645" s="37" t="n">
        <x:v>46154</x:v>
      </x:c>
      <x:c r="J3645" s="37" t="n">
        <x:v>46154</x:v>
      </x:c>
      <x:c r="K3645" s="19" t="str">
        <x:v>Regent RV - Perth</x:v>
      </x:c>
      <x:c r="L3645" s="19" t="str">
        <x:v>Z006</x:v>
      </x:c>
      <x:c r="M3645" s="19" t="str">
        <x:v>In Field Warranty Claims</x:v>
      </x:c>
      <x:c r="N3645" s="37" t="n">
        <x:v>46061</x:v>
      </x:c>
      <x:c r="O3645" s="37"/>
      <x:c r="P3645" s="34" t="n">
        <x:v>4889.5</x:v>
      </x:c>
      <x:c r="Q3645" s="37" t="n">
        <x:v>46154.32996527778</x:v>
      </x:c>
    </x:row>
    <x:row r="3646">
      <x:c r="A3646" s="22" t="n">
        <x:v>30858</x:v>
      </x:c>
      <x:c r="B3646" s="28" t="n">
        <x:v>401.32</x:v>
      </x:c>
      <x:c r="C3646" s="28" t="n">
        <x:v>441.45</x:v>
      </x:c>
      <x:c r="D3646" s="31" t="n">
        <x:f>IF(OR(ISBLANK(B3646),ISBLANK(C3646),B3646=0),"",(C3646-B3646)/B3646)</x:f>
        <x:v>0.09999501644572908</x:v>
      </x:c>
      <x:c r="E3646" s="22" t="str">
        <x:f>IF(ISBLANK(C3646),"AmountIncludingTax缺失",IF(ABS(B3646-C3646)&lt;0.005,"一致","不一致"))</x:f>
        <x:v>不一致</x:v>
      </x:c>
      <x:c r="F3646" s="19" t="str">
        <x:v>approved</x:v>
      </x:c>
      <x:c r="G3646" s="19" t="str">
        <x:v>Repairer Invoiced Processed</x:v>
      </x:c>
      <x:c r="H3646" s="19" t="str">
        <x:v>In Field</x:v>
      </x:c>
      <x:c r="I3646" s="37" t="n">
        <x:v>46126</x:v>
      </x:c>
      <x:c r="J3646" s="37" t="n">
        <x:v>46126</x:v>
      </x:c>
      <x:c r="K3646" s="19" t="str">
        <x:v>Regent RV - Perth</x:v>
      </x:c>
      <x:c r="L3646" s="19" t="str">
        <x:v>Z006</x:v>
      </x:c>
      <x:c r="M3646" s="19" t="str">
        <x:v>In Field Warranty Claims</x:v>
      </x:c>
      <x:c r="N3646" s="37" t="n">
        <x:v>46061</x:v>
      </x:c>
      <x:c r="O3646" s="37"/>
      <x:c r="P3646" s="34" t="n">
        <x:v>441.45</x:v>
      </x:c>
      <x:c r="Q3646" s="37" t="n">
        <x:v>46125.79844907407</x:v>
      </x:c>
    </x:row>
    <x:row r="3647">
      <x:c r="A3647" s="22" t="n">
        <x:v>30857</x:v>
      </x:c>
      <x:c r="B3647" s="28" t="n">
        <x:v>81.81</x:v>
      </x:c>
      <x:c r="C3647" s="28" t="n">
        <x:v>89.99</x:v>
      </x:c>
      <x:c r="D3647" s="31" t="n">
        <x:f>IF(OR(ISBLANK(B3647),ISBLANK(C3647),B3647=0),"",(C3647-B3647)/B3647)</x:f>
        <x:v>0.09998777655543323</x:v>
      </x:c>
      <x:c r="E3647" s="22" t="str">
        <x:f>IF(ISBLANK(C3647),"AmountIncludingTax缺失",IF(ABS(B3647-C3647)&lt;0.005,"一致","不一致"))</x:f>
        <x:v>不一致</x:v>
      </x:c>
      <x:c r="F3647" s="19" t="str">
        <x:v>approved</x:v>
      </x:c>
      <x:c r="G3647" s="19" t="str">
        <x:v>Repairer Invoiced Processed</x:v>
      </x:c>
      <x:c r="H3647" s="19" t="str">
        <x:v>In Field</x:v>
      </x:c>
      <x:c r="I3647" s="37" t="n">
        <x:v>46077</x:v>
      </x:c>
      <x:c r="J3647" s="37" t="n">
        <x:v>46077</x:v>
      </x:c>
      <x:c r="K3647" s="19" t="str">
        <x:v>ABCO Caravans - Boambee Valley</x:v>
      </x:c>
      <x:c r="L3647" s="19" t="str">
        <x:v>Z006</x:v>
      </x:c>
      <x:c r="M3647" s="19" t="str">
        <x:v>In Field Warranty Claims</x:v>
      </x:c>
      <x:c r="N3647" s="37" t="n">
        <x:v>46060</x:v>
      </x:c>
      <x:c r="O3647" s="37"/>
      <x:c r="P3647" s="34" t="n">
        <x:v>89.99</x:v>
      </x:c>
      <x:c r="Q3647" s="37" t="n">
        <x:v>46077.19436342592</x:v>
      </x:c>
    </x:row>
    <x:row r="3648">
      <x:c r="A3648" s="22" t="n">
        <x:v>30854</x:v>
      </x:c>
      <x:c r="B3648" s="28" t="n">
        <x:v>165</x:v>
      </x:c>
      <x:c r="C3648" s="28"/>
      <x:c r="D3648" s="31" t="str">
        <x:f>IF(OR(ISBLANK(B3648),ISBLANK(C3648),B3648=0),"",(C3648-B3648)/B3648)</x:f>
      </x:c>
      <x:c r="E3648" s="22" t="str">
        <x:f>IF(ISBLANK(C3648),"AmountIncludingTax缺失",IF(ABS(B3648-C3648)&lt;0.005,"一致","不一致"))</x:f>
        <x:v>AmountIncludingTax缺失</x:v>
      </x:c>
      <x:c r="F3648" s="19" t="str">
        <x:v>approved</x:v>
      </x:c>
      <x:c r="G3648" s="19" t="str">
        <x:v>Repair in Progress</x:v>
      </x:c>
      <x:c r="H3648" s="19" t="str">
        <x:v>In Field</x:v>
      </x:c>
      <x:c r="I3648" s="37" t="n">
        <x:v>46157</x:v>
      </x:c>
      <x:c r="J3648" s="37" t="n">
        <x:v>46157</x:v>
      </x:c>
      <x:c r="K3648" s="19" t="str">
        <x:v>Regent RV - Perth</x:v>
      </x:c>
      <x:c r="L3648" s="19" t="str">
        <x:v>Z006</x:v>
      </x:c>
      <x:c r="M3648" s="19" t="str">
        <x:v>In Field Warranty Claims</x:v>
      </x:c>
      <x:c r="N3648" s="37" t="n">
        <x:v>46060</x:v>
      </x:c>
      <x:c r="O3648" s="37"/>
      <x:c r="P3648" s="34" t="n">
        <x:v>0</x:v>
      </x:c>
      <x:c r="Q3648" s="37" t="n">
        <x:v>46157.18738425926</x:v>
      </x:c>
    </x:row>
    <x:row r="3649">
      <x:c r="A3649" s="22" t="n">
        <x:v>30853</x:v>
      </x:c>
      <x:c r="B3649" s="28" t="n">
        <x:v>2461.4</x:v>
      </x:c>
      <x:c r="C3649" s="28"/>
      <x:c r="D3649" s="31" t="str">
        <x:f>IF(OR(ISBLANK(B3649),ISBLANK(C3649),B3649=0),"",(C3649-B3649)/B3649)</x:f>
      </x:c>
      <x:c r="E3649" s="22" t="str">
        <x:f>IF(ISBLANK(C3649),"AmountIncludingTax缺失",IF(ABS(B3649-C3649)&lt;0.005,"一致","不一致"))</x:f>
        <x:v>AmountIncludingTax缺失</x:v>
      </x:c>
      <x:c r="F3649" s="19" t="str">
        <x:v>approved</x:v>
      </x:c>
      <x:c r="G3649" s="19" t="str">
        <x:v>Repairer Invoiced Processed</x:v>
      </x:c>
      <x:c r="H3649" s="19" t="str">
        <x:v>In Field</x:v>
      </x:c>
      <x:c r="I3649" s="37" t="n">
        <x:v>46098</x:v>
      </x:c>
      <x:c r="J3649" s="37" t="n">
        <x:v>46098</x:v>
      </x:c>
      <x:c r="K3649" s="19" t="str">
        <x:v>Not Assigned</x:v>
      </x:c>
      <x:c r="L3649" s="19" t="str">
        <x:v>Z006</x:v>
      </x:c>
      <x:c r="M3649" s="19" t="str">
        <x:v>In Field Warranty Claims</x:v>
      </x:c>
      <x:c r="N3649" s="37" t="n">
        <x:v>46060</x:v>
      </x:c>
      <x:c r="O3649" s="37"/>
      <x:c r="P3649" s="34" t="n">
        <x:v>2228.55</x:v>
      </x:c>
      <x:c r="Q3649" s="37" t="n">
        <x:v>46098.093194444446</x:v>
      </x:c>
    </x:row>
    <x:row r="3650">
      <x:c r="A3650" s="22" t="n">
        <x:v>30852</x:v>
      </x:c>
      <x:c r="B3650" s="28" t="n">
        <x:v>1255.93</x:v>
      </x:c>
      <x:c r="C3650" s="28"/>
      <x:c r="D3650" s="31" t="str">
        <x:f>IF(OR(ISBLANK(B3650),ISBLANK(C3650),B3650=0),"",(C3650-B3650)/B3650)</x:f>
      </x:c>
      <x:c r="E3650" s="22" t="str">
        <x:f>IF(ISBLANK(C3650),"AmountIncludingTax缺失",IF(ABS(B3650-C3650)&lt;0.005,"一致","不一致"))</x:f>
        <x:v>AmountIncludingTax缺失</x:v>
      </x:c>
      <x:c r="F3650" s="19" t="str">
        <x:v>approved</x:v>
      </x:c>
      <x:c r="G3650" s="19" t="str">
        <x:v>Repairer Invoiced Processed</x:v>
      </x:c>
      <x:c r="H3650" s="19" t="str">
        <x:v>In Field</x:v>
      </x:c>
      <x:c r="I3650" s="37" t="n">
        <x:v>46093</x:v>
      </x:c>
      <x:c r="J3650" s="37" t="n">
        <x:v>46093</x:v>
      </x:c>
      <x:c r="K3650" s="19" t="str">
        <x:v>Not Assigned</x:v>
      </x:c>
      <x:c r="L3650" s="19" t="str">
        <x:v>Z006</x:v>
      </x:c>
      <x:c r="M3650" s="19" t="str">
        <x:v>In Field Warranty Claims</x:v>
      </x:c>
      <x:c r="N3650" s="37" t="n">
        <x:v>46060</x:v>
      </x:c>
      <x:c r="O3650" s="37"/>
      <x:c r="P3650" s="34" t="n">
        <x:v>1137.12</x:v>
      </x:c>
      <x:c r="Q3650" s="37" t="n">
        <x:v>46093.47888888889</x:v>
      </x:c>
    </x:row>
    <x:row r="3651">
      <x:c r="A3651" s="22" t="n">
        <x:v>30850</x:v>
      </x:c>
      <x:c r="B3651" s="28" t="n">
        <x:v>179.55</x:v>
      </x:c>
      <x:c r="C3651" s="28"/>
      <x:c r="D3651" s="31" t="str">
        <x:f>IF(OR(ISBLANK(B3651),ISBLANK(C3651),B3651=0),"",(C3651-B3651)/B3651)</x:f>
      </x:c>
      <x:c r="E3651" s="22" t="str">
        <x:f>IF(ISBLANK(C3651),"AmountIncludingTax缺失",IF(ABS(B3651-C3651)&lt;0.005,"一致","不一致"))</x:f>
        <x:v>AmountIncludingTax缺失</x:v>
      </x:c>
      <x:c r="F3651" s="19" t="str">
        <x:v>approved</x:v>
      </x:c>
      <x:c r="G3651" s="19" t="str">
        <x:v>Repair in Progress</x:v>
      </x:c>
      <x:c r="H3651" s="19" t="str">
        <x:v>In Field</x:v>
      </x:c>
      <x:c r="I3651" s="37" t="n">
        <x:v>46071</x:v>
      </x:c>
      <x:c r="J3651" s="37" t="n">
        <x:v>46071</x:v>
      </x:c>
      <x:c r="K3651" s="19" t="str">
        <x:v>Regent RV - Frankston</x:v>
      </x:c>
      <x:c r="L3651" s="19" t="str">
        <x:v>Z006</x:v>
      </x:c>
      <x:c r="M3651" s="19" t="str">
        <x:v>In Field Warranty Claims</x:v>
      </x:c>
      <x:c r="N3651" s="37" t="n">
        <x:v>46061</x:v>
      </x:c>
      <x:c r="O3651" s="37"/>
      <x:c r="P3651" s="34" t="n">
        <x:v>0</x:v>
      </x:c>
      <x:c r="Q3651" s="37" t="n">
        <x:v>46070.9134375</x:v>
      </x:c>
    </x:row>
    <x:row r="3652">
      <x:c r="A3652" s="22" t="n">
        <x:v>30849</x:v>
      </x:c>
      <x:c r="B3652" s="28" t="n">
        <x:v>420</x:v>
      </x:c>
      <x:c r="C3652" s="28" t="n">
        <x:v>462</x:v>
      </x:c>
      <x:c r="D3652" s="31" t="n">
        <x:f>IF(OR(ISBLANK(B3652),ISBLANK(C3652),B3652=0),"",(C3652-B3652)/B3652)</x:f>
        <x:v>0.1</x:v>
      </x:c>
      <x:c r="E3652" s="22" t="str">
        <x:f>IF(ISBLANK(C3652),"AmountIncludingTax缺失",IF(ABS(B3652-C3652)&lt;0.005,"一致","不一致"))</x:f>
        <x:v>不一致</x:v>
      </x:c>
      <x:c r="F3652" s="19" t="str">
        <x:v>approved</x:v>
      </x:c>
      <x:c r="G3652" s="19" t="str">
        <x:v>Repairer Invoiced Processed</x:v>
      </x:c>
      <x:c r="H3652" s="19" t="str">
        <x:v>In Field</x:v>
      </x:c>
      <x:c r="I3652" s="37" t="n">
        <x:v>46132</x:v>
      </x:c>
      <x:c r="J3652" s="37" t="n">
        <x:v>46132</x:v>
      </x:c>
      <x:c r="K3652" s="19" t="str">
        <x:v>Not Assigned</x:v>
      </x:c>
      <x:c r="L3652" s="19" t="str">
        <x:v>Z006</x:v>
      </x:c>
      <x:c r="M3652" s="19" t="str">
        <x:v>In Field Warranty Claims</x:v>
      </x:c>
      <x:c r="N3652" s="37" t="n">
        <x:v>46061</x:v>
      </x:c>
      <x:c r="O3652" s="37" t="n">
        <x:v>46157</x:v>
      </x:c>
      <x:c r="P3652" s="34" t="n">
        <x:v>462</x:v>
      </x:c>
      <x:c r="Q3652" s="37" t="n">
        <x:v>46132.12258101852</x:v>
      </x:c>
    </x:row>
    <x:row r="3653">
      <x:c r="A3653" s="22" t="n">
        <x:v>30847</x:v>
      </x:c>
      <x:c r="B3653" s="28" t="n">
        <x:v>477.68</x:v>
      </x:c>
      <x:c r="C3653" s="28" t="n">
        <x:v>525.45</x:v>
      </x:c>
      <x:c r="D3653" s="31" t="n">
        <x:f>IF(OR(ISBLANK(B3653),ISBLANK(C3653),B3653=0),"",(C3653-B3653)/B3653)</x:f>
        <x:v>0.10000418690336635</x:v>
      </x:c>
      <x:c r="E3653" s="22" t="str">
        <x:f>IF(ISBLANK(C3653),"AmountIncludingTax缺失",IF(ABS(B3653-C3653)&lt;0.005,"一致","不一致"))</x:f>
        <x:v>不一致</x:v>
      </x:c>
      <x:c r="F3653" s="19" t="str">
        <x:v>approved</x:v>
      </x:c>
      <x:c r="G3653" s="19" t="str">
        <x:v>Repair in Progress</x:v>
      </x:c>
      <x:c r="H3653" s="19" t="str">
        <x:v>In Field</x:v>
      </x:c>
      <x:c r="I3653" s="37" t="n">
        <x:v>46093</x:v>
      </x:c>
      <x:c r="J3653" s="37" t="n">
        <x:v>46093</x:v>
      </x:c>
      <x:c r="K3653" s="19" t="str">
        <x:v>Green RV - Forest Glen</x:v>
      </x:c>
      <x:c r="L3653" s="19" t="str">
        <x:v>Z006</x:v>
      </x:c>
      <x:c r="M3653" s="19" t="str">
        <x:v>In Field Warranty Claims</x:v>
      </x:c>
      <x:c r="N3653" s="37" t="n">
        <x:v>46061</x:v>
      </x:c>
      <x:c r="O3653" s="37"/>
      <x:c r="P3653" s="34" t="n">
        <x:v>525.45</x:v>
      </x:c>
      <x:c r="Q3653" s="37" t="n">
        <x:v>46092.925729166665</x:v>
      </x:c>
    </x:row>
    <x:row r="3654">
      <x:c r="A3654" s="22" t="n">
        <x:v>30846</x:v>
      </x:c>
      <x:c r="B3654" s="28" t="n">
        <x:v>270</x:v>
      </x:c>
      <x:c r="C3654" s="28" t="n">
        <x:v>297</x:v>
      </x:c>
      <x:c r="D3654" s="31" t="n">
        <x:f>IF(OR(ISBLANK(B3654),ISBLANK(C3654),B3654=0),"",(C3654-B3654)/B3654)</x:f>
        <x:v>0.1</x:v>
      </x:c>
      <x:c r="E3654" s="22" t="str">
        <x:f>IF(ISBLANK(C3654),"AmountIncludingTax缺失",IF(ABS(B3654-C3654)&lt;0.005,"一致","不一致"))</x:f>
        <x:v>不一致</x:v>
      </x:c>
      <x:c r="F3654" s="19" t="str">
        <x:v>approved</x:v>
      </x:c>
      <x:c r="G3654" s="19" t="str">
        <x:v>Repair in Progress</x:v>
      </x:c>
      <x:c r="H3654" s="19" t="str">
        <x:v>In Field</x:v>
      </x:c>
      <x:c r="I3654" s="37" t="n">
        <x:v>46111</x:v>
      </x:c>
      <x:c r="J3654" s="37" t="n">
        <x:v>46111</x:v>
      </x:c>
      <x:c r="K3654" s="19" t="str">
        <x:v>Regent RV - Perth</x:v>
      </x:c>
      <x:c r="L3654" s="19" t="str">
        <x:v>Z006</x:v>
      </x:c>
      <x:c r="M3654" s="19" t="str">
        <x:v>In Field Warranty Claims</x:v>
      </x:c>
      <x:c r="N3654" s="37" t="n">
        <x:v>46060</x:v>
      </x:c>
      <x:c r="O3654" s="37"/>
      <x:c r="P3654" s="34" t="n">
        <x:v>297</x:v>
      </x:c>
      <x:c r="Q3654" s="37" t="n">
        <x:v>46111.18042824074</x:v>
      </x:c>
    </x:row>
    <x:row r="3655">
      <x:c r="A3655" s="22" t="n">
        <x:v>30845</x:v>
      </x:c>
      <x:c r="B3655" s="28" t="n">
        <x:v>3673.1</x:v>
      </x:c>
      <x:c r="C3655" s="28"/>
      <x:c r="D3655" s="31" t="str">
        <x:f>IF(OR(ISBLANK(B3655),ISBLANK(C3655),B3655=0),"",(C3655-B3655)/B3655)</x:f>
      </x:c>
      <x:c r="E3655" s="22" t="str">
        <x:f>IF(ISBLANK(C3655),"AmountIncludingTax缺失",IF(ABS(B3655-C3655)&lt;0.005,"一致","不一致"))</x:f>
        <x:v>AmountIncludingTax缺失</x:v>
      </x:c>
      <x:c r="F3655" s="19" t="str">
        <x:v>approved</x:v>
      </x:c>
      <x:c r="G3655" s="19" t="str">
        <x:v>Repairer Invoiced Processed</x:v>
      </x:c>
      <x:c r="H3655" s="19" t="str">
        <x:v>In Field</x:v>
      </x:c>
      <x:c r="I3655" s="37" t="n">
        <x:v>46106</x:v>
      </x:c>
      <x:c r="J3655" s="37" t="n">
        <x:v>46106</x:v>
      </x:c>
      <x:c r="K3655" s="19" t="str">
        <x:v>Not Assigned</x:v>
      </x:c>
      <x:c r="L3655" s="19" t="str">
        <x:v>Z006</x:v>
      </x:c>
      <x:c r="M3655" s="19" t="str">
        <x:v>In Field Warranty Claims</x:v>
      </x:c>
      <x:c r="N3655" s="37" t="n">
        <x:v>46060</x:v>
      </x:c>
      <x:c r="O3655" s="37"/>
      <x:c r="P3655" s="34" t="n">
        <x:v>3325.62</x:v>
      </x:c>
      <x:c r="Q3655" s="37" t="n">
        <x:v>46106.06017361111</x:v>
      </x:c>
    </x:row>
    <x:row r="3656">
      <x:c r="A3656" s="22" t="n">
        <x:v>30844</x:v>
      </x:c>
      <x:c r="B3656" s="28" t="n">
        <x:v>1981</x:v>
      </x:c>
      <x:c r="C3656" s="28"/>
      <x:c r="D3656" s="31" t="str">
        <x:f>IF(OR(ISBLANK(B3656),ISBLANK(C3656),B3656=0),"",(C3656-B3656)/B3656)</x:f>
      </x:c>
      <x:c r="E3656" s="22" t="str">
        <x:f>IF(ISBLANK(C3656),"AmountIncludingTax缺失",IF(ABS(B3656-C3656)&lt;0.005,"一致","不一致"))</x:f>
        <x:v>AmountIncludingTax缺失</x:v>
      </x:c>
      <x:c r="F3656" s="19" t="str">
        <x:v>approved</x:v>
      </x:c>
      <x:c r="G3656" s="19" t="str">
        <x:v>Repair in Progress</x:v>
      </x:c>
      <x:c r="H3656" s="19" t="str">
        <x:v>In Field</x:v>
      </x:c>
      <x:c r="I3656" s="37" t="n">
        <x:v>46178</x:v>
      </x:c>
      <x:c r="J3656" s="37" t="n">
        <x:v>46178</x:v>
      </x:c>
      <x:c r="K3656" s="19" t="str">
        <x:v>Vanari Caravans - Marden Point</x:v>
      </x:c>
      <x:c r="L3656" s="19" t="str">
        <x:v>Z006</x:v>
      </x:c>
      <x:c r="M3656" s="19" t="str">
        <x:v>In Field Warranty Claims</x:v>
      </x:c>
      <x:c r="N3656" s="37" t="n">
        <x:v>46059</x:v>
      </x:c>
      <x:c r="O3656" s="37" t="n">
        <x:v>46132</x:v>
      </x:c>
      <x:c r="P3656" s="34" t="n">
        <x:v>1793.6</x:v>
      </x:c>
      <x:c r="Q3656" s="37" t="n">
        <x:v>46178.2199537037</x:v>
      </x:c>
    </x:row>
    <x:row r="3657">
      <x:c r="A3657" s="22" t="n">
        <x:v>30843</x:v>
      </x:c>
      <x:c r="B3657" s="28" t="n">
        <x:v>467.9</x:v>
      </x:c>
      <x:c r="C3657" s="28" t="n">
        <x:v>514.69</x:v>
      </x:c>
      <x:c r="D3657" s="31" t="n">
        <x:f>IF(OR(ISBLANK(B3657),ISBLANK(C3657),B3657=0),"",(C3657-B3657)/B3657)</x:f>
        <x:v>0.10000000000000017</x:v>
      </x:c>
      <x:c r="E3657" s="22" t="str">
        <x:f>IF(ISBLANK(C3657),"AmountIncludingTax缺失",IF(ABS(B3657-C3657)&lt;0.005,"一致","不一致"))</x:f>
        <x:v>不一致</x:v>
      </x:c>
      <x:c r="F3657" s="19" t="str">
        <x:v>approved</x:v>
      </x:c>
      <x:c r="G3657" s="19" t="str">
        <x:v>Repair in Progress</x:v>
      </x:c>
      <x:c r="H3657" s="19" t="str">
        <x:v>In Field</x:v>
      </x:c>
      <x:c r="I3657" s="37" t="n">
        <x:v>46156</x:v>
      </x:c>
      <x:c r="J3657" s="37" t="n">
        <x:v>46149</x:v>
      </x:c>
      <x:c r="K3657" s="19" t="str">
        <x:v>Regent RV - Perth</x:v>
      </x:c>
      <x:c r="L3657" s="19" t="str">
        <x:v>Z006</x:v>
      </x:c>
      <x:c r="M3657" s="19" t="str">
        <x:v>In Field Warranty Claims</x:v>
      </x:c>
      <x:c r="N3657" s="37" t="n">
        <x:v>46059</x:v>
      </x:c>
      <x:c r="O3657" s="37"/>
      <x:c r="P3657" s="34" t="n">
        <x:v>514.69</x:v>
      </x:c>
      <x:c r="Q3657" s="37" t="n">
        <x:v>46156.26949074074</x:v>
      </x:c>
    </x:row>
    <x:row r="3658">
      <x:c r="A3658" s="22" t="n">
        <x:v>30842</x:v>
      </x:c>
      <x:c r="B3658" s="28" t="n">
        <x:v>492.5</x:v>
      </x:c>
      <x:c r="C3658" s="28"/>
      <x:c r="D3658" s="31" t="str">
        <x:f>IF(OR(ISBLANK(B3658),ISBLANK(C3658),B3658=0),"",(C3658-B3658)/B3658)</x:f>
      </x:c>
      <x:c r="E3658" s="22" t="str">
        <x:f>IF(ISBLANK(C3658),"AmountIncludingTax缺失",IF(ABS(B3658-C3658)&lt;0.005,"一致","不一致"))</x:f>
        <x:v>AmountIncludingTax缺失</x:v>
      </x:c>
      <x:c r="F3658" s="19" t="str">
        <x:v>approved</x:v>
      </x:c>
      <x:c r="G3658" s="19" t="str">
        <x:v>Repairer Invoiced Processed</x:v>
      </x:c>
      <x:c r="H3658" s="19" t="str">
        <x:v>Pre Delivery</x:v>
      </x:c>
      <x:c r="I3658" s="37" t="n">
        <x:v>46133</x:v>
      </x:c>
      <x:c r="J3658" s="37" t="n">
        <x:v>46133</x:v>
      </x:c>
      <x:c r="K3658" s="19" t="str">
        <x:v>Green RV - Forest Glen</x:v>
      </x:c>
      <x:c r="L3658" s="19" t="str">
        <x:v>Z005</x:v>
      </x:c>
      <x:c r="M3658" s="19" t="str">
        <x:v>Pre Delivery Warranty Claims</x:v>
      </x:c>
      <x:c r="N3658" s="37" t="n">
        <x:v>46059</x:v>
      </x:c>
      <x:c r="O3658" s="37"/>
      <x:c r="P3658" s="34" t="n">
        <x:v>0</x:v>
      </x:c>
      <x:c r="Q3658" s="37" t="n">
        <x:v>46132.91300925926</x:v>
      </x:c>
    </x:row>
    <x:row r="3659">
      <x:c r="A3659" s="22" t="n">
        <x:v>30838</x:v>
      </x:c>
      <x:c r="B3659" s="28" t="n">
        <x:v>616.59</x:v>
      </x:c>
      <x:c r="C3659" s="28"/>
      <x:c r="D3659" s="31" t="str">
        <x:f>IF(OR(ISBLANK(B3659),ISBLANK(C3659),B3659=0),"",(C3659-B3659)/B3659)</x:f>
      </x:c>
      <x:c r="E3659" s="22" t="str">
        <x:f>IF(ISBLANK(C3659),"AmountIncludingTax缺失",IF(ABS(B3659-C3659)&lt;0.005,"一致","不一致"))</x:f>
        <x:v>AmountIncludingTax缺失</x:v>
      </x:c>
      <x:c r="F3659" s="19" t="str">
        <x:v>approved</x:v>
      </x:c>
      <x:c r="G3659" s="19" t="str">
        <x:v>Repair in Progress</x:v>
      </x:c>
      <x:c r="H3659" s="19" t="str">
        <x:v>Pre Delivery</x:v>
      </x:c>
      <x:c r="I3659" s="37" t="n">
        <x:v>46132</x:v>
      </x:c>
      <x:c r="J3659" s="37" t="n">
        <x:v>46132</x:v>
      </x:c>
      <x:c r="K3659" s="19" t="str">
        <x:v>Green RV - Forest Glen</x:v>
      </x:c>
      <x:c r="L3659" s="19" t="str">
        <x:v>Z005</x:v>
      </x:c>
      <x:c r="M3659" s="19" t="str">
        <x:v>Pre Delivery Warranty Claims</x:v>
      </x:c>
      <x:c r="N3659" s="37" t="n">
        <x:v>46059</x:v>
      </x:c>
      <x:c r="O3659" s="37"/>
      <x:c r="P3659" s="34" t="n">
        <x:v>0</x:v>
      </x:c>
      <x:c r="Q3659" s="37" t="n">
        <x:v>46132.30603009259</x:v>
      </x:c>
    </x:row>
    <x:row r="3660">
      <x:c r="A3660" s="22" t="n">
        <x:v>30837</x:v>
      </x:c>
      <x:c r="B3660" s="28" t="n">
        <x:v>540.92</x:v>
      </x:c>
      <x:c r="C3660" s="28"/>
      <x:c r="D3660" s="31" t="str">
        <x:f>IF(OR(ISBLANK(B3660),ISBLANK(C3660),B3660=0),"",(C3660-B3660)/B3660)</x:f>
      </x:c>
      <x:c r="E3660" s="22" t="str">
        <x:f>IF(ISBLANK(C3660),"AmountIncludingTax缺失",IF(ABS(B3660-C3660)&lt;0.005,"一致","不一致"))</x:f>
        <x:v>AmountIncludingTax缺失</x:v>
      </x:c>
      <x:c r="F3660" s="19" t="str">
        <x:v>approved</x:v>
      </x:c>
      <x:c r="G3660" s="19" t="str">
        <x:v>Repair in Progress</x:v>
      </x:c>
      <x:c r="H3660" s="19" t="str">
        <x:v>In Field</x:v>
      </x:c>
      <x:c r="I3660" s="37" t="n">
        <x:v>46065</x:v>
      </x:c>
      <x:c r="J3660" s="37" t="n">
        <x:v>46065</x:v>
      </x:c>
      <x:c r="K3660" s="19" t="str">
        <x:v>The Caravan Hub - Townsville</x:v>
      </x:c>
      <x:c r="L3660" s="19" t="str">
        <x:v>Z006</x:v>
      </x:c>
      <x:c r="M3660" s="19" t="str">
        <x:v>In Field Warranty Claims</x:v>
      </x:c>
      <x:c r="N3660" s="37" t="n">
        <x:v>46059</x:v>
      </x:c>
      <x:c r="O3660" s="37"/>
      <x:c r="P3660" s="34" t="n">
        <x:v>0</x:v>
      </x:c>
      <x:c r="Q3660" s="37" t="n">
        <x:v>46065.12018518519</x:v>
      </x:c>
    </x:row>
    <x:row r="3661">
      <x:c r="A3661" s="22" t="n">
        <x:v>30833</x:v>
      </x:c>
      <x:c r="B3661" s="28" t="n">
        <x:v>1126.8</x:v>
      </x:c>
      <x:c r="C3661" s="28"/>
      <x:c r="D3661" s="31" t="str">
        <x:f>IF(OR(ISBLANK(B3661),ISBLANK(C3661),B3661=0),"",(C3661-B3661)/B3661)</x:f>
      </x:c>
      <x:c r="E3661" s="22" t="str">
        <x:f>IF(ISBLANK(C3661),"AmountIncludingTax缺失",IF(ABS(B3661-C3661)&lt;0.005,"一致","不一致"))</x:f>
        <x:v>AmountIncludingTax缺失</x:v>
      </x:c>
      <x:c r="F3661" s="19" t="str">
        <x:v>approved</x:v>
      </x:c>
      <x:c r="G3661" s="19" t="str">
        <x:v>Repairer Invoiced Processed</x:v>
      </x:c>
      <x:c r="H3661" s="19" t="str">
        <x:v>In Field</x:v>
      </x:c>
      <x:c r="I3661" s="37" t="n">
        <x:v>46108</x:v>
      </x:c>
      <x:c r="J3661" s="37" t="n">
        <x:v>46108</x:v>
      </x:c>
      <x:c r="K3661" s="19" t="str">
        <x:v>Not Assigned</x:v>
      </x:c>
      <x:c r="L3661" s="19" t="str">
        <x:v>Z006</x:v>
      </x:c>
      <x:c r="M3661" s="19" t="str">
        <x:v>In Field Warranty Claims</x:v>
      </x:c>
      <x:c r="N3661" s="37" t="n">
        <x:v>46059</x:v>
      </x:c>
      <x:c r="O3661" s="37"/>
      <x:c r="P3661" s="34" t="n">
        <x:v>0</x:v>
      </x:c>
      <x:c r="Q3661" s="37" t="n">
        <x:v>46108.119467592594</x:v>
      </x:c>
    </x:row>
    <x:row r="3662">
      <x:c r="A3662" s="22" t="n">
        <x:v>30831</x:v>
      </x:c>
      <x:c r="B3662" s="28" t="n">
        <x:v>2339.25</x:v>
      </x:c>
      <x:c r="C3662" s="28"/>
      <x:c r="D3662" s="31" t="str">
        <x:f>IF(OR(ISBLANK(B3662),ISBLANK(C3662),B3662=0),"",(C3662-B3662)/B3662)</x:f>
      </x:c>
      <x:c r="E3662" s="22" t="str">
        <x:f>IF(ISBLANK(C3662),"AmountIncludingTax缺失",IF(ABS(B3662-C3662)&lt;0.005,"一致","不一致"))</x:f>
        <x:v>AmountIncludingTax缺失</x:v>
      </x:c>
      <x:c r="F3662" s="19" t="str">
        <x:v>approved</x:v>
      </x:c>
      <x:c r="G3662" s="19" t="str">
        <x:v>Repairer Invoiced Processed</x:v>
      </x:c>
      <x:c r="H3662" s="19" t="str">
        <x:v>In Field</x:v>
      </x:c>
      <x:c r="I3662" s="37" t="n">
        <x:v>46072</x:v>
      </x:c>
      <x:c r="J3662" s="37" t="n">
        <x:v>46072</x:v>
      </x:c>
      <x:c r="K3662" s="19" t="str">
        <x:v>Green RV - Forest Glen</x:v>
      </x:c>
      <x:c r="L3662" s="19" t="str">
        <x:v>Z006</x:v>
      </x:c>
      <x:c r="M3662" s="19" t="str">
        <x:v>In Field Warranty Claims</x:v>
      </x:c>
      <x:c r="N3662" s="37" t="n">
        <x:v>46059</x:v>
      </x:c>
      <x:c r="O3662" s="37"/>
      <x:c r="P3662" s="34" t="n">
        <x:v>0</x:v>
      </x:c>
      <x:c r="Q3662" s="37" t="n">
        <x:v>46071.90856481482</x:v>
      </x:c>
    </x:row>
    <x:row r="3663">
      <x:c r="A3663" s="22" t="n">
        <x:v>30830</x:v>
      </x:c>
      <x:c r="B3663" s="28" t="n">
        <x:v>303.75</x:v>
      </x:c>
      <x:c r="C3663" s="28"/>
      <x:c r="D3663" s="31" t="str">
        <x:f>IF(OR(ISBLANK(B3663),ISBLANK(C3663),B3663=0),"",(C3663-B3663)/B3663)</x:f>
      </x:c>
      <x:c r="E3663" s="22" t="str">
        <x:f>IF(ISBLANK(C3663),"AmountIncludingTax缺失",IF(ABS(B3663-C3663)&lt;0.005,"一致","不一致"))</x:f>
        <x:v>AmountIncludingTax缺失</x:v>
      </x:c>
      <x:c r="F3663" s="19" t="str">
        <x:v>approved</x:v>
      </x:c>
      <x:c r="G3663" s="19" t="str">
        <x:v>Repair in Progress</x:v>
      </x:c>
      <x:c r="H3663" s="19" t="str">
        <x:v>In Field</x:v>
      </x:c>
      <x:c r="I3663" s="37" t="n">
        <x:v>46121</x:v>
      </x:c>
      <x:c r="J3663" s="37" t="n">
        <x:v>46121</x:v>
      </x:c>
      <x:c r="K3663" s="19" t="str">
        <x:v>Regent RV - Perth</x:v>
      </x:c>
      <x:c r="L3663" s="19" t="str">
        <x:v>Z006</x:v>
      </x:c>
      <x:c r="M3663" s="19" t="str">
        <x:v>In Field Warranty Claims</x:v>
      </x:c>
      <x:c r="N3663" s="37" t="n">
        <x:v>46059</x:v>
      </x:c>
      <x:c r="O3663" s="37"/>
      <x:c r="P3663" s="34" t="n">
        <x:v>0</x:v>
      </x:c>
      <x:c r="Q3663" s="37" t="n">
        <x:v>46120.96505787037</x:v>
      </x:c>
    </x:row>
    <x:row r="3664">
      <x:c r="A3664" s="22" t="n">
        <x:v>30827</x:v>
      </x:c>
      <x:c r="B3664" s="28" t="n">
        <x:v>145</x:v>
      </x:c>
      <x:c r="C3664" s="28"/>
      <x:c r="D3664" s="31" t="str">
        <x:f>IF(OR(ISBLANK(B3664),ISBLANK(C3664),B3664=0),"",(C3664-B3664)/B3664)</x:f>
      </x:c>
      <x:c r="E3664" s="22" t="str">
        <x:f>IF(ISBLANK(C3664),"AmountIncludingTax缺失",IF(ABS(B3664-C3664)&lt;0.005,"一致","不一致"))</x:f>
        <x:v>AmountIncludingTax缺失</x:v>
      </x:c>
      <x:c r="F3664" s="19" t="str">
        <x:v>approved</x:v>
      </x:c>
      <x:c r="G3664" s="19" t="str">
        <x:v>Repairer Invoiced Processed</x:v>
      </x:c>
      <x:c r="H3664" s="19" t="str">
        <x:v>In Field</x:v>
      </x:c>
      <x:c r="I3664" s="37" t="n">
        <x:v>46070</x:v>
      </x:c>
      <x:c r="J3664" s="37" t="n">
        <x:v>46070</x:v>
      </x:c>
      <x:c r="K3664" s="19" t="str">
        <x:v>Green RV - Forest Glen</x:v>
      </x:c>
      <x:c r="L3664" s="19" t="str">
        <x:v>Z006</x:v>
      </x:c>
      <x:c r="M3664" s="19" t="str">
        <x:v>In Field Warranty Claims</x:v>
      </x:c>
      <x:c r="N3664" s="37" t="n">
        <x:v>46059</x:v>
      </x:c>
      <x:c r="O3664" s="37"/>
      <x:c r="P3664" s="34" t="n">
        <x:v>0</x:v>
      </x:c>
      <x:c r="Q3664" s="37" t="n">
        <x:v>46069.979583333334</x:v>
      </x:c>
    </x:row>
    <x:row r="3665">
      <x:c r="A3665" s="22" t="n">
        <x:v>30825</x:v>
      </x:c>
      <x:c r="B3665" s="28" t="n">
        <x:v>67.5</x:v>
      </x:c>
      <x:c r="C3665" s="28"/>
      <x:c r="D3665" s="31" t="str">
        <x:f>IF(OR(ISBLANK(B3665),ISBLANK(C3665),B3665=0),"",(C3665-B3665)/B3665)</x:f>
      </x:c>
      <x:c r="E3665" s="22" t="str">
        <x:f>IF(ISBLANK(C3665),"AmountIncludingTax缺失",IF(ABS(B3665-C3665)&lt;0.005,"一致","不一致"))</x:f>
        <x:v>AmountIncludingTax缺失</x:v>
      </x:c>
      <x:c r="F3665" s="19" t="str">
        <x:v>approved</x:v>
      </x:c>
      <x:c r="G3665" s="19" t="str">
        <x:v>Repair in Progress</x:v>
      </x:c>
      <x:c r="H3665" s="19" t="str">
        <x:v>In Field</x:v>
      </x:c>
      <x:c r="I3665" s="37" t="n">
        <x:v>46108</x:v>
      </x:c>
      <x:c r="J3665" s="37" t="n">
        <x:v>46108</x:v>
      </x:c>
      <x:c r="K3665" s="19" t="str">
        <x:v>Regent RV Pty Ltd</x:v>
      </x:c>
      <x:c r="L3665" s="19" t="str">
        <x:v>Z006</x:v>
      </x:c>
      <x:c r="M3665" s="19" t="str">
        <x:v>In Field Warranty Claims</x:v>
      </x:c>
      <x:c r="N3665" s="37" t="n">
        <x:v>46059</x:v>
      </x:c>
      <x:c r="O3665" s="37"/>
      <x:c r="P3665" s="34" t="n">
        <x:v>0</x:v>
      </x:c>
      <x:c r="Q3665" s="37" t="n">
        <x:v>46108.06181712963</x:v>
      </x:c>
    </x:row>
    <x:row r="3666">
      <x:c r="A3666" s="22" t="n">
        <x:v>30824</x:v>
      </x:c>
      <x:c r="B3666" s="28" t="n">
        <x:v>240</x:v>
      </x:c>
      <x:c r="C3666" s="28" t="n">
        <x:v>264</x:v>
      </x:c>
      <x:c r="D3666" s="31" t="n">
        <x:f>IF(OR(ISBLANK(B3666),ISBLANK(C3666),B3666=0),"",(C3666-B3666)/B3666)</x:f>
        <x:v>0.1</x:v>
      </x:c>
      <x:c r="E3666" s="22" t="str">
        <x:f>IF(ISBLANK(C3666),"AmountIncludingTax缺失",IF(ABS(B3666-C3666)&lt;0.005,"一致","不一致"))</x:f>
        <x:v>不一致</x:v>
      </x:c>
      <x:c r="F3666" s="19" t="str">
        <x:v>approved</x:v>
      </x:c>
      <x:c r="G3666" s="19" t="str">
        <x:v>Repair in Progress</x:v>
      </x:c>
      <x:c r="H3666" s="19" t="str">
        <x:v>In Field</x:v>
      </x:c>
      <x:c r="I3666" s="37" t="n">
        <x:v>46084</x:v>
      </x:c>
      <x:c r="J3666" s="37" t="n">
        <x:v>46084</x:v>
      </x:c>
      <x:c r="K3666" s="19" t="str">
        <x:v>Not Assigned</x:v>
      </x:c>
      <x:c r="L3666" s="19" t="str">
        <x:v>Z006</x:v>
      </x:c>
      <x:c r="M3666" s="19" t="str">
        <x:v>In Field Warranty Claims</x:v>
      </x:c>
      <x:c r="N3666" s="37" t="n">
        <x:v>46059</x:v>
      </x:c>
      <x:c r="O3666" s="37"/>
      <x:c r="P3666" s="34" t="n">
        <x:v>264</x:v>
      </x:c>
      <x:c r="Q3666" s="37" t="n">
        <x:v>46084.06679398148</x:v>
      </x:c>
    </x:row>
    <x:row r="3667">
      <x:c r="A3667" s="22" t="n">
        <x:v>30820</x:v>
      </x:c>
      <x:c r="B3667" s="28" t="n">
        <x:v>178.75</x:v>
      </x:c>
      <x:c r="C3667" s="28"/>
      <x:c r="D3667" s="31" t="str">
        <x:f>IF(OR(ISBLANK(B3667),ISBLANK(C3667),B3667=0),"",(C3667-B3667)/B3667)</x:f>
      </x:c>
      <x:c r="E3667" s="22" t="str">
        <x:f>IF(ISBLANK(C3667),"AmountIncludingTax缺失",IF(ABS(B3667-C3667)&lt;0.005,"一致","不一致"))</x:f>
        <x:v>AmountIncludingTax缺失</x:v>
      </x:c>
      <x:c r="F3667" s="19" t="str">
        <x:v>approved</x:v>
      </x:c>
      <x:c r="G3667" s="19" t="str">
        <x:v>Repairer Invoiced Processed</x:v>
      </x:c>
      <x:c r="H3667" s="19" t="str">
        <x:v>Pre Delivery</x:v>
      </x:c>
      <x:c r="I3667" s="37" t="n">
        <x:v>46141</x:v>
      </x:c>
      <x:c r="J3667" s="37" t="n">
        <x:v>46141</x:v>
      </x:c>
      <x:c r="K3667" s="19" t="str">
        <x:v>Green RV - Forest Glen</x:v>
      </x:c>
      <x:c r="L3667" s="19" t="str">
        <x:v>Z005</x:v>
      </x:c>
      <x:c r="M3667" s="19" t="str">
        <x:v>Pre Delivery Warranty Claims</x:v>
      </x:c>
      <x:c r="N3667" s="37" t="n">
        <x:v>46059</x:v>
      </x:c>
      <x:c r="O3667" s="37"/>
      <x:c r="P3667" s="34" t="n">
        <x:v>0</x:v>
      </x:c>
      <x:c r="Q3667" s="37" t="n">
        <x:v>46140.975625</x:v>
      </x:c>
    </x:row>
    <x:row r="3668">
      <x:c r="A3668" s="22" t="n">
        <x:v>30819</x:v>
      </x:c>
      <x:c r="B3668" s="28" t="n">
        <x:v>67.5</x:v>
      </x:c>
      <x:c r="C3668" s="28"/>
      <x:c r="D3668" s="31" t="str">
        <x:f>IF(OR(ISBLANK(B3668),ISBLANK(C3668),B3668=0),"",(C3668-B3668)/B3668)</x:f>
      </x:c>
      <x:c r="E3668" s="22" t="str">
        <x:f>IF(ISBLANK(C3668),"AmountIncludingTax缺失",IF(ABS(B3668-C3668)&lt;0.005,"一致","不一致"))</x:f>
        <x:v>AmountIncludingTax缺失</x:v>
      </x:c>
      <x:c r="F3668" s="19" t="str">
        <x:v>approved</x:v>
      </x:c>
      <x:c r="G3668" s="19" t="str">
        <x:v>Repair in Progress</x:v>
      </x:c>
      <x:c r="H3668" s="19" t="str">
        <x:v>In Field</x:v>
      </x:c>
      <x:c r="I3668" s="37" t="n">
        <x:v>46070</x:v>
      </x:c>
      <x:c r="J3668" s="37" t="n">
        <x:v>46070</x:v>
      </x:c>
      <x:c r="K3668" s="19" t="str">
        <x:v>Regent RV - Frankston</x:v>
      </x:c>
      <x:c r="L3668" s="19" t="str">
        <x:v>Z006</x:v>
      </x:c>
      <x:c r="M3668" s="19" t="str">
        <x:v>In Field Warranty Claims</x:v>
      </x:c>
      <x:c r="N3668" s="37" t="n">
        <x:v>46059</x:v>
      </x:c>
      <x:c r="O3668" s="37"/>
      <x:c r="P3668" s="34" t="n">
        <x:v>0</x:v>
      </x:c>
      <x:c r="Q3668" s="37" t="n">
        <x:v>46070.093622685185</x:v>
      </x:c>
    </x:row>
    <x:row r="3669">
      <x:c r="A3669" s="22" t="n">
        <x:v>30818</x:v>
      </x:c>
      <x:c r="B3669" s="28" t="n">
        <x:v>2060.5</x:v>
      </x:c>
      <x:c r="C3669" s="28"/>
      <x:c r="D3669" s="31" t="str">
        <x:f>IF(OR(ISBLANK(B3669),ISBLANK(C3669),B3669=0),"",(C3669-B3669)/B3669)</x:f>
      </x:c>
      <x:c r="E3669" s="22" t="str">
        <x:f>IF(ISBLANK(C3669),"AmountIncludingTax缺失",IF(ABS(B3669-C3669)&lt;0.005,"一致","不一致"))</x:f>
        <x:v>AmountIncludingTax缺失</x:v>
      </x:c>
      <x:c r="F3669" s="19" t="str">
        <x:v>approved</x:v>
      </x:c>
      <x:c r="G3669" s="19" t="str">
        <x:v>Repair in Progress</x:v>
      </x:c>
      <x:c r="H3669" s="19" t="str">
        <x:v>In Field</x:v>
      </x:c>
      <x:c r="I3669" s="37" t="n">
        <x:v>46183</x:v>
      </x:c>
      <x:c r="J3669" s="37" t="n">
        <x:v>46183</x:v>
      </x:c>
      <x:c r="K3669" s="19" t="str">
        <x:v>Regent RV - Perth</x:v>
      </x:c>
      <x:c r="L3669" s="19" t="str">
        <x:v>Z006</x:v>
      </x:c>
      <x:c r="M3669" s="19" t="str">
        <x:v>In Field Warranty Claims</x:v>
      </x:c>
      <x:c r="N3669" s="37" t="n">
        <x:v>46059</x:v>
      </x:c>
      <x:c r="O3669" s="37" t="n">
        <x:v>46157</x:v>
      </x:c>
      <x:c r="P3669" s="34" t="n">
        <x:v>0</x:v>
      </x:c>
      <x:c r="Q3669" s="37" t="n">
        <x:v>46183.16096064815</x:v>
      </x:c>
    </x:row>
    <x:row r="3670">
      <x:c r="A3670" s="22" t="n">
        <x:v>30817</x:v>
      </x:c>
      <x:c r="B3670" s="28" t="n">
        <x:v>1493.75</x:v>
      </x:c>
      <x:c r="C3670" s="28"/>
      <x:c r="D3670" s="31" t="str">
        <x:f>IF(OR(ISBLANK(B3670),ISBLANK(C3670),B3670=0),"",(C3670-B3670)/B3670)</x:f>
      </x:c>
      <x:c r="E3670" s="22" t="str">
        <x:f>IF(ISBLANK(C3670),"AmountIncludingTax缺失",IF(ABS(B3670-C3670)&lt;0.005,"一致","不一致"))</x:f>
        <x:v>AmountIncludingTax缺失</x:v>
      </x:c>
      <x:c r="F3670" s="19" t="str">
        <x:v>approved</x:v>
      </x:c>
      <x:c r="G3670" s="19" t="str">
        <x:v>Repairer Invoiced Processed</x:v>
      </x:c>
      <x:c r="H3670" s="19" t="str">
        <x:v>In Field</x:v>
      </x:c>
      <x:c r="I3670" s="37" t="n">
        <x:v>46093</x:v>
      </x:c>
      <x:c r="J3670" s="37" t="n">
        <x:v>46093</x:v>
      </x:c>
      <x:c r="K3670" s="19" t="str">
        <x:v>Regent RV Pty Ltd</x:v>
      </x:c>
      <x:c r="L3670" s="19" t="str">
        <x:v>Z006</x:v>
      </x:c>
      <x:c r="M3670" s="19" t="str">
        <x:v>In Field Warranty Claims</x:v>
      </x:c>
      <x:c r="N3670" s="37" t="n">
        <x:v>46059</x:v>
      </x:c>
      <x:c r="O3670" s="37"/>
      <x:c r="P3670" s="34" t="n">
        <x:v>0</x:v>
      </x:c>
      <x:c r="Q3670" s="37" t="n">
        <x:v>46093.349444444444</x:v>
      </x:c>
    </x:row>
    <x:row r="3671">
      <x:c r="A3671" s="22" t="n">
        <x:v>30816</x:v>
      </x:c>
      <x:c r="B3671" s="28" t="n">
        <x:v>135</x:v>
      </x:c>
      <x:c r="C3671" s="28"/>
      <x:c r="D3671" s="31" t="str">
        <x:f>IF(OR(ISBLANK(B3671),ISBLANK(C3671),B3671=0),"",(C3671-B3671)/B3671)</x:f>
      </x:c>
      <x:c r="E3671" s="22" t="str">
        <x:f>IF(ISBLANK(C3671),"AmountIncludingTax缺失",IF(ABS(B3671-C3671)&lt;0.005,"一致","不一致"))</x:f>
        <x:v>AmountIncludingTax缺失</x:v>
      </x:c>
      <x:c r="F3671" s="19" t="str">
        <x:v>approved</x:v>
      </x:c>
      <x:c r="G3671" s="19" t="str">
        <x:v>Repairer Invoiced Processed</x:v>
      </x:c>
      <x:c r="H3671" s="19" t="str">
        <x:v>In Field</x:v>
      </x:c>
      <x:c r="I3671" s="37" t="n">
        <x:v>46119</x:v>
      </x:c>
      <x:c r="J3671" s="37" t="n">
        <x:v>46119</x:v>
      </x:c>
      <x:c r="K3671" s="19" t="str">
        <x:v>Not Assigned</x:v>
      </x:c>
      <x:c r="L3671" s="19" t="str">
        <x:v>Z006</x:v>
      </x:c>
      <x:c r="M3671" s="19" t="str">
        <x:v>In Field Warranty Claims</x:v>
      </x:c>
      <x:c r="N3671" s="37" t="n">
        <x:v>46059</x:v>
      </x:c>
      <x:c r="O3671" s="37"/>
      <x:c r="P3671" s="34" t="n">
        <x:v>0</x:v>
      </x:c>
      <x:c r="Q3671" s="37" t="n">
        <x:v>46118.95545138889</x:v>
      </x:c>
    </x:row>
    <x:row r="3672">
      <x:c r="A3672" s="22" t="n">
        <x:v>30814</x:v>
      </x:c>
      <x:c r="B3672" s="28" t="n">
        <x:v>827.5</x:v>
      </x:c>
      <x:c r="C3672" s="28"/>
      <x:c r="D3672" s="31" t="str">
        <x:f>IF(OR(ISBLANK(B3672),ISBLANK(C3672),B3672=0),"",(C3672-B3672)/B3672)</x:f>
      </x:c>
      <x:c r="E3672" s="22" t="str">
        <x:f>IF(ISBLANK(C3672),"AmountIncludingTax缺失",IF(ABS(B3672-C3672)&lt;0.005,"一致","不一致"))</x:f>
        <x:v>AmountIncludingTax缺失</x:v>
      </x:c>
      <x:c r="F3672" s="19" t="str">
        <x:v>approved</x:v>
      </x:c>
      <x:c r="G3672" s="19" t="str">
        <x:v>Repair in Progress</x:v>
      </x:c>
      <x:c r="H3672" s="19" t="str">
        <x:v>In Field</x:v>
      </x:c>
      <x:c r="I3672" s="37" t="n">
        <x:v>46070</x:v>
      </x:c>
      <x:c r="J3672" s="37" t="n">
        <x:v>46070</x:v>
      </x:c>
      <x:c r="K3672" s="19" t="str">
        <x:v>The Caravan Hub - Townsville</x:v>
      </x:c>
      <x:c r="L3672" s="19" t="str">
        <x:v>Z006</x:v>
      </x:c>
      <x:c r="M3672" s="19" t="str">
        <x:v>In Field Warranty Claims</x:v>
      </x:c>
      <x:c r="N3672" s="37" t="n">
        <x:v>46059</x:v>
      </x:c>
      <x:c r="O3672" s="37"/>
      <x:c r="P3672" s="34" t="n">
        <x:v>0</x:v>
      </x:c>
      <x:c r="Q3672" s="37" t="n">
        <x:v>46070.089583333334</x:v>
      </x:c>
    </x:row>
    <x:row r="3673">
      <x:c r="A3673" s="22" t="n">
        <x:v>30813</x:v>
      </x:c>
      <x:c r="B3673" s="28" t="n">
        <x:v>472.5</x:v>
      </x:c>
      <x:c r="C3673" s="28"/>
      <x:c r="D3673" s="31" t="str">
        <x:f>IF(OR(ISBLANK(B3673),ISBLANK(C3673),B3673=0),"",(C3673-B3673)/B3673)</x:f>
      </x:c>
      <x:c r="E3673" s="22" t="str">
        <x:f>IF(ISBLANK(C3673),"AmountIncludingTax缺失",IF(ABS(B3673-C3673)&lt;0.005,"一致","不一致"))</x:f>
        <x:v>AmountIncludingTax缺失</x:v>
      </x:c>
      <x:c r="F3673" s="19" t="str">
        <x:v>approved</x:v>
      </x:c>
      <x:c r="G3673" s="19" t="str">
        <x:v>Repair in Progress</x:v>
      </x:c>
      <x:c r="H3673" s="19" t="str">
        <x:v>In Field</x:v>
      </x:c>
      <x:c r="I3673" s="37" t="n">
        <x:v>46070</x:v>
      </x:c>
      <x:c r="J3673" s="37" t="n">
        <x:v>46070</x:v>
      </x:c>
      <x:c r="K3673" s="19" t="str">
        <x:v>ABCO Caravans - Boambee Valley</x:v>
      </x:c>
      <x:c r="L3673" s="19" t="str">
        <x:v>Z006</x:v>
      </x:c>
      <x:c r="M3673" s="19" t="str">
        <x:v>In Field Warranty Claims</x:v>
      </x:c>
      <x:c r="N3673" s="37" t="n">
        <x:v>46059</x:v>
      </x:c>
      <x:c r="O3673" s="37"/>
      <x:c r="P3673" s="34" t="n">
        <x:v>0</x:v>
      </x:c>
      <x:c r="Q3673" s="37" t="n">
        <x:v>46069.98075231481</x:v>
      </x:c>
    </x:row>
    <x:row r="3674">
      <x:c r="A3674" s="22" t="n">
        <x:v>30812</x:v>
      </x:c>
      <x:c r="B3674" s="28" t="n">
        <x:v>1163.75</x:v>
      </x:c>
      <x:c r="C3674" s="28"/>
      <x:c r="D3674" s="31" t="str">
        <x:f>IF(OR(ISBLANK(B3674),ISBLANK(C3674),B3674=0),"",(C3674-B3674)/B3674)</x:f>
      </x:c>
      <x:c r="E3674" s="22" t="str">
        <x:f>IF(ISBLANK(C3674),"AmountIncludingTax缺失",IF(ABS(B3674-C3674)&lt;0.005,"一致","不一致"))</x:f>
        <x:v>AmountIncludingTax缺失</x:v>
      </x:c>
      <x:c r="F3674" s="19" t="str">
        <x:v>approved</x:v>
      </x:c>
      <x:c r="G3674" s="19" t="str">
        <x:v>Partially Picked</x:v>
      </x:c>
      <x:c r="H3674" s="19" t="str">
        <x:v>Pre Delivery</x:v>
      </x:c>
      <x:c r="I3674" s="37" t="n">
        <x:v>46167</x:v>
      </x:c>
      <x:c r="J3674" s="37" t="n">
        <x:v>46167</x:v>
      </x:c>
      <x:c r="K3674" s="19" t="str">
        <x:v>Regent RV - Townsville</x:v>
      </x:c>
      <x:c r="L3674" s="19" t="str">
        <x:v>Z005</x:v>
      </x:c>
      <x:c r="M3674" s="19" t="str">
        <x:v>Pre Delivery Warranty Claims</x:v>
      </x:c>
      <x:c r="N3674" s="37" t="n">
        <x:v>46059</x:v>
      </x:c>
      <x:c r="O3674" s="37"/>
      <x:c r="P3674" s="34" t="n">
        <x:v>0</x:v>
      </x:c>
      <x:c r="Q3674" s="37" t="n">
        <x:v>46167.22986111111</x:v>
      </x:c>
    </x:row>
    <x:row r="3675">
      <x:c r="A3675" s="22" t="n">
        <x:v>30811</x:v>
      </x:c>
      <x:c r="B3675" s="28" t="n">
        <x:v>1170</x:v>
      </x:c>
      <x:c r="C3675" s="28"/>
      <x:c r="D3675" s="31" t="str">
        <x:f>IF(OR(ISBLANK(B3675),ISBLANK(C3675),B3675=0),"",(C3675-B3675)/B3675)</x:f>
      </x:c>
      <x:c r="E3675" s="22" t="str">
        <x:f>IF(ISBLANK(C3675),"AmountIncludingTax缺失",IF(ABS(B3675-C3675)&lt;0.005,"一致","不一致"))</x:f>
        <x:v>AmountIncludingTax缺失</x:v>
      </x:c>
      <x:c r="F3675" s="19" t="str">
        <x:v>approved</x:v>
      </x:c>
      <x:c r="G3675" s="19" t="str">
        <x:v>Repair in Progress</x:v>
      </x:c>
      <x:c r="H3675" s="19" t="str">
        <x:v>In Field</x:v>
      </x:c>
      <x:c r="I3675" s="37" t="n">
        <x:v>46108</x:v>
      </x:c>
      <x:c r="J3675" s="37" t="n">
        <x:v>46108</x:v>
      </x:c>
      <x:c r="K3675" s="19" t="str">
        <x:v>Regent RV - Townsville</x:v>
      </x:c>
      <x:c r="L3675" s="19" t="str">
        <x:v>Z006</x:v>
      </x:c>
      <x:c r="M3675" s="19" t="str">
        <x:v>In Field Warranty Claims</x:v>
      </x:c>
      <x:c r="N3675" s="37" t="n">
        <x:v>46058</x:v>
      </x:c>
      <x:c r="O3675" s="37"/>
      <x:c r="P3675" s="34" t="n">
        <x:v>0</x:v>
      </x:c>
      <x:c r="Q3675" s="37" t="n">
        <x:v>46108.17099537037</x:v>
      </x:c>
    </x:row>
    <x:row r="3676">
      <x:c r="A3676" s="22" t="n">
        <x:v>30807</x:v>
      </x:c>
      <x:c r="B3676" s="28" t="n">
        <x:v>2361.26</x:v>
      </x:c>
      <x:c r="C3676" s="28"/>
      <x:c r="D3676" s="31" t="str">
        <x:f>IF(OR(ISBLANK(B3676),ISBLANK(C3676),B3676=0),"",(C3676-B3676)/B3676)</x:f>
      </x:c>
      <x:c r="E3676" s="22" t="str">
        <x:f>IF(ISBLANK(C3676),"AmountIncludingTax缺失",IF(ABS(B3676-C3676)&lt;0.005,"一致","不一致"))</x:f>
        <x:v>AmountIncludingTax缺失</x:v>
      </x:c>
      <x:c r="F3676" s="19" t="str">
        <x:v>approved</x:v>
      </x:c>
      <x:c r="G3676" s="19" t="str">
        <x:v>Repair in Progress</x:v>
      </x:c>
      <x:c r="H3676" s="19" t="str">
        <x:v>In Field</x:v>
      </x:c>
      <x:c r="I3676" s="37" t="n">
        <x:v>46150</x:v>
      </x:c>
      <x:c r="J3676" s="37" t="n">
        <x:v>46150</x:v>
      </x:c>
      <x:c r="K3676" s="19" t="str">
        <x:v>The Caravan Hub - Townsville</x:v>
      </x:c>
      <x:c r="L3676" s="19" t="str">
        <x:v>Z006</x:v>
      </x:c>
      <x:c r="M3676" s="19" t="str">
        <x:v>In Field Warranty Claims</x:v>
      </x:c>
      <x:c r="N3676" s="37" t="n">
        <x:v>46059</x:v>
      </x:c>
      <x:c r="O3676" s="37"/>
      <x:c r="P3676" s="34" t="n">
        <x:v>0</x:v>
      </x:c>
      <x:c r="Q3676" s="37" t="n">
        <x:v>46149.84274305555</x:v>
      </x:c>
    </x:row>
    <x:row r="3677">
      <x:c r="A3677" s="22" t="n">
        <x:v>30806</x:v>
      </x:c>
      <x:c r="B3677" s="28" t="n">
        <x:v>67.5</x:v>
      </x:c>
      <x:c r="C3677" s="28"/>
      <x:c r="D3677" s="31" t="str">
        <x:f>IF(OR(ISBLANK(B3677),ISBLANK(C3677),B3677=0),"",(C3677-B3677)/B3677)</x:f>
      </x:c>
      <x:c r="E3677" s="22" t="str">
        <x:f>IF(ISBLANK(C3677),"AmountIncludingTax缺失",IF(ABS(B3677-C3677)&lt;0.005,"一致","不一致"))</x:f>
        <x:v>AmountIncludingTax缺失</x:v>
      </x:c>
      <x:c r="F3677" s="19" t="str">
        <x:v>approved</x:v>
      </x:c>
      <x:c r="G3677" s="19" t="str">
        <x:v>Repair in Progress</x:v>
      </x:c>
      <x:c r="H3677" s="19" t="str">
        <x:v>In Field</x:v>
      </x:c>
      <x:c r="I3677" s="37" t="n">
        <x:v>46100</x:v>
      </x:c>
      <x:c r="J3677" s="37" t="n">
        <x:v>46100</x:v>
      </x:c>
      <x:c r="K3677" s="19" t="str">
        <x:v>Leisure Lion Pty Ltd - Toowoomba</x:v>
      </x:c>
      <x:c r="L3677" s="19" t="str">
        <x:v>Z006</x:v>
      </x:c>
      <x:c r="M3677" s="19" t="str">
        <x:v>In Field Warranty Claims</x:v>
      </x:c>
      <x:c r="N3677" s="37" t="n">
        <x:v>46059</x:v>
      </x:c>
      <x:c r="O3677" s="37"/>
      <x:c r="P3677" s="34" t="n">
        <x:v>0</x:v>
      </x:c>
      <x:c r="Q3677" s="37" t="n">
        <x:v>46099.93649305555</x:v>
      </x:c>
    </x:row>
    <x:row r="3678">
      <x:c r="A3678" s="22" t="n">
        <x:v>30804</x:v>
      </x:c>
      <x:c r="B3678" s="28" t="n">
        <x:v>284.31</x:v>
      </x:c>
      <x:c r="C3678" s="28"/>
      <x:c r="D3678" s="31" t="str">
        <x:f>IF(OR(ISBLANK(B3678),ISBLANK(C3678),B3678=0),"",(C3678-B3678)/B3678)</x:f>
      </x:c>
      <x:c r="E3678" s="22" t="str">
        <x:f>IF(ISBLANK(C3678),"AmountIncludingTax缺失",IF(ABS(B3678-C3678)&lt;0.005,"一致","不一致"))</x:f>
        <x:v>AmountIncludingTax缺失</x:v>
      </x:c>
      <x:c r="F3678" s="19" t="str">
        <x:v>approved</x:v>
      </x:c>
      <x:c r="G3678" s="19" t="str">
        <x:v>Repairer Invoiced Processed</x:v>
      </x:c>
      <x:c r="H3678" s="19" t="str">
        <x:v>In Field</x:v>
      </x:c>
      <x:c r="I3678" s="37" t="n">
        <x:v>46071</x:v>
      </x:c>
      <x:c r="J3678" s="37" t="n">
        <x:v>46063</x:v>
      </x:c>
      <x:c r="K3678" s="19" t="str">
        <x:v>Newcastle RV Super Centre - Beresfield</x:v>
      </x:c>
      <x:c r="L3678" s="19" t="str">
        <x:v>Z006</x:v>
      </x:c>
      <x:c r="M3678" s="19" t="str">
        <x:v>In Field Warranty Claims</x:v>
      </x:c>
      <x:c r="N3678" s="37" t="n">
        <x:v>46058</x:v>
      </x:c>
      <x:c r="O3678" s="37"/>
      <x:c r="P3678" s="34" t="n">
        <x:v>0</x:v>
      </x:c>
      <x:c r="Q3678" s="37" t="n">
        <x:v>46070.961863425924</x:v>
      </x:c>
    </x:row>
    <x:row r="3679">
      <x:c r="A3679" s="22" t="n">
        <x:v>30802</x:v>
      </x:c>
      <x:c r="B3679" s="28" t="n">
        <x:v>810</x:v>
      </x:c>
      <x:c r="C3679" s="28"/>
      <x:c r="D3679" s="31" t="str">
        <x:f>IF(OR(ISBLANK(B3679),ISBLANK(C3679),B3679=0),"",(C3679-B3679)/B3679)</x:f>
      </x:c>
      <x:c r="E3679" s="22" t="str">
        <x:f>IF(ISBLANK(C3679),"AmountIncludingTax缺失",IF(ABS(B3679-C3679)&lt;0.005,"一致","不一致"))</x:f>
        <x:v>AmountIncludingTax缺失</x:v>
      </x:c>
      <x:c r="F3679" s="19" t="str">
        <x:v>approved</x:v>
      </x:c>
      <x:c r="G3679" s="19" t="str">
        <x:v>Repair in Progress</x:v>
      </x:c>
      <x:c r="H3679" s="19" t="str">
        <x:v>In Field</x:v>
      </x:c>
      <x:c r="I3679" s="37" t="n">
        <x:v>46079</x:v>
      </x:c>
      <x:c r="J3679" s="37" t="n">
        <x:v>46079</x:v>
      </x:c>
      <x:c r="K3679" s="19" t="str">
        <x:v>Regent RV - Frankston</x:v>
      </x:c>
      <x:c r="L3679" s="19" t="str">
        <x:v>Z006</x:v>
      </x:c>
      <x:c r="M3679" s="19" t="str">
        <x:v>In Field Warranty Claims</x:v>
      </x:c>
      <x:c r="N3679" s="37" t="n">
        <x:v>46058</x:v>
      </x:c>
      <x:c r="O3679" s="37"/>
      <x:c r="P3679" s="34" t="n">
        <x:v>0</x:v>
      </x:c>
      <x:c r="Q3679" s="37" t="n">
        <x:v>46078.87513888889</x:v>
      </x:c>
    </x:row>
    <x:row r="3680">
      <x:c r="A3680" s="22" t="n">
        <x:v>30801</x:v>
      </x:c>
      <x:c r="B3680" s="28" t="n">
        <x:v>295.45</x:v>
      </x:c>
      <x:c r="C3680" s="28"/>
      <x:c r="D3680" s="31" t="str">
        <x:f>IF(OR(ISBLANK(B3680),ISBLANK(C3680),B3680=0),"",(C3680-B3680)/B3680)</x:f>
      </x:c>
      <x:c r="E3680" s="22" t="str">
        <x:f>IF(ISBLANK(C3680),"AmountIncludingTax缺失",IF(ABS(B3680-C3680)&lt;0.005,"一致","不一致"))</x:f>
        <x:v>AmountIncludingTax缺失</x:v>
      </x:c>
      <x:c r="F3680" s="19" t="str">
        <x:v>approved</x:v>
      </x:c>
      <x:c r="G3680" s="19" t="str">
        <x:v>Sales Order Approved</x:v>
      </x:c>
      <x:c r="H3680" s="19" t="str">
        <x:v>Pre Delivery</x:v>
      </x:c>
      <x:c r="I3680" s="37" t="n">
        <x:v>46142</x:v>
      </x:c>
      <x:c r="J3680" s="37" t="n">
        <x:v>46142</x:v>
      </x:c>
      <x:c r="K3680" s="19" t="str">
        <x:v>Lesiure Lion-New Castle</x:v>
      </x:c>
      <x:c r="L3680" s="19" t="str">
        <x:v>Z005</x:v>
      </x:c>
      <x:c r="M3680" s="19" t="str">
        <x:v>Pre Delivery Warranty Claims</x:v>
      </x:c>
      <x:c r="N3680" s="37" t="n">
        <x:v>46058</x:v>
      </x:c>
      <x:c r="O3680" s="37"/>
      <x:c r="P3680" s="34" t="n">
        <x:v>0</x:v>
      </x:c>
      <x:c r="Q3680" s="37" t="n">
        <x:v>46141.91688657407</x:v>
      </x:c>
    </x:row>
    <x:row r="3681">
      <x:c r="A3681" s="22" t="n">
        <x:v>30797</x:v>
      </x:c>
      <x:c r="B3681" s="28" t="n">
        <x:v>138.18</x:v>
      </x:c>
      <x:c r="C3681" s="28"/>
      <x:c r="D3681" s="31" t="str">
        <x:f>IF(OR(ISBLANK(B3681),ISBLANK(C3681),B3681=0),"",(C3681-B3681)/B3681)</x:f>
      </x:c>
      <x:c r="E3681" s="22" t="str">
        <x:f>IF(ISBLANK(C3681),"AmountIncludingTax缺失",IF(ABS(B3681-C3681)&lt;0.005,"一致","不一致"))</x:f>
        <x:v>AmountIncludingTax缺失</x:v>
      </x:c>
      <x:c r="F3681" s="19" t="str">
        <x:v>approved</x:v>
      </x:c>
      <x:c r="G3681" s="19" t="str">
        <x:v>Repair in Progress</x:v>
      </x:c>
      <x:c r="H3681" s="19" t="str">
        <x:v>In Field</x:v>
      </x:c>
      <x:c r="I3681" s="37" t="n">
        <x:v>46099</x:v>
      </x:c>
      <x:c r="J3681" s="37" t="n">
        <x:v>46099</x:v>
      </x:c>
      <x:c r="K3681" s="19" t="str">
        <x:v>Regent RV Pty Ltd</x:v>
      </x:c>
      <x:c r="L3681" s="19" t="str">
        <x:v>Z006</x:v>
      </x:c>
      <x:c r="M3681" s="19" t="str">
        <x:v>In Field Warranty Claims</x:v>
      </x:c>
      <x:c r="N3681" s="37" t="n">
        <x:v>46059</x:v>
      </x:c>
      <x:c r="O3681" s="37"/>
      <x:c r="P3681" s="34" t="n">
        <x:v>0</x:v>
      </x:c>
      <x:c r="Q3681" s="37" t="n">
        <x:v>46099.52837962963</x:v>
      </x:c>
    </x:row>
    <x:row r="3682">
      <x:c r="A3682" s="22" t="n">
        <x:v>30796</x:v>
      </x:c>
      <x:c r="B3682" s="28" t="n">
        <x:v>1654.55</x:v>
      </x:c>
      <x:c r="C3682" s="28"/>
      <x:c r="D3682" s="31" t="str">
        <x:f>IF(OR(ISBLANK(B3682),ISBLANK(C3682),B3682=0),"",(C3682-B3682)/B3682)</x:f>
      </x:c>
      <x:c r="E3682" s="22" t="str">
        <x:f>IF(ISBLANK(C3682),"AmountIncludingTax缺失",IF(ABS(B3682-C3682)&lt;0.005,"一致","不一致"))</x:f>
        <x:v>AmountIncludingTax缺失</x:v>
      </x:c>
      <x:c r="F3682" s="19" t="str">
        <x:v>approved</x:v>
      </x:c>
      <x:c r="G3682" s="19" t="str">
        <x:v>Repairer Invoiced Processed</x:v>
      </x:c>
      <x:c r="H3682" s="19" t="str">
        <x:v>In Field</x:v>
      </x:c>
      <x:c r="I3682" s="37" t="n">
        <x:v>46059</x:v>
      </x:c>
      <x:c r="J3682" s="37" t="n">
        <x:v>46059</x:v>
      </x:c>
      <x:c r="K3682" s="19" t="str">
        <x:v>Green RV - Forest Glen</x:v>
      </x:c>
      <x:c r="L3682" s="19" t="str">
        <x:v>Z006</x:v>
      </x:c>
      <x:c r="M3682" s="19" t="str">
        <x:v>In Field Warranty Claims</x:v>
      </x:c>
      <x:c r="N3682" s="37" t="n">
        <x:v>46059</x:v>
      </x:c>
      <x:c r="O3682" s="37"/>
      <x:c r="P3682" s="34" t="n">
        <x:v>1820.01</x:v>
      </x:c>
      <x:c r="Q3682" s="37" t="n">
        <x:v>46059.11189814815</x:v>
      </x:c>
    </x:row>
    <x:row r="3683">
      <x:c r="A3683" s="22" t="n">
        <x:v>30790</x:v>
      </x:c>
      <x:c r="B3683" s="28" t="n">
        <x:v>540</x:v>
      </x:c>
      <x:c r="C3683" s="28"/>
      <x:c r="D3683" s="31" t="str">
        <x:f>IF(OR(ISBLANK(B3683),ISBLANK(C3683),B3683=0),"",(C3683-B3683)/B3683)</x:f>
      </x:c>
      <x:c r="E3683" s="22" t="str">
        <x:f>IF(ISBLANK(C3683),"AmountIncludingTax缺失",IF(ABS(B3683-C3683)&lt;0.005,"一致","不一致"))</x:f>
        <x:v>AmountIncludingTax缺失</x:v>
      </x:c>
      <x:c r="F3683" s="19" t="str">
        <x:v>approved</x:v>
      </x:c>
      <x:c r="G3683" s="19" t="str">
        <x:v>Repair in Progress</x:v>
      </x:c>
      <x:c r="H3683" s="19" t="str">
        <x:v>In Field</x:v>
      </x:c>
      <x:c r="I3683" s="37" t="n">
        <x:v>46108</x:v>
      </x:c>
      <x:c r="J3683" s="37" t="n">
        <x:v>46108</x:v>
      </x:c>
      <x:c r="K3683" s="19" t="str">
        <x:v>Regent RV - Frankston</x:v>
      </x:c>
      <x:c r="L3683" s="19" t="str">
        <x:v>Z006</x:v>
      </x:c>
      <x:c r="M3683" s="19" t="str">
        <x:v>In Field Warranty Claims</x:v>
      </x:c>
      <x:c r="N3683" s="37" t="n">
        <x:v>46058</x:v>
      </x:c>
      <x:c r="O3683" s="37"/>
      <x:c r="P3683" s="34" t="n">
        <x:v>0</x:v>
      </x:c>
      <x:c r="Q3683" s="37" t="n">
        <x:v>46108.056666666664</x:v>
      </x:c>
    </x:row>
    <x:row r="3684">
      <x:c r="A3684" s="22" t="n">
        <x:v>30788</x:v>
      </x:c>
      <x:c r="B3684" s="28" t="n">
        <x:v>290</x:v>
      </x:c>
      <x:c r="C3684" s="28"/>
      <x:c r="D3684" s="31" t="str">
        <x:f>IF(OR(ISBLANK(B3684),ISBLANK(C3684),B3684=0),"",(C3684-B3684)/B3684)</x:f>
      </x:c>
      <x:c r="E3684" s="22" t="str">
        <x:f>IF(ISBLANK(C3684),"AmountIncludingTax缺失",IF(ABS(B3684-C3684)&lt;0.005,"一致","不一致"))</x:f>
        <x:v>AmountIncludingTax缺失</x:v>
      </x:c>
      <x:c r="F3684" s="19" t="str">
        <x:v>approved</x:v>
      </x:c>
      <x:c r="G3684" s="19" t="str">
        <x:v>Repair in Progress</x:v>
      </x:c>
      <x:c r="H3684" s="19" t="str">
        <x:v>In Field</x:v>
      </x:c>
      <x:c r="I3684" s="37" t="n">
        <x:v>46133</x:v>
      </x:c>
      <x:c r="J3684" s="37" t="n">
        <x:v>46133</x:v>
      </x:c>
      <x:c r="K3684" s="19" t="str">
        <x:v>Regent RV - Perth</x:v>
      </x:c>
      <x:c r="L3684" s="19" t="str">
        <x:v>Z006</x:v>
      </x:c>
      <x:c r="M3684" s="19" t="str">
        <x:v>In Field Warranty Claims</x:v>
      </x:c>
      <x:c r="N3684" s="37" t="n">
        <x:v>46058</x:v>
      </x:c>
      <x:c r="O3684" s="37"/>
      <x:c r="P3684" s="34" t="n">
        <x:v>0</x:v>
      </x:c>
      <x:c r="Q3684" s="37" t="n">
        <x:v>46132.91216435185</x:v>
      </x:c>
    </x:row>
    <x:row r="3685">
      <x:c r="A3685" s="22" t="n">
        <x:v>30784</x:v>
      </x:c>
      <x:c r="B3685" s="28" t="n">
        <x:v>1991.25</x:v>
      </x:c>
      <x:c r="C3685" s="28"/>
      <x:c r="D3685" s="31" t="str">
        <x:f>IF(OR(ISBLANK(B3685),ISBLANK(C3685),B3685=0),"",(C3685-B3685)/B3685)</x:f>
      </x:c>
      <x:c r="E3685" s="22" t="str">
        <x:f>IF(ISBLANK(C3685),"AmountIncludingTax缺失",IF(ABS(B3685-C3685)&lt;0.005,"一致","不一致"))</x:f>
        <x:v>AmountIncludingTax缺失</x:v>
      </x:c>
      <x:c r="F3685" s="19" t="str">
        <x:v>approved</x:v>
      </x:c>
      <x:c r="G3685" s="19" t="str">
        <x:v>Repair in Progress</x:v>
      </x:c>
      <x:c r="H3685" s="19" t="str">
        <x:v>In Field</x:v>
      </x:c>
      <x:c r="I3685" s="37" t="n">
        <x:v>46167</x:v>
      </x:c>
      <x:c r="J3685" s="37" t="n">
        <x:v>46167</x:v>
      </x:c>
      <x:c r="K3685" s="19" t="str">
        <x:v>Green RV - Forest Glen</x:v>
      </x:c>
      <x:c r="L3685" s="19" t="str">
        <x:v>Z006</x:v>
      </x:c>
      <x:c r="M3685" s="19" t="str">
        <x:v>In Field Warranty Claims</x:v>
      </x:c>
      <x:c r="N3685" s="37" t="n">
        <x:v>46058</x:v>
      </x:c>
      <x:c r="O3685" s="37"/>
      <x:c r="P3685" s="34" t="n">
        <x:v>0</x:v>
      </x:c>
      <x:c r="Q3685" s="37" t="n">
        <x:v>46167.01221064815</x:v>
      </x:c>
    </x:row>
    <x:row r="3686">
      <x:c r="A3686" s="22" t="n">
        <x:v>30783</x:v>
      </x:c>
      <x:c r="B3686" s="28" t="n">
        <x:v>945</x:v>
      </x:c>
      <x:c r="C3686" s="28"/>
      <x:c r="D3686" s="31" t="str">
        <x:f>IF(OR(ISBLANK(B3686),ISBLANK(C3686),B3686=0),"",(C3686-B3686)/B3686)</x:f>
      </x:c>
      <x:c r="E3686" s="22" t="str">
        <x:f>IF(ISBLANK(C3686),"AmountIncludingTax缺失",IF(ABS(B3686-C3686)&lt;0.005,"一致","不一致"))</x:f>
        <x:v>AmountIncludingTax缺失</x:v>
      </x:c>
      <x:c r="F3686" s="19" t="str">
        <x:v>approved</x:v>
      </x:c>
      <x:c r="G3686" s="19" t="str">
        <x:v>Repairer Invoiced Processed</x:v>
      </x:c>
      <x:c r="H3686" s="19" t="str">
        <x:v>In Field</x:v>
      </x:c>
      <x:c r="I3686" s="37" t="n">
        <x:v>46073</x:v>
      </x:c>
      <x:c r="J3686" s="37" t="n">
        <x:v>46073</x:v>
      </x:c>
      <x:c r="K3686" s="19" t="str">
        <x:v>Green RV - Forest Glen</x:v>
      </x:c>
      <x:c r="L3686" s="19" t="str">
        <x:v>Z006</x:v>
      </x:c>
      <x:c r="M3686" s="19" t="str">
        <x:v>In Field Warranty Claims</x:v>
      </x:c>
      <x:c r="N3686" s="37" t="n">
        <x:v>46058</x:v>
      </x:c>
      <x:c r="O3686" s="37"/>
      <x:c r="P3686" s="34" t="n">
        <x:v>0</x:v>
      </x:c>
      <x:c r="Q3686" s="37" t="n">
        <x:v>46073.1568287037</x:v>
      </x:c>
    </x:row>
    <x:row r="3687">
      <x:c r="A3687" s="22" t="n">
        <x:v>30782</x:v>
      </x:c>
      <x:c r="B3687" s="28" t="n">
        <x:v>100</x:v>
      </x:c>
      <x:c r="C3687" s="28"/>
      <x:c r="D3687" s="31" t="str">
        <x:f>IF(OR(ISBLANK(B3687),ISBLANK(C3687),B3687=0),"",(C3687-B3687)/B3687)</x:f>
      </x:c>
      <x:c r="E3687" s="22" t="str">
        <x:f>IF(ISBLANK(C3687),"AmountIncludingTax缺失",IF(ABS(B3687-C3687)&lt;0.005,"一致","不一致"))</x:f>
        <x:v>AmountIncludingTax缺失</x:v>
      </x:c>
      <x:c r="F3687" s="19" t="str">
        <x:v>approved</x:v>
      </x:c>
      <x:c r="G3687" s="19" t="str">
        <x:v>Repair in Progress</x:v>
      </x:c>
      <x:c r="H3687" s="19" t="str">
        <x:v>Pre Delivery</x:v>
      </x:c>
      <x:c r="I3687" s="37" t="n">
        <x:v>46059</x:v>
      </x:c>
      <x:c r="J3687" s="37" t="n">
        <x:v>46059</x:v>
      </x:c>
      <x:c r="K3687" s="19" t="str">
        <x:v>Regent RV Pty Ltd</x:v>
      </x:c>
      <x:c r="L3687" s="19" t="str">
        <x:v>Z005</x:v>
      </x:c>
      <x:c r="M3687" s="19" t="str">
        <x:v>Pre Delivery Warranty Claims</x:v>
      </x:c>
      <x:c r="N3687" s="37" t="n">
        <x:v>46058</x:v>
      </x:c>
      <x:c r="O3687" s="37"/>
      <x:c r="P3687" s="34" t="n">
        <x:v>0</x:v>
      </x:c>
      <x:c r="Q3687" s="37" t="n">
        <x:v>46059.16491898148</x:v>
      </x:c>
    </x:row>
    <x:row r="3688">
      <x:c r="A3688" s="22" t="n">
        <x:v>30781</x:v>
      </x:c>
      <x:c r="B3688" s="28" t="n">
        <x:v>640</x:v>
      </x:c>
      <x:c r="C3688" s="28" t="n">
        <x:v>579.46</x:v>
      </x:c>
      <x:c r="D3688" s="31" t="n">
        <x:f>IF(OR(ISBLANK(B3688),ISBLANK(C3688),B3688=0),"",(C3688-B3688)/B3688)</x:f>
        <x:v>-0.09459374999999995</x:v>
      </x:c>
      <x:c r="E3688" s="22" t="str">
        <x:f>IF(ISBLANK(C3688),"AmountIncludingTax缺失",IF(ABS(B3688-C3688)&lt;0.005,"一致","不一致"))</x:f>
        <x:v>不一致</x:v>
      </x:c>
      <x:c r="F3688" s="19" t="str">
        <x:v>approved</x:v>
      </x:c>
      <x:c r="G3688" s="19" t="str">
        <x:v>Repairer Invoiced Processed</x:v>
      </x:c>
      <x:c r="H3688" s="19" t="str">
        <x:v>In Field</x:v>
      </x:c>
      <x:c r="I3688" s="37" t="n">
        <x:v>46099</x:v>
      </x:c>
      <x:c r="J3688" s="37" t="n">
        <x:v>46099</x:v>
      </x:c>
      <x:c r="K3688" s="19" t="str">
        <x:v>Vanari Caravans - Marden Point</x:v>
      </x:c>
      <x:c r="L3688" s="19" t="str">
        <x:v>Z006</x:v>
      </x:c>
      <x:c r="M3688" s="19" t="str">
        <x:v>In Field Warranty Claims</x:v>
      </x:c>
      <x:c r="N3688" s="37" t="n">
        <x:v>46058</x:v>
      </x:c>
      <x:c r="O3688" s="37"/>
      <x:c r="P3688" s="34" t="n">
        <x:v>579.46</x:v>
      </x:c>
      <x:c r="Q3688" s="37" t="n">
        <x:v>46099.08447916667</x:v>
      </x:c>
    </x:row>
    <x:row r="3689">
      <x:c r="A3689" s="22" t="n">
        <x:v>30780</x:v>
      </x:c>
      <x:c r="B3689" s="28" t="n">
        <x:v>67.5</x:v>
      </x:c>
      <x:c r="C3689" s="28"/>
      <x:c r="D3689" s="31" t="str">
        <x:f>IF(OR(ISBLANK(B3689),ISBLANK(C3689),B3689=0),"",(C3689-B3689)/B3689)</x:f>
      </x:c>
      <x:c r="E3689" s="22" t="str">
        <x:f>IF(ISBLANK(C3689),"AmountIncludingTax缺失",IF(ABS(B3689-C3689)&lt;0.005,"一致","不一致"))</x:f>
        <x:v>AmountIncludingTax缺失</x:v>
      </x:c>
      <x:c r="F3689" s="19" t="str">
        <x:v>approved</x:v>
      </x:c>
      <x:c r="G3689" s="19" t="str">
        <x:v>Repair in Progress</x:v>
      </x:c>
      <x:c r="H3689" s="19" t="str">
        <x:v>Pre Delivery</x:v>
      </x:c>
      <x:c r="I3689" s="37" t="n">
        <x:v>46071</x:v>
      </x:c>
      <x:c r="J3689" s="37" t="n">
        <x:v>46071</x:v>
      </x:c>
      <x:c r="K3689" s="19" t="str">
        <x:v>Regent RV - Perth</x:v>
      </x:c>
      <x:c r="L3689" s="19" t="str">
        <x:v>Z005</x:v>
      </x:c>
      <x:c r="M3689" s="19" t="str">
        <x:v>Pre Delivery Warranty Claims</x:v>
      </x:c>
      <x:c r="N3689" s="37" t="n">
        <x:v>46058</x:v>
      </x:c>
      <x:c r="O3689" s="37"/>
      <x:c r="P3689" s="34" t="n">
        <x:v>0</x:v>
      </x:c>
      <x:c r="Q3689" s="37" t="n">
        <x:v>46070.934895833336</x:v>
      </x:c>
    </x:row>
    <x:row r="3690">
      <x:c r="A3690" s="22" t="n">
        <x:v>30779</x:v>
      </x:c>
      <x:c r="B3690" s="28" t="n">
        <x:v>45</x:v>
      </x:c>
      <x:c r="C3690" s="28"/>
      <x:c r="D3690" s="31" t="str">
        <x:f>IF(OR(ISBLANK(B3690),ISBLANK(C3690),B3690=0),"",(C3690-B3690)/B3690)</x:f>
      </x:c>
      <x:c r="E3690" s="22" t="str">
        <x:f>IF(ISBLANK(C3690),"AmountIncludingTax缺失",IF(ABS(B3690-C3690)&lt;0.005,"一致","不一致"))</x:f>
        <x:v>AmountIncludingTax缺失</x:v>
      </x:c>
      <x:c r="F3690" s="19" t="str">
        <x:v>approved</x:v>
      </x:c>
      <x:c r="G3690" s="19" t="str">
        <x:v>Repairer Invoiced Processed</x:v>
      </x:c>
      <x:c r="H3690" s="19" t="str">
        <x:v>In Field</x:v>
      </x:c>
      <x:c r="I3690" s="37" t="n">
        <x:v>46066</x:v>
      </x:c>
      <x:c r="J3690" s="37" t="n">
        <x:v>46066</x:v>
      </x:c>
      <x:c r="K3690" s="19" t="str">
        <x:v>Green RV - Slacks Creek</x:v>
      </x:c>
      <x:c r="L3690" s="19" t="str">
        <x:v>Z006</x:v>
      </x:c>
      <x:c r="M3690" s="19" t="str">
        <x:v>In Field Warranty Claims</x:v>
      </x:c>
      <x:c r="N3690" s="37" t="n">
        <x:v>46058</x:v>
      </x:c>
      <x:c r="O3690" s="37"/>
      <x:c r="P3690" s="34" t="n">
        <x:v>0</x:v>
      </x:c>
      <x:c r="Q3690" s="37" t="n">
        <x:v>46066.16748842593</x:v>
      </x:c>
    </x:row>
    <x:row r="3691">
      <x:c r="A3691" s="22" t="n">
        <x:v>30778</x:v>
      </x:c>
      <x:c r="B3691" s="28" t="n">
        <x:v>135</x:v>
      </x:c>
      <x:c r="C3691" s="28"/>
      <x:c r="D3691" s="31" t="str">
        <x:f>IF(OR(ISBLANK(B3691),ISBLANK(C3691),B3691=0),"",(C3691-B3691)/B3691)</x:f>
      </x:c>
      <x:c r="E3691" s="22" t="str">
        <x:f>IF(ISBLANK(C3691),"AmountIncludingTax缺失",IF(ABS(B3691-C3691)&lt;0.005,"一致","不一致"))</x:f>
        <x:v>AmountIncludingTax缺失</x:v>
      </x:c>
      <x:c r="F3691" s="19" t="str">
        <x:v>approved</x:v>
      </x:c>
      <x:c r="G3691" s="19" t="str">
        <x:v>Repair in Progress</x:v>
      </x:c>
      <x:c r="H3691" s="19" t="str">
        <x:v>In Field</x:v>
      </x:c>
      <x:c r="I3691" s="37" t="n">
        <x:v>46065</x:v>
      </x:c>
      <x:c r="J3691" s="37" t="n">
        <x:v>46065</x:v>
      </x:c>
      <x:c r="K3691" s="19" t="str">
        <x:v>Not Assigned</x:v>
      </x:c>
      <x:c r="L3691" s="19" t="str">
        <x:v>Z006</x:v>
      </x:c>
      <x:c r="M3691" s="19" t="str">
        <x:v>In Field Warranty Claims</x:v>
      </x:c>
      <x:c r="N3691" s="37" t="n">
        <x:v>46058</x:v>
      </x:c>
      <x:c r="O3691" s="37"/>
      <x:c r="P3691" s="34" t="n">
        <x:v>0</x:v>
      </x:c>
      <x:c r="Q3691" s="37" t="n">
        <x:v>46064.9249537037</x:v>
      </x:c>
    </x:row>
    <x:row r="3692">
      <x:c r="A3692" s="22" t="n">
        <x:v>30777</x:v>
      </x:c>
      <x:c r="B3692" s="28" t="n">
        <x:v>376.74</x:v>
      </x:c>
      <x:c r="C3692" s="28"/>
      <x:c r="D3692" s="31" t="str">
        <x:f>IF(OR(ISBLANK(B3692),ISBLANK(C3692),B3692=0),"",(C3692-B3692)/B3692)</x:f>
      </x:c>
      <x:c r="E3692" s="22" t="str">
        <x:f>IF(ISBLANK(C3692),"AmountIncludingTax缺失",IF(ABS(B3692-C3692)&lt;0.005,"一致","不一致"))</x:f>
        <x:v>AmountIncludingTax缺失</x:v>
      </x:c>
      <x:c r="F3692" s="19" t="str">
        <x:v>approved</x:v>
      </x:c>
      <x:c r="G3692" s="19" t="str">
        <x:v>Repair in Progress</x:v>
      </x:c>
      <x:c r="H3692" s="19" t="str">
        <x:v>Pre Delivery</x:v>
      </x:c>
      <x:c r="I3692" s="37" t="n">
        <x:v>46076</x:v>
      </x:c>
      <x:c r="J3692" s="37" t="n">
        <x:v>46076</x:v>
      </x:c>
      <x:c r="K3692" s="19" t="str">
        <x:v>Lesiure Lion-New Castle</x:v>
      </x:c>
      <x:c r="L3692" s="19" t="str">
        <x:v>Z005</x:v>
      </x:c>
      <x:c r="M3692" s="19" t="str">
        <x:v>Pre Delivery Warranty Claims</x:v>
      </x:c>
      <x:c r="N3692" s="37" t="n">
        <x:v>46058</x:v>
      </x:c>
      <x:c r="O3692" s="37"/>
      <x:c r="P3692" s="34" t="n">
        <x:v>0</x:v>
      </x:c>
      <x:c r="Q3692" s="37" t="n">
        <x:v>46076.19092592593</x:v>
      </x:c>
    </x:row>
    <x:row r="3693">
      <x:c r="A3693" s="22" t="n">
        <x:v>30776</x:v>
      </x:c>
      <x:c r="B3693" s="28" t="n">
        <x:v>95.68</x:v>
      </x:c>
      <x:c r="C3693" s="28"/>
      <x:c r="D3693" s="31" t="str">
        <x:f>IF(OR(ISBLANK(B3693),ISBLANK(C3693),B3693=0),"",(C3693-B3693)/B3693)</x:f>
      </x:c>
      <x:c r="E3693" s="22" t="str">
        <x:f>IF(ISBLANK(C3693),"AmountIncludingTax缺失",IF(ABS(B3693-C3693)&lt;0.005,"一致","不一致"))</x:f>
        <x:v>AmountIncludingTax缺失</x:v>
      </x:c>
      <x:c r="F3693" s="19" t="str">
        <x:v>approved</x:v>
      </x:c>
      <x:c r="G3693" s="19" t="str">
        <x:v>Repairer Invoiced Processed</x:v>
      </x:c>
      <x:c r="H3693" s="19" t="str">
        <x:v>Pre Delivery</x:v>
      </x:c>
      <x:c r="I3693" s="37" t="n">
        <x:v>46076</x:v>
      </x:c>
      <x:c r="J3693" s="37" t="n">
        <x:v>46076</x:v>
      </x:c>
      <x:c r="K3693" s="19" t="str">
        <x:v>Lesiure Lion-New Castle</x:v>
      </x:c>
      <x:c r="L3693" s="19" t="str">
        <x:v>Z005</x:v>
      </x:c>
      <x:c r="M3693" s="19" t="str">
        <x:v>Pre Delivery Warranty Claims</x:v>
      </x:c>
      <x:c r="N3693" s="37" t="n">
        <x:v>46058</x:v>
      </x:c>
      <x:c r="O3693" s="37"/>
      <x:c r="P3693" s="34" t="n">
        <x:v>0</x:v>
      </x:c>
      <x:c r="Q3693" s="37" t="n">
        <x:v>46076.200474537036</x:v>
      </x:c>
    </x:row>
    <x:row r="3694">
      <x:c r="A3694" s="22" t="n">
        <x:v>30774</x:v>
      </x:c>
      <x:c r="B3694" s="28" t="n">
        <x:v>597.27</x:v>
      </x:c>
      <x:c r="C3694" s="28"/>
      <x:c r="D3694" s="31" t="str">
        <x:f>IF(OR(ISBLANK(B3694),ISBLANK(C3694),B3694=0),"",(C3694-B3694)/B3694)</x:f>
      </x:c>
      <x:c r="E3694" s="22" t="str">
        <x:f>IF(ISBLANK(C3694),"AmountIncludingTax缺失",IF(ABS(B3694-C3694)&lt;0.005,"一致","不一致"))</x:f>
        <x:v>AmountIncludingTax缺失</x:v>
      </x:c>
      <x:c r="F3694" s="19" t="str">
        <x:v>approved</x:v>
      </x:c>
      <x:c r="G3694" s="19" t="str">
        <x:v>Repairer Invoiced Processed</x:v>
      </x:c>
      <x:c r="H3694" s="19" t="str">
        <x:v>Pre Delivery</x:v>
      </x:c>
      <x:c r="I3694" s="37" t="n">
        <x:v>46185</x:v>
      </x:c>
      <x:c r="J3694" s="37" t="n">
        <x:v>46185</x:v>
      </x:c>
      <x:c r="K3694" s="19" t="str">
        <x:v>Green RV - Forest Glen</x:v>
      </x:c>
      <x:c r="L3694" s="19" t="str">
        <x:v>Z005</x:v>
      </x:c>
      <x:c r="M3694" s="19" t="str">
        <x:v>Pre Delivery Warranty Claims</x:v>
      </x:c>
      <x:c r="N3694" s="37" t="n">
        <x:v>46058</x:v>
      </x:c>
      <x:c r="O3694" s="37"/>
      <x:c r="P3694" s="34" t="n">
        <x:v>0</x:v>
      </x:c>
      <x:c r="Q3694" s="37" t="n">
        <x:v>46185.12315972222</x:v>
      </x:c>
    </x:row>
    <x:row r="3695">
      <x:c r="A3695" s="22" t="n">
        <x:v>30773</x:v>
      </x:c>
      <x:c r="B3695" s="28" t="n">
        <x:v>1248.75</x:v>
      </x:c>
      <x:c r="C3695" s="28"/>
      <x:c r="D3695" s="31" t="str">
        <x:f>IF(OR(ISBLANK(B3695),ISBLANK(C3695),B3695=0),"",(C3695-B3695)/B3695)</x:f>
      </x:c>
      <x:c r="E3695" s="22" t="str">
        <x:f>IF(ISBLANK(C3695),"AmountIncludingTax缺失",IF(ABS(B3695-C3695)&lt;0.005,"一致","不一致"))</x:f>
        <x:v>AmountIncludingTax缺失</x:v>
      </x:c>
      <x:c r="F3695" s="19" t="str">
        <x:v>approved</x:v>
      </x:c>
      <x:c r="G3695" s="19" t="str">
        <x:v>Repair in Progress</x:v>
      </x:c>
      <x:c r="H3695" s="19" t="str">
        <x:v>In Field</x:v>
      </x:c>
      <x:c r="I3695" s="37" t="n">
        <x:v>46078</x:v>
      </x:c>
      <x:c r="J3695" s="37" t="n">
        <x:v>46078</x:v>
      </x:c>
      <x:c r="K3695" s="19" t="str">
        <x:v>Green RV - Forest Glen</x:v>
      </x:c>
      <x:c r="L3695" s="19" t="str">
        <x:v>Z006</x:v>
      </x:c>
      <x:c r="M3695" s="19" t="str">
        <x:v>In Field Warranty Claims</x:v>
      </x:c>
      <x:c r="N3695" s="37" t="n">
        <x:v>46058</x:v>
      </x:c>
      <x:c r="O3695" s="37"/>
      <x:c r="P3695" s="34" t="n">
        <x:v>0</x:v>
      </x:c>
      <x:c r="Q3695" s="37" t="n">
        <x:v>46077.96811342592</x:v>
      </x:c>
    </x:row>
    <x:row r="3696">
      <x:c r="A3696" s="22" t="n">
        <x:v>30772</x:v>
      </x:c>
      <x:c r="B3696" s="28" t="n">
        <x:v>428.52</x:v>
      </x:c>
      <x:c r="C3696" s="28"/>
      <x:c r="D3696" s="31" t="str">
        <x:f>IF(OR(ISBLANK(B3696),ISBLANK(C3696),B3696=0),"",(C3696-B3696)/B3696)</x:f>
      </x:c>
      <x:c r="E3696" s="22" t="str">
        <x:f>IF(ISBLANK(C3696),"AmountIncludingTax缺失",IF(ABS(B3696-C3696)&lt;0.005,"一致","不一致"))</x:f>
        <x:v>AmountIncludingTax缺失</x:v>
      </x:c>
      <x:c r="F3696" s="19" t="str">
        <x:v>approved</x:v>
      </x:c>
      <x:c r="G3696" s="19" t="str">
        <x:v>Partially Picked</x:v>
      </x:c>
      <x:c r="H3696" s="19" t="str">
        <x:v>In Field</x:v>
      </x:c>
      <x:c r="I3696" s="37" t="n">
        <x:v>46139</x:v>
      </x:c>
      <x:c r="J3696" s="37" t="n">
        <x:v>46139</x:v>
      </x:c>
      <x:c r="K3696" s="19" t="str">
        <x:v>Auswide Caravans - South Nowra</x:v>
      </x:c>
      <x:c r="L3696" s="19" t="str">
        <x:v>Z006</x:v>
      </x:c>
      <x:c r="M3696" s="19" t="str">
        <x:v>In Field Warranty Claims</x:v>
      </x:c>
      <x:c r="N3696" s="37" t="n">
        <x:v>46058</x:v>
      </x:c>
      <x:c r="O3696" s="37"/>
      <x:c r="P3696" s="34" t="n">
        <x:v>0</x:v>
      </x:c>
      <x:c r="Q3696" s="37" t="n">
        <x:v>46138.992314814815</x:v>
      </x:c>
    </x:row>
    <x:row r="3697">
      <x:c r="A3697" s="22" t="n">
        <x:v>30771</x:v>
      </x:c>
      <x:c r="B3697" s="28" t="n">
        <x:v>140</x:v>
      </x:c>
      <x:c r="C3697" s="28"/>
      <x:c r="D3697" s="31" t="str">
        <x:f>IF(OR(ISBLANK(B3697),ISBLANK(C3697),B3697=0),"",(C3697-B3697)/B3697)</x:f>
      </x:c>
      <x:c r="E3697" s="22" t="str">
        <x:f>IF(ISBLANK(C3697),"AmountIncludingTax缺失",IF(ABS(B3697-C3697)&lt;0.005,"一致","不一致"))</x:f>
        <x:v>AmountIncludingTax缺失</x:v>
      </x:c>
      <x:c r="F3697" s="19" t="str">
        <x:v>approved</x:v>
      </x:c>
      <x:c r="G3697" s="19" t="str">
        <x:v>Repair in Progress</x:v>
      </x:c>
      <x:c r="H3697" s="19" t="str">
        <x:v>In Field</x:v>
      </x:c>
      <x:c r="I3697" s="37" t="n">
        <x:v>46078</x:v>
      </x:c>
      <x:c r="J3697" s="37" t="n">
        <x:v>46078</x:v>
      </x:c>
      <x:c r="K3697" s="19" t="str">
        <x:v>Green RV - Forest Glen</x:v>
      </x:c>
      <x:c r="L3697" s="19" t="str">
        <x:v>Z006</x:v>
      </x:c>
      <x:c r="M3697" s="19" t="str">
        <x:v>In Field Warranty Claims</x:v>
      </x:c>
      <x:c r="N3697" s="37" t="n">
        <x:v>46058</x:v>
      </x:c>
      <x:c r="O3697" s="37"/>
      <x:c r="P3697" s="34" t="n">
        <x:v>0</x:v>
      </x:c>
      <x:c r="Q3697" s="37" t="n">
        <x:v>46078.41909722222</x:v>
      </x:c>
    </x:row>
    <x:row r="3698">
      <x:c r="A3698" s="22" t="n">
        <x:v>30770</x:v>
      </x:c>
      <x:c r="B3698" s="28" t="n">
        <x:v>135</x:v>
      </x:c>
      <x:c r="C3698" s="28"/>
      <x:c r="D3698" s="31" t="str">
        <x:f>IF(OR(ISBLANK(B3698),ISBLANK(C3698),B3698=0),"",(C3698-B3698)/B3698)</x:f>
      </x:c>
      <x:c r="E3698" s="22" t="str">
        <x:f>IF(ISBLANK(C3698),"AmountIncludingTax缺失",IF(ABS(B3698-C3698)&lt;0.005,"一致","不一致"))</x:f>
        <x:v>AmountIncludingTax缺失</x:v>
      </x:c>
      <x:c r="F3698" s="19" t="str">
        <x:v>approved</x:v>
      </x:c>
      <x:c r="G3698" s="19" t="str">
        <x:v>Repair in Progress</x:v>
      </x:c>
      <x:c r="H3698" s="19" t="str">
        <x:v>In Field</x:v>
      </x:c>
      <x:c r="I3698" s="37" t="n">
        <x:v>46096</x:v>
      </x:c>
      <x:c r="J3698" s="37" t="n">
        <x:v>46096</x:v>
      </x:c>
      <x:c r="K3698" s="19" t="str">
        <x:v>Regent RV Pty Ltd</x:v>
      </x:c>
      <x:c r="L3698" s="19" t="str">
        <x:v>Z006</x:v>
      </x:c>
      <x:c r="M3698" s="19" t="str">
        <x:v>In Field Warranty Claims</x:v>
      </x:c>
      <x:c r="N3698" s="37" t="n">
        <x:v>46058</x:v>
      </x:c>
      <x:c r="O3698" s="37"/>
      <x:c r="P3698" s="34" t="n">
        <x:v>0</x:v>
      </x:c>
      <x:c r="Q3698" s="37" t="n">
        <x:v>46096.48438657408</x:v>
      </x:c>
    </x:row>
    <x:row r="3699">
      <x:c r="A3699" s="22" t="n">
        <x:v>30769</x:v>
      </x:c>
      <x:c r="B3699" s="28" t="n">
        <x:v>1288.75</x:v>
      </x:c>
      <x:c r="C3699" s="28"/>
      <x:c r="D3699" s="31" t="str">
        <x:f>IF(OR(ISBLANK(B3699),ISBLANK(C3699),B3699=0),"",(C3699-B3699)/B3699)</x:f>
      </x:c>
      <x:c r="E3699" s="22" t="str">
        <x:f>IF(ISBLANK(C3699),"AmountIncludingTax缺失",IF(ABS(B3699-C3699)&lt;0.005,"一致","不一致"))</x:f>
        <x:v>AmountIncludingTax缺失</x:v>
      </x:c>
      <x:c r="F3699" s="19" t="str">
        <x:v>approved</x:v>
      </x:c>
      <x:c r="G3699" s="19" t="str">
        <x:v>Partially Picked</x:v>
      </x:c>
      <x:c r="H3699" s="19" t="str">
        <x:v>In Field</x:v>
      </x:c>
      <x:c r="I3699" s="37" t="n">
        <x:v>46111</x:v>
      </x:c>
      <x:c r="J3699" s="37" t="n">
        <x:v>46111</x:v>
      </x:c>
      <x:c r="K3699" s="19" t="str">
        <x:v>The Caravan Hub - Townsville</x:v>
      </x:c>
      <x:c r="L3699" s="19" t="str">
        <x:v>Z006</x:v>
      </x:c>
      <x:c r="M3699" s="19" t="str">
        <x:v>In Field Warranty Claims</x:v>
      </x:c>
      <x:c r="N3699" s="37" t="n">
        <x:v>46058</x:v>
      </x:c>
      <x:c r="O3699" s="37"/>
      <x:c r="P3699" s="34" t="n">
        <x:v>0</x:v>
      </x:c>
      <x:c r="Q3699" s="37" t="n">
        <x:v>46110.97305555556</x:v>
      </x:c>
    </x:row>
    <x:row r="3700">
      <x:c r="A3700" s="22" t="n">
        <x:v>30768</x:v>
      </x:c>
      <x:c r="B3700" s="28" t="n">
        <x:v>168.75</x:v>
      </x:c>
      <x:c r="C3700" s="28"/>
      <x:c r="D3700" s="31" t="str">
        <x:f>IF(OR(ISBLANK(B3700),ISBLANK(C3700),B3700=0),"",(C3700-B3700)/B3700)</x:f>
      </x:c>
      <x:c r="E3700" s="22" t="str">
        <x:f>IF(ISBLANK(C3700),"AmountIncludingTax缺失",IF(ABS(B3700-C3700)&lt;0.005,"一致","不一致"))</x:f>
        <x:v>AmountIncludingTax缺失</x:v>
      </x:c>
      <x:c r="F3700" s="19" t="str">
        <x:v>approved</x:v>
      </x:c>
      <x:c r="G3700" s="19" t="str">
        <x:v>Repairer Invoiced Processed</x:v>
      </x:c>
      <x:c r="H3700" s="19" t="str">
        <x:v>In Field</x:v>
      </x:c>
      <x:c r="I3700" s="37" t="n">
        <x:v>46073</x:v>
      </x:c>
      <x:c r="J3700" s="37" t="n">
        <x:v>46073</x:v>
      </x:c>
      <x:c r="K3700" s="19" t="str">
        <x:v>Green RV - Forest Glen</x:v>
      </x:c>
      <x:c r="L3700" s="19" t="str">
        <x:v>Z006</x:v>
      </x:c>
      <x:c r="M3700" s="19" t="str">
        <x:v>In Field Warranty Claims</x:v>
      </x:c>
      <x:c r="N3700" s="37" t="n">
        <x:v>46058</x:v>
      </x:c>
      <x:c r="O3700" s="37"/>
      <x:c r="P3700" s="34" t="n">
        <x:v>0</x:v>
      </x:c>
      <x:c r="Q3700" s="37" t="n">
        <x:v>46072.877222222225</x:v>
      </x:c>
    </x:row>
    <x:row r="3701">
      <x:c r="A3701" s="22" t="n">
        <x:v>30767</x:v>
      </x:c>
      <x:c r="B3701" s="28" t="n">
        <x:v>772.95</x:v>
      </x:c>
      <x:c r="C3701" s="28"/>
      <x:c r="D3701" s="31" t="str">
        <x:f>IF(OR(ISBLANK(B3701),ISBLANK(C3701),B3701=0),"",(C3701-B3701)/B3701)</x:f>
      </x:c>
      <x:c r="E3701" s="22" t="str">
        <x:f>IF(ISBLANK(C3701),"AmountIncludingTax缺失",IF(ABS(B3701-C3701)&lt;0.005,"一致","不一致"))</x:f>
        <x:v>AmountIncludingTax缺失</x:v>
      </x:c>
      <x:c r="F3701" s="19" t="str">
        <x:v>approved</x:v>
      </x:c>
      <x:c r="G3701" s="19" t="str">
        <x:v>Repair in Progress</x:v>
      </x:c>
      <x:c r="H3701" s="19" t="str">
        <x:v>In Field</x:v>
      </x:c>
      <x:c r="I3701" s="37" t="n">
        <x:v>46176</x:v>
      </x:c>
      <x:c r="J3701" s="37" t="n">
        <x:v>46176</x:v>
      </x:c>
      <x:c r="K3701" s="19" t="str">
        <x:v>Not Assigned</x:v>
      </x:c>
      <x:c r="L3701" s="19" t="str">
        <x:v>Z006</x:v>
      </x:c>
      <x:c r="M3701" s="19" t="str">
        <x:v>In Field Warranty Claims</x:v>
      </x:c>
      <x:c r="N3701" s="37" t="n">
        <x:v>46058</x:v>
      </x:c>
      <x:c r="O3701" s="37"/>
      <x:c r="P3701" s="34" t="n">
        <x:v>0</x:v>
      </x:c>
      <x:c r="Q3701" s="37" t="n">
        <x:v>46176.02322916667</x:v>
      </x:c>
    </x:row>
    <x:row r="3702">
      <x:c r="A3702" s="22" t="n">
        <x:v>30766</x:v>
      </x:c>
      <x:c r="B3702" s="28" t="n">
        <x:v>330</x:v>
      </x:c>
      <x:c r="C3702" s="28"/>
      <x:c r="D3702" s="31" t="str">
        <x:f>IF(OR(ISBLANK(B3702),ISBLANK(C3702),B3702=0),"",(C3702-B3702)/B3702)</x:f>
      </x:c>
      <x:c r="E3702" s="22" t="str">
        <x:f>IF(ISBLANK(C3702),"AmountIncludingTax缺失",IF(ABS(B3702-C3702)&lt;0.005,"一致","不一致"))</x:f>
        <x:v>AmountIncludingTax缺失</x:v>
      </x:c>
      <x:c r="F3702" s="19" t="str">
        <x:v>approved</x:v>
      </x:c>
      <x:c r="G3702" s="19" t="str">
        <x:v>Repair in Progress</x:v>
      </x:c>
      <x:c r="H3702" s="19" t="str">
        <x:v>Pre Delivery</x:v>
      </x:c>
      <x:c r="I3702" s="37" t="n">
        <x:v>46071</x:v>
      </x:c>
      <x:c r="J3702" s="37" t="n">
        <x:v>46070</x:v>
      </x:c>
      <x:c r="K3702" s="19" t="str">
        <x:v>Regent RV - Perth</x:v>
      </x:c>
      <x:c r="L3702" s="19" t="str">
        <x:v>Z005</x:v>
      </x:c>
      <x:c r="M3702" s="19" t="str">
        <x:v>Pre Delivery Warranty Claims</x:v>
      </x:c>
      <x:c r="N3702" s="37" t="n">
        <x:v>46058</x:v>
      </x:c>
      <x:c r="O3702" s="37"/>
      <x:c r="P3702" s="34" t="n">
        <x:v>0</x:v>
      </x:c>
      <x:c r="Q3702" s="37" t="n">
        <x:v>46070.93289351852</x:v>
      </x:c>
    </x:row>
    <x:row r="3703">
      <x:c r="A3703" s="22" t="n">
        <x:v>30765</x:v>
      </x:c>
      <x:c r="B3703" s="28" t="n">
        <x:v>265</x:v>
      </x:c>
      <x:c r="C3703" s="28" t="n">
        <x:v>291.5</x:v>
      </x:c>
      <x:c r="D3703" s="31" t="n">
        <x:f>IF(OR(ISBLANK(B3703),ISBLANK(C3703),B3703=0),"",(C3703-B3703)/B3703)</x:f>
        <x:v>0.1</x:v>
      </x:c>
      <x:c r="E3703" s="22" t="str">
        <x:f>IF(ISBLANK(C3703),"AmountIncludingTax缺失",IF(ABS(B3703-C3703)&lt;0.005,"一致","不一致"))</x:f>
        <x:v>不一致</x:v>
      </x:c>
      <x:c r="F3703" s="19" t="str">
        <x:v>approved</x:v>
      </x:c>
      <x:c r="G3703" s="19" t="str">
        <x:v>Repairer Invoiced Processed</x:v>
      </x:c>
      <x:c r="H3703" s="19" t="str">
        <x:v>In Field</x:v>
      </x:c>
      <x:c r="I3703" s="37" t="n">
        <x:v>46156</x:v>
      </x:c>
      <x:c r="J3703" s="37" t="n">
        <x:v>46156</x:v>
      </x:c>
      <x:c r="K3703" s="19" t="str">
        <x:v>Lesiure Lion-New Castle</x:v>
      </x:c>
      <x:c r="L3703" s="19" t="str">
        <x:v>Z006</x:v>
      </x:c>
      <x:c r="M3703" s="19" t="str">
        <x:v>In Field Warranty Claims</x:v>
      </x:c>
      <x:c r="N3703" s="37" t="n">
        <x:v>46058</x:v>
      </x:c>
      <x:c r="O3703" s="37"/>
      <x:c r="P3703" s="34" t="n">
        <x:v>291.5</x:v>
      </x:c>
      <x:c r="Q3703" s="37" t="n">
        <x:v>46156.02679398148</x:v>
      </x:c>
    </x:row>
    <x:row r="3704">
      <x:c r="A3704" s="22" t="n">
        <x:v>30763</x:v>
      </x:c>
      <x:c r="B3704" s="28" t="n">
        <x:v>288</x:v>
      </x:c>
      <x:c r="C3704" s="28" t="n">
        <x:v>316.8</x:v>
      </x:c>
      <x:c r="D3704" s="31" t="n">
        <x:f>IF(OR(ISBLANK(B3704),ISBLANK(C3704),B3704=0),"",(C3704-B3704)/B3704)</x:f>
        <x:v>0.10000000000000003</x:v>
      </x:c>
      <x:c r="E3704" s="22" t="str">
        <x:f>IF(ISBLANK(C3704),"AmountIncludingTax缺失",IF(ABS(B3704-C3704)&lt;0.005,"一致","不一致"))</x:f>
        <x:v>不一致</x:v>
      </x:c>
      <x:c r="F3704" s="19" t="str">
        <x:v>approved</x:v>
      </x:c>
      <x:c r="G3704" s="19" t="str">
        <x:v>Repair in Progress</x:v>
      </x:c>
      <x:c r="H3704" s="19" t="str">
        <x:v>In Field</x:v>
      </x:c>
      <x:c r="I3704" s="37" t="n">
        <x:v>46064</x:v>
      </x:c>
      <x:c r="J3704" s="37" t="n">
        <x:v>46064</x:v>
      </x:c>
      <x:c r="K3704" s="19" t="str">
        <x:v>Green RV - Forest Glen</x:v>
      </x:c>
      <x:c r="L3704" s="19" t="str">
        <x:v>Z006</x:v>
      </x:c>
      <x:c r="M3704" s="19" t="str">
        <x:v>In Field Warranty Claims</x:v>
      </x:c>
      <x:c r="N3704" s="37" t="n">
        <x:v>46058</x:v>
      </x:c>
      <x:c r="O3704" s="37"/>
      <x:c r="P3704" s="34" t="n">
        <x:v>316.8</x:v>
      </x:c>
      <x:c r="Q3704" s="37" t="n">
        <x:v>46064.261875</x:v>
      </x:c>
    </x:row>
    <x:row r="3705">
      <x:c r="A3705" s="22" t="n">
        <x:v>30762</x:v>
      </x:c>
      <x:c r="B3705" s="28" t="n">
        <x:v>236.36</x:v>
      </x:c>
      <x:c r="C3705" s="28" t="n">
        <x:v>260</x:v>
      </x:c>
      <x:c r="D3705" s="31" t="n">
        <x:f>IF(OR(ISBLANK(B3705),ISBLANK(C3705),B3705=0),"",(C3705-B3705)/B3705)</x:f>
        <x:v>0.10001692333728204</x:v>
      </x:c>
      <x:c r="E3705" s="22" t="str">
        <x:f>IF(ISBLANK(C3705),"AmountIncludingTax缺失",IF(ABS(B3705-C3705)&lt;0.005,"一致","不一致"))</x:f>
        <x:v>不一致</x:v>
      </x:c>
      <x:c r="F3705" s="19" t="str">
        <x:v>approved</x:v>
      </x:c>
      <x:c r="G3705" s="19" t="str">
        <x:v>Repairer Invoiced Processed</x:v>
      </x:c>
      <x:c r="H3705" s="19" t="str">
        <x:v>In Field</x:v>
      </x:c>
      <x:c r="I3705" s="37" t="n">
        <x:v>46066</x:v>
      </x:c>
      <x:c r="J3705" s="37" t="n">
        <x:v>46066</x:v>
      </x:c>
      <x:c r="K3705" s="19" t="str">
        <x:v>Green RV - Slacks Creek</x:v>
      </x:c>
      <x:c r="L3705" s="19" t="str">
        <x:v>Z006</x:v>
      </x:c>
      <x:c r="M3705" s="19" t="str">
        <x:v>In Field Warranty Claims</x:v>
      </x:c>
      <x:c r="N3705" s="37" t="n">
        <x:v>46058</x:v>
      </x:c>
      <x:c r="O3705" s="37"/>
      <x:c r="P3705" s="34" t="n">
        <x:v>260</x:v>
      </x:c>
      <x:c r="Q3705" s="37" t="n">
        <x:v>46066.1965162037</x:v>
      </x:c>
    </x:row>
    <x:row r="3706">
      <x:c r="A3706" s="22" t="n">
        <x:v>30761</x:v>
      </x:c>
      <x:c r="B3706" s="28" t="n">
        <x:v>256.25</x:v>
      </x:c>
      <x:c r="C3706" s="28"/>
      <x:c r="D3706" s="31" t="str">
        <x:f>IF(OR(ISBLANK(B3706),ISBLANK(C3706),B3706=0),"",(C3706-B3706)/B3706)</x:f>
      </x:c>
      <x:c r="E3706" s="22" t="str">
        <x:f>IF(ISBLANK(C3706),"AmountIncludingTax缺失",IF(ABS(B3706-C3706)&lt;0.005,"一致","不一致"))</x:f>
        <x:v>AmountIncludingTax缺失</x:v>
      </x:c>
      <x:c r="F3706" s="19" t="str">
        <x:v>approved</x:v>
      </x:c>
      <x:c r="G3706" s="19" t="str">
        <x:v>Repair in Progress</x:v>
      </x:c>
      <x:c r="H3706" s="19" t="str">
        <x:v>In Field</x:v>
      </x:c>
      <x:c r="I3706" s="37" t="n">
        <x:v>46108</x:v>
      </x:c>
      <x:c r="J3706" s="37" t="n">
        <x:v>46108</x:v>
      </x:c>
      <x:c r="K3706" s="19" t="str">
        <x:v>Green RV - Slacks Creek</x:v>
      </x:c>
      <x:c r="L3706" s="19" t="str">
        <x:v>Z006</x:v>
      </x:c>
      <x:c r="M3706" s="19" t="str">
        <x:v>In Field Warranty Claims</x:v>
      </x:c>
      <x:c r="N3706" s="37" t="n">
        <x:v>46058</x:v>
      </x:c>
      <x:c r="O3706" s="37"/>
      <x:c r="P3706" s="34" t="n">
        <x:v>0</x:v>
      </x:c>
      <x:c r="Q3706" s="37" t="n">
        <x:v>46108.03833333333</x:v>
      </x:c>
    </x:row>
    <x:row r="3707">
      <x:c r="A3707" s="22" t="n">
        <x:v>30759</x:v>
      </x:c>
      <x:c r="B3707" s="28" t="n">
        <x:v>1346.25</x:v>
      </x:c>
      <x:c r="C3707" s="28"/>
      <x:c r="D3707" s="31" t="str">
        <x:f>IF(OR(ISBLANK(B3707),ISBLANK(C3707),B3707=0),"",(C3707-B3707)/B3707)</x:f>
      </x:c>
      <x:c r="E3707" s="22" t="str">
        <x:f>IF(ISBLANK(C3707),"AmountIncludingTax缺失",IF(ABS(B3707-C3707)&lt;0.005,"一致","不一致"))</x:f>
        <x:v>AmountIncludingTax缺失</x:v>
      </x:c>
      <x:c r="F3707" s="19" t="str">
        <x:v>approved</x:v>
      </x:c>
      <x:c r="G3707" s="19" t="str">
        <x:v>Repairer Invoiced Processed</x:v>
      </x:c>
      <x:c r="H3707" s="19" t="str">
        <x:v>Pre Delivery</x:v>
      </x:c>
      <x:c r="I3707" s="37" t="n">
        <x:v>46185</x:v>
      </x:c>
      <x:c r="J3707" s="37" t="n">
        <x:v>46073</x:v>
      </x:c>
      <x:c r="K3707" s="19" t="str">
        <x:v>Lesiure Lion-New Castle</x:v>
      </x:c>
      <x:c r="L3707" s="19" t="str">
        <x:v>Z005</x:v>
      </x:c>
      <x:c r="M3707" s="19" t="str">
        <x:v>Pre Delivery Warranty Claims</x:v>
      </x:c>
      <x:c r="N3707" s="37" t="n">
        <x:v>46058</x:v>
      </x:c>
      <x:c r="O3707" s="37"/>
      <x:c r="P3707" s="34" t="n">
        <x:v>0</x:v>
      </x:c>
      <x:c r="Q3707" s="37" t="n">
        <x:v>46185.226018518515</x:v>
      </x:c>
    </x:row>
    <x:row r="3708">
      <x:c r="A3708" s="22" t="n">
        <x:v>30758</x:v>
      </x:c>
      <x:c r="B3708" s="28" t="n">
        <x:v>1410</x:v>
      </x:c>
      <x:c r="C3708" s="28"/>
      <x:c r="D3708" s="31" t="str">
        <x:f>IF(OR(ISBLANK(B3708),ISBLANK(C3708),B3708=0),"",(C3708-B3708)/B3708)</x:f>
      </x:c>
      <x:c r="E3708" s="22" t="str">
        <x:f>IF(ISBLANK(C3708),"AmountIncludingTax缺失",IF(ABS(B3708-C3708)&lt;0.005,"一致","不一致"))</x:f>
        <x:v>AmountIncludingTax缺失</x:v>
      </x:c>
      <x:c r="F3708" s="19" t="str">
        <x:v>approved</x:v>
      </x:c>
      <x:c r="G3708" s="19" t="str">
        <x:v>Repair in Progress</x:v>
      </x:c>
      <x:c r="H3708" s="19" t="str">
        <x:v>In Field</x:v>
      </x:c>
      <x:c r="I3708" s="37" t="n">
        <x:v>46098</x:v>
      </x:c>
      <x:c r="J3708" s="37" t="n">
        <x:v>46098</x:v>
      </x:c>
      <x:c r="K3708" s="19" t="str">
        <x:v>Green RV - Forest Glen</x:v>
      </x:c>
      <x:c r="L3708" s="19" t="str">
        <x:v>Z006</x:v>
      </x:c>
      <x:c r="M3708" s="19" t="str">
        <x:v>In Field Warranty Claims</x:v>
      </x:c>
      <x:c r="N3708" s="37" t="n">
        <x:v>46058</x:v>
      </x:c>
      <x:c r="O3708" s="37"/>
      <x:c r="P3708" s="34" t="n">
        <x:v>0</x:v>
      </x:c>
      <x:c r="Q3708" s="37" t="n">
        <x:v>46098.102002314816</x:v>
      </x:c>
    </x:row>
    <x:row r="3709">
      <x:c r="A3709" s="22" t="n">
        <x:v>30757</x:v>
      </x:c>
      <x:c r="B3709" s="28" t="n">
        <x:v>110</x:v>
      </x:c>
      <x:c r="C3709" s="28"/>
      <x:c r="D3709" s="31" t="str">
        <x:f>IF(OR(ISBLANK(B3709),ISBLANK(C3709),B3709=0),"",(C3709-B3709)/B3709)</x:f>
      </x:c>
      <x:c r="E3709" s="22" t="str">
        <x:f>IF(ISBLANK(C3709),"AmountIncludingTax缺失",IF(ABS(B3709-C3709)&lt;0.005,"一致","不一致"))</x:f>
        <x:v>AmountIncludingTax缺失</x:v>
      </x:c>
      <x:c r="F3709" s="19" t="str">
        <x:v>approved</x:v>
      </x:c>
      <x:c r="G3709" s="19" t="str">
        <x:v>Repair in Progress</x:v>
      </x:c>
      <x:c r="H3709" s="19" t="str">
        <x:v>Pre Delivery</x:v>
      </x:c>
      <x:c r="I3709" s="37" t="n">
        <x:v>46070</x:v>
      </x:c>
      <x:c r="J3709" s="37" t="n">
        <x:v>46070</x:v>
      </x:c>
      <x:c r="K3709" s="19" t="str">
        <x:v>Regent RV - Perth</x:v>
      </x:c>
      <x:c r="L3709" s="19" t="str">
        <x:v>Z005</x:v>
      </x:c>
      <x:c r="M3709" s="19" t="str">
        <x:v>Pre Delivery Warranty Claims</x:v>
      </x:c>
      <x:c r="N3709" s="37" t="n">
        <x:v>46058</x:v>
      </x:c>
      <x:c r="O3709" s="37"/>
      <x:c r="P3709" s="34" t="n">
        <x:v>0</x:v>
      </x:c>
      <x:c r="Q3709" s="37" t="n">
        <x:v>46069.955092592594</x:v>
      </x:c>
    </x:row>
    <x:row r="3710">
      <x:c r="A3710" s="22" t="n">
        <x:v>30756</x:v>
      </x:c>
      <x:c r="B3710" s="28" t="n">
        <x:v>67.5</x:v>
      </x:c>
      <x:c r="C3710" s="28"/>
      <x:c r="D3710" s="31" t="str">
        <x:f>IF(OR(ISBLANK(B3710),ISBLANK(C3710),B3710=0),"",(C3710-B3710)/B3710)</x:f>
      </x:c>
      <x:c r="E3710" s="22" t="str">
        <x:f>IF(ISBLANK(C3710),"AmountIncludingTax缺失",IF(ABS(B3710-C3710)&lt;0.005,"一致","不一致"))</x:f>
        <x:v>AmountIncludingTax缺失</x:v>
      </x:c>
      <x:c r="F3710" s="19" t="str">
        <x:v>approved</x:v>
      </x:c>
      <x:c r="G3710" s="19" t="str">
        <x:v>Repairer Invoiced Processed</x:v>
      </x:c>
      <x:c r="H3710" s="19" t="str">
        <x:v>In Field</x:v>
      </x:c>
      <x:c r="I3710" s="37" t="n">
        <x:v>46065</x:v>
      </x:c>
      <x:c r="J3710" s="37" t="n">
        <x:v>46065</x:v>
      </x:c>
      <x:c r="K3710" s="19" t="str">
        <x:v>Green RV - Forest Glen</x:v>
      </x:c>
      <x:c r="L3710" s="19" t="str">
        <x:v>Z006</x:v>
      </x:c>
      <x:c r="M3710" s="19" t="str">
        <x:v>In Field Warranty Claims</x:v>
      </x:c>
      <x:c r="N3710" s="37" t="n">
        <x:v>46058</x:v>
      </x:c>
      <x:c r="O3710" s="37"/>
      <x:c r="P3710" s="34" t="n">
        <x:v>0</x:v>
      </x:c>
      <x:c r="Q3710" s="37" t="n">
        <x:v>46065.19587962963</x:v>
      </x:c>
    </x:row>
    <x:row r="3711">
      <x:c r="A3711" s="22" t="n">
        <x:v>30755</x:v>
      </x:c>
      <x:c r="B3711" s="28" t="n">
        <x:v>100</x:v>
      </x:c>
      <x:c r="C3711" s="28"/>
      <x:c r="D3711" s="31" t="str">
        <x:f>IF(OR(ISBLANK(B3711),ISBLANK(C3711),B3711=0),"",(C3711-B3711)/B3711)</x:f>
      </x:c>
      <x:c r="E3711" s="22" t="str">
        <x:f>IF(ISBLANK(C3711),"AmountIncludingTax缺失",IF(ABS(B3711-C3711)&lt;0.005,"一致","不一致"))</x:f>
        <x:v>AmountIncludingTax缺失</x:v>
      </x:c>
      <x:c r="F3711" s="19" t="str">
        <x:v>approved</x:v>
      </x:c>
      <x:c r="G3711" s="19" t="str">
        <x:v>Repair in Progress</x:v>
      </x:c>
      <x:c r="H3711" s="19" t="str">
        <x:v>In Field</x:v>
      </x:c>
      <x:c r="I3711" s="37" t="n">
        <x:v>46168</x:v>
      </x:c>
      <x:c r="J3711" s="37" t="n">
        <x:v>46168</x:v>
      </x:c>
      <x:c r="K3711" s="19" t="str">
        <x:v>Green RV - Slacks Creek</x:v>
      </x:c>
      <x:c r="L3711" s="19" t="str">
        <x:v>Z006</x:v>
      </x:c>
      <x:c r="M3711" s="19" t="str">
        <x:v>In Field Warranty Claims</x:v>
      </x:c>
      <x:c r="N3711" s="37" t="n">
        <x:v>46058</x:v>
      </x:c>
      <x:c r="O3711" s="37"/>
      <x:c r="P3711" s="34" t="n">
        <x:v>0</x:v>
      </x:c>
      <x:c r="Q3711" s="37" t="n">
        <x:v>46167.93450231481</x:v>
      </x:c>
    </x:row>
    <x:row r="3712">
      <x:c r="A3712" s="22" t="n">
        <x:v>30754</x:v>
      </x:c>
      <x:c r="B3712" s="28" t="n">
        <x:v>101.25</x:v>
      </x:c>
      <x:c r="C3712" s="28"/>
      <x:c r="D3712" s="31" t="str">
        <x:f>IF(OR(ISBLANK(B3712),ISBLANK(C3712),B3712=0),"",(C3712-B3712)/B3712)</x:f>
      </x:c>
      <x:c r="E3712" s="22" t="str">
        <x:f>IF(ISBLANK(C3712),"AmountIncludingTax缺失",IF(ABS(B3712-C3712)&lt;0.005,"一致","不一致"))</x:f>
        <x:v>AmountIncludingTax缺失</x:v>
      </x:c>
      <x:c r="F3712" s="19" t="str">
        <x:v>approved</x:v>
      </x:c>
      <x:c r="G3712" s="19" t="str">
        <x:v>Repair in Progress</x:v>
      </x:c>
      <x:c r="H3712" s="19" t="str">
        <x:v>In Field</x:v>
      </x:c>
      <x:c r="I3712" s="37" t="n">
        <x:v>46107</x:v>
      </x:c>
      <x:c r="J3712" s="37" t="n">
        <x:v>46107</x:v>
      </x:c>
      <x:c r="K3712" s="19" t="str">
        <x:v>Regent RV Pty Ltd</x:v>
      </x:c>
      <x:c r="L3712" s="19" t="str">
        <x:v>Z006</x:v>
      </x:c>
      <x:c r="M3712" s="19" t="str">
        <x:v>In Field Warranty Claims</x:v>
      </x:c>
      <x:c r="N3712" s="37" t="n">
        <x:v>46057</x:v>
      </x:c>
      <x:c r="O3712" s="37"/>
      <x:c r="P3712" s="34" t="n">
        <x:v>0</x:v>
      </x:c>
      <x:c r="Q3712" s="37" t="n">
        <x:v>46107.070914351854</x:v>
      </x:c>
    </x:row>
    <x:row r="3713">
      <x:c r="A3713" s="22" t="n">
        <x:v>30753</x:v>
      </x:c>
      <x:c r="B3713" s="28" t="n">
        <x:v>135</x:v>
      </x:c>
      <x:c r="C3713" s="28" t="n">
        <x:v>148.5</x:v>
      </x:c>
      <x:c r="D3713" s="31" t="n">
        <x:f>IF(OR(ISBLANK(B3713),ISBLANK(C3713),B3713=0),"",(C3713-B3713)/B3713)</x:f>
        <x:v>0.1</x:v>
      </x:c>
      <x:c r="E3713" s="22" t="str">
        <x:f>IF(ISBLANK(C3713),"AmountIncludingTax缺失",IF(ABS(B3713-C3713)&lt;0.005,"一致","不一致"))</x:f>
        <x:v>不一致</x:v>
      </x:c>
      <x:c r="F3713" s="19" t="str">
        <x:v>approved</x:v>
      </x:c>
      <x:c r="G3713" s="19" t="str">
        <x:v>Repairer Invoiced Processed</x:v>
      </x:c>
      <x:c r="H3713" s="19" t="str">
        <x:v>In Field</x:v>
      </x:c>
      <x:c r="I3713" s="37" t="n">
        <x:v>46065</x:v>
      </x:c>
      <x:c r="J3713" s="37" t="n">
        <x:v>46065</x:v>
      </x:c>
      <x:c r="K3713" s="19" t="str">
        <x:v>Not Assigned</x:v>
      </x:c>
      <x:c r="L3713" s="19" t="str">
        <x:v>Z006</x:v>
      </x:c>
      <x:c r="M3713" s="19" t="str">
        <x:v>In Field Warranty Claims</x:v>
      </x:c>
      <x:c r="N3713" s="37" t="n">
        <x:v>46057</x:v>
      </x:c>
      <x:c r="O3713" s="37"/>
      <x:c r="P3713" s="34" t="n">
        <x:v>148.5</x:v>
      </x:c>
      <x:c r="Q3713" s="37" t="n">
        <x:v>46065.18362268519</x:v>
      </x:c>
    </x:row>
    <x:row r="3714">
      <x:c r="A3714" s="22" t="n">
        <x:v>30752</x:v>
      </x:c>
      <x:c r="B3714" s="28" t="n">
        <x:v>560</x:v>
      </x:c>
      <x:c r="C3714" s="28"/>
      <x:c r="D3714" s="31" t="str">
        <x:f>IF(OR(ISBLANK(B3714),ISBLANK(C3714),B3714=0),"",(C3714-B3714)/B3714)</x:f>
      </x:c>
      <x:c r="E3714" s="22" t="str">
        <x:f>IF(ISBLANK(C3714),"AmountIncludingTax缺失",IF(ABS(B3714-C3714)&lt;0.005,"一致","不一致"))</x:f>
        <x:v>AmountIncludingTax缺失</x:v>
      </x:c>
      <x:c r="F3714" s="19" t="str">
        <x:v>approved</x:v>
      </x:c>
      <x:c r="G3714" s="19" t="str">
        <x:v>Repairer Invoiced Processed</x:v>
      </x:c>
      <x:c r="H3714" s="19" t="str">
        <x:v>In Field</x:v>
      </x:c>
      <x:c r="I3714" s="37" t="n">
        <x:v>46092</x:v>
      </x:c>
      <x:c r="J3714" s="37" t="n">
        <x:v>46092</x:v>
      </x:c>
      <x:c r="K3714" s="19" t="str">
        <x:v>Not Assigned</x:v>
      </x:c>
      <x:c r="L3714" s="19" t="str">
        <x:v>Z006</x:v>
      </x:c>
      <x:c r="M3714" s="19" t="str">
        <x:v>In Field Warranty Claims</x:v>
      </x:c>
      <x:c r="N3714" s="37" t="n">
        <x:v>46057</x:v>
      </x:c>
      <x:c r="O3714" s="37" t="n">
        <x:v>46078</x:v>
      </x:c>
      <x:c r="P3714" s="34" t="n">
        <x:v>0</x:v>
      </x:c>
      <x:c r="Q3714" s="37" t="n">
        <x:v>46092.16490740741</x:v>
      </x:c>
    </x:row>
    <x:row r="3715">
      <x:c r="A3715" s="22" t="n">
        <x:v>30751</x:v>
      </x:c>
      <x:c r="B3715" s="28" t="n">
        <x:v>1504.3</x:v>
      </x:c>
      <x:c r="C3715" s="28"/>
      <x:c r="D3715" s="31" t="str">
        <x:f>IF(OR(ISBLANK(B3715),ISBLANK(C3715),B3715=0),"",(C3715-B3715)/B3715)</x:f>
      </x:c>
      <x:c r="E3715" s="22" t="str">
        <x:f>IF(ISBLANK(C3715),"AmountIncludingTax缺失",IF(ABS(B3715-C3715)&lt;0.005,"一致","不一致"))</x:f>
        <x:v>AmountIncludingTax缺失</x:v>
      </x:c>
      <x:c r="F3715" s="19" t="str">
        <x:v>approved</x:v>
      </x:c>
      <x:c r="G3715" s="19" t="str">
        <x:v>Repair in Progress</x:v>
      </x:c>
      <x:c r="H3715" s="19" t="str">
        <x:v>In Field</x:v>
      </x:c>
      <x:c r="I3715" s="37" t="n">
        <x:v>46077</x:v>
      </x:c>
      <x:c r="J3715" s="37" t="n">
        <x:v>46077</x:v>
      </x:c>
      <x:c r="K3715" s="19" t="str">
        <x:v>QCCC - Gympie</x:v>
      </x:c>
      <x:c r="L3715" s="19" t="str">
        <x:v>Z006</x:v>
      </x:c>
      <x:c r="M3715" s="19" t="str">
        <x:v>In Field Warranty Claims</x:v>
      </x:c>
      <x:c r="N3715" s="37" t="n">
        <x:v>46057</x:v>
      </x:c>
      <x:c r="O3715" s="37"/>
      <x:c r="P3715" s="34" t="n">
        <x:v>0</x:v>
      </x:c>
      <x:c r="Q3715" s="37" t="n">
        <x:v>46076.98773148148</x:v>
      </x:c>
    </x:row>
    <x:row r="3716">
      <x:c r="A3716" s="22" t="n">
        <x:v>30749</x:v>
      </x:c>
      <x:c r="B3716" s="28" t="n">
        <x:v>1173.75</x:v>
      </x:c>
      <x:c r="C3716" s="28"/>
      <x:c r="D3716" s="31" t="str">
        <x:f>IF(OR(ISBLANK(B3716),ISBLANK(C3716),B3716=0),"",(C3716-B3716)/B3716)</x:f>
      </x:c>
      <x:c r="E3716" s="22" t="str">
        <x:f>IF(ISBLANK(C3716),"AmountIncludingTax缺失",IF(ABS(B3716-C3716)&lt;0.005,"一致","不一致"))</x:f>
        <x:v>AmountIncludingTax缺失</x:v>
      </x:c>
      <x:c r="F3716" s="19" t="str">
        <x:v>approved</x:v>
      </x:c>
      <x:c r="G3716" s="19" t="str">
        <x:v>Repairer Invoiced Processed</x:v>
      </x:c>
      <x:c r="H3716" s="19" t="str">
        <x:v>In Field</x:v>
      </x:c>
      <x:c r="I3716" s="37" t="n">
        <x:v>46073</x:v>
      </x:c>
      <x:c r="J3716" s="37" t="n">
        <x:v>46073</x:v>
      </x:c>
      <x:c r="K3716" s="19" t="str">
        <x:v>Green RV - Forest Glen</x:v>
      </x:c>
      <x:c r="L3716" s="19" t="str">
        <x:v>Z006</x:v>
      </x:c>
      <x:c r="M3716" s="19" t="str">
        <x:v>In Field Warranty Claims</x:v>
      </x:c>
      <x:c r="N3716" s="37" t="n">
        <x:v>46058</x:v>
      </x:c>
      <x:c r="O3716" s="37"/>
      <x:c r="P3716" s="34" t="n">
        <x:v>0</x:v>
      </x:c>
      <x:c r="Q3716" s="37" t="n">
        <x:v>46073.1559375</x:v>
      </x:c>
    </x:row>
    <x:row r="3717">
      <x:c r="A3717" s="22" t="n">
        <x:v>30746</x:v>
      </x:c>
      <x:c r="B3717" s="28" t="n">
        <x:v>454.55</x:v>
      </x:c>
      <x:c r="C3717" s="28" t="n">
        <x:v>500.01</x:v>
      </x:c>
      <x:c r="D3717" s="31" t="n">
        <x:f>IF(OR(ISBLANK(B3717),ISBLANK(C3717),B3717=0),"",(C3717-B3717)/B3717)</x:f>
        <x:v>0.10001099989000105</x:v>
      </x:c>
      <x:c r="E3717" s="22" t="str">
        <x:f>IF(ISBLANK(C3717),"AmountIncludingTax缺失",IF(ABS(B3717-C3717)&lt;0.005,"一致","不一致"))</x:f>
        <x:v>不一致</x:v>
      </x:c>
      <x:c r="F3717" s="19" t="str">
        <x:v>approved</x:v>
      </x:c>
      <x:c r="G3717" s="19" t="str">
        <x:v>Repairer Invoiced Processed</x:v>
      </x:c>
      <x:c r="H3717" s="19" t="str">
        <x:v>In Field</x:v>
      </x:c>
      <x:c r="I3717" s="37" t="n">
        <x:v>46106</x:v>
      </x:c>
      <x:c r="J3717" s="37" t="n">
        <x:v>46106</x:v>
      </x:c>
      <x:c r="K3717" s="19" t="str">
        <x:v>Regent RV - Perth</x:v>
      </x:c>
      <x:c r="L3717" s="19" t="str">
        <x:v>Z006</x:v>
      </x:c>
      <x:c r="M3717" s="19" t="str">
        <x:v>In Field Warranty Claims</x:v>
      </x:c>
      <x:c r="N3717" s="37" t="n">
        <x:v>46058</x:v>
      </x:c>
      <x:c r="O3717" s="37"/>
      <x:c r="P3717" s="34" t="n">
        <x:v>500.01</x:v>
      </x:c>
      <x:c r="Q3717" s="37" t="n">
        <x:v>46106.163877314815</x:v>
      </x:c>
    </x:row>
    <x:row r="3718">
      <x:c r="A3718" s="22" t="n">
        <x:v>30744</x:v>
      </x:c>
      <x:c r="B3718" s="28" t="n">
        <x:v>220.45</x:v>
      </x:c>
      <x:c r="C3718" s="28" t="n">
        <x:v>242.5</x:v>
      </x:c>
      <x:c r="D3718" s="31" t="n">
        <x:f>IF(OR(ISBLANK(B3718),ISBLANK(C3718),B3718=0),"",(C3718-B3718)/B3718)</x:f>
        <x:v>0.1000226808800182</x:v>
      </x:c>
      <x:c r="E3718" s="22" t="str">
        <x:f>IF(ISBLANK(C3718),"AmountIncludingTax缺失",IF(ABS(B3718-C3718)&lt;0.005,"一致","不一致"))</x:f>
        <x:v>不一致</x:v>
      </x:c>
      <x:c r="F3718" s="19" t="str">
        <x:v>approved</x:v>
      </x:c>
      <x:c r="G3718" s="19" t="str">
        <x:v>Repairer Invoiced Processed</x:v>
      </x:c>
      <x:c r="H3718" s="19" t="str">
        <x:v>Pre Delivery</x:v>
      </x:c>
      <x:c r="I3718" s="37" t="n">
        <x:v>46139</x:v>
      </x:c>
      <x:c r="J3718" s="37" t="n">
        <x:v>46139</x:v>
      </x:c>
      <x:c r="K3718" s="19" t="str">
        <x:v>Regent RV Pty Ltd</x:v>
      </x:c>
      <x:c r="L3718" s="19" t="str">
        <x:v>Z005</x:v>
      </x:c>
      <x:c r="M3718" s="19" t="str">
        <x:v>Pre Delivery Warranty Claims</x:v>
      </x:c>
      <x:c r="N3718" s="37" t="n">
        <x:v>46057</x:v>
      </x:c>
      <x:c r="O3718" s="37"/>
      <x:c r="P3718" s="34" t="n">
        <x:v>242.5</x:v>
      </x:c>
      <x:c r="Q3718" s="37" t="n">
        <x:v>46138.932071759256</x:v>
      </x:c>
    </x:row>
    <x:row r="3719">
      <x:c r="A3719" s="22" t="n">
        <x:v>30743</x:v>
      </x:c>
      <x:c r="B3719" s="28" t="n">
        <x:v>435</x:v>
      </x:c>
      <x:c r="C3719" s="28" t="n">
        <x:v>478.5</x:v>
      </x:c>
      <x:c r="D3719" s="31" t="n">
        <x:f>IF(OR(ISBLANK(B3719),ISBLANK(C3719),B3719=0),"",(C3719-B3719)/B3719)</x:f>
        <x:v>0.1</x:v>
      </x:c>
      <x:c r="E3719" s="22" t="str">
        <x:f>IF(ISBLANK(C3719),"AmountIncludingTax缺失",IF(ABS(B3719-C3719)&lt;0.005,"一致","不一致"))</x:f>
        <x:v>不一致</x:v>
      </x:c>
      <x:c r="F3719" s="19" t="str">
        <x:v>approved</x:v>
      </x:c>
      <x:c r="G3719" s="19" t="str">
        <x:v>Repair in Progress</x:v>
      </x:c>
      <x:c r="H3719" s="19" t="str">
        <x:v>In Field</x:v>
      </x:c>
      <x:c r="I3719" s="37" t="n">
        <x:v>46087</x:v>
      </x:c>
      <x:c r="J3719" s="37" t="n">
        <x:v>46087</x:v>
      </x:c>
      <x:c r="K3719" s="19" t="str">
        <x:v>QCCC - Gympie</x:v>
      </x:c>
      <x:c r="L3719" s="19" t="str">
        <x:v>Z006</x:v>
      </x:c>
      <x:c r="M3719" s="19" t="str">
        <x:v>In Field Warranty Claims</x:v>
      </x:c>
      <x:c r="N3719" s="37" t="n">
        <x:v>46057</x:v>
      </x:c>
      <x:c r="O3719" s="37"/>
      <x:c r="P3719" s="34" t="n">
        <x:v>478.5</x:v>
      </x:c>
      <x:c r="Q3719" s="37" t="n">
        <x:v>46087.04479166667</x:v>
      </x:c>
    </x:row>
    <x:row r="3720">
      <x:c r="A3720" s="22" t="n">
        <x:v>30742</x:v>
      </x:c>
      <x:c r="B3720" s="28" t="n">
        <x:v>487.64</x:v>
      </x:c>
      <x:c r="C3720" s="28" t="n">
        <x:v>536.4</x:v>
      </x:c>
      <x:c r="D3720" s="31" t="n">
        <x:f>IF(OR(ISBLANK(B3720),ISBLANK(C3720),B3720=0),"",(C3720-B3720)/B3720)</x:f>
        <x:v>0.09999179722746286</x:v>
      </x:c>
      <x:c r="E3720" s="22" t="str">
        <x:f>IF(ISBLANK(C3720),"AmountIncludingTax缺失",IF(ABS(B3720-C3720)&lt;0.005,"一致","不一致"))</x:f>
        <x:v>不一致</x:v>
      </x:c>
      <x:c r="F3720" s="19" t="str">
        <x:v>approved</x:v>
      </x:c>
      <x:c r="G3720" s="19" t="str">
        <x:v>Repairer Invoiced Processed</x:v>
      </x:c>
      <x:c r="H3720" s="19" t="str">
        <x:v>Pre Delivery</x:v>
      </x:c>
      <x:c r="I3720" s="37" t="n">
        <x:v>46134</x:v>
      </x:c>
      <x:c r="J3720" s="37" t="n">
        <x:v>46134</x:v>
      </x:c>
      <x:c r="K3720" s="19" t="str">
        <x:v>Green RV - Forest Glen</x:v>
      </x:c>
      <x:c r="L3720" s="19" t="str">
        <x:v>Z005</x:v>
      </x:c>
      <x:c r="M3720" s="19" t="str">
        <x:v>Pre Delivery Warranty Claims</x:v>
      </x:c>
      <x:c r="N3720" s="37" t="n">
        <x:v>46057</x:v>
      </x:c>
      <x:c r="O3720" s="37"/>
      <x:c r="P3720" s="34" t="n">
        <x:v>536.4</x:v>
      </x:c>
      <x:c r="Q3720" s="37" t="n">
        <x:v>46134.0453125</x:v>
      </x:c>
    </x:row>
    <x:row r="3721">
      <x:c r="A3721" s="22" t="n">
        <x:v>30741</x:v>
      </x:c>
      <x:c r="B3721" s="28" t="n">
        <x:v>492.5</x:v>
      </x:c>
      <x:c r="C3721" s="28"/>
      <x:c r="D3721" s="31" t="str">
        <x:f>IF(OR(ISBLANK(B3721),ISBLANK(C3721),B3721=0),"",(C3721-B3721)/B3721)</x:f>
      </x:c>
      <x:c r="E3721" s="22" t="str">
        <x:f>IF(ISBLANK(C3721),"AmountIncludingTax缺失",IF(ABS(B3721-C3721)&lt;0.005,"一致","不一致"))</x:f>
        <x:v>AmountIncludingTax缺失</x:v>
      </x:c>
      <x:c r="F3721" s="19" t="str">
        <x:v>approved</x:v>
      </x:c>
      <x:c r="G3721" s="19" t="str">
        <x:v>Repair in Progress</x:v>
      </x:c>
      <x:c r="H3721" s="19" t="str">
        <x:v>In Field</x:v>
      </x:c>
      <x:c r="I3721" s="37" t="n">
        <x:v>46087</x:v>
      </x:c>
      <x:c r="J3721" s="37" t="n">
        <x:v>46087</x:v>
      </x:c>
      <x:c r="K3721" s="19" t="str">
        <x:v>Not Assigned</x:v>
      </x:c>
      <x:c r="L3721" s="19" t="str">
        <x:v>Z006</x:v>
      </x:c>
      <x:c r="M3721" s="19" t="str">
        <x:v>In Field Warranty Claims</x:v>
      </x:c>
      <x:c r="N3721" s="37" t="n">
        <x:v>46057</x:v>
      </x:c>
      <x:c r="O3721" s="37"/>
      <x:c r="P3721" s="34" t="n">
        <x:v>0</x:v>
      </x:c>
      <x:c r="Q3721" s="37" t="n">
        <x:v>46086.89706018518</x:v>
      </x:c>
    </x:row>
    <x:row r="3722">
      <x:c r="A3722" s="22" t="n">
        <x:v>30739</x:v>
      </x:c>
      <x:c r="B3722" s="28" t="n">
        <x:v>1243.76</x:v>
      </x:c>
      <x:c r="C3722" s="28"/>
      <x:c r="D3722" s="31" t="str">
        <x:f>IF(OR(ISBLANK(B3722),ISBLANK(C3722),B3722=0),"",(C3722-B3722)/B3722)</x:f>
      </x:c>
      <x:c r="E3722" s="22" t="str">
        <x:f>IF(ISBLANK(C3722),"AmountIncludingTax缺失",IF(ABS(B3722-C3722)&lt;0.005,"一致","不一致"))</x:f>
        <x:v>AmountIncludingTax缺失</x:v>
      </x:c>
      <x:c r="F3722" s="19" t="str">
        <x:v>approved</x:v>
      </x:c>
      <x:c r="G3722" s="19" t="str">
        <x:v>Repairer Invoiced Processed</x:v>
      </x:c>
      <x:c r="H3722" s="19" t="str">
        <x:v>In Field</x:v>
      </x:c>
      <x:c r="I3722" s="37" t="n">
        <x:v>46059</x:v>
      </x:c>
      <x:c r="J3722" s="37" t="n">
        <x:v>46059</x:v>
      </x:c>
      <x:c r="K3722" s="19" t="str">
        <x:v>Regent RV Pty Ltd</x:v>
      </x:c>
      <x:c r="L3722" s="19" t="str">
        <x:v>Z006</x:v>
      </x:c>
      <x:c r="M3722" s="19" t="str">
        <x:v>In Field Warranty Claims</x:v>
      </x:c>
      <x:c r="N3722" s="37" t="n">
        <x:v>46059</x:v>
      </x:c>
      <x:c r="O3722" s="37"/>
      <x:c r="P3722" s="34" t="n">
        <x:v>1368.14</x:v>
      </x:c>
      <x:c r="Q3722" s="37" t="n">
        <x:v>46059.142743055556</x:v>
      </x:c>
    </x:row>
    <x:row r="3723">
      <x:c r="A3723" s="22" t="n">
        <x:v>30737</x:v>
      </x:c>
      <x:c r="B3723" s="28" t="n">
        <x:v>69.09</x:v>
      </x:c>
      <x:c r="C3723" s="28"/>
      <x:c r="D3723" s="31" t="str">
        <x:f>IF(OR(ISBLANK(B3723),ISBLANK(C3723),B3723=0),"",(C3723-B3723)/B3723)</x:f>
      </x:c>
      <x:c r="E3723" s="22" t="str">
        <x:f>IF(ISBLANK(C3723),"AmountIncludingTax缺失",IF(ABS(B3723-C3723)&lt;0.005,"一致","不一致"))</x:f>
        <x:v>AmountIncludingTax缺失</x:v>
      </x:c>
      <x:c r="F3723" s="19" t="str">
        <x:v>approved</x:v>
      </x:c>
      <x:c r="G3723" s="19" t="str">
        <x:v>Repairer Invoiced Processed</x:v>
      </x:c>
      <x:c r="H3723" s="19" t="str">
        <x:v>In Field</x:v>
      </x:c>
      <x:c r="I3723" s="37" t="n">
        <x:v>46072</x:v>
      </x:c>
      <x:c r="J3723" s="37" t="n">
        <x:v>46072</x:v>
      </x:c>
      <x:c r="K3723" s="19" t="str">
        <x:v>Auswide Caravans - South Nowra</x:v>
      </x:c>
      <x:c r="L3723" s="19" t="str">
        <x:v>Z006</x:v>
      </x:c>
      <x:c r="M3723" s="19" t="str">
        <x:v>In Field Warranty Claims</x:v>
      </x:c>
      <x:c r="N3723" s="37" t="n">
        <x:v>46058</x:v>
      </x:c>
      <x:c r="O3723" s="37"/>
      <x:c r="P3723" s="34" t="n">
        <x:v>0</x:v>
      </x:c>
      <x:c r="Q3723" s="37" t="n">
        <x:v>46071.923263888886</x:v>
      </x:c>
    </x:row>
    <x:row r="3724">
      <x:c r="A3724" s="22" t="n">
        <x:v>30729</x:v>
      </x:c>
      <x:c r="B3724" s="28" t="n">
        <x:v>431</x:v>
      </x:c>
      <x:c r="C3724" s="28"/>
      <x:c r="D3724" s="31" t="str">
        <x:f>IF(OR(ISBLANK(B3724),ISBLANK(C3724),B3724=0),"",(C3724-B3724)/B3724)</x:f>
      </x:c>
      <x:c r="E3724" s="22" t="str">
        <x:f>IF(ISBLANK(C3724),"AmountIncludingTax缺失",IF(ABS(B3724-C3724)&lt;0.005,"一致","不一致"))</x:f>
        <x:v>AmountIncludingTax缺失</x:v>
      </x:c>
      <x:c r="F3724" s="19" t="str">
        <x:v>approved</x:v>
      </x:c>
      <x:c r="G3724" s="19" t="str">
        <x:v>Repair in Progress</x:v>
      </x:c>
      <x:c r="H3724" s="19" t="str">
        <x:v>In Field</x:v>
      </x:c>
      <x:c r="I3724" s="37" t="n">
        <x:v>46115</x:v>
      </x:c>
      <x:c r="J3724" s="37" t="n">
        <x:v>46115</x:v>
      </x:c>
      <x:c r="K3724" s="19" t="str">
        <x:v>Regent RV - Townsville</x:v>
      </x:c>
      <x:c r="L3724" s="19" t="str">
        <x:v>Z006</x:v>
      </x:c>
      <x:c r="M3724" s="19" t="str">
        <x:v>In Field Warranty Claims</x:v>
      </x:c>
      <x:c r="N3724" s="37" t="n">
        <x:v>46057</x:v>
      </x:c>
      <x:c r="O3724" s="37"/>
      <x:c r="P3724" s="34" t="n">
        <x:v>0</x:v>
      </x:c>
      <x:c r="Q3724" s="37" t="n">
        <x:v>46115.484189814815</x:v>
      </x:c>
    </x:row>
    <x:row r="3725">
      <x:c r="A3725" s="22" t="n">
        <x:v>30728</x:v>
      </x:c>
      <x:c r="B3725" s="28" t="n">
        <x:v>135.91</x:v>
      </x:c>
      <x:c r="C3725" s="28" t="n">
        <x:v>149.5</x:v>
      </x:c>
      <x:c r="D3725" s="31" t="n">
        <x:f>IF(OR(ISBLANK(B3725),ISBLANK(C3725),B3725=0),"",(C3725-B3725)/B3725)</x:f>
        <x:v>0.09999264218968437</x:v>
      </x:c>
      <x:c r="E3725" s="22" t="str">
        <x:f>IF(ISBLANK(C3725),"AmountIncludingTax缺失",IF(ABS(B3725-C3725)&lt;0.005,"一致","不一致"))</x:f>
        <x:v>不一致</x:v>
      </x:c>
      <x:c r="F3725" s="19" t="str">
        <x:v>approved</x:v>
      </x:c>
      <x:c r="G3725" s="19" t="str">
        <x:v>Repairer Invoiced Processed</x:v>
      </x:c>
      <x:c r="H3725" s="19" t="str">
        <x:v>In Field</x:v>
      </x:c>
      <x:c r="I3725" s="37" t="n">
        <x:v>46167</x:v>
      </x:c>
      <x:c r="J3725" s="37" t="n">
        <x:v>46167</x:v>
      </x:c>
      <x:c r="K3725" s="19" t="str">
        <x:v>Green RV - Forest Glen</x:v>
      </x:c>
      <x:c r="L3725" s="19" t="str">
        <x:v>Z006</x:v>
      </x:c>
      <x:c r="M3725" s="19" t="str">
        <x:v>In Field Warranty Claims</x:v>
      </x:c>
      <x:c r="N3725" s="37" t="n">
        <x:v>46057</x:v>
      </x:c>
      <x:c r="O3725" s="37"/>
      <x:c r="P3725" s="34" t="n">
        <x:v>149.5</x:v>
      </x:c>
      <x:c r="Q3725" s="37" t="n">
        <x:v>46166.97515046296</x:v>
      </x:c>
    </x:row>
    <x:row r="3726">
      <x:c r="A3726" s="22" t="n">
        <x:v>30727</x:v>
      </x:c>
      <x:c r="B3726" s="28" t="n">
        <x:v>1984.55</x:v>
      </x:c>
      <x:c r="C3726" s="28"/>
      <x:c r="D3726" s="31" t="str">
        <x:f>IF(OR(ISBLANK(B3726),ISBLANK(C3726),B3726=0),"",(C3726-B3726)/B3726)</x:f>
      </x:c>
      <x:c r="E3726" s="22" t="str">
        <x:f>IF(ISBLANK(C3726),"AmountIncludingTax缺失",IF(ABS(B3726-C3726)&lt;0.005,"一致","不一致"))</x:f>
        <x:v>AmountIncludingTax缺失</x:v>
      </x:c>
      <x:c r="F3726" s="19" t="str">
        <x:v>approved</x:v>
      </x:c>
      <x:c r="G3726" s="19" t="str">
        <x:v>Repairer Invoiced Processed</x:v>
      </x:c>
      <x:c r="H3726" s="19" t="str">
        <x:v>In Field</x:v>
      </x:c>
      <x:c r="I3726" s="37" t="n">
        <x:v>46190</x:v>
      </x:c>
      <x:c r="J3726" s="37" t="n">
        <x:v>46188</x:v>
      </x:c>
      <x:c r="K3726" s="19" t="str">
        <x:v>Regent RV - Perth</x:v>
      </x:c>
      <x:c r="L3726" s="19" t="str">
        <x:v>Z006</x:v>
      </x:c>
      <x:c r="M3726" s="19" t="str">
        <x:v>In Field Warranty Claims</x:v>
      </x:c>
      <x:c r="N3726" s="37" t="n">
        <x:v>46057</x:v>
      </x:c>
      <x:c r="O3726" s="37"/>
      <x:c r="P3726" s="34" t="n">
        <x:v>2182.99</x:v>
      </x:c>
      <x:c r="Q3726" s="37" t="n">
        <x:v>46190.26461805555</x:v>
      </x:c>
    </x:row>
    <x:row r="3727">
      <x:c r="A3727" s="22" t="n">
        <x:v>30724</x:v>
      </x:c>
      <x:c r="B3727" s="28" t="n">
        <x:v>540</x:v>
      </x:c>
      <x:c r="C3727" s="28"/>
      <x:c r="D3727" s="31" t="str">
        <x:f>IF(OR(ISBLANK(B3727),ISBLANK(C3727),B3727=0),"",(C3727-B3727)/B3727)</x:f>
      </x:c>
      <x:c r="E3727" s="22" t="str">
        <x:f>IF(ISBLANK(C3727),"AmountIncludingTax缺失",IF(ABS(B3727-C3727)&lt;0.005,"一致","不一致"))</x:f>
        <x:v>AmountIncludingTax缺失</x:v>
      </x:c>
      <x:c r="F3727" s="19" t="str">
        <x:v>approved</x:v>
      </x:c>
      <x:c r="G3727" s="19" t="str">
        <x:v>Repairer Invoiced Processed</x:v>
      </x:c>
      <x:c r="H3727" s="19" t="str">
        <x:v>In Field</x:v>
      </x:c>
      <x:c r="I3727" s="37" t="n">
        <x:v>46093</x:v>
      </x:c>
      <x:c r="J3727" s="37" t="n">
        <x:v>46093</x:v>
      </x:c>
      <x:c r="K3727" s="19" t="str">
        <x:v>Green RV - Forest Glen</x:v>
      </x:c>
      <x:c r="L3727" s="19" t="str">
        <x:v>Z006</x:v>
      </x:c>
      <x:c r="M3727" s="19" t="str">
        <x:v>In Field Warranty Claims</x:v>
      </x:c>
      <x:c r="N3727" s="37" t="n">
        <x:v>46057</x:v>
      </x:c>
      <x:c r="O3727" s="37"/>
      <x:c r="P3727" s="34" t="n">
        <x:v>0</x:v>
      </x:c>
      <x:c r="Q3727" s="37" t="n">
        <x:v>46093.49134259259</x:v>
      </x:c>
    </x:row>
    <x:row r="3728">
      <x:c r="A3728" s="22" t="n">
        <x:v>30723</x:v>
      </x:c>
      <x:c r="B3728" s="28" t="n">
        <x:v>168.75</x:v>
      </x:c>
      <x:c r="C3728" s="28"/>
      <x:c r="D3728" s="31" t="str">
        <x:f>IF(OR(ISBLANK(B3728),ISBLANK(C3728),B3728=0),"",(C3728-B3728)/B3728)</x:f>
      </x:c>
      <x:c r="E3728" s="22" t="str">
        <x:f>IF(ISBLANK(C3728),"AmountIncludingTax缺失",IF(ABS(B3728-C3728)&lt;0.005,"一致","不一致"))</x:f>
        <x:v>AmountIncludingTax缺失</x:v>
      </x:c>
      <x:c r="F3728" s="19" t="str">
        <x:v>approved</x:v>
      </x:c>
      <x:c r="G3728" s="19" t="str">
        <x:v>Repair in Progress</x:v>
      </x:c>
      <x:c r="H3728" s="19" t="str">
        <x:v>In Field</x:v>
      </x:c>
      <x:c r="I3728" s="37" t="n">
        <x:v>46075</x:v>
      </x:c>
      <x:c r="J3728" s="37" t="n">
        <x:v>46075</x:v>
      </x:c>
      <x:c r="K3728" s="19" t="str">
        <x:v>Green RV - Forest Glen</x:v>
      </x:c>
      <x:c r="L3728" s="19" t="str">
        <x:v>Z006</x:v>
      </x:c>
      <x:c r="M3728" s="19" t="str">
        <x:v>In Field Warranty Claims</x:v>
      </x:c>
      <x:c r="N3728" s="37" t="n">
        <x:v>46057</x:v>
      </x:c>
      <x:c r="O3728" s="37"/>
      <x:c r="P3728" s="34" t="n">
        <x:v>0</x:v>
      </x:c>
      <x:c r="Q3728" s="37" t="n">
        <x:v>46075.151354166665</x:v>
      </x:c>
    </x:row>
    <x:row r="3729">
      <x:c r="A3729" s="22" t="n">
        <x:v>30722</x:v>
      </x:c>
      <x:c r="B3729" s="28" t="n">
        <x:v>67.5</x:v>
      </x:c>
      <x:c r="C3729" s="28"/>
      <x:c r="D3729" s="31" t="str">
        <x:f>IF(OR(ISBLANK(B3729),ISBLANK(C3729),B3729=0),"",(C3729-B3729)/B3729)</x:f>
      </x:c>
      <x:c r="E3729" s="22" t="str">
        <x:f>IF(ISBLANK(C3729),"AmountIncludingTax缺失",IF(ABS(B3729-C3729)&lt;0.005,"一致","不一致"))</x:f>
        <x:v>AmountIncludingTax缺失</x:v>
      </x:c>
      <x:c r="F3729" s="19" t="str">
        <x:v>approved</x:v>
      </x:c>
      <x:c r="G3729" s="19" t="str">
        <x:v>Repairer Invoiced Processed</x:v>
      </x:c>
      <x:c r="H3729" s="19" t="str">
        <x:v>In Field</x:v>
      </x:c>
      <x:c r="I3729" s="37" t="n">
        <x:v>46065</x:v>
      </x:c>
      <x:c r="J3729" s="37" t="n">
        <x:v>46065</x:v>
      </x:c>
      <x:c r="K3729" s="19" t="str">
        <x:v>Green RV - Forest Glen</x:v>
      </x:c>
      <x:c r="L3729" s="19" t="str">
        <x:v>Z006</x:v>
      </x:c>
      <x:c r="M3729" s="19" t="str">
        <x:v>In Field Warranty Claims</x:v>
      </x:c>
      <x:c r="N3729" s="37" t="n">
        <x:v>46057</x:v>
      </x:c>
      <x:c r="O3729" s="37"/>
      <x:c r="P3729" s="34" t="n">
        <x:v>0</x:v>
      </x:c>
      <x:c r="Q3729" s="37" t="n">
        <x:v>46065.23409722222</x:v>
      </x:c>
    </x:row>
    <x:row r="3730">
      <x:c r="A3730" s="22" t="n">
        <x:v>30721</x:v>
      </x:c>
      <x:c r="B3730" s="28" t="n">
        <x:v>397.55</x:v>
      </x:c>
      <x:c r="C3730" s="28" t="n">
        <x:v>437.31</x:v>
      </x:c>
      <x:c r="D3730" s="31" t="n">
        <x:f>IF(OR(ISBLANK(B3730),ISBLANK(C3730),B3730=0),"",(C3730-B3730)/B3730)</x:f>
        <x:v>0.10001257703433528</x:v>
      </x:c>
      <x:c r="E3730" s="22" t="str">
        <x:f>IF(ISBLANK(C3730),"AmountIncludingTax缺失",IF(ABS(B3730-C3730)&lt;0.005,"一致","不一致"))</x:f>
        <x:v>不一致</x:v>
      </x:c>
      <x:c r="F3730" s="19" t="str">
        <x:v>approved</x:v>
      </x:c>
      <x:c r="G3730" s="19" t="str">
        <x:v>Repairer Invoiced Processed</x:v>
      </x:c>
      <x:c r="H3730" s="19" t="str">
        <x:v>Pre Delivery</x:v>
      </x:c>
      <x:c r="I3730" s="37" t="n">
        <x:v>46134</x:v>
      </x:c>
      <x:c r="J3730" s="37" t="n">
        <x:v>46134</x:v>
      </x:c>
      <x:c r="K3730" s="19" t="str">
        <x:v>Green RV - Forest Glen</x:v>
      </x:c>
      <x:c r="L3730" s="19" t="str">
        <x:v>Z005</x:v>
      </x:c>
      <x:c r="M3730" s="19" t="str">
        <x:v>Pre Delivery Warranty Claims</x:v>
      </x:c>
      <x:c r="N3730" s="37" t="n">
        <x:v>46057</x:v>
      </x:c>
      <x:c r="O3730" s="37"/>
      <x:c r="P3730" s="34" t="n">
        <x:v>437.31</x:v>
      </x:c>
      <x:c r="Q3730" s="37" t="n">
        <x:v>46134.04636574074</x:v>
      </x:c>
    </x:row>
    <x:row r="3731">
      <x:c r="A3731" s="22" t="n">
        <x:v>30720</x:v>
      </x:c>
      <x:c r="B3731" s="28" t="n">
        <x:v>1360.5</x:v>
      </x:c>
      <x:c r="C3731" s="28"/>
      <x:c r="D3731" s="31" t="str">
        <x:f>IF(OR(ISBLANK(B3731),ISBLANK(C3731),B3731=0),"",(C3731-B3731)/B3731)</x:f>
      </x:c>
      <x:c r="E3731" s="22" t="str">
        <x:f>IF(ISBLANK(C3731),"AmountIncludingTax缺失",IF(ABS(B3731-C3731)&lt;0.005,"一致","不一致"))</x:f>
        <x:v>AmountIncludingTax缺失</x:v>
      </x:c>
      <x:c r="F3731" s="19" t="str">
        <x:v>approved</x:v>
      </x:c>
      <x:c r="G3731" s="19" t="str">
        <x:v>Repair in Progress</x:v>
      </x:c>
      <x:c r="H3731" s="19" t="str">
        <x:v>In Field</x:v>
      </x:c>
      <x:c r="I3731" s="37" t="n">
        <x:v>46101</x:v>
      </x:c>
      <x:c r="J3731" s="37" t="n">
        <x:v>46101</x:v>
      </x:c>
      <x:c r="K3731" s="19" t="str">
        <x:v>Green RV - Forest Glen</x:v>
      </x:c>
      <x:c r="L3731" s="19" t="str">
        <x:v>Z006</x:v>
      </x:c>
      <x:c r="M3731" s="19" t="str">
        <x:v>In Field Warranty Claims</x:v>
      </x:c>
      <x:c r="N3731" s="37" t="n">
        <x:v>46057</x:v>
      </x:c>
      <x:c r="O3731" s="37"/>
      <x:c r="P3731" s="34" t="n">
        <x:v>0</x:v>
      </x:c>
      <x:c r="Q3731" s="37" t="n">
        <x:v>46101.17679398148</x:v>
      </x:c>
    </x:row>
    <x:row r="3732">
      <x:c r="A3732" s="22" t="n">
        <x:v>30718</x:v>
      </x:c>
      <x:c r="B3732" s="28" t="n">
        <x:v>1323.75</x:v>
      </x:c>
      <x:c r="C3732" s="28"/>
      <x:c r="D3732" s="31" t="str">
        <x:f>IF(OR(ISBLANK(B3732),ISBLANK(C3732),B3732=0),"",(C3732-B3732)/B3732)</x:f>
      </x:c>
      <x:c r="E3732" s="22" t="str">
        <x:f>IF(ISBLANK(C3732),"AmountIncludingTax缺失",IF(ABS(B3732-C3732)&lt;0.005,"一致","不一致"))</x:f>
        <x:v>AmountIncludingTax缺失</x:v>
      </x:c>
      <x:c r="F3732" s="19" t="str">
        <x:v>approved</x:v>
      </x:c>
      <x:c r="G3732" s="19" t="str">
        <x:v>Sales Order Approved</x:v>
      </x:c>
      <x:c r="H3732" s="19" t="str">
        <x:v>Pre Delivery</x:v>
      </x:c>
      <x:c r="I3732" s="37" t="n">
        <x:v>46154</x:v>
      </x:c>
      <x:c r="J3732" s="37" t="n">
        <x:v>46154</x:v>
      </x:c>
      <x:c r="K3732" s="19" t="str">
        <x:v>Regent RV - Townsville</x:v>
      </x:c>
      <x:c r="L3732" s="19" t="str">
        <x:v>Z005</x:v>
      </x:c>
      <x:c r="M3732" s="19" t="str">
        <x:v>Pre Delivery Warranty Claims</x:v>
      </x:c>
      <x:c r="N3732" s="37" t="n">
        <x:v>46057</x:v>
      </x:c>
      <x:c r="O3732" s="37"/>
      <x:c r="P3732" s="34" t="n">
        <x:v>0</x:v>
      </x:c>
      <x:c r="Q3732" s="37" t="n">
        <x:v>46153.976747685185</x:v>
      </x:c>
    </x:row>
    <x:row r="3733">
      <x:c r="A3733" s="22" t="n">
        <x:v>30717</x:v>
      </x:c>
      <x:c r="B3733" s="28" t="n">
        <x:v>857.88</x:v>
      </x:c>
      <x:c r="C3733" s="28"/>
      <x:c r="D3733" s="31" t="str">
        <x:f>IF(OR(ISBLANK(B3733),ISBLANK(C3733),B3733=0),"",(C3733-B3733)/B3733)</x:f>
      </x:c>
      <x:c r="E3733" s="22" t="str">
        <x:f>IF(ISBLANK(C3733),"AmountIncludingTax缺失",IF(ABS(B3733-C3733)&lt;0.005,"一致","不一致"))</x:f>
        <x:v>AmountIncludingTax缺失</x:v>
      </x:c>
      <x:c r="F3733" s="19" t="str">
        <x:v>approved</x:v>
      </x:c>
      <x:c r="G3733" s="19" t="str">
        <x:v>Repair in Progress</x:v>
      </x:c>
      <x:c r="H3733" s="19" t="str">
        <x:v>In Field</x:v>
      </x:c>
      <x:c r="I3733" s="37" t="n">
        <x:v>46070</x:v>
      </x:c>
      <x:c r="J3733" s="37" t="n">
        <x:v>46070</x:v>
      </x:c>
      <x:c r="K3733" s="19" t="str">
        <x:v>Regent RV - Toowoomba</x:v>
      </x:c>
      <x:c r="L3733" s="19" t="str">
        <x:v>Z006</x:v>
      </x:c>
      <x:c r="M3733" s="19" t="str">
        <x:v>In Field Warranty Claims</x:v>
      </x:c>
      <x:c r="N3733" s="37" t="n">
        <x:v>46057</x:v>
      </x:c>
      <x:c r="O3733" s="37"/>
      <x:c r="P3733" s="34" t="n">
        <x:v>0</x:v>
      </x:c>
      <x:c r="Q3733" s="37" t="n">
        <x:v>46070.083645833336</x:v>
      </x:c>
    </x:row>
    <x:row r="3734">
      <x:c r="A3734" s="22" t="n">
        <x:v>30716</x:v>
      </x:c>
      <x:c r="B3734" s="28" t="n">
        <x:v>3960.91</x:v>
      </x:c>
      <x:c r="C3734" s="28"/>
      <x:c r="D3734" s="31" t="str">
        <x:f>IF(OR(ISBLANK(B3734),ISBLANK(C3734),B3734=0),"",(C3734-B3734)/B3734)</x:f>
      </x:c>
      <x:c r="E3734" s="22" t="str">
        <x:f>IF(ISBLANK(C3734),"AmountIncludingTax缺失",IF(ABS(B3734-C3734)&lt;0.005,"一致","不一致"))</x:f>
        <x:v>AmountIncludingTax缺失</x:v>
      </x:c>
      <x:c r="F3734" s="19" t="str">
        <x:v>approved</x:v>
      </x:c>
      <x:c r="G3734" s="19" t="str">
        <x:v>Repair in Progress</x:v>
      </x:c>
      <x:c r="H3734" s="19" t="str">
        <x:v>In Field</x:v>
      </x:c>
      <x:c r="I3734" s="37" t="n">
        <x:v>46160</x:v>
      </x:c>
      <x:c r="J3734" s="37" t="n">
        <x:v>46160</x:v>
      </x:c>
      <x:c r="K3734" s="19" t="str">
        <x:v>Green RV - Forest Glen</x:v>
      </x:c>
      <x:c r="L3734" s="19" t="str">
        <x:v>Z006</x:v>
      </x:c>
      <x:c r="M3734" s="19" t="str">
        <x:v>In Field Warranty Claims</x:v>
      </x:c>
      <x:c r="N3734" s="37" t="n">
        <x:v>46057</x:v>
      </x:c>
      <x:c r="O3734" s="37"/>
      <x:c r="P3734" s="34" t="n">
        <x:v>4357</x:v>
      </x:c>
      <x:c r="Q3734" s="37" t="n">
        <x:v>46160.24637731481</x:v>
      </x:c>
    </x:row>
    <x:row r="3735">
      <x:c r="A3735" s="22" t="n">
        <x:v>30714</x:v>
      </x:c>
      <x:c r="B3735" s="28" t="n">
        <x:v>830</x:v>
      </x:c>
      <x:c r="C3735" s="28"/>
      <x:c r="D3735" s="31" t="str">
        <x:f>IF(OR(ISBLANK(B3735),ISBLANK(C3735),B3735=0),"",(C3735-B3735)/B3735)</x:f>
      </x:c>
      <x:c r="E3735" s="22" t="str">
        <x:f>IF(ISBLANK(C3735),"AmountIncludingTax缺失",IF(ABS(B3735-C3735)&lt;0.005,"一致","不一致"))</x:f>
        <x:v>AmountIncludingTax缺失</x:v>
      </x:c>
      <x:c r="F3735" s="19" t="str">
        <x:v>approved</x:v>
      </x:c>
      <x:c r="G3735" s="19" t="str">
        <x:v>Repair in Progress</x:v>
      </x:c>
      <x:c r="H3735" s="19" t="str">
        <x:v>Pre Delivery</x:v>
      </x:c>
      <x:c r="I3735" s="37" t="n">
        <x:v>46066</x:v>
      </x:c>
      <x:c r="J3735" s="37" t="n">
        <x:v>46066</x:v>
      </x:c>
      <x:c r="K3735" s="19" t="str">
        <x:v>Green RV - Slacks Creek</x:v>
      </x:c>
      <x:c r="L3735" s="19" t="str">
        <x:v>Z005</x:v>
      </x:c>
      <x:c r="M3735" s="19" t="str">
        <x:v>Pre Delivery Warranty Claims</x:v>
      </x:c>
      <x:c r="N3735" s="37" t="n">
        <x:v>46057</x:v>
      </x:c>
      <x:c r="O3735" s="37"/>
      <x:c r="P3735" s="34" t="n">
        <x:v>0</x:v>
      </x:c>
      <x:c r="Q3735" s="37" t="n">
        <x:v>46066.20416666667</x:v>
      </x:c>
    </x:row>
    <x:row r="3736">
      <x:c r="A3736" s="22" t="n">
        <x:v>30713</x:v>
      </x:c>
      <x:c r="B3736" s="28" t="n">
        <x:v>403.28</x:v>
      </x:c>
      <x:c r="C3736" s="28" t="n">
        <x:v>443.61</x:v>
      </x:c>
      <x:c r="D3736" s="31" t="n">
        <x:f>IF(OR(ISBLANK(B3736),ISBLANK(C3736),B3736=0),"",(C3736-B3736)/B3736)</x:f>
        <x:v>0.10000495933346569</x:v>
      </x:c>
      <x:c r="E3736" s="22" t="str">
        <x:f>IF(ISBLANK(C3736),"AmountIncludingTax缺失",IF(ABS(B3736-C3736)&lt;0.005,"一致","不一致"))</x:f>
        <x:v>不一致</x:v>
      </x:c>
      <x:c r="F3736" s="19" t="str">
        <x:v>approved</x:v>
      </x:c>
      <x:c r="G3736" s="19" t="str">
        <x:v>Repair in Progress</x:v>
      </x:c>
      <x:c r="H3736" s="19" t="str">
        <x:v>In Field</x:v>
      </x:c>
      <x:c r="I3736" s="37" t="n">
        <x:v>46065</x:v>
      </x:c>
      <x:c r="J3736" s="37" t="n">
        <x:v>46065</x:v>
      </x:c>
      <x:c r="K3736" s="19" t="str">
        <x:v>Green RV - Forest Glen</x:v>
      </x:c>
      <x:c r="L3736" s="19" t="str">
        <x:v>Z006</x:v>
      </x:c>
      <x:c r="M3736" s="19" t="str">
        <x:v>In Field Warranty Claims</x:v>
      </x:c>
      <x:c r="N3736" s="37" t="n">
        <x:v>46057</x:v>
      </x:c>
      <x:c r="O3736" s="37"/>
      <x:c r="P3736" s="34" t="n">
        <x:v>443.61</x:v>
      </x:c>
      <x:c r="Q3736" s="37" t="n">
        <x:v>46065.200787037036</x:v>
      </x:c>
    </x:row>
    <x:row r="3737">
      <x:c r="A3737" s="22" t="n">
        <x:v>30712</x:v>
      </x:c>
      <x:c r="B3737" s="28" t="n">
        <x:v>1336.25</x:v>
      </x:c>
      <x:c r="C3737" s="28"/>
      <x:c r="D3737" s="31" t="str">
        <x:f>IF(OR(ISBLANK(B3737),ISBLANK(C3737),B3737=0),"",(C3737-B3737)/B3737)</x:f>
      </x:c>
      <x:c r="E3737" s="22" t="str">
        <x:f>IF(ISBLANK(C3737),"AmountIncludingTax缺失",IF(ABS(B3737-C3737)&lt;0.005,"一致","不一致"))</x:f>
        <x:v>AmountIncludingTax缺失</x:v>
      </x:c>
      <x:c r="F3737" s="19" t="str">
        <x:v>approved</x:v>
      </x:c>
      <x:c r="G3737" s="19" t="str">
        <x:v>Sales Order Approved</x:v>
      </x:c>
      <x:c r="H3737" s="19" t="str">
        <x:v>Pre Delivery</x:v>
      </x:c>
      <x:c r="I3737" s="37" t="n">
        <x:v>46133</x:v>
      </x:c>
      <x:c r="J3737" s="37" t="n">
        <x:v>46133</x:v>
      </x:c>
      <x:c r="K3737" s="19" t="str">
        <x:v>Green RV - Forest Glen</x:v>
      </x:c>
      <x:c r="L3737" s="19" t="str">
        <x:v>Z005</x:v>
      </x:c>
      <x:c r="M3737" s="19" t="str">
        <x:v>Pre Delivery Warranty Claims</x:v>
      </x:c>
      <x:c r="N3737" s="37" t="n">
        <x:v>46057</x:v>
      </x:c>
      <x:c r="O3737" s="37"/>
      <x:c r="P3737" s="34" t="n">
        <x:v>0</x:v>
      </x:c>
      <x:c r="Q3737" s="37" t="n">
        <x:v>46133.15412037037</x:v>
      </x:c>
    </x:row>
    <x:row r="3738">
      <x:c r="A3738" s="22" t="n">
        <x:v>30711</x:v>
      </x:c>
      <x:c r="B3738" s="28" t="n">
        <x:v>540</x:v>
      </x:c>
      <x:c r="C3738" s="28" t="n">
        <x:v>594</x:v>
      </x:c>
      <x:c r="D3738" s="31" t="n">
        <x:f>IF(OR(ISBLANK(B3738),ISBLANK(C3738),B3738=0),"",(C3738-B3738)/B3738)</x:f>
        <x:v>0.1</x:v>
      </x:c>
      <x:c r="E3738" s="22" t="str">
        <x:f>IF(ISBLANK(C3738),"AmountIncludingTax缺失",IF(ABS(B3738-C3738)&lt;0.005,"一致","不一致"))</x:f>
        <x:v>不一致</x:v>
      </x:c>
      <x:c r="F3738" s="19" t="str">
        <x:v>approved</x:v>
      </x:c>
      <x:c r="G3738" s="19" t="str">
        <x:v>Repairer Invoiced Processed</x:v>
      </x:c>
      <x:c r="H3738" s="19" t="str">
        <x:v>Pre Delivery</x:v>
      </x:c>
      <x:c r="I3738" s="37" t="n">
        <x:v>46079</x:v>
      </x:c>
      <x:c r="J3738" s="37" t="n">
        <x:v>46079</x:v>
      </x:c>
      <x:c r="K3738" s="19" t="str">
        <x:v>Green RV - Forest Glen</x:v>
      </x:c>
      <x:c r="L3738" s="19" t="str">
        <x:v>Z005</x:v>
      </x:c>
      <x:c r="M3738" s="19" t="str">
        <x:v>Pre Delivery Warranty Claims</x:v>
      </x:c>
      <x:c r="N3738" s="37" t="n">
        <x:v>46057</x:v>
      </x:c>
      <x:c r="O3738" s="37"/>
      <x:c r="P3738" s="34" t="n">
        <x:v>594</x:v>
      </x:c>
      <x:c r="Q3738" s="37" t="n">
        <x:v>46079.15688657408</x:v>
      </x:c>
    </x:row>
    <x:row r="3739">
      <x:c r="A3739" s="22" t="n">
        <x:v>30705</x:v>
      </x:c>
      <x:c r="B3739" s="28" t="n">
        <x:v>2073.55</x:v>
      </x:c>
      <x:c r="C3739" s="28"/>
      <x:c r="D3739" s="31" t="str">
        <x:f>IF(OR(ISBLANK(B3739),ISBLANK(C3739),B3739=0),"",(C3739-B3739)/B3739)</x:f>
      </x:c>
      <x:c r="E3739" s="22" t="str">
        <x:f>IF(ISBLANK(C3739),"AmountIncludingTax缺失",IF(ABS(B3739-C3739)&lt;0.005,"一致","不一致"))</x:f>
        <x:v>AmountIncludingTax缺失</x:v>
      </x:c>
      <x:c r="F3739" s="19" t="str">
        <x:v>approved</x:v>
      </x:c>
      <x:c r="G3739" s="19" t="str">
        <x:v>Repairer Invoiced Processed</x:v>
      </x:c>
      <x:c r="H3739" s="19" t="str">
        <x:v>In Field</x:v>
      </x:c>
      <x:c r="I3739" s="37" t="n">
        <x:v>46101</x:v>
      </x:c>
      <x:c r="J3739" s="37" t="n">
        <x:v>46101</x:v>
      </x:c>
      <x:c r="K3739" s="19" t="str">
        <x:v>Green RV - Forest Glen</x:v>
      </x:c>
      <x:c r="L3739" s="19" t="str">
        <x:v>Z006</x:v>
      </x:c>
      <x:c r="M3739" s="19" t="str">
        <x:v>In Field Warranty Claims</x:v>
      </x:c>
      <x:c r="N3739" s="37" t="n">
        <x:v>46057</x:v>
      </x:c>
      <x:c r="O3739" s="37"/>
      <x:c r="P3739" s="34" t="n">
        <x:v>2280.91</x:v>
      </x:c>
      <x:c r="Q3739" s="37" t="n">
        <x:v>46101.20631944444</x:v>
      </x:c>
    </x:row>
    <x:row r="3740">
      <x:c r="A3740" s="22" t="n">
        <x:v>30704</x:v>
      </x:c>
      <x:c r="B3740" s="28" t="n">
        <x:v>122.73</x:v>
      </x:c>
      <x:c r="C3740" s="28" t="n">
        <x:v>135</x:v>
      </x:c>
      <x:c r="D3740" s="31" t="n">
        <x:f>IF(OR(ISBLANK(B3740),ISBLANK(C3740),B3740=0),"",(C3740-B3740)/B3740)</x:f>
        <x:v>0.09997555609875333</x:v>
      </x:c>
      <x:c r="E3740" s="22" t="str">
        <x:f>IF(ISBLANK(C3740),"AmountIncludingTax缺失",IF(ABS(B3740-C3740)&lt;0.005,"一致","不一致"))</x:f>
        <x:v>不一致</x:v>
      </x:c>
      <x:c r="F3740" s="19" t="str">
        <x:v>approved</x:v>
      </x:c>
      <x:c r="G3740" s="19" t="str">
        <x:v>Repairer Invoiced Processed</x:v>
      </x:c>
      <x:c r="H3740" s="19" t="str">
        <x:v>In Field</x:v>
      </x:c>
      <x:c r="I3740" s="37" t="n">
        <x:v>46065</x:v>
      </x:c>
      <x:c r="J3740" s="37" t="n">
        <x:v>46065</x:v>
      </x:c>
      <x:c r="K3740" s="19" t="str">
        <x:v>Green RV - Forest Glen</x:v>
      </x:c>
      <x:c r="L3740" s="19" t="str">
        <x:v>Z006</x:v>
      </x:c>
      <x:c r="M3740" s="19" t="str">
        <x:v>In Field Warranty Claims</x:v>
      </x:c>
      <x:c r="N3740" s="37" t="n">
        <x:v>46057</x:v>
      </x:c>
      <x:c r="O3740" s="37" t="n">
        <x:v>46099</x:v>
      </x:c>
      <x:c r="P3740" s="34" t="n">
        <x:v>135</x:v>
      </x:c>
      <x:c r="Q3740" s="37" t="n">
        <x:v>46065.25518518518</x:v>
      </x:c>
    </x:row>
    <x:row r="3741">
      <x:c r="A3741" s="22" t="n">
        <x:v>30703</x:v>
      </x:c>
      <x:c r="B3741" s="28" t="n">
        <x:v>3685</x:v>
      </x:c>
      <x:c r="C3741" s="28"/>
      <x:c r="D3741" s="31" t="str">
        <x:f>IF(OR(ISBLANK(B3741),ISBLANK(C3741),B3741=0),"",(C3741-B3741)/B3741)</x:f>
      </x:c>
      <x:c r="E3741" s="22" t="str">
        <x:f>IF(ISBLANK(C3741),"AmountIncludingTax缺失",IF(ABS(B3741-C3741)&lt;0.005,"一致","不一致"))</x:f>
        <x:v>AmountIncludingTax缺失</x:v>
      </x:c>
      <x:c r="F3741" s="19" t="str">
        <x:v>approved</x:v>
      </x:c>
      <x:c r="G3741" s="19" t="str">
        <x:v>Repairer Invoiced Processed</x:v>
      </x:c>
      <x:c r="H3741" s="19" t="str">
        <x:v>In Field</x:v>
      </x:c>
      <x:c r="I3741" s="37" t="n">
        <x:v>46078</x:v>
      </x:c>
      <x:c r="J3741" s="37" t="n">
        <x:v>46078</x:v>
      </x:c>
      <x:c r="K3741" s="19" t="str">
        <x:v>Green RV - Forest Glen</x:v>
      </x:c>
      <x:c r="L3741" s="19" t="str">
        <x:v>Z006</x:v>
      </x:c>
      <x:c r="M3741" s="19" t="str">
        <x:v>In Field Warranty Claims</x:v>
      </x:c>
      <x:c r="N3741" s="37" t="n">
        <x:v>46057</x:v>
      </x:c>
      <x:c r="O3741" s="37"/>
      <x:c r="P3741" s="34" t="n">
        <x:v>4053.5</x:v>
      </x:c>
      <x:c r="Q3741" s="37" t="n">
        <x:v>46078.24082175926</x:v>
      </x:c>
    </x:row>
    <x:row r="3742">
      <x:c r="A3742" s="22" t="n">
        <x:v>30702</x:v>
      </x:c>
      <x:c r="B3742" s="28" t="n">
        <x:v>435</x:v>
      </x:c>
      <x:c r="C3742" s="28" t="n">
        <x:v>478.5</x:v>
      </x:c>
      <x:c r="D3742" s="31" t="n">
        <x:f>IF(OR(ISBLANK(B3742),ISBLANK(C3742),B3742=0),"",(C3742-B3742)/B3742)</x:f>
        <x:v>0.1</x:v>
      </x:c>
      <x:c r="E3742" s="22" t="str">
        <x:f>IF(ISBLANK(C3742),"AmountIncludingTax缺失",IF(ABS(B3742-C3742)&lt;0.005,"一致","不一致"))</x:f>
        <x:v>不一致</x:v>
      </x:c>
      <x:c r="F3742" s="19" t="str">
        <x:v>approved</x:v>
      </x:c>
      <x:c r="G3742" s="19" t="str">
        <x:v>Repairer Invoiced Processed</x:v>
      </x:c>
      <x:c r="H3742" s="19" t="str">
        <x:v>Pre Delivery</x:v>
      </x:c>
      <x:c r="I3742" s="37" t="n">
        <x:v>46070</x:v>
      </x:c>
      <x:c r="J3742" s="37" t="n">
        <x:v>46070</x:v>
      </x:c>
      <x:c r="K3742" s="19" t="str">
        <x:v>The Caravan Hub - Townsville</x:v>
      </x:c>
      <x:c r="L3742" s="19" t="str">
        <x:v>Z005</x:v>
      </x:c>
      <x:c r="M3742" s="19" t="str">
        <x:v>Pre Delivery Warranty Claims</x:v>
      </x:c>
      <x:c r="N3742" s="37" t="n">
        <x:v>46057</x:v>
      </x:c>
      <x:c r="O3742" s="37"/>
      <x:c r="P3742" s="34" t="n">
        <x:v>478.5</x:v>
      </x:c>
      <x:c r="Q3742" s="37" t="n">
        <x:v>46069.973761574074</x:v>
      </x:c>
    </x:row>
    <x:row r="3743">
      <x:c r="A3743" s="22" t="n">
        <x:v>30701</x:v>
      </x:c>
      <x:c r="B3743" s="28" t="n">
        <x:v>101.25</x:v>
      </x:c>
      <x:c r="C3743" s="28"/>
      <x:c r="D3743" s="31" t="str">
        <x:f>IF(OR(ISBLANK(B3743),ISBLANK(C3743),B3743=0),"",(C3743-B3743)/B3743)</x:f>
      </x:c>
      <x:c r="E3743" s="22" t="str">
        <x:f>IF(ISBLANK(C3743),"AmountIncludingTax缺失",IF(ABS(B3743-C3743)&lt;0.005,"一致","不一致"))</x:f>
        <x:v>AmountIncludingTax缺失</x:v>
      </x:c>
      <x:c r="F3743" s="19" t="str">
        <x:v>approved</x:v>
      </x:c>
      <x:c r="G3743" s="19" t="str">
        <x:v>Repair in Progress</x:v>
      </x:c>
      <x:c r="H3743" s="19" t="str">
        <x:v>In Field</x:v>
      </x:c>
      <x:c r="I3743" s="37" t="n">
        <x:v>46113</x:v>
      </x:c>
      <x:c r="J3743" s="37" t="n">
        <x:v>46113</x:v>
      </x:c>
      <x:c r="K3743" s="19" t="str">
        <x:v>Auswide Caravans - South Nowra</x:v>
      </x:c>
      <x:c r="L3743" s="19" t="str">
        <x:v>Z006</x:v>
      </x:c>
      <x:c r="M3743" s="19" t="str">
        <x:v>In Field Warranty Claims</x:v>
      </x:c>
      <x:c r="N3743" s="37" t="n">
        <x:v>46057</x:v>
      </x:c>
      <x:c r="O3743" s="37"/>
      <x:c r="P3743" s="34" t="n">
        <x:v>0</x:v>
      </x:c>
      <x:c r="Q3743" s="37" t="n">
        <x:v>46113.228217592594</x:v>
      </x:c>
    </x:row>
    <x:row r="3744">
      <x:c r="A3744" s="22" t="n">
        <x:v>30700</x:v>
      </x:c>
      <x:c r="B3744" s="28" t="n">
        <x:v>155.59</x:v>
      </x:c>
      <x:c r="C3744" s="28" t="n">
        <x:v>171.15</x:v>
      </x:c>
      <x:c r="D3744" s="31" t="n">
        <x:f>IF(OR(ISBLANK(B3744),ISBLANK(C3744),B3744=0),"",(C3744-B3744)/B3744)</x:f>
        <x:v>0.10000642714827432</x:v>
      </x:c>
      <x:c r="E3744" s="22" t="str">
        <x:f>IF(ISBLANK(C3744),"AmountIncludingTax缺失",IF(ABS(B3744-C3744)&lt;0.005,"一致","不一致"))</x:f>
        <x:v>不一致</x:v>
      </x:c>
      <x:c r="F3744" s="19" t="str">
        <x:v>approved</x:v>
      </x:c>
      <x:c r="G3744" s="19" t="str">
        <x:v>Repair in Progress</x:v>
      </x:c>
      <x:c r="H3744" s="19" t="str">
        <x:v>In Field</x:v>
      </x:c>
      <x:c r="I3744" s="37" t="n">
        <x:v>46065</x:v>
      </x:c>
      <x:c r="J3744" s="37" t="n">
        <x:v>46065</x:v>
      </x:c>
      <x:c r="K3744" s="19" t="str">
        <x:v>Green RV - Forest Glen</x:v>
      </x:c>
      <x:c r="L3744" s="19" t="str">
        <x:v>Z006</x:v>
      </x:c>
      <x:c r="M3744" s="19" t="str">
        <x:v>In Field Warranty Claims</x:v>
      </x:c>
      <x:c r="N3744" s="37" t="n">
        <x:v>46057</x:v>
      </x:c>
      <x:c r="O3744" s="37"/>
      <x:c r="P3744" s="34" t="n">
        <x:v>171.15</x:v>
      </x:c>
      <x:c r="Q3744" s="37" t="n">
        <x:v>46065.24951388889</x:v>
      </x:c>
    </x:row>
    <x:row r="3745">
      <x:c r="A3745" s="22" t="n">
        <x:v>30697</x:v>
      </x:c>
      <x:c r="B3745" s="28" t="n">
        <x:v>72.5</x:v>
      </x:c>
      <x:c r="C3745" s="28"/>
      <x:c r="D3745" s="31" t="str">
        <x:f>IF(OR(ISBLANK(B3745),ISBLANK(C3745),B3745=0),"",(C3745-B3745)/B3745)</x:f>
      </x:c>
      <x:c r="E3745" s="22" t="str">
        <x:f>IF(ISBLANK(C3745),"AmountIncludingTax缺失",IF(ABS(B3745-C3745)&lt;0.005,"一致","不一致"))</x:f>
        <x:v>AmountIncludingTax缺失</x:v>
      </x:c>
      <x:c r="F3745" s="19" t="str">
        <x:v>approved</x:v>
      </x:c>
      <x:c r="G3745" s="19" t="str">
        <x:v>Repair in Progress</x:v>
      </x:c>
      <x:c r="H3745" s="19" t="str">
        <x:v>In Field</x:v>
      </x:c>
      <x:c r="I3745" s="37" t="n">
        <x:v>46156</x:v>
      </x:c>
      <x:c r="J3745" s="37" t="n">
        <x:v>46156</x:v>
      </x:c>
      <x:c r="K3745" s="19" t="str">
        <x:v>Regent RV - Townsville</x:v>
      </x:c>
      <x:c r="L3745" s="19" t="str">
        <x:v>Z006</x:v>
      </x:c>
      <x:c r="M3745" s="19" t="str">
        <x:v>In Field Warranty Claims</x:v>
      </x:c>
      <x:c r="N3745" s="37" t="n">
        <x:v>46057</x:v>
      </x:c>
      <x:c r="O3745" s="37"/>
      <x:c r="P3745" s="34" t="n">
        <x:v>0</x:v>
      </x:c>
      <x:c r="Q3745" s="37" t="n">
        <x:v>46156.0000462963</x:v>
      </x:c>
    </x:row>
    <x:row r="3746">
      <x:c r="A3746" s="22" t="n">
        <x:v>30696</x:v>
      </x:c>
      <x:c r="B3746" s="28" t="n">
        <x:v>962.72</x:v>
      </x:c>
      <x:c r="C3746" s="28"/>
      <x:c r="D3746" s="31" t="str">
        <x:f>IF(OR(ISBLANK(B3746),ISBLANK(C3746),B3746=0),"",(C3746-B3746)/B3746)</x:f>
      </x:c>
      <x:c r="E3746" s="22" t="str">
        <x:f>IF(ISBLANK(C3746),"AmountIncludingTax缺失",IF(ABS(B3746-C3746)&lt;0.005,"一致","不一致"))</x:f>
        <x:v>AmountIncludingTax缺失</x:v>
      </x:c>
      <x:c r="F3746" s="19" t="str">
        <x:v>approved</x:v>
      </x:c>
      <x:c r="G3746" s="19" t="str">
        <x:v>Repair in Progress</x:v>
      </x:c>
      <x:c r="H3746" s="19" t="str">
        <x:v>Pre Delivery</x:v>
      </x:c>
      <x:c r="I3746" s="37" t="n">
        <x:v>46163</x:v>
      </x:c>
      <x:c r="J3746" s="37" t="n">
        <x:v>46163</x:v>
      </x:c>
      <x:c r="K3746" s="19" t="str">
        <x:v>Regent RV - Townsville</x:v>
      </x:c>
      <x:c r="L3746" s="19" t="str">
        <x:v>Z005</x:v>
      </x:c>
      <x:c r="M3746" s="19" t="str">
        <x:v>Pre Delivery Warranty Claims</x:v>
      </x:c>
      <x:c r="N3746" s="37" t="n">
        <x:v>46057</x:v>
      </x:c>
      <x:c r="O3746" s="37"/>
      <x:c r="P3746" s="34" t="n">
        <x:v>0</x:v>
      </x:c>
      <x:c r="Q3746" s="37" t="n">
        <x:v>46162.89894675926</x:v>
      </x:c>
    </x:row>
    <x:row r="3747">
      <x:c r="A3747" s="22" t="n">
        <x:v>30695</x:v>
      </x:c>
      <x:c r="B3747" s="28" t="n">
        <x:v>405</x:v>
      </x:c>
      <x:c r="C3747" s="28"/>
      <x:c r="D3747" s="31" t="str">
        <x:f>IF(OR(ISBLANK(B3747),ISBLANK(C3747),B3747=0),"",(C3747-B3747)/B3747)</x:f>
      </x:c>
      <x:c r="E3747" s="22" t="str">
        <x:f>IF(ISBLANK(C3747),"AmountIncludingTax缺失",IF(ABS(B3747-C3747)&lt;0.005,"一致","不一致"))</x:f>
        <x:v>AmountIncludingTax缺失</x:v>
      </x:c>
      <x:c r="F3747" s="19" t="str">
        <x:v>approved</x:v>
      </x:c>
      <x:c r="G3747" s="19" t="str">
        <x:v>Repair in Progress</x:v>
      </x:c>
      <x:c r="H3747" s="19" t="str">
        <x:v>In Field</x:v>
      </x:c>
      <x:c r="I3747" s="37" t="n">
        <x:v>46129</x:v>
      </x:c>
      <x:c r="J3747" s="37" t="n">
        <x:v>46129</x:v>
      </x:c>
      <x:c r="K3747" s="19" t="str">
        <x:v>Regent RV - Toowoomba</x:v>
      </x:c>
      <x:c r="L3747" s="19" t="str">
        <x:v>Z006</x:v>
      </x:c>
      <x:c r="M3747" s="19" t="str">
        <x:v>In Field Warranty Claims</x:v>
      </x:c>
      <x:c r="N3747" s="37" t="n">
        <x:v>46057</x:v>
      </x:c>
      <x:c r="O3747" s="37"/>
      <x:c r="P3747" s="34" t="n">
        <x:v>0</x:v>
      </x:c>
      <x:c r="Q3747" s="37" t="n">
        <x:v>46129.216469907406</x:v>
      </x:c>
    </x:row>
    <x:row r="3748">
      <x:c r="A3748" s="22" t="n">
        <x:v>30694</x:v>
      </x:c>
      <x:c r="B3748" s="28" t="n">
        <x:v>405</x:v>
      </x:c>
      <x:c r="C3748" s="28"/>
      <x:c r="D3748" s="31" t="str">
        <x:f>IF(OR(ISBLANK(B3748),ISBLANK(C3748),B3748=0),"",(C3748-B3748)/B3748)</x:f>
      </x:c>
      <x:c r="E3748" s="22" t="str">
        <x:f>IF(ISBLANK(C3748),"AmountIncludingTax缺失",IF(ABS(B3748-C3748)&lt;0.005,"一致","不一致"))</x:f>
        <x:v>AmountIncludingTax缺失</x:v>
      </x:c>
      <x:c r="F3748" s="19" t="str">
        <x:v>approved</x:v>
      </x:c>
      <x:c r="G3748" s="19" t="str">
        <x:v>Repair in Progress</x:v>
      </x:c>
      <x:c r="H3748" s="19" t="str">
        <x:v>In Field</x:v>
      </x:c>
      <x:c r="I3748" s="37" t="n">
        <x:v>46071</x:v>
      </x:c>
      <x:c r="J3748" s="37" t="n">
        <x:v>46071</x:v>
      </x:c>
      <x:c r="K3748" s="19" t="str">
        <x:v>Regent RV - Frankston</x:v>
      </x:c>
      <x:c r="L3748" s="19" t="str">
        <x:v>Z006</x:v>
      </x:c>
      <x:c r="M3748" s="19" t="str">
        <x:v>In Field Warranty Claims</x:v>
      </x:c>
      <x:c r="N3748" s="37" t="n">
        <x:v>46057</x:v>
      </x:c>
      <x:c r="O3748" s="37"/>
      <x:c r="P3748" s="34" t="n">
        <x:v>0</x:v>
      </x:c>
      <x:c r="Q3748" s="37" t="n">
        <x:v>46071.18096064815</x:v>
      </x:c>
    </x:row>
    <x:row r="3749">
      <x:c r="A3749" s="22" t="n">
        <x:v>30692</x:v>
      </x:c>
      <x:c r="B3749" s="28" t="n">
        <x:v>1163.91</x:v>
      </x:c>
      <x:c r="C3749" s="28"/>
      <x:c r="D3749" s="31" t="str">
        <x:f>IF(OR(ISBLANK(B3749),ISBLANK(C3749),B3749=0),"",(C3749-B3749)/B3749)</x:f>
      </x:c>
      <x:c r="E3749" s="22" t="str">
        <x:f>IF(ISBLANK(C3749),"AmountIncludingTax缺失",IF(ABS(B3749-C3749)&lt;0.005,"一致","不一致"))</x:f>
        <x:v>AmountIncludingTax缺失</x:v>
      </x:c>
      <x:c r="F3749" s="19" t="str">
        <x:v>approved</x:v>
      </x:c>
      <x:c r="G3749" s="19" t="str">
        <x:v>Sales Order Approved</x:v>
      </x:c>
      <x:c r="H3749" s="19" t="str">
        <x:v>Pre Delivery</x:v>
      </x:c>
      <x:c r="I3749" s="37" t="n">
        <x:v>46164</x:v>
      </x:c>
      <x:c r="J3749" s="37" t="n">
        <x:v>46164</x:v>
      </x:c>
      <x:c r="K3749" s="19" t="str">
        <x:v>Regent RV - Townsville</x:v>
      </x:c>
      <x:c r="L3749" s="19" t="str">
        <x:v>Z005</x:v>
      </x:c>
      <x:c r="M3749" s="19" t="str">
        <x:v>Pre Delivery Warranty Claims</x:v>
      </x:c>
      <x:c r="N3749" s="37" t="n">
        <x:v>46057</x:v>
      </x:c>
      <x:c r="O3749" s="37"/>
      <x:c r="P3749" s="34" t="n">
        <x:v>0</x:v>
      </x:c>
      <x:c r="Q3749" s="37" t="n">
        <x:v>46163.96555555556</x:v>
      </x:c>
    </x:row>
    <x:row r="3750">
      <x:c r="A3750" s="22" t="n">
        <x:v>30691</x:v>
      </x:c>
      <x:c r="B3750" s="28" t="n">
        <x:v>202.5</x:v>
      </x:c>
      <x:c r="C3750" s="28"/>
      <x:c r="D3750" s="31" t="str">
        <x:f>IF(OR(ISBLANK(B3750),ISBLANK(C3750),B3750=0),"",(C3750-B3750)/B3750)</x:f>
      </x:c>
      <x:c r="E3750" s="22" t="str">
        <x:f>IF(ISBLANK(C3750),"AmountIncludingTax缺失",IF(ABS(B3750-C3750)&lt;0.005,"一致","不一致"))</x:f>
        <x:v>AmountIncludingTax缺失</x:v>
      </x:c>
      <x:c r="F3750" s="19" t="str">
        <x:v>approved</x:v>
      </x:c>
      <x:c r="G3750" s="19" t="str">
        <x:v>Repairer Invoiced Processed</x:v>
      </x:c>
      <x:c r="H3750" s="19" t="str">
        <x:v>In Field</x:v>
      </x:c>
      <x:c r="I3750" s="37" t="n">
        <x:v>46076</x:v>
      </x:c>
      <x:c r="J3750" s="37" t="n">
        <x:v>46076</x:v>
      </x:c>
      <x:c r="K3750" s="19" t="str">
        <x:v>Leisure Lion - Bundaberg</x:v>
      </x:c>
      <x:c r="L3750" s="19" t="str">
        <x:v>Z006</x:v>
      </x:c>
      <x:c r="M3750" s="19" t="str">
        <x:v>In Field Warranty Claims</x:v>
      </x:c>
      <x:c r="N3750" s="37" t="n">
        <x:v>46057</x:v>
      </x:c>
      <x:c r="O3750" s="37"/>
      <x:c r="P3750" s="34" t="n">
        <x:v>0</x:v>
      </x:c>
      <x:c r="Q3750" s="37" t="n">
        <x:v>46076.102013888885</x:v>
      </x:c>
    </x:row>
    <x:row r="3751">
      <x:c r="A3751" s="22" t="n">
        <x:v>30690</x:v>
      </x:c>
      <x:c r="B3751" s="28" t="n">
        <x:v>135</x:v>
      </x:c>
      <x:c r="C3751" s="28"/>
      <x:c r="D3751" s="31" t="str">
        <x:f>IF(OR(ISBLANK(B3751),ISBLANK(C3751),B3751=0),"",(C3751-B3751)/B3751)</x:f>
      </x:c>
      <x:c r="E3751" s="22" t="str">
        <x:f>IF(ISBLANK(C3751),"AmountIncludingTax缺失",IF(ABS(B3751-C3751)&lt;0.005,"一致","不一致"))</x:f>
        <x:v>AmountIncludingTax缺失</x:v>
      </x:c>
      <x:c r="F3751" s="19" t="str">
        <x:v>approved</x:v>
      </x:c>
      <x:c r="G3751" s="19" t="str">
        <x:v>Repairer Invoiced Processed</x:v>
      </x:c>
      <x:c r="H3751" s="19" t="str">
        <x:v>In Field</x:v>
      </x:c>
      <x:c r="I3751" s="37" t="n">
        <x:v>46108</x:v>
      </x:c>
      <x:c r="J3751" s="37" t="n">
        <x:v>46108</x:v>
      </x:c>
      <x:c r="K3751" s="19" t="str">
        <x:v>Leisure Lion Pty Ltd - Toowoomba</x:v>
      </x:c>
      <x:c r="L3751" s="19" t="str">
        <x:v>Z006</x:v>
      </x:c>
      <x:c r="M3751" s="19" t="str">
        <x:v>In Field Warranty Claims</x:v>
      </x:c>
      <x:c r="N3751" s="37" t="n">
        <x:v>46057</x:v>
      </x:c>
      <x:c r="O3751" s="37"/>
      <x:c r="P3751" s="34" t="n">
        <x:v>0</x:v>
      </x:c>
      <x:c r="Q3751" s="37" t="n">
        <x:v>46108.07418981481</x:v>
      </x:c>
    </x:row>
    <x:row r="3752">
      <x:c r="A3752" s="22" t="n">
        <x:v>30687</x:v>
      </x:c>
      <x:c r="B3752" s="28" t="n">
        <x:v>1385.25</x:v>
      </x:c>
      <x:c r="C3752" s="28"/>
      <x:c r="D3752" s="31" t="str">
        <x:f>IF(OR(ISBLANK(B3752),ISBLANK(C3752),B3752=0),"",(C3752-B3752)/B3752)</x:f>
      </x:c>
      <x:c r="E3752" s="22" t="str">
        <x:f>IF(ISBLANK(C3752),"AmountIncludingTax缺失",IF(ABS(B3752-C3752)&lt;0.005,"一致","不一致"))</x:f>
        <x:v>AmountIncludingTax缺失</x:v>
      </x:c>
      <x:c r="F3752" s="19" t="str">
        <x:v>approved</x:v>
      </x:c>
      <x:c r="G3752" s="19" t="str">
        <x:v>Sales Order Approved</x:v>
      </x:c>
      <x:c r="H3752" s="19" t="str">
        <x:v>Pre Delivery</x:v>
      </x:c>
      <x:c r="I3752" s="37" t="n">
        <x:v>46070</x:v>
      </x:c>
      <x:c r="J3752" s="37" t="n">
        <x:v>46070</x:v>
      </x:c>
      <x:c r="K3752" s="19" t="str">
        <x:v>The Caravan Hub - Townsville</x:v>
      </x:c>
      <x:c r="L3752" s="19" t="str">
        <x:v>Z005</x:v>
      </x:c>
      <x:c r="M3752" s="19" t="str">
        <x:v>Pre Delivery Warranty Claims</x:v>
      </x:c>
      <x:c r="N3752" s="37" t="n">
        <x:v>46057</x:v>
      </x:c>
      <x:c r="O3752" s="37"/>
      <x:c r="P3752" s="34" t="n">
        <x:v>0</x:v>
      </x:c>
      <x:c r="Q3752" s="37" t="n">
        <x:v>46070.08511574074</x:v>
      </x:c>
    </x:row>
    <x:row r="3753">
      <x:c r="A3753" s="22" t="n">
        <x:v>30686</x:v>
      </x:c>
      <x:c r="B3753" s="28" t="n">
        <x:v>270</x:v>
      </x:c>
      <x:c r="C3753" s="28"/>
      <x:c r="D3753" s="31" t="str">
        <x:f>IF(OR(ISBLANK(B3753),ISBLANK(C3753),B3753=0),"",(C3753-B3753)/B3753)</x:f>
      </x:c>
      <x:c r="E3753" s="22" t="str">
        <x:f>IF(ISBLANK(C3753),"AmountIncludingTax缺失",IF(ABS(B3753-C3753)&lt;0.005,"一致","不一致"))</x:f>
        <x:v>AmountIncludingTax缺失</x:v>
      </x:c>
      <x:c r="F3753" s="19" t="str">
        <x:v>approved</x:v>
      </x:c>
      <x:c r="G3753" s="19" t="str">
        <x:v>Repair in Progress</x:v>
      </x:c>
      <x:c r="H3753" s="19" t="str">
        <x:v>In Field</x:v>
      </x:c>
      <x:c r="I3753" s="37" t="n">
        <x:v>46071</x:v>
      </x:c>
      <x:c r="J3753" s="37" t="n">
        <x:v>46071</x:v>
      </x:c>
      <x:c r="K3753" s="19" t="str">
        <x:v>Regent RV - Perth</x:v>
      </x:c>
      <x:c r="L3753" s="19" t="str">
        <x:v>Z006</x:v>
      </x:c>
      <x:c r="M3753" s="19" t="str">
        <x:v>In Field Warranty Claims</x:v>
      </x:c>
      <x:c r="N3753" s="37" t="n">
        <x:v>46057</x:v>
      </x:c>
      <x:c r="O3753" s="37"/>
      <x:c r="P3753" s="34" t="n">
        <x:v>0</x:v>
      </x:c>
      <x:c r="Q3753" s="37" t="n">
        <x:v>46070.93701388889</x:v>
      </x:c>
    </x:row>
    <x:row r="3754">
      <x:c r="A3754" s="22" t="n">
        <x:v>30685</x:v>
      </x:c>
      <x:c r="B3754" s="28" t="n">
        <x:v>424.1</x:v>
      </x:c>
      <x:c r="C3754" s="28" t="n">
        <x:v>466.51</x:v>
      </x:c>
      <x:c r="D3754" s="31" t="n">
        <x:f>IF(OR(ISBLANK(B3754),ISBLANK(C3754),B3754=0),"",(C3754-B3754)/B3754)</x:f>
        <x:v>0.09999999999999992</x:v>
      </x:c>
      <x:c r="E3754" s="22" t="str">
        <x:f>IF(ISBLANK(C3754),"AmountIncludingTax缺失",IF(ABS(B3754-C3754)&lt;0.005,"一致","不一致"))</x:f>
        <x:v>不一致</x:v>
      </x:c>
      <x:c r="F3754" s="19" t="str">
        <x:v>approved</x:v>
      </x:c>
      <x:c r="G3754" s="19" t="str">
        <x:v>Repairer Invoiced Processed</x:v>
      </x:c>
      <x:c r="H3754" s="19" t="str">
        <x:v>In Field</x:v>
      </x:c>
      <x:c r="I3754" s="37" t="n">
        <x:v>46065</x:v>
      </x:c>
      <x:c r="J3754" s="37" t="n">
        <x:v>46065</x:v>
      </x:c>
      <x:c r="K3754" s="19" t="str">
        <x:v>Green RV - Forest Glen</x:v>
      </x:c>
      <x:c r="L3754" s="19" t="str">
        <x:v>Z006</x:v>
      </x:c>
      <x:c r="M3754" s="19" t="str">
        <x:v>In Field Warranty Claims</x:v>
      </x:c>
      <x:c r="N3754" s="37" t="n">
        <x:v>46057</x:v>
      </x:c>
      <x:c r="O3754" s="37"/>
      <x:c r="P3754" s="34" t="n">
        <x:v>466.51</x:v>
      </x:c>
      <x:c r="Q3754" s="37" t="n">
        <x:v>46065.26545138889</x:v>
      </x:c>
    </x:row>
    <x:row r="3755">
      <x:c r="A3755" s="22" t="n">
        <x:v>30684</x:v>
      </x:c>
      <x:c r="B3755" s="28" t="n">
        <x:v>72.5</x:v>
      </x:c>
      <x:c r="C3755" s="28"/>
      <x:c r="D3755" s="31" t="str">
        <x:f>IF(OR(ISBLANK(B3755),ISBLANK(C3755),B3755=0),"",(C3755-B3755)/B3755)</x:f>
      </x:c>
      <x:c r="E3755" s="22" t="str">
        <x:f>IF(ISBLANK(C3755),"AmountIncludingTax缺失",IF(ABS(B3755-C3755)&lt;0.005,"一致","不一致"))</x:f>
        <x:v>AmountIncludingTax缺失</x:v>
      </x:c>
      <x:c r="F3755" s="19" t="str">
        <x:v>approved</x:v>
      </x:c>
      <x:c r="G3755" s="19" t="str">
        <x:v>Repairer Invoiced Processed</x:v>
      </x:c>
      <x:c r="H3755" s="19" t="str">
        <x:v>In Field</x:v>
      </x:c>
      <x:c r="I3755" s="37" t="n">
        <x:v>46058</x:v>
      </x:c>
      <x:c r="J3755" s="37" t="n">
        <x:v>46058</x:v>
      </x:c>
      <x:c r="K3755" s="19" t="str">
        <x:v>The Caravan Hub - Townsville</x:v>
      </x:c>
      <x:c r="L3755" s="19" t="str">
        <x:v>Z006</x:v>
      </x:c>
      <x:c r="M3755" s="19" t="str">
        <x:v>In Field Warranty Claims</x:v>
      </x:c>
      <x:c r="N3755" s="37" t="n">
        <x:v>46057</x:v>
      </x:c>
      <x:c r="O3755" s="37"/>
      <x:c r="P3755" s="34" t="n">
        <x:v>0</x:v>
      </x:c>
      <x:c r="Q3755" s="37" t="n">
        <x:v>46057.92252314815</x:v>
      </x:c>
    </x:row>
    <x:row r="3756">
      <x:c r="A3756" s="22" t="n">
        <x:v>30683</x:v>
      </x:c>
      <x:c r="B3756" s="28" t="n">
        <x:v>675</x:v>
      </x:c>
      <x:c r="C3756" s="28"/>
      <x:c r="D3756" s="31" t="str">
        <x:f>IF(OR(ISBLANK(B3756),ISBLANK(C3756),B3756=0),"",(C3756-B3756)/B3756)</x:f>
      </x:c>
      <x:c r="E3756" s="22" t="str">
        <x:f>IF(ISBLANK(C3756),"AmountIncludingTax缺失",IF(ABS(B3756-C3756)&lt;0.005,"一致","不一致"))</x:f>
        <x:v>AmountIncludingTax缺失</x:v>
      </x:c>
      <x:c r="F3756" s="19" t="str">
        <x:v>approved</x:v>
      </x:c>
      <x:c r="G3756" s="19" t="str">
        <x:v>Repair in Progress</x:v>
      </x:c>
      <x:c r="H3756" s="19" t="str">
        <x:v>In Field</x:v>
      </x:c>
      <x:c r="I3756" s="37" t="n">
        <x:v>46108</x:v>
      </x:c>
      <x:c r="J3756" s="37" t="n">
        <x:v>46108</x:v>
      </x:c>
      <x:c r="K3756" s="19" t="str">
        <x:v>Green RV - Slacks Creek</x:v>
      </x:c>
      <x:c r="L3756" s="19" t="str">
        <x:v>Z006</x:v>
      </x:c>
      <x:c r="M3756" s="19" t="str">
        <x:v>In Field Warranty Claims</x:v>
      </x:c>
      <x:c r="N3756" s="37" t="n">
        <x:v>46057</x:v>
      </x:c>
      <x:c r="O3756" s="37"/>
      <x:c r="P3756" s="34" t="n">
        <x:v>0</x:v>
      </x:c>
      <x:c r="Q3756" s="37" t="n">
        <x:v>46108.04542824074</x:v>
      </x:c>
    </x:row>
    <x:row r="3757">
      <x:c r="A3757" s="22" t="n">
        <x:v>30682</x:v>
      </x:c>
      <x:c r="B3757" s="28" t="n">
        <x:v>1350</x:v>
      </x:c>
      <x:c r="C3757" s="28"/>
      <x:c r="D3757" s="31" t="str">
        <x:f>IF(OR(ISBLANK(B3757),ISBLANK(C3757),B3757=0),"",(C3757-B3757)/B3757)</x:f>
      </x:c>
      <x:c r="E3757" s="22" t="str">
        <x:f>IF(ISBLANK(C3757),"AmountIncludingTax缺失",IF(ABS(B3757-C3757)&lt;0.005,"一致","不一致"))</x:f>
        <x:v>AmountIncludingTax缺失</x:v>
      </x:c>
      <x:c r="F3757" s="19" t="str">
        <x:v>approved</x:v>
      </x:c>
      <x:c r="G3757" s="19" t="str">
        <x:v>Repair in Progress</x:v>
      </x:c>
      <x:c r="H3757" s="19" t="str">
        <x:v>In Field</x:v>
      </x:c>
      <x:c r="I3757" s="37" t="n">
        <x:v>46079</x:v>
      </x:c>
      <x:c r="J3757" s="37" t="n">
        <x:v>46079</x:v>
      </x:c>
      <x:c r="K3757" s="19" t="str">
        <x:v>Regent RV - Frankston</x:v>
      </x:c>
      <x:c r="L3757" s="19" t="str">
        <x:v>Z006</x:v>
      </x:c>
      <x:c r="M3757" s="19" t="str">
        <x:v>In Field Warranty Claims</x:v>
      </x:c>
      <x:c r="N3757" s="37" t="n">
        <x:v>46057</x:v>
      </x:c>
      <x:c r="O3757" s="37"/>
      <x:c r="P3757" s="34" t="n">
        <x:v>0</x:v>
      </x:c>
      <x:c r="Q3757" s="37" t="n">
        <x:v>46078.91767361111</x:v>
      </x:c>
    </x:row>
    <x:row r="3758">
      <x:c r="A3758" s="22" t="n">
        <x:v>30681</x:v>
      </x:c>
      <x:c r="B3758" s="28" t="n">
        <x:v>902.73</x:v>
      </x:c>
      <x:c r="C3758" s="28"/>
      <x:c r="D3758" s="31" t="str">
        <x:f>IF(OR(ISBLANK(B3758),ISBLANK(C3758),B3758=0),"",(C3758-B3758)/B3758)</x:f>
      </x:c>
      <x:c r="E3758" s="22" t="str">
        <x:f>IF(ISBLANK(C3758),"AmountIncludingTax缺失",IF(ABS(B3758-C3758)&lt;0.005,"一致","不一致"))</x:f>
        <x:v>AmountIncludingTax缺失</x:v>
      </x:c>
      <x:c r="F3758" s="19" t="str">
        <x:v>approved</x:v>
      </x:c>
      <x:c r="G3758" s="19" t="str">
        <x:v>Sales Order Approved</x:v>
      </x:c>
      <x:c r="H3758" s="19" t="str">
        <x:v>Pre Delivery</x:v>
      </x:c>
      <x:c r="I3758" s="37" t="n">
        <x:v>46155</x:v>
      </x:c>
      <x:c r="J3758" s="37" t="n">
        <x:v>46155</x:v>
      </x:c>
      <x:c r="K3758" s="19" t="str">
        <x:v>The Caravan Hub - Townsville</x:v>
      </x:c>
      <x:c r="L3758" s="19" t="str">
        <x:v>Z005</x:v>
      </x:c>
      <x:c r="M3758" s="19" t="str">
        <x:v>Pre Delivery Warranty Claims</x:v>
      </x:c>
      <x:c r="N3758" s="37" t="n">
        <x:v>46057</x:v>
      </x:c>
      <x:c r="O3758" s="37" t="n">
        <x:v>46153</x:v>
      </x:c>
      <x:c r="P3758" s="34" t="n">
        <x:v>0</x:v>
      </x:c>
      <x:c r="Q3758" s="37" t="n">
        <x:v>46155.22990740741</x:v>
      </x:c>
    </x:row>
    <x:row r="3759">
      <x:c r="A3759" s="22" t="n">
        <x:v>30678</x:v>
      </x:c>
      <x:c r="B3759" s="28" t="n">
        <x:v>945</x:v>
      </x:c>
      <x:c r="C3759" s="28"/>
      <x:c r="D3759" s="31" t="str">
        <x:f>IF(OR(ISBLANK(B3759),ISBLANK(C3759),B3759=0),"",(C3759-B3759)/B3759)</x:f>
      </x:c>
      <x:c r="E3759" s="22" t="str">
        <x:f>IF(ISBLANK(C3759),"AmountIncludingTax缺失",IF(ABS(B3759-C3759)&lt;0.005,"一致","不一致"))</x:f>
        <x:v>AmountIncludingTax缺失</x:v>
      </x:c>
      <x:c r="F3759" s="19" t="str">
        <x:v>approved</x:v>
      </x:c>
      <x:c r="G3759" s="19" t="str">
        <x:v>Repair in Progress</x:v>
      </x:c>
      <x:c r="H3759" s="19" t="str">
        <x:v>In Field</x:v>
      </x:c>
      <x:c r="I3759" s="37" t="n">
        <x:v>46071</x:v>
      </x:c>
      <x:c r="J3759" s="37" t="n">
        <x:v>46071</x:v>
      </x:c>
      <x:c r="K3759" s="19" t="str">
        <x:v>Regent RV - Perth</x:v>
      </x:c>
      <x:c r="L3759" s="19" t="str">
        <x:v>Z006</x:v>
      </x:c>
      <x:c r="M3759" s="19" t="str">
        <x:v>In Field Warranty Claims</x:v>
      </x:c>
      <x:c r="N3759" s="37" t="n">
        <x:v>46057</x:v>
      </x:c>
      <x:c r="O3759" s="37"/>
      <x:c r="P3759" s="34" t="n">
        <x:v>1039.5</x:v>
      </x:c>
      <x:c r="Q3759" s="37" t="n">
        <x:v>46070.881585648145</x:v>
      </x:c>
    </x:row>
    <x:row r="3760">
      <x:c r="A3760" s="22" t="n">
        <x:v>30676</x:v>
      </x:c>
      <x:c r="B3760" s="28" t="n">
        <x:v>153.18</x:v>
      </x:c>
      <x:c r="C3760" s="28"/>
      <x:c r="D3760" s="31" t="str">
        <x:f>IF(OR(ISBLANK(B3760),ISBLANK(C3760),B3760=0),"",(C3760-B3760)/B3760)</x:f>
      </x:c>
      <x:c r="E3760" s="22" t="str">
        <x:f>IF(ISBLANK(C3760),"AmountIncludingTax缺失",IF(ABS(B3760-C3760)&lt;0.005,"一致","不一致"))</x:f>
        <x:v>AmountIncludingTax缺失</x:v>
      </x:c>
      <x:c r="F3760" s="19" t="str">
        <x:v>approved</x:v>
      </x:c>
      <x:c r="G3760" s="19" t="str">
        <x:v>Repairer Invoiced Processed</x:v>
      </x:c>
      <x:c r="H3760" s="19" t="str">
        <x:v>In Field</x:v>
      </x:c>
      <x:c r="I3760" s="37" t="n">
        <x:v>46209</x:v>
      </x:c>
      <x:c r="J3760" s="37" t="n">
        <x:v>46101</x:v>
      </x:c>
      <x:c r="K3760" s="19" t="str">
        <x:v>Dario Caravans -St.Marys</x:v>
      </x:c>
      <x:c r="L3760" s="19" t="str">
        <x:v>Z006</x:v>
      </x:c>
      <x:c r="M3760" s="19" t="str">
        <x:v>In Field Warranty Claims</x:v>
      </x:c>
      <x:c r="N3760" s="37" t="n">
        <x:v>46057</x:v>
      </x:c>
      <x:c r="O3760" s="37"/>
      <x:c r="P3760" s="34" t="n">
        <x:v>0</x:v>
      </x:c>
      <x:c r="Q3760" s="37" t="n">
        <x:v>46209.19971064815</x:v>
      </x:c>
    </x:row>
    <x:row r="3761">
      <x:c r="A3761" s="22" t="n">
        <x:v>30675</x:v>
      </x:c>
      <x:c r="B3761" s="28" t="n">
        <x:v>588.75</x:v>
      </x:c>
      <x:c r="C3761" s="28"/>
      <x:c r="D3761" s="31" t="str">
        <x:f>IF(OR(ISBLANK(B3761),ISBLANK(C3761),B3761=0),"",(C3761-B3761)/B3761)</x:f>
      </x:c>
      <x:c r="E3761" s="22" t="str">
        <x:f>IF(ISBLANK(C3761),"AmountIncludingTax缺失",IF(ABS(B3761-C3761)&lt;0.005,"一致","不一致"))</x:f>
        <x:v>AmountIncludingTax缺失</x:v>
      </x:c>
      <x:c r="F3761" s="19" t="str">
        <x:v>approved</x:v>
      </x:c>
      <x:c r="G3761" s="19" t="str">
        <x:v>Repair in Progress</x:v>
      </x:c>
      <x:c r="H3761" s="19" t="str">
        <x:v>Pre Delivery</x:v>
      </x:c>
      <x:c r="I3761" s="37" t="n">
        <x:v>46188</x:v>
      </x:c>
      <x:c r="J3761" s="37" t="n">
        <x:v>46139</x:v>
      </x:c>
      <x:c r="K3761" s="19" t="str">
        <x:v>Regent RV - Townsville</x:v>
      </x:c>
      <x:c r="L3761" s="19" t="str">
        <x:v>Z005</x:v>
      </x:c>
      <x:c r="M3761" s="19" t="str">
        <x:v>Pre Delivery Warranty Claims</x:v>
      </x:c>
      <x:c r="N3761" s="37" t="n">
        <x:v>46057</x:v>
      </x:c>
      <x:c r="O3761" s="37"/>
      <x:c r="P3761" s="34" t="n">
        <x:v>0</x:v>
      </x:c>
      <x:c r="Q3761" s="37" t="n">
        <x:v>46188.26755787037</x:v>
      </x:c>
    </x:row>
    <x:row r="3762">
      <x:c r="A3762" s="22" t="n">
        <x:v>30674</x:v>
      </x:c>
      <x:c r="B3762" s="28" t="n">
        <x:v>1516.25</x:v>
      </x:c>
      <x:c r="C3762" s="28"/>
      <x:c r="D3762" s="31" t="str">
        <x:f>IF(OR(ISBLANK(B3762),ISBLANK(C3762),B3762=0),"",(C3762-B3762)/B3762)</x:f>
      </x:c>
      <x:c r="E3762" s="22" t="str">
        <x:f>IF(ISBLANK(C3762),"AmountIncludingTax缺失",IF(ABS(B3762-C3762)&lt;0.005,"一致","不一致"))</x:f>
        <x:v>AmountIncludingTax缺失</x:v>
      </x:c>
      <x:c r="F3762" s="19" t="str">
        <x:v>approved</x:v>
      </x:c>
      <x:c r="G3762" s="19" t="str">
        <x:v>Partially Picked</x:v>
      </x:c>
      <x:c r="H3762" s="19" t="str">
        <x:v>Pre Delivery</x:v>
      </x:c>
      <x:c r="I3762" s="37" t="n">
        <x:v>46142</x:v>
      </x:c>
      <x:c r="J3762" s="37" t="n">
        <x:v>46142</x:v>
      </x:c>
      <x:c r="K3762" s="19" t="str">
        <x:v>Regent RV - Townsville</x:v>
      </x:c>
      <x:c r="L3762" s="19" t="str">
        <x:v>Z005</x:v>
      </x:c>
      <x:c r="M3762" s="19" t="str">
        <x:v>Pre Delivery Warranty Claims</x:v>
      </x:c>
      <x:c r="N3762" s="37" t="n">
        <x:v>46057</x:v>
      </x:c>
      <x:c r="O3762" s="37"/>
      <x:c r="P3762" s="34" t="n">
        <x:v>0</x:v>
      </x:c>
      <x:c r="Q3762" s="37" t="n">
        <x:v>46141.84637731482</x:v>
      </x:c>
    </x:row>
    <x:row r="3763">
      <x:c r="A3763" s="22" t="n">
        <x:v>30673</x:v>
      </x:c>
      <x:c r="B3763" s="28" t="n">
        <x:v>135</x:v>
      </x:c>
      <x:c r="C3763" s="28"/>
      <x:c r="D3763" s="31" t="str">
        <x:f>IF(OR(ISBLANK(B3763),ISBLANK(C3763),B3763=0),"",(C3763-B3763)/B3763)</x:f>
      </x:c>
      <x:c r="E3763" s="22" t="str">
        <x:f>IF(ISBLANK(C3763),"AmountIncludingTax缺失",IF(ABS(B3763-C3763)&lt;0.005,"一致","不一致"))</x:f>
        <x:v>AmountIncludingTax缺失</x:v>
      </x:c>
      <x:c r="F3763" s="19" t="str">
        <x:v>approved</x:v>
      </x:c>
      <x:c r="G3763" s="19" t="str">
        <x:v>Repairer Invoiced Processed</x:v>
      </x:c>
      <x:c r="H3763" s="19" t="str">
        <x:v>In Field</x:v>
      </x:c>
      <x:c r="I3763" s="37" t="n">
        <x:v>46077</x:v>
      </x:c>
      <x:c r="J3763" s="37" t="n">
        <x:v>46077</x:v>
      </x:c>
      <x:c r="K3763" s="19" t="str">
        <x:v>QCCC - Gympie</x:v>
      </x:c>
      <x:c r="L3763" s="19" t="str">
        <x:v>Z006</x:v>
      </x:c>
      <x:c r="M3763" s="19" t="str">
        <x:v>In Field Warranty Claims</x:v>
      </x:c>
      <x:c r="N3763" s="37" t="n">
        <x:v>46056</x:v>
      </x:c>
      <x:c r="O3763" s="37"/>
      <x:c r="P3763" s="34" t="n">
        <x:v>0</x:v>
      </x:c>
      <x:c r="Q3763" s="37" t="n">
        <x:v>46076.891550925924</x:v>
      </x:c>
    </x:row>
    <x:row r="3764">
      <x:c r="A3764" s="22" t="n">
        <x:v>30672</x:v>
      </x:c>
      <x:c r="B3764" s="28" t="n">
        <x:v>67.5</x:v>
      </x:c>
      <x:c r="C3764" s="28"/>
      <x:c r="D3764" s="31" t="str">
        <x:f>IF(OR(ISBLANK(B3764),ISBLANK(C3764),B3764=0),"",(C3764-B3764)/B3764)</x:f>
      </x:c>
      <x:c r="E3764" s="22" t="str">
        <x:f>IF(ISBLANK(C3764),"AmountIncludingTax缺失",IF(ABS(B3764-C3764)&lt;0.005,"一致","不一致"))</x:f>
        <x:v>AmountIncludingTax缺失</x:v>
      </x:c>
      <x:c r="F3764" s="19" t="str">
        <x:v>approved</x:v>
      </x:c>
      <x:c r="G3764" s="19" t="str">
        <x:v>Repairer Invoiced Processed</x:v>
      </x:c>
      <x:c r="H3764" s="19" t="str">
        <x:v>In Field</x:v>
      </x:c>
      <x:c r="I3764" s="37" t="n">
        <x:v>46070</x:v>
      </x:c>
      <x:c r="J3764" s="37" t="n">
        <x:v>46070</x:v>
      </x:c>
      <x:c r="K3764" s="19" t="str">
        <x:v>Green RV - Forest Glen</x:v>
      </x:c>
      <x:c r="L3764" s="19" t="str">
        <x:v>Z006</x:v>
      </x:c>
      <x:c r="M3764" s="19" t="str">
        <x:v>In Field Warranty Claims</x:v>
      </x:c>
      <x:c r="N3764" s="37" t="n">
        <x:v>46056</x:v>
      </x:c>
      <x:c r="O3764" s="37"/>
      <x:c r="P3764" s="34" t="n">
        <x:v>0</x:v>
      </x:c>
      <x:c r="Q3764" s="37" t="n">
        <x:v>46069.940092592595</x:v>
      </x:c>
    </x:row>
    <x:row r="3765">
      <x:c r="A3765" s="22" t="n">
        <x:v>30671</x:v>
      </x:c>
      <x:c r="B3765" s="28" t="n">
        <x:v>2000.66</x:v>
      </x:c>
      <x:c r="C3765" s="28"/>
      <x:c r="D3765" s="31" t="str">
        <x:f>IF(OR(ISBLANK(B3765),ISBLANK(C3765),B3765=0),"",(C3765-B3765)/B3765)</x:f>
      </x:c>
      <x:c r="E3765" s="22" t="str">
        <x:f>IF(ISBLANK(C3765),"AmountIncludingTax缺失",IF(ABS(B3765-C3765)&lt;0.005,"一致","不一致"))</x:f>
        <x:v>AmountIncludingTax缺失</x:v>
      </x:c>
      <x:c r="F3765" s="19" t="str">
        <x:v>approved</x:v>
      </x:c>
      <x:c r="G3765" s="19" t="str">
        <x:v>Sales Order Approved</x:v>
      </x:c>
      <x:c r="H3765" s="19" t="str">
        <x:v>Pre Delivery</x:v>
      </x:c>
      <x:c r="I3765" s="37" t="n">
        <x:v>46164</x:v>
      </x:c>
      <x:c r="J3765" s="37" t="n">
        <x:v>46164</x:v>
      </x:c>
      <x:c r="K3765" s="19" t="str">
        <x:v>Regent RV - Townsville</x:v>
      </x:c>
      <x:c r="L3765" s="19" t="str">
        <x:v>Z005</x:v>
      </x:c>
      <x:c r="M3765" s="19" t="str">
        <x:v>Pre Delivery Warranty Claims</x:v>
      </x:c>
      <x:c r="N3765" s="37" t="n">
        <x:v>46056</x:v>
      </x:c>
      <x:c r="O3765" s="37"/>
      <x:c r="P3765" s="34" t="n">
        <x:v>0</x:v>
      </x:c>
      <x:c r="Q3765" s="37" t="n">
        <x:v>46164.05795138889</x:v>
      </x:c>
    </x:row>
    <x:row r="3766">
      <x:c r="A3766" s="22" t="n">
        <x:v>30667</x:v>
      </x:c>
      <x:c r="B3766" s="28" t="n">
        <x:v>1836.23</x:v>
      </x:c>
      <x:c r="C3766" s="28"/>
      <x:c r="D3766" s="31" t="str">
        <x:f>IF(OR(ISBLANK(B3766),ISBLANK(C3766),B3766=0),"",(C3766-B3766)/B3766)</x:f>
      </x:c>
      <x:c r="E3766" s="22" t="str">
        <x:f>IF(ISBLANK(C3766),"AmountIncludingTax缺失",IF(ABS(B3766-C3766)&lt;0.005,"一致","不一致"))</x:f>
        <x:v>AmountIncludingTax缺失</x:v>
      </x:c>
      <x:c r="F3766" s="19" t="str">
        <x:v>approved</x:v>
      </x:c>
      <x:c r="G3766" s="19" t="str">
        <x:v>Repair in Progress</x:v>
      </x:c>
      <x:c r="H3766" s="19" t="str">
        <x:v>Pre Delivery</x:v>
      </x:c>
      <x:c r="I3766" s="37" t="n">
        <x:v>46072</x:v>
      </x:c>
      <x:c r="J3766" s="37" t="n">
        <x:v>46072</x:v>
      </x:c>
      <x:c r="K3766" s="19" t="str">
        <x:v>The Caravan Hub - Townsville</x:v>
      </x:c>
      <x:c r="L3766" s="19" t="str">
        <x:v>Z005</x:v>
      </x:c>
      <x:c r="M3766" s="19" t="str">
        <x:v>Pre Delivery Warranty Claims</x:v>
      </x:c>
      <x:c r="N3766" s="37" t="n">
        <x:v>46057</x:v>
      </x:c>
      <x:c r="O3766" s="37"/>
      <x:c r="P3766" s="34" t="n">
        <x:v>0</x:v>
      </x:c>
      <x:c r="Q3766" s="37" t="n">
        <x:v>46071.91190972222</x:v>
      </x:c>
    </x:row>
    <x:row r="3767">
      <x:c r="A3767" s="22" t="n">
        <x:v>30666</x:v>
      </x:c>
      <x:c r="B3767" s="28" t="n">
        <x:v>341.5</x:v>
      </x:c>
      <x:c r="C3767" s="28" t="n">
        <x:v>309.19</x:v>
      </x:c>
      <x:c r="D3767" s="31" t="n">
        <x:f>IF(OR(ISBLANK(B3767),ISBLANK(C3767),B3767=0),"",(C3767-B3767)/B3767)</x:f>
        <x:v>-0.09461200585651539</x:v>
      </x:c>
      <x:c r="E3767" s="22" t="str">
        <x:f>IF(ISBLANK(C3767),"AmountIncludingTax缺失",IF(ABS(B3767-C3767)&lt;0.005,"一致","不一致"))</x:f>
        <x:v>不一致</x:v>
      </x:c>
      <x:c r="F3767" s="19" t="str">
        <x:v>approved</x:v>
      </x:c>
      <x:c r="G3767" s="19" t="str">
        <x:v>Repairer Invoiced Processed</x:v>
      </x:c>
      <x:c r="H3767" s="19" t="str">
        <x:v>In Field</x:v>
      </x:c>
      <x:c r="I3767" s="37" t="n">
        <x:v>46078</x:v>
      </x:c>
      <x:c r="J3767" s="37" t="n">
        <x:v>46078</x:v>
      </x:c>
      <x:c r="K3767" s="19" t="str">
        <x:v>Vanari Caravans - Marden Point</x:v>
      </x:c>
      <x:c r="L3767" s="19" t="str">
        <x:v>Z006</x:v>
      </x:c>
      <x:c r="M3767" s="19" t="str">
        <x:v>In Field Warranty Claims</x:v>
      </x:c>
      <x:c r="N3767" s="37" t="n">
        <x:v>46057</x:v>
      </x:c>
      <x:c r="O3767" s="37"/>
      <x:c r="P3767" s="34" t="n">
        <x:v>309.19</x:v>
      </x:c>
      <x:c r="Q3767" s="37" t="n">
        <x:v>46078.03773148148</x:v>
      </x:c>
    </x:row>
    <x:row r="3768">
      <x:c r="A3768" s="22" t="n">
        <x:v>30665</x:v>
      </x:c>
      <x:c r="B3768" s="28" t="n">
        <x:v>3364.45</x:v>
      </x:c>
      <x:c r="C3768" s="28"/>
      <x:c r="D3768" s="31" t="str">
        <x:f>IF(OR(ISBLANK(B3768),ISBLANK(C3768),B3768=0),"",(C3768-B3768)/B3768)</x:f>
      </x:c>
      <x:c r="E3768" s="22" t="str">
        <x:f>IF(ISBLANK(C3768),"AmountIncludingTax缺失",IF(ABS(B3768-C3768)&lt;0.005,"一致","不一致"))</x:f>
        <x:v>AmountIncludingTax缺失</x:v>
      </x:c>
      <x:c r="F3768" s="19" t="str">
        <x:v>approved</x:v>
      </x:c>
      <x:c r="G3768" s="19" t="str">
        <x:v>Repairer Invoiced Processed</x:v>
      </x:c>
      <x:c r="H3768" s="19" t="str">
        <x:v>In Field</x:v>
      </x:c>
      <x:c r="I3768" s="37" t="n">
        <x:v>46161</x:v>
      </x:c>
      <x:c r="J3768" s="37" t="n">
        <x:v>46161</x:v>
      </x:c>
      <x:c r="K3768" s="19" t="str">
        <x:v>The Caravan Hub - Townsville</x:v>
      </x:c>
      <x:c r="L3768" s="19" t="str">
        <x:v>Z006</x:v>
      </x:c>
      <x:c r="M3768" s="19" t="str">
        <x:v>In Field Warranty Claims</x:v>
      </x:c>
      <x:c r="N3768" s="37" t="n">
        <x:v>46056</x:v>
      </x:c>
      <x:c r="O3768" s="37"/>
      <x:c r="P3768" s="34" t="n">
        <x:v>0</x:v>
      </x:c>
      <x:c r="Q3768" s="37" t="n">
        <x:v>46161.55756944444</x:v>
      </x:c>
    </x:row>
    <x:row r="3769">
      <x:c r="A3769" s="22" t="n">
        <x:v>30664</x:v>
      </x:c>
      <x:c r="B3769" s="28" t="n">
        <x:v>3934.36</x:v>
      </x:c>
      <x:c r="C3769" s="28"/>
      <x:c r="D3769" s="31" t="str">
        <x:f>IF(OR(ISBLANK(B3769),ISBLANK(C3769),B3769=0),"",(C3769-B3769)/B3769)</x:f>
      </x:c>
      <x:c r="E3769" s="22" t="str">
        <x:f>IF(ISBLANK(C3769),"AmountIncludingTax缺失",IF(ABS(B3769-C3769)&lt;0.005,"一致","不一致"))</x:f>
        <x:v>AmountIncludingTax缺失</x:v>
      </x:c>
      <x:c r="F3769" s="19" t="str">
        <x:v>approved</x:v>
      </x:c>
      <x:c r="G3769" s="19" t="str">
        <x:v>Repair in Progress</x:v>
      </x:c>
      <x:c r="H3769" s="19" t="str">
        <x:v>Pre Delivery</x:v>
      </x:c>
      <x:c r="I3769" s="37" t="n">
        <x:v>46150</x:v>
      </x:c>
      <x:c r="J3769" s="37" t="n">
        <x:v>46150</x:v>
      </x:c>
      <x:c r="K3769" s="19" t="str">
        <x:v>Regent RV - Townsville</x:v>
      </x:c>
      <x:c r="L3769" s="19" t="str">
        <x:v>Z005</x:v>
      </x:c>
      <x:c r="M3769" s="19" t="str">
        <x:v>Pre Delivery Warranty Claims</x:v>
      </x:c>
      <x:c r="N3769" s="37" t="n">
        <x:v>46056</x:v>
      </x:c>
      <x:c r="O3769" s="37"/>
      <x:c r="P3769" s="34" t="n">
        <x:v>4327.8</x:v>
      </x:c>
      <x:c r="Q3769" s="37" t="n">
        <x:v>46150.072962962964</x:v>
      </x:c>
    </x:row>
    <x:row r="3770">
      <x:c r="A3770" s="22" t="n">
        <x:v>30663</x:v>
      </x:c>
      <x:c r="B3770" s="28" t="n">
        <x:v>335.45</x:v>
      </x:c>
      <x:c r="C3770" s="28" t="n">
        <x:v>369</x:v>
      </x:c>
      <x:c r="D3770" s="31" t="n">
        <x:f>IF(OR(ISBLANK(B3770),ISBLANK(C3770),B3770=0),"",(C3770-B3770)/B3770)</x:f>
        <x:v>0.10001490535102106</x:v>
      </x:c>
      <x:c r="E3770" s="22" t="str">
        <x:f>IF(ISBLANK(C3770),"AmountIncludingTax缺失",IF(ABS(B3770-C3770)&lt;0.005,"一致","不一致"))</x:f>
        <x:v>不一致</x:v>
      </x:c>
      <x:c r="F3770" s="19" t="str">
        <x:v>approved</x:v>
      </x:c>
      <x:c r="G3770" s="19" t="str">
        <x:v>Repairer Invoiced Processed</x:v>
      </x:c>
      <x:c r="H3770" s="19" t="str">
        <x:v>Pre Delivery</x:v>
      </x:c>
      <x:c r="I3770" s="37" t="n">
        <x:v>46129</x:v>
      </x:c>
      <x:c r="J3770" s="37" t="n">
        <x:v>46129</x:v>
      </x:c>
      <x:c r="K3770" s="19" t="str">
        <x:v>Green RV - Forest Glen</x:v>
      </x:c>
      <x:c r="L3770" s="19" t="str">
        <x:v>Z005</x:v>
      </x:c>
      <x:c r="M3770" s="19" t="str">
        <x:v>Pre Delivery Warranty Claims</x:v>
      </x:c>
      <x:c r="N3770" s="37" t="n">
        <x:v>46056</x:v>
      </x:c>
      <x:c r="O3770" s="37"/>
      <x:c r="P3770" s="34" t="n">
        <x:v>369</x:v>
      </x:c>
      <x:c r="Q3770" s="37" t="n">
        <x:v>46129.206145833334</x:v>
      </x:c>
    </x:row>
    <x:row r="3771">
      <x:c r="A3771" s="22" t="n">
        <x:v>30662</x:v>
      </x:c>
      <x:c r="B3771" s="28" t="n">
        <x:v>242.25</x:v>
      </x:c>
      <x:c r="C3771" s="28"/>
      <x:c r="D3771" s="31" t="str">
        <x:f>IF(OR(ISBLANK(B3771),ISBLANK(C3771),B3771=0),"",(C3771-B3771)/B3771)</x:f>
      </x:c>
      <x:c r="E3771" s="22" t="str">
        <x:f>IF(ISBLANK(C3771),"AmountIncludingTax缺失",IF(ABS(B3771-C3771)&lt;0.005,"一致","不一致"))</x:f>
        <x:v>AmountIncludingTax缺失</x:v>
      </x:c>
      <x:c r="F3771" s="19" t="str">
        <x:v>approved</x:v>
      </x:c>
      <x:c r="G3771" s="19" t="str">
        <x:v>Repairer Invoiced Processed</x:v>
      </x:c>
      <x:c r="H3771" s="19" t="str">
        <x:v>In Field</x:v>
      </x:c>
      <x:c r="I3771" s="37" t="n">
        <x:v>46071</x:v>
      </x:c>
      <x:c r="J3771" s="37" t="n">
        <x:v>46071</x:v>
      </x:c>
      <x:c r="K3771" s="19" t="str">
        <x:v>Lesiure Lion-New Castle</x:v>
      </x:c>
      <x:c r="L3771" s="19" t="str">
        <x:v>Z006</x:v>
      </x:c>
      <x:c r="M3771" s="19" t="str">
        <x:v>In Field Warranty Claims</x:v>
      </x:c>
      <x:c r="N3771" s="37" t="n">
        <x:v>46056</x:v>
      </x:c>
      <x:c r="O3771" s="37"/>
      <x:c r="P3771" s="34" t="n">
        <x:v>0</x:v>
      </x:c>
      <x:c r="Q3771" s="37" t="n">
        <x:v>46071.16826388889</x:v>
      </x:c>
    </x:row>
    <x:row r="3772">
      <x:c r="A3772" s="22" t="n">
        <x:v>30661</x:v>
      </x:c>
      <x:c r="B3772" s="28" t="n">
        <x:v>661.25</x:v>
      </x:c>
      <x:c r="C3772" s="28"/>
      <x:c r="D3772" s="31" t="str">
        <x:f>IF(OR(ISBLANK(B3772),ISBLANK(C3772),B3772=0),"",(C3772-B3772)/B3772)</x:f>
      </x:c>
      <x:c r="E3772" s="22" t="str">
        <x:f>IF(ISBLANK(C3772),"AmountIncludingTax缺失",IF(ABS(B3772-C3772)&lt;0.005,"一致","不一致"))</x:f>
        <x:v>AmountIncludingTax缺失</x:v>
      </x:c>
      <x:c r="F3772" s="19" t="str">
        <x:v>approved</x:v>
      </x:c>
      <x:c r="G3772" s="19" t="str">
        <x:v>Repairer Invoiced Processed</x:v>
      </x:c>
      <x:c r="H3772" s="19" t="str">
        <x:v>In Field</x:v>
      </x:c>
      <x:c r="I3772" s="37" t="n">
        <x:v>46070</x:v>
      </x:c>
      <x:c r="J3772" s="37" t="n">
        <x:v>46070</x:v>
      </x:c>
      <x:c r="K3772" s="19" t="str">
        <x:v>Green RV - Slacks Creek</x:v>
      </x:c>
      <x:c r="L3772" s="19" t="str">
        <x:v>Z006</x:v>
      </x:c>
      <x:c r="M3772" s="19" t="str">
        <x:v>In Field Warranty Claims</x:v>
      </x:c>
      <x:c r="N3772" s="37" t="n">
        <x:v>46056</x:v>
      </x:c>
      <x:c r="O3772" s="37"/>
      <x:c r="P3772" s="34" t="n">
        <x:v>0</x:v>
      </x:c>
      <x:c r="Q3772" s="37" t="n">
        <x:v>46069.9503587963</x:v>
      </x:c>
    </x:row>
    <x:row r="3773">
      <x:c r="A3773" s="22" t="n">
        <x:v>30659</x:v>
      </x:c>
      <x:c r="B3773" s="28" t="n">
        <x:v>746.75</x:v>
      </x:c>
      <x:c r="C3773" s="28"/>
      <x:c r="D3773" s="31" t="str">
        <x:f>IF(OR(ISBLANK(B3773),ISBLANK(C3773),B3773=0),"",(C3773-B3773)/B3773)</x:f>
      </x:c>
      <x:c r="E3773" s="22" t="str">
        <x:f>IF(ISBLANK(C3773),"AmountIncludingTax缺失",IF(ABS(B3773-C3773)&lt;0.005,"一致","不一致"))</x:f>
        <x:v>AmountIncludingTax缺失</x:v>
      </x:c>
      <x:c r="F3773" s="19" t="str">
        <x:v>approved</x:v>
      </x:c>
      <x:c r="G3773" s="19" t="str">
        <x:v>Repair in Progress</x:v>
      </x:c>
      <x:c r="H3773" s="19" t="str">
        <x:v>In Field</x:v>
      </x:c>
      <x:c r="I3773" s="37" t="n">
        <x:v>46073</x:v>
      </x:c>
      <x:c r="J3773" s="37" t="n">
        <x:v>46073</x:v>
      </x:c>
      <x:c r="K3773" s="19" t="str">
        <x:v>Green RV - Forest Glen</x:v>
      </x:c>
      <x:c r="L3773" s="19" t="str">
        <x:v>Z006</x:v>
      </x:c>
      <x:c r="M3773" s="19" t="str">
        <x:v>In Field Warranty Claims</x:v>
      </x:c>
      <x:c r="N3773" s="37" t="n">
        <x:v>46056</x:v>
      </x:c>
      <x:c r="O3773" s="37"/>
      <x:c r="P3773" s="34" t="n">
        <x:v>0</x:v>
      </x:c>
      <x:c r="Q3773" s="37" t="n">
        <x:v>46072.885659722226</x:v>
      </x:c>
    </x:row>
    <x:row r="3774">
      <x:c r="A3774" s="22" t="n">
        <x:v>30658</x:v>
      </x:c>
      <x:c r="B3774" s="28" t="n">
        <x:v>409.09</x:v>
      </x:c>
      <x:c r="C3774" s="28" t="n">
        <x:v>450</x:v>
      </x:c>
      <x:c r="D3774" s="31" t="n">
        <x:f>IF(OR(ISBLANK(B3774),ISBLANK(C3774),B3774=0),"",(C3774-B3774)/B3774)</x:f>
        <x:v>0.10000244444987662</x:v>
      </x:c>
      <x:c r="E3774" s="22" t="str">
        <x:f>IF(ISBLANK(C3774),"AmountIncludingTax缺失",IF(ABS(B3774-C3774)&lt;0.005,"一致","不一致"))</x:f>
        <x:v>不一致</x:v>
      </x:c>
      <x:c r="F3774" s="19" t="str">
        <x:v>approved</x:v>
      </x:c>
      <x:c r="G3774" s="19" t="str">
        <x:v>Repairer Invoiced Processed</x:v>
      </x:c>
      <x:c r="H3774" s="19" t="str">
        <x:v>In Field</x:v>
      </x:c>
      <x:c r="I3774" s="37" t="n">
        <x:v>46097</x:v>
      </x:c>
      <x:c r="J3774" s="37" t="n">
        <x:v>46097</x:v>
      </x:c>
      <x:c r="K3774" s="19" t="str">
        <x:v>Regent RV - Frankston</x:v>
      </x:c>
      <x:c r="L3774" s="19" t="str">
        <x:v>Z006</x:v>
      </x:c>
      <x:c r="M3774" s="19" t="str">
        <x:v>In Field Warranty Claims</x:v>
      </x:c>
      <x:c r="N3774" s="37" t="n">
        <x:v>46056</x:v>
      </x:c>
      <x:c r="O3774" s="37"/>
      <x:c r="P3774" s="34" t="n">
        <x:v>450</x:v>
      </x:c>
      <x:c r="Q3774" s="37" t="n">
        <x:v>46097.22969907407</x:v>
      </x:c>
    </x:row>
    <x:row r="3775">
      <x:c r="A3775" s="22" t="n">
        <x:v>30656</x:v>
      </x:c>
      <x:c r="B3775" s="28" t="n">
        <x:v>438.75</x:v>
      </x:c>
      <x:c r="C3775" s="28"/>
      <x:c r="D3775" s="31" t="str">
        <x:f>IF(OR(ISBLANK(B3775),ISBLANK(C3775),B3775=0),"",(C3775-B3775)/B3775)</x:f>
      </x:c>
      <x:c r="E3775" s="22" t="str">
        <x:f>IF(ISBLANK(C3775),"AmountIncludingTax缺失",IF(ABS(B3775-C3775)&lt;0.005,"一致","不一致"))</x:f>
        <x:v>AmountIncludingTax缺失</x:v>
      </x:c>
      <x:c r="F3775" s="19" t="str">
        <x:v>approved</x:v>
      </x:c>
      <x:c r="G3775" s="19" t="str">
        <x:v>Repairer Invoiced Processed</x:v>
      </x:c>
      <x:c r="H3775" s="19" t="str">
        <x:v>In Field</x:v>
      </x:c>
      <x:c r="I3775" s="37" t="n">
        <x:v>46101</x:v>
      </x:c>
      <x:c r="J3775" s="37" t="n">
        <x:v>46101</x:v>
      </x:c>
      <x:c r="K3775" s="19" t="str">
        <x:v>Green RV - Slacks Creek</x:v>
      </x:c>
      <x:c r="L3775" s="19" t="str">
        <x:v>Z006</x:v>
      </x:c>
      <x:c r="M3775" s="19" t="str">
        <x:v>In Field Warranty Claims</x:v>
      </x:c>
      <x:c r="N3775" s="37" t="n">
        <x:v>46056</x:v>
      </x:c>
      <x:c r="O3775" s="37"/>
      <x:c r="P3775" s="34" t="n">
        <x:v>0</x:v>
      </x:c>
      <x:c r="Q3775" s="37" t="n">
        <x:v>46101.17444444444</x:v>
      </x:c>
    </x:row>
    <x:row r="3776">
      <x:c r="A3776" s="22" t="n">
        <x:v>30655</x:v>
      </x:c>
      <x:c r="B3776" s="28" t="n">
        <x:v>602.68</x:v>
      </x:c>
      <x:c r="C3776" s="28" t="n">
        <x:v>662.95</x:v>
      </x:c>
      <x:c r="D3776" s="31" t="n">
        <x:f>IF(OR(ISBLANK(B3776),ISBLANK(C3776),B3776=0),"",(C3776-B3776)/B3776)</x:f>
        <x:v>0.10000331851065258</x:v>
      </x:c>
      <x:c r="E3776" s="22" t="str">
        <x:f>IF(ISBLANK(C3776),"AmountIncludingTax缺失",IF(ABS(B3776-C3776)&lt;0.005,"一致","不一致"))</x:f>
        <x:v>不一致</x:v>
      </x:c>
      <x:c r="F3776" s="19" t="str">
        <x:v>approved</x:v>
      </x:c>
      <x:c r="G3776" s="19" t="str">
        <x:v>Repairer Invoiced Processed</x:v>
      </x:c>
      <x:c r="H3776" s="19" t="str">
        <x:v>In Field</x:v>
      </x:c>
      <x:c r="I3776" s="37" t="n">
        <x:v>46111</x:v>
      </x:c>
      <x:c r="J3776" s="37" t="n">
        <x:v>46110</x:v>
      </x:c>
      <x:c r="K3776" s="19" t="str">
        <x:v>Regent RV - Townsville</x:v>
      </x:c>
      <x:c r="L3776" s="19" t="str">
        <x:v>Z006</x:v>
      </x:c>
      <x:c r="M3776" s="19" t="str">
        <x:v>In Field Warranty Claims</x:v>
      </x:c>
      <x:c r="N3776" s="37" t="n">
        <x:v>46056</x:v>
      </x:c>
      <x:c r="O3776" s="37"/>
      <x:c r="P3776" s="34" t="n">
        <x:v>662.95</x:v>
      </x:c>
      <x:c r="Q3776" s="37" t="n">
        <x:v>46110.54724537037</x:v>
      </x:c>
    </x:row>
    <x:row r="3777">
      <x:c r="A3777" s="22" t="n">
        <x:v>30653</x:v>
      </x:c>
      <x:c r="B3777" s="28" t="n">
        <x:v>306.39</x:v>
      </x:c>
      <x:c r="C3777" s="28"/>
      <x:c r="D3777" s="31" t="str">
        <x:f>IF(OR(ISBLANK(B3777),ISBLANK(C3777),B3777=0),"",(C3777-B3777)/B3777)</x:f>
      </x:c>
      <x:c r="E3777" s="22" t="str">
        <x:f>IF(ISBLANK(C3777),"AmountIncludingTax缺失",IF(ABS(B3777-C3777)&lt;0.005,"一致","不一致"))</x:f>
        <x:v>AmountIncludingTax缺失</x:v>
      </x:c>
      <x:c r="F3777" s="19" t="str">
        <x:v>approved</x:v>
      </x:c>
      <x:c r="G3777" s="19" t="str">
        <x:v>Repair in Progress</x:v>
      </x:c>
      <x:c r="H3777" s="19" t="str">
        <x:v>Pre Delivery</x:v>
      </x:c>
      <x:c r="I3777" s="37" t="n">
        <x:v>46169</x:v>
      </x:c>
      <x:c r="J3777" s="37" t="n">
        <x:v>46169</x:v>
      </x:c>
      <x:c r="K3777" s="19" t="str">
        <x:v>The Caravan Hub - Townsville</x:v>
      </x:c>
      <x:c r="L3777" s="19" t="str">
        <x:v>Z005</x:v>
      </x:c>
      <x:c r="M3777" s="19" t="str">
        <x:v>Pre Delivery Warranty Claims</x:v>
      </x:c>
      <x:c r="N3777" s="37" t="n">
        <x:v>46056</x:v>
      </x:c>
      <x:c r="O3777" s="37"/>
      <x:c r="P3777" s="34" t="n">
        <x:v>0</x:v>
      </x:c>
      <x:c r="Q3777" s="37" t="n">
        <x:v>46169.07199074074</x:v>
      </x:c>
    </x:row>
    <x:row r="3778">
      <x:c r="A3778" s="22" t="n">
        <x:v>30647</x:v>
      </x:c>
      <x:c r="B3778" s="28" t="n">
        <x:v>1383.75</x:v>
      </x:c>
      <x:c r="C3778" s="28"/>
      <x:c r="D3778" s="31" t="str">
        <x:f>IF(OR(ISBLANK(B3778),ISBLANK(C3778),B3778=0),"",(C3778-B3778)/B3778)</x:f>
      </x:c>
      <x:c r="E3778" s="22" t="str">
        <x:f>IF(ISBLANK(C3778),"AmountIncludingTax缺失",IF(ABS(B3778-C3778)&lt;0.005,"一致","不一致"))</x:f>
        <x:v>AmountIncludingTax缺失</x:v>
      </x:c>
      <x:c r="F3778" s="19" t="str">
        <x:v>approved</x:v>
      </x:c>
      <x:c r="G3778" s="19" t="str">
        <x:v>Repair in Progress</x:v>
      </x:c>
      <x:c r="H3778" s="19" t="str">
        <x:v>In Field</x:v>
      </x:c>
      <x:c r="I3778" s="37" t="n">
        <x:v>46073</x:v>
      </x:c>
      <x:c r="J3778" s="37" t="n">
        <x:v>46071</x:v>
      </x:c>
      <x:c r="K3778" s="19" t="str">
        <x:v>Snowy River Frankston</x:v>
      </x:c>
      <x:c r="L3778" s="19" t="str">
        <x:v>Z006</x:v>
      </x:c>
      <x:c r="M3778" s="19" t="str">
        <x:v>In Field Warranty Claims</x:v>
      </x:c>
      <x:c r="N3778" s="37" t="n">
        <x:v>46056</x:v>
      </x:c>
      <x:c r="O3778" s="37"/>
      <x:c r="P3778" s="34" t="n">
        <x:v>0</x:v>
      </x:c>
      <x:c r="Q3778" s="37" t="n">
        <x:v>46072.824166666665</x:v>
      </x:c>
    </x:row>
    <x:row r="3779">
      <x:c r="A3779" s="22" t="n">
        <x:v>30646</x:v>
      </x:c>
      <x:c r="B3779" s="28" t="n">
        <x:v>1215</x:v>
      </x:c>
      <x:c r="C3779" s="28"/>
      <x:c r="D3779" s="31" t="str">
        <x:f>IF(OR(ISBLANK(B3779),ISBLANK(C3779),B3779=0),"",(C3779-B3779)/B3779)</x:f>
      </x:c>
      <x:c r="E3779" s="22" t="str">
        <x:f>IF(ISBLANK(C3779),"AmountIncludingTax缺失",IF(ABS(B3779-C3779)&lt;0.005,"一致","不一致"))</x:f>
        <x:v>AmountIncludingTax缺失</x:v>
      </x:c>
      <x:c r="F3779" s="19" t="str">
        <x:v>approved</x:v>
      </x:c>
      <x:c r="G3779" s="19" t="str">
        <x:v>Repairer Invoiced Processed</x:v>
      </x:c>
      <x:c r="H3779" s="19" t="str">
        <x:v>In Field</x:v>
      </x:c>
      <x:c r="I3779" s="37" t="n">
        <x:v>46078</x:v>
      </x:c>
      <x:c r="J3779" s="37" t="n">
        <x:v>46073</x:v>
      </x:c>
      <x:c r="K3779" s="19" t="str">
        <x:v>Green RV - Forest Glen</x:v>
      </x:c>
      <x:c r="L3779" s="19" t="str">
        <x:v>Z006</x:v>
      </x:c>
      <x:c r="M3779" s="19" t="str">
        <x:v>In Field Warranty Claims</x:v>
      </x:c>
      <x:c r="N3779" s="37" t="n">
        <x:v>46056</x:v>
      </x:c>
      <x:c r="O3779" s="37"/>
      <x:c r="P3779" s="34" t="n">
        <x:v>0</x:v>
      </x:c>
      <x:c r="Q3779" s="37" t="n">
        <x:v>46077.97167824074</x:v>
      </x:c>
    </x:row>
    <x:row r="3780">
      <x:c r="A3780" s="22" t="n">
        <x:v>30645</x:v>
      </x:c>
      <x:c r="B3780" s="28" t="n">
        <x:v>1115.45</x:v>
      </x:c>
      <x:c r="C3780" s="28"/>
      <x:c r="D3780" s="31" t="str">
        <x:f>IF(OR(ISBLANK(B3780),ISBLANK(C3780),B3780=0),"",(C3780-B3780)/B3780)</x:f>
      </x:c>
      <x:c r="E3780" s="22" t="str">
        <x:f>IF(ISBLANK(C3780),"AmountIncludingTax缺失",IF(ABS(B3780-C3780)&lt;0.005,"一致","不一致"))</x:f>
        <x:v>AmountIncludingTax缺失</x:v>
      </x:c>
      <x:c r="F3780" s="19" t="str">
        <x:v>approved</x:v>
      </x:c>
      <x:c r="G3780" s="19" t="str">
        <x:v>Repairer Invoiced Processed</x:v>
      </x:c>
      <x:c r="H3780" s="19" t="str">
        <x:v>In Field</x:v>
      </x:c>
      <x:c r="I3780" s="37" t="n">
        <x:v>46126</x:v>
      </x:c>
      <x:c r="J3780" s="37" t="n">
        <x:v>46126</x:v>
      </x:c>
      <x:c r="K3780" s="19" t="str">
        <x:v>Bendigo Caravan Group - Bendigo</x:v>
      </x:c>
      <x:c r="L3780" s="19" t="str">
        <x:v>Z006</x:v>
      </x:c>
      <x:c r="M3780" s="19" t="str">
        <x:v>In Field Warranty Claims</x:v>
      </x:c>
      <x:c r="N3780" s="37" t="n">
        <x:v>46056</x:v>
      </x:c>
      <x:c r="O3780" s="37"/>
      <x:c r="P3780" s="34" t="n">
        <x:v>1227</x:v>
      </x:c>
      <x:c r="Q3780" s="37" t="n">
        <x:v>46125.80554398148</x:v>
      </x:c>
    </x:row>
    <x:row r="3781">
      <x:c r="A3781" s="22" t="n">
        <x:v>30644</x:v>
      </x:c>
      <x:c r="B3781" s="28" t="n">
        <x:v>108.75</x:v>
      </x:c>
      <x:c r="C3781" s="28"/>
      <x:c r="D3781" s="31" t="str">
        <x:f>IF(OR(ISBLANK(B3781),ISBLANK(C3781),B3781=0),"",(C3781-B3781)/B3781)</x:f>
      </x:c>
      <x:c r="E3781" s="22" t="str">
        <x:f>IF(ISBLANK(C3781),"AmountIncludingTax缺失",IF(ABS(B3781-C3781)&lt;0.005,"一致","不一致"))</x:f>
        <x:v>AmountIncludingTax缺失</x:v>
      </x:c>
      <x:c r="F3781" s="19" t="str">
        <x:v>approved</x:v>
      </x:c>
      <x:c r="G3781" s="19" t="str">
        <x:v>Repairer Invoiced Processed</x:v>
      </x:c>
      <x:c r="H3781" s="19" t="str">
        <x:v>In Field</x:v>
      </x:c>
      <x:c r="I3781" s="37" t="n">
        <x:v>46113</x:v>
      </x:c>
      <x:c r="J3781" s="37" t="n">
        <x:v>46113</x:v>
      </x:c>
      <x:c r="K3781" s="19" t="str">
        <x:v>Regent RV - Townsville</x:v>
      </x:c>
      <x:c r="L3781" s="19" t="str">
        <x:v>Z006</x:v>
      </x:c>
      <x:c r="M3781" s="19" t="str">
        <x:v>In Field Warranty Claims</x:v>
      </x:c>
      <x:c r="N3781" s="37" t="n">
        <x:v>46056</x:v>
      </x:c>
      <x:c r="O3781" s="37"/>
      <x:c r="P3781" s="34" t="n">
        <x:v>0</x:v>
      </x:c>
      <x:c r="Q3781" s="37" t="n">
        <x:v>46113.22806712963</x:v>
      </x:c>
    </x:row>
    <x:row r="3782">
      <x:c r="A3782" s="22" t="n">
        <x:v>30641</x:v>
      </x:c>
      <x:c r="B3782" s="28" t="n">
        <x:v>742.5</x:v>
      </x:c>
      <x:c r="C3782" s="28"/>
      <x:c r="D3782" s="31" t="str">
        <x:f>IF(OR(ISBLANK(B3782),ISBLANK(C3782),B3782=0),"",(C3782-B3782)/B3782)</x:f>
      </x:c>
      <x:c r="E3782" s="22" t="str">
        <x:f>IF(ISBLANK(C3782),"AmountIncludingTax缺失",IF(ABS(B3782-C3782)&lt;0.005,"一致","不一致"))</x:f>
        <x:v>AmountIncludingTax缺失</x:v>
      </x:c>
      <x:c r="F3782" s="19" t="str">
        <x:v>approved</x:v>
      </x:c>
      <x:c r="G3782" s="19" t="str">
        <x:v>Repairer Invoiced Processed</x:v>
      </x:c>
      <x:c r="H3782" s="19" t="str">
        <x:v>Pre Delivery</x:v>
      </x:c>
      <x:c r="I3782" s="37" t="n">
        <x:v>46079</x:v>
      </x:c>
      <x:c r="J3782" s="37" t="n">
        <x:v>46079</x:v>
      </x:c>
      <x:c r="K3782" s="19" t="str">
        <x:v>Lesiure Lion-New Castle</x:v>
      </x:c>
      <x:c r="L3782" s="19" t="str">
        <x:v>Z005</x:v>
      </x:c>
      <x:c r="M3782" s="19" t="str">
        <x:v>Pre Delivery Warranty Claims</x:v>
      </x:c>
      <x:c r="N3782" s="37" t="n">
        <x:v>46056</x:v>
      </x:c>
      <x:c r="O3782" s="37"/>
      <x:c r="P3782" s="34" t="n">
        <x:v>0</x:v>
      </x:c>
      <x:c r="Q3782" s="37" t="n">
        <x:v>46079.274201388886</x:v>
      </x:c>
    </x:row>
    <x:row r="3783">
      <x:c r="A3783" s="22" t="n">
        <x:v>30638</x:v>
      </x:c>
      <x:c r="B3783" s="28" t="n">
        <x:v>1312.5</x:v>
      </x:c>
      <x:c r="C3783" s="28"/>
      <x:c r="D3783" s="31" t="str">
        <x:f>IF(OR(ISBLANK(B3783),ISBLANK(C3783),B3783=0),"",(C3783-B3783)/B3783)</x:f>
      </x:c>
      <x:c r="E3783" s="22" t="str">
        <x:f>IF(ISBLANK(C3783),"AmountIncludingTax缺失",IF(ABS(B3783-C3783)&lt;0.005,"一致","不一致"))</x:f>
        <x:v>AmountIncludingTax缺失</x:v>
      </x:c>
      <x:c r="F3783" s="19" t="str">
        <x:v>approved</x:v>
      </x:c>
      <x:c r="G3783" s="19" t="str">
        <x:v>Repairer Invoiced Processed</x:v>
      </x:c>
      <x:c r="H3783" s="19" t="str">
        <x:v>Pre Delivery</x:v>
      </x:c>
      <x:c r="I3783" s="37" t="n">
        <x:v>46177</x:v>
      </x:c>
      <x:c r="J3783" s="37" t="n">
        <x:v>46177</x:v>
      </x:c>
      <x:c r="K3783" s="19" t="str">
        <x:v>The Caravan Hub - Townsville</x:v>
      </x:c>
      <x:c r="L3783" s="19" t="str">
        <x:v>Z005</x:v>
      </x:c>
      <x:c r="M3783" s="19" t="str">
        <x:v>Pre Delivery Warranty Claims</x:v>
      </x:c>
      <x:c r="N3783" s="37" t="n">
        <x:v>46056</x:v>
      </x:c>
      <x:c r="O3783" s="37"/>
      <x:c r="P3783" s="34" t="n">
        <x:v>0</x:v>
      </x:c>
      <x:c r="Q3783" s="37" t="n">
        <x:v>46176.9571875</x:v>
      </x:c>
    </x:row>
    <x:row r="3784">
      <x:c r="A3784" s="22" t="n">
        <x:v>30637</x:v>
      </x:c>
      <x:c r="B3784" s="28" t="n">
        <x:v>742.5</x:v>
      </x:c>
      <x:c r="C3784" s="28"/>
      <x:c r="D3784" s="31" t="str">
        <x:f>IF(OR(ISBLANK(B3784),ISBLANK(C3784),B3784=0),"",(C3784-B3784)/B3784)</x:f>
      </x:c>
      <x:c r="E3784" s="22" t="str">
        <x:f>IF(ISBLANK(C3784),"AmountIncludingTax缺失",IF(ABS(B3784-C3784)&lt;0.005,"一致","不一致"))</x:f>
        <x:v>AmountIncludingTax缺失</x:v>
      </x:c>
      <x:c r="F3784" s="19" t="str">
        <x:v>approved</x:v>
      </x:c>
      <x:c r="G3784" s="19" t="str">
        <x:v>Repair in Progress</x:v>
      </x:c>
      <x:c r="H3784" s="19" t="str">
        <x:v>In Field</x:v>
      </x:c>
      <x:c r="I3784" s="37" t="n">
        <x:v>46078</x:v>
      </x:c>
      <x:c r="J3784" s="37" t="n">
        <x:v>46078</x:v>
      </x:c>
      <x:c r="K3784" s="19" t="str">
        <x:v>Regent RV - Frankston</x:v>
      </x:c>
      <x:c r="L3784" s="19" t="str">
        <x:v>Z006</x:v>
      </x:c>
      <x:c r="M3784" s="19" t="str">
        <x:v>In Field Warranty Claims</x:v>
      </x:c>
      <x:c r="N3784" s="37" t="n">
        <x:v>46056</x:v>
      </x:c>
      <x:c r="O3784" s="37"/>
      <x:c r="P3784" s="34" t="n">
        <x:v>0</x:v>
      </x:c>
      <x:c r="Q3784" s="37" t="n">
        <x:v>46077.8806712963</x:v>
      </x:c>
    </x:row>
    <x:row r="3785">
      <x:c r="A3785" s="22" t="n">
        <x:v>30636</x:v>
      </x:c>
      <x:c r="B3785" s="28" t="n">
        <x:v>135</x:v>
      </x:c>
      <x:c r="C3785" s="28"/>
      <x:c r="D3785" s="31" t="str">
        <x:f>IF(OR(ISBLANK(B3785),ISBLANK(C3785),B3785=0),"",(C3785-B3785)/B3785)</x:f>
      </x:c>
      <x:c r="E3785" s="22" t="str">
        <x:f>IF(ISBLANK(C3785),"AmountIncludingTax缺失",IF(ABS(B3785-C3785)&lt;0.005,"一致","不一致"))</x:f>
        <x:v>AmountIncludingTax缺失</x:v>
      </x:c>
      <x:c r="F3785" s="19" t="str">
        <x:v>approved</x:v>
      </x:c>
      <x:c r="G3785" s="19" t="str">
        <x:v>Repair in Progress</x:v>
      </x:c>
      <x:c r="H3785" s="19" t="str">
        <x:v>In Field</x:v>
      </x:c>
      <x:c r="I3785" s="37" t="n">
        <x:v>46071</x:v>
      </x:c>
      <x:c r="J3785" s="37" t="n">
        <x:v>46071</x:v>
      </x:c>
      <x:c r="K3785" s="19" t="str">
        <x:v>Snowy River Frankston</x:v>
      </x:c>
      <x:c r="L3785" s="19" t="str">
        <x:v>Z006</x:v>
      </x:c>
      <x:c r="M3785" s="19" t="str">
        <x:v>In Field Warranty Claims</x:v>
      </x:c>
      <x:c r="N3785" s="37" t="n">
        <x:v>46056</x:v>
      </x:c>
      <x:c r="O3785" s="37"/>
      <x:c r="P3785" s="34" t="n">
        <x:v>0</x:v>
      </x:c>
      <x:c r="Q3785" s="37" t="n">
        <x:v>46071.206041666665</x:v>
      </x:c>
    </x:row>
    <x:row r="3786">
      <x:c r="A3786" s="22" t="n">
        <x:v>30634</x:v>
      </x:c>
      <x:c r="B3786" s="28" t="n">
        <x:v>845</x:v>
      </x:c>
      <x:c r="C3786" s="28"/>
      <x:c r="D3786" s="31" t="str">
        <x:f>IF(OR(ISBLANK(B3786),ISBLANK(C3786),B3786=0),"",(C3786-B3786)/B3786)</x:f>
      </x:c>
      <x:c r="E3786" s="22" t="str">
        <x:f>IF(ISBLANK(C3786),"AmountIncludingTax缺失",IF(ABS(B3786-C3786)&lt;0.005,"一致","不一致"))</x:f>
        <x:v>AmountIncludingTax缺失</x:v>
      </x:c>
      <x:c r="F3786" s="19" t="str">
        <x:v>approved</x:v>
      </x:c>
      <x:c r="G3786" s="19" t="str">
        <x:v>Repairer Invoiced Received</x:v>
      </x:c>
      <x:c r="H3786" s="19" t="str">
        <x:v>In Field</x:v>
      </x:c>
      <x:c r="I3786" s="37" t="n">
        <x:v>46090</x:v>
      </x:c>
      <x:c r="J3786" s="37" t="n">
        <x:v>46090</x:v>
      </x:c>
      <x:c r="K3786" s="19" t="str">
        <x:v>Green RV - Forest Glen</x:v>
      </x:c>
      <x:c r="L3786" s="19" t="str">
        <x:v>Z006</x:v>
      </x:c>
      <x:c r="M3786" s="19" t="str">
        <x:v>In Field Warranty Claims</x:v>
      </x:c>
      <x:c r="N3786" s="37" t="n">
        <x:v>46056</x:v>
      </x:c>
      <x:c r="O3786" s="37"/>
      <x:c r="P3786" s="34" t="n">
        <x:v>0</x:v>
      </x:c>
      <x:c r="Q3786" s="37" t="n">
        <x:v>46089.91761574074</x:v>
      </x:c>
    </x:row>
    <x:row r="3787">
      <x:c r="A3787" s="22" t="n">
        <x:v>30633</x:v>
      </x:c>
      <x:c r="B3787" s="28" t="n">
        <x:v>308.3</x:v>
      </x:c>
      <x:c r="C3787" s="28"/>
      <x:c r="D3787" s="31" t="str">
        <x:f>IF(OR(ISBLANK(B3787),ISBLANK(C3787),B3787=0),"",(C3787-B3787)/B3787)</x:f>
      </x:c>
      <x:c r="E3787" s="22" t="str">
        <x:f>IF(ISBLANK(C3787),"AmountIncludingTax缺失",IF(ABS(B3787-C3787)&lt;0.005,"一致","不一致"))</x:f>
        <x:v>AmountIncludingTax缺失</x:v>
      </x:c>
      <x:c r="F3787" s="19" t="str">
        <x:v>approved</x:v>
      </x:c>
      <x:c r="G3787" s="19" t="str">
        <x:v>Partially Picked</x:v>
      </x:c>
      <x:c r="H3787" s="19" t="str">
        <x:v>In Field</x:v>
      </x:c>
      <x:c r="I3787" s="37" t="n">
        <x:v>46183</x:v>
      </x:c>
      <x:c r="J3787" s="37" t="n">
        <x:v>46078</x:v>
      </x:c>
      <x:c r="K3787" s="19" t="str">
        <x:v>Green RV - Forest Glen</x:v>
      </x:c>
      <x:c r="L3787" s="19" t="str">
        <x:v>Z006</x:v>
      </x:c>
      <x:c r="M3787" s="19" t="str">
        <x:v>In Field Warranty Claims</x:v>
      </x:c>
      <x:c r="N3787" s="37" t="n">
        <x:v>46056</x:v>
      </x:c>
      <x:c r="O3787" s="37"/>
      <x:c r="P3787" s="34" t="n">
        <x:v>0</x:v>
      </x:c>
      <x:c r="Q3787" s="37" t="n">
        <x:v>46182.97708333333</x:v>
      </x:c>
    </x:row>
    <x:row r="3788">
      <x:c r="A3788" s="22" t="n">
        <x:v>30632</x:v>
      </x:c>
      <x:c r="B3788" s="28" t="n">
        <x:v>256.25</x:v>
      </x:c>
      <x:c r="C3788" s="28"/>
      <x:c r="D3788" s="31" t="str">
        <x:f>IF(OR(ISBLANK(B3788),ISBLANK(C3788),B3788=0),"",(C3788-B3788)/B3788)</x:f>
      </x:c>
      <x:c r="E3788" s="22" t="str">
        <x:f>IF(ISBLANK(C3788),"AmountIncludingTax缺失",IF(ABS(B3788-C3788)&lt;0.005,"一致","不一致"))</x:f>
        <x:v>AmountIncludingTax缺失</x:v>
      </x:c>
      <x:c r="F3788" s="19" t="str">
        <x:v>approved</x:v>
      </x:c>
      <x:c r="G3788" s="19" t="str">
        <x:v>Repair in Progress</x:v>
      </x:c>
      <x:c r="H3788" s="19" t="str">
        <x:v>In Field</x:v>
      </x:c>
      <x:c r="I3788" s="37" t="n">
        <x:v>46066</x:v>
      </x:c>
      <x:c r="J3788" s="37" t="n">
        <x:v>46066</x:v>
      </x:c>
      <x:c r="K3788" s="19" t="str">
        <x:v>Green RV - Slacks Creek</x:v>
      </x:c>
      <x:c r="L3788" s="19" t="str">
        <x:v>Z006</x:v>
      </x:c>
      <x:c r="M3788" s="19" t="str">
        <x:v>In Field Warranty Claims</x:v>
      </x:c>
      <x:c r="N3788" s="37" t="n">
        <x:v>46056</x:v>
      </x:c>
      <x:c r="O3788" s="37"/>
      <x:c r="P3788" s="34" t="n">
        <x:v>0</x:v>
      </x:c>
      <x:c r="Q3788" s="37" t="n">
        <x:v>46066.13622685185</x:v>
      </x:c>
    </x:row>
    <x:row r="3789">
      <x:c r="A3789" s="22" t="n">
        <x:v>30631</x:v>
      </x:c>
      <x:c r="B3789" s="28" t="n">
        <x:v>2819.25</x:v>
      </x:c>
      <x:c r="C3789" s="28"/>
      <x:c r="D3789" s="31" t="str">
        <x:f>IF(OR(ISBLANK(B3789),ISBLANK(C3789),B3789=0),"",(C3789-B3789)/B3789)</x:f>
      </x:c>
      <x:c r="E3789" s="22" t="str">
        <x:f>IF(ISBLANK(C3789),"AmountIncludingTax缺失",IF(ABS(B3789-C3789)&lt;0.005,"一致","不一致"))</x:f>
        <x:v>AmountIncludingTax缺失</x:v>
      </x:c>
      <x:c r="F3789" s="19" t="str">
        <x:v>approved</x:v>
      </x:c>
      <x:c r="G3789" s="19" t="str">
        <x:v>Repair in Progress</x:v>
      </x:c>
      <x:c r="H3789" s="19" t="str">
        <x:v>In Field</x:v>
      </x:c>
      <x:c r="I3789" s="37" t="n">
        <x:v>46168</x:v>
      </x:c>
      <x:c r="J3789" s="37" t="n">
        <x:v>46153</x:v>
      </x:c>
      <x:c r="K3789" s="19" t="str">
        <x:v>Green RV - Slacks Creek</x:v>
      </x:c>
      <x:c r="L3789" s="19" t="str">
        <x:v>Z006</x:v>
      </x:c>
      <x:c r="M3789" s="19" t="str">
        <x:v>In Field Warranty Claims</x:v>
      </x:c>
      <x:c r="N3789" s="37" t="n">
        <x:v>46056</x:v>
      </x:c>
      <x:c r="O3789" s="37"/>
      <x:c r="P3789" s="34" t="n">
        <x:v>0</x:v>
      </x:c>
      <x:c r="Q3789" s="37" t="n">
        <x:v>46168.20847222222</x:v>
      </x:c>
    </x:row>
    <x:row r="3790">
      <x:c r="A3790" s="22" t="n">
        <x:v>30629</x:v>
      </x:c>
      <x:c r="B3790" s="28" t="n">
        <x:v>2848.7</x:v>
      </x:c>
      <x:c r="C3790" s="28"/>
      <x:c r="D3790" s="31" t="str">
        <x:f>IF(OR(ISBLANK(B3790),ISBLANK(C3790),B3790=0),"",(C3790-B3790)/B3790)</x:f>
      </x:c>
      <x:c r="E3790" s="22" t="str">
        <x:f>IF(ISBLANK(C3790),"AmountIncludingTax缺失",IF(ABS(B3790-C3790)&lt;0.005,"一致","不一致"))</x:f>
        <x:v>AmountIncludingTax缺失</x:v>
      </x:c>
      <x:c r="F3790" s="19" t="str">
        <x:v>approved</x:v>
      </x:c>
      <x:c r="G3790" s="19" t="str">
        <x:v>Repairer Invoiced Processed</x:v>
      </x:c>
      <x:c r="H3790" s="19" t="str">
        <x:v>Pre Delivery</x:v>
      </x:c>
      <x:c r="I3790" s="37" t="n">
        <x:v>46154</x:v>
      </x:c>
      <x:c r="J3790" s="37" t="n">
        <x:v>46154</x:v>
      </x:c>
      <x:c r="K3790" s="19" t="str">
        <x:v>Vanari Caravans - Marden Point</x:v>
      </x:c>
      <x:c r="L3790" s="19" t="str">
        <x:v>Z005</x:v>
      </x:c>
      <x:c r="M3790" s="19" t="str">
        <x:v>Pre Delivery Warranty Claims</x:v>
      </x:c>
      <x:c r="N3790" s="37" t="n">
        <x:v>46056</x:v>
      </x:c>
      <x:c r="O3790" s="37"/>
      <x:c r="P3790" s="34" t="n">
        <x:v>2579.21</x:v>
      </x:c>
      <x:c r="Q3790" s="37" t="n">
        <x:v>46153.987962962965</x:v>
      </x:c>
    </x:row>
    <x:row r="3791">
      <x:c r="A3791" s="22" t="n">
        <x:v>30628</x:v>
      </x:c>
      <x:c r="B3791" s="28" t="n">
        <x:v>766.75</x:v>
      </x:c>
      <x:c r="C3791" s="28"/>
      <x:c r="D3791" s="31" t="str">
        <x:f>IF(OR(ISBLANK(B3791),ISBLANK(C3791),B3791=0),"",(C3791-B3791)/B3791)</x:f>
      </x:c>
      <x:c r="E3791" s="22" t="str">
        <x:f>IF(ISBLANK(C3791),"AmountIncludingTax缺失",IF(ABS(B3791-C3791)&lt;0.005,"一致","不一致"))</x:f>
        <x:v>AmountIncludingTax缺失</x:v>
      </x:c>
      <x:c r="F3791" s="19" t="str">
        <x:v>approved</x:v>
      </x:c>
      <x:c r="G3791" s="19" t="str">
        <x:v>Repair in Progress</x:v>
      </x:c>
      <x:c r="H3791" s="19" t="str">
        <x:v>In Field</x:v>
      </x:c>
      <x:c r="I3791" s="37" t="n">
        <x:v>46072</x:v>
      </x:c>
      <x:c r="J3791" s="37" t="n">
        <x:v>46072</x:v>
      </x:c>
      <x:c r="K3791" s="19" t="str">
        <x:v>Leisure Lion Pty Ltd - Gympie</x:v>
      </x:c>
      <x:c r="L3791" s="19" t="str">
        <x:v>Z006</x:v>
      </x:c>
      <x:c r="M3791" s="19" t="str">
        <x:v>In Field Warranty Claims</x:v>
      </x:c>
      <x:c r="N3791" s="37" t="n">
        <x:v>46056</x:v>
      </x:c>
      <x:c r="O3791" s="37"/>
      <x:c r="P3791" s="34" t="n">
        <x:v>0</x:v>
      </x:c>
      <x:c r="Q3791" s="37" t="n">
        <x:v>46072.05467592592</x:v>
      </x:c>
    </x:row>
    <x:row r="3792">
      <x:c r="A3792" s="22" t="n">
        <x:v>30627</x:v>
      </x:c>
      <x:c r="B3792" s="28" t="n">
        <x:v>135</x:v>
      </x:c>
      <x:c r="C3792" s="28"/>
      <x:c r="D3792" s="31" t="str">
        <x:f>IF(OR(ISBLANK(B3792),ISBLANK(C3792),B3792=0),"",(C3792-B3792)/B3792)</x:f>
      </x:c>
      <x:c r="E3792" s="22" t="str">
        <x:f>IF(ISBLANK(C3792),"AmountIncludingTax缺失",IF(ABS(B3792-C3792)&lt;0.005,"一致","不一致"))</x:f>
        <x:v>AmountIncludingTax缺失</x:v>
      </x:c>
      <x:c r="F3792" s="19" t="str">
        <x:v>approved</x:v>
      </x:c>
      <x:c r="G3792" s="19" t="str">
        <x:v>Repair in Progress</x:v>
      </x:c>
      <x:c r="H3792" s="19" t="str">
        <x:v>Pre Delivery</x:v>
      </x:c>
      <x:c r="I3792" s="37" t="n">
        <x:v>46057</x:v>
      </x:c>
      <x:c r="J3792" s="37" t="n">
        <x:v>46057</x:v>
      </x:c>
      <x:c r="K3792" s="19" t="str">
        <x:v>Snowy River Frankston</x:v>
      </x:c>
      <x:c r="L3792" s="19" t="str">
        <x:v>Z005</x:v>
      </x:c>
      <x:c r="M3792" s="19" t="str">
        <x:v>Pre Delivery Warranty Claims</x:v>
      </x:c>
      <x:c r="N3792" s="37" t="n">
        <x:v>46056</x:v>
      </x:c>
      <x:c r="O3792" s="37"/>
      <x:c r="P3792" s="34" t="n">
        <x:v>0</x:v>
      </x:c>
      <x:c r="Q3792" s="37" t="n">
        <x:v>46056.89056712963</x:v>
      </x:c>
    </x:row>
    <x:row r="3793">
      <x:c r="A3793" s="22" t="n">
        <x:v>30626</x:v>
      </x:c>
      <x:c r="B3793" s="28" t="n">
        <x:v>5027.5</x:v>
      </x:c>
      <x:c r="C3793" s="28"/>
      <x:c r="D3793" s="31" t="str">
        <x:f>IF(OR(ISBLANK(B3793),ISBLANK(C3793),B3793=0),"",(C3793-B3793)/B3793)</x:f>
      </x:c>
      <x:c r="E3793" s="22" t="str">
        <x:f>IF(ISBLANK(C3793),"AmountIncludingTax缺失",IF(ABS(B3793-C3793)&lt;0.005,"一致","不一致"))</x:f>
        <x:v>AmountIncludingTax缺失</x:v>
      </x:c>
      <x:c r="F3793" s="19" t="str">
        <x:v>approved</x:v>
      </x:c>
      <x:c r="G3793" s="19" t="str">
        <x:v>Sales Order Approved</x:v>
      </x:c>
      <x:c r="H3793" s="19" t="str">
        <x:v>In Field</x:v>
      </x:c>
      <x:c r="I3793" s="37" t="n">
        <x:v>46203</x:v>
      </x:c>
      <x:c r="J3793" s="37" t="n">
        <x:v>46203</x:v>
      </x:c>
      <x:c r="K3793" s="19" t="str">
        <x:v>Regent RV - Perth</x:v>
      </x:c>
      <x:c r="L3793" s="19" t="str">
        <x:v>Z006</x:v>
      </x:c>
      <x:c r="M3793" s="19" t="str">
        <x:v>In Field Warranty Claims</x:v>
      </x:c>
      <x:c r="N3793" s="37" t="n">
        <x:v>46056</x:v>
      </x:c>
      <x:c r="O3793" s="37"/>
      <x:c r="P3793" s="34" t="n">
        <x:v>0</x:v>
      </x:c>
      <x:c r="Q3793" s="37" t="n">
        <x:v>46203.09701388889</x:v>
      </x:c>
    </x:row>
    <x:row r="3794">
      <x:c r="A3794" s="22" t="n">
        <x:v>30625</x:v>
      </x:c>
      <x:c r="B3794" s="28" t="n">
        <x:v>407.73</x:v>
      </x:c>
      <x:c r="C3794" s="28"/>
      <x:c r="D3794" s="31" t="str">
        <x:f>IF(OR(ISBLANK(B3794),ISBLANK(C3794),B3794=0),"",(C3794-B3794)/B3794)</x:f>
      </x:c>
      <x:c r="E3794" s="22" t="str">
        <x:f>IF(ISBLANK(C3794),"AmountIncludingTax缺失",IF(ABS(B3794-C3794)&lt;0.005,"一致","不一致"))</x:f>
        <x:v>AmountIncludingTax缺失</x:v>
      </x:c>
      <x:c r="F3794" s="19" t="str">
        <x:v>approved</x:v>
      </x:c>
      <x:c r="G3794" s="19" t="str">
        <x:v>Repairer Invoiced Processed</x:v>
      </x:c>
      <x:c r="H3794" s="19" t="str">
        <x:v>Pre Delivery</x:v>
      </x:c>
      <x:c r="I3794" s="37" t="n">
        <x:v>46079</x:v>
      </x:c>
      <x:c r="J3794" s="37" t="n">
        <x:v>46079</x:v>
      </x:c>
      <x:c r="K3794" s="19" t="str">
        <x:v>The Caravan Hub - Townsville</x:v>
      </x:c>
      <x:c r="L3794" s="19" t="str">
        <x:v>Z005</x:v>
      </x:c>
      <x:c r="M3794" s="19" t="str">
        <x:v>Pre Delivery Warranty Claims</x:v>
      </x:c>
      <x:c r="N3794" s="37" t="n">
        <x:v>46056</x:v>
      </x:c>
      <x:c r="O3794" s="37" t="n">
        <x:v>46077</x:v>
      </x:c>
      <x:c r="P3794" s="34" t="n">
        <x:v>0</x:v>
      </x:c>
      <x:c r="Q3794" s="37" t="n">
        <x:v>46078.95922453704</x:v>
      </x:c>
    </x:row>
    <x:row r="3795">
      <x:c r="A3795" s="22" t="n">
        <x:v>30624</x:v>
      </x:c>
      <x:c r="B3795" s="28" t="n">
        <x:v>288</x:v>
      </x:c>
      <x:c r="C3795" s="28"/>
      <x:c r="D3795" s="31" t="str">
        <x:f>IF(OR(ISBLANK(B3795),ISBLANK(C3795),B3795=0),"",(C3795-B3795)/B3795)</x:f>
      </x:c>
      <x:c r="E3795" s="22" t="str">
        <x:f>IF(ISBLANK(C3795),"AmountIncludingTax缺失",IF(ABS(B3795-C3795)&lt;0.005,"一致","不一致"))</x:f>
        <x:v>AmountIncludingTax缺失</x:v>
      </x:c>
      <x:c r="F3795" s="19" t="str">
        <x:v>approved</x:v>
      </x:c>
      <x:c r="G3795" s="19" t="str">
        <x:v>Repairer Invoiced Processed</x:v>
      </x:c>
      <x:c r="H3795" s="19" t="str">
        <x:v>In Field</x:v>
      </x:c>
      <x:c r="I3795" s="37" t="n">
        <x:v>46083</x:v>
      </x:c>
      <x:c r="J3795" s="37" t="n">
        <x:v>46083</x:v>
      </x:c>
      <x:c r="K3795" s="19" t="str">
        <x:v>Green RV - Forest Glen</x:v>
      </x:c>
      <x:c r="L3795" s="19" t="str">
        <x:v>Z006</x:v>
      </x:c>
      <x:c r="M3795" s="19" t="str">
        <x:v>In Field Warranty Claims</x:v>
      </x:c>
      <x:c r="N3795" s="37" t="n">
        <x:v>46056</x:v>
      </x:c>
      <x:c r="O3795" s="37"/>
      <x:c r="P3795" s="34" t="n">
        <x:v>0</x:v>
      </x:c>
      <x:c r="Q3795" s="37" t="n">
        <x:v>46083.11306712963</x:v>
      </x:c>
    </x:row>
    <x:row r="3796">
      <x:c r="A3796" s="22" t="n">
        <x:v>30623</x:v>
      </x:c>
      <x:c r="B3796" s="28" t="n">
        <x:v>1215</x:v>
      </x:c>
      <x:c r="C3796" s="28"/>
      <x:c r="D3796" s="31" t="str">
        <x:f>IF(OR(ISBLANK(B3796),ISBLANK(C3796),B3796=0),"",(C3796-B3796)/B3796)</x:f>
      </x:c>
      <x:c r="E3796" s="22" t="str">
        <x:f>IF(ISBLANK(C3796),"AmountIncludingTax缺失",IF(ABS(B3796-C3796)&lt;0.005,"一致","不一致"))</x:f>
        <x:v>AmountIncludingTax缺失</x:v>
      </x:c>
      <x:c r="F3796" s="19" t="str">
        <x:v>approved</x:v>
      </x:c>
      <x:c r="G3796" s="19" t="str">
        <x:v>Repair in Progress</x:v>
      </x:c>
      <x:c r="H3796" s="19" t="str">
        <x:v>In Field</x:v>
      </x:c>
      <x:c r="I3796" s="37" t="n">
        <x:v>46071</x:v>
      </x:c>
      <x:c r="J3796" s="37" t="n">
        <x:v>46071</x:v>
      </x:c>
      <x:c r="K3796" s="19" t="str">
        <x:v>Snowy River Frankston</x:v>
      </x:c>
      <x:c r="L3796" s="19" t="str">
        <x:v>Z006</x:v>
      </x:c>
      <x:c r="M3796" s="19" t="str">
        <x:v>In Field Warranty Claims</x:v>
      </x:c>
      <x:c r="N3796" s="37" t="n">
        <x:v>46056</x:v>
      </x:c>
      <x:c r="O3796" s="37"/>
      <x:c r="P3796" s="34" t="n">
        <x:v>0</x:v>
      </x:c>
      <x:c r="Q3796" s="37" t="n">
        <x:v>46071.22508101852</x:v>
      </x:c>
    </x:row>
    <x:row r="3797">
      <x:c r="A3797" s="22" t="n">
        <x:v>30620</x:v>
      </x:c>
      <x:c r="B3797" s="28" t="n">
        <x:v>168.75</x:v>
      </x:c>
      <x:c r="C3797" s="28"/>
      <x:c r="D3797" s="31" t="str">
        <x:f>IF(OR(ISBLANK(B3797),ISBLANK(C3797),B3797=0),"",(C3797-B3797)/B3797)</x:f>
      </x:c>
      <x:c r="E3797" s="22" t="str">
        <x:f>IF(ISBLANK(C3797),"AmountIncludingTax缺失",IF(ABS(B3797-C3797)&lt;0.005,"一致","不一致"))</x:f>
        <x:v>AmountIncludingTax缺失</x:v>
      </x:c>
      <x:c r="F3797" s="19" t="str">
        <x:v>approved</x:v>
      </x:c>
      <x:c r="G3797" s="19" t="str">
        <x:v>Repair in Progress</x:v>
      </x:c>
      <x:c r="H3797" s="19" t="str">
        <x:v>In Field</x:v>
      </x:c>
      <x:c r="I3797" s="37" t="n">
        <x:v>46077</x:v>
      </x:c>
      <x:c r="J3797" s="37" t="n">
        <x:v>46077</x:v>
      </x:c>
      <x:c r="K3797" s="19" t="str">
        <x:v>Snowy River Launceston</x:v>
      </x:c>
      <x:c r="L3797" s="19" t="str">
        <x:v>Z006</x:v>
      </x:c>
      <x:c r="M3797" s="19" t="str">
        <x:v>In Field Warranty Claims</x:v>
      </x:c>
      <x:c r="N3797" s="37" t="n">
        <x:v>46056</x:v>
      </x:c>
      <x:c r="O3797" s="37"/>
      <x:c r="P3797" s="34" t="n">
        <x:v>0</x:v>
      </x:c>
      <x:c r="Q3797" s="37" t="n">
        <x:v>46076.984814814816</x:v>
      </x:c>
    </x:row>
    <x:row r="3798">
      <x:c r="A3798" s="22" t="n">
        <x:v>30619</x:v>
      </x:c>
      <x:c r="B3798" s="28" t="n">
        <x:v>244.64</x:v>
      </x:c>
      <x:c r="C3798" s="28" t="n">
        <x:v>269.1</x:v>
      </x:c>
      <x:c r="D3798" s="31" t="n">
        <x:f>IF(OR(ISBLANK(B3798),ISBLANK(C3798),B3798=0),"",(C3798-B3798)/B3798)</x:f>
        <x:v>0.09998364944408125</x:v>
      </x:c>
      <x:c r="E3798" s="22" t="str">
        <x:f>IF(ISBLANK(C3798),"AmountIncludingTax缺失",IF(ABS(B3798-C3798)&lt;0.005,"一致","不一致"))</x:f>
        <x:v>不一致</x:v>
      </x:c>
      <x:c r="F3798" s="19" t="str">
        <x:v>approved</x:v>
      </x:c>
      <x:c r="G3798" s="19" t="str">
        <x:v>Repairer Invoiced Processed</x:v>
      </x:c>
      <x:c r="H3798" s="19" t="str">
        <x:v>In Field</x:v>
      </x:c>
      <x:c r="I3798" s="37" t="n">
        <x:v>46068</x:v>
      </x:c>
      <x:c r="J3798" s="37" t="n">
        <x:v>46068</x:v>
      </x:c>
      <x:c r="K3798" s="19" t="str">
        <x:v>Green RV - Forest Glen</x:v>
      </x:c>
      <x:c r="L3798" s="19" t="str">
        <x:v>Z006</x:v>
      </x:c>
      <x:c r="M3798" s="19" t="str">
        <x:v>In Field Warranty Claims</x:v>
      </x:c>
      <x:c r="N3798" s="37" t="n">
        <x:v>46056</x:v>
      </x:c>
      <x:c r="O3798" s="37"/>
      <x:c r="P3798" s="34" t="n">
        <x:v>269.1</x:v>
      </x:c>
      <x:c r="Q3798" s="37" t="n">
        <x:v>46068.08361111111</x:v>
      </x:c>
    </x:row>
    <x:row r="3799">
      <x:c r="A3799" s="22" t="n">
        <x:v>30618</x:v>
      </x:c>
      <x:c r="B3799" s="28" t="n">
        <x:v>1563</x:v>
      </x:c>
      <x:c r="C3799" s="28"/>
      <x:c r="D3799" s="31" t="str">
        <x:f>IF(OR(ISBLANK(B3799),ISBLANK(C3799),B3799=0),"",(C3799-B3799)/B3799)</x:f>
      </x:c>
      <x:c r="E3799" s="22" t="str">
        <x:f>IF(ISBLANK(C3799),"AmountIncludingTax缺失",IF(ABS(B3799-C3799)&lt;0.005,"一致","不一致"))</x:f>
        <x:v>AmountIncludingTax缺失</x:v>
      </x:c>
      <x:c r="F3799" s="19" t="str">
        <x:v>approved</x:v>
      </x:c>
      <x:c r="G3799" s="19" t="str">
        <x:v>Repair in Progress</x:v>
      </x:c>
      <x:c r="H3799" s="19" t="str">
        <x:v>In Field</x:v>
      </x:c>
      <x:c r="I3799" s="37" t="n">
        <x:v>46072</x:v>
      </x:c>
      <x:c r="J3799" s="37" t="n">
        <x:v>46072</x:v>
      </x:c>
      <x:c r="K3799" s="19" t="str">
        <x:v>Green RV - Forest Glen</x:v>
      </x:c>
      <x:c r="L3799" s="19" t="str">
        <x:v>Z006</x:v>
      </x:c>
      <x:c r="M3799" s="19" t="str">
        <x:v>In Field Warranty Claims</x:v>
      </x:c>
      <x:c r="N3799" s="37" t="n">
        <x:v>46056</x:v>
      </x:c>
      <x:c r="O3799" s="37"/>
      <x:c r="P3799" s="34" t="n">
        <x:v>0</x:v>
      </x:c>
      <x:c r="Q3799" s="37" t="n">
        <x:v>46072.17800925926</x:v>
      </x:c>
    </x:row>
    <x:row r="3800">
      <x:c r="A3800" s="22" t="n">
        <x:v>30616</x:v>
      </x:c>
      <x:c r="B3800" s="28" t="n">
        <x:v>951.25</x:v>
      </x:c>
      <x:c r="C3800" s="28"/>
      <x:c r="D3800" s="31" t="str">
        <x:f>IF(OR(ISBLANK(B3800),ISBLANK(C3800),B3800=0),"",(C3800-B3800)/B3800)</x:f>
      </x:c>
      <x:c r="E3800" s="22" t="str">
        <x:f>IF(ISBLANK(C3800),"AmountIncludingTax缺失",IF(ABS(B3800-C3800)&lt;0.005,"一致","不一致"))</x:f>
        <x:v>AmountIncludingTax缺失</x:v>
      </x:c>
      <x:c r="F3800" s="19" t="str">
        <x:v>approved</x:v>
      </x:c>
      <x:c r="G3800" s="19" t="str">
        <x:v>Repair in Progress</x:v>
      </x:c>
      <x:c r="H3800" s="19" t="str">
        <x:v>In Field</x:v>
      </x:c>
      <x:c r="I3800" s="37" t="n">
        <x:v>46073</x:v>
      </x:c>
      <x:c r="J3800" s="37" t="n">
        <x:v>46073</x:v>
      </x:c>
      <x:c r="K3800" s="19" t="str">
        <x:v>Green RV - Forest Glen</x:v>
      </x:c>
      <x:c r="L3800" s="19" t="str">
        <x:v>Z006</x:v>
      </x:c>
      <x:c r="M3800" s="19" t="str">
        <x:v>In Field Warranty Claims</x:v>
      </x:c>
      <x:c r="N3800" s="37" t="n">
        <x:v>46056</x:v>
      </x:c>
      <x:c r="O3800" s="37"/>
      <x:c r="P3800" s="34" t="n">
        <x:v>0</x:v>
      </x:c>
      <x:c r="Q3800" s="37" t="n">
        <x:v>46073.20162037037</x:v>
      </x:c>
    </x:row>
    <x:row r="3801">
      <x:c r="A3801" s="22" t="n">
        <x:v>30614</x:v>
      </x:c>
      <x:c r="B3801" s="28" t="n">
        <x:v>5366.25</x:v>
      </x:c>
      <x:c r="C3801" s="28"/>
      <x:c r="D3801" s="31" t="str">
        <x:f>IF(OR(ISBLANK(B3801),ISBLANK(C3801),B3801=0),"",(C3801-B3801)/B3801)</x:f>
      </x:c>
      <x:c r="E3801" s="22" t="str">
        <x:f>IF(ISBLANK(C3801),"AmountIncludingTax缺失",IF(ABS(B3801-C3801)&lt;0.005,"一致","不一致"))</x:f>
        <x:v>AmountIncludingTax缺失</x:v>
      </x:c>
      <x:c r="F3801" s="19" t="str">
        <x:v>approved</x:v>
      </x:c>
      <x:c r="G3801" s="19" t="str">
        <x:v>Partially Picked</x:v>
      </x:c>
      <x:c r="H3801" s="19" t="str">
        <x:v>In Field</x:v>
      </x:c>
      <x:c r="I3801" s="37" t="n">
        <x:v>46119</x:v>
      </x:c>
      <x:c r="J3801" s="37" t="n">
        <x:v>46119</x:v>
      </x:c>
      <x:c r="K3801" s="19" t="str">
        <x:v>Green RV - Slacks Creek</x:v>
      </x:c>
      <x:c r="L3801" s="19" t="str">
        <x:v>Z006</x:v>
      </x:c>
      <x:c r="M3801" s="19" t="str">
        <x:v>In Field Warranty Claims</x:v>
      </x:c>
      <x:c r="N3801" s="37" t="n">
        <x:v>46056</x:v>
      </x:c>
      <x:c r="O3801" s="37"/>
      <x:c r="P3801" s="34" t="n">
        <x:v>0</x:v>
      </x:c>
      <x:c r="Q3801" s="37" t="n">
        <x:v>46119.05813657407</x:v>
      </x:c>
    </x:row>
    <x:row r="3802">
      <x:c r="A3802" s="22" t="n">
        <x:v>30613</x:v>
      </x:c>
      <x:c r="B3802" s="28" t="n">
        <x:v>388.41</x:v>
      </x:c>
      <x:c r="C3802" s="28" t="n">
        <x:v>427.25</x:v>
      </x:c>
      <x:c r="D3802" s="31" t="n">
        <x:f>IF(OR(ISBLANK(B3802),ISBLANK(C3802),B3802=0),"",(C3802-B3802)/B3802)</x:f>
        <x:v>0.09999742540099373</x:v>
      </x:c>
      <x:c r="E3802" s="22" t="str">
        <x:f>IF(ISBLANK(C3802),"AmountIncludingTax缺失",IF(ABS(B3802-C3802)&lt;0.005,"一致","不一致"))</x:f>
        <x:v>不一致</x:v>
      </x:c>
      <x:c r="F3802" s="19" t="str">
        <x:v>approved</x:v>
      </x:c>
      <x:c r="G3802" s="19" t="str">
        <x:v>Repair in Progress</x:v>
      </x:c>
      <x:c r="H3802" s="19" t="str">
        <x:v>In Field</x:v>
      </x:c>
      <x:c r="I3802" s="37" t="n">
        <x:v>46058</x:v>
      </x:c>
      <x:c r="J3802" s="37" t="n">
        <x:v>46058</x:v>
      </x:c>
      <x:c r="K3802" s="19" t="str">
        <x:v>Regent RV - Perth</x:v>
      </x:c>
      <x:c r="L3802" s="19" t="str">
        <x:v>Z006</x:v>
      </x:c>
      <x:c r="M3802" s="19" t="str">
        <x:v>In Field Warranty Claims</x:v>
      </x:c>
      <x:c r="N3802" s="37" t="n">
        <x:v>46056</x:v>
      </x:c>
      <x:c r="O3802" s="37"/>
      <x:c r="P3802" s="34" t="n">
        <x:v>427.25</x:v>
      </x:c>
      <x:c r="Q3802" s="37" t="n">
        <x:v>46058.15412037037</x:v>
      </x:c>
    </x:row>
    <x:row r="3803">
      <x:c r="A3803" s="22" t="n">
        <x:v>30612</x:v>
      </x:c>
      <x:c r="B3803" s="28" t="n">
        <x:v>371.25</x:v>
      </x:c>
      <x:c r="C3803" s="28"/>
      <x:c r="D3803" s="31" t="str">
        <x:f>IF(OR(ISBLANK(B3803),ISBLANK(C3803),B3803=0),"",(C3803-B3803)/B3803)</x:f>
      </x:c>
      <x:c r="E3803" s="22" t="str">
        <x:f>IF(ISBLANK(C3803),"AmountIncludingTax缺失",IF(ABS(B3803-C3803)&lt;0.005,"一致","不一致"))</x:f>
        <x:v>AmountIncludingTax缺失</x:v>
      </x:c>
      <x:c r="F3803" s="19" t="str">
        <x:v>approved</x:v>
      </x:c>
      <x:c r="G3803" s="19" t="str">
        <x:v>Repairer Invoiced Processed</x:v>
      </x:c>
      <x:c r="H3803" s="19" t="str">
        <x:v>In Field</x:v>
      </x:c>
      <x:c r="I3803" s="37" t="n">
        <x:v>46076</x:v>
      </x:c>
      <x:c r="J3803" s="37" t="n">
        <x:v>46076</x:v>
      </x:c>
      <x:c r="K3803" s="19" t="str">
        <x:v>Green RV - Forest Glen</x:v>
      </x:c>
      <x:c r="L3803" s="19" t="str">
        <x:v>Z006</x:v>
      </x:c>
      <x:c r="M3803" s="19" t="str">
        <x:v>In Field Warranty Claims</x:v>
      </x:c>
      <x:c r="N3803" s="37" t="n">
        <x:v>46056</x:v>
      </x:c>
      <x:c r="O3803" s="37"/>
      <x:c r="P3803" s="34" t="n">
        <x:v>0</x:v>
      </x:c>
      <x:c r="Q3803" s="37" t="n">
        <x:v>46076.14599537037</x:v>
      </x:c>
    </x:row>
    <x:row r="3804">
      <x:c r="A3804" s="22" t="n">
        <x:v>30611</x:v>
      </x:c>
      <x:c r="B3804" s="28" t="n">
        <x:v>381.22</x:v>
      </x:c>
      <x:c r="C3804" s="28"/>
      <x:c r="D3804" s="31" t="str">
        <x:f>IF(OR(ISBLANK(B3804),ISBLANK(C3804),B3804=0),"",(C3804-B3804)/B3804)</x:f>
      </x:c>
      <x:c r="E3804" s="22" t="str">
        <x:f>IF(ISBLANK(C3804),"AmountIncludingTax缺失",IF(ABS(B3804-C3804)&lt;0.005,"一致","不一致"))</x:f>
        <x:v>AmountIncludingTax缺失</x:v>
      </x:c>
      <x:c r="F3804" s="19" t="str">
        <x:v>approved</x:v>
      </x:c>
      <x:c r="G3804" s="19" t="str">
        <x:v>Repairer Invoiced Processed</x:v>
      </x:c>
      <x:c r="H3804" s="19" t="str">
        <x:v>In Field</x:v>
      </x:c>
      <x:c r="I3804" s="37" t="n">
        <x:v>46058</x:v>
      </x:c>
      <x:c r="J3804" s="37" t="n">
        <x:v>46058</x:v>
      </x:c>
      <x:c r="K3804" s="19" t="str">
        <x:v>The Caravan Hub - Townsville</x:v>
      </x:c>
      <x:c r="L3804" s="19" t="str">
        <x:v>Z006</x:v>
      </x:c>
      <x:c r="M3804" s="19" t="str">
        <x:v>In Field Warranty Claims</x:v>
      </x:c>
      <x:c r="N3804" s="37" t="n">
        <x:v>46056</x:v>
      </x:c>
      <x:c r="O3804" s="37"/>
      <x:c r="P3804" s="34" t="n">
        <x:v>0</x:v>
      </x:c>
      <x:c r="Q3804" s="37" t="n">
        <x:v>46057.932118055556</x:v>
      </x:c>
    </x:row>
    <x:row r="3805">
      <x:c r="A3805" s="22" t="n">
        <x:v>30610</x:v>
      </x:c>
      <x:c r="B3805" s="28" t="n">
        <x:v>236.25</x:v>
      </x:c>
      <x:c r="C3805" s="28"/>
      <x:c r="D3805" s="31" t="str">
        <x:f>IF(OR(ISBLANK(B3805),ISBLANK(C3805),B3805=0),"",(C3805-B3805)/B3805)</x:f>
      </x:c>
      <x:c r="E3805" s="22" t="str">
        <x:f>IF(ISBLANK(C3805),"AmountIncludingTax缺失",IF(ABS(B3805-C3805)&lt;0.005,"一致","不一致"))</x:f>
        <x:v>AmountIncludingTax缺失</x:v>
      </x:c>
      <x:c r="F3805" s="19" t="str">
        <x:v>approved</x:v>
      </x:c>
      <x:c r="G3805" s="19" t="str">
        <x:v>Repairer Invoiced Processed</x:v>
      </x:c>
      <x:c r="H3805" s="19" t="str">
        <x:v>Pre Delivery</x:v>
      </x:c>
      <x:c r="I3805" s="37" t="n">
        <x:v>46077</x:v>
      </x:c>
      <x:c r="J3805" s="37" t="n">
        <x:v>46077</x:v>
      </x:c>
      <x:c r="K3805" s="19" t="str">
        <x:v>Lesiure Lion-New Castle</x:v>
      </x:c>
      <x:c r="L3805" s="19" t="str">
        <x:v>Z005</x:v>
      </x:c>
      <x:c r="M3805" s="19" t="str">
        <x:v>Pre Delivery Warranty Claims</x:v>
      </x:c>
      <x:c r="N3805" s="37" t="n">
        <x:v>46056</x:v>
      </x:c>
      <x:c r="O3805" s="37"/>
      <x:c r="P3805" s="34" t="n">
        <x:v>0</x:v>
      </x:c>
      <x:c r="Q3805" s="37" t="n">
        <x:v>46076.918020833335</x:v>
      </x:c>
    </x:row>
    <x:row r="3806">
      <x:c r="A3806" s="22" t="n">
        <x:v>30609</x:v>
      </x:c>
      <x:c r="B3806" s="28" t="n">
        <x:v>3612.66</x:v>
      </x:c>
      <x:c r="C3806" s="28"/>
      <x:c r="D3806" s="31" t="str">
        <x:f>IF(OR(ISBLANK(B3806),ISBLANK(C3806),B3806=0),"",(C3806-B3806)/B3806)</x:f>
      </x:c>
      <x:c r="E3806" s="22" t="str">
        <x:f>IF(ISBLANK(C3806),"AmountIncludingTax缺失",IF(ABS(B3806-C3806)&lt;0.005,"一致","不一致"))</x:f>
        <x:v>AmountIncludingTax缺失</x:v>
      </x:c>
      <x:c r="F3806" s="19" t="str">
        <x:v>approved</x:v>
      </x:c>
      <x:c r="G3806" s="19" t="str">
        <x:v>Repairer Invoiced Processed</x:v>
      </x:c>
      <x:c r="H3806" s="19" t="str">
        <x:v>In Field</x:v>
      </x:c>
      <x:c r="I3806" s="37" t="n">
        <x:v>46108</x:v>
      </x:c>
      <x:c r="J3806" s="37" t="n">
        <x:v>46108</x:v>
      </x:c>
      <x:c r="K3806" s="19" t="str">
        <x:v>Vanari Caravans - Marden Point</x:v>
      </x:c>
      <x:c r="L3806" s="19" t="str">
        <x:v>Z006</x:v>
      </x:c>
      <x:c r="M3806" s="19" t="str">
        <x:v>In Field Warranty Claims</x:v>
      </x:c>
      <x:c r="N3806" s="37" t="n">
        <x:v>46056</x:v>
      </x:c>
      <x:c r="O3806" s="37"/>
      <x:c r="P3806" s="34" t="n">
        <x:v>3270.9</x:v>
      </x:c>
      <x:c r="Q3806" s="37" t="n">
        <x:v>46107.94116898148</x:v>
      </x:c>
    </x:row>
    <x:row r="3807">
      <x:c r="A3807" s="22" t="n">
        <x:v>30607</x:v>
      </x:c>
      <x:c r="B3807" s="28" t="n">
        <x:v>67.5</x:v>
      </x:c>
      <x:c r="C3807" s="28"/>
      <x:c r="D3807" s="31" t="str">
        <x:f>IF(OR(ISBLANK(B3807),ISBLANK(C3807),B3807=0),"",(C3807-B3807)/B3807)</x:f>
      </x:c>
      <x:c r="E3807" s="22" t="str">
        <x:f>IF(ISBLANK(C3807),"AmountIncludingTax缺失",IF(ABS(B3807-C3807)&lt;0.005,"一致","不一致"))</x:f>
        <x:v>AmountIncludingTax缺失</x:v>
      </x:c>
      <x:c r="F3807" s="19" t="str">
        <x:v>approved</x:v>
      </x:c>
      <x:c r="G3807" s="19" t="str">
        <x:v>Repair in Progress</x:v>
      </x:c>
      <x:c r="H3807" s="19" t="str">
        <x:v>Pre Delivery</x:v>
      </x:c>
      <x:c r="I3807" s="37" t="n">
        <x:v>46071</x:v>
      </x:c>
      <x:c r="J3807" s="37" t="n">
        <x:v>46071</x:v>
      </x:c>
      <x:c r="K3807" s="19" t="str">
        <x:v>Snowy River Frankston</x:v>
      </x:c>
      <x:c r="L3807" s="19" t="str">
        <x:v>Z005</x:v>
      </x:c>
      <x:c r="M3807" s="19" t="str">
        <x:v>Pre Delivery Warranty Claims</x:v>
      </x:c>
      <x:c r="N3807" s="37" t="n">
        <x:v>46056</x:v>
      </x:c>
      <x:c r="O3807" s="37"/>
      <x:c r="P3807" s="34" t="n">
        <x:v>0</x:v>
      </x:c>
      <x:c r="Q3807" s="37" t="n">
        <x:v>46071.21665509259</x:v>
      </x:c>
    </x:row>
    <x:row r="3808">
      <x:c r="A3808" s="22" t="n">
        <x:v>30606</x:v>
      </x:c>
      <x:c r="B3808" s="28" t="n">
        <x:v>381.25</x:v>
      </x:c>
      <x:c r="C3808" s="28"/>
      <x:c r="D3808" s="31" t="str">
        <x:f>IF(OR(ISBLANK(B3808),ISBLANK(C3808),B3808=0),"",(C3808-B3808)/B3808)</x:f>
      </x:c>
      <x:c r="E3808" s="22" t="str">
        <x:f>IF(ISBLANK(C3808),"AmountIncludingTax缺失",IF(ABS(B3808-C3808)&lt;0.005,"一致","不一致"))</x:f>
        <x:v>AmountIncludingTax缺失</x:v>
      </x:c>
      <x:c r="F3808" s="19" t="str">
        <x:v>approved</x:v>
      </x:c>
      <x:c r="G3808" s="19" t="str">
        <x:v>Repairer Invoiced Processed</x:v>
      </x:c>
      <x:c r="H3808" s="19" t="str">
        <x:v>Pre Delivery</x:v>
      </x:c>
      <x:c r="I3808" s="37" t="n">
        <x:v>46120</x:v>
      </x:c>
      <x:c r="J3808" s="37" t="n">
        <x:v>46119</x:v>
      </x:c>
      <x:c r="K3808" s="19" t="str">
        <x:v>Green RV - Forest Glen</x:v>
      </x:c>
      <x:c r="L3808" s="19" t="str">
        <x:v>Z005</x:v>
      </x:c>
      <x:c r="M3808" s="19" t="str">
        <x:v>Pre Delivery Warranty Claims</x:v>
      </x:c>
      <x:c r="N3808" s="37" t="n">
        <x:v>46056</x:v>
      </x:c>
      <x:c r="O3808" s="37"/>
      <x:c r="P3808" s="34" t="n">
        <x:v>0</x:v>
      </x:c>
      <x:c r="Q3808" s="37" t="n">
        <x:v>46119.94216435185</x:v>
      </x:c>
    </x:row>
    <x:row r="3809">
      <x:c r="A3809" s="22" t="n">
        <x:v>30605</x:v>
      </x:c>
      <x:c r="B3809" s="28" t="n">
        <x:v>390.41</x:v>
      </x:c>
      <x:c r="C3809" s="28" t="n">
        <x:v>429.45</x:v>
      </x:c>
      <x:c r="D3809" s="31" t="n">
        <x:f>IF(OR(ISBLANK(B3809),ISBLANK(C3809),B3809=0),"",(C3809-B3809)/B3809)</x:f>
        <x:v>0.09999743859019995</x:v>
      </x:c>
      <x:c r="E3809" s="22" t="str">
        <x:f>IF(ISBLANK(C3809),"AmountIncludingTax缺失",IF(ABS(B3809-C3809)&lt;0.005,"一致","不一致"))</x:f>
        <x:v>不一致</x:v>
      </x:c>
      <x:c r="F3809" s="19" t="str">
        <x:v>approved</x:v>
      </x:c>
      <x:c r="G3809" s="19" t="str">
        <x:v>Repair in Progress</x:v>
      </x:c>
      <x:c r="H3809" s="19" t="str">
        <x:v>In Field</x:v>
      </x:c>
      <x:c r="I3809" s="37" t="n">
        <x:v>46097</x:v>
      </x:c>
      <x:c r="J3809" s="37" t="n">
        <x:v>46097</x:v>
      </x:c>
      <x:c r="K3809" s="19" t="str">
        <x:v>Regent RV - Perth</x:v>
      </x:c>
      <x:c r="L3809" s="19" t="str">
        <x:v>Z006</x:v>
      </x:c>
      <x:c r="M3809" s="19" t="str">
        <x:v>In Field Warranty Claims</x:v>
      </x:c>
      <x:c r="N3809" s="37" t="n">
        <x:v>46056</x:v>
      </x:c>
      <x:c r="O3809" s="37"/>
      <x:c r="P3809" s="34" t="n">
        <x:v>429.45</x:v>
      </x:c>
      <x:c r="Q3809" s="37" t="n">
        <x:v>46097.213472222225</x:v>
      </x:c>
    </x:row>
    <x:row r="3810">
      <x:c r="A3810" s="22" t="n">
        <x:v>30604</x:v>
      </x:c>
      <x:c r="B3810" s="28" t="n">
        <x:v>480</x:v>
      </x:c>
      <x:c r="C3810" s="28" t="n">
        <x:v>528</x:v>
      </x:c>
      <x:c r="D3810" s="31" t="n">
        <x:f>IF(OR(ISBLANK(B3810),ISBLANK(C3810),B3810=0),"",(C3810-B3810)/B3810)</x:f>
        <x:v>0.1</x:v>
      </x:c>
      <x:c r="E3810" s="22" t="str">
        <x:f>IF(ISBLANK(C3810),"AmountIncludingTax缺失",IF(ABS(B3810-C3810)&lt;0.005,"一致","不一致"))</x:f>
        <x:v>不一致</x:v>
      </x:c>
      <x:c r="F3810" s="19" t="str">
        <x:v>approved</x:v>
      </x:c>
      <x:c r="G3810" s="19" t="str">
        <x:v>Repairer Invoiced Processed</x:v>
      </x:c>
      <x:c r="H3810" s="19" t="str">
        <x:v>In Field</x:v>
      </x:c>
      <x:c r="I3810" s="37" t="n">
        <x:v>46076</x:v>
      </x:c>
      <x:c r="J3810" s="37" t="n">
        <x:v>46076</x:v>
      </x:c>
      <x:c r="K3810" s="19" t="str">
        <x:v>Green RV - Forest Glen</x:v>
      </x:c>
      <x:c r="L3810" s="19" t="str">
        <x:v>Z006</x:v>
      </x:c>
      <x:c r="M3810" s="19" t="str">
        <x:v>In Field Warranty Claims</x:v>
      </x:c>
      <x:c r="N3810" s="37" t="n">
        <x:v>46056</x:v>
      </x:c>
      <x:c r="O3810" s="37"/>
      <x:c r="P3810" s="34" t="n">
        <x:v>528</x:v>
      </x:c>
      <x:c r="Q3810" s="37" t="n">
        <x:v>46076.04318287037</x:v>
      </x:c>
    </x:row>
    <x:row r="3811">
      <x:c r="A3811" s="22" t="n">
        <x:v>30603</x:v>
      </x:c>
      <x:c r="B3811" s="28" t="n">
        <x:v>228.82</x:v>
      </x:c>
      <x:c r="C3811" s="28"/>
      <x:c r="D3811" s="31" t="str">
        <x:f>IF(OR(ISBLANK(B3811),ISBLANK(C3811),B3811=0),"",(C3811-B3811)/B3811)</x:f>
      </x:c>
      <x:c r="E3811" s="22" t="str">
        <x:f>IF(ISBLANK(C3811),"AmountIncludingTax缺失",IF(ABS(B3811-C3811)&lt;0.005,"一致","不一致"))</x:f>
        <x:v>AmountIncludingTax缺失</x:v>
      </x:c>
      <x:c r="F3811" s="19" t="str">
        <x:v>approved</x:v>
      </x:c>
      <x:c r="G3811" s="19" t="str">
        <x:v>Repair in Progress</x:v>
      </x:c>
      <x:c r="H3811" s="19" t="str">
        <x:v>In Field</x:v>
      </x:c>
      <x:c r="I3811" s="37" t="n">
        <x:v>46070</x:v>
      </x:c>
      <x:c r="J3811" s="37" t="n">
        <x:v>46070</x:v>
      </x:c>
      <x:c r="K3811" s="19" t="str">
        <x:v>Snowy River Launceston</x:v>
      </x:c>
      <x:c r="L3811" s="19" t="str">
        <x:v>Z006</x:v>
      </x:c>
      <x:c r="M3811" s="19" t="str">
        <x:v>In Field Warranty Claims</x:v>
      </x:c>
      <x:c r="N3811" s="37" t="n">
        <x:v>46056</x:v>
      </x:c>
      <x:c r="O3811" s="37"/>
      <x:c r="P3811" s="34" t="n">
        <x:v>0</x:v>
      </x:c>
      <x:c r="Q3811" s="37" t="n">
        <x:v>46069.9590625</x:v>
      </x:c>
    </x:row>
    <x:row r="3812">
      <x:c r="A3812" s="22" t="n">
        <x:v>30602</x:v>
      </x:c>
      <x:c r="B3812" s="28" t="n">
        <x:v>1714.64</x:v>
      </x:c>
      <x:c r="C3812" s="28"/>
      <x:c r="D3812" s="31" t="str">
        <x:f>IF(OR(ISBLANK(B3812),ISBLANK(C3812),B3812=0),"",(C3812-B3812)/B3812)</x:f>
      </x:c>
      <x:c r="E3812" s="22" t="str">
        <x:f>IF(ISBLANK(C3812),"AmountIncludingTax缺失",IF(ABS(B3812-C3812)&lt;0.005,"一致","不一致"))</x:f>
        <x:v>AmountIncludingTax缺失</x:v>
      </x:c>
      <x:c r="F3812" s="19" t="str">
        <x:v>approved</x:v>
      </x:c>
      <x:c r="G3812" s="19" t="str">
        <x:v>Repairer Invoiced Processed</x:v>
      </x:c>
      <x:c r="H3812" s="19" t="str">
        <x:v>In Field</x:v>
      </x:c>
      <x:c r="I3812" s="37" t="n">
        <x:v>46064</x:v>
      </x:c>
      <x:c r="J3812" s="37" t="n">
        <x:v>46064</x:v>
      </x:c>
      <x:c r="K3812" s="19" t="str">
        <x:v>The Caravan Hub - Townsville</x:v>
      </x:c>
      <x:c r="L3812" s="19" t="str">
        <x:v>Z006</x:v>
      </x:c>
      <x:c r="M3812" s="19" t="str">
        <x:v>In Field Warranty Claims</x:v>
      </x:c>
      <x:c r="N3812" s="37" t="n">
        <x:v>46056</x:v>
      </x:c>
      <x:c r="O3812" s="37" t="n">
        <x:v>46061</x:v>
      </x:c>
      <x:c r="P3812" s="34" t="n">
        <x:v>1886.1</x:v>
      </x:c>
      <x:c r="Q3812" s="37" t="n">
        <x:v>46063.8837037037</x:v>
      </x:c>
    </x:row>
    <x:row r="3813">
      <x:c r="A3813" s="22" t="n">
        <x:v>30601</x:v>
      </x:c>
      <x:c r="B3813" s="28" t="n">
        <x:v>1215</x:v>
      </x:c>
      <x:c r="C3813" s="28"/>
      <x:c r="D3813" s="31" t="str">
        <x:f>IF(OR(ISBLANK(B3813),ISBLANK(C3813),B3813=0),"",(C3813-B3813)/B3813)</x:f>
      </x:c>
      <x:c r="E3813" s="22" t="str">
        <x:f>IF(ISBLANK(C3813),"AmountIncludingTax缺失",IF(ABS(B3813-C3813)&lt;0.005,"一致","不一致"))</x:f>
        <x:v>AmountIncludingTax缺失</x:v>
      </x:c>
      <x:c r="F3813" s="19" t="str">
        <x:v>approved</x:v>
      </x:c>
      <x:c r="G3813" s="19" t="str">
        <x:v>Repair in Progress</x:v>
      </x:c>
      <x:c r="H3813" s="19" t="str">
        <x:v>In Field</x:v>
      </x:c>
      <x:c r="I3813" s="37" t="n">
        <x:v>46071</x:v>
      </x:c>
      <x:c r="J3813" s="37" t="n">
        <x:v>46071</x:v>
      </x:c>
      <x:c r="K3813" s="19" t="str">
        <x:v>Snowy River Frankston</x:v>
      </x:c>
      <x:c r="L3813" s="19" t="str">
        <x:v>Z006</x:v>
      </x:c>
      <x:c r="M3813" s="19" t="str">
        <x:v>In Field Warranty Claims</x:v>
      </x:c>
      <x:c r="N3813" s="37" t="n">
        <x:v>46056</x:v>
      </x:c>
      <x:c r="O3813" s="37"/>
      <x:c r="P3813" s="34" t="n">
        <x:v>0</x:v>
      </x:c>
      <x:c r="Q3813" s="37" t="n">
        <x:v>46071.189837962964</x:v>
      </x:c>
    </x:row>
    <x:row r="3814">
      <x:c r="A3814" s="22" t="n">
        <x:v>30600</x:v>
      </x:c>
      <x:c r="B3814" s="28" t="n">
        <x:v>252.5</x:v>
      </x:c>
      <x:c r="C3814" s="28" t="n">
        <x:v>277.75</x:v>
      </x:c>
      <x:c r="D3814" s="31" t="n">
        <x:f>IF(OR(ISBLANK(B3814),ISBLANK(C3814),B3814=0),"",(C3814-B3814)/B3814)</x:f>
        <x:v>0.1</x:v>
      </x:c>
      <x:c r="E3814" s="22" t="str">
        <x:f>IF(ISBLANK(C3814),"AmountIncludingTax缺失",IF(ABS(B3814-C3814)&lt;0.005,"一致","不一致"))</x:f>
        <x:v>不一致</x:v>
      </x:c>
      <x:c r="F3814" s="19" t="str">
        <x:v>approved</x:v>
      </x:c>
      <x:c r="G3814" s="19" t="str">
        <x:v>Repairer Invoiced Processed</x:v>
      </x:c>
      <x:c r="H3814" s="19" t="str">
        <x:v>In Field</x:v>
      </x:c>
      <x:c r="I3814" s="37" t="n">
        <x:v>46076</x:v>
      </x:c>
      <x:c r="J3814" s="37" t="n">
        <x:v>46076</x:v>
      </x:c>
      <x:c r="K3814" s="19" t="str">
        <x:v>Green RV - Forest Glen</x:v>
      </x:c>
      <x:c r="L3814" s="19" t="str">
        <x:v>Z006</x:v>
      </x:c>
      <x:c r="M3814" s="19" t="str">
        <x:v>In Field Warranty Claims</x:v>
      </x:c>
      <x:c r="N3814" s="37" t="n">
        <x:v>46056</x:v>
      </x:c>
      <x:c r="O3814" s="37"/>
      <x:c r="P3814" s="34" t="n">
        <x:v>277.75</x:v>
      </x:c>
      <x:c r="Q3814" s="37" t="n">
        <x:v>46075.9783912037</x:v>
      </x:c>
    </x:row>
    <x:row r="3815">
      <x:c r="A3815" s="22" t="n">
        <x:v>30599</x:v>
      </x:c>
      <x:c r="B3815" s="28" t="n">
        <x:v>850</x:v>
      </x:c>
      <x:c r="C3815" s="28"/>
      <x:c r="D3815" s="31" t="str">
        <x:f>IF(OR(ISBLANK(B3815),ISBLANK(C3815),B3815=0),"",(C3815-B3815)/B3815)</x:f>
      </x:c>
      <x:c r="E3815" s="22" t="str">
        <x:f>IF(ISBLANK(C3815),"AmountIncludingTax缺失",IF(ABS(B3815-C3815)&lt;0.005,"一致","不一致"))</x:f>
        <x:v>AmountIncludingTax缺失</x:v>
      </x:c>
      <x:c r="F3815" s="19" t="str">
        <x:v>approved</x:v>
      </x:c>
      <x:c r="G3815" s="19" t="str">
        <x:v>Repairer Invoiced Processed</x:v>
      </x:c>
      <x:c r="H3815" s="19" t="str">
        <x:v>In Field</x:v>
      </x:c>
      <x:c r="I3815" s="37" t="n">
        <x:v>46184</x:v>
      </x:c>
      <x:c r="J3815" s="37" t="n">
        <x:v>46101</x:v>
      </x:c>
      <x:c r="K3815" s="19" t="str">
        <x:v>Regent RV - Perth</x:v>
      </x:c>
      <x:c r="L3815" s="19" t="str">
        <x:v>Z006</x:v>
      </x:c>
      <x:c r="M3815" s="19" t="str">
        <x:v>In Field Warranty Claims</x:v>
      </x:c>
      <x:c r="N3815" s="37" t="n">
        <x:v>46056</x:v>
      </x:c>
      <x:c r="O3815" s="37"/>
      <x:c r="P3815" s="34" t="n">
        <x:v>0</x:v>
      </x:c>
      <x:c r="Q3815" s="37" t="n">
        <x:v>46184.18990740741</x:v>
      </x:c>
    </x:row>
    <x:row r="3816">
      <x:c r="A3816" s="22" t="n">
        <x:v>30598</x:v>
      </x:c>
      <x:c r="B3816" s="28" t="n">
        <x:v>390.41</x:v>
      </x:c>
      <x:c r="C3816" s="28" t="n">
        <x:v>429.45</x:v>
      </x:c>
      <x:c r="D3816" s="31" t="n">
        <x:f>IF(OR(ISBLANK(B3816),ISBLANK(C3816),B3816=0),"",(C3816-B3816)/B3816)</x:f>
        <x:v>0.09999743859019995</x:v>
      </x:c>
      <x:c r="E3816" s="22" t="str">
        <x:f>IF(ISBLANK(C3816),"AmountIncludingTax缺失",IF(ABS(B3816-C3816)&lt;0.005,"一致","不一致"))</x:f>
        <x:v>不一致</x:v>
      </x:c>
      <x:c r="F3816" s="19" t="str">
        <x:v>approved</x:v>
      </x:c>
      <x:c r="G3816" s="19" t="str">
        <x:v>Repair in Progress</x:v>
      </x:c>
      <x:c r="H3816" s="19" t="str">
        <x:v>In Field</x:v>
      </x:c>
      <x:c r="I3816" s="37" t="n">
        <x:v>46058</x:v>
      </x:c>
      <x:c r="J3816" s="37" t="n">
        <x:v>46058</x:v>
      </x:c>
      <x:c r="K3816" s="19" t="str">
        <x:v>Regent RV - Perth</x:v>
      </x:c>
      <x:c r="L3816" s="19" t="str">
        <x:v>Z006</x:v>
      </x:c>
      <x:c r="M3816" s="19" t="str">
        <x:v>In Field Warranty Claims</x:v>
      </x:c>
      <x:c r="N3816" s="37" t="n">
        <x:v>46056</x:v>
      </x:c>
      <x:c r="O3816" s="37"/>
      <x:c r="P3816" s="34" t="n">
        <x:v>429.45</x:v>
      </x:c>
      <x:c r="Q3816" s="37" t="n">
        <x:v>46058.22337962963</x:v>
      </x:c>
    </x:row>
    <x:row r="3817">
      <x:c r="A3817" s="22" t="n">
        <x:v>30596</x:v>
      </x:c>
      <x:c r="B3817" s="28" t="n">
        <x:v>540</x:v>
      </x:c>
      <x:c r="C3817" s="28"/>
      <x:c r="D3817" s="31" t="str">
        <x:f>IF(OR(ISBLANK(B3817),ISBLANK(C3817),B3817=0),"",(C3817-B3817)/B3817)</x:f>
      </x:c>
      <x:c r="E3817" s="22" t="str">
        <x:f>IF(ISBLANK(C3817),"AmountIncludingTax缺失",IF(ABS(B3817-C3817)&lt;0.005,"一致","不一致"))</x:f>
        <x:v>AmountIncludingTax缺失</x:v>
      </x:c>
      <x:c r="F3817" s="19" t="str">
        <x:v>approved</x:v>
      </x:c>
      <x:c r="G3817" s="19" t="str">
        <x:v>Repairer Invoiced Processed</x:v>
      </x:c>
      <x:c r="H3817" s="19" t="str">
        <x:v>In Field</x:v>
      </x:c>
      <x:c r="I3817" s="37" t="n">
        <x:v>46058</x:v>
      </x:c>
      <x:c r="J3817" s="37" t="n">
        <x:v>46058</x:v>
      </x:c>
      <x:c r="K3817" s="19" t="str">
        <x:v>ABCO Caravans - Boambee Valley</x:v>
      </x:c>
      <x:c r="L3817" s="19" t="str">
        <x:v>Z006</x:v>
      </x:c>
      <x:c r="M3817" s="19" t="str">
        <x:v>In Field Warranty Claims</x:v>
      </x:c>
      <x:c r="N3817" s="37" t="n">
        <x:v>46056</x:v>
      </x:c>
      <x:c r="O3817" s="37"/>
      <x:c r="P3817" s="34" t="n">
        <x:v>0</x:v>
      </x:c>
      <x:c r="Q3817" s="37" t="n">
        <x:v>46058.154282407406</x:v>
      </x:c>
    </x:row>
    <x:row r="3818">
      <x:c r="A3818" s="22" t="n">
        <x:v>30594</x:v>
      </x:c>
      <x:c r="B3818" s="28" t="n">
        <x:v>654.55</x:v>
      </x:c>
      <x:c r="C3818" s="28" t="n">
        <x:v>720.01</x:v>
      </x:c>
      <x:c r="D3818" s="31" t="n">
        <x:f>IF(OR(ISBLANK(B3818),ISBLANK(C3818),B3818=0),"",(C3818-B3818)/B3818)</x:f>
        <x:v>0.10000763883584148</x:v>
      </x:c>
      <x:c r="E3818" s="22" t="str">
        <x:f>IF(ISBLANK(C3818),"AmountIncludingTax缺失",IF(ABS(B3818-C3818)&lt;0.005,"一致","不一致"))</x:f>
        <x:v>不一致</x:v>
      </x:c>
      <x:c r="F3818" s="19" t="str">
        <x:v>approved</x:v>
      </x:c>
      <x:c r="G3818" s="19" t="str">
        <x:v>Repairer Invoiced Processed</x:v>
      </x:c>
      <x:c r="H3818" s="19" t="str">
        <x:v>In Field</x:v>
      </x:c>
      <x:c r="I3818" s="37" t="n">
        <x:v>46112</x:v>
      </x:c>
      <x:c r="J3818" s="37" t="n">
        <x:v>46112</x:v>
      </x:c>
      <x:c r="K3818" s="19" t="str">
        <x:v>Green RV - Forest Glen</x:v>
      </x:c>
      <x:c r="L3818" s="19" t="str">
        <x:v>Z006</x:v>
      </x:c>
      <x:c r="M3818" s="19" t="str">
        <x:v>In Field Warranty Claims</x:v>
      </x:c>
      <x:c r="N3818" s="37" t="n">
        <x:v>46056</x:v>
      </x:c>
      <x:c r="O3818" s="37"/>
      <x:c r="P3818" s="34" t="n">
        <x:v>720.01</x:v>
      </x:c>
      <x:c r="Q3818" s="37" t="n">
        <x:v>46112.06280092592</x:v>
      </x:c>
    </x:row>
    <x:row r="3819">
      <x:c r="A3819" s="22" t="n">
        <x:v>30593</x:v>
      </x:c>
      <x:c r="B3819" s="28" t="n">
        <x:v>438.75</x:v>
      </x:c>
      <x:c r="C3819" s="28"/>
      <x:c r="D3819" s="31" t="str">
        <x:f>IF(OR(ISBLANK(B3819),ISBLANK(C3819),B3819=0),"",(C3819-B3819)/B3819)</x:f>
      </x:c>
      <x:c r="E3819" s="22" t="str">
        <x:f>IF(ISBLANK(C3819),"AmountIncludingTax缺失",IF(ABS(B3819-C3819)&lt;0.005,"一致","不一致"))</x:f>
        <x:v>AmountIncludingTax缺失</x:v>
      </x:c>
      <x:c r="F3819" s="19" t="str">
        <x:v>approved</x:v>
      </x:c>
      <x:c r="G3819" s="19" t="str">
        <x:v>Repair in Progress</x:v>
      </x:c>
      <x:c r="H3819" s="19" t="str">
        <x:v>In Field</x:v>
      </x:c>
      <x:c r="I3819" s="37" t="n">
        <x:v>46147</x:v>
      </x:c>
      <x:c r="J3819" s="37" t="n">
        <x:v>46147</x:v>
      </x:c>
      <x:c r="K3819" s="19" t="str">
        <x:v>Regent RV Pty Ltd</x:v>
      </x:c>
      <x:c r="L3819" s="19" t="str">
        <x:v>Z006</x:v>
      </x:c>
      <x:c r="M3819" s="19" t="str">
        <x:v>In Field Warranty Claims</x:v>
      </x:c>
      <x:c r="N3819" s="37" t="n">
        <x:v>46056</x:v>
      </x:c>
      <x:c r="O3819" s="37"/>
      <x:c r="P3819" s="34" t="n">
        <x:v>0</x:v>
      </x:c>
      <x:c r="Q3819" s="37" t="n">
        <x:v>46147.14826388889</x:v>
      </x:c>
    </x:row>
    <x:row r="3820">
      <x:c r="A3820" s="22" t="n">
        <x:v>30592</x:v>
      </x:c>
      <x:c r="B3820" s="28" t="n">
        <x:v>245.23</x:v>
      </x:c>
      <x:c r="C3820" s="28" t="n">
        <x:v>269.75</x:v>
      </x:c>
      <x:c r="D3820" s="31" t="n">
        <x:f>IF(OR(ISBLANK(B3820),ISBLANK(C3820),B3820=0),"",(C3820-B3820)/B3820)</x:f>
        <x:v>0.09998776658646989</x:v>
      </x:c>
      <x:c r="E3820" s="22" t="str">
        <x:f>IF(ISBLANK(C3820),"AmountIncludingTax缺失",IF(ABS(B3820-C3820)&lt;0.005,"一致","不一致"))</x:f>
        <x:v>不一致</x:v>
      </x:c>
      <x:c r="F3820" s="19" t="str">
        <x:v>approved</x:v>
      </x:c>
      <x:c r="G3820" s="19" t="str">
        <x:v>Repair in Progress</x:v>
      </x:c>
      <x:c r="H3820" s="19" t="str">
        <x:v>Pre Delivery</x:v>
      </x:c>
      <x:c r="I3820" s="37" t="n">
        <x:v>46129</x:v>
      </x:c>
      <x:c r="J3820" s="37" t="n">
        <x:v>46129</x:v>
      </x:c>
      <x:c r="K3820" s="19" t="str">
        <x:v>Green RV - Forest Glen</x:v>
      </x:c>
      <x:c r="L3820" s="19" t="str">
        <x:v>Z005</x:v>
      </x:c>
      <x:c r="M3820" s="19" t="str">
        <x:v>Pre Delivery Warranty Claims</x:v>
      </x:c>
      <x:c r="N3820" s="37" t="n">
        <x:v>46056</x:v>
      </x:c>
      <x:c r="O3820" s="37"/>
      <x:c r="P3820" s="34" t="n">
        <x:v>269.75</x:v>
      </x:c>
      <x:c r="Q3820" s="37" t="n">
        <x:v>46129.169224537036</x:v>
      </x:c>
    </x:row>
    <x:row r="3821">
      <x:c r="A3821" s="22" t="n">
        <x:v>30591</x:v>
      </x:c>
      <x:c r="B3821" s="28" t="n">
        <x:v>590</x:v>
      </x:c>
      <x:c r="C3821" s="28"/>
      <x:c r="D3821" s="31" t="str">
        <x:f>IF(OR(ISBLANK(B3821),ISBLANK(C3821),B3821=0),"",(C3821-B3821)/B3821)</x:f>
      </x:c>
      <x:c r="E3821" s="22" t="str">
        <x:f>IF(ISBLANK(C3821),"AmountIncludingTax缺失",IF(ABS(B3821-C3821)&lt;0.005,"一致","不一致"))</x:f>
        <x:v>AmountIncludingTax缺失</x:v>
      </x:c>
      <x:c r="F3821" s="19" t="str">
        <x:v>approved</x:v>
      </x:c>
      <x:c r="G3821" s="19" t="str">
        <x:v>Repairer Invoiced Processed</x:v>
      </x:c>
      <x:c r="H3821" s="19" t="str">
        <x:v>In Field</x:v>
      </x:c>
      <x:c r="I3821" s="37" t="n">
        <x:v>46066</x:v>
      </x:c>
      <x:c r="J3821" s="37" t="n">
        <x:v>46066</x:v>
      </x:c>
      <x:c r="K3821" s="19" t="str">
        <x:v>Green RV - Slacks Creek</x:v>
      </x:c>
      <x:c r="L3821" s="19" t="str">
        <x:v>Z006</x:v>
      </x:c>
      <x:c r="M3821" s="19" t="str">
        <x:v>In Field Warranty Claims</x:v>
      </x:c>
      <x:c r="N3821" s="37" t="n">
        <x:v>46056</x:v>
      </x:c>
      <x:c r="O3821" s="37"/>
      <x:c r="P3821" s="34" t="n">
        <x:v>0</x:v>
      </x:c>
      <x:c r="Q3821" s="37" t="n">
        <x:v>46066.14082175926</x:v>
      </x:c>
    </x:row>
    <x:row r="3822">
      <x:c r="A3822" s="22" t="n">
        <x:v>30581</x:v>
      </x:c>
      <x:c r="B3822" s="28" t="n">
        <x:v>272.73</x:v>
      </x:c>
      <x:c r="C3822" s="28" t="n">
        <x:v>300</x:v>
      </x:c>
      <x:c r="D3822" s="31" t="n">
        <x:f>IF(OR(ISBLANK(B3822),ISBLANK(C3822),B3822=0),"",(C3822-B3822)/B3822)</x:f>
        <x:v>0.09998900010999882</x:v>
      </x:c>
      <x:c r="E3822" s="22" t="str">
        <x:f>IF(ISBLANK(C3822),"AmountIncludingTax缺失",IF(ABS(B3822-C3822)&lt;0.005,"一致","不一致"))</x:f>
        <x:v>不一致</x:v>
      </x:c>
      <x:c r="F3822" s="19" t="str">
        <x:v>approved</x:v>
      </x:c>
      <x:c r="G3822" s="19" t="str">
        <x:v>Repair in Progress</x:v>
      </x:c>
      <x:c r="H3822" s="19" t="str">
        <x:v>In Field</x:v>
      </x:c>
      <x:c r="I3822" s="37" t="n">
        <x:v>46056</x:v>
      </x:c>
      <x:c r="J3822" s="37" t="n">
        <x:v>46056</x:v>
      </x:c>
      <x:c r="K3822" s="19" t="str">
        <x:v>Green RV - Forest Glen</x:v>
      </x:c>
      <x:c r="L3822" s="19" t="str">
        <x:v>Z006</x:v>
      </x:c>
      <x:c r="M3822" s="19" t="str">
        <x:v>In Field Warranty Claims</x:v>
      </x:c>
      <x:c r="N3822" s="37" t="n">
        <x:v>46055</x:v>
      </x:c>
      <x:c r="O3822" s="37"/>
      <x:c r="P3822" s="34" t="n">
        <x:v>300</x:v>
      </x:c>
      <x:c r="Q3822" s="37" t="n">
        <x:v>46056.170960648145</x:v>
      </x:c>
    </x:row>
    <x:row r="3823">
      <x:c r="A3823" s="22" t="n">
        <x:v>30580</x:v>
      </x:c>
      <x:c r="B3823" s="28" t="n">
        <x:v>591.93</x:v>
      </x:c>
      <x:c r="C3823" s="28" t="n">
        <x:v>651.12</x:v>
      </x:c>
      <x:c r="D3823" s="31" t="n">
        <x:f>IF(OR(ISBLANK(B3823),ISBLANK(C3823),B3823=0),"",(C3823-B3823)/B3823)</x:f>
        <x:v>0.09999493183315605</x:v>
      </x:c>
      <x:c r="E3823" s="22" t="str">
        <x:f>IF(ISBLANK(C3823),"AmountIncludingTax缺失",IF(ABS(B3823-C3823)&lt;0.005,"一致","不一致"))</x:f>
        <x:v>不一致</x:v>
      </x:c>
      <x:c r="F3823" s="19" t="str">
        <x:v>approved</x:v>
      </x:c>
      <x:c r="G3823" s="19" t="str">
        <x:v>Repair in Progress</x:v>
      </x:c>
      <x:c r="H3823" s="19" t="str">
        <x:v>Pre Delivery</x:v>
      </x:c>
      <x:c r="I3823" s="37" t="n">
        <x:v>46111</x:v>
      </x:c>
      <x:c r="J3823" s="37" t="n">
        <x:v>46111</x:v>
      </x:c>
      <x:c r="K3823" s="19" t="str">
        <x:v>Green RV - Slacks Creek</x:v>
      </x:c>
      <x:c r="L3823" s="19" t="str">
        <x:v>Z005</x:v>
      </x:c>
      <x:c r="M3823" s="19" t="str">
        <x:v>Pre Delivery Warranty Claims</x:v>
      </x:c>
      <x:c r="N3823" s="37" t="n">
        <x:v>46056</x:v>
      </x:c>
      <x:c r="O3823" s="37"/>
      <x:c r="P3823" s="34" t="n">
        <x:v>651.12</x:v>
      </x:c>
      <x:c r="Q3823" s="37" t="n">
        <x:v>46110.929976851854</x:v>
      </x:c>
    </x:row>
    <x:row r="3824">
      <x:c r="A3824" s="22" t="n">
        <x:v>30579</x:v>
      </x:c>
      <x:c r="B3824" s="28" t="n">
        <x:v>375.27</x:v>
      </x:c>
      <x:c r="C3824" s="28" t="n">
        <x:v>412.8</x:v>
      </x:c>
      <x:c r="D3824" s="31" t="n">
        <x:f>IF(OR(ISBLANK(B3824),ISBLANK(C3824),B3824=0),"",(C3824-B3824)/B3824)</x:f>
        <x:v>0.1000079942441443</x:v>
      </x:c>
      <x:c r="E3824" s="22" t="str">
        <x:f>IF(ISBLANK(C3824),"AmountIncludingTax缺失",IF(ABS(B3824-C3824)&lt;0.005,"一致","不一致"))</x:f>
        <x:v>不一致</x:v>
      </x:c>
      <x:c r="F3824" s="19" t="str">
        <x:v>approved</x:v>
      </x:c>
      <x:c r="G3824" s="19" t="str">
        <x:v>Repairer Invoiced Processed</x:v>
      </x:c>
      <x:c r="H3824" s="19" t="str">
        <x:v>In Field</x:v>
      </x:c>
      <x:c r="I3824" s="37" t="n">
        <x:v>46067</x:v>
      </x:c>
      <x:c r="J3824" s="37" t="n">
        <x:v>46067</x:v>
      </x:c>
      <x:c r="K3824" s="19" t="str">
        <x:v>Green RV - Slacks Creek</x:v>
      </x:c>
      <x:c r="L3824" s="19" t="str">
        <x:v>Z006</x:v>
      </x:c>
      <x:c r="M3824" s="19" t="str">
        <x:v>In Field Warranty Claims</x:v>
      </x:c>
      <x:c r="N3824" s="37" t="n">
        <x:v>46056</x:v>
      </x:c>
      <x:c r="O3824" s="37"/>
      <x:c r="P3824" s="34" t="n">
        <x:v>412.8</x:v>
      </x:c>
      <x:c r="Q3824" s="37" t="n">
        <x:v>46066.93114583333</x:v>
      </x:c>
    </x:row>
    <x:row r="3825">
      <x:c r="A3825" s="22" t="n">
        <x:v>30578</x:v>
      </x:c>
      <x:c r="B3825" s="28" t="n">
        <x:v>225.45</x:v>
      </x:c>
      <x:c r="C3825" s="28"/>
      <x:c r="D3825" s="31" t="str">
        <x:f>IF(OR(ISBLANK(B3825),ISBLANK(C3825),B3825=0),"",(C3825-B3825)/B3825)</x:f>
      </x:c>
      <x:c r="E3825" s="22" t="str">
        <x:f>IF(ISBLANK(C3825),"AmountIncludingTax缺失",IF(ABS(B3825-C3825)&lt;0.005,"一致","不一致"))</x:f>
        <x:v>AmountIncludingTax缺失</x:v>
      </x:c>
      <x:c r="F3825" s="19" t="str">
        <x:v>approved</x:v>
      </x:c>
      <x:c r="G3825" s="19" t="str">
        <x:v>Repairer Invoiced Processed</x:v>
      </x:c>
      <x:c r="H3825" s="19" t="str">
        <x:v>In Field</x:v>
      </x:c>
      <x:c r="I3825" s="37" t="n">
        <x:v>46073</x:v>
      </x:c>
      <x:c r="J3825" s="37" t="n">
        <x:v>46073</x:v>
      </x:c>
      <x:c r="K3825" s="19" t="str">
        <x:v>Green RV - Forest Glen</x:v>
      </x:c>
      <x:c r="L3825" s="19" t="str">
        <x:v>Z006</x:v>
      </x:c>
      <x:c r="M3825" s="19" t="str">
        <x:v>In Field Warranty Claims</x:v>
      </x:c>
      <x:c r="N3825" s="37" t="n">
        <x:v>46056</x:v>
      </x:c>
      <x:c r="O3825" s="37"/>
      <x:c r="P3825" s="34" t="n">
        <x:v>0</x:v>
      </x:c>
      <x:c r="Q3825" s="37" t="n">
        <x:v>46073.163194444445</x:v>
      </x:c>
    </x:row>
    <x:row r="3826">
      <x:c r="A3826" s="22" t="n">
        <x:v>30576</x:v>
      </x:c>
      <x:c r="B3826" s="28" t="n">
        <x:v>67.5</x:v>
      </x:c>
      <x:c r="C3826" s="28"/>
      <x:c r="D3826" s="31" t="str">
        <x:f>IF(OR(ISBLANK(B3826),ISBLANK(C3826),B3826=0),"",(C3826-B3826)/B3826)</x:f>
      </x:c>
      <x:c r="E3826" s="22" t="str">
        <x:f>IF(ISBLANK(C3826),"AmountIncludingTax缺失",IF(ABS(B3826-C3826)&lt;0.005,"一致","不一致"))</x:f>
        <x:v>AmountIncludingTax缺失</x:v>
      </x:c>
      <x:c r="F3826" s="19" t="str">
        <x:v>approved</x:v>
      </x:c>
      <x:c r="G3826" s="19" t="str">
        <x:v>Repairer Invoiced Processed</x:v>
      </x:c>
      <x:c r="H3826" s="19" t="str">
        <x:v>In Field</x:v>
      </x:c>
      <x:c r="I3826" s="37" t="n">
        <x:v>46076</x:v>
      </x:c>
      <x:c r="J3826" s="37" t="n">
        <x:v>46076</x:v>
      </x:c>
      <x:c r="K3826" s="19" t="str">
        <x:v>Green RV - Forest Glen</x:v>
      </x:c>
      <x:c r="L3826" s="19" t="str">
        <x:v>Z006</x:v>
      </x:c>
      <x:c r="M3826" s="19" t="str">
        <x:v>In Field Warranty Claims</x:v>
      </x:c>
      <x:c r="N3826" s="37" t="n">
        <x:v>46056</x:v>
      </x:c>
      <x:c r="O3826" s="37"/>
      <x:c r="P3826" s="34" t="n">
        <x:v>0</x:v>
      </x:c>
      <x:c r="Q3826" s="37" t="n">
        <x:v>46075.94133101852</x:v>
      </x:c>
    </x:row>
    <x:row r="3827">
      <x:c r="A3827" s="22" t="n">
        <x:v>30575</x:v>
      </x:c>
      <x:c r="B3827" s="28" t="n">
        <x:v>405</x:v>
      </x:c>
      <x:c r="C3827" s="28"/>
      <x:c r="D3827" s="31" t="str">
        <x:f>IF(OR(ISBLANK(B3827),ISBLANK(C3827),B3827=0),"",(C3827-B3827)/B3827)</x:f>
      </x:c>
      <x:c r="E3827" s="22" t="str">
        <x:f>IF(ISBLANK(C3827),"AmountIncludingTax缺失",IF(ABS(B3827-C3827)&lt;0.005,"一致","不一致"))</x:f>
        <x:v>AmountIncludingTax缺失</x:v>
      </x:c>
      <x:c r="F3827" s="19" t="str">
        <x:v>approved</x:v>
      </x:c>
      <x:c r="G3827" s="19" t="str">
        <x:v>Repair in Progress</x:v>
      </x:c>
      <x:c r="H3827" s="19" t="str">
        <x:v>In Field</x:v>
      </x:c>
      <x:c r="I3827" s="37" t="n">
        <x:v>46070</x:v>
      </x:c>
      <x:c r="J3827" s="37" t="n">
        <x:v>46070</x:v>
      </x:c>
      <x:c r="K3827" s="19" t="str">
        <x:v>Snowy River Launceston</x:v>
      </x:c>
      <x:c r="L3827" s="19" t="str">
        <x:v>Z006</x:v>
      </x:c>
      <x:c r="M3827" s="19" t="str">
        <x:v>In Field Warranty Claims</x:v>
      </x:c>
      <x:c r="N3827" s="37" t="n">
        <x:v>46056</x:v>
      </x:c>
      <x:c r="O3827" s="37"/>
      <x:c r="P3827" s="34" t="n">
        <x:v>0</x:v>
      </x:c>
      <x:c r="Q3827" s="37" t="n">
        <x:v>46069.93635416667</x:v>
      </x:c>
    </x:row>
    <x:row r="3828">
      <x:c r="A3828" s="22" t="n">
        <x:v>30573</x:v>
      </x:c>
      <x:c r="B3828" s="28" t="n">
        <x:v>856.25</x:v>
      </x:c>
      <x:c r="C3828" s="28"/>
      <x:c r="D3828" s="31" t="str">
        <x:f>IF(OR(ISBLANK(B3828),ISBLANK(C3828),B3828=0),"",(C3828-B3828)/B3828)</x:f>
      </x:c>
      <x:c r="E3828" s="22" t="str">
        <x:f>IF(ISBLANK(C3828),"AmountIncludingTax缺失",IF(ABS(B3828-C3828)&lt;0.005,"一致","不一致"))</x:f>
        <x:v>AmountIncludingTax缺失</x:v>
      </x:c>
      <x:c r="F3828" s="19" t="str">
        <x:v>approved</x:v>
      </x:c>
      <x:c r="G3828" s="19" t="str">
        <x:v>Repairer Invoiced Processed</x:v>
      </x:c>
      <x:c r="H3828" s="19" t="str">
        <x:v>In Field</x:v>
      </x:c>
      <x:c r="I3828" s="37" t="n">
        <x:v>46063</x:v>
      </x:c>
      <x:c r="J3828" s="37" t="n">
        <x:v>46063</x:v>
      </x:c>
      <x:c r="K3828" s="19" t="str">
        <x:v>Newcastle RV Super Centre - Beresfield</x:v>
      </x:c>
      <x:c r="L3828" s="19" t="str">
        <x:v>Z006</x:v>
      </x:c>
      <x:c r="M3828" s="19" t="str">
        <x:v>In Field Warranty Claims</x:v>
      </x:c>
      <x:c r="N3828" s="37" t="n">
        <x:v>46056</x:v>
      </x:c>
      <x:c r="O3828" s="37"/>
      <x:c r="P3828" s="34" t="n">
        <x:v>0</x:v>
      </x:c>
      <x:c r="Q3828" s="37" t="n">
        <x:v>46062.979421296295</x:v>
      </x:c>
    </x:row>
    <x:row r="3829">
      <x:c r="A3829" s="22" t="n">
        <x:v>30572</x:v>
      </x:c>
      <x:c r="B3829" s="28" t="n">
        <x:v>337.5</x:v>
      </x:c>
      <x:c r="C3829" s="28"/>
      <x:c r="D3829" s="31" t="str">
        <x:f>IF(OR(ISBLANK(B3829),ISBLANK(C3829),B3829=0),"",(C3829-B3829)/B3829)</x:f>
      </x:c>
      <x:c r="E3829" s="22" t="str">
        <x:f>IF(ISBLANK(C3829),"AmountIncludingTax缺失",IF(ABS(B3829-C3829)&lt;0.005,"一致","不一致"))</x:f>
        <x:v>AmountIncludingTax缺失</x:v>
      </x:c>
      <x:c r="F3829" s="19" t="str">
        <x:v>approved</x:v>
      </x:c>
      <x:c r="G3829" s="19" t="str">
        <x:v>Repairer Invoiced Processed</x:v>
      </x:c>
      <x:c r="H3829" s="19" t="str">
        <x:v>In Field</x:v>
      </x:c>
      <x:c r="I3829" s="37" t="n">
        <x:v>46071</x:v>
      </x:c>
      <x:c r="J3829" s="37" t="n">
        <x:v>46071</x:v>
      </x:c>
      <x:c r="K3829" s="19" t="str">
        <x:v>Snowy River Launceston</x:v>
      </x:c>
      <x:c r="L3829" s="19" t="str">
        <x:v>Z006</x:v>
      </x:c>
      <x:c r="M3829" s="19" t="str">
        <x:v>In Field Warranty Claims</x:v>
      </x:c>
      <x:c r="N3829" s="37" t="n">
        <x:v>46055</x:v>
      </x:c>
      <x:c r="O3829" s="37"/>
      <x:c r="P3829" s="34" t="n">
        <x:v>0</x:v>
      </x:c>
      <x:c r="Q3829" s="37" t="n">
        <x:v>46070.88202546296</x:v>
      </x:c>
    </x:row>
    <x:row r="3830">
      <x:c r="A3830" s="22" t="n">
        <x:v>30571</x:v>
      </x:c>
      <x:c r="B3830" s="28" t="n">
        <x:v>222.75</x:v>
      </x:c>
      <x:c r="C3830" s="28"/>
      <x:c r="D3830" s="31" t="str">
        <x:f>IF(OR(ISBLANK(B3830),ISBLANK(C3830),B3830=0),"",(C3830-B3830)/B3830)</x:f>
      </x:c>
      <x:c r="E3830" s="22" t="str">
        <x:f>IF(ISBLANK(C3830),"AmountIncludingTax缺失",IF(ABS(B3830-C3830)&lt;0.005,"一致","不一致"))</x:f>
        <x:v>AmountIncludingTax缺失</x:v>
      </x:c>
      <x:c r="F3830" s="19" t="str">
        <x:v>approved</x:v>
      </x:c>
      <x:c r="G3830" s="19" t="str">
        <x:v>Repairer Invoiced Processed</x:v>
      </x:c>
      <x:c r="H3830" s="19" t="str">
        <x:v>Pre Delivery</x:v>
      </x:c>
      <x:c r="I3830" s="37" t="n">
        <x:v>46063</x:v>
      </x:c>
      <x:c r="J3830" s="37" t="n">
        <x:v>46058</x:v>
      </x:c>
      <x:c r="K3830" s="19" t="str">
        <x:v>ABCO Caravans - Boambee Valley</x:v>
      </x:c>
      <x:c r="L3830" s="19" t="str">
        <x:v>Z005</x:v>
      </x:c>
      <x:c r="M3830" s="19" t="str">
        <x:v>Pre Delivery Warranty Claims</x:v>
      </x:c>
      <x:c r="N3830" s="37" t="n">
        <x:v>46055</x:v>
      </x:c>
      <x:c r="O3830" s="37"/>
      <x:c r="P3830" s="34" t="n">
        <x:v>0</x:v>
      </x:c>
      <x:c r="Q3830" s="37" t="n">
        <x:v>46063.08741898148</x:v>
      </x:c>
    </x:row>
    <x:row r="3831">
      <x:c r="A3831" s="22" t="n">
        <x:v>30569</x:v>
      </x:c>
      <x:c r="B3831" s="28" t="n">
        <x:v>67.5</x:v>
      </x:c>
      <x:c r="C3831" s="28"/>
      <x:c r="D3831" s="31" t="str">
        <x:f>IF(OR(ISBLANK(B3831),ISBLANK(C3831),B3831=0),"",(C3831-B3831)/B3831)</x:f>
      </x:c>
      <x:c r="E3831" s="22" t="str">
        <x:f>IF(ISBLANK(C3831),"AmountIncludingTax缺失",IF(ABS(B3831-C3831)&lt;0.005,"一致","不一致"))</x:f>
        <x:v>AmountIncludingTax缺失</x:v>
      </x:c>
      <x:c r="F3831" s="19" t="str">
        <x:v>approved</x:v>
      </x:c>
      <x:c r="G3831" s="19" t="str">
        <x:v>Repair in Progress</x:v>
      </x:c>
      <x:c r="H3831" s="19" t="str">
        <x:v>In Field</x:v>
      </x:c>
      <x:c r="I3831" s="37" t="n">
        <x:v>46076</x:v>
      </x:c>
      <x:c r="J3831" s="37" t="n">
        <x:v>46076</x:v>
      </x:c>
      <x:c r="K3831" s="19" t="str">
        <x:v>Green RV - Forest Glen</x:v>
      </x:c>
      <x:c r="L3831" s="19" t="str">
        <x:v>Z006</x:v>
      </x:c>
      <x:c r="M3831" s="19" t="str">
        <x:v>In Field Warranty Claims</x:v>
      </x:c>
      <x:c r="N3831" s="37" t="n">
        <x:v>46056</x:v>
      </x:c>
      <x:c r="O3831" s="37"/>
      <x:c r="P3831" s="34" t="n">
        <x:v>0</x:v>
      </x:c>
      <x:c r="Q3831" s="37" t="n">
        <x:v>46076.0502662037</x:v>
      </x:c>
    </x:row>
    <x:row r="3832">
      <x:c r="A3832" s="22" t="n">
        <x:v>30568</x:v>
      </x:c>
      <x:c r="B3832" s="28" t="n">
        <x:v>55</x:v>
      </x:c>
      <x:c r="C3832" s="28"/>
      <x:c r="D3832" s="31" t="str">
        <x:f>IF(OR(ISBLANK(B3832),ISBLANK(C3832),B3832=0),"",(C3832-B3832)/B3832)</x:f>
      </x:c>
      <x:c r="E3832" s="22" t="str">
        <x:f>IF(ISBLANK(C3832),"AmountIncludingTax缺失",IF(ABS(B3832-C3832)&lt;0.005,"一致","不一致"))</x:f>
        <x:v>AmountIncludingTax缺失</x:v>
      </x:c>
      <x:c r="F3832" s="19" t="str">
        <x:v>approved</x:v>
      </x:c>
      <x:c r="G3832" s="19" t="str">
        <x:v>Repair in Progress</x:v>
      </x:c>
      <x:c r="H3832" s="19" t="str">
        <x:v>Pre Delivery</x:v>
      </x:c>
      <x:c r="I3832" s="37" t="n">
        <x:v>46070</x:v>
      </x:c>
      <x:c r="J3832" s="37" t="n">
        <x:v>46070</x:v>
      </x:c>
      <x:c r="K3832" s="19" t="str">
        <x:v>Regent RV - Perth</x:v>
      </x:c>
      <x:c r="L3832" s="19" t="str">
        <x:v>Z005</x:v>
      </x:c>
      <x:c r="M3832" s="19" t="str">
        <x:v>Pre Delivery Warranty Claims</x:v>
      </x:c>
      <x:c r="N3832" s="37" t="n">
        <x:v>46056</x:v>
      </x:c>
      <x:c r="O3832" s="37"/>
      <x:c r="P3832" s="34" t="n">
        <x:v>0</x:v>
      </x:c>
      <x:c r="Q3832" s="37" t="n">
        <x:v>46069.91402777778</x:v>
      </x:c>
    </x:row>
    <x:row r="3833">
      <x:c r="A3833" s="22" t="n">
        <x:v>30566</x:v>
      </x:c>
      <x:c r="B3833" s="28" t="n">
        <x:v>695</x:v>
      </x:c>
      <x:c r="C3833" s="28"/>
      <x:c r="D3833" s="31" t="str">
        <x:f>IF(OR(ISBLANK(B3833),ISBLANK(C3833),B3833=0),"",(C3833-B3833)/B3833)</x:f>
      </x:c>
      <x:c r="E3833" s="22" t="str">
        <x:f>IF(ISBLANK(C3833),"AmountIncludingTax缺失",IF(ABS(B3833-C3833)&lt;0.005,"一致","不一致"))</x:f>
        <x:v>AmountIncludingTax缺失</x:v>
      </x:c>
      <x:c r="F3833" s="19" t="str">
        <x:v>approved</x:v>
      </x:c>
      <x:c r="G3833" s="19" t="str">
        <x:v>Repair in Progress</x:v>
      </x:c>
      <x:c r="H3833" s="19" t="str">
        <x:v>In Field</x:v>
      </x:c>
      <x:c r="I3833" s="37" t="n">
        <x:v>46070</x:v>
      </x:c>
      <x:c r="J3833" s="37" t="n">
        <x:v>46070</x:v>
      </x:c>
      <x:c r="K3833" s="19" t="str">
        <x:v>Snowy River Frankston</x:v>
      </x:c>
      <x:c r="L3833" s="19" t="str">
        <x:v>Z006</x:v>
      </x:c>
      <x:c r="M3833" s="19" t="str">
        <x:v>In Field Warranty Claims</x:v>
      </x:c>
      <x:c r="N3833" s="37" t="n">
        <x:v>46056</x:v>
      </x:c>
      <x:c r="O3833" s="37"/>
      <x:c r="P3833" s="34" t="n">
        <x:v>0</x:v>
      </x:c>
      <x:c r="Q3833" s="37" t="n">
        <x:v>46069.89774305555</x:v>
      </x:c>
    </x:row>
    <x:row r="3834">
      <x:c r="A3834" s="22" t="n">
        <x:v>30565</x:v>
      </x:c>
      <x:c r="B3834" s="28" t="n">
        <x:v>438.75</x:v>
      </x:c>
      <x:c r="C3834" s="28"/>
      <x:c r="D3834" s="31" t="str">
        <x:f>IF(OR(ISBLANK(B3834),ISBLANK(C3834),B3834=0),"",(C3834-B3834)/B3834)</x:f>
      </x:c>
      <x:c r="E3834" s="22" t="str">
        <x:f>IF(ISBLANK(C3834),"AmountIncludingTax缺失",IF(ABS(B3834-C3834)&lt;0.005,"一致","不一致"))</x:f>
        <x:v>AmountIncludingTax缺失</x:v>
      </x:c>
      <x:c r="F3834" s="19" t="str">
        <x:v>approved</x:v>
      </x:c>
      <x:c r="G3834" s="19" t="str">
        <x:v>Repair in Progress</x:v>
      </x:c>
      <x:c r="H3834" s="19" t="str">
        <x:v>In Field</x:v>
      </x:c>
      <x:c r="I3834" s="37" t="n">
        <x:v>46070</x:v>
      </x:c>
      <x:c r="J3834" s="37" t="n">
        <x:v>46070</x:v>
      </x:c>
      <x:c r="K3834" s="19" t="str">
        <x:v>Auswide Caravans - South Nowra</x:v>
      </x:c>
      <x:c r="L3834" s="19" t="str">
        <x:v>Z006</x:v>
      </x:c>
      <x:c r="M3834" s="19" t="str">
        <x:v>In Field Warranty Claims</x:v>
      </x:c>
      <x:c r="N3834" s="37" t="n">
        <x:v>46055</x:v>
      </x:c>
      <x:c r="O3834" s="37"/>
      <x:c r="P3834" s="34" t="n">
        <x:v>0</x:v>
      </x:c>
      <x:c r="Q3834" s="37" t="n">
        <x:v>46070.10542824074</x:v>
      </x:c>
    </x:row>
    <x:row r="3835">
      <x:c r="A3835" s="22" t="n">
        <x:v>30564</x:v>
      </x:c>
      <x:c r="B3835" s="28" t="n">
        <x:v>613.65</x:v>
      </x:c>
      <x:c r="C3835" s="28"/>
      <x:c r="D3835" s="31" t="str">
        <x:f>IF(OR(ISBLANK(B3835),ISBLANK(C3835),B3835=0),"",(C3835-B3835)/B3835)</x:f>
      </x:c>
      <x:c r="E3835" s="22" t="str">
        <x:f>IF(ISBLANK(C3835),"AmountIncludingTax缺失",IF(ABS(B3835-C3835)&lt;0.005,"一致","不一致"))</x:f>
        <x:v>AmountIncludingTax缺失</x:v>
      </x:c>
      <x:c r="F3835" s="19" t="str">
        <x:v>approved</x:v>
      </x:c>
      <x:c r="G3835" s="19" t="str">
        <x:v>Repair in Progress</x:v>
      </x:c>
      <x:c r="H3835" s="19" t="str">
        <x:v>In Field</x:v>
      </x:c>
      <x:c r="I3835" s="37" t="n">
        <x:v>46063</x:v>
      </x:c>
      <x:c r="J3835" s="37" t="n">
        <x:v>46063</x:v>
      </x:c>
      <x:c r="K3835" s="19" t="str">
        <x:v>Newcastle RV Super Centre - Beresfield</x:v>
      </x:c>
      <x:c r="L3835" s="19" t="str">
        <x:v>Z006</x:v>
      </x:c>
      <x:c r="M3835" s="19" t="str">
        <x:v>In Field Warranty Claims</x:v>
      </x:c>
      <x:c r="N3835" s="37" t="n">
        <x:v>46055</x:v>
      </x:c>
      <x:c r="O3835" s="37"/>
      <x:c r="P3835" s="34" t="n">
        <x:v>0</x:v>
      </x:c>
      <x:c r="Q3835" s="37" t="n">
        <x:v>46062.981828703705</x:v>
      </x:c>
    </x:row>
    <x:row r="3836">
      <x:c r="A3836" s="22" t="n">
        <x:v>30563</x:v>
      </x:c>
      <x:c r="B3836" s="28" t="n">
        <x:v>270</x:v>
      </x:c>
      <x:c r="C3836" s="28" t="n">
        <x:v>297</x:v>
      </x:c>
      <x:c r="D3836" s="31" t="n">
        <x:f>IF(OR(ISBLANK(B3836),ISBLANK(C3836),B3836=0),"",(C3836-B3836)/B3836)</x:f>
        <x:v>0.1</x:v>
      </x:c>
      <x:c r="E3836" s="22" t="str">
        <x:f>IF(ISBLANK(C3836),"AmountIncludingTax缺失",IF(ABS(B3836-C3836)&lt;0.005,"一致","不一致"))</x:f>
        <x:v>不一致</x:v>
      </x:c>
      <x:c r="F3836" s="19" t="str">
        <x:v>approved</x:v>
      </x:c>
      <x:c r="G3836" s="19" t="str">
        <x:v>Repairer Invoiced Processed</x:v>
      </x:c>
      <x:c r="H3836" s="19" t="str">
        <x:v>Pre Delivery</x:v>
      </x:c>
      <x:c r="I3836" s="37" t="n">
        <x:v>46057</x:v>
      </x:c>
      <x:c r="J3836" s="37" t="n">
        <x:v>46057</x:v>
      </x:c>
      <x:c r="K3836" s="19" t="str">
        <x:v>ABCO Caravans - Boambee Valley</x:v>
      </x:c>
      <x:c r="L3836" s="19" t="str">
        <x:v>Z005</x:v>
      </x:c>
      <x:c r="M3836" s="19" t="str">
        <x:v>Pre Delivery Warranty Claims</x:v>
      </x:c>
      <x:c r="N3836" s="37" t="n">
        <x:v>46055</x:v>
      </x:c>
      <x:c r="O3836" s="37"/>
      <x:c r="P3836" s="34" t="n">
        <x:v>297</x:v>
      </x:c>
      <x:c r="Q3836" s="37" t="n">
        <x:v>46057.44709490741</x:v>
      </x:c>
    </x:row>
    <x:row r="3837">
      <x:c r="A3837" s="22" t="n">
        <x:v>30562</x:v>
      </x:c>
      <x:c r="B3837" s="28" t="n">
        <x:v>135</x:v>
      </x:c>
      <x:c r="C3837" s="28"/>
      <x:c r="D3837" s="31" t="str">
        <x:f>IF(OR(ISBLANK(B3837),ISBLANK(C3837),B3837=0),"",(C3837-B3837)/B3837)</x:f>
      </x:c>
      <x:c r="E3837" s="22" t="str">
        <x:f>IF(ISBLANK(C3837),"AmountIncludingTax缺失",IF(ABS(B3837-C3837)&lt;0.005,"一致","不一致"))</x:f>
        <x:v>AmountIncludingTax缺失</x:v>
      </x:c>
      <x:c r="F3837" s="19" t="str">
        <x:v>approved</x:v>
      </x:c>
      <x:c r="G3837" s="19" t="str">
        <x:v>Repairer Invoiced Processed</x:v>
      </x:c>
      <x:c r="H3837" s="19" t="str">
        <x:v>In Field</x:v>
      </x:c>
      <x:c r="I3837" s="37" t="n">
        <x:v>46063</x:v>
      </x:c>
      <x:c r="J3837" s="37" t="n">
        <x:v>46063</x:v>
      </x:c>
      <x:c r="K3837" s="19" t="str">
        <x:v>Newcastle RV Super Centre - Beresfield</x:v>
      </x:c>
      <x:c r="L3837" s="19" t="str">
        <x:v>Z006</x:v>
      </x:c>
      <x:c r="M3837" s="19" t="str">
        <x:v>In Field Warranty Claims</x:v>
      </x:c>
      <x:c r="N3837" s="37" t="n">
        <x:v>46055</x:v>
      </x:c>
      <x:c r="O3837" s="37"/>
      <x:c r="P3837" s="34" t="n">
        <x:v>0</x:v>
      </x:c>
      <x:c r="Q3837" s="37" t="n">
        <x:v>46062.98496527778</x:v>
      </x:c>
    </x:row>
    <x:row r="3838">
      <x:c r="A3838" s="22" t="n">
        <x:v>30561</x:v>
      </x:c>
      <x:c r="B3838" s="28" t="n">
        <x:v>947.5</x:v>
      </x:c>
      <x:c r="C3838" s="28"/>
      <x:c r="D3838" s="31" t="str">
        <x:f>IF(OR(ISBLANK(B3838),ISBLANK(C3838),B3838=0),"",(C3838-B3838)/B3838)</x:f>
      </x:c>
      <x:c r="E3838" s="22" t="str">
        <x:f>IF(ISBLANK(C3838),"AmountIncludingTax缺失",IF(ABS(B3838-C3838)&lt;0.005,"一致","不一致"))</x:f>
        <x:v>AmountIncludingTax缺失</x:v>
      </x:c>
      <x:c r="F3838" s="19" t="str">
        <x:v>approved</x:v>
      </x:c>
      <x:c r="G3838" s="19" t="str">
        <x:v>Repair in Progress</x:v>
      </x:c>
      <x:c r="H3838" s="19" t="str">
        <x:v>In Field</x:v>
      </x:c>
      <x:c r="I3838" s="37" t="n">
        <x:v>46098</x:v>
      </x:c>
      <x:c r="J3838" s="37" t="n">
        <x:v>46098</x:v>
      </x:c>
      <x:c r="K3838" s="19" t="str">
        <x:v>Sherrif Caravans &amp; Traliers - Prospect Vale</x:v>
      </x:c>
      <x:c r="L3838" s="19" t="str">
        <x:v>Z006</x:v>
      </x:c>
      <x:c r="M3838" s="19" t="str">
        <x:v>In Field Warranty Claims</x:v>
      </x:c>
      <x:c r="N3838" s="37" t="n">
        <x:v>46055</x:v>
      </x:c>
      <x:c r="O3838" s="37"/>
      <x:c r="P3838" s="34" t="n">
        <x:v>0</x:v>
      </x:c>
      <x:c r="Q3838" s="37" t="n">
        <x:v>46098.10423611111</x:v>
      </x:c>
    </x:row>
    <x:row r="3839">
      <x:c r="A3839" s="22" t="n">
        <x:v>30560</x:v>
      </x:c>
      <x:c r="B3839" s="28" t="n">
        <x:v>236.25</x:v>
      </x:c>
      <x:c r="C3839" s="28"/>
      <x:c r="D3839" s="31" t="str">
        <x:f>IF(OR(ISBLANK(B3839),ISBLANK(C3839),B3839=0),"",(C3839-B3839)/B3839)</x:f>
      </x:c>
      <x:c r="E3839" s="22" t="str">
        <x:f>IF(ISBLANK(C3839),"AmountIncludingTax缺失",IF(ABS(B3839-C3839)&lt;0.005,"一致","不一致"))</x:f>
        <x:v>AmountIncludingTax缺失</x:v>
      </x:c>
      <x:c r="F3839" s="19" t="str">
        <x:v>approved</x:v>
      </x:c>
      <x:c r="G3839" s="19" t="str">
        <x:v>Repair in Progress</x:v>
      </x:c>
      <x:c r="H3839" s="19" t="str">
        <x:v>In Field</x:v>
      </x:c>
      <x:c r="I3839" s="37" t="n">
        <x:v>46071</x:v>
      </x:c>
      <x:c r="J3839" s="37" t="n">
        <x:v>46066</x:v>
      </x:c>
      <x:c r="K3839" s="19" t="str">
        <x:v>Snowy River Launceston</x:v>
      </x:c>
      <x:c r="L3839" s="19" t="str">
        <x:v>Z006</x:v>
      </x:c>
      <x:c r="M3839" s="19" t="str">
        <x:v>In Field Warranty Claims</x:v>
      </x:c>
      <x:c r="N3839" s="37" t="n">
        <x:v>46055</x:v>
      </x:c>
      <x:c r="O3839" s="37"/>
      <x:c r="P3839" s="34" t="n">
        <x:v>0</x:v>
      </x:c>
      <x:c r="Q3839" s="37" t="n">
        <x:v>46071.17170138889</x:v>
      </x:c>
    </x:row>
    <x:row r="3840">
      <x:c r="A3840" s="22" t="n">
        <x:v>30558</x:v>
      </x:c>
      <x:c r="B3840" s="28" t="n">
        <x:v>202.5</x:v>
      </x:c>
      <x:c r="C3840" s="28"/>
      <x:c r="D3840" s="31" t="str">
        <x:f>IF(OR(ISBLANK(B3840),ISBLANK(C3840),B3840=0),"",(C3840-B3840)/B3840)</x:f>
      </x:c>
      <x:c r="E3840" s="22" t="str">
        <x:f>IF(ISBLANK(C3840),"AmountIncludingTax缺失",IF(ABS(B3840-C3840)&lt;0.005,"一致","不一致"))</x:f>
        <x:v>AmountIncludingTax缺失</x:v>
      </x:c>
      <x:c r="F3840" s="19" t="str">
        <x:v>approved</x:v>
      </x:c>
      <x:c r="G3840" s="19" t="str">
        <x:v>Repair in Progress</x:v>
      </x:c>
      <x:c r="H3840" s="19" t="str">
        <x:v>In Field</x:v>
      </x:c>
      <x:c r="I3840" s="37" t="n">
        <x:v>46135</x:v>
      </x:c>
      <x:c r="J3840" s="37" t="n">
        <x:v>46135</x:v>
      </x:c>
      <x:c r="K3840" s="19" t="str">
        <x:v>Regent RV - Traralgon</x:v>
      </x:c>
      <x:c r="L3840" s="19" t="str">
        <x:v>Z006</x:v>
      </x:c>
      <x:c r="M3840" s="19" t="str">
        <x:v>In Field Warranty Claims</x:v>
      </x:c>
      <x:c r="N3840" s="37" t="n">
        <x:v>46055</x:v>
      </x:c>
      <x:c r="O3840" s="37"/>
      <x:c r="P3840" s="34" t="n">
        <x:v>0</x:v>
      </x:c>
      <x:c r="Q3840" s="37" t="n">
        <x:v>46135.19702546296</x:v>
      </x:c>
    </x:row>
    <x:row r="3841">
      <x:c r="A3841" s="22" t="n">
        <x:v>30557</x:v>
      </x:c>
      <x:c r="B3841" s="28" t="n">
        <x:v>303.75</x:v>
      </x:c>
      <x:c r="C3841" s="28"/>
      <x:c r="D3841" s="31" t="str">
        <x:f>IF(OR(ISBLANK(B3841),ISBLANK(C3841),B3841=0),"",(C3841-B3841)/B3841)</x:f>
      </x:c>
      <x:c r="E3841" s="22" t="str">
        <x:f>IF(ISBLANK(C3841),"AmountIncludingTax缺失",IF(ABS(B3841-C3841)&lt;0.005,"一致","不一致"))</x:f>
        <x:v>AmountIncludingTax缺失</x:v>
      </x:c>
      <x:c r="F3841" s="19" t="str">
        <x:v>approved</x:v>
      </x:c>
      <x:c r="G3841" s="19" t="str">
        <x:v>Repair in Progress</x:v>
      </x:c>
      <x:c r="H3841" s="19" t="str">
        <x:v>In Field</x:v>
      </x:c>
      <x:c r="I3841" s="37" t="n">
        <x:v>46078</x:v>
      </x:c>
      <x:c r="J3841" s="37" t="n">
        <x:v>46078</x:v>
      </x:c>
      <x:c r="K3841" s="19" t="str">
        <x:v>Regent RV - Frankston</x:v>
      </x:c>
      <x:c r="L3841" s="19" t="str">
        <x:v>Z006</x:v>
      </x:c>
      <x:c r="M3841" s="19" t="str">
        <x:v>In Field Warranty Claims</x:v>
      </x:c>
      <x:c r="N3841" s="37" t="n">
        <x:v>46055</x:v>
      </x:c>
      <x:c r="O3841" s="37"/>
      <x:c r="P3841" s="34" t="n">
        <x:v>0</x:v>
      </x:c>
      <x:c r="Q3841" s="37" t="n">
        <x:v>46077.887650462966</x:v>
      </x:c>
    </x:row>
    <x:row r="3842">
      <x:c r="A3842" s="22" t="n">
        <x:v>30555</x:v>
      </x:c>
      <x:c r="B3842" s="28" t="n">
        <x:v>405</x:v>
      </x:c>
      <x:c r="C3842" s="28"/>
      <x:c r="D3842" s="31" t="str">
        <x:f>IF(OR(ISBLANK(B3842),ISBLANK(C3842),B3842=0),"",(C3842-B3842)/B3842)</x:f>
      </x:c>
      <x:c r="E3842" s="22" t="str">
        <x:f>IF(ISBLANK(C3842),"AmountIncludingTax缺失",IF(ABS(B3842-C3842)&lt;0.005,"一致","不一致"))</x:f>
        <x:v>AmountIncludingTax缺失</x:v>
      </x:c>
      <x:c r="F3842" s="19" t="str">
        <x:v>approved</x:v>
      </x:c>
      <x:c r="G3842" s="19" t="str">
        <x:v>Repair in Progress</x:v>
      </x:c>
      <x:c r="H3842" s="19" t="str">
        <x:v>Pre Delivery</x:v>
      </x:c>
      <x:c r="I3842" s="37" t="n">
        <x:v>46071</x:v>
      </x:c>
      <x:c r="J3842" s="37" t="n">
        <x:v>46071</x:v>
      </x:c>
      <x:c r="K3842" s="19" t="str">
        <x:v>Snowy River Frankston</x:v>
      </x:c>
      <x:c r="L3842" s="19" t="str">
        <x:v>Z005</x:v>
      </x:c>
      <x:c r="M3842" s="19" t="str">
        <x:v>Pre Delivery Warranty Claims</x:v>
      </x:c>
      <x:c r="N3842" s="37" t="n">
        <x:v>46055</x:v>
      </x:c>
      <x:c r="O3842" s="37"/>
      <x:c r="P3842" s="34" t="n">
        <x:v>0</x:v>
      </x:c>
      <x:c r="Q3842" s="37" t="n">
        <x:v>46071.2280787037</x:v>
      </x:c>
    </x:row>
    <x:row r="3843">
      <x:c r="A3843" s="22" t="n">
        <x:v>30554</x:v>
      </x:c>
      <x:c r="B3843" s="28" t="n">
        <x:v>512.5</x:v>
      </x:c>
      <x:c r="C3843" s="28"/>
      <x:c r="D3843" s="31" t="str">
        <x:f>IF(OR(ISBLANK(B3843),ISBLANK(C3843),B3843=0),"",(C3843-B3843)/B3843)</x:f>
      </x:c>
      <x:c r="E3843" s="22" t="str">
        <x:f>IF(ISBLANK(C3843),"AmountIncludingTax缺失",IF(ABS(B3843-C3843)&lt;0.005,"一致","不一致"))</x:f>
        <x:v>AmountIncludingTax缺失</x:v>
      </x:c>
      <x:c r="F3843" s="19" t="str">
        <x:v>approved</x:v>
      </x:c>
      <x:c r="G3843" s="19" t="str">
        <x:v>Repair in Progress</x:v>
      </x:c>
      <x:c r="H3843" s="19" t="str">
        <x:v>In Field</x:v>
      </x:c>
      <x:c r="I3843" s="37" t="n">
        <x:v>46094</x:v>
      </x:c>
      <x:c r="J3843" s="37" t="n">
        <x:v>46094</x:v>
      </x:c>
      <x:c r="K3843" s="19" t="str">
        <x:v>Green RV - Forest Glen</x:v>
      </x:c>
      <x:c r="L3843" s="19" t="str">
        <x:v>Z006</x:v>
      </x:c>
      <x:c r="M3843" s="19" t="str">
        <x:v>In Field Warranty Claims</x:v>
      </x:c>
      <x:c r="N3843" s="37" t="n">
        <x:v>46055</x:v>
      </x:c>
      <x:c r="O3843" s="37"/>
      <x:c r="P3843" s="34" t="n">
        <x:v>0</x:v>
      </x:c>
      <x:c r="Q3843" s="37" t="n">
        <x:v>46093.955717592595</x:v>
      </x:c>
    </x:row>
    <x:row r="3844">
      <x:c r="A3844" s="22" t="n">
        <x:v>30553</x:v>
      </x:c>
      <x:c r="B3844" s="28" t="n">
        <x:v>607.5</x:v>
      </x:c>
      <x:c r="C3844" s="28"/>
      <x:c r="D3844" s="31" t="str">
        <x:f>IF(OR(ISBLANK(B3844),ISBLANK(C3844),B3844=0),"",(C3844-B3844)/B3844)</x:f>
      </x:c>
      <x:c r="E3844" s="22" t="str">
        <x:f>IF(ISBLANK(C3844),"AmountIncludingTax缺失",IF(ABS(B3844-C3844)&lt;0.005,"一致","不一致"))</x:f>
        <x:v>AmountIncludingTax缺失</x:v>
      </x:c>
      <x:c r="F3844" s="19" t="str">
        <x:v>approved</x:v>
      </x:c>
      <x:c r="G3844" s="19" t="str">
        <x:v>Repair in Progress</x:v>
      </x:c>
      <x:c r="H3844" s="19" t="str">
        <x:v>Pre Delivery</x:v>
      </x:c>
      <x:c r="I3844" s="37" t="n">
        <x:v>46155</x:v>
      </x:c>
      <x:c r="J3844" s="37" t="n">
        <x:v>46155</x:v>
      </x:c>
      <x:c r="K3844" s="19" t="str">
        <x:v>Regent RV - Perth</x:v>
      </x:c>
      <x:c r="L3844" s="19" t="str">
        <x:v>Z005</x:v>
      </x:c>
      <x:c r="M3844" s="19" t="str">
        <x:v>Pre Delivery Warranty Claims</x:v>
      </x:c>
      <x:c r="N3844" s="37" t="n">
        <x:v>46055</x:v>
      </x:c>
      <x:c r="O3844" s="37"/>
      <x:c r="P3844" s="34" t="n">
        <x:v>0</x:v>
      </x:c>
      <x:c r="Q3844" s="37" t="n">
        <x:v>46154.94917824074</x:v>
      </x:c>
    </x:row>
    <x:row r="3845">
      <x:c r="A3845" s="22" t="n">
        <x:v>30551</x:v>
      </x:c>
      <x:c r="B3845" s="28" t="n">
        <x:v>1215</x:v>
      </x:c>
      <x:c r="C3845" s="28"/>
      <x:c r="D3845" s="31" t="str">
        <x:f>IF(OR(ISBLANK(B3845),ISBLANK(C3845),B3845=0),"",(C3845-B3845)/B3845)</x:f>
      </x:c>
      <x:c r="E3845" s="22" t="str">
        <x:f>IF(ISBLANK(C3845),"AmountIncludingTax缺失",IF(ABS(B3845-C3845)&lt;0.005,"一致","不一致"))</x:f>
        <x:v>AmountIncludingTax缺失</x:v>
      </x:c>
      <x:c r="F3845" s="19" t="str">
        <x:v>approved</x:v>
      </x:c>
      <x:c r="G3845" s="19" t="str">
        <x:v>Partially Picked</x:v>
      </x:c>
      <x:c r="H3845" s="19" t="str">
        <x:v>In Field</x:v>
      </x:c>
      <x:c r="I3845" s="37" t="n">
        <x:v>46142</x:v>
      </x:c>
      <x:c r="J3845" s="37" t="n">
        <x:v>46142</x:v>
      </x:c>
      <x:c r="K3845" s="19" t="str">
        <x:v>Green RV - Forest Glen</x:v>
      </x:c>
      <x:c r="L3845" s="19" t="str">
        <x:v>Z006</x:v>
      </x:c>
      <x:c r="M3845" s="19" t="str">
        <x:v>In Field Warranty Claims</x:v>
      </x:c>
      <x:c r="N3845" s="37" t="n">
        <x:v>46055</x:v>
      </x:c>
      <x:c r="O3845" s="37"/>
      <x:c r="P3845" s="34" t="n">
        <x:v>0</x:v>
      </x:c>
      <x:c r="Q3845" s="37" t="n">
        <x:v>46141.86581018518</x:v>
      </x:c>
    </x:row>
    <x:row r="3846">
      <x:c r="A3846" s="22" t="n">
        <x:v>30550</x:v>
      </x:c>
      <x:c r="B3846" s="28" t="n">
        <x:v>1558.75</x:v>
      </x:c>
      <x:c r="C3846" s="28"/>
      <x:c r="D3846" s="31" t="str">
        <x:f>IF(OR(ISBLANK(B3846),ISBLANK(C3846),B3846=0),"",(C3846-B3846)/B3846)</x:f>
      </x:c>
      <x:c r="E3846" s="22" t="str">
        <x:f>IF(ISBLANK(C3846),"AmountIncludingTax缺失",IF(ABS(B3846-C3846)&lt;0.005,"一致","不一致"))</x:f>
        <x:v>AmountIncludingTax缺失</x:v>
      </x:c>
      <x:c r="F3846" s="19" t="str">
        <x:v>approved</x:v>
      </x:c>
      <x:c r="G3846" s="19" t="str">
        <x:v>Repair in Progress</x:v>
      </x:c>
      <x:c r="H3846" s="19" t="str">
        <x:v>In Field</x:v>
      </x:c>
      <x:c r="I3846" s="37" t="n">
        <x:v>46098</x:v>
      </x:c>
      <x:c r="J3846" s="37" t="n">
        <x:v>46098</x:v>
      </x:c>
      <x:c r="K3846" s="19" t="str">
        <x:v>Regent RV - Frankston</x:v>
      </x:c>
      <x:c r="L3846" s="19" t="str">
        <x:v>Z006</x:v>
      </x:c>
      <x:c r="M3846" s="19" t="str">
        <x:v>In Field Warranty Claims</x:v>
      </x:c>
      <x:c r="N3846" s="37" t="n">
        <x:v>46055</x:v>
      </x:c>
      <x:c r="O3846" s="37"/>
      <x:c r="P3846" s="34" t="n">
        <x:v>0</x:v>
      </x:c>
      <x:c r="Q3846" s="37" t="n">
        <x:v>46097.851793981485</x:v>
      </x:c>
    </x:row>
    <x:row r="3847">
      <x:c r="A3847" s="22" t="n">
        <x:v>30549</x:v>
      </x:c>
      <x:c r="B3847" s="28" t="n">
        <x:v>168.75</x:v>
      </x:c>
      <x:c r="C3847" s="28"/>
      <x:c r="D3847" s="31" t="str">
        <x:f>IF(OR(ISBLANK(B3847),ISBLANK(C3847),B3847=0),"",(C3847-B3847)/B3847)</x:f>
      </x:c>
      <x:c r="E3847" s="22" t="str">
        <x:f>IF(ISBLANK(C3847),"AmountIncludingTax缺失",IF(ABS(B3847-C3847)&lt;0.005,"一致","不一致"))</x:f>
        <x:v>AmountIncludingTax缺失</x:v>
      </x:c>
      <x:c r="F3847" s="19" t="str">
        <x:v>approved</x:v>
      </x:c>
      <x:c r="G3847" s="19" t="str">
        <x:v>Repair in Progress</x:v>
      </x:c>
      <x:c r="H3847" s="19" t="str">
        <x:v>In Field</x:v>
      </x:c>
      <x:c r="I3847" s="37" t="n">
        <x:v>46077</x:v>
      </x:c>
      <x:c r="J3847" s="37" t="n">
        <x:v>46077</x:v>
      </x:c>
      <x:c r="K3847" s="19" t="str">
        <x:v>Snowy River Launceston</x:v>
      </x:c>
      <x:c r="L3847" s="19" t="str">
        <x:v>Z006</x:v>
      </x:c>
      <x:c r="M3847" s="19" t="str">
        <x:v>In Field Warranty Claims</x:v>
      </x:c>
      <x:c r="N3847" s="37" t="n">
        <x:v>46055</x:v>
      </x:c>
      <x:c r="O3847" s="37"/>
      <x:c r="P3847" s="34" t="n">
        <x:v>0</x:v>
      </x:c>
      <x:c r="Q3847" s="37" t="n">
        <x:v>46077.180555555555</x:v>
      </x:c>
    </x:row>
    <x:row r="3848">
      <x:c r="A3848" s="22" t="n">
        <x:v>30548</x:v>
      </x:c>
      <x:c r="B3848" s="28" t="n">
        <x:v>202.5</x:v>
      </x:c>
      <x:c r="C3848" s="28"/>
      <x:c r="D3848" s="31" t="str">
        <x:f>IF(OR(ISBLANK(B3848),ISBLANK(C3848),B3848=0),"",(C3848-B3848)/B3848)</x:f>
      </x:c>
      <x:c r="E3848" s="22" t="str">
        <x:f>IF(ISBLANK(C3848),"AmountIncludingTax缺失",IF(ABS(B3848-C3848)&lt;0.005,"一致","不一致"))</x:f>
        <x:v>AmountIncludingTax缺失</x:v>
      </x:c>
      <x:c r="F3848" s="19" t="str">
        <x:v>approved</x:v>
      </x:c>
      <x:c r="G3848" s="19" t="str">
        <x:v>Repair in Progress</x:v>
      </x:c>
      <x:c r="H3848" s="19" t="str">
        <x:v>In Field</x:v>
      </x:c>
      <x:c r="I3848" s="37" t="n">
        <x:v>46062</x:v>
      </x:c>
      <x:c r="J3848" s="37" t="n">
        <x:v>46062</x:v>
      </x:c>
      <x:c r="K3848" s="19" t="str">
        <x:v>Regent RV - Frankston</x:v>
      </x:c>
      <x:c r="L3848" s="19" t="str">
        <x:v>Z006</x:v>
      </x:c>
      <x:c r="M3848" s="19" t="str">
        <x:v>In Field Warranty Claims</x:v>
      </x:c>
      <x:c r="N3848" s="37" t="n">
        <x:v>46055</x:v>
      </x:c>
      <x:c r="O3848" s="37"/>
      <x:c r="P3848" s="34" t="n">
        <x:v>0</x:v>
      </x:c>
      <x:c r="Q3848" s="37" t="n">
        <x:v>46061.91372685185</x:v>
      </x:c>
    </x:row>
    <x:row r="3849">
      <x:c r="A3849" s="22" t="n">
        <x:v>30547</x:v>
      </x:c>
      <x:c r="B3849" s="28" t="n">
        <x:v>1255</x:v>
      </x:c>
      <x:c r="C3849" s="28"/>
      <x:c r="D3849" s="31" t="str">
        <x:f>IF(OR(ISBLANK(B3849),ISBLANK(C3849),B3849=0),"",(C3849-B3849)/B3849)</x:f>
      </x:c>
      <x:c r="E3849" s="22" t="str">
        <x:f>IF(ISBLANK(C3849),"AmountIncludingTax缺失",IF(ABS(B3849-C3849)&lt;0.005,"一致","不一致"))</x:f>
        <x:v>AmountIncludingTax缺失</x:v>
      </x:c>
      <x:c r="F3849" s="19" t="str">
        <x:v>approved</x:v>
      </x:c>
      <x:c r="G3849" s="19" t="str">
        <x:v>Repairer Invoiced Processed</x:v>
      </x:c>
      <x:c r="H3849" s="19" t="str">
        <x:v>In Field</x:v>
      </x:c>
      <x:c r="I3849" s="37" t="n">
        <x:v>46087</x:v>
      </x:c>
      <x:c r="J3849" s="37" t="n">
        <x:v>46087</x:v>
      </x:c>
      <x:c r="K3849" s="19" t="str">
        <x:v>Vanari Caravans - Marden Point</x:v>
      </x:c>
      <x:c r="L3849" s="19" t="str">
        <x:v>Z006</x:v>
      </x:c>
      <x:c r="M3849" s="19" t="str">
        <x:v>In Field Warranty Claims</x:v>
      </x:c>
      <x:c r="N3849" s="37" t="n">
        <x:v>46055</x:v>
      </x:c>
      <x:c r="O3849" s="37"/>
      <x:c r="P3849" s="34" t="n">
        <x:v>1136.28</x:v>
      </x:c>
      <x:c r="Q3849" s="37" t="n">
        <x:v>46087.47385416667</x:v>
      </x:c>
    </x:row>
    <x:row r="3850">
      <x:c r="A3850" s="22" t="n">
        <x:v>30546</x:v>
      </x:c>
      <x:c r="B3850" s="28" t="n">
        <x:v>67.5</x:v>
      </x:c>
      <x:c r="C3850" s="28"/>
      <x:c r="D3850" s="31" t="str">
        <x:f>IF(OR(ISBLANK(B3850),ISBLANK(C3850),B3850=0),"",(C3850-B3850)/B3850)</x:f>
      </x:c>
      <x:c r="E3850" s="22" t="str">
        <x:f>IF(ISBLANK(C3850),"AmountIncludingTax缺失",IF(ABS(B3850-C3850)&lt;0.005,"一致","不一致"))</x:f>
        <x:v>AmountIncludingTax缺失</x:v>
      </x:c>
      <x:c r="F3850" s="19" t="str">
        <x:v>approved</x:v>
      </x:c>
      <x:c r="G3850" s="19" t="str">
        <x:v>Repair in Progress</x:v>
      </x:c>
      <x:c r="H3850" s="19" t="str">
        <x:v>In Field</x:v>
      </x:c>
      <x:c r="I3850" s="37" t="n">
        <x:v>46169</x:v>
      </x:c>
      <x:c r="J3850" s="37" t="n">
        <x:v>46063</x:v>
      </x:c>
      <x:c r="K3850" s="19" t="str">
        <x:v>Newcastle RV Super Centre - Beresfield</x:v>
      </x:c>
      <x:c r="L3850" s="19" t="str">
        <x:v>Z006</x:v>
      </x:c>
      <x:c r="M3850" s="19" t="str">
        <x:v>In Field Warranty Claims</x:v>
      </x:c>
      <x:c r="N3850" s="37" t="n">
        <x:v>46055</x:v>
      </x:c>
      <x:c r="O3850" s="37"/>
      <x:c r="P3850" s="34" t="n">
        <x:v>0</x:v>
      </x:c>
      <x:c r="Q3850" s="37" t="n">
        <x:v>46169.0002662037</x:v>
      </x:c>
    </x:row>
    <x:row r="3851">
      <x:c r="A3851" s="22" t="n">
        <x:v>30544</x:v>
      </x:c>
      <x:c r="B3851" s="28" t="n">
        <x:v>148.5</x:v>
      </x:c>
      <x:c r="C3851" s="28"/>
      <x:c r="D3851" s="31" t="str">
        <x:f>IF(OR(ISBLANK(B3851),ISBLANK(C3851),B3851=0),"",(C3851-B3851)/B3851)</x:f>
      </x:c>
      <x:c r="E3851" s="22" t="str">
        <x:f>IF(ISBLANK(C3851),"AmountIncludingTax缺失",IF(ABS(B3851-C3851)&lt;0.005,"一致","不一致"))</x:f>
        <x:v>AmountIncludingTax缺失</x:v>
      </x:c>
      <x:c r="F3851" s="19" t="str">
        <x:v>approved</x:v>
      </x:c>
      <x:c r="G3851" s="19" t="str">
        <x:v>Repair in Progress</x:v>
      </x:c>
      <x:c r="H3851" s="19" t="str">
        <x:v>In Field</x:v>
      </x:c>
      <x:c r="I3851" s="37" t="n">
        <x:v>46056</x:v>
      </x:c>
      <x:c r="J3851" s="37" t="n">
        <x:v>46056</x:v>
      </x:c>
      <x:c r="K3851" s="19" t="str">
        <x:v>Snowy River Launceston</x:v>
      </x:c>
      <x:c r="L3851" s="19" t="str">
        <x:v>Z006</x:v>
      </x:c>
      <x:c r="M3851" s="19" t="str">
        <x:v>In Field Warranty Claims</x:v>
      </x:c>
      <x:c r="N3851" s="37" t="n">
        <x:v>46055</x:v>
      </x:c>
      <x:c r="O3851" s="37"/>
      <x:c r="P3851" s="34" t="n">
        <x:v>0</x:v>
      </x:c>
      <x:c r="Q3851" s="37" t="n">
        <x:v>46056.06806712963</x:v>
      </x:c>
    </x:row>
    <x:row r="3852">
      <x:c r="A3852" s="22" t="n">
        <x:v>30543</x:v>
      </x:c>
      <x:c r="B3852" s="28" t="n">
        <x:v>410</x:v>
      </x:c>
      <x:c r="C3852" s="28" t="n">
        <x:v>371.21</x:v>
      </x:c>
      <x:c r="D3852" s="31" t="n">
        <x:f>IF(OR(ISBLANK(B3852),ISBLANK(C3852),B3852=0),"",(C3852-B3852)/B3852)</x:f>
        <x:v>-0.09460975609756103</x:v>
      </x:c>
      <x:c r="E3852" s="22" t="str">
        <x:f>IF(ISBLANK(C3852),"AmountIncludingTax缺失",IF(ABS(B3852-C3852)&lt;0.005,"一致","不一致"))</x:f>
        <x:v>不一致</x:v>
      </x:c>
      <x:c r="F3852" s="19" t="str">
        <x:v>approved</x:v>
      </x:c>
      <x:c r="G3852" s="19" t="str">
        <x:v>Repairer Invoiced Processed</x:v>
      </x:c>
      <x:c r="H3852" s="19" t="str">
        <x:v>In Field</x:v>
      </x:c>
      <x:c r="I3852" s="37" t="n">
        <x:v>46085</x:v>
      </x:c>
      <x:c r="J3852" s="37" t="n">
        <x:v>46085</x:v>
      </x:c>
      <x:c r="K3852" s="19" t="str">
        <x:v>Vanari Caravans - Christchurch</x:v>
      </x:c>
      <x:c r="L3852" s="19" t="str">
        <x:v>Z006</x:v>
      </x:c>
      <x:c r="M3852" s="19" t="str">
        <x:v>In Field Warranty Claims</x:v>
      </x:c>
      <x:c r="N3852" s="37" t="n">
        <x:v>46055</x:v>
      </x:c>
      <x:c r="O3852" s="37"/>
      <x:c r="P3852" s="34" t="n">
        <x:v>371.21</x:v>
      </x:c>
      <x:c r="Q3852" s="37" t="n">
        <x:v>46085.18546296296</x:v>
      </x:c>
    </x:row>
    <x:row r="3853">
      <x:c r="A3853" s="22" t="n">
        <x:v>30542</x:v>
      </x:c>
      <x:c r="B3853" s="28" t="n">
        <x:v>502.5</x:v>
      </x:c>
      <x:c r="C3853" s="28"/>
      <x:c r="D3853" s="31" t="str">
        <x:f>IF(OR(ISBLANK(B3853),ISBLANK(C3853),B3853=0),"",(C3853-B3853)/B3853)</x:f>
      </x:c>
      <x:c r="E3853" s="22" t="str">
        <x:f>IF(ISBLANK(C3853),"AmountIncludingTax缺失",IF(ABS(B3853-C3853)&lt;0.005,"一致","不一致"))</x:f>
        <x:v>AmountIncludingTax缺失</x:v>
      </x:c>
      <x:c r="F3853" s="19" t="str">
        <x:v>approved</x:v>
      </x:c>
      <x:c r="G3853" s="19" t="str">
        <x:v>Repairer Invoiced Processed</x:v>
      </x:c>
      <x:c r="H3853" s="19" t="str">
        <x:v>In Field</x:v>
      </x:c>
      <x:c r="I3853" s="37" t="n">
        <x:v>46071</x:v>
      </x:c>
      <x:c r="J3853" s="37" t="n">
        <x:v>46071</x:v>
      </x:c>
      <x:c r="K3853" s="19" t="str">
        <x:v>Regent RV Pty Ltd</x:v>
      </x:c>
      <x:c r="L3853" s="19" t="str">
        <x:v>Z006</x:v>
      </x:c>
      <x:c r="M3853" s="19" t="str">
        <x:v>In Field Warranty Claims</x:v>
      </x:c>
      <x:c r="N3853" s="37" t="n">
        <x:v>46055</x:v>
      </x:c>
      <x:c r="O3853" s="37"/>
      <x:c r="P3853" s="34" t="n">
        <x:v>0</x:v>
      </x:c>
      <x:c r="Q3853" s="37" t="n">
        <x:v>46071.18703703704</x:v>
      </x:c>
    </x:row>
    <x:row r="3854">
      <x:c r="A3854" s="22" t="n">
        <x:v>30541</x:v>
      </x:c>
      <x:c r="B3854" s="28" t="n">
        <x:v>55</x:v>
      </x:c>
      <x:c r="C3854" s="28"/>
      <x:c r="D3854" s="31" t="str">
        <x:f>IF(OR(ISBLANK(B3854),ISBLANK(C3854),B3854=0),"",(C3854-B3854)/B3854)</x:f>
      </x:c>
      <x:c r="E3854" s="22" t="str">
        <x:f>IF(ISBLANK(C3854),"AmountIncludingTax缺失",IF(ABS(B3854-C3854)&lt;0.005,"一致","不一致"))</x:f>
        <x:v>AmountIncludingTax缺失</x:v>
      </x:c>
      <x:c r="F3854" s="19" t="str">
        <x:v>approved</x:v>
      </x:c>
      <x:c r="G3854" s="19" t="str">
        <x:v>Repair in Progress</x:v>
      </x:c>
      <x:c r="H3854" s="19" t="str">
        <x:v>In Field</x:v>
      </x:c>
      <x:c r="I3854" s="37" t="n">
        <x:v>46100</x:v>
      </x:c>
      <x:c r="J3854" s="37" t="n">
        <x:v>46100</x:v>
      </x:c>
      <x:c r="K3854" s="19" t="str">
        <x:v>Regent RV - Perth</x:v>
      </x:c>
      <x:c r="L3854" s="19" t="str">
        <x:v>Z006</x:v>
      </x:c>
      <x:c r="M3854" s="19" t="str">
        <x:v>In Field Warranty Claims</x:v>
      </x:c>
      <x:c r="N3854" s="37" t="n">
        <x:v>46055</x:v>
      </x:c>
      <x:c r="O3854" s="37"/>
      <x:c r="P3854" s="34" t="n">
        <x:v>0</x:v>
      </x:c>
      <x:c r="Q3854" s="37" t="n">
        <x:v>46100.19065972222</x:v>
      </x:c>
    </x:row>
    <x:row r="3855">
      <x:c r="A3855" s="22" t="n">
        <x:v>30539</x:v>
      </x:c>
      <x:c r="B3855" s="28" t="n">
        <x:v>67.5</x:v>
      </x:c>
      <x:c r="C3855" s="28"/>
      <x:c r="D3855" s="31" t="str">
        <x:f>IF(OR(ISBLANK(B3855),ISBLANK(C3855),B3855=0),"",(C3855-B3855)/B3855)</x:f>
      </x:c>
      <x:c r="E3855" s="22" t="str">
        <x:f>IF(ISBLANK(C3855),"AmountIncludingTax缺失",IF(ABS(B3855-C3855)&lt;0.005,"一致","不一致"))</x:f>
        <x:v>AmountIncludingTax缺失</x:v>
      </x:c>
      <x:c r="F3855" s="19" t="str">
        <x:v>approved</x:v>
      </x:c>
      <x:c r="G3855" s="19" t="str">
        <x:v>Repair in Progress</x:v>
      </x:c>
      <x:c r="H3855" s="19" t="str">
        <x:v>Pre Delivery</x:v>
      </x:c>
      <x:c r="I3855" s="37" t="n">
        <x:v>46071</x:v>
      </x:c>
      <x:c r="J3855" s="37" t="n">
        <x:v>46071</x:v>
      </x:c>
      <x:c r="K3855" s="19" t="str">
        <x:v>Regent RV - Perth</x:v>
      </x:c>
      <x:c r="L3855" s="19" t="str">
        <x:v>Z005</x:v>
      </x:c>
      <x:c r="M3855" s="19" t="str">
        <x:v>Pre Delivery Warranty Claims</x:v>
      </x:c>
      <x:c r="N3855" s="37" t="n">
        <x:v>46055</x:v>
      </x:c>
      <x:c r="O3855" s="37"/>
      <x:c r="P3855" s="34" t="n">
        <x:v>0</x:v>
      </x:c>
      <x:c r="Q3855" s="37" t="n">
        <x:v>46070.938368055555</x:v>
      </x:c>
    </x:row>
    <x:row r="3856">
      <x:c r="A3856" s="22" t="n">
        <x:v>30538</x:v>
      </x:c>
      <x:c r="B3856" s="28" t="n">
        <x:v>202.5</x:v>
      </x:c>
      <x:c r="C3856" s="28"/>
      <x:c r="D3856" s="31" t="str">
        <x:f>IF(OR(ISBLANK(B3856),ISBLANK(C3856),B3856=0),"",(C3856-B3856)/B3856)</x:f>
      </x:c>
      <x:c r="E3856" s="22" t="str">
        <x:f>IF(ISBLANK(C3856),"AmountIncludingTax缺失",IF(ABS(B3856-C3856)&lt;0.005,"一致","不一致"))</x:f>
        <x:v>AmountIncludingTax缺失</x:v>
      </x:c>
      <x:c r="F3856" s="19" t="str">
        <x:v>approved</x:v>
      </x:c>
      <x:c r="G3856" s="19" t="str">
        <x:v>Repair in Progress</x:v>
      </x:c>
      <x:c r="H3856" s="19" t="str">
        <x:v>Pre Delivery</x:v>
      </x:c>
      <x:c r="I3856" s="37" t="n">
        <x:v>46071</x:v>
      </x:c>
      <x:c r="J3856" s="37" t="n">
        <x:v>46071</x:v>
      </x:c>
      <x:c r="K3856" s="19" t="str">
        <x:v>Regent RV - Perth</x:v>
      </x:c>
      <x:c r="L3856" s="19" t="str">
        <x:v>Z005</x:v>
      </x:c>
      <x:c r="M3856" s="19" t="str">
        <x:v>Pre Delivery Warranty Claims</x:v>
      </x:c>
      <x:c r="N3856" s="37" t="n">
        <x:v>46055</x:v>
      </x:c>
      <x:c r="O3856" s="37"/>
      <x:c r="P3856" s="34" t="n">
        <x:v>0</x:v>
      </x:c>
      <x:c r="Q3856" s="37" t="n">
        <x:v>46070.939155092594</x:v>
      </x:c>
    </x:row>
    <x:row r="3857">
      <x:c r="A3857" s="22" t="n">
        <x:v>30536</x:v>
      </x:c>
      <x:c r="B3857" s="28" t="n">
        <x:v>478.75</x:v>
      </x:c>
      <x:c r="C3857" s="28"/>
      <x:c r="D3857" s="31" t="str">
        <x:f>IF(OR(ISBLANK(B3857),ISBLANK(C3857),B3857=0),"",(C3857-B3857)/B3857)</x:f>
      </x:c>
      <x:c r="E3857" s="22" t="str">
        <x:f>IF(ISBLANK(C3857),"AmountIncludingTax缺失",IF(ABS(B3857-C3857)&lt;0.005,"一致","不一致"))</x:f>
        <x:v>AmountIncludingTax缺失</x:v>
      </x:c>
      <x:c r="F3857" s="19" t="str">
        <x:v>approved</x:v>
      </x:c>
      <x:c r="G3857" s="19" t="str">
        <x:v>Repairer Invoiced Processed</x:v>
      </x:c>
      <x:c r="H3857" s="19" t="str">
        <x:v>In Field</x:v>
      </x:c>
      <x:c r="I3857" s="37" t="n">
        <x:v>46071</x:v>
      </x:c>
      <x:c r="J3857" s="37" t="n">
        <x:v>46071</x:v>
      </x:c>
      <x:c r="K3857" s="19" t="str">
        <x:v>Bendigo Caravan Group - Bendigo</x:v>
      </x:c>
      <x:c r="L3857" s="19" t="str">
        <x:v>Z006</x:v>
      </x:c>
      <x:c r="M3857" s="19" t="str">
        <x:v>In Field Warranty Claims</x:v>
      </x:c>
      <x:c r="N3857" s="37" t="n">
        <x:v>46055</x:v>
      </x:c>
      <x:c r="O3857" s="37"/>
      <x:c r="P3857" s="34" t="n">
        <x:v>0</x:v>
      </x:c>
      <x:c r="Q3857" s="37" t="n">
        <x:v>46071.17518518519</x:v>
      </x:c>
    </x:row>
    <x:row r="3858">
      <x:c r="A3858" s="22" t="n">
        <x:v>30534</x:v>
      </x:c>
      <x:c r="B3858" s="28" t="n">
        <x:v>1288.41</x:v>
      </x:c>
      <x:c r="C3858" s="28"/>
      <x:c r="D3858" s="31" t="str">
        <x:f>IF(OR(ISBLANK(B3858),ISBLANK(C3858),B3858=0),"",(C3858-B3858)/B3858)</x:f>
      </x:c>
      <x:c r="E3858" s="22" t="str">
        <x:f>IF(ISBLANK(C3858),"AmountIncludingTax缺失",IF(ABS(B3858-C3858)&lt;0.005,"一致","不一致"))</x:f>
        <x:v>AmountIncludingTax缺失</x:v>
      </x:c>
      <x:c r="F3858" s="19" t="str">
        <x:v>approved</x:v>
      </x:c>
      <x:c r="G3858" s="19" t="str">
        <x:v>Repairer Invoiced Processed</x:v>
      </x:c>
      <x:c r="H3858" s="19" t="str">
        <x:v>In Field</x:v>
      </x:c>
      <x:c r="I3858" s="37" t="n">
        <x:v>46169</x:v>
      </x:c>
      <x:c r="J3858" s="37" t="n">
        <x:v>46169</x:v>
      </x:c>
      <x:c r="K3858" s="19" t="str">
        <x:v>Snowy River Launceston</x:v>
      </x:c>
      <x:c r="L3858" s="19" t="str">
        <x:v>Z006</x:v>
      </x:c>
      <x:c r="M3858" s="19" t="str">
        <x:v>In Field Warranty Claims</x:v>
      </x:c>
      <x:c r="N3858" s="37" t="n">
        <x:v>46055</x:v>
      </x:c>
      <x:c r="O3858" s="37"/>
      <x:c r="P3858" s="34" t="n">
        <x:v>1417.25</x:v>
      </x:c>
      <x:c r="Q3858" s="37" t="n">
        <x:v>46169.009664351855</x:v>
      </x:c>
    </x:row>
    <x:row r="3859">
      <x:c r="A3859" s="22" t="n">
        <x:v>30533</x:v>
      </x:c>
      <x:c r="B3859" s="28" t="n">
        <x:v>306.36</x:v>
      </x:c>
      <x:c r="C3859" s="28"/>
      <x:c r="D3859" s="31" t="str">
        <x:f>IF(OR(ISBLANK(B3859),ISBLANK(C3859),B3859=0),"",(C3859-B3859)/B3859)</x:f>
      </x:c>
      <x:c r="E3859" s="22" t="str">
        <x:f>IF(ISBLANK(C3859),"AmountIncludingTax缺失",IF(ABS(B3859-C3859)&lt;0.005,"一致","不一致"))</x:f>
        <x:v>AmountIncludingTax缺失</x:v>
      </x:c>
      <x:c r="F3859" s="19" t="str">
        <x:v>approved</x:v>
      </x:c>
      <x:c r="G3859" s="19" t="str">
        <x:v>Repairer Invoiced Processed</x:v>
      </x:c>
      <x:c r="H3859" s="19" t="str">
        <x:v>In Field</x:v>
      </x:c>
      <x:c r="I3859" s="37" t="n">
        <x:v>46097</x:v>
      </x:c>
      <x:c r="J3859" s="37" t="n">
        <x:v>46097</x:v>
      </x:c>
      <x:c r="K3859" s="19" t="str">
        <x:v>Lesiure Lion-New Castle</x:v>
      </x:c>
      <x:c r="L3859" s="19" t="str">
        <x:v>Z006</x:v>
      </x:c>
      <x:c r="M3859" s="19" t="str">
        <x:v>In Field Warranty Claims</x:v>
      </x:c>
      <x:c r="N3859" s="37" t="n">
        <x:v>46055</x:v>
      </x:c>
      <x:c r="O3859" s="37"/>
      <x:c r="P3859" s="34" t="n">
        <x:v>0</x:v>
      </x:c>
      <x:c r="Q3859" s="37" t="n">
        <x:v>46097.000127314815</x:v>
      </x:c>
    </x:row>
    <x:row r="3860">
      <x:c r="A3860" s="22" t="n">
        <x:v>30532</x:v>
      </x:c>
      <x:c r="B3860" s="28" t="n">
        <x:v>752</x:v>
      </x:c>
      <x:c r="C3860" s="28" t="n">
        <x:v>680.86</x:v>
      </x:c>
      <x:c r="D3860" s="31" t="n">
        <x:f>IF(OR(ISBLANK(B3860),ISBLANK(C3860),B3860=0),"",(C3860-B3860)/B3860)</x:f>
        <x:v>-0.09460106382978721</x:v>
      </x:c>
      <x:c r="E3860" s="22" t="str">
        <x:f>IF(ISBLANK(C3860),"AmountIncludingTax缺失",IF(ABS(B3860-C3860)&lt;0.005,"一致","不一致"))</x:f>
        <x:v>不一致</x:v>
      </x:c>
      <x:c r="F3860" s="19" t="str">
        <x:v>approved</x:v>
      </x:c>
      <x:c r="G3860" s="19" t="str">
        <x:v>Repairer Invoiced Processed</x:v>
      </x:c>
      <x:c r="H3860" s="19" t="str">
        <x:v>In Field</x:v>
      </x:c>
      <x:c r="I3860" s="37" t="n">
        <x:v>46085</x:v>
      </x:c>
      <x:c r="J3860" s="37" t="n">
        <x:v>46085</x:v>
      </x:c>
      <x:c r="K3860" s="19" t="str">
        <x:v>Vanari Caravans - Marden Point</x:v>
      </x:c>
      <x:c r="L3860" s="19" t="str">
        <x:v>Z006</x:v>
      </x:c>
      <x:c r="M3860" s="19" t="str">
        <x:v>In Field Warranty Claims</x:v>
      </x:c>
      <x:c r="N3860" s="37" t="n">
        <x:v>46055</x:v>
      </x:c>
      <x:c r="O3860" s="37"/>
      <x:c r="P3860" s="34" t="n">
        <x:v>680.86</x:v>
      </x:c>
      <x:c r="Q3860" s="37" t="n">
        <x:v>46085.19537037037</x:v>
      </x:c>
    </x:row>
    <x:row r="3861">
      <x:c r="A3861" s="22" t="n">
        <x:v>30531</x:v>
      </x:c>
      <x:c r="B3861" s="28" t="n">
        <x:v>135</x:v>
      </x:c>
      <x:c r="C3861" s="28"/>
      <x:c r="D3861" s="31" t="str">
        <x:f>IF(OR(ISBLANK(B3861),ISBLANK(C3861),B3861=0),"",(C3861-B3861)/B3861)</x:f>
      </x:c>
      <x:c r="E3861" s="22" t="str">
        <x:f>IF(ISBLANK(C3861),"AmountIncludingTax缺失",IF(ABS(B3861-C3861)&lt;0.005,"一致","不一致"))</x:f>
        <x:v>AmountIncludingTax缺失</x:v>
      </x:c>
      <x:c r="F3861" s="19" t="str">
        <x:v>approved</x:v>
      </x:c>
      <x:c r="G3861" s="19" t="str">
        <x:v>Repair in Progress</x:v>
      </x:c>
      <x:c r="H3861" s="19" t="str">
        <x:v>Pre Delivery</x:v>
      </x:c>
      <x:c r="I3861" s="37" t="n">
        <x:v>46071</x:v>
      </x:c>
      <x:c r="J3861" s="37" t="n">
        <x:v>46071</x:v>
      </x:c>
      <x:c r="K3861" s="19" t="str">
        <x:v>Snowy River Frankston</x:v>
      </x:c>
      <x:c r="L3861" s="19" t="str">
        <x:v>Z005</x:v>
      </x:c>
      <x:c r="M3861" s="19" t="str">
        <x:v>Pre Delivery Warranty Claims</x:v>
      </x:c>
      <x:c r="N3861" s="37" t="n">
        <x:v>46055</x:v>
      </x:c>
      <x:c r="O3861" s="37"/>
      <x:c r="P3861" s="34" t="n">
        <x:v>0</x:v>
      </x:c>
      <x:c r="Q3861" s="37" t="n">
        <x:v>46071.21184027778</x:v>
      </x:c>
    </x:row>
    <x:row r="3862">
      <x:c r="A3862" s="22" t="n">
        <x:v>30528</x:v>
      </x:c>
      <x:c r="B3862" s="28" t="n">
        <x:v>675</x:v>
      </x:c>
      <x:c r="C3862" s="28"/>
      <x:c r="D3862" s="31" t="str">
        <x:f>IF(OR(ISBLANK(B3862),ISBLANK(C3862),B3862=0),"",(C3862-B3862)/B3862)</x:f>
      </x:c>
      <x:c r="E3862" s="22" t="str">
        <x:f>IF(ISBLANK(C3862),"AmountIncludingTax缺失",IF(ABS(B3862-C3862)&lt;0.005,"一致","不一致"))</x:f>
        <x:v>AmountIncludingTax缺失</x:v>
      </x:c>
      <x:c r="F3862" s="19" t="str">
        <x:v>approved</x:v>
      </x:c>
      <x:c r="G3862" s="19" t="str">
        <x:v>Repair in Progress</x:v>
      </x:c>
      <x:c r="H3862" s="19" t="str">
        <x:v>Pre Delivery</x:v>
      </x:c>
      <x:c r="I3862" s="37" t="n">
        <x:v>46066</x:v>
      </x:c>
      <x:c r="J3862" s="37" t="n">
        <x:v>46066</x:v>
      </x:c>
      <x:c r="K3862" s="19" t="str">
        <x:v>Snowy River Frankston</x:v>
      </x:c>
      <x:c r="L3862" s="19" t="str">
        <x:v>Z005</x:v>
      </x:c>
      <x:c r="M3862" s="19" t="str">
        <x:v>Pre Delivery Warranty Claims</x:v>
      </x:c>
      <x:c r="N3862" s="37" t="n">
        <x:v>46055</x:v>
      </x:c>
      <x:c r="O3862" s="37"/>
      <x:c r="P3862" s="34" t="n">
        <x:v>0</x:v>
      </x:c>
      <x:c r="Q3862" s="37" t="n">
        <x:v>46066.04255787037</x:v>
      </x:c>
    </x:row>
    <x:row r="3863">
      <x:c r="A3863" s="22" t="n">
        <x:v>30527</x:v>
      </x:c>
      <x:c r="B3863" s="28" t="n">
        <x:v>135</x:v>
      </x:c>
      <x:c r="C3863" s="28"/>
      <x:c r="D3863" s="31" t="str">
        <x:f>IF(OR(ISBLANK(B3863),ISBLANK(C3863),B3863=0),"",(C3863-B3863)/B3863)</x:f>
      </x:c>
      <x:c r="E3863" s="22" t="str">
        <x:f>IF(ISBLANK(C3863),"AmountIncludingTax缺失",IF(ABS(B3863-C3863)&lt;0.005,"一致","不一致"))</x:f>
        <x:v>AmountIncludingTax缺失</x:v>
      </x:c>
      <x:c r="F3863" s="19" t="str">
        <x:v>approved</x:v>
      </x:c>
      <x:c r="G3863" s="19" t="str">
        <x:v>Repair in Progress</x:v>
      </x:c>
      <x:c r="H3863" s="19" t="str">
        <x:v>Pre Delivery</x:v>
      </x:c>
      <x:c r="I3863" s="37" t="n">
        <x:v>46071</x:v>
      </x:c>
      <x:c r="J3863" s="37" t="n">
        <x:v>46071</x:v>
      </x:c>
      <x:c r="K3863" s="19" t="str">
        <x:v>Snowy River Frankston</x:v>
      </x:c>
      <x:c r="L3863" s="19" t="str">
        <x:v>Z005</x:v>
      </x:c>
      <x:c r="M3863" s="19" t="str">
        <x:v>Pre Delivery Warranty Claims</x:v>
      </x:c>
      <x:c r="N3863" s="37" t="n">
        <x:v>46055</x:v>
      </x:c>
      <x:c r="O3863" s="37"/>
      <x:c r="P3863" s="34" t="n">
        <x:v>0</x:v>
      </x:c>
      <x:c r="Q3863" s="37" t="n">
        <x:v>46071.21747685185</x:v>
      </x:c>
    </x:row>
    <x:row r="3864">
      <x:c r="A3864" s="22" t="n">
        <x:v>30526</x:v>
      </x:c>
      <x:c r="B3864" s="28" t="n">
        <x:v>945</x:v>
      </x:c>
      <x:c r="C3864" s="28"/>
      <x:c r="D3864" s="31" t="str">
        <x:f>IF(OR(ISBLANK(B3864),ISBLANK(C3864),B3864=0),"",(C3864-B3864)/B3864)</x:f>
      </x:c>
      <x:c r="E3864" s="22" t="str">
        <x:f>IF(ISBLANK(C3864),"AmountIncludingTax缺失",IF(ABS(B3864-C3864)&lt;0.005,"一致","不一致"))</x:f>
        <x:v>AmountIncludingTax缺失</x:v>
      </x:c>
      <x:c r="F3864" s="19" t="str">
        <x:v>approved</x:v>
      </x:c>
      <x:c r="G3864" s="19" t="str">
        <x:v>Repair in Progress</x:v>
      </x:c>
      <x:c r="H3864" s="19" t="str">
        <x:v>In Field</x:v>
      </x:c>
      <x:c r="I3864" s="37" t="n">
        <x:v>46077</x:v>
      </x:c>
      <x:c r="J3864" s="37" t="n">
        <x:v>46077</x:v>
      </x:c>
      <x:c r="K3864" s="19" t="str">
        <x:v>Snowy River Launceston</x:v>
      </x:c>
      <x:c r="L3864" s="19" t="str">
        <x:v>Z006</x:v>
      </x:c>
      <x:c r="M3864" s="19" t="str">
        <x:v>In Field Warranty Claims</x:v>
      </x:c>
      <x:c r="N3864" s="37" t="n">
        <x:v>46055</x:v>
      </x:c>
      <x:c r="O3864" s="37"/>
      <x:c r="P3864" s="34" t="n">
        <x:v>0</x:v>
      </x:c>
      <x:c r="Q3864" s="37" t="n">
        <x:v>46077.22917824074</x:v>
      </x:c>
    </x:row>
    <x:row r="3865">
      <x:c r="A3865" s="22" t="n">
        <x:v>30523</x:v>
      </x:c>
      <x:c r="B3865" s="28" t="n">
        <x:v>135</x:v>
      </x:c>
      <x:c r="C3865" s="28"/>
      <x:c r="D3865" s="31" t="str">
        <x:f>IF(OR(ISBLANK(B3865),ISBLANK(C3865),B3865=0),"",(C3865-B3865)/B3865)</x:f>
      </x:c>
      <x:c r="E3865" s="22" t="str">
        <x:f>IF(ISBLANK(C3865),"AmountIncludingTax缺失",IF(ABS(B3865-C3865)&lt;0.005,"一致","不一致"))</x:f>
        <x:v>AmountIncludingTax缺失</x:v>
      </x:c>
      <x:c r="F3865" s="19" t="str">
        <x:v>approved</x:v>
      </x:c>
      <x:c r="G3865" s="19" t="str">
        <x:v>Repair in Progress</x:v>
      </x:c>
      <x:c r="H3865" s="19" t="str">
        <x:v>Pre Delivery</x:v>
      </x:c>
      <x:c r="I3865" s="37" t="n">
        <x:v>46062</x:v>
      </x:c>
      <x:c r="J3865" s="37" t="n">
        <x:v>46062</x:v>
      </x:c>
      <x:c r="K3865" s="19" t="str">
        <x:v>Snowy River Frankston</x:v>
      </x:c>
      <x:c r="L3865" s="19" t="str">
        <x:v>Z005</x:v>
      </x:c>
      <x:c r="M3865" s="19" t="str">
        <x:v>Pre Delivery Warranty Claims</x:v>
      </x:c>
      <x:c r="N3865" s="37" t="n">
        <x:v>46055</x:v>
      </x:c>
      <x:c r="O3865" s="37"/>
      <x:c r="P3865" s="34" t="n">
        <x:v>0</x:v>
      </x:c>
      <x:c r="Q3865" s="37" t="n">
        <x:v>46061.94155092593</x:v>
      </x:c>
    </x:row>
    <x:row r="3866">
      <x:c r="A3866" s="22" t="n">
        <x:v>30521</x:v>
      </x:c>
      <x:c r="B3866" s="28" t="n">
        <x:v>202.5</x:v>
      </x:c>
      <x:c r="C3866" s="28"/>
      <x:c r="D3866" s="31" t="str">
        <x:f>IF(OR(ISBLANK(B3866),ISBLANK(C3866),B3866=0),"",(C3866-B3866)/B3866)</x:f>
      </x:c>
      <x:c r="E3866" s="22" t="str">
        <x:f>IF(ISBLANK(C3866),"AmountIncludingTax缺失",IF(ABS(B3866-C3866)&lt;0.005,"一致","不一致"))</x:f>
        <x:v>AmountIncludingTax缺失</x:v>
      </x:c>
      <x:c r="F3866" s="19" t="str">
        <x:v>approved</x:v>
      </x:c>
      <x:c r="G3866" s="19" t="str">
        <x:v>Repair in Progress</x:v>
      </x:c>
      <x:c r="H3866" s="19" t="str">
        <x:v>Pre Delivery</x:v>
      </x:c>
      <x:c r="I3866" s="37" t="n">
        <x:v>46072</x:v>
      </x:c>
      <x:c r="J3866" s="37" t="n">
        <x:v>46072</x:v>
      </x:c>
      <x:c r="K3866" s="19" t="str">
        <x:v>Snowy River Frankston</x:v>
      </x:c>
      <x:c r="L3866" s="19" t="str">
        <x:v>Z005</x:v>
      </x:c>
      <x:c r="M3866" s="19" t="str">
        <x:v>Pre Delivery Warranty Claims</x:v>
      </x:c>
      <x:c r="N3866" s="37" t="n">
        <x:v>46055</x:v>
      </x:c>
      <x:c r="O3866" s="37"/>
      <x:c r="P3866" s="34" t="n">
        <x:v>0</x:v>
      </x:c>
      <x:c r="Q3866" s="37" t="n">
        <x:v>46071.91376157408</x:v>
      </x:c>
    </x:row>
    <x:row r="3867">
      <x:c r="A3867" s="22" t="n">
        <x:v>30520</x:v>
      </x:c>
      <x:c r="B3867" s="28" t="n">
        <x:v>526.25</x:v>
      </x:c>
      <x:c r="C3867" s="28"/>
      <x:c r="D3867" s="31" t="str">
        <x:f>IF(OR(ISBLANK(B3867),ISBLANK(C3867),B3867=0),"",(C3867-B3867)/B3867)</x:f>
      </x:c>
      <x:c r="E3867" s="22" t="str">
        <x:f>IF(ISBLANK(C3867),"AmountIncludingTax缺失",IF(ABS(B3867-C3867)&lt;0.005,"一致","不一致"))</x:f>
        <x:v>AmountIncludingTax缺失</x:v>
      </x:c>
      <x:c r="F3867" s="19" t="str">
        <x:v>approved</x:v>
      </x:c>
      <x:c r="G3867" s="19" t="str">
        <x:v>Repairer Invoiced Processed</x:v>
      </x:c>
      <x:c r="H3867" s="19" t="str">
        <x:v>In Field</x:v>
      </x:c>
      <x:c r="I3867" s="37" t="n">
        <x:v>46092</x:v>
      </x:c>
      <x:c r="J3867" s="37" t="n">
        <x:v>46092</x:v>
      </x:c>
      <x:c r="K3867" s="19" t="str">
        <x:v>Regent RV - Toowoomba</x:v>
      </x:c>
      <x:c r="L3867" s="19" t="str">
        <x:v>Z006</x:v>
      </x:c>
      <x:c r="M3867" s="19" t="str">
        <x:v>In Field Warranty Claims</x:v>
      </x:c>
      <x:c r="N3867" s="37" t="n">
        <x:v>46055</x:v>
      </x:c>
      <x:c r="O3867" s="37"/>
      <x:c r="P3867" s="34" t="n">
        <x:v>0</x:v>
      </x:c>
      <x:c r="Q3867" s="37" t="n">
        <x:v>46092.1940625</x:v>
      </x:c>
    </x:row>
    <x:row r="3868">
      <x:c r="A3868" s="22" t="n">
        <x:v>30519</x:v>
      </x:c>
      <x:c r="B3868" s="28" t="n">
        <x:v>420.41</x:v>
      </x:c>
      <x:c r="C3868" s="28" t="n">
        <x:v>462.45</x:v>
      </x:c>
      <x:c r="D3868" s="31" t="n">
        <x:f>IF(OR(ISBLANK(B3868),ISBLANK(C3868),B3868=0),"",(C3868-B3868)/B3868)</x:f>
        <x:v>0.09999762136961528</x:v>
      </x:c>
      <x:c r="E3868" s="22" t="str">
        <x:f>IF(ISBLANK(C3868),"AmountIncludingTax缺失",IF(ABS(B3868-C3868)&lt;0.005,"一致","不一致"))</x:f>
        <x:v>不一致</x:v>
      </x:c>
      <x:c r="F3868" s="19" t="str">
        <x:v>approved</x:v>
      </x:c>
      <x:c r="G3868" s="19" t="str">
        <x:v>Repair in Progress</x:v>
      </x:c>
      <x:c r="H3868" s="19" t="str">
        <x:v>In Field</x:v>
      </x:c>
      <x:c r="I3868" s="37" t="n">
        <x:v>46169</x:v>
      </x:c>
      <x:c r="J3868" s="37" t="n">
        <x:v>46169</x:v>
      </x:c>
      <x:c r="K3868" s="19" t="str">
        <x:v>Regent RV - Perth</x:v>
      </x:c>
      <x:c r="L3868" s="19" t="str">
        <x:v>Z006</x:v>
      </x:c>
      <x:c r="M3868" s="19" t="str">
        <x:v>In Field Warranty Claims</x:v>
      </x:c>
      <x:c r="N3868" s="37" t="n">
        <x:v>46055</x:v>
      </x:c>
      <x:c r="O3868" s="37"/>
      <x:c r="P3868" s="34" t="n">
        <x:v>462.45</x:v>
      </x:c>
      <x:c r="Q3868" s="37" t="n">
        <x:v>46169.221238425926</x:v>
      </x:c>
    </x:row>
    <x:row r="3869">
      <x:c r="A3869" s="22" t="n">
        <x:v>30516</x:v>
      </x:c>
      <x:c r="B3869" s="28" t="n">
        <x:v>135</x:v>
      </x:c>
      <x:c r="C3869" s="28"/>
      <x:c r="D3869" s="31" t="str">
        <x:f>IF(OR(ISBLANK(B3869),ISBLANK(C3869),B3869=0),"",(C3869-B3869)/B3869)</x:f>
      </x:c>
      <x:c r="E3869" s="22" t="str">
        <x:f>IF(ISBLANK(C3869),"AmountIncludingTax缺失",IF(ABS(B3869-C3869)&lt;0.005,"一致","不一致"))</x:f>
        <x:v>AmountIncludingTax缺失</x:v>
      </x:c>
      <x:c r="F3869" s="19" t="str">
        <x:v>approved</x:v>
      </x:c>
      <x:c r="G3869" s="19" t="str">
        <x:v>Repairer Invoiced Processed</x:v>
      </x:c>
      <x:c r="H3869" s="19" t="str">
        <x:v>In Field</x:v>
      </x:c>
      <x:c r="I3869" s="37" t="n">
        <x:v>46066</x:v>
      </x:c>
      <x:c r="J3869" s="37" t="n">
        <x:v>46066</x:v>
      </x:c>
      <x:c r="K3869" s="19" t="str">
        <x:v>Regent RV Pty Ltd</x:v>
      </x:c>
      <x:c r="L3869" s="19" t="str">
        <x:v>Z006</x:v>
      </x:c>
      <x:c r="M3869" s="19" t="str">
        <x:v>In Field Warranty Claims</x:v>
      </x:c>
      <x:c r="N3869" s="37" t="n">
        <x:v>46054</x:v>
      </x:c>
      <x:c r="O3869" s="37"/>
      <x:c r="P3869" s="34" t="n">
        <x:v>0</x:v>
      </x:c>
      <x:c r="Q3869" s="37" t="n">
        <x:v>46066.08451388889</x:v>
      </x:c>
    </x:row>
    <x:row r="3870">
      <x:c r="A3870" s="22" t="n">
        <x:v>30515</x:v>
      </x:c>
      <x:c r="B3870" s="28" t="n">
        <x:v>689.09</x:v>
      </x:c>
      <x:c r="C3870" s="28"/>
      <x:c r="D3870" s="31" t="str">
        <x:f>IF(OR(ISBLANK(B3870),ISBLANK(C3870),B3870=0),"",(C3870-B3870)/B3870)</x:f>
      </x:c>
      <x:c r="E3870" s="22" t="str">
        <x:f>IF(ISBLANK(C3870),"AmountIncludingTax缺失",IF(ABS(B3870-C3870)&lt;0.005,"一致","不一致"))</x:f>
        <x:v>AmountIncludingTax缺失</x:v>
      </x:c>
      <x:c r="F3870" s="19" t="str">
        <x:v>approved</x:v>
      </x:c>
      <x:c r="G3870" s="19" t="str">
        <x:v>Repairer Invoiced Processed</x:v>
      </x:c>
      <x:c r="H3870" s="19" t="str">
        <x:v>In Field</x:v>
      </x:c>
      <x:c r="I3870" s="37" t="n">
        <x:v>46056</x:v>
      </x:c>
      <x:c r="J3870" s="37" t="n">
        <x:v>46056</x:v>
      </x:c>
      <x:c r="K3870" s="19" t="str">
        <x:v>Vanari Caravans - Marden Point</x:v>
      </x:c>
      <x:c r="L3870" s="19" t="str">
        <x:v>Z006</x:v>
      </x:c>
      <x:c r="M3870" s="19" t="str">
        <x:v>In Field Warranty Claims</x:v>
      </x:c>
      <x:c r="N3870" s="37" t="n">
        <x:v>46054</x:v>
      </x:c>
      <x:c r="O3870" s="37"/>
      <x:c r="P3870" s="34" t="n">
        <x:v>0</x:v>
      </x:c>
      <x:c r="Q3870" s="37" t="n">
        <x:v>46056.28707175926</x:v>
      </x:c>
    </x:row>
    <x:row r="3871">
      <x:c r="A3871" s="22" t="n">
        <x:v>30513</x:v>
      </x:c>
      <x:c r="B3871" s="28" t="n">
        <x:v>727.5</x:v>
      </x:c>
      <x:c r="C3871" s="28" t="n">
        <x:v>658.68</x:v>
      </x:c>
      <x:c r="D3871" s="31" t="n">
        <x:f>IF(OR(ISBLANK(B3871),ISBLANK(C3871),B3871=0),"",(C3871-B3871)/B3871)</x:f>
        <x:v>-0.09459793814432997</x:v>
      </x:c>
      <x:c r="E3871" s="22" t="str">
        <x:f>IF(ISBLANK(C3871),"AmountIncludingTax缺失",IF(ABS(B3871-C3871)&lt;0.005,"一致","不一致"))</x:f>
        <x:v>不一致</x:v>
      </x:c>
      <x:c r="F3871" s="19" t="str">
        <x:v>approved</x:v>
      </x:c>
      <x:c r="G3871" s="19" t="str">
        <x:v>Repairer Invoiced Processed</x:v>
      </x:c>
      <x:c r="H3871" s="19" t="str">
        <x:v>In Field</x:v>
      </x:c>
      <x:c r="I3871" s="37" t="n">
        <x:v>46174</x:v>
      </x:c>
      <x:c r="J3871" s="37" t="n">
        <x:v>46098</x:v>
      </x:c>
      <x:c r="K3871" s="19" t="str">
        <x:v>Vanari Caravans - Marden Point</x:v>
      </x:c>
      <x:c r="L3871" s="19" t="str">
        <x:v>Z006</x:v>
      </x:c>
      <x:c r="M3871" s="19" t="str">
        <x:v>In Field Warranty Claims</x:v>
      </x:c>
      <x:c r="N3871" s="37" t="n">
        <x:v>46054</x:v>
      </x:c>
      <x:c r="O3871" s="37"/>
      <x:c r="P3871" s="34" t="n">
        <x:v>658.68</x:v>
      </x:c>
      <x:c r="Q3871" s="37" t="n">
        <x:v>46174.170381944445</x:v>
      </x:c>
    </x:row>
    <x:row r="3872">
      <x:c r="A3872" s="22" t="n">
        <x:v>30512</x:v>
      </x:c>
      <x:c r="B3872" s="28" t="n">
        <x:v>472.5</x:v>
      </x:c>
      <x:c r="C3872" s="28"/>
      <x:c r="D3872" s="31" t="str">
        <x:f>IF(OR(ISBLANK(B3872),ISBLANK(C3872),B3872=0),"",(C3872-B3872)/B3872)</x:f>
      </x:c>
      <x:c r="E3872" s="22" t="str">
        <x:f>IF(ISBLANK(C3872),"AmountIncludingTax缺失",IF(ABS(B3872-C3872)&lt;0.005,"一致","不一致"))</x:f>
        <x:v>AmountIncludingTax缺失</x:v>
      </x:c>
      <x:c r="F3872" s="19" t="str">
        <x:v>approved</x:v>
      </x:c>
      <x:c r="G3872" s="19" t="str">
        <x:v>Repair in Progress</x:v>
      </x:c>
      <x:c r="H3872" s="19" t="str">
        <x:v>In Field</x:v>
      </x:c>
      <x:c r="I3872" s="37" t="n">
        <x:v>46169</x:v>
      </x:c>
      <x:c r="J3872" s="37" t="n">
        <x:v>46168</x:v>
      </x:c>
      <x:c r="K3872" s="19" t="str">
        <x:v>Regent RV - Perth</x:v>
      </x:c>
      <x:c r="L3872" s="19" t="str">
        <x:v>Z006</x:v>
      </x:c>
      <x:c r="M3872" s="19" t="str">
        <x:v>In Field Warranty Claims</x:v>
      </x:c>
      <x:c r="N3872" s="37" t="n">
        <x:v>46054</x:v>
      </x:c>
      <x:c r="O3872" s="37" t="n">
        <x:v>46150</x:v>
      </x:c>
      <x:c r="P3872" s="34" t="n">
        <x:v>0</x:v>
      </x:c>
      <x:c r="Q3872" s="37" t="n">
        <x:v>46168.91353009259</x:v>
      </x:c>
    </x:row>
    <x:row r="3873">
      <x:c r="A3873" s="22" t="n">
        <x:v>30504</x:v>
      </x:c>
      <x:c r="B3873" s="28" t="n">
        <x:v>247.5</x:v>
      </x:c>
      <x:c r="C3873" s="28"/>
      <x:c r="D3873" s="31" t="str">
        <x:f>IF(OR(ISBLANK(B3873),ISBLANK(C3873),B3873=0),"",(C3873-B3873)/B3873)</x:f>
      </x:c>
      <x:c r="E3873" s="22" t="str">
        <x:f>IF(ISBLANK(C3873),"AmountIncludingTax缺失",IF(ABS(B3873-C3873)&lt;0.005,"一致","不一致"))</x:f>
        <x:v>AmountIncludingTax缺失</x:v>
      </x:c>
      <x:c r="F3873" s="19" t="str">
        <x:v>approved</x:v>
      </x:c>
      <x:c r="G3873" s="19" t="str">
        <x:v>Repair in Progress</x:v>
      </x:c>
      <x:c r="H3873" s="19" t="str">
        <x:v>In Field</x:v>
      </x:c>
      <x:c r="I3873" s="37" t="n">
        <x:v>46062</x:v>
      </x:c>
      <x:c r="J3873" s="37" t="n">
        <x:v>46062</x:v>
      </x:c>
      <x:c r="K3873" s="19" t="str">
        <x:v>Regent RV - Perth</x:v>
      </x:c>
      <x:c r="L3873" s="19" t="str">
        <x:v>Z006</x:v>
      </x:c>
      <x:c r="M3873" s="19" t="str">
        <x:v>In Field Warranty Claims</x:v>
      </x:c>
      <x:c r="N3873" s="37" t="n">
        <x:v>46055</x:v>
      </x:c>
      <x:c r="O3873" s="37"/>
      <x:c r="P3873" s="34" t="n">
        <x:v>0</x:v>
      </x:c>
      <x:c r="Q3873" s="37" t="n">
        <x:v>46061.93274305556</x:v>
      </x:c>
    </x:row>
    <x:row r="3874">
      <x:c r="A3874" s="22" t="n">
        <x:v>30503</x:v>
      </x:c>
      <x:c r="B3874" s="28" t="n">
        <x:v>472.5</x:v>
      </x:c>
      <x:c r="C3874" s="28"/>
      <x:c r="D3874" s="31" t="str">
        <x:f>IF(OR(ISBLANK(B3874),ISBLANK(C3874),B3874=0),"",(C3874-B3874)/B3874)</x:f>
      </x:c>
      <x:c r="E3874" s="22" t="str">
        <x:f>IF(ISBLANK(C3874),"AmountIncludingTax缺失",IF(ABS(B3874-C3874)&lt;0.005,"一致","不一致"))</x:f>
        <x:v>AmountIncludingTax缺失</x:v>
      </x:c>
      <x:c r="F3874" s="19" t="str">
        <x:v>approved</x:v>
      </x:c>
      <x:c r="G3874" s="19" t="str">
        <x:v>Repair in Progress</x:v>
      </x:c>
      <x:c r="H3874" s="19" t="str">
        <x:v>In Field</x:v>
      </x:c>
      <x:c r="I3874" s="37" t="n">
        <x:v>46155</x:v>
      </x:c>
      <x:c r="J3874" s="37" t="n">
        <x:v>46155</x:v>
      </x:c>
      <x:c r="K3874" s="19" t="str">
        <x:v>Green RV - Forest Glen</x:v>
      </x:c>
      <x:c r="L3874" s="19" t="str">
        <x:v>Z006</x:v>
      </x:c>
      <x:c r="M3874" s="19" t="str">
        <x:v>In Field Warranty Claims</x:v>
      </x:c>
      <x:c r="N3874" s="37" t="n">
        <x:v>46054</x:v>
      </x:c>
      <x:c r="O3874" s="37"/>
      <x:c r="P3874" s="34" t="n">
        <x:v>0</x:v>
      </x:c>
      <x:c r="Q3874" s="37" t="n">
        <x:v>46155.52732638889</x:v>
      </x:c>
    </x:row>
    <x:row r="3875">
      <x:c r="A3875" s="22" t="n">
        <x:v>30502</x:v>
      </x:c>
      <x:c r="B3875" s="28" t="n">
        <x:v>231.82</x:v>
      </x:c>
      <x:c r="C3875" s="28" t="n">
        <x:v>255</x:v>
      </x:c>
      <x:c r="D3875" s="31" t="n">
        <x:f>IF(OR(ISBLANK(B3875),ISBLANK(C3875),B3875=0),"",(C3875-B3875)/B3875)</x:f>
        <x:v>0.09999137261668539</x:v>
      </x:c>
      <x:c r="E3875" s="22" t="str">
        <x:f>IF(ISBLANK(C3875),"AmountIncludingTax缺失",IF(ABS(B3875-C3875)&lt;0.005,"一致","不一致"))</x:f>
        <x:v>不一致</x:v>
      </x:c>
      <x:c r="F3875" s="19" t="str">
        <x:v>approved</x:v>
      </x:c>
      <x:c r="G3875" s="19" t="str">
        <x:v>Repair in Progress</x:v>
      </x:c>
      <x:c r="H3875" s="19" t="str">
        <x:v>In Field</x:v>
      </x:c>
      <x:c r="I3875" s="37" t="n">
        <x:v>46192</x:v>
      </x:c>
      <x:c r="J3875" s="37" t="n">
        <x:v>46192</x:v>
      </x:c>
      <x:c r="K3875" s="19" t="str">
        <x:v>Green RV - Forest Glen</x:v>
      </x:c>
      <x:c r="L3875" s="19" t="str">
        <x:v>Z006</x:v>
      </x:c>
      <x:c r="M3875" s="19" t="str">
        <x:v>In Field Warranty Claims</x:v>
      </x:c>
      <x:c r="N3875" s="37" t="n">
        <x:v>46054</x:v>
      </x:c>
      <x:c r="O3875" s="37"/>
      <x:c r="P3875" s="34" t="n">
        <x:v>255</x:v>
      </x:c>
      <x:c r="Q3875" s="37" t="n">
        <x:v>46192.02512731482</x:v>
      </x:c>
    </x:row>
    <x:row r="3876">
      <x:c r="A3876" s="22" t="n">
        <x:v>30500</x:v>
      </x:c>
      <x:c r="B3876" s="28" t="n">
        <x:v>600</x:v>
      </x:c>
      <x:c r="C3876" s="28" t="n">
        <x:v>660</x:v>
      </x:c>
      <x:c r="D3876" s="31" t="n">
        <x:f>IF(OR(ISBLANK(B3876),ISBLANK(C3876),B3876=0),"",(C3876-B3876)/B3876)</x:f>
        <x:v>0.1</x:v>
      </x:c>
      <x:c r="E3876" s="22" t="str">
        <x:f>IF(ISBLANK(C3876),"AmountIncludingTax缺失",IF(ABS(B3876-C3876)&lt;0.005,"一致","不一致"))</x:f>
        <x:v>不一致</x:v>
      </x:c>
      <x:c r="F3876" s="19" t="str">
        <x:v>approved</x:v>
      </x:c>
      <x:c r="G3876" s="19" t="str">
        <x:v>Repairer Invoiced Processed</x:v>
      </x:c>
      <x:c r="H3876" s="19" t="str">
        <x:v>In Field</x:v>
      </x:c>
      <x:c r="I3876" s="37" t="n">
        <x:v>46122</x:v>
      </x:c>
      <x:c r="J3876" s="37" t="n">
        <x:v>46122</x:v>
      </x:c>
      <x:c r="K3876" s="19" t="str">
        <x:v>Regent RV - Perth</x:v>
      </x:c>
      <x:c r="L3876" s="19" t="str">
        <x:v>Z006</x:v>
      </x:c>
      <x:c r="M3876" s="19" t="str">
        <x:v>In Field Warranty Claims</x:v>
      </x:c>
      <x:c r="N3876" s="37" t="n">
        <x:v>46054</x:v>
      </x:c>
      <x:c r="O3876" s="37" t="n">
        <x:v>46108</x:v>
      </x:c>
      <x:c r="P3876" s="34" t="n">
        <x:v>660</x:v>
      </x:c>
      <x:c r="Q3876" s="37" t="n">
        <x:v>46122.24146990741</x:v>
      </x:c>
    </x:row>
    <x:row r="3877">
      <x:c r="A3877" s="22" t="n">
        <x:v>30499</x:v>
      </x:c>
      <x:c r="B3877" s="28" t="n">
        <x:v>82.5</x:v>
      </x:c>
      <x:c r="C3877" s="28"/>
      <x:c r="D3877" s="31" t="str">
        <x:f>IF(OR(ISBLANK(B3877),ISBLANK(C3877),B3877=0),"",(C3877-B3877)/B3877)</x:f>
      </x:c>
      <x:c r="E3877" s="22" t="str">
        <x:f>IF(ISBLANK(C3877),"AmountIncludingTax缺失",IF(ABS(B3877-C3877)&lt;0.005,"一致","不一致"))</x:f>
        <x:v>AmountIncludingTax缺失</x:v>
      </x:c>
      <x:c r="F3877" s="19" t="str">
        <x:v>approved</x:v>
      </x:c>
      <x:c r="G3877" s="19" t="str">
        <x:v>Repair in Progress</x:v>
      </x:c>
      <x:c r="H3877" s="19" t="str">
        <x:v>In Field</x:v>
      </x:c>
      <x:c r="I3877" s="37" t="n">
        <x:v>46097</x:v>
      </x:c>
      <x:c r="J3877" s="37" t="n">
        <x:v>46097</x:v>
      </x:c>
      <x:c r="K3877" s="19" t="str">
        <x:v>Regent RV - Perth</x:v>
      </x:c>
      <x:c r="L3877" s="19" t="str">
        <x:v>Z006</x:v>
      </x:c>
      <x:c r="M3877" s="19" t="str">
        <x:v>In Field Warranty Claims</x:v>
      </x:c>
      <x:c r="N3877" s="37" t="n">
        <x:v>46054</x:v>
      </x:c>
      <x:c r="O3877" s="37"/>
      <x:c r="P3877" s="34" t="n">
        <x:v>0</x:v>
      </x:c>
      <x:c r="Q3877" s="37" t="n">
        <x:v>46096.95649305556</x:v>
      </x:c>
    </x:row>
    <x:row r="3878">
      <x:c r="A3878" s="22" t="n">
        <x:v>30498</x:v>
      </x:c>
      <x:c r="B3878" s="28" t="n">
        <x:v>714.55</x:v>
      </x:c>
      <x:c r="C3878" s="28" t="n">
        <x:v>786.01</x:v>
      </x:c>
      <x:c r="D3878" s="31" t="n">
        <x:f>IF(OR(ISBLANK(B3878),ISBLANK(C3878),B3878=0),"",(C3878-B3878)/B3878)</x:f>
        <x:v>0.100006997410958</x:v>
      </x:c>
      <x:c r="E3878" s="22" t="str">
        <x:f>IF(ISBLANK(C3878),"AmountIncludingTax缺失",IF(ABS(B3878-C3878)&lt;0.005,"一致","不一致"))</x:f>
        <x:v>不一致</x:v>
      </x:c>
      <x:c r="F3878" s="19" t="str">
        <x:v>approved</x:v>
      </x:c>
      <x:c r="G3878" s="19" t="str">
        <x:v>Repair in Progress</x:v>
      </x:c>
      <x:c r="H3878" s="19" t="str">
        <x:v>In Field</x:v>
      </x:c>
      <x:c r="I3878" s="37" t="n">
        <x:v>46177</x:v>
      </x:c>
      <x:c r="J3878" s="37" t="n">
        <x:v>46177</x:v>
      </x:c>
      <x:c r="K3878" s="19" t="str">
        <x:v>Regent RV - Frankston</x:v>
      </x:c>
      <x:c r="L3878" s="19" t="str">
        <x:v>Z006</x:v>
      </x:c>
      <x:c r="M3878" s="19" t="str">
        <x:v>In Field Warranty Claims</x:v>
      </x:c>
      <x:c r="N3878" s="37" t="n">
        <x:v>46054</x:v>
      </x:c>
      <x:c r="O3878" s="37"/>
      <x:c r="P3878" s="34" t="n">
        <x:v>786.01</x:v>
      </x:c>
      <x:c r="Q3878" s="37" t="n">
        <x:v>46177.13516203704</x:v>
      </x:c>
    </x:row>
    <x:row r="3879">
      <x:c r="A3879" s="22" t="n">
        <x:v>30497</x:v>
      </x:c>
      <x:c r="B3879" s="28" t="n">
        <x:v>986.35</x:v>
      </x:c>
      <x:c r="C3879" s="28" t="n">
        <x:v>893.04</x:v>
      </x:c>
      <x:c r="D3879" s="31" t="n">
        <x:f>IF(OR(ISBLANK(B3879),ISBLANK(C3879),B3879=0),"",(C3879-B3879)/B3879)</x:f>
        <x:v>-0.09460130785218235</x:v>
      </x:c>
      <x:c r="E3879" s="22" t="str">
        <x:f>IF(ISBLANK(C3879),"AmountIncludingTax缺失",IF(ABS(B3879-C3879)&lt;0.005,"一致","不一致"))</x:f>
        <x:v>不一致</x:v>
      </x:c>
      <x:c r="F3879" s="19" t="str">
        <x:v>approved</x:v>
      </x:c>
      <x:c r="G3879" s="19" t="str">
        <x:v>Repair in Progress</x:v>
      </x:c>
      <x:c r="H3879" s="19" t="str">
        <x:v>In Field</x:v>
      </x:c>
      <x:c r="I3879" s="37" t="n">
        <x:v>46101</x:v>
      </x:c>
      <x:c r="J3879" s="37" t="n">
        <x:v>46101</x:v>
      </x:c>
      <x:c r="K3879" s="19" t="str">
        <x:v>Vanari Caravans - Marden Point</x:v>
      </x:c>
      <x:c r="L3879" s="19" t="str">
        <x:v>Z006</x:v>
      </x:c>
      <x:c r="M3879" s="19" t="str">
        <x:v>In Field Warranty Claims</x:v>
      </x:c>
      <x:c r="N3879" s="37" t="n">
        <x:v>46054</x:v>
      </x:c>
      <x:c r="O3879" s="37"/>
      <x:c r="P3879" s="34" t="n">
        <x:v>893.04</x:v>
      </x:c>
      <x:c r="Q3879" s="37" t="n">
        <x:v>46100.997025462966</x:v>
      </x:c>
    </x:row>
    <x:row r="3880">
      <x:c r="A3880" s="22" t="n">
        <x:v>30495</x:v>
      </x:c>
      <x:c r="B3880" s="28" t="n">
        <x:v>438.75</x:v>
      </x:c>
      <x:c r="C3880" s="28"/>
      <x:c r="D3880" s="31" t="str">
        <x:f>IF(OR(ISBLANK(B3880),ISBLANK(C3880),B3880=0),"",(C3880-B3880)/B3880)</x:f>
      </x:c>
      <x:c r="E3880" s="22" t="str">
        <x:f>IF(ISBLANK(C3880),"AmountIncludingTax缺失",IF(ABS(B3880-C3880)&lt;0.005,"一致","不一致"))</x:f>
        <x:v>AmountIncludingTax缺失</x:v>
      </x:c>
      <x:c r="F3880" s="19" t="str">
        <x:v>approved</x:v>
      </x:c>
      <x:c r="G3880" s="19" t="str">
        <x:v>Repair in Progress</x:v>
      </x:c>
      <x:c r="H3880" s="19" t="str">
        <x:v>In Field</x:v>
      </x:c>
      <x:c r="I3880" s="37" t="n">
        <x:v>46080</x:v>
      </x:c>
      <x:c r="J3880" s="37" t="n">
        <x:v>46080</x:v>
      </x:c>
      <x:c r="K3880" s="19" t="str">
        <x:v>Auswide Caravans - South Nowra</x:v>
      </x:c>
      <x:c r="L3880" s="19" t="str">
        <x:v>Z006</x:v>
      </x:c>
      <x:c r="M3880" s="19" t="str">
        <x:v>In Field Warranty Claims</x:v>
      </x:c>
      <x:c r="N3880" s="37" t="n">
        <x:v>46053</x:v>
      </x:c>
      <x:c r="O3880" s="37"/>
      <x:c r="P3880" s="34" t="n">
        <x:v>0</x:v>
      </x:c>
      <x:c r="Q3880" s="37" t="n">
        <x:v>46080.17733796296</x:v>
      </x:c>
    </x:row>
    <x:row r="3881">
      <x:c r="A3881" s="22" t="n">
        <x:v>30494</x:v>
      </x:c>
      <x:c r="B3881" s="28" t="n">
        <x:v>188.75</x:v>
      </x:c>
      <x:c r="C3881" s="28"/>
      <x:c r="D3881" s="31" t="str">
        <x:f>IF(OR(ISBLANK(B3881),ISBLANK(C3881),B3881=0),"",(C3881-B3881)/B3881)</x:f>
      </x:c>
      <x:c r="E3881" s="22" t="str">
        <x:f>IF(ISBLANK(C3881),"AmountIncludingTax缺失",IF(ABS(B3881-C3881)&lt;0.005,"一致","不一致"))</x:f>
        <x:v>AmountIncludingTax缺失</x:v>
      </x:c>
      <x:c r="F3881" s="19" t="str">
        <x:v>approved</x:v>
      </x:c>
      <x:c r="G3881" s="19" t="str">
        <x:v>Repair in Progress</x:v>
      </x:c>
      <x:c r="H3881" s="19" t="str">
        <x:v>In Field</x:v>
      </x:c>
      <x:c r="I3881" s="37" t="n">
        <x:v>46073</x:v>
      </x:c>
      <x:c r="J3881" s="37" t="n">
        <x:v>46073</x:v>
      </x:c>
      <x:c r="K3881" s="19" t="str">
        <x:v>Regent RV - Toowoomba</x:v>
      </x:c>
      <x:c r="L3881" s="19" t="str">
        <x:v>Z006</x:v>
      </x:c>
      <x:c r="M3881" s="19" t="str">
        <x:v>In Field Warranty Claims</x:v>
      </x:c>
      <x:c r="N3881" s="37" t="n">
        <x:v>46053</x:v>
      </x:c>
      <x:c r="O3881" s="37"/>
      <x:c r="P3881" s="34" t="n">
        <x:v>0</x:v>
      </x:c>
      <x:c r="Q3881" s="37" t="n">
        <x:v>46072.99642361111</x:v>
      </x:c>
    </x:row>
    <x:row r="3882">
      <x:c r="A3882" s="22" t="n">
        <x:v>30493</x:v>
      </x:c>
      <x:c r="B3882" s="28" t="n">
        <x:v>175</x:v>
      </x:c>
      <x:c r="C3882" s="28"/>
      <x:c r="D3882" s="31" t="str">
        <x:f>IF(OR(ISBLANK(B3882),ISBLANK(C3882),B3882=0),"",(C3882-B3882)/B3882)</x:f>
      </x:c>
      <x:c r="E3882" s="22" t="str">
        <x:f>IF(ISBLANK(C3882),"AmountIncludingTax缺失",IF(ABS(B3882-C3882)&lt;0.005,"一致","不一致"))</x:f>
        <x:v>AmountIncludingTax缺失</x:v>
      </x:c>
      <x:c r="F3882" s="19" t="str">
        <x:v>approved</x:v>
      </x:c>
      <x:c r="G3882" s="19" t="str">
        <x:v>Repair in Progress</x:v>
      </x:c>
      <x:c r="H3882" s="19" t="str">
        <x:v>In Field</x:v>
      </x:c>
      <x:c r="I3882" s="37" t="n">
        <x:v>46073</x:v>
      </x:c>
      <x:c r="J3882" s="37" t="n">
        <x:v>46073</x:v>
      </x:c>
      <x:c r="K3882" s="19" t="str">
        <x:v>Green RV - Forest Glen</x:v>
      </x:c>
      <x:c r="L3882" s="19" t="str">
        <x:v>Z006</x:v>
      </x:c>
      <x:c r="M3882" s="19" t="str">
        <x:v>In Field Warranty Claims</x:v>
      </x:c>
      <x:c r="N3882" s="37" t="n">
        <x:v>46053</x:v>
      </x:c>
      <x:c r="O3882" s="37"/>
      <x:c r="P3882" s="34" t="n">
        <x:v>0</x:v>
      </x:c>
      <x:c r="Q3882" s="37" t="n">
        <x:v>46073.123344907406</x:v>
      </x:c>
    </x:row>
    <x:row r="3883">
      <x:c r="A3883" s="22" t="n">
        <x:v>30492</x:v>
      </x:c>
      <x:c r="B3883" s="28" t="n">
        <x:v>917.5</x:v>
      </x:c>
      <x:c r="C3883" s="28"/>
      <x:c r="D3883" s="31" t="str">
        <x:f>IF(OR(ISBLANK(B3883),ISBLANK(C3883),B3883=0),"",(C3883-B3883)/B3883)</x:f>
      </x:c>
      <x:c r="E3883" s="22" t="str">
        <x:f>IF(ISBLANK(C3883),"AmountIncludingTax缺失",IF(ABS(B3883-C3883)&lt;0.005,"一致","不一致"))</x:f>
        <x:v>AmountIncludingTax缺失</x:v>
      </x:c>
      <x:c r="F3883" s="19" t="str">
        <x:v>approved</x:v>
      </x:c>
      <x:c r="G3883" s="19" t="str">
        <x:v>Repair in Progress</x:v>
      </x:c>
      <x:c r="H3883" s="19" t="str">
        <x:v>In Field</x:v>
      </x:c>
      <x:c r="I3883" s="37" t="n">
        <x:v>46063</x:v>
      </x:c>
      <x:c r="J3883" s="37" t="n">
        <x:v>46062</x:v>
      </x:c>
      <x:c r="K3883" s="19" t="str">
        <x:v>Newcastle RV Super Centre - Beresfield</x:v>
      </x:c>
      <x:c r="L3883" s="19" t="str">
        <x:v>Z006</x:v>
      </x:c>
      <x:c r="M3883" s="19" t="str">
        <x:v>In Field Warranty Claims</x:v>
      </x:c>
      <x:c r="N3883" s="37" t="n">
        <x:v>46053</x:v>
      </x:c>
      <x:c r="O3883" s="37"/>
      <x:c r="P3883" s="34" t="n">
        <x:v>0</x:v>
      </x:c>
      <x:c r="Q3883" s="37" t="n">
        <x:v>46063.01291666667</x:v>
      </x:c>
    </x:row>
    <x:row r="3884">
      <x:c r="A3884" s="22" t="n">
        <x:v>30491</x:v>
      </x:c>
      <x:c r="B3884" s="28" t="n">
        <x:v>1491.25</x:v>
      </x:c>
      <x:c r="C3884" s="28"/>
      <x:c r="D3884" s="31" t="str">
        <x:f>IF(OR(ISBLANK(B3884),ISBLANK(C3884),B3884=0),"",(C3884-B3884)/B3884)</x:f>
      </x:c>
      <x:c r="E3884" s="22" t="str">
        <x:f>IF(ISBLANK(C3884),"AmountIncludingTax缺失",IF(ABS(B3884-C3884)&lt;0.005,"一致","不一致"))</x:f>
        <x:v>AmountIncludingTax缺失</x:v>
      </x:c>
      <x:c r="F3884" s="19" t="str">
        <x:v>approved</x:v>
      </x:c>
      <x:c r="G3884" s="19" t="str">
        <x:v>Repairer Invoiced Processed</x:v>
      </x:c>
      <x:c r="H3884" s="19" t="str">
        <x:v>In Field</x:v>
      </x:c>
      <x:c r="I3884" s="37" t="n">
        <x:v>46073</x:v>
      </x:c>
      <x:c r="J3884" s="37" t="n">
        <x:v>46073</x:v>
      </x:c>
      <x:c r="K3884" s="19" t="str">
        <x:v>Green RV - Forest Glen</x:v>
      </x:c>
      <x:c r="L3884" s="19" t="str">
        <x:v>Z006</x:v>
      </x:c>
      <x:c r="M3884" s="19" t="str">
        <x:v>In Field Warranty Claims</x:v>
      </x:c>
      <x:c r="N3884" s="37" t="n">
        <x:v>46053</x:v>
      </x:c>
      <x:c r="O3884" s="37"/>
      <x:c r="P3884" s="34" t="n">
        <x:v>0</x:v>
      </x:c>
      <x:c r="Q3884" s="37" t="n">
        <x:v>46073.16371527778</x:v>
      </x:c>
    </x:row>
    <x:row r="3885">
      <x:c r="A3885" s="22" t="n">
        <x:v>30488</x:v>
      </x:c>
      <x:c r="B3885" s="28" t="n">
        <x:v>202.27</x:v>
      </x:c>
      <x:c r="C3885" s="28" t="n">
        <x:v>222.5</x:v>
      </x:c>
      <x:c r="D3885" s="31" t="n">
        <x:f>IF(OR(ISBLANK(B3885),ISBLANK(C3885),B3885=0),"",(C3885-B3885)/B3885)</x:f>
        <x:v>0.10001483166065155</x:v>
      </x:c>
      <x:c r="E3885" s="22" t="str">
        <x:f>IF(ISBLANK(C3885),"AmountIncludingTax缺失",IF(ABS(B3885-C3885)&lt;0.005,"一致","不一致"))</x:f>
        <x:v>不一致</x:v>
      </x:c>
      <x:c r="F3885" s="19" t="str">
        <x:v>approved</x:v>
      </x:c>
      <x:c r="G3885" s="19" t="str">
        <x:v>Repairer Invoiced Processed</x:v>
      </x:c>
      <x:c r="H3885" s="19" t="str">
        <x:v>In Field</x:v>
      </x:c>
      <x:c r="I3885" s="37" t="n">
        <x:v>46132</x:v>
      </x:c>
      <x:c r="J3885" s="37" t="n">
        <x:v>46132</x:v>
      </x:c>
      <x:c r="K3885" s="19" t="str">
        <x:v>Regent RV - Toowoomba</x:v>
      </x:c>
      <x:c r="L3885" s="19" t="str">
        <x:v>Z006</x:v>
      </x:c>
      <x:c r="M3885" s="19" t="str">
        <x:v>In Field Warranty Claims</x:v>
      </x:c>
      <x:c r="N3885" s="37" t="n">
        <x:v>46054</x:v>
      </x:c>
      <x:c r="O3885" s="37"/>
      <x:c r="P3885" s="34" t="n">
        <x:v>222.5</x:v>
      </x:c>
      <x:c r="Q3885" s="37" t="n">
        <x:v>46132.21747685185</x:v>
      </x:c>
    </x:row>
    <x:row r="3886">
      <x:c r="A3886" s="22" t="n">
        <x:v>30487</x:v>
      </x:c>
      <x:c r="B3886" s="28" t="n">
        <x:v>135</x:v>
      </x:c>
      <x:c r="C3886" s="28"/>
      <x:c r="D3886" s="31" t="str">
        <x:f>IF(OR(ISBLANK(B3886),ISBLANK(C3886),B3886=0),"",(C3886-B3886)/B3886)</x:f>
      </x:c>
      <x:c r="E3886" s="22" t="str">
        <x:f>IF(ISBLANK(C3886),"AmountIncludingTax缺失",IF(ABS(B3886-C3886)&lt;0.005,"一致","不一致"))</x:f>
        <x:v>AmountIncludingTax缺失</x:v>
      </x:c>
      <x:c r="F3886" s="19" t="str">
        <x:v>approved</x:v>
      </x:c>
      <x:c r="G3886" s="19" t="str">
        <x:v>Sales Order Approved</x:v>
      </x:c>
      <x:c r="H3886" s="19" t="str">
        <x:v>In Field</x:v>
      </x:c>
      <x:c r="I3886" s="37" t="n">
        <x:v>46212</x:v>
      </x:c>
      <x:c r="J3886" s="37" t="n">
        <x:v>46189</x:v>
      </x:c>
      <x:c r="K3886" s="19" t="str">
        <x:v>Regent RV Pty Ltd</x:v>
      </x:c>
      <x:c r="L3886" s="19" t="str">
        <x:v>Z006</x:v>
      </x:c>
      <x:c r="M3886" s="19" t="str">
        <x:v>In Field Warranty Claims</x:v>
      </x:c>
      <x:c r="N3886" s="37" t="n">
        <x:v>46054</x:v>
      </x:c>
      <x:c r="O3886" s="37"/>
      <x:c r="P3886" s="34" t="n">
        <x:v>0</x:v>
      </x:c>
      <x:c r="Q3886" s="37" t="n">
        <x:v>46211.9546875</x:v>
      </x:c>
    </x:row>
    <x:row r="3887">
      <x:c r="A3887" s="22" t="n">
        <x:v>30485</x:v>
      </x:c>
      <x:c r="B3887" s="28" t="n">
        <x:v>350</x:v>
      </x:c>
      <x:c r="C3887" s="28" t="n">
        <x:v>385</x:v>
      </x:c>
      <x:c r="D3887" s="31" t="n">
        <x:f>IF(OR(ISBLANK(B3887),ISBLANK(C3887),B3887=0),"",(C3887-B3887)/B3887)</x:f>
        <x:v>0.1</x:v>
      </x:c>
      <x:c r="E3887" s="22" t="str">
        <x:f>IF(ISBLANK(C3887),"AmountIncludingTax缺失",IF(ABS(B3887-C3887)&lt;0.005,"一致","不一致"))</x:f>
        <x:v>不一致</x:v>
      </x:c>
      <x:c r="F3887" s="19" t="str">
        <x:v>approved</x:v>
      </x:c>
      <x:c r="G3887" s="19" t="str">
        <x:v>Repairer Invoiced Processed</x:v>
      </x:c>
      <x:c r="H3887" s="19" t="str">
        <x:v>In Field</x:v>
      </x:c>
      <x:c r="I3887" s="37" t="n">
        <x:v>46094</x:v>
      </x:c>
      <x:c r="J3887" s="37" t="n">
        <x:v>46094</x:v>
      </x:c>
      <x:c r="K3887" s="19" t="str">
        <x:v>Regent RV - Traralgon</x:v>
      </x:c>
      <x:c r="L3887" s="19" t="str">
        <x:v>Z006</x:v>
      </x:c>
      <x:c r="M3887" s="19" t="str">
        <x:v>In Field Warranty Claims</x:v>
      </x:c>
      <x:c r="N3887" s="37" t="n">
        <x:v>46053</x:v>
      </x:c>
      <x:c r="O3887" s="37"/>
      <x:c r="P3887" s="34" t="n">
        <x:v>385</x:v>
      </x:c>
      <x:c r="Q3887" s="37" t="n">
        <x:v>46093.88064814815</x:v>
      </x:c>
    </x:row>
    <x:row r="3888">
      <x:c r="A3888" s="22" t="n">
        <x:v>30484</x:v>
      </x:c>
      <x:c r="B3888" s="28" t="n">
        <x:v>340.91</x:v>
      </x:c>
      <x:c r="C3888" s="28" t="n">
        <x:v>375</x:v>
      </x:c>
      <x:c r="D3888" s="31" t="n">
        <x:f>IF(OR(ISBLANK(B3888),ISBLANK(C3888),B3888=0),"",(C3888-B3888)/B3888)</x:f>
        <x:v>0.0999970666744888</x:v>
      </x:c>
      <x:c r="E3888" s="22" t="str">
        <x:f>IF(ISBLANK(C3888),"AmountIncludingTax缺失",IF(ABS(B3888-C3888)&lt;0.005,"一致","不一致"))</x:f>
        <x:v>不一致</x:v>
      </x:c>
      <x:c r="F3888" s="19" t="str">
        <x:v>approved</x:v>
      </x:c>
      <x:c r="G3888" s="19" t="str">
        <x:v>Repairer Invoiced Processed</x:v>
      </x:c>
      <x:c r="H3888" s="19" t="str">
        <x:v>In Field</x:v>
      </x:c>
      <x:c r="I3888" s="37" t="n">
        <x:v>46202</x:v>
      </x:c>
      <x:c r="J3888" s="37" t="n">
        <x:v>46142</x:v>
      </x:c>
      <x:c r="K3888" s="19" t="str">
        <x:v>Newcastle RV Super Centre - Beresfield</x:v>
      </x:c>
      <x:c r="L3888" s="19" t="str">
        <x:v>Z006</x:v>
      </x:c>
      <x:c r="M3888" s="19" t="str">
        <x:v>In Field Warranty Claims</x:v>
      </x:c>
      <x:c r="N3888" s="37" t="n">
        <x:v>46053</x:v>
      </x:c>
      <x:c r="O3888" s="37"/>
      <x:c r="P3888" s="34" t="n">
        <x:v>375</x:v>
      </x:c>
      <x:c r="Q3888" s="37" t="n">
        <x:v>46202.06324074074</x:v>
      </x:c>
    </x:row>
    <x:row r="3889">
      <x:c r="A3889" s="22" t="n">
        <x:v>30483</x:v>
      </x:c>
      <x:c r="B3889" s="28" t="n">
        <x:v>530</x:v>
      </x:c>
      <x:c r="C3889" s="28" t="n">
        <x:v>583</x:v>
      </x:c>
      <x:c r="D3889" s="31" t="n">
        <x:f>IF(OR(ISBLANK(B3889),ISBLANK(C3889),B3889=0),"",(C3889-B3889)/B3889)</x:f>
        <x:v>0.1</x:v>
      </x:c>
      <x:c r="E3889" s="22" t="str">
        <x:f>IF(ISBLANK(C3889),"AmountIncludingTax缺失",IF(ABS(B3889-C3889)&lt;0.005,"一致","不一致"))</x:f>
        <x:v>不一致</x:v>
      </x:c>
      <x:c r="F3889" s="19" t="str">
        <x:v>approved</x:v>
      </x:c>
      <x:c r="G3889" s="19" t="str">
        <x:v>Repairer Invoiced Processed</x:v>
      </x:c>
      <x:c r="H3889" s="19" t="str">
        <x:v>In Field</x:v>
      </x:c>
      <x:c r="I3889" s="37" t="n">
        <x:v>46122</x:v>
      </x:c>
      <x:c r="J3889" s="37" t="n">
        <x:v>46122</x:v>
      </x:c>
      <x:c r="K3889" s="19" t="str">
        <x:v>Regent RV - Perth</x:v>
      </x:c>
      <x:c r="L3889" s="19" t="str">
        <x:v>Z006</x:v>
      </x:c>
      <x:c r="M3889" s="19" t="str">
        <x:v>In Field Warranty Claims</x:v>
      </x:c>
      <x:c r="N3889" s="37" t="n">
        <x:v>46053</x:v>
      </x:c>
      <x:c r="O3889" s="37"/>
      <x:c r="P3889" s="34" t="n">
        <x:v>583</x:v>
      </x:c>
      <x:c r="Q3889" s="37" t="n">
        <x:v>46121.966770833336</x:v>
      </x:c>
    </x:row>
    <x:row r="3890">
      <x:c r="A3890" s="22" t="n">
        <x:v>30482</x:v>
      </x:c>
      <x:c r="B3890" s="28" t="n">
        <x:v>2430</x:v>
      </x:c>
      <x:c r="C3890" s="28"/>
      <x:c r="D3890" s="31" t="str">
        <x:f>IF(OR(ISBLANK(B3890),ISBLANK(C3890),B3890=0),"",(C3890-B3890)/B3890)</x:f>
      </x:c>
      <x:c r="E3890" s="22" t="str">
        <x:f>IF(ISBLANK(C3890),"AmountIncludingTax缺失",IF(ABS(B3890-C3890)&lt;0.005,"一致","不一致"))</x:f>
        <x:v>AmountIncludingTax缺失</x:v>
      </x:c>
      <x:c r="F3890" s="19" t="str">
        <x:v>approved</x:v>
      </x:c>
      <x:c r="G3890" s="19" t="str">
        <x:v>Repair in Progress</x:v>
      </x:c>
      <x:c r="H3890" s="19" t="str">
        <x:v>In Field</x:v>
      </x:c>
      <x:c r="I3890" s="37" t="n">
        <x:v>46189</x:v>
      </x:c>
      <x:c r="J3890" s="37" t="n">
        <x:v>46189</x:v>
      </x:c>
      <x:c r="K3890" s="19" t="str">
        <x:v>Green RV - Forest Glen</x:v>
      </x:c>
      <x:c r="L3890" s="19" t="str">
        <x:v>Z006</x:v>
      </x:c>
      <x:c r="M3890" s="19" t="str">
        <x:v>In Field Warranty Claims</x:v>
      </x:c>
      <x:c r="N3890" s="37" t="n">
        <x:v>46053</x:v>
      </x:c>
      <x:c r="O3890" s="37" t="n">
        <x:v>46177</x:v>
      </x:c>
      <x:c r="P3890" s="34" t="n">
        <x:v>2673</x:v>
      </x:c>
      <x:c r="Q3890" s="37" t="n">
        <x:v>46189.013819444444</x:v>
      </x:c>
    </x:row>
    <x:row r="3891">
      <x:c r="A3891" s="22" t="n">
        <x:v>30481</x:v>
      </x:c>
      <x:c r="B3891" s="28" t="n">
        <x:v>593.75</x:v>
      </x:c>
      <x:c r="C3891" s="28"/>
      <x:c r="D3891" s="31" t="str">
        <x:f>IF(OR(ISBLANK(B3891),ISBLANK(C3891),B3891=0),"",(C3891-B3891)/B3891)</x:f>
      </x:c>
      <x:c r="E3891" s="22" t="str">
        <x:f>IF(ISBLANK(C3891),"AmountIncludingTax缺失",IF(ABS(B3891-C3891)&lt;0.005,"一致","不一致"))</x:f>
        <x:v>AmountIncludingTax缺失</x:v>
      </x:c>
      <x:c r="F3891" s="19" t="str">
        <x:v>approved</x:v>
      </x:c>
      <x:c r="G3891" s="19" t="str">
        <x:v>Repair in Progress</x:v>
      </x:c>
      <x:c r="H3891" s="19" t="str">
        <x:v>In Field</x:v>
      </x:c>
      <x:c r="I3891" s="37" t="n">
        <x:v>46084</x:v>
      </x:c>
      <x:c r="J3891" s="37" t="n">
        <x:v>46084</x:v>
      </x:c>
      <x:c r="K3891" s="19" t="str">
        <x:v>Green RV - Forest Glen</x:v>
      </x:c>
      <x:c r="L3891" s="19" t="str">
        <x:v>Z006</x:v>
      </x:c>
      <x:c r="M3891" s="19" t="str">
        <x:v>In Field Warranty Claims</x:v>
      </x:c>
      <x:c r="N3891" s="37" t="n">
        <x:v>46053</x:v>
      </x:c>
      <x:c r="O3891" s="37"/>
      <x:c r="P3891" s="34" t="n">
        <x:v>0</x:v>
      </x:c>
      <x:c r="Q3891" s="37" t="n">
        <x:v>46084.127430555556</x:v>
      </x:c>
    </x:row>
    <x:row r="3892">
      <x:c r="A3892" s="22" t="n">
        <x:v>30480</x:v>
      </x:c>
      <x:c r="B3892" s="28" t="n">
        <x:v>155</x:v>
      </x:c>
      <x:c r="C3892" s="28"/>
      <x:c r="D3892" s="31" t="str">
        <x:f>IF(OR(ISBLANK(B3892),ISBLANK(C3892),B3892=0),"",(C3892-B3892)/B3892)</x:f>
      </x:c>
      <x:c r="E3892" s="22" t="str">
        <x:f>IF(ISBLANK(C3892),"AmountIncludingTax缺失",IF(ABS(B3892-C3892)&lt;0.005,"一致","不一致"))</x:f>
        <x:v>AmountIncludingTax缺失</x:v>
      </x:c>
      <x:c r="F3892" s="19" t="str">
        <x:v>approved</x:v>
      </x:c>
      <x:c r="G3892" s="19" t="str">
        <x:v>Repairer Invoiced Processed</x:v>
      </x:c>
      <x:c r="H3892" s="19" t="str">
        <x:v>In Field</x:v>
      </x:c>
      <x:c r="I3892" s="37" t="n">
        <x:v>46070</x:v>
      </x:c>
      <x:c r="J3892" s="37" t="n">
        <x:v>46070</x:v>
      </x:c>
      <x:c r="K3892" s="19" t="str">
        <x:v>Green RV - Forest Glen</x:v>
      </x:c>
      <x:c r="L3892" s="19" t="str">
        <x:v>Z006</x:v>
      </x:c>
      <x:c r="M3892" s="19" t="str">
        <x:v>In Field Warranty Claims</x:v>
      </x:c>
      <x:c r="N3892" s="37" t="n">
        <x:v>46053</x:v>
      </x:c>
      <x:c r="O3892" s="37"/>
      <x:c r="P3892" s="34" t="n">
        <x:v>0</x:v>
      </x:c>
      <x:c r="Q3892" s="37" t="n">
        <x:v>46069.99996527778</x:v>
      </x:c>
    </x:row>
    <x:row r="3893">
      <x:c r="A3893" s="22" t="n">
        <x:v>30479</x:v>
      </x:c>
      <x:c r="B3893" s="28" t="n">
        <x:v>90.45</x:v>
      </x:c>
      <x:c r="C3893" s="28"/>
      <x:c r="D3893" s="31" t="str">
        <x:f>IF(OR(ISBLANK(B3893),ISBLANK(C3893),B3893=0),"",(C3893-B3893)/B3893)</x:f>
      </x:c>
      <x:c r="E3893" s="22" t="str">
        <x:f>IF(ISBLANK(C3893),"AmountIncludingTax缺失",IF(ABS(B3893-C3893)&lt;0.005,"一致","不一致"))</x:f>
        <x:v>AmountIncludingTax缺失</x:v>
      </x:c>
      <x:c r="F3893" s="19" t="str">
        <x:v>approved</x:v>
      </x:c>
      <x:c r="G3893" s="19" t="str">
        <x:v>Repairer Invoiced Processed</x:v>
      </x:c>
      <x:c r="H3893" s="19" t="str">
        <x:v>In Field</x:v>
      </x:c>
      <x:c r="I3893" s="37" t="n">
        <x:v>46070</x:v>
      </x:c>
      <x:c r="J3893" s="37" t="n">
        <x:v>46067</x:v>
      </x:c>
      <x:c r="K3893" s="19" t="str">
        <x:v>Green RV - Forest Glen</x:v>
      </x:c>
      <x:c r="L3893" s="19" t="str">
        <x:v>Z006</x:v>
      </x:c>
      <x:c r="M3893" s="19" t="str">
        <x:v>In Field Warranty Claims</x:v>
      </x:c>
      <x:c r="N3893" s="37" t="n">
        <x:v>46053</x:v>
      </x:c>
      <x:c r="O3893" s="37"/>
      <x:c r="P3893" s="34" t="n">
        <x:v>0</x:v>
      </x:c>
      <x:c r="Q3893" s="37" t="n">
        <x:v>46069.90113425926</x:v>
      </x:c>
    </x:row>
    <x:row r="3894">
      <x:c r="A3894" s="22" t="n">
        <x:v>30478</x:v>
      </x:c>
      <x:c r="B3894" s="28" t="n">
        <x:v>135</x:v>
      </x:c>
      <x:c r="C3894" s="28"/>
      <x:c r="D3894" s="31" t="str">
        <x:f>IF(OR(ISBLANK(B3894),ISBLANK(C3894),B3894=0),"",(C3894-B3894)/B3894)</x:f>
      </x:c>
      <x:c r="E3894" s="22" t="str">
        <x:f>IF(ISBLANK(C3894),"AmountIncludingTax缺失",IF(ABS(B3894-C3894)&lt;0.005,"一致","不一致"))</x:f>
        <x:v>AmountIncludingTax缺失</x:v>
      </x:c>
      <x:c r="F3894" s="19" t="str">
        <x:v>approved</x:v>
      </x:c>
      <x:c r="G3894" s="19" t="str">
        <x:v>Repair in Progress</x:v>
      </x:c>
      <x:c r="H3894" s="19" t="str">
        <x:v>In Field</x:v>
      </x:c>
      <x:c r="I3894" s="37" t="n">
        <x:v>46139</x:v>
      </x:c>
      <x:c r="J3894" s="37" t="n">
        <x:v>46139</x:v>
      </x:c>
      <x:c r="K3894" s="19" t="str">
        <x:v>Regent RV - Perth</x:v>
      </x:c>
      <x:c r="L3894" s="19" t="str">
        <x:v>Z006</x:v>
      </x:c>
      <x:c r="M3894" s="19" t="str">
        <x:v>In Field Warranty Claims</x:v>
      </x:c>
      <x:c r="N3894" s="37" t="n">
        <x:v>46053</x:v>
      </x:c>
      <x:c r="O3894" s="37"/>
      <x:c r="P3894" s="34" t="n">
        <x:v>0</x:v>
      </x:c>
      <x:c r="Q3894" s="37" t="n">
        <x:v>46139.516064814816</x:v>
      </x:c>
    </x:row>
    <x:row r="3895">
      <x:c r="A3895" s="22" t="n">
        <x:v>30475</x:v>
      </x:c>
      <x:c r="B3895" s="28" t="n">
        <x:v>274.55</x:v>
      </x:c>
      <x:c r="C3895" s="28"/>
      <x:c r="D3895" s="31" t="str">
        <x:f>IF(OR(ISBLANK(B3895),ISBLANK(C3895),B3895=0),"",(C3895-B3895)/B3895)</x:f>
      </x:c>
      <x:c r="E3895" s="22" t="str">
        <x:f>IF(ISBLANK(C3895),"AmountIncludingTax缺失",IF(ABS(B3895-C3895)&lt;0.005,"一致","不一致"))</x:f>
        <x:v>AmountIncludingTax缺失</x:v>
      </x:c>
      <x:c r="F3895" s="19" t="str">
        <x:v>approved</x:v>
      </x:c>
      <x:c r="G3895" s="19" t="str">
        <x:v>Repairer Invoiced Processed</x:v>
      </x:c>
      <x:c r="H3895" s="19" t="str">
        <x:v>In Field</x:v>
      </x:c>
      <x:c r="I3895" s="37" t="n">
        <x:v>46075</x:v>
      </x:c>
      <x:c r="J3895" s="37" t="n">
        <x:v>46075</x:v>
      </x:c>
      <x:c r="K3895" s="19" t="str">
        <x:v>Green RV - Forest Glen</x:v>
      </x:c>
      <x:c r="L3895" s="19" t="str">
        <x:v>Z006</x:v>
      </x:c>
      <x:c r="M3895" s="19" t="str">
        <x:v>In Field Warranty Claims</x:v>
      </x:c>
      <x:c r="N3895" s="37" t="n">
        <x:v>46053</x:v>
      </x:c>
      <x:c r="O3895" s="37"/>
      <x:c r="P3895" s="34" t="n">
        <x:v>0</x:v>
      </x:c>
      <x:c r="Q3895" s="37" t="n">
        <x:v>46075.151030092595</x:v>
      </x:c>
    </x:row>
    <x:row r="3896">
      <x:c r="A3896" s="22" t="n">
        <x:v>30474</x:v>
      </x:c>
      <x:c r="B3896" s="28" t="n">
        <x:v>327.27</x:v>
      </x:c>
      <x:c r="C3896" s="28" t="n">
        <x:v>360</x:v>
      </x:c>
      <x:c r="D3896" s="31" t="n">
        <x:f>IF(OR(ISBLANK(B3896),ISBLANK(C3896),B3896=0),"",(C3896-B3896)/B3896)</x:f>
        <x:v>0.10000916674305625</x:v>
      </x:c>
      <x:c r="E3896" s="22" t="str">
        <x:f>IF(ISBLANK(C3896),"AmountIncludingTax缺失",IF(ABS(B3896-C3896)&lt;0.005,"一致","不一致"))</x:f>
        <x:v>不一致</x:v>
      </x:c>
      <x:c r="F3896" s="19" t="str">
        <x:v>approved</x:v>
      </x:c>
      <x:c r="G3896" s="19" t="str">
        <x:v>Repairer Invoiced Processed</x:v>
      </x:c>
      <x:c r="H3896" s="19" t="str">
        <x:v>In Field</x:v>
      </x:c>
      <x:c r="I3896" s="37" t="n">
        <x:v>46066</x:v>
      </x:c>
      <x:c r="J3896" s="37" t="n">
        <x:v>46066</x:v>
      </x:c>
      <x:c r="K3896" s="19" t="str">
        <x:v>Green RV - Forest Glen</x:v>
      </x:c>
      <x:c r="L3896" s="19" t="str">
        <x:v>Z006</x:v>
      </x:c>
      <x:c r="M3896" s="19" t="str">
        <x:v>In Field Warranty Claims</x:v>
      </x:c>
      <x:c r="N3896" s="37" t="n">
        <x:v>46053</x:v>
      </x:c>
      <x:c r="O3896" s="37"/>
      <x:c r="P3896" s="34" t="n">
        <x:v>360</x:v>
      </x:c>
      <x:c r="Q3896" s="37" t="n">
        <x:v>46066.17925925926</x:v>
      </x:c>
    </x:row>
    <x:row r="3897">
      <x:c r="A3897" s="22" t="n">
        <x:v>30472</x:v>
      </x:c>
      <x:c r="B3897" s="28" t="n">
        <x:v>477.5</x:v>
      </x:c>
      <x:c r="C3897" s="28"/>
      <x:c r="D3897" s="31" t="str">
        <x:f>IF(OR(ISBLANK(B3897),ISBLANK(C3897),B3897=0),"",(C3897-B3897)/B3897)</x:f>
      </x:c>
      <x:c r="E3897" s="22" t="str">
        <x:f>IF(ISBLANK(C3897),"AmountIncludingTax缺失",IF(ABS(B3897-C3897)&lt;0.005,"一致","不一致"))</x:f>
        <x:v>AmountIncludingTax缺失</x:v>
      </x:c>
      <x:c r="F3897" s="19" t="str">
        <x:v>approved</x:v>
      </x:c>
      <x:c r="G3897" s="19" t="str">
        <x:v>Repair in Progress</x:v>
      </x:c>
      <x:c r="H3897" s="19" t="str">
        <x:v>In Field</x:v>
      </x:c>
      <x:c r="I3897" s="37" t="n">
        <x:v>46149</x:v>
      </x:c>
      <x:c r="J3897" s="37" t="n">
        <x:v>46149</x:v>
      </x:c>
      <x:c r="K3897" s="19" t="str">
        <x:v>Green RV - Forest Glen</x:v>
      </x:c>
      <x:c r="L3897" s="19" t="str">
        <x:v>Z006</x:v>
      </x:c>
      <x:c r="M3897" s="19" t="str">
        <x:v>In Field Warranty Claims</x:v>
      </x:c>
      <x:c r="N3897" s="37" t="n">
        <x:v>46053</x:v>
      </x:c>
      <x:c r="O3897" s="37"/>
      <x:c r="P3897" s="34" t="n">
        <x:v>0</x:v>
      </x:c>
      <x:c r="Q3897" s="37" t="n">
        <x:v>46149.42023148148</x:v>
      </x:c>
    </x:row>
    <x:row r="3898">
      <x:c r="A3898" s="22" t="n">
        <x:v>30471</x:v>
      </x:c>
      <x:c r="B3898" s="28" t="n">
        <x:v>3812.5</x:v>
      </x:c>
      <x:c r="C3898" s="28"/>
      <x:c r="D3898" s="31" t="str">
        <x:f>IF(OR(ISBLANK(B3898),ISBLANK(C3898),B3898=0),"",(C3898-B3898)/B3898)</x:f>
      </x:c>
      <x:c r="E3898" s="22" t="str">
        <x:f>IF(ISBLANK(C3898),"AmountIncludingTax缺失",IF(ABS(B3898-C3898)&lt;0.005,"一致","不一致"))</x:f>
        <x:v>AmountIncludingTax缺失</x:v>
      </x:c>
      <x:c r="F3898" s="19" t="str">
        <x:v>approved</x:v>
      </x:c>
      <x:c r="G3898" s="19" t="str">
        <x:v>Partially Picked</x:v>
      </x:c>
      <x:c r="H3898" s="19" t="str">
        <x:v>In Field</x:v>
      </x:c>
      <x:c r="I3898" s="37" t="n">
        <x:v>46120</x:v>
      </x:c>
      <x:c r="J3898" s="37" t="n">
        <x:v>46120</x:v>
      </x:c>
      <x:c r="K3898" s="19" t="str">
        <x:v>Green RV - Slacks Creek</x:v>
      </x:c>
      <x:c r="L3898" s="19" t="str">
        <x:v>Z006</x:v>
      </x:c>
      <x:c r="M3898" s="19" t="str">
        <x:v>In Field Warranty Claims</x:v>
      </x:c>
      <x:c r="N3898" s="37" t="n">
        <x:v>46053</x:v>
      </x:c>
      <x:c r="O3898" s="37"/>
      <x:c r="P3898" s="34" t="n">
        <x:v>0</x:v>
      </x:c>
      <x:c r="Q3898" s="37" t="n">
        <x:v>46120.01097222222</x:v>
      </x:c>
    </x:row>
    <x:row r="3899">
      <x:c r="A3899" s="22" t="n">
        <x:v>30470</x:v>
      </x:c>
      <x:c r="B3899" s="28" t="n">
        <x:v>3780</x:v>
      </x:c>
      <x:c r="C3899" s="28"/>
      <x:c r="D3899" s="31" t="str">
        <x:f>IF(OR(ISBLANK(B3899),ISBLANK(C3899),B3899=0),"",(C3899-B3899)/B3899)</x:f>
      </x:c>
      <x:c r="E3899" s="22" t="str">
        <x:f>IF(ISBLANK(C3899),"AmountIncludingTax缺失",IF(ABS(B3899-C3899)&lt;0.005,"一致","不一致"))</x:f>
        <x:v>AmountIncludingTax缺失</x:v>
      </x:c>
      <x:c r="F3899" s="19" t="str">
        <x:v>approved</x:v>
      </x:c>
      <x:c r="G3899" s="19" t="str">
        <x:v>Repairer Invoiced Processed</x:v>
      </x:c>
      <x:c r="H3899" s="19" t="str">
        <x:v>In Field</x:v>
      </x:c>
      <x:c r="I3899" s="37" t="n">
        <x:v>46120</x:v>
      </x:c>
      <x:c r="J3899" s="37" t="n">
        <x:v>46120</x:v>
      </x:c>
      <x:c r="K3899" s="19" t="str">
        <x:v>Green RV - Forest Glen</x:v>
      </x:c>
      <x:c r="L3899" s="19" t="str">
        <x:v>Z006</x:v>
      </x:c>
      <x:c r="M3899" s="19" t="str">
        <x:v>In Field Warranty Claims</x:v>
      </x:c>
      <x:c r="N3899" s="37" t="n">
        <x:v>46053</x:v>
      </x:c>
      <x:c r="O3899" s="37" t="n">
        <x:v>46098</x:v>
      </x:c>
      <x:c r="P3899" s="34" t="n">
        <x:v>4158</x:v>
      </x:c>
      <x:c r="Q3899" s="37" t="n">
        <x:v>46120.010717592595</x:v>
      </x:c>
    </x:row>
    <x:row r="3900">
      <x:c r="A3900" s="22" t="n">
        <x:v>30468</x:v>
      </x:c>
      <x:c r="B3900" s="28" t="n">
        <x:v>587.25</x:v>
      </x:c>
      <x:c r="C3900" s="28"/>
      <x:c r="D3900" s="31" t="str">
        <x:f>IF(OR(ISBLANK(B3900),ISBLANK(C3900),B3900=0),"",(C3900-B3900)/B3900)</x:f>
      </x:c>
      <x:c r="E3900" s="22" t="str">
        <x:f>IF(ISBLANK(C3900),"AmountIncludingTax缺失",IF(ABS(B3900-C3900)&lt;0.005,"一致","不一致"))</x:f>
        <x:v>AmountIncludingTax缺失</x:v>
      </x:c>
      <x:c r="F3900" s="19" t="str">
        <x:v>approved</x:v>
      </x:c>
      <x:c r="G3900" s="19" t="str">
        <x:v>Repairer Invoiced Processed</x:v>
      </x:c>
      <x:c r="H3900" s="19" t="str">
        <x:v>In Field</x:v>
      </x:c>
      <x:c r="I3900" s="37" t="n">
        <x:v>46086</x:v>
      </x:c>
      <x:c r="J3900" s="37" t="n">
        <x:v>46086</x:v>
      </x:c>
      <x:c r="K3900" s="19" t="str">
        <x:v>Destiny RV - South Australia</x:v>
      </x:c>
      <x:c r="L3900" s="19" t="str">
        <x:v>Z006</x:v>
      </x:c>
      <x:c r="M3900" s="19" t="str">
        <x:v>In Field Warranty Claims</x:v>
      </x:c>
      <x:c r="N3900" s="37" t="n">
        <x:v>46053</x:v>
      </x:c>
      <x:c r="O3900" s="37"/>
      <x:c r="P3900" s="34" t="n">
        <x:v>0</x:v>
      </x:c>
      <x:c r="Q3900" s="37" t="n">
        <x:v>46086.44658564815</x:v>
      </x:c>
    </x:row>
    <x:row r="3901">
      <x:c r="A3901" s="22" t="n">
        <x:v>30467</x:v>
      </x:c>
      <x:c r="B3901" s="28" t="n">
        <x:v>303.75</x:v>
      </x:c>
      <x:c r="C3901" s="28"/>
      <x:c r="D3901" s="31" t="str">
        <x:f>IF(OR(ISBLANK(B3901),ISBLANK(C3901),B3901=0),"",(C3901-B3901)/B3901)</x:f>
      </x:c>
      <x:c r="E3901" s="22" t="str">
        <x:f>IF(ISBLANK(C3901),"AmountIncludingTax缺失",IF(ABS(B3901-C3901)&lt;0.005,"一致","不一致"))</x:f>
        <x:v>AmountIncludingTax缺失</x:v>
      </x:c>
      <x:c r="F3901" s="19" t="str">
        <x:v>approved</x:v>
      </x:c>
      <x:c r="G3901" s="19" t="str">
        <x:v>Repair in Progress</x:v>
      </x:c>
      <x:c r="H3901" s="19" t="str">
        <x:v>In Field</x:v>
      </x:c>
      <x:c r="I3901" s="37" t="n">
        <x:v>46066</x:v>
      </x:c>
      <x:c r="J3901" s="37" t="n">
        <x:v>46066</x:v>
      </x:c>
      <x:c r="K3901" s="19" t="str">
        <x:v>Green RV - Forest Glen</x:v>
      </x:c>
      <x:c r="L3901" s="19" t="str">
        <x:v>Z006</x:v>
      </x:c>
      <x:c r="M3901" s="19" t="str">
        <x:v>In Field Warranty Claims</x:v>
      </x:c>
      <x:c r="N3901" s="37" t="n">
        <x:v>46053</x:v>
      </x:c>
      <x:c r="O3901" s="37"/>
      <x:c r="P3901" s="34" t="n">
        <x:v>0</x:v>
      </x:c>
      <x:c r="Q3901" s="37" t="n">
        <x:v>46066.28357638889</x:v>
      </x:c>
    </x:row>
    <x:row r="3902">
      <x:c r="A3902" s="22" t="n">
        <x:v>30466</x:v>
      </x:c>
      <x:c r="B3902" s="28" t="n">
        <x:v>1938.46</x:v>
      </x:c>
      <x:c r="C3902" s="28"/>
      <x:c r="D3902" s="31" t="str">
        <x:f>IF(OR(ISBLANK(B3902),ISBLANK(C3902),B3902=0),"",(C3902-B3902)/B3902)</x:f>
      </x:c>
      <x:c r="E3902" s="22" t="str">
        <x:f>IF(ISBLANK(C3902),"AmountIncludingTax缺失",IF(ABS(B3902-C3902)&lt;0.005,"一致","不一致"))</x:f>
        <x:v>AmountIncludingTax缺失</x:v>
      </x:c>
      <x:c r="F3902" s="19" t="str">
        <x:v>approved</x:v>
      </x:c>
      <x:c r="G3902" s="19" t="str">
        <x:v>Repairer Invoiced Processed</x:v>
      </x:c>
      <x:c r="H3902" s="19" t="str">
        <x:v>In Field</x:v>
      </x:c>
      <x:c r="I3902" s="37" t="n">
        <x:v>46101</x:v>
      </x:c>
      <x:c r="J3902" s="37" t="n">
        <x:v>46101</x:v>
      </x:c>
      <x:c r="K3902" s="19" t="str">
        <x:v>Green RV - Forest Glen</x:v>
      </x:c>
      <x:c r="L3902" s="19" t="str">
        <x:v>Z006</x:v>
      </x:c>
      <x:c r="M3902" s="19" t="str">
        <x:v>In Field Warranty Claims</x:v>
      </x:c>
      <x:c r="N3902" s="37" t="n">
        <x:v>46053</x:v>
      </x:c>
      <x:c r="O3902" s="37"/>
      <x:c r="P3902" s="34" t="n">
        <x:v>2132.31</x:v>
      </x:c>
      <x:c r="Q3902" s="37" t="n">
        <x:v>46101.188113425924</x:v>
      </x:c>
    </x:row>
    <x:row r="3903">
      <x:c r="A3903" s="22" t="n">
        <x:v>30465</x:v>
      </x:c>
      <x:c r="B3903" s="28" t="n">
        <x:v>1485</x:v>
      </x:c>
      <x:c r="C3903" s="28"/>
      <x:c r="D3903" s="31" t="str">
        <x:f>IF(OR(ISBLANK(B3903),ISBLANK(C3903),B3903=0),"",(C3903-B3903)/B3903)</x:f>
      </x:c>
      <x:c r="E3903" s="22" t="str">
        <x:f>IF(ISBLANK(C3903),"AmountIncludingTax缺失",IF(ABS(B3903-C3903)&lt;0.005,"一致","不一致"))</x:f>
        <x:v>AmountIncludingTax缺失</x:v>
      </x:c>
      <x:c r="F3903" s="19" t="str">
        <x:v>approved</x:v>
      </x:c>
      <x:c r="G3903" s="19" t="str">
        <x:v>Repairer Invoiced Processed</x:v>
      </x:c>
      <x:c r="H3903" s="19" t="str">
        <x:v>In Field</x:v>
      </x:c>
      <x:c r="I3903" s="37" t="n">
        <x:v>46078</x:v>
      </x:c>
      <x:c r="J3903" s="37" t="n">
        <x:v>46078</x:v>
      </x:c>
      <x:c r="K3903" s="19" t="str">
        <x:v>Leisure Lion Pty Ltd - Toowoomba</x:v>
      </x:c>
      <x:c r="L3903" s="19" t="str">
        <x:v>Z006</x:v>
      </x:c>
      <x:c r="M3903" s="19" t="str">
        <x:v>In Field Warranty Claims</x:v>
      </x:c>
      <x:c r="N3903" s="37" t="n">
        <x:v>46053</x:v>
      </x:c>
      <x:c r="O3903" s="37"/>
      <x:c r="P3903" s="34" t="n">
        <x:v>0</x:v>
      </x:c>
      <x:c r="Q3903" s="37" t="n">
        <x:v>46078.236180555556</x:v>
      </x:c>
    </x:row>
    <x:row r="3904">
      <x:c r="A3904" s="22" t="n">
        <x:v>30463</x:v>
      </x:c>
      <x:c r="B3904" s="28" t="n">
        <x:v>370</x:v>
      </x:c>
      <x:c r="C3904" s="28" t="n">
        <x:v>407</x:v>
      </x:c>
      <x:c r="D3904" s="31" t="n">
        <x:f>IF(OR(ISBLANK(B3904),ISBLANK(C3904),B3904=0),"",(C3904-B3904)/B3904)</x:f>
        <x:v>0.1</x:v>
      </x:c>
      <x:c r="E3904" s="22" t="str">
        <x:f>IF(ISBLANK(C3904),"AmountIncludingTax缺失",IF(ABS(B3904-C3904)&lt;0.005,"一致","不一致"))</x:f>
        <x:v>不一致</x:v>
      </x:c>
      <x:c r="F3904" s="19" t="str">
        <x:v>approved</x:v>
      </x:c>
      <x:c r="G3904" s="19" t="str">
        <x:v>Repair in Progress</x:v>
      </x:c>
      <x:c r="H3904" s="19" t="str">
        <x:v>In Field</x:v>
      </x:c>
      <x:c r="I3904" s="37" t="n">
        <x:v>46121</x:v>
      </x:c>
      <x:c r="J3904" s="37" t="n">
        <x:v>46121</x:v>
      </x:c>
      <x:c r="K3904" s="19" t="str">
        <x:v>Regent RV - Perth</x:v>
      </x:c>
      <x:c r="L3904" s="19" t="str">
        <x:v>Z006</x:v>
      </x:c>
      <x:c r="M3904" s="19" t="str">
        <x:v>In Field Warranty Claims</x:v>
      </x:c>
      <x:c r="N3904" s="37" t="n">
        <x:v>46052</x:v>
      </x:c>
      <x:c r="O3904" s="37"/>
      <x:c r="P3904" s="34" t="n">
        <x:v>407</x:v>
      </x:c>
      <x:c r="Q3904" s="37" t="n">
        <x:v>46120.95060185185</x:v>
      </x:c>
    </x:row>
    <x:row r="3905">
      <x:c r="A3905" s="22" t="n">
        <x:v>30462</x:v>
      </x:c>
      <x:c r="B3905" s="28" t="n">
        <x:v>121.25</x:v>
      </x:c>
      <x:c r="C3905" s="28"/>
      <x:c r="D3905" s="31" t="str">
        <x:f>IF(OR(ISBLANK(B3905),ISBLANK(C3905),B3905=0),"",(C3905-B3905)/B3905)</x:f>
      </x:c>
      <x:c r="E3905" s="22" t="str">
        <x:f>IF(ISBLANK(C3905),"AmountIncludingTax缺失",IF(ABS(B3905-C3905)&lt;0.005,"一致","不一致"))</x:f>
        <x:v>AmountIncludingTax缺失</x:v>
      </x:c>
      <x:c r="F3905" s="19" t="str">
        <x:v>approved</x:v>
      </x:c>
      <x:c r="G3905" s="19" t="str">
        <x:v>Repairer Invoiced Processed</x:v>
      </x:c>
      <x:c r="H3905" s="19" t="str">
        <x:v>In Field</x:v>
      </x:c>
      <x:c r="I3905" s="37" t="n">
        <x:v>46070</x:v>
      </x:c>
      <x:c r="J3905" s="37" t="n">
        <x:v>46070</x:v>
      </x:c>
      <x:c r="K3905" s="19" t="str">
        <x:v>Green RV - Slacks Creek</x:v>
      </x:c>
      <x:c r="L3905" s="19" t="str">
        <x:v>Z006</x:v>
      </x:c>
      <x:c r="M3905" s="19" t="str">
        <x:v>In Field Warranty Claims</x:v>
      </x:c>
      <x:c r="N3905" s="37" t="n">
        <x:v>46052</x:v>
      </x:c>
      <x:c r="O3905" s="37"/>
      <x:c r="P3905" s="34" t="n">
        <x:v>0</x:v>
      </x:c>
      <x:c r="Q3905" s="37" t="n">
        <x:v>46070.0297337963</x:v>
      </x:c>
    </x:row>
    <x:row r="3906">
      <x:c r="A3906" s="22" t="n">
        <x:v>30461</x:v>
      </x:c>
      <x:c r="B3906" s="28" t="n">
        <x:v>473.86</x:v>
      </x:c>
      <x:c r="C3906" s="28" t="n">
        <x:v>521.25</x:v>
      </x:c>
      <x:c r="D3906" s="31" t="n">
        <x:f>IF(OR(ISBLANK(B3906),ISBLANK(C3906),B3906=0),"",(C3906-B3906)/B3906)</x:f>
        <x:v>0.10000844131177981</x:v>
      </x:c>
      <x:c r="E3906" s="22" t="str">
        <x:f>IF(ISBLANK(C3906),"AmountIncludingTax缺失",IF(ABS(B3906-C3906)&lt;0.005,"一致","不一致"))</x:f>
        <x:v>不一致</x:v>
      </x:c>
      <x:c r="F3906" s="19" t="str">
        <x:v>approved</x:v>
      </x:c>
      <x:c r="G3906" s="19" t="str">
        <x:v>Repair in Progress</x:v>
      </x:c>
      <x:c r="H3906" s="19" t="str">
        <x:v>In Field</x:v>
      </x:c>
      <x:c r="I3906" s="37" t="n">
        <x:v>46100</x:v>
      </x:c>
      <x:c r="J3906" s="37" t="n">
        <x:v>46100</x:v>
      </x:c>
      <x:c r="K3906" s="19" t="str">
        <x:v>Leisure Lion Pty Ltd - Morisset</x:v>
      </x:c>
      <x:c r="L3906" s="19" t="str">
        <x:v>Z006</x:v>
      </x:c>
      <x:c r="M3906" s="19" t="str">
        <x:v>In Field Warranty Claims</x:v>
      </x:c>
      <x:c r="N3906" s="37" t="n">
        <x:v>46052</x:v>
      </x:c>
      <x:c r="O3906" s="37"/>
      <x:c r="P3906" s="34" t="n">
        <x:v>521.25</x:v>
      </x:c>
      <x:c r="Q3906" s="37" t="n">
        <x:v>46100.36116898148</x:v>
      </x:c>
    </x:row>
    <x:row r="3907">
      <x:c r="A3907" s="22" t="n">
        <x:v>30459</x:v>
      </x:c>
      <x:c r="B3907" s="28" t="n">
        <x:v>1038.75</x:v>
      </x:c>
      <x:c r="C3907" s="28"/>
      <x:c r="D3907" s="31" t="str">
        <x:f>IF(OR(ISBLANK(B3907),ISBLANK(C3907),B3907=0),"",(C3907-B3907)/B3907)</x:f>
      </x:c>
      <x:c r="E3907" s="22" t="str">
        <x:f>IF(ISBLANK(C3907),"AmountIncludingTax缺失",IF(ABS(B3907-C3907)&lt;0.005,"一致","不一致"))</x:f>
        <x:v>AmountIncludingTax缺失</x:v>
      </x:c>
      <x:c r="F3907" s="19" t="str">
        <x:v>approved</x:v>
      </x:c>
      <x:c r="G3907" s="19" t="str">
        <x:v>Repairer Invoiced Processed</x:v>
      </x:c>
      <x:c r="H3907" s="19" t="str">
        <x:v>In Field</x:v>
      </x:c>
      <x:c r="I3907" s="37" t="n">
        <x:v>46133</x:v>
      </x:c>
      <x:c r="J3907" s="37" t="n">
        <x:v>46069</x:v>
      </x:c>
      <x:c r="K3907" s="19" t="str">
        <x:v>Green RV - Forest Glen</x:v>
      </x:c>
      <x:c r="L3907" s="19" t="str">
        <x:v>Z006</x:v>
      </x:c>
      <x:c r="M3907" s="19" t="str">
        <x:v>In Field Warranty Claims</x:v>
      </x:c>
      <x:c r="N3907" s="37" t="n">
        <x:v>46052</x:v>
      </x:c>
      <x:c r="O3907" s="37"/>
      <x:c r="P3907" s="34" t="n">
        <x:v>0</x:v>
      </x:c>
      <x:c r="Q3907" s="37" t="n">
        <x:v>46133.22724537037</x:v>
      </x:c>
    </x:row>
    <x:row r="3908">
      <x:c r="A3908" s="22" t="n">
        <x:v>30458</x:v>
      </x:c>
      <x:c r="B3908" s="28" t="n">
        <x:v>168.75</x:v>
      </x:c>
      <x:c r="C3908" s="28"/>
      <x:c r="D3908" s="31" t="str">
        <x:f>IF(OR(ISBLANK(B3908),ISBLANK(C3908),B3908=0),"",(C3908-B3908)/B3908)</x:f>
      </x:c>
      <x:c r="E3908" s="22" t="str">
        <x:f>IF(ISBLANK(C3908),"AmountIncludingTax缺失",IF(ABS(B3908-C3908)&lt;0.005,"一致","不一致"))</x:f>
        <x:v>AmountIncludingTax缺失</x:v>
      </x:c>
      <x:c r="F3908" s="19" t="str">
        <x:v>approved</x:v>
      </x:c>
      <x:c r="G3908" s="19" t="str">
        <x:v>Repair in Progress</x:v>
      </x:c>
      <x:c r="H3908" s="19" t="str">
        <x:v>In Field</x:v>
      </x:c>
      <x:c r="I3908" s="37" t="n">
        <x:v>46078</x:v>
      </x:c>
      <x:c r="J3908" s="37" t="n">
        <x:v>46078</x:v>
      </x:c>
      <x:c r="K3908" s="19" t="str">
        <x:v>Green RV - Forest Glen</x:v>
      </x:c>
      <x:c r="L3908" s="19" t="str">
        <x:v>Z006</x:v>
      </x:c>
      <x:c r="M3908" s="19" t="str">
        <x:v>In Field Warranty Claims</x:v>
      </x:c>
      <x:c r="N3908" s="37" t="n">
        <x:v>46052</x:v>
      </x:c>
      <x:c r="O3908" s="37"/>
      <x:c r="P3908" s="34" t="n">
        <x:v>0</x:v>
      </x:c>
      <x:c r="Q3908" s="37" t="n">
        <x:v>46078.19453703704</x:v>
      </x:c>
    </x:row>
    <x:row r="3909">
      <x:c r="A3909" s="22" t="n">
        <x:v>30457</x:v>
      </x:c>
      <x:c r="B3909" s="28" t="n">
        <x:v>802.5</x:v>
      </x:c>
      <x:c r="C3909" s="28"/>
      <x:c r="D3909" s="31" t="str">
        <x:f>IF(OR(ISBLANK(B3909),ISBLANK(C3909),B3909=0),"",(C3909-B3909)/B3909)</x:f>
      </x:c>
      <x:c r="E3909" s="22" t="str">
        <x:f>IF(ISBLANK(C3909),"AmountIncludingTax缺失",IF(ABS(B3909-C3909)&lt;0.005,"一致","不一致"))</x:f>
        <x:v>AmountIncludingTax缺失</x:v>
      </x:c>
      <x:c r="F3909" s="19" t="str">
        <x:v>approved</x:v>
      </x:c>
      <x:c r="G3909" s="19" t="str">
        <x:v>Sales Order Approved</x:v>
      </x:c>
      <x:c r="H3909" s="19" t="str">
        <x:v>Pre Delivery</x:v>
      </x:c>
      <x:c r="I3909" s="37" t="n">
        <x:v>46209</x:v>
      </x:c>
      <x:c r="J3909" s="37" t="n">
        <x:v>46209</x:v>
      </x:c>
      <x:c r="K3909" s="19" t="str">
        <x:v>Green RV - Forest Glen</x:v>
      </x:c>
      <x:c r="L3909" s="19" t="str">
        <x:v>Z005</x:v>
      </x:c>
      <x:c r="M3909" s="19" t="str">
        <x:v>Pre Delivery Warranty Claims</x:v>
      </x:c>
      <x:c r="N3909" s="37" t="n">
        <x:v>46052</x:v>
      </x:c>
      <x:c r="O3909" s="37"/>
      <x:c r="P3909" s="34" t="n">
        <x:v>0</x:v>
      </x:c>
      <x:c r="Q3909" s="37" t="n">
        <x:v>46208.90064814815</x:v>
      </x:c>
    </x:row>
    <x:row r="3910">
      <x:c r="A3910" s="22" t="n">
        <x:v>30456</x:v>
      </x:c>
      <x:c r="B3910" s="28" t="n">
        <x:v>661.25</x:v>
      </x:c>
      <x:c r="C3910" s="28"/>
      <x:c r="D3910" s="31" t="str">
        <x:f>IF(OR(ISBLANK(B3910),ISBLANK(C3910),B3910=0),"",(C3910-B3910)/B3910)</x:f>
      </x:c>
      <x:c r="E3910" s="22" t="str">
        <x:f>IF(ISBLANK(C3910),"AmountIncludingTax缺失",IF(ABS(B3910-C3910)&lt;0.005,"一致","不一致"))</x:f>
        <x:v>AmountIncludingTax缺失</x:v>
      </x:c>
      <x:c r="F3910" s="19" t="str">
        <x:v>approved</x:v>
      </x:c>
      <x:c r="G3910" s="19" t="str">
        <x:v>Repairer Invoiced Processed</x:v>
      </x:c>
      <x:c r="H3910" s="19" t="str">
        <x:v>Pre Delivery</x:v>
      </x:c>
      <x:c r="I3910" s="37" t="n">
        <x:v>46190</x:v>
      </x:c>
      <x:c r="J3910" s="37" t="n">
        <x:v>46190</x:v>
      </x:c>
      <x:c r="K3910" s="19" t="str">
        <x:v>Green RV - Forest Glen</x:v>
      </x:c>
      <x:c r="L3910" s="19" t="str">
        <x:v>Z005</x:v>
      </x:c>
      <x:c r="M3910" s="19" t="str">
        <x:v>Pre Delivery Warranty Claims</x:v>
      </x:c>
      <x:c r="N3910" s="37" t="n">
        <x:v>46052</x:v>
      </x:c>
      <x:c r="O3910" s="37"/>
      <x:c r="P3910" s="34" t="n">
        <x:v>0</x:v>
      </x:c>
      <x:c r="Q3910" s="37" t="n">
        <x:v>46189.93136574074</x:v>
      </x:c>
    </x:row>
    <x:row r="3911">
      <x:c r="A3911" s="22" t="n">
        <x:v>30455</x:v>
      </x:c>
      <x:c r="B3911" s="28" t="n">
        <x:v>72.5</x:v>
      </x:c>
      <x:c r="C3911" s="28"/>
      <x:c r="D3911" s="31" t="str">
        <x:f>IF(OR(ISBLANK(B3911),ISBLANK(C3911),B3911=0),"",(C3911-B3911)/B3911)</x:f>
      </x:c>
      <x:c r="E3911" s="22" t="str">
        <x:f>IF(ISBLANK(C3911),"AmountIncludingTax缺失",IF(ABS(B3911-C3911)&lt;0.005,"一致","不一致"))</x:f>
        <x:v>AmountIncludingTax缺失</x:v>
      </x:c>
      <x:c r="F3911" s="19" t="str">
        <x:v>approved</x:v>
      </x:c>
      <x:c r="G3911" s="19" t="str">
        <x:v>Repairer Invoiced Processed</x:v>
      </x:c>
      <x:c r="H3911" s="19" t="str">
        <x:v>In Field</x:v>
      </x:c>
      <x:c r="I3911" s="37" t="n">
        <x:v>46066</x:v>
      </x:c>
      <x:c r="J3911" s="37" t="n">
        <x:v>46066</x:v>
      </x:c>
      <x:c r="K3911" s="19" t="str">
        <x:v>Green RV - Forest Glen</x:v>
      </x:c>
      <x:c r="L3911" s="19" t="str">
        <x:v>Z006</x:v>
      </x:c>
      <x:c r="M3911" s="19" t="str">
        <x:v>In Field Warranty Claims</x:v>
      </x:c>
      <x:c r="N3911" s="37" t="n">
        <x:v>46052</x:v>
      </x:c>
      <x:c r="O3911" s="37"/>
      <x:c r="P3911" s="34" t="n">
        <x:v>0</x:v>
      </x:c>
      <x:c r="Q3911" s="37" t="n">
        <x:v>46066.28341435185</x:v>
      </x:c>
    </x:row>
    <x:row r="3912">
      <x:c r="A3912" s="22" t="n">
        <x:v>30453</x:v>
      </x:c>
      <x:c r="B3912" s="28" t="n">
        <x:v>675</x:v>
      </x:c>
      <x:c r="C3912" s="28"/>
      <x:c r="D3912" s="31" t="str">
        <x:f>IF(OR(ISBLANK(B3912),ISBLANK(C3912),B3912=0),"",(C3912-B3912)/B3912)</x:f>
      </x:c>
      <x:c r="E3912" s="22" t="str">
        <x:f>IF(ISBLANK(C3912),"AmountIncludingTax缺失",IF(ABS(B3912-C3912)&lt;0.005,"一致","不一致"))</x:f>
        <x:v>AmountIncludingTax缺失</x:v>
      </x:c>
      <x:c r="F3912" s="19" t="str">
        <x:v>approved</x:v>
      </x:c>
      <x:c r="G3912" s="19" t="str">
        <x:v>Repairer Invoiced Processed</x:v>
      </x:c>
      <x:c r="H3912" s="19" t="str">
        <x:v>In Field</x:v>
      </x:c>
      <x:c r="I3912" s="37" t="n">
        <x:v>46104</x:v>
      </x:c>
      <x:c r="J3912" s="37" t="n">
        <x:v>46104</x:v>
      </x:c>
      <x:c r="K3912" s="19" t="str">
        <x:v>Bendigo Caravan Group - Bendigo</x:v>
      </x:c>
      <x:c r="L3912" s="19" t="str">
        <x:v>Z006</x:v>
      </x:c>
      <x:c r="M3912" s="19" t="str">
        <x:v>In Field Warranty Claims</x:v>
      </x:c>
      <x:c r="N3912" s="37" t="n">
        <x:v>46052</x:v>
      </x:c>
      <x:c r="O3912" s="37"/>
      <x:c r="P3912" s="34" t="n">
        <x:v>0</x:v>
      </x:c>
      <x:c r="Q3912" s="37" t="n">
        <x:v>46104.14030092592</x:v>
      </x:c>
    </x:row>
    <x:row r="3913">
      <x:c r="A3913" s="22" t="n">
        <x:v>30452</x:v>
      </x:c>
      <x:c r="B3913" s="28" t="n">
        <x:v>1012.5</x:v>
      </x:c>
      <x:c r="C3913" s="28"/>
      <x:c r="D3913" s="31" t="str">
        <x:f>IF(OR(ISBLANK(B3913),ISBLANK(C3913),B3913=0),"",(C3913-B3913)/B3913)</x:f>
      </x:c>
      <x:c r="E3913" s="22" t="str">
        <x:f>IF(ISBLANK(C3913),"AmountIncludingTax缺失",IF(ABS(B3913-C3913)&lt;0.005,"一致","不一致"))</x:f>
        <x:v>AmountIncludingTax缺失</x:v>
      </x:c>
      <x:c r="F3913" s="19" t="str">
        <x:v>approved</x:v>
      </x:c>
      <x:c r="G3913" s="19" t="str">
        <x:v>Repair in Progress</x:v>
      </x:c>
      <x:c r="H3913" s="19" t="str">
        <x:v>In Field</x:v>
      </x:c>
      <x:c r="I3913" s="37" t="n">
        <x:v>46107</x:v>
      </x:c>
      <x:c r="J3913" s="37" t="n">
        <x:v>46107</x:v>
      </x:c>
      <x:c r="K3913" s="19" t="str">
        <x:v>Green RV - Forest Glen</x:v>
      </x:c>
      <x:c r="L3913" s="19" t="str">
        <x:v>Z006</x:v>
      </x:c>
      <x:c r="M3913" s="19" t="str">
        <x:v>In Field Warranty Claims</x:v>
      </x:c>
      <x:c r="N3913" s="37" t="n">
        <x:v>46052</x:v>
      </x:c>
      <x:c r="O3913" s="37"/>
      <x:c r="P3913" s="34" t="n">
        <x:v>0</x:v>
      </x:c>
      <x:c r="Q3913" s="37" t="n">
        <x:v>46107.049837962964</x:v>
      </x:c>
    </x:row>
    <x:row r="3914">
      <x:c r="A3914" s="22" t="n">
        <x:v>30451</x:v>
      </x:c>
      <x:c r="B3914" s="28" t="n">
        <x:v>55</x:v>
      </x:c>
      <x:c r="C3914" s="28" t="n">
        <x:v>60.5</x:v>
      </x:c>
      <x:c r="D3914" s="31" t="n">
        <x:f>IF(OR(ISBLANK(B3914),ISBLANK(C3914),B3914=0),"",(C3914-B3914)/B3914)</x:f>
        <x:v>0.1</x:v>
      </x:c>
      <x:c r="E3914" s="22" t="str">
        <x:f>IF(ISBLANK(C3914),"AmountIncludingTax缺失",IF(ABS(B3914-C3914)&lt;0.005,"一致","不一致"))</x:f>
        <x:v>不一致</x:v>
      </x:c>
      <x:c r="F3914" s="19" t="str">
        <x:v>approved</x:v>
      </x:c>
      <x:c r="G3914" s="19" t="str">
        <x:v>Repair in Progress</x:v>
      </x:c>
      <x:c r="H3914" s="19" t="str">
        <x:v>Pre Delivery</x:v>
      </x:c>
      <x:c r="I3914" s="37" t="n">
        <x:v>46190</x:v>
      </x:c>
      <x:c r="J3914" s="37" t="n">
        <x:v>46190</x:v>
      </x:c>
      <x:c r="K3914" s="19" t="str">
        <x:v>Regent RV - Perth</x:v>
      </x:c>
      <x:c r="L3914" s="19" t="str">
        <x:v>Z005</x:v>
      </x:c>
      <x:c r="M3914" s="19" t="str">
        <x:v>Pre Delivery Warranty Claims</x:v>
      </x:c>
      <x:c r="N3914" s="37" t="n">
        <x:v>46052</x:v>
      </x:c>
      <x:c r="O3914" s="37"/>
      <x:c r="P3914" s="34" t="n">
        <x:v>60.5</x:v>
      </x:c>
      <x:c r="Q3914" s="37" t="n">
        <x:v>46189.94981481481</x:v>
      </x:c>
    </x:row>
    <x:row r="3915">
      <x:c r="A3915" s="22" t="n">
        <x:v>30450</x:v>
      </x:c>
      <x:c r="B3915" s="28" t="n">
        <x:v>613.75</x:v>
      </x:c>
      <x:c r="C3915" s="28"/>
      <x:c r="D3915" s="31" t="str">
        <x:f>IF(OR(ISBLANK(B3915),ISBLANK(C3915),B3915=0),"",(C3915-B3915)/B3915)</x:f>
      </x:c>
      <x:c r="E3915" s="22" t="str">
        <x:f>IF(ISBLANK(C3915),"AmountIncludingTax缺失",IF(ABS(B3915-C3915)&lt;0.005,"一致","不一致"))</x:f>
        <x:v>AmountIncludingTax缺失</x:v>
      </x:c>
      <x:c r="F3915" s="19" t="str">
        <x:v>approved</x:v>
      </x:c>
      <x:c r="G3915" s="19" t="str">
        <x:v>Repairer Invoiced Processed</x:v>
      </x:c>
      <x:c r="H3915" s="19" t="str">
        <x:v>Pre Delivery</x:v>
      </x:c>
      <x:c r="I3915" s="37" t="n">
        <x:v>46091</x:v>
      </x:c>
      <x:c r="J3915" s="37" t="n">
        <x:v>46091</x:v>
      </x:c>
      <x:c r="K3915" s="19" t="str">
        <x:v>Green RV - Forest Glen</x:v>
      </x:c>
      <x:c r="L3915" s="19" t="str">
        <x:v>Z005</x:v>
      </x:c>
      <x:c r="M3915" s="19" t="str">
        <x:v>Pre Delivery Warranty Claims</x:v>
      </x:c>
      <x:c r="N3915" s="37" t="n">
        <x:v>46052</x:v>
      </x:c>
      <x:c r="O3915" s="37"/>
      <x:c r="P3915" s="34" t="n">
        <x:v>0</x:v>
      </x:c>
      <x:c r="Q3915" s="37" t="n">
        <x:v>46091.16253472222</x:v>
      </x:c>
    </x:row>
    <x:row r="3916">
      <x:c r="A3916" s="22" t="n">
        <x:v>30449</x:v>
      </x:c>
      <x:c r="B3916" s="28" t="n">
        <x:v>139.55</x:v>
      </x:c>
      <x:c r="C3916" s="28"/>
      <x:c r="D3916" s="31" t="str">
        <x:f>IF(OR(ISBLANK(B3916),ISBLANK(C3916),B3916=0),"",(C3916-B3916)/B3916)</x:f>
      </x:c>
      <x:c r="E3916" s="22" t="str">
        <x:f>IF(ISBLANK(C3916),"AmountIncludingTax缺失",IF(ABS(B3916-C3916)&lt;0.005,"一致","不一致"))</x:f>
        <x:v>AmountIncludingTax缺失</x:v>
      </x:c>
      <x:c r="F3916" s="19" t="str">
        <x:v>approved</x:v>
      </x:c>
      <x:c r="G3916" s="19" t="str">
        <x:v>Repair in Progress</x:v>
      </x:c>
      <x:c r="H3916" s="19" t="str">
        <x:v>In Field</x:v>
      </x:c>
      <x:c r="I3916" s="37" t="n">
        <x:v>46079</x:v>
      </x:c>
      <x:c r="J3916" s="37" t="n">
        <x:v>46079</x:v>
      </x:c>
      <x:c r="K3916" s="19" t="str">
        <x:v>Green RV - Forest Glen</x:v>
      </x:c>
      <x:c r="L3916" s="19" t="str">
        <x:v>Z006</x:v>
      </x:c>
      <x:c r="M3916" s="19" t="str">
        <x:v>In Field Warranty Claims</x:v>
      </x:c>
      <x:c r="N3916" s="37" t="n">
        <x:v>46052</x:v>
      </x:c>
      <x:c r="O3916" s="37"/>
      <x:c r="P3916" s="34" t="n">
        <x:v>0</x:v>
      </x:c>
      <x:c r="Q3916" s="37" t="n">
        <x:v>46079.15267361111</x:v>
      </x:c>
    </x:row>
    <x:row r="3917">
      <x:c r="A3917" s="22" t="n">
        <x:v>30447</x:v>
      </x:c>
      <x:c r="B3917" s="28" t="n">
        <x:v>135</x:v>
      </x:c>
      <x:c r="C3917" s="28" t="n">
        <x:v>148.5</x:v>
      </x:c>
      <x:c r="D3917" s="31" t="n">
        <x:f>IF(OR(ISBLANK(B3917),ISBLANK(C3917),B3917=0),"",(C3917-B3917)/B3917)</x:f>
        <x:v>0.1</x:v>
      </x:c>
      <x:c r="E3917" s="22" t="str">
        <x:f>IF(ISBLANK(C3917),"AmountIncludingTax缺失",IF(ABS(B3917-C3917)&lt;0.005,"一致","不一致"))</x:f>
        <x:v>不一致</x:v>
      </x:c>
      <x:c r="F3917" s="19" t="str">
        <x:v>approved</x:v>
      </x:c>
      <x:c r="G3917" s="19" t="str">
        <x:v>Repair in Progress</x:v>
      </x:c>
      <x:c r="H3917" s="19" t="str">
        <x:v>In Field</x:v>
      </x:c>
      <x:c r="I3917" s="37" t="n">
        <x:v>46064</x:v>
      </x:c>
      <x:c r="J3917" s="37" t="n">
        <x:v>46064</x:v>
      </x:c>
      <x:c r="K3917" s="19" t="str">
        <x:v>Green RV - Forest Glen</x:v>
      </x:c>
      <x:c r="L3917" s="19" t="str">
        <x:v>Z006</x:v>
      </x:c>
      <x:c r="M3917" s="19" t="str">
        <x:v>In Field Warranty Claims</x:v>
      </x:c>
      <x:c r="N3917" s="37" t="n">
        <x:v>46052</x:v>
      </x:c>
      <x:c r="O3917" s="37" t="n">
        <x:v>46064</x:v>
      </x:c>
      <x:c r="P3917" s="34" t="n">
        <x:v>148.5</x:v>
      </x:c>
      <x:c r="Q3917" s="37" t="n">
        <x:v>46064.46208333333</x:v>
      </x:c>
    </x:row>
    <x:row r="3918">
      <x:c r="A3918" s="22" t="n">
        <x:v>30446</x:v>
      </x:c>
      <x:c r="B3918" s="28" t="n">
        <x:v>281.25</x:v>
      </x:c>
      <x:c r="C3918" s="28"/>
      <x:c r="D3918" s="31" t="str">
        <x:f>IF(OR(ISBLANK(B3918),ISBLANK(C3918),B3918=0),"",(C3918-B3918)/B3918)</x:f>
      </x:c>
      <x:c r="E3918" s="22" t="str">
        <x:f>IF(ISBLANK(C3918),"AmountIncludingTax缺失",IF(ABS(B3918-C3918)&lt;0.005,"一致","不一致"))</x:f>
        <x:v>AmountIncludingTax缺失</x:v>
      </x:c>
      <x:c r="F3918" s="19" t="str">
        <x:v>approved</x:v>
      </x:c>
      <x:c r="G3918" s="19" t="str">
        <x:v>Repairer Invoiced Processed</x:v>
      </x:c>
      <x:c r="H3918" s="19" t="str">
        <x:v>Pre Delivery</x:v>
      </x:c>
      <x:c r="I3918" s="37" t="n">
        <x:v>46190</x:v>
      </x:c>
      <x:c r="J3918" s="37" t="n">
        <x:v>46190</x:v>
      </x:c>
      <x:c r="K3918" s="19" t="str">
        <x:v>Green RV - Forest Glen</x:v>
      </x:c>
      <x:c r="L3918" s="19" t="str">
        <x:v>Z005</x:v>
      </x:c>
      <x:c r="M3918" s="19" t="str">
        <x:v>Pre Delivery Warranty Claims</x:v>
      </x:c>
      <x:c r="N3918" s="37" t="n">
        <x:v>46052</x:v>
      </x:c>
      <x:c r="O3918" s="37" t="n">
        <x:v>46162</x:v>
      </x:c>
      <x:c r="P3918" s="34" t="n">
        <x:v>0</x:v>
      </x:c>
      <x:c r="Q3918" s="37" t="n">
        <x:v>46189.87856481481</x:v>
      </x:c>
    </x:row>
    <x:row r="3919">
      <x:c r="A3919" s="22" t="n">
        <x:v>30444</x:v>
      </x:c>
      <x:c r="B3919" s="28" t="n">
        <x:v>375.27</x:v>
      </x:c>
      <x:c r="C3919" s="28" t="n">
        <x:v>412.8</x:v>
      </x:c>
      <x:c r="D3919" s="31" t="n">
        <x:f>IF(OR(ISBLANK(B3919),ISBLANK(C3919),B3919=0),"",(C3919-B3919)/B3919)</x:f>
        <x:v>0.1000079942441443</x:v>
      </x:c>
      <x:c r="E3919" s="22" t="str">
        <x:f>IF(ISBLANK(C3919),"AmountIncludingTax缺失",IF(ABS(B3919-C3919)&lt;0.005,"一致","不一致"))</x:f>
        <x:v>不一致</x:v>
      </x:c>
      <x:c r="F3919" s="19" t="str">
        <x:v>approved</x:v>
      </x:c>
      <x:c r="G3919" s="19" t="str">
        <x:v>Repairer Invoiced Processed</x:v>
      </x:c>
      <x:c r="H3919" s="19" t="str">
        <x:v>In Field</x:v>
      </x:c>
      <x:c r="I3919" s="37" t="n">
        <x:v>46066</x:v>
      </x:c>
      <x:c r="J3919" s="37" t="n">
        <x:v>46066</x:v>
      </x:c>
      <x:c r="K3919" s="19" t="str">
        <x:v>Green RV - Slacks Creek</x:v>
      </x:c>
      <x:c r="L3919" s="19" t="str">
        <x:v>Z006</x:v>
      </x:c>
      <x:c r="M3919" s="19" t="str">
        <x:v>In Field Warranty Claims</x:v>
      </x:c>
      <x:c r="N3919" s="37" t="n">
        <x:v>46052</x:v>
      </x:c>
      <x:c r="O3919" s="37"/>
      <x:c r="P3919" s="34" t="n">
        <x:v>412.8</x:v>
      </x:c>
      <x:c r="Q3919" s="37" t="n">
        <x:v>46066.21670138889</x:v>
      </x:c>
    </x:row>
    <x:row r="3920">
      <x:c r="A3920" s="22" t="n">
        <x:v>30443</x:v>
      </x:c>
      <x:c r="B3920" s="28" t="n">
        <x:v>267.5</x:v>
      </x:c>
      <x:c r="C3920" s="28"/>
      <x:c r="D3920" s="31" t="str">
        <x:f>IF(OR(ISBLANK(B3920),ISBLANK(C3920),B3920=0),"",(C3920-B3920)/B3920)</x:f>
      </x:c>
      <x:c r="E3920" s="22" t="str">
        <x:f>IF(ISBLANK(C3920),"AmountIncludingTax缺失",IF(ABS(B3920-C3920)&lt;0.005,"一致","不一致"))</x:f>
        <x:v>AmountIncludingTax缺失</x:v>
      </x:c>
      <x:c r="F3920" s="19" t="str">
        <x:v>approved</x:v>
      </x:c>
      <x:c r="G3920" s="19" t="str">
        <x:v>Repairer Invoiced Processed</x:v>
      </x:c>
      <x:c r="H3920" s="19" t="str">
        <x:v>In Field</x:v>
      </x:c>
      <x:c r="I3920" s="37" t="n">
        <x:v>46066</x:v>
      </x:c>
      <x:c r="J3920" s="37" t="n">
        <x:v>46066</x:v>
      </x:c>
      <x:c r="K3920" s="19" t="str">
        <x:v>Green RV - Slacks Creek</x:v>
      </x:c>
      <x:c r="L3920" s="19" t="str">
        <x:v>Z006</x:v>
      </x:c>
      <x:c r="M3920" s="19" t="str">
        <x:v>In Field Warranty Claims</x:v>
      </x:c>
      <x:c r="N3920" s="37" t="n">
        <x:v>46052</x:v>
      </x:c>
      <x:c r="O3920" s="37"/>
      <x:c r="P3920" s="34" t="n">
        <x:v>0</x:v>
      </x:c>
      <x:c r="Q3920" s="37" t="n">
        <x:v>46066.13097222222</x:v>
      </x:c>
    </x:row>
    <x:row r="3921">
      <x:c r="A3921" s="22" t="n">
        <x:v>30442</x:v>
      </x:c>
      <x:c r="B3921" s="28" t="n">
        <x:v>830</x:v>
      </x:c>
      <x:c r="C3921" s="28"/>
      <x:c r="D3921" s="31" t="str">
        <x:f>IF(OR(ISBLANK(B3921),ISBLANK(C3921),B3921=0),"",(C3921-B3921)/B3921)</x:f>
      </x:c>
      <x:c r="E3921" s="22" t="str">
        <x:f>IF(ISBLANK(C3921),"AmountIncludingTax缺失",IF(ABS(B3921-C3921)&lt;0.005,"一致","不一致"))</x:f>
        <x:v>AmountIncludingTax缺失</x:v>
      </x:c>
      <x:c r="F3921" s="19" t="str">
        <x:v>approved</x:v>
      </x:c>
      <x:c r="G3921" s="19" t="str">
        <x:v>Repairer Invoiced Processed</x:v>
      </x:c>
      <x:c r="H3921" s="19" t="str">
        <x:v>In Field</x:v>
      </x:c>
      <x:c r="I3921" s="37" t="n">
        <x:v>46070</x:v>
      </x:c>
      <x:c r="J3921" s="37" t="n">
        <x:v>46070</x:v>
      </x:c>
      <x:c r="K3921" s="19" t="str">
        <x:v>Green RV - Slacks Creek</x:v>
      </x:c>
      <x:c r="L3921" s="19" t="str">
        <x:v>Z006</x:v>
      </x:c>
      <x:c r="M3921" s="19" t="str">
        <x:v>In Field Warranty Claims</x:v>
      </x:c>
      <x:c r="N3921" s="37" t="n">
        <x:v>46052</x:v>
      </x:c>
      <x:c r="O3921" s="37"/>
      <x:c r="P3921" s="34" t="n">
        <x:v>0</x:v>
      </x:c>
      <x:c r="Q3921" s="37" t="n">
        <x:v>46070.01085648148</x:v>
      </x:c>
    </x:row>
    <x:row r="3922">
      <x:c r="A3922" s="22" t="n">
        <x:v>30441</x:v>
      </x:c>
      <x:c r="B3922" s="28" t="n">
        <x:v>168.75</x:v>
      </x:c>
      <x:c r="C3922" s="28"/>
      <x:c r="D3922" s="31" t="str">
        <x:f>IF(OR(ISBLANK(B3922),ISBLANK(C3922),B3922=0),"",(C3922-B3922)/B3922)</x:f>
      </x:c>
      <x:c r="E3922" s="22" t="str">
        <x:f>IF(ISBLANK(C3922),"AmountIncludingTax缺失",IF(ABS(B3922-C3922)&lt;0.005,"一致","不一致"))</x:f>
        <x:v>AmountIncludingTax缺失</x:v>
      </x:c>
      <x:c r="F3922" s="19" t="str">
        <x:v>approved</x:v>
      </x:c>
      <x:c r="G3922" s="19" t="str">
        <x:v>Sales Order Approved</x:v>
      </x:c>
      <x:c r="H3922" s="19" t="str">
        <x:v>Pre Delivery</x:v>
      </x:c>
      <x:c r="I3922" s="37" t="n">
        <x:v>46135</x:v>
      </x:c>
      <x:c r="J3922" s="37" t="n">
        <x:v>46135</x:v>
      </x:c>
      <x:c r="K3922" s="19" t="str">
        <x:v>Regent RV - Perth</x:v>
      </x:c>
      <x:c r="L3922" s="19" t="str">
        <x:v>Z005</x:v>
      </x:c>
      <x:c r="M3922" s="19" t="str">
        <x:v>Pre Delivery Warranty Claims</x:v>
      </x:c>
      <x:c r="N3922" s="37" t="n">
        <x:v>46052</x:v>
      </x:c>
      <x:c r="O3922" s="37"/>
      <x:c r="P3922" s="34" t="n">
        <x:v>0</x:v>
      </x:c>
      <x:c r="Q3922" s="37" t="n">
        <x:v>46135.22394675926</x:v>
      </x:c>
    </x:row>
    <x:row r="3923">
      <x:c r="A3923" s="22" t="n">
        <x:v>30436</x:v>
      </x:c>
      <x:c r="B3923" s="28" t="n">
        <x:v>131.82</x:v>
      </x:c>
      <x:c r="C3923" s="28"/>
      <x:c r="D3923" s="31" t="str">
        <x:f>IF(OR(ISBLANK(B3923),ISBLANK(C3923),B3923=0),"",(C3923-B3923)/B3923)</x:f>
      </x:c>
      <x:c r="E3923" s="22" t="str">
        <x:f>IF(ISBLANK(C3923),"AmountIncludingTax缺失",IF(ABS(B3923-C3923)&lt;0.005,"一致","不一致"))</x:f>
        <x:v>AmountIncludingTax缺失</x:v>
      </x:c>
      <x:c r="F3923" s="19" t="str">
        <x:v>approved</x:v>
      </x:c>
      <x:c r="G3923" s="19" t="str">
        <x:v>Repairer Invoiced Processed</x:v>
      </x:c>
      <x:c r="H3923" s="19" t="str">
        <x:v>In Field</x:v>
      </x:c>
      <x:c r="I3923" s="37" t="n">
        <x:v>46191</x:v>
      </x:c>
      <x:c r="J3923" s="37" t="n">
        <x:v>46191</x:v>
      </x:c>
      <x:c r="K3923" s="19" t="str">
        <x:v>Auswide Caravans - South Nowra</x:v>
      </x:c>
      <x:c r="L3923" s="19" t="str">
        <x:v>Z006</x:v>
      </x:c>
      <x:c r="M3923" s="19" t="str">
        <x:v>In Field Warranty Claims</x:v>
      </x:c>
      <x:c r="N3923" s="37" t="n">
        <x:v>46055</x:v>
      </x:c>
      <x:c r="O3923" s="37" t="n">
        <x:v>46101</x:v>
      </x:c>
      <x:c r="P3923" s="34" t="n">
        <x:v>0</x:v>
      </x:c>
      <x:c r="Q3923" s="37" t="n">
        <x:v>46191.203622685185</x:v>
      </x:c>
    </x:row>
    <x:row r="3924">
      <x:c r="A3924" s="22" t="n">
        <x:v>30430</x:v>
      </x:c>
      <x:c r="B3924" s="28" t="n">
        <x:v>1342.5</x:v>
      </x:c>
      <x:c r="C3924" s="28"/>
      <x:c r="D3924" s="31" t="str">
        <x:f>IF(OR(ISBLANK(B3924),ISBLANK(C3924),B3924=0),"",(C3924-B3924)/B3924)</x:f>
      </x:c>
      <x:c r="E3924" s="22" t="str">
        <x:f>IF(ISBLANK(C3924),"AmountIncludingTax缺失",IF(ABS(B3924-C3924)&lt;0.005,"一致","不一致"))</x:f>
        <x:v>AmountIncludingTax缺失</x:v>
      </x:c>
      <x:c r="F3924" s="19" t="str">
        <x:v>approved</x:v>
      </x:c>
      <x:c r="G3924" s="19" t="str">
        <x:v>Repair in Progress</x:v>
      </x:c>
      <x:c r="H3924" s="19" t="str">
        <x:v>In Field</x:v>
      </x:c>
      <x:c r="I3924" s="37" t="n">
        <x:v>46070</x:v>
      </x:c>
      <x:c r="J3924" s="37" t="n">
        <x:v>46070</x:v>
      </x:c>
      <x:c r="K3924" s="19" t="str">
        <x:v>Green RV - Forest Glen</x:v>
      </x:c>
      <x:c r="L3924" s="19" t="str">
        <x:v>Z006</x:v>
      </x:c>
      <x:c r="M3924" s="19" t="str">
        <x:v>In Field Warranty Claims</x:v>
      </x:c>
      <x:c r="N3924" s="37" t="n">
        <x:v>46052</x:v>
      </x:c>
      <x:c r="O3924" s="37"/>
      <x:c r="P3924" s="34" t="n">
        <x:v>0</x:v>
      </x:c>
      <x:c r="Q3924" s="37" t="n">
        <x:v>46069.991064814814</x:v>
      </x:c>
    </x:row>
    <x:row r="3925">
      <x:c r="A3925" s="22" t="n">
        <x:v>30429</x:v>
      </x:c>
      <x:c r="B3925" s="28" t="n">
        <x:v>708.75</x:v>
      </x:c>
      <x:c r="C3925" s="28"/>
      <x:c r="D3925" s="31" t="str">
        <x:f>IF(OR(ISBLANK(B3925),ISBLANK(C3925),B3925=0),"",(C3925-B3925)/B3925)</x:f>
      </x:c>
      <x:c r="E3925" s="22" t="str">
        <x:f>IF(ISBLANK(C3925),"AmountIncludingTax缺失",IF(ABS(B3925-C3925)&lt;0.005,"一致","不一致"))</x:f>
        <x:v>AmountIncludingTax缺失</x:v>
      </x:c>
      <x:c r="F3925" s="19" t="str">
        <x:v>approved</x:v>
      </x:c>
      <x:c r="G3925" s="19" t="str">
        <x:v>Repair in Progress</x:v>
      </x:c>
      <x:c r="H3925" s="19" t="str">
        <x:v>In Field</x:v>
      </x:c>
      <x:c r="I3925" s="37" t="n">
        <x:v>46080</x:v>
      </x:c>
      <x:c r="J3925" s="37" t="n">
        <x:v>46080</x:v>
      </x:c>
      <x:c r="K3925" s="19" t="str">
        <x:v>QCCC - Gympie</x:v>
      </x:c>
      <x:c r="L3925" s="19" t="str">
        <x:v>Z006</x:v>
      </x:c>
      <x:c r="M3925" s="19" t="str">
        <x:v>In Field Warranty Claims</x:v>
      </x:c>
      <x:c r="N3925" s="37" t="n">
        <x:v>46052</x:v>
      </x:c>
      <x:c r="O3925" s="37"/>
      <x:c r="P3925" s="34" t="n">
        <x:v>0</x:v>
      </x:c>
      <x:c r="Q3925" s="37" t="n">
        <x:v>46080.08388888889</x:v>
      </x:c>
    </x:row>
    <x:row r="3926">
      <x:c r="A3926" s="22" t="n">
        <x:v>30428</x:v>
      </x:c>
      <x:c r="B3926" s="28" t="n">
        <x:v>554.25</x:v>
      </x:c>
      <x:c r="C3926" s="28"/>
      <x:c r="D3926" s="31" t="str">
        <x:f>IF(OR(ISBLANK(B3926),ISBLANK(C3926),B3926=0),"",(C3926-B3926)/B3926)</x:f>
      </x:c>
      <x:c r="E3926" s="22" t="str">
        <x:f>IF(ISBLANK(C3926),"AmountIncludingTax缺失",IF(ABS(B3926-C3926)&lt;0.005,"一致","不一致"))</x:f>
        <x:v>AmountIncludingTax缺失</x:v>
      </x:c>
      <x:c r="F3926" s="19" t="str">
        <x:v>approved</x:v>
      </x:c>
      <x:c r="G3926" s="19" t="str">
        <x:v>Repairer Invoiced Processed</x:v>
      </x:c>
      <x:c r="H3926" s="19" t="str">
        <x:v>In Field</x:v>
      </x:c>
      <x:c r="I3926" s="37" t="n">
        <x:v>46072</x:v>
      </x:c>
      <x:c r="J3926" s="37" t="n">
        <x:v>46072</x:v>
      </x:c>
      <x:c r="K3926" s="19" t="str">
        <x:v>Lesiure Lion-New Castle</x:v>
      </x:c>
      <x:c r="L3926" s="19" t="str">
        <x:v>Z006</x:v>
      </x:c>
      <x:c r="M3926" s="19" t="str">
        <x:v>In Field Warranty Claims</x:v>
      </x:c>
      <x:c r="N3926" s="37" t="n">
        <x:v>46052</x:v>
      </x:c>
      <x:c r="O3926" s="37"/>
      <x:c r="P3926" s="34" t="n">
        <x:v>0</x:v>
      </x:c>
      <x:c r="Q3926" s="37" t="n">
        <x:v>46072.06686342593</x:v>
      </x:c>
    </x:row>
    <x:row r="3927">
      <x:c r="A3927" s="22" t="n">
        <x:v>30427</x:v>
      </x:c>
      <x:c r="B3927" s="28" t="n">
        <x:v>67.5</x:v>
      </x:c>
      <x:c r="C3927" s="28" t="n">
        <x:v>74.25</x:v>
      </x:c>
      <x:c r="D3927" s="31" t="n">
        <x:f>IF(OR(ISBLANK(B3927),ISBLANK(C3927),B3927=0),"",(C3927-B3927)/B3927)</x:f>
        <x:v>0.1</x:v>
      </x:c>
      <x:c r="E3927" s="22" t="str">
        <x:f>IF(ISBLANK(C3927),"AmountIncludingTax缺失",IF(ABS(B3927-C3927)&lt;0.005,"一致","不一致"))</x:f>
        <x:v>不一致</x:v>
      </x:c>
      <x:c r="F3927" s="19" t="str">
        <x:v>approved</x:v>
      </x:c>
      <x:c r="G3927" s="19" t="str">
        <x:v>Repairer Invoiced Processed</x:v>
      </x:c>
      <x:c r="H3927" s="19" t="str">
        <x:v>Pre Delivery</x:v>
      </x:c>
      <x:c r="I3927" s="37" t="n">
        <x:v>46129</x:v>
      </x:c>
      <x:c r="J3927" s="37" t="n">
        <x:v>46129</x:v>
      </x:c>
      <x:c r="K3927" s="19" t="str">
        <x:v>Green RV - Forest Glen</x:v>
      </x:c>
      <x:c r="L3927" s="19" t="str">
        <x:v>Z005</x:v>
      </x:c>
      <x:c r="M3927" s="19" t="str">
        <x:v>Pre Delivery Warranty Claims</x:v>
      </x:c>
      <x:c r="N3927" s="37" t="n">
        <x:v>46052</x:v>
      </x:c>
      <x:c r="O3927" s="37"/>
      <x:c r="P3927" s="34" t="n">
        <x:v>74.25</x:v>
      </x:c>
      <x:c r="Q3927" s="37" t="n">
        <x:v>46129.13486111111</x:v>
      </x:c>
    </x:row>
    <x:row r="3928">
      <x:c r="A3928" s="22" t="n">
        <x:v>30422</x:v>
      </x:c>
      <x:c r="B3928" s="28" t="n">
        <x:v>828.18</x:v>
      </x:c>
      <x:c r="C3928" s="28"/>
      <x:c r="D3928" s="31" t="str">
        <x:f>IF(OR(ISBLANK(B3928),ISBLANK(C3928),B3928=0),"",(C3928-B3928)/B3928)</x:f>
      </x:c>
      <x:c r="E3928" s="22" t="str">
        <x:f>IF(ISBLANK(C3928),"AmountIncludingTax缺失",IF(ABS(B3928-C3928)&lt;0.005,"一致","不一致"))</x:f>
        <x:v>AmountIncludingTax缺失</x:v>
      </x:c>
      <x:c r="F3928" s="19" t="str">
        <x:v>approved</x:v>
      </x:c>
      <x:c r="G3928" s="19" t="str">
        <x:v>Repair in Progress</x:v>
      </x:c>
      <x:c r="H3928" s="19" t="str">
        <x:v>In Field</x:v>
      </x:c>
      <x:c r="I3928" s="37" t="n">
        <x:v>46057</x:v>
      </x:c>
      <x:c r="J3928" s="37" t="n">
        <x:v>46057</x:v>
      </x:c>
      <x:c r="K3928" s="19" t="str">
        <x:v>Green RV - Forest Glen</x:v>
      </x:c>
      <x:c r="L3928" s="19" t="str">
        <x:v>Z006</x:v>
      </x:c>
      <x:c r="M3928" s="19" t="str">
        <x:v>In Field Warranty Claims</x:v>
      </x:c>
      <x:c r="N3928" s="37" t="n">
        <x:v>46052</x:v>
      </x:c>
      <x:c r="O3928" s="37"/>
      <x:c r="P3928" s="34" t="n">
        <x:v>0</x:v>
      </x:c>
      <x:c r="Q3928" s="37" t="n">
        <x:v>46057.061956018515</x:v>
      </x:c>
    </x:row>
    <x:row r="3929">
      <x:c r="A3929" s="22" t="n">
        <x:v>30421</x:v>
      </x:c>
      <x:c r="B3929" s="28" t="n">
        <x:v>296.4</x:v>
      </x:c>
      <x:c r="C3929" s="28" t="n">
        <x:v>326.04</x:v>
      </x:c>
      <x:c r="D3929" s="31" t="n">
        <x:f>IF(OR(ISBLANK(B3929),ISBLANK(C3929),B3929=0),"",(C3929-B3929)/B3929)</x:f>
        <x:v>0.10000000000000016</x:v>
      </x:c>
      <x:c r="E3929" s="22" t="str">
        <x:f>IF(ISBLANK(C3929),"AmountIncludingTax缺失",IF(ABS(B3929-C3929)&lt;0.005,"一致","不一致"))</x:f>
        <x:v>不一致</x:v>
      </x:c>
      <x:c r="F3929" s="19" t="str">
        <x:v>approved</x:v>
      </x:c>
      <x:c r="G3929" s="19" t="str">
        <x:v>Repairer Invoiced Processed</x:v>
      </x:c>
      <x:c r="H3929" s="19" t="str">
        <x:v>In Field</x:v>
      </x:c>
      <x:c r="I3929" s="37" t="n">
        <x:v>46135</x:v>
      </x:c>
      <x:c r="J3929" s="37" t="n">
        <x:v>46135</x:v>
      </x:c>
      <x:c r="K3929" s="19" t="str">
        <x:v>Lesiure Lion-New Castle</x:v>
      </x:c>
      <x:c r="L3929" s="19" t="str">
        <x:v>Z006</x:v>
      </x:c>
      <x:c r="M3929" s="19" t="str">
        <x:v>In Field Warranty Claims</x:v>
      </x:c>
      <x:c r="N3929" s="37" t="n">
        <x:v>46052</x:v>
      </x:c>
      <x:c r="O3929" s="37"/>
      <x:c r="P3929" s="34" t="n">
        <x:v>326.04</x:v>
      </x:c>
      <x:c r="Q3929" s="37" t="n">
        <x:v>46135.256053240744</x:v>
      </x:c>
    </x:row>
    <x:row r="3930">
      <x:c r="A3930" s="22" t="n">
        <x:v>30420</x:v>
      </x:c>
      <x:c r="B3930" s="28" t="n">
        <x:v>607.5</x:v>
      </x:c>
      <x:c r="C3930" s="28"/>
      <x:c r="D3930" s="31" t="str">
        <x:f>IF(OR(ISBLANK(B3930),ISBLANK(C3930),B3930=0),"",(C3930-B3930)/B3930)</x:f>
      </x:c>
      <x:c r="E3930" s="22" t="str">
        <x:f>IF(ISBLANK(C3930),"AmountIncludingTax缺失",IF(ABS(B3930-C3930)&lt;0.005,"一致","不一致"))</x:f>
        <x:v>AmountIncludingTax缺失</x:v>
      </x:c>
      <x:c r="F3930" s="19" t="str">
        <x:v>approved</x:v>
      </x:c>
      <x:c r="G3930" s="19" t="str">
        <x:v>Repair in Progress</x:v>
      </x:c>
      <x:c r="H3930" s="19" t="str">
        <x:v>In Field</x:v>
      </x:c>
      <x:c r="I3930" s="37" t="n">
        <x:v>46119</x:v>
      </x:c>
      <x:c r="J3930" s="37" t="n">
        <x:v>46119</x:v>
      </x:c>
      <x:c r="K3930" s="19" t="str">
        <x:v>Snowy River Launceston</x:v>
      </x:c>
      <x:c r="L3930" s="19" t="str">
        <x:v>Z006</x:v>
      </x:c>
      <x:c r="M3930" s="19" t="str">
        <x:v>In Field Warranty Claims</x:v>
      </x:c>
      <x:c r="N3930" s="37" t="n">
        <x:v>46052</x:v>
      </x:c>
      <x:c r="O3930" s="37"/>
      <x:c r="P3930" s="34" t="n">
        <x:v>0</x:v>
      </x:c>
      <x:c r="Q3930" s="37" t="n">
        <x:v>46119.20108796296</x:v>
      </x:c>
    </x:row>
    <x:row r="3931">
      <x:c r="A3931" s="22" t="n">
        <x:v>30419</x:v>
      </x:c>
      <x:c r="B3931" s="28" t="n">
        <x:v>111.25</x:v>
      </x:c>
      <x:c r="C3931" s="28"/>
      <x:c r="D3931" s="31" t="str">
        <x:f>IF(OR(ISBLANK(B3931),ISBLANK(C3931),B3931=0),"",(C3931-B3931)/B3931)</x:f>
      </x:c>
      <x:c r="E3931" s="22" t="str">
        <x:f>IF(ISBLANK(C3931),"AmountIncludingTax缺失",IF(ABS(B3931-C3931)&lt;0.005,"一致","不一致"))</x:f>
        <x:v>AmountIncludingTax缺失</x:v>
      </x:c>
      <x:c r="F3931" s="19" t="str">
        <x:v>approved</x:v>
      </x:c>
      <x:c r="G3931" s="19" t="str">
        <x:v>Repairer Invoiced Processed</x:v>
      </x:c>
      <x:c r="H3931" s="19" t="str">
        <x:v>In Field</x:v>
      </x:c>
      <x:c r="I3931" s="37" t="n">
        <x:v>46066</x:v>
      </x:c>
      <x:c r="J3931" s="37" t="n">
        <x:v>46066</x:v>
      </x:c>
      <x:c r="K3931" s="19" t="str">
        <x:v>Green RV - Forest Glen</x:v>
      </x:c>
      <x:c r="L3931" s="19" t="str">
        <x:v>Z006</x:v>
      </x:c>
      <x:c r="M3931" s="19" t="str">
        <x:v>In Field Warranty Claims</x:v>
      </x:c>
      <x:c r="N3931" s="37" t="n">
        <x:v>46052</x:v>
      </x:c>
      <x:c r="O3931" s="37"/>
      <x:c r="P3931" s="34" t="n">
        <x:v>0</x:v>
      </x:c>
      <x:c r="Q3931" s="37" t="n">
        <x:v>46066.28329861111</x:v>
      </x:c>
    </x:row>
    <x:row r="3932">
      <x:c r="A3932" s="22" t="n">
        <x:v>30418</x:v>
      </x:c>
      <x:c r="B3932" s="28" t="n">
        <x:v>82.5</x:v>
      </x:c>
      <x:c r="C3932" s="28"/>
      <x:c r="D3932" s="31" t="str">
        <x:f>IF(OR(ISBLANK(B3932),ISBLANK(C3932),B3932=0),"",(C3932-B3932)/B3932)</x:f>
      </x:c>
      <x:c r="E3932" s="22" t="str">
        <x:f>IF(ISBLANK(C3932),"AmountIncludingTax缺失",IF(ABS(B3932-C3932)&lt;0.005,"一致","不一致"))</x:f>
        <x:v>AmountIncludingTax缺失</x:v>
      </x:c>
      <x:c r="F3932" s="19" t="str">
        <x:v>approved</x:v>
      </x:c>
      <x:c r="G3932" s="19" t="str">
        <x:v>Repair in Progress</x:v>
      </x:c>
      <x:c r="H3932" s="19" t="str">
        <x:v>Pre Delivery</x:v>
      </x:c>
      <x:c r="I3932" s="37" t="n">
        <x:v>46120</x:v>
      </x:c>
      <x:c r="J3932" s="37" t="n">
        <x:v>46120</x:v>
      </x:c>
      <x:c r="K3932" s="19" t="str">
        <x:v>Regent RV - Perth</x:v>
      </x:c>
      <x:c r="L3932" s="19" t="str">
        <x:v>Z005</x:v>
      </x:c>
      <x:c r="M3932" s="19" t="str">
        <x:v>Pre Delivery Warranty Claims</x:v>
      </x:c>
      <x:c r="N3932" s="37" t="n">
        <x:v>46052</x:v>
      </x:c>
      <x:c r="O3932" s="37"/>
      <x:c r="P3932" s="34" t="n">
        <x:v>0</x:v>
      </x:c>
      <x:c r="Q3932" s="37" t="n">
        <x:v>46119.972974537035</x:v>
      </x:c>
    </x:row>
    <x:row r="3933">
      <x:c r="A3933" s="22" t="n">
        <x:v>30417</x:v>
      </x:c>
      <x:c r="B3933" s="28" t="n">
        <x:v>142.8</x:v>
      </x:c>
      <x:c r="C3933" s="28" t="n">
        <x:v>157.08</x:v>
      </x:c>
      <x:c r="D3933" s="31" t="n">
        <x:f>IF(OR(ISBLANK(B3933),ISBLANK(C3933),B3933=0),"",(C3933-B3933)/B3933)</x:f>
        <x:v>0.1</x:v>
      </x:c>
      <x:c r="E3933" s="22" t="str">
        <x:f>IF(ISBLANK(C3933),"AmountIncludingTax缺失",IF(ABS(B3933-C3933)&lt;0.005,"一致","不一致"))</x:f>
        <x:v>不一致</x:v>
      </x:c>
      <x:c r="F3933" s="19" t="str">
        <x:v>approved</x:v>
      </x:c>
      <x:c r="G3933" s="19" t="str">
        <x:v>Repairer Invoiced Processed</x:v>
      </x:c>
      <x:c r="H3933" s="19" t="str">
        <x:v>In Field</x:v>
      </x:c>
      <x:c r="I3933" s="37" t="n">
        <x:v>46087</x:v>
      </x:c>
      <x:c r="J3933" s="37" t="n">
        <x:v>46087</x:v>
      </x:c>
      <x:c r="K3933" s="19" t="str">
        <x:v>ABCO Caravans - Boambee Valley</x:v>
      </x:c>
      <x:c r="L3933" s="19" t="str">
        <x:v>Z006</x:v>
      </x:c>
      <x:c r="M3933" s="19" t="str">
        <x:v>In Field Warranty Claims</x:v>
      </x:c>
      <x:c r="N3933" s="37" t="n">
        <x:v>46052</x:v>
      </x:c>
      <x:c r="O3933" s="37"/>
      <x:c r="P3933" s="34" t="n">
        <x:v>157.08</x:v>
      </x:c>
      <x:c r="Q3933" s="37" t="n">
        <x:v>46086.95049768518</x:v>
      </x:c>
    </x:row>
    <x:row r="3934">
      <x:c r="A3934" s="22" t="n">
        <x:v>30416</x:v>
      </x:c>
      <x:c r="B3934" s="28" t="n">
        <x:v>67.5</x:v>
      </x:c>
      <x:c r="C3934" s="28" t="n">
        <x:v>74.25</x:v>
      </x:c>
      <x:c r="D3934" s="31" t="n">
        <x:f>IF(OR(ISBLANK(B3934),ISBLANK(C3934),B3934=0),"",(C3934-B3934)/B3934)</x:f>
        <x:v>0.1</x:v>
      </x:c>
      <x:c r="E3934" s="22" t="str">
        <x:f>IF(ISBLANK(C3934),"AmountIncludingTax缺失",IF(ABS(B3934-C3934)&lt;0.005,"一致","不一致"))</x:f>
        <x:v>不一致</x:v>
      </x:c>
      <x:c r="F3934" s="19" t="str">
        <x:v>approved</x:v>
      </x:c>
      <x:c r="G3934" s="19" t="str">
        <x:v>Repair in Progress</x:v>
      </x:c>
      <x:c r="H3934" s="19" t="str">
        <x:v>In Field</x:v>
      </x:c>
      <x:c r="I3934" s="37" t="n">
        <x:v>46122</x:v>
      </x:c>
      <x:c r="J3934" s="37" t="n">
        <x:v>46122</x:v>
      </x:c>
      <x:c r="K3934" s="19" t="str">
        <x:v>Leisure Lion Pty Ltd - Toowoomba</x:v>
      </x:c>
      <x:c r="L3934" s="19" t="str">
        <x:v>Z006</x:v>
      </x:c>
      <x:c r="M3934" s="19" t="str">
        <x:v>In Field Warranty Claims</x:v>
      </x:c>
      <x:c r="N3934" s="37" t="n">
        <x:v>46052</x:v>
      </x:c>
      <x:c r="O3934" s="37" t="n">
        <x:v>46058</x:v>
      </x:c>
      <x:c r="P3934" s="34" t="n">
        <x:v>74.25</x:v>
      </x:c>
      <x:c r="Q3934" s="37" t="n">
        <x:v>46122.15541666667</x:v>
      </x:c>
    </x:row>
    <x:row r="3935">
      <x:c r="A3935" s="22" t="n">
        <x:v>30415</x:v>
      </x:c>
      <x:c r="B3935" s="28" t="n">
        <x:v>972.5</x:v>
      </x:c>
      <x:c r="C3935" s="28" t="n">
        <x:v>880.5</x:v>
      </x:c>
      <x:c r="D3935" s="31" t="n">
        <x:f>IF(OR(ISBLANK(B3935),ISBLANK(C3935),B3935=0),"",(C3935-B3935)/B3935)</x:f>
        <x:v>-0.09460154241645244</x:v>
      </x:c>
      <x:c r="E3935" s="22" t="str">
        <x:f>IF(ISBLANK(C3935),"AmountIncludingTax缺失",IF(ABS(B3935-C3935)&lt;0.005,"一致","不一致"))</x:f>
        <x:v>不一致</x:v>
      </x:c>
      <x:c r="F3935" s="19" t="str">
        <x:v>approved</x:v>
      </x:c>
      <x:c r="G3935" s="19" t="str">
        <x:v>Repairer Invoiced Processed</x:v>
      </x:c>
      <x:c r="H3935" s="19" t="str">
        <x:v>In Field</x:v>
      </x:c>
      <x:c r="I3935" s="37" t="n">
        <x:v>46174</x:v>
      </x:c>
      <x:c r="J3935" s="37" t="n">
        <x:v>46097</x:v>
      </x:c>
      <x:c r="K3935" s="19" t="str">
        <x:v>Vanari Caravans - Marden Point</x:v>
      </x:c>
      <x:c r="L3935" s="19" t="str">
        <x:v>Z006</x:v>
      </x:c>
      <x:c r="M3935" s="19" t="str">
        <x:v>In Field Warranty Claims</x:v>
      </x:c>
      <x:c r="N3935" s="37" t="n">
        <x:v>46052</x:v>
      </x:c>
      <x:c r="O3935" s="37"/>
      <x:c r="P3935" s="34" t="n">
        <x:v>880.5</x:v>
      </x:c>
      <x:c r="Q3935" s="37" t="n">
        <x:v>46174.16391203704</x:v>
      </x:c>
    </x:row>
    <x:row r="3936">
      <x:c r="A3936" s="22" t="n">
        <x:v>30413</x:v>
      </x:c>
      <x:c r="B3936" s="28" t="n">
        <x:v>270</x:v>
      </x:c>
      <x:c r="C3936" s="28"/>
      <x:c r="D3936" s="31" t="str">
        <x:f>IF(OR(ISBLANK(B3936),ISBLANK(C3936),B3936=0),"",(C3936-B3936)/B3936)</x:f>
      </x:c>
      <x:c r="E3936" s="22" t="str">
        <x:f>IF(ISBLANK(C3936),"AmountIncludingTax缺失",IF(ABS(B3936-C3936)&lt;0.005,"一致","不一致"))</x:f>
        <x:v>AmountIncludingTax缺失</x:v>
      </x:c>
      <x:c r="F3936" s="19" t="str">
        <x:v>approved</x:v>
      </x:c>
      <x:c r="G3936" s="19" t="str">
        <x:v>Repairer Invoiced Received</x:v>
      </x:c>
      <x:c r="H3936" s="19" t="str">
        <x:v>In Field</x:v>
      </x:c>
      <x:c r="I3936" s="37" t="n">
        <x:v>46063</x:v>
      </x:c>
      <x:c r="J3936" s="37" t="n">
        <x:v>46063</x:v>
      </x:c>
      <x:c r="K3936" s="19" t="str">
        <x:v>Newcastle RV Super Centre - Beresfield</x:v>
      </x:c>
      <x:c r="L3936" s="19" t="str">
        <x:v>Z006</x:v>
      </x:c>
      <x:c r="M3936" s="19" t="str">
        <x:v>In Field Warranty Claims</x:v>
      </x:c>
      <x:c r="N3936" s="37" t="n">
        <x:v>46052</x:v>
      </x:c>
      <x:c r="O3936" s="37"/>
      <x:c r="P3936" s="34" t="n">
        <x:v>0</x:v>
      </x:c>
      <x:c r="Q3936" s="37" t="n">
        <x:v>46063.01516203704</x:v>
      </x:c>
    </x:row>
    <x:row r="3937">
      <x:c r="A3937" s="22" t="n">
        <x:v>30412</x:v>
      </x:c>
      <x:c r="B3937" s="28" t="n">
        <x:v>1241.25</x:v>
      </x:c>
      <x:c r="C3937" s="28"/>
      <x:c r="D3937" s="31" t="str">
        <x:f>IF(OR(ISBLANK(B3937),ISBLANK(C3937),B3937=0),"",(C3937-B3937)/B3937)</x:f>
      </x:c>
      <x:c r="E3937" s="22" t="str">
        <x:f>IF(ISBLANK(C3937),"AmountIncludingTax缺失",IF(ABS(B3937-C3937)&lt;0.005,"一致","不一致"))</x:f>
        <x:v>AmountIncludingTax缺失</x:v>
      </x:c>
      <x:c r="F3937" s="19" t="str">
        <x:v>approved</x:v>
      </x:c>
      <x:c r="G3937" s="19" t="str">
        <x:v>Partially Picked</x:v>
      </x:c>
      <x:c r="H3937" s="19" t="str">
        <x:v>In Field</x:v>
      </x:c>
      <x:c r="I3937" s="37" t="n">
        <x:v>46070</x:v>
      </x:c>
      <x:c r="J3937" s="37" t="n">
        <x:v>46069</x:v>
      </x:c>
      <x:c r="K3937" s="19" t="str">
        <x:v>Green RV - Forest Glen</x:v>
      </x:c>
      <x:c r="L3937" s="19" t="str">
        <x:v>Z006</x:v>
      </x:c>
      <x:c r="M3937" s="19" t="str">
        <x:v>In Field Warranty Claims</x:v>
      </x:c>
      <x:c r="N3937" s="37" t="n">
        <x:v>46052</x:v>
      </x:c>
      <x:c r="O3937" s="37"/>
      <x:c r="P3937" s="34" t="n">
        <x:v>0</x:v>
      </x:c>
      <x:c r="Q3937" s="37" t="n">
        <x:v>46069.9865162037</x:v>
      </x:c>
    </x:row>
    <x:row r="3938">
      <x:c r="A3938" s="22" t="n">
        <x:v>30411</x:v>
      </x:c>
      <x:c r="B3938" s="28" t="n">
        <x:v>300</x:v>
      </x:c>
      <x:c r="C3938" s="28" t="n">
        <x:v>330</x:v>
      </x:c>
      <x:c r="D3938" s="31" t="n">
        <x:f>IF(OR(ISBLANK(B3938),ISBLANK(C3938),B3938=0),"",(C3938-B3938)/B3938)</x:f>
        <x:v>0.1</x:v>
      </x:c>
      <x:c r="E3938" s="22" t="str">
        <x:f>IF(ISBLANK(C3938),"AmountIncludingTax缺失",IF(ABS(B3938-C3938)&lt;0.005,"一致","不一致"))</x:f>
        <x:v>不一致</x:v>
      </x:c>
      <x:c r="F3938" s="19" t="str">
        <x:v>approved</x:v>
      </x:c>
      <x:c r="G3938" s="19" t="str">
        <x:v>Repairer Invoiced Processed</x:v>
      </x:c>
      <x:c r="H3938" s="19" t="str">
        <x:v>In Field</x:v>
      </x:c>
      <x:c r="I3938" s="37" t="n">
        <x:v>46077</x:v>
      </x:c>
      <x:c r="J3938" s="37" t="n">
        <x:v>46077</x:v>
      </x:c>
      <x:c r="K3938" s="19" t="str">
        <x:v>Green RV - Forest Glen</x:v>
      </x:c>
      <x:c r="L3938" s="19" t="str">
        <x:v>Z006</x:v>
      </x:c>
      <x:c r="M3938" s="19" t="str">
        <x:v>In Field Warranty Claims</x:v>
      </x:c>
      <x:c r="N3938" s="37" t="n">
        <x:v>46052</x:v>
      </x:c>
      <x:c r="O3938" s="37"/>
      <x:c r="P3938" s="34" t="n">
        <x:v>330</x:v>
      </x:c>
      <x:c r="Q3938" s="37" t="n">
        <x:v>46076.986979166664</x:v>
      </x:c>
    </x:row>
    <x:row r="3939">
      <x:c r="A3939" s="22" t="n">
        <x:v>30408</x:v>
      </x:c>
      <x:c r="B3939" s="28" t="n">
        <x:v>617.68</x:v>
      </x:c>
      <x:c r="C3939" s="28" t="n">
        <x:v>679.45</x:v>
      </x:c>
      <x:c r="D3939" s="31" t="n">
        <x:f>IF(OR(ISBLANK(B3939),ISBLANK(C3939),B3939=0),"",(C3939-B3939)/B3939)</x:f>
        <x:v>0.10000323792254906</x:v>
      </x:c>
      <x:c r="E3939" s="22" t="str">
        <x:f>IF(ISBLANK(C3939),"AmountIncludingTax缺失",IF(ABS(B3939-C3939)&lt;0.005,"一致","不一致"))</x:f>
        <x:v>不一致</x:v>
      </x:c>
      <x:c r="F3939" s="19" t="str">
        <x:v>approved</x:v>
      </x:c>
      <x:c r="G3939" s="19" t="str">
        <x:v>Repairer Invoiced Processed</x:v>
      </x:c>
      <x:c r="H3939" s="19" t="str">
        <x:v>Pre Delivery</x:v>
      </x:c>
      <x:c r="I3939" s="37" t="n">
        <x:v>46129</x:v>
      </x:c>
      <x:c r="J3939" s="37" t="n">
        <x:v>46129</x:v>
      </x:c>
      <x:c r="K3939" s="19" t="str">
        <x:v>Green RV - Forest Glen</x:v>
      </x:c>
      <x:c r="L3939" s="19" t="str">
        <x:v>Z005</x:v>
      </x:c>
      <x:c r="M3939" s="19" t="str">
        <x:v>Pre Delivery Warranty Claims</x:v>
      </x:c>
      <x:c r="N3939" s="37" t="n">
        <x:v>46052</x:v>
      </x:c>
      <x:c r="O3939" s="37"/>
      <x:c r="P3939" s="34" t="n">
        <x:v>679.45</x:v>
      </x:c>
      <x:c r="Q3939" s="37" t="n">
        <x:v>46129.11586805555</x:v>
      </x:c>
    </x:row>
    <x:row r="3940">
      <x:c r="A3940" s="22" t="n">
        <x:v>30406</x:v>
      </x:c>
      <x:c r="B3940" s="28" t="n">
        <x:v>534.25</x:v>
      </x:c>
      <x:c r="C3940" s="28"/>
      <x:c r="D3940" s="31" t="str">
        <x:f>IF(OR(ISBLANK(B3940),ISBLANK(C3940),B3940=0),"",(C3940-B3940)/B3940)</x:f>
      </x:c>
      <x:c r="E3940" s="22" t="str">
        <x:f>IF(ISBLANK(C3940),"AmountIncludingTax缺失",IF(ABS(B3940-C3940)&lt;0.005,"一致","不一致"))</x:f>
        <x:v>AmountIncludingTax缺失</x:v>
      </x:c>
      <x:c r="F3940" s="19" t="str">
        <x:v>approved</x:v>
      </x:c>
      <x:c r="G3940" s="19" t="str">
        <x:v>Repairer Invoiced Processed</x:v>
      </x:c>
      <x:c r="H3940" s="19" t="str">
        <x:v>In Field</x:v>
      </x:c>
      <x:c r="I3940" s="37" t="n">
        <x:v>46071</x:v>
      </x:c>
      <x:c r="J3940" s="37" t="n">
        <x:v>46071</x:v>
      </x:c>
      <x:c r="K3940" s="19" t="str">
        <x:v>Lesiure Lion-New Castle</x:v>
      </x:c>
      <x:c r="L3940" s="19" t="str">
        <x:v>Z006</x:v>
      </x:c>
      <x:c r="M3940" s="19" t="str">
        <x:v>In Field Warranty Claims</x:v>
      </x:c>
      <x:c r="N3940" s="37" t="n">
        <x:v>46052</x:v>
      </x:c>
      <x:c r="O3940" s="37"/>
      <x:c r="P3940" s="34" t="n">
        <x:v>0</x:v>
      </x:c>
      <x:c r="Q3940" s="37" t="n">
        <x:v>46071.21539351852</x:v>
      </x:c>
    </x:row>
    <x:row r="3941">
      <x:c r="A3941" s="22" t="n">
        <x:v>30405</x:v>
      </x:c>
      <x:c r="B3941" s="28" t="n">
        <x:v>576</x:v>
      </x:c>
      <x:c r="C3941" s="28"/>
      <x:c r="D3941" s="31" t="str">
        <x:f>IF(OR(ISBLANK(B3941),ISBLANK(C3941),B3941=0),"",(C3941-B3941)/B3941)</x:f>
      </x:c>
      <x:c r="E3941" s="22" t="str">
        <x:f>IF(ISBLANK(C3941),"AmountIncludingTax缺失",IF(ABS(B3941-C3941)&lt;0.005,"一致","不一致"))</x:f>
        <x:v>AmountIncludingTax缺失</x:v>
      </x:c>
      <x:c r="F3941" s="19" t="str">
        <x:v>approved</x:v>
      </x:c>
      <x:c r="G3941" s="19" t="str">
        <x:v>Repairer Invoiced Received</x:v>
      </x:c>
      <x:c r="H3941" s="19" t="str">
        <x:v>In Field</x:v>
      </x:c>
      <x:c r="I3941" s="37" t="n">
        <x:v>46076</x:v>
      </x:c>
      <x:c r="J3941" s="37" t="n">
        <x:v>46076</x:v>
      </x:c>
      <x:c r="K3941" s="19" t="str">
        <x:v>Green RV - Forest Glen</x:v>
      </x:c>
      <x:c r="L3941" s="19" t="str">
        <x:v>Z006</x:v>
      </x:c>
      <x:c r="M3941" s="19" t="str">
        <x:v>In Field Warranty Claims</x:v>
      </x:c>
      <x:c r="N3941" s="37" t="n">
        <x:v>46052</x:v>
      </x:c>
      <x:c r="O3941" s="37"/>
      <x:c r="P3941" s="34" t="n">
        <x:v>0</x:v>
      </x:c>
      <x:c r="Q3941" s="37" t="n">
        <x:v>46075.950057870374</x:v>
      </x:c>
    </x:row>
    <x:row r="3942">
      <x:c r="A3942" s="22" t="n">
        <x:v>30404</x:v>
      </x:c>
      <x:c r="B3942" s="28" t="n">
        <x:v>725</x:v>
      </x:c>
      <x:c r="C3942" s="28"/>
      <x:c r="D3942" s="31" t="str">
        <x:f>IF(OR(ISBLANK(B3942),ISBLANK(C3942),B3942=0),"",(C3942-B3942)/B3942)</x:f>
      </x:c>
      <x:c r="E3942" s="22" t="str">
        <x:f>IF(ISBLANK(C3942),"AmountIncludingTax缺失",IF(ABS(B3942-C3942)&lt;0.005,"一致","不一致"))</x:f>
        <x:v>AmountIncludingTax缺失</x:v>
      </x:c>
      <x:c r="F3942" s="19" t="str">
        <x:v>approved</x:v>
      </x:c>
      <x:c r="G3942" s="19" t="str">
        <x:v>Repairer Invoiced Processed</x:v>
      </x:c>
      <x:c r="H3942" s="19" t="str">
        <x:v>In Field</x:v>
      </x:c>
      <x:c r="I3942" s="37" t="n">
        <x:v>46064</x:v>
      </x:c>
      <x:c r="J3942" s="37" t="n">
        <x:v>46064</x:v>
      </x:c>
      <x:c r="K3942" s="19" t="str">
        <x:v>Regent RV - Frankston</x:v>
      </x:c>
      <x:c r="L3942" s="19" t="str">
        <x:v>Z006</x:v>
      </x:c>
      <x:c r="M3942" s="19" t="str">
        <x:v>In Field Warranty Claims</x:v>
      </x:c>
      <x:c r="N3942" s="37" t="n">
        <x:v>46051</x:v>
      </x:c>
      <x:c r="O3942" s="37"/>
      <x:c r="P3942" s="34" t="n">
        <x:v>0</x:v>
      </x:c>
      <x:c r="Q3942" s="37" t="n">
        <x:v>46063.88681712963</x:v>
      </x:c>
    </x:row>
    <x:row r="3943">
      <x:c r="A3943" s="22" t="n">
        <x:v>30403</x:v>
      </x:c>
      <x:c r="B3943" s="28" t="n">
        <x:v>526.25</x:v>
      </x:c>
      <x:c r="C3943" s="28"/>
      <x:c r="D3943" s="31" t="str">
        <x:f>IF(OR(ISBLANK(B3943),ISBLANK(C3943),B3943=0),"",(C3943-B3943)/B3943)</x:f>
      </x:c>
      <x:c r="E3943" s="22" t="str">
        <x:f>IF(ISBLANK(C3943),"AmountIncludingTax缺失",IF(ABS(B3943-C3943)&lt;0.005,"一致","不一致"))</x:f>
        <x:v>AmountIncludingTax缺失</x:v>
      </x:c>
      <x:c r="F3943" s="19" t="str">
        <x:v>approved</x:v>
      </x:c>
      <x:c r="G3943" s="19" t="str">
        <x:v>Repairer Invoiced Processed</x:v>
      </x:c>
      <x:c r="H3943" s="19" t="str">
        <x:v>In Field</x:v>
      </x:c>
      <x:c r="I3943" s="37" t="n">
        <x:v>46113</x:v>
      </x:c>
      <x:c r="J3943" s="37" t="n">
        <x:v>46063</x:v>
      </x:c>
      <x:c r="K3943" s="19" t="str">
        <x:v>Newcastle RV Super Centre - Beresfield</x:v>
      </x:c>
      <x:c r="L3943" s="19" t="str">
        <x:v>Z006</x:v>
      </x:c>
      <x:c r="M3943" s="19" t="str">
        <x:v>In Field Warranty Claims</x:v>
      </x:c>
      <x:c r="N3943" s="37" t="n">
        <x:v>46051</x:v>
      </x:c>
      <x:c r="O3943" s="37"/>
      <x:c r="P3943" s="34" t="n">
        <x:v>0</x:v>
      </x:c>
      <x:c r="Q3943" s="37" t="n">
        <x:v>46113.19385416667</x:v>
      </x:c>
    </x:row>
    <x:row r="3944">
      <x:c r="A3944" s="22" t="n">
        <x:v>30402</x:v>
      </x:c>
      <x:c r="B3944" s="28" t="n">
        <x:v>67.5</x:v>
      </x:c>
      <x:c r="C3944" s="28"/>
      <x:c r="D3944" s="31" t="str">
        <x:f>IF(OR(ISBLANK(B3944),ISBLANK(C3944),B3944=0),"",(C3944-B3944)/B3944)</x:f>
      </x:c>
      <x:c r="E3944" s="22" t="str">
        <x:f>IF(ISBLANK(C3944),"AmountIncludingTax缺失",IF(ABS(B3944-C3944)&lt;0.005,"一致","不一致"))</x:f>
        <x:v>AmountIncludingTax缺失</x:v>
      </x:c>
      <x:c r="F3944" s="19" t="str">
        <x:v>approved</x:v>
      </x:c>
      <x:c r="G3944" s="19" t="str">
        <x:v>Repairer Invoiced Processed</x:v>
      </x:c>
      <x:c r="H3944" s="19" t="str">
        <x:v>In Field</x:v>
      </x:c>
      <x:c r="I3944" s="37" t="n">
        <x:v>46064</x:v>
      </x:c>
      <x:c r="J3944" s="37" t="n">
        <x:v>46064</x:v>
      </x:c>
      <x:c r="K3944" s="19" t="str">
        <x:v>Green RV - Forest Glen</x:v>
      </x:c>
      <x:c r="L3944" s="19" t="str">
        <x:v>Z006</x:v>
      </x:c>
      <x:c r="M3944" s="19" t="str">
        <x:v>In Field Warranty Claims</x:v>
      </x:c>
      <x:c r="N3944" s="37" t="n">
        <x:v>46051</x:v>
      </x:c>
      <x:c r="O3944" s="37"/>
      <x:c r="P3944" s="34" t="n">
        <x:v>0</x:v>
      </x:c>
      <x:c r="Q3944" s="37" t="n">
        <x:v>46063.89748842592</x:v>
      </x:c>
    </x:row>
    <x:row r="3945">
      <x:c r="A3945" s="22" t="n">
        <x:v>30400</x:v>
      </x:c>
      <x:c r="B3945" s="28" t="n">
        <x:v>135</x:v>
      </x:c>
      <x:c r="C3945" s="28" t="n">
        <x:v>148.5</x:v>
      </x:c>
      <x:c r="D3945" s="31" t="n">
        <x:f>IF(OR(ISBLANK(B3945),ISBLANK(C3945),B3945=0),"",(C3945-B3945)/B3945)</x:f>
        <x:v>0.1</x:v>
      </x:c>
      <x:c r="E3945" s="22" t="str">
        <x:f>IF(ISBLANK(C3945),"AmountIncludingTax缺失",IF(ABS(B3945-C3945)&lt;0.005,"一致","不一致"))</x:f>
        <x:v>不一致</x:v>
      </x:c>
      <x:c r="F3945" s="19" t="str">
        <x:v>approved</x:v>
      </x:c>
      <x:c r="G3945" s="19" t="str">
        <x:v>Repairer Invoiced Processed</x:v>
      </x:c>
      <x:c r="H3945" s="19" t="str">
        <x:v>In Field</x:v>
      </x:c>
      <x:c r="I3945" s="37" t="n">
        <x:v>46066</x:v>
      </x:c>
      <x:c r="J3945" s="37" t="n">
        <x:v>46066</x:v>
      </x:c>
      <x:c r="K3945" s="19" t="str">
        <x:v>Green RV - Forest Glen</x:v>
      </x:c>
      <x:c r="L3945" s="19" t="str">
        <x:v>Z006</x:v>
      </x:c>
      <x:c r="M3945" s="19" t="str">
        <x:v>In Field Warranty Claims</x:v>
      </x:c>
      <x:c r="N3945" s="37" t="n">
        <x:v>46052</x:v>
      </x:c>
      <x:c r="O3945" s="37"/>
      <x:c r="P3945" s="34" t="n">
        <x:v>148.5</x:v>
      </x:c>
      <x:c r="Q3945" s="37" t="n">
        <x:v>46066.28165509259</x:v>
      </x:c>
    </x:row>
    <x:row r="3946">
      <x:c r="A3946" s="22" t="n">
        <x:v>30399</x:v>
      </x:c>
      <x:c r="B3946" s="28" t="n">
        <x:v>560</x:v>
      </x:c>
      <x:c r="C3946" s="28"/>
      <x:c r="D3946" s="31" t="str">
        <x:f>IF(OR(ISBLANK(B3946),ISBLANK(C3946),B3946=0),"",(C3946-B3946)/B3946)</x:f>
      </x:c>
      <x:c r="E3946" s="22" t="str">
        <x:f>IF(ISBLANK(C3946),"AmountIncludingTax缺失",IF(ABS(B3946-C3946)&lt;0.005,"一致","不一致"))</x:f>
        <x:v>AmountIncludingTax缺失</x:v>
      </x:c>
      <x:c r="F3946" s="19" t="str">
        <x:v>approved</x:v>
      </x:c>
      <x:c r="G3946" s="19" t="str">
        <x:v>Repair in Progress</x:v>
      </x:c>
      <x:c r="H3946" s="19" t="str">
        <x:v>In Field</x:v>
      </x:c>
      <x:c r="I3946" s="37" t="n">
        <x:v>46076</x:v>
      </x:c>
      <x:c r="J3946" s="37" t="n">
        <x:v>46076</x:v>
      </x:c>
      <x:c r="K3946" s="19" t="str">
        <x:v>QCCC - Gympie</x:v>
      </x:c>
      <x:c r="L3946" s="19" t="str">
        <x:v>Z006</x:v>
      </x:c>
      <x:c r="M3946" s="19" t="str">
        <x:v>In Field Warranty Claims</x:v>
      </x:c>
      <x:c r="N3946" s="37" t="n">
        <x:v>46052</x:v>
      </x:c>
      <x:c r="O3946" s="37"/>
      <x:c r="P3946" s="34" t="n">
        <x:v>0</x:v>
      </x:c>
      <x:c r="Q3946" s="37" t="n">
        <x:v>46076.10519675926</x:v>
      </x:c>
    </x:row>
    <x:row r="3947">
      <x:c r="A3947" s="22" t="n">
        <x:v>30397</x:v>
      </x:c>
      <x:c r="B3947" s="28" t="n">
        <x:v>472.5</x:v>
      </x:c>
      <x:c r="C3947" s="28"/>
      <x:c r="D3947" s="31" t="str">
        <x:f>IF(OR(ISBLANK(B3947),ISBLANK(C3947),B3947=0),"",(C3947-B3947)/B3947)</x:f>
      </x:c>
      <x:c r="E3947" s="22" t="str">
        <x:f>IF(ISBLANK(C3947),"AmountIncludingTax缺失",IF(ABS(B3947-C3947)&lt;0.005,"一致","不一致"))</x:f>
        <x:v>AmountIncludingTax缺失</x:v>
      </x:c>
      <x:c r="F3947" s="19" t="str">
        <x:v>approved</x:v>
      </x:c>
      <x:c r="G3947" s="19" t="str">
        <x:v>Sales Order Approved</x:v>
      </x:c>
      <x:c r="H3947" s="19" t="str">
        <x:v>In Field</x:v>
      </x:c>
      <x:c r="I3947" s="37" t="n">
        <x:v>46206</x:v>
      </x:c>
      <x:c r="J3947" s="37" t="n">
        <x:v>46206</x:v>
      </x:c>
      <x:c r="K3947" s="19" t="str">
        <x:v>ABCO Caravans - Boambee Valley</x:v>
      </x:c>
      <x:c r="L3947" s="19" t="str">
        <x:v>Z006</x:v>
      </x:c>
      <x:c r="M3947" s="19" t="str">
        <x:v>In Field Warranty Claims</x:v>
      </x:c>
      <x:c r="N3947" s="37" t="n">
        <x:v>46051</x:v>
      </x:c>
      <x:c r="O3947" s="37" t="n">
        <x:v>46066</x:v>
      </x:c>
      <x:c r="P3947" s="34" t="n">
        <x:v>0</x:v>
      </x:c>
      <x:c r="Q3947" s="37" t="n">
        <x:v>46206.17076388889</x:v>
      </x:c>
    </x:row>
    <x:row r="3948">
      <x:c r="A3948" s="22" t="n">
        <x:v>30396</x:v>
      </x:c>
      <x:c r="B3948" s="28" t="n">
        <x:v>696.32</x:v>
      </x:c>
      <x:c r="C3948" s="28"/>
      <x:c r="D3948" s="31" t="str">
        <x:f>IF(OR(ISBLANK(B3948),ISBLANK(C3948),B3948=0),"",(C3948-B3948)/B3948)</x:f>
      </x:c>
      <x:c r="E3948" s="22" t="str">
        <x:f>IF(ISBLANK(C3948),"AmountIncludingTax缺失",IF(ABS(B3948-C3948)&lt;0.005,"一致","不一致"))</x:f>
        <x:v>AmountIncludingTax缺失</x:v>
      </x:c>
      <x:c r="F3948" s="19" t="str">
        <x:v>approved</x:v>
      </x:c>
      <x:c r="G3948" s="19" t="str">
        <x:v>Repair in Progress</x:v>
      </x:c>
      <x:c r="H3948" s="19" t="str">
        <x:v>Pre Delivery</x:v>
      </x:c>
      <x:c r="I3948" s="37" t="n">
        <x:v>46079</x:v>
      </x:c>
      <x:c r="J3948" s="37" t="n">
        <x:v>46079</x:v>
      </x:c>
      <x:c r="K3948" s="19" t="str">
        <x:v>The Caravan Hub - Townsville</x:v>
      </x:c>
      <x:c r="L3948" s="19" t="str">
        <x:v>Z005</x:v>
      </x:c>
      <x:c r="M3948" s="19" t="str">
        <x:v>Pre Delivery Warranty Claims</x:v>
      </x:c>
      <x:c r="N3948" s="37" t="n">
        <x:v>46051</x:v>
      </x:c>
      <x:c r="O3948" s="37"/>
      <x:c r="P3948" s="34" t="n">
        <x:v>0</x:v>
      </x:c>
      <x:c r="Q3948" s="37" t="n">
        <x:v>46078.92653935185</x:v>
      </x:c>
    </x:row>
    <x:row r="3949">
      <x:c r="A3949" s="22" t="n">
        <x:v>30394</x:v>
      </x:c>
      <x:c r="B3949" s="28" t="n">
        <x:v>355.5</x:v>
      </x:c>
      <x:c r="C3949" s="28"/>
      <x:c r="D3949" s="31" t="str">
        <x:f>IF(OR(ISBLANK(B3949),ISBLANK(C3949),B3949=0),"",(C3949-B3949)/B3949)</x:f>
      </x:c>
      <x:c r="E3949" s="22" t="str">
        <x:f>IF(ISBLANK(C3949),"AmountIncludingTax缺失",IF(ABS(B3949-C3949)&lt;0.005,"一致","不一致"))</x:f>
        <x:v>AmountIncludingTax缺失</x:v>
      </x:c>
      <x:c r="F3949" s="19" t="str">
        <x:v>approved</x:v>
      </x:c>
      <x:c r="G3949" s="19" t="str">
        <x:v>Repairer Invoiced Processed</x:v>
      </x:c>
      <x:c r="H3949" s="19" t="str">
        <x:v>In Field</x:v>
      </x:c>
      <x:c r="I3949" s="37" t="n">
        <x:v>46091</x:v>
      </x:c>
      <x:c r="J3949" s="37" t="n">
        <x:v>46091</x:v>
      </x:c>
      <x:c r="K3949" s="19" t="str">
        <x:v>Green RV - Slacks Creek</x:v>
      </x:c>
      <x:c r="L3949" s="19" t="str">
        <x:v>Z006</x:v>
      </x:c>
      <x:c r="M3949" s="19" t="str">
        <x:v>In Field Warranty Claims</x:v>
      </x:c>
      <x:c r="N3949" s="37" t="n">
        <x:v>46051</x:v>
      </x:c>
      <x:c r="O3949" s="37"/>
      <x:c r="P3949" s="34" t="n">
        <x:v>0</x:v>
      </x:c>
      <x:c r="Q3949" s="37" t="n">
        <x:v>46090.99793981481</x:v>
      </x:c>
    </x:row>
    <x:row r="3950">
      <x:c r="A3950" s="22" t="n">
        <x:v>30393</x:v>
      </x:c>
      <x:c r="B3950" s="28" t="n">
        <x:v>1235</x:v>
      </x:c>
      <x:c r="C3950" s="28"/>
      <x:c r="D3950" s="31" t="str">
        <x:f>IF(OR(ISBLANK(B3950),ISBLANK(C3950),B3950=0),"",(C3950-B3950)/B3950)</x:f>
      </x:c>
      <x:c r="E3950" s="22" t="str">
        <x:f>IF(ISBLANK(C3950),"AmountIncludingTax缺失",IF(ABS(B3950-C3950)&lt;0.005,"一致","不一致"))</x:f>
        <x:v>AmountIncludingTax缺失</x:v>
      </x:c>
      <x:c r="F3950" s="19" t="str">
        <x:v>approved</x:v>
      </x:c>
      <x:c r="G3950" s="19" t="str">
        <x:v>Repairer Invoiced Processed</x:v>
      </x:c>
      <x:c r="H3950" s="19" t="str">
        <x:v>In Field</x:v>
      </x:c>
      <x:c r="I3950" s="37" t="n">
        <x:v>46077</x:v>
      </x:c>
      <x:c r="J3950" s="37" t="n">
        <x:v>46077</x:v>
      </x:c>
      <x:c r="K3950" s="19" t="str">
        <x:v>Green RV - Forest Glen</x:v>
      </x:c>
      <x:c r="L3950" s="19" t="str">
        <x:v>Z006</x:v>
      </x:c>
      <x:c r="M3950" s="19" t="str">
        <x:v>In Field Warranty Claims</x:v>
      </x:c>
      <x:c r="N3950" s="37" t="n">
        <x:v>46051</x:v>
      </x:c>
      <x:c r="O3950" s="37"/>
      <x:c r="P3950" s="34" t="n">
        <x:v>0</x:v>
      </x:c>
      <x:c r="Q3950" s="37" t="n">
        <x:v>46077.03296296296</x:v>
      </x:c>
    </x:row>
    <x:row r="3951">
      <x:c r="A3951" s="22" t="n">
        <x:v>30391</x:v>
      </x:c>
      <x:c r="B3951" s="28" t="n">
        <x:v>1322.5</x:v>
      </x:c>
      <x:c r="C3951" s="28"/>
      <x:c r="D3951" s="31" t="str">
        <x:f>IF(OR(ISBLANK(B3951),ISBLANK(C3951),B3951=0),"",(C3951-B3951)/B3951)</x:f>
      </x:c>
      <x:c r="E3951" s="22" t="str">
        <x:f>IF(ISBLANK(C3951),"AmountIncludingTax缺失",IF(ABS(B3951-C3951)&lt;0.005,"一致","不一致"))</x:f>
        <x:v>AmountIncludingTax缺失</x:v>
      </x:c>
      <x:c r="F3951" s="19" t="str">
        <x:v>approved</x:v>
      </x:c>
      <x:c r="G3951" s="19" t="str">
        <x:v>Sales Order Approved</x:v>
      </x:c>
      <x:c r="H3951" s="19" t="str">
        <x:v>In Field</x:v>
      </x:c>
      <x:c r="I3951" s="37" t="n">
        <x:v>46139</x:v>
      </x:c>
      <x:c r="J3951" s="37" t="n">
        <x:v>46139</x:v>
      </x:c>
      <x:c r="K3951" s="19" t="str">
        <x:v>Green RV - Forest Glen</x:v>
      </x:c>
      <x:c r="L3951" s="19" t="str">
        <x:v>Z006</x:v>
      </x:c>
      <x:c r="M3951" s="19" t="str">
        <x:v>In Field Warranty Claims</x:v>
      </x:c>
      <x:c r="N3951" s="37" t="n">
        <x:v>46051</x:v>
      </x:c>
      <x:c r="O3951" s="37"/>
      <x:c r="P3951" s="34" t="n">
        <x:v>0</x:v>
      </x:c>
      <x:c r="Q3951" s="37" t="n">
        <x:v>46139.00644675926</x:v>
      </x:c>
    </x:row>
    <x:row r="3952">
      <x:c r="A3952" s="22" t="n">
        <x:v>30387</x:v>
      </x:c>
      <x:c r="B3952" s="28" t="n">
        <x:v>87.5</x:v>
      </x:c>
      <x:c r="C3952" s="28"/>
      <x:c r="D3952" s="31" t="str">
        <x:f>IF(OR(ISBLANK(B3952),ISBLANK(C3952),B3952=0),"",(C3952-B3952)/B3952)</x:f>
      </x:c>
      <x:c r="E3952" s="22" t="str">
        <x:f>IF(ISBLANK(C3952),"AmountIncludingTax缺失",IF(ABS(B3952-C3952)&lt;0.005,"一致","不一致"))</x:f>
        <x:v>AmountIncludingTax缺失</x:v>
      </x:c>
      <x:c r="F3952" s="19" t="str">
        <x:v>approved</x:v>
      </x:c>
      <x:c r="G3952" s="19" t="str">
        <x:v>Repairer Invoiced Processed</x:v>
      </x:c>
      <x:c r="H3952" s="19" t="str">
        <x:v>In Field</x:v>
      </x:c>
      <x:c r="I3952" s="37" t="n">
        <x:v>46100</x:v>
      </x:c>
      <x:c r="J3952" s="37" t="n">
        <x:v>46100</x:v>
      </x:c>
      <x:c r="K3952" s="19" t="str">
        <x:v>Dario Caravans -St.Marys</x:v>
      </x:c>
      <x:c r="L3952" s="19" t="str">
        <x:v>Z006</x:v>
      </x:c>
      <x:c r="M3952" s="19" t="str">
        <x:v>In Field Warranty Claims</x:v>
      </x:c>
      <x:c r="N3952" s="37" t="n">
        <x:v>46051</x:v>
      </x:c>
      <x:c r="O3952" s="37"/>
      <x:c r="P3952" s="34" t="n">
        <x:v>0</x:v>
      </x:c>
      <x:c r="Q3952" s="37" t="n">
        <x:v>46100.1466087963</x:v>
      </x:c>
    </x:row>
    <x:row r="3953">
      <x:c r="A3953" s="22" t="n">
        <x:v>30386</x:v>
      </x:c>
      <x:c r="B3953" s="28" t="n">
        <x:v>74.09</x:v>
      </x:c>
      <x:c r="C3953" s="28"/>
      <x:c r="D3953" s="31" t="str">
        <x:f>IF(OR(ISBLANK(B3953),ISBLANK(C3953),B3953=0),"",(C3953-B3953)/B3953)</x:f>
      </x:c>
      <x:c r="E3953" s="22" t="str">
        <x:f>IF(ISBLANK(C3953),"AmountIncludingTax缺失",IF(ABS(B3953-C3953)&lt;0.005,"一致","不一致"))</x:f>
        <x:v>AmountIncludingTax缺失</x:v>
      </x:c>
      <x:c r="F3953" s="19" t="str">
        <x:v>approved</x:v>
      </x:c>
      <x:c r="G3953" s="19" t="str">
        <x:v>Repairer Invoiced Processed</x:v>
      </x:c>
      <x:c r="H3953" s="19" t="str">
        <x:v>In Field</x:v>
      </x:c>
      <x:c r="I3953" s="37" t="n">
        <x:v>46063</x:v>
      </x:c>
      <x:c r="J3953" s="37" t="n">
        <x:v>46058</x:v>
      </x:c>
      <x:c r="K3953" s="19" t="str">
        <x:v>Dario Caravans -St.Marys</x:v>
      </x:c>
      <x:c r="L3953" s="19" t="str">
        <x:v>Z006</x:v>
      </x:c>
      <x:c r="M3953" s="19" t="str">
        <x:v>In Field Warranty Claims</x:v>
      </x:c>
      <x:c r="N3953" s="37" t="n">
        <x:v>46051</x:v>
      </x:c>
      <x:c r="O3953" s="37"/>
      <x:c r="P3953" s="34" t="n">
        <x:v>0</x:v>
      </x:c>
      <x:c r="Q3953" s="37" t="n">
        <x:v>46062.98939814815</x:v>
      </x:c>
    </x:row>
    <x:row r="3954">
      <x:c r="A3954" s="22" t="n">
        <x:v>30383</x:v>
      </x:c>
      <x:c r="B3954" s="28" t="n">
        <x:v>1427.1</x:v>
      </x:c>
      <x:c r="C3954" s="28"/>
      <x:c r="D3954" s="31" t="str">
        <x:f>IF(OR(ISBLANK(B3954),ISBLANK(C3954),B3954=0),"",(C3954-B3954)/B3954)</x:f>
      </x:c>
      <x:c r="E3954" s="22" t="str">
        <x:f>IF(ISBLANK(C3954),"AmountIncludingTax缺失",IF(ABS(B3954-C3954)&lt;0.005,"一致","不一致"))</x:f>
        <x:v>AmountIncludingTax缺失</x:v>
      </x:c>
      <x:c r="F3954" s="19" t="str">
        <x:v>approved</x:v>
      </x:c>
      <x:c r="G3954" s="19" t="str">
        <x:v>Repair in Progress</x:v>
      </x:c>
      <x:c r="H3954" s="19" t="str">
        <x:v>In Field</x:v>
      </x:c>
      <x:c r="I3954" s="37" t="n">
        <x:v>46057</x:v>
      </x:c>
      <x:c r="J3954" s="37" t="n">
        <x:v>46057</x:v>
      </x:c>
      <x:c r="K3954" s="19" t="str">
        <x:v>Regent RV - Toowoomba</x:v>
      </x:c>
      <x:c r="L3954" s="19" t="str">
        <x:v>Z006</x:v>
      </x:c>
      <x:c r="M3954" s="19" t="str">
        <x:v>In Field Warranty Claims</x:v>
      </x:c>
      <x:c r="N3954" s="37" t="n">
        <x:v>46051</x:v>
      </x:c>
      <x:c r="O3954" s="37"/>
      <x:c r="P3954" s="34" t="n">
        <x:v>1569.81</x:v>
      </x:c>
      <x:c r="Q3954" s="37" t="n">
        <x:v>46057.10974537037</x:v>
      </x:c>
    </x:row>
    <x:row r="3955">
      <x:c r="A3955" s="22" t="n">
        <x:v>30381</x:v>
      </x:c>
      <x:c r="B3955" s="28" t="n">
        <x:v>151.5</x:v>
      </x:c>
      <x:c r="C3955" s="28" t="n">
        <x:v>137.17</x:v>
      </x:c>
      <x:c r="D3955" s="31" t="n">
        <x:f>IF(OR(ISBLANK(B3955),ISBLANK(C3955),B3955=0),"",(C3955-B3955)/B3955)</x:f>
        <x:v>-0.09458745874587467</x:v>
      </x:c>
      <x:c r="E3955" s="22" t="str">
        <x:f>IF(ISBLANK(C3955),"AmountIncludingTax缺失",IF(ABS(B3955-C3955)&lt;0.005,"一致","不一致"))</x:f>
        <x:v>不一致</x:v>
      </x:c>
      <x:c r="F3955" s="19" t="str">
        <x:v>approved</x:v>
      </x:c>
      <x:c r="G3955" s="19" t="str">
        <x:v>Repairer Invoiced Processed</x:v>
      </x:c>
      <x:c r="H3955" s="19" t="str">
        <x:v>In Field</x:v>
      </x:c>
      <x:c r="I3955" s="37" t="n">
        <x:v>46161</x:v>
      </x:c>
      <x:c r="J3955" s="37" t="n">
        <x:v>46108</x:v>
      </x:c>
      <x:c r="K3955" s="19" t="str">
        <x:v>Vanari Caravans - Marden Point</x:v>
      </x:c>
      <x:c r="L3955" s="19" t="str">
        <x:v>Z006</x:v>
      </x:c>
      <x:c r="M3955" s="19" t="str">
        <x:v>In Field Warranty Claims</x:v>
      </x:c>
      <x:c r="N3955" s="37" t="n">
        <x:v>46051</x:v>
      </x:c>
      <x:c r="O3955" s="37"/>
      <x:c r="P3955" s="34" t="n">
        <x:v>137.17</x:v>
      </x:c>
      <x:c r="Q3955" s="37" t="n">
        <x:v>46161.285891203705</x:v>
      </x:c>
    </x:row>
    <x:row r="3956">
      <x:c r="A3956" s="22" t="n">
        <x:v>30380</x:v>
      </x:c>
      <x:c r="B3956" s="28" t="n">
        <x:v>1915</x:v>
      </x:c>
      <x:c r="C3956" s="28"/>
      <x:c r="D3956" s="31" t="str">
        <x:f>IF(OR(ISBLANK(B3956),ISBLANK(C3956),B3956=0),"",(C3956-B3956)/B3956)</x:f>
      </x:c>
      <x:c r="E3956" s="22" t="str">
        <x:f>IF(ISBLANK(C3956),"AmountIncludingTax缺失",IF(ABS(B3956-C3956)&lt;0.005,"一致","不一致"))</x:f>
        <x:v>AmountIncludingTax缺失</x:v>
      </x:c>
      <x:c r="F3956" s="19" t="str">
        <x:v>approved</x:v>
      </x:c>
      <x:c r="G3956" s="19" t="str">
        <x:v>Repairer Invoiced Processed</x:v>
      </x:c>
      <x:c r="H3956" s="19" t="str">
        <x:v>In Field</x:v>
      </x:c>
      <x:c r="I3956" s="37" t="n">
        <x:v>46098</x:v>
      </x:c>
      <x:c r="J3956" s="37" t="n">
        <x:v>46098</x:v>
      </x:c>
      <x:c r="K3956" s="19" t="str">
        <x:v>Vanari Caravans - Marden Point</x:v>
      </x:c>
      <x:c r="L3956" s="19" t="str">
        <x:v>Z006</x:v>
      </x:c>
      <x:c r="M3956" s="19" t="str">
        <x:v>In Field Warranty Claims</x:v>
      </x:c>
      <x:c r="N3956" s="37" t="n">
        <x:v>46051</x:v>
      </x:c>
      <x:c r="O3956" s="37"/>
      <x:c r="P3956" s="34" t="n">
        <x:v>1733.84</x:v>
      </x:c>
      <x:c r="Q3956" s="37" t="n">
        <x:v>46097.886828703704</x:v>
      </x:c>
    </x:row>
    <x:row r="3957">
      <x:c r="A3957" s="22" t="n">
        <x:v>30379</x:v>
      </x:c>
      <x:c r="B3957" s="28" t="n">
        <x:v>1080</x:v>
      </x:c>
      <x:c r="C3957" s="28"/>
      <x:c r="D3957" s="31" t="str">
        <x:f>IF(OR(ISBLANK(B3957),ISBLANK(C3957),B3957=0),"",(C3957-B3957)/B3957)</x:f>
      </x:c>
      <x:c r="E3957" s="22" t="str">
        <x:f>IF(ISBLANK(C3957),"AmountIncludingTax缺失",IF(ABS(B3957-C3957)&lt;0.005,"一致","不一致"))</x:f>
        <x:v>AmountIncludingTax缺失</x:v>
      </x:c>
      <x:c r="F3957" s="19" t="str">
        <x:v>approved</x:v>
      </x:c>
      <x:c r="G3957" s="19" t="str">
        <x:v>Repairer Invoiced Processed</x:v>
      </x:c>
      <x:c r="H3957" s="19" t="str">
        <x:v>In Field</x:v>
      </x:c>
      <x:c r="I3957" s="37" t="n">
        <x:v>46147</x:v>
      </x:c>
      <x:c r="J3957" s="37" t="n">
        <x:v>46147</x:v>
      </x:c>
      <x:c r="K3957" s="19" t="str">
        <x:v>Green RV - Forest Glen</x:v>
      </x:c>
      <x:c r="L3957" s="19" t="str">
        <x:v>Z006</x:v>
      </x:c>
      <x:c r="M3957" s="19" t="str">
        <x:v>In Field Warranty Claims</x:v>
      </x:c>
      <x:c r="N3957" s="37" t="n">
        <x:v>46051</x:v>
      </x:c>
      <x:c r="O3957" s="37"/>
      <x:c r="P3957" s="34" t="n">
        <x:v>0</x:v>
      </x:c>
      <x:c r="Q3957" s="37" t="n">
        <x:v>46147.18069444445</x:v>
      </x:c>
    </x:row>
    <x:row r="3958">
      <x:c r="A3958" s="22" t="n">
        <x:v>30378</x:v>
      </x:c>
      <x:c r="B3958" s="28" t="n">
        <x:v>1609.59</x:v>
      </x:c>
      <x:c r="C3958" s="28"/>
      <x:c r="D3958" s="31" t="str">
        <x:f>IF(OR(ISBLANK(B3958),ISBLANK(C3958),B3958=0),"",(C3958-B3958)/B3958)</x:f>
      </x:c>
      <x:c r="E3958" s="22" t="str">
        <x:f>IF(ISBLANK(C3958),"AmountIncludingTax缺失",IF(ABS(B3958-C3958)&lt;0.005,"一致","不一致"))</x:f>
        <x:v>AmountIncludingTax缺失</x:v>
      </x:c>
      <x:c r="F3958" s="19" t="str">
        <x:v>approved</x:v>
      </x:c>
      <x:c r="G3958" s="19" t="str">
        <x:v>Repairer Invoiced Processed</x:v>
      </x:c>
      <x:c r="H3958" s="19" t="str">
        <x:v>In Field</x:v>
      </x:c>
      <x:c r="I3958" s="37" t="n">
        <x:v>46149</x:v>
      </x:c>
      <x:c r="J3958" s="37" t="n">
        <x:v>46142</x:v>
      </x:c>
      <x:c r="K3958" s="19" t="str">
        <x:v>Dario Caravans -St.Marys</x:v>
      </x:c>
      <x:c r="L3958" s="19" t="str">
        <x:v>Z006</x:v>
      </x:c>
      <x:c r="M3958" s="19" t="str">
        <x:v>In Field Warranty Claims</x:v>
      </x:c>
      <x:c r="N3958" s="37" t="n">
        <x:v>46051</x:v>
      </x:c>
      <x:c r="O3958" s="37"/>
      <x:c r="P3958" s="34" t="n">
        <x:v>1770.55</x:v>
      </x:c>
      <x:c r="Q3958" s="37" t="n">
        <x:v>46149.18832175926</x:v>
      </x:c>
    </x:row>
    <x:row r="3959">
      <x:c r="A3959" s="22" t="n">
        <x:v>30377</x:v>
      </x:c>
      <x:c r="B3959" s="28" t="n">
        <x:v>945</x:v>
      </x:c>
      <x:c r="C3959" s="28"/>
      <x:c r="D3959" s="31" t="str">
        <x:f>IF(OR(ISBLANK(B3959),ISBLANK(C3959),B3959=0),"",(C3959-B3959)/B3959)</x:f>
      </x:c>
      <x:c r="E3959" s="22" t="str">
        <x:f>IF(ISBLANK(C3959),"AmountIncludingTax缺失",IF(ABS(B3959-C3959)&lt;0.005,"一致","不一致"))</x:f>
        <x:v>AmountIncludingTax缺失</x:v>
      </x:c>
      <x:c r="F3959" s="19" t="str">
        <x:v>approved</x:v>
      </x:c>
      <x:c r="G3959" s="19" t="str">
        <x:v>Repairer Invoiced Processed</x:v>
      </x:c>
      <x:c r="H3959" s="19" t="str">
        <x:v>In Field</x:v>
      </x:c>
      <x:c r="I3959" s="37" t="n">
        <x:v>46086</x:v>
      </x:c>
      <x:c r="J3959" s="37" t="n">
        <x:v>46063</x:v>
      </x:c>
      <x:c r="K3959" s="19" t="str">
        <x:v>Newcastle RV Super Centre - Beresfield</x:v>
      </x:c>
      <x:c r="L3959" s="19" t="str">
        <x:v>Z006</x:v>
      </x:c>
      <x:c r="M3959" s="19" t="str">
        <x:v>In Field Warranty Claims</x:v>
      </x:c>
      <x:c r="N3959" s="37" t="n">
        <x:v>46051</x:v>
      </x:c>
      <x:c r="O3959" s="37"/>
      <x:c r="P3959" s="34" t="n">
        <x:v>0</x:v>
      </x:c>
      <x:c r="Q3959" s="37" t="n">
        <x:v>46086.23181712963</x:v>
      </x:c>
    </x:row>
    <x:row r="3960">
      <x:c r="A3960" s="22" t="n">
        <x:v>30376</x:v>
      </x:c>
      <x:c r="B3960" s="28" t="n">
        <x:v>1130</x:v>
      </x:c>
      <x:c r="C3960" s="28"/>
      <x:c r="D3960" s="31" t="str">
        <x:f>IF(OR(ISBLANK(B3960),ISBLANK(C3960),B3960=0),"",(C3960-B3960)/B3960)</x:f>
      </x:c>
      <x:c r="E3960" s="22" t="str">
        <x:f>IF(ISBLANK(C3960),"AmountIncludingTax缺失",IF(ABS(B3960-C3960)&lt;0.005,"一致","不一致"))</x:f>
        <x:v>AmountIncludingTax缺失</x:v>
      </x:c>
      <x:c r="F3960" s="19" t="str">
        <x:v>approved</x:v>
      </x:c>
      <x:c r="G3960" s="19" t="str">
        <x:v>Repairer Invoiced Processed</x:v>
      </x:c>
      <x:c r="H3960" s="19" t="str">
        <x:v>In Field</x:v>
      </x:c>
      <x:c r="I3960" s="37" t="n">
        <x:v>46209</x:v>
      </x:c>
      <x:c r="J3960" s="37" t="n">
        <x:v>46093</x:v>
      </x:c>
      <x:c r="K3960" s="19" t="str">
        <x:v>Regent RV - Perth</x:v>
      </x:c>
      <x:c r="L3960" s="19" t="str">
        <x:v>Z006</x:v>
      </x:c>
      <x:c r="M3960" s="19" t="str">
        <x:v>In Field Warranty Claims</x:v>
      </x:c>
      <x:c r="N3960" s="37" t="n">
        <x:v>46051</x:v>
      </x:c>
      <x:c r="O3960" s="37"/>
      <x:c r="P3960" s="34" t="n">
        <x:v>0</x:v>
      </x:c>
      <x:c r="Q3960" s="37" t="n">
        <x:v>46209.15818287037</x:v>
      </x:c>
    </x:row>
    <x:row r="3961">
      <x:c r="A3961" s="22" t="n">
        <x:v>30375</x:v>
      </x:c>
      <x:c r="B3961" s="28" t="n">
        <x:v>613.75</x:v>
      </x:c>
      <x:c r="C3961" s="28"/>
      <x:c r="D3961" s="31" t="str">
        <x:f>IF(OR(ISBLANK(B3961),ISBLANK(C3961),B3961=0),"",(C3961-B3961)/B3961)</x:f>
      </x:c>
      <x:c r="E3961" s="22" t="str">
        <x:f>IF(ISBLANK(C3961),"AmountIncludingTax缺失",IF(ABS(B3961-C3961)&lt;0.005,"一致","不一致"))</x:f>
        <x:v>AmountIncludingTax缺失</x:v>
      </x:c>
      <x:c r="F3961" s="19" t="str">
        <x:v>approved</x:v>
      </x:c>
      <x:c r="G3961" s="19" t="str">
        <x:v>Repairer Invoiced Processed</x:v>
      </x:c>
      <x:c r="H3961" s="19" t="str">
        <x:v>In Field</x:v>
      </x:c>
      <x:c r="I3961" s="37" t="n">
        <x:v>46072</x:v>
      </x:c>
      <x:c r="J3961" s="37" t="n">
        <x:v>46072</x:v>
      </x:c>
      <x:c r="K3961" s="19" t="str">
        <x:v>Lesiure Lion-New Castle</x:v>
      </x:c>
      <x:c r="L3961" s="19" t="str">
        <x:v>Z006</x:v>
      </x:c>
      <x:c r="M3961" s="19" t="str">
        <x:v>In Field Warranty Claims</x:v>
      </x:c>
      <x:c r="N3961" s="37" t="n">
        <x:v>46051</x:v>
      </x:c>
      <x:c r="O3961" s="37"/>
      <x:c r="P3961" s="34" t="n">
        <x:v>0</x:v>
      </x:c>
      <x:c r="Q3961" s="37" t="n">
        <x:v>46072.20438657407</x:v>
      </x:c>
    </x:row>
    <x:row r="3962">
      <x:c r="A3962" s="22" t="n">
        <x:v>30373</x:v>
      </x:c>
      <x:c r="B3962" s="28" t="n">
        <x:v>162.58</x:v>
      </x:c>
      <x:c r="C3962" s="28"/>
      <x:c r="D3962" s="31" t="str">
        <x:f>IF(OR(ISBLANK(B3962),ISBLANK(C3962),B3962=0),"",(C3962-B3962)/B3962)</x:f>
      </x:c>
      <x:c r="E3962" s="22" t="str">
        <x:f>IF(ISBLANK(C3962),"AmountIncludingTax缺失",IF(ABS(B3962-C3962)&lt;0.005,"一致","不一致"))</x:f>
        <x:v>AmountIncludingTax缺失</x:v>
      </x:c>
      <x:c r="F3962" s="19" t="str">
        <x:v>approved</x:v>
      </x:c>
      <x:c r="G3962" s="19" t="str">
        <x:v>Repairer Invoiced Processed</x:v>
      </x:c>
      <x:c r="H3962" s="19" t="str">
        <x:v>Pre Delivery</x:v>
      </x:c>
      <x:c r="I3962" s="37" t="n">
        <x:v>46142</x:v>
      </x:c>
      <x:c r="J3962" s="37" t="n">
        <x:v>46142</x:v>
      </x:c>
      <x:c r="K3962" s="19" t="str">
        <x:v>Caravans WA</x:v>
      </x:c>
      <x:c r="L3962" s="19" t="str">
        <x:v>Z005</x:v>
      </x:c>
      <x:c r="M3962" s="19" t="str">
        <x:v>Pre Delivery Warranty Claims</x:v>
      </x:c>
      <x:c r="N3962" s="37" t="n">
        <x:v>46051</x:v>
      </x:c>
      <x:c r="O3962" s="37" t="n">
        <x:v>46101</x:v>
      </x:c>
      <x:c r="P3962" s="34" t="n">
        <x:v>0</x:v>
      </x:c>
      <x:c r="Q3962" s="37" t="n">
        <x:v>46142.066712962966</x:v>
      </x:c>
    </x:row>
    <x:row r="3963">
      <x:c r="A3963" s="22" t="n">
        <x:v>30372</x:v>
      </x:c>
      <x:c r="B3963" s="28" t="n">
        <x:v>705</x:v>
      </x:c>
      <x:c r="C3963" s="28" t="n">
        <x:v>775.5</x:v>
      </x:c>
      <x:c r="D3963" s="31" t="n">
        <x:f>IF(OR(ISBLANK(B3963),ISBLANK(C3963),B3963=0),"",(C3963-B3963)/B3963)</x:f>
        <x:v>0.1</x:v>
      </x:c>
      <x:c r="E3963" s="22" t="str">
        <x:f>IF(ISBLANK(C3963),"AmountIncludingTax缺失",IF(ABS(B3963-C3963)&lt;0.005,"一致","不一致"))</x:f>
        <x:v>不一致</x:v>
      </x:c>
      <x:c r="F3963" s="19" t="str">
        <x:v>approved</x:v>
      </x:c>
      <x:c r="G3963" s="19" t="str">
        <x:v>Repairer Invoiced Processed</x:v>
      </x:c>
      <x:c r="H3963" s="19" t="str">
        <x:v>In Field</x:v>
      </x:c>
      <x:c r="I3963" s="37" t="n">
        <x:v>46078</x:v>
      </x:c>
      <x:c r="J3963" s="37" t="n">
        <x:v>46078</x:v>
      </x:c>
      <x:c r="K3963" s="19" t="str">
        <x:v>Green RV - Forest Glen</x:v>
      </x:c>
      <x:c r="L3963" s="19" t="str">
        <x:v>Z006</x:v>
      </x:c>
      <x:c r="M3963" s="19" t="str">
        <x:v>In Field Warranty Claims</x:v>
      </x:c>
      <x:c r="N3963" s="37" t="n">
        <x:v>46051</x:v>
      </x:c>
      <x:c r="O3963" s="37"/>
      <x:c r="P3963" s="34" t="n">
        <x:v>775.5</x:v>
      </x:c>
      <x:c r="Q3963" s="37" t="n">
        <x:v>46077.91849537037</x:v>
      </x:c>
    </x:row>
    <x:row r="3964">
      <x:c r="A3964" s="22" t="n">
        <x:v>30369</x:v>
      </x:c>
      <x:c r="B3964" s="28" t="n">
        <x:v>326.25</x:v>
      </x:c>
      <x:c r="C3964" s="28"/>
      <x:c r="D3964" s="31" t="str">
        <x:f>IF(OR(ISBLANK(B3964),ISBLANK(C3964),B3964=0),"",(C3964-B3964)/B3964)</x:f>
      </x:c>
      <x:c r="E3964" s="22" t="str">
        <x:f>IF(ISBLANK(C3964),"AmountIncludingTax缺失",IF(ABS(B3964-C3964)&lt;0.005,"一致","不一致"))</x:f>
        <x:v>AmountIncludingTax缺失</x:v>
      </x:c>
      <x:c r="F3964" s="19" t="str">
        <x:v>approved</x:v>
      </x:c>
      <x:c r="G3964" s="19" t="str">
        <x:v>Repairer Invoiced Processed</x:v>
      </x:c>
      <x:c r="H3964" s="19" t="str">
        <x:v>Pre Delivery</x:v>
      </x:c>
      <x:c r="I3964" s="37" t="n">
        <x:v>46079</x:v>
      </x:c>
      <x:c r="J3964" s="37" t="n">
        <x:v>46079</x:v>
      </x:c>
      <x:c r="K3964" s="19" t="str">
        <x:v>The Caravan Hub - Townsville</x:v>
      </x:c>
      <x:c r="L3964" s="19" t="str">
        <x:v>Z005</x:v>
      </x:c>
      <x:c r="M3964" s="19" t="str">
        <x:v>Pre Delivery Warranty Claims</x:v>
      </x:c>
      <x:c r="N3964" s="37" t="n">
        <x:v>46051</x:v>
      </x:c>
      <x:c r="O3964" s="37"/>
      <x:c r="P3964" s="34" t="n">
        <x:v>0</x:v>
      </x:c>
      <x:c r="Q3964" s="37" t="n">
        <x:v>46078.971238425926</x:v>
      </x:c>
    </x:row>
    <x:row r="3965">
      <x:c r="A3965" s="22" t="n">
        <x:v>30368</x:v>
      </x:c>
      <x:c r="B3965" s="28" t="n">
        <x:v>940.75</x:v>
      </x:c>
      <x:c r="C3965" s="28"/>
      <x:c r="D3965" s="31" t="str">
        <x:f>IF(OR(ISBLANK(B3965),ISBLANK(C3965),B3965=0),"",(C3965-B3965)/B3965)</x:f>
      </x:c>
      <x:c r="E3965" s="22" t="str">
        <x:f>IF(ISBLANK(C3965),"AmountIncludingTax缺失",IF(ABS(B3965-C3965)&lt;0.005,"一致","不一致"))</x:f>
        <x:v>AmountIncludingTax缺失</x:v>
      </x:c>
      <x:c r="F3965" s="19" t="str">
        <x:v>approved</x:v>
      </x:c>
      <x:c r="G3965" s="19" t="str">
        <x:v>Repair in Progress</x:v>
      </x:c>
      <x:c r="H3965" s="19" t="str">
        <x:v>Pre Delivery</x:v>
      </x:c>
      <x:c r="I3965" s="37" t="n">
        <x:v>46079</x:v>
      </x:c>
      <x:c r="J3965" s="37" t="n">
        <x:v>46079</x:v>
      </x:c>
      <x:c r="K3965" s="19" t="str">
        <x:v>The Caravan Hub - Townsville</x:v>
      </x:c>
      <x:c r="L3965" s="19" t="str">
        <x:v>Z005</x:v>
      </x:c>
      <x:c r="M3965" s="19" t="str">
        <x:v>Pre Delivery Warranty Claims</x:v>
      </x:c>
      <x:c r="N3965" s="37" t="n">
        <x:v>46051</x:v>
      </x:c>
      <x:c r="O3965" s="37"/>
      <x:c r="P3965" s="34" t="n">
        <x:v>0</x:v>
      </x:c>
      <x:c r="Q3965" s="37" t="n">
        <x:v>46078.96960648148</x:v>
      </x:c>
    </x:row>
    <x:row r="3966">
      <x:c r="A3966" s="22" t="n">
        <x:v>30367</x:v>
      </x:c>
      <x:c r="B3966" s="28" t="n">
        <x:v>236.25</x:v>
      </x:c>
      <x:c r="C3966" s="28"/>
      <x:c r="D3966" s="31" t="str">
        <x:f>IF(OR(ISBLANK(B3966),ISBLANK(C3966),B3966=0),"",(C3966-B3966)/B3966)</x:f>
      </x:c>
      <x:c r="E3966" s="22" t="str">
        <x:f>IF(ISBLANK(C3966),"AmountIncludingTax缺失",IF(ABS(B3966-C3966)&lt;0.005,"一致","不一致"))</x:f>
        <x:v>AmountIncludingTax缺失</x:v>
      </x:c>
      <x:c r="F3966" s="19" t="str">
        <x:v>approved</x:v>
      </x:c>
      <x:c r="G3966" s="19" t="str">
        <x:v>Repair in Progress</x:v>
      </x:c>
      <x:c r="H3966" s="19" t="str">
        <x:v>In Field</x:v>
      </x:c>
      <x:c r="I3966" s="37" t="n">
        <x:v>46164</x:v>
      </x:c>
      <x:c r="J3966" s="37" t="n">
        <x:v>46164</x:v>
      </x:c>
      <x:c r="K3966" s="19" t="str">
        <x:v>Green RV - Forest Glen</x:v>
      </x:c>
      <x:c r="L3966" s="19" t="str">
        <x:v>Z006</x:v>
      </x:c>
      <x:c r="M3966" s="19" t="str">
        <x:v>In Field Warranty Claims</x:v>
      </x:c>
      <x:c r="N3966" s="37" t="n">
        <x:v>46051</x:v>
      </x:c>
      <x:c r="O3966" s="37"/>
      <x:c r="P3966" s="34" t="n">
        <x:v>0</x:v>
      </x:c>
      <x:c r="Q3966" s="37" t="n">
        <x:v>46163.93866898148</x:v>
      </x:c>
    </x:row>
    <x:row r="3967">
      <x:c r="A3967" s="22" t="n">
        <x:v>30366</x:v>
      </x:c>
      <x:c r="B3967" s="28" t="n">
        <x:v>7266.41</x:v>
      </x:c>
      <x:c r="C3967" s="28"/>
      <x:c r="D3967" s="31" t="str">
        <x:f>IF(OR(ISBLANK(B3967),ISBLANK(C3967),B3967=0),"",(C3967-B3967)/B3967)</x:f>
      </x:c>
      <x:c r="E3967" s="22" t="str">
        <x:f>IF(ISBLANK(C3967),"AmountIncludingTax缺失",IF(ABS(B3967-C3967)&lt;0.005,"一致","不一致"))</x:f>
        <x:v>AmountIncludingTax缺失</x:v>
      </x:c>
      <x:c r="F3967" s="19" t="str">
        <x:v>approved</x:v>
      </x:c>
      <x:c r="G3967" s="19" t="str">
        <x:v>Repairer Invoiced Processed</x:v>
      </x:c>
      <x:c r="H3967" s="19" t="str">
        <x:v>In Field</x:v>
      </x:c>
      <x:c r="I3967" s="37" t="n">
        <x:v>46150</x:v>
      </x:c>
      <x:c r="J3967" s="37" t="n">
        <x:v>46070</x:v>
      </x:c>
      <x:c r="K3967" s="19" t="str">
        <x:v>Green RV - Slacks Creek</x:v>
      </x:c>
      <x:c r="L3967" s="19" t="str">
        <x:v>Z006</x:v>
      </x:c>
      <x:c r="M3967" s="19" t="str">
        <x:v>In Field Warranty Claims</x:v>
      </x:c>
      <x:c r="N3967" s="37" t="n">
        <x:v>46051</x:v>
      </x:c>
      <x:c r="O3967" s="37"/>
      <x:c r="P3967" s="34" t="n">
        <x:v>7993.05</x:v>
      </x:c>
      <x:c r="Q3967" s="37" t="n">
        <x:v>46149.96733796296</x:v>
      </x:c>
    </x:row>
    <x:row r="3968">
      <x:c r="A3968" s="22" t="n">
        <x:v>30365</x:v>
      </x:c>
      <x:c r="B3968" s="28" t="n">
        <x:v>300</x:v>
      </x:c>
      <x:c r="C3968" s="28" t="n">
        <x:v>330</x:v>
      </x:c>
      <x:c r="D3968" s="31" t="n">
        <x:f>IF(OR(ISBLANK(B3968),ISBLANK(C3968),B3968=0),"",(C3968-B3968)/B3968)</x:f>
        <x:v>0.1</x:v>
      </x:c>
      <x:c r="E3968" s="22" t="str">
        <x:f>IF(ISBLANK(C3968),"AmountIncludingTax缺失",IF(ABS(B3968-C3968)&lt;0.005,"一致","不一致"))</x:f>
        <x:v>不一致</x:v>
      </x:c>
      <x:c r="F3968" s="19" t="str">
        <x:v>approved</x:v>
      </x:c>
      <x:c r="G3968" s="19" t="str">
        <x:v>Repair in Progress</x:v>
      </x:c>
      <x:c r="H3968" s="19" t="str">
        <x:v>In Field</x:v>
      </x:c>
      <x:c r="I3968" s="37" t="n">
        <x:v>46052</x:v>
      </x:c>
      <x:c r="J3968" s="37" t="n">
        <x:v>46052</x:v>
      </x:c>
      <x:c r="K3968" s="19" t="str">
        <x:v>Regent RV - Frankston</x:v>
      </x:c>
      <x:c r="L3968" s="19" t="str">
        <x:v>Z006</x:v>
      </x:c>
      <x:c r="M3968" s="19" t="str">
        <x:v>In Field Warranty Claims</x:v>
      </x:c>
      <x:c r="N3968" s="37" t="n">
        <x:v>46051</x:v>
      </x:c>
      <x:c r="O3968" s="37"/>
      <x:c r="P3968" s="34" t="n">
        <x:v>330</x:v>
      </x:c>
      <x:c r="Q3968" s="37" t="n">
        <x:v>46051.986967592595</x:v>
      </x:c>
    </x:row>
    <x:row r="3969">
      <x:c r="A3969" s="22" t="n">
        <x:v>30364</x:v>
      </x:c>
      <x:c r="B3969" s="28" t="n">
        <x:v>708.75</x:v>
      </x:c>
      <x:c r="C3969" s="28"/>
      <x:c r="D3969" s="31" t="str">
        <x:f>IF(OR(ISBLANK(B3969),ISBLANK(C3969),B3969=0),"",(C3969-B3969)/B3969)</x:f>
      </x:c>
      <x:c r="E3969" s="22" t="str">
        <x:f>IF(ISBLANK(C3969),"AmountIncludingTax缺失",IF(ABS(B3969-C3969)&lt;0.005,"一致","不一致"))</x:f>
        <x:v>AmountIncludingTax缺失</x:v>
      </x:c>
      <x:c r="F3969" s="19" t="str">
        <x:v>approved</x:v>
      </x:c>
      <x:c r="G3969" s="19" t="str">
        <x:v>Repair in Progress</x:v>
      </x:c>
      <x:c r="H3969" s="19" t="str">
        <x:v>In Field</x:v>
      </x:c>
      <x:c r="I3969" s="37" t="n">
        <x:v>46056</x:v>
      </x:c>
      <x:c r="J3969" s="37" t="n">
        <x:v>46056</x:v>
      </x:c>
      <x:c r="K3969" s="19" t="str">
        <x:v>Regent RV - Frankston</x:v>
      </x:c>
      <x:c r="L3969" s="19" t="str">
        <x:v>Z006</x:v>
      </x:c>
      <x:c r="M3969" s="19" t="str">
        <x:v>In Field Warranty Claims</x:v>
      </x:c>
      <x:c r="N3969" s="37" t="n">
        <x:v>46051</x:v>
      </x:c>
      <x:c r="O3969" s="37"/>
      <x:c r="P3969" s="34" t="n">
        <x:v>0</x:v>
      </x:c>
      <x:c r="Q3969" s="37" t="n">
        <x:v>46056.099375</x:v>
      </x:c>
    </x:row>
    <x:row r="3970">
      <x:c r="A3970" s="22" t="n">
        <x:v>30363</x:v>
      </x:c>
      <x:c r="B3970" s="28" t="n">
        <x:v>605</x:v>
      </x:c>
      <x:c r="C3970" s="28"/>
      <x:c r="D3970" s="31" t="str">
        <x:f>IF(OR(ISBLANK(B3970),ISBLANK(C3970),B3970=0),"",(C3970-B3970)/B3970)</x:f>
      </x:c>
      <x:c r="E3970" s="22" t="str">
        <x:f>IF(ISBLANK(C3970),"AmountIncludingTax缺失",IF(ABS(B3970-C3970)&lt;0.005,"一致","不一致"))</x:f>
        <x:v>AmountIncludingTax缺失</x:v>
      </x:c>
      <x:c r="F3970" s="19" t="str">
        <x:v>approved</x:v>
      </x:c>
      <x:c r="G3970" s="19" t="str">
        <x:v>Repair in Progress</x:v>
      </x:c>
      <x:c r="H3970" s="19" t="str">
        <x:v>In Field</x:v>
      </x:c>
      <x:c r="I3970" s="37" t="n">
        <x:v>46104</x:v>
      </x:c>
      <x:c r="J3970" s="37" t="n">
        <x:v>46104</x:v>
      </x:c>
      <x:c r="K3970" s="19" t="str">
        <x:v>Regent RV - Perth</x:v>
      </x:c>
      <x:c r="L3970" s="19" t="str">
        <x:v>Z006</x:v>
      </x:c>
      <x:c r="M3970" s="19" t="str">
        <x:v>In Field Warranty Claims</x:v>
      </x:c>
      <x:c r="N3970" s="37" t="n">
        <x:v>46051</x:v>
      </x:c>
      <x:c r="O3970" s="37"/>
      <x:c r="P3970" s="34" t="n">
        <x:v>0</x:v>
      </x:c>
      <x:c r="Q3970" s="37" t="n">
        <x:v>46104.13280092592</x:v>
      </x:c>
    </x:row>
    <x:row r="3971">
      <x:c r="A3971" s="22" t="n">
        <x:v>30361</x:v>
      </x:c>
      <x:c r="B3971" s="28" t="n">
        <x:v>179.55</x:v>
      </x:c>
      <x:c r="C3971" s="28"/>
      <x:c r="D3971" s="31" t="str">
        <x:f>IF(OR(ISBLANK(B3971),ISBLANK(C3971),B3971=0),"",(C3971-B3971)/B3971)</x:f>
      </x:c>
      <x:c r="E3971" s="22" t="str">
        <x:f>IF(ISBLANK(C3971),"AmountIncludingTax缺失",IF(ABS(B3971-C3971)&lt;0.005,"一致","不一致"))</x:f>
        <x:v>AmountIncludingTax缺失</x:v>
      </x:c>
      <x:c r="F3971" s="19" t="str">
        <x:v>approved</x:v>
      </x:c>
      <x:c r="G3971" s="19" t="str">
        <x:v>Repairer Invoiced Processed</x:v>
      </x:c>
      <x:c r="H3971" s="19" t="str">
        <x:v>In Field</x:v>
      </x:c>
      <x:c r="I3971" s="37" t="n">
        <x:v>46063</x:v>
      </x:c>
      <x:c r="J3971" s="37" t="n">
        <x:v>46063</x:v>
      </x:c>
      <x:c r="K3971" s="19" t="str">
        <x:v>Newcastle RV Super Centre - Beresfield</x:v>
      </x:c>
      <x:c r="L3971" s="19" t="str">
        <x:v>Z006</x:v>
      </x:c>
      <x:c r="M3971" s="19" t="str">
        <x:v>In Field Warranty Claims</x:v>
      </x:c>
      <x:c r="N3971" s="37" t="n">
        <x:v>46051</x:v>
      </x:c>
      <x:c r="O3971" s="37"/>
      <x:c r="P3971" s="34" t="n">
        <x:v>0</x:v>
      </x:c>
      <x:c r="Q3971" s="37" t="n">
        <x:v>46063.028703703705</x:v>
      </x:c>
    </x:row>
    <x:row r="3972">
      <x:c r="A3972" s="22" t="n">
        <x:v>30357</x:v>
      </x:c>
      <x:c r="B3972" s="28" t="n">
        <x:v>1031.84</x:v>
      </x:c>
      <x:c r="C3972" s="28"/>
      <x:c r="D3972" s="31" t="str">
        <x:f>IF(OR(ISBLANK(B3972),ISBLANK(C3972),B3972=0),"",(C3972-B3972)/B3972)</x:f>
      </x:c>
      <x:c r="E3972" s="22" t="str">
        <x:f>IF(ISBLANK(C3972),"AmountIncludingTax缺失",IF(ABS(B3972-C3972)&lt;0.005,"一致","不一致"))</x:f>
        <x:v>AmountIncludingTax缺失</x:v>
      </x:c>
      <x:c r="F3972" s="19" t="str">
        <x:v>approved</x:v>
      </x:c>
      <x:c r="G3972" s="19" t="str">
        <x:v>Repairer Invoiced Processed</x:v>
      </x:c>
      <x:c r="H3972" s="19" t="str">
        <x:v>In Field</x:v>
      </x:c>
      <x:c r="I3972" s="37" t="n">
        <x:v>46055</x:v>
      </x:c>
      <x:c r="J3972" s="37" t="n">
        <x:v>46055</x:v>
      </x:c>
      <x:c r="K3972" s="19" t="str">
        <x:v>Green RV - Forest Glen</x:v>
      </x:c>
      <x:c r="L3972" s="19" t="str">
        <x:v>Z006</x:v>
      </x:c>
      <x:c r="M3972" s="19" t="str">
        <x:v>In Field Warranty Claims</x:v>
      </x:c>
      <x:c r="N3972" s="37" t="n">
        <x:v>46052</x:v>
      </x:c>
      <x:c r="O3972" s="37"/>
      <x:c r="P3972" s="34" t="n">
        <x:v>0</x:v>
      </x:c>
      <x:c r="Q3972" s="37" t="n">
        <x:v>46055.206782407404</x:v>
      </x:c>
    </x:row>
    <x:row r="3973">
      <x:c r="A3973" s="22" t="n">
        <x:v>30355</x:v>
      </x:c>
      <x:c r="B3973" s="28" t="n">
        <x:v>240.91</x:v>
      </x:c>
      <x:c r="C3973" s="28" t="n">
        <x:v>265</x:v>
      </x:c>
      <x:c r="D3973" s="31" t="n">
        <x:f>IF(OR(ISBLANK(B3973),ISBLANK(C3973),B3973=0),"",(C3973-B3973)/B3973)</x:f>
        <x:v>0.09999584907226766</x:v>
      </x:c>
      <x:c r="E3973" s="22" t="str">
        <x:f>IF(ISBLANK(C3973),"AmountIncludingTax缺失",IF(ABS(B3973-C3973)&lt;0.005,"一致","不一致"))</x:f>
        <x:v>不一致</x:v>
      </x:c>
      <x:c r="F3973" s="19" t="str">
        <x:v>approved</x:v>
      </x:c>
      <x:c r="G3973" s="19" t="str">
        <x:v>Repairer Invoiced Processed</x:v>
      </x:c>
      <x:c r="H3973" s="19" t="str">
        <x:v>In Field</x:v>
      </x:c>
      <x:c r="I3973" s="37" t="n">
        <x:v>46082</x:v>
      </x:c>
      <x:c r="J3973" s="37" t="n">
        <x:v>46082</x:v>
      </x:c>
      <x:c r="K3973" s="19" t="str">
        <x:v>Regent RV Pty Ltd</x:v>
      </x:c>
      <x:c r="L3973" s="19" t="str">
        <x:v>Z006</x:v>
      </x:c>
      <x:c r="M3973" s="19" t="str">
        <x:v>In Field Warranty Claims</x:v>
      </x:c>
      <x:c r="N3973" s="37" t="n">
        <x:v>46051</x:v>
      </x:c>
      <x:c r="O3973" s="37"/>
      <x:c r="P3973" s="34" t="n">
        <x:v>265</x:v>
      </x:c>
      <x:c r="Q3973" s="37" t="n">
        <x:v>46082.20894675926</x:v>
      </x:c>
    </x:row>
    <x:row r="3974">
      <x:c r="A3974" s="22" t="n">
        <x:v>30348</x:v>
      </x:c>
      <x:c r="B3974" s="28" t="n">
        <x:v>850</x:v>
      </x:c>
      <x:c r="C3974" s="28"/>
      <x:c r="D3974" s="31" t="str">
        <x:f>IF(OR(ISBLANK(B3974),ISBLANK(C3974),B3974=0),"",(C3974-B3974)/B3974)</x:f>
      </x:c>
      <x:c r="E3974" s="22" t="str">
        <x:f>IF(ISBLANK(C3974),"AmountIncludingTax缺失",IF(ABS(B3974-C3974)&lt;0.005,"一致","不一致"))</x:f>
        <x:v>AmountIncludingTax缺失</x:v>
      </x:c>
      <x:c r="F3974" s="19" t="str">
        <x:v>approved</x:v>
      </x:c>
      <x:c r="G3974" s="19" t="str">
        <x:v>Repair in Progress</x:v>
      </x:c>
      <x:c r="H3974" s="19" t="str">
        <x:v>In Field</x:v>
      </x:c>
      <x:c r="I3974" s="37" t="n">
        <x:v>46069</x:v>
      </x:c>
      <x:c r="J3974" s="37" t="n">
        <x:v>46063</x:v>
      </x:c>
      <x:c r="K3974" s="19" t="str">
        <x:v>Great Ocean Road RV &amp; Caravans - Warrnambool</x:v>
      </x:c>
      <x:c r="L3974" s="19" t="str">
        <x:v>Z006</x:v>
      </x:c>
      <x:c r="M3974" s="19" t="str">
        <x:v>In Field Warranty Claims</x:v>
      </x:c>
      <x:c r="N3974" s="37" t="n">
        <x:v>46050</x:v>
      </x:c>
      <x:c r="O3974" s="37"/>
      <x:c r="P3974" s="34" t="n">
        <x:v>0</x:v>
      </x:c>
      <x:c r="Q3974" s="37" t="n">
        <x:v>46069.06130787037</x:v>
      </x:c>
    </x:row>
    <x:row r="3975">
      <x:c r="A3975" s="22" t="n">
        <x:v>30347</x:v>
      </x:c>
      <x:c r="B3975" s="28" t="n">
        <x:v>1978</x:v>
      </x:c>
      <x:c r="C3975" s="28"/>
      <x:c r="D3975" s="31" t="str">
        <x:f>IF(OR(ISBLANK(B3975),ISBLANK(C3975),B3975=0),"",(C3975-B3975)/B3975)</x:f>
      </x:c>
      <x:c r="E3975" s="22" t="str">
        <x:f>IF(ISBLANK(C3975),"AmountIncludingTax缺失",IF(ABS(B3975-C3975)&lt;0.005,"一致","不一致"))</x:f>
        <x:v>AmountIncludingTax缺失</x:v>
      </x:c>
      <x:c r="F3975" s="19" t="str">
        <x:v>approved</x:v>
      </x:c>
      <x:c r="G3975" s="19" t="str">
        <x:v>Repair in Progress</x:v>
      </x:c>
      <x:c r="H3975" s="19" t="str">
        <x:v>In Field</x:v>
      </x:c>
      <x:c r="I3975" s="37" t="n">
        <x:v>46133</x:v>
      </x:c>
      <x:c r="J3975" s="37" t="n">
        <x:v>46133</x:v>
      </x:c>
      <x:c r="K3975" s="19" t="str">
        <x:v>Regent RV - Perth</x:v>
      </x:c>
      <x:c r="L3975" s="19" t="str">
        <x:v>Z006</x:v>
      </x:c>
      <x:c r="M3975" s="19" t="str">
        <x:v>In Field Warranty Claims</x:v>
      </x:c>
      <x:c r="N3975" s="37" t="n">
        <x:v>46050</x:v>
      </x:c>
      <x:c r="O3975" s="37"/>
      <x:c r="P3975" s="34" t="n">
        <x:v>0</x:v>
      </x:c>
      <x:c r="Q3975" s="37" t="n">
        <x:v>46133.220243055555</x:v>
      </x:c>
    </x:row>
    <x:row r="3976">
      <x:c r="A3976" s="22" t="n">
        <x:v>30346</x:v>
      </x:c>
      <x:c r="B3976" s="28" t="n">
        <x:v>2925</x:v>
      </x:c>
      <x:c r="C3976" s="28"/>
      <x:c r="D3976" s="31" t="str">
        <x:f>IF(OR(ISBLANK(B3976),ISBLANK(C3976),B3976=0),"",(C3976-B3976)/B3976)</x:f>
      </x:c>
      <x:c r="E3976" s="22" t="str">
        <x:f>IF(ISBLANK(C3976),"AmountIncludingTax缺失",IF(ABS(B3976-C3976)&lt;0.005,"一致","不一致"))</x:f>
        <x:v>AmountIncludingTax缺失</x:v>
      </x:c>
      <x:c r="F3976" s="19" t="str">
        <x:v>approved</x:v>
      </x:c>
      <x:c r="G3976" s="19" t="str">
        <x:v>Repair in Progress</x:v>
      </x:c>
      <x:c r="H3976" s="19" t="str">
        <x:v>In Field</x:v>
      </x:c>
      <x:c r="I3976" s="37" t="n">
        <x:v>46196</x:v>
      </x:c>
      <x:c r="J3976" s="37" t="n">
        <x:v>46196</x:v>
      </x:c>
      <x:c r="K3976" s="19" t="str">
        <x:v>Regent RV - Perth</x:v>
      </x:c>
      <x:c r="L3976" s="19" t="str">
        <x:v>Z006</x:v>
      </x:c>
      <x:c r="M3976" s="19" t="str">
        <x:v>In Field Warranty Claims</x:v>
      </x:c>
      <x:c r="N3976" s="37" t="n">
        <x:v>46050</x:v>
      </x:c>
      <x:c r="O3976" s="37"/>
      <x:c r="P3976" s="34" t="n">
        <x:v>3217.5</x:v>
      </x:c>
      <x:c r="Q3976" s="37" t="n">
        <x:v>46196.17354166666</x:v>
      </x:c>
    </x:row>
    <x:row r="3977">
      <x:c r="A3977" s="22" t="n">
        <x:v>30340</x:v>
      </x:c>
      <x:c r="B3977" s="28" t="n">
        <x:v>99.99</x:v>
      </x:c>
      <x:c r="C3977" s="28" t="n">
        <x:v>109.99</x:v>
      </x:c>
      <x:c r="D3977" s="31" t="n">
        <x:f>IF(OR(ISBLANK(B3977),ISBLANK(C3977),B3977=0),"",(C3977-B3977)/B3977)</x:f>
        <x:v>0.10001000100010002</x:v>
      </x:c>
      <x:c r="E3977" s="22" t="str">
        <x:f>IF(ISBLANK(C3977),"AmountIncludingTax缺失",IF(ABS(B3977-C3977)&lt;0.005,"一致","不一致"))</x:f>
        <x:v>不一致</x:v>
      </x:c>
      <x:c r="F3977" s="19" t="str">
        <x:v>approved</x:v>
      </x:c>
      <x:c r="G3977" s="19" t="str">
        <x:v>Repairer Invoiced Processed</x:v>
      </x:c>
      <x:c r="H3977" s="19" t="str">
        <x:v>In Field</x:v>
      </x:c>
      <x:c r="I3977" s="37" t="n">
        <x:v>46119</x:v>
      </x:c>
      <x:c r="J3977" s="37" t="n">
        <x:v>46119</x:v>
      </x:c>
      <x:c r="K3977" s="19" t="str">
        <x:v>Regent RV - Frankston</x:v>
      </x:c>
      <x:c r="L3977" s="19" t="str">
        <x:v>Z006</x:v>
      </x:c>
      <x:c r="M3977" s="19" t="str">
        <x:v>In Field Warranty Claims</x:v>
      </x:c>
      <x:c r="N3977" s="37" t="n">
        <x:v>46051</x:v>
      </x:c>
      <x:c r="O3977" s="37"/>
      <x:c r="P3977" s="34" t="n">
        <x:v>109.99</x:v>
      </x:c>
      <x:c r="Q3977" s="37" t="n">
        <x:v>46119.12795138889</x:v>
      </x:c>
    </x:row>
    <x:row r="3978">
      <x:c r="A3978" s="22" t="n">
        <x:v>30339</x:v>
      </x:c>
      <x:c r="B3978" s="28" t="n">
        <x:v>236.25</x:v>
      </x:c>
      <x:c r="C3978" s="28"/>
      <x:c r="D3978" s="31" t="str">
        <x:f>IF(OR(ISBLANK(B3978),ISBLANK(C3978),B3978=0),"",(C3978-B3978)/B3978)</x:f>
      </x:c>
      <x:c r="E3978" s="22" t="str">
        <x:f>IF(ISBLANK(C3978),"AmountIncludingTax缺失",IF(ABS(B3978-C3978)&lt;0.005,"一致","不一致"))</x:f>
        <x:v>AmountIncludingTax缺失</x:v>
      </x:c>
      <x:c r="F3978" s="19" t="str">
        <x:v>approved</x:v>
      </x:c>
      <x:c r="G3978" s="19" t="str">
        <x:v>Repair in Progress</x:v>
      </x:c>
      <x:c r="H3978" s="19" t="str">
        <x:v>In Field</x:v>
      </x:c>
      <x:c r="I3978" s="37" t="n">
        <x:v>46107</x:v>
      </x:c>
      <x:c r="J3978" s="37" t="n">
        <x:v>46107</x:v>
      </x:c>
      <x:c r="K3978" s="19" t="str">
        <x:v>Regent RV - Frankston</x:v>
      </x:c>
      <x:c r="L3978" s="19" t="str">
        <x:v>Z006</x:v>
      </x:c>
      <x:c r="M3978" s="19" t="str">
        <x:v>In Field Warranty Claims</x:v>
      </x:c>
      <x:c r="N3978" s="37" t="n">
        <x:v>46051</x:v>
      </x:c>
      <x:c r="O3978" s="37"/>
      <x:c r="P3978" s="34" t="n">
        <x:v>0</x:v>
      </x:c>
      <x:c r="Q3978" s="37" t="n">
        <x:v>46106.90357638889</x:v>
      </x:c>
    </x:row>
    <x:row r="3979">
      <x:c r="A3979" s="22" t="n">
        <x:v>30338</x:v>
      </x:c>
      <x:c r="B3979" s="28" t="n">
        <x:v>735</x:v>
      </x:c>
      <x:c r="C3979" s="28"/>
      <x:c r="D3979" s="31" t="str">
        <x:f>IF(OR(ISBLANK(B3979),ISBLANK(C3979),B3979=0),"",(C3979-B3979)/B3979)</x:f>
      </x:c>
      <x:c r="E3979" s="22" t="str">
        <x:f>IF(ISBLANK(C3979),"AmountIncludingTax缺失",IF(ABS(B3979-C3979)&lt;0.005,"一致","不一致"))</x:f>
        <x:v>AmountIncludingTax缺失</x:v>
      </x:c>
      <x:c r="F3979" s="19" t="str">
        <x:v>approved</x:v>
      </x:c>
      <x:c r="G3979" s="19" t="str">
        <x:v>Repair in Progress</x:v>
      </x:c>
      <x:c r="H3979" s="19" t="str">
        <x:v>In Field</x:v>
      </x:c>
      <x:c r="I3979" s="37" t="n">
        <x:v>46059</x:v>
      </x:c>
      <x:c r="J3979" s="37" t="n">
        <x:v>46059</x:v>
      </x:c>
      <x:c r="K3979" s="19" t="str">
        <x:v>Lesiure Lion-New Castle</x:v>
      </x:c>
      <x:c r="L3979" s="19" t="str">
        <x:v>Z006</x:v>
      </x:c>
      <x:c r="M3979" s="19" t="str">
        <x:v>In Field Warranty Claims</x:v>
      </x:c>
      <x:c r="N3979" s="37" t="n">
        <x:v>46050</x:v>
      </x:c>
      <x:c r="O3979" s="37"/>
      <x:c r="P3979" s="34" t="n">
        <x:v>0</x:v>
      </x:c>
      <x:c r="Q3979" s="37" t="n">
        <x:v>46058.89063657408</x:v>
      </x:c>
    </x:row>
    <x:row r="3980">
      <x:c r="A3980" s="22" t="n">
        <x:v>30337</x:v>
      </x:c>
      <x:c r="B3980" s="28" t="n">
        <x:v>303.75</x:v>
      </x:c>
      <x:c r="C3980" s="28"/>
      <x:c r="D3980" s="31" t="str">
        <x:f>IF(OR(ISBLANK(B3980),ISBLANK(C3980),B3980=0),"",(C3980-B3980)/B3980)</x:f>
      </x:c>
      <x:c r="E3980" s="22" t="str">
        <x:f>IF(ISBLANK(C3980),"AmountIncludingTax缺失",IF(ABS(B3980-C3980)&lt;0.005,"一致","不一致"))</x:f>
        <x:v>AmountIncludingTax缺失</x:v>
      </x:c>
      <x:c r="F3980" s="19" t="str">
        <x:v>approved</x:v>
      </x:c>
      <x:c r="G3980" s="19" t="str">
        <x:v>Repairer Invoiced Processed</x:v>
      </x:c>
      <x:c r="H3980" s="19" t="str">
        <x:v>Pre Delivery</x:v>
      </x:c>
      <x:c r="I3980" s="37" t="n">
        <x:v>46184</x:v>
      </x:c>
      <x:c r="J3980" s="37" t="n">
        <x:v>46142</x:v>
      </x:c>
      <x:c r="K3980" s="19" t="str">
        <x:v>Lesiure Lion-New Castle</x:v>
      </x:c>
      <x:c r="L3980" s="19" t="str">
        <x:v>Z005</x:v>
      </x:c>
      <x:c r="M3980" s="19" t="str">
        <x:v>Pre Delivery Warranty Claims</x:v>
      </x:c>
      <x:c r="N3980" s="37" t="n">
        <x:v>46050</x:v>
      </x:c>
      <x:c r="O3980" s="37"/>
      <x:c r="P3980" s="34" t="n">
        <x:v>0</x:v>
      </x:c>
      <x:c r="Q3980" s="37" t="n">
        <x:v>46184.2259375</x:v>
      </x:c>
    </x:row>
    <x:row r="3981">
      <x:c r="A3981" s="22" t="n">
        <x:v>30332</x:v>
      </x:c>
      <x:c r="B3981" s="28" t="n">
        <x:v>67.5</x:v>
      </x:c>
      <x:c r="C3981" s="28" t="n">
        <x:v>74.25</x:v>
      </x:c>
      <x:c r="D3981" s="31" t="n">
        <x:f>IF(OR(ISBLANK(B3981),ISBLANK(C3981),B3981=0),"",(C3981-B3981)/B3981)</x:f>
        <x:v>0.1</x:v>
      </x:c>
      <x:c r="E3981" s="22" t="str">
        <x:f>IF(ISBLANK(C3981),"AmountIncludingTax缺失",IF(ABS(B3981-C3981)&lt;0.005,"一致","不一致"))</x:f>
        <x:v>不一致</x:v>
      </x:c>
      <x:c r="F3981" s="19" t="str">
        <x:v>approved</x:v>
      </x:c>
      <x:c r="G3981" s="19" t="str">
        <x:v>Repair in Progress</x:v>
      </x:c>
      <x:c r="H3981" s="19" t="str">
        <x:v>In Field</x:v>
      </x:c>
      <x:c r="I3981" s="37" t="n">
        <x:v>46111</x:v>
      </x:c>
      <x:c r="J3981" s="37" t="n">
        <x:v>46111</x:v>
      </x:c>
      <x:c r="K3981" s="19" t="str">
        <x:v>Regent RV - Perth</x:v>
      </x:c>
      <x:c r="L3981" s="19" t="str">
        <x:v>Z006</x:v>
      </x:c>
      <x:c r="M3981" s="19" t="str">
        <x:v>In Field Warranty Claims</x:v>
      </x:c>
      <x:c r="N3981" s="37" t="n">
        <x:v>46050</x:v>
      </x:c>
      <x:c r="O3981" s="37"/>
      <x:c r="P3981" s="34" t="n">
        <x:v>74.25</x:v>
      </x:c>
      <x:c r="Q3981" s="37" t="n">
        <x:v>46111.02853009259</x:v>
      </x:c>
    </x:row>
    <x:row r="3982">
      <x:c r="A3982" s="22" t="n">
        <x:v>30331</x:v>
      </x:c>
      <x:c r="B3982" s="28" t="n">
        <x:v>627.5</x:v>
      </x:c>
      <x:c r="C3982" s="28"/>
      <x:c r="D3982" s="31" t="str">
        <x:f>IF(OR(ISBLANK(B3982),ISBLANK(C3982),B3982=0),"",(C3982-B3982)/B3982)</x:f>
      </x:c>
      <x:c r="E3982" s="22" t="str">
        <x:f>IF(ISBLANK(C3982),"AmountIncludingTax缺失",IF(ABS(B3982-C3982)&lt;0.005,"一致","不一致"))</x:f>
        <x:v>AmountIncludingTax缺失</x:v>
      </x:c>
      <x:c r="F3982" s="19" t="str">
        <x:v>approved</x:v>
      </x:c>
      <x:c r="G3982" s="19" t="str">
        <x:v>Repair in Progress</x:v>
      </x:c>
      <x:c r="H3982" s="19" t="str">
        <x:v>In Field</x:v>
      </x:c>
      <x:c r="I3982" s="37" t="n">
        <x:v>46157</x:v>
      </x:c>
      <x:c r="J3982" s="37" t="n">
        <x:v>46157</x:v>
      </x:c>
      <x:c r="K3982" s="19" t="str">
        <x:v>Green RV - Forest Glen</x:v>
      </x:c>
      <x:c r="L3982" s="19" t="str">
        <x:v>Z006</x:v>
      </x:c>
      <x:c r="M3982" s="19" t="str">
        <x:v>In Field Warranty Claims</x:v>
      </x:c>
      <x:c r="N3982" s="37" t="n">
        <x:v>46050</x:v>
      </x:c>
      <x:c r="O3982" s="37"/>
      <x:c r="P3982" s="34" t="n">
        <x:v>0</x:v>
      </x:c>
      <x:c r="Q3982" s="37" t="n">
        <x:v>46156.88569444444</x:v>
      </x:c>
    </x:row>
    <x:row r="3983">
      <x:c r="A3983" s="22" t="n">
        <x:v>30330</x:v>
      </x:c>
      <x:c r="B3983" s="28" t="n">
        <x:v>135</x:v>
      </x:c>
      <x:c r="C3983" s="28"/>
      <x:c r="D3983" s="31" t="str">
        <x:f>IF(OR(ISBLANK(B3983),ISBLANK(C3983),B3983=0),"",(C3983-B3983)/B3983)</x:f>
      </x:c>
      <x:c r="E3983" s="22" t="str">
        <x:f>IF(ISBLANK(C3983),"AmountIncludingTax缺失",IF(ABS(B3983-C3983)&lt;0.005,"一致","不一致"))</x:f>
        <x:v>AmountIncludingTax缺失</x:v>
      </x:c>
      <x:c r="F3983" s="19" t="str">
        <x:v>approved</x:v>
      </x:c>
      <x:c r="G3983" s="19" t="str">
        <x:v>Repair in Progress</x:v>
      </x:c>
      <x:c r="H3983" s="19" t="str">
        <x:v>Pre Delivery</x:v>
      </x:c>
      <x:c r="I3983" s="37" t="n">
        <x:v>46071</x:v>
      </x:c>
      <x:c r="J3983" s="37" t="n">
        <x:v>46071</x:v>
      </x:c>
      <x:c r="K3983" s="19" t="str">
        <x:v>Snowy River Frankston</x:v>
      </x:c>
      <x:c r="L3983" s="19" t="str">
        <x:v>Z005</x:v>
      </x:c>
      <x:c r="M3983" s="19" t="str">
        <x:v>Pre Delivery Warranty Claims</x:v>
      </x:c>
      <x:c r="N3983" s="37" t="n">
        <x:v>46050</x:v>
      </x:c>
      <x:c r="O3983" s="37"/>
      <x:c r="P3983" s="34" t="n">
        <x:v>0</x:v>
      </x:c>
      <x:c r="Q3983" s="37" t="n">
        <x:v>46071.223715277774</x:v>
      </x:c>
    </x:row>
    <x:row r="3984">
      <x:c r="A3984" s="22" t="n">
        <x:v>30329</x:v>
      </x:c>
      <x:c r="B3984" s="28" t="n">
        <x:v>150</x:v>
      </x:c>
      <x:c r="C3984" s="28"/>
      <x:c r="D3984" s="31" t="str">
        <x:f>IF(OR(ISBLANK(B3984),ISBLANK(C3984),B3984=0),"",(C3984-B3984)/B3984)</x:f>
      </x:c>
      <x:c r="E3984" s="22" t="str">
        <x:f>IF(ISBLANK(C3984),"AmountIncludingTax缺失",IF(ABS(B3984-C3984)&lt;0.005,"一致","不一致"))</x:f>
        <x:v>AmountIncludingTax缺失</x:v>
      </x:c>
      <x:c r="F3984" s="19" t="str">
        <x:v>approved</x:v>
      </x:c>
      <x:c r="G3984" s="19" t="str">
        <x:v>Repair in Progress</x:v>
      </x:c>
      <x:c r="H3984" s="19" t="str">
        <x:v>In Field</x:v>
      </x:c>
      <x:c r="I3984" s="37" t="n">
        <x:v>46066</x:v>
      </x:c>
      <x:c r="J3984" s="37" t="n">
        <x:v>46066</x:v>
      </x:c>
      <x:c r="K3984" s="19" t="str">
        <x:v>Regent RV - Frankston</x:v>
      </x:c>
      <x:c r="L3984" s="19" t="str">
        <x:v>Z006</x:v>
      </x:c>
      <x:c r="M3984" s="19" t="str">
        <x:v>In Field Warranty Claims</x:v>
      </x:c>
      <x:c r="N3984" s="37" t="n">
        <x:v>46050</x:v>
      </x:c>
      <x:c r="O3984" s="37"/>
      <x:c r="P3984" s="34" t="n">
        <x:v>0</x:v>
      </x:c>
      <x:c r="Q3984" s="37" t="n">
        <x:v>46066.079780092594</x:v>
      </x:c>
    </x:row>
    <x:row r="3985">
      <x:c r="A3985" s="22" t="n">
        <x:v>30328</x:v>
      </x:c>
      <x:c r="B3985" s="28" t="n">
        <x:v>135</x:v>
      </x:c>
      <x:c r="C3985" s="28"/>
      <x:c r="D3985" s="31" t="str">
        <x:f>IF(OR(ISBLANK(B3985),ISBLANK(C3985),B3985=0),"",(C3985-B3985)/B3985)</x:f>
      </x:c>
      <x:c r="E3985" s="22" t="str">
        <x:f>IF(ISBLANK(C3985),"AmountIncludingTax缺失",IF(ABS(B3985-C3985)&lt;0.005,"一致","不一致"))</x:f>
        <x:v>AmountIncludingTax缺失</x:v>
      </x:c>
      <x:c r="F3985" s="19" t="str">
        <x:v>approved</x:v>
      </x:c>
      <x:c r="G3985" s="19" t="str">
        <x:v>Repairer Invoiced Processed</x:v>
      </x:c>
      <x:c r="H3985" s="19" t="str">
        <x:v>In Field</x:v>
      </x:c>
      <x:c r="I3985" s="37" t="n">
        <x:v>46126</x:v>
      </x:c>
      <x:c r="J3985" s="37" t="n">
        <x:v>46126</x:v>
      </x:c>
      <x:c r="K3985" s="19" t="str">
        <x:v>Dario Caravans - Pooraka</x:v>
      </x:c>
      <x:c r="L3985" s="19" t="str">
        <x:v>Z006</x:v>
      </x:c>
      <x:c r="M3985" s="19" t="str">
        <x:v>In Field Warranty Claims</x:v>
      </x:c>
      <x:c r="N3985" s="37" t="n">
        <x:v>46050</x:v>
      </x:c>
      <x:c r="O3985" s="37"/>
      <x:c r="P3985" s="34" t="n">
        <x:v>0</x:v>
      </x:c>
      <x:c r="Q3985" s="37" t="n">
        <x:v>46125.986030092594</x:v>
      </x:c>
    </x:row>
    <x:row r="3986">
      <x:c r="A3986" s="22" t="n">
        <x:v>30327</x:v>
      </x:c>
      <x:c r="B3986" s="28" t="n">
        <x:v>385</x:v>
      </x:c>
      <x:c r="C3986" s="28"/>
      <x:c r="D3986" s="31" t="str">
        <x:f>IF(OR(ISBLANK(B3986),ISBLANK(C3986),B3986=0),"",(C3986-B3986)/B3986)</x:f>
      </x:c>
      <x:c r="E3986" s="22" t="str">
        <x:f>IF(ISBLANK(C3986),"AmountIncludingTax缺失",IF(ABS(B3986-C3986)&lt;0.005,"一致","不一致"))</x:f>
        <x:v>AmountIncludingTax缺失</x:v>
      </x:c>
      <x:c r="F3986" s="19" t="str">
        <x:v>approved</x:v>
      </x:c>
      <x:c r="G3986" s="19" t="str">
        <x:v>Repair in Progress</x:v>
      </x:c>
      <x:c r="H3986" s="19" t="str">
        <x:v>Pre Delivery</x:v>
      </x:c>
      <x:c r="I3986" s="37" t="n">
        <x:v>46068</x:v>
      </x:c>
      <x:c r="J3986" s="37" t="n">
        <x:v>46059</x:v>
      </x:c>
      <x:c r="K3986" s="19" t="str">
        <x:v>ABCO Caravans - Boambee Valley</x:v>
      </x:c>
      <x:c r="L3986" s="19" t="str">
        <x:v>Z005</x:v>
      </x:c>
      <x:c r="M3986" s="19" t="str">
        <x:v>Pre Delivery Warranty Claims</x:v>
      </x:c>
      <x:c r="N3986" s="37" t="n">
        <x:v>46050</x:v>
      </x:c>
      <x:c r="O3986" s="37"/>
      <x:c r="P3986" s="34" t="n">
        <x:v>0</x:v>
      </x:c>
      <x:c r="Q3986" s="37" t="n">
        <x:v>46067.930451388886</x:v>
      </x:c>
    </x:row>
    <x:row r="3987">
      <x:c r="A3987" s="22" t="n">
        <x:v>30325</x:v>
      </x:c>
      <x:c r="B3987" s="28" t="n">
        <x:v>453.75</x:v>
      </x:c>
      <x:c r="C3987" s="28"/>
      <x:c r="D3987" s="31" t="str">
        <x:f>IF(OR(ISBLANK(B3987),ISBLANK(C3987),B3987=0),"",(C3987-B3987)/B3987)</x:f>
      </x:c>
      <x:c r="E3987" s="22" t="str">
        <x:f>IF(ISBLANK(C3987),"AmountIncludingTax缺失",IF(ABS(B3987-C3987)&lt;0.005,"一致","不一致"))</x:f>
        <x:v>AmountIncludingTax缺失</x:v>
      </x:c>
      <x:c r="F3987" s="19" t="str">
        <x:v>approved</x:v>
      </x:c>
      <x:c r="G3987" s="19" t="str">
        <x:v>Repairer Invoiced Processed</x:v>
      </x:c>
      <x:c r="H3987" s="19" t="str">
        <x:v>Pre Delivery</x:v>
      </x:c>
      <x:c r="I3987" s="37" t="n">
        <x:v>46076</x:v>
      </x:c>
      <x:c r="J3987" s="37" t="n">
        <x:v>46076</x:v>
      </x:c>
      <x:c r="K3987" s="19" t="str">
        <x:v>Lesiure Lion-New Castle</x:v>
      </x:c>
      <x:c r="L3987" s="19" t="str">
        <x:v>Z005</x:v>
      </x:c>
      <x:c r="M3987" s="19" t="str">
        <x:v>Pre Delivery Warranty Claims</x:v>
      </x:c>
      <x:c r="N3987" s="37" t="n">
        <x:v>46050</x:v>
      </x:c>
      <x:c r="O3987" s="37"/>
      <x:c r="P3987" s="34" t="n">
        <x:v>0</x:v>
      </x:c>
      <x:c r="Q3987" s="37" t="n">
        <x:v>46076.25038194445</x:v>
      </x:c>
    </x:row>
    <x:row r="3988">
      <x:c r="A3988" s="22" t="n">
        <x:v>30323</x:v>
      </x:c>
      <x:c r="B3988" s="28" t="n">
        <x:v>770</x:v>
      </x:c>
      <x:c r="C3988" s="28" t="n">
        <x:v>697.16</x:v>
      </x:c>
      <x:c r="D3988" s="31" t="n">
        <x:f>IF(OR(ISBLANK(B3988),ISBLANK(C3988),B3988=0),"",(C3988-B3988)/B3988)</x:f>
        <x:v>-0.09459740259740264</x:v>
      </x:c>
      <x:c r="E3988" s="22" t="str">
        <x:f>IF(ISBLANK(C3988),"AmountIncludingTax缺失",IF(ABS(B3988-C3988)&lt;0.005,"一致","不一致"))</x:f>
        <x:v>不一致</x:v>
      </x:c>
      <x:c r="F3988" s="19" t="str">
        <x:v>approved</x:v>
      </x:c>
      <x:c r="G3988" s="19" t="str">
        <x:v>Repairer Invoiced Processed</x:v>
      </x:c>
      <x:c r="H3988" s="19" t="str">
        <x:v>In Field</x:v>
      </x:c>
      <x:c r="I3988" s="37" t="n">
        <x:v>46160</x:v>
      </x:c>
      <x:c r="J3988" s="37" t="n">
        <x:v>46097</x:v>
      </x:c>
      <x:c r="K3988" s="19" t="str">
        <x:v>Vanari Caravans - Marden Point</x:v>
      </x:c>
      <x:c r="L3988" s="19" t="str">
        <x:v>Z006</x:v>
      </x:c>
      <x:c r="M3988" s="19" t="str">
        <x:v>In Field Warranty Claims</x:v>
      </x:c>
      <x:c r="N3988" s="37" t="n">
        <x:v>46050</x:v>
      </x:c>
      <x:c r="O3988" s="37"/>
      <x:c r="P3988" s="34" t="n">
        <x:v>697.16</x:v>
      </x:c>
      <x:c r="Q3988" s="37" t="n">
        <x:v>46160.17122685185</x:v>
      </x:c>
    </x:row>
    <x:row r="3989">
      <x:c r="A3989" s="22" t="n">
        <x:v>30322</x:v>
      </x:c>
      <x:c r="B3989" s="28" t="n">
        <x:v>377.5</x:v>
      </x:c>
      <x:c r="C3989" s="28"/>
      <x:c r="D3989" s="31" t="str">
        <x:f>IF(OR(ISBLANK(B3989),ISBLANK(C3989),B3989=0),"",(C3989-B3989)/B3989)</x:f>
      </x:c>
      <x:c r="E3989" s="22" t="str">
        <x:f>IF(ISBLANK(C3989),"AmountIncludingTax缺失",IF(ABS(B3989-C3989)&lt;0.005,"一致","不一致"))</x:f>
        <x:v>AmountIncludingTax缺失</x:v>
      </x:c>
      <x:c r="F3989" s="19" t="str">
        <x:v>approved</x:v>
      </x:c>
      <x:c r="G3989" s="19" t="str">
        <x:v>Repairer Invoiced Processed</x:v>
      </x:c>
      <x:c r="H3989" s="19" t="str">
        <x:v>In Field</x:v>
      </x:c>
      <x:c r="I3989" s="37" t="n">
        <x:v>46098</x:v>
      </x:c>
      <x:c r="J3989" s="37" t="n">
        <x:v>46098</x:v>
      </x:c>
      <x:c r="K3989" s="19" t="str">
        <x:v>Regent RV - Frankston</x:v>
      </x:c>
      <x:c r="L3989" s="19" t="str">
        <x:v>Z006</x:v>
      </x:c>
      <x:c r="M3989" s="19" t="str">
        <x:v>In Field Warranty Claims</x:v>
      </x:c>
      <x:c r="N3989" s="37" t="n">
        <x:v>46050</x:v>
      </x:c>
      <x:c r="O3989" s="37"/>
      <x:c r="P3989" s="34" t="n">
        <x:v>0</x:v>
      </x:c>
      <x:c r="Q3989" s="37" t="n">
        <x:v>46097.94383101852</x:v>
      </x:c>
    </x:row>
    <x:row r="3990">
      <x:c r="A3990" s="22" t="n">
        <x:v>30321</x:v>
      </x:c>
      <x:c r="B3990" s="28" t="n">
        <x:v>280</x:v>
      </x:c>
      <x:c r="C3990" s="28"/>
      <x:c r="D3990" s="31" t="str">
        <x:f>IF(OR(ISBLANK(B3990),ISBLANK(C3990),B3990=0),"",(C3990-B3990)/B3990)</x:f>
      </x:c>
      <x:c r="E3990" s="22" t="str">
        <x:f>IF(ISBLANK(C3990),"AmountIncludingTax缺失",IF(ABS(B3990-C3990)&lt;0.005,"一致","不一致"))</x:f>
        <x:v>AmountIncludingTax缺失</x:v>
      </x:c>
      <x:c r="F3990" s="19" t="str">
        <x:v>approved</x:v>
      </x:c>
      <x:c r="G3990" s="19" t="str">
        <x:v>Repair in Progress</x:v>
      </x:c>
      <x:c r="H3990" s="19" t="str">
        <x:v>In Field</x:v>
      </x:c>
      <x:c r="I3990" s="37" t="n">
        <x:v>46183</x:v>
      </x:c>
      <x:c r="J3990" s="37" t="n">
        <x:v>46183</x:v>
      </x:c>
      <x:c r="K3990" s="19" t="str">
        <x:v>Regent RV - Frankston</x:v>
      </x:c>
      <x:c r="L3990" s="19" t="str">
        <x:v>Z006</x:v>
      </x:c>
      <x:c r="M3990" s="19" t="str">
        <x:v>In Field Warranty Claims</x:v>
      </x:c>
      <x:c r="N3990" s="37" t="n">
        <x:v>46050</x:v>
      </x:c>
      <x:c r="O3990" s="37" t="n">
        <x:v>46149</x:v>
      </x:c>
      <x:c r="P3990" s="34" t="n">
        <x:v>0</x:v>
      </x:c>
      <x:c r="Q3990" s="37" t="n">
        <x:v>46182.89435185185</x:v>
      </x:c>
    </x:row>
    <x:row r="3991">
      <x:c r="A3991" s="22" t="n">
        <x:v>30320</x:v>
      </x:c>
      <x:c r="B3991" s="28" t="n">
        <x:v>270</x:v>
      </x:c>
      <x:c r="C3991" s="28" t="n">
        <x:v>297</x:v>
      </x:c>
      <x:c r="D3991" s="31" t="n">
        <x:f>IF(OR(ISBLANK(B3991),ISBLANK(C3991),B3991=0),"",(C3991-B3991)/B3991)</x:f>
        <x:v>0.1</x:v>
      </x:c>
      <x:c r="E3991" s="22" t="str">
        <x:f>IF(ISBLANK(C3991),"AmountIncludingTax缺失",IF(ABS(B3991-C3991)&lt;0.005,"一致","不一致"))</x:f>
        <x:v>不一致</x:v>
      </x:c>
      <x:c r="F3991" s="19" t="str">
        <x:v>approved</x:v>
      </x:c>
      <x:c r="G3991" s="19" t="str">
        <x:v>Repairer Invoiced Processed</x:v>
      </x:c>
      <x:c r="H3991" s="19" t="str">
        <x:v>In Field</x:v>
      </x:c>
      <x:c r="I3991" s="37" t="n">
        <x:v>46084</x:v>
      </x:c>
      <x:c r="J3991" s="37" t="n">
        <x:v>46084</x:v>
      </x:c>
      <x:c r="K3991" s="19" t="str">
        <x:v>Dario Caravans - Pooraka</x:v>
      </x:c>
      <x:c r="L3991" s="19" t="str">
        <x:v>Z006</x:v>
      </x:c>
      <x:c r="M3991" s="19" t="str">
        <x:v>In Field Warranty Claims</x:v>
      </x:c>
      <x:c r="N3991" s="37" t="n">
        <x:v>46050</x:v>
      </x:c>
      <x:c r="O3991" s="37"/>
      <x:c r="P3991" s="34" t="n">
        <x:v>297</x:v>
      </x:c>
      <x:c r="Q3991" s="37" t="n">
        <x:v>46084.0718287037</x:v>
      </x:c>
    </x:row>
    <x:row r="3992">
      <x:c r="A3992" s="22" t="n">
        <x:v>30319</x:v>
      </x:c>
      <x:c r="B3992" s="28" t="n">
        <x:v>675</x:v>
      </x:c>
      <x:c r="C3992" s="28"/>
      <x:c r="D3992" s="31" t="str">
        <x:f>IF(OR(ISBLANK(B3992),ISBLANK(C3992),B3992=0),"",(C3992-B3992)/B3992)</x:f>
      </x:c>
      <x:c r="E3992" s="22" t="str">
        <x:f>IF(ISBLANK(C3992),"AmountIncludingTax缺失",IF(ABS(B3992-C3992)&lt;0.005,"一致","不一致"))</x:f>
        <x:v>AmountIncludingTax缺失</x:v>
      </x:c>
      <x:c r="F3992" s="19" t="str">
        <x:v>approved</x:v>
      </x:c>
      <x:c r="G3992" s="19" t="str">
        <x:v>Repair in Progress</x:v>
      </x:c>
      <x:c r="H3992" s="19" t="str">
        <x:v>In Field</x:v>
      </x:c>
      <x:c r="I3992" s="37" t="n">
        <x:v>46108</x:v>
      </x:c>
      <x:c r="J3992" s="37" t="n">
        <x:v>46108</x:v>
      </x:c>
      <x:c r="K3992" s="19" t="str">
        <x:v>Regent RV Pty Ltd</x:v>
      </x:c>
      <x:c r="L3992" s="19" t="str">
        <x:v>Z006</x:v>
      </x:c>
      <x:c r="M3992" s="19" t="str">
        <x:v>In Field Warranty Claims</x:v>
      </x:c>
      <x:c r="N3992" s="37" t="n">
        <x:v>46050</x:v>
      </x:c>
      <x:c r="O3992" s="37"/>
      <x:c r="P3992" s="34" t="n">
        <x:v>0</x:v>
      </x:c>
      <x:c r="Q3992" s="37" t="n">
        <x:v>46108.064791666664</x:v>
      </x:c>
    </x:row>
    <x:row r="3993">
      <x:c r="A3993" s="22" t="n">
        <x:v>30318</x:v>
      </x:c>
      <x:c r="B3993" s="28" t="n">
        <x:v>793.45</x:v>
      </x:c>
      <x:c r="C3993" s="28" t="n">
        <x:v>718.39</x:v>
      </x:c>
      <x:c r="D3993" s="31" t="n">
        <x:f>IF(OR(ISBLANK(B3993),ISBLANK(C3993),B3993=0),"",(C3993-B3993)/B3993)</x:f>
        <x:v>-0.09459953368202162</x:v>
      </x:c>
      <x:c r="E3993" s="22" t="str">
        <x:f>IF(ISBLANK(C3993),"AmountIncludingTax缺失",IF(ABS(B3993-C3993)&lt;0.005,"一致","不一致"))</x:f>
        <x:v>不一致</x:v>
      </x:c>
      <x:c r="F3993" s="19" t="str">
        <x:v>approved</x:v>
      </x:c>
      <x:c r="G3993" s="19" t="str">
        <x:v>Repairer Invoiced Processed</x:v>
      </x:c>
      <x:c r="H3993" s="19" t="str">
        <x:v>In Field</x:v>
      </x:c>
      <x:c r="I3993" s="37" t="n">
        <x:v>46169</x:v>
      </x:c>
      <x:c r="J3993" s="37" t="n">
        <x:v>46169</x:v>
      </x:c>
      <x:c r="K3993" s="19" t="str">
        <x:v>Vanari Caravans - Marden Point</x:v>
      </x:c>
      <x:c r="L3993" s="19" t="str">
        <x:v>Z006</x:v>
      </x:c>
      <x:c r="M3993" s="19" t="str">
        <x:v>In Field Warranty Claims</x:v>
      </x:c>
      <x:c r="N3993" s="37" t="n">
        <x:v>46050</x:v>
      </x:c>
      <x:c r="O3993" s="37"/>
      <x:c r="P3993" s="34" t="n">
        <x:v>718.39</x:v>
      </x:c>
      <x:c r="Q3993" s="37" t="n">
        <x:v>46169.16155092593</x:v>
      </x:c>
    </x:row>
    <x:row r="3994">
      <x:c r="A3994" s="22" t="n">
        <x:v>30316</x:v>
      </x:c>
      <x:c r="B3994" s="28" t="n">
        <x:v>710.36</x:v>
      </x:c>
      <x:c r="C3994" s="28" t="n">
        <x:v>781.4</x:v>
      </x:c>
      <x:c r="D3994" s="31" t="n">
        <x:f>IF(OR(ISBLANK(B3994),ISBLANK(C3994),B3994=0),"",(C3994-B3994)/B3994)</x:f>
        <x:v>0.10000563094768844</x:v>
      </x:c>
      <x:c r="E3994" s="22" t="str">
        <x:f>IF(ISBLANK(C3994),"AmountIncludingTax缺失",IF(ABS(B3994-C3994)&lt;0.005,"一致","不一致"))</x:f>
        <x:v>不一致</x:v>
      </x:c>
      <x:c r="F3994" s="19" t="str">
        <x:v>approved</x:v>
      </x:c>
      <x:c r="G3994" s="19" t="str">
        <x:v>Repairer Invoiced Processed</x:v>
      </x:c>
      <x:c r="H3994" s="19" t="str">
        <x:v>In Field</x:v>
      </x:c>
      <x:c r="I3994" s="37" t="n">
        <x:v>46070</x:v>
      </x:c>
      <x:c r="J3994" s="37" t="n">
        <x:v>46070</x:v>
      </x:c>
      <x:c r="K3994" s="19" t="str">
        <x:v>Regent RV - Townsville</x:v>
      </x:c>
      <x:c r="L3994" s="19" t="str">
        <x:v>Z006</x:v>
      </x:c>
      <x:c r="M3994" s="19" t="str">
        <x:v>In Field Warranty Claims</x:v>
      </x:c>
      <x:c r="N3994" s="37" t="n">
        <x:v>46050</x:v>
      </x:c>
      <x:c r="O3994" s="37"/>
      <x:c r="P3994" s="34" t="n">
        <x:v>781.4</x:v>
      </x:c>
      <x:c r="Q3994" s="37" t="n">
        <x:v>46069.91679398148</x:v>
      </x:c>
    </x:row>
    <x:row r="3995">
      <x:c r="A3995" s="22" t="n">
        <x:v>30315</x:v>
      </x:c>
      <x:c r="B3995" s="28" t="n">
        <x:v>135</x:v>
      </x:c>
      <x:c r="C3995" s="28"/>
      <x:c r="D3995" s="31" t="str">
        <x:f>IF(OR(ISBLANK(B3995),ISBLANK(C3995),B3995=0),"",(C3995-B3995)/B3995)</x:f>
      </x:c>
      <x:c r="E3995" s="22" t="str">
        <x:f>IF(ISBLANK(C3995),"AmountIncludingTax缺失",IF(ABS(B3995-C3995)&lt;0.005,"一致","不一致"))</x:f>
        <x:v>AmountIncludingTax缺失</x:v>
      </x:c>
      <x:c r="F3995" s="19" t="str">
        <x:v>approved</x:v>
      </x:c>
      <x:c r="G3995" s="19" t="str">
        <x:v>Repairer Invoiced Processed</x:v>
      </x:c>
      <x:c r="H3995" s="19" t="str">
        <x:v>Pre Delivery</x:v>
      </x:c>
      <x:c r="I3995" s="37" t="n">
        <x:v>46129</x:v>
      </x:c>
      <x:c r="J3995" s="37" t="n">
        <x:v>46129</x:v>
      </x:c>
      <x:c r="K3995" s="19" t="str">
        <x:v>Dario Caravans -St.Marys</x:v>
      </x:c>
      <x:c r="L3995" s="19" t="str">
        <x:v>Z005</x:v>
      </x:c>
      <x:c r="M3995" s="19" t="str">
        <x:v>Pre Delivery Warranty Claims</x:v>
      </x:c>
      <x:c r="N3995" s="37" t="n">
        <x:v>46050</x:v>
      </x:c>
      <x:c r="O3995" s="37"/>
      <x:c r="P3995" s="34" t="n">
        <x:v>0</x:v>
      </x:c>
      <x:c r="Q3995" s="37" t="n">
        <x:v>46129.224699074075</x:v>
      </x:c>
    </x:row>
    <x:row r="3996">
      <x:c r="A3996" s="22" t="n">
        <x:v>30314</x:v>
      </x:c>
      <x:c r="B3996" s="28" t="n">
        <x:v>257.14</x:v>
      </x:c>
      <x:c r="C3996" s="28" t="n">
        <x:v>282.85</x:v>
      </x:c>
      <x:c r="D3996" s="31" t="n">
        <x:f>IF(OR(ISBLANK(B3996),ISBLANK(C3996),B3996=0),"",(C3996-B3996)/B3996)</x:f>
        <x:v>0.09998444427160316</x:v>
      </x:c>
      <x:c r="E3996" s="22" t="str">
        <x:f>IF(ISBLANK(C3996),"AmountIncludingTax缺失",IF(ABS(B3996-C3996)&lt;0.005,"一致","不一致"))</x:f>
        <x:v>不一致</x:v>
      </x:c>
      <x:c r="F3996" s="19" t="str">
        <x:v>approved</x:v>
      </x:c>
      <x:c r="G3996" s="19" t="str">
        <x:v>Repairer Invoiced Processed</x:v>
      </x:c>
      <x:c r="H3996" s="19" t="str">
        <x:v>In Field</x:v>
      </x:c>
      <x:c r="I3996" s="37" t="n">
        <x:v>46167</x:v>
      </x:c>
      <x:c r="J3996" s="37" t="n">
        <x:v>46167</x:v>
      </x:c>
      <x:c r="K3996" s="19" t="str">
        <x:v>Regent RV - Frankston</x:v>
      </x:c>
      <x:c r="L3996" s="19" t="str">
        <x:v>Z006</x:v>
      </x:c>
      <x:c r="M3996" s="19" t="str">
        <x:v>In Field Warranty Claims</x:v>
      </x:c>
      <x:c r="N3996" s="37" t="n">
        <x:v>46050</x:v>
      </x:c>
      <x:c r="O3996" s="37"/>
      <x:c r="P3996" s="34" t="n">
        <x:v>282.85</x:v>
      </x:c>
      <x:c r="Q3996" s="37" t="n">
        <x:v>46167.24151620371</x:v>
      </x:c>
    </x:row>
    <x:row r="3997">
      <x:c r="A3997" s="22" t="n">
        <x:v>30313</x:v>
      </x:c>
      <x:c r="B3997" s="28" t="n">
        <x:v>748.75</x:v>
      </x:c>
      <x:c r="C3997" s="28"/>
      <x:c r="D3997" s="31" t="str">
        <x:f>IF(OR(ISBLANK(B3997),ISBLANK(C3997),B3997=0),"",(C3997-B3997)/B3997)</x:f>
      </x:c>
      <x:c r="E3997" s="22" t="str">
        <x:f>IF(ISBLANK(C3997),"AmountIncludingTax缺失",IF(ABS(B3997-C3997)&lt;0.005,"一致","不一致"))</x:f>
        <x:v>AmountIncludingTax缺失</x:v>
      </x:c>
      <x:c r="F3997" s="19" t="str">
        <x:v>approved</x:v>
      </x:c>
      <x:c r="G3997" s="19" t="str">
        <x:v>Repairer Invoiced Processed</x:v>
      </x:c>
      <x:c r="H3997" s="19" t="str">
        <x:v>In Field</x:v>
      </x:c>
      <x:c r="I3997" s="37" t="n">
        <x:v>46073</x:v>
      </x:c>
      <x:c r="J3997" s="37" t="n">
        <x:v>46073</x:v>
      </x:c>
      <x:c r="K3997" s="19" t="str">
        <x:v>Lesiure Lion-New Castle</x:v>
      </x:c>
      <x:c r="L3997" s="19" t="str">
        <x:v>Z006</x:v>
      </x:c>
      <x:c r="M3997" s="19" t="str">
        <x:v>In Field Warranty Claims</x:v>
      </x:c>
      <x:c r="N3997" s="37" t="n">
        <x:v>46050</x:v>
      </x:c>
      <x:c r="O3997" s="37"/>
      <x:c r="P3997" s="34" t="n">
        <x:v>0</x:v>
      </x:c>
      <x:c r="Q3997" s="37" t="n">
        <x:v>46073.162835648145</x:v>
      </x:c>
    </x:row>
    <x:row r="3998">
      <x:c r="A3998" s="22" t="n">
        <x:v>30312</x:v>
      </x:c>
      <x:c r="B3998" s="28" t="n">
        <x:v>285</x:v>
      </x:c>
      <x:c r="C3998" s="28"/>
      <x:c r="D3998" s="31" t="str">
        <x:f>IF(OR(ISBLANK(B3998),ISBLANK(C3998),B3998=0),"",(C3998-B3998)/B3998)</x:f>
      </x:c>
      <x:c r="E3998" s="22" t="str">
        <x:f>IF(ISBLANK(C3998),"AmountIncludingTax缺失",IF(ABS(B3998-C3998)&lt;0.005,"一致","不一致"))</x:f>
        <x:v>AmountIncludingTax缺失</x:v>
      </x:c>
      <x:c r="F3998" s="19" t="str">
        <x:v>approved</x:v>
      </x:c>
      <x:c r="G3998" s="19" t="str">
        <x:v>Repair in Progress</x:v>
      </x:c>
      <x:c r="H3998" s="19" t="str">
        <x:v>In Field</x:v>
      </x:c>
      <x:c r="I3998" s="37" t="n">
        <x:v>46108</x:v>
      </x:c>
      <x:c r="J3998" s="37" t="n">
        <x:v>46108</x:v>
      </x:c>
      <x:c r="K3998" s="19" t="str">
        <x:v>Regent RV Pty Ltd</x:v>
      </x:c>
      <x:c r="L3998" s="19" t="str">
        <x:v>Z006</x:v>
      </x:c>
      <x:c r="M3998" s="19" t="str">
        <x:v>In Field Warranty Claims</x:v>
      </x:c>
      <x:c r="N3998" s="37" t="n">
        <x:v>46050</x:v>
      </x:c>
      <x:c r="O3998" s="37"/>
      <x:c r="P3998" s="34" t="n">
        <x:v>0</x:v>
      </x:c>
      <x:c r="Q3998" s="37" t="n">
        <x:v>46108.09747685185</x:v>
      </x:c>
    </x:row>
    <x:row r="3999">
      <x:c r="A3999" s="22" t="n">
        <x:v>30311</x:v>
      </x:c>
      <x:c r="B3999" s="28" t="n">
        <x:v>20</x:v>
      </x:c>
      <x:c r="C3999" s="28" t="n">
        <x:v>18.11</x:v>
      </x:c>
      <x:c r="D3999" s="31" t="n">
        <x:f>IF(OR(ISBLANK(B3999),ISBLANK(C3999),B3999=0),"",(C3999-B3999)/B3999)</x:f>
        <x:v>-0.09450000000000003</x:v>
      </x:c>
      <x:c r="E3999" s="22" t="str">
        <x:f>IF(ISBLANK(C3999),"AmountIncludingTax缺失",IF(ABS(B3999-C3999)&lt;0.005,"一致","不一致"))</x:f>
        <x:v>不一致</x:v>
      </x:c>
      <x:c r="F3999" s="19" t="str">
        <x:v>approved</x:v>
      </x:c>
      <x:c r="G3999" s="19" t="str">
        <x:v>Repairer Invoiced Processed</x:v>
      </x:c>
      <x:c r="H3999" s="19" t="str">
        <x:v>In Field</x:v>
      </x:c>
      <x:c r="I3999" s="37" t="n">
        <x:v>46084</x:v>
      </x:c>
      <x:c r="J3999" s="37" t="n">
        <x:v>46084</x:v>
      </x:c>
      <x:c r="K3999" s="19" t="str">
        <x:v>Vanari Caravans - Marden Point</x:v>
      </x:c>
      <x:c r="L3999" s="19" t="str">
        <x:v>Z006</x:v>
      </x:c>
      <x:c r="M3999" s="19" t="str">
        <x:v>In Field Warranty Claims</x:v>
      </x:c>
      <x:c r="N3999" s="37" t="n">
        <x:v>46049</x:v>
      </x:c>
      <x:c r="O3999" s="37"/>
      <x:c r="P3999" s="34" t="n">
        <x:v>18.11</x:v>
      </x:c>
      <x:c r="Q3999" s="37" t="n">
        <x:v>46083.86309027778</x:v>
      </x:c>
    </x:row>
    <x:row r="4000">
      <x:c r="A4000" s="22" t="n">
        <x:v>30309</x:v>
      </x:c>
      <x:c r="B4000" s="28" t="n">
        <x:v>67.5</x:v>
      </x:c>
      <x:c r="C4000" s="28"/>
      <x:c r="D4000" s="31" t="str">
        <x:f>IF(OR(ISBLANK(B4000),ISBLANK(C4000),B4000=0),"",(C4000-B4000)/B4000)</x:f>
      </x:c>
      <x:c r="E4000" s="22" t="str">
        <x:f>IF(ISBLANK(C4000),"AmountIncludingTax缺失",IF(ABS(B4000-C4000)&lt;0.005,"一致","不一致"))</x:f>
        <x:v>AmountIncludingTax缺失</x:v>
      </x:c>
      <x:c r="F4000" s="19" t="str">
        <x:v>approved</x:v>
      </x:c>
      <x:c r="G4000" s="19" t="str">
        <x:v>Repair in Progress</x:v>
      </x:c>
      <x:c r="H4000" s="19" t="str">
        <x:v>Pre Delivery</x:v>
      </x:c>
      <x:c r="I4000" s="37" t="n">
        <x:v>46134</x:v>
      </x:c>
      <x:c r="J4000" s="37" t="n">
        <x:v>46134</x:v>
      </x:c>
      <x:c r="K4000" s="19" t="str">
        <x:v>Auswide Caravans - South Nowra</x:v>
      </x:c>
      <x:c r="L4000" s="19" t="str">
        <x:v>Z005</x:v>
      </x:c>
      <x:c r="M4000" s="19" t="str">
        <x:v>Pre Delivery Warranty Claims</x:v>
      </x:c>
      <x:c r="N4000" s="37" t="n">
        <x:v>46050</x:v>
      </x:c>
      <x:c r="O4000" s="37"/>
      <x:c r="P4000" s="34" t="n">
        <x:v>0</x:v>
      </x:c>
      <x:c r="Q4000" s="37" t="n">
        <x:v>46134.02291666667</x:v>
      </x:c>
    </x:row>
    <x:row r="4001">
      <x:c r="A4001" s="22" t="n">
        <x:v>30308</x:v>
      </x:c>
      <x:c r="B4001" s="28" t="n">
        <x:v>540</x:v>
      </x:c>
      <x:c r="C4001" s="28"/>
      <x:c r="D4001" s="31" t="str">
        <x:f>IF(OR(ISBLANK(B4001),ISBLANK(C4001),B4001=0),"",(C4001-B4001)/B4001)</x:f>
      </x:c>
      <x:c r="E4001" s="22" t="str">
        <x:f>IF(ISBLANK(C4001),"AmountIncludingTax缺失",IF(ABS(B4001-C4001)&lt;0.005,"一致","不一致"))</x:f>
        <x:v>AmountIncludingTax缺失</x:v>
      </x:c>
      <x:c r="F4001" s="19" t="str">
        <x:v>approved</x:v>
      </x:c>
      <x:c r="G4001" s="19" t="str">
        <x:v>Repairer Invoiced Processed</x:v>
      </x:c>
      <x:c r="H4001" s="19" t="str">
        <x:v>In Field</x:v>
      </x:c>
      <x:c r="I4001" s="37" t="n">
        <x:v>46063</x:v>
      </x:c>
      <x:c r="J4001" s="37" t="n">
        <x:v>46062</x:v>
      </x:c>
      <x:c r="K4001" s="19" t="str">
        <x:v>Newcastle RV Super Centre - Beresfield</x:v>
      </x:c>
      <x:c r="L4001" s="19" t="str">
        <x:v>Z006</x:v>
      </x:c>
      <x:c r="M4001" s="19" t="str">
        <x:v>In Field Warranty Claims</x:v>
      </x:c>
      <x:c r="N4001" s="37" t="n">
        <x:v>46050</x:v>
      </x:c>
      <x:c r="O4001" s="37"/>
      <x:c r="P4001" s="34" t="n">
        <x:v>0</x:v>
      </x:c>
      <x:c r="Q4001" s="37" t="n">
        <x:v>46063.031319444446</x:v>
      </x:c>
    </x:row>
    <x:row r="4002">
      <x:c r="A4002" s="22" t="n">
        <x:v>30307</x:v>
      </x:c>
      <x:c r="B4002" s="28" t="n">
        <x:v>90.86</x:v>
      </x:c>
      <x:c r="C4002" s="28" t="n">
        <x:v>99.95</x:v>
      </x:c>
      <x:c r="D4002" s="31" t="n">
        <x:f>IF(OR(ISBLANK(B4002),ISBLANK(C4002),B4002=0),"",(C4002-B4002)/B4002)</x:f>
        <x:v>0.10004402377283737</x:v>
      </x:c>
      <x:c r="E4002" s="22" t="str">
        <x:f>IF(ISBLANK(C4002),"AmountIncludingTax缺失",IF(ABS(B4002-C4002)&lt;0.005,"一致","不一致"))</x:f>
        <x:v>不一致</x:v>
      </x:c>
      <x:c r="F4002" s="19" t="str">
        <x:v>approved</x:v>
      </x:c>
      <x:c r="G4002" s="19" t="str">
        <x:v>Repairer Invoiced Processed</x:v>
      </x:c>
      <x:c r="H4002" s="19" t="str">
        <x:v>In Field</x:v>
      </x:c>
      <x:c r="I4002" s="37" t="n">
        <x:v>46098</x:v>
      </x:c>
      <x:c r="J4002" s="37" t="n">
        <x:v>46098</x:v>
      </x:c>
      <x:c r="K4002" s="19" t="str">
        <x:v>Regent RV - Traralgon</x:v>
      </x:c>
      <x:c r="L4002" s="19" t="str">
        <x:v>Z006</x:v>
      </x:c>
      <x:c r="M4002" s="19" t="str">
        <x:v>In Field Warranty Claims</x:v>
      </x:c>
      <x:c r="N4002" s="37" t="n">
        <x:v>46050</x:v>
      </x:c>
      <x:c r="O4002" s="37"/>
      <x:c r="P4002" s="34" t="n">
        <x:v>99.95</x:v>
      </x:c>
      <x:c r="Q4002" s="37" t="n">
        <x:v>46098.09363425926</x:v>
      </x:c>
    </x:row>
    <x:row r="4003">
      <x:c r="A4003" s="22" t="n">
        <x:v>30306</x:v>
      </x:c>
      <x:c r="B4003" s="28" t="n">
        <x:v>101.25</x:v>
      </x:c>
      <x:c r="C4003" s="28"/>
      <x:c r="D4003" s="31" t="str">
        <x:f>IF(OR(ISBLANK(B4003),ISBLANK(C4003),B4003=0),"",(C4003-B4003)/B4003)</x:f>
      </x:c>
      <x:c r="E4003" s="22" t="str">
        <x:f>IF(ISBLANK(C4003),"AmountIncludingTax缺失",IF(ABS(B4003-C4003)&lt;0.005,"一致","不一致"))</x:f>
        <x:v>AmountIncludingTax缺失</x:v>
      </x:c>
      <x:c r="F4003" s="19" t="str">
        <x:v>approved</x:v>
      </x:c>
      <x:c r="G4003" s="19" t="str">
        <x:v>Repairer Invoiced Processed</x:v>
      </x:c>
      <x:c r="H4003" s="19" t="str">
        <x:v>Pre Delivery</x:v>
      </x:c>
      <x:c r="I4003" s="37" t="n">
        <x:v>46076</x:v>
      </x:c>
      <x:c r="J4003" s="37" t="n">
        <x:v>46076</x:v>
      </x:c>
      <x:c r="K4003" s="19" t="str">
        <x:v>Lesiure Lion-New Castle</x:v>
      </x:c>
      <x:c r="L4003" s="19" t="str">
        <x:v>Z005</x:v>
      </x:c>
      <x:c r="M4003" s="19" t="str">
        <x:v>Pre Delivery Warranty Claims</x:v>
      </x:c>
      <x:c r="N4003" s="37" t="n">
        <x:v>46050</x:v>
      </x:c>
      <x:c r="O4003" s="37"/>
      <x:c r="P4003" s="34" t="n">
        <x:v>0</x:v>
      </x:c>
      <x:c r="Q4003" s="37" t="n">
        <x:v>46076.245254629626</x:v>
      </x:c>
    </x:row>
    <x:row r="4004">
      <x:c r="A4004" s="22" t="n">
        <x:v>30305</x:v>
      </x:c>
      <x:c r="B4004" s="28" t="n">
        <x:v>427.5</x:v>
      </x:c>
      <x:c r="C4004" s="28" t="n">
        <x:v>470.25</x:v>
      </x:c>
      <x:c r="D4004" s="31" t="n">
        <x:f>IF(OR(ISBLANK(B4004),ISBLANK(C4004),B4004=0),"",(C4004-B4004)/B4004)</x:f>
        <x:v>0.1</x:v>
      </x:c>
      <x:c r="E4004" s="22" t="str">
        <x:f>IF(ISBLANK(C4004),"AmountIncludingTax缺失",IF(ABS(B4004-C4004)&lt;0.005,"一致","不一致"))</x:f>
        <x:v>不一致</x:v>
      </x:c>
      <x:c r="F4004" s="19" t="str">
        <x:v>approved</x:v>
      </x:c>
      <x:c r="G4004" s="19" t="str">
        <x:v>Repairer Invoiced Processed</x:v>
      </x:c>
      <x:c r="H4004" s="19" t="str">
        <x:v>In Field</x:v>
      </x:c>
      <x:c r="I4004" s="37" t="n">
        <x:v>46090</x:v>
      </x:c>
      <x:c r="J4004" s="37" t="n">
        <x:v>46090</x:v>
      </x:c>
      <x:c r="K4004" s="19" t="str">
        <x:v>Regent RV Pty Ltd</x:v>
      </x:c>
      <x:c r="L4004" s="19" t="str">
        <x:v>Z006</x:v>
      </x:c>
      <x:c r="M4004" s="19" t="str">
        <x:v>In Field Warranty Claims</x:v>
      </x:c>
      <x:c r="N4004" s="37" t="n">
        <x:v>46049</x:v>
      </x:c>
      <x:c r="O4004" s="37"/>
      <x:c r="P4004" s="34" t="n">
        <x:v>470.25</x:v>
      </x:c>
      <x:c r="Q4004" s="37" t="n">
        <x:v>46090.314155092594</x:v>
      </x:c>
    </x:row>
    <x:row r="4005">
      <x:c r="A4005" s="22" t="n">
        <x:v>30304</x:v>
      </x:c>
      <x:c r="B4005" s="28" t="n">
        <x:v>580</x:v>
      </x:c>
      <x:c r="C4005" s="28"/>
      <x:c r="D4005" s="31" t="str">
        <x:f>IF(OR(ISBLANK(B4005),ISBLANK(C4005),B4005=0),"",(C4005-B4005)/B4005)</x:f>
      </x:c>
      <x:c r="E4005" s="22" t="str">
        <x:f>IF(ISBLANK(C4005),"AmountIncludingTax缺失",IF(ABS(B4005-C4005)&lt;0.005,"一致","不一致"))</x:f>
        <x:v>AmountIncludingTax缺失</x:v>
      </x:c>
      <x:c r="F4005" s="19" t="str">
        <x:v>approved</x:v>
      </x:c>
      <x:c r="G4005" s="19" t="str">
        <x:v>Repair in Progress</x:v>
      </x:c>
      <x:c r="H4005" s="19" t="str">
        <x:v>Pre Delivery</x:v>
      </x:c>
      <x:c r="I4005" s="37" t="n">
        <x:v>46079</x:v>
      </x:c>
      <x:c r="J4005" s="37" t="n">
        <x:v>46079</x:v>
      </x:c>
      <x:c r="K4005" s="19" t="str">
        <x:v>The Caravan Hub - Townsville</x:v>
      </x:c>
      <x:c r="L4005" s="19" t="str">
        <x:v>Z005</x:v>
      </x:c>
      <x:c r="M4005" s="19" t="str">
        <x:v>Pre Delivery Warranty Claims</x:v>
      </x:c>
      <x:c r="N4005" s="37" t="n">
        <x:v>46049</x:v>
      </x:c>
      <x:c r="O4005" s="37"/>
      <x:c r="P4005" s="34" t="n">
        <x:v>0</x:v>
      </x:c>
      <x:c r="Q4005" s="37" t="n">
        <x:v>46078.93583333334</x:v>
      </x:c>
    </x:row>
    <x:row r="4006">
      <x:c r="A4006" s="22" t="n">
        <x:v>30303</x:v>
      </x:c>
      <x:c r="B4006" s="28" t="n">
        <x:v>72.5</x:v>
      </x:c>
      <x:c r="C4006" s="28"/>
      <x:c r="D4006" s="31" t="str">
        <x:f>IF(OR(ISBLANK(B4006),ISBLANK(C4006),B4006=0),"",(C4006-B4006)/B4006)</x:f>
      </x:c>
      <x:c r="E4006" s="22" t="str">
        <x:f>IF(ISBLANK(C4006),"AmountIncludingTax缺失",IF(ABS(B4006-C4006)&lt;0.005,"一致","不一致"))</x:f>
        <x:v>AmountIncludingTax缺失</x:v>
      </x:c>
      <x:c r="F4006" s="19" t="str">
        <x:v>approved</x:v>
      </x:c>
      <x:c r="G4006" s="19" t="str">
        <x:v>Repairer Invoiced Processed</x:v>
      </x:c>
      <x:c r="H4006" s="19" t="str">
        <x:v>In Field</x:v>
      </x:c>
      <x:c r="I4006" s="37" t="n">
        <x:v>46099</x:v>
      </x:c>
      <x:c r="J4006" s="37" t="n">
        <x:v>46099</x:v>
      </x:c>
      <x:c r="K4006" s="19" t="str">
        <x:v>Green RV - Forest Glen</x:v>
      </x:c>
      <x:c r="L4006" s="19" t="str">
        <x:v>Z006</x:v>
      </x:c>
      <x:c r="M4006" s="19" t="str">
        <x:v>In Field Warranty Claims</x:v>
      </x:c>
      <x:c r="N4006" s="37" t="n">
        <x:v>46049</x:v>
      </x:c>
      <x:c r="O4006" s="37"/>
      <x:c r="P4006" s="34" t="n">
        <x:v>0</x:v>
      </x:c>
      <x:c r="Q4006" s="37" t="n">
        <x:v>46099.03989583333</x:v>
      </x:c>
    </x:row>
    <x:row r="4007">
      <x:c r="A4007" s="22" t="n">
        <x:v>30302</x:v>
      </x:c>
      <x:c r="B4007" s="28" t="n">
        <x:v>517</x:v>
      </x:c>
      <x:c r="C4007" s="28"/>
      <x:c r="D4007" s="31" t="str">
        <x:f>IF(OR(ISBLANK(B4007),ISBLANK(C4007),B4007=0),"",(C4007-B4007)/B4007)</x:f>
      </x:c>
      <x:c r="E4007" s="22" t="str">
        <x:f>IF(ISBLANK(C4007),"AmountIncludingTax缺失",IF(ABS(B4007-C4007)&lt;0.005,"一致","不一致"))</x:f>
        <x:v>AmountIncludingTax缺失</x:v>
      </x:c>
      <x:c r="F4007" s="19" t="str">
        <x:v>approved</x:v>
      </x:c>
      <x:c r="G4007" s="19" t="str">
        <x:v>Repairer Invoiced Processed</x:v>
      </x:c>
      <x:c r="H4007" s="19" t="str">
        <x:v>In Field</x:v>
      </x:c>
      <x:c r="I4007" s="37" t="n">
        <x:v>46070</x:v>
      </x:c>
      <x:c r="J4007" s="37" t="n">
        <x:v>46068</x:v>
      </x:c>
      <x:c r="K4007" s="19" t="str">
        <x:v>Great Ocean Road RV &amp; Caravans - Warrnambool</x:v>
      </x:c>
      <x:c r="L4007" s="19" t="str">
        <x:v>Z006</x:v>
      </x:c>
      <x:c r="M4007" s="19" t="str">
        <x:v>In Field Warranty Claims</x:v>
      </x:c>
      <x:c r="N4007" s="37" t="n">
        <x:v>46049</x:v>
      </x:c>
      <x:c r="O4007" s="37"/>
      <x:c r="P4007" s="34" t="n">
        <x:v>0</x:v>
      </x:c>
      <x:c r="Q4007" s="37" t="n">
        <x:v>46069.93722222222</x:v>
      </x:c>
    </x:row>
    <x:row r="4008">
      <x:c r="A4008" s="22" t="n">
        <x:v>30301</x:v>
      </x:c>
      <x:c r="B4008" s="28" t="n">
        <x:v>191.7</x:v>
      </x:c>
      <x:c r="C4008" s="28"/>
      <x:c r="D4008" s="31" t="str">
        <x:f>IF(OR(ISBLANK(B4008),ISBLANK(C4008),B4008=0),"",(C4008-B4008)/B4008)</x:f>
      </x:c>
      <x:c r="E4008" s="22" t="str">
        <x:f>IF(ISBLANK(C4008),"AmountIncludingTax缺失",IF(ABS(B4008-C4008)&lt;0.005,"一致","不一致"))</x:f>
        <x:v>AmountIncludingTax缺失</x:v>
      </x:c>
      <x:c r="F4008" s="19" t="str">
        <x:v>approved</x:v>
      </x:c>
      <x:c r="G4008" s="19" t="str">
        <x:v>Repair in Progress</x:v>
      </x:c>
      <x:c r="H4008" s="19" t="str">
        <x:v>In Field</x:v>
      </x:c>
      <x:c r="I4008" s="37" t="n">
        <x:v>46135</x:v>
      </x:c>
      <x:c r="J4008" s="37" t="n">
        <x:v>46135</x:v>
      </x:c>
      <x:c r="K4008" s="19" t="str">
        <x:v>Regent RV - Frankston</x:v>
      </x:c>
      <x:c r="L4008" s="19" t="str">
        <x:v>Z006</x:v>
      </x:c>
      <x:c r="M4008" s="19" t="str">
        <x:v>In Field Warranty Claims</x:v>
      </x:c>
      <x:c r="N4008" s="37" t="n">
        <x:v>46049</x:v>
      </x:c>
      <x:c r="O4008" s="37"/>
      <x:c r="P4008" s="34" t="n">
        <x:v>0</x:v>
      </x:c>
      <x:c r="Q4008" s="37" t="n">
        <x:v>46135.130590277775</x:v>
      </x:c>
    </x:row>
    <x:row r="4009">
      <x:c r="A4009" s="22" t="n">
        <x:v>30300</x:v>
      </x:c>
      <x:c r="B4009" s="28" t="n">
        <x:v>256.25</x:v>
      </x:c>
      <x:c r="C4009" s="28"/>
      <x:c r="D4009" s="31" t="str">
        <x:f>IF(OR(ISBLANK(B4009),ISBLANK(C4009),B4009=0),"",(C4009-B4009)/B4009)</x:f>
      </x:c>
      <x:c r="E4009" s="22" t="str">
        <x:f>IF(ISBLANK(C4009),"AmountIncludingTax缺失",IF(ABS(B4009-C4009)&lt;0.005,"一致","不一致"))</x:f>
        <x:v>AmountIncludingTax缺失</x:v>
      </x:c>
      <x:c r="F4009" s="19" t="str">
        <x:v>approved</x:v>
      </x:c>
      <x:c r="G4009" s="19" t="str">
        <x:v>Repair in Progress</x:v>
      </x:c>
      <x:c r="H4009" s="19" t="str">
        <x:v>In Field</x:v>
      </x:c>
      <x:c r="I4009" s="37" t="n">
        <x:v>46072</x:v>
      </x:c>
      <x:c r="J4009" s="37" t="n">
        <x:v>46072</x:v>
      </x:c>
      <x:c r="K4009" s="19" t="str">
        <x:v>Lesiure Lion-New Castle</x:v>
      </x:c>
      <x:c r="L4009" s="19" t="str">
        <x:v>Z006</x:v>
      </x:c>
      <x:c r="M4009" s="19" t="str">
        <x:v>In Field Warranty Claims</x:v>
      </x:c>
      <x:c r="N4009" s="37" t="n">
        <x:v>46049</x:v>
      </x:c>
      <x:c r="O4009" s="37"/>
      <x:c r="P4009" s="34" t="n">
        <x:v>0</x:v>
      </x:c>
      <x:c r="Q4009" s="37" t="n">
        <x:v>46072.24912037037</x:v>
      </x:c>
    </x:row>
    <x:row r="4010">
      <x:c r="A4010" s="22" t="n">
        <x:v>30299</x:v>
      </x:c>
      <x:c r="B4010" s="28" t="n">
        <x:v>107.25</x:v>
      </x:c>
      <x:c r="C4010" s="28"/>
      <x:c r="D4010" s="31" t="str">
        <x:f>IF(OR(ISBLANK(B4010),ISBLANK(C4010),B4010=0),"",(C4010-B4010)/B4010)</x:f>
      </x:c>
      <x:c r="E4010" s="22" t="str">
        <x:f>IF(ISBLANK(C4010),"AmountIncludingTax缺失",IF(ABS(B4010-C4010)&lt;0.005,"一致","不一致"))</x:f>
        <x:v>AmountIncludingTax缺失</x:v>
      </x:c>
      <x:c r="F4010" s="19" t="str">
        <x:v>approved</x:v>
      </x:c>
      <x:c r="G4010" s="19" t="str">
        <x:v>Repair in Progress</x:v>
      </x:c>
      <x:c r="H4010" s="19" t="str">
        <x:v>In Field</x:v>
      </x:c>
      <x:c r="I4010" s="37" t="n">
        <x:v>46072</x:v>
      </x:c>
      <x:c r="J4010" s="37" t="n">
        <x:v>46072</x:v>
      </x:c>
      <x:c r="K4010" s="19" t="str">
        <x:v>Leisure Lion Pty Ltd - Gympie</x:v>
      </x:c>
      <x:c r="L4010" s="19" t="str">
        <x:v>Z006</x:v>
      </x:c>
      <x:c r="M4010" s="19" t="str">
        <x:v>In Field Warranty Claims</x:v>
      </x:c>
      <x:c r="N4010" s="37" t="n">
        <x:v>46049</x:v>
      </x:c>
      <x:c r="O4010" s="37"/>
      <x:c r="P4010" s="34" t="n">
        <x:v>0</x:v>
      </x:c>
      <x:c r="Q4010" s="37" t="n">
        <x:v>46072.20699074074</x:v>
      </x:c>
    </x:row>
    <x:row r="4011">
      <x:c r="A4011" s="22" t="n">
        <x:v>30298</x:v>
      </x:c>
      <x:c r="B4011" s="28" t="n">
        <x:v>27</x:v>
      </x:c>
      <x:c r="C4011" s="28"/>
      <x:c r="D4011" s="31" t="str">
        <x:f>IF(OR(ISBLANK(B4011),ISBLANK(C4011),B4011=0),"",(C4011-B4011)/B4011)</x:f>
      </x:c>
      <x:c r="E4011" s="22" t="str">
        <x:f>IF(ISBLANK(C4011),"AmountIncludingTax缺失",IF(ABS(B4011-C4011)&lt;0.005,"一致","不一致"))</x:f>
        <x:v>AmountIncludingTax缺失</x:v>
      </x:c>
      <x:c r="F4011" s="19" t="str">
        <x:v>approved</x:v>
      </x:c>
      <x:c r="G4011" s="19" t="str">
        <x:v>Repairer Invoiced Processed</x:v>
      </x:c>
      <x:c r="H4011" s="19" t="str">
        <x:v>In Field</x:v>
      </x:c>
      <x:c r="I4011" s="37" t="n">
        <x:v>46068</x:v>
      </x:c>
      <x:c r="J4011" s="37" t="n">
        <x:v>46068</x:v>
      </x:c>
      <x:c r="K4011" s="19" t="str">
        <x:v>Newcastle RV Super Centre - Beresfield</x:v>
      </x:c>
      <x:c r="L4011" s="19" t="str">
        <x:v>Z006</x:v>
      </x:c>
      <x:c r="M4011" s="19" t="str">
        <x:v>In Field Warranty Claims</x:v>
      </x:c>
      <x:c r="N4011" s="37" t="n">
        <x:v>46049</x:v>
      </x:c>
      <x:c r="O4011" s="37"/>
      <x:c r="P4011" s="34" t="n">
        <x:v>0</x:v>
      </x:c>
      <x:c r="Q4011" s="37" t="n">
        <x:v>46067.938738425924</x:v>
      </x:c>
    </x:row>
    <x:row r="4012">
      <x:c r="A4012" s="22" t="n">
        <x:v>30296</x:v>
      </x:c>
      <x:c r="B4012" s="28" t="n">
        <x:v>1091.9</x:v>
      </x:c>
      <x:c r="C4012" s="28" t="n">
        <x:v>988.61</x:v>
      </x:c>
      <x:c r="D4012" s="31" t="n">
        <x:f>IF(OR(ISBLANK(B4012),ISBLANK(C4012),B4012=0),"",(C4012-B4012)/B4012)</x:f>
        <x:v>-0.09459657477791013</x:v>
      </x:c>
      <x:c r="E4012" s="22" t="str">
        <x:f>IF(ISBLANK(C4012),"AmountIncludingTax缺失",IF(ABS(B4012-C4012)&lt;0.005,"一致","不一致"))</x:f>
        <x:v>不一致</x:v>
      </x:c>
      <x:c r="F4012" s="19" t="str">
        <x:v>approved</x:v>
      </x:c>
      <x:c r="G4012" s="19" t="str">
        <x:v>Repairer Invoiced Processed</x:v>
      </x:c>
      <x:c r="H4012" s="19" t="str">
        <x:v>In Field</x:v>
      </x:c>
      <x:c r="I4012" s="37" t="n">
        <x:v>46169</x:v>
      </x:c>
      <x:c r="J4012" s="37" t="n">
        <x:v>46169</x:v>
      </x:c>
      <x:c r="K4012" s="19" t="str">
        <x:v>Vanari Caravans - Marden Point</x:v>
      </x:c>
      <x:c r="L4012" s="19" t="str">
        <x:v>Z006</x:v>
      </x:c>
      <x:c r="M4012" s="19" t="str">
        <x:v>In Field Warranty Claims</x:v>
      </x:c>
      <x:c r="N4012" s="37" t="n">
        <x:v>46049</x:v>
      </x:c>
      <x:c r="O4012" s="37" t="n">
        <x:v>46127</x:v>
      </x:c>
      <x:c r="P4012" s="34" t="n">
        <x:v>988.61</x:v>
      </x:c>
      <x:c r="Q4012" s="37" t="n">
        <x:v>46169.007106481484</x:v>
      </x:c>
    </x:row>
    <x:row r="4013">
      <x:c r="A4013" s="22" t="n">
        <x:v>30289</x:v>
      </x:c>
      <x:c r="B4013" s="28" t="n">
        <x:v>870</x:v>
      </x:c>
      <x:c r="C4013" s="28"/>
      <x:c r="D4013" s="31" t="str">
        <x:f>IF(OR(ISBLANK(B4013),ISBLANK(C4013),B4013=0),"",(C4013-B4013)/B4013)</x:f>
      </x:c>
      <x:c r="E4013" s="22" t="str">
        <x:f>IF(ISBLANK(C4013),"AmountIncludingTax缺失",IF(ABS(B4013-C4013)&lt;0.005,"一致","不一致"))</x:f>
        <x:v>AmountIncludingTax缺失</x:v>
      </x:c>
      <x:c r="F4013" s="19" t="str">
        <x:v>approved</x:v>
      </x:c>
      <x:c r="G4013" s="19" t="str">
        <x:v>Repair in Progress</x:v>
      </x:c>
      <x:c r="H4013" s="19" t="str">
        <x:v>In Field</x:v>
      </x:c>
      <x:c r="I4013" s="37" t="n">
        <x:v>46113</x:v>
      </x:c>
      <x:c r="J4013" s="37" t="n">
        <x:v>46113</x:v>
      </x:c>
      <x:c r="K4013" s="19" t="str">
        <x:v>Regent RV - Perth</x:v>
      </x:c>
      <x:c r="L4013" s="19" t="str">
        <x:v>Z006</x:v>
      </x:c>
      <x:c r="M4013" s="19" t="str">
        <x:v>In Field Warranty Claims</x:v>
      </x:c>
      <x:c r="N4013" s="37" t="n">
        <x:v>46049</x:v>
      </x:c>
      <x:c r="O4013" s="37"/>
      <x:c r="P4013" s="34" t="n">
        <x:v>0</x:v>
      </x:c>
      <x:c r="Q4013" s="37" t="n">
        <x:v>46113.07336805556</x:v>
      </x:c>
    </x:row>
    <x:row r="4014">
      <x:c r="A4014" s="22" t="n">
        <x:v>30286</x:v>
      </x:c>
      <x:c r="B4014" s="28" t="n">
        <x:v>481.25</x:v>
      </x:c>
      <x:c r="C4014" s="28"/>
      <x:c r="D4014" s="31" t="str">
        <x:f>IF(OR(ISBLANK(B4014),ISBLANK(C4014),B4014=0),"",(C4014-B4014)/B4014)</x:f>
      </x:c>
      <x:c r="E4014" s="22" t="str">
        <x:f>IF(ISBLANK(C4014),"AmountIncludingTax缺失",IF(ABS(B4014-C4014)&lt;0.005,"一致","不一致"))</x:f>
        <x:v>AmountIncludingTax缺失</x:v>
      </x:c>
      <x:c r="F4014" s="19" t="str">
        <x:v>approved</x:v>
      </x:c>
      <x:c r="G4014" s="19" t="str">
        <x:v>Repairer Invoiced Processed</x:v>
      </x:c>
      <x:c r="H4014" s="19" t="str">
        <x:v>Pre Delivery</x:v>
      </x:c>
      <x:c r="I4014" s="37" t="n">
        <x:v>46077</x:v>
      </x:c>
      <x:c r="J4014" s="37" t="n">
        <x:v>46077</x:v>
      </x:c>
      <x:c r="K4014" s="19" t="str">
        <x:v>The Caravan Hub - Townsville</x:v>
      </x:c>
      <x:c r="L4014" s="19" t="str">
        <x:v>Z005</x:v>
      </x:c>
      <x:c r="M4014" s="19" t="str">
        <x:v>Pre Delivery Warranty Claims</x:v>
      </x:c>
      <x:c r="N4014" s="37" t="n">
        <x:v>46049</x:v>
      </x:c>
      <x:c r="O4014" s="37"/>
      <x:c r="P4014" s="34" t="n">
        <x:v>0</x:v>
      </x:c>
      <x:c r="Q4014" s="37" t="n">
        <x:v>46077.20230324074</x:v>
      </x:c>
    </x:row>
    <x:row r="4015">
      <x:c r="A4015" s="22" t="n">
        <x:v>30285</x:v>
      </x:c>
      <x:c r="B4015" s="28" t="n">
        <x:v>734.12</x:v>
      </x:c>
      <x:c r="C4015" s="28"/>
      <x:c r="D4015" s="31" t="str">
        <x:f>IF(OR(ISBLANK(B4015),ISBLANK(C4015),B4015=0),"",(C4015-B4015)/B4015)</x:f>
      </x:c>
      <x:c r="E4015" s="22" t="str">
        <x:f>IF(ISBLANK(C4015),"AmountIncludingTax缺失",IF(ABS(B4015-C4015)&lt;0.005,"一致","不一致"))</x:f>
        <x:v>AmountIncludingTax缺失</x:v>
      </x:c>
      <x:c r="F4015" s="19" t="str">
        <x:v>approved</x:v>
      </x:c>
      <x:c r="G4015" s="19" t="str">
        <x:v>Sales Order Approved</x:v>
      </x:c>
      <x:c r="H4015" s="19" t="str">
        <x:v>Pre Delivery</x:v>
      </x:c>
      <x:c r="I4015" s="37" t="n">
        <x:v>46171</x:v>
      </x:c>
      <x:c r="J4015" s="37" t="n">
        <x:v>46171</x:v>
      </x:c>
      <x:c r="K4015" s="19" t="str">
        <x:v>The Caravan Hub - Townsville</x:v>
      </x:c>
      <x:c r="L4015" s="19" t="str">
        <x:v>Z005</x:v>
      </x:c>
      <x:c r="M4015" s="19" t="str">
        <x:v>Pre Delivery Warranty Claims</x:v>
      </x:c>
      <x:c r="N4015" s="37" t="n">
        <x:v>46049</x:v>
      </x:c>
      <x:c r="O4015" s="37"/>
      <x:c r="P4015" s="34" t="n">
        <x:v>0</x:v>
      </x:c>
      <x:c r="Q4015" s="37" t="n">
        <x:v>46171.0555787037</x:v>
      </x:c>
    </x:row>
    <x:row r="4016">
      <x:c r="A4016" s="22" t="n">
        <x:v>30284</x:v>
      </x:c>
      <x:c r="B4016" s="28" t="n">
        <x:v>1329.15</x:v>
      </x:c>
      <x:c r="C4016" s="28"/>
      <x:c r="D4016" s="31" t="str">
        <x:f>IF(OR(ISBLANK(B4016),ISBLANK(C4016),B4016=0),"",(C4016-B4016)/B4016)</x:f>
      </x:c>
      <x:c r="E4016" s="22" t="str">
        <x:f>IF(ISBLANK(C4016),"AmountIncludingTax缺失",IF(ABS(B4016-C4016)&lt;0.005,"一致","不一致"))</x:f>
        <x:v>AmountIncludingTax缺失</x:v>
      </x:c>
      <x:c r="F4016" s="19" t="str">
        <x:v>approved</x:v>
      </x:c>
      <x:c r="G4016" s="19" t="str">
        <x:v>Repairer Invoiced Processed</x:v>
      </x:c>
      <x:c r="H4016" s="19" t="str">
        <x:v>Pre Delivery</x:v>
      </x:c>
      <x:c r="I4016" s="37" t="n">
        <x:v>46112</x:v>
      </x:c>
      <x:c r="J4016" s="37" t="n">
        <x:v>46112</x:v>
      </x:c>
      <x:c r="K4016" s="19" t="str">
        <x:v>Lesiure Lion-New Castle</x:v>
      </x:c>
      <x:c r="L4016" s="19" t="str">
        <x:v>Z005</x:v>
      </x:c>
      <x:c r="M4016" s="19" t="str">
        <x:v>Pre Delivery Warranty Claims</x:v>
      </x:c>
      <x:c r="N4016" s="37" t="n">
        <x:v>46049</x:v>
      </x:c>
      <x:c r="O4016" s="37"/>
      <x:c r="P4016" s="34" t="n">
        <x:v>1462.07</x:v>
      </x:c>
      <x:c r="Q4016" s="37" t="n">
        <x:v>46112.098715277774</x:v>
      </x:c>
    </x:row>
    <x:row r="4017">
      <x:c r="A4017" s="22" t="n">
        <x:v>30283</x:v>
      </x:c>
      <x:c r="B4017" s="28" t="n">
        <x:v>776.75</x:v>
      </x:c>
      <x:c r="C4017" s="28"/>
      <x:c r="D4017" s="31" t="str">
        <x:f>IF(OR(ISBLANK(B4017),ISBLANK(C4017),B4017=0),"",(C4017-B4017)/B4017)</x:f>
      </x:c>
      <x:c r="E4017" s="22" t="str">
        <x:f>IF(ISBLANK(C4017),"AmountIncludingTax缺失",IF(ABS(B4017-C4017)&lt;0.005,"一致","不一致"))</x:f>
        <x:v>AmountIncludingTax缺失</x:v>
      </x:c>
      <x:c r="F4017" s="19" t="str">
        <x:v>approved</x:v>
      </x:c>
      <x:c r="G4017" s="19" t="str">
        <x:v>Repairer Invoiced Processed</x:v>
      </x:c>
      <x:c r="H4017" s="19" t="str">
        <x:v>In Field</x:v>
      </x:c>
      <x:c r="I4017" s="37" t="n">
        <x:v>46157</x:v>
      </x:c>
      <x:c r="J4017" s="37" t="n">
        <x:v>46157</x:v>
      </x:c>
      <x:c r="K4017" s="19" t="str">
        <x:v>Regent RV Pty Ltd</x:v>
      </x:c>
      <x:c r="L4017" s="19" t="str">
        <x:v>Z006</x:v>
      </x:c>
      <x:c r="M4017" s="19" t="str">
        <x:v>In Field Warranty Claims</x:v>
      </x:c>
      <x:c r="N4017" s="37" t="n">
        <x:v>46049</x:v>
      </x:c>
      <x:c r="O4017" s="37"/>
      <x:c r="P4017" s="34" t="n">
        <x:v>0</x:v>
      </x:c>
      <x:c r="Q4017" s="37" t="n">
        <x:v>46157.13171296296</x:v>
      </x:c>
    </x:row>
    <x:row r="4018">
      <x:c r="A4018" s="22" t="n">
        <x:v>30282</x:v>
      </x:c>
      <x:c r="B4018" s="28" t="n">
        <x:v>208.5</x:v>
      </x:c>
      <x:c r="C4018" s="28"/>
      <x:c r="D4018" s="31" t="str">
        <x:f>IF(OR(ISBLANK(B4018),ISBLANK(C4018),B4018=0),"",(C4018-B4018)/B4018)</x:f>
      </x:c>
      <x:c r="E4018" s="22" t="str">
        <x:f>IF(ISBLANK(C4018),"AmountIncludingTax缺失",IF(ABS(B4018-C4018)&lt;0.005,"一致","不一致"))</x:f>
        <x:v>AmountIncludingTax缺失</x:v>
      </x:c>
      <x:c r="F4018" s="19" t="str">
        <x:v>approved</x:v>
      </x:c>
      <x:c r="G4018" s="19" t="str">
        <x:v>Repair in Progress</x:v>
      </x:c>
      <x:c r="H4018" s="19" t="str">
        <x:v>In Field</x:v>
      </x:c>
      <x:c r="I4018" s="37" t="n">
        <x:v>46076</x:v>
      </x:c>
      <x:c r="J4018" s="37" t="n">
        <x:v>46076</x:v>
      </x:c>
      <x:c r="K4018" s="19" t="str">
        <x:v>QCCC - Gympie</x:v>
      </x:c>
      <x:c r="L4018" s="19" t="str">
        <x:v>Z006</x:v>
      </x:c>
      <x:c r="M4018" s="19" t="str">
        <x:v>In Field Warranty Claims</x:v>
      </x:c>
      <x:c r="N4018" s="37" t="n">
        <x:v>46049</x:v>
      </x:c>
      <x:c r="O4018" s="37"/>
      <x:c r="P4018" s="34" t="n">
        <x:v>0</x:v>
      </x:c>
      <x:c r="Q4018" s="37" t="n">
        <x:v>46075.95851851852</x:v>
      </x:c>
    </x:row>
    <x:row r="4019">
      <x:c r="A4019" s="22" t="n">
        <x:v>30281</x:v>
      </x:c>
      <x:c r="B4019" s="28" t="n">
        <x:v>1039.93</x:v>
      </x:c>
      <x:c r="C4019" s="28"/>
      <x:c r="D4019" s="31" t="str">
        <x:f>IF(OR(ISBLANK(B4019),ISBLANK(C4019),B4019=0),"",(C4019-B4019)/B4019)</x:f>
      </x:c>
      <x:c r="E4019" s="22" t="str">
        <x:f>IF(ISBLANK(C4019),"AmountIncludingTax缺失",IF(ABS(B4019-C4019)&lt;0.005,"一致","不一致"))</x:f>
        <x:v>AmountIncludingTax缺失</x:v>
      </x:c>
      <x:c r="F4019" s="19" t="str">
        <x:v>approved</x:v>
      </x:c>
      <x:c r="G4019" s="19" t="str">
        <x:v>Repairer Invoiced Processed</x:v>
      </x:c>
      <x:c r="H4019" s="19" t="str">
        <x:v>Pre Delivery</x:v>
      </x:c>
      <x:c r="I4019" s="37" t="n">
        <x:v>46112</x:v>
      </x:c>
      <x:c r="J4019" s="37" t="n">
        <x:v>46112</x:v>
      </x:c>
      <x:c r="K4019" s="19" t="str">
        <x:v>Lesiure Lion-New Castle</x:v>
      </x:c>
      <x:c r="L4019" s="19" t="str">
        <x:v>Z005</x:v>
      </x:c>
      <x:c r="M4019" s="19" t="str">
        <x:v>Pre Delivery Warranty Claims</x:v>
      </x:c>
      <x:c r="N4019" s="37" t="n">
        <x:v>46049</x:v>
      </x:c>
      <x:c r="O4019" s="37"/>
      <x:c r="P4019" s="34" t="n">
        <x:v>1143.92</x:v>
      </x:c>
      <x:c r="Q4019" s="37" t="n">
        <x:v>46112.09002314815</x:v>
      </x:c>
    </x:row>
    <x:row r="4020">
      <x:c r="A4020" s="22" t="n">
        <x:v>30279</x:v>
      </x:c>
      <x:c r="B4020" s="28" t="n">
        <x:v>472.5</x:v>
      </x:c>
      <x:c r="C4020" s="28"/>
      <x:c r="D4020" s="31" t="str">
        <x:f>IF(OR(ISBLANK(B4020),ISBLANK(C4020),B4020=0),"",(C4020-B4020)/B4020)</x:f>
      </x:c>
      <x:c r="E4020" s="22" t="str">
        <x:f>IF(ISBLANK(C4020),"AmountIncludingTax缺失",IF(ABS(B4020-C4020)&lt;0.005,"一致","不一致"))</x:f>
        <x:v>AmountIncludingTax缺失</x:v>
      </x:c>
      <x:c r="F4020" s="19" t="str">
        <x:v>approved</x:v>
      </x:c>
      <x:c r="G4020" s="19" t="str">
        <x:v>Repairer Invoiced Processed</x:v>
      </x:c>
      <x:c r="H4020" s="19" t="str">
        <x:v>Pre Delivery</x:v>
      </x:c>
      <x:c r="I4020" s="37" t="n">
        <x:v>46077</x:v>
      </x:c>
      <x:c r="J4020" s="37" t="n">
        <x:v>46077</x:v>
      </x:c>
      <x:c r="K4020" s="19" t="str">
        <x:v>Lesiure Lion-New Castle</x:v>
      </x:c>
      <x:c r="L4020" s="19" t="str">
        <x:v>Z005</x:v>
      </x:c>
      <x:c r="M4020" s="19" t="str">
        <x:v>Pre Delivery Warranty Claims</x:v>
      </x:c>
      <x:c r="N4020" s="37" t="n">
        <x:v>46049</x:v>
      </x:c>
      <x:c r="O4020" s="37"/>
      <x:c r="P4020" s="34" t="n">
        <x:v>0</x:v>
      </x:c>
      <x:c r="Q4020" s="37" t="n">
        <x:v>46076.921122685184</x:v>
      </x:c>
    </x:row>
    <x:row r="4021">
      <x:c r="A4021" s="22" t="n">
        <x:v>30278</x:v>
      </x:c>
      <x:c r="B4021" s="28" t="n">
        <x:v>428.75</x:v>
      </x:c>
      <x:c r="C4021" s="28"/>
      <x:c r="D4021" s="31" t="str">
        <x:f>IF(OR(ISBLANK(B4021),ISBLANK(C4021),B4021=0),"",(C4021-B4021)/B4021)</x:f>
      </x:c>
      <x:c r="E4021" s="22" t="str">
        <x:f>IF(ISBLANK(C4021),"AmountIncludingTax缺失",IF(ABS(B4021-C4021)&lt;0.005,"一致","不一致"))</x:f>
        <x:v>AmountIncludingTax缺失</x:v>
      </x:c>
      <x:c r="F4021" s="19" t="str">
        <x:v>approved</x:v>
      </x:c>
      <x:c r="G4021" s="19" t="str">
        <x:v>Repair in Progress</x:v>
      </x:c>
      <x:c r="H4021" s="19" t="str">
        <x:v>Pre Delivery</x:v>
      </x:c>
      <x:c r="I4021" s="37" t="n">
        <x:v>46072</x:v>
      </x:c>
      <x:c r="J4021" s="37" t="n">
        <x:v>46072</x:v>
      </x:c>
      <x:c r="K4021" s="19" t="str">
        <x:v>The Caravan Hub - Townsville</x:v>
      </x:c>
      <x:c r="L4021" s="19" t="str">
        <x:v>Z005</x:v>
      </x:c>
      <x:c r="M4021" s="19" t="str">
        <x:v>Pre Delivery Warranty Claims</x:v>
      </x:c>
      <x:c r="N4021" s="37" t="n">
        <x:v>46049</x:v>
      </x:c>
      <x:c r="O4021" s="37"/>
      <x:c r="P4021" s="34" t="n">
        <x:v>0</x:v>
      </x:c>
      <x:c r="Q4021" s="37" t="n">
        <x:v>46072.17303240741</x:v>
      </x:c>
    </x:row>
    <x:row r="4022">
      <x:c r="A4022" s="22" t="n">
        <x:v>30277</x:v>
      </x:c>
      <x:c r="B4022" s="28" t="n">
        <x:v>507.5</x:v>
      </x:c>
      <x:c r="C4022" s="28" t="n">
        <x:v>558.25</x:v>
      </x:c>
      <x:c r="D4022" s="31" t="n">
        <x:f>IF(OR(ISBLANK(B4022),ISBLANK(C4022),B4022=0),"",(C4022-B4022)/B4022)</x:f>
        <x:v>0.1</x:v>
      </x:c>
      <x:c r="E4022" s="22" t="str">
        <x:f>IF(ISBLANK(C4022),"AmountIncludingTax缺失",IF(ABS(B4022-C4022)&lt;0.005,"一致","不一致"))</x:f>
        <x:v>不一致</x:v>
      </x:c>
      <x:c r="F4022" s="19" t="str">
        <x:v>approved</x:v>
      </x:c>
      <x:c r="G4022" s="19" t="str">
        <x:v>Repairer Invoiced Processed</x:v>
      </x:c>
      <x:c r="H4022" s="19" t="str">
        <x:v>Pre Delivery</x:v>
      </x:c>
      <x:c r="I4022" s="37" t="n">
        <x:v>46164</x:v>
      </x:c>
      <x:c r="J4022" s="37" t="n">
        <x:v>46164</x:v>
      </x:c>
      <x:c r="K4022" s="19" t="str">
        <x:v>Regent RV - Townsville</x:v>
      </x:c>
      <x:c r="L4022" s="19" t="str">
        <x:v>Z005</x:v>
      </x:c>
      <x:c r="M4022" s="19" t="str">
        <x:v>Pre Delivery Warranty Claims</x:v>
      </x:c>
      <x:c r="N4022" s="37" t="n">
        <x:v>46049</x:v>
      </x:c>
      <x:c r="O4022" s="37"/>
      <x:c r="P4022" s="34" t="n">
        <x:v>558.25</x:v>
      </x:c>
      <x:c r="Q4022" s="37" t="n">
        <x:v>46164.0708912037</x:v>
      </x:c>
    </x:row>
    <x:row r="4023">
      <x:c r="A4023" s="22" t="n">
        <x:v>30276</x:v>
      </x:c>
      <x:c r="B4023" s="28" t="n">
        <x:v>145</x:v>
      </x:c>
      <x:c r="C4023" s="28"/>
      <x:c r="D4023" s="31" t="str">
        <x:f>IF(OR(ISBLANK(B4023),ISBLANK(C4023),B4023=0),"",(C4023-B4023)/B4023)</x:f>
      </x:c>
      <x:c r="E4023" s="22" t="str">
        <x:f>IF(ISBLANK(C4023),"AmountIncludingTax缺失",IF(ABS(B4023-C4023)&lt;0.005,"一致","不一致"))</x:f>
        <x:v>AmountIncludingTax缺失</x:v>
      </x:c>
      <x:c r="F4023" s="19" t="str">
        <x:v>approved</x:v>
      </x:c>
      <x:c r="G4023" s="19" t="str">
        <x:v>Repair in Progress</x:v>
      </x:c>
      <x:c r="H4023" s="19" t="str">
        <x:v>Pre Delivery</x:v>
      </x:c>
      <x:c r="I4023" s="37" t="n">
        <x:v>46072</x:v>
      </x:c>
      <x:c r="J4023" s="37" t="n">
        <x:v>46072</x:v>
      </x:c>
      <x:c r="K4023" s="19" t="str">
        <x:v>The Caravan Hub - Townsville</x:v>
      </x:c>
      <x:c r="L4023" s="19" t="str">
        <x:v>Z005</x:v>
      </x:c>
      <x:c r="M4023" s="19" t="str">
        <x:v>Pre Delivery Warranty Claims</x:v>
      </x:c>
      <x:c r="N4023" s="37" t="n">
        <x:v>46049</x:v>
      </x:c>
      <x:c r="O4023" s="37"/>
      <x:c r="P4023" s="34" t="n">
        <x:v>0</x:v>
      </x:c>
      <x:c r="Q4023" s="37" t="n">
        <x:v>46072.170439814814</x:v>
      </x:c>
    </x:row>
    <x:row r="4024">
      <x:c r="A4024" s="22" t="n">
        <x:v>30275</x:v>
      </x:c>
      <x:c r="B4024" s="28" t="n">
        <x:v>1574.75</x:v>
      </x:c>
      <x:c r="C4024" s="28"/>
      <x:c r="D4024" s="31" t="str">
        <x:f>IF(OR(ISBLANK(B4024),ISBLANK(C4024),B4024=0),"",(C4024-B4024)/B4024)</x:f>
      </x:c>
      <x:c r="E4024" s="22" t="str">
        <x:f>IF(ISBLANK(C4024),"AmountIncludingTax缺失",IF(ABS(B4024-C4024)&lt;0.005,"一致","不一致"))</x:f>
        <x:v>AmountIncludingTax缺失</x:v>
      </x:c>
      <x:c r="F4024" s="19" t="str">
        <x:v>approved</x:v>
      </x:c>
      <x:c r="G4024" s="19" t="str">
        <x:v>Partially Picked</x:v>
      </x:c>
      <x:c r="H4024" s="19" t="str">
        <x:v>Pre Delivery</x:v>
      </x:c>
      <x:c r="I4024" s="37" t="n">
        <x:v>46196</x:v>
      </x:c>
      <x:c r="J4024" s="37" t="n">
        <x:v>46196</x:v>
      </x:c>
      <x:c r="K4024" s="19" t="str">
        <x:v>Regent RV - Townsville</x:v>
      </x:c>
      <x:c r="L4024" s="19" t="str">
        <x:v>Z005</x:v>
      </x:c>
      <x:c r="M4024" s="19" t="str">
        <x:v>Pre Delivery Warranty Claims</x:v>
      </x:c>
      <x:c r="N4024" s="37" t="n">
        <x:v>46049</x:v>
      </x:c>
      <x:c r="O4024" s="37" t="n">
        <x:v>46188</x:v>
      </x:c>
      <x:c r="P4024" s="34" t="n">
        <x:v>0</x:v>
      </x:c>
      <x:c r="Q4024" s="37" t="n">
        <x:v>46196.02685185185</x:v>
      </x:c>
    </x:row>
    <x:row r="4025">
      <x:c r="A4025" s="22" t="n">
        <x:v>30273</x:v>
      </x:c>
      <x:c r="B4025" s="28" t="n">
        <x:v>481.28</x:v>
      </x:c>
      <x:c r="C4025" s="28" t="n">
        <x:v>529.41</x:v>
      </x:c>
      <x:c r="D4025" s="31" t="n">
        <x:f>IF(OR(ISBLANK(B4025),ISBLANK(C4025),B4025=0),"",(C4025-B4025)/B4025)</x:f>
        <x:v>0.10000415558510638</x:v>
      </x:c>
      <x:c r="E4025" s="22" t="str">
        <x:f>IF(ISBLANK(C4025),"AmountIncludingTax缺失",IF(ABS(B4025-C4025)&lt;0.005,"一致","不一致"))</x:f>
        <x:v>不一致</x:v>
      </x:c>
      <x:c r="F4025" s="19" t="str">
        <x:v>approved</x:v>
      </x:c>
      <x:c r="G4025" s="19" t="str">
        <x:v>Repairer Invoiced Processed</x:v>
      </x:c>
      <x:c r="H4025" s="19" t="str">
        <x:v>Pre Delivery</x:v>
      </x:c>
      <x:c r="I4025" s="37" t="n">
        <x:v>46112</x:v>
      </x:c>
      <x:c r="J4025" s="37" t="n">
        <x:v>46112</x:v>
      </x:c>
      <x:c r="K4025" s="19" t="str">
        <x:v>Lesiure Lion-New Castle</x:v>
      </x:c>
      <x:c r="L4025" s="19" t="str">
        <x:v>Z005</x:v>
      </x:c>
      <x:c r="M4025" s="19" t="str">
        <x:v>Pre Delivery Warranty Claims</x:v>
      </x:c>
      <x:c r="N4025" s="37" t="n">
        <x:v>46049</x:v>
      </x:c>
      <x:c r="O4025" s="37"/>
      <x:c r="P4025" s="34" t="n">
        <x:v>529.41</x:v>
      </x:c>
      <x:c r="Q4025" s="37" t="n">
        <x:v>46112.05905092593</x:v>
      </x:c>
    </x:row>
    <x:row r="4026">
      <x:c r="A4026" s="22" t="n">
        <x:v>30272</x:v>
      </x:c>
      <x:c r="B4026" s="28" t="n">
        <x:v>270</x:v>
      </x:c>
      <x:c r="C4026" s="28"/>
      <x:c r="D4026" s="31" t="str">
        <x:f>IF(OR(ISBLANK(B4026),ISBLANK(C4026),B4026=0),"",(C4026-B4026)/B4026)</x:f>
      </x:c>
      <x:c r="E4026" s="22" t="str">
        <x:f>IF(ISBLANK(C4026),"AmountIncludingTax缺失",IF(ABS(B4026-C4026)&lt;0.005,"一致","不一致"))</x:f>
        <x:v>AmountIncludingTax缺失</x:v>
      </x:c>
      <x:c r="F4026" s="19" t="str">
        <x:v>approved</x:v>
      </x:c>
      <x:c r="G4026" s="19" t="str">
        <x:v>Repairer Invoiced Processed</x:v>
      </x:c>
      <x:c r="H4026" s="19" t="str">
        <x:v>In Field</x:v>
      </x:c>
      <x:c r="I4026" s="37" t="n">
        <x:v>46072</x:v>
      </x:c>
      <x:c r="J4026" s="37" t="n">
        <x:v>46072</x:v>
      </x:c>
      <x:c r="K4026" s="19" t="str">
        <x:v>Green RV - Forest Glen</x:v>
      </x:c>
      <x:c r="L4026" s="19" t="str">
        <x:v>Z006</x:v>
      </x:c>
      <x:c r="M4026" s="19" t="str">
        <x:v>In Field Warranty Claims</x:v>
      </x:c>
      <x:c r="N4026" s="37" t="n">
        <x:v>46049</x:v>
      </x:c>
      <x:c r="O4026" s="37"/>
      <x:c r="P4026" s="34" t="n">
        <x:v>0</x:v>
      </x:c>
      <x:c r="Q4026" s="37" t="n">
        <x:v>46072.20355324074</x:v>
      </x:c>
    </x:row>
    <x:row r="4027">
      <x:c r="A4027" s="22" t="n">
        <x:v>30271</x:v>
      </x:c>
      <x:c r="B4027" s="28" t="n">
        <x:v>472.5</x:v>
      </x:c>
      <x:c r="C4027" s="28"/>
      <x:c r="D4027" s="31" t="str">
        <x:f>IF(OR(ISBLANK(B4027),ISBLANK(C4027),B4027=0),"",(C4027-B4027)/B4027)</x:f>
      </x:c>
      <x:c r="E4027" s="22" t="str">
        <x:f>IF(ISBLANK(C4027),"AmountIncludingTax缺失",IF(ABS(B4027-C4027)&lt;0.005,"一致","不一致"))</x:f>
        <x:v>AmountIncludingTax缺失</x:v>
      </x:c>
      <x:c r="F4027" s="19" t="str">
        <x:v>approved</x:v>
      </x:c>
      <x:c r="G4027" s="19" t="str">
        <x:v>Partially Picked</x:v>
      </x:c>
      <x:c r="H4027" s="19" t="str">
        <x:v>In Field</x:v>
      </x:c>
      <x:c r="I4027" s="37" t="n">
        <x:v>46098</x:v>
      </x:c>
      <x:c r="J4027" s="37" t="n">
        <x:v>46098</x:v>
      </x:c>
      <x:c r="K4027" s="19" t="str">
        <x:v>Green RV - Forest Glen</x:v>
      </x:c>
      <x:c r="L4027" s="19" t="str">
        <x:v>Z006</x:v>
      </x:c>
      <x:c r="M4027" s="19" t="str">
        <x:v>In Field Warranty Claims</x:v>
      </x:c>
      <x:c r="N4027" s="37" t="n">
        <x:v>46049</x:v>
      </x:c>
      <x:c r="O4027" s="37"/>
      <x:c r="P4027" s="34" t="n">
        <x:v>0</x:v>
      </x:c>
      <x:c r="Q4027" s="37" t="n">
        <x:v>46097.92686342593</x:v>
      </x:c>
    </x:row>
    <x:row r="4028">
      <x:c r="A4028" s="22" t="n">
        <x:v>30268</x:v>
      </x:c>
      <x:c r="B4028" s="28" t="n">
        <x:v>240.25</x:v>
      </x:c>
      <x:c r="C4028" s="28"/>
      <x:c r="D4028" s="31" t="str">
        <x:f>IF(OR(ISBLANK(B4028),ISBLANK(C4028),B4028=0),"",(C4028-B4028)/B4028)</x:f>
      </x:c>
      <x:c r="E4028" s="22" t="str">
        <x:f>IF(ISBLANK(C4028),"AmountIncludingTax缺失",IF(ABS(B4028-C4028)&lt;0.005,"一致","不一致"))</x:f>
        <x:v>AmountIncludingTax缺失</x:v>
      </x:c>
      <x:c r="F4028" s="19" t="str">
        <x:v>approved</x:v>
      </x:c>
      <x:c r="G4028" s="19" t="str">
        <x:v>Repairer Invoiced Processed</x:v>
      </x:c>
      <x:c r="H4028" s="19" t="str">
        <x:v>In Field</x:v>
      </x:c>
      <x:c r="I4028" s="37" t="n">
        <x:v>46071</x:v>
      </x:c>
      <x:c r="J4028" s="37" t="n">
        <x:v>46071</x:v>
      </x:c>
      <x:c r="K4028" s="19" t="str">
        <x:v>Lesiure Lion-New Castle</x:v>
      </x:c>
      <x:c r="L4028" s="19" t="str">
        <x:v>Z006</x:v>
      </x:c>
      <x:c r="M4028" s="19" t="str">
        <x:v>In Field Warranty Claims</x:v>
      </x:c>
      <x:c r="N4028" s="37" t="n">
        <x:v>46049</x:v>
      </x:c>
      <x:c r="O4028" s="37"/>
      <x:c r="P4028" s="34" t="n">
        <x:v>0</x:v>
      </x:c>
      <x:c r="Q4028" s="37" t="n">
        <x:v>46071.224583333336</x:v>
      </x:c>
    </x:row>
    <x:row r="4029">
      <x:c r="A4029" s="22" t="n">
        <x:v>30267</x:v>
      </x:c>
      <x:c r="B4029" s="28" t="n">
        <x:v>1052.5</x:v>
      </x:c>
      <x:c r="C4029" s="28"/>
      <x:c r="D4029" s="31" t="str">
        <x:f>IF(OR(ISBLANK(B4029),ISBLANK(C4029),B4029=0),"",(C4029-B4029)/B4029)</x:f>
      </x:c>
      <x:c r="E4029" s="22" t="str">
        <x:f>IF(ISBLANK(C4029),"AmountIncludingTax缺失",IF(ABS(B4029-C4029)&lt;0.005,"一致","不一致"))</x:f>
        <x:v>AmountIncludingTax缺失</x:v>
      </x:c>
      <x:c r="F4029" s="19" t="str">
        <x:v>approved</x:v>
      </x:c>
      <x:c r="G4029" s="19" t="str">
        <x:v>Repair in Progress</x:v>
      </x:c>
      <x:c r="H4029" s="19" t="str">
        <x:v>In Field</x:v>
      </x:c>
      <x:c r="I4029" s="37" t="n">
        <x:v>46122</x:v>
      </x:c>
      <x:c r="J4029" s="37" t="n">
        <x:v>46122</x:v>
      </x:c>
      <x:c r="K4029" s="19" t="str">
        <x:v>Auswide Caravans - South Nowra</x:v>
      </x:c>
      <x:c r="L4029" s="19" t="str">
        <x:v>Z006</x:v>
      </x:c>
      <x:c r="M4029" s="19" t="str">
        <x:v>In Field Warranty Claims</x:v>
      </x:c>
      <x:c r="N4029" s="37" t="n">
        <x:v>46049</x:v>
      </x:c>
      <x:c r="O4029" s="37"/>
      <x:c r="P4029" s="34" t="n">
        <x:v>0</x:v>
      </x:c>
      <x:c r="Q4029" s="37" t="n">
        <x:v>46122.01354166667</x:v>
      </x:c>
    </x:row>
    <x:row r="4030">
      <x:c r="A4030" s="22" t="n">
        <x:v>30266</x:v>
      </x:c>
      <x:c r="B4030" s="28" t="n">
        <x:v>457.68</x:v>
      </x:c>
      <x:c r="C4030" s="28"/>
      <x:c r="D4030" s="31" t="str">
        <x:f>IF(OR(ISBLANK(B4030),ISBLANK(C4030),B4030=0),"",(C4030-B4030)/B4030)</x:f>
      </x:c>
      <x:c r="E4030" s="22" t="str">
        <x:f>IF(ISBLANK(C4030),"AmountIncludingTax缺失",IF(ABS(B4030-C4030)&lt;0.005,"一致","不一致"))</x:f>
        <x:v>AmountIncludingTax缺失</x:v>
      </x:c>
      <x:c r="F4030" s="19" t="str">
        <x:v>approved</x:v>
      </x:c>
      <x:c r="G4030" s="19" t="str">
        <x:v>Repairer Invoiced Processed</x:v>
      </x:c>
      <x:c r="H4030" s="19" t="str">
        <x:v>Pre Delivery</x:v>
      </x:c>
      <x:c r="I4030" s="37" t="n">
        <x:v>46070</x:v>
      </x:c>
      <x:c r="J4030" s="37" t="n">
        <x:v>46070</x:v>
      </x:c>
      <x:c r="K4030" s="19" t="str">
        <x:v>The Caravan Hub - Townsville</x:v>
      </x:c>
      <x:c r="L4030" s="19" t="str">
        <x:v>Z005</x:v>
      </x:c>
      <x:c r="M4030" s="19" t="str">
        <x:v>Pre Delivery Warranty Claims</x:v>
      </x:c>
      <x:c r="N4030" s="37" t="n">
        <x:v>46049</x:v>
      </x:c>
      <x:c r="O4030" s="37"/>
      <x:c r="P4030" s="34" t="n">
        <x:v>0</x:v>
      </x:c>
      <x:c r="Q4030" s="37" t="n">
        <x:v>46069.93</x:v>
      </x:c>
    </x:row>
    <x:row r="4031">
      <x:c r="A4031" s="22" t="n">
        <x:v>30265</x:v>
      </x:c>
      <x:c r="B4031" s="28" t="n">
        <x:v>58.05</x:v>
      </x:c>
      <x:c r="C4031" s="28" t="n">
        <x:v>63.86</x:v>
      </x:c>
      <x:c r="D4031" s="31" t="n">
        <x:f>IF(OR(ISBLANK(B4031),ISBLANK(C4031),B4031=0),"",(C4031-B4031)/B4031)</x:f>
        <x:v>0.10008613264427223</x:v>
      </x:c>
      <x:c r="E4031" s="22" t="str">
        <x:f>IF(ISBLANK(C4031),"AmountIncludingTax缺失",IF(ABS(B4031-C4031)&lt;0.005,"一致","不一致"))</x:f>
        <x:v>不一致</x:v>
      </x:c>
      <x:c r="F4031" s="19" t="str">
        <x:v>approved</x:v>
      </x:c>
      <x:c r="G4031" s="19" t="str">
        <x:v>Repair in Progress</x:v>
      </x:c>
      <x:c r="H4031" s="19" t="str">
        <x:v>Pre Delivery</x:v>
      </x:c>
      <x:c r="I4031" s="37" t="n">
        <x:v>46129</x:v>
      </x:c>
      <x:c r="J4031" s="37" t="n">
        <x:v>46129</x:v>
      </x:c>
      <x:c r="K4031" s="19" t="str">
        <x:v>Auswide Caravans - South Nowra</x:v>
      </x:c>
      <x:c r="L4031" s="19" t="str">
        <x:v>Z005</x:v>
      </x:c>
      <x:c r="M4031" s="19" t="str">
        <x:v>Pre Delivery Warranty Claims</x:v>
      </x:c>
      <x:c r="N4031" s="37" t="n">
        <x:v>46049</x:v>
      </x:c>
      <x:c r="O4031" s="37"/>
      <x:c r="P4031" s="34" t="n">
        <x:v>63.86</x:v>
      </x:c>
      <x:c r="Q4031" s="37" t="n">
        <x:v>46129.034421296295</x:v>
      </x:c>
    </x:row>
    <x:row r="4032">
      <x:c r="A4032" s="22" t="n">
        <x:v>30264</x:v>
      </x:c>
      <x:c r="B4032" s="28" t="n">
        <x:v>225</x:v>
      </x:c>
      <x:c r="C4032" s="28" t="n">
        <x:v>203.72</x:v>
      </x:c>
      <x:c r="D4032" s="31" t="n">
        <x:f>IF(OR(ISBLANK(B4032),ISBLANK(C4032),B4032=0),"",(C4032-B4032)/B4032)</x:f>
        <x:v>-0.09457777777777779</x:v>
      </x:c>
      <x:c r="E4032" s="22" t="str">
        <x:f>IF(ISBLANK(C4032),"AmountIncludingTax缺失",IF(ABS(B4032-C4032)&lt;0.005,"一致","不一致"))</x:f>
        <x:v>不一致</x:v>
      </x:c>
      <x:c r="F4032" s="19" t="str">
        <x:v>approved</x:v>
      </x:c>
      <x:c r="G4032" s="19" t="str">
        <x:v>Repairer Invoiced Processed</x:v>
      </x:c>
      <x:c r="H4032" s="19" t="str">
        <x:v>In Field</x:v>
      </x:c>
      <x:c r="I4032" s="37" t="n">
        <x:v>46188</x:v>
      </x:c>
      <x:c r="J4032" s="37" t="n">
        <x:v>46099</x:v>
      </x:c>
      <x:c r="K4032" s="19" t="str">
        <x:v>Vanari Caravans - Marden Point</x:v>
      </x:c>
      <x:c r="L4032" s="19" t="str">
        <x:v>Z006</x:v>
      </x:c>
      <x:c r="M4032" s="19" t="str">
        <x:v>In Field Warranty Claims</x:v>
      </x:c>
      <x:c r="N4032" s="37" t="n">
        <x:v>46048</x:v>
      </x:c>
      <x:c r="O4032" s="37"/>
      <x:c r="P4032" s="34" t="n">
        <x:v>203.72</x:v>
      </x:c>
      <x:c r="Q4032" s="37" t="n">
        <x:v>46188.23902777778</x:v>
      </x:c>
    </x:row>
    <x:row r="4033">
      <x:c r="A4033" s="22" t="n">
        <x:v>30262</x:v>
      </x:c>
      <x:c r="B4033" s="28" t="n">
        <x:v>861.48</x:v>
      </x:c>
      <x:c r="C4033" s="28" t="n">
        <x:v>779.98</x:v>
      </x:c>
      <x:c r="D4033" s="31" t="n">
        <x:f>IF(OR(ISBLANK(B4033),ISBLANK(C4033),B4033=0),"",(C4033-B4033)/B4033)</x:f>
        <x:v>-0.09460463388587083</x:v>
      </x:c>
      <x:c r="E4033" s="22" t="str">
        <x:f>IF(ISBLANK(C4033),"AmountIncludingTax缺失",IF(ABS(B4033-C4033)&lt;0.005,"一致","不一致"))</x:f>
        <x:v>不一致</x:v>
      </x:c>
      <x:c r="F4033" s="19" t="str">
        <x:v>approved</x:v>
      </x:c>
      <x:c r="G4033" s="19" t="str">
        <x:v>Repairer Invoiced Processed</x:v>
      </x:c>
      <x:c r="H4033" s="19" t="str">
        <x:v>Pre Delivery</x:v>
      </x:c>
      <x:c r="I4033" s="37" t="n">
        <x:v>46097</x:v>
      </x:c>
      <x:c r="J4033" s="37" t="n">
        <x:v>46097</x:v>
      </x:c>
      <x:c r="K4033" s="19" t="str">
        <x:v>Vanari Caravans - Marden Point</x:v>
      </x:c>
      <x:c r="L4033" s="19" t="str">
        <x:v>Z005</x:v>
      </x:c>
      <x:c r="M4033" s="19" t="str">
        <x:v>Pre Delivery Warranty Claims</x:v>
      </x:c>
      <x:c r="N4033" s="37" t="n">
        <x:v>46048</x:v>
      </x:c>
      <x:c r="O4033" s="37"/>
      <x:c r="P4033" s="34" t="n">
        <x:v>779.98</x:v>
      </x:c>
      <x:c r="Q4033" s="37" t="n">
        <x:v>46096.9375462963</x:v>
      </x:c>
    </x:row>
    <x:row r="4034">
      <x:c r="A4034" s="22" t="n">
        <x:v>30261</x:v>
      </x:c>
      <x:c r="B4034" s="28" t="n">
        <x:v>101.25</x:v>
      </x:c>
      <x:c r="C4034" s="28"/>
      <x:c r="D4034" s="31" t="str">
        <x:f>IF(OR(ISBLANK(B4034),ISBLANK(C4034),B4034=0),"",(C4034-B4034)/B4034)</x:f>
      </x:c>
      <x:c r="E4034" s="22" t="str">
        <x:f>IF(ISBLANK(C4034),"AmountIncludingTax缺失",IF(ABS(B4034-C4034)&lt;0.005,"一致","不一致"))</x:f>
        <x:v>AmountIncludingTax缺失</x:v>
      </x:c>
      <x:c r="F4034" s="19" t="str">
        <x:v>approved</x:v>
      </x:c>
      <x:c r="G4034" s="19" t="str">
        <x:v>Repair in Progress</x:v>
      </x:c>
      <x:c r="H4034" s="19" t="str">
        <x:v>In Field</x:v>
      </x:c>
      <x:c r="I4034" s="37" t="n">
        <x:v>46058</x:v>
      </x:c>
      <x:c r="J4034" s="37" t="n">
        <x:v>46058</x:v>
      </x:c>
      <x:c r="K4034" s="19" t="str">
        <x:v>ABCO Caravans - Boambee Valley</x:v>
      </x:c>
      <x:c r="L4034" s="19" t="str">
        <x:v>Z006</x:v>
      </x:c>
      <x:c r="M4034" s="19" t="str">
        <x:v>In Field Warranty Claims</x:v>
      </x:c>
      <x:c r="N4034" s="37" t="n">
        <x:v>46048</x:v>
      </x:c>
      <x:c r="O4034" s="37"/>
      <x:c r="P4034" s="34" t="n">
        <x:v>0</x:v>
      </x:c>
      <x:c r="Q4034" s="37" t="n">
        <x:v>46058.13245370371</x:v>
      </x:c>
    </x:row>
    <x:row r="4035">
      <x:c r="A4035" s="22" t="n">
        <x:v>30260</x:v>
      </x:c>
      <x:c r="B4035" s="28" t="n">
        <x:v>4252.5</x:v>
      </x:c>
      <x:c r="C4035" s="28"/>
      <x:c r="D4035" s="31" t="str">
        <x:f>IF(OR(ISBLANK(B4035),ISBLANK(C4035),B4035=0),"",(C4035-B4035)/B4035)</x:f>
      </x:c>
      <x:c r="E4035" s="22" t="str">
        <x:f>IF(ISBLANK(C4035),"AmountIncludingTax缺失",IF(ABS(B4035-C4035)&lt;0.005,"一致","不一致"))</x:f>
        <x:v>AmountIncludingTax缺失</x:v>
      </x:c>
      <x:c r="F4035" s="19" t="str">
        <x:v>approved</x:v>
      </x:c>
      <x:c r="G4035" s="19" t="str">
        <x:v>Repair in Progress</x:v>
      </x:c>
      <x:c r="H4035" s="19" t="str">
        <x:v>In Field</x:v>
      </x:c>
      <x:c r="I4035" s="37" t="n">
        <x:v>46063</x:v>
      </x:c>
      <x:c r="J4035" s="37" t="n">
        <x:v>46063</x:v>
      </x:c>
      <x:c r="K4035" s="19" t="str">
        <x:v>Newcastle RV Super Centre - Beresfield</x:v>
      </x:c>
      <x:c r="L4035" s="19" t="str">
        <x:v>Z006</x:v>
      </x:c>
      <x:c r="M4035" s="19" t="str">
        <x:v>In Field Warranty Claims</x:v>
      </x:c>
      <x:c r="N4035" s="37" t="n">
        <x:v>46049</x:v>
      </x:c>
      <x:c r="O4035" s="37"/>
      <x:c r="P4035" s="34" t="n">
        <x:v>0</x:v>
      </x:c>
      <x:c r="Q4035" s="37" t="n">
        <x:v>46063.04064814815</x:v>
      </x:c>
    </x:row>
    <x:row r="4036">
      <x:c r="A4036" s="22" t="n">
        <x:v>30259</x:v>
      </x:c>
      <x:c r="B4036" s="28" t="n">
        <x:v>627.5</x:v>
      </x:c>
      <x:c r="C4036" s="28"/>
      <x:c r="D4036" s="31" t="str">
        <x:f>IF(OR(ISBLANK(B4036),ISBLANK(C4036),B4036=0),"",(C4036-B4036)/B4036)</x:f>
      </x:c>
      <x:c r="E4036" s="22" t="str">
        <x:f>IF(ISBLANK(C4036),"AmountIncludingTax缺失",IF(ABS(B4036-C4036)&lt;0.005,"一致","不一致"))</x:f>
        <x:v>AmountIncludingTax缺失</x:v>
      </x:c>
      <x:c r="F4036" s="19" t="str">
        <x:v>approved</x:v>
      </x:c>
      <x:c r="G4036" s="19" t="str">
        <x:v>Repair in Progress</x:v>
      </x:c>
      <x:c r="H4036" s="19" t="str">
        <x:v>Pre Delivery</x:v>
      </x:c>
      <x:c r="I4036" s="37" t="n">
        <x:v>46107</x:v>
      </x:c>
      <x:c r="J4036" s="37" t="n">
        <x:v>46107</x:v>
      </x:c>
      <x:c r="K4036" s="19" t="str">
        <x:v>Auswide Caravans - South Nowra</x:v>
      </x:c>
      <x:c r="L4036" s="19" t="str">
        <x:v>Z005</x:v>
      </x:c>
      <x:c r="M4036" s="19" t="str">
        <x:v>Pre Delivery Warranty Claims</x:v>
      </x:c>
      <x:c r="N4036" s="37" t="n">
        <x:v>46048</x:v>
      </x:c>
      <x:c r="O4036" s="37"/>
      <x:c r="P4036" s="34" t="n">
        <x:v>0</x:v>
      </x:c>
      <x:c r="Q4036" s="37" t="n">
        <x:v>46107.207025462965</x:v>
      </x:c>
    </x:row>
    <x:row r="4037">
      <x:c r="A4037" s="22" t="n">
        <x:v>30258</x:v>
      </x:c>
      <x:c r="B4037" s="28" t="n">
        <x:v>222.5</x:v>
      </x:c>
      <x:c r="C4037" s="28"/>
      <x:c r="D4037" s="31" t="str">
        <x:f>IF(OR(ISBLANK(B4037),ISBLANK(C4037),B4037=0),"",(C4037-B4037)/B4037)</x:f>
      </x:c>
      <x:c r="E4037" s="22" t="str">
        <x:f>IF(ISBLANK(C4037),"AmountIncludingTax缺失",IF(ABS(B4037-C4037)&lt;0.005,"一致","不一致"))</x:f>
        <x:v>AmountIncludingTax缺失</x:v>
      </x:c>
      <x:c r="F4037" s="19" t="str">
        <x:v>approved</x:v>
      </x:c>
      <x:c r="G4037" s="19" t="str">
        <x:v>Repairer Invoiced Received</x:v>
      </x:c>
      <x:c r="H4037" s="19" t="str">
        <x:v>In Field</x:v>
      </x:c>
      <x:c r="I4037" s="37" t="n">
        <x:v>46079</x:v>
      </x:c>
      <x:c r="J4037" s="37" t="n">
        <x:v>46079</x:v>
      </x:c>
      <x:c r="K4037" s="19" t="str">
        <x:v>Green RV - Forest Glen</x:v>
      </x:c>
      <x:c r="L4037" s="19" t="str">
        <x:v>Z006</x:v>
      </x:c>
      <x:c r="M4037" s="19" t="str">
        <x:v>In Field Warranty Claims</x:v>
      </x:c>
      <x:c r="N4037" s="37" t="n">
        <x:v>46048</x:v>
      </x:c>
      <x:c r="O4037" s="37"/>
      <x:c r="P4037" s="34" t="n">
        <x:v>0</x:v>
      </x:c>
      <x:c r="Q4037" s="37" t="n">
        <x:v>46078.98024305556</x:v>
      </x:c>
    </x:row>
    <x:row r="4038">
      <x:c r="A4038" s="22" t="n">
        <x:v>30256</x:v>
      </x:c>
      <x:c r="B4038" s="28" t="n">
        <x:v>961.91</x:v>
      </x:c>
      <x:c r="C4038" s="28"/>
      <x:c r="D4038" s="31" t="str">
        <x:f>IF(OR(ISBLANK(B4038),ISBLANK(C4038),B4038=0),"",(C4038-B4038)/B4038)</x:f>
      </x:c>
      <x:c r="E4038" s="22" t="str">
        <x:f>IF(ISBLANK(C4038),"AmountIncludingTax缺失",IF(ABS(B4038-C4038)&lt;0.005,"一致","不一致"))</x:f>
        <x:v>AmountIncludingTax缺失</x:v>
      </x:c>
      <x:c r="F4038" s="19" t="str">
        <x:v>approved</x:v>
      </x:c>
      <x:c r="G4038" s="19" t="str">
        <x:v>Sales Order Approved</x:v>
      </x:c>
      <x:c r="H4038" s="19" t="str">
        <x:v>Pre Delivery</x:v>
      </x:c>
      <x:c r="I4038" s="37" t="n">
        <x:v>46129</x:v>
      </x:c>
      <x:c r="J4038" s="37" t="n">
        <x:v>46129</x:v>
      </x:c>
      <x:c r="K4038" s="19" t="str">
        <x:v>Regent RV - Townsville</x:v>
      </x:c>
      <x:c r="L4038" s="19" t="str">
        <x:v>Z005</x:v>
      </x:c>
      <x:c r="M4038" s="19" t="str">
        <x:v>Pre Delivery Warranty Claims</x:v>
      </x:c>
      <x:c r="N4038" s="37" t="n">
        <x:v>46048</x:v>
      </x:c>
      <x:c r="O4038" s="37"/>
      <x:c r="P4038" s="34" t="n">
        <x:v>0</x:v>
      </x:c>
      <x:c r="Q4038" s="37" t="n">
        <x:v>46129.1102662037</x:v>
      </x:c>
    </x:row>
    <x:row r="4039">
      <x:c r="A4039" s="22" t="n">
        <x:v>30255</x:v>
      </x:c>
      <x:c r="B4039" s="28" t="n">
        <x:v>270</x:v>
      </x:c>
      <x:c r="C4039" s="28" t="n">
        <x:v>297</x:v>
      </x:c>
      <x:c r="D4039" s="31" t="n">
        <x:f>IF(OR(ISBLANK(B4039),ISBLANK(C4039),B4039=0),"",(C4039-B4039)/B4039)</x:f>
        <x:v>0.1</x:v>
      </x:c>
      <x:c r="E4039" s="22" t="str">
        <x:f>IF(ISBLANK(C4039),"AmountIncludingTax缺失",IF(ABS(B4039-C4039)&lt;0.005,"一致","不一致"))</x:f>
        <x:v>不一致</x:v>
      </x:c>
      <x:c r="F4039" s="19" t="str">
        <x:v>approved</x:v>
      </x:c>
      <x:c r="G4039" s="19" t="str">
        <x:v>Repair in Progress</x:v>
      </x:c>
      <x:c r="H4039" s="19" t="str">
        <x:v>In Field</x:v>
      </x:c>
      <x:c r="I4039" s="37" t="n">
        <x:v>46128</x:v>
      </x:c>
      <x:c r="J4039" s="37" t="n">
        <x:v>46128</x:v>
      </x:c>
      <x:c r="K4039" s="19" t="str">
        <x:v>Regent RV - Perth</x:v>
      </x:c>
      <x:c r="L4039" s="19" t="str">
        <x:v>Z006</x:v>
      </x:c>
      <x:c r="M4039" s="19" t="str">
        <x:v>In Field Warranty Claims</x:v>
      </x:c>
      <x:c r="N4039" s="37" t="n">
        <x:v>46048</x:v>
      </x:c>
      <x:c r="O4039" s="37"/>
      <x:c r="P4039" s="34" t="n">
        <x:v>297</x:v>
      </x:c>
      <x:c r="Q4039" s="37" t="n">
        <x:v>46127.931076388886</x:v>
      </x:c>
    </x:row>
    <x:row r="4040">
      <x:c r="A4040" s="22" t="n">
        <x:v>30253</x:v>
      </x:c>
      <x:c r="B4040" s="28" t="n">
        <x:v>367.65</x:v>
      </x:c>
      <x:c r="C4040" s="28" t="n">
        <x:v>332.87</x:v>
      </x:c>
      <x:c r="D4040" s="31" t="n">
        <x:f>IF(OR(ISBLANK(B4040),ISBLANK(C4040),B4040=0),"",(C4040-B4040)/B4040)</x:f>
        <x:v>-0.09460084319325439</x:v>
      </x:c>
      <x:c r="E4040" s="22" t="str">
        <x:f>IF(ISBLANK(C4040),"AmountIncludingTax缺失",IF(ABS(B4040-C4040)&lt;0.005,"一致","不一致"))</x:f>
        <x:v>不一致</x:v>
      </x:c>
      <x:c r="F4040" s="19" t="str">
        <x:v>approved</x:v>
      </x:c>
      <x:c r="G4040" s="19" t="str">
        <x:v>Repairer Invoiced Processed</x:v>
      </x:c>
      <x:c r="H4040" s="19" t="str">
        <x:v>In Field</x:v>
      </x:c>
      <x:c r="I4040" s="37" t="n">
        <x:v>46113</x:v>
      </x:c>
      <x:c r="J4040" s="37" t="n">
        <x:v>46113</x:v>
      </x:c>
      <x:c r="K4040" s="19" t="str">
        <x:v>Vanari Caravans - Marden Point</x:v>
      </x:c>
      <x:c r="L4040" s="19" t="str">
        <x:v>Z006</x:v>
      </x:c>
      <x:c r="M4040" s="19" t="str">
        <x:v>In Field Warranty Claims</x:v>
      </x:c>
      <x:c r="N4040" s="37" t="n">
        <x:v>46048</x:v>
      </x:c>
      <x:c r="O4040" s="37"/>
      <x:c r="P4040" s="34" t="n">
        <x:v>332.87</x:v>
      </x:c>
      <x:c r="Q4040" s="37" t="n">
        <x:v>46113.22792824074</x:v>
      </x:c>
    </x:row>
    <x:row r="4041">
      <x:c r="A4041" s="22" t="n">
        <x:v>30252</x:v>
      </x:c>
      <x:c r="B4041" s="28" t="n">
        <x:v>982.72</x:v>
      </x:c>
      <x:c r="C4041" s="28"/>
      <x:c r="D4041" s="31" t="str">
        <x:f>IF(OR(ISBLANK(B4041),ISBLANK(C4041),B4041=0),"",(C4041-B4041)/B4041)</x:f>
      </x:c>
      <x:c r="E4041" s="22" t="str">
        <x:f>IF(ISBLANK(C4041),"AmountIncludingTax缺失",IF(ABS(B4041-C4041)&lt;0.005,"一致","不一致"))</x:f>
        <x:v>AmountIncludingTax缺失</x:v>
      </x:c>
      <x:c r="F4041" s="19"/>
      <x:c r="G4041" s="19" t="str">
        <x:v>Van Recalled</x:v>
      </x:c>
      <x:c r="H4041" s="19" t="str">
        <x:v>In Field</x:v>
      </x:c>
      <x:c r="I4041" s="37" t="n">
        <x:v>46077</x:v>
      </x:c>
      <x:c r="J4041" s="37" t="n">
        <x:v>46077</x:v>
      </x:c>
      <x:c r="K4041" s="19" t="str">
        <x:v>Bendigo Caravan Group - Bendigo</x:v>
      </x:c>
      <x:c r="L4041" s="19" t="str">
        <x:v>Z006</x:v>
      </x:c>
      <x:c r="M4041" s="19" t="str">
        <x:v>In Field Warranty Claims</x:v>
      </x:c>
      <x:c r="N4041" s="37" t="n">
        <x:v>46047</x:v>
      </x:c>
      <x:c r="O4041" s="37"/>
      <x:c r="P4041" s="34" t="n">
        <x:v>1289.86</x:v>
      </x:c>
      <x:c r="Q4041" s="37" t="n">
        <x:v>46077.13402777778</x:v>
      </x:c>
    </x:row>
    <x:row r="4042">
      <x:c r="A4042" s="22" t="n">
        <x:v>30251</x:v>
      </x:c>
      <x:c r="B4042" s="28" t="n">
        <x:v>67.5</x:v>
      </x:c>
      <x:c r="C4042" s="28" t="n">
        <x:v>74.25</x:v>
      </x:c>
      <x:c r="D4042" s="31" t="n">
        <x:f>IF(OR(ISBLANK(B4042),ISBLANK(C4042),B4042=0),"",(C4042-B4042)/B4042)</x:f>
        <x:v>0.1</x:v>
      </x:c>
      <x:c r="E4042" s="22" t="str">
        <x:f>IF(ISBLANK(C4042),"AmountIncludingTax缺失",IF(ABS(B4042-C4042)&lt;0.005,"一致","不一致"))</x:f>
        <x:v>不一致</x:v>
      </x:c>
      <x:c r="F4042" s="19" t="str">
        <x:v>approved</x:v>
      </x:c>
      <x:c r="G4042" s="19" t="str">
        <x:v>Repair in Progress</x:v>
      </x:c>
      <x:c r="H4042" s="19" t="str">
        <x:v>In Field</x:v>
      </x:c>
      <x:c r="I4042" s="37" t="n">
        <x:v>46108</x:v>
      </x:c>
      <x:c r="J4042" s="37" t="n">
        <x:v>46108</x:v>
      </x:c>
      <x:c r="K4042" s="19" t="str">
        <x:v>Regent RV - Perth</x:v>
      </x:c>
      <x:c r="L4042" s="19" t="str">
        <x:v>Z006</x:v>
      </x:c>
      <x:c r="M4042" s="19" t="str">
        <x:v>In Field Warranty Claims</x:v>
      </x:c>
      <x:c r="N4042" s="37" t="n">
        <x:v>46047</x:v>
      </x:c>
      <x:c r="O4042" s="37"/>
      <x:c r="P4042" s="34" t="n">
        <x:v>74.25</x:v>
      </x:c>
      <x:c r="Q4042" s="37" t="n">
        <x:v>46108.126122685186</x:v>
      </x:c>
    </x:row>
    <x:row r="4043">
      <x:c r="A4043" s="22" t="n">
        <x:v>30250</x:v>
      </x:c>
      <x:c r="B4043" s="28" t="n">
        <x:v>49.55</x:v>
      </x:c>
      <x:c r="C4043" s="28"/>
      <x:c r="D4043" s="31" t="str">
        <x:f>IF(OR(ISBLANK(B4043),ISBLANK(C4043),B4043=0),"",(C4043-B4043)/B4043)</x:f>
      </x:c>
      <x:c r="E4043" s="22" t="str">
        <x:f>IF(ISBLANK(C4043),"AmountIncludingTax缺失",IF(ABS(B4043-C4043)&lt;0.005,"一致","不一致"))</x:f>
        <x:v>AmountIncludingTax缺失</x:v>
      </x:c>
      <x:c r="F4043" s="19" t="str">
        <x:v>approved</x:v>
      </x:c>
      <x:c r="G4043" s="19" t="str">
        <x:v>Repair in Progress</x:v>
      </x:c>
      <x:c r="H4043" s="19" t="str">
        <x:v>In Field</x:v>
      </x:c>
      <x:c r="I4043" s="37" t="n">
        <x:v>46072</x:v>
      </x:c>
      <x:c r="J4043" s="37" t="n">
        <x:v>46072</x:v>
      </x:c>
      <x:c r="K4043" s="19" t="str">
        <x:v>Newcastle RV Super Centre - Beresfield</x:v>
      </x:c>
      <x:c r="L4043" s="19" t="str">
        <x:v>Z006</x:v>
      </x:c>
      <x:c r="M4043" s="19" t="str">
        <x:v>In Field Warranty Claims</x:v>
      </x:c>
      <x:c r="N4043" s="37" t="n">
        <x:v>46048</x:v>
      </x:c>
      <x:c r="O4043" s="37"/>
      <x:c r="P4043" s="34" t="n">
        <x:v>0</x:v>
      </x:c>
      <x:c r="Q4043" s="37" t="n">
        <x:v>46072.20166666667</x:v>
      </x:c>
    </x:row>
    <x:row r="4044">
      <x:c r="A4044" s="22" t="n">
        <x:v>30249</x:v>
      </x:c>
      <x:c r="B4044" s="28" t="n">
        <x:v>371.25</x:v>
      </x:c>
      <x:c r="C4044" s="28"/>
      <x:c r="D4044" s="31" t="str">
        <x:f>IF(OR(ISBLANK(B4044),ISBLANK(C4044),B4044=0),"",(C4044-B4044)/B4044)</x:f>
      </x:c>
      <x:c r="E4044" s="22" t="str">
        <x:f>IF(ISBLANK(C4044),"AmountIncludingTax缺失",IF(ABS(B4044-C4044)&lt;0.005,"一致","不一致"))</x:f>
        <x:v>AmountIncludingTax缺失</x:v>
      </x:c>
      <x:c r="F4044" s="19" t="str">
        <x:v>approved</x:v>
      </x:c>
      <x:c r="G4044" s="19" t="str">
        <x:v>Repair in Progress</x:v>
      </x:c>
      <x:c r="H4044" s="19" t="str">
        <x:v>In Field</x:v>
      </x:c>
      <x:c r="I4044" s="37" t="n">
        <x:v>46135</x:v>
      </x:c>
      <x:c r="J4044" s="37" t="n">
        <x:v>46135</x:v>
      </x:c>
      <x:c r="K4044" s="19" t="str">
        <x:v>Regent RV - Traralgon</x:v>
      </x:c>
      <x:c r="L4044" s="19" t="str">
        <x:v>Z006</x:v>
      </x:c>
      <x:c r="M4044" s="19" t="str">
        <x:v>In Field Warranty Claims</x:v>
      </x:c>
      <x:c r="N4044" s="37" t="n">
        <x:v>46048</x:v>
      </x:c>
      <x:c r="O4044" s="37"/>
      <x:c r="P4044" s="34" t="n">
        <x:v>0</x:v>
      </x:c>
      <x:c r="Q4044" s="37" t="n">
        <x:v>46135.08766203704</x:v>
      </x:c>
    </x:row>
    <x:row r="4045">
      <x:c r="A4045" s="22" t="n">
        <x:v>30247</x:v>
      </x:c>
      <x:c r="B4045" s="28" t="n">
        <x:v>1823.25</x:v>
      </x:c>
      <x:c r="C4045" s="28"/>
      <x:c r="D4045" s="31" t="str">
        <x:f>IF(OR(ISBLANK(B4045),ISBLANK(C4045),B4045=0),"",(C4045-B4045)/B4045)</x:f>
      </x:c>
      <x:c r="E4045" s="22" t="str">
        <x:f>IF(ISBLANK(C4045),"AmountIncludingTax缺失",IF(ABS(B4045-C4045)&lt;0.005,"一致","不一致"))</x:f>
        <x:v>AmountIncludingTax缺失</x:v>
      </x:c>
      <x:c r="F4045" s="19" t="str">
        <x:v>approved</x:v>
      </x:c>
      <x:c r="G4045" s="19" t="str">
        <x:v>Repair in Progress</x:v>
      </x:c>
      <x:c r="H4045" s="19" t="str">
        <x:v>In Field</x:v>
      </x:c>
      <x:c r="I4045" s="37" t="n">
        <x:v>46113</x:v>
      </x:c>
      <x:c r="J4045" s="37" t="n">
        <x:v>46113</x:v>
      </x:c>
      <x:c r="K4045" s="19" t="str">
        <x:v>Regent RV - Perth</x:v>
      </x:c>
      <x:c r="L4045" s="19" t="str">
        <x:v>Z006</x:v>
      </x:c>
      <x:c r="M4045" s="19" t="str">
        <x:v>In Field Warranty Claims</x:v>
      </x:c>
      <x:c r="N4045" s="37" t="n">
        <x:v>46047</x:v>
      </x:c>
      <x:c r="O4045" s="37"/>
      <x:c r="P4045" s="34" t="n">
        <x:v>2005.58</x:v>
      </x:c>
      <x:c r="Q4045" s="37" t="n">
        <x:v>46112.895324074074</x:v>
      </x:c>
    </x:row>
    <x:row r="4046">
      <x:c r="A4046" s="22" t="n">
        <x:v>30244</x:v>
      </x:c>
      <x:c r="B4046" s="28" t="n">
        <x:v>135</x:v>
      </x:c>
      <x:c r="C4046" s="28" t="n">
        <x:v>148.5</x:v>
      </x:c>
      <x:c r="D4046" s="31" t="n">
        <x:f>IF(OR(ISBLANK(B4046),ISBLANK(C4046),B4046=0),"",(C4046-B4046)/B4046)</x:f>
        <x:v>0.1</x:v>
      </x:c>
      <x:c r="E4046" s="22" t="str">
        <x:f>IF(ISBLANK(C4046),"AmountIncludingTax缺失",IF(ABS(B4046-C4046)&lt;0.005,"一致","不一致"))</x:f>
        <x:v>不一致</x:v>
      </x:c>
      <x:c r="F4046" s="19" t="str">
        <x:v>approved</x:v>
      </x:c>
      <x:c r="G4046" s="19" t="str">
        <x:v>Repair in Progress</x:v>
      </x:c>
      <x:c r="H4046" s="19" t="str">
        <x:v>In Field</x:v>
      </x:c>
      <x:c r="I4046" s="37" t="n">
        <x:v>46148</x:v>
      </x:c>
      <x:c r="J4046" s="37" t="n">
        <x:v>46148</x:v>
      </x:c>
      <x:c r="K4046" s="19" t="str">
        <x:v>Regent RV - Perth</x:v>
      </x:c>
      <x:c r="L4046" s="19" t="str">
        <x:v>Z006</x:v>
      </x:c>
      <x:c r="M4046" s="19" t="str">
        <x:v>In Field Warranty Claims</x:v>
      </x:c>
      <x:c r="N4046" s="37" t="n">
        <x:v>46046</x:v>
      </x:c>
      <x:c r="O4046" s="37"/>
      <x:c r="P4046" s="34" t="n">
        <x:v>148.5</x:v>
      </x:c>
      <x:c r="Q4046" s="37" t="n">
        <x:v>46148.049780092595</x:v>
      </x:c>
    </x:row>
    <x:row r="4047">
      <x:c r="A4047" s="22" t="n">
        <x:v>30242</x:v>
      </x:c>
      <x:c r="B4047" s="28" t="n">
        <x:v>810</x:v>
      </x:c>
      <x:c r="C4047" s="28"/>
      <x:c r="D4047" s="31" t="str">
        <x:f>IF(OR(ISBLANK(B4047),ISBLANK(C4047),B4047=0),"",(C4047-B4047)/B4047)</x:f>
      </x:c>
      <x:c r="E4047" s="22" t="str">
        <x:f>IF(ISBLANK(C4047),"AmountIncludingTax缺失",IF(ABS(B4047-C4047)&lt;0.005,"一致","不一致"))</x:f>
        <x:v>AmountIncludingTax缺失</x:v>
      </x:c>
      <x:c r="F4047" s="19" t="str">
        <x:v>approved</x:v>
      </x:c>
      <x:c r="G4047" s="19" t="str">
        <x:v>Repairer Invoiced Processed</x:v>
      </x:c>
      <x:c r="H4047" s="19" t="str">
        <x:v>In Field</x:v>
      </x:c>
      <x:c r="I4047" s="37" t="n">
        <x:v>46136</x:v>
      </x:c>
      <x:c r="J4047" s="37" t="n">
        <x:v>46136</x:v>
      </x:c>
      <x:c r="K4047" s="19" t="str">
        <x:v>Green RV - Forest Glen</x:v>
      </x:c>
      <x:c r="L4047" s="19" t="str">
        <x:v>Z006</x:v>
      </x:c>
      <x:c r="M4047" s="19" t="str">
        <x:v>In Field Warranty Claims</x:v>
      </x:c>
      <x:c r="N4047" s="37" t="n">
        <x:v>46046</x:v>
      </x:c>
      <x:c r="O4047" s="37"/>
      <x:c r="P4047" s="34" t="n">
        <x:v>0</x:v>
      </x:c>
      <x:c r="Q4047" s="37" t="n">
        <x:v>46136.168171296296</x:v>
      </x:c>
    </x:row>
    <x:row r="4048">
      <x:c r="A4048" s="22" t="n">
        <x:v>30241</x:v>
      </x:c>
      <x:c r="B4048" s="28" t="n">
        <x:v>1293</x:v>
      </x:c>
      <x:c r="C4048" s="28"/>
      <x:c r="D4048" s="31" t="str">
        <x:f>IF(OR(ISBLANK(B4048),ISBLANK(C4048),B4048=0),"",(C4048-B4048)/B4048)</x:f>
      </x:c>
      <x:c r="E4048" s="22" t="str">
        <x:f>IF(ISBLANK(C4048),"AmountIncludingTax缺失",IF(ABS(B4048-C4048)&lt;0.005,"一致","不一致"))</x:f>
        <x:v>AmountIncludingTax缺失</x:v>
      </x:c>
      <x:c r="F4048" s="19" t="str">
        <x:v>approved</x:v>
      </x:c>
      <x:c r="G4048" s="19" t="str">
        <x:v>Repair in Progress</x:v>
      </x:c>
      <x:c r="H4048" s="19" t="str">
        <x:v>In Field</x:v>
      </x:c>
      <x:c r="I4048" s="37" t="n">
        <x:v>46070</x:v>
      </x:c>
      <x:c r="J4048" s="37" t="n">
        <x:v>46070</x:v>
      </x:c>
      <x:c r="K4048" s="19" t="str">
        <x:v>Green RV - Forest Glen</x:v>
      </x:c>
      <x:c r="L4048" s="19" t="str">
        <x:v>Z006</x:v>
      </x:c>
      <x:c r="M4048" s="19" t="str">
        <x:v>In Field Warranty Claims</x:v>
      </x:c>
      <x:c r="N4048" s="37" t="n">
        <x:v>46046</x:v>
      </x:c>
      <x:c r="O4048" s="37"/>
      <x:c r="P4048" s="34" t="n">
        <x:v>0</x:v>
      </x:c>
      <x:c r="Q4048" s="37" t="n">
        <x:v>46070.00981481482</x:v>
      </x:c>
    </x:row>
    <x:row r="4049">
      <x:c r="A4049" s="22" t="n">
        <x:v>30240</x:v>
      </x:c>
      <x:c r="B4049" s="28" t="n">
        <x:v>830.45</x:v>
      </x:c>
      <x:c r="C4049" s="28"/>
      <x:c r="D4049" s="31" t="str">
        <x:f>IF(OR(ISBLANK(B4049),ISBLANK(C4049),B4049=0),"",(C4049-B4049)/B4049)</x:f>
      </x:c>
      <x:c r="E4049" s="22" t="str">
        <x:f>IF(ISBLANK(C4049),"AmountIncludingTax缺失",IF(ABS(B4049-C4049)&lt;0.005,"一致","不一致"))</x:f>
        <x:v>AmountIncludingTax缺失</x:v>
      </x:c>
      <x:c r="F4049" s="19" t="str">
        <x:v>approved</x:v>
      </x:c>
      <x:c r="G4049" s="19" t="str">
        <x:v>Repair in Progress</x:v>
      </x:c>
      <x:c r="H4049" s="19" t="str">
        <x:v>In Field</x:v>
      </x:c>
      <x:c r="I4049" s="37" t="n">
        <x:v>46106</x:v>
      </x:c>
      <x:c r="J4049" s="37" t="n">
        <x:v>46106</x:v>
      </x:c>
      <x:c r="K4049" s="19" t="str">
        <x:v>Regent RV - Perth</x:v>
      </x:c>
      <x:c r="L4049" s="19" t="str">
        <x:v>Z006</x:v>
      </x:c>
      <x:c r="M4049" s="19" t="str">
        <x:v>In Field Warranty Claims</x:v>
      </x:c>
      <x:c r="N4049" s="37" t="n">
        <x:v>46047</x:v>
      </x:c>
      <x:c r="O4049" s="37"/>
      <x:c r="P4049" s="34" t="n">
        <x:v>0</x:v>
      </x:c>
      <x:c r="Q4049" s="37" t="n">
        <x:v>46105.86877314815</x:v>
      </x:c>
    </x:row>
    <x:row r="4050">
      <x:c r="A4050" s="22" t="n">
        <x:v>30239</x:v>
      </x:c>
      <x:c r="B4050" s="28" t="n">
        <x:v>1271.2</x:v>
      </x:c>
      <x:c r="C4050" s="28"/>
      <x:c r="D4050" s="31" t="str">
        <x:f>IF(OR(ISBLANK(B4050),ISBLANK(C4050),B4050=0),"",(C4050-B4050)/B4050)</x:f>
      </x:c>
      <x:c r="E4050" s="22" t="str">
        <x:f>IF(ISBLANK(C4050),"AmountIncludingTax缺失",IF(ABS(B4050-C4050)&lt;0.005,"一致","不一致"))</x:f>
        <x:v>AmountIncludingTax缺失</x:v>
      </x:c>
      <x:c r="F4050" s="19" t="str">
        <x:v>approved</x:v>
      </x:c>
      <x:c r="G4050" s="19" t="str">
        <x:v>Repairer Invoiced Processed</x:v>
      </x:c>
      <x:c r="H4050" s="19" t="str">
        <x:v>In Field</x:v>
      </x:c>
      <x:c r="I4050" s="37" t="n">
        <x:v>46126</x:v>
      </x:c>
      <x:c r="J4050" s="37" t="n">
        <x:v>46126</x:v>
      </x:c>
      <x:c r="K4050" s="19" t="str">
        <x:v>Regent RV - Perth</x:v>
      </x:c>
      <x:c r="L4050" s="19" t="str">
        <x:v>Z006</x:v>
      </x:c>
      <x:c r="M4050" s="19" t="str">
        <x:v>In Field Warranty Claims</x:v>
      </x:c>
      <x:c r="N4050" s="37" t="n">
        <x:v>46046</x:v>
      </x:c>
      <x:c r="O4050" s="37"/>
      <x:c r="P4050" s="34" t="n">
        <x:v>1398.32</x:v>
      </x:c>
      <x:c r="Q4050" s="37" t="n">
        <x:v>46125.80907407407</x:v>
      </x:c>
    </x:row>
    <x:row r="4051">
      <x:c r="A4051" s="22" t="n">
        <x:v>30238</x:v>
      </x:c>
      <x:c r="B4051" s="28" t="n">
        <x:v>971.25</x:v>
      </x:c>
      <x:c r="C4051" s="28"/>
      <x:c r="D4051" s="31" t="str">
        <x:f>IF(OR(ISBLANK(B4051),ISBLANK(C4051),B4051=0),"",(C4051-B4051)/B4051)</x:f>
      </x:c>
      <x:c r="E4051" s="22" t="str">
        <x:f>IF(ISBLANK(C4051),"AmountIncludingTax缺失",IF(ABS(B4051-C4051)&lt;0.005,"一致","不一致"))</x:f>
        <x:v>AmountIncludingTax缺失</x:v>
      </x:c>
      <x:c r="F4051" s="19" t="str">
        <x:v>approved</x:v>
      </x:c>
      <x:c r="G4051" s="19" t="str">
        <x:v>Repair in Progress</x:v>
      </x:c>
      <x:c r="H4051" s="19" t="str">
        <x:v>In Field</x:v>
      </x:c>
      <x:c r="I4051" s="37" t="n">
        <x:v>46065</x:v>
      </x:c>
      <x:c r="J4051" s="37" t="n">
        <x:v>46065</x:v>
      </x:c>
      <x:c r="K4051" s="19" t="str">
        <x:v>Green RV - Forest Glen</x:v>
      </x:c>
      <x:c r="L4051" s="19" t="str">
        <x:v>Z006</x:v>
      </x:c>
      <x:c r="M4051" s="19" t="str">
        <x:v>In Field Warranty Claims</x:v>
      </x:c>
      <x:c r="N4051" s="37" t="n">
        <x:v>46046</x:v>
      </x:c>
      <x:c r="O4051" s="37"/>
      <x:c r="P4051" s="34" t="n">
        <x:v>0</x:v>
      </x:c>
      <x:c r="Q4051" s="37" t="n">
        <x:v>46065.22918981482</x:v>
      </x:c>
    </x:row>
    <x:row r="4052">
      <x:c r="A4052" s="22" t="n">
        <x:v>30237</x:v>
      </x:c>
      <x:c r="B4052" s="28" t="n">
        <x:v>1072.5</x:v>
      </x:c>
      <x:c r="C4052" s="28"/>
      <x:c r="D4052" s="31" t="str">
        <x:f>IF(OR(ISBLANK(B4052),ISBLANK(C4052),B4052=0),"",(C4052-B4052)/B4052)</x:f>
      </x:c>
      <x:c r="E4052" s="22" t="str">
        <x:f>IF(ISBLANK(C4052),"AmountIncludingTax缺失",IF(ABS(B4052-C4052)&lt;0.005,"一致","不一致"))</x:f>
        <x:v>AmountIncludingTax缺失</x:v>
      </x:c>
      <x:c r="F4052" s="19" t="str">
        <x:v>approved</x:v>
      </x:c>
      <x:c r="G4052" s="19" t="str">
        <x:v>Repairer Invoiced Processed</x:v>
      </x:c>
      <x:c r="H4052" s="19" t="str">
        <x:v>In Field</x:v>
      </x:c>
      <x:c r="I4052" s="37" t="n">
        <x:v>46065</x:v>
      </x:c>
      <x:c r="J4052" s="37" t="n">
        <x:v>46065</x:v>
      </x:c>
      <x:c r="K4052" s="19" t="str">
        <x:v>Green RV - Slacks Creek</x:v>
      </x:c>
      <x:c r="L4052" s="19" t="str">
        <x:v>Z006</x:v>
      </x:c>
      <x:c r="M4052" s="19" t="str">
        <x:v>In Field Warranty Claims</x:v>
      </x:c>
      <x:c r="N4052" s="37" t="n">
        <x:v>46046</x:v>
      </x:c>
      <x:c r="O4052" s="37"/>
      <x:c r="P4052" s="34" t="n">
        <x:v>0</x:v>
      </x:c>
      <x:c r="Q4052" s="37" t="n">
        <x:v>46065.19480324074</x:v>
      </x:c>
    </x:row>
    <x:row r="4053">
      <x:c r="A4053" s="22" t="n">
        <x:v>30236</x:v>
      </x:c>
      <x:c r="B4053" s="28" t="n">
        <x:v>202.5</x:v>
      </x:c>
      <x:c r="C4053" s="28"/>
      <x:c r="D4053" s="31" t="str">
        <x:f>IF(OR(ISBLANK(B4053),ISBLANK(C4053),B4053=0),"",(C4053-B4053)/B4053)</x:f>
      </x:c>
      <x:c r="E4053" s="22" t="str">
        <x:f>IF(ISBLANK(C4053),"AmountIncludingTax缺失",IF(ABS(B4053-C4053)&lt;0.005,"一致","不一致"))</x:f>
        <x:v>AmountIncludingTax缺失</x:v>
      </x:c>
      <x:c r="F4053" s="19" t="str">
        <x:v>approved</x:v>
      </x:c>
      <x:c r="G4053" s="19" t="str">
        <x:v>Repair in Progress</x:v>
      </x:c>
      <x:c r="H4053" s="19" t="str">
        <x:v>In Field</x:v>
      </x:c>
      <x:c r="I4053" s="37" t="n">
        <x:v>46084</x:v>
      </x:c>
      <x:c r="J4053" s="37" t="n">
        <x:v>46084</x:v>
      </x:c>
      <x:c r="K4053" s="19" t="str">
        <x:v>Regent RV - Toowoomba</x:v>
      </x:c>
      <x:c r="L4053" s="19" t="str">
        <x:v>Z006</x:v>
      </x:c>
      <x:c r="M4053" s="19" t="str">
        <x:v>In Field Warranty Claims</x:v>
      </x:c>
      <x:c r="N4053" s="37" t="n">
        <x:v>46046</x:v>
      </x:c>
      <x:c r="O4053" s="37"/>
      <x:c r="P4053" s="34" t="n">
        <x:v>0</x:v>
      </x:c>
      <x:c r="Q4053" s="37" t="n">
        <x:v>46083.88680555556</x:v>
      </x:c>
    </x:row>
    <x:row r="4054">
      <x:c r="A4054" s="22" t="n">
        <x:v>30235</x:v>
      </x:c>
      <x:c r="B4054" s="28" t="n">
        <x:v>927.5</x:v>
      </x:c>
      <x:c r="C4054" s="28"/>
      <x:c r="D4054" s="31" t="str">
        <x:f>IF(OR(ISBLANK(B4054),ISBLANK(C4054),B4054=0),"",(C4054-B4054)/B4054)</x:f>
      </x:c>
      <x:c r="E4054" s="22" t="str">
        <x:f>IF(ISBLANK(C4054),"AmountIncludingTax缺失",IF(ABS(B4054-C4054)&lt;0.005,"一致","不一致"))</x:f>
        <x:v>AmountIncludingTax缺失</x:v>
      </x:c>
      <x:c r="F4054" s="19" t="str">
        <x:v>approved</x:v>
      </x:c>
      <x:c r="G4054" s="19" t="str">
        <x:v>Repairer Invoiced Processed</x:v>
      </x:c>
      <x:c r="H4054" s="19" t="str">
        <x:v>Pre Delivery</x:v>
      </x:c>
      <x:c r="I4054" s="37" t="n">
        <x:v>46189</x:v>
      </x:c>
      <x:c r="J4054" s="37" t="n">
        <x:v>46189</x:v>
      </x:c>
      <x:c r="K4054" s="19" t="str">
        <x:v>Green RV - Forest Glen</x:v>
      </x:c>
      <x:c r="L4054" s="19" t="str">
        <x:v>Z005</x:v>
      </x:c>
      <x:c r="M4054" s="19" t="str">
        <x:v>Pre Delivery Warranty Claims</x:v>
      </x:c>
      <x:c r="N4054" s="37" t="n">
        <x:v>46046</x:v>
      </x:c>
      <x:c r="O4054" s="37"/>
      <x:c r="P4054" s="34" t="n">
        <x:v>0</x:v>
      </x:c>
      <x:c r="Q4054" s="37" t="n">
        <x:v>46189.02173611111</x:v>
      </x:c>
    </x:row>
    <x:row r="4055">
      <x:c r="A4055" s="22" t="n">
        <x:v>30233</x:v>
      </x:c>
      <x:c r="B4055" s="28" t="n">
        <x:v>55</x:v>
      </x:c>
      <x:c r="C4055" s="28"/>
      <x:c r="D4055" s="31" t="str">
        <x:f>IF(OR(ISBLANK(B4055),ISBLANK(C4055),B4055=0),"",(C4055-B4055)/B4055)</x:f>
      </x:c>
      <x:c r="E4055" s="22" t="str">
        <x:f>IF(ISBLANK(C4055),"AmountIncludingTax缺失",IF(ABS(B4055-C4055)&lt;0.005,"一致","不一致"))</x:f>
        <x:v>AmountIncludingTax缺失</x:v>
      </x:c>
      <x:c r="F4055" s="19" t="str">
        <x:v>approved</x:v>
      </x:c>
      <x:c r="G4055" s="19" t="str">
        <x:v>Repair in Progress</x:v>
      </x:c>
      <x:c r="H4055" s="19" t="str">
        <x:v>Pre Delivery</x:v>
      </x:c>
      <x:c r="I4055" s="37" t="n">
        <x:v>46153</x:v>
      </x:c>
      <x:c r="J4055" s="37" t="n">
        <x:v>46153</x:v>
      </x:c>
      <x:c r="K4055" s="19" t="str">
        <x:v>Regent RV - Perth</x:v>
      </x:c>
      <x:c r="L4055" s="19" t="str">
        <x:v>Z005</x:v>
      </x:c>
      <x:c r="M4055" s="19" t="str">
        <x:v>Pre Delivery Warranty Claims</x:v>
      </x:c>
      <x:c r="N4055" s="37" t="n">
        <x:v>46045</x:v>
      </x:c>
      <x:c r="O4055" s="37"/>
      <x:c r="P4055" s="34" t="n">
        <x:v>0</x:v>
      </x:c>
      <x:c r="Q4055" s="37" t="n">
        <x:v>46153.06982638889</x:v>
      </x:c>
    </x:row>
    <x:row r="4056">
      <x:c r="A4056" s="22" t="n">
        <x:v>30232</x:v>
      </x:c>
      <x:c r="B4056" s="28" t="n">
        <x:v>840</x:v>
      </x:c>
      <x:c r="C4056" s="28"/>
      <x:c r="D4056" s="31" t="str">
        <x:f>IF(OR(ISBLANK(B4056),ISBLANK(C4056),B4056=0),"",(C4056-B4056)/B4056)</x:f>
      </x:c>
      <x:c r="E4056" s="22" t="str">
        <x:f>IF(ISBLANK(C4056),"AmountIncludingTax缺失",IF(ABS(B4056-C4056)&lt;0.005,"一致","不一致"))</x:f>
        <x:v>AmountIncludingTax缺失</x:v>
      </x:c>
      <x:c r="F4056" s="19" t="str">
        <x:v>approved</x:v>
      </x:c>
      <x:c r="G4056" s="19" t="str">
        <x:v>Repairer Invoiced Processed</x:v>
      </x:c>
      <x:c r="H4056" s="19" t="str">
        <x:v>In Field</x:v>
      </x:c>
      <x:c r="I4056" s="37" t="n">
        <x:v>46084</x:v>
      </x:c>
      <x:c r="J4056" s="37" t="n">
        <x:v>46084</x:v>
      </x:c>
      <x:c r="K4056" s="19" t="str">
        <x:v>Auswide Caravans - South Nowra</x:v>
      </x:c>
      <x:c r="L4056" s="19" t="str">
        <x:v>Z006</x:v>
      </x:c>
      <x:c r="M4056" s="19" t="str">
        <x:v>In Field Warranty Claims</x:v>
      </x:c>
      <x:c r="N4056" s="37" t="n">
        <x:v>46045</x:v>
      </x:c>
      <x:c r="O4056" s="37"/>
      <x:c r="P4056" s="34" t="n">
        <x:v>0</x:v>
      </x:c>
      <x:c r="Q4056" s="37" t="n">
        <x:v>46084.47149305556</x:v>
      </x:c>
    </x:row>
    <x:row r="4057">
      <x:c r="A4057" s="22" t="n">
        <x:v>30224</x:v>
      </x:c>
      <x:c r="B4057" s="28" t="n">
        <x:v>1434.11</x:v>
      </x:c>
      <x:c r="C4057" s="28"/>
      <x:c r="D4057" s="31" t="str">
        <x:f>IF(OR(ISBLANK(B4057),ISBLANK(C4057),B4057=0),"",(C4057-B4057)/B4057)</x:f>
      </x:c>
      <x:c r="E4057" s="22" t="str">
        <x:f>IF(ISBLANK(C4057),"AmountIncludingTax缺失",IF(ABS(B4057-C4057)&lt;0.005,"一致","不一致"))</x:f>
        <x:v>AmountIncludingTax缺失</x:v>
      </x:c>
      <x:c r="F4057" s="19" t="str">
        <x:v>approved</x:v>
      </x:c>
      <x:c r="G4057" s="19" t="str">
        <x:v>Repairer Invoiced Processed</x:v>
      </x:c>
      <x:c r="H4057" s="19" t="str">
        <x:v>In Field</x:v>
      </x:c>
      <x:c r="I4057" s="37" t="n">
        <x:v>46049</x:v>
      </x:c>
      <x:c r="J4057" s="37" t="n">
        <x:v>46049</x:v>
      </x:c>
      <x:c r="K4057" s="19" t="str">
        <x:v>Green RV - Forest Glen</x:v>
      </x:c>
      <x:c r="L4057" s="19" t="str">
        <x:v>Z006</x:v>
      </x:c>
      <x:c r="M4057" s="19" t="str">
        <x:v>In Field Warranty Claims</x:v>
      </x:c>
      <x:c r="N4057" s="37" t="n">
        <x:v>46049</x:v>
      </x:c>
      <x:c r="O4057" s="37"/>
      <x:c r="P4057" s="34" t="n">
        <x:v>1577.52</x:v>
      </x:c>
      <x:c r="Q4057" s="37" t="n">
        <x:v>46049.1971875</x:v>
      </x:c>
    </x:row>
    <x:row r="4058">
      <x:c r="A4058" s="22" t="n">
        <x:v>30220</x:v>
      </x:c>
      <x:c r="B4058" s="28" t="n">
        <x:v>1086.25</x:v>
      </x:c>
      <x:c r="C4058" s="28"/>
      <x:c r="D4058" s="31" t="str">
        <x:f>IF(OR(ISBLANK(B4058),ISBLANK(C4058),B4058=0),"",(C4058-B4058)/B4058)</x:f>
      </x:c>
      <x:c r="E4058" s="22" t="str">
        <x:f>IF(ISBLANK(C4058),"AmountIncludingTax缺失",IF(ABS(B4058-C4058)&lt;0.005,"一致","不一致"))</x:f>
        <x:v>AmountIncludingTax缺失</x:v>
      </x:c>
      <x:c r="F4058" s="19" t="str">
        <x:v>approved</x:v>
      </x:c>
      <x:c r="G4058" s="19" t="str">
        <x:v>Repairer Invoiced Processed</x:v>
      </x:c>
      <x:c r="H4058" s="19" t="str">
        <x:v>In Field</x:v>
      </x:c>
      <x:c r="I4058" s="37" t="n">
        <x:v>46069</x:v>
      </x:c>
      <x:c r="J4058" s="37" t="n">
        <x:v>46065</x:v>
      </x:c>
      <x:c r="K4058" s="19" t="str">
        <x:v>Green RV - Forest Glen</x:v>
      </x:c>
      <x:c r="L4058" s="19" t="str">
        <x:v>Z006</x:v>
      </x:c>
      <x:c r="M4058" s="19" t="str">
        <x:v>In Field Warranty Claims</x:v>
      </x:c>
      <x:c r="N4058" s="37" t="n">
        <x:v>46046</x:v>
      </x:c>
      <x:c r="O4058" s="37"/>
      <x:c r="P4058" s="34" t="n">
        <x:v>0</x:v>
      </x:c>
      <x:c r="Q4058" s="37" t="n">
        <x:v>46068.868726851855</x:v>
      </x:c>
    </x:row>
    <x:row r="4059">
      <x:c r="A4059" s="22" t="n">
        <x:v>30219</x:v>
      </x:c>
      <x:c r="B4059" s="28" t="n">
        <x:v>2793.75</x:v>
      </x:c>
      <x:c r="C4059" s="28"/>
      <x:c r="D4059" s="31" t="str">
        <x:f>IF(OR(ISBLANK(B4059),ISBLANK(C4059),B4059=0),"",(C4059-B4059)/B4059)</x:f>
      </x:c>
      <x:c r="E4059" s="22" t="str">
        <x:f>IF(ISBLANK(C4059),"AmountIncludingTax缺失",IF(ABS(B4059-C4059)&lt;0.005,"一致","不一致"))</x:f>
        <x:v>AmountIncludingTax缺失</x:v>
      </x:c>
      <x:c r="F4059" s="19" t="str">
        <x:v>approved</x:v>
      </x:c>
      <x:c r="G4059" s="19" t="str">
        <x:v>Repair in Progress</x:v>
      </x:c>
      <x:c r="H4059" s="19" t="str">
        <x:v>In Field</x:v>
      </x:c>
      <x:c r="I4059" s="37" t="n">
        <x:v>46094</x:v>
      </x:c>
      <x:c r="J4059" s="37" t="n">
        <x:v>46094</x:v>
      </x:c>
      <x:c r="K4059" s="19" t="str">
        <x:v>Green RV - Forest Glen</x:v>
      </x:c>
      <x:c r="L4059" s="19" t="str">
        <x:v>Z006</x:v>
      </x:c>
      <x:c r="M4059" s="19" t="str">
        <x:v>In Field Warranty Claims</x:v>
      </x:c>
      <x:c r="N4059" s="37" t="n">
        <x:v>46046</x:v>
      </x:c>
      <x:c r="O4059" s="37"/>
      <x:c r="P4059" s="34" t="n">
        <x:v>0</x:v>
      </x:c>
      <x:c r="Q4059" s="37" t="n">
        <x:v>46093.942511574074</x:v>
      </x:c>
    </x:row>
    <x:row r="4060">
      <x:c r="A4060" s="22" t="n">
        <x:v>30218</x:v>
      </x:c>
      <x:c r="B4060" s="28" t="n">
        <x:v>360</x:v>
      </x:c>
      <x:c r="C4060" s="28" t="n">
        <x:v>396</x:v>
      </x:c>
      <x:c r="D4060" s="31" t="n">
        <x:f>IF(OR(ISBLANK(B4060),ISBLANK(C4060),B4060=0),"",(C4060-B4060)/B4060)</x:f>
        <x:v>0.1</x:v>
      </x:c>
      <x:c r="E4060" s="22" t="str">
        <x:f>IF(ISBLANK(C4060),"AmountIncludingTax缺失",IF(ABS(B4060-C4060)&lt;0.005,"一致","不一致"))</x:f>
        <x:v>不一致</x:v>
      </x:c>
      <x:c r="F4060" s="19" t="str">
        <x:v>approved</x:v>
      </x:c>
      <x:c r="G4060" s="19" t="str">
        <x:v>Repairer Invoiced Processed</x:v>
      </x:c>
      <x:c r="H4060" s="19" t="str">
        <x:v>In Field</x:v>
      </x:c>
      <x:c r="I4060" s="37" t="n">
        <x:v>46064</x:v>
      </x:c>
      <x:c r="J4060" s="37" t="n">
        <x:v>46064</x:v>
      </x:c>
      <x:c r="K4060" s="19" t="str">
        <x:v>Green RV - Forest Glen</x:v>
      </x:c>
      <x:c r="L4060" s="19" t="str">
        <x:v>Z006</x:v>
      </x:c>
      <x:c r="M4060" s="19" t="str">
        <x:v>In Field Warranty Claims</x:v>
      </x:c>
      <x:c r="N4060" s="37" t="n">
        <x:v>46046</x:v>
      </x:c>
      <x:c r="O4060" s="37"/>
      <x:c r="P4060" s="34" t="n">
        <x:v>396</x:v>
      </x:c>
      <x:c r="Q4060" s="37" t="n">
        <x:v>46064.39565972222</x:v>
      </x:c>
    </x:row>
    <x:row r="4061">
      <x:c r="A4061" s="22" t="n">
        <x:v>30217</x:v>
      </x:c>
      <x:c r="B4061" s="28" t="n">
        <x:v>45.55</x:v>
      </x:c>
      <x:c r="C4061" s="28" t="n">
        <x:v>41.24</x:v>
      </x:c>
      <x:c r="D4061" s="31" t="n">
        <x:f>IF(OR(ISBLANK(B4061),ISBLANK(C4061),B4061=0),"",(C4061-B4061)/B4061)</x:f>
        <x:v>-0.09462129527991209</x:v>
      </x:c>
      <x:c r="E4061" s="22" t="str">
        <x:f>IF(ISBLANK(C4061),"AmountIncludingTax缺失",IF(ABS(B4061-C4061)&lt;0.005,"一致","不一致"))</x:f>
        <x:v>不一致</x:v>
      </x:c>
      <x:c r="F4061" s="19" t="str">
        <x:v>approved</x:v>
      </x:c>
      <x:c r="G4061" s="19" t="str">
        <x:v>Repairer Invoiced Processed</x:v>
      </x:c>
      <x:c r="H4061" s="19" t="str">
        <x:v>In Field</x:v>
      </x:c>
      <x:c r="I4061" s="37" t="n">
        <x:v>46056</x:v>
      </x:c>
      <x:c r="J4061" s="37" t="n">
        <x:v>46056</x:v>
      </x:c>
      <x:c r="K4061" s="19" t="str">
        <x:v>Vanari Caravans - Marden Point</x:v>
      </x:c>
      <x:c r="L4061" s="19" t="str">
        <x:v>Z006</x:v>
      </x:c>
      <x:c r="M4061" s="19" t="str">
        <x:v>In Field Warranty Claims</x:v>
      </x:c>
      <x:c r="N4061" s="37" t="n">
        <x:v>46045</x:v>
      </x:c>
      <x:c r="O4061" s="37"/>
      <x:c r="P4061" s="34" t="n">
        <x:v>41.24</x:v>
      </x:c>
      <x:c r="Q4061" s="37" t="n">
        <x:v>46056.185162037036</x:v>
      </x:c>
    </x:row>
    <x:row r="4062">
      <x:c r="A4062" s="22" t="n">
        <x:v>30215</x:v>
      </x:c>
      <x:c r="B4062" s="28" t="n">
        <x:v>145</x:v>
      </x:c>
      <x:c r="C4062" s="28" t="n">
        <x:v>159.5</x:v>
      </x:c>
      <x:c r="D4062" s="31" t="n">
        <x:f>IF(OR(ISBLANK(B4062),ISBLANK(C4062),B4062=0),"",(C4062-B4062)/B4062)</x:f>
        <x:v>0.1</x:v>
      </x:c>
      <x:c r="E4062" s="22" t="str">
        <x:f>IF(ISBLANK(C4062),"AmountIncludingTax缺失",IF(ABS(B4062-C4062)&lt;0.005,"一致","不一致"))</x:f>
        <x:v>不一致</x:v>
      </x:c>
      <x:c r="F4062" s="19" t="str">
        <x:v>approved</x:v>
      </x:c>
      <x:c r="G4062" s="19" t="str">
        <x:v>Repair in Progress</x:v>
      </x:c>
      <x:c r="H4062" s="19" t="str">
        <x:v>Pre Delivery</x:v>
      </x:c>
      <x:c r="I4062" s="37" t="n">
        <x:v>46142</x:v>
      </x:c>
      <x:c r="J4062" s="37" t="n">
        <x:v>46142</x:v>
      </x:c>
      <x:c r="K4062" s="19" t="str">
        <x:v>Caravans WA</x:v>
      </x:c>
      <x:c r="L4062" s="19" t="str">
        <x:v>Z005</x:v>
      </x:c>
      <x:c r="M4062" s="19" t="str">
        <x:v>Pre Delivery Warranty Claims</x:v>
      </x:c>
      <x:c r="N4062" s="37" t="n">
        <x:v>46045</x:v>
      </x:c>
      <x:c r="O4062" s="37"/>
      <x:c r="P4062" s="34" t="n">
        <x:v>159.5</x:v>
      </x:c>
      <x:c r="Q4062" s="37" t="n">
        <x:v>46142.01681712963</x:v>
      </x:c>
    </x:row>
    <x:row r="4063">
      <x:c r="A4063" s="22" t="n">
        <x:v>30214</x:v>
      </x:c>
      <x:c r="B4063" s="28" t="n">
        <x:v>626.36</x:v>
      </x:c>
      <x:c r="C4063" s="28" t="n">
        <x:v>689</x:v>
      </x:c>
      <x:c r="D4063" s="31" t="n">
        <x:f>IF(OR(ISBLANK(B4063),ISBLANK(C4063),B4063=0),"",(C4063-B4063)/B4063)</x:f>
        <x:v>0.10000638610383802</x:v>
      </x:c>
      <x:c r="E4063" s="22" t="str">
        <x:f>IF(ISBLANK(C4063),"AmountIncludingTax缺失",IF(ABS(B4063-C4063)&lt;0.005,"一致","不一致"))</x:f>
        <x:v>不一致</x:v>
      </x:c>
      <x:c r="F4063" s="19" t="str">
        <x:v>approved</x:v>
      </x:c>
      <x:c r="G4063" s="19" t="str">
        <x:v>Repairer Invoiced Processed</x:v>
      </x:c>
      <x:c r="H4063" s="19" t="str">
        <x:v>In Field</x:v>
      </x:c>
      <x:c r="I4063" s="37" t="n">
        <x:v>46195</x:v>
      </x:c>
      <x:c r="J4063" s="37" t="n">
        <x:v>46195</x:v>
      </x:c>
      <x:c r="K4063" s="19" t="str">
        <x:v>Newcastle RV Super Centre - Beresfield</x:v>
      </x:c>
      <x:c r="L4063" s="19" t="str">
        <x:v>Z006</x:v>
      </x:c>
      <x:c r="M4063" s="19" t="str">
        <x:v>In Field Warranty Claims</x:v>
      </x:c>
      <x:c r="N4063" s="37" t="n">
        <x:v>46045</x:v>
      </x:c>
      <x:c r="O4063" s="37"/>
      <x:c r="P4063" s="34" t="n">
        <x:v>689</x:v>
      </x:c>
      <x:c r="Q4063" s="37" t="n">
        <x:v>46195.24009259259</x:v>
      </x:c>
    </x:row>
    <x:row r="4064">
      <x:c r="A4064" s="22" t="n">
        <x:v>30212</x:v>
      </x:c>
      <x:c r="B4064" s="28" t="n">
        <x:v>67.5</x:v>
      </x:c>
      <x:c r="C4064" s="28"/>
      <x:c r="D4064" s="31" t="str">
        <x:f>IF(OR(ISBLANK(B4064),ISBLANK(C4064),B4064=0),"",(C4064-B4064)/B4064)</x:f>
      </x:c>
      <x:c r="E4064" s="22" t="str">
        <x:f>IF(ISBLANK(C4064),"AmountIncludingTax缺失",IF(ABS(B4064-C4064)&lt;0.005,"一致","不一致"))</x:f>
        <x:v>AmountIncludingTax缺失</x:v>
      </x:c>
      <x:c r="F4064" s="19" t="str">
        <x:v>approved</x:v>
      </x:c>
      <x:c r="G4064" s="19" t="str">
        <x:v>Repairer Invoiced Processed</x:v>
      </x:c>
      <x:c r="H4064" s="19" t="str">
        <x:v>In Field</x:v>
      </x:c>
      <x:c r="I4064" s="37" t="n">
        <x:v>46135</x:v>
      </x:c>
      <x:c r="J4064" s="37" t="n">
        <x:v>46135</x:v>
      </x:c>
      <x:c r="K4064" s="19" t="str">
        <x:v>Dario Caravans - Pooraka</x:v>
      </x:c>
      <x:c r="L4064" s="19" t="str">
        <x:v>Z006</x:v>
      </x:c>
      <x:c r="M4064" s="19" t="str">
        <x:v>In Field Warranty Claims</x:v>
      </x:c>
      <x:c r="N4064" s="37" t="n">
        <x:v>46045</x:v>
      </x:c>
      <x:c r="O4064" s="37"/>
      <x:c r="P4064" s="34" t="n">
        <x:v>0</x:v>
      </x:c>
      <x:c r="Q4064" s="37" t="n">
        <x:v>46135.065717592595</x:v>
      </x:c>
    </x:row>
    <x:row r="4065">
      <x:c r="A4065" s="22" t="n">
        <x:v>30211</x:v>
      </x:c>
      <x:c r="B4065" s="28" t="n">
        <x:v>366.5</x:v>
      </x:c>
      <x:c r="C4065" s="28" t="n">
        <x:v>403.15</x:v>
      </x:c>
      <x:c r="D4065" s="31" t="n">
        <x:f>IF(OR(ISBLANK(B4065),ISBLANK(C4065),B4065=0),"",(C4065-B4065)/B4065)</x:f>
        <x:v>0.09999999999999994</x:v>
      </x:c>
      <x:c r="E4065" s="22" t="str">
        <x:f>IF(ISBLANK(C4065),"AmountIncludingTax缺失",IF(ABS(B4065-C4065)&lt;0.005,"一致","不一致"))</x:f>
        <x:v>不一致</x:v>
      </x:c>
      <x:c r="F4065" s="19" t="str">
        <x:v>approved</x:v>
      </x:c>
      <x:c r="G4065" s="19" t="str">
        <x:v>Repairer Invoiced Processed</x:v>
      </x:c>
      <x:c r="H4065" s="19" t="str">
        <x:v>In Field</x:v>
      </x:c>
      <x:c r="I4065" s="37" t="n">
        <x:v>46125</x:v>
      </x:c>
      <x:c r="J4065" s="37" t="n">
        <x:v>46125</x:v>
      </x:c>
      <x:c r="K4065" s="19" t="str">
        <x:v>Regent RV - Perth</x:v>
      </x:c>
      <x:c r="L4065" s="19" t="str">
        <x:v>Z006</x:v>
      </x:c>
      <x:c r="M4065" s="19" t="str">
        <x:v>In Field Warranty Claims</x:v>
      </x:c>
      <x:c r="N4065" s="37" t="n">
        <x:v>46045</x:v>
      </x:c>
      <x:c r="O4065" s="37"/>
      <x:c r="P4065" s="34" t="n">
        <x:v>403.15</x:v>
      </x:c>
      <x:c r="Q4065" s="37" t="n">
        <x:v>46125.36738425926</x:v>
      </x:c>
    </x:row>
    <x:row r="4066">
      <x:c r="A4066" s="22" t="n">
        <x:v>30210</x:v>
      </x:c>
      <x:c r="B4066" s="28" t="n">
        <x:v>202.5</x:v>
      </x:c>
      <x:c r="C4066" s="28"/>
      <x:c r="D4066" s="31" t="str">
        <x:f>IF(OR(ISBLANK(B4066),ISBLANK(C4066),B4066=0),"",(C4066-B4066)/B4066)</x:f>
      </x:c>
      <x:c r="E4066" s="22" t="str">
        <x:f>IF(ISBLANK(C4066),"AmountIncludingTax缺失",IF(ABS(B4066-C4066)&lt;0.005,"一致","不一致"))</x:f>
        <x:v>AmountIncludingTax缺失</x:v>
      </x:c>
      <x:c r="F4066" s="19" t="str">
        <x:v>approved</x:v>
      </x:c>
      <x:c r="G4066" s="19" t="str">
        <x:v>Repair in Progress</x:v>
      </x:c>
      <x:c r="H4066" s="19" t="str">
        <x:v>In Field</x:v>
      </x:c>
      <x:c r="I4066" s="37" t="n">
        <x:v>46113</x:v>
      </x:c>
      <x:c r="J4066" s="37" t="n">
        <x:v>46113</x:v>
      </x:c>
      <x:c r="K4066" s="19" t="str">
        <x:v>Auswide Caravans - South Nowra</x:v>
      </x:c>
      <x:c r="L4066" s="19" t="str">
        <x:v>Z006</x:v>
      </x:c>
      <x:c r="M4066" s="19" t="str">
        <x:v>In Field Warranty Claims</x:v>
      </x:c>
      <x:c r="N4066" s="37" t="n">
        <x:v>46045</x:v>
      </x:c>
      <x:c r="O4066" s="37"/>
      <x:c r="P4066" s="34" t="n">
        <x:v>0</x:v>
      </x:c>
      <x:c r="Q4066" s="37" t="n">
        <x:v>46113.227743055555</x:v>
      </x:c>
    </x:row>
    <x:row r="4067">
      <x:c r="A4067" s="22" t="n">
        <x:v>30208</x:v>
      </x:c>
      <x:c r="B4067" s="28" t="n">
        <x:v>92.58</x:v>
      </x:c>
      <x:c r="C4067" s="28"/>
      <x:c r="D4067" s="31" t="str">
        <x:f>IF(OR(ISBLANK(B4067),ISBLANK(C4067),B4067=0),"",(C4067-B4067)/B4067)</x:f>
      </x:c>
      <x:c r="E4067" s="22" t="str">
        <x:f>IF(ISBLANK(C4067),"AmountIncludingTax缺失",IF(ABS(B4067-C4067)&lt;0.005,"一致","不一致"))</x:f>
        <x:v>AmountIncludingTax缺失</x:v>
      </x:c>
      <x:c r="F4067" s="19" t="str">
        <x:v>approved</x:v>
      </x:c>
      <x:c r="G4067" s="19" t="str">
        <x:v>Repair in Progress</x:v>
      </x:c>
      <x:c r="H4067" s="19" t="str">
        <x:v>In Field</x:v>
      </x:c>
      <x:c r="I4067" s="37" t="n">
        <x:v>46062</x:v>
      </x:c>
      <x:c r="J4067" s="37" t="n">
        <x:v>46062</x:v>
      </x:c>
      <x:c r="K4067" s="19" t="str">
        <x:v>Auswide Caravans - South Nowra</x:v>
      </x:c>
      <x:c r="L4067" s="19" t="str">
        <x:v>Z006</x:v>
      </x:c>
      <x:c r="M4067" s="19" t="str">
        <x:v>In Field Warranty Claims</x:v>
      </x:c>
      <x:c r="N4067" s="37" t="n">
        <x:v>46045</x:v>
      </x:c>
      <x:c r="O4067" s="37"/>
      <x:c r="P4067" s="34" t="n">
        <x:v>0</x:v>
      </x:c>
      <x:c r="Q4067" s="37" t="n">
        <x:v>46062.200057870374</x:v>
      </x:c>
    </x:row>
    <x:row r="4068">
      <x:c r="A4068" s="22" t="n">
        <x:v>30207</x:v>
      </x:c>
      <x:c r="B4068" s="28" t="n">
        <x:v>67.5</x:v>
      </x:c>
      <x:c r="C4068" s="28"/>
      <x:c r="D4068" s="31" t="str">
        <x:f>IF(OR(ISBLANK(B4068),ISBLANK(C4068),B4068=0),"",(C4068-B4068)/B4068)</x:f>
      </x:c>
      <x:c r="E4068" s="22" t="str">
        <x:f>IF(ISBLANK(C4068),"AmountIncludingTax缺失",IF(ABS(B4068-C4068)&lt;0.005,"一致","不一致"))</x:f>
        <x:v>AmountIncludingTax缺失</x:v>
      </x:c>
      <x:c r="F4068" s="19" t="str">
        <x:v>approved</x:v>
      </x:c>
      <x:c r="G4068" s="19" t="str">
        <x:v>Repairer Invoiced Processed</x:v>
      </x:c>
      <x:c r="H4068" s="19" t="str">
        <x:v>In Field</x:v>
      </x:c>
      <x:c r="I4068" s="37" t="n">
        <x:v>46084</x:v>
      </x:c>
      <x:c r="J4068" s="37" t="n">
        <x:v>46084</x:v>
      </x:c>
      <x:c r="K4068" s="19" t="str">
        <x:v>Regent RV Pty Ltd</x:v>
      </x:c>
      <x:c r="L4068" s="19" t="str">
        <x:v>Z006</x:v>
      </x:c>
      <x:c r="M4068" s="19" t="str">
        <x:v>In Field Warranty Claims</x:v>
      </x:c>
      <x:c r="N4068" s="37" t="n">
        <x:v>46045</x:v>
      </x:c>
      <x:c r="O4068" s="37"/>
      <x:c r="P4068" s="34" t="n">
        <x:v>0</x:v>
      </x:c>
      <x:c r="Q4068" s="37" t="n">
        <x:v>46084.24765046296</x:v>
      </x:c>
    </x:row>
    <x:row r="4069">
      <x:c r="A4069" s="22" t="n">
        <x:v>30206</x:v>
      </x:c>
      <x:c r="B4069" s="28" t="n">
        <x:v>911.25</x:v>
      </x:c>
      <x:c r="C4069" s="28"/>
      <x:c r="D4069" s="31" t="str">
        <x:f>IF(OR(ISBLANK(B4069),ISBLANK(C4069),B4069=0),"",(C4069-B4069)/B4069)</x:f>
      </x:c>
      <x:c r="E4069" s="22" t="str">
        <x:f>IF(ISBLANK(C4069),"AmountIncludingTax缺失",IF(ABS(B4069-C4069)&lt;0.005,"一致","不一致"))</x:f>
        <x:v>AmountIncludingTax缺失</x:v>
      </x:c>
      <x:c r="F4069" s="19" t="str">
        <x:v>approved</x:v>
      </x:c>
      <x:c r="G4069" s="19" t="str">
        <x:v>Repair in Progress</x:v>
      </x:c>
      <x:c r="H4069" s="19" t="str">
        <x:v>In Field</x:v>
      </x:c>
      <x:c r="I4069" s="37" t="n">
        <x:v>46077</x:v>
      </x:c>
      <x:c r="J4069" s="37" t="n">
        <x:v>46077</x:v>
      </x:c>
      <x:c r="K4069" s="19" t="str">
        <x:v>Regent RV Pty Ltd</x:v>
      </x:c>
      <x:c r="L4069" s="19" t="str">
        <x:v>Z006</x:v>
      </x:c>
      <x:c r="M4069" s="19" t="str">
        <x:v>In Field Warranty Claims</x:v>
      </x:c>
      <x:c r="N4069" s="37" t="n">
        <x:v>46045</x:v>
      </x:c>
      <x:c r="O4069" s="37"/>
      <x:c r="P4069" s="34" t="n">
        <x:v>0</x:v>
      </x:c>
      <x:c r="Q4069" s="37" t="n">
        <x:v>46077.13253472222</x:v>
      </x:c>
    </x:row>
    <x:row r="4070">
      <x:c r="A4070" s="22" t="n">
        <x:v>30205</x:v>
      </x:c>
      <x:c r="B4070" s="28" t="n">
        <x:v>236.25</x:v>
      </x:c>
      <x:c r="C4070" s="28"/>
      <x:c r="D4070" s="31" t="str">
        <x:f>IF(OR(ISBLANK(B4070),ISBLANK(C4070),B4070=0),"",(C4070-B4070)/B4070)</x:f>
      </x:c>
      <x:c r="E4070" s="22" t="str">
        <x:f>IF(ISBLANK(C4070),"AmountIncludingTax缺失",IF(ABS(B4070-C4070)&lt;0.005,"一致","不一致"))</x:f>
        <x:v>AmountIncludingTax缺失</x:v>
      </x:c>
      <x:c r="F4070" s="19" t="str">
        <x:v>approved</x:v>
      </x:c>
      <x:c r="G4070" s="19" t="str">
        <x:v>Repair in Progress</x:v>
      </x:c>
      <x:c r="H4070" s="19" t="str">
        <x:v>In Field</x:v>
      </x:c>
      <x:c r="I4070" s="37" t="n">
        <x:v>46108</x:v>
      </x:c>
      <x:c r="J4070" s="37" t="n">
        <x:v>46108</x:v>
      </x:c>
      <x:c r="K4070" s="19" t="str">
        <x:v>Regent RV - Perth</x:v>
      </x:c>
      <x:c r="L4070" s="19" t="str">
        <x:v>Z006</x:v>
      </x:c>
      <x:c r="M4070" s="19" t="str">
        <x:v>In Field Warranty Claims</x:v>
      </x:c>
      <x:c r="N4070" s="37" t="n">
        <x:v>46045</x:v>
      </x:c>
      <x:c r="O4070" s="37"/>
      <x:c r="P4070" s="34" t="n">
        <x:v>0</x:v>
      </x:c>
      <x:c r="Q4070" s="37" t="n">
        <x:v>46108.137777777774</x:v>
      </x:c>
    </x:row>
    <x:row r="4071">
      <x:c r="A4071" s="22" t="n">
        <x:v>30204</x:v>
      </x:c>
      <x:c r="B4071" s="28" t="n">
        <x:v>127.27</x:v>
      </x:c>
      <x:c r="C4071" s="28" t="n">
        <x:v>140</x:v>
      </x:c>
      <x:c r="D4071" s="31" t="n">
        <x:f>IF(OR(ISBLANK(B4071),ISBLANK(C4071),B4071=0),"",(C4071-B4071)/B4071)</x:f>
        <x:v>0.10002357193368433</x:v>
      </x:c>
      <x:c r="E4071" s="22" t="str">
        <x:f>IF(ISBLANK(C4071),"AmountIncludingTax缺失",IF(ABS(B4071-C4071)&lt;0.005,"一致","不一致"))</x:f>
        <x:v>不一致</x:v>
      </x:c>
      <x:c r="F4071" s="19" t="str">
        <x:v>approved</x:v>
      </x:c>
      <x:c r="G4071" s="19" t="str">
        <x:v>Repairer Invoiced Processed</x:v>
      </x:c>
      <x:c r="H4071" s="19" t="str">
        <x:v>Pre Delivery</x:v>
      </x:c>
      <x:c r="I4071" s="37" t="n">
        <x:v>46085</x:v>
      </x:c>
      <x:c r="J4071" s="37" t="n">
        <x:v>46085</x:v>
      </x:c>
      <x:c r="K4071" s="19" t="str">
        <x:v>Caravans WA</x:v>
      </x:c>
      <x:c r="L4071" s="19" t="str">
        <x:v>Z005</x:v>
      </x:c>
      <x:c r="M4071" s="19" t="str">
        <x:v>Pre Delivery Warranty Claims</x:v>
      </x:c>
      <x:c r="N4071" s="37" t="n">
        <x:v>46045</x:v>
      </x:c>
      <x:c r="O4071" s="37"/>
      <x:c r="P4071" s="34" t="n">
        <x:v>140</x:v>
      </x:c>
      <x:c r="Q4071" s="37" t="n">
        <x:v>46084.95269675926</x:v>
      </x:c>
    </x:row>
    <x:row r="4072">
      <x:c r="A4072" s="22" t="n">
        <x:v>30203</x:v>
      </x:c>
      <x:c r="B4072" s="28" t="n">
        <x:v>895.68</x:v>
      </x:c>
      <x:c r="C4072" s="28"/>
      <x:c r="D4072" s="31" t="str">
        <x:f>IF(OR(ISBLANK(B4072),ISBLANK(C4072),B4072=0),"",(C4072-B4072)/B4072)</x:f>
      </x:c>
      <x:c r="E4072" s="22" t="str">
        <x:f>IF(ISBLANK(C4072),"AmountIncludingTax缺失",IF(ABS(B4072-C4072)&lt;0.005,"一致","不一致"))</x:f>
        <x:v>AmountIncludingTax缺失</x:v>
      </x:c>
      <x:c r="F4072" s="19" t="str">
        <x:v>approved</x:v>
      </x:c>
      <x:c r="G4072" s="19" t="str">
        <x:v>Repair in Progress</x:v>
      </x:c>
      <x:c r="H4072" s="19" t="str">
        <x:v>Pre Delivery</x:v>
      </x:c>
      <x:c r="I4072" s="37" t="n">
        <x:v>46133</x:v>
      </x:c>
      <x:c r="J4072" s="37" t="n">
        <x:v>46133</x:v>
      </x:c>
      <x:c r="K4072" s="19" t="str">
        <x:v>Auswide Caravans - South Nowra</x:v>
      </x:c>
      <x:c r="L4072" s="19" t="str">
        <x:v>Z005</x:v>
      </x:c>
      <x:c r="M4072" s="19" t="str">
        <x:v>Pre Delivery Warranty Claims</x:v>
      </x:c>
      <x:c r="N4072" s="37" t="n">
        <x:v>46045</x:v>
      </x:c>
      <x:c r="O4072" s="37"/>
      <x:c r="P4072" s="34" t="n">
        <x:v>0</x:v>
      </x:c>
      <x:c r="Q4072" s="37" t="n">
        <x:v>46133.14939814815</x:v>
      </x:c>
    </x:row>
    <x:row r="4073">
      <x:c r="A4073" s="22" t="n">
        <x:v>30202</x:v>
      </x:c>
      <x:c r="B4073" s="28" t="n">
        <x:v>810</x:v>
      </x:c>
      <x:c r="C4073" s="28"/>
      <x:c r="D4073" s="31" t="str">
        <x:f>IF(OR(ISBLANK(B4073),ISBLANK(C4073),B4073=0),"",(C4073-B4073)/B4073)</x:f>
      </x:c>
      <x:c r="E4073" s="22" t="str">
        <x:f>IF(ISBLANK(C4073),"AmountIncludingTax缺失",IF(ABS(B4073-C4073)&lt;0.005,"一致","不一致"))</x:f>
        <x:v>AmountIncludingTax缺失</x:v>
      </x:c>
      <x:c r="F4073" s="19" t="str">
        <x:v>approved</x:v>
      </x:c>
      <x:c r="G4073" s="19" t="str">
        <x:v>Repairer Invoiced Processed</x:v>
      </x:c>
      <x:c r="H4073" s="19" t="str">
        <x:v>In Field</x:v>
      </x:c>
      <x:c r="I4073" s="37" t="n">
        <x:v>46073</x:v>
      </x:c>
      <x:c r="J4073" s="37" t="n">
        <x:v>46073</x:v>
      </x:c>
      <x:c r="K4073" s="19" t="str">
        <x:v>Green RV - Forest Glen</x:v>
      </x:c>
      <x:c r="L4073" s="19" t="str">
        <x:v>Z006</x:v>
      </x:c>
      <x:c r="M4073" s="19" t="str">
        <x:v>In Field Warranty Claims</x:v>
      </x:c>
      <x:c r="N4073" s="37" t="n">
        <x:v>46045</x:v>
      </x:c>
      <x:c r="O4073" s="37"/>
      <x:c r="P4073" s="34" t="n">
        <x:v>0</x:v>
      </x:c>
      <x:c r="Q4073" s="37" t="n">
        <x:v>46073.08820601852</x:v>
      </x:c>
    </x:row>
    <x:row r="4074">
      <x:c r="A4074" s="22" t="n">
        <x:v>30201</x:v>
      </x:c>
      <x:c r="B4074" s="28" t="n">
        <x:v>2788.3</x:v>
      </x:c>
      <x:c r="C4074" s="28"/>
      <x:c r="D4074" s="31" t="str">
        <x:f>IF(OR(ISBLANK(B4074),ISBLANK(C4074),B4074=0),"",(C4074-B4074)/B4074)</x:f>
      </x:c>
      <x:c r="E4074" s="22" t="str">
        <x:f>IF(ISBLANK(C4074),"AmountIncludingTax缺失",IF(ABS(B4074-C4074)&lt;0.005,"一致","不一致"))</x:f>
        <x:v>AmountIncludingTax缺失</x:v>
      </x:c>
      <x:c r="F4074" s="19" t="str">
        <x:v>approved</x:v>
      </x:c>
      <x:c r="G4074" s="19" t="str">
        <x:v>Sales Order Approved</x:v>
      </x:c>
      <x:c r="H4074" s="19" t="str">
        <x:v>In Field</x:v>
      </x:c>
      <x:c r="I4074" s="37" t="n">
        <x:v>46125</x:v>
      </x:c>
      <x:c r="J4074" s="37" t="n">
        <x:v>46097</x:v>
      </x:c>
      <x:c r="K4074" s="19" t="str">
        <x:v>Newcastle RV Super Centre - Beresfield</x:v>
      </x:c>
      <x:c r="L4074" s="19" t="str">
        <x:v>Z006</x:v>
      </x:c>
      <x:c r="M4074" s="19" t="str">
        <x:v>In Field Warranty Claims</x:v>
      </x:c>
      <x:c r="N4074" s="37" t="n">
        <x:v>46045</x:v>
      </x:c>
      <x:c r="O4074" s="37"/>
      <x:c r="P4074" s="34" t="n">
        <x:v>0</x:v>
      </x:c>
      <x:c r="Q4074" s="37" t="n">
        <x:v>46125.085439814815</x:v>
      </x:c>
    </x:row>
    <x:row r="4075">
      <x:c r="A4075" s="22" t="n">
        <x:v>30200</x:v>
      </x:c>
      <x:c r="B4075" s="28" t="n">
        <x:v>55</x:v>
      </x:c>
      <x:c r="C4075" s="28"/>
      <x:c r="D4075" s="31" t="str">
        <x:f>IF(OR(ISBLANK(B4075),ISBLANK(C4075),B4075=0),"",(C4075-B4075)/B4075)</x:f>
      </x:c>
      <x:c r="E4075" s="22" t="str">
        <x:f>IF(ISBLANK(C4075),"AmountIncludingTax缺失",IF(ABS(B4075-C4075)&lt;0.005,"一致","不一致"))</x:f>
        <x:v>AmountIncludingTax缺失</x:v>
      </x:c>
      <x:c r="F4075" s="19" t="str">
        <x:v>approved</x:v>
      </x:c>
      <x:c r="G4075" s="19" t="str">
        <x:v>Repair in Progress</x:v>
      </x:c>
      <x:c r="H4075" s="19" t="str">
        <x:v>Pre Delivery</x:v>
      </x:c>
      <x:c r="I4075" s="37" t="n">
        <x:v>46120</x:v>
      </x:c>
      <x:c r="J4075" s="37" t="n">
        <x:v>46120</x:v>
      </x:c>
      <x:c r="K4075" s="19" t="str">
        <x:v>Regent RV - Perth</x:v>
      </x:c>
      <x:c r="L4075" s="19" t="str">
        <x:v>Z005</x:v>
      </x:c>
      <x:c r="M4075" s="19" t="str">
        <x:v>Pre Delivery Warranty Claims</x:v>
      </x:c>
      <x:c r="N4075" s="37" t="n">
        <x:v>46045</x:v>
      </x:c>
      <x:c r="O4075" s="37"/>
      <x:c r="P4075" s="34" t="n">
        <x:v>0</x:v>
      </x:c>
      <x:c r="Q4075" s="37" t="n">
        <x:v>46120.17023148148</x:v>
      </x:c>
    </x:row>
    <x:row r="4076">
      <x:c r="A4076" s="22" t="n">
        <x:v>30199</x:v>
      </x:c>
      <x:c r="B4076" s="28" t="n">
        <x:v>110</x:v>
      </x:c>
      <x:c r="C4076" s="28"/>
      <x:c r="D4076" s="31" t="str">
        <x:f>IF(OR(ISBLANK(B4076),ISBLANK(C4076),B4076=0),"",(C4076-B4076)/B4076)</x:f>
      </x:c>
      <x:c r="E4076" s="22" t="str">
        <x:f>IF(ISBLANK(C4076),"AmountIncludingTax缺失",IF(ABS(B4076-C4076)&lt;0.005,"一致","不一致"))</x:f>
        <x:v>AmountIncludingTax缺失</x:v>
      </x:c>
      <x:c r="F4076" s="19" t="str">
        <x:v>approved</x:v>
      </x:c>
      <x:c r="G4076" s="19" t="str">
        <x:v>Repair in Progress</x:v>
      </x:c>
      <x:c r="H4076" s="19" t="str">
        <x:v>Pre Delivery</x:v>
      </x:c>
      <x:c r="I4076" s="37" t="n">
        <x:v>46120</x:v>
      </x:c>
      <x:c r="J4076" s="37" t="n">
        <x:v>46120</x:v>
      </x:c>
      <x:c r="K4076" s="19" t="str">
        <x:v>Regent RV - Perth</x:v>
      </x:c>
      <x:c r="L4076" s="19" t="str">
        <x:v>Z005</x:v>
      </x:c>
      <x:c r="M4076" s="19" t="str">
        <x:v>Pre Delivery Warranty Claims</x:v>
      </x:c>
      <x:c r="N4076" s="37" t="n">
        <x:v>46045</x:v>
      </x:c>
      <x:c r="O4076" s="37"/>
      <x:c r="P4076" s="34" t="n">
        <x:v>0</x:v>
      </x:c>
      <x:c r="Q4076" s="37" t="n">
        <x:v>46119.99505787037</x:v>
      </x:c>
    </x:row>
    <x:row r="4077">
      <x:c r="A4077" s="22" t="n">
        <x:v>30198</x:v>
      </x:c>
      <x:c r="B4077" s="28" t="n">
        <x:v>1910</x:v>
      </x:c>
      <x:c r="C4077" s="28"/>
      <x:c r="D4077" s="31" t="str">
        <x:f>IF(OR(ISBLANK(B4077),ISBLANK(C4077),B4077=0),"",(C4077-B4077)/B4077)</x:f>
      </x:c>
      <x:c r="E4077" s="22" t="str">
        <x:f>IF(ISBLANK(C4077),"AmountIncludingTax缺失",IF(ABS(B4077-C4077)&lt;0.005,"一致","不一致"))</x:f>
        <x:v>AmountIncludingTax缺失</x:v>
      </x:c>
      <x:c r="F4077" s="19" t="str">
        <x:v>approved</x:v>
      </x:c>
      <x:c r="G4077" s="19" t="str">
        <x:v>Repair in Progress</x:v>
      </x:c>
      <x:c r="H4077" s="19" t="str">
        <x:v>In Field</x:v>
      </x:c>
      <x:c r="I4077" s="37" t="n">
        <x:v>46150</x:v>
      </x:c>
      <x:c r="J4077" s="37" t="n">
        <x:v>46150</x:v>
      </x:c>
      <x:c r="K4077" s="19" t="str">
        <x:v>Regent RV - Perth</x:v>
      </x:c>
      <x:c r="L4077" s="19" t="str">
        <x:v>Z006</x:v>
      </x:c>
      <x:c r="M4077" s="19" t="str">
        <x:v>In Field Warranty Claims</x:v>
      </x:c>
      <x:c r="N4077" s="37" t="n">
        <x:v>46045</x:v>
      </x:c>
      <x:c r="O4077" s="37"/>
      <x:c r="P4077" s="34" t="n">
        <x:v>0</x:v>
      </x:c>
      <x:c r="Q4077" s="37" t="n">
        <x:v>46150.07513888889</x:v>
      </x:c>
    </x:row>
    <x:row r="4078">
      <x:c r="A4078" s="22" t="n">
        <x:v>30197</x:v>
      </x:c>
      <x:c r="B4078" s="28" t="n">
        <x:v>165</x:v>
      </x:c>
      <x:c r="C4078" s="28"/>
      <x:c r="D4078" s="31" t="str">
        <x:f>IF(OR(ISBLANK(B4078),ISBLANK(C4078),B4078=0),"",(C4078-B4078)/B4078)</x:f>
      </x:c>
      <x:c r="E4078" s="22" t="str">
        <x:f>IF(ISBLANK(C4078),"AmountIncludingTax缺失",IF(ABS(B4078-C4078)&lt;0.005,"一致","不一致"))</x:f>
        <x:v>AmountIncludingTax缺失</x:v>
      </x:c>
      <x:c r="F4078" s="19" t="str">
        <x:v>approved</x:v>
      </x:c>
      <x:c r="G4078" s="19" t="str">
        <x:v>Repair in Progress</x:v>
      </x:c>
      <x:c r="H4078" s="19" t="str">
        <x:v>Pre Delivery</x:v>
      </x:c>
      <x:c r="I4078" s="37" t="n">
        <x:v>46155</x:v>
      </x:c>
      <x:c r="J4078" s="37" t="n">
        <x:v>46155</x:v>
      </x:c>
      <x:c r="K4078" s="19" t="str">
        <x:v>Regent RV - Perth</x:v>
      </x:c>
      <x:c r="L4078" s="19" t="str">
        <x:v>Z005</x:v>
      </x:c>
      <x:c r="M4078" s="19" t="str">
        <x:v>Pre Delivery Warranty Claims</x:v>
      </x:c>
      <x:c r="N4078" s="37" t="n">
        <x:v>46045</x:v>
      </x:c>
      <x:c r="O4078" s="37"/>
      <x:c r="P4078" s="34" t="n">
        <x:v>0</x:v>
      </x:c>
      <x:c r="Q4078" s="37" t="n">
        <x:v>46154.93456018518</x:v>
      </x:c>
    </x:row>
    <x:row r="4079">
      <x:c r="A4079" s="22" t="n">
        <x:v>30196</x:v>
      </x:c>
      <x:c r="B4079" s="28" t="n">
        <x:v>188.75</x:v>
      </x:c>
      <x:c r="C4079" s="28"/>
      <x:c r="D4079" s="31" t="str">
        <x:f>IF(OR(ISBLANK(B4079),ISBLANK(C4079),B4079=0),"",(C4079-B4079)/B4079)</x:f>
      </x:c>
      <x:c r="E4079" s="22" t="str">
        <x:f>IF(ISBLANK(C4079),"AmountIncludingTax缺失",IF(ABS(B4079-C4079)&lt;0.005,"一致","不一致"))</x:f>
        <x:v>AmountIncludingTax缺失</x:v>
      </x:c>
      <x:c r="F4079" s="19" t="str">
        <x:v>approved</x:v>
      </x:c>
      <x:c r="G4079" s="19" t="str">
        <x:v>Repair in Progress</x:v>
      </x:c>
      <x:c r="H4079" s="19" t="str">
        <x:v>In Field</x:v>
      </x:c>
      <x:c r="I4079" s="37" t="n">
        <x:v>46057</x:v>
      </x:c>
      <x:c r="J4079" s="37" t="n">
        <x:v>46057</x:v>
      </x:c>
      <x:c r="K4079" s="19" t="str">
        <x:v>Regent RV - Frankston</x:v>
      </x:c>
      <x:c r="L4079" s="19" t="str">
        <x:v>Z006</x:v>
      </x:c>
      <x:c r="M4079" s="19" t="str">
        <x:v>In Field Warranty Claims</x:v>
      </x:c>
      <x:c r="N4079" s="37" t="n">
        <x:v>46045</x:v>
      </x:c>
      <x:c r="O4079" s="37"/>
      <x:c r="P4079" s="34" t="n">
        <x:v>0</x:v>
      </x:c>
      <x:c r="Q4079" s="37" t="n">
        <x:v>46056.90195601852</x:v>
      </x:c>
    </x:row>
    <x:row r="4080">
      <x:c r="A4080" s="22" t="n">
        <x:v>30195</x:v>
      </x:c>
      <x:c r="B4080" s="28" t="n">
        <x:v>101.25</x:v>
      </x:c>
      <x:c r="C4080" s="28"/>
      <x:c r="D4080" s="31" t="str">
        <x:f>IF(OR(ISBLANK(B4080),ISBLANK(C4080),B4080=0),"",(C4080-B4080)/B4080)</x:f>
      </x:c>
      <x:c r="E4080" s="22" t="str">
        <x:f>IF(ISBLANK(C4080),"AmountIncludingTax缺失",IF(ABS(B4080-C4080)&lt;0.005,"一致","不一致"))</x:f>
        <x:v>AmountIncludingTax缺失</x:v>
      </x:c>
      <x:c r="F4080" s="19" t="str">
        <x:v>approved</x:v>
      </x:c>
      <x:c r="G4080" s="19" t="str">
        <x:v>Repairer Invoiced Processed</x:v>
      </x:c>
      <x:c r="H4080" s="19" t="str">
        <x:v>In Field</x:v>
      </x:c>
      <x:c r="I4080" s="37" t="n">
        <x:v>46072</x:v>
      </x:c>
      <x:c r="J4080" s="37" t="n">
        <x:v>46072</x:v>
      </x:c>
      <x:c r="K4080" s="19" t="str">
        <x:v>Green RV - Forest Glen</x:v>
      </x:c>
      <x:c r="L4080" s="19" t="str">
        <x:v>Z006</x:v>
      </x:c>
      <x:c r="M4080" s="19" t="str">
        <x:v>In Field Warranty Claims</x:v>
      </x:c>
      <x:c r="N4080" s="37" t="n">
        <x:v>46045</x:v>
      </x:c>
      <x:c r="O4080" s="37"/>
      <x:c r="P4080" s="34" t="n">
        <x:v>0</x:v>
      </x:c>
      <x:c r="Q4080" s="37" t="n">
        <x:v>46072.19788194444</x:v>
      </x:c>
    </x:row>
    <x:row r="4081">
      <x:c r="A4081" s="22" t="n">
        <x:v>30194</x:v>
      </x:c>
      <x:c r="B4081" s="28" t="n">
        <x:v>485.45</x:v>
      </x:c>
      <x:c r="C4081" s="28" t="n">
        <x:v>534</x:v>
      </x:c>
      <x:c r="D4081" s="31" t="n">
        <x:f>IF(OR(ISBLANK(B4081),ISBLANK(C4081),B4081=0),"",(C4081-B4081)/B4081)</x:f>
        <x:v>0.10001029972190753</x:v>
      </x:c>
      <x:c r="E4081" s="22" t="str">
        <x:f>IF(ISBLANK(C4081),"AmountIncludingTax缺失",IF(ABS(B4081-C4081)&lt;0.005,"一致","不一致"))</x:f>
        <x:v>不一致</x:v>
      </x:c>
      <x:c r="F4081" s="19" t="str">
        <x:v>approved</x:v>
      </x:c>
      <x:c r="G4081" s="19" t="str">
        <x:v>Repairer Invoiced Processed</x:v>
      </x:c>
      <x:c r="H4081" s="19" t="str">
        <x:v>In Field</x:v>
      </x:c>
      <x:c r="I4081" s="37" t="n">
        <x:v>46190</x:v>
      </x:c>
      <x:c r="J4081" s="37" t="n">
        <x:v>46111</x:v>
      </x:c>
      <x:c r="K4081" s="19" t="str">
        <x:v>Green RV - Forest Glen</x:v>
      </x:c>
      <x:c r="L4081" s="19" t="str">
        <x:v>Z006</x:v>
      </x:c>
      <x:c r="M4081" s="19" t="str">
        <x:v>In Field Warranty Claims</x:v>
      </x:c>
      <x:c r="N4081" s="37" t="n">
        <x:v>46045</x:v>
      </x:c>
      <x:c r="O4081" s="37"/>
      <x:c r="P4081" s="34" t="n">
        <x:v>534</x:v>
      </x:c>
      <x:c r="Q4081" s="37" t="n">
        <x:v>46190.13</x:v>
      </x:c>
    </x:row>
    <x:row r="4082">
      <x:c r="A4082" s="22" t="n">
        <x:v>30193</x:v>
      </x:c>
      <x:c r="B4082" s="28" t="n">
        <x:v>268.19</x:v>
      </x:c>
      <x:c r="C4082" s="28" t="n">
        <x:v>295.01</x:v>
      </x:c>
      <x:c r="D4082" s="31" t="n">
        <x:f>IF(OR(ISBLANK(B4082),ISBLANK(C4082),B4082=0),"",(C4082-B4082)/B4082)</x:f>
        <x:v>0.10000372869980236</x:v>
      </x:c>
      <x:c r="E4082" s="22" t="str">
        <x:f>IF(ISBLANK(C4082),"AmountIncludingTax缺失",IF(ABS(B4082-C4082)&lt;0.005,"一致","不一致"))</x:f>
        <x:v>不一致</x:v>
      </x:c>
      <x:c r="F4082" s="19" t="str">
        <x:v>approved</x:v>
      </x:c>
      <x:c r="G4082" s="19" t="str">
        <x:v>Repairer Invoiced Processed</x:v>
      </x:c>
      <x:c r="H4082" s="19" t="str">
        <x:v>Pre Delivery</x:v>
      </x:c>
      <x:c r="I4082" s="37" t="n">
        <x:v>46111</x:v>
      </x:c>
      <x:c r="J4082" s="37" t="n">
        <x:v>46111</x:v>
      </x:c>
      <x:c r="K4082" s="19" t="str">
        <x:v>Green RV - Slacks Creek</x:v>
      </x:c>
      <x:c r="L4082" s="19" t="str">
        <x:v>Z005</x:v>
      </x:c>
      <x:c r="M4082" s="19" t="str">
        <x:v>Pre Delivery Warranty Claims</x:v>
      </x:c>
      <x:c r="N4082" s="37" t="n">
        <x:v>46045</x:v>
      </x:c>
      <x:c r="O4082" s="37"/>
      <x:c r="P4082" s="34" t="n">
        <x:v>295.01</x:v>
      </x:c>
      <x:c r="Q4082" s="37" t="n">
        <x:v>46110.911828703705</x:v>
      </x:c>
    </x:row>
    <x:row r="4083">
      <x:c r="A4083" s="22" t="n">
        <x:v>30191</x:v>
      </x:c>
      <x:c r="B4083" s="28" t="n">
        <x:v>438.75</x:v>
      </x:c>
      <x:c r="C4083" s="28"/>
      <x:c r="D4083" s="31" t="str">
        <x:f>IF(OR(ISBLANK(B4083),ISBLANK(C4083),B4083=0),"",(C4083-B4083)/B4083)</x:f>
      </x:c>
      <x:c r="E4083" s="22" t="str">
        <x:f>IF(ISBLANK(C4083),"AmountIncludingTax缺失",IF(ABS(B4083-C4083)&lt;0.005,"一致","不一致"))</x:f>
        <x:v>AmountIncludingTax缺失</x:v>
      </x:c>
      <x:c r="F4083" s="19" t="str">
        <x:v>approved</x:v>
      </x:c>
      <x:c r="G4083" s="19" t="str">
        <x:v>Sales Order Approved</x:v>
      </x:c>
      <x:c r="H4083" s="19" t="str">
        <x:v>Pre Delivery</x:v>
      </x:c>
      <x:c r="I4083" s="37" t="n">
        <x:v>46135</x:v>
      </x:c>
      <x:c r="J4083" s="37" t="n">
        <x:v>46134</x:v>
      </x:c>
      <x:c r="K4083" s="19" t="str">
        <x:v>Auswide Caravans - South Nowra</x:v>
      </x:c>
      <x:c r="L4083" s="19" t="str">
        <x:v>Z005</x:v>
      </x:c>
      <x:c r="M4083" s="19" t="str">
        <x:v>Pre Delivery Warranty Claims</x:v>
      </x:c>
      <x:c r="N4083" s="37" t="n">
        <x:v>46044</x:v>
      </x:c>
      <x:c r="O4083" s="37"/>
      <x:c r="P4083" s="34" t="n">
        <x:v>0</x:v>
      </x:c>
      <x:c r="Q4083" s="37" t="n">
        <x:v>46135.01105324074</x:v>
      </x:c>
    </x:row>
    <x:row r="4084">
      <x:c r="A4084" s="22" t="n">
        <x:v>30188</x:v>
      </x:c>
      <x:c r="B4084" s="28" t="n">
        <x:v>67.5</x:v>
      </x:c>
      <x:c r="C4084" s="28"/>
      <x:c r="D4084" s="31" t="str">
        <x:f>IF(OR(ISBLANK(B4084),ISBLANK(C4084),B4084=0),"",(C4084-B4084)/B4084)</x:f>
      </x:c>
      <x:c r="E4084" s="22" t="str">
        <x:f>IF(ISBLANK(C4084),"AmountIncludingTax缺失",IF(ABS(B4084-C4084)&lt;0.005,"一致","不一致"))</x:f>
        <x:v>AmountIncludingTax缺失</x:v>
      </x:c>
      <x:c r="F4084" s="19" t="str">
        <x:v>approved</x:v>
      </x:c>
      <x:c r="G4084" s="19" t="str">
        <x:v>Repairer Invoiced Processed</x:v>
      </x:c>
      <x:c r="H4084" s="19" t="str">
        <x:v>Pre Delivery</x:v>
      </x:c>
      <x:c r="I4084" s="37" t="n">
        <x:v>46155</x:v>
      </x:c>
      <x:c r="J4084" s="37" t="n">
        <x:v>46155</x:v>
      </x:c>
      <x:c r="K4084" s="19" t="str">
        <x:v>Green RV - Slacks Creek</x:v>
      </x:c>
      <x:c r="L4084" s="19" t="str">
        <x:v>Z005</x:v>
      </x:c>
      <x:c r="M4084" s="19" t="str">
        <x:v>Pre Delivery Warranty Claims</x:v>
      </x:c>
      <x:c r="N4084" s="37" t="n">
        <x:v>46045</x:v>
      </x:c>
      <x:c r="O4084" s="37"/>
      <x:c r="P4084" s="34" t="n">
        <x:v>0</x:v>
      </x:c>
      <x:c r="Q4084" s="37" t="n">
        <x:v>46154.93146990741</x:v>
      </x:c>
    </x:row>
    <x:row r="4085">
      <x:c r="A4085" s="22" t="n">
        <x:v>30187</x:v>
      </x:c>
      <x:c r="B4085" s="28" t="n">
        <x:v>873.64</x:v>
      </x:c>
      <x:c r="C4085" s="28" t="n">
        <x:v>961</x:v>
      </x:c>
      <x:c r="D4085" s="31" t="n">
        <x:f>IF(OR(ISBLANK(B4085),ISBLANK(C4085),B4085=0),"",(C4085-B4085)/B4085)</x:f>
        <x:v>0.0999954214550616</x:v>
      </x:c>
      <x:c r="E4085" s="22" t="str">
        <x:f>IF(ISBLANK(C4085),"AmountIncludingTax缺失",IF(ABS(B4085-C4085)&lt;0.005,"一致","不一致"))</x:f>
        <x:v>不一致</x:v>
      </x:c>
      <x:c r="F4085" s="19" t="str">
        <x:v>approved</x:v>
      </x:c>
      <x:c r="G4085" s="19" t="str">
        <x:v>Repair in Progress</x:v>
      </x:c>
      <x:c r="H4085" s="19" t="str">
        <x:v>In Field</x:v>
      </x:c>
      <x:c r="I4085" s="37" t="n">
        <x:v>46164</x:v>
      </x:c>
      <x:c r="J4085" s="37" t="n">
        <x:v>46164</x:v>
      </x:c>
      <x:c r="K4085" s="19" t="str">
        <x:v>Green RV - Forest Glen</x:v>
      </x:c>
      <x:c r="L4085" s="19" t="str">
        <x:v>Z006</x:v>
      </x:c>
      <x:c r="M4085" s="19" t="str">
        <x:v>In Field Warranty Claims</x:v>
      </x:c>
      <x:c r="N4085" s="37" t="n">
        <x:v>46045</x:v>
      </x:c>
      <x:c r="O4085" s="37"/>
      <x:c r="P4085" s="34" t="n">
        <x:v>961</x:v>
      </x:c>
      <x:c r="Q4085" s="37" t="n">
        <x:v>46164.20583333333</x:v>
      </x:c>
    </x:row>
    <x:row r="4086">
      <x:c r="A4086" s="22" t="n">
        <x:v>30186</x:v>
      </x:c>
      <x:c r="B4086" s="28" t="n">
        <x:v>1215</x:v>
      </x:c>
      <x:c r="C4086" s="28"/>
      <x:c r="D4086" s="31" t="str">
        <x:f>IF(OR(ISBLANK(B4086),ISBLANK(C4086),B4086=0),"",(C4086-B4086)/B4086)</x:f>
      </x:c>
      <x:c r="E4086" s="22" t="str">
        <x:f>IF(ISBLANK(C4086),"AmountIncludingTax缺失",IF(ABS(B4086-C4086)&lt;0.005,"一致","不一致"))</x:f>
        <x:v>AmountIncludingTax缺失</x:v>
      </x:c>
      <x:c r="F4086" s="19" t="str">
        <x:v>approved</x:v>
      </x:c>
      <x:c r="G4086" s="19" t="str">
        <x:v>Repair in Progress</x:v>
      </x:c>
      <x:c r="H4086" s="19" t="str">
        <x:v>In Field</x:v>
      </x:c>
      <x:c r="I4086" s="37" t="n">
        <x:v>46078</x:v>
      </x:c>
      <x:c r="J4086" s="37" t="n">
        <x:v>46078</x:v>
      </x:c>
      <x:c r="K4086" s="19" t="str">
        <x:v>Regent RV - Frankston</x:v>
      </x:c>
      <x:c r="L4086" s="19" t="str">
        <x:v>Z006</x:v>
      </x:c>
      <x:c r="M4086" s="19" t="str">
        <x:v>In Field Warranty Claims</x:v>
      </x:c>
      <x:c r="N4086" s="37" t="n">
        <x:v>46044</x:v>
      </x:c>
      <x:c r="O4086" s="37"/>
      <x:c r="P4086" s="34" t="n">
        <x:v>0</x:v>
      </x:c>
      <x:c r="Q4086" s="37" t="n">
        <x:v>46078.143472222226</x:v>
      </x:c>
    </x:row>
    <x:row r="4087">
      <x:c r="A4087" s="22" t="n">
        <x:v>30185</x:v>
      </x:c>
      <x:c r="B4087" s="28" t="n">
        <x:v>540</x:v>
      </x:c>
      <x:c r="C4087" s="28"/>
      <x:c r="D4087" s="31" t="str">
        <x:f>IF(OR(ISBLANK(B4087),ISBLANK(C4087),B4087=0),"",(C4087-B4087)/B4087)</x:f>
      </x:c>
      <x:c r="E4087" s="22" t="str">
        <x:f>IF(ISBLANK(C4087),"AmountIncludingTax缺失",IF(ABS(B4087-C4087)&lt;0.005,"一致","不一致"))</x:f>
        <x:v>AmountIncludingTax缺失</x:v>
      </x:c>
      <x:c r="F4087" s="19" t="str">
        <x:v>approved</x:v>
      </x:c>
      <x:c r="G4087" s="19" t="str">
        <x:v>Repair in Progress</x:v>
      </x:c>
      <x:c r="H4087" s="19" t="str">
        <x:v>In Field</x:v>
      </x:c>
      <x:c r="I4087" s="37" t="n">
        <x:v>46057</x:v>
      </x:c>
      <x:c r="J4087" s="37" t="n">
        <x:v>46057</x:v>
      </x:c>
      <x:c r="K4087" s="19" t="str">
        <x:v>Springvale Caravan Centre - Keysborough</x:v>
      </x:c>
      <x:c r="L4087" s="19" t="str">
        <x:v>Z006</x:v>
      </x:c>
      <x:c r="M4087" s="19" t="str">
        <x:v>In Field Warranty Claims</x:v>
      </x:c>
      <x:c r="N4087" s="37" t="n">
        <x:v>46044</x:v>
      </x:c>
      <x:c r="O4087" s="37"/>
      <x:c r="P4087" s="34" t="n">
        <x:v>0</x:v>
      </x:c>
      <x:c r="Q4087" s="37" t="n">
        <x:v>46057.49704861111</x:v>
      </x:c>
    </x:row>
    <x:row r="4088">
      <x:c r="A4088" s="22" t="n">
        <x:v>30183</x:v>
      </x:c>
      <x:c r="B4088" s="28" t="n">
        <x:v>232.5</x:v>
      </x:c>
      <x:c r="C4088" s="28"/>
      <x:c r="D4088" s="31" t="str">
        <x:f>IF(OR(ISBLANK(B4088),ISBLANK(C4088),B4088=0),"",(C4088-B4088)/B4088)</x:f>
      </x:c>
      <x:c r="E4088" s="22" t="str">
        <x:f>IF(ISBLANK(C4088),"AmountIncludingTax缺失",IF(ABS(B4088-C4088)&lt;0.005,"一致","不一致"))</x:f>
        <x:v>AmountIncludingTax缺失</x:v>
      </x:c>
      <x:c r="F4088" s="19" t="str">
        <x:v>approved</x:v>
      </x:c>
      <x:c r="G4088" s="19" t="str">
        <x:v>Repair in Progress</x:v>
      </x:c>
      <x:c r="H4088" s="19" t="str">
        <x:v>In Field</x:v>
      </x:c>
      <x:c r="I4088" s="37" t="n">
        <x:v>46058</x:v>
      </x:c>
      <x:c r="J4088" s="37" t="n">
        <x:v>46058</x:v>
      </x:c>
      <x:c r="K4088" s="19" t="str">
        <x:v>Regent RV - Townsville</x:v>
      </x:c>
      <x:c r="L4088" s="19" t="str">
        <x:v>Z006</x:v>
      </x:c>
      <x:c r="M4088" s="19" t="str">
        <x:v>In Field Warranty Claims</x:v>
      </x:c>
      <x:c r="N4088" s="37" t="n">
        <x:v>46044</x:v>
      </x:c>
      <x:c r="O4088" s="37"/>
      <x:c r="P4088" s="34" t="n">
        <x:v>0</x:v>
      </x:c>
      <x:c r="Q4088" s="37" t="n">
        <x:v>46057.936319444445</x:v>
      </x:c>
    </x:row>
    <x:row r="4089">
      <x:c r="A4089" s="22" t="n">
        <x:v>30182</x:v>
      </x:c>
      <x:c r="B4089" s="28" t="n">
        <x:v>249.99</x:v>
      </x:c>
      <x:c r="C4089" s="28"/>
      <x:c r="D4089" s="31" t="str">
        <x:f>IF(OR(ISBLANK(B4089),ISBLANK(C4089),B4089=0),"",(C4089-B4089)/B4089)</x:f>
      </x:c>
      <x:c r="E4089" s="22" t="str">
        <x:f>IF(ISBLANK(C4089),"AmountIncludingTax缺失",IF(ABS(B4089-C4089)&lt;0.005,"一致","不一致"))</x:f>
        <x:v>AmountIncludingTax缺失</x:v>
      </x:c>
      <x:c r="F4089" s="19" t="str">
        <x:v>approved</x:v>
      </x:c>
      <x:c r="G4089" s="19" t="str">
        <x:v>Repairer Invoiced Processed</x:v>
      </x:c>
      <x:c r="H4089" s="19" t="str">
        <x:v>Pre Delivery</x:v>
      </x:c>
      <x:c r="I4089" s="37" t="n">
        <x:v>46079</x:v>
      </x:c>
      <x:c r="J4089" s="37" t="n">
        <x:v>46079</x:v>
      </x:c>
      <x:c r="K4089" s="19" t="str">
        <x:v>Caravans WA</x:v>
      </x:c>
      <x:c r="L4089" s="19" t="str">
        <x:v>Z005</x:v>
      </x:c>
      <x:c r="M4089" s="19" t="str">
        <x:v>Pre Delivery Warranty Claims</x:v>
      </x:c>
      <x:c r="N4089" s="37" t="n">
        <x:v>46044</x:v>
      </x:c>
      <x:c r="O4089" s="37"/>
      <x:c r="P4089" s="34" t="n">
        <x:v>0</x:v>
      </x:c>
      <x:c r="Q4089" s="37" t="n">
        <x:v>46079.21258101852</x:v>
      </x:c>
    </x:row>
    <x:row r="4090">
      <x:c r="A4090" s="22" t="n">
        <x:v>30180</x:v>
      </x:c>
      <x:c r="B4090" s="28" t="n">
        <x:v>110</x:v>
      </x:c>
      <x:c r="C4090" s="28" t="n">
        <x:v>99.59</x:v>
      </x:c>
      <x:c r="D4090" s="31" t="n">
        <x:f>IF(OR(ISBLANK(B4090),ISBLANK(C4090),B4090=0),"",(C4090-B4090)/B4090)</x:f>
        <x:v>-0.0946363636363636</x:v>
      </x:c>
      <x:c r="E4090" s="22" t="str">
        <x:f>IF(ISBLANK(C4090),"AmountIncludingTax缺失",IF(ABS(B4090-C4090)&lt;0.005,"一致","不一致"))</x:f>
        <x:v>不一致</x:v>
      </x:c>
      <x:c r="F4090" s="19" t="str">
        <x:v>approved</x:v>
      </x:c>
      <x:c r="G4090" s="19" t="str">
        <x:v>Repairer Invoiced Processed</x:v>
      </x:c>
      <x:c r="H4090" s="19" t="str">
        <x:v>In Field</x:v>
      </x:c>
      <x:c r="I4090" s="37" t="n">
        <x:v>46097</x:v>
      </x:c>
      <x:c r="J4090" s="37" t="n">
        <x:v>46097</x:v>
      </x:c>
      <x:c r="K4090" s="19" t="str">
        <x:v>Vanari Caravans - Marden Point</x:v>
      </x:c>
      <x:c r="L4090" s="19" t="str">
        <x:v>Z006</x:v>
      </x:c>
      <x:c r="M4090" s="19" t="str">
        <x:v>In Field Warranty Claims</x:v>
      </x:c>
      <x:c r="N4090" s="37" t="n">
        <x:v>46044</x:v>
      </x:c>
      <x:c r="O4090" s="37"/>
      <x:c r="P4090" s="34" t="n">
        <x:v>99.59</x:v>
      </x:c>
      <x:c r="Q4090" s="37" t="n">
        <x:v>46097.20811342593</x:v>
      </x:c>
    </x:row>
    <x:row r="4091">
      <x:c r="A4091" s="22" t="n">
        <x:v>30179</x:v>
      </x:c>
      <x:c r="B4091" s="28" t="n">
        <x:v>673.65</x:v>
      </x:c>
      <x:c r="C4091" s="28" t="n">
        <x:v>609.92</x:v>
      </x:c>
      <x:c r="D4091" s="31" t="n">
        <x:f>IF(OR(ISBLANK(B4091),ISBLANK(C4091),B4091=0),"",(C4091-B4091)/B4091)</x:f>
        <x:v>-0.09460402286053592</x:v>
      </x:c>
      <x:c r="E4091" s="22" t="str">
        <x:f>IF(ISBLANK(C4091),"AmountIncludingTax缺失",IF(ABS(B4091-C4091)&lt;0.005,"一致","不一致"))</x:f>
        <x:v>不一致</x:v>
      </x:c>
      <x:c r="F4091" s="19" t="str">
        <x:v>approved</x:v>
      </x:c>
      <x:c r="G4091" s="19" t="str">
        <x:v>Repairer Invoiced Processed</x:v>
      </x:c>
      <x:c r="H4091" s="19" t="str">
        <x:v>In Field</x:v>
      </x:c>
      <x:c r="I4091" s="37" t="n">
        <x:v>46069</x:v>
      </x:c>
      <x:c r="J4091" s="37" t="n">
        <x:v>46069</x:v>
      </x:c>
      <x:c r="K4091" s="19" t="str">
        <x:v>Vanari Caravans - Marden Point</x:v>
      </x:c>
      <x:c r="L4091" s="19" t="str">
        <x:v>Z006</x:v>
      </x:c>
      <x:c r="M4091" s="19" t="str">
        <x:v>In Field Warranty Claims</x:v>
      </x:c>
      <x:c r="N4091" s="37" t="n">
        <x:v>46044</x:v>
      </x:c>
      <x:c r="O4091" s="37"/>
      <x:c r="P4091" s="34" t="n">
        <x:v>609.92</x:v>
      </x:c>
      <x:c r="Q4091" s="37" t="n">
        <x:v>46069.214108796295</x:v>
      </x:c>
    </x:row>
    <x:row r="4092">
      <x:c r="A4092" s="22" t="n">
        <x:v>30178</x:v>
      </x:c>
      <x:c r="B4092" s="28" t="n">
        <x:v>59.05</x:v>
      </x:c>
      <x:c r="C4092" s="28" t="n">
        <x:v>64.96</x:v>
      </x:c>
      <x:c r="D4092" s="31" t="n">
        <x:f>IF(OR(ISBLANK(B4092),ISBLANK(C4092),B4092=0),"",(C4092-B4092)/B4092)</x:f>
        <x:v>0.10008467400508039</x:v>
      </x:c>
      <x:c r="E4092" s="22" t="str">
        <x:f>IF(ISBLANK(C4092),"AmountIncludingTax缺失",IF(ABS(B4092-C4092)&lt;0.005,"一致","不一致"))</x:f>
        <x:v>不一致</x:v>
      </x:c>
      <x:c r="F4092" s="19" t="str">
        <x:v>approved</x:v>
      </x:c>
      <x:c r="G4092" s="19" t="str">
        <x:v>Repairer Invoiced Processed</x:v>
      </x:c>
      <x:c r="H4092" s="19" t="str">
        <x:v>In Field</x:v>
      </x:c>
      <x:c r="I4092" s="37" t="n">
        <x:v>46104</x:v>
      </x:c>
      <x:c r="J4092" s="37" t="n">
        <x:v>46104</x:v>
      </x:c>
      <x:c r="K4092" s="19" t="str">
        <x:v>Regent RV - Perth</x:v>
      </x:c>
      <x:c r="L4092" s="19" t="str">
        <x:v>Z006</x:v>
      </x:c>
      <x:c r="M4092" s="19" t="str">
        <x:v>In Field Warranty Claims</x:v>
      </x:c>
      <x:c r="N4092" s="37" t="n">
        <x:v>46044</x:v>
      </x:c>
      <x:c r="O4092" s="37"/>
      <x:c r="P4092" s="34" t="n">
        <x:v>64.96</x:v>
      </x:c>
      <x:c r="Q4092" s="37" t="n">
        <x:v>46103.99519675926</x:v>
      </x:c>
    </x:row>
    <x:row r="4093">
      <x:c r="A4093" s="22" t="n">
        <x:v>30177</x:v>
      </x:c>
      <x:c r="B4093" s="28" t="n">
        <x:v>145.45</x:v>
      </x:c>
      <x:c r="C4093" s="28" t="n">
        <x:v>160</x:v>
      </x:c>
      <x:c r="D4093" s="31" t="n">
        <x:f>IF(OR(ISBLANK(B4093),ISBLANK(C4093),B4093=0),"",(C4093-B4093)/B4093)</x:f>
        <x:v>0.1000343760742524</x:v>
      </x:c>
      <x:c r="E4093" s="22" t="str">
        <x:f>IF(ISBLANK(C4093),"AmountIncludingTax缺失",IF(ABS(B4093-C4093)&lt;0.005,"一致","不一致"))</x:f>
        <x:v>不一致</x:v>
      </x:c>
      <x:c r="F4093" s="19" t="str">
        <x:v>approved</x:v>
      </x:c>
      <x:c r="G4093" s="19" t="str">
        <x:v>Repairer Invoiced Processed</x:v>
      </x:c>
      <x:c r="H4093" s="19" t="str">
        <x:v>In Field</x:v>
      </x:c>
      <x:c r="I4093" s="37" t="n">
        <x:v>46107</x:v>
      </x:c>
      <x:c r="J4093" s="37" t="n">
        <x:v>46107</x:v>
      </x:c>
      <x:c r="K4093" s="19" t="str">
        <x:v>QCCC - Gympie</x:v>
      </x:c>
      <x:c r="L4093" s="19" t="str">
        <x:v>Z006</x:v>
      </x:c>
      <x:c r="M4093" s="19" t="str">
        <x:v>In Field Warranty Claims</x:v>
      </x:c>
      <x:c r="N4093" s="37" t="n">
        <x:v>46044</x:v>
      </x:c>
      <x:c r="O4093" s="37"/>
      <x:c r="P4093" s="34" t="n">
        <x:v>160</x:v>
      </x:c>
      <x:c r="Q4093" s="37" t="n">
        <x:v>46106.928449074076</x:v>
      </x:c>
    </x:row>
    <x:row r="4094">
      <x:c r="A4094" s="22" t="n">
        <x:v>30176</x:v>
      </x:c>
      <x:c r="B4094" s="28" t="n">
        <x:v>1000</x:v>
      </x:c>
      <x:c r="C4094" s="28"/>
      <x:c r="D4094" s="31" t="str">
        <x:f>IF(OR(ISBLANK(B4094),ISBLANK(C4094),B4094=0),"",(C4094-B4094)/B4094)</x:f>
      </x:c>
      <x:c r="E4094" s="22" t="str">
        <x:f>IF(ISBLANK(C4094),"AmountIncludingTax缺失",IF(ABS(B4094-C4094)&lt;0.005,"一致","不一致"))</x:f>
        <x:v>AmountIncludingTax缺失</x:v>
      </x:c>
      <x:c r="F4094" s="19" t="str">
        <x:v>approved</x:v>
      </x:c>
      <x:c r="G4094" s="19" t="str">
        <x:v>Repair in Progress</x:v>
      </x:c>
      <x:c r="H4094" s="19" t="str">
        <x:v>In Field</x:v>
      </x:c>
      <x:c r="I4094" s="37" t="n">
        <x:v>46108</x:v>
      </x:c>
      <x:c r="J4094" s="37" t="n">
        <x:v>46108</x:v>
      </x:c>
      <x:c r="K4094" s="19" t="str">
        <x:v>Snowy River Geelong</x:v>
      </x:c>
      <x:c r="L4094" s="19" t="str">
        <x:v>Z006</x:v>
      </x:c>
      <x:c r="M4094" s="19" t="str">
        <x:v>In Field Warranty Claims</x:v>
      </x:c>
      <x:c r="N4094" s="37" t="n">
        <x:v>46044</x:v>
      </x:c>
      <x:c r="O4094" s="37"/>
      <x:c r="P4094" s="34" t="n">
        <x:v>0</x:v>
      </x:c>
      <x:c r="Q4094" s="37" t="n">
        <x:v>46108.10413194444</x:v>
      </x:c>
    </x:row>
    <x:row r="4095">
      <x:c r="A4095" s="22" t="n">
        <x:v>30175</x:v>
      </x:c>
      <x:c r="B4095" s="28" t="n">
        <x:v>168.75</x:v>
      </x:c>
      <x:c r="C4095" s="28"/>
      <x:c r="D4095" s="31" t="str">
        <x:f>IF(OR(ISBLANK(B4095),ISBLANK(C4095),B4095=0),"",(C4095-B4095)/B4095)</x:f>
      </x:c>
      <x:c r="E4095" s="22" t="str">
        <x:f>IF(ISBLANK(C4095),"AmountIncludingTax缺失",IF(ABS(B4095-C4095)&lt;0.005,"一致","不一致"))</x:f>
        <x:v>AmountIncludingTax缺失</x:v>
      </x:c>
      <x:c r="F4095" s="19" t="str">
        <x:v>approved</x:v>
      </x:c>
      <x:c r="G4095" s="19" t="str">
        <x:v>Repairer Invoiced Processed</x:v>
      </x:c>
      <x:c r="H4095" s="19" t="str">
        <x:v>In Field</x:v>
      </x:c>
      <x:c r="I4095" s="37" t="n">
        <x:v>46086</x:v>
      </x:c>
      <x:c r="J4095" s="37" t="n">
        <x:v>46086</x:v>
      </x:c>
      <x:c r="K4095" s="19" t="str">
        <x:v>Dario Caravans -St.Marys</x:v>
      </x:c>
      <x:c r="L4095" s="19" t="str">
        <x:v>Z006</x:v>
      </x:c>
      <x:c r="M4095" s="19" t="str">
        <x:v>In Field Warranty Claims</x:v>
      </x:c>
      <x:c r="N4095" s="37" t="n">
        <x:v>46044</x:v>
      </x:c>
      <x:c r="O4095" s="37"/>
      <x:c r="P4095" s="34" t="n">
        <x:v>0</x:v>
      </x:c>
      <x:c r="Q4095" s="37" t="n">
        <x:v>46086.46361111111</x:v>
      </x:c>
    </x:row>
    <x:row r="4096">
      <x:c r="A4096" s="22" t="n">
        <x:v>30173</x:v>
      </x:c>
      <x:c r="B4096" s="28" t="n">
        <x:v>371.25</x:v>
      </x:c>
      <x:c r="C4096" s="28"/>
      <x:c r="D4096" s="31" t="str">
        <x:f>IF(OR(ISBLANK(B4096),ISBLANK(C4096),B4096=0),"",(C4096-B4096)/B4096)</x:f>
      </x:c>
      <x:c r="E4096" s="22" t="str">
        <x:f>IF(ISBLANK(C4096),"AmountIncludingTax缺失",IF(ABS(B4096-C4096)&lt;0.005,"一致","不一致"))</x:f>
        <x:v>AmountIncludingTax缺失</x:v>
      </x:c>
      <x:c r="F4096" s="19" t="str">
        <x:v>approved</x:v>
      </x:c>
      <x:c r="G4096" s="19" t="str">
        <x:v>Repairer Invoiced Processed</x:v>
      </x:c>
      <x:c r="H4096" s="19" t="str">
        <x:v>In Field</x:v>
      </x:c>
      <x:c r="I4096" s="37" t="n">
        <x:v>46185</x:v>
      </x:c>
      <x:c r="J4096" s="37" t="n">
        <x:v>46128</x:v>
      </x:c>
      <x:c r="K4096" s="19" t="str">
        <x:v>Regent RV Pty Ltd</x:v>
      </x:c>
      <x:c r="L4096" s="19" t="str">
        <x:v>Z006</x:v>
      </x:c>
      <x:c r="M4096" s="19" t="str">
        <x:v>In Field Warranty Claims</x:v>
      </x:c>
      <x:c r="N4096" s="37" t="n">
        <x:v>46044</x:v>
      </x:c>
      <x:c r="O4096" s="37"/>
      <x:c r="P4096" s="34" t="n">
        <x:v>0</x:v>
      </x:c>
      <x:c r="Q4096" s="37" t="n">
        <x:v>46185.2412962963</x:v>
      </x:c>
    </x:row>
    <x:row r="4097">
      <x:c r="A4097" s="22" t="n">
        <x:v>30172</x:v>
      </x:c>
      <x:c r="B4097" s="28" t="n">
        <x:v>313.75</x:v>
      </x:c>
      <x:c r="C4097" s="28"/>
      <x:c r="D4097" s="31" t="str">
        <x:f>IF(OR(ISBLANK(B4097),ISBLANK(C4097),B4097=0),"",(C4097-B4097)/B4097)</x:f>
      </x:c>
      <x:c r="E4097" s="22" t="str">
        <x:f>IF(ISBLANK(C4097),"AmountIncludingTax缺失",IF(ABS(B4097-C4097)&lt;0.005,"一致","不一致"))</x:f>
        <x:v>AmountIncludingTax缺失</x:v>
      </x:c>
      <x:c r="F4097" s="19" t="str">
        <x:v>approved</x:v>
      </x:c>
      <x:c r="G4097" s="19" t="str">
        <x:v>Repairer Invoiced Processed</x:v>
      </x:c>
      <x:c r="H4097" s="19" t="str">
        <x:v>Pre Delivery</x:v>
      </x:c>
      <x:c r="I4097" s="37" t="n">
        <x:v>46108</x:v>
      </x:c>
      <x:c r="J4097" s="37" t="n">
        <x:v>46108</x:v>
      </x:c>
      <x:c r="K4097" s="19" t="str">
        <x:v>Green RV - Slacks Creek</x:v>
      </x:c>
      <x:c r="L4097" s="19" t="str">
        <x:v>Z005</x:v>
      </x:c>
      <x:c r="M4097" s="19" t="str">
        <x:v>Pre Delivery Warranty Claims</x:v>
      </x:c>
      <x:c r="N4097" s="37" t="n">
        <x:v>46044</x:v>
      </x:c>
      <x:c r="O4097" s="37"/>
      <x:c r="P4097" s="34" t="n">
        <x:v>0</x:v>
      </x:c>
      <x:c r="Q4097" s="37" t="n">
        <x:v>46108.14685185185</x:v>
      </x:c>
    </x:row>
    <x:row r="4098">
      <x:c r="A4098" s="22" t="n">
        <x:v>30171</x:v>
      </x:c>
      <x:c r="B4098" s="28" t="n">
        <x:v>381.25</x:v>
      </x:c>
      <x:c r="C4098" s="28"/>
      <x:c r="D4098" s="31" t="str">
        <x:f>IF(OR(ISBLANK(B4098),ISBLANK(C4098),B4098=0),"",(C4098-B4098)/B4098)</x:f>
      </x:c>
      <x:c r="E4098" s="22" t="str">
        <x:f>IF(ISBLANK(C4098),"AmountIncludingTax缺失",IF(ABS(B4098-C4098)&lt;0.005,"一致","不一致"))</x:f>
        <x:v>AmountIncludingTax缺失</x:v>
      </x:c>
      <x:c r="F4098" s="19" t="str">
        <x:v>approved</x:v>
      </x:c>
      <x:c r="G4098" s="19" t="str">
        <x:v>Repairer Invoiced Processed</x:v>
      </x:c>
      <x:c r="H4098" s="19" t="str">
        <x:v>Pre Delivery</x:v>
      </x:c>
      <x:c r="I4098" s="37" t="n">
        <x:v>46108</x:v>
      </x:c>
      <x:c r="J4098" s="37" t="n">
        <x:v>46108</x:v>
      </x:c>
      <x:c r="K4098" s="19" t="str">
        <x:v>Green RV - Slacks Creek</x:v>
      </x:c>
      <x:c r="L4098" s="19" t="str">
        <x:v>Z005</x:v>
      </x:c>
      <x:c r="M4098" s="19" t="str">
        <x:v>Pre Delivery Warranty Claims</x:v>
      </x:c>
      <x:c r="N4098" s="37" t="n">
        <x:v>46044</x:v>
      </x:c>
      <x:c r="O4098" s="37"/>
      <x:c r="P4098" s="34" t="n">
        <x:v>0</x:v>
      </x:c>
      <x:c r="Q4098" s="37" t="n">
        <x:v>46108.155</x:v>
      </x:c>
    </x:row>
    <x:row r="4099">
      <x:c r="A4099" s="22" t="n">
        <x:v>30160</x:v>
      </x:c>
      <x:c r="B4099" s="28" t="n">
        <x:v>110</x:v>
      </x:c>
      <x:c r="C4099" s="28"/>
      <x:c r="D4099" s="31" t="str">
        <x:f>IF(OR(ISBLANK(B4099),ISBLANK(C4099),B4099=0),"",(C4099-B4099)/B4099)</x:f>
      </x:c>
      <x:c r="E4099" s="22" t="str">
        <x:f>IF(ISBLANK(C4099),"AmountIncludingTax缺失",IF(ABS(B4099-C4099)&lt;0.005,"一致","不一致"))</x:f>
        <x:v>AmountIncludingTax缺失</x:v>
      </x:c>
      <x:c r="F4099" s="19" t="str">
        <x:v>approved</x:v>
      </x:c>
      <x:c r="G4099" s="19" t="str">
        <x:v>Sales Order Approved</x:v>
      </x:c>
      <x:c r="H4099" s="19" t="str">
        <x:v>Pre Delivery</x:v>
      </x:c>
      <x:c r="I4099" s="37" t="n">
        <x:v>46076</x:v>
      </x:c>
      <x:c r="J4099" s="37" t="n">
        <x:v>46076</x:v>
      </x:c>
      <x:c r="K4099" s="19" t="str">
        <x:v>Regent RV - Perth</x:v>
      </x:c>
      <x:c r="L4099" s="19" t="str">
        <x:v>Z005</x:v>
      </x:c>
      <x:c r="M4099" s="19" t="str">
        <x:v>Pre Delivery Warranty Claims</x:v>
      </x:c>
      <x:c r="N4099" s="37" t="n">
        <x:v>46044</x:v>
      </x:c>
      <x:c r="O4099" s="37"/>
      <x:c r="P4099" s="34" t="n">
        <x:v>0</x:v>
      </x:c>
      <x:c r="Q4099" s="37" t="n">
        <x:v>46076.217835648145</x:v>
      </x:c>
    </x:row>
    <x:row r="4100">
      <x:c r="A4100" s="22" t="n">
        <x:v>30158</x:v>
      </x:c>
      <x:c r="B4100" s="28" t="n">
        <x:v>168.75</x:v>
      </x:c>
      <x:c r="C4100" s="28"/>
      <x:c r="D4100" s="31" t="str">
        <x:f>IF(OR(ISBLANK(B4100),ISBLANK(C4100),B4100=0),"",(C4100-B4100)/B4100)</x:f>
      </x:c>
      <x:c r="E4100" s="22" t="str">
        <x:f>IF(ISBLANK(C4100),"AmountIncludingTax缺失",IF(ABS(B4100-C4100)&lt;0.005,"一致","不一致"))</x:f>
        <x:v>AmountIncludingTax缺失</x:v>
      </x:c>
      <x:c r="F4100" s="19" t="str">
        <x:v>approved</x:v>
      </x:c>
      <x:c r="G4100" s="19" t="str">
        <x:v>Repairer Invoiced Processed</x:v>
      </x:c>
      <x:c r="H4100" s="19" t="str">
        <x:v>In Field</x:v>
      </x:c>
      <x:c r="I4100" s="37" t="n">
        <x:v>46092</x:v>
      </x:c>
      <x:c r="J4100" s="37" t="n">
        <x:v>46092</x:v>
      </x:c>
      <x:c r="K4100" s="19" t="str">
        <x:v>Lesiure Lion-New Castle</x:v>
      </x:c>
      <x:c r="L4100" s="19" t="str">
        <x:v>Z006</x:v>
      </x:c>
      <x:c r="M4100" s="19" t="str">
        <x:v>In Field Warranty Claims</x:v>
      </x:c>
      <x:c r="N4100" s="37" t="n">
        <x:v>46044</x:v>
      </x:c>
      <x:c r="O4100" s="37"/>
      <x:c r="P4100" s="34" t="n">
        <x:v>0</x:v>
      </x:c>
      <x:c r="Q4100" s="37" t="n">
        <x:v>46092.153645833336</x:v>
      </x:c>
    </x:row>
    <x:row r="4101">
      <x:c r="A4101" s="22" t="n">
        <x:v>30157</x:v>
      </x:c>
      <x:c r="B4101" s="28" t="n">
        <x:v>136.36</x:v>
      </x:c>
      <x:c r="C4101" s="28" t="n">
        <x:v>150</x:v>
      </x:c>
      <x:c r="D4101" s="31" t="n">
        <x:f>IF(OR(ISBLANK(B4101),ISBLANK(C4101),B4101=0),"",(C4101-B4101)/B4101)</x:f>
        <x:v>0.10002933411557631</x:v>
      </x:c>
      <x:c r="E4101" s="22" t="str">
        <x:f>IF(ISBLANK(C4101),"AmountIncludingTax缺失",IF(ABS(B4101-C4101)&lt;0.005,"一致","不一致"))</x:f>
        <x:v>不一致</x:v>
      </x:c>
      <x:c r="F4101" s="19" t="str">
        <x:v>approved</x:v>
      </x:c>
      <x:c r="G4101" s="19" t="str">
        <x:v>Repairer Invoiced Processed</x:v>
      </x:c>
      <x:c r="H4101" s="19" t="str">
        <x:v>In Field</x:v>
      </x:c>
      <x:c r="I4101" s="37" t="n">
        <x:v>46155</x:v>
      </x:c>
      <x:c r="J4101" s="37" t="n">
        <x:v>46155</x:v>
      </x:c>
      <x:c r="K4101" s="19" t="str">
        <x:v>Regent RV - Perth</x:v>
      </x:c>
      <x:c r="L4101" s="19" t="str">
        <x:v>Z006</x:v>
      </x:c>
      <x:c r="M4101" s="19" t="str">
        <x:v>In Field Warranty Claims</x:v>
      </x:c>
      <x:c r="N4101" s="37" t="n">
        <x:v>46044</x:v>
      </x:c>
      <x:c r="O4101" s="37"/>
      <x:c r="P4101" s="34" t="n">
        <x:v>150</x:v>
      </x:c>
      <x:c r="Q4101" s="37" t="n">
        <x:v>46155.52806712963</x:v>
      </x:c>
    </x:row>
    <x:row r="4102">
      <x:c r="A4102" s="22" t="n">
        <x:v>30156</x:v>
      </x:c>
      <x:c r="B4102" s="28" t="n">
        <x:v>860</x:v>
      </x:c>
      <x:c r="C4102" s="28"/>
      <x:c r="D4102" s="31" t="str">
        <x:f>IF(OR(ISBLANK(B4102),ISBLANK(C4102),B4102=0),"",(C4102-B4102)/B4102)</x:f>
      </x:c>
      <x:c r="E4102" s="22" t="str">
        <x:f>IF(ISBLANK(C4102),"AmountIncludingTax缺失",IF(ABS(B4102-C4102)&lt;0.005,"一致","不一致"))</x:f>
        <x:v>AmountIncludingTax缺失</x:v>
      </x:c>
      <x:c r="F4102" s="19" t="str">
        <x:v>approved</x:v>
      </x:c>
      <x:c r="G4102" s="19" t="str">
        <x:v>Repair in Progress</x:v>
      </x:c>
      <x:c r="H4102" s="19" t="str">
        <x:v>In Field</x:v>
      </x:c>
      <x:c r="I4102" s="37" t="n">
        <x:v>46157</x:v>
      </x:c>
      <x:c r="J4102" s="37" t="n">
        <x:v>46157</x:v>
      </x:c>
      <x:c r="K4102" s="19" t="str">
        <x:v>Regent RV - Perth</x:v>
      </x:c>
      <x:c r="L4102" s="19" t="str">
        <x:v>Z006</x:v>
      </x:c>
      <x:c r="M4102" s="19" t="str">
        <x:v>In Field Warranty Claims</x:v>
      </x:c>
      <x:c r="N4102" s="37" t="n">
        <x:v>46044</x:v>
      </x:c>
      <x:c r="O4102" s="37"/>
      <x:c r="P4102" s="34" t="n">
        <x:v>0</x:v>
      </x:c>
      <x:c r="Q4102" s="37" t="n">
        <x:v>46157.2053125</x:v>
      </x:c>
    </x:row>
    <x:row r="4103">
      <x:c r="A4103" s="22" t="n">
        <x:v>30154</x:v>
      </x:c>
      <x:c r="B4103" s="28" t="n">
        <x:v>233.75</x:v>
      </x:c>
      <x:c r="C4103" s="28"/>
      <x:c r="D4103" s="31" t="str">
        <x:f>IF(OR(ISBLANK(B4103),ISBLANK(C4103),B4103=0),"",(C4103-B4103)/B4103)</x:f>
      </x:c>
      <x:c r="E4103" s="22" t="str">
        <x:f>IF(ISBLANK(C4103),"AmountIncludingTax缺失",IF(ABS(B4103-C4103)&lt;0.005,"一致","不一致"))</x:f>
        <x:v>AmountIncludingTax缺失</x:v>
      </x:c>
      <x:c r="F4103" s="19" t="str">
        <x:v>approved</x:v>
      </x:c>
      <x:c r="G4103" s="19" t="str">
        <x:v>Repair in Progress</x:v>
      </x:c>
      <x:c r="H4103" s="19" t="str">
        <x:v>In Field</x:v>
      </x:c>
      <x:c r="I4103" s="37" t="n">
        <x:v>46196</x:v>
      </x:c>
      <x:c r="J4103" s="37" t="n">
        <x:v>46196</x:v>
      </x:c>
      <x:c r="K4103" s="19" t="str">
        <x:v>Regent RV - Perth</x:v>
      </x:c>
      <x:c r="L4103" s="19" t="str">
        <x:v>Z006</x:v>
      </x:c>
      <x:c r="M4103" s="19" t="str">
        <x:v>In Field Warranty Claims</x:v>
      </x:c>
      <x:c r="N4103" s="37" t="n">
        <x:v>46044</x:v>
      </x:c>
      <x:c r="O4103" s="37" t="n">
        <x:v>46192</x:v>
      </x:c>
      <x:c r="P4103" s="34" t="n">
        <x:v>0</x:v>
      </x:c>
      <x:c r="Q4103" s="37" t="n">
        <x:v>46196.20392361111</x:v>
      </x:c>
    </x:row>
    <x:row r="4104">
      <x:c r="A4104" s="22" t="n">
        <x:v>30153</x:v>
      </x:c>
      <x:c r="B4104" s="28" t="n">
        <x:v>270</x:v>
      </x:c>
      <x:c r="C4104" s="28" t="n">
        <x:v>244.46</x:v>
      </x:c>
      <x:c r="D4104" s="31" t="n">
        <x:f>IF(OR(ISBLANK(B4104),ISBLANK(C4104),B4104=0),"",(C4104-B4104)/B4104)</x:f>
        <x:v>-0.09459259259259256</x:v>
      </x:c>
      <x:c r="E4104" s="22" t="str">
        <x:f>IF(ISBLANK(C4104),"AmountIncludingTax缺失",IF(ABS(B4104-C4104)&lt;0.005,"一致","不一致"))</x:f>
        <x:v>不一致</x:v>
      </x:c>
      <x:c r="F4104" s="19" t="str">
        <x:v>approved</x:v>
      </x:c>
      <x:c r="G4104" s="19" t="str">
        <x:v>Repairer Invoiced Processed</x:v>
      </x:c>
      <x:c r="H4104" s="19" t="str">
        <x:v>In Field</x:v>
      </x:c>
      <x:c r="I4104" s="37" t="n">
        <x:v>46104</x:v>
      </x:c>
      <x:c r="J4104" s="37" t="n">
        <x:v>46099</x:v>
      </x:c>
      <x:c r="K4104" s="19" t="str">
        <x:v>Vanari Caravans - Marden Point</x:v>
      </x:c>
      <x:c r="L4104" s="19" t="str">
        <x:v>Z006</x:v>
      </x:c>
      <x:c r="M4104" s="19" t="str">
        <x:v>In Field Warranty Claims</x:v>
      </x:c>
      <x:c r="N4104" s="37" t="n">
        <x:v>46044</x:v>
      </x:c>
      <x:c r="O4104" s="37"/>
      <x:c r="P4104" s="34" t="n">
        <x:v>244.46</x:v>
      </x:c>
      <x:c r="Q4104" s="37" t="n">
        <x:v>46104.13039351852</x:v>
      </x:c>
    </x:row>
    <x:row r="4105">
      <x:c r="A4105" s="22" t="n">
        <x:v>30152</x:v>
      </x:c>
      <x:c r="B4105" s="28" t="n">
        <x:v>67.5</x:v>
      </x:c>
      <x:c r="C4105" s="28"/>
      <x:c r="D4105" s="31" t="str">
        <x:f>IF(OR(ISBLANK(B4105),ISBLANK(C4105),B4105=0),"",(C4105-B4105)/B4105)</x:f>
      </x:c>
      <x:c r="E4105" s="22" t="str">
        <x:f>IF(ISBLANK(C4105),"AmountIncludingTax缺失",IF(ABS(B4105-C4105)&lt;0.005,"一致","不一致"))</x:f>
        <x:v>AmountIncludingTax缺失</x:v>
      </x:c>
      <x:c r="F4105" s="19" t="str">
        <x:v>approved</x:v>
      </x:c>
      <x:c r="G4105" s="19" t="str">
        <x:v>Repairer Invoiced Processed</x:v>
      </x:c>
      <x:c r="H4105" s="19" t="str">
        <x:v>In Field</x:v>
      </x:c>
      <x:c r="I4105" s="37" t="n">
        <x:v>46070</x:v>
      </x:c>
      <x:c r="J4105" s="37" t="n">
        <x:v>46070</x:v>
      </x:c>
      <x:c r="K4105" s="19" t="str">
        <x:v>Regent RV Pty Ltd</x:v>
      </x:c>
      <x:c r="L4105" s="19" t="str">
        <x:v>Z006</x:v>
      </x:c>
      <x:c r="M4105" s="19" t="str">
        <x:v>In Field Warranty Claims</x:v>
      </x:c>
      <x:c r="N4105" s="37" t="n">
        <x:v>46044</x:v>
      </x:c>
      <x:c r="O4105" s="37"/>
      <x:c r="P4105" s="34" t="n">
        <x:v>0</x:v>
      </x:c>
      <x:c r="Q4105" s="37" t="n">
        <x:v>46069.91997685185</x:v>
      </x:c>
    </x:row>
    <x:row r="4106">
      <x:c r="A4106" s="22" t="n">
        <x:v>30151</x:v>
      </x:c>
      <x:c r="B4106" s="28" t="n">
        <x:v>1385.89</x:v>
      </x:c>
      <x:c r="C4106" s="28"/>
      <x:c r="D4106" s="31" t="str">
        <x:f>IF(OR(ISBLANK(B4106),ISBLANK(C4106),B4106=0),"",(C4106-B4106)/B4106)</x:f>
      </x:c>
      <x:c r="E4106" s="22" t="str">
        <x:f>IF(ISBLANK(C4106),"AmountIncludingTax缺失",IF(ABS(B4106-C4106)&lt;0.005,"一致","不一致"))</x:f>
        <x:v>AmountIncludingTax缺失</x:v>
      </x:c>
      <x:c r="F4106" s="19" t="str">
        <x:v>approved</x:v>
      </x:c>
      <x:c r="G4106" s="19" t="str">
        <x:v>Repair in Progress</x:v>
      </x:c>
      <x:c r="H4106" s="19" t="str">
        <x:v>In Field</x:v>
      </x:c>
      <x:c r="I4106" s="37" t="n">
        <x:v>46126</x:v>
      </x:c>
      <x:c r="J4106" s="37" t="n">
        <x:v>46126</x:v>
      </x:c>
      <x:c r="K4106" s="19" t="str">
        <x:v>Newcastle RV Super Centre - Beresfield</x:v>
      </x:c>
      <x:c r="L4106" s="19" t="str">
        <x:v>Z006</x:v>
      </x:c>
      <x:c r="M4106" s="19" t="str">
        <x:v>In Field Warranty Claims</x:v>
      </x:c>
      <x:c r="N4106" s="37" t="n">
        <x:v>46044</x:v>
      </x:c>
      <x:c r="O4106" s="37" t="n">
        <x:v>46098</x:v>
      </x:c>
      <x:c r="P4106" s="34" t="n">
        <x:v>0</x:v>
      </x:c>
      <x:c r="Q4106" s="37" t="n">
        <x:v>46125.81348379629</x:v>
      </x:c>
    </x:row>
    <x:row r="4107">
      <x:c r="A4107" s="22" t="n">
        <x:v>30150</x:v>
      </x:c>
      <x:c r="B4107" s="28" t="n">
        <x:v>347.5</x:v>
      </x:c>
      <x:c r="C4107" s="28"/>
      <x:c r="D4107" s="31" t="str">
        <x:f>IF(OR(ISBLANK(B4107),ISBLANK(C4107),B4107=0),"",(C4107-B4107)/B4107)</x:f>
      </x:c>
      <x:c r="E4107" s="22" t="str">
        <x:f>IF(ISBLANK(C4107),"AmountIncludingTax缺失",IF(ABS(B4107-C4107)&lt;0.005,"一致","不一致"))</x:f>
        <x:v>AmountIncludingTax缺失</x:v>
      </x:c>
      <x:c r="F4107" s="19" t="str">
        <x:v>approved</x:v>
      </x:c>
      <x:c r="G4107" s="19" t="str">
        <x:v>Repairer Invoiced Processed</x:v>
      </x:c>
      <x:c r="H4107" s="19" t="str">
        <x:v>Pre Delivery</x:v>
      </x:c>
      <x:c r="I4107" s="37" t="n">
        <x:v>46108</x:v>
      </x:c>
      <x:c r="J4107" s="37" t="n">
        <x:v>46108</x:v>
      </x:c>
      <x:c r="K4107" s="19" t="str">
        <x:v>Green RV - Slacks Creek</x:v>
      </x:c>
      <x:c r="L4107" s="19" t="str">
        <x:v>Z005</x:v>
      </x:c>
      <x:c r="M4107" s="19" t="str">
        <x:v>Pre Delivery Warranty Claims</x:v>
      </x:c>
      <x:c r="N4107" s="37" t="n">
        <x:v>46044</x:v>
      </x:c>
      <x:c r="O4107" s="37"/>
      <x:c r="P4107" s="34" t="n">
        <x:v>0</x:v>
      </x:c>
      <x:c r="Q4107" s="37" t="n">
        <x:v>46108.158055555556</x:v>
      </x:c>
    </x:row>
    <x:row r="4108">
      <x:c r="A4108" s="22" t="n">
        <x:v>30149</x:v>
      </x:c>
      <x:c r="B4108" s="28" t="n">
        <x:v>162.12</x:v>
      </x:c>
      <x:c r="C4108" s="28" t="n">
        <x:v>178.33</x:v>
      </x:c>
      <x:c r="D4108" s="31" t="n">
        <x:f>IF(OR(ISBLANK(B4108),ISBLANK(C4108),B4108=0),"",(C4108-B4108)/B4108)</x:f>
        <x:v>0.0999876634591661</x:v>
      </x:c>
      <x:c r="E4108" s="22" t="str">
        <x:f>IF(ISBLANK(C4108),"AmountIncludingTax缺失",IF(ABS(B4108-C4108)&lt;0.005,"一致","不一致"))</x:f>
        <x:v>不一致</x:v>
      </x:c>
      <x:c r="F4108" s="19" t="str">
        <x:v>approved</x:v>
      </x:c>
      <x:c r="G4108" s="19" t="str">
        <x:v>Repairer Invoiced Processed</x:v>
      </x:c>
      <x:c r="H4108" s="19" t="str">
        <x:v>Pre Delivery</x:v>
      </x:c>
      <x:c r="I4108" s="37" t="n">
        <x:v>46112</x:v>
      </x:c>
      <x:c r="J4108" s="37" t="n">
        <x:v>46112</x:v>
      </x:c>
      <x:c r="K4108" s="19" t="str">
        <x:v>Lesiure Lion-New Castle</x:v>
      </x:c>
      <x:c r="L4108" s="19" t="str">
        <x:v>Z005</x:v>
      </x:c>
      <x:c r="M4108" s="19" t="str">
        <x:v>Pre Delivery Warranty Claims</x:v>
      </x:c>
      <x:c r="N4108" s="37" t="n">
        <x:v>46044</x:v>
      </x:c>
      <x:c r="O4108" s="37"/>
      <x:c r="P4108" s="34" t="n">
        <x:v>178.33</x:v>
      </x:c>
      <x:c r="Q4108" s="37" t="n">
        <x:v>46112.01598379629</x:v>
      </x:c>
    </x:row>
    <x:row r="4109">
      <x:c r="A4109" s="22" t="n">
        <x:v>30148</x:v>
      </x:c>
      <x:c r="B4109" s="28" t="n">
        <x:v>548</x:v>
      </x:c>
      <x:c r="C4109" s="28"/>
      <x:c r="D4109" s="31" t="str">
        <x:f>IF(OR(ISBLANK(B4109),ISBLANK(C4109),B4109=0),"",(C4109-B4109)/B4109)</x:f>
      </x:c>
      <x:c r="E4109" s="22" t="str">
        <x:f>IF(ISBLANK(C4109),"AmountIncludingTax缺失",IF(ABS(B4109-C4109)&lt;0.005,"一致","不一致"))</x:f>
        <x:v>AmountIncludingTax缺失</x:v>
      </x:c>
      <x:c r="F4109" s="19" t="str">
        <x:v>approved</x:v>
      </x:c>
      <x:c r="G4109" s="19" t="str">
        <x:v>Repairer Invoiced Processed</x:v>
      </x:c>
      <x:c r="H4109" s="19" t="str">
        <x:v>In Field</x:v>
      </x:c>
      <x:c r="I4109" s="37" t="n">
        <x:v>46071</x:v>
      </x:c>
      <x:c r="J4109" s="37" t="n">
        <x:v>46071</x:v>
      </x:c>
      <x:c r="K4109" s="19" t="str">
        <x:v>Regent RV Pty Ltd</x:v>
      </x:c>
      <x:c r="L4109" s="19" t="str">
        <x:v>Z006</x:v>
      </x:c>
      <x:c r="M4109" s="19" t="str">
        <x:v>In Field Warranty Claims</x:v>
      </x:c>
      <x:c r="N4109" s="37" t="n">
        <x:v>46044</x:v>
      </x:c>
      <x:c r="O4109" s="37"/>
      <x:c r="P4109" s="34" t="n">
        <x:v>0</x:v>
      </x:c>
      <x:c r="Q4109" s="37" t="n">
        <x:v>46071.2384375</x:v>
      </x:c>
    </x:row>
    <x:row r="4110">
      <x:c r="A4110" s="22" t="n">
        <x:v>30145</x:v>
      </x:c>
      <x:c r="B4110" s="28" t="n">
        <x:v>113.75</x:v>
      </x:c>
      <x:c r="C4110" s="28" t="n">
        <x:v>125.13</x:v>
      </x:c>
      <x:c r="D4110" s="31" t="n">
        <x:f>IF(OR(ISBLANK(B4110),ISBLANK(C4110),B4110=0),"",(C4110-B4110)/B4110)</x:f>
        <x:v>0.10004395604395601</x:v>
      </x:c>
      <x:c r="E4110" s="22" t="str">
        <x:f>IF(ISBLANK(C4110),"AmountIncludingTax缺失",IF(ABS(B4110-C4110)&lt;0.005,"一致","不一致"))</x:f>
        <x:v>不一致</x:v>
      </x:c>
      <x:c r="F4110" s="19" t="str">
        <x:v>approved</x:v>
      </x:c>
      <x:c r="G4110" s="19" t="str">
        <x:v>Repairer Invoiced Processed</x:v>
      </x:c>
      <x:c r="H4110" s="19" t="str">
        <x:v>Pre Delivery</x:v>
      </x:c>
      <x:c r="I4110" s="37" t="n">
        <x:v>46108</x:v>
      </x:c>
      <x:c r="J4110" s="37" t="n">
        <x:v>46108</x:v>
      </x:c>
      <x:c r="K4110" s="19" t="str">
        <x:v>Green RV - Slacks Creek</x:v>
      </x:c>
      <x:c r="L4110" s="19" t="str">
        <x:v>Z005</x:v>
      </x:c>
      <x:c r="M4110" s="19" t="str">
        <x:v>Pre Delivery Warranty Claims</x:v>
      </x:c>
      <x:c r="N4110" s="37" t="n">
        <x:v>46044</x:v>
      </x:c>
      <x:c r="O4110" s="37"/>
      <x:c r="P4110" s="34" t="n">
        <x:v>125.13</x:v>
      </x:c>
      <x:c r="Q4110" s="37" t="n">
        <x:v>46107.89877314815</x:v>
      </x:c>
    </x:row>
    <x:row r="4111">
      <x:c r="A4111" s="22" t="n">
        <x:v>30144</x:v>
      </x:c>
      <x:c r="B4111" s="28" t="n">
        <x:v>270</x:v>
      </x:c>
      <x:c r="C4111" s="28"/>
      <x:c r="D4111" s="31" t="str">
        <x:f>IF(OR(ISBLANK(B4111),ISBLANK(C4111),B4111=0),"",(C4111-B4111)/B4111)</x:f>
      </x:c>
      <x:c r="E4111" s="22" t="str">
        <x:f>IF(ISBLANK(C4111),"AmountIncludingTax缺失",IF(ABS(B4111-C4111)&lt;0.005,"一致","不一致"))</x:f>
        <x:v>AmountIncludingTax缺失</x:v>
      </x:c>
      <x:c r="F4111" s="19" t="str">
        <x:v>approved</x:v>
      </x:c>
      <x:c r="G4111" s="19" t="str">
        <x:v>Repairer Invoiced Processed</x:v>
      </x:c>
      <x:c r="H4111" s="19" t="str">
        <x:v>In Field</x:v>
      </x:c>
      <x:c r="I4111" s="37" t="n">
        <x:v>46080</x:v>
      </x:c>
      <x:c r="J4111" s="37" t="n">
        <x:v>46071</x:v>
      </x:c>
      <x:c r="K4111" s="19" t="str">
        <x:v>Green RV - Forest Glen</x:v>
      </x:c>
      <x:c r="L4111" s="19" t="str">
        <x:v>Z006</x:v>
      </x:c>
      <x:c r="M4111" s="19" t="str">
        <x:v>In Field Warranty Claims</x:v>
      </x:c>
      <x:c r="N4111" s="37" t="n">
        <x:v>46043</x:v>
      </x:c>
      <x:c r="O4111" s="37"/>
      <x:c r="P4111" s="34" t="n">
        <x:v>0</x:v>
      </x:c>
      <x:c r="Q4111" s="37" t="n">
        <x:v>46080.18641203704</x:v>
      </x:c>
    </x:row>
    <x:row r="4112">
      <x:c r="A4112" s="22" t="n">
        <x:v>30140</x:v>
      </x:c>
      <x:c r="B4112" s="28" t="n">
        <x:v>596.49</x:v>
      </x:c>
      <x:c r="C4112" s="28" t="n">
        <x:v>656.14</x:v>
      </x:c>
      <x:c r="D4112" s="31" t="n">
        <x:f>IF(OR(ISBLANK(B4112),ISBLANK(C4112),B4112=0),"",(C4112-B4112)/B4112)</x:f>
        <x:v>0.10000167647403976</x:v>
      </x:c>
      <x:c r="E4112" s="22" t="str">
        <x:f>IF(ISBLANK(C4112),"AmountIncludingTax缺失",IF(ABS(B4112-C4112)&lt;0.005,"一致","不一致"))</x:f>
        <x:v>不一致</x:v>
      </x:c>
      <x:c r="F4112" s="19" t="str">
        <x:v>approved</x:v>
      </x:c>
      <x:c r="G4112" s="19" t="str">
        <x:v>Repairer Invoiced Processed</x:v>
      </x:c>
      <x:c r="H4112" s="19" t="str">
        <x:v>Pre Delivery</x:v>
      </x:c>
      <x:c r="I4112" s="37" t="n">
        <x:v>46112</x:v>
      </x:c>
      <x:c r="J4112" s="37" t="n">
        <x:v>46112</x:v>
      </x:c>
      <x:c r="K4112" s="19" t="str">
        <x:v>Lesiure Lion-New Castle</x:v>
      </x:c>
      <x:c r="L4112" s="19" t="str">
        <x:v>Z005</x:v>
      </x:c>
      <x:c r="M4112" s="19" t="str">
        <x:v>Pre Delivery Warranty Claims</x:v>
      </x:c>
      <x:c r="N4112" s="37" t="n">
        <x:v>46044</x:v>
      </x:c>
      <x:c r="O4112" s="37"/>
      <x:c r="P4112" s="34" t="n">
        <x:v>656.14</x:v>
      </x:c>
      <x:c r="Q4112" s="37" t="n">
        <x:v>46112.0059375</x:v>
      </x:c>
    </x:row>
    <x:row r="4113">
      <x:c r="A4113" s="22" t="n">
        <x:v>30137</x:v>
      </x:c>
      <x:c r="B4113" s="28" t="n">
        <x:v>3409.09</x:v>
      </x:c>
      <x:c r="C4113" s="28"/>
      <x:c r="D4113" s="31" t="str">
        <x:f>IF(OR(ISBLANK(B4113),ISBLANK(C4113),B4113=0),"",(C4113-B4113)/B4113)</x:f>
      </x:c>
      <x:c r="E4113" s="22" t="str">
        <x:f>IF(ISBLANK(C4113),"AmountIncludingTax缺失",IF(ABS(B4113-C4113)&lt;0.005,"一致","不一致"))</x:f>
        <x:v>AmountIncludingTax缺失</x:v>
      </x:c>
      <x:c r="F4113" s="19" t="str">
        <x:v>approved</x:v>
      </x:c>
      <x:c r="G4113" s="19" t="str">
        <x:v>Repairer Invoiced Processed</x:v>
      </x:c>
      <x:c r="H4113" s="19" t="str">
        <x:v>Pre Delivery</x:v>
      </x:c>
      <x:c r="I4113" s="37" t="n">
        <x:v>46132</x:v>
      </x:c>
      <x:c r="J4113" s="37" t="n">
        <x:v>46132</x:v>
      </x:c>
      <x:c r="K4113" s="19" t="str">
        <x:v>NEWCASTLE CARAVANS &amp; RVS</x:v>
      </x:c>
      <x:c r="L4113" s="19" t="str">
        <x:v>Z005</x:v>
      </x:c>
      <x:c r="M4113" s="19" t="str">
        <x:v>Pre Delivery Warranty Claims</x:v>
      </x:c>
      <x:c r="N4113" s="37" t="n">
        <x:v>46043</x:v>
      </x:c>
      <x:c r="O4113" s="37"/>
      <x:c r="P4113" s="34" t="n">
        <x:v>3750</x:v>
      </x:c>
      <x:c r="Q4113" s="37" t="n">
        <x:v>46132.01733796296</x:v>
      </x:c>
    </x:row>
    <x:row r="4114">
      <x:c r="A4114" s="22" t="n">
        <x:v>30135</x:v>
      </x:c>
      <x:c r="B4114" s="28" t="n">
        <x:v>662.5</x:v>
      </x:c>
      <x:c r="C4114" s="28" t="n">
        <x:v>599.83</x:v>
      </x:c>
      <x:c r="D4114" s="31" t="n">
        <x:f>IF(OR(ISBLANK(B4114),ISBLANK(C4114),B4114=0),"",(C4114-B4114)/B4114)</x:f>
        <x:v>-0.09459622641509428</x:v>
      </x:c>
      <x:c r="E4114" s="22" t="str">
        <x:f>IF(ISBLANK(C4114),"AmountIncludingTax缺失",IF(ABS(B4114-C4114)&lt;0.005,"一致","不一致"))</x:f>
        <x:v>不一致</x:v>
      </x:c>
      <x:c r="F4114" s="19" t="str">
        <x:v>approved</x:v>
      </x:c>
      <x:c r="G4114" s="19" t="str">
        <x:v>Repairer Invoiced Processed</x:v>
      </x:c>
      <x:c r="H4114" s="19" t="str">
        <x:v>In Field</x:v>
      </x:c>
      <x:c r="I4114" s="37" t="n">
        <x:v>46160</x:v>
      </x:c>
      <x:c r="J4114" s="37" t="n">
        <x:v>46160</x:v>
      </x:c>
      <x:c r="K4114" s="19" t="str">
        <x:v>Vanari Caravans - Marden Point</x:v>
      </x:c>
      <x:c r="L4114" s="19" t="str">
        <x:v>Z006</x:v>
      </x:c>
      <x:c r="M4114" s="19" t="str">
        <x:v>In Field Warranty Claims</x:v>
      </x:c>
      <x:c r="N4114" s="37" t="n">
        <x:v>46043</x:v>
      </x:c>
      <x:c r="O4114" s="37"/>
      <x:c r="P4114" s="34" t="n">
        <x:v>599.83</x:v>
      </x:c>
      <x:c r="Q4114" s="37" t="n">
        <x:v>46159.92283564815</x:v>
      </x:c>
    </x:row>
    <x:row r="4115">
      <x:c r="A4115" s="22" t="n">
        <x:v>30132</x:v>
      </x:c>
      <x:c r="B4115" s="28" t="n">
        <x:v>156</x:v>
      </x:c>
      <x:c r="C4115" s="28"/>
      <x:c r="D4115" s="31" t="str">
        <x:f>IF(OR(ISBLANK(B4115),ISBLANK(C4115),B4115=0),"",(C4115-B4115)/B4115)</x:f>
      </x:c>
      <x:c r="E4115" s="22" t="str">
        <x:f>IF(ISBLANK(C4115),"AmountIncludingTax缺失",IF(ABS(B4115-C4115)&lt;0.005,"一致","不一致"))</x:f>
        <x:v>AmountIncludingTax缺失</x:v>
      </x:c>
      <x:c r="F4115" s="19" t="str">
        <x:v>approved</x:v>
      </x:c>
      <x:c r="G4115" s="19" t="str">
        <x:v>Repairer Invoiced Processed</x:v>
      </x:c>
      <x:c r="H4115" s="19" t="str">
        <x:v>In Field</x:v>
      </x:c>
      <x:c r="I4115" s="37" t="n">
        <x:v>46104</x:v>
      </x:c>
      <x:c r="J4115" s="37" t="n">
        <x:v>46104</x:v>
      </x:c>
      <x:c r="K4115" s="19" t="str">
        <x:v>Bendigo Caravan Group - Bendigo</x:v>
      </x:c>
      <x:c r="L4115" s="19" t="str">
        <x:v>Z006</x:v>
      </x:c>
      <x:c r="M4115" s="19" t="str">
        <x:v>In Field Warranty Claims</x:v>
      </x:c>
      <x:c r="N4115" s="37" t="n">
        <x:v>46043</x:v>
      </x:c>
      <x:c r="O4115" s="37"/>
      <x:c r="P4115" s="34" t="n">
        <x:v>0</x:v>
      </x:c>
      <x:c r="Q4115" s="37" t="n">
        <x:v>46103.904699074075</x:v>
      </x:c>
    </x:row>
    <x:row r="4116">
      <x:c r="A4116" s="22" t="n">
        <x:v>30131</x:v>
      </x:c>
      <x:c r="B4116" s="28" t="n">
        <x:v>622.5</x:v>
      </x:c>
      <x:c r="C4116" s="28"/>
      <x:c r="D4116" s="31" t="str">
        <x:f>IF(OR(ISBLANK(B4116),ISBLANK(C4116),B4116=0),"",(C4116-B4116)/B4116)</x:f>
      </x:c>
      <x:c r="E4116" s="22" t="str">
        <x:f>IF(ISBLANK(C4116),"AmountIncludingTax缺失",IF(ABS(B4116-C4116)&lt;0.005,"一致","不一致"))</x:f>
        <x:v>AmountIncludingTax缺失</x:v>
      </x:c>
      <x:c r="F4116" s="19" t="str">
        <x:v>approved</x:v>
      </x:c>
      <x:c r="G4116" s="19" t="str">
        <x:v>Repairer Invoiced Processed</x:v>
      </x:c>
      <x:c r="H4116" s="19" t="str">
        <x:v>Pre Delivery</x:v>
      </x:c>
      <x:c r="I4116" s="37" t="n">
        <x:v>46079</x:v>
      </x:c>
      <x:c r="J4116" s="37" t="n">
        <x:v>46079</x:v>
      </x:c>
      <x:c r="K4116" s="19" t="str">
        <x:v>Lesiure Lion-New Castle</x:v>
      </x:c>
      <x:c r="L4116" s="19" t="str">
        <x:v>Z005</x:v>
      </x:c>
      <x:c r="M4116" s="19" t="str">
        <x:v>Pre Delivery Warranty Claims</x:v>
      </x:c>
      <x:c r="N4116" s="37" t="n">
        <x:v>46043</x:v>
      </x:c>
      <x:c r="O4116" s="37"/>
      <x:c r="P4116" s="34" t="n">
        <x:v>0</x:v>
      </x:c>
      <x:c r="Q4116" s="37" t="n">
        <x:v>46079.274733796294</x:v>
      </x:c>
    </x:row>
    <x:row r="4117">
      <x:c r="A4117" s="22" t="n">
        <x:v>30129</x:v>
      </x:c>
      <x:c r="B4117" s="28" t="n">
        <x:v>725</x:v>
      </x:c>
      <x:c r="C4117" s="28"/>
      <x:c r="D4117" s="31" t="str">
        <x:f>IF(OR(ISBLANK(B4117),ISBLANK(C4117),B4117=0),"",(C4117-B4117)/B4117)</x:f>
      </x:c>
      <x:c r="E4117" s="22" t="str">
        <x:f>IF(ISBLANK(C4117),"AmountIncludingTax缺失",IF(ABS(B4117-C4117)&lt;0.005,"一致","不一致"))</x:f>
        <x:v>AmountIncludingTax缺失</x:v>
      </x:c>
      <x:c r="F4117" s="19" t="str">
        <x:v>approved</x:v>
      </x:c>
      <x:c r="G4117" s="19" t="str">
        <x:v>Repair in Progress</x:v>
      </x:c>
      <x:c r="H4117" s="19" t="str">
        <x:v>In Field</x:v>
      </x:c>
      <x:c r="I4117" s="37" t="n">
        <x:v>46134</x:v>
      </x:c>
      <x:c r="J4117" s="37" t="n">
        <x:v>46134</x:v>
      </x:c>
      <x:c r="K4117" s="19" t="str">
        <x:v>Regent RV - Perth</x:v>
      </x:c>
      <x:c r="L4117" s="19" t="str">
        <x:v>Z006</x:v>
      </x:c>
      <x:c r="M4117" s="19" t="str">
        <x:v>In Field Warranty Claims</x:v>
      </x:c>
      <x:c r="N4117" s="37" t="n">
        <x:v>46043</x:v>
      </x:c>
      <x:c r="O4117" s="37"/>
      <x:c r="P4117" s="34" t="n">
        <x:v>0</x:v>
      </x:c>
      <x:c r="Q4117" s="37" t="n">
        <x:v>46134.24489583333</x:v>
      </x:c>
    </x:row>
    <x:row r="4118">
      <x:c r="A4118" s="22" t="n">
        <x:v>30128</x:v>
      </x:c>
      <x:c r="B4118" s="28" t="n">
        <x:v>617.5</x:v>
      </x:c>
      <x:c r="C4118" s="28"/>
      <x:c r="D4118" s="31" t="str">
        <x:f>IF(OR(ISBLANK(B4118),ISBLANK(C4118),B4118=0),"",(C4118-B4118)/B4118)</x:f>
      </x:c>
      <x:c r="E4118" s="22" t="str">
        <x:f>IF(ISBLANK(C4118),"AmountIncludingTax缺失",IF(ABS(B4118-C4118)&lt;0.005,"一致","不一致"))</x:f>
        <x:v>AmountIncludingTax缺失</x:v>
      </x:c>
      <x:c r="F4118" s="19" t="str">
        <x:v>approved</x:v>
      </x:c>
      <x:c r="G4118" s="19" t="str">
        <x:v>Repair in Progress</x:v>
      </x:c>
      <x:c r="H4118" s="19" t="str">
        <x:v>In Field</x:v>
      </x:c>
      <x:c r="I4118" s="37" t="n">
        <x:v>46155</x:v>
      </x:c>
      <x:c r="J4118" s="37" t="n">
        <x:v>46155</x:v>
      </x:c>
      <x:c r="K4118" s="19" t="str">
        <x:v>Green RV - Forest Glen</x:v>
      </x:c>
      <x:c r="L4118" s="19" t="str">
        <x:v>Z006</x:v>
      </x:c>
      <x:c r="M4118" s="19" t="str">
        <x:v>In Field Warranty Claims</x:v>
      </x:c>
      <x:c r="N4118" s="37" t="n">
        <x:v>46043</x:v>
      </x:c>
      <x:c r="O4118" s="37"/>
      <x:c r="P4118" s="34" t="n">
        <x:v>0</x:v>
      </x:c>
      <x:c r="Q4118" s="37" t="n">
        <x:v>46155.52663194444</x:v>
      </x:c>
    </x:row>
    <x:row r="4119">
      <x:c r="A4119" s="22" t="n">
        <x:v>30127</x:v>
      </x:c>
      <x:c r="B4119" s="28" t="n">
        <x:v>782.5</x:v>
      </x:c>
      <x:c r="C4119" s="28"/>
      <x:c r="D4119" s="31" t="str">
        <x:f>IF(OR(ISBLANK(B4119),ISBLANK(C4119),B4119=0),"",(C4119-B4119)/B4119)</x:f>
      </x:c>
      <x:c r="E4119" s="22" t="str">
        <x:f>IF(ISBLANK(C4119),"AmountIncludingTax缺失",IF(ABS(B4119-C4119)&lt;0.005,"一致","不一致"))</x:f>
        <x:v>AmountIncludingTax缺失</x:v>
      </x:c>
      <x:c r="F4119" s="19" t="str">
        <x:v>approved</x:v>
      </x:c>
      <x:c r="G4119" s="19" t="str">
        <x:v>Repairer Invoiced Processed</x:v>
      </x:c>
      <x:c r="H4119" s="19" t="str">
        <x:v>In Field</x:v>
      </x:c>
      <x:c r="I4119" s="37" t="n">
        <x:v>46071</x:v>
      </x:c>
      <x:c r="J4119" s="37" t="n">
        <x:v>46071</x:v>
      </x:c>
      <x:c r="K4119" s="19" t="str">
        <x:v>Newcastle RV Super Centre - Beresfield</x:v>
      </x:c>
      <x:c r="L4119" s="19" t="str">
        <x:v>Z006</x:v>
      </x:c>
      <x:c r="M4119" s="19" t="str">
        <x:v>In Field Warranty Claims</x:v>
      </x:c>
      <x:c r="N4119" s="37" t="n">
        <x:v>46043</x:v>
      </x:c>
      <x:c r="O4119" s="37"/>
      <x:c r="P4119" s="34" t="n">
        <x:v>0</x:v>
      </x:c>
      <x:c r="Q4119" s="37" t="n">
        <x:v>46071.011516203704</x:v>
      </x:c>
    </x:row>
    <x:row r="4120">
      <x:c r="A4120" s="22" t="n">
        <x:v>30125</x:v>
      </x:c>
      <x:c r="B4120" s="28" t="n">
        <x:v>1072.5</x:v>
      </x:c>
      <x:c r="C4120" s="28"/>
      <x:c r="D4120" s="31" t="str">
        <x:f>IF(OR(ISBLANK(B4120),ISBLANK(C4120),B4120=0),"",(C4120-B4120)/B4120)</x:f>
      </x:c>
      <x:c r="E4120" s="22" t="str">
        <x:f>IF(ISBLANK(C4120),"AmountIncludingTax缺失",IF(ABS(B4120-C4120)&lt;0.005,"一致","不一致"))</x:f>
        <x:v>AmountIncludingTax缺失</x:v>
      </x:c>
      <x:c r="F4120" s="19" t="str">
        <x:v>approved</x:v>
      </x:c>
      <x:c r="G4120" s="19" t="str">
        <x:v>Sales Order Approved</x:v>
      </x:c>
      <x:c r="H4120" s="19" t="str">
        <x:v>Pre Delivery</x:v>
      </x:c>
      <x:c r="I4120" s="37" t="n">
        <x:v>46133</x:v>
      </x:c>
      <x:c r="J4120" s="37" t="n">
        <x:v>46133</x:v>
      </x:c>
      <x:c r="K4120" s="19" t="str">
        <x:v>Regent RV Pty Ltd</x:v>
      </x:c>
      <x:c r="L4120" s="19" t="str">
        <x:v>Z005</x:v>
      </x:c>
      <x:c r="M4120" s="19" t="str">
        <x:v>Pre Delivery Warranty Claims</x:v>
      </x:c>
      <x:c r="N4120" s="37" t="n">
        <x:v>46043</x:v>
      </x:c>
      <x:c r="O4120" s="37"/>
      <x:c r="P4120" s="34" t="n">
        <x:v>0</x:v>
      </x:c>
      <x:c r="Q4120" s="37" t="n">
        <x:v>46133.2625</x:v>
      </x:c>
    </x:row>
    <x:row r="4121">
      <x:c r="A4121" s="22" t="n">
        <x:v>30124</x:v>
      </x:c>
      <x:c r="B4121" s="28" t="n">
        <x:v>1101.04</x:v>
      </x:c>
      <x:c r="C4121" s="28"/>
      <x:c r="D4121" s="31" t="str">
        <x:f>IF(OR(ISBLANK(B4121),ISBLANK(C4121),B4121=0),"",(C4121-B4121)/B4121)</x:f>
      </x:c>
      <x:c r="E4121" s="22" t="str">
        <x:f>IF(ISBLANK(C4121),"AmountIncludingTax缺失",IF(ABS(B4121-C4121)&lt;0.005,"一致","不一致"))</x:f>
        <x:v>AmountIncludingTax缺失</x:v>
      </x:c>
      <x:c r="F4121" s="19" t="str">
        <x:v>approved</x:v>
      </x:c>
      <x:c r="G4121" s="19" t="str">
        <x:v>Repairer Invoiced Processed</x:v>
      </x:c>
      <x:c r="H4121" s="19" t="str">
        <x:v>Pre Delivery</x:v>
      </x:c>
      <x:c r="I4121" s="37" t="n">
        <x:v>46129</x:v>
      </x:c>
      <x:c r="J4121" s="37" t="n">
        <x:v>46129</x:v>
      </x:c>
      <x:c r="K4121" s="19" t="str">
        <x:v>Regent RV Pty Ltd</x:v>
      </x:c>
      <x:c r="L4121" s="19" t="str">
        <x:v>Z005</x:v>
      </x:c>
      <x:c r="M4121" s="19" t="str">
        <x:v>Pre Delivery Warranty Claims</x:v>
      </x:c>
      <x:c r="N4121" s="37" t="n">
        <x:v>46043</x:v>
      </x:c>
      <x:c r="O4121" s="37"/>
      <x:c r="P4121" s="34" t="n">
        <x:v>1211.14</x:v>
      </x:c>
      <x:c r="Q4121" s="37" t="n">
        <x:v>46129.10796296296</x:v>
      </x:c>
    </x:row>
    <x:row r="4122">
      <x:c r="A4122" s="22" t="n">
        <x:v>30123</x:v>
      </x:c>
      <x:c r="B4122" s="28" t="n">
        <x:v>1261.25</x:v>
      </x:c>
      <x:c r="C4122" s="28"/>
      <x:c r="D4122" s="31" t="str">
        <x:f>IF(OR(ISBLANK(B4122),ISBLANK(C4122),B4122=0),"",(C4122-B4122)/B4122)</x:f>
      </x:c>
      <x:c r="E4122" s="22" t="str">
        <x:f>IF(ISBLANK(C4122),"AmountIncludingTax缺失",IF(ABS(B4122-C4122)&lt;0.005,"一致","不一致"))</x:f>
        <x:v>AmountIncludingTax缺失</x:v>
      </x:c>
      <x:c r="F4122" s="19" t="str">
        <x:v>approved</x:v>
      </x:c>
      <x:c r="G4122" s="19" t="str">
        <x:v>Repairer Invoiced Processed</x:v>
      </x:c>
      <x:c r="H4122" s="19" t="str">
        <x:v>In Field</x:v>
      </x:c>
      <x:c r="I4122" s="37" t="n">
        <x:v>46070</x:v>
      </x:c>
      <x:c r="J4122" s="37" t="n">
        <x:v>46070</x:v>
      </x:c>
      <x:c r="K4122" s="19" t="str">
        <x:v>Lesiure Lion-New Castle</x:v>
      </x:c>
      <x:c r="L4122" s="19" t="str">
        <x:v>Z006</x:v>
      </x:c>
      <x:c r="M4122" s="19" t="str">
        <x:v>In Field Warranty Claims</x:v>
      </x:c>
      <x:c r="N4122" s="37" t="n">
        <x:v>46043</x:v>
      </x:c>
      <x:c r="O4122" s="37"/>
      <x:c r="P4122" s="34" t="n">
        <x:v>0</x:v>
      </x:c>
      <x:c r="Q4122" s="37" t="n">
        <x:v>46070.00313657407</x:v>
      </x:c>
    </x:row>
    <x:row r="4123">
      <x:c r="A4123" s="22" t="n">
        <x:v>30122</x:v>
      </x:c>
      <x:c r="B4123" s="28" t="n">
        <x:v>1187.5</x:v>
      </x:c>
      <x:c r="C4123" s="28"/>
      <x:c r="D4123" s="31" t="str">
        <x:f>IF(OR(ISBLANK(B4123),ISBLANK(C4123),B4123=0),"",(C4123-B4123)/B4123)</x:f>
      </x:c>
      <x:c r="E4123" s="22" t="str">
        <x:f>IF(ISBLANK(C4123),"AmountIncludingTax缺失",IF(ABS(B4123-C4123)&lt;0.005,"一致","不一致"))</x:f>
        <x:v>AmountIncludingTax缺失</x:v>
      </x:c>
      <x:c r="F4123" s="19" t="str">
        <x:v>approved</x:v>
      </x:c>
      <x:c r="G4123" s="19" t="str">
        <x:v>Repair in Progress</x:v>
      </x:c>
      <x:c r="H4123" s="19" t="str">
        <x:v>Pre Delivery</x:v>
      </x:c>
      <x:c r="I4123" s="37" t="n">
        <x:v>46154</x:v>
      </x:c>
      <x:c r="J4123" s="37" t="n">
        <x:v>46163</x:v>
      </x:c>
      <x:c r="K4123" s="19" t="str">
        <x:v>QCCC - Gympie</x:v>
      </x:c>
      <x:c r="L4123" s="19" t="str">
        <x:v>Z005</x:v>
      </x:c>
      <x:c r="M4123" s="19" t="str">
        <x:v>Pre Delivery Warranty Claims</x:v>
      </x:c>
      <x:c r="N4123" s="37" t="n">
        <x:v>46043</x:v>
      </x:c>
      <x:c r="O4123" s="37"/>
      <x:c r="P4123" s="34" t="n">
        <x:v>0</x:v>
      </x:c>
      <x:c r="Q4123" s="37" t="n">
        <x:v>46154.15460648148</x:v>
      </x:c>
    </x:row>
    <x:row r="4124">
      <x:c r="A4124" s="22" t="n">
        <x:v>30121</x:v>
      </x:c>
      <x:c r="B4124" s="28" t="n">
        <x:v>636.96</x:v>
      </x:c>
      <x:c r="C4124" s="28" t="n">
        <x:v>700.66</x:v>
      </x:c>
      <x:c r="D4124" s="31" t="n">
        <x:f>IF(OR(ISBLANK(B4124),ISBLANK(C4124),B4124=0),"",(C4124-B4124)/B4124)</x:f>
        <x:v>0.10000627982918853</x:v>
      </x:c>
      <x:c r="E4124" s="22" t="str">
        <x:f>IF(ISBLANK(C4124),"AmountIncludingTax缺失",IF(ABS(B4124-C4124)&lt;0.005,"一致","不一致"))</x:f>
        <x:v>不一致</x:v>
      </x:c>
      <x:c r="F4124" s="19" t="str">
        <x:v>approved</x:v>
      </x:c>
      <x:c r="G4124" s="19" t="str">
        <x:v>Repairer Invoiced Processed</x:v>
      </x:c>
      <x:c r="H4124" s="19" t="str">
        <x:v>Pre Delivery</x:v>
      </x:c>
      <x:c r="I4124" s="37" t="n">
        <x:v>46112</x:v>
      </x:c>
      <x:c r="J4124" s="37" t="n">
        <x:v>46112</x:v>
      </x:c>
      <x:c r="K4124" s="19" t="str">
        <x:v>Lesiure Lion-New Castle</x:v>
      </x:c>
      <x:c r="L4124" s="19" t="str">
        <x:v>Z005</x:v>
      </x:c>
      <x:c r="M4124" s="19" t="str">
        <x:v>Pre Delivery Warranty Claims</x:v>
      </x:c>
      <x:c r="N4124" s="37" t="n">
        <x:v>46043</x:v>
      </x:c>
      <x:c r="O4124" s="37"/>
      <x:c r="P4124" s="34" t="n">
        <x:v>700.66</x:v>
      </x:c>
      <x:c r="Q4124" s="37" t="n">
        <x:v>46111.95141203704</x:v>
      </x:c>
    </x:row>
    <x:row r="4125">
      <x:c r="A4125" s="22" t="n">
        <x:v>30120</x:v>
      </x:c>
      <x:c r="B4125" s="28" t="n">
        <x:v>1052.5</x:v>
      </x:c>
      <x:c r="C4125" s="28"/>
      <x:c r="D4125" s="31" t="str">
        <x:f>IF(OR(ISBLANK(B4125),ISBLANK(C4125),B4125=0),"",(C4125-B4125)/B4125)</x:f>
      </x:c>
      <x:c r="E4125" s="22" t="str">
        <x:f>IF(ISBLANK(C4125),"AmountIncludingTax缺失",IF(ABS(B4125-C4125)&lt;0.005,"一致","不一致"))</x:f>
        <x:v>AmountIncludingTax缺失</x:v>
      </x:c>
      <x:c r="F4125" s="19" t="str">
        <x:v>approved</x:v>
      </x:c>
      <x:c r="G4125" s="19" t="str">
        <x:v>Repairer Invoiced Processed</x:v>
      </x:c>
      <x:c r="H4125" s="19" t="str">
        <x:v>In Field</x:v>
      </x:c>
      <x:c r="I4125" s="37" t="n">
        <x:v>46063</x:v>
      </x:c>
      <x:c r="J4125" s="37" t="n">
        <x:v>46063</x:v>
      </x:c>
      <x:c r="K4125" s="19" t="str">
        <x:v>Newcastle RV Super Centre - Beresfield</x:v>
      </x:c>
      <x:c r="L4125" s="19" t="str">
        <x:v>Z006</x:v>
      </x:c>
      <x:c r="M4125" s="19" t="str">
        <x:v>In Field Warranty Claims</x:v>
      </x:c>
      <x:c r="N4125" s="37" t="n">
        <x:v>46043</x:v>
      </x:c>
      <x:c r="O4125" s="37"/>
      <x:c r="P4125" s="34" t="n">
        <x:v>0</x:v>
      </x:c>
      <x:c r="Q4125" s="37" t="n">
        <x:v>46063.03949074074</x:v>
      </x:c>
    </x:row>
    <x:row r="4126">
      <x:c r="A4126" s="22" t="n">
        <x:v>30119</x:v>
      </x:c>
      <x:c r="B4126" s="28" t="n">
        <x:v>86.35</x:v>
      </x:c>
      <x:c r="C4126" s="28" t="n">
        <x:v>94.99</x:v>
      </x:c>
      <x:c r="D4126" s="31" t="n">
        <x:f>IF(OR(ISBLANK(B4126),ISBLANK(C4126),B4126=0),"",(C4126-B4126)/B4126)</x:f>
        <x:v>0.10005790387955994</x:v>
      </x:c>
      <x:c r="E4126" s="22" t="str">
        <x:f>IF(ISBLANK(C4126),"AmountIncludingTax缺失",IF(ABS(B4126-C4126)&lt;0.005,"一致","不一致"))</x:f>
        <x:v>不一致</x:v>
      </x:c>
      <x:c r="F4126" s="19" t="str">
        <x:v>approved</x:v>
      </x:c>
      <x:c r="G4126" s="19" t="str">
        <x:v>Repairer Invoiced Processed</x:v>
      </x:c>
      <x:c r="H4126" s="19" t="str">
        <x:v>In Field</x:v>
      </x:c>
      <x:c r="I4126" s="37" t="n">
        <x:v>46120</x:v>
      </x:c>
      <x:c r="J4126" s="37" t="n">
        <x:v>46120</x:v>
      </x:c>
      <x:c r="K4126" s="19" t="str">
        <x:v>Regent RV - Perth</x:v>
      </x:c>
      <x:c r="L4126" s="19" t="str">
        <x:v>Z006</x:v>
      </x:c>
      <x:c r="M4126" s="19" t="str">
        <x:v>In Field Warranty Claims</x:v>
      </x:c>
      <x:c r="N4126" s="37" t="n">
        <x:v>46043</x:v>
      </x:c>
      <x:c r="O4126" s="37"/>
      <x:c r="P4126" s="34" t="n">
        <x:v>94.99</x:v>
      </x:c>
      <x:c r="Q4126" s="37" t="n">
        <x:v>46120.23287037037</x:v>
      </x:c>
    </x:row>
    <x:row r="4127">
      <x:c r="A4127" s="22" t="n">
        <x:v>30118</x:v>
      </x:c>
      <x:c r="B4127" s="28" t="n">
        <x:v>1069.55</x:v>
      </x:c>
      <x:c r="C4127" s="28"/>
      <x:c r="D4127" s="31" t="str">
        <x:f>IF(OR(ISBLANK(B4127),ISBLANK(C4127),B4127=0),"",(C4127-B4127)/B4127)</x:f>
      </x:c>
      <x:c r="E4127" s="22" t="str">
        <x:f>IF(ISBLANK(C4127),"AmountIncludingTax缺失",IF(ABS(B4127-C4127)&lt;0.005,"一致","不一致"))</x:f>
        <x:v>AmountIncludingTax缺失</x:v>
      </x:c>
      <x:c r="F4127" s="19" t="str">
        <x:v>approved</x:v>
      </x:c>
      <x:c r="G4127" s="19" t="str">
        <x:v>Repairer Invoiced Processed</x:v>
      </x:c>
      <x:c r="H4127" s="19" t="str">
        <x:v>In Field</x:v>
      </x:c>
      <x:c r="I4127" s="37" t="n">
        <x:v>46063</x:v>
      </x:c>
      <x:c r="J4127" s="37" t="n">
        <x:v>46063</x:v>
      </x:c>
      <x:c r="K4127" s="19" t="str">
        <x:v>Newcastle RV Super Centre - Beresfield</x:v>
      </x:c>
      <x:c r="L4127" s="19" t="str">
        <x:v>Z006</x:v>
      </x:c>
      <x:c r="M4127" s="19" t="str">
        <x:v>In Field Warranty Claims</x:v>
      </x:c>
      <x:c r="N4127" s="37" t="n">
        <x:v>46043</x:v>
      </x:c>
      <x:c r="O4127" s="37"/>
      <x:c r="P4127" s="34" t="n">
        <x:v>0</x:v>
      </x:c>
      <x:c r="Q4127" s="37" t="n">
        <x:v>46063.04027777778</x:v>
      </x:c>
    </x:row>
    <x:row r="4128">
      <x:c r="A4128" s="22" t="n">
        <x:v>30117</x:v>
      </x:c>
      <x:c r="B4128" s="28" t="n">
        <x:v>202.5</x:v>
      </x:c>
      <x:c r="C4128" s="28"/>
      <x:c r="D4128" s="31" t="str">
        <x:f>IF(OR(ISBLANK(B4128),ISBLANK(C4128),B4128=0),"",(C4128-B4128)/B4128)</x:f>
      </x:c>
      <x:c r="E4128" s="22" t="str">
        <x:f>IF(ISBLANK(C4128),"AmountIncludingTax缺失",IF(ABS(B4128-C4128)&lt;0.005,"一致","不一致"))</x:f>
        <x:v>AmountIncludingTax缺失</x:v>
      </x:c>
      <x:c r="F4128" s="19" t="str">
        <x:v>approved</x:v>
      </x:c>
      <x:c r="G4128" s="19" t="str">
        <x:v>Repair in Progress</x:v>
      </x:c>
      <x:c r="H4128" s="19" t="str">
        <x:v>Pre Delivery</x:v>
      </x:c>
      <x:c r="I4128" s="37" t="n">
        <x:v>46071</x:v>
      </x:c>
      <x:c r="J4128" s="37" t="n">
        <x:v>46071</x:v>
      </x:c>
      <x:c r="K4128" s="19" t="str">
        <x:v>Snowy River Frankston</x:v>
      </x:c>
      <x:c r="L4128" s="19" t="str">
        <x:v>Z005</x:v>
      </x:c>
      <x:c r="M4128" s="19" t="str">
        <x:v>Pre Delivery Warranty Claims</x:v>
      </x:c>
      <x:c r="N4128" s="37" t="n">
        <x:v>46043</x:v>
      </x:c>
      <x:c r="O4128" s="37"/>
      <x:c r="P4128" s="34" t="n">
        <x:v>0</x:v>
      </x:c>
      <x:c r="Q4128" s="37" t="n">
        <x:v>46071.2265625</x:v>
      </x:c>
    </x:row>
    <x:row r="4129">
      <x:c r="A4129" s="22" t="n">
        <x:v>30115</x:v>
      </x:c>
      <x:c r="B4129" s="28" t="n">
        <x:v>970.16</x:v>
      </x:c>
      <x:c r="C4129" s="28" t="n">
        <x:v>0</x:v>
      </x:c>
      <x:c r="D4129" s="31" t="n">
        <x:f>IF(OR(ISBLANK(B4129),ISBLANK(C4129),B4129=0),"",(C4129-B4129)/B4129)</x:f>
        <x:v>-1</x:v>
      </x:c>
      <x:c r="E4129" s="22" t="str">
        <x:f>IF(ISBLANK(C4129),"AmountIncludingTax缺失",IF(ABS(B4129-C4129)&lt;0.005,"一致","不一致"))</x:f>
        <x:v>不一致</x:v>
      </x:c>
      <x:c r="F4129" s="19" t="str">
        <x:v>approved</x:v>
      </x:c>
      <x:c r="G4129" s="19" t="str">
        <x:v>Repairer Invoiced Processed</x:v>
      </x:c>
      <x:c r="H4129" s="19" t="str">
        <x:v>In Field</x:v>
      </x:c>
      <x:c r="I4129" s="37" t="n">
        <x:v>46072</x:v>
      </x:c>
      <x:c r="J4129" s="37" t="n">
        <x:v>46072</x:v>
      </x:c>
      <x:c r="K4129" s="19" t="str">
        <x:v>Vanari Caravans - Marden Point</x:v>
      </x:c>
      <x:c r="L4129" s="19" t="str">
        <x:v>Z006</x:v>
      </x:c>
      <x:c r="M4129" s="19" t="str">
        <x:v>In Field Warranty Claims</x:v>
      </x:c>
      <x:c r="N4129" s="37" t="n">
        <x:v>46043</x:v>
      </x:c>
      <x:c r="O4129" s="37"/>
      <x:c r="P4129" s="34" t="n">
        <x:v>0</x:v>
      </x:c>
      <x:c r="Q4129" s="37" t="n">
        <x:v>46072.03469907407</x:v>
      </x:c>
    </x:row>
    <x:row r="4130">
      <x:c r="A4130" s="22" t="n">
        <x:v>30114</x:v>
      </x:c>
      <x:c r="B4130" s="28" t="n">
        <x:v>54.55</x:v>
      </x:c>
      <x:c r="C4130" s="28"/>
      <x:c r="D4130" s="31" t="str">
        <x:f>IF(OR(ISBLANK(B4130),ISBLANK(C4130),B4130=0),"",(C4130-B4130)/B4130)</x:f>
      </x:c>
      <x:c r="E4130" s="22" t="str">
        <x:f>IF(ISBLANK(C4130),"AmountIncludingTax缺失",IF(ABS(B4130-C4130)&lt;0.005,"一致","不一致"))</x:f>
        <x:v>AmountIncludingTax缺失</x:v>
      </x:c>
      <x:c r="F4130" s="19" t="str">
        <x:v>approved</x:v>
      </x:c>
      <x:c r="G4130" s="19" t="str">
        <x:v>Repairer Invoiced Processed</x:v>
      </x:c>
      <x:c r="H4130" s="19" t="str">
        <x:v>In Field</x:v>
      </x:c>
      <x:c r="I4130" s="37" t="n">
        <x:v>46059</x:v>
      </x:c>
      <x:c r="J4130" s="37" t="n">
        <x:v>46059</x:v>
      </x:c>
      <x:c r="K4130" s="19" t="str">
        <x:v>Leisure Lion Pty Ltd - Toowoomba</x:v>
      </x:c>
      <x:c r="L4130" s="19" t="str">
        <x:v>Z006</x:v>
      </x:c>
      <x:c r="M4130" s="19" t="str">
        <x:v>In Field Warranty Claims</x:v>
      </x:c>
      <x:c r="N4130" s="37" t="n">
        <x:v>46043</x:v>
      </x:c>
      <x:c r="O4130" s="37"/>
      <x:c r="P4130" s="34" t="n">
        <x:v>0</x:v>
      </x:c>
      <x:c r="Q4130" s="37" t="n">
        <x:v>46058.901724537034</x:v>
      </x:c>
    </x:row>
    <x:row r="4131">
      <x:c r="A4131" s="22" t="n">
        <x:v>30113</x:v>
      </x:c>
      <x:c r="B4131" s="28" t="n">
        <x:v>135</x:v>
      </x:c>
      <x:c r="C4131" s="28"/>
      <x:c r="D4131" s="31" t="str">
        <x:f>IF(OR(ISBLANK(B4131),ISBLANK(C4131),B4131=0),"",(C4131-B4131)/B4131)</x:f>
      </x:c>
      <x:c r="E4131" s="22" t="str">
        <x:f>IF(ISBLANK(C4131),"AmountIncludingTax缺失",IF(ABS(B4131-C4131)&lt;0.005,"一致","不一致"))</x:f>
        <x:v>AmountIncludingTax缺失</x:v>
      </x:c>
      <x:c r="F4131" s="19" t="str">
        <x:v>approved</x:v>
      </x:c>
      <x:c r="G4131" s="19" t="str">
        <x:v>Repairer Invoiced Processed</x:v>
      </x:c>
      <x:c r="H4131" s="19" t="str">
        <x:v>In Field</x:v>
      </x:c>
      <x:c r="I4131" s="37" t="n">
        <x:v>46070</x:v>
      </x:c>
      <x:c r="J4131" s="37" t="n">
        <x:v>46070</x:v>
      </x:c>
      <x:c r="K4131" s="19" t="str">
        <x:v>Lesiure Lion-New Castle</x:v>
      </x:c>
      <x:c r="L4131" s="19" t="str">
        <x:v>Z006</x:v>
      </x:c>
      <x:c r="M4131" s="19" t="str">
        <x:v>In Field Warranty Claims</x:v>
      </x:c>
      <x:c r="N4131" s="37" t="n">
        <x:v>46042</x:v>
      </x:c>
      <x:c r="O4131" s="37"/>
      <x:c r="P4131" s="34" t="n">
        <x:v>0</x:v>
      </x:c>
      <x:c r="Q4131" s="37" t="n">
        <x:v>46069.92144675926</x:v>
      </x:c>
    </x:row>
    <x:row r="4132">
      <x:c r="A4132" s="22" t="n">
        <x:v>30111</x:v>
      </x:c>
      <x:c r="B4132" s="28" t="n">
        <x:v>2918.64</x:v>
      </x:c>
      <x:c r="C4132" s="28"/>
      <x:c r="D4132" s="31" t="str">
        <x:f>IF(OR(ISBLANK(B4132),ISBLANK(C4132),B4132=0),"",(C4132-B4132)/B4132)</x:f>
      </x:c>
      <x:c r="E4132" s="22" t="str">
        <x:f>IF(ISBLANK(C4132),"AmountIncludingTax缺失",IF(ABS(B4132-C4132)&lt;0.005,"一致","不一致"))</x:f>
        <x:v>AmountIncludingTax缺失</x:v>
      </x:c>
      <x:c r="F4132" s="19" t="str">
        <x:v>approved</x:v>
      </x:c>
      <x:c r="G4132" s="19" t="str">
        <x:v>Repairer Invoiced Processed</x:v>
      </x:c>
      <x:c r="H4132" s="19" t="str">
        <x:v>In Field</x:v>
      </x:c>
      <x:c r="I4132" s="37" t="n">
        <x:v>46161</x:v>
      </x:c>
      <x:c r="J4132" s="37" t="n">
        <x:v>46161</x:v>
      </x:c>
      <x:c r="K4132" s="19" t="str">
        <x:v>The Caravan Hub - Townsville</x:v>
      </x:c>
      <x:c r="L4132" s="19" t="str">
        <x:v>Z006</x:v>
      </x:c>
      <x:c r="M4132" s="19" t="str">
        <x:v>In Field Warranty Claims</x:v>
      </x:c>
      <x:c r="N4132" s="37" t="n">
        <x:v>46042</x:v>
      </x:c>
      <x:c r="O4132" s="37" t="n">
        <x:v>46122</x:v>
      </x:c>
      <x:c r="P4132" s="34" t="n">
        <x:v>0</x:v>
      </x:c>
      <x:c r="Q4132" s="37" t="n">
        <x:v>46161.55861111111</x:v>
      </x:c>
    </x:row>
    <x:row r="4133">
      <x:c r="A4133" s="22" t="n">
        <x:v>30110</x:v>
      </x:c>
      <x:c r="B4133" s="28" t="n">
        <x:v>911.71</x:v>
      </x:c>
      <x:c r="C4133" s="28"/>
      <x:c r="D4133" s="31" t="str">
        <x:f>IF(OR(ISBLANK(B4133),ISBLANK(C4133),B4133=0),"",(C4133-B4133)/B4133)</x:f>
      </x:c>
      <x:c r="E4133" s="22" t="str">
        <x:f>IF(ISBLANK(C4133),"AmountIncludingTax缺失",IF(ABS(B4133-C4133)&lt;0.005,"一致","不一致"))</x:f>
        <x:v>AmountIncludingTax缺失</x:v>
      </x:c>
      <x:c r="F4133" s="19" t="str">
        <x:v>approved</x:v>
      </x:c>
      <x:c r="G4133" s="19" t="str">
        <x:v>Repairer Invoiced Processed</x:v>
      </x:c>
      <x:c r="H4133" s="19" t="str">
        <x:v>In Field</x:v>
      </x:c>
      <x:c r="I4133" s="37" t="n">
        <x:v>46084</x:v>
      </x:c>
      <x:c r="J4133" s="37" t="n">
        <x:v>46084</x:v>
      </x:c>
      <x:c r="K4133" s="19" t="str">
        <x:v>Leisure Lion Pty Ltd - Toowoomba</x:v>
      </x:c>
      <x:c r="L4133" s="19" t="str">
        <x:v>Z006</x:v>
      </x:c>
      <x:c r="M4133" s="19" t="str">
        <x:v>In Field Warranty Claims</x:v>
      </x:c>
      <x:c r="N4133" s="37" t="n">
        <x:v>46043</x:v>
      </x:c>
      <x:c r="O4133" s="37"/>
      <x:c r="P4133" s="34" t="n">
        <x:v>1002.88</x:v>
      </x:c>
      <x:c r="Q4133" s="37" t="n">
        <x:v>46083.87550925926</x:v>
      </x:c>
    </x:row>
    <x:row r="4134">
      <x:c r="A4134" s="22" t="n">
        <x:v>30109</x:v>
      </x:c>
      <x:c r="B4134" s="28" t="n">
        <x:v>435</x:v>
      </x:c>
      <x:c r="C4134" s="28"/>
      <x:c r="D4134" s="31" t="str">
        <x:f>IF(OR(ISBLANK(B4134),ISBLANK(C4134),B4134=0),"",(C4134-B4134)/B4134)</x:f>
      </x:c>
      <x:c r="E4134" s="22" t="str">
        <x:f>IF(ISBLANK(C4134),"AmountIncludingTax缺失",IF(ABS(B4134-C4134)&lt;0.005,"一致","不一致"))</x:f>
        <x:v>AmountIncludingTax缺失</x:v>
      </x:c>
      <x:c r="F4134" s="19" t="str">
        <x:v>approved</x:v>
      </x:c>
      <x:c r="G4134" s="19" t="str">
        <x:v>Repairer Invoiced Processed</x:v>
      </x:c>
      <x:c r="H4134" s="19" t="str">
        <x:v>In Field</x:v>
      </x:c>
      <x:c r="I4134" s="37" t="n">
        <x:v>46111</x:v>
      </x:c>
      <x:c r="J4134" s="37" t="n">
        <x:v>46111</x:v>
      </x:c>
      <x:c r="K4134" s="19" t="str">
        <x:v>Regent RV - Toowoomba</x:v>
      </x:c>
      <x:c r="L4134" s="19" t="str">
        <x:v>Z006</x:v>
      </x:c>
      <x:c r="M4134" s="19" t="str">
        <x:v>In Field Warranty Claims</x:v>
      </x:c>
      <x:c r="N4134" s="37" t="n">
        <x:v>46043</x:v>
      </x:c>
      <x:c r="O4134" s="37"/>
      <x:c r="P4134" s="34" t="n">
        <x:v>0</x:v>
      </x:c>
      <x:c r="Q4134" s="37" t="n">
        <x:v>46110.89444444444</x:v>
      </x:c>
    </x:row>
    <x:row r="4135">
      <x:c r="A4135" s="22" t="n">
        <x:v>30108</x:v>
      </x:c>
      <x:c r="B4135" s="28" t="n">
        <x:v>580</x:v>
      </x:c>
      <x:c r="C4135" s="28"/>
      <x:c r="D4135" s="31" t="str">
        <x:f>IF(OR(ISBLANK(B4135),ISBLANK(C4135),B4135=0),"",(C4135-B4135)/B4135)</x:f>
      </x:c>
      <x:c r="E4135" s="22" t="str">
        <x:f>IF(ISBLANK(C4135),"AmountIncludingTax缺失",IF(ABS(B4135-C4135)&lt;0.005,"一致","不一致"))</x:f>
        <x:v>AmountIncludingTax缺失</x:v>
      </x:c>
      <x:c r="F4135" s="19" t="str">
        <x:v>approved</x:v>
      </x:c>
      <x:c r="G4135" s="19" t="str">
        <x:v>Repairer Invoiced Received</x:v>
      </x:c>
      <x:c r="H4135" s="19" t="str">
        <x:v>Pre Delivery</x:v>
      </x:c>
      <x:c r="I4135" s="37" t="n">
        <x:v>46059</x:v>
      </x:c>
      <x:c r="J4135" s="37" t="n">
        <x:v>46059</x:v>
      </x:c>
      <x:c r="K4135" s="19" t="str">
        <x:v>Snowy River Wangaratta</x:v>
      </x:c>
      <x:c r="L4135" s="19" t="str">
        <x:v>Z005</x:v>
      </x:c>
      <x:c r="M4135" s="19" t="str">
        <x:v>Pre Delivery Warranty Claims</x:v>
      </x:c>
      <x:c r="N4135" s="37" t="n">
        <x:v>46043</x:v>
      </x:c>
      <x:c r="O4135" s="37"/>
      <x:c r="P4135" s="34" t="n">
        <x:v>0</x:v>
      </x:c>
      <x:c r="Q4135" s="37" t="n">
        <x:v>46058.91241898148</x:v>
      </x:c>
    </x:row>
    <x:row r="4136">
      <x:c r="A4136" s="22" t="n">
        <x:v>30107</x:v>
      </x:c>
      <x:c r="B4136" s="28" t="n">
        <x:v>275</x:v>
      </x:c>
      <x:c r="C4136" s="28"/>
      <x:c r="D4136" s="31" t="str">
        <x:f>IF(OR(ISBLANK(B4136),ISBLANK(C4136),B4136=0),"",(C4136-B4136)/B4136)</x:f>
      </x:c>
      <x:c r="E4136" s="22" t="str">
        <x:f>IF(ISBLANK(C4136),"AmountIncludingTax缺失",IF(ABS(B4136-C4136)&lt;0.005,"一致","不一致"))</x:f>
        <x:v>AmountIncludingTax缺失</x:v>
      </x:c>
      <x:c r="F4136" s="19" t="str">
        <x:v>approved</x:v>
      </x:c>
      <x:c r="G4136" s="19" t="str">
        <x:v>Repair in Progress</x:v>
      </x:c>
      <x:c r="H4136" s="19" t="str">
        <x:v>Pre Delivery</x:v>
      </x:c>
      <x:c r="I4136" s="37" t="n">
        <x:v>46099</x:v>
      </x:c>
      <x:c r="J4136" s="37" t="n">
        <x:v>46099</x:v>
      </x:c>
      <x:c r="K4136" s="19" t="str">
        <x:v>Regent RV - Perth</x:v>
      </x:c>
      <x:c r="L4136" s="19" t="str">
        <x:v>Z005</x:v>
      </x:c>
      <x:c r="M4136" s="19" t="str">
        <x:v>Pre Delivery Warranty Claims</x:v>
      </x:c>
      <x:c r="N4136" s="37" t="n">
        <x:v>46043</x:v>
      </x:c>
      <x:c r="O4136" s="37"/>
      <x:c r="P4136" s="34" t="n">
        <x:v>0</x:v>
      </x:c>
      <x:c r="Q4136" s="37" t="n">
        <x:v>46098.91542824074</x:v>
      </x:c>
    </x:row>
    <x:row r="4137">
      <x:c r="A4137" s="22" t="n">
        <x:v>30106</x:v>
      </x:c>
      <x:c r="B4137" s="28" t="n">
        <x:v>106.25</x:v>
      </x:c>
      <x:c r="C4137" s="28"/>
      <x:c r="D4137" s="31" t="str">
        <x:f>IF(OR(ISBLANK(B4137),ISBLANK(C4137),B4137=0),"",(C4137-B4137)/B4137)</x:f>
      </x:c>
      <x:c r="E4137" s="22" t="str">
        <x:f>IF(ISBLANK(C4137),"AmountIncludingTax缺失",IF(ABS(B4137-C4137)&lt;0.005,"一致","不一致"))</x:f>
        <x:v>AmountIncludingTax缺失</x:v>
      </x:c>
      <x:c r="F4137" s="19" t="str">
        <x:v>approved</x:v>
      </x:c>
      <x:c r="G4137" s="19" t="str">
        <x:v>Repair in Progress</x:v>
      </x:c>
      <x:c r="H4137" s="19" t="str">
        <x:v>In Field</x:v>
      </x:c>
      <x:c r="I4137" s="37" t="n">
        <x:v>46108</x:v>
      </x:c>
      <x:c r="J4137" s="37" t="n">
        <x:v>46108</x:v>
      </x:c>
      <x:c r="K4137" s="19" t="str">
        <x:v>Regent RV - Toowoomba</x:v>
      </x:c>
      <x:c r="L4137" s="19" t="str">
        <x:v>Z006</x:v>
      </x:c>
      <x:c r="M4137" s="19" t="str">
        <x:v>In Field Warranty Claims</x:v>
      </x:c>
      <x:c r="N4137" s="37" t="n">
        <x:v>46043</x:v>
      </x:c>
      <x:c r="O4137" s="37"/>
      <x:c r="P4137" s="34" t="n">
        <x:v>0</x:v>
      </x:c>
      <x:c r="Q4137" s="37" t="n">
        <x:v>46108.07509259259</x:v>
      </x:c>
    </x:row>
    <x:row r="4138">
      <x:c r="A4138" s="22" t="n">
        <x:v>30105</x:v>
      </x:c>
      <x:c r="B4138" s="28" t="n">
        <x:v>1216823.25</x:v>
      </x:c>
      <x:c r="C4138" s="28"/>
      <x:c r="D4138" s="31" t="str">
        <x:f>IF(OR(ISBLANK(B4138),ISBLANK(C4138),B4138=0),"",(C4138-B4138)/B4138)</x:f>
      </x:c>
      <x:c r="E4138" s="22" t="str">
        <x:f>IF(ISBLANK(C4138),"AmountIncludingTax缺失",IF(ABS(B4138-C4138)&lt;0.005,"一致","不一致"))</x:f>
        <x:v>AmountIncludingTax缺失</x:v>
      </x:c>
      <x:c r="F4138" s="19" t="str">
        <x:v>approved</x:v>
      </x:c>
      <x:c r="G4138" s="19" t="str">
        <x:v>Sales Order Approved</x:v>
      </x:c>
      <x:c r="H4138" s="19" t="str">
        <x:v>In Field</x:v>
      </x:c>
      <x:c r="I4138" s="37" t="n">
        <x:v>46164</x:v>
      </x:c>
      <x:c r="J4138" s="37" t="n">
        <x:v>46099</x:v>
      </x:c>
      <x:c r="K4138" s="19" t="str">
        <x:v>Regent RV - Perth</x:v>
      </x:c>
      <x:c r="L4138" s="19" t="str">
        <x:v>Z006</x:v>
      </x:c>
      <x:c r="M4138" s="19" t="str">
        <x:v>In Field Warranty Claims</x:v>
      </x:c>
      <x:c r="N4138" s="37" t="n">
        <x:v>46043</x:v>
      </x:c>
      <x:c r="O4138" s="37"/>
      <x:c r="P4138" s="34" t="n">
        <x:v>0</x:v>
      </x:c>
      <x:c r="Q4138" s="37" t="n">
        <x:v>46164.25209490741</x:v>
      </x:c>
    </x:row>
    <x:row r="4139">
      <x:c r="A4139" s="22" t="n">
        <x:v>30104</x:v>
      </x:c>
      <x:c r="B4139" s="28" t="n">
        <x:v>1251.82</x:v>
      </x:c>
      <x:c r="C4139" s="28"/>
      <x:c r="D4139" s="31" t="str">
        <x:f>IF(OR(ISBLANK(B4139),ISBLANK(C4139),B4139=0),"",(C4139-B4139)/B4139)</x:f>
      </x:c>
      <x:c r="E4139" s="22" t="str">
        <x:f>IF(ISBLANK(C4139),"AmountIncludingTax缺失",IF(ABS(B4139-C4139)&lt;0.005,"一致","不一致"))</x:f>
        <x:v>AmountIncludingTax缺失</x:v>
      </x:c>
      <x:c r="F4139" s="19" t="str">
        <x:v>approved</x:v>
      </x:c>
      <x:c r="G4139" s="19" t="str">
        <x:v>Repair in Progress</x:v>
      </x:c>
      <x:c r="H4139" s="19" t="str">
        <x:v>In Field</x:v>
      </x:c>
      <x:c r="I4139" s="37" t="n">
        <x:v>46058</x:v>
      </x:c>
      <x:c r="J4139" s="37" t="n">
        <x:v>46058</x:v>
      </x:c>
      <x:c r="K4139" s="19" t="str">
        <x:v>Snowy River Wangaratta</x:v>
      </x:c>
      <x:c r="L4139" s="19" t="str">
        <x:v>Z006</x:v>
      </x:c>
      <x:c r="M4139" s="19" t="str">
        <x:v>In Field Warranty Claims</x:v>
      </x:c>
      <x:c r="N4139" s="37" t="n">
        <x:v>46042</x:v>
      </x:c>
      <x:c r="O4139" s="37"/>
      <x:c r="P4139" s="34" t="n">
        <x:v>0</x:v>
      </x:c>
      <x:c r="Q4139" s="37" t="n">
        <x:v>46058.18450231481</x:v>
      </x:c>
    </x:row>
    <x:row r="4140">
      <x:c r="A4140" s="22" t="n">
        <x:v>30103</x:v>
      </x:c>
      <x:c r="B4140" s="28" t="n">
        <x:v>111.25</x:v>
      </x:c>
      <x:c r="C4140" s="28"/>
      <x:c r="D4140" s="31" t="str">
        <x:f>IF(OR(ISBLANK(B4140),ISBLANK(C4140),B4140=0),"",(C4140-B4140)/B4140)</x:f>
      </x:c>
      <x:c r="E4140" s="22" t="str">
        <x:f>IF(ISBLANK(C4140),"AmountIncludingTax缺失",IF(ABS(B4140-C4140)&lt;0.005,"一致","不一致"))</x:f>
        <x:v>AmountIncludingTax缺失</x:v>
      </x:c>
      <x:c r="F4140" s="19" t="str">
        <x:v>approved</x:v>
      </x:c>
      <x:c r="G4140" s="19" t="str">
        <x:v>Repairer Invoiced Processed</x:v>
      </x:c>
      <x:c r="H4140" s="19" t="str">
        <x:v>In Field</x:v>
      </x:c>
      <x:c r="I4140" s="37" t="n">
        <x:v>46063</x:v>
      </x:c>
      <x:c r="J4140" s="37" t="n">
        <x:v>46063</x:v>
      </x:c>
      <x:c r="K4140" s="19" t="str">
        <x:v>Newcastle RV Super Centre - Beresfield</x:v>
      </x:c>
      <x:c r="L4140" s="19" t="str">
        <x:v>Z006</x:v>
      </x:c>
      <x:c r="M4140" s="19" t="str">
        <x:v>In Field Warranty Claims</x:v>
      </x:c>
      <x:c r="N4140" s="37" t="n">
        <x:v>46042</x:v>
      </x:c>
      <x:c r="O4140" s="37"/>
      <x:c r="P4140" s="34" t="n">
        <x:v>0</x:v>
      </x:c>
      <x:c r="Q4140" s="37" t="n">
        <x:v>46063.041817129626</x:v>
      </x:c>
    </x:row>
    <x:row r="4141">
      <x:c r="A4141" s="22" t="n">
        <x:v>30101</x:v>
      </x:c>
      <x:c r="B4141" s="28" t="n">
        <x:v>72.5</x:v>
      </x:c>
      <x:c r="C4141" s="28"/>
      <x:c r="D4141" s="31" t="str">
        <x:f>IF(OR(ISBLANK(B4141),ISBLANK(C4141),B4141=0),"",(C4141-B4141)/B4141)</x:f>
      </x:c>
      <x:c r="E4141" s="22" t="str">
        <x:f>IF(ISBLANK(C4141),"AmountIncludingTax缺失",IF(ABS(B4141-C4141)&lt;0.005,"一致","不一致"))</x:f>
        <x:v>AmountIncludingTax缺失</x:v>
      </x:c>
      <x:c r="F4141" s="19" t="str">
        <x:v>approved</x:v>
      </x:c>
      <x:c r="G4141" s="19" t="str">
        <x:v>Repair in Progress</x:v>
      </x:c>
      <x:c r="H4141" s="19" t="str">
        <x:v>In Field</x:v>
      </x:c>
      <x:c r="I4141" s="37" t="n">
        <x:v>46063</x:v>
      </x:c>
      <x:c r="J4141" s="37" t="n">
        <x:v>46058</x:v>
      </x:c>
      <x:c r="K4141" s="19" t="str">
        <x:v>ABCO Caravans - Boambee Valley</x:v>
      </x:c>
      <x:c r="L4141" s="19" t="str">
        <x:v>Z006</x:v>
      </x:c>
      <x:c r="M4141" s="19" t="str">
        <x:v>In Field Warranty Claims</x:v>
      </x:c>
      <x:c r="N4141" s="37" t="n">
        <x:v>46042</x:v>
      </x:c>
      <x:c r="O4141" s="37"/>
      <x:c r="P4141" s="34" t="n">
        <x:v>0</x:v>
      </x:c>
      <x:c r="Q4141" s="37" t="n">
        <x:v>46063.08855324074</x:v>
      </x:c>
    </x:row>
    <x:row r="4142">
      <x:c r="A4142" s="22" t="n">
        <x:v>30100</x:v>
      </x:c>
      <x:c r="B4142" s="28" t="n">
        <x:v>202.5</x:v>
      </x:c>
      <x:c r="C4142" s="28"/>
      <x:c r="D4142" s="31" t="str">
        <x:f>IF(OR(ISBLANK(B4142),ISBLANK(C4142),B4142=0),"",(C4142-B4142)/B4142)</x:f>
      </x:c>
      <x:c r="E4142" s="22" t="str">
        <x:f>IF(ISBLANK(C4142),"AmountIncludingTax缺失",IF(ABS(B4142-C4142)&lt;0.005,"一致","不一致"))</x:f>
        <x:v>AmountIncludingTax缺失</x:v>
      </x:c>
      <x:c r="F4142" s="19" t="str">
        <x:v>approved</x:v>
      </x:c>
      <x:c r="G4142" s="19" t="str">
        <x:v>Repair in Progress</x:v>
      </x:c>
      <x:c r="H4142" s="19" t="str">
        <x:v>In Field</x:v>
      </x:c>
      <x:c r="I4142" s="37" t="n">
        <x:v>46107</x:v>
      </x:c>
      <x:c r="J4142" s="37" t="n">
        <x:v>46107</x:v>
      </x:c>
      <x:c r="K4142" s="19" t="str">
        <x:v>Regent RV - Perth</x:v>
      </x:c>
      <x:c r="L4142" s="19" t="str">
        <x:v>Z006</x:v>
      </x:c>
      <x:c r="M4142" s="19" t="str">
        <x:v>In Field Warranty Claims</x:v>
      </x:c>
      <x:c r="N4142" s="37" t="n">
        <x:v>46042</x:v>
      </x:c>
      <x:c r="O4142" s="37"/>
      <x:c r="P4142" s="34" t="n">
        <x:v>0</x:v>
      </x:c>
      <x:c r="Q4142" s="37" t="n">
        <x:v>46107.06015046296</x:v>
      </x:c>
    </x:row>
    <x:row r="4143">
      <x:c r="A4143" s="22" t="n">
        <x:v>30097</x:v>
      </x:c>
      <x:c r="B4143" s="28" t="n">
        <x:v>580</x:v>
      </x:c>
      <x:c r="C4143" s="28"/>
      <x:c r="D4143" s="31" t="str">
        <x:f>IF(OR(ISBLANK(B4143),ISBLANK(C4143),B4143=0),"",(C4143-B4143)/B4143)</x:f>
      </x:c>
      <x:c r="E4143" s="22" t="str">
        <x:f>IF(ISBLANK(C4143),"AmountIncludingTax缺失",IF(ABS(B4143-C4143)&lt;0.005,"一致","不一致"))</x:f>
        <x:v>AmountIncludingTax缺失</x:v>
      </x:c>
      <x:c r="F4143" s="19" t="str">
        <x:v>approved</x:v>
      </x:c>
      <x:c r="G4143" s="19" t="str">
        <x:v>Repair in Progress</x:v>
      </x:c>
      <x:c r="H4143" s="19" t="str">
        <x:v>In Field</x:v>
      </x:c>
      <x:c r="I4143" s="37" t="n">
        <x:v>46066</x:v>
      </x:c>
      <x:c r="J4143" s="37" t="n">
        <x:v>46066</x:v>
      </x:c>
      <x:c r="K4143" s="19" t="str">
        <x:v>Green RV - Forest Glen</x:v>
      </x:c>
      <x:c r="L4143" s="19" t="str">
        <x:v>Z006</x:v>
      </x:c>
      <x:c r="M4143" s="19" t="str">
        <x:v>In Field Warranty Claims</x:v>
      </x:c>
      <x:c r="N4143" s="37" t="n">
        <x:v>46042</x:v>
      </x:c>
      <x:c r="O4143" s="37"/>
      <x:c r="P4143" s="34" t="n">
        <x:v>0</x:v>
      </x:c>
      <x:c r="Q4143" s="37" t="n">
        <x:v>46066.27203703704</x:v>
      </x:c>
    </x:row>
    <x:row r="4144">
      <x:c r="A4144" s="22" t="n">
        <x:v>30096</x:v>
      </x:c>
      <x:c r="B4144" s="28" t="n">
        <x:v>1762.85</x:v>
      </x:c>
      <x:c r="C4144" s="28"/>
      <x:c r="D4144" s="31" t="str">
        <x:f>IF(OR(ISBLANK(B4144),ISBLANK(C4144),B4144=0),"",(C4144-B4144)/B4144)</x:f>
      </x:c>
      <x:c r="E4144" s="22" t="str">
        <x:f>IF(ISBLANK(C4144),"AmountIncludingTax缺失",IF(ABS(B4144-C4144)&lt;0.005,"一致","不一致"))</x:f>
        <x:v>AmountIncludingTax缺失</x:v>
      </x:c>
      <x:c r="F4144" s="19" t="str">
        <x:v>approved</x:v>
      </x:c>
      <x:c r="G4144" s="19" t="str">
        <x:v>Repairer Invoiced Processed</x:v>
      </x:c>
      <x:c r="H4144" s="19" t="str">
        <x:v>In Field</x:v>
      </x:c>
      <x:c r="I4144" s="37" t="n">
        <x:v>46057</x:v>
      </x:c>
      <x:c r="J4144" s="37" t="n">
        <x:v>46057</x:v>
      </x:c>
      <x:c r="K4144" s="19" t="str">
        <x:v>Green RV - Forest Glen</x:v>
      </x:c>
      <x:c r="L4144" s="19" t="str">
        <x:v>Z006</x:v>
      </x:c>
      <x:c r="M4144" s="19" t="str">
        <x:v>In Field Warranty Claims</x:v>
      </x:c>
      <x:c r="N4144" s="37" t="n">
        <x:v>46042</x:v>
      </x:c>
      <x:c r="O4144" s="37"/>
      <x:c r="P4144" s="34" t="n">
        <x:v>1939.14</x:v>
      </x:c>
      <x:c r="Q4144" s="37" t="n">
        <x:v>46057.06429398148</x:v>
      </x:c>
    </x:row>
    <x:row r="4145">
      <x:c r="A4145" s="22" t="n">
        <x:v>30095</x:v>
      </x:c>
      <x:c r="B4145" s="28" t="n">
        <x:v>275</x:v>
      </x:c>
      <x:c r="C4145" s="28"/>
      <x:c r="D4145" s="31" t="str">
        <x:f>IF(OR(ISBLANK(B4145),ISBLANK(C4145),B4145=0),"",(C4145-B4145)/B4145)</x:f>
      </x:c>
      <x:c r="E4145" s="22" t="str">
        <x:f>IF(ISBLANK(C4145),"AmountIncludingTax缺失",IF(ABS(B4145-C4145)&lt;0.005,"一致","不一致"))</x:f>
        <x:v>AmountIncludingTax缺失</x:v>
      </x:c>
      <x:c r="F4145" s="19" t="str">
        <x:v>approved</x:v>
      </x:c>
      <x:c r="G4145" s="19" t="str">
        <x:v>Repairer Invoiced Processed</x:v>
      </x:c>
      <x:c r="H4145" s="19" t="str">
        <x:v>In Field</x:v>
      </x:c>
      <x:c r="I4145" s="37" t="n">
        <x:v>46161</x:v>
      </x:c>
      <x:c r="J4145" s="37" t="n">
        <x:v>46161</x:v>
      </x:c>
      <x:c r="K4145" s="19" t="str">
        <x:v>Dario Caravans - Pooraka</x:v>
      </x:c>
      <x:c r="L4145" s="19" t="str">
        <x:v>Z006</x:v>
      </x:c>
      <x:c r="M4145" s="19" t="str">
        <x:v>In Field Warranty Claims</x:v>
      </x:c>
      <x:c r="N4145" s="37" t="n">
        <x:v>46042</x:v>
      </x:c>
      <x:c r="O4145" s="37" t="n">
        <x:v>46122</x:v>
      </x:c>
      <x:c r="P4145" s="34" t="n">
        <x:v>0</x:v>
      </x:c>
      <x:c r="Q4145" s="37" t="n">
        <x:v>46161.07798611111</x:v>
      </x:c>
    </x:row>
    <x:row r="4146">
      <x:c r="A4146" s="22" t="n">
        <x:v>30093</x:v>
      </x:c>
      <x:c r="B4146" s="28" t="n">
        <x:v>68.64</x:v>
      </x:c>
      <x:c r="C4146" s="28"/>
      <x:c r="D4146" s="31" t="str">
        <x:f>IF(OR(ISBLANK(B4146),ISBLANK(C4146),B4146=0),"",(C4146-B4146)/B4146)</x:f>
      </x:c>
      <x:c r="E4146" s="22" t="str">
        <x:f>IF(ISBLANK(C4146),"AmountIncludingTax缺失",IF(ABS(B4146-C4146)&lt;0.005,"一致","不一致"))</x:f>
        <x:v>AmountIncludingTax缺失</x:v>
      </x:c>
      <x:c r="F4146" s="19" t="str">
        <x:v>approved</x:v>
      </x:c>
      <x:c r="G4146" s="19" t="str">
        <x:v>Repairer Invoiced Processed</x:v>
      </x:c>
      <x:c r="H4146" s="19" t="str">
        <x:v>In Field</x:v>
      </x:c>
      <x:c r="I4146" s="37" t="n">
        <x:v>46055</x:v>
      </x:c>
      <x:c r="J4146" s="37" t="n">
        <x:v>46055</x:v>
      </x:c>
      <x:c r="K4146" s="19" t="str">
        <x:v>Auswide Caravans - South Nowra</x:v>
      </x:c>
      <x:c r="L4146" s="19" t="str">
        <x:v>Z006</x:v>
      </x:c>
      <x:c r="M4146" s="19" t="str">
        <x:v>In Field Warranty Claims</x:v>
      </x:c>
      <x:c r="N4146" s="37" t="n">
        <x:v>46042</x:v>
      </x:c>
      <x:c r="O4146" s="37"/>
      <x:c r="P4146" s="34" t="n">
        <x:v>0</x:v>
      </x:c>
      <x:c r="Q4146" s="37" t="n">
        <x:v>46054.97074074074</x:v>
      </x:c>
    </x:row>
    <x:row r="4147">
      <x:c r="A4147" s="22" t="n">
        <x:v>30092</x:v>
      </x:c>
      <x:c r="B4147" s="28" t="n">
        <x:v>135</x:v>
      </x:c>
      <x:c r="C4147" s="28"/>
      <x:c r="D4147" s="31" t="str">
        <x:f>IF(OR(ISBLANK(B4147),ISBLANK(C4147),B4147=0),"",(C4147-B4147)/B4147)</x:f>
      </x:c>
      <x:c r="E4147" s="22" t="str">
        <x:f>IF(ISBLANK(C4147),"AmountIncludingTax缺失",IF(ABS(B4147-C4147)&lt;0.005,"一致","不一致"))</x:f>
        <x:v>AmountIncludingTax缺失</x:v>
      </x:c>
      <x:c r="F4147" s="19" t="str">
        <x:v>approved</x:v>
      </x:c>
      <x:c r="G4147" s="19" t="str">
        <x:v>Repair in Progress</x:v>
      </x:c>
      <x:c r="H4147" s="19" t="str">
        <x:v>Pre Delivery</x:v>
      </x:c>
      <x:c r="I4147" s="37" t="n">
        <x:v>46077</x:v>
      </x:c>
      <x:c r="J4147" s="37" t="n">
        <x:v>46077</x:v>
      </x:c>
      <x:c r="K4147" s="19" t="str">
        <x:v>Snowy River Frankston</x:v>
      </x:c>
      <x:c r="L4147" s="19" t="str">
        <x:v>Z005</x:v>
      </x:c>
      <x:c r="M4147" s="19" t="str">
        <x:v>Pre Delivery Warranty Claims</x:v>
      </x:c>
      <x:c r="N4147" s="37" t="n">
        <x:v>46042</x:v>
      </x:c>
      <x:c r="O4147" s="37"/>
      <x:c r="P4147" s="34" t="n">
        <x:v>0</x:v>
      </x:c>
      <x:c r="Q4147" s="37" t="n">
        <x:v>46076.91778935185</x:v>
      </x:c>
    </x:row>
    <x:row r="4148">
      <x:c r="A4148" s="22" t="n">
        <x:v>30091</x:v>
      </x:c>
      <x:c r="B4148" s="28" t="n">
        <x:v>163.41</x:v>
      </x:c>
      <x:c r="C4148" s="28" t="n">
        <x:v>179.75</x:v>
      </x:c>
      <x:c r="D4148" s="31" t="n">
        <x:f>IF(OR(ISBLANK(B4148),ISBLANK(C4148),B4148=0),"",(C4148-B4148)/B4148)</x:f>
        <x:v>0.09999388042347472</x:v>
      </x:c>
      <x:c r="E4148" s="22" t="str">
        <x:f>IF(ISBLANK(C4148),"AmountIncludingTax缺失",IF(ABS(B4148-C4148)&lt;0.005,"一致","不一致"))</x:f>
        <x:v>不一致</x:v>
      </x:c>
      <x:c r="F4148" s="19" t="str">
        <x:v>approved</x:v>
      </x:c>
      <x:c r="G4148" s="19" t="str">
        <x:v>Repairer Invoiced Processed</x:v>
      </x:c>
      <x:c r="H4148" s="19" t="str">
        <x:v>Pre Delivery</x:v>
      </x:c>
      <x:c r="I4148" s="37" t="n">
        <x:v>46105</x:v>
      </x:c>
      <x:c r="J4148" s="37" t="n">
        <x:v>46105</x:v>
      </x:c>
      <x:c r="K4148" s="19" t="str">
        <x:v>Green RV - Forest Glen</x:v>
      </x:c>
      <x:c r="L4148" s="19" t="str">
        <x:v>Z005</x:v>
      </x:c>
      <x:c r="M4148" s="19" t="str">
        <x:v>Pre Delivery Warranty Claims</x:v>
      </x:c>
      <x:c r="N4148" s="37" t="n">
        <x:v>46042</x:v>
      </x:c>
      <x:c r="O4148" s="37"/>
      <x:c r="P4148" s="34" t="n">
        <x:v>179.75</x:v>
      </x:c>
      <x:c r="Q4148" s="37" t="n">
        <x:v>46104.955358796295</x:v>
      </x:c>
    </x:row>
    <x:row r="4149">
      <x:c r="A4149" s="22" t="n">
        <x:v>30083</x:v>
      </x:c>
      <x:c r="B4149" s="28" t="n">
        <x:v>202.5</x:v>
      </x:c>
      <x:c r="C4149" s="28"/>
      <x:c r="D4149" s="31" t="str">
        <x:f>IF(OR(ISBLANK(B4149),ISBLANK(C4149),B4149=0),"",(C4149-B4149)/B4149)</x:f>
      </x:c>
      <x:c r="E4149" s="22" t="str">
        <x:f>IF(ISBLANK(C4149),"AmountIncludingTax缺失",IF(ABS(B4149-C4149)&lt;0.005,"一致","不一致"))</x:f>
        <x:v>AmountIncludingTax缺失</x:v>
      </x:c>
      <x:c r="F4149" s="19" t="str">
        <x:v>approved</x:v>
      </x:c>
      <x:c r="G4149" s="19" t="str">
        <x:v>Sales Order Approved</x:v>
      </x:c>
      <x:c r="H4149" s="19" t="str">
        <x:v>Pre Delivery</x:v>
      </x:c>
      <x:c r="I4149" s="37" t="n">
        <x:v>46155</x:v>
      </x:c>
      <x:c r="J4149" s="37" t="n">
        <x:v>46155</x:v>
      </x:c>
      <x:c r="K4149" s="19" t="str">
        <x:v>Snowy River Wangaratta</x:v>
      </x:c>
      <x:c r="L4149" s="19" t="str">
        <x:v>Z005</x:v>
      </x:c>
      <x:c r="M4149" s="19" t="str">
        <x:v>Pre Delivery Warranty Claims</x:v>
      </x:c>
      <x:c r="N4149" s="37" t="n">
        <x:v>46042</x:v>
      </x:c>
      <x:c r="O4149" s="37"/>
      <x:c r="P4149" s="34" t="n">
        <x:v>0</x:v>
      </x:c>
      <x:c r="Q4149" s="37" t="n">
        <x:v>46155.036828703705</x:v>
      </x:c>
    </x:row>
    <x:row r="4150">
      <x:c r="A4150" s="22" t="n">
        <x:v>30082</x:v>
      </x:c>
      <x:c r="B4150" s="28" t="n">
        <x:v>830</x:v>
      </x:c>
      <x:c r="C4150" s="28"/>
      <x:c r="D4150" s="31" t="str">
        <x:f>IF(OR(ISBLANK(B4150),ISBLANK(C4150),B4150=0),"",(C4150-B4150)/B4150)</x:f>
      </x:c>
      <x:c r="E4150" s="22" t="str">
        <x:f>IF(ISBLANK(C4150),"AmountIncludingTax缺失",IF(ABS(B4150-C4150)&lt;0.005,"一致","不一致"))</x:f>
        <x:v>AmountIncludingTax缺失</x:v>
      </x:c>
      <x:c r="F4150" s="19" t="str">
        <x:v>approved</x:v>
      </x:c>
      <x:c r="G4150" s="19" t="str">
        <x:v>Repairer Invoiced Processed</x:v>
      </x:c>
      <x:c r="H4150" s="19" t="str">
        <x:v>In Field</x:v>
      </x:c>
      <x:c r="I4150" s="37" t="n">
        <x:v>46092</x:v>
      </x:c>
      <x:c r="J4150" s="37" t="n">
        <x:v>46073</x:v>
      </x:c>
      <x:c r="K4150" s="19" t="str">
        <x:v>Green RV - Forest Glen</x:v>
      </x:c>
      <x:c r="L4150" s="19" t="str">
        <x:v>Z006</x:v>
      </x:c>
      <x:c r="M4150" s="19" t="str">
        <x:v>In Field Warranty Claims</x:v>
      </x:c>
      <x:c r="N4150" s="37" t="n">
        <x:v>46042</x:v>
      </x:c>
      <x:c r="O4150" s="37"/>
      <x:c r="P4150" s="34" t="n">
        <x:v>0</x:v>
      </x:c>
      <x:c r="Q4150" s="37" t="n">
        <x:v>46092.20228009259</x:v>
      </x:c>
    </x:row>
    <x:row r="4151">
      <x:c r="A4151" s="22" t="n">
        <x:v>30081</x:v>
      </x:c>
      <x:c r="B4151" s="28" t="n">
        <x:v>675</x:v>
      </x:c>
      <x:c r="C4151" s="28"/>
      <x:c r="D4151" s="31" t="str">
        <x:f>IF(OR(ISBLANK(B4151),ISBLANK(C4151),B4151=0),"",(C4151-B4151)/B4151)</x:f>
      </x:c>
      <x:c r="E4151" s="22" t="str">
        <x:f>IF(ISBLANK(C4151),"AmountIncludingTax缺失",IF(ABS(B4151-C4151)&lt;0.005,"一致","不一致"))</x:f>
        <x:v>AmountIncludingTax缺失</x:v>
      </x:c>
      <x:c r="F4151" s="19" t="str">
        <x:v>approved</x:v>
      </x:c>
      <x:c r="G4151" s="19" t="str">
        <x:v>Repair in Progress</x:v>
      </x:c>
      <x:c r="H4151" s="19" t="str">
        <x:v>In Field</x:v>
      </x:c>
      <x:c r="I4151" s="37" t="n">
        <x:v>46108</x:v>
      </x:c>
      <x:c r="J4151" s="37" t="n">
        <x:v>46108</x:v>
      </x:c>
      <x:c r="K4151" s="19" t="str">
        <x:v>Sherrif Caravans &amp; Traliers - Prospect Vale</x:v>
      </x:c>
      <x:c r="L4151" s="19" t="str">
        <x:v>Z006</x:v>
      </x:c>
      <x:c r="M4151" s="19" t="str">
        <x:v>In Field Warranty Claims</x:v>
      </x:c>
      <x:c r="N4151" s="37" t="n">
        <x:v>46042</x:v>
      </x:c>
      <x:c r="O4151" s="37"/>
      <x:c r="P4151" s="34" t="n">
        <x:v>0</x:v>
      </x:c>
      <x:c r="Q4151" s="37" t="n">
        <x:v>46108.10290509259</x:v>
      </x:c>
    </x:row>
    <x:row r="4152">
      <x:c r="A4152" s="22" t="n">
        <x:v>30079</x:v>
      </x:c>
      <x:c r="B4152" s="28" t="n">
        <x:v>303.75</x:v>
      </x:c>
      <x:c r="C4152" s="28"/>
      <x:c r="D4152" s="31" t="str">
        <x:f>IF(OR(ISBLANK(B4152),ISBLANK(C4152),B4152=0),"",(C4152-B4152)/B4152)</x:f>
      </x:c>
      <x:c r="E4152" s="22" t="str">
        <x:f>IF(ISBLANK(C4152),"AmountIncludingTax缺失",IF(ABS(B4152-C4152)&lt;0.005,"一致","不一致"))</x:f>
        <x:v>AmountIncludingTax缺失</x:v>
      </x:c>
      <x:c r="F4152" s="19" t="str">
        <x:v>approved</x:v>
      </x:c>
      <x:c r="G4152" s="19" t="str">
        <x:v>Repair in Progress</x:v>
      </x:c>
      <x:c r="H4152" s="19" t="str">
        <x:v>In Field</x:v>
      </x:c>
      <x:c r="I4152" s="37" t="n">
        <x:v>46125</x:v>
      </x:c>
      <x:c r="J4152" s="37" t="n">
        <x:v>46125</x:v>
      </x:c>
      <x:c r="K4152" s="19" t="str">
        <x:v>Regent RV - Perth</x:v>
      </x:c>
      <x:c r="L4152" s="19" t="str">
        <x:v>Z006</x:v>
      </x:c>
      <x:c r="M4152" s="19" t="str">
        <x:v>In Field Warranty Claims</x:v>
      </x:c>
      <x:c r="N4152" s="37" t="n">
        <x:v>46042</x:v>
      </x:c>
      <x:c r="O4152" s="37"/>
      <x:c r="P4152" s="34" t="n">
        <x:v>0</x:v>
      </x:c>
      <x:c r="Q4152" s="37" t="n">
        <x:v>46125.07790509259</x:v>
      </x:c>
    </x:row>
    <x:row r="4153">
      <x:c r="A4153" s="22" t="n">
        <x:v>30078</x:v>
      </x:c>
      <x:c r="B4153" s="28" t="n">
        <x:v>540</x:v>
      </x:c>
      <x:c r="C4153" s="28"/>
      <x:c r="D4153" s="31" t="str">
        <x:f>IF(OR(ISBLANK(B4153),ISBLANK(C4153),B4153=0),"",(C4153-B4153)/B4153)</x:f>
      </x:c>
      <x:c r="E4153" s="22" t="str">
        <x:f>IF(ISBLANK(C4153),"AmountIncludingTax缺失",IF(ABS(B4153-C4153)&lt;0.005,"一致","不一致"))</x:f>
        <x:v>AmountIncludingTax缺失</x:v>
      </x:c>
      <x:c r="F4153" s="19" t="str">
        <x:v>approved</x:v>
      </x:c>
      <x:c r="G4153" s="19" t="str">
        <x:v>Repair in Progress</x:v>
      </x:c>
      <x:c r="H4153" s="19" t="str">
        <x:v>In Field</x:v>
      </x:c>
      <x:c r="I4153" s="37" t="n">
        <x:v>46078</x:v>
      </x:c>
      <x:c r="J4153" s="37" t="n">
        <x:v>46078</x:v>
      </x:c>
      <x:c r="K4153" s="19" t="str">
        <x:v>Regent RV - Frankston</x:v>
      </x:c>
      <x:c r="L4153" s="19" t="str">
        <x:v>Z006</x:v>
      </x:c>
      <x:c r="M4153" s="19" t="str">
        <x:v>In Field Warranty Claims</x:v>
      </x:c>
      <x:c r="N4153" s="37" t="n">
        <x:v>46042</x:v>
      </x:c>
      <x:c r="O4153" s="37"/>
      <x:c r="P4153" s="34" t="n">
        <x:v>0</x:v>
      </x:c>
      <x:c r="Q4153" s="37" t="n">
        <x:v>46078.13912037037</x:v>
      </x:c>
    </x:row>
    <x:row r="4154">
      <x:c r="A4154" s="22" t="n">
        <x:v>30077</x:v>
      </x:c>
      <x:c r="B4154" s="28" t="n">
        <x:v>468.01</x:v>
      </x:c>
      <x:c r="C4154" s="28" t="n">
        <x:v>514.81</x:v>
      </x:c>
      <x:c r="D4154" s="31" t="n">
        <x:f>IF(OR(ISBLANK(B4154),ISBLANK(C4154),B4154=0),"",(C4154-B4154)/B4154)</x:f>
        <x:v>0.09999786329351927</x:v>
      </x:c>
      <x:c r="E4154" s="22" t="str">
        <x:f>IF(ISBLANK(C4154),"AmountIncludingTax缺失",IF(ABS(B4154-C4154)&lt;0.005,"一致","不一致"))</x:f>
        <x:v>不一致</x:v>
      </x:c>
      <x:c r="F4154" s="19" t="str">
        <x:v>approved</x:v>
      </x:c>
      <x:c r="G4154" s="19" t="str">
        <x:v>Repairer Invoiced Processed</x:v>
      </x:c>
      <x:c r="H4154" s="19" t="str">
        <x:v>Pre Delivery</x:v>
      </x:c>
      <x:c r="I4154" s="37" t="n">
        <x:v>46112</x:v>
      </x:c>
      <x:c r="J4154" s="37" t="n">
        <x:v>46112</x:v>
      </x:c>
      <x:c r="K4154" s="19" t="str">
        <x:v>Lesiure Lion-New Castle</x:v>
      </x:c>
      <x:c r="L4154" s="19" t="str">
        <x:v>Z005</x:v>
      </x:c>
      <x:c r="M4154" s="19" t="str">
        <x:v>Pre Delivery Warranty Claims</x:v>
      </x:c>
      <x:c r="N4154" s="37" t="n">
        <x:v>46042</x:v>
      </x:c>
      <x:c r="O4154" s="37"/>
      <x:c r="P4154" s="34" t="n">
        <x:v>514.81</x:v>
      </x:c>
      <x:c r="Q4154" s="37" t="n">
        <x:v>46111.94399305555</x:v>
      </x:c>
    </x:row>
    <x:row r="4155">
      <x:c r="A4155" s="22" t="n">
        <x:v>30076</x:v>
      </x:c>
      <x:c r="B4155" s="28" t="n">
        <x:v>829.08</x:v>
      </x:c>
      <x:c r="C4155" s="28" t="n">
        <x:v>911.99</x:v>
      </x:c>
      <x:c r="D4155" s="31" t="n">
        <x:f>IF(OR(ISBLANK(B4155),ISBLANK(C4155),B4155=0),"",(C4155-B4155)/B4155)</x:f>
        <x:v>0.10000241231244267</x:v>
      </x:c>
      <x:c r="E4155" s="22" t="str">
        <x:f>IF(ISBLANK(C4155),"AmountIncludingTax缺失",IF(ABS(B4155-C4155)&lt;0.005,"一致","不一致"))</x:f>
        <x:v>不一致</x:v>
      </x:c>
      <x:c r="F4155" s="19" t="str">
        <x:v>approved</x:v>
      </x:c>
      <x:c r="G4155" s="19" t="str">
        <x:v>Repairer Invoiced Processed</x:v>
      </x:c>
      <x:c r="H4155" s="19" t="str">
        <x:v>In Field</x:v>
      </x:c>
      <x:c r="I4155" s="37" t="n">
        <x:v>46085</x:v>
      </x:c>
      <x:c r="J4155" s="37" t="n">
        <x:v>46085</x:v>
      </x:c>
      <x:c r="K4155" s="19" t="str">
        <x:v>Auswide Caravans - South Nowra</x:v>
      </x:c>
      <x:c r="L4155" s="19" t="str">
        <x:v>Z006</x:v>
      </x:c>
      <x:c r="M4155" s="19" t="str">
        <x:v>In Field Warranty Claims</x:v>
      </x:c>
      <x:c r="N4155" s="37" t="n">
        <x:v>46042</x:v>
      </x:c>
      <x:c r="O4155" s="37"/>
      <x:c r="P4155" s="34" t="n">
        <x:v>911.99</x:v>
      </x:c>
      <x:c r="Q4155" s="37" t="n">
        <x:v>46085.227164351854</x:v>
      </x:c>
    </x:row>
    <x:row r="4156">
      <x:c r="A4156" s="22" t="n">
        <x:v>30075</x:v>
      </x:c>
      <x:c r="B4156" s="28" t="n">
        <x:v>290</x:v>
      </x:c>
      <x:c r="C4156" s="28"/>
      <x:c r="D4156" s="31" t="str">
        <x:f>IF(OR(ISBLANK(B4156),ISBLANK(C4156),B4156=0),"",(C4156-B4156)/B4156)</x:f>
      </x:c>
      <x:c r="E4156" s="22" t="str">
        <x:f>IF(ISBLANK(C4156),"AmountIncludingTax缺失",IF(ABS(B4156-C4156)&lt;0.005,"一致","不一致"))</x:f>
        <x:v>AmountIncludingTax缺失</x:v>
      </x:c>
      <x:c r="F4156" s="19" t="str">
        <x:v>approved</x:v>
      </x:c>
      <x:c r="G4156" s="19" t="str">
        <x:v>Repair in Progress</x:v>
      </x:c>
      <x:c r="H4156" s="19" t="str">
        <x:v>In Field</x:v>
      </x:c>
      <x:c r="I4156" s="37" t="n">
        <x:v>46065</x:v>
      </x:c>
      <x:c r="J4156" s="37" t="n">
        <x:v>46065</x:v>
      </x:c>
      <x:c r="K4156" s="19" t="str">
        <x:v>Green RV - Slacks Creek</x:v>
      </x:c>
      <x:c r="L4156" s="19" t="str">
        <x:v>Z006</x:v>
      </x:c>
      <x:c r="M4156" s="19" t="str">
        <x:v>In Field Warranty Claims</x:v>
      </x:c>
      <x:c r="N4156" s="37" t="n">
        <x:v>46042</x:v>
      </x:c>
      <x:c r="O4156" s="37"/>
      <x:c r="P4156" s="34" t="n">
        <x:v>0</x:v>
      </x:c>
      <x:c r="Q4156" s="37" t="n">
        <x:v>46065.17196759259</x:v>
      </x:c>
    </x:row>
    <x:row r="4157">
      <x:c r="A4157" s="22" t="n">
        <x:v>30074</x:v>
      </x:c>
      <x:c r="B4157" s="28" t="n">
        <x:v>877.5</x:v>
      </x:c>
      <x:c r="C4157" s="28"/>
      <x:c r="D4157" s="31" t="str">
        <x:f>IF(OR(ISBLANK(B4157),ISBLANK(C4157),B4157=0),"",(C4157-B4157)/B4157)</x:f>
      </x:c>
      <x:c r="E4157" s="22" t="str">
        <x:f>IF(ISBLANK(C4157),"AmountIncludingTax缺失",IF(ABS(B4157-C4157)&lt;0.005,"一致","不一致"))</x:f>
        <x:v>AmountIncludingTax缺失</x:v>
      </x:c>
      <x:c r="F4157" s="19" t="str">
        <x:v>approved</x:v>
      </x:c>
      <x:c r="G4157" s="19" t="str">
        <x:v>Partially Picked</x:v>
      </x:c>
      <x:c r="H4157" s="19" t="str">
        <x:v>In Field</x:v>
      </x:c>
      <x:c r="I4157" s="37" t="n">
        <x:v>46108</x:v>
      </x:c>
      <x:c r="J4157" s="37" t="n">
        <x:v>46108</x:v>
      </x:c>
      <x:c r="K4157" s="19" t="str">
        <x:v>Sherrif Caravans &amp; Traliers - Prospect Vale</x:v>
      </x:c>
      <x:c r="L4157" s="19" t="str">
        <x:v>Z006</x:v>
      </x:c>
      <x:c r="M4157" s="19" t="str">
        <x:v>In Field Warranty Claims</x:v>
      </x:c>
      <x:c r="N4157" s="37" t="n">
        <x:v>46042</x:v>
      </x:c>
      <x:c r="O4157" s="37"/>
      <x:c r="P4157" s="34" t="n">
        <x:v>0</x:v>
      </x:c>
      <x:c r="Q4157" s="37" t="n">
        <x:v>46108.10457175926</x:v>
      </x:c>
    </x:row>
    <x:row r="4158">
      <x:c r="A4158" s="22" t="n">
        <x:v>30073</x:v>
      </x:c>
      <x:c r="B4158" s="28" t="n">
        <x:v>77.5</x:v>
      </x:c>
      <x:c r="C4158" s="28"/>
      <x:c r="D4158" s="31" t="str">
        <x:f>IF(OR(ISBLANK(B4158),ISBLANK(C4158),B4158=0),"",(C4158-B4158)/B4158)</x:f>
      </x:c>
      <x:c r="E4158" s="22" t="str">
        <x:f>IF(ISBLANK(C4158),"AmountIncludingTax缺失",IF(ABS(B4158-C4158)&lt;0.005,"一致","不一致"))</x:f>
        <x:v>AmountIncludingTax缺失</x:v>
      </x:c>
      <x:c r="F4158" s="19" t="str">
        <x:v>approved</x:v>
      </x:c>
      <x:c r="G4158" s="19" t="str">
        <x:v>Sales Order Approved</x:v>
      </x:c>
      <x:c r="H4158" s="19" t="str">
        <x:v>In Field</x:v>
      </x:c>
      <x:c r="I4158" s="37" t="n">
        <x:v>46203</x:v>
      </x:c>
      <x:c r="J4158" s="37" t="n">
        <x:v>46064</x:v>
      </x:c>
      <x:c r="K4158" s="19" t="str">
        <x:v>Green RV - Forest Glen</x:v>
      </x:c>
      <x:c r="L4158" s="19" t="str">
        <x:v>Z006</x:v>
      </x:c>
      <x:c r="M4158" s="19" t="str">
        <x:v>In Field Warranty Claims</x:v>
      </x:c>
      <x:c r="N4158" s="37" t="n">
        <x:v>46042</x:v>
      </x:c>
      <x:c r="O4158" s="37"/>
      <x:c r="P4158" s="34" t="n">
        <x:v>0</x:v>
      </x:c>
      <x:c r="Q4158" s="37" t="n">
        <x:v>46203.129699074074</x:v>
      </x:c>
    </x:row>
    <x:row r="4159">
      <x:c r="A4159" s="22" t="n">
        <x:v>30072</x:v>
      </x:c>
      <x:c r="B4159" s="28" t="n">
        <x:v>61.37</x:v>
      </x:c>
      <x:c r="C4159" s="28"/>
      <x:c r="D4159" s="31" t="str">
        <x:f>IF(OR(ISBLANK(B4159),ISBLANK(C4159),B4159=0),"",(C4159-B4159)/B4159)</x:f>
      </x:c>
      <x:c r="E4159" s="22" t="str">
        <x:f>IF(ISBLANK(C4159),"AmountIncludingTax缺失",IF(ABS(B4159-C4159)&lt;0.005,"一致","不一致"))</x:f>
        <x:v>AmountIncludingTax缺失</x:v>
      </x:c>
      <x:c r="F4159" s="19" t="str">
        <x:v>approved_closed</x:v>
      </x:c>
      <x:c r="G4159" s="19" t="str">
        <x:v>Approved Claims Closed (Closed)</x:v>
      </x:c>
      <x:c r="H4159" s="19" t="str">
        <x:v>In Field</x:v>
      </x:c>
      <x:c r="I4159" s="37" t="n">
        <x:v>46083</x:v>
      </x:c>
      <x:c r="J4159" s="37" t="n">
        <x:v>46050</x:v>
      </x:c>
      <x:c r="K4159" s="19" t="str">
        <x:v>Green RV - Forest Glen</x:v>
      </x:c>
      <x:c r="L4159" s="19" t="str">
        <x:v>Z006</x:v>
      </x:c>
      <x:c r="M4159" s="19" t="str">
        <x:v>In Field Warranty Claims</x:v>
      </x:c>
      <x:c r="N4159" s="37" t="n">
        <x:v>46042</x:v>
      </x:c>
      <x:c r="O4159" s="37" t="n">
        <x:v>46050</x:v>
      </x:c>
      <x:c r="P4159" s="34" t="n">
        <x:v>0</x:v>
      </x:c>
      <x:c r="Q4159" s="37" t="n">
        <x:v>46082.85792824074</x:v>
      </x:c>
    </x:row>
    <x:row r="4160">
      <x:c r="A4160" s="22" t="n">
        <x:v>30070</x:v>
      </x:c>
      <x:c r="B4160" s="28" t="n">
        <x:v>204.55</x:v>
      </x:c>
      <x:c r="C4160" s="28" t="n">
        <x:v>225.01</x:v>
      </x:c>
      <x:c r="D4160" s="31" t="n">
        <x:f>IF(OR(ISBLANK(B4160),ISBLANK(C4160),B4160=0),"",(C4160-B4160)/B4160)</x:f>
        <x:v>0.10002444390124654</x:v>
      </x:c>
      <x:c r="E4160" s="22" t="str">
        <x:f>IF(ISBLANK(C4160),"AmountIncludingTax缺失",IF(ABS(B4160-C4160)&lt;0.005,"一致","不一致"))</x:f>
        <x:v>不一致</x:v>
      </x:c>
      <x:c r="F4160" s="19" t="str">
        <x:v>approved</x:v>
      </x:c>
      <x:c r="G4160" s="19" t="str">
        <x:v>Repairer Invoiced Processed</x:v>
      </x:c>
      <x:c r="H4160" s="19" t="str">
        <x:v>In Field</x:v>
      </x:c>
      <x:c r="I4160" s="37" t="n">
        <x:v>46134</x:v>
      </x:c>
      <x:c r="J4160" s="37" t="n">
        <x:v>46134</x:v>
      </x:c>
      <x:c r="K4160" s="19" t="str">
        <x:v>Regent RV - Perth</x:v>
      </x:c>
      <x:c r="L4160" s="19" t="str">
        <x:v>Z006</x:v>
      </x:c>
      <x:c r="M4160" s="19" t="str">
        <x:v>In Field Warranty Claims</x:v>
      </x:c>
      <x:c r="N4160" s="37" t="n">
        <x:v>46042</x:v>
      </x:c>
      <x:c r="O4160" s="37"/>
      <x:c r="P4160" s="34" t="n">
        <x:v>225.01</x:v>
      </x:c>
      <x:c r="Q4160" s="37" t="n">
        <x:v>46134.18063657408</x:v>
      </x:c>
    </x:row>
    <x:row r="4161">
      <x:c r="A4161" s="22" t="n">
        <x:v>30068</x:v>
      </x:c>
      <x:c r="B4161" s="28" t="n">
        <x:v>810</x:v>
      </x:c>
      <x:c r="C4161" s="28"/>
      <x:c r="D4161" s="31" t="str">
        <x:f>IF(OR(ISBLANK(B4161),ISBLANK(C4161),B4161=0),"",(C4161-B4161)/B4161)</x:f>
      </x:c>
      <x:c r="E4161" s="22" t="str">
        <x:f>IF(ISBLANK(C4161),"AmountIncludingTax缺失",IF(ABS(B4161-C4161)&lt;0.005,"一致","不一致"))</x:f>
        <x:v>AmountIncludingTax缺失</x:v>
      </x:c>
      <x:c r="F4161" s="19" t="str">
        <x:v>approved</x:v>
      </x:c>
      <x:c r="G4161" s="19" t="str">
        <x:v>Repair in Progress</x:v>
      </x:c>
      <x:c r="H4161" s="19" t="str">
        <x:v>In Field</x:v>
      </x:c>
      <x:c r="I4161" s="37" t="n">
        <x:v>46072</x:v>
      </x:c>
      <x:c r="J4161" s="37" t="n">
        <x:v>46072</x:v>
      </x:c>
      <x:c r="K4161" s="19" t="str">
        <x:v>Snowy River Launceston</x:v>
      </x:c>
      <x:c r="L4161" s="19" t="str">
        <x:v>Z006</x:v>
      </x:c>
      <x:c r="M4161" s="19" t="str">
        <x:v>In Field Warranty Claims</x:v>
      </x:c>
      <x:c r="N4161" s="37" t="n">
        <x:v>46042</x:v>
      </x:c>
      <x:c r="O4161" s="37"/>
      <x:c r="P4161" s="34" t="n">
        <x:v>0</x:v>
      </x:c>
      <x:c r="Q4161" s="37" t="n">
        <x:v>46072.18784722222</x:v>
      </x:c>
    </x:row>
    <x:row r="4162">
      <x:c r="A4162" s="22" t="n">
        <x:v>30067</x:v>
      </x:c>
      <x:c r="B4162" s="28" t="n">
        <x:v>101.25</x:v>
      </x:c>
      <x:c r="C4162" s="28"/>
      <x:c r="D4162" s="31" t="str">
        <x:f>IF(OR(ISBLANK(B4162),ISBLANK(C4162),B4162=0),"",(C4162-B4162)/B4162)</x:f>
      </x:c>
      <x:c r="E4162" s="22" t="str">
        <x:f>IF(ISBLANK(C4162),"AmountIncludingTax缺失",IF(ABS(B4162-C4162)&lt;0.005,"一致","不一致"))</x:f>
        <x:v>AmountIncludingTax缺失</x:v>
      </x:c>
      <x:c r="F4162" s="19" t="str">
        <x:v>approved</x:v>
      </x:c>
      <x:c r="G4162" s="19" t="str">
        <x:v>Repairer Invoiced Processed</x:v>
      </x:c>
      <x:c r="H4162" s="19" t="str">
        <x:v>In Field</x:v>
      </x:c>
      <x:c r="I4162" s="37" t="n">
        <x:v>46077</x:v>
      </x:c>
      <x:c r="J4162" s="37" t="n">
        <x:v>46077</x:v>
      </x:c>
      <x:c r="K4162" s="19" t="str">
        <x:v>Regent RV Pty Ltd</x:v>
      </x:c>
      <x:c r="L4162" s="19" t="str">
        <x:v>Z006</x:v>
      </x:c>
      <x:c r="M4162" s="19" t="str">
        <x:v>In Field Warranty Claims</x:v>
      </x:c>
      <x:c r="N4162" s="37" t="n">
        <x:v>46042</x:v>
      </x:c>
      <x:c r="O4162" s="37"/>
      <x:c r="P4162" s="34" t="n">
        <x:v>0</x:v>
      </x:c>
      <x:c r="Q4162" s="37" t="n">
        <x:v>46076.93605324074</x:v>
      </x:c>
    </x:row>
    <x:row r="4163">
      <x:c r="A4163" s="22" t="n">
        <x:v>30066</x:v>
      </x:c>
      <x:c r="B4163" s="28" t="n">
        <x:v>290</x:v>
      </x:c>
      <x:c r="C4163" s="28"/>
      <x:c r="D4163" s="31" t="str">
        <x:f>IF(OR(ISBLANK(B4163),ISBLANK(C4163),B4163=0),"",(C4163-B4163)/B4163)</x:f>
      </x:c>
      <x:c r="E4163" s="22" t="str">
        <x:f>IF(ISBLANK(C4163),"AmountIncludingTax缺失",IF(ABS(B4163-C4163)&lt;0.005,"一致","不一致"))</x:f>
        <x:v>AmountIncludingTax缺失</x:v>
      </x:c>
      <x:c r="F4163" s="19" t="str">
        <x:v>approved</x:v>
      </x:c>
      <x:c r="G4163" s="19" t="str">
        <x:v>Repair in Progress</x:v>
      </x:c>
      <x:c r="H4163" s="19" t="str">
        <x:v>In Field</x:v>
      </x:c>
      <x:c r="I4163" s="37" t="n">
        <x:v>46087</x:v>
      </x:c>
      <x:c r="J4163" s="37" t="n">
        <x:v>46087</x:v>
      </x:c>
      <x:c r="K4163" s="19" t="str">
        <x:v>Green RV - Slacks Creek</x:v>
      </x:c>
      <x:c r="L4163" s="19" t="str">
        <x:v>Z006</x:v>
      </x:c>
      <x:c r="M4163" s="19" t="str">
        <x:v>In Field Warranty Claims</x:v>
      </x:c>
      <x:c r="N4163" s="37" t="n">
        <x:v>46042</x:v>
      </x:c>
      <x:c r="O4163" s="37"/>
      <x:c r="P4163" s="34" t="n">
        <x:v>0</x:v>
      </x:c>
      <x:c r="Q4163" s="37" t="n">
        <x:v>46087.067824074074</x:v>
      </x:c>
    </x:row>
    <x:row r="4164">
      <x:c r="A4164" s="22" t="n">
        <x:v>30064</x:v>
      </x:c>
      <x:c r="B4164" s="28" t="n">
        <x:v>1511.25</x:v>
      </x:c>
      <x:c r="C4164" s="28"/>
      <x:c r="D4164" s="31" t="str">
        <x:f>IF(OR(ISBLANK(B4164),ISBLANK(C4164),B4164=0),"",(C4164-B4164)/B4164)</x:f>
      </x:c>
      <x:c r="E4164" s="22" t="str">
        <x:f>IF(ISBLANK(C4164),"AmountIncludingTax缺失",IF(ABS(B4164-C4164)&lt;0.005,"一致","不一致"))</x:f>
        <x:v>AmountIncludingTax缺失</x:v>
      </x:c>
      <x:c r="F4164" s="19" t="str">
        <x:v>approved</x:v>
      </x:c>
      <x:c r="G4164" s="19" t="str">
        <x:v>Repair in Progress</x:v>
      </x:c>
      <x:c r="H4164" s="19" t="str">
        <x:v>In Field</x:v>
      </x:c>
      <x:c r="I4164" s="37" t="n">
        <x:v>46072</x:v>
      </x:c>
      <x:c r="J4164" s="37" t="n">
        <x:v>46072</x:v>
      </x:c>
      <x:c r="K4164" s="19" t="str">
        <x:v>Regent RV Pty Ltd</x:v>
      </x:c>
      <x:c r="L4164" s="19" t="str">
        <x:v>Z006</x:v>
      </x:c>
      <x:c r="M4164" s="19" t="str">
        <x:v>In Field Warranty Claims</x:v>
      </x:c>
      <x:c r="N4164" s="37" t="n">
        <x:v>46042</x:v>
      </x:c>
      <x:c r="O4164" s="37"/>
      <x:c r="P4164" s="34" t="n">
        <x:v>0</x:v>
      </x:c>
      <x:c r="Q4164" s="37" t="n">
        <x:v>46072.15109953703</x:v>
      </x:c>
    </x:row>
    <x:row r="4165">
      <x:c r="A4165" s="22" t="n">
        <x:v>30062</x:v>
      </x:c>
      <x:c r="B4165" s="28" t="n">
        <x:v>101.25</x:v>
      </x:c>
      <x:c r="C4165" s="28"/>
      <x:c r="D4165" s="31" t="str">
        <x:f>IF(OR(ISBLANK(B4165),ISBLANK(C4165),B4165=0),"",(C4165-B4165)/B4165)</x:f>
      </x:c>
      <x:c r="E4165" s="22" t="str">
        <x:f>IF(ISBLANK(C4165),"AmountIncludingTax缺失",IF(ABS(B4165-C4165)&lt;0.005,"一致","不一致"))</x:f>
        <x:v>AmountIncludingTax缺失</x:v>
      </x:c>
      <x:c r="F4165" s="19" t="str">
        <x:v>approved</x:v>
      </x:c>
      <x:c r="G4165" s="19" t="str">
        <x:v>Repair in Progress</x:v>
      </x:c>
      <x:c r="H4165" s="19" t="str">
        <x:v>Pre Delivery</x:v>
      </x:c>
      <x:c r="I4165" s="37" t="n">
        <x:v>46077</x:v>
      </x:c>
      <x:c r="J4165" s="37" t="n">
        <x:v>46077</x:v>
      </x:c>
      <x:c r="K4165" s="19" t="str">
        <x:v>Snowy River Frankston</x:v>
      </x:c>
      <x:c r="L4165" s="19" t="str">
        <x:v>Z005</x:v>
      </x:c>
      <x:c r="M4165" s="19" t="str">
        <x:v>Pre Delivery Warranty Claims</x:v>
      </x:c>
      <x:c r="N4165" s="37" t="n">
        <x:v>46042</x:v>
      </x:c>
      <x:c r="O4165" s="37"/>
      <x:c r="P4165" s="34" t="n">
        <x:v>0</x:v>
      </x:c>
      <x:c r="Q4165" s="37" t="n">
        <x:v>46076.923530092594</x:v>
      </x:c>
    </x:row>
    <x:row r="4166">
      <x:c r="A4166" s="22" t="n">
        <x:v>30061</x:v>
      </x:c>
      <x:c r="B4166" s="28" t="n">
        <x:v>337.5</x:v>
      </x:c>
      <x:c r="C4166" s="28"/>
      <x:c r="D4166" s="31" t="str">
        <x:f>IF(OR(ISBLANK(B4166),ISBLANK(C4166),B4166=0),"",(C4166-B4166)/B4166)</x:f>
      </x:c>
      <x:c r="E4166" s="22" t="str">
        <x:f>IF(ISBLANK(C4166),"AmountIncludingTax缺失",IF(ABS(B4166-C4166)&lt;0.005,"一致","不一致"))</x:f>
        <x:v>AmountIncludingTax缺失</x:v>
      </x:c>
      <x:c r="F4166" s="19" t="str">
        <x:v>approved</x:v>
      </x:c>
      <x:c r="G4166" s="19" t="str">
        <x:v>Repairer Invoiced Processed</x:v>
      </x:c>
      <x:c r="H4166" s="19" t="str">
        <x:v>In Field</x:v>
      </x:c>
      <x:c r="I4166" s="37" t="n">
        <x:v>46065</x:v>
      </x:c>
      <x:c r="J4166" s="37" t="n">
        <x:v>46065</x:v>
      </x:c>
      <x:c r="K4166" s="19" t="str">
        <x:v>Green RV - Forest Glen</x:v>
      </x:c>
      <x:c r="L4166" s="19" t="str">
        <x:v>Z006</x:v>
      </x:c>
      <x:c r="M4166" s="19" t="str">
        <x:v>In Field Warranty Claims</x:v>
      </x:c>
      <x:c r="N4166" s="37" t="n">
        <x:v>46042</x:v>
      </x:c>
      <x:c r="O4166" s="37"/>
      <x:c r="P4166" s="34" t="n">
        <x:v>0</x:v>
      </x:c>
      <x:c r="Q4166" s="37" t="n">
        <x:v>46064.92569444444</x:v>
      </x:c>
    </x:row>
    <x:row r="4167">
      <x:c r="A4167" s="22" t="n">
        <x:v>30060</x:v>
      </x:c>
      <x:c r="B4167" s="28" t="n">
        <x:v>445</x:v>
      </x:c>
      <x:c r="C4167" s="28"/>
      <x:c r="D4167" s="31" t="str">
        <x:f>IF(OR(ISBLANK(B4167),ISBLANK(C4167),B4167=0),"",(C4167-B4167)/B4167)</x:f>
      </x:c>
      <x:c r="E4167" s="22" t="str">
        <x:f>IF(ISBLANK(C4167),"AmountIncludingTax缺失",IF(ABS(B4167-C4167)&lt;0.005,"一致","不一致"))</x:f>
        <x:v>AmountIncludingTax缺失</x:v>
      </x:c>
      <x:c r="F4167" s="19" t="str">
        <x:v>approved</x:v>
      </x:c>
      <x:c r="G4167" s="19" t="str">
        <x:v>Repairer Invoiced Processed</x:v>
      </x:c>
      <x:c r="H4167" s="19" t="str">
        <x:v>In Field</x:v>
      </x:c>
      <x:c r="I4167" s="37" t="n">
        <x:v>46058</x:v>
      </x:c>
      <x:c r="J4167" s="37" t="n">
        <x:v>46058</x:v>
      </x:c>
      <x:c r="K4167" s="19" t="str">
        <x:v>ABCO Caravans - Boambee Valley</x:v>
      </x:c>
      <x:c r="L4167" s="19" t="str">
        <x:v>Z006</x:v>
      </x:c>
      <x:c r="M4167" s="19" t="str">
        <x:v>In Field Warranty Claims</x:v>
      </x:c>
      <x:c r="N4167" s="37" t="n">
        <x:v>46042</x:v>
      </x:c>
      <x:c r="O4167" s="37"/>
      <x:c r="P4167" s="34" t="n">
        <x:v>0</x:v>
      </x:c>
      <x:c r="Q4167" s="37" t="n">
        <x:v>46058.163125</x:v>
      </x:c>
    </x:row>
    <x:row r="4168">
      <x:c r="A4168" s="22" t="n">
        <x:v>30059</x:v>
      </x:c>
      <x:c r="B4168" s="28" t="n">
        <x:v>270</x:v>
      </x:c>
      <x:c r="C4168" s="28"/>
      <x:c r="D4168" s="31" t="str">
        <x:f>IF(OR(ISBLANK(B4168),ISBLANK(C4168),B4168=0),"",(C4168-B4168)/B4168)</x:f>
      </x:c>
      <x:c r="E4168" s="22" t="str">
        <x:f>IF(ISBLANK(C4168),"AmountIncludingTax缺失",IF(ABS(B4168-C4168)&lt;0.005,"一致","不一致"))</x:f>
        <x:v>AmountIncludingTax缺失</x:v>
      </x:c>
      <x:c r="F4168" s="19" t="str">
        <x:v>approved</x:v>
      </x:c>
      <x:c r="G4168" s="19" t="str">
        <x:v>Repair in Progress</x:v>
      </x:c>
      <x:c r="H4168" s="19" t="str">
        <x:v>In Field</x:v>
      </x:c>
      <x:c r="I4168" s="37" t="n">
        <x:v>46076</x:v>
      </x:c>
      <x:c r="J4168" s="37" t="n">
        <x:v>46042</x:v>
      </x:c>
      <x:c r="K4168" s="19" t="str">
        <x:v>Snowy River Frankston</x:v>
      </x:c>
      <x:c r="L4168" s="19" t="str">
        <x:v>Z006</x:v>
      </x:c>
      <x:c r="M4168" s="19" t="str">
        <x:v>In Field Warranty Claims</x:v>
      </x:c>
      <x:c r="N4168" s="37" t="n">
        <x:v>46042</x:v>
      </x:c>
      <x:c r="O4168" s="37"/>
      <x:c r="P4168" s="34" t="n">
        <x:v>0</x:v>
      </x:c>
      <x:c r="Q4168" s="37" t="n">
        <x:v>46076.208506944444</x:v>
      </x:c>
    </x:row>
    <x:row r="4169">
      <x:c r="A4169" s="22" t="n">
        <x:v>30058</x:v>
      </x:c>
      <x:c r="B4169" s="28" t="n">
        <x:v>67.5</x:v>
      </x:c>
      <x:c r="C4169" s="28"/>
      <x:c r="D4169" s="31" t="str">
        <x:f>IF(OR(ISBLANK(B4169),ISBLANK(C4169),B4169=0),"",(C4169-B4169)/B4169)</x:f>
      </x:c>
      <x:c r="E4169" s="22" t="str">
        <x:f>IF(ISBLANK(C4169),"AmountIncludingTax缺失",IF(ABS(B4169-C4169)&lt;0.005,"一致","不一致"))</x:f>
        <x:v>AmountIncludingTax缺失</x:v>
      </x:c>
      <x:c r="F4169" s="19" t="str">
        <x:v>approved</x:v>
      </x:c>
      <x:c r="G4169" s="19" t="str">
        <x:v>Repairer Invoiced Processed</x:v>
      </x:c>
      <x:c r="H4169" s="19" t="str">
        <x:v>In Field</x:v>
      </x:c>
      <x:c r="I4169" s="37" t="n">
        <x:v>46087</x:v>
      </x:c>
      <x:c r="J4169" s="37" t="n">
        <x:v>46087</x:v>
      </x:c>
      <x:c r="K4169" s="19" t="str">
        <x:v>Green RV - Slacks Creek</x:v>
      </x:c>
      <x:c r="L4169" s="19" t="str">
        <x:v>Z006</x:v>
      </x:c>
      <x:c r="M4169" s="19" t="str">
        <x:v>In Field Warranty Claims</x:v>
      </x:c>
      <x:c r="N4169" s="37" t="n">
        <x:v>46041</x:v>
      </x:c>
      <x:c r="O4169" s="37"/>
      <x:c r="P4169" s="34" t="n">
        <x:v>0</x:v>
      </x:c>
      <x:c r="Q4169" s="37" t="n">
        <x:v>46087.09743055556</x:v>
      </x:c>
    </x:row>
    <x:row r="4170">
      <x:c r="A4170" s="22" t="n">
        <x:v>30057</x:v>
      </x:c>
      <x:c r="B4170" s="28" t="n">
        <x:v>982.17</x:v>
      </x:c>
      <x:c r="C4170" s="28"/>
      <x:c r="D4170" s="31" t="str">
        <x:f>IF(OR(ISBLANK(B4170),ISBLANK(C4170),B4170=0),"",(C4170-B4170)/B4170)</x:f>
      </x:c>
      <x:c r="E4170" s="22" t="str">
        <x:f>IF(ISBLANK(C4170),"AmountIncludingTax缺失",IF(ABS(B4170-C4170)&lt;0.005,"一致","不一致"))</x:f>
        <x:v>AmountIncludingTax缺失</x:v>
      </x:c>
      <x:c r="F4170" s="19" t="str">
        <x:v>approved</x:v>
      </x:c>
      <x:c r="G4170" s="19" t="str">
        <x:v>Repairer Invoiced Processed</x:v>
      </x:c>
      <x:c r="H4170" s="19" t="str">
        <x:v>In Field</x:v>
      </x:c>
      <x:c r="I4170" s="37" t="n">
        <x:v>46077</x:v>
      </x:c>
      <x:c r="J4170" s="37" t="n">
        <x:v>46077</x:v>
      </x:c>
      <x:c r="K4170" s="19" t="str">
        <x:v>Green RV - Forest Glen</x:v>
      </x:c>
      <x:c r="L4170" s="19" t="str">
        <x:v>Z006</x:v>
      </x:c>
      <x:c r="M4170" s="19" t="str">
        <x:v>In Field Warranty Claims</x:v>
      </x:c>
      <x:c r="N4170" s="37" t="n">
        <x:v>46041</x:v>
      </x:c>
      <x:c r="O4170" s="37"/>
      <x:c r="P4170" s="34" t="n">
        <x:v>0</x:v>
      </x:c>
      <x:c r="Q4170" s="37" t="n">
        <x:v>46077.046319444446</x:v>
      </x:c>
    </x:row>
    <x:row r="4171">
      <x:c r="A4171" s="22" t="n">
        <x:v>30055</x:v>
      </x:c>
      <x:c r="B4171" s="28" t="n">
        <x:v>202.5</x:v>
      </x:c>
      <x:c r="C4171" s="28"/>
      <x:c r="D4171" s="31" t="str">
        <x:f>IF(OR(ISBLANK(B4171),ISBLANK(C4171),B4171=0),"",(C4171-B4171)/B4171)</x:f>
      </x:c>
      <x:c r="E4171" s="22" t="str">
        <x:f>IF(ISBLANK(C4171),"AmountIncludingTax缺失",IF(ABS(B4171-C4171)&lt;0.005,"一致","不一致"))</x:f>
        <x:v>AmountIncludingTax缺失</x:v>
      </x:c>
      <x:c r="F4171" s="19" t="str">
        <x:v>approved</x:v>
      </x:c>
      <x:c r="G4171" s="19" t="str">
        <x:v>Repairer Invoiced Processed</x:v>
      </x:c>
      <x:c r="H4171" s="19" t="str">
        <x:v>In Field</x:v>
      </x:c>
      <x:c r="I4171" s="37" t="n">
        <x:v>46092</x:v>
      </x:c>
      <x:c r="J4171" s="37" t="n">
        <x:v>46092</x:v>
      </x:c>
      <x:c r="K4171" s="19" t="str">
        <x:v>Green RV - Forest Glen</x:v>
      </x:c>
      <x:c r="L4171" s="19" t="str">
        <x:v>Z006</x:v>
      </x:c>
      <x:c r="M4171" s="19" t="str">
        <x:v>In Field Warranty Claims</x:v>
      </x:c>
      <x:c r="N4171" s="37" t="n">
        <x:v>46041</x:v>
      </x:c>
      <x:c r="O4171" s="37"/>
      <x:c r="P4171" s="34" t="n">
        <x:v>0</x:v>
      </x:c>
      <x:c r="Q4171" s="37" t="n">
        <x:v>46091.858668981484</x:v>
      </x:c>
    </x:row>
    <x:row r="4172">
      <x:c r="A4172" s="22" t="n">
        <x:v>30053</x:v>
      </x:c>
      <x:c r="B4172" s="28" t="n">
        <x:v>456.36</x:v>
      </x:c>
      <x:c r="C4172" s="28"/>
      <x:c r="D4172" s="31" t="str">
        <x:f>IF(OR(ISBLANK(B4172),ISBLANK(C4172),B4172=0),"",(C4172-B4172)/B4172)</x:f>
      </x:c>
      <x:c r="E4172" s="22" t="str">
        <x:f>IF(ISBLANK(C4172),"AmountIncludingTax缺失",IF(ABS(B4172-C4172)&lt;0.005,"一致","不一致"))</x:f>
        <x:v>AmountIncludingTax缺失</x:v>
      </x:c>
      <x:c r="F4172" s="19" t="str">
        <x:v>approved</x:v>
      </x:c>
      <x:c r="G4172" s="19" t="str">
        <x:v>Repairer Invoiced Processed</x:v>
      </x:c>
      <x:c r="H4172" s="19" t="str">
        <x:v>In Field</x:v>
      </x:c>
      <x:c r="I4172" s="37" t="n">
        <x:v>46066</x:v>
      </x:c>
      <x:c r="J4172" s="37" t="n">
        <x:v>46066</x:v>
      </x:c>
      <x:c r="K4172" s="19" t="str">
        <x:v>Green RV - Forest Glen</x:v>
      </x:c>
      <x:c r="L4172" s="19" t="str">
        <x:v>Z006</x:v>
      </x:c>
      <x:c r="M4172" s="19" t="str">
        <x:v>In Field Warranty Claims</x:v>
      </x:c>
      <x:c r="N4172" s="37" t="n">
        <x:v>46041</x:v>
      </x:c>
      <x:c r="O4172" s="37"/>
      <x:c r="P4172" s="34" t="n">
        <x:v>0</x:v>
      </x:c>
      <x:c r="Q4172" s="37" t="n">
        <x:v>46066.022731481484</x:v>
      </x:c>
    </x:row>
    <x:row r="4173">
      <x:c r="A4173" s="22" t="n">
        <x:v>30050</x:v>
      </x:c>
      <x:c r="B4173" s="28" t="n">
        <x:v>482.5</x:v>
      </x:c>
      <x:c r="C4173" s="28"/>
      <x:c r="D4173" s="31" t="str">
        <x:f>IF(OR(ISBLANK(B4173),ISBLANK(C4173),B4173=0),"",(C4173-B4173)/B4173)</x:f>
      </x:c>
      <x:c r="E4173" s="22" t="str">
        <x:f>IF(ISBLANK(C4173),"AmountIncludingTax缺失",IF(ABS(B4173-C4173)&lt;0.005,"一致","不一致"))</x:f>
        <x:v>AmountIncludingTax缺失</x:v>
      </x:c>
      <x:c r="F4173" s="19" t="str">
        <x:v>approved</x:v>
      </x:c>
      <x:c r="G4173" s="19" t="str">
        <x:v>Repairer Invoiced Processed</x:v>
      </x:c>
      <x:c r="H4173" s="19" t="str">
        <x:v>Pre Delivery</x:v>
      </x:c>
      <x:c r="I4173" s="37" t="n">
        <x:v>46079</x:v>
      </x:c>
      <x:c r="J4173" s="37" t="n">
        <x:v>46079</x:v>
      </x:c>
      <x:c r="K4173" s="19" t="str">
        <x:v>Green RV - Forest Glen</x:v>
      </x:c>
      <x:c r="L4173" s="19" t="str">
        <x:v>Z005</x:v>
      </x:c>
      <x:c r="M4173" s="19" t="str">
        <x:v>Pre Delivery Warranty Claims</x:v>
      </x:c>
      <x:c r="N4173" s="37" t="n">
        <x:v>46041</x:v>
      </x:c>
      <x:c r="O4173" s="37"/>
      <x:c r="P4173" s="34" t="n">
        <x:v>0</x:v>
      </x:c>
      <x:c r="Q4173" s="37" t="n">
        <x:v>46079.15194444444</x:v>
      </x:c>
    </x:row>
    <x:row r="4174">
      <x:c r="A4174" s="22" t="n">
        <x:v>30049</x:v>
      </x:c>
      <x:c r="B4174" s="28" t="n">
        <x:v>1022.5</x:v>
      </x:c>
      <x:c r="C4174" s="28"/>
      <x:c r="D4174" s="31" t="str">
        <x:f>IF(OR(ISBLANK(B4174),ISBLANK(C4174),B4174=0),"",(C4174-B4174)/B4174)</x:f>
      </x:c>
      <x:c r="E4174" s="22" t="str">
        <x:f>IF(ISBLANK(C4174),"AmountIncludingTax缺失",IF(ABS(B4174-C4174)&lt;0.005,"一致","不一致"))</x:f>
        <x:v>AmountIncludingTax缺失</x:v>
      </x:c>
      <x:c r="F4174" s="19" t="str">
        <x:v>approved</x:v>
      </x:c>
      <x:c r="G4174" s="19" t="str">
        <x:v>Repairer Invoiced Processed</x:v>
      </x:c>
      <x:c r="H4174" s="19" t="str">
        <x:v>In Field</x:v>
      </x:c>
      <x:c r="I4174" s="37" t="n">
        <x:v>46072</x:v>
      </x:c>
      <x:c r="J4174" s="37" t="n">
        <x:v>46072</x:v>
      </x:c>
      <x:c r="K4174" s="19" t="str">
        <x:v>Lesiure Lion-New Castle</x:v>
      </x:c>
      <x:c r="L4174" s="19" t="str">
        <x:v>Z006</x:v>
      </x:c>
      <x:c r="M4174" s="19" t="str">
        <x:v>In Field Warranty Claims</x:v>
      </x:c>
      <x:c r="N4174" s="37" t="n">
        <x:v>46041</x:v>
      </x:c>
      <x:c r="O4174" s="37"/>
      <x:c r="P4174" s="34" t="n">
        <x:v>0</x:v>
      </x:c>
      <x:c r="Q4174" s="37" t="n">
        <x:v>46072.08530092592</x:v>
      </x:c>
    </x:row>
    <x:row r="4175">
      <x:c r="A4175" s="22" t="n">
        <x:v>30046</x:v>
      </x:c>
      <x:c r="B4175" s="28" t="n">
        <x:v>405</x:v>
      </x:c>
      <x:c r="C4175" s="28"/>
      <x:c r="D4175" s="31" t="str">
        <x:f>IF(OR(ISBLANK(B4175),ISBLANK(C4175),B4175=0),"",(C4175-B4175)/B4175)</x:f>
      </x:c>
      <x:c r="E4175" s="22" t="str">
        <x:f>IF(ISBLANK(C4175),"AmountIncludingTax缺失",IF(ABS(B4175-C4175)&lt;0.005,"一致","不一致"))</x:f>
        <x:v>AmountIncludingTax缺失</x:v>
      </x:c>
      <x:c r="F4175" s="19" t="str">
        <x:v>approved</x:v>
      </x:c>
      <x:c r="G4175" s="19" t="str">
        <x:v>Repair in Progress</x:v>
      </x:c>
      <x:c r="H4175" s="19" t="str">
        <x:v>In Field</x:v>
      </x:c>
      <x:c r="I4175" s="37" t="n">
        <x:v>46156</x:v>
      </x:c>
      <x:c r="J4175" s="37" t="n">
        <x:v>46156</x:v>
      </x:c>
      <x:c r="K4175" s="19" t="str">
        <x:v>Green RV - Forest Glen</x:v>
      </x:c>
      <x:c r="L4175" s="19" t="str">
        <x:v>Z006</x:v>
      </x:c>
      <x:c r="M4175" s="19" t="str">
        <x:v>In Field Warranty Claims</x:v>
      </x:c>
      <x:c r="N4175" s="37" t="n">
        <x:v>46041</x:v>
      </x:c>
      <x:c r="O4175" s="37"/>
      <x:c r="P4175" s="34" t="n">
        <x:v>0</x:v>
      </x:c>
      <x:c r="Q4175" s="37" t="n">
        <x:v>46156.08489583333</x:v>
      </x:c>
    </x:row>
    <x:row r="4176">
      <x:c r="A4176" s="22" t="n">
        <x:v>30045</x:v>
      </x:c>
      <x:c r="B4176" s="28" t="n">
        <x:v>2793.75</x:v>
      </x:c>
      <x:c r="C4176" s="28"/>
      <x:c r="D4176" s="31" t="str">
        <x:f>IF(OR(ISBLANK(B4176),ISBLANK(C4176),B4176=0),"",(C4176-B4176)/B4176)</x:f>
      </x:c>
      <x:c r="E4176" s="22" t="str">
        <x:f>IF(ISBLANK(C4176),"AmountIncludingTax缺失",IF(ABS(B4176-C4176)&lt;0.005,"一致","不一致"))</x:f>
        <x:v>AmountIncludingTax缺失</x:v>
      </x:c>
      <x:c r="F4176" s="19" t="str">
        <x:v>approved</x:v>
      </x:c>
      <x:c r="G4176" s="19" t="str">
        <x:v>Repair in Progress</x:v>
      </x:c>
      <x:c r="H4176" s="19" t="str">
        <x:v>In Field</x:v>
      </x:c>
      <x:c r="I4176" s="37" t="n">
        <x:v>46150</x:v>
      </x:c>
      <x:c r="J4176" s="37" t="n">
        <x:v>46150</x:v>
      </x:c>
      <x:c r="K4176" s="19" t="str">
        <x:v>Regent RV - Perth</x:v>
      </x:c>
      <x:c r="L4176" s="19" t="str">
        <x:v>Z006</x:v>
      </x:c>
      <x:c r="M4176" s="19" t="str">
        <x:v>In Field Warranty Claims</x:v>
      </x:c>
      <x:c r="N4176" s="37" t="n">
        <x:v>46041</x:v>
      </x:c>
      <x:c r="O4176" s="37"/>
      <x:c r="P4176" s="34" t="n">
        <x:v>0</x:v>
      </x:c>
      <x:c r="Q4176" s="37" t="n">
        <x:v>46150.263819444444</x:v>
      </x:c>
    </x:row>
    <x:row r="4177">
      <x:c r="A4177" s="22" t="n">
        <x:v>30042</x:v>
      </x:c>
      <x:c r="B4177" s="28" t="n">
        <x:v>661.25</x:v>
      </x:c>
      <x:c r="C4177" s="28"/>
      <x:c r="D4177" s="31" t="str">
        <x:f>IF(OR(ISBLANK(B4177),ISBLANK(C4177),B4177=0),"",(C4177-B4177)/B4177)</x:f>
      </x:c>
      <x:c r="E4177" s="22" t="str">
        <x:f>IF(ISBLANK(C4177),"AmountIncludingTax缺失",IF(ABS(B4177-C4177)&lt;0.005,"一致","不一致"))</x:f>
        <x:v>AmountIncludingTax缺失</x:v>
      </x:c>
      <x:c r="F4177" s="19" t="str">
        <x:v>approved</x:v>
      </x:c>
      <x:c r="G4177" s="19" t="str">
        <x:v>Repairer Invoiced Processed</x:v>
      </x:c>
      <x:c r="H4177" s="19" t="str">
        <x:v>In Field</x:v>
      </x:c>
      <x:c r="I4177" s="37" t="n">
        <x:v>46058</x:v>
      </x:c>
      <x:c r="J4177" s="37" t="n">
        <x:v>46058</x:v>
      </x:c>
      <x:c r="K4177" s="19" t="str">
        <x:v>Green RV - Forest Glen</x:v>
      </x:c>
      <x:c r="L4177" s="19" t="str">
        <x:v>Z006</x:v>
      </x:c>
      <x:c r="M4177" s="19" t="str">
        <x:v>In Field Warranty Claims</x:v>
      </x:c>
      <x:c r="N4177" s="37" t="n">
        <x:v>46041</x:v>
      </x:c>
      <x:c r="O4177" s="37"/>
      <x:c r="P4177" s="34" t="n">
        <x:v>0</x:v>
      </x:c>
      <x:c r="Q4177" s="37" t="n">
        <x:v>46058.20837962963</x:v>
      </x:c>
    </x:row>
    <x:row r="4178">
      <x:c r="A4178" s="22" t="n">
        <x:v>30041</x:v>
      </x:c>
      <x:c r="B4178" s="28" t="n">
        <x:v>620</x:v>
      </x:c>
      <x:c r="C4178" s="28"/>
      <x:c r="D4178" s="31" t="str">
        <x:f>IF(OR(ISBLANK(B4178),ISBLANK(C4178),B4178=0),"",(C4178-B4178)/B4178)</x:f>
      </x:c>
      <x:c r="E4178" s="22" t="str">
        <x:f>IF(ISBLANK(C4178),"AmountIncludingTax缺失",IF(ABS(B4178-C4178)&lt;0.005,"一致","不一致"))</x:f>
        <x:v>AmountIncludingTax缺失</x:v>
      </x:c>
      <x:c r="F4178" s="19" t="str">
        <x:v>approved</x:v>
      </x:c>
      <x:c r="G4178" s="19" t="str">
        <x:v>Repairer Invoiced Processed</x:v>
      </x:c>
      <x:c r="H4178" s="19" t="str">
        <x:v>In Field</x:v>
      </x:c>
      <x:c r="I4178" s="37" t="n">
        <x:v>46086</x:v>
      </x:c>
      <x:c r="J4178" s="37" t="n">
        <x:v>46079</x:v>
      </x:c>
      <x:c r="K4178" s="19" t="str">
        <x:v>The Caravan Hub - Townsville</x:v>
      </x:c>
      <x:c r="L4178" s="19" t="str">
        <x:v>Z006</x:v>
      </x:c>
      <x:c r="M4178" s="19" t="str">
        <x:v>In Field Warranty Claims</x:v>
      </x:c>
      <x:c r="N4178" s="37" t="n">
        <x:v>46041</x:v>
      </x:c>
      <x:c r="O4178" s="37"/>
      <x:c r="P4178" s="34" t="n">
        <x:v>0</x:v>
      </x:c>
      <x:c r="Q4178" s="37" t="n">
        <x:v>46086.43738425926</x:v>
      </x:c>
    </x:row>
    <x:row r="4179">
      <x:c r="A4179" s="22" t="n">
        <x:v>30029</x:v>
      </x:c>
      <x:c r="B4179" s="28" t="n">
        <x:v>77.5</x:v>
      </x:c>
      <x:c r="C4179" s="28"/>
      <x:c r="D4179" s="31" t="str">
        <x:f>IF(OR(ISBLANK(B4179),ISBLANK(C4179),B4179=0),"",(C4179-B4179)/B4179)</x:f>
      </x:c>
      <x:c r="E4179" s="22" t="str">
        <x:f>IF(ISBLANK(C4179),"AmountIncludingTax缺失",IF(ABS(B4179-C4179)&lt;0.005,"一致","不一致"))</x:f>
        <x:v>AmountIncludingTax缺失</x:v>
      </x:c>
      <x:c r="F4179" s="19" t="str">
        <x:v>approved</x:v>
      </x:c>
      <x:c r="G4179" s="19" t="str">
        <x:v>Repairer Invoiced Processed</x:v>
      </x:c>
      <x:c r="H4179" s="19" t="str">
        <x:v>In Field</x:v>
      </x:c>
      <x:c r="I4179" s="37" t="n">
        <x:v>46154</x:v>
      </x:c>
      <x:c r="J4179" s="37" t="n">
        <x:v>46154</x:v>
      </x:c>
      <x:c r="K4179" s="19" t="str">
        <x:v>Destiny RV - South Australia</x:v>
      </x:c>
      <x:c r="L4179" s="19" t="str">
        <x:v>Z006</x:v>
      </x:c>
      <x:c r="M4179" s="19" t="str">
        <x:v>In Field Warranty Claims</x:v>
      </x:c>
      <x:c r="N4179" s="37" t="n">
        <x:v>46041</x:v>
      </x:c>
      <x:c r="O4179" s="37"/>
      <x:c r="P4179" s="34" t="n">
        <x:v>0</x:v>
      </x:c>
      <x:c r="Q4179" s="37" t="n">
        <x:v>46153.926516203705</x:v>
      </x:c>
    </x:row>
    <x:row r="4180">
      <x:c r="A4180" s="22" t="n">
        <x:v>30028</x:v>
      </x:c>
      <x:c r="B4180" s="28" t="n">
        <x:v>5809.51</x:v>
      </x:c>
      <x:c r="C4180" s="28"/>
      <x:c r="D4180" s="31" t="str">
        <x:f>IF(OR(ISBLANK(B4180),ISBLANK(C4180),B4180=0),"",(C4180-B4180)/B4180)</x:f>
      </x:c>
      <x:c r="E4180" s="22" t="str">
        <x:f>IF(ISBLANK(C4180),"AmountIncludingTax缺失",IF(ABS(B4180-C4180)&lt;0.005,"一致","不一致"))</x:f>
        <x:v>AmountIncludingTax缺失</x:v>
      </x:c>
      <x:c r="F4180" s="19" t="str">
        <x:v>approved</x:v>
      </x:c>
      <x:c r="G4180" s="19" t="str">
        <x:v>Repairer Invoiced Processed</x:v>
      </x:c>
      <x:c r="H4180" s="19" t="str">
        <x:v>Pre Delivery</x:v>
      </x:c>
      <x:c r="I4180" s="37" t="n">
        <x:v>46167</x:v>
      </x:c>
      <x:c r="J4180" s="37" t="n">
        <x:v>46167</x:v>
      </x:c>
      <x:c r="K4180" s="19" t="str">
        <x:v>The Caravan Hub - Townsville</x:v>
      </x:c>
      <x:c r="L4180" s="19" t="str">
        <x:v>Z005</x:v>
      </x:c>
      <x:c r="M4180" s="19" t="str">
        <x:v>Pre Delivery Warranty Claims</x:v>
      </x:c>
      <x:c r="N4180" s="37" t="n">
        <x:v>46041</x:v>
      </x:c>
      <x:c r="O4180" s="37"/>
      <x:c r="P4180" s="34" t="n">
        <x:v>0</x:v>
      </x:c>
      <x:c r="Q4180" s="37" t="n">
        <x:v>46167.09673611111</x:v>
      </x:c>
    </x:row>
    <x:row r="4181">
      <x:c r="A4181" s="22" t="n">
        <x:v>30026</x:v>
      </x:c>
      <x:c r="B4181" s="28" t="n">
        <x:v>1732.93</x:v>
      </x:c>
      <x:c r="C4181" s="28"/>
      <x:c r="D4181" s="31" t="str">
        <x:f>IF(OR(ISBLANK(B4181),ISBLANK(C4181),B4181=0),"",(C4181-B4181)/B4181)</x:f>
      </x:c>
      <x:c r="E4181" s="22" t="str">
        <x:f>IF(ISBLANK(C4181),"AmountIncludingTax缺失",IF(ABS(B4181-C4181)&lt;0.005,"一致","不一致"))</x:f>
        <x:v>AmountIncludingTax缺失</x:v>
      </x:c>
      <x:c r="F4181" s="19" t="str">
        <x:v>approved</x:v>
      </x:c>
      <x:c r="G4181" s="19" t="str">
        <x:v>Partially Picked</x:v>
      </x:c>
      <x:c r="H4181" s="19" t="str">
        <x:v>Pre Delivery</x:v>
      </x:c>
      <x:c r="I4181" s="37" t="n">
        <x:v>46164</x:v>
      </x:c>
      <x:c r="J4181" s="37" t="n">
        <x:v>46164</x:v>
      </x:c>
      <x:c r="K4181" s="19" t="str">
        <x:v>The Caravan Hub - Townsville</x:v>
      </x:c>
      <x:c r="L4181" s="19" t="str">
        <x:v>Z005</x:v>
      </x:c>
      <x:c r="M4181" s="19" t="str">
        <x:v>Pre Delivery Warranty Claims</x:v>
      </x:c>
      <x:c r="N4181" s="37" t="n">
        <x:v>46041</x:v>
      </x:c>
      <x:c r="O4181" s="37"/>
      <x:c r="P4181" s="34" t="n">
        <x:v>0</x:v>
      </x:c>
      <x:c r="Q4181" s="37" t="n">
        <x:v>46164.059375</x:v>
      </x:c>
    </x:row>
    <x:row r="4182">
      <x:c r="A4182" s="22" t="n">
        <x:v>30025</x:v>
      </x:c>
      <x:c r="B4182" s="28" t="n">
        <x:v>135</x:v>
      </x:c>
      <x:c r="C4182" s="28"/>
      <x:c r="D4182" s="31" t="str">
        <x:f>IF(OR(ISBLANK(B4182),ISBLANK(C4182),B4182=0),"",(C4182-B4182)/B4182)</x:f>
      </x:c>
      <x:c r="E4182" s="22" t="str">
        <x:f>IF(ISBLANK(C4182),"AmountIncludingTax缺失",IF(ABS(B4182-C4182)&lt;0.005,"一致","不一致"))</x:f>
        <x:v>AmountIncludingTax缺失</x:v>
      </x:c>
      <x:c r="F4182" s="19" t="str">
        <x:v>approved</x:v>
      </x:c>
      <x:c r="G4182" s="19" t="str">
        <x:v>Repair in Progress</x:v>
      </x:c>
      <x:c r="H4182" s="19" t="str">
        <x:v>In Field</x:v>
      </x:c>
      <x:c r="I4182" s="37" t="n">
        <x:v>46108</x:v>
      </x:c>
      <x:c r="J4182" s="37" t="n">
        <x:v>46108</x:v>
      </x:c>
      <x:c r="K4182" s="19" t="str">
        <x:v>Sherrif Caravans &amp; Traliers - Prospect Vale</x:v>
      </x:c>
      <x:c r="L4182" s="19" t="str">
        <x:v>Z006</x:v>
      </x:c>
      <x:c r="M4182" s="19" t="str">
        <x:v>In Field Warranty Claims</x:v>
      </x:c>
      <x:c r="N4182" s="37" t="n">
        <x:v>46041</x:v>
      </x:c>
      <x:c r="O4182" s="37"/>
      <x:c r="P4182" s="34" t="n">
        <x:v>0</x:v>
      </x:c>
      <x:c r="Q4182" s="37" t="n">
        <x:v>46108.06648148148</x:v>
      </x:c>
    </x:row>
    <x:row r="4183">
      <x:c r="A4183" s="22" t="n">
        <x:v>30024</x:v>
      </x:c>
      <x:c r="B4183" s="28" t="n">
        <x:v>583.75</x:v>
      </x:c>
      <x:c r="C4183" s="28"/>
      <x:c r="D4183" s="31" t="str">
        <x:f>IF(OR(ISBLANK(B4183),ISBLANK(C4183),B4183=0),"",(C4183-B4183)/B4183)</x:f>
      </x:c>
      <x:c r="E4183" s="22" t="str">
        <x:f>IF(ISBLANK(C4183),"AmountIncludingTax缺失",IF(ABS(B4183-C4183)&lt;0.005,"一致","不一致"))</x:f>
        <x:v>AmountIncludingTax缺失</x:v>
      </x:c>
      <x:c r="F4183" s="19" t="str">
        <x:v>approved</x:v>
      </x:c>
      <x:c r="G4183" s="19" t="str">
        <x:v>Repair in Progress</x:v>
      </x:c>
      <x:c r="H4183" s="19" t="str">
        <x:v>Pre Delivery</x:v>
      </x:c>
      <x:c r="I4183" s="37" t="n">
        <x:v>46108</x:v>
      </x:c>
      <x:c r="J4183" s="37" t="n">
        <x:v>46108</x:v>
      </x:c>
      <x:c r="K4183" s="19" t="str">
        <x:v>Green RV - Slacks Creek</x:v>
      </x:c>
      <x:c r="L4183" s="19" t="str">
        <x:v>Z005</x:v>
      </x:c>
      <x:c r="M4183" s="19" t="str">
        <x:v>Pre Delivery Warranty Claims</x:v>
      </x:c>
      <x:c r="N4183" s="37" t="n">
        <x:v>46041</x:v>
      </x:c>
      <x:c r="O4183" s="37"/>
      <x:c r="P4183" s="34" t="n">
        <x:v>0</x:v>
      </x:c>
      <x:c r="Q4183" s="37" t="n">
        <x:v>46108.16025462963</x:v>
      </x:c>
    </x:row>
    <x:row r="4184">
      <x:c r="A4184" s="22" t="n">
        <x:v>30021</x:v>
      </x:c>
      <x:c r="B4184" s="28" t="n">
        <x:v>757.9</x:v>
      </x:c>
      <x:c r="C4184" s="28"/>
      <x:c r="D4184" s="31" t="str">
        <x:f>IF(OR(ISBLANK(B4184),ISBLANK(C4184),B4184=0),"",(C4184-B4184)/B4184)</x:f>
      </x:c>
      <x:c r="E4184" s="22" t="str">
        <x:f>IF(ISBLANK(C4184),"AmountIncludingTax缺失",IF(ABS(B4184-C4184)&lt;0.005,"一致","不一致"))</x:f>
        <x:v>AmountIncludingTax缺失</x:v>
      </x:c>
      <x:c r="F4184" s="19" t="str">
        <x:v>approved</x:v>
      </x:c>
      <x:c r="G4184" s="19" t="str">
        <x:v>Partially Picked</x:v>
      </x:c>
      <x:c r="H4184" s="19" t="str">
        <x:v>In Field</x:v>
      </x:c>
      <x:c r="I4184" s="37" t="n">
        <x:v>46164</x:v>
      </x:c>
      <x:c r="J4184" s="37" t="n">
        <x:v>46162</x:v>
      </x:c>
      <x:c r="K4184" s="19" t="str">
        <x:v>Newcastle RV Super Centre - Beresfield</x:v>
      </x:c>
      <x:c r="L4184" s="19" t="str">
        <x:v>Z006</x:v>
      </x:c>
      <x:c r="M4184" s="19" t="str">
        <x:v>In Field Warranty Claims</x:v>
      </x:c>
      <x:c r="N4184" s="37" t="n">
        <x:v>46041</x:v>
      </x:c>
      <x:c r="O4184" s="37"/>
      <x:c r="P4184" s="34" t="n">
        <x:v>0</x:v>
      </x:c>
      <x:c r="Q4184" s="37" t="n">
        <x:v>46164.13554398148</x:v>
      </x:c>
    </x:row>
    <x:row r="4185">
      <x:c r="A4185" s="22" t="n">
        <x:v>30016</x:v>
      </x:c>
      <x:c r="B4185" s="28" t="n">
        <x:v>355.5</x:v>
      </x:c>
      <x:c r="C4185" s="28"/>
      <x:c r="D4185" s="31" t="str">
        <x:f>IF(OR(ISBLANK(B4185),ISBLANK(C4185),B4185=0),"",(C4185-B4185)/B4185)</x:f>
      </x:c>
      <x:c r="E4185" s="22" t="str">
        <x:f>IF(ISBLANK(C4185),"AmountIncludingTax缺失",IF(ABS(B4185-C4185)&lt;0.005,"一致","不一致"))</x:f>
        <x:v>AmountIncludingTax缺失</x:v>
      </x:c>
      <x:c r="F4185" s="19" t="str">
        <x:v>approved</x:v>
      </x:c>
      <x:c r="G4185" s="19" t="str">
        <x:v>Repair in Progress</x:v>
      </x:c>
      <x:c r="H4185" s="19" t="str">
        <x:v>In Field</x:v>
      </x:c>
      <x:c r="I4185" s="37" t="n">
        <x:v>46140</x:v>
      </x:c>
      <x:c r="J4185" s="37" t="n">
        <x:v>46140</x:v>
      </x:c>
      <x:c r="K4185" s="19" t="str">
        <x:v>Green RV - Forest Glen</x:v>
      </x:c>
      <x:c r="L4185" s="19" t="str">
        <x:v>Z006</x:v>
      </x:c>
      <x:c r="M4185" s="19" t="str">
        <x:v>In Field Warranty Claims</x:v>
      </x:c>
      <x:c r="N4185" s="37" t="n">
        <x:v>46041</x:v>
      </x:c>
      <x:c r="O4185" s="37"/>
      <x:c r="P4185" s="34" t="n">
        <x:v>0</x:v>
      </x:c>
      <x:c r="Q4185" s="37" t="n">
        <x:v>46139.83956018519</x:v>
      </x:c>
    </x:row>
    <x:row r="4186">
      <x:c r="A4186" s="22" t="n">
        <x:v>30013</x:v>
      </x:c>
      <x:c r="B4186" s="28" t="n">
        <x:v>101.25</x:v>
      </x:c>
      <x:c r="C4186" s="28"/>
      <x:c r="D4186" s="31" t="str">
        <x:f>IF(OR(ISBLANK(B4186),ISBLANK(C4186),B4186=0),"",(C4186-B4186)/B4186)</x:f>
      </x:c>
      <x:c r="E4186" s="22" t="str">
        <x:f>IF(ISBLANK(C4186),"AmountIncludingTax缺失",IF(ABS(B4186-C4186)&lt;0.005,"一致","不一致"))</x:f>
        <x:v>AmountIncludingTax缺失</x:v>
      </x:c>
      <x:c r="F4186" s="19" t="str">
        <x:v>approved</x:v>
      </x:c>
      <x:c r="G4186" s="19" t="str">
        <x:v>Repair in Progress</x:v>
      </x:c>
      <x:c r="H4186" s="19" t="str">
        <x:v>In Field</x:v>
      </x:c>
      <x:c r="I4186" s="37" t="n">
        <x:v>46108</x:v>
      </x:c>
      <x:c r="J4186" s="37" t="n">
        <x:v>46108</x:v>
      </x:c>
      <x:c r="K4186" s="19" t="str">
        <x:v>Sherrif Caravans &amp; Traliers - Prospect Vale</x:v>
      </x:c>
      <x:c r="L4186" s="19" t="str">
        <x:v>Z006</x:v>
      </x:c>
      <x:c r="M4186" s="19" t="str">
        <x:v>In Field Warranty Claims</x:v>
      </x:c>
      <x:c r="N4186" s="37" t="n">
        <x:v>46041</x:v>
      </x:c>
      <x:c r="O4186" s="37"/>
      <x:c r="P4186" s="34" t="n">
        <x:v>0</x:v>
      </x:c>
      <x:c r="Q4186" s="37" t="n">
        <x:v>46108.06364583333</x:v>
      </x:c>
    </x:row>
    <x:row r="4187">
      <x:c r="A4187" s="22" t="n">
        <x:v>30009</x:v>
      </x:c>
      <x:c r="B4187" s="28" t="n">
        <x:v>790</x:v>
      </x:c>
      <x:c r="C4187" s="28" t="n">
        <x:v>869</x:v>
      </x:c>
      <x:c r="D4187" s="31" t="n">
        <x:f>IF(OR(ISBLANK(B4187),ISBLANK(C4187),B4187=0),"",(C4187-B4187)/B4187)</x:f>
        <x:v>0.1</x:v>
      </x:c>
      <x:c r="E4187" s="22" t="str">
        <x:f>IF(ISBLANK(C4187),"AmountIncludingTax缺失",IF(ABS(B4187-C4187)&lt;0.005,"一致","不一致"))</x:f>
        <x:v>不一致</x:v>
      </x:c>
      <x:c r="F4187" s="19" t="str">
        <x:v>approved</x:v>
      </x:c>
      <x:c r="G4187" s="19" t="str">
        <x:v>Repair in Progress</x:v>
      </x:c>
      <x:c r="H4187" s="19" t="str">
        <x:v>In Field</x:v>
      </x:c>
      <x:c r="I4187" s="37" t="n">
        <x:v>46098</x:v>
      </x:c>
      <x:c r="J4187" s="37" t="n">
        <x:v>46098</x:v>
      </x:c>
      <x:c r="K4187" s="19" t="str">
        <x:v>Regent RV - Perth</x:v>
      </x:c>
      <x:c r="L4187" s="19" t="str">
        <x:v>Z006</x:v>
      </x:c>
      <x:c r="M4187" s="19" t="str">
        <x:v>In Field Warranty Claims</x:v>
      </x:c>
      <x:c r="N4187" s="37" t="n">
        <x:v>46049</x:v>
      </x:c>
      <x:c r="O4187" s="37"/>
      <x:c r="P4187" s="34" t="n">
        <x:v>869</x:v>
      </x:c>
      <x:c r="Q4187" s="37" t="n">
        <x:v>46098.129953703705</x:v>
      </x:c>
    </x:row>
    <x:row r="4188">
      <x:c r="A4188" s="22" t="n">
        <x:v>30005</x:v>
      </x:c>
      <x:c r="B4188" s="28" t="n">
        <x:v>522.71</x:v>
      </x:c>
      <x:c r="C4188" s="28"/>
      <x:c r="D4188" s="31" t="str">
        <x:f>IF(OR(ISBLANK(B4188),ISBLANK(C4188),B4188=0),"",(C4188-B4188)/B4188)</x:f>
      </x:c>
      <x:c r="E4188" s="22" t="str">
        <x:f>IF(ISBLANK(C4188),"AmountIncludingTax缺失",IF(ABS(B4188-C4188)&lt;0.005,"一致","不一致"))</x:f>
        <x:v>AmountIncludingTax缺失</x:v>
      </x:c>
      <x:c r="F4188" s="19" t="str">
        <x:v>approved</x:v>
      </x:c>
      <x:c r="G4188" s="19" t="str">
        <x:v>Repair in Progress</x:v>
      </x:c>
      <x:c r="H4188" s="19" t="str">
        <x:v>In Field</x:v>
      </x:c>
      <x:c r="I4188" s="37" t="n">
        <x:v>46056</x:v>
      </x:c>
      <x:c r="J4188" s="37" t="n">
        <x:v>46056</x:v>
      </x:c>
      <x:c r="K4188" s="19" t="str">
        <x:v>Great Ocean Road RV &amp; Caravans - Warrnambool</x:v>
      </x:c>
      <x:c r="L4188" s="19" t="str">
        <x:v>Z006</x:v>
      </x:c>
      <x:c r="M4188" s="19" t="str">
        <x:v>In Field Warranty Claims</x:v>
      </x:c>
      <x:c r="N4188" s="37" t="n">
        <x:v>46041</x:v>
      </x:c>
      <x:c r="O4188" s="37"/>
      <x:c r="P4188" s="34" t="n">
        <x:v>0</x:v>
      </x:c>
      <x:c r="Q4188" s="37" t="n">
        <x:v>46055.93541666667</x:v>
      </x:c>
    </x:row>
    <x:row r="4189">
      <x:c r="A4189" s="22" t="n">
        <x:v>30000</x:v>
      </x:c>
      <x:c r="B4189" s="28" t="n">
        <x:v>327.27</x:v>
      </x:c>
      <x:c r="C4189" s="28" t="n">
        <x:v>360</x:v>
      </x:c>
      <x:c r="D4189" s="31" t="n">
        <x:f>IF(OR(ISBLANK(B4189),ISBLANK(C4189),B4189=0),"",(C4189-B4189)/B4189)</x:f>
        <x:v>0.10000916674305625</x:v>
      </x:c>
      <x:c r="E4189" s="22" t="str">
        <x:f>IF(ISBLANK(C4189),"AmountIncludingTax缺失",IF(ABS(B4189-C4189)&lt;0.005,"一致","不一致"))</x:f>
        <x:v>不一致</x:v>
      </x:c>
      <x:c r="F4189" s="19" t="str">
        <x:v>approved</x:v>
      </x:c>
      <x:c r="G4189" s="19" t="str">
        <x:v>Repairer Invoiced Processed</x:v>
      </x:c>
      <x:c r="H4189" s="19" t="str">
        <x:v>In Field</x:v>
      </x:c>
      <x:c r="I4189" s="37" t="n">
        <x:v>46052</x:v>
      </x:c>
      <x:c r="J4189" s="37" t="n">
        <x:v>46052</x:v>
      </x:c>
      <x:c r="K4189" s="19" t="str">
        <x:v>Green RV - Forest Glen</x:v>
      </x:c>
      <x:c r="L4189" s="19" t="str">
        <x:v>Z006</x:v>
      </x:c>
      <x:c r="M4189" s="19" t="str">
        <x:v>In Field Warranty Claims</x:v>
      </x:c>
      <x:c r="N4189" s="37" t="n">
        <x:v>46040</x:v>
      </x:c>
      <x:c r="O4189" s="37"/>
      <x:c r="P4189" s="34" t="n">
        <x:v>360</x:v>
      </x:c>
      <x:c r="Q4189" s="37" t="n">
        <x:v>46052.26322916667</x:v>
      </x:c>
    </x:row>
    <x:row r="4190">
      <x:c r="A4190" s="22" t="n">
        <x:v>29999</x:v>
      </x:c>
      <x:c r="B4190" s="28" t="n">
        <x:v>370.24</x:v>
      </x:c>
      <x:c r="C4190" s="28" t="n">
        <x:v>407.26</x:v>
      </x:c>
      <x:c r="D4190" s="31" t="n">
        <x:f>IF(OR(ISBLANK(B4190),ISBLANK(C4190),B4190=0),"",(C4190-B4190)/B4190)</x:f>
        <x:v>0.09998919619706131</x:v>
      </x:c>
      <x:c r="E4190" s="22" t="str">
        <x:f>IF(ISBLANK(C4190),"AmountIncludingTax缺失",IF(ABS(B4190-C4190)&lt;0.005,"一致","不一致"))</x:f>
        <x:v>不一致</x:v>
      </x:c>
      <x:c r="F4190" s="19" t="str">
        <x:v>approved</x:v>
      </x:c>
      <x:c r="G4190" s="19" t="str">
        <x:v>Repairer Invoiced Processed</x:v>
      </x:c>
      <x:c r="H4190" s="19" t="str">
        <x:v>In Field</x:v>
      </x:c>
      <x:c r="I4190" s="37" t="n">
        <x:v>46052</x:v>
      </x:c>
      <x:c r="J4190" s="37" t="n">
        <x:v>46052</x:v>
      </x:c>
      <x:c r="K4190" s="19" t="str">
        <x:v>Green RV - Forest Glen</x:v>
      </x:c>
      <x:c r="L4190" s="19" t="str">
        <x:v>Z006</x:v>
      </x:c>
      <x:c r="M4190" s="19" t="str">
        <x:v>In Field Warranty Claims</x:v>
      </x:c>
      <x:c r="N4190" s="37" t="n">
        <x:v>46040</x:v>
      </x:c>
      <x:c r="O4190" s="37"/>
      <x:c r="P4190" s="34" t="n">
        <x:v>407.26</x:v>
      </x:c>
      <x:c r="Q4190" s="37" t="n">
        <x:v>46052.260717592595</x:v>
      </x:c>
    </x:row>
    <x:row r="4191">
      <x:c r="A4191" s="22" t="n">
        <x:v>29998</x:v>
      </x:c>
      <x:c r="B4191" s="28" t="n">
        <x:v>788.73</x:v>
      </x:c>
      <x:c r="C4191" s="28" t="n">
        <x:v>714.12</x:v>
      </x:c>
      <x:c r="D4191" s="31" t="n">
        <x:f>IF(OR(ISBLANK(B4191),ISBLANK(C4191),B4191=0),"",(C4191-B4191)/B4191)</x:f>
        <x:v>-0.09459510859229396</x:v>
      </x:c>
      <x:c r="E4191" s="22" t="str">
        <x:f>IF(ISBLANK(C4191),"AmountIncludingTax缺失",IF(ABS(B4191-C4191)&lt;0.005,"一致","不一致"))</x:f>
        <x:v>不一致</x:v>
      </x:c>
      <x:c r="F4191" s="19" t="str">
        <x:v>approved</x:v>
      </x:c>
      <x:c r="G4191" s="19" t="str">
        <x:v>Repairer Invoiced Processed</x:v>
      </x:c>
      <x:c r="H4191" s="19" t="str">
        <x:v>In Field</x:v>
      </x:c>
      <x:c r="I4191" s="37" t="n">
        <x:v>46107</x:v>
      </x:c>
      <x:c r="J4191" s="37" t="n">
        <x:v>46107</x:v>
      </x:c>
      <x:c r="K4191" s="19" t="str">
        <x:v>Vanari Caravans - Marden Point</x:v>
      </x:c>
      <x:c r="L4191" s="19" t="str">
        <x:v>Z006</x:v>
      </x:c>
      <x:c r="M4191" s="19" t="str">
        <x:v>In Field Warranty Claims</x:v>
      </x:c>
      <x:c r="N4191" s="37" t="n">
        <x:v>46040</x:v>
      </x:c>
      <x:c r="O4191" s="37"/>
      <x:c r="P4191" s="34" t="n">
        <x:v>714.12</x:v>
      </x:c>
      <x:c r="Q4191" s="37" t="n">
        <x:v>46107.15681712963</x:v>
      </x:c>
    </x:row>
    <x:row r="4192">
      <x:c r="A4192" s="22" t="n">
        <x:v>29996</x:v>
      </x:c>
      <x:c r="B4192" s="28" t="n">
        <x:v>425</x:v>
      </x:c>
      <x:c r="C4192" s="28" t="n">
        <x:v>384.8</x:v>
      </x:c>
      <x:c r="D4192" s="31" t="n">
        <x:f>IF(OR(ISBLANK(B4192),ISBLANK(C4192),B4192=0),"",(C4192-B4192)/B4192)</x:f>
        <x:v>-0.09458823529411763</x:v>
      </x:c>
      <x:c r="E4192" s="22" t="str">
        <x:f>IF(ISBLANK(C4192),"AmountIncludingTax缺失",IF(ABS(B4192-C4192)&lt;0.005,"一致","不一致"))</x:f>
        <x:v>不一致</x:v>
      </x:c>
      <x:c r="F4192" s="19" t="str">
        <x:v>approved</x:v>
      </x:c>
      <x:c r="G4192" s="19" t="str">
        <x:v>Repairer Invoiced Processed</x:v>
      </x:c>
      <x:c r="H4192" s="19" t="str">
        <x:v>In Field</x:v>
      </x:c>
      <x:c r="I4192" s="37" t="n">
        <x:v>46142</x:v>
      </x:c>
      <x:c r="J4192" s="37" t="n">
        <x:v>46142</x:v>
      </x:c>
      <x:c r="K4192" s="19" t="str">
        <x:v>Vanari Caravans - Marden Point</x:v>
      </x:c>
      <x:c r="L4192" s="19" t="str">
        <x:v>Z006</x:v>
      </x:c>
      <x:c r="M4192" s="19" t="str">
        <x:v>In Field Warranty Claims</x:v>
      </x:c>
      <x:c r="N4192" s="37" t="n">
        <x:v>46040</x:v>
      </x:c>
      <x:c r="O4192" s="37"/>
      <x:c r="P4192" s="34" t="n">
        <x:v>384.8</x:v>
      </x:c>
      <x:c r="Q4192" s="37" t="n">
        <x:v>46142.25612268518</x:v>
      </x:c>
    </x:row>
    <x:row r="4193">
      <x:c r="A4193" s="22" t="n">
        <x:v>29992</x:v>
      </x:c>
      <x:c r="B4193" s="28" t="n">
        <x:v>180</x:v>
      </x:c>
      <x:c r="C4193" s="28" t="n">
        <x:v>198</x:v>
      </x:c>
      <x:c r="D4193" s="31" t="n">
        <x:f>IF(OR(ISBLANK(B4193),ISBLANK(C4193),B4193=0),"",(C4193-B4193)/B4193)</x:f>
        <x:v>0.1</x:v>
      </x:c>
      <x:c r="E4193" s="22" t="str">
        <x:f>IF(ISBLANK(C4193),"AmountIncludingTax缺失",IF(ABS(B4193-C4193)&lt;0.005,"一致","不一致"))</x:f>
        <x:v>不一致</x:v>
      </x:c>
      <x:c r="F4193" s="19" t="str">
        <x:v>approved</x:v>
      </x:c>
      <x:c r="G4193" s="19" t="str">
        <x:v>Repairer Invoiced Processed</x:v>
      </x:c>
      <x:c r="H4193" s="19" t="str">
        <x:v>In Field</x:v>
      </x:c>
      <x:c r="I4193" s="37" t="n">
        <x:v>46170</x:v>
      </x:c>
      <x:c r="J4193" s="37" t="n">
        <x:v>46170</x:v>
      </x:c>
      <x:c r="K4193" s="19" t="str">
        <x:v>Lesiure Lion-New Castle</x:v>
      </x:c>
      <x:c r="L4193" s="19" t="str">
        <x:v>Z006</x:v>
      </x:c>
      <x:c r="M4193" s="19" t="str">
        <x:v>In Field Warranty Claims</x:v>
      </x:c>
      <x:c r="N4193" s="37" t="n">
        <x:v>46040</x:v>
      </x:c>
      <x:c r="O4193" s="37"/>
      <x:c r="P4193" s="34" t="n">
        <x:v>198</x:v>
      </x:c>
      <x:c r="Q4193" s="37" t="n">
        <x:v>46169.96795138889</x:v>
      </x:c>
    </x:row>
    <x:row r="4194">
      <x:c r="A4194" s="22" t="n">
        <x:v>29990</x:v>
      </x:c>
      <x:c r="B4194" s="28" t="n">
        <x:v>633.75</x:v>
      </x:c>
      <x:c r="C4194" s="28"/>
      <x:c r="D4194" s="31" t="str">
        <x:f>IF(OR(ISBLANK(B4194),ISBLANK(C4194),B4194=0),"",(C4194-B4194)/B4194)</x:f>
      </x:c>
      <x:c r="E4194" s="22" t="str">
        <x:f>IF(ISBLANK(C4194),"AmountIncludingTax缺失",IF(ABS(B4194-C4194)&lt;0.005,"一致","不一致"))</x:f>
        <x:v>AmountIncludingTax缺失</x:v>
      </x:c>
      <x:c r="F4194" s="19" t="str">
        <x:v>approved</x:v>
      </x:c>
      <x:c r="G4194" s="19" t="str">
        <x:v>Repairer Invoiced Processed</x:v>
      </x:c>
      <x:c r="H4194" s="19" t="str">
        <x:v>In Field</x:v>
      </x:c>
      <x:c r="I4194" s="37" t="n">
        <x:v>46174</x:v>
      </x:c>
      <x:c r="J4194" s="37" t="n">
        <x:v>46174</x:v>
      </x:c>
      <x:c r="K4194" s="19" t="str">
        <x:v>Newcastle RV Super Centre - Beresfield</x:v>
      </x:c>
      <x:c r="L4194" s="19" t="str">
        <x:v>Z006</x:v>
      </x:c>
      <x:c r="M4194" s="19" t="str">
        <x:v>In Field Warranty Claims</x:v>
      </x:c>
      <x:c r="N4194" s="37" t="n">
        <x:v>46041</x:v>
      </x:c>
      <x:c r="O4194" s="37"/>
      <x:c r="P4194" s="34" t="n">
        <x:v>0</x:v>
      </x:c>
      <x:c r="Q4194" s="37" t="n">
        <x:v>46174.058020833334</x:v>
      </x:c>
    </x:row>
    <x:row r="4195">
      <x:c r="A4195" s="22" t="n">
        <x:v>29988</x:v>
      </x:c>
      <x:c r="B4195" s="28" t="n">
        <x:v>460</x:v>
      </x:c>
      <x:c r="C4195" s="28" t="n">
        <x:v>506</x:v>
      </x:c>
      <x:c r="D4195" s="31" t="n">
        <x:f>IF(OR(ISBLANK(B4195),ISBLANK(C4195),B4195=0),"",(C4195-B4195)/B4195)</x:f>
        <x:v>0.1</x:v>
      </x:c>
      <x:c r="E4195" s="22" t="str">
        <x:f>IF(ISBLANK(C4195),"AmountIncludingTax缺失",IF(ABS(B4195-C4195)&lt;0.005,"一致","不一致"))</x:f>
        <x:v>不一致</x:v>
      </x:c>
      <x:c r="F4195" s="19" t="str">
        <x:v>approved</x:v>
      </x:c>
      <x:c r="G4195" s="19" t="str">
        <x:v>Repairer Invoiced Processed</x:v>
      </x:c>
      <x:c r="H4195" s="19" t="str">
        <x:v>In Field</x:v>
      </x:c>
      <x:c r="I4195" s="37" t="n">
        <x:v>46104</x:v>
      </x:c>
      <x:c r="J4195" s="37" t="n">
        <x:v>46104</x:v>
      </x:c>
      <x:c r="K4195" s="19" t="str">
        <x:v>Great Ocean Road RV &amp; Caravans - Warrnambool</x:v>
      </x:c>
      <x:c r="L4195" s="19" t="str">
        <x:v>Z006</x:v>
      </x:c>
      <x:c r="M4195" s="19" t="str">
        <x:v>In Field Warranty Claims</x:v>
      </x:c>
      <x:c r="N4195" s="37" t="n">
        <x:v>46040</x:v>
      </x:c>
      <x:c r="O4195" s="37"/>
      <x:c r="P4195" s="34" t="n">
        <x:v>506</x:v>
      </x:c>
      <x:c r="Q4195" s="37" t="n">
        <x:v>46104.089791666665</x:v>
      </x:c>
    </x:row>
    <x:row r="4196">
      <x:c r="A4196" s="22" t="n">
        <x:v>29986</x:v>
      </x:c>
      <x:c r="B4196" s="28" t="n">
        <x:v>1115</x:v>
      </x:c>
      <x:c r="C4196" s="28"/>
      <x:c r="D4196" s="31" t="str">
        <x:f>IF(OR(ISBLANK(B4196),ISBLANK(C4196),B4196=0),"",(C4196-B4196)/B4196)</x:f>
      </x:c>
      <x:c r="E4196" s="22" t="str">
        <x:f>IF(ISBLANK(C4196),"AmountIncludingTax缺失",IF(ABS(B4196-C4196)&lt;0.005,"一致","不一致"))</x:f>
        <x:v>AmountIncludingTax缺失</x:v>
      </x:c>
      <x:c r="F4196" s="19" t="str">
        <x:v>approved</x:v>
      </x:c>
      <x:c r="G4196" s="19" t="str">
        <x:v>Repair in Progress</x:v>
      </x:c>
      <x:c r="H4196" s="19" t="str">
        <x:v>In Field</x:v>
      </x:c>
      <x:c r="I4196" s="37" t="n">
        <x:v>46139</x:v>
      </x:c>
      <x:c r="J4196" s="37" t="n">
        <x:v>46139</x:v>
      </x:c>
      <x:c r="K4196" s="19" t="str">
        <x:v>Regent RV Pty Ltd</x:v>
      </x:c>
      <x:c r="L4196" s="19" t="str">
        <x:v>Z006</x:v>
      </x:c>
      <x:c r="M4196" s="19" t="str">
        <x:v>In Field Warranty Claims</x:v>
      </x:c>
      <x:c r="N4196" s="37" t="n">
        <x:v>46040</x:v>
      </x:c>
      <x:c r="O4196" s="37"/>
      <x:c r="P4196" s="34" t="n">
        <x:v>1226.5</x:v>
      </x:c>
      <x:c r="Q4196" s="37" t="n">
        <x:v>46139.49422453704</x:v>
      </x:c>
    </x:row>
    <x:row r="4197">
      <x:c r="A4197" s="22" t="n">
        <x:v>29985</x:v>
      </x:c>
      <x:c r="B4197" s="28" t="n">
        <x:v>500</x:v>
      </x:c>
      <x:c r="C4197" s="28" t="n">
        <x:v>550</x:v>
      </x:c>
      <x:c r="D4197" s="31" t="n">
        <x:f>IF(OR(ISBLANK(B4197),ISBLANK(C4197),B4197=0),"",(C4197-B4197)/B4197)</x:f>
        <x:v>0.1</x:v>
      </x:c>
      <x:c r="E4197" s="22" t="str">
        <x:f>IF(ISBLANK(C4197),"AmountIncludingTax缺失",IF(ABS(B4197-C4197)&lt;0.005,"一致","不一致"))</x:f>
        <x:v>不一致</x:v>
      </x:c>
      <x:c r="F4197" s="19" t="str">
        <x:v>approved</x:v>
      </x:c>
      <x:c r="G4197" s="19" t="str">
        <x:v>Repairer Invoiced Processed</x:v>
      </x:c>
      <x:c r="H4197" s="19" t="str">
        <x:v>In Field</x:v>
      </x:c>
      <x:c r="I4197" s="37" t="n">
        <x:v>46136</x:v>
      </x:c>
      <x:c r="J4197" s="37" t="n">
        <x:v>46136</x:v>
      </x:c>
      <x:c r="K4197" s="19" t="str">
        <x:v>Green RV - Forest Glen</x:v>
      </x:c>
      <x:c r="L4197" s="19" t="str">
        <x:v>Z006</x:v>
      </x:c>
      <x:c r="M4197" s="19" t="str">
        <x:v>In Field Warranty Claims</x:v>
      </x:c>
      <x:c r="N4197" s="37" t="n">
        <x:v>46040</x:v>
      </x:c>
      <x:c r="O4197" s="37"/>
      <x:c r="P4197" s="34" t="n">
        <x:v>550</x:v>
      </x:c>
      <x:c r="Q4197" s="37" t="n">
        <x:v>46136.16469907408</x:v>
      </x:c>
    </x:row>
    <x:row r="4198">
      <x:c r="A4198" s="22" t="n">
        <x:v>29981</x:v>
      </x:c>
      <x:c r="B4198" s="28" t="n">
        <x:v>2547</x:v>
      </x:c>
      <x:c r="C4198" s="28"/>
      <x:c r="D4198" s="31" t="str">
        <x:f>IF(OR(ISBLANK(B4198),ISBLANK(C4198),B4198=0),"",(C4198-B4198)/B4198)</x:f>
      </x:c>
      <x:c r="E4198" s="22" t="str">
        <x:f>IF(ISBLANK(C4198),"AmountIncludingTax缺失",IF(ABS(B4198-C4198)&lt;0.005,"一致","不一致"))</x:f>
        <x:v>AmountIncludingTax缺失</x:v>
      </x:c>
      <x:c r="F4198" s="19" t="str">
        <x:v>approved</x:v>
      </x:c>
      <x:c r="G4198" s="19" t="str">
        <x:v>Repair in Progress</x:v>
      </x:c>
      <x:c r="H4198" s="19" t="str">
        <x:v>In Field</x:v>
      </x:c>
      <x:c r="I4198" s="37" t="n">
        <x:v>46113</x:v>
      </x:c>
      <x:c r="J4198" s="37" t="n">
        <x:v>46113</x:v>
      </x:c>
      <x:c r="K4198" s="19" t="str">
        <x:v>Vanari Caravans - Marden Point</x:v>
      </x:c>
      <x:c r="L4198" s="19" t="str">
        <x:v>Z006</x:v>
      </x:c>
      <x:c r="M4198" s="19" t="str">
        <x:v>In Field Warranty Claims</x:v>
      </x:c>
      <x:c r="N4198" s="37" t="n">
        <x:v>46039</x:v>
      </x:c>
      <x:c r="O4198" s="37"/>
      <x:c r="P4198" s="34" t="n">
        <x:v>2306.05</x:v>
      </x:c>
      <x:c r="Q4198" s="37" t="n">
        <x:v>46113.072546296295</x:v>
      </x:c>
    </x:row>
    <x:row r="4199">
      <x:c r="A4199" s="22" t="n">
        <x:v>29971</x:v>
      </x:c>
      <x:c r="B4199" s="28" t="n">
        <x:v>270</x:v>
      </x:c>
      <x:c r="C4199" s="28"/>
      <x:c r="D4199" s="31" t="str">
        <x:f>IF(OR(ISBLANK(B4199),ISBLANK(C4199),B4199=0),"",(C4199-B4199)/B4199)</x:f>
      </x:c>
      <x:c r="E4199" s="22" t="str">
        <x:f>IF(ISBLANK(C4199),"AmountIncludingTax缺失",IF(ABS(B4199-C4199)&lt;0.005,"一致","不一致"))</x:f>
        <x:v>AmountIncludingTax缺失</x:v>
      </x:c>
      <x:c r="F4199" s="19" t="str">
        <x:v>approved</x:v>
      </x:c>
      <x:c r="G4199" s="19" t="str">
        <x:v>Repairer Invoiced Processed</x:v>
      </x:c>
      <x:c r="H4199" s="19" t="str">
        <x:v>In Field</x:v>
      </x:c>
      <x:c r="I4199" s="37" t="n">
        <x:v>46078</x:v>
      </x:c>
      <x:c r="J4199" s="37" t="n">
        <x:v>46078</x:v>
      </x:c>
      <x:c r="K4199" s="19" t="str">
        <x:v>Bendigo Caravan Group - Bendigo</x:v>
      </x:c>
      <x:c r="L4199" s="19" t="str">
        <x:v>Z006</x:v>
      </x:c>
      <x:c r="M4199" s="19" t="str">
        <x:v>In Field Warranty Claims</x:v>
      </x:c>
      <x:c r="N4199" s="37" t="n">
        <x:v>46039</x:v>
      </x:c>
      <x:c r="O4199" s="37"/>
      <x:c r="P4199" s="34" t="n">
        <x:v>0</x:v>
      </x:c>
      <x:c r="Q4199" s="37" t="n">
        <x:v>46078.18633101852</x:v>
      </x:c>
    </x:row>
    <x:row r="4200">
      <x:c r="A4200" s="22" t="n">
        <x:v>29969</x:v>
      </x:c>
      <x:c r="B4200" s="28" t="n">
        <x:v>1460</x:v>
      </x:c>
      <x:c r="C4200" s="28"/>
      <x:c r="D4200" s="31" t="str">
        <x:f>IF(OR(ISBLANK(B4200),ISBLANK(C4200),B4200=0),"",(C4200-B4200)/B4200)</x:f>
      </x:c>
      <x:c r="E4200" s="22" t="str">
        <x:f>IF(ISBLANK(C4200),"AmountIncludingTax缺失",IF(ABS(B4200-C4200)&lt;0.005,"一致","不一致"))</x:f>
        <x:v>AmountIncludingTax缺失</x:v>
      </x:c>
      <x:c r="F4200" s="19" t="str">
        <x:v>approved</x:v>
      </x:c>
      <x:c r="G4200" s="19" t="str">
        <x:v>Repair in Progress</x:v>
      </x:c>
      <x:c r="H4200" s="19" t="str">
        <x:v>In Field</x:v>
      </x:c>
      <x:c r="I4200" s="37" t="n">
        <x:v>46125</x:v>
      </x:c>
      <x:c r="J4200" s="37" t="n">
        <x:v>46125</x:v>
      </x:c>
      <x:c r="K4200" s="19" t="str">
        <x:v>Regent RV - Perth</x:v>
      </x:c>
      <x:c r="L4200" s="19" t="str">
        <x:v>Z006</x:v>
      </x:c>
      <x:c r="M4200" s="19" t="str">
        <x:v>In Field Warranty Claims</x:v>
      </x:c>
      <x:c r="N4200" s="37" t="n">
        <x:v>46039</x:v>
      </x:c>
      <x:c r="O4200" s="37"/>
      <x:c r="P4200" s="34" t="n">
        <x:v>0</x:v>
      </x:c>
      <x:c r="Q4200" s="37" t="n">
        <x:v>46125.378333333334</x:v>
      </x:c>
    </x:row>
    <x:row r="4201">
      <x:c r="A4201" s="22" t="n">
        <x:v>29968</x:v>
      </x:c>
      <x:c r="B4201" s="28" t="n">
        <x:v>1822.5</x:v>
      </x:c>
      <x:c r="C4201" s="28"/>
      <x:c r="D4201" s="31" t="str">
        <x:f>IF(OR(ISBLANK(B4201),ISBLANK(C4201),B4201=0),"",(C4201-B4201)/B4201)</x:f>
      </x:c>
      <x:c r="E4201" s="22" t="str">
        <x:f>IF(ISBLANK(C4201),"AmountIncludingTax缺失",IF(ABS(B4201-C4201)&lt;0.005,"一致","不一致"))</x:f>
        <x:v>AmountIncludingTax缺失</x:v>
      </x:c>
      <x:c r="F4201" s="19" t="str">
        <x:v>approved</x:v>
      </x:c>
      <x:c r="G4201" s="19" t="str">
        <x:v>Repair in Progress</x:v>
      </x:c>
      <x:c r="H4201" s="19" t="str">
        <x:v>In Field</x:v>
      </x:c>
      <x:c r="I4201" s="37" t="n">
        <x:v>46091</x:v>
      </x:c>
      <x:c r="J4201" s="37" t="n">
        <x:v>46091</x:v>
      </x:c>
      <x:c r="K4201" s="19" t="str">
        <x:v>Snowy River Launceston</x:v>
      </x:c>
      <x:c r="L4201" s="19" t="str">
        <x:v>Z006</x:v>
      </x:c>
      <x:c r="M4201" s="19" t="str">
        <x:v>In Field Warranty Claims</x:v>
      </x:c>
      <x:c r="N4201" s="37" t="n">
        <x:v>46039</x:v>
      </x:c>
      <x:c r="O4201" s="37"/>
      <x:c r="P4201" s="34" t="n">
        <x:v>0</x:v>
      </x:c>
      <x:c r="Q4201" s="37" t="n">
        <x:v>46091.06542824074</x:v>
      </x:c>
    </x:row>
    <x:row r="4202">
      <x:c r="A4202" s="22" t="n">
        <x:v>29966</x:v>
      </x:c>
      <x:c r="B4202" s="28" t="n">
        <x:v>81.82</x:v>
      </x:c>
      <x:c r="C4202" s="28" t="n">
        <x:v>90</x:v>
      </x:c>
      <x:c r="D4202" s="31" t="n">
        <x:f>IF(OR(ISBLANK(B4202),ISBLANK(C4202),B4202=0),"",(C4202-B4202)/B4202)</x:f>
        <x:v>0.09997555609875346</x:v>
      </x:c>
      <x:c r="E4202" s="22" t="str">
        <x:f>IF(ISBLANK(C4202),"AmountIncludingTax缺失",IF(ABS(B4202-C4202)&lt;0.005,"一致","不一致"))</x:f>
        <x:v>不一致</x:v>
      </x:c>
      <x:c r="F4202" s="19" t="str">
        <x:v>approved</x:v>
      </x:c>
      <x:c r="G4202" s="19" t="str">
        <x:v>Repair in Progress</x:v>
      </x:c>
      <x:c r="H4202" s="19" t="str">
        <x:v>In Field</x:v>
      </x:c>
      <x:c r="I4202" s="37" t="n">
        <x:v>46079</x:v>
      </x:c>
      <x:c r="J4202" s="37" t="n">
        <x:v>46079</x:v>
      </x:c>
      <x:c r="K4202" s="19" t="str">
        <x:v>Dario Caravans -St.Marys</x:v>
      </x:c>
      <x:c r="L4202" s="19" t="str">
        <x:v>Z006</x:v>
      </x:c>
      <x:c r="M4202" s="19" t="str">
        <x:v>In Field Warranty Claims</x:v>
      </x:c>
      <x:c r="N4202" s="37" t="n">
        <x:v>46038</x:v>
      </x:c>
      <x:c r="O4202" s="37"/>
      <x:c r="P4202" s="34" t="n">
        <x:v>90</x:v>
      </x:c>
      <x:c r="Q4202" s="37" t="n">
        <x:v>46079.20799768518</x:v>
      </x:c>
    </x:row>
    <x:row r="4203">
      <x:c r="A4203" s="22" t="n">
        <x:v>29965</x:v>
      </x:c>
      <x:c r="B4203" s="28" t="n">
        <x:v>503.97</x:v>
      </x:c>
      <x:c r="C4203" s="28" t="n">
        <x:v>437.82</x:v>
      </x:c>
      <x:c r="D4203" s="31" t="n">
        <x:f>IF(OR(ISBLANK(B4203),ISBLANK(C4203),B4203=0),"",(C4203-B4203)/B4203)</x:f>
        <x:v>-0.1312578129650575</x:v>
      </x:c>
      <x:c r="E4203" s="22" t="str">
        <x:f>IF(ISBLANK(C4203),"AmountIncludingTax缺失",IF(ABS(B4203-C4203)&lt;0.005,"一致","不一致"))</x:f>
        <x:v>不一致</x:v>
      </x:c>
      <x:c r="F4203" s="19" t="str">
        <x:v>approved</x:v>
      </x:c>
      <x:c r="G4203" s="19" t="str">
        <x:v>Repairer Invoiced Processed</x:v>
      </x:c>
      <x:c r="H4203" s="19" t="str">
        <x:v>In Field</x:v>
      </x:c>
      <x:c r="I4203" s="37" t="n">
        <x:v>46077</x:v>
      </x:c>
      <x:c r="J4203" s="37" t="n">
        <x:v>46077</x:v>
      </x:c>
      <x:c r="K4203" s="19" t="str">
        <x:v>Vanari Caravans - Marden Point</x:v>
      </x:c>
      <x:c r="L4203" s="19" t="str">
        <x:v>Z006</x:v>
      </x:c>
      <x:c r="M4203" s="19" t="str">
        <x:v>In Field Warranty Claims</x:v>
      </x:c>
      <x:c r="N4203" s="37" t="n">
        <x:v>46038</x:v>
      </x:c>
      <x:c r="O4203" s="37"/>
      <x:c r="P4203" s="34" t="n">
        <x:v>437.82</x:v>
      </x:c>
      <x:c r="Q4203" s="37" t="n">
        <x:v>46077.036574074074</x:v>
      </x:c>
    </x:row>
    <x:row r="4204">
      <x:c r="A4204" s="22" t="n">
        <x:v>29964</x:v>
      </x:c>
      <x:c r="B4204" s="28" t="n">
        <x:v>1107.4</x:v>
      </x:c>
      <x:c r="C4204" s="28"/>
      <x:c r="D4204" s="31" t="str">
        <x:f>IF(OR(ISBLANK(B4204),ISBLANK(C4204),B4204=0),"",(C4204-B4204)/B4204)</x:f>
      </x:c>
      <x:c r="E4204" s="22" t="str">
        <x:f>IF(ISBLANK(C4204),"AmountIncludingTax缺失",IF(ABS(B4204-C4204)&lt;0.005,"一致","不一致"))</x:f>
        <x:v>AmountIncludingTax缺失</x:v>
      </x:c>
      <x:c r="F4204" s="19" t="str">
        <x:v>approved</x:v>
      </x:c>
      <x:c r="G4204" s="19" t="str">
        <x:v>Repairer Invoiced Processed</x:v>
      </x:c>
      <x:c r="H4204" s="19" t="str">
        <x:v>In Field</x:v>
      </x:c>
      <x:c r="I4204" s="37" t="n">
        <x:v>46080</x:v>
      </x:c>
      <x:c r="J4204" s="37" t="n">
        <x:v>46080</x:v>
      </x:c>
      <x:c r="K4204" s="19" t="str">
        <x:v>Bendigo Caravan Group - Bendigo</x:v>
      </x:c>
      <x:c r="L4204" s="19" t="str">
        <x:v>Z006</x:v>
      </x:c>
      <x:c r="M4204" s="19" t="str">
        <x:v>In Field Warranty Claims</x:v>
      </x:c>
      <x:c r="N4204" s="37" t="n">
        <x:v>46038</x:v>
      </x:c>
      <x:c r="O4204" s="37"/>
      <x:c r="P4204" s="34" t="n">
        <x:v>0</x:v>
      </x:c>
      <x:c r="Q4204" s="37" t="n">
        <x:v>46080.20324074074</x:v>
      </x:c>
    </x:row>
    <x:row r="4205">
      <x:c r="A4205" s="22" t="n">
        <x:v>29962</x:v>
      </x:c>
      <x:c r="B4205" s="28" t="n">
        <x:v>202.5</x:v>
      </x:c>
      <x:c r="C4205" s="28" t="n">
        <x:v>222.75</x:v>
      </x:c>
      <x:c r="D4205" s="31" t="n">
        <x:f>IF(OR(ISBLANK(B4205),ISBLANK(C4205),B4205=0),"",(C4205-B4205)/B4205)</x:f>
        <x:v>0.1</x:v>
      </x:c>
      <x:c r="E4205" s="22" t="str">
        <x:f>IF(ISBLANK(C4205),"AmountIncludingTax缺失",IF(ABS(B4205-C4205)&lt;0.005,"一致","不一致"))</x:f>
        <x:v>不一致</x:v>
      </x:c>
      <x:c r="F4205" s="19" t="str">
        <x:v>approved</x:v>
      </x:c>
      <x:c r="G4205" s="19" t="str">
        <x:v>Repairer Invoiced Processed</x:v>
      </x:c>
      <x:c r="H4205" s="19" t="str">
        <x:v>In Field</x:v>
      </x:c>
      <x:c r="I4205" s="37" t="n">
        <x:v>46092</x:v>
      </x:c>
      <x:c r="J4205" s="37" t="n">
        <x:v>46092</x:v>
      </x:c>
      <x:c r="K4205" s="19" t="str">
        <x:v>Leisure Lion - Bundaberg</x:v>
      </x:c>
      <x:c r="L4205" s="19" t="str">
        <x:v>Z006</x:v>
      </x:c>
      <x:c r="M4205" s="19" t="str">
        <x:v>In Field Warranty Claims</x:v>
      </x:c>
      <x:c r="N4205" s="37" t="n">
        <x:v>46038</x:v>
      </x:c>
      <x:c r="O4205" s="37"/>
      <x:c r="P4205" s="34" t="n">
        <x:v>222.75</x:v>
      </x:c>
      <x:c r="Q4205" s="37" t="n">
        <x:v>46091.88945601852</x:v>
      </x:c>
    </x:row>
    <x:row r="4206">
      <x:c r="A4206" s="22" t="n">
        <x:v>29961</x:v>
      </x:c>
      <x:c r="B4206" s="28" t="n">
        <x:v>290</x:v>
      </x:c>
      <x:c r="C4206" s="28"/>
      <x:c r="D4206" s="31" t="str">
        <x:f>IF(OR(ISBLANK(B4206),ISBLANK(C4206),B4206=0),"",(C4206-B4206)/B4206)</x:f>
      </x:c>
      <x:c r="E4206" s="22" t="str">
        <x:f>IF(ISBLANK(C4206),"AmountIncludingTax缺失",IF(ABS(B4206-C4206)&lt;0.005,"一致","不一致"))</x:f>
        <x:v>AmountIncludingTax缺失</x:v>
      </x:c>
      <x:c r="F4206" s="19" t="str">
        <x:v>approved</x:v>
      </x:c>
      <x:c r="G4206" s="19" t="str">
        <x:v>Repairer Invoiced Processed</x:v>
      </x:c>
      <x:c r="H4206" s="19" t="str">
        <x:v>In Field</x:v>
      </x:c>
      <x:c r="I4206" s="37" t="n">
        <x:v>46070</x:v>
      </x:c>
      <x:c r="J4206" s="37" t="n">
        <x:v>46070</x:v>
      </x:c>
      <x:c r="K4206" s="19" t="str">
        <x:v>Lesiure Lion-New Castle</x:v>
      </x:c>
      <x:c r="L4206" s="19" t="str">
        <x:v>Z006</x:v>
      </x:c>
      <x:c r="M4206" s="19" t="str">
        <x:v>In Field Warranty Claims</x:v>
      </x:c>
      <x:c r="N4206" s="37" t="n">
        <x:v>46038</x:v>
      </x:c>
      <x:c r="O4206" s="37"/>
      <x:c r="P4206" s="34" t="n">
        <x:v>0</x:v>
      </x:c>
      <x:c r="Q4206" s="37" t="n">
        <x:v>46069.928564814814</x:v>
      </x:c>
    </x:row>
    <x:row r="4207">
      <x:c r="A4207" s="22" t="n">
        <x:v>29957</x:v>
      </x:c>
      <x:c r="B4207" s="28" t="n">
        <x:v>67.5</x:v>
      </x:c>
      <x:c r="C4207" s="28"/>
      <x:c r="D4207" s="31" t="str">
        <x:f>IF(OR(ISBLANK(B4207),ISBLANK(C4207),B4207=0),"",(C4207-B4207)/B4207)</x:f>
      </x:c>
      <x:c r="E4207" s="22" t="str">
        <x:f>IF(ISBLANK(C4207),"AmountIncludingTax缺失",IF(ABS(B4207-C4207)&lt;0.005,"一致","不一致"))</x:f>
        <x:v>AmountIncludingTax缺失</x:v>
      </x:c>
      <x:c r="F4207" s="19" t="str">
        <x:v>approved</x:v>
      </x:c>
      <x:c r="G4207" s="19" t="str">
        <x:v>Repair in Progress</x:v>
      </x:c>
      <x:c r="H4207" s="19" t="str">
        <x:v>In Field</x:v>
      </x:c>
      <x:c r="I4207" s="37" t="n">
        <x:v>46108</x:v>
      </x:c>
      <x:c r="J4207" s="37" t="n">
        <x:v>46108</x:v>
      </x:c>
      <x:c r="K4207" s="19" t="str">
        <x:v>Snowy River Wangaratta</x:v>
      </x:c>
      <x:c r="L4207" s="19" t="str">
        <x:v>Z006</x:v>
      </x:c>
      <x:c r="M4207" s="19" t="str">
        <x:v>In Field Warranty Claims</x:v>
      </x:c>
      <x:c r="N4207" s="37" t="n">
        <x:v>46039</x:v>
      </x:c>
      <x:c r="O4207" s="37"/>
      <x:c r="P4207" s="34" t="n">
        <x:v>0</x:v>
      </x:c>
      <x:c r="Q4207" s="37" t="n">
        <x:v>46108.067928240744</x:v>
      </x:c>
    </x:row>
    <x:row r="4208">
      <x:c r="A4208" s="22" t="n">
        <x:v>29955</x:v>
      </x:c>
      <x:c r="B4208" s="28" t="n">
        <x:v>357.5</x:v>
      </x:c>
      <x:c r="C4208" s="28"/>
      <x:c r="D4208" s="31" t="str">
        <x:f>IF(OR(ISBLANK(B4208),ISBLANK(C4208),B4208=0),"",(C4208-B4208)/B4208)</x:f>
      </x:c>
      <x:c r="E4208" s="22" t="str">
        <x:f>IF(ISBLANK(C4208),"AmountIncludingTax缺失",IF(ABS(B4208-C4208)&lt;0.005,"一致","不一致"))</x:f>
        <x:v>AmountIncludingTax缺失</x:v>
      </x:c>
      <x:c r="F4208" s="19" t="str">
        <x:v>approved</x:v>
      </x:c>
      <x:c r="G4208" s="19" t="str">
        <x:v>Repair in Progress</x:v>
      </x:c>
      <x:c r="H4208" s="19" t="str">
        <x:v>In Field</x:v>
      </x:c>
      <x:c r="I4208" s="37" t="n">
        <x:v>46133</x:v>
      </x:c>
      <x:c r="J4208" s="37" t="n">
        <x:v>46133</x:v>
      </x:c>
      <x:c r="K4208" s="19" t="str">
        <x:v>Regent RV - Perth</x:v>
      </x:c>
      <x:c r="L4208" s="19" t="str">
        <x:v>Z006</x:v>
      </x:c>
      <x:c r="M4208" s="19" t="str">
        <x:v>In Field Warranty Claims</x:v>
      </x:c>
      <x:c r="N4208" s="37" t="n">
        <x:v>46038</x:v>
      </x:c>
      <x:c r="O4208" s="37"/>
      <x:c r="P4208" s="34" t="n">
        <x:v>0</x:v>
      </x:c>
      <x:c r="Q4208" s="37" t="n">
        <x:v>46132.915451388886</x:v>
      </x:c>
    </x:row>
    <x:row r="4209">
      <x:c r="A4209" s="22" t="n">
        <x:v>29954</x:v>
      </x:c>
      <x:c r="B4209" s="28" t="n">
        <x:v>67.5</x:v>
      </x:c>
      <x:c r="C4209" s="28"/>
      <x:c r="D4209" s="31" t="str">
        <x:f>IF(OR(ISBLANK(B4209),ISBLANK(C4209),B4209=0),"",(C4209-B4209)/B4209)</x:f>
      </x:c>
      <x:c r="E4209" s="22" t="str">
        <x:f>IF(ISBLANK(C4209),"AmountIncludingTax缺失",IF(ABS(B4209-C4209)&lt;0.005,"一致","不一致"))</x:f>
        <x:v>AmountIncludingTax缺失</x:v>
      </x:c>
      <x:c r="F4209" s="19" t="str">
        <x:v>approved</x:v>
      </x:c>
      <x:c r="G4209" s="19" t="str">
        <x:v>Repairer Invoiced Processed</x:v>
      </x:c>
      <x:c r="H4209" s="19" t="str">
        <x:v>In Field</x:v>
      </x:c>
      <x:c r="I4209" s="37" t="n">
        <x:v>46063</x:v>
      </x:c>
      <x:c r="J4209" s="37" t="n">
        <x:v>46063</x:v>
      </x:c>
      <x:c r="K4209" s="19" t="str">
        <x:v>Newcastle RV Super Centre - Beresfield</x:v>
      </x:c>
      <x:c r="L4209" s="19" t="str">
        <x:v>Z006</x:v>
      </x:c>
      <x:c r="M4209" s="19" t="str">
        <x:v>In Field Warranty Claims</x:v>
      </x:c>
      <x:c r="N4209" s="37" t="n">
        <x:v>46038</x:v>
      </x:c>
      <x:c r="O4209" s="37"/>
      <x:c r="P4209" s="34" t="n">
        <x:v>0</x:v>
      </x:c>
      <x:c r="Q4209" s="37" t="n">
        <x:v>46063.04387731481</x:v>
      </x:c>
    </x:row>
    <x:row r="4210">
      <x:c r="A4210" s="22" t="n">
        <x:v>29953</x:v>
      </x:c>
      <x:c r="B4210" s="28" t="n">
        <x:v>1474</x:v>
      </x:c>
      <x:c r="C4210" s="28"/>
      <x:c r="D4210" s="31" t="str">
        <x:f>IF(OR(ISBLANK(B4210),ISBLANK(C4210),B4210=0),"",(C4210-B4210)/B4210)</x:f>
      </x:c>
      <x:c r="E4210" s="22" t="str">
        <x:f>IF(ISBLANK(C4210),"AmountIncludingTax缺失",IF(ABS(B4210-C4210)&lt;0.005,"一致","不一致"))</x:f>
        <x:v>AmountIncludingTax缺失</x:v>
      </x:c>
      <x:c r="F4210" s="19" t="str">
        <x:v>approved</x:v>
      </x:c>
      <x:c r="G4210" s="19" t="str">
        <x:v>Repairer Invoiced Processed</x:v>
      </x:c>
      <x:c r="H4210" s="19" t="str">
        <x:v>In Field</x:v>
      </x:c>
      <x:c r="I4210" s="37" t="n">
        <x:v>46087</x:v>
      </x:c>
      <x:c r="J4210" s="37" t="n">
        <x:v>46087</x:v>
      </x:c>
      <x:c r="K4210" s="19" t="str">
        <x:v>Newcastle RV Super Centre - Beresfield</x:v>
      </x:c>
      <x:c r="L4210" s="19" t="str">
        <x:v>Z006</x:v>
      </x:c>
      <x:c r="M4210" s="19" t="str">
        <x:v>In Field Warranty Claims</x:v>
      </x:c>
      <x:c r="N4210" s="37" t="n">
        <x:v>46038</x:v>
      </x:c>
      <x:c r="O4210" s="37"/>
      <x:c r="P4210" s="34" t="n">
        <x:v>0</x:v>
      </x:c>
      <x:c r="Q4210" s="37" t="n">
        <x:v>46087.42920138889</x:v>
      </x:c>
    </x:row>
    <x:row r="4211">
      <x:c r="A4211" s="22" t="n">
        <x:v>29952</x:v>
      </x:c>
      <x:c r="B4211" s="28" t="n">
        <x:v>371.25</x:v>
      </x:c>
      <x:c r="C4211" s="28"/>
      <x:c r="D4211" s="31" t="str">
        <x:f>IF(OR(ISBLANK(B4211),ISBLANK(C4211),B4211=0),"",(C4211-B4211)/B4211)</x:f>
      </x:c>
      <x:c r="E4211" s="22" t="str">
        <x:f>IF(ISBLANK(C4211),"AmountIncludingTax缺失",IF(ABS(B4211-C4211)&lt;0.005,"一致","不一致"))</x:f>
        <x:v>AmountIncludingTax缺失</x:v>
      </x:c>
      <x:c r="F4211" s="19" t="str">
        <x:v>approved</x:v>
      </x:c>
      <x:c r="G4211" s="19" t="str">
        <x:v>Repairer Invoiced Processed</x:v>
      </x:c>
      <x:c r="H4211" s="19" t="str">
        <x:v>In Field</x:v>
      </x:c>
      <x:c r="I4211" s="37" t="n">
        <x:v>46063</x:v>
      </x:c>
      <x:c r="J4211" s="37" t="n">
        <x:v>46063</x:v>
      </x:c>
      <x:c r="K4211" s="19" t="str">
        <x:v>Newcastle RV Super Centre - Beresfield</x:v>
      </x:c>
      <x:c r="L4211" s="19" t="str">
        <x:v>Z006</x:v>
      </x:c>
      <x:c r="M4211" s="19" t="str">
        <x:v>In Field Warranty Claims</x:v>
      </x:c>
      <x:c r="N4211" s="37" t="n">
        <x:v>46038</x:v>
      </x:c>
      <x:c r="O4211" s="37"/>
      <x:c r="P4211" s="34" t="n">
        <x:v>0</x:v>
      </x:c>
      <x:c r="Q4211" s="37" t="n">
        <x:v>46063.05813657407</x:v>
      </x:c>
    </x:row>
    <x:row r="4212">
      <x:c r="A4212" s="22" t="n">
        <x:v>29951</x:v>
      </x:c>
      <x:c r="B4212" s="28" t="n">
        <x:v>911.25</x:v>
      </x:c>
      <x:c r="C4212" s="28"/>
      <x:c r="D4212" s="31" t="str">
        <x:f>IF(OR(ISBLANK(B4212),ISBLANK(C4212),B4212=0),"",(C4212-B4212)/B4212)</x:f>
      </x:c>
      <x:c r="E4212" s="22" t="str">
        <x:f>IF(ISBLANK(C4212),"AmountIncludingTax缺失",IF(ABS(B4212-C4212)&lt;0.005,"一致","不一致"))</x:f>
        <x:v>AmountIncludingTax缺失</x:v>
      </x:c>
      <x:c r="F4212" s="19" t="str">
        <x:v>approved</x:v>
      </x:c>
      <x:c r="G4212" s="19" t="str">
        <x:v>Repair in Progress</x:v>
      </x:c>
      <x:c r="H4212" s="19" t="str">
        <x:v>In Field</x:v>
      </x:c>
      <x:c r="I4212" s="37" t="n">
        <x:v>46071</x:v>
      </x:c>
      <x:c r="J4212" s="37" t="n">
        <x:v>46071</x:v>
      </x:c>
      <x:c r="K4212" s="19" t="str">
        <x:v>Regent RV - Frankston</x:v>
      </x:c>
      <x:c r="L4212" s="19" t="str">
        <x:v>Z006</x:v>
      </x:c>
      <x:c r="M4212" s="19" t="str">
        <x:v>In Field Warranty Claims</x:v>
      </x:c>
      <x:c r="N4212" s="37" t="n">
        <x:v>46038</x:v>
      </x:c>
      <x:c r="O4212" s="37"/>
      <x:c r="P4212" s="34" t="n">
        <x:v>0</x:v>
      </x:c>
      <x:c r="Q4212" s="37" t="n">
        <x:v>46071.18037037037</x:v>
      </x:c>
    </x:row>
    <x:row r="4213">
      <x:c r="A4213" s="22" t="n">
        <x:v>29949</x:v>
      </x:c>
      <x:c r="B4213" s="28" t="n">
        <x:v>1693.75</x:v>
      </x:c>
      <x:c r="C4213" s="28"/>
      <x:c r="D4213" s="31" t="str">
        <x:f>IF(OR(ISBLANK(B4213),ISBLANK(C4213),B4213=0),"",(C4213-B4213)/B4213)</x:f>
      </x:c>
      <x:c r="E4213" s="22" t="str">
        <x:f>IF(ISBLANK(C4213),"AmountIncludingTax缺失",IF(ABS(B4213-C4213)&lt;0.005,"一致","不一致"))</x:f>
        <x:v>AmountIncludingTax缺失</x:v>
      </x:c>
      <x:c r="F4213" s="19" t="str">
        <x:v>approved</x:v>
      </x:c>
      <x:c r="G4213" s="19" t="str">
        <x:v>Repair in Progress</x:v>
      </x:c>
      <x:c r="H4213" s="19" t="str">
        <x:v>In Field</x:v>
      </x:c>
      <x:c r="I4213" s="37" t="n">
        <x:v>46106</x:v>
      </x:c>
      <x:c r="J4213" s="37" t="n">
        <x:v>46106</x:v>
      </x:c>
      <x:c r="K4213" s="19" t="str">
        <x:v>Green RV - Forest Glen</x:v>
      </x:c>
      <x:c r="L4213" s="19" t="str">
        <x:v>Z006</x:v>
      </x:c>
      <x:c r="M4213" s="19" t="str">
        <x:v>In Field Warranty Claims</x:v>
      </x:c>
      <x:c r="N4213" s="37" t="n">
        <x:v>46038</x:v>
      </x:c>
      <x:c r="O4213" s="37"/>
      <x:c r="P4213" s="34" t="n">
        <x:v>0</x:v>
      </x:c>
      <x:c r="Q4213" s="37" t="n">
        <x:v>46106.08744212963</x:v>
      </x:c>
    </x:row>
    <x:row r="4214">
      <x:c r="A4214" s="22" t="n">
        <x:v>29948</x:v>
      </x:c>
      <x:c r="B4214" s="28" t="n">
        <x:v>145</x:v>
      </x:c>
      <x:c r="C4214" s="28"/>
      <x:c r="D4214" s="31" t="str">
        <x:f>IF(OR(ISBLANK(B4214),ISBLANK(C4214),B4214=0),"",(C4214-B4214)/B4214)</x:f>
      </x:c>
      <x:c r="E4214" s="22" t="str">
        <x:f>IF(ISBLANK(C4214),"AmountIncludingTax缺失",IF(ABS(B4214-C4214)&lt;0.005,"一致","不一致"))</x:f>
        <x:v>AmountIncludingTax缺失</x:v>
      </x:c>
      <x:c r="F4214" s="19" t="str">
        <x:v>approved</x:v>
      </x:c>
      <x:c r="G4214" s="19" t="str">
        <x:v>Repairer Invoiced Processed</x:v>
      </x:c>
      <x:c r="H4214" s="19" t="str">
        <x:v>In Field</x:v>
      </x:c>
      <x:c r="I4214" s="37" t="n">
        <x:v>46063</x:v>
      </x:c>
      <x:c r="J4214" s="37" t="n">
        <x:v>46063</x:v>
      </x:c>
      <x:c r="K4214" s="19" t="str">
        <x:v>Newcastle RV Super Centre - Beresfield</x:v>
      </x:c>
      <x:c r="L4214" s="19" t="str">
        <x:v>Z006</x:v>
      </x:c>
      <x:c r="M4214" s="19" t="str">
        <x:v>In Field Warranty Claims</x:v>
      </x:c>
      <x:c r="N4214" s="37" t="n">
        <x:v>46038</x:v>
      </x:c>
      <x:c r="O4214" s="37"/>
      <x:c r="P4214" s="34" t="n">
        <x:v>0</x:v>
      </x:c>
      <x:c r="Q4214" s="37" t="n">
        <x:v>46063.1262037037</x:v>
      </x:c>
    </x:row>
    <x:row r="4215">
      <x:c r="A4215" s="22" t="n">
        <x:v>29947</x:v>
      </x:c>
      <x:c r="B4215" s="28" t="n">
        <x:v>410</x:v>
      </x:c>
      <x:c r="C4215" s="28"/>
      <x:c r="D4215" s="31" t="str">
        <x:f>IF(OR(ISBLANK(B4215),ISBLANK(C4215),B4215=0),"",(C4215-B4215)/B4215)</x:f>
      </x:c>
      <x:c r="E4215" s="22" t="str">
        <x:f>IF(ISBLANK(C4215),"AmountIncludingTax缺失",IF(ABS(B4215-C4215)&lt;0.005,"一致","不一致"))</x:f>
        <x:v>AmountIncludingTax缺失</x:v>
      </x:c>
      <x:c r="F4215" s="19" t="str">
        <x:v>approved</x:v>
      </x:c>
      <x:c r="G4215" s="19" t="str">
        <x:v>Repair in Progress</x:v>
      </x:c>
      <x:c r="H4215" s="19" t="str">
        <x:v>In Field</x:v>
      </x:c>
      <x:c r="I4215" s="37" t="n">
        <x:v>46199</x:v>
      </x:c>
      <x:c r="J4215" s="37" t="n">
        <x:v>46199</x:v>
      </x:c>
      <x:c r="K4215" s="19" t="str">
        <x:v>Bendigo Caravan Group - Bendigo</x:v>
      </x:c>
      <x:c r="L4215" s="19" t="str">
        <x:v>Z006</x:v>
      </x:c>
      <x:c r="M4215" s="19" t="str">
        <x:v>In Field Warranty Claims</x:v>
      </x:c>
      <x:c r="N4215" s="37" t="n">
        <x:v>46038</x:v>
      </x:c>
      <x:c r="O4215" s="37" t="n">
        <x:v>46192</x:v>
      </x:c>
      <x:c r="P4215" s="34" t="n">
        <x:v>0</x:v>
      </x:c>
      <x:c r="Q4215" s="37" t="n">
        <x:v>46199.100648148145</x:v>
      </x:c>
    </x:row>
    <x:row r="4216">
      <x:c r="A4216" s="22" t="n">
        <x:v>29946</x:v>
      </x:c>
      <x:c r="B4216" s="28" t="n">
        <x:v>2181.76</x:v>
      </x:c>
      <x:c r="C4216" s="28"/>
      <x:c r="D4216" s="31" t="str">
        <x:f>IF(OR(ISBLANK(B4216),ISBLANK(C4216),B4216=0),"",(C4216-B4216)/B4216)</x:f>
      </x:c>
      <x:c r="E4216" s="22" t="str">
        <x:f>IF(ISBLANK(C4216),"AmountIncludingTax缺失",IF(ABS(B4216-C4216)&lt;0.005,"一致","不一致"))</x:f>
        <x:v>AmountIncludingTax缺失</x:v>
      </x:c>
      <x:c r="F4216" s="19" t="str">
        <x:v>approved</x:v>
      </x:c>
      <x:c r="G4216" s="19" t="str">
        <x:v>Repair in Progress</x:v>
      </x:c>
      <x:c r="H4216" s="19" t="str">
        <x:v>Pre Delivery</x:v>
      </x:c>
      <x:c r="I4216" s="37" t="n">
        <x:v>46044</x:v>
      </x:c>
      <x:c r="J4216" s="37" t="n">
        <x:v>46044</x:v>
      </x:c>
      <x:c r="K4216" s="19" t="str">
        <x:v>Regent RV Pty Ltd</x:v>
      </x:c>
      <x:c r="L4216" s="19" t="str">
        <x:v>Z005</x:v>
      </x:c>
      <x:c r="M4216" s="19" t="str">
        <x:v>Pre Delivery Warranty Claims</x:v>
      </x:c>
      <x:c r="N4216" s="37" t="n">
        <x:v>46038</x:v>
      </x:c>
      <x:c r="O4216" s="37"/>
      <x:c r="P4216" s="34" t="n">
        <x:v>0</x:v>
      </x:c>
      <x:c r="Q4216" s="37" t="n">
        <x:v>46044.180451388886</x:v>
      </x:c>
    </x:row>
    <x:row r="4217">
      <x:c r="A4217" s="22" t="n">
        <x:v>29945</x:v>
      </x:c>
      <x:c r="B4217" s="28" t="n">
        <x:v>617.95</x:v>
      </x:c>
      <x:c r="C4217" s="28" t="n">
        <x:v>679.75</x:v>
      </x:c>
      <x:c r="D4217" s="31" t="n">
        <x:f>IF(OR(ISBLANK(B4217),ISBLANK(C4217),B4217=0),"",(C4217-B4217)/B4217)</x:f>
        <x:v>0.10000809126952011</x:v>
      </x:c>
      <x:c r="E4217" s="22" t="str">
        <x:f>IF(ISBLANK(C4217),"AmountIncludingTax缺失",IF(ABS(B4217-C4217)&lt;0.005,"一致","不一致"))</x:f>
        <x:v>不一致</x:v>
      </x:c>
      <x:c r="F4217" s="19" t="str">
        <x:v>approved</x:v>
      </x:c>
      <x:c r="G4217" s="19" t="str">
        <x:v>Repairer Invoiced Processed</x:v>
      </x:c>
      <x:c r="H4217" s="19" t="str">
        <x:v>Pre Delivery</x:v>
      </x:c>
      <x:c r="I4217" s="37" t="n">
        <x:v>46101</x:v>
      </x:c>
      <x:c r="J4217" s="37" t="n">
        <x:v>46101</x:v>
      </x:c>
      <x:c r="K4217" s="19" t="str">
        <x:v>Lesiure Lion-New Castle</x:v>
      </x:c>
      <x:c r="L4217" s="19" t="str">
        <x:v>Z005</x:v>
      </x:c>
      <x:c r="M4217" s="19" t="str">
        <x:v>Pre Delivery Warranty Claims</x:v>
      </x:c>
      <x:c r="N4217" s="37" t="n">
        <x:v>46037</x:v>
      </x:c>
      <x:c r="O4217" s="37"/>
      <x:c r="P4217" s="34" t="n">
        <x:v>679.75</x:v>
      </x:c>
      <x:c r="Q4217" s="37" t="n">
        <x:v>46101.09842592593</x:v>
      </x:c>
    </x:row>
    <x:row r="4218">
      <x:c r="A4218" s="22" t="n">
        <x:v>29944</x:v>
      </x:c>
      <x:c r="B4218" s="28" t="n">
        <x:v>225</x:v>
      </x:c>
      <x:c r="C4218" s="28"/>
      <x:c r="D4218" s="31" t="str">
        <x:f>IF(OR(ISBLANK(B4218),ISBLANK(C4218),B4218=0),"",(C4218-B4218)/B4218)</x:f>
      </x:c>
      <x:c r="E4218" s="22" t="str">
        <x:f>IF(ISBLANK(C4218),"AmountIncludingTax缺失",IF(ABS(B4218-C4218)&lt;0.005,"一致","不一致"))</x:f>
        <x:v>AmountIncludingTax缺失</x:v>
      </x:c>
      <x:c r="F4218" s="19" t="str">
        <x:v>approved</x:v>
      </x:c>
      <x:c r="G4218" s="19" t="str">
        <x:v>Repair in Progress</x:v>
      </x:c>
      <x:c r="H4218" s="19" t="str">
        <x:v>In Field</x:v>
      </x:c>
      <x:c r="I4218" s="37" t="n">
        <x:v>46087</x:v>
      </x:c>
      <x:c r="J4218" s="37" t="n">
        <x:v>46087</x:v>
      </x:c>
      <x:c r="K4218" s="19" t="str">
        <x:v>Vanari Caravans - Marden Point</x:v>
      </x:c>
      <x:c r="L4218" s="19" t="str">
        <x:v>Z006</x:v>
      </x:c>
      <x:c r="M4218" s="19" t="str">
        <x:v>In Field Warranty Claims</x:v>
      </x:c>
      <x:c r="N4218" s="37" t="n">
        <x:v>46037</x:v>
      </x:c>
      <x:c r="O4218" s="37"/>
      <x:c r="P4218" s="34" t="n">
        <x:v>0</x:v>
      </x:c>
      <x:c r="Q4218" s="37" t="n">
        <x:v>46087.181805555556</x:v>
      </x:c>
    </x:row>
    <x:row r="4219">
      <x:c r="A4219" s="22" t="n">
        <x:v>29943</x:v>
      </x:c>
      <x:c r="B4219" s="28" t="n">
        <x:v>303.75</x:v>
      </x:c>
      <x:c r="C4219" s="28"/>
      <x:c r="D4219" s="31" t="str">
        <x:f>IF(OR(ISBLANK(B4219),ISBLANK(C4219),B4219=0),"",(C4219-B4219)/B4219)</x:f>
      </x:c>
      <x:c r="E4219" s="22" t="str">
        <x:f>IF(ISBLANK(C4219),"AmountIncludingTax缺失",IF(ABS(B4219-C4219)&lt;0.005,"一致","不一致"))</x:f>
        <x:v>AmountIncludingTax缺失</x:v>
      </x:c>
      <x:c r="F4219" s="19" t="str">
        <x:v>approved</x:v>
      </x:c>
      <x:c r="G4219" s="19" t="str">
        <x:v>Repair in Progress</x:v>
      </x:c>
      <x:c r="H4219" s="19" t="str">
        <x:v>In Field</x:v>
      </x:c>
      <x:c r="I4219" s="37" t="n">
        <x:v>46078</x:v>
      </x:c>
      <x:c r="J4219" s="37" t="n">
        <x:v>46078</x:v>
      </x:c>
      <x:c r="K4219" s="19" t="str">
        <x:v>Regent RV - Frankston</x:v>
      </x:c>
      <x:c r="L4219" s="19" t="str">
        <x:v>Z006</x:v>
      </x:c>
      <x:c r="M4219" s="19" t="str">
        <x:v>In Field Warranty Claims</x:v>
      </x:c>
      <x:c r="N4219" s="37" t="n">
        <x:v>46037</x:v>
      </x:c>
      <x:c r="O4219" s="37"/>
      <x:c r="P4219" s="34" t="n">
        <x:v>0</x:v>
      </x:c>
      <x:c r="Q4219" s="37" t="n">
        <x:v>46078.192928240744</x:v>
      </x:c>
    </x:row>
    <x:row r="4220">
      <x:c r="A4220" s="22" t="n">
        <x:v>29942</x:v>
      </x:c>
      <x:c r="B4220" s="28" t="n">
        <x:v>202.5</x:v>
      </x:c>
      <x:c r="C4220" s="28"/>
      <x:c r="D4220" s="31" t="str">
        <x:f>IF(OR(ISBLANK(B4220),ISBLANK(C4220),B4220=0),"",(C4220-B4220)/B4220)</x:f>
      </x:c>
      <x:c r="E4220" s="22" t="str">
        <x:f>IF(ISBLANK(C4220),"AmountIncludingTax缺失",IF(ABS(B4220-C4220)&lt;0.005,"一致","不一致"))</x:f>
        <x:v>AmountIncludingTax缺失</x:v>
      </x:c>
      <x:c r="F4220" s="19" t="str">
        <x:v>approved</x:v>
      </x:c>
      <x:c r="G4220" s="19" t="str">
        <x:v>Repair in Progress</x:v>
      </x:c>
      <x:c r="H4220" s="19" t="str">
        <x:v>In Field</x:v>
      </x:c>
      <x:c r="I4220" s="37" t="n">
        <x:v>46079</x:v>
      </x:c>
      <x:c r="J4220" s="37" t="n">
        <x:v>46079</x:v>
      </x:c>
      <x:c r="K4220" s="19" t="str">
        <x:v>Regent RV - Frankston</x:v>
      </x:c>
      <x:c r="L4220" s="19" t="str">
        <x:v>Z006</x:v>
      </x:c>
      <x:c r="M4220" s="19" t="str">
        <x:v>In Field Warranty Claims</x:v>
      </x:c>
      <x:c r="N4220" s="37" t="n">
        <x:v>46037</x:v>
      </x:c>
      <x:c r="O4220" s="37"/>
      <x:c r="P4220" s="34" t="n">
        <x:v>0</x:v>
      </x:c>
      <x:c r="Q4220" s="37" t="n">
        <x:v>46078.97350694444</x:v>
      </x:c>
    </x:row>
    <x:row r="4221">
      <x:c r="A4221" s="22" t="n">
        <x:v>29941</x:v>
      </x:c>
      <x:c r="B4221" s="28" t="n">
        <x:v>942.5</x:v>
      </x:c>
      <x:c r="C4221" s="28"/>
      <x:c r="D4221" s="31" t="str">
        <x:f>IF(OR(ISBLANK(B4221),ISBLANK(C4221),B4221=0),"",(C4221-B4221)/B4221)</x:f>
      </x:c>
      <x:c r="E4221" s="22" t="str">
        <x:f>IF(ISBLANK(C4221),"AmountIncludingTax缺失",IF(ABS(B4221-C4221)&lt;0.005,"一致","不一致"))</x:f>
        <x:v>AmountIncludingTax缺失</x:v>
      </x:c>
      <x:c r="F4221" s="19" t="str">
        <x:v>approved</x:v>
      </x:c>
      <x:c r="G4221" s="19" t="str">
        <x:v>Repairer Invoiced Processed</x:v>
      </x:c>
      <x:c r="H4221" s="19" t="str">
        <x:v>In Field</x:v>
      </x:c>
      <x:c r="I4221" s="37" t="n">
        <x:v>46198</x:v>
      </x:c>
      <x:c r="J4221" s="37" t="n">
        <x:v>46164</x:v>
      </x:c>
      <x:c r="K4221" s="19" t="str">
        <x:v>Newcastle RV Super Centre - Beresfield</x:v>
      </x:c>
      <x:c r="L4221" s="19" t="str">
        <x:v>Z006</x:v>
      </x:c>
      <x:c r="M4221" s="19" t="str">
        <x:v>In Field Warranty Claims</x:v>
      </x:c>
      <x:c r="N4221" s="37" t="n">
        <x:v>46037</x:v>
      </x:c>
      <x:c r="O4221" s="37"/>
      <x:c r="P4221" s="34" t="n">
        <x:v>0</x:v>
      </x:c>
      <x:c r="Q4221" s="37" t="n">
        <x:v>46198.25349537037</x:v>
      </x:c>
    </x:row>
    <x:row r="4222">
      <x:c r="A4222" s="22" t="n">
        <x:v>29930</x:v>
      </x:c>
      <x:c r="B4222" s="28" t="n">
        <x:v>751.11</x:v>
      </x:c>
      <x:c r="C4222" s="28" t="n">
        <x:v>826.22</x:v>
      </x:c>
      <x:c r="D4222" s="31" t="n">
        <x:f>IF(OR(ISBLANK(B4222),ISBLANK(C4222),B4222=0),"",(C4222-B4222)/B4222)</x:f>
        <x:v>0.0999986686370838</x:v>
      </x:c>
      <x:c r="E4222" s="22" t="str">
        <x:f>IF(ISBLANK(C4222),"AmountIncludingTax缺失",IF(ABS(B4222-C4222)&lt;0.005,"一致","不一致"))</x:f>
        <x:v>不一致</x:v>
      </x:c>
      <x:c r="F4222" s="19" t="str">
        <x:v>approved</x:v>
      </x:c>
      <x:c r="G4222" s="19" t="str">
        <x:v>Repairer Invoiced Processed</x:v>
      </x:c>
      <x:c r="H4222" s="19" t="str">
        <x:v>Pre Delivery</x:v>
      </x:c>
      <x:c r="I4222" s="37" t="n">
        <x:v>46111</x:v>
      </x:c>
      <x:c r="J4222" s="37" t="n">
        <x:v>46111</x:v>
      </x:c>
      <x:c r="K4222" s="19" t="str">
        <x:v>Lesiure Lion-New Castle</x:v>
      </x:c>
      <x:c r="L4222" s="19" t="str">
        <x:v>Z005</x:v>
      </x:c>
      <x:c r="M4222" s="19" t="str">
        <x:v>Pre Delivery Warranty Claims</x:v>
      </x:c>
      <x:c r="N4222" s="37" t="n">
        <x:v>46038</x:v>
      </x:c>
      <x:c r="O4222" s="37"/>
      <x:c r="P4222" s="34" t="n">
        <x:v>826.22</x:v>
      </x:c>
      <x:c r="Q4222" s="37" t="n">
        <x:v>46111.228101851855</x:v>
      </x:c>
    </x:row>
    <x:row r="4223">
      <x:c r="A4223" s="22" t="n">
        <x:v>29929</x:v>
      </x:c>
      <x:c r="B4223" s="28" t="n">
        <x:v>303.75</x:v>
      </x:c>
      <x:c r="C4223" s="28" t="n">
        <x:v>334.13</x:v>
      </x:c>
      <x:c r="D4223" s="31" t="n">
        <x:f>IF(OR(ISBLANK(B4223),ISBLANK(C4223),B4223=0),"",(C4223-B4223)/B4223)</x:f>
        <x:v>0.10001646090534978</x:v>
      </x:c>
      <x:c r="E4223" s="22" t="str">
        <x:f>IF(ISBLANK(C4223),"AmountIncludingTax缺失",IF(ABS(B4223-C4223)&lt;0.005,"一致","不一致"))</x:f>
        <x:v>不一致</x:v>
      </x:c>
      <x:c r="F4223" s="19" t="str">
        <x:v>approved</x:v>
      </x:c>
      <x:c r="G4223" s="19" t="str">
        <x:v>Repair in Progress</x:v>
      </x:c>
      <x:c r="H4223" s="19" t="str">
        <x:v>In Field</x:v>
      </x:c>
      <x:c r="I4223" s="37" t="n">
        <x:v>46136</x:v>
      </x:c>
      <x:c r="J4223" s="37" t="n">
        <x:v>46136</x:v>
      </x:c>
      <x:c r="K4223" s="19" t="str">
        <x:v>Regent RV - Perth</x:v>
      </x:c>
      <x:c r="L4223" s="19" t="str">
        <x:v>Z006</x:v>
      </x:c>
      <x:c r="M4223" s="19" t="str">
        <x:v>In Field Warranty Claims</x:v>
      </x:c>
      <x:c r="N4223" s="37" t="n">
        <x:v>46038</x:v>
      </x:c>
      <x:c r="O4223" s="37"/>
      <x:c r="P4223" s="34" t="n">
        <x:v>334.13</x:v>
      </x:c>
      <x:c r="Q4223" s="37" t="n">
        <x:v>46136.07877314815</x:v>
      </x:c>
    </x:row>
    <x:row r="4224">
      <x:c r="A4224" s="22" t="n">
        <x:v>29928</x:v>
      </x:c>
      <x:c r="B4224" s="28" t="n">
        <x:v>1029.79</x:v>
      </x:c>
      <x:c r="C4224" s="28"/>
      <x:c r="D4224" s="31" t="str">
        <x:f>IF(OR(ISBLANK(B4224),ISBLANK(C4224),B4224=0),"",(C4224-B4224)/B4224)</x:f>
      </x:c>
      <x:c r="E4224" s="22" t="str">
        <x:f>IF(ISBLANK(C4224),"AmountIncludingTax缺失",IF(ABS(B4224-C4224)&lt;0.005,"一致","不一致"))</x:f>
        <x:v>AmountIncludingTax缺失</x:v>
      </x:c>
      <x:c r="F4224" s="19" t="str">
        <x:v>approved</x:v>
      </x:c>
      <x:c r="G4224" s="19" t="str">
        <x:v>Repairer Invoiced Processed</x:v>
      </x:c>
      <x:c r="H4224" s="19" t="str">
        <x:v>Pre Delivery</x:v>
      </x:c>
      <x:c r="I4224" s="37" t="n">
        <x:v>46112</x:v>
      </x:c>
      <x:c r="J4224" s="37" t="n">
        <x:v>46112</x:v>
      </x:c>
      <x:c r="K4224" s="19" t="str">
        <x:v>Lesiure Lion-New Castle</x:v>
      </x:c>
      <x:c r="L4224" s="19" t="str">
        <x:v>Z005</x:v>
      </x:c>
      <x:c r="M4224" s="19" t="str">
        <x:v>Pre Delivery Warranty Claims</x:v>
      </x:c>
      <x:c r="N4224" s="37" t="n">
        <x:v>46037</x:v>
      </x:c>
      <x:c r="O4224" s="37"/>
      <x:c r="P4224" s="34" t="n">
        <x:v>1132.77</x:v>
      </x:c>
      <x:c r="Q4224" s="37" t="n">
        <x:v>46111.93709490741</x:v>
      </x:c>
    </x:row>
    <x:row r="4225">
      <x:c r="A4225" s="22" t="n">
        <x:v>29927</x:v>
      </x:c>
      <x:c r="B4225" s="28" t="n">
        <x:v>1147.5</x:v>
      </x:c>
      <x:c r="C4225" s="28"/>
      <x:c r="D4225" s="31" t="str">
        <x:f>IF(OR(ISBLANK(B4225),ISBLANK(C4225),B4225=0),"",(C4225-B4225)/B4225)</x:f>
      </x:c>
      <x:c r="E4225" s="22" t="str">
        <x:f>IF(ISBLANK(C4225),"AmountIncludingTax缺失",IF(ABS(B4225-C4225)&lt;0.005,"一致","不一致"))</x:f>
        <x:v>AmountIncludingTax缺失</x:v>
      </x:c>
      <x:c r="F4225" s="19" t="str">
        <x:v>approved</x:v>
      </x:c>
      <x:c r="G4225" s="19" t="str">
        <x:v>Repairer Invoiced Processed</x:v>
      </x:c>
      <x:c r="H4225" s="19" t="str">
        <x:v>In Field</x:v>
      </x:c>
      <x:c r="I4225" s="37" t="n">
        <x:v>46185</x:v>
      </x:c>
      <x:c r="J4225" s="37" t="n">
        <x:v>46108</x:v>
      </x:c>
      <x:c r="K4225" s="19" t="str">
        <x:v>Regent RV - Frankston</x:v>
      </x:c>
      <x:c r="L4225" s="19" t="str">
        <x:v>Z006</x:v>
      </x:c>
      <x:c r="M4225" s="19" t="str">
        <x:v>In Field Warranty Claims</x:v>
      </x:c>
      <x:c r="N4225" s="37" t="n">
        <x:v>46037</x:v>
      </x:c>
      <x:c r="O4225" s="37"/>
      <x:c r="P4225" s="34" t="n">
        <x:v>0</x:v>
      </x:c>
      <x:c r="Q4225" s="37" t="n">
        <x:v>46185.21141203704</x:v>
      </x:c>
    </x:row>
    <x:row r="4226">
      <x:c r="A4226" s="22" t="n">
        <x:v>29926</x:v>
      </x:c>
      <x:c r="B4226" s="28" t="n">
        <x:v>101.25</x:v>
      </x:c>
      <x:c r="C4226" s="28"/>
      <x:c r="D4226" s="31" t="str">
        <x:f>IF(OR(ISBLANK(B4226),ISBLANK(C4226),B4226=0),"",(C4226-B4226)/B4226)</x:f>
      </x:c>
      <x:c r="E4226" s="22" t="str">
        <x:f>IF(ISBLANK(C4226),"AmountIncludingTax缺失",IF(ABS(B4226-C4226)&lt;0.005,"一致","不一致"))</x:f>
        <x:v>AmountIncludingTax缺失</x:v>
      </x:c>
      <x:c r="F4226" s="19" t="str">
        <x:v>approved</x:v>
      </x:c>
      <x:c r="G4226" s="19" t="str">
        <x:v>Sales Order Approved</x:v>
      </x:c>
      <x:c r="H4226" s="19" t="str">
        <x:v>In Field</x:v>
      </x:c>
      <x:c r="I4226" s="37" t="n">
        <x:v>46178</x:v>
      </x:c>
      <x:c r="J4226" s="37" t="n">
        <x:v>46178</x:v>
      </x:c>
      <x:c r="K4226" s="19" t="str">
        <x:v>Regent RV - Perth</x:v>
      </x:c>
      <x:c r="L4226" s="19" t="str">
        <x:v>Z006</x:v>
      </x:c>
      <x:c r="M4226" s="19" t="str">
        <x:v>In Field Warranty Claims</x:v>
      </x:c>
      <x:c r="N4226" s="37" t="n">
        <x:v>46037</x:v>
      </x:c>
      <x:c r="O4226" s="37" t="n">
        <x:v>46127</x:v>
      </x:c>
      <x:c r="P4226" s="34" t="n">
        <x:v>0</x:v>
      </x:c>
      <x:c r="Q4226" s="37" t="n">
        <x:v>46178.215578703705</x:v>
      </x:c>
    </x:row>
    <x:row r="4227">
      <x:c r="A4227" s="22" t="n">
        <x:v>29922</x:v>
      </x:c>
      <x:c r="B4227" s="28" t="n">
        <x:v>627.27</x:v>
      </x:c>
      <x:c r="C4227" s="28"/>
      <x:c r="D4227" s="31" t="str">
        <x:f>IF(OR(ISBLANK(B4227),ISBLANK(C4227),B4227=0),"",(C4227-B4227)/B4227)</x:f>
      </x:c>
      <x:c r="E4227" s="22" t="str">
        <x:f>IF(ISBLANK(C4227),"AmountIncludingTax缺失",IF(ABS(B4227-C4227)&lt;0.005,"一致","不一致"))</x:f>
        <x:v>AmountIncludingTax缺失</x:v>
      </x:c>
      <x:c r="F4227" s="19" t="str">
        <x:v>approved</x:v>
      </x:c>
      <x:c r="G4227" s="19" t="str">
        <x:v>Partially Picked</x:v>
      </x:c>
      <x:c r="H4227" s="19" t="str">
        <x:v>In Field</x:v>
      </x:c>
      <x:c r="I4227" s="37" t="n">
        <x:v>46104</x:v>
      </x:c>
      <x:c r="J4227" s="37" t="n">
        <x:v>46104</x:v>
      </x:c>
      <x:c r="K4227" s="19" t="str">
        <x:v>Snowy River Geelong</x:v>
      </x:c>
      <x:c r="L4227" s="19" t="str">
        <x:v>Z006</x:v>
      </x:c>
      <x:c r="M4227" s="19" t="str">
        <x:v>In Field Warranty Claims</x:v>
      </x:c>
      <x:c r="N4227" s="37" t="n">
        <x:v>46037</x:v>
      </x:c>
      <x:c r="O4227" s="37"/>
      <x:c r="P4227" s="34" t="n">
        <x:v>0</x:v>
      </x:c>
      <x:c r="Q4227" s="37" t="n">
        <x:v>46104.166180555556</x:v>
      </x:c>
    </x:row>
    <x:row r="4228">
      <x:c r="A4228" s="22" t="n">
        <x:v>29921</x:v>
      </x:c>
      <x:c r="B4228" s="28" t="n">
        <x:v>4211.52</x:v>
      </x:c>
      <x:c r="C4228" s="28"/>
      <x:c r="D4228" s="31" t="str">
        <x:f>IF(OR(ISBLANK(B4228),ISBLANK(C4228),B4228=0),"",(C4228-B4228)/B4228)</x:f>
      </x:c>
      <x:c r="E4228" s="22" t="str">
        <x:f>IF(ISBLANK(C4228),"AmountIncludingTax缺失",IF(ABS(B4228-C4228)&lt;0.005,"一致","不一致"))</x:f>
        <x:v>AmountIncludingTax缺失</x:v>
      </x:c>
      <x:c r="F4228" s="19" t="str">
        <x:v>approved</x:v>
      </x:c>
      <x:c r="G4228" s="19" t="str">
        <x:v>Partially Picked</x:v>
      </x:c>
      <x:c r="H4228" s="19" t="str">
        <x:v>Pre Delivery</x:v>
      </x:c>
      <x:c r="I4228" s="37" t="n">
        <x:v>46183</x:v>
      </x:c>
      <x:c r="J4228" s="37" t="n">
        <x:v>46183</x:v>
      </x:c>
      <x:c r="K4228" s="19" t="str">
        <x:v>The Caravan Hub - Townsville</x:v>
      </x:c>
      <x:c r="L4228" s="19" t="str">
        <x:v>Z005</x:v>
      </x:c>
      <x:c r="M4228" s="19" t="str">
        <x:v>Pre Delivery Warranty Claims</x:v>
      </x:c>
      <x:c r="N4228" s="37" t="n">
        <x:v>46037</x:v>
      </x:c>
      <x:c r="O4228" s="37"/>
      <x:c r="P4228" s="34" t="n">
        <x:v>0</x:v>
      </x:c>
      <x:c r="Q4228" s="37" t="n">
        <x:v>46182.97142361111</x:v>
      </x:c>
    </x:row>
    <x:row r="4229">
      <x:c r="A4229" s="22" t="n">
        <x:v>29919</x:v>
      </x:c>
      <x:c r="B4229" s="28" t="n">
        <x:v>135</x:v>
      </x:c>
      <x:c r="C4229" s="28"/>
      <x:c r="D4229" s="31" t="str">
        <x:f>IF(OR(ISBLANK(B4229),ISBLANK(C4229),B4229=0),"",(C4229-B4229)/B4229)</x:f>
      </x:c>
      <x:c r="E4229" s="22" t="str">
        <x:f>IF(ISBLANK(C4229),"AmountIncludingTax缺失",IF(ABS(B4229-C4229)&lt;0.005,"一致","不一致"))</x:f>
        <x:v>AmountIncludingTax缺失</x:v>
      </x:c>
      <x:c r="F4229" s="19" t="str">
        <x:v>approved</x:v>
      </x:c>
      <x:c r="G4229" s="19" t="str">
        <x:v>Repairer Invoiced Processed</x:v>
      </x:c>
      <x:c r="H4229" s="19" t="str">
        <x:v>In Field</x:v>
      </x:c>
      <x:c r="I4229" s="37" t="n">
        <x:v>46084</x:v>
      </x:c>
      <x:c r="J4229" s="37" t="n">
        <x:v>46084</x:v>
      </x:c>
      <x:c r="K4229" s="19" t="str">
        <x:v>Dario Caravans - Pooraka</x:v>
      </x:c>
      <x:c r="L4229" s="19" t="str">
        <x:v>Z006</x:v>
      </x:c>
      <x:c r="M4229" s="19" t="str">
        <x:v>In Field Warranty Claims</x:v>
      </x:c>
      <x:c r="N4229" s="37" t="n">
        <x:v>46037</x:v>
      </x:c>
      <x:c r="O4229" s="37"/>
      <x:c r="P4229" s="34" t="n">
        <x:v>0</x:v>
      </x:c>
      <x:c r="Q4229" s="37" t="n">
        <x:v>46084.07524305556</x:v>
      </x:c>
    </x:row>
    <x:row r="4230">
      <x:c r="A4230" s="22" t="n">
        <x:v>29918</x:v>
      </x:c>
      <x:c r="B4230" s="28" t="n">
        <x:v>202.5</x:v>
      </x:c>
      <x:c r="C4230" s="28"/>
      <x:c r="D4230" s="31" t="str">
        <x:f>IF(OR(ISBLANK(B4230),ISBLANK(C4230),B4230=0),"",(C4230-B4230)/B4230)</x:f>
      </x:c>
      <x:c r="E4230" s="22" t="str">
        <x:f>IF(ISBLANK(C4230),"AmountIncludingTax缺失",IF(ABS(B4230-C4230)&lt;0.005,"一致","不一致"))</x:f>
        <x:v>AmountIncludingTax缺失</x:v>
      </x:c>
      <x:c r="F4230" s="19" t="str">
        <x:v>approved</x:v>
      </x:c>
      <x:c r="G4230" s="19" t="str">
        <x:v>Repairer Invoiced Processed</x:v>
      </x:c>
      <x:c r="H4230" s="19" t="str">
        <x:v>In Field</x:v>
      </x:c>
      <x:c r="I4230" s="37" t="n">
        <x:v>46083</x:v>
      </x:c>
      <x:c r="J4230" s="37" t="n">
        <x:v>46083</x:v>
      </x:c>
      <x:c r="K4230" s="19" t="str">
        <x:v>Green RV - Forest Glen</x:v>
      </x:c>
      <x:c r="L4230" s="19" t="str">
        <x:v>Z006</x:v>
      </x:c>
      <x:c r="M4230" s="19" t="str">
        <x:v>In Field Warranty Claims</x:v>
      </x:c>
      <x:c r="N4230" s="37" t="n">
        <x:v>46037</x:v>
      </x:c>
      <x:c r="O4230" s="37"/>
      <x:c r="P4230" s="34" t="n">
        <x:v>0</x:v>
      </x:c>
      <x:c r="Q4230" s="37" t="n">
        <x:v>46083.008564814816</x:v>
      </x:c>
    </x:row>
    <x:row r="4231">
      <x:c r="A4231" s="22" t="n">
        <x:v>29917</x:v>
      </x:c>
      <x:c r="B4231" s="28" t="n">
        <x:v>652.95</x:v>
      </x:c>
      <x:c r="C4231" s="28"/>
      <x:c r="D4231" s="31" t="str">
        <x:f>IF(OR(ISBLANK(B4231),ISBLANK(C4231),B4231=0),"",(C4231-B4231)/B4231)</x:f>
      </x:c>
      <x:c r="E4231" s="22" t="str">
        <x:f>IF(ISBLANK(C4231),"AmountIncludingTax缺失",IF(ABS(B4231-C4231)&lt;0.005,"一致","不一致"))</x:f>
        <x:v>AmountIncludingTax缺失</x:v>
      </x:c>
      <x:c r="F4231" s="19" t="str">
        <x:v>approved</x:v>
      </x:c>
      <x:c r="G4231" s="19" t="str">
        <x:v>Repairer Invoiced Processed</x:v>
      </x:c>
      <x:c r="H4231" s="19" t="str">
        <x:v>In Field</x:v>
      </x:c>
      <x:c r="I4231" s="37" t="n">
        <x:v>46104</x:v>
      </x:c>
      <x:c r="J4231" s="37" t="n">
        <x:v>46104</x:v>
      </x:c>
      <x:c r="K4231" s="19" t="str">
        <x:v>Dario Caravans - Pooraka</x:v>
      </x:c>
      <x:c r="L4231" s="19" t="str">
        <x:v>Z006</x:v>
      </x:c>
      <x:c r="M4231" s="19" t="str">
        <x:v>In Field Warranty Claims</x:v>
      </x:c>
      <x:c r="N4231" s="37" t="n">
        <x:v>46037</x:v>
      </x:c>
      <x:c r="O4231" s="37"/>
      <x:c r="P4231" s="34" t="n">
        <x:v>0</x:v>
      </x:c>
      <x:c r="Q4231" s="37" t="n">
        <x:v>46104.14774305555</x:v>
      </x:c>
    </x:row>
    <x:row r="4232">
      <x:c r="A4232" s="22" t="n">
        <x:v>29916</x:v>
      </x:c>
      <x:c r="B4232" s="28" t="n">
        <x:v>135</x:v>
      </x:c>
      <x:c r="C4232" s="28"/>
      <x:c r="D4232" s="31" t="str">
        <x:f>IF(OR(ISBLANK(B4232),ISBLANK(C4232),B4232=0),"",(C4232-B4232)/B4232)</x:f>
      </x:c>
      <x:c r="E4232" s="22" t="str">
        <x:f>IF(ISBLANK(C4232),"AmountIncludingTax缺失",IF(ABS(B4232-C4232)&lt;0.005,"一致","不一致"))</x:f>
        <x:v>AmountIncludingTax缺失</x:v>
      </x:c>
      <x:c r="F4232" s="19" t="str">
        <x:v>approved</x:v>
      </x:c>
      <x:c r="G4232" s="19" t="str">
        <x:v>Repair in Progress</x:v>
      </x:c>
      <x:c r="H4232" s="19" t="str">
        <x:v>In Field</x:v>
      </x:c>
      <x:c r="I4232" s="37" t="n">
        <x:v>46076</x:v>
      </x:c>
      <x:c r="J4232" s="37" t="n">
        <x:v>46076</x:v>
      </x:c>
      <x:c r="K4232" s="19" t="str">
        <x:v>Green RV - Slacks Creek</x:v>
      </x:c>
      <x:c r="L4232" s="19" t="str">
        <x:v>Z006</x:v>
      </x:c>
      <x:c r="M4232" s="19" t="str">
        <x:v>In Field Warranty Claims</x:v>
      </x:c>
      <x:c r="N4232" s="37" t="n">
        <x:v>46037</x:v>
      </x:c>
      <x:c r="O4232" s="37"/>
      <x:c r="P4232" s="34" t="n">
        <x:v>0</x:v>
      </x:c>
      <x:c r="Q4232" s="37" t="n">
        <x:v>46075.98278935185</x:v>
      </x:c>
    </x:row>
    <x:row r="4233">
      <x:c r="A4233" s="22" t="n">
        <x:v>29915</x:v>
      </x:c>
      <x:c r="B4233" s="28" t="n">
        <x:v>836.25</x:v>
      </x:c>
      <x:c r="C4233" s="28"/>
      <x:c r="D4233" s="31" t="str">
        <x:f>IF(OR(ISBLANK(B4233),ISBLANK(C4233),B4233=0),"",(C4233-B4233)/B4233)</x:f>
      </x:c>
      <x:c r="E4233" s="22" t="str">
        <x:f>IF(ISBLANK(C4233),"AmountIncludingTax缺失",IF(ABS(B4233-C4233)&lt;0.005,"一致","不一致"))</x:f>
        <x:v>AmountIncludingTax缺失</x:v>
      </x:c>
      <x:c r="F4233" s="19" t="str">
        <x:v>approved</x:v>
      </x:c>
      <x:c r="G4233" s="19" t="str">
        <x:v>Repair in Progress</x:v>
      </x:c>
      <x:c r="H4233" s="19" t="str">
        <x:v>In Field</x:v>
      </x:c>
      <x:c r="I4233" s="37" t="n">
        <x:v>46083</x:v>
      </x:c>
      <x:c r="J4233" s="37" t="n">
        <x:v>46083</x:v>
      </x:c>
      <x:c r="K4233" s="19" t="str">
        <x:v>Green RV - Forest Glen</x:v>
      </x:c>
      <x:c r="L4233" s="19" t="str">
        <x:v>Z006</x:v>
      </x:c>
      <x:c r="M4233" s="19" t="str">
        <x:v>In Field Warranty Claims</x:v>
      </x:c>
      <x:c r="N4233" s="37" t="n">
        <x:v>46037</x:v>
      </x:c>
      <x:c r="O4233" s="37"/>
      <x:c r="P4233" s="34" t="n">
        <x:v>0</x:v>
      </x:c>
      <x:c r="Q4233" s="37" t="n">
        <x:v>46083.01833333333</x:v>
      </x:c>
    </x:row>
    <x:row r="4234">
      <x:c r="A4234" s="22" t="n">
        <x:v>29913</x:v>
      </x:c>
      <x:c r="B4234" s="28" t="n">
        <x:v>5820</x:v>
      </x:c>
      <x:c r="C4234" s="28"/>
      <x:c r="D4234" s="31" t="str">
        <x:f>IF(OR(ISBLANK(B4234),ISBLANK(C4234),B4234=0),"",(C4234-B4234)/B4234)</x:f>
      </x:c>
      <x:c r="E4234" s="22" t="str">
        <x:f>IF(ISBLANK(C4234),"AmountIncludingTax缺失",IF(ABS(B4234-C4234)&lt;0.005,"一致","不一致"))</x:f>
        <x:v>AmountIncludingTax缺失</x:v>
      </x:c>
      <x:c r="F4234" s="19" t="str">
        <x:v>approved</x:v>
      </x:c>
      <x:c r="G4234" s="19" t="str">
        <x:v>Repairer Invoiced Processed</x:v>
      </x:c>
      <x:c r="H4234" s="19" t="str">
        <x:v>In Field</x:v>
      </x:c>
      <x:c r="I4234" s="37" t="n">
        <x:v>46170</x:v>
      </x:c>
      <x:c r="J4234" s="37" t="n">
        <x:v>46097</x:v>
      </x:c>
      <x:c r="K4234" s="19" t="str">
        <x:v>QCCC - Gympie</x:v>
      </x:c>
      <x:c r="L4234" s="19" t="str">
        <x:v>Z006</x:v>
      </x:c>
      <x:c r="M4234" s="19" t="str">
        <x:v>In Field Warranty Claims</x:v>
      </x:c>
      <x:c r="N4234" s="37" t="n">
        <x:v>46037</x:v>
      </x:c>
      <x:c r="O4234" s="37"/>
      <x:c r="P4234" s="34" t="n">
        <x:v>0</x:v>
      </x:c>
      <x:c r="Q4234" s="37" t="n">
        <x:v>46170.05960648148</x:v>
      </x:c>
    </x:row>
    <x:row r="4235">
      <x:c r="A4235" s="22" t="n">
        <x:v>29912</x:v>
      </x:c>
      <x:c r="B4235" s="28" t="n">
        <x:v>174.63</x:v>
      </x:c>
      <x:c r="C4235" s="28" t="n">
        <x:v>192.09</x:v>
      </x:c>
      <x:c r="D4235" s="31" t="n">
        <x:f>IF(OR(ISBLANK(B4235),ISBLANK(C4235),B4235=0),"",(C4235-B4235)/B4235)</x:f>
        <x:v>0.0999828208211648</x:v>
      </x:c>
      <x:c r="E4235" s="22" t="str">
        <x:f>IF(ISBLANK(C4235),"AmountIncludingTax缺失",IF(ABS(B4235-C4235)&lt;0.005,"一致","不一致"))</x:f>
        <x:v>不一致</x:v>
      </x:c>
      <x:c r="F4235" s="19" t="str">
        <x:v>approved</x:v>
      </x:c>
      <x:c r="G4235" s="19" t="str">
        <x:v>Repairer Invoiced Processed</x:v>
      </x:c>
      <x:c r="H4235" s="19" t="str">
        <x:v>In Field</x:v>
      </x:c>
      <x:c r="I4235" s="37" t="n">
        <x:v>46205</x:v>
      </x:c>
      <x:c r="J4235" s="37" t="n">
        <x:v>46205</x:v>
      </x:c>
      <x:c r="K4235" s="19" t="str">
        <x:v>Sherrif Caravans &amp; Traliers - Prospect Vale</x:v>
      </x:c>
      <x:c r="L4235" s="19" t="str">
        <x:v>Z006</x:v>
      </x:c>
      <x:c r="M4235" s="19" t="str">
        <x:v>In Field Warranty Claims</x:v>
      </x:c>
      <x:c r="N4235" s="37" t="n">
        <x:v>46037</x:v>
      </x:c>
      <x:c r="O4235" s="37"/>
      <x:c r="P4235" s="34" t="n">
        <x:v>192.09</x:v>
      </x:c>
      <x:c r="Q4235" s="37" t="n">
        <x:v>46205.01824074074</x:v>
      </x:c>
    </x:row>
    <x:row r="4236">
      <x:c r="A4236" s="22" t="n">
        <x:v>29910</x:v>
      </x:c>
      <x:c r="B4236" s="28" t="n">
        <x:v>67.5</x:v>
      </x:c>
      <x:c r="C4236" s="28"/>
      <x:c r="D4236" s="31" t="str">
        <x:f>IF(OR(ISBLANK(B4236),ISBLANK(C4236),B4236=0),"",(C4236-B4236)/B4236)</x:f>
      </x:c>
      <x:c r="E4236" s="22" t="str">
        <x:f>IF(ISBLANK(C4236),"AmountIncludingTax缺失",IF(ABS(B4236-C4236)&lt;0.005,"一致","不一致"))</x:f>
        <x:v>AmountIncludingTax缺失</x:v>
      </x:c>
      <x:c r="F4236" s="19" t="str">
        <x:v>approved</x:v>
      </x:c>
      <x:c r="G4236" s="19" t="str">
        <x:v>Repairer Invoiced Processed</x:v>
      </x:c>
      <x:c r="H4236" s="19" t="str">
        <x:v>In Field</x:v>
      </x:c>
      <x:c r="I4236" s="37" t="n">
        <x:v>46083</x:v>
      </x:c>
      <x:c r="J4236" s="37" t="n">
        <x:v>46083</x:v>
      </x:c>
      <x:c r="K4236" s="19" t="str">
        <x:v>Green RV - Forest Glen</x:v>
      </x:c>
      <x:c r="L4236" s="19" t="str">
        <x:v>Z006</x:v>
      </x:c>
      <x:c r="M4236" s="19" t="str">
        <x:v>In Field Warranty Claims</x:v>
      </x:c>
      <x:c r="N4236" s="37" t="n">
        <x:v>46037</x:v>
      </x:c>
      <x:c r="O4236" s="37"/>
      <x:c r="P4236" s="34" t="n">
        <x:v>0</x:v>
      </x:c>
      <x:c r="Q4236" s="37" t="n">
        <x:v>46083.01321759259</x:v>
      </x:c>
    </x:row>
    <x:row r="4237">
      <x:c r="A4237" s="22" t="n">
        <x:v>29908</x:v>
      </x:c>
      <x:c r="B4237" s="28" t="n">
        <x:v>357.5</x:v>
      </x:c>
      <x:c r="C4237" s="28" t="n">
        <x:v>393.25</x:v>
      </x:c>
      <x:c r="D4237" s="31" t="n">
        <x:f>IF(OR(ISBLANK(B4237),ISBLANK(C4237),B4237=0),"",(C4237-B4237)/B4237)</x:f>
        <x:v>0.1</x:v>
      </x:c>
      <x:c r="E4237" s="22" t="str">
        <x:f>IF(ISBLANK(C4237),"AmountIncludingTax缺失",IF(ABS(B4237-C4237)&lt;0.005,"一致","不一致"))</x:f>
        <x:v>不一致</x:v>
      </x:c>
      <x:c r="F4237" s="19" t="str">
        <x:v>approved</x:v>
      </x:c>
      <x:c r="G4237" s="19" t="str">
        <x:v>Repairer Invoiced Processed</x:v>
      </x:c>
      <x:c r="H4237" s="19" t="str">
        <x:v>In Field</x:v>
      </x:c>
      <x:c r="I4237" s="37" t="n">
        <x:v>46071</x:v>
      </x:c>
      <x:c r="J4237" s="37" t="n">
        <x:v>46071</x:v>
      </x:c>
      <x:c r="K4237" s="19" t="str">
        <x:v>Leisure Lion Pty Ltd - Morisset</x:v>
      </x:c>
      <x:c r="L4237" s="19" t="str">
        <x:v>Z006</x:v>
      </x:c>
      <x:c r="M4237" s="19" t="str">
        <x:v>In Field Warranty Claims</x:v>
      </x:c>
      <x:c r="N4237" s="37" t="n">
        <x:v>46037</x:v>
      </x:c>
      <x:c r="O4237" s="37"/>
      <x:c r="P4237" s="34" t="n">
        <x:v>393.25</x:v>
      </x:c>
      <x:c r="Q4237" s="37" t="n">
        <x:v>46070.897361111114</x:v>
      </x:c>
    </x:row>
    <x:row r="4238">
      <x:c r="A4238" s="22" t="n">
        <x:v>29907</x:v>
      </x:c>
      <x:c r="B4238" s="28" t="n">
        <x:v>101.25</x:v>
      </x:c>
      <x:c r="C4238" s="28"/>
      <x:c r="D4238" s="31" t="str">
        <x:f>IF(OR(ISBLANK(B4238),ISBLANK(C4238),B4238=0),"",(C4238-B4238)/B4238)</x:f>
      </x:c>
      <x:c r="E4238" s="22" t="str">
        <x:f>IF(ISBLANK(C4238),"AmountIncludingTax缺失",IF(ABS(B4238-C4238)&lt;0.005,"一致","不一致"))</x:f>
        <x:v>AmountIncludingTax缺失</x:v>
      </x:c>
      <x:c r="F4238" s="19" t="str">
        <x:v>approved</x:v>
      </x:c>
      <x:c r="G4238" s="19" t="str">
        <x:v>Repair in Progress</x:v>
      </x:c>
      <x:c r="H4238" s="19" t="str">
        <x:v>In Field</x:v>
      </x:c>
      <x:c r="I4238" s="37" t="n">
        <x:v>46087</x:v>
      </x:c>
      <x:c r="J4238" s="37" t="n">
        <x:v>46087</x:v>
      </x:c>
      <x:c r="K4238" s="19" t="str">
        <x:v>Green RV - Slacks Creek</x:v>
      </x:c>
      <x:c r="L4238" s="19" t="str">
        <x:v>Z006</x:v>
      </x:c>
      <x:c r="M4238" s="19" t="str">
        <x:v>In Field Warranty Claims</x:v>
      </x:c>
      <x:c r="N4238" s="37" t="n">
        <x:v>46037</x:v>
      </x:c>
      <x:c r="O4238" s="37"/>
      <x:c r="P4238" s="34" t="n">
        <x:v>0</x:v>
      </x:c>
      <x:c r="Q4238" s="37" t="n">
        <x:v>46087.067395833335</x:v>
      </x:c>
    </x:row>
    <x:row r="4239">
      <x:c r="A4239" s="22" t="n">
        <x:v>29906</x:v>
      </x:c>
      <x:c r="B4239" s="28" t="n">
        <x:v>236.36</x:v>
      </x:c>
      <x:c r="C4239" s="28" t="n">
        <x:v>260</x:v>
      </x:c>
      <x:c r="D4239" s="31" t="n">
        <x:f>IF(OR(ISBLANK(B4239),ISBLANK(C4239),B4239=0),"",(C4239-B4239)/B4239)</x:f>
        <x:v>0.10001692333728204</x:v>
      </x:c>
      <x:c r="E4239" s="22" t="str">
        <x:f>IF(ISBLANK(C4239),"AmountIncludingTax缺失",IF(ABS(B4239-C4239)&lt;0.005,"一致","不一致"))</x:f>
        <x:v>不一致</x:v>
      </x:c>
      <x:c r="F4239" s="19" t="str">
        <x:v>approved</x:v>
      </x:c>
      <x:c r="G4239" s="19" t="str">
        <x:v>Repair in Progress</x:v>
      </x:c>
      <x:c r="H4239" s="19" t="str">
        <x:v>In Field</x:v>
      </x:c>
      <x:c r="I4239" s="37" t="n">
        <x:v>46055</x:v>
      </x:c>
      <x:c r="J4239" s="37" t="n">
        <x:v>46055</x:v>
      </x:c>
      <x:c r="K4239" s="19" t="str">
        <x:v>Green RV - Forest Glen</x:v>
      </x:c>
      <x:c r="L4239" s="19" t="str">
        <x:v>Z006</x:v>
      </x:c>
      <x:c r="M4239" s="19" t="str">
        <x:v>In Field Warranty Claims</x:v>
      </x:c>
      <x:c r="N4239" s="37" t="n">
        <x:v>46037</x:v>
      </x:c>
      <x:c r="O4239" s="37"/>
      <x:c r="P4239" s="34" t="n">
        <x:v>260</x:v>
      </x:c>
      <x:c r="Q4239" s="37" t="n">
        <x:v>46055.43708333333</x:v>
      </x:c>
    </x:row>
    <x:row r="4240">
      <x:c r="A4240" s="22" t="n">
        <x:v>29905</x:v>
      </x:c>
      <x:c r="B4240" s="28" t="n">
        <x:v>202.5</x:v>
      </x:c>
      <x:c r="C4240" s="28"/>
      <x:c r="D4240" s="31" t="str">
        <x:f>IF(OR(ISBLANK(B4240),ISBLANK(C4240),B4240=0),"",(C4240-B4240)/B4240)</x:f>
      </x:c>
      <x:c r="E4240" s="22" t="str">
        <x:f>IF(ISBLANK(C4240),"AmountIncludingTax缺失",IF(ABS(B4240-C4240)&lt;0.005,"一致","不一致"))</x:f>
        <x:v>AmountIncludingTax缺失</x:v>
      </x:c>
      <x:c r="F4240" s="19" t="str">
        <x:v>approved</x:v>
      </x:c>
      <x:c r="G4240" s="19" t="str">
        <x:v>Repair in Progress</x:v>
      </x:c>
      <x:c r="H4240" s="19" t="str">
        <x:v>In Field</x:v>
      </x:c>
      <x:c r="I4240" s="37" t="n">
        <x:v>46108</x:v>
      </x:c>
      <x:c r="J4240" s="37" t="n">
        <x:v>46108</x:v>
      </x:c>
      <x:c r="K4240" s="19" t="str">
        <x:v>Sherrif Caravans &amp; Traliers - Prospect Vale</x:v>
      </x:c>
      <x:c r="L4240" s="19" t="str">
        <x:v>Z006</x:v>
      </x:c>
      <x:c r="M4240" s="19" t="str">
        <x:v>In Field Warranty Claims</x:v>
      </x:c>
      <x:c r="N4240" s="37" t="n">
        <x:v>46037</x:v>
      </x:c>
      <x:c r="O4240" s="37" t="n">
        <x:v>46106</x:v>
      </x:c>
      <x:c r="P4240" s="34" t="n">
        <x:v>0</x:v>
      </x:c>
      <x:c r="Q4240" s="37" t="n">
        <x:v>46108.13853009259</x:v>
      </x:c>
    </x:row>
    <x:row r="4241">
      <x:c r="A4241" s="22" t="n">
        <x:v>29903</x:v>
      </x:c>
      <x:c r="B4241" s="28" t="n">
        <x:v>390.41</x:v>
      </x:c>
      <x:c r="C4241" s="28" t="n">
        <x:v>429.45</x:v>
      </x:c>
      <x:c r="D4241" s="31" t="n">
        <x:f>IF(OR(ISBLANK(B4241),ISBLANK(C4241),B4241=0),"",(C4241-B4241)/B4241)</x:f>
        <x:v>0.09999743859019995</x:v>
      </x:c>
      <x:c r="E4241" s="22" t="str">
        <x:f>IF(ISBLANK(C4241),"AmountIncludingTax缺失",IF(ABS(B4241-C4241)&lt;0.005,"一致","不一致"))</x:f>
        <x:v>不一致</x:v>
      </x:c>
      <x:c r="F4241" s="19" t="str">
        <x:v>approved</x:v>
      </x:c>
      <x:c r="G4241" s="19" t="str">
        <x:v>Repair in Progress</x:v>
      </x:c>
      <x:c r="H4241" s="19" t="str">
        <x:v>In Field</x:v>
      </x:c>
      <x:c r="I4241" s="37" t="n">
        <x:v>46108</x:v>
      </x:c>
      <x:c r="J4241" s="37" t="n">
        <x:v>46108</x:v>
      </x:c>
      <x:c r="K4241" s="19" t="str">
        <x:v>Regent RV - Perth</x:v>
      </x:c>
      <x:c r="L4241" s="19" t="str">
        <x:v>Z006</x:v>
      </x:c>
      <x:c r="M4241" s="19" t="str">
        <x:v>In Field Warranty Claims</x:v>
      </x:c>
      <x:c r="N4241" s="37" t="n">
        <x:v>46037</x:v>
      </x:c>
      <x:c r="O4241" s="37"/>
      <x:c r="P4241" s="34" t="n">
        <x:v>429.45</x:v>
      </x:c>
      <x:c r="Q4241" s="37" t="n">
        <x:v>46108.089849537035</x:v>
      </x:c>
    </x:row>
    <x:row r="4242">
      <x:c r="A4242" s="22" t="n">
        <x:v>29901</x:v>
      </x:c>
      <x:c r="B4242" s="28" t="n">
        <x:v>1290</x:v>
      </x:c>
      <x:c r="C4242" s="28"/>
      <x:c r="D4242" s="31" t="str">
        <x:f>IF(OR(ISBLANK(B4242),ISBLANK(C4242),B4242=0),"",(C4242-B4242)/B4242)</x:f>
      </x:c>
      <x:c r="E4242" s="22" t="str">
        <x:f>IF(ISBLANK(C4242),"AmountIncludingTax缺失",IF(ABS(B4242-C4242)&lt;0.005,"一致","不一致"))</x:f>
        <x:v>AmountIncludingTax缺失</x:v>
      </x:c>
      <x:c r="F4242" s="19" t="str">
        <x:v>approved</x:v>
      </x:c>
      <x:c r="G4242" s="19" t="str">
        <x:v>Repairer Invoiced Processed</x:v>
      </x:c>
      <x:c r="H4242" s="19" t="str">
        <x:v>In Field</x:v>
      </x:c>
      <x:c r="I4242" s="37" t="n">
        <x:v>46091</x:v>
      </x:c>
      <x:c r="J4242" s="37" t="n">
        <x:v>46091</x:v>
      </x:c>
      <x:c r="K4242" s="19" t="str">
        <x:v>Vanari Caravans - Marden Point</x:v>
      </x:c>
      <x:c r="L4242" s="19" t="str">
        <x:v>Z006</x:v>
      </x:c>
      <x:c r="M4242" s="19" t="str">
        <x:v>In Field Warranty Claims</x:v>
      </x:c>
      <x:c r="N4242" s="37" t="n">
        <x:v>46037</x:v>
      </x:c>
      <x:c r="O4242" s="37"/>
      <x:c r="P4242" s="34" t="n">
        <x:v>0</x:v>
      </x:c>
      <x:c r="Q4242" s="37" t="n">
        <x:v>46090.92177083333</x:v>
      </x:c>
    </x:row>
    <x:row r="4243">
      <x:c r="A4243" s="22" t="n">
        <x:v>29899</x:v>
      </x:c>
      <x:c r="B4243" s="28" t="n">
        <x:v>102.5</x:v>
      </x:c>
      <x:c r="C4243" s="28" t="n">
        <x:v>92.8</x:v>
      </x:c>
      <x:c r="D4243" s="31" t="n">
        <x:f>IF(OR(ISBLANK(B4243),ISBLANK(C4243),B4243=0),"",(C4243-B4243)/B4243)</x:f>
        <x:v>-0.09463414634146344</x:v>
      </x:c>
      <x:c r="E4243" s="22" t="str">
        <x:f>IF(ISBLANK(C4243),"AmountIncludingTax缺失",IF(ABS(B4243-C4243)&lt;0.005,"一致","不一致"))</x:f>
        <x:v>不一致</x:v>
      </x:c>
      <x:c r="F4243" s="19" t="str">
        <x:v>approved</x:v>
      </x:c>
      <x:c r="G4243" s="19" t="str">
        <x:v>Repair in Progress</x:v>
      </x:c>
      <x:c r="H4243" s="19" t="str">
        <x:v>In Field</x:v>
      </x:c>
      <x:c r="I4243" s="37" t="n">
        <x:v>46087</x:v>
      </x:c>
      <x:c r="J4243" s="37" t="n">
        <x:v>46087</x:v>
      </x:c>
      <x:c r="K4243" s="19" t="str">
        <x:v>Vanari Caravans - Marden Point</x:v>
      </x:c>
      <x:c r="L4243" s="19" t="str">
        <x:v>Z006</x:v>
      </x:c>
      <x:c r="M4243" s="19" t="str">
        <x:v>In Field Warranty Claims</x:v>
      </x:c>
      <x:c r="N4243" s="37" t="n">
        <x:v>46037</x:v>
      </x:c>
      <x:c r="O4243" s="37"/>
      <x:c r="P4243" s="34" t="n">
        <x:v>92.8</x:v>
      </x:c>
      <x:c r="Q4243" s="37" t="n">
        <x:v>46087.087233796294</x:v>
      </x:c>
    </x:row>
    <x:row r="4244">
      <x:c r="A4244" s="22" t="n">
        <x:v>29896</x:v>
      </x:c>
      <x:c r="B4244" s="28" t="n">
        <x:v>675</x:v>
      </x:c>
      <x:c r="C4244" s="28"/>
      <x:c r="D4244" s="31" t="str">
        <x:f>IF(OR(ISBLANK(B4244),ISBLANK(C4244),B4244=0),"",(C4244-B4244)/B4244)</x:f>
      </x:c>
      <x:c r="E4244" s="22" t="str">
        <x:f>IF(ISBLANK(C4244),"AmountIncludingTax缺失",IF(ABS(B4244-C4244)&lt;0.005,"一致","不一致"))</x:f>
        <x:v>AmountIncludingTax缺失</x:v>
      </x:c>
      <x:c r="F4244" s="19" t="str">
        <x:v>approved</x:v>
      </x:c>
      <x:c r="G4244" s="19" t="str">
        <x:v>Repair in Progress</x:v>
      </x:c>
      <x:c r="H4244" s="19" t="str">
        <x:v>In Field</x:v>
      </x:c>
      <x:c r="I4244" s="37" t="n">
        <x:v>46099</x:v>
      </x:c>
      <x:c r="J4244" s="37" t="n">
        <x:v>46099</x:v>
      </x:c>
      <x:c r="K4244" s="19" t="str">
        <x:v>Regent RV - Perth</x:v>
      </x:c>
      <x:c r="L4244" s="19" t="str">
        <x:v>Z006</x:v>
      </x:c>
      <x:c r="M4244" s="19" t="str">
        <x:v>In Field Warranty Claims</x:v>
      </x:c>
      <x:c r="N4244" s="37" t="n">
        <x:v>46037</x:v>
      </x:c>
      <x:c r="O4244" s="37"/>
      <x:c r="P4244" s="34" t="n">
        <x:v>0</x:v>
      </x:c>
      <x:c r="Q4244" s="37" t="n">
        <x:v>46099.117210648146</x:v>
      </x:c>
    </x:row>
    <x:row r="4245">
      <x:c r="A4245" s="22" t="n">
        <x:v>29895</x:v>
      </x:c>
      <x:c r="B4245" s="28" t="n">
        <x:v>2356.5</x:v>
      </x:c>
      <x:c r="C4245" s="28"/>
      <x:c r="D4245" s="31" t="str">
        <x:f>IF(OR(ISBLANK(B4245),ISBLANK(C4245),B4245=0),"",(C4245-B4245)/B4245)</x:f>
      </x:c>
      <x:c r="E4245" s="22" t="str">
        <x:f>IF(ISBLANK(C4245),"AmountIncludingTax缺失",IF(ABS(B4245-C4245)&lt;0.005,"一致","不一致"))</x:f>
        <x:v>AmountIncludingTax缺失</x:v>
      </x:c>
      <x:c r="F4245" s="19" t="str">
        <x:v>approved</x:v>
      </x:c>
      <x:c r="G4245" s="19" t="str">
        <x:v>Repairer Invoiced Processed</x:v>
      </x:c>
      <x:c r="H4245" s="19" t="str">
        <x:v>In Field</x:v>
      </x:c>
      <x:c r="I4245" s="37" t="n">
        <x:v>46090</x:v>
      </x:c>
      <x:c r="J4245" s="37" t="n">
        <x:v>46090</x:v>
      </x:c>
      <x:c r="K4245" s="19" t="str">
        <x:v>Vanari Caravans - Marden Point</x:v>
      </x:c>
      <x:c r="L4245" s="19" t="str">
        <x:v>Z006</x:v>
      </x:c>
      <x:c r="M4245" s="19" t="str">
        <x:v>In Field Warranty Claims</x:v>
      </x:c>
      <x:c r="N4245" s="37" t="n">
        <x:v>46036</x:v>
      </x:c>
      <x:c r="O4245" s="37"/>
      <x:c r="P4245" s="34" t="n">
        <x:v>2133.58</x:v>
      </x:c>
      <x:c r="Q4245" s="37" t="n">
        <x:v>46089.90920138889</x:v>
      </x:c>
    </x:row>
    <x:row r="4246">
      <x:c r="A4246" s="22" t="n">
        <x:v>29893</x:v>
      </x:c>
      <x:c r="B4246" s="28" t="n">
        <x:v>97.13</x:v>
      </x:c>
      <x:c r="C4246" s="28" t="n">
        <x:v>106.84</x:v>
      </x:c>
      <x:c r="D4246" s="31" t="n">
        <x:f>IF(OR(ISBLANK(B4246),ISBLANK(C4246),B4246=0),"",(C4246-B4246)/B4246)</x:f>
        <x:v>0.09996911355914762</x:v>
      </x:c>
      <x:c r="E4246" s="22" t="str">
        <x:f>IF(ISBLANK(C4246),"AmountIncludingTax缺失",IF(ABS(B4246-C4246)&lt;0.005,"一致","不一致"))</x:f>
        <x:v>不一致</x:v>
      </x:c>
      <x:c r="F4246" s="19" t="str">
        <x:v>approved</x:v>
      </x:c>
      <x:c r="G4246" s="19" t="str">
        <x:v>Repair in Progress</x:v>
      </x:c>
      <x:c r="H4246" s="19" t="str">
        <x:v>In Field</x:v>
      </x:c>
      <x:c r="I4246" s="37" t="n">
        <x:v>46038</x:v>
      </x:c>
      <x:c r="J4246" s="37" t="n">
        <x:v>46038</x:v>
      </x:c>
      <x:c r="K4246" s="19" t="str">
        <x:v>Auswide Caravans - South Nowra</x:v>
      </x:c>
      <x:c r="L4246" s="19" t="str">
        <x:v>Z006</x:v>
      </x:c>
      <x:c r="M4246" s="19" t="str">
        <x:v>In Field Warranty Claims</x:v>
      </x:c>
      <x:c r="N4246" s="37" t="n">
        <x:v>46036</x:v>
      </x:c>
      <x:c r="O4246" s="37"/>
      <x:c r="P4246" s="34" t="n">
        <x:v>106.84</x:v>
      </x:c>
      <x:c r="Q4246" s="37" t="n">
        <x:v>46037.90332175926</x:v>
      </x:c>
    </x:row>
    <x:row r="4247">
      <x:c r="A4247" s="22" t="n">
        <x:v>29892</x:v>
      </x:c>
      <x:c r="B4247" s="28" t="n">
        <x:v>236.25</x:v>
      </x:c>
      <x:c r="C4247" s="28"/>
      <x:c r="D4247" s="31" t="str">
        <x:f>IF(OR(ISBLANK(B4247),ISBLANK(C4247),B4247=0),"",(C4247-B4247)/B4247)</x:f>
      </x:c>
      <x:c r="E4247" s="22" t="str">
        <x:f>IF(ISBLANK(C4247),"AmountIncludingTax缺失",IF(ABS(B4247-C4247)&lt;0.005,"一致","不一致"))</x:f>
        <x:v>AmountIncludingTax缺失</x:v>
      </x:c>
      <x:c r="F4247" s="19" t="str">
        <x:v>approved</x:v>
      </x:c>
      <x:c r="G4247" s="19" t="str">
        <x:v>Repair in Progress</x:v>
      </x:c>
      <x:c r="H4247" s="19" t="str">
        <x:v>In Field</x:v>
      </x:c>
      <x:c r="I4247" s="37" t="n">
        <x:v>46108</x:v>
      </x:c>
      <x:c r="J4247" s="37" t="n">
        <x:v>46108</x:v>
      </x:c>
      <x:c r="K4247" s="19" t="str">
        <x:v>Sherrif Caravans &amp; Traliers - Prospect Vale</x:v>
      </x:c>
      <x:c r="L4247" s="19" t="str">
        <x:v>Z006</x:v>
      </x:c>
      <x:c r="M4247" s="19" t="str">
        <x:v>In Field Warranty Claims</x:v>
      </x:c>
      <x:c r="N4247" s="37" t="n">
        <x:v>46036</x:v>
      </x:c>
      <x:c r="O4247" s="37"/>
      <x:c r="P4247" s="34" t="n">
        <x:v>0</x:v>
      </x:c>
      <x:c r="Q4247" s="37" t="n">
        <x:v>46108.071863425925</x:v>
      </x:c>
    </x:row>
    <x:row r="4248">
      <x:c r="A4248" s="22" t="n">
        <x:v>29890</x:v>
      </x:c>
      <x:c r="B4248" s="28" t="n">
        <x:v>875.04</x:v>
      </x:c>
      <x:c r="C4248" s="28" t="n">
        <x:v>962.54</x:v>
      </x:c>
      <x:c r="D4248" s="31" t="n">
        <x:f>IF(OR(ISBLANK(B4248),ISBLANK(C4248),B4248=0),"",(C4248-B4248)/B4248)</x:f>
        <x:v>0.09999542878039862</x:v>
      </x:c>
      <x:c r="E4248" s="22" t="str">
        <x:f>IF(ISBLANK(C4248),"AmountIncludingTax缺失",IF(ABS(B4248-C4248)&lt;0.005,"一致","不一致"))</x:f>
        <x:v>不一致</x:v>
      </x:c>
      <x:c r="F4248" s="19" t="str">
        <x:v>approved</x:v>
      </x:c>
      <x:c r="G4248" s="19" t="str">
        <x:v>Repairer Invoiced Processed</x:v>
      </x:c>
      <x:c r="H4248" s="19" t="str">
        <x:v>In Field</x:v>
      </x:c>
      <x:c r="I4248" s="37" t="n">
        <x:v>46209</x:v>
      </x:c>
      <x:c r="J4248" s="37" t="n">
        <x:v>46113</x:v>
      </x:c>
      <x:c r="K4248" s="19" t="str">
        <x:v>Regent RV Pty Ltd</x:v>
      </x:c>
      <x:c r="L4248" s="19" t="str">
        <x:v>Z006</x:v>
      </x:c>
      <x:c r="M4248" s="19" t="str">
        <x:v>In Field Warranty Claims</x:v>
      </x:c>
      <x:c r="N4248" s="37" t="n">
        <x:v>46036</x:v>
      </x:c>
      <x:c r="O4248" s="37"/>
      <x:c r="P4248" s="34" t="n">
        <x:v>962.54</x:v>
      </x:c>
      <x:c r="Q4248" s="37" t="n">
        <x:v>46209.25880787037</x:v>
      </x:c>
    </x:row>
    <x:row r="4249">
      <x:c r="A4249" s="22" t="n">
        <x:v>29889</x:v>
      </x:c>
      <x:c r="B4249" s="28" t="n">
        <x:v>145.45</x:v>
      </x:c>
      <x:c r="C4249" s="28" t="n">
        <x:v>160</x:v>
      </x:c>
      <x:c r="D4249" s="31" t="n">
        <x:f>IF(OR(ISBLANK(B4249),ISBLANK(C4249),B4249=0),"",(C4249-B4249)/B4249)</x:f>
        <x:v>0.1000343760742524</x:v>
      </x:c>
      <x:c r="E4249" s="22" t="str">
        <x:f>IF(ISBLANK(C4249),"AmountIncludingTax缺失",IF(ABS(B4249-C4249)&lt;0.005,"一致","不一致"))</x:f>
        <x:v>不一致</x:v>
      </x:c>
      <x:c r="F4249" s="19" t="str">
        <x:v>approved</x:v>
      </x:c>
      <x:c r="G4249" s="19" t="str">
        <x:v>Repairer Invoiced Processed</x:v>
      </x:c>
      <x:c r="H4249" s="19" t="str">
        <x:v>In Field</x:v>
      </x:c>
      <x:c r="I4249" s="37" t="n">
        <x:v>46057</x:v>
      </x:c>
      <x:c r="J4249" s="37" t="n">
        <x:v>46057</x:v>
      </x:c>
      <x:c r="K4249" s="19" t="str">
        <x:v>Green RV - Forest Glen</x:v>
      </x:c>
      <x:c r="L4249" s="19" t="str">
        <x:v>Z006</x:v>
      </x:c>
      <x:c r="M4249" s="19" t="str">
        <x:v>In Field Warranty Claims</x:v>
      </x:c>
      <x:c r="N4249" s="37" t="n">
        <x:v>46036</x:v>
      </x:c>
      <x:c r="O4249" s="37"/>
      <x:c r="P4249" s="34" t="n">
        <x:v>160</x:v>
      </x:c>
      <x:c r="Q4249" s="37" t="n">
        <x:v>46056.92019675926</x:v>
      </x:c>
    </x:row>
    <x:row r="4250">
      <x:c r="A4250" s="22" t="n">
        <x:v>29888</x:v>
      </x:c>
      <x:c r="B4250" s="28" t="n">
        <x:v>2942.73</x:v>
      </x:c>
      <x:c r="C4250" s="28"/>
      <x:c r="D4250" s="31" t="str">
        <x:f>IF(OR(ISBLANK(B4250),ISBLANK(C4250),B4250=0),"",(C4250-B4250)/B4250)</x:f>
      </x:c>
      <x:c r="E4250" s="22" t="str">
        <x:f>IF(ISBLANK(C4250),"AmountIncludingTax缺失",IF(ABS(B4250-C4250)&lt;0.005,"一致","不一致"))</x:f>
        <x:v>AmountIncludingTax缺失</x:v>
      </x:c>
      <x:c r="F4250" s="19" t="str">
        <x:v>approved</x:v>
      </x:c>
      <x:c r="G4250" s="19" t="str">
        <x:v>Repairer Invoiced Processed</x:v>
      </x:c>
      <x:c r="H4250" s="19" t="str">
        <x:v>In Field</x:v>
      </x:c>
      <x:c r="I4250" s="37" t="n">
        <x:v>46119</x:v>
      </x:c>
      <x:c r="J4250" s="37" t="n">
        <x:v>46119</x:v>
      </x:c>
      <x:c r="K4250" s="19" t="str">
        <x:v>Green RV - Forest Glen</x:v>
      </x:c>
      <x:c r="L4250" s="19" t="str">
        <x:v>Z006</x:v>
      </x:c>
      <x:c r="M4250" s="19" t="str">
        <x:v>In Field Warranty Claims</x:v>
      </x:c>
      <x:c r="N4250" s="37" t="n">
        <x:v>46036</x:v>
      </x:c>
      <x:c r="O4250" s="37"/>
      <x:c r="P4250" s="34" t="n">
        <x:v>3237</x:v>
      </x:c>
      <x:c r="Q4250" s="37" t="n">
        <x:v>46119.05915509259</x:v>
      </x:c>
    </x:row>
    <x:row r="4251">
      <x:c r="A4251" s="22" t="n">
        <x:v>29887</x:v>
      </x:c>
      <x:c r="B4251" s="28" t="n">
        <x:v>172.73</x:v>
      </x:c>
      <x:c r="C4251" s="28" t="n">
        <x:v>190</x:v>
      </x:c>
      <x:c r="D4251" s="31" t="n">
        <x:f>IF(OR(ISBLANK(B4251),ISBLANK(C4251),B4251=0),"",(C4251-B4251)/B4251)</x:f>
        <x:v>0.09998263185318133</x:v>
      </x:c>
      <x:c r="E4251" s="22" t="str">
        <x:f>IF(ISBLANK(C4251),"AmountIncludingTax缺失",IF(ABS(B4251-C4251)&lt;0.005,"一致","不一致"))</x:f>
        <x:v>不一致</x:v>
      </x:c>
      <x:c r="F4251" s="19" t="str">
        <x:v>approved</x:v>
      </x:c>
      <x:c r="G4251" s="19" t="str">
        <x:v>Repairer Invoiced Processed</x:v>
      </x:c>
      <x:c r="H4251" s="19" t="str">
        <x:v>In Field</x:v>
      </x:c>
      <x:c r="I4251" s="37" t="n">
        <x:v>46042</x:v>
      </x:c>
      <x:c r="J4251" s="37" t="n">
        <x:v>46042</x:v>
      </x:c>
      <x:c r="K4251" s="19" t="str">
        <x:v>Green RV - Forest Glen</x:v>
      </x:c>
      <x:c r="L4251" s="19" t="str">
        <x:v>Z006</x:v>
      </x:c>
      <x:c r="M4251" s="19" t="str">
        <x:v>In Field Warranty Claims</x:v>
      </x:c>
      <x:c r="N4251" s="37" t="n">
        <x:v>46036</x:v>
      </x:c>
      <x:c r="O4251" s="37"/>
      <x:c r="P4251" s="34" t="n">
        <x:v>190</x:v>
      </x:c>
      <x:c r="Q4251" s="37" t="n">
        <x:v>46042.11039351852</x:v>
      </x:c>
    </x:row>
    <x:row r="4252">
      <x:c r="A4252" s="22" t="n">
        <x:v>29886</x:v>
      </x:c>
      <x:c r="B4252" s="28" t="n">
        <x:v>20</x:v>
      </x:c>
      <x:c r="C4252" s="28" t="n">
        <x:v>18.11</x:v>
      </x:c>
      <x:c r="D4252" s="31" t="n">
        <x:f>IF(OR(ISBLANK(B4252),ISBLANK(C4252),B4252=0),"",(C4252-B4252)/B4252)</x:f>
        <x:v>-0.09450000000000003</x:v>
      </x:c>
      <x:c r="E4252" s="22" t="str">
        <x:f>IF(ISBLANK(C4252),"AmountIncludingTax缺失",IF(ABS(B4252-C4252)&lt;0.005,"一致","不一致"))</x:f>
        <x:v>不一致</x:v>
      </x:c>
      <x:c r="F4252" s="19" t="str">
        <x:v>approved</x:v>
      </x:c>
      <x:c r="G4252" s="19" t="str">
        <x:v>Repairer Invoiced Processed</x:v>
      </x:c>
      <x:c r="H4252" s="19" t="str">
        <x:v>In Field</x:v>
      </x:c>
      <x:c r="I4252" s="37" t="n">
        <x:v>46087</x:v>
      </x:c>
      <x:c r="J4252" s="37" t="n">
        <x:v>46087</x:v>
      </x:c>
      <x:c r="K4252" s="19" t="str">
        <x:v>Vanari Caravans - Marden Point</x:v>
      </x:c>
      <x:c r="L4252" s="19" t="str">
        <x:v>Z006</x:v>
      </x:c>
      <x:c r="M4252" s="19" t="str">
        <x:v>In Field Warranty Claims</x:v>
      </x:c>
      <x:c r="N4252" s="37" t="n">
        <x:v>46036</x:v>
      </x:c>
      <x:c r="O4252" s="37"/>
      <x:c r="P4252" s="34" t="n">
        <x:v>18.11</x:v>
      </x:c>
      <x:c r="Q4252" s="37" t="n">
        <x:v>46087.20450231482</x:v>
      </x:c>
    </x:row>
    <x:row r="4253">
      <x:c r="A4253" s="22" t="n">
        <x:v>29885</x:v>
      </x:c>
      <x:c r="B4253" s="28" t="n">
        <x:v>532.61</x:v>
      </x:c>
      <x:c r="C4253" s="28"/>
      <x:c r="D4253" s="31" t="str">
        <x:f>IF(OR(ISBLANK(B4253),ISBLANK(C4253),B4253=0),"",(C4253-B4253)/B4253)</x:f>
      </x:c>
      <x:c r="E4253" s="22" t="str">
        <x:f>IF(ISBLANK(C4253),"AmountIncludingTax缺失",IF(ABS(B4253-C4253)&lt;0.005,"一致","不一致"))</x:f>
        <x:v>AmountIncludingTax缺失</x:v>
      </x:c>
      <x:c r="F4253" s="19" t="str">
        <x:v>approved</x:v>
      </x:c>
      <x:c r="G4253" s="19" t="str">
        <x:v>Repair in Progress</x:v>
      </x:c>
      <x:c r="H4253" s="19" t="str">
        <x:v>In Field</x:v>
      </x:c>
      <x:c r="I4253" s="37" t="n">
        <x:v>46084</x:v>
      </x:c>
      <x:c r="J4253" s="37" t="n">
        <x:v>46084</x:v>
      </x:c>
      <x:c r="K4253" s="19" t="str">
        <x:v>Regent RV - Perth</x:v>
      </x:c>
      <x:c r="L4253" s="19" t="str">
        <x:v>Z006</x:v>
      </x:c>
      <x:c r="M4253" s="19" t="str">
        <x:v>In Field Warranty Claims</x:v>
      </x:c>
      <x:c r="N4253" s="37" t="n">
        <x:v>46036</x:v>
      </x:c>
      <x:c r="O4253" s="37"/>
      <x:c r="P4253" s="34" t="n">
        <x:v>0</x:v>
      </x:c>
      <x:c r="Q4253" s="37" t="n">
        <x:v>46084.02547453704</x:v>
      </x:c>
    </x:row>
    <x:row r="4254">
      <x:c r="A4254" s="22" t="n">
        <x:v>29884</x:v>
      </x:c>
      <x:c r="B4254" s="28" t="n">
        <x:v>1588.75</x:v>
      </x:c>
      <x:c r="C4254" s="28"/>
      <x:c r="D4254" s="31" t="str">
        <x:f>IF(OR(ISBLANK(B4254),ISBLANK(C4254),B4254=0),"",(C4254-B4254)/B4254)</x:f>
      </x:c>
      <x:c r="E4254" s="22" t="str">
        <x:f>IF(ISBLANK(C4254),"AmountIncludingTax缺失",IF(ABS(B4254-C4254)&lt;0.005,"一致","不一致"))</x:f>
        <x:v>AmountIncludingTax缺失</x:v>
      </x:c>
      <x:c r="F4254" s="19" t="str">
        <x:v>approved</x:v>
      </x:c>
      <x:c r="G4254" s="19" t="str">
        <x:v>Repair in Progress</x:v>
      </x:c>
      <x:c r="H4254" s="19" t="str">
        <x:v>In Field</x:v>
      </x:c>
      <x:c r="I4254" s="37" t="n">
        <x:v>46108</x:v>
      </x:c>
      <x:c r="J4254" s="37" t="n">
        <x:v>46108</x:v>
      </x:c>
      <x:c r="K4254" s="19" t="str">
        <x:v>Regent RV - Perth</x:v>
      </x:c>
      <x:c r="L4254" s="19" t="str">
        <x:v>Z006</x:v>
      </x:c>
      <x:c r="M4254" s="19" t="str">
        <x:v>In Field Warranty Claims</x:v>
      </x:c>
      <x:c r="N4254" s="37" t="n">
        <x:v>46036</x:v>
      </x:c>
      <x:c r="O4254" s="37"/>
      <x:c r="P4254" s="34" t="n">
        <x:v>0</x:v>
      </x:c>
      <x:c r="Q4254" s="37" t="n">
        <x:v>46108.11767361111</x:v>
      </x:c>
    </x:row>
    <x:row r="4255">
      <x:c r="A4255" s="22" t="n">
        <x:v>29882</x:v>
      </x:c>
      <x:c r="B4255" s="28" t="n">
        <x:v>87.5</x:v>
      </x:c>
      <x:c r="C4255" s="28"/>
      <x:c r="D4255" s="31" t="str">
        <x:f>IF(OR(ISBLANK(B4255),ISBLANK(C4255),B4255=0),"",(C4255-B4255)/B4255)</x:f>
      </x:c>
      <x:c r="E4255" s="22" t="str">
        <x:f>IF(ISBLANK(C4255),"AmountIncludingTax缺失",IF(ABS(B4255-C4255)&lt;0.005,"一致","不一致"))</x:f>
        <x:v>AmountIncludingTax缺失</x:v>
      </x:c>
      <x:c r="F4255" s="19" t="str">
        <x:v>approved</x:v>
      </x:c>
      <x:c r="G4255" s="19" t="str">
        <x:v>Repairer Invoiced Processed</x:v>
      </x:c>
      <x:c r="H4255" s="19" t="str">
        <x:v>In Field</x:v>
      </x:c>
      <x:c r="I4255" s="37" t="n">
        <x:v>46105</x:v>
      </x:c>
      <x:c r="J4255" s="37" t="n">
        <x:v>46105</x:v>
      </x:c>
      <x:c r="K4255" s="19" t="str">
        <x:v>Green RV - Forest Glen</x:v>
      </x:c>
      <x:c r="L4255" s="19" t="str">
        <x:v>Z006</x:v>
      </x:c>
      <x:c r="M4255" s="19" t="str">
        <x:v>In Field Warranty Claims</x:v>
      </x:c>
      <x:c r="N4255" s="37" t="n">
        <x:v>46036</x:v>
      </x:c>
      <x:c r="O4255" s="37"/>
      <x:c r="P4255" s="34" t="n">
        <x:v>0</x:v>
      </x:c>
      <x:c r="Q4255" s="37" t="n">
        <x:v>46105.10628472222</x:v>
      </x:c>
    </x:row>
    <x:row r="4256">
      <x:c r="A4256" s="22" t="n">
        <x:v>29880</x:v>
      </x:c>
      <x:c r="B4256" s="28" t="n">
        <x:v>171.23</x:v>
      </x:c>
      <x:c r="C4256" s="28" t="n">
        <x:v>188.35</x:v>
      </x:c>
      <x:c r="D4256" s="31" t="n">
        <x:f>IF(OR(ISBLANK(B4256),ISBLANK(C4256),B4256=0),"",(C4256-B4256)/B4256)</x:f>
        <x:v>0.09998247970565909</x:v>
      </x:c>
      <x:c r="E4256" s="22" t="str">
        <x:f>IF(ISBLANK(C4256),"AmountIncludingTax缺失",IF(ABS(B4256-C4256)&lt;0.005,"一致","不一致"))</x:f>
        <x:v>不一致</x:v>
      </x:c>
      <x:c r="F4256" s="19" t="str">
        <x:v>approved</x:v>
      </x:c>
      <x:c r="G4256" s="19" t="str">
        <x:v>Repairer Invoiced Processed</x:v>
      </x:c>
      <x:c r="H4256" s="19" t="str">
        <x:v>In Field</x:v>
      </x:c>
      <x:c r="I4256" s="37" t="n">
        <x:v>46083</x:v>
      </x:c>
      <x:c r="J4256" s="37" t="n">
        <x:v>46083</x:v>
      </x:c>
      <x:c r="K4256" s="19" t="str">
        <x:v>Green RV - Forest Glen</x:v>
      </x:c>
      <x:c r="L4256" s="19" t="str">
        <x:v>Z006</x:v>
      </x:c>
      <x:c r="M4256" s="19" t="str">
        <x:v>In Field Warranty Claims</x:v>
      </x:c>
      <x:c r="N4256" s="37" t="n">
        <x:v>46036</x:v>
      </x:c>
      <x:c r="O4256" s="37"/>
      <x:c r="P4256" s="34" t="n">
        <x:v>188.35</x:v>
      </x:c>
      <x:c r="Q4256" s="37" t="n">
        <x:v>46082.92530092593</x:v>
      </x:c>
    </x:row>
    <x:row r="4257">
      <x:c r="A4257" s="22" t="n">
        <x:v>29879</x:v>
      </x:c>
      <x:c r="B4257" s="28" t="n">
        <x:v>222.5</x:v>
      </x:c>
      <x:c r="C4257" s="28"/>
      <x:c r="D4257" s="31" t="str">
        <x:f>IF(OR(ISBLANK(B4257),ISBLANK(C4257),B4257=0),"",(C4257-B4257)/B4257)</x:f>
      </x:c>
      <x:c r="E4257" s="22" t="str">
        <x:f>IF(ISBLANK(C4257),"AmountIncludingTax缺失",IF(ABS(B4257-C4257)&lt;0.005,"一致","不一致"))</x:f>
        <x:v>AmountIncludingTax缺失</x:v>
      </x:c>
      <x:c r="F4257" s="19" t="str">
        <x:v>approved</x:v>
      </x:c>
      <x:c r="G4257" s="19" t="str">
        <x:v>Repairer Invoiced Processed</x:v>
      </x:c>
      <x:c r="H4257" s="19" t="str">
        <x:v>In Field</x:v>
      </x:c>
      <x:c r="I4257" s="37" t="n">
        <x:v>46062</x:v>
      </x:c>
      <x:c r="J4257" s="37" t="n">
        <x:v>46062</x:v>
      </x:c>
      <x:c r="K4257" s="19" t="str">
        <x:v>Green RV - Forest Glen</x:v>
      </x:c>
      <x:c r="L4257" s="19" t="str">
        <x:v>Z006</x:v>
      </x:c>
      <x:c r="M4257" s="19" t="str">
        <x:v>In Field Warranty Claims</x:v>
      </x:c>
      <x:c r="N4257" s="37" t="n">
        <x:v>46036</x:v>
      </x:c>
      <x:c r="O4257" s="37"/>
      <x:c r="P4257" s="34" t="n">
        <x:v>0</x:v>
      </x:c>
      <x:c r="Q4257" s="37" t="n">
        <x:v>46062.17005787037</x:v>
      </x:c>
    </x:row>
    <x:row r="4258">
      <x:c r="A4258" s="22" t="n">
        <x:v>29878</x:v>
      </x:c>
      <x:c r="B4258" s="28" t="n">
        <x:v>1259.64</x:v>
      </x:c>
      <x:c r="C4258" s="28"/>
      <x:c r="D4258" s="31" t="str">
        <x:f>IF(OR(ISBLANK(B4258),ISBLANK(C4258),B4258=0),"",(C4258-B4258)/B4258)</x:f>
      </x:c>
      <x:c r="E4258" s="22" t="str">
        <x:f>IF(ISBLANK(C4258),"AmountIncludingTax缺失",IF(ABS(B4258-C4258)&lt;0.005,"一致","不一致"))</x:f>
        <x:v>AmountIncludingTax缺失</x:v>
      </x:c>
      <x:c r="F4258" s="19" t="str">
        <x:v>approved</x:v>
      </x:c>
      <x:c r="G4258" s="19" t="str">
        <x:v>Repair in Progress</x:v>
      </x:c>
      <x:c r="H4258" s="19" t="str">
        <x:v>In Field</x:v>
      </x:c>
      <x:c r="I4258" s="37" t="n">
        <x:v>46064</x:v>
      </x:c>
      <x:c r="J4258" s="37" t="n">
        <x:v>46064</x:v>
      </x:c>
      <x:c r="K4258" s="19" t="str">
        <x:v>Regent RV - Townsville</x:v>
      </x:c>
      <x:c r="L4258" s="19" t="str">
        <x:v>Z006</x:v>
      </x:c>
      <x:c r="M4258" s="19" t="str">
        <x:v>In Field Warranty Claims</x:v>
      </x:c>
      <x:c r="N4258" s="37" t="n">
        <x:v>46036</x:v>
      </x:c>
      <x:c r="O4258" s="37"/>
      <x:c r="P4258" s="34" t="n">
        <x:v>0</x:v>
      </x:c>
      <x:c r="Q4258" s="37" t="n">
        <x:v>46063.88291666667</x:v>
      </x:c>
    </x:row>
    <x:row r="4259">
      <x:c r="A4259" s="22" t="n">
        <x:v>29877</x:v>
      </x:c>
      <x:c r="B4259" s="28" t="n">
        <x:v>242.19</x:v>
      </x:c>
      <x:c r="C4259" s="28" t="n">
        <x:v>266.41</x:v>
      </x:c>
      <x:c r="D4259" s="31" t="n">
        <x:f>IF(OR(ISBLANK(B4259),ISBLANK(C4259),B4259=0),"",(C4259-B4259)/B4259)</x:f>
        <x:v>0.10000412898963634</x:v>
      </x:c>
      <x:c r="E4259" s="22" t="str">
        <x:f>IF(ISBLANK(C4259),"AmountIncludingTax缺失",IF(ABS(B4259-C4259)&lt;0.005,"一致","不一致"))</x:f>
        <x:v>不一致</x:v>
      </x:c>
      <x:c r="F4259" s="19" t="str">
        <x:v>approved</x:v>
      </x:c>
      <x:c r="G4259" s="19" t="str">
        <x:v>Repairer Invoiced Processed</x:v>
      </x:c>
      <x:c r="H4259" s="19" t="str">
        <x:v>In Field</x:v>
      </x:c>
      <x:c r="I4259" s="37" t="n">
        <x:v>46042</x:v>
      </x:c>
      <x:c r="J4259" s="37" t="n">
        <x:v>46042</x:v>
      </x:c>
      <x:c r="K4259" s="19" t="str">
        <x:v>Green RV - Forest Glen</x:v>
      </x:c>
      <x:c r="L4259" s="19" t="str">
        <x:v>Z006</x:v>
      </x:c>
      <x:c r="M4259" s="19" t="str">
        <x:v>In Field Warranty Claims</x:v>
      </x:c>
      <x:c r="N4259" s="37" t="n">
        <x:v>46036</x:v>
      </x:c>
      <x:c r="O4259" s="37"/>
      <x:c r="P4259" s="34" t="n">
        <x:v>266.41</x:v>
      </x:c>
      <x:c r="Q4259" s="37" t="n">
        <x:v>46042.108136574076</x:v>
      </x:c>
    </x:row>
    <x:row r="4260">
      <x:c r="A4260" s="22" t="n">
        <x:v>29876</x:v>
      </x:c>
      <x:c r="B4260" s="28" t="n">
        <x:v>558</x:v>
      </x:c>
      <x:c r="C4260" s="28"/>
      <x:c r="D4260" s="31" t="str">
        <x:f>IF(OR(ISBLANK(B4260),ISBLANK(C4260),B4260=0),"",(C4260-B4260)/B4260)</x:f>
      </x:c>
      <x:c r="E4260" s="22" t="str">
        <x:f>IF(ISBLANK(C4260),"AmountIncludingTax缺失",IF(ABS(B4260-C4260)&lt;0.005,"一致","不一致"))</x:f>
        <x:v>AmountIncludingTax缺失</x:v>
      </x:c>
      <x:c r="F4260" s="19" t="str">
        <x:v>approved</x:v>
      </x:c>
      <x:c r="G4260" s="19" t="str">
        <x:v>Repairer Invoiced Processed</x:v>
      </x:c>
      <x:c r="H4260" s="19" t="str">
        <x:v>In Field</x:v>
      </x:c>
      <x:c r="I4260" s="37" t="n">
        <x:v>46083</x:v>
      </x:c>
      <x:c r="J4260" s="37" t="n">
        <x:v>46083</x:v>
      </x:c>
      <x:c r="K4260" s="19" t="str">
        <x:v>Green RV - Forest Glen</x:v>
      </x:c>
      <x:c r="L4260" s="19" t="str">
        <x:v>Z006</x:v>
      </x:c>
      <x:c r="M4260" s="19" t="str">
        <x:v>In Field Warranty Claims</x:v>
      </x:c>
      <x:c r="N4260" s="37" t="n">
        <x:v>46036</x:v>
      </x:c>
      <x:c r="O4260" s="37"/>
      <x:c r="P4260" s="34" t="n">
        <x:v>0</x:v>
      </x:c>
      <x:c r="Q4260" s="37" t="n">
        <x:v>46083.17020833334</x:v>
      </x:c>
    </x:row>
    <x:row r="4261">
      <x:c r="A4261" s="22" t="n">
        <x:v>29875</x:v>
      </x:c>
      <x:c r="B4261" s="28" t="n">
        <x:v>145</x:v>
      </x:c>
      <x:c r="C4261" s="28"/>
      <x:c r="D4261" s="31" t="str">
        <x:f>IF(OR(ISBLANK(B4261),ISBLANK(C4261),B4261=0),"",(C4261-B4261)/B4261)</x:f>
      </x:c>
      <x:c r="E4261" s="22" t="str">
        <x:f>IF(ISBLANK(C4261),"AmountIncludingTax缺失",IF(ABS(B4261-C4261)&lt;0.005,"一致","不一致"))</x:f>
        <x:v>AmountIncludingTax缺失</x:v>
      </x:c>
      <x:c r="F4261" s="19" t="str">
        <x:v>approved</x:v>
      </x:c>
      <x:c r="G4261" s="19" t="str">
        <x:v>Repair in Progress</x:v>
      </x:c>
      <x:c r="H4261" s="19" t="str">
        <x:v>In Field</x:v>
      </x:c>
      <x:c r="I4261" s="37" t="n">
        <x:v>46083</x:v>
      </x:c>
      <x:c r="J4261" s="37" t="n">
        <x:v>46083</x:v>
      </x:c>
      <x:c r="K4261" s="19" t="str">
        <x:v>Green RV - Slacks Creek</x:v>
      </x:c>
      <x:c r="L4261" s="19" t="str">
        <x:v>Z006</x:v>
      </x:c>
      <x:c r="M4261" s="19" t="str">
        <x:v>In Field Warranty Claims</x:v>
      </x:c>
      <x:c r="N4261" s="37" t="n">
        <x:v>46036</x:v>
      </x:c>
      <x:c r="O4261" s="37"/>
      <x:c r="P4261" s="34" t="n">
        <x:v>0</x:v>
      </x:c>
      <x:c r="Q4261" s="37" t="n">
        <x:v>46082.85986111111</x:v>
      </x:c>
    </x:row>
    <x:row r="4262">
      <x:c r="A4262" s="22" t="n">
        <x:v>29874</x:v>
      </x:c>
      <x:c r="B4262" s="28" t="n">
        <x:v>436.09</x:v>
      </x:c>
      <x:c r="C4262" s="28" t="n">
        <x:v>479.7</x:v>
      </x:c>
      <x:c r="D4262" s="31" t="n">
        <x:f>IF(OR(ISBLANK(B4262),ISBLANK(C4262),B4262=0),"",(C4262-B4262)/B4262)</x:f>
        <x:v>0.1000022931046344</x:v>
      </x:c>
      <x:c r="E4262" s="22" t="str">
        <x:f>IF(ISBLANK(C4262),"AmountIncludingTax缺失",IF(ABS(B4262-C4262)&lt;0.005,"一致","不一致"))</x:f>
        <x:v>不一致</x:v>
      </x:c>
      <x:c r="F4262" s="19" t="str">
        <x:v>approved</x:v>
      </x:c>
      <x:c r="G4262" s="19" t="str">
        <x:v>Repairer Invoiced Processed</x:v>
      </x:c>
      <x:c r="H4262" s="19" t="str">
        <x:v>Pre Delivery</x:v>
      </x:c>
      <x:c r="I4262" s="37" t="n">
        <x:v>46142</x:v>
      </x:c>
      <x:c r="J4262" s="37" t="n">
        <x:v>46057</x:v>
      </x:c>
      <x:c r="K4262" s="19" t="str">
        <x:v>Green RV - Forest Glen</x:v>
      </x:c>
      <x:c r="L4262" s="19" t="str">
        <x:v>Z005</x:v>
      </x:c>
      <x:c r="M4262" s="19" t="str">
        <x:v>Pre Delivery Warranty Claims</x:v>
      </x:c>
      <x:c r="N4262" s="37" t="n">
        <x:v>46036</x:v>
      </x:c>
      <x:c r="O4262" s="37"/>
      <x:c r="P4262" s="34" t="n">
        <x:v>479.7</x:v>
      </x:c>
      <x:c r="Q4262" s="37" t="n">
        <x:v>46142.042291666665</x:v>
      </x:c>
    </x:row>
    <x:row r="4263">
      <x:c r="A4263" s="22" t="n">
        <x:v>29872</x:v>
      </x:c>
      <x:c r="B4263" s="28" t="n">
        <x:v>243.74</x:v>
      </x:c>
      <x:c r="C4263" s="28" t="n">
        <x:v>268.11</x:v>
      </x:c>
      <x:c r="D4263" s="31" t="n">
        <x:f>IF(OR(ISBLANK(B4263),ISBLANK(C4263),B4263=0),"",(C4263-B4263)/B4263)</x:f>
        <x:v>0.09998358907032084</x:v>
      </x:c>
      <x:c r="E4263" s="22" t="str">
        <x:f>IF(ISBLANK(C4263),"AmountIncludingTax缺失",IF(ABS(B4263-C4263)&lt;0.005,"一致","不一致"))</x:f>
        <x:v>不一致</x:v>
      </x:c>
      <x:c r="F4263" s="19" t="str">
        <x:v>approved</x:v>
      </x:c>
      <x:c r="G4263" s="19" t="str">
        <x:v>Repairer Invoiced Processed</x:v>
      </x:c>
      <x:c r="H4263" s="19" t="str">
        <x:v>Pre Delivery</x:v>
      </x:c>
      <x:c r="I4263" s="37" t="n">
        <x:v>46129</x:v>
      </x:c>
      <x:c r="J4263" s="37" t="n">
        <x:v>46129</x:v>
      </x:c>
      <x:c r="K4263" s="19" t="str">
        <x:v>Regent RV Pty Ltd</x:v>
      </x:c>
      <x:c r="L4263" s="19" t="str">
        <x:v>Z005</x:v>
      </x:c>
      <x:c r="M4263" s="19" t="str">
        <x:v>Pre Delivery Warranty Claims</x:v>
      </x:c>
      <x:c r="N4263" s="37" t="n">
        <x:v>46036</x:v>
      </x:c>
      <x:c r="O4263" s="37"/>
      <x:c r="P4263" s="34" t="n">
        <x:v>268.11</x:v>
      </x:c>
      <x:c r="Q4263" s="37" t="n">
        <x:v>46129.006631944445</x:v>
      </x:c>
    </x:row>
    <x:row r="4264">
      <x:c r="A4264" s="22" t="n">
        <x:v>29871</x:v>
      </x:c>
      <x:c r="B4264" s="28" t="n">
        <x:v>155</x:v>
      </x:c>
      <x:c r="C4264" s="28"/>
      <x:c r="D4264" s="31" t="str">
        <x:f>IF(OR(ISBLANK(B4264),ISBLANK(C4264),B4264=0),"",(C4264-B4264)/B4264)</x:f>
      </x:c>
      <x:c r="E4264" s="22" t="str">
        <x:f>IF(ISBLANK(C4264),"AmountIncludingTax缺失",IF(ABS(B4264-C4264)&lt;0.005,"一致","不一致"))</x:f>
        <x:v>AmountIncludingTax缺失</x:v>
      </x:c>
      <x:c r="F4264" s="19" t="str">
        <x:v>approved</x:v>
      </x:c>
      <x:c r="G4264" s="19" t="str">
        <x:v>Repairer Invoiced Processed</x:v>
      </x:c>
      <x:c r="H4264" s="19" t="str">
        <x:v>In Field</x:v>
      </x:c>
      <x:c r="I4264" s="37" t="n">
        <x:v>46063</x:v>
      </x:c>
      <x:c r="J4264" s="37" t="n">
        <x:v>46063</x:v>
      </x:c>
      <x:c r="K4264" s="19" t="str">
        <x:v>Newcastle RV Super Centre - Beresfield</x:v>
      </x:c>
      <x:c r="L4264" s="19" t="str">
        <x:v>Z006</x:v>
      </x:c>
      <x:c r="M4264" s="19" t="str">
        <x:v>In Field Warranty Claims</x:v>
      </x:c>
      <x:c r="N4264" s="37" t="n">
        <x:v>46036</x:v>
      </x:c>
      <x:c r="O4264" s="37"/>
      <x:c r="P4264" s="34" t="n">
        <x:v>0</x:v>
      </x:c>
      <x:c r="Q4264" s="37" t="n">
        <x:v>46063.12510416667</x:v>
      </x:c>
    </x:row>
    <x:row r="4265">
      <x:c r="A4265" s="22" t="n">
        <x:v>29869</x:v>
      </x:c>
      <x:c r="B4265" s="28" t="n">
        <x:v>270</x:v>
      </x:c>
      <x:c r="C4265" s="28"/>
      <x:c r="D4265" s="31" t="str">
        <x:f>IF(OR(ISBLANK(B4265),ISBLANK(C4265),B4265=0),"",(C4265-B4265)/B4265)</x:f>
      </x:c>
      <x:c r="E4265" s="22" t="str">
        <x:f>IF(ISBLANK(C4265),"AmountIncludingTax缺失",IF(ABS(B4265-C4265)&lt;0.005,"一致","不一致"))</x:f>
        <x:v>AmountIncludingTax缺失</x:v>
      </x:c>
      <x:c r="F4265" s="19" t="str">
        <x:v>approved</x:v>
      </x:c>
      <x:c r="G4265" s="19" t="str">
        <x:v>Repair in Progress</x:v>
      </x:c>
      <x:c r="H4265" s="19" t="str">
        <x:v>In Field</x:v>
      </x:c>
      <x:c r="I4265" s="37" t="n">
        <x:v>46092</x:v>
      </x:c>
      <x:c r="J4265" s="37" t="n">
        <x:v>46092</x:v>
      </x:c>
      <x:c r="K4265" s="19" t="str">
        <x:v>Regent RV - Frankston</x:v>
      </x:c>
      <x:c r="L4265" s="19" t="str">
        <x:v>Z006</x:v>
      </x:c>
      <x:c r="M4265" s="19" t="str">
        <x:v>In Field Warranty Claims</x:v>
      </x:c>
      <x:c r="N4265" s="37" t="n">
        <x:v>46036</x:v>
      </x:c>
      <x:c r="O4265" s="37"/>
      <x:c r="P4265" s="34" t="n">
        <x:v>0</x:v>
      </x:c>
      <x:c r="Q4265" s="37" t="n">
        <x:v>46092.10859953704</x:v>
      </x:c>
    </x:row>
    <x:row r="4266">
      <x:c r="A4266" s="22" t="n">
        <x:v>29868</x:v>
      </x:c>
      <x:c r="B4266" s="28" t="n">
        <x:v>4422.91</x:v>
      </x:c>
      <x:c r="C4266" s="28"/>
      <x:c r="D4266" s="31" t="str">
        <x:f>IF(OR(ISBLANK(B4266),ISBLANK(C4266),B4266=0),"",(C4266-B4266)/B4266)</x:f>
      </x:c>
      <x:c r="E4266" s="22" t="str">
        <x:f>IF(ISBLANK(C4266),"AmountIncludingTax缺失",IF(ABS(B4266-C4266)&lt;0.005,"一致","不一致"))</x:f>
        <x:v>AmountIncludingTax缺失</x:v>
      </x:c>
      <x:c r="F4266" s="19" t="str">
        <x:v>approved</x:v>
      </x:c>
      <x:c r="G4266" s="19" t="str">
        <x:v>Sales Order Approved</x:v>
      </x:c>
      <x:c r="H4266" s="19" t="str">
        <x:v>Pre Delivery</x:v>
      </x:c>
      <x:c r="I4266" s="37" t="n">
        <x:v>46161</x:v>
      </x:c>
      <x:c r="J4266" s="37" t="n">
        <x:v>46161</x:v>
      </x:c>
      <x:c r="K4266" s="19" t="str">
        <x:v>The Caravan Hub - Townsville</x:v>
      </x:c>
      <x:c r="L4266" s="19" t="str">
        <x:v>Z005</x:v>
      </x:c>
      <x:c r="M4266" s="19" t="str">
        <x:v>Pre Delivery Warranty Claims</x:v>
      </x:c>
      <x:c r="N4266" s="37" t="n">
        <x:v>46036</x:v>
      </x:c>
      <x:c r="O4266" s="37"/>
      <x:c r="P4266" s="34" t="n">
        <x:v>0</x:v>
      </x:c>
      <x:c r="Q4266" s="37" t="n">
        <x:v>46161.56055555555</x:v>
      </x:c>
    </x:row>
    <x:row r="4267">
      <x:c r="A4267" s="22" t="n">
        <x:v>29866</x:v>
      </x:c>
      <x:c r="B4267" s="28" t="n">
        <x:v>202.5</x:v>
      </x:c>
      <x:c r="C4267" s="28"/>
      <x:c r="D4267" s="31" t="str">
        <x:f>IF(OR(ISBLANK(B4267),ISBLANK(C4267),B4267=0),"",(C4267-B4267)/B4267)</x:f>
      </x:c>
      <x:c r="E4267" s="22" t="str">
        <x:f>IF(ISBLANK(C4267),"AmountIncludingTax缺失",IF(ABS(B4267-C4267)&lt;0.005,"一致","不一致"))</x:f>
        <x:v>AmountIncludingTax缺失</x:v>
      </x:c>
      <x:c r="F4267" s="19" t="str">
        <x:v>approved</x:v>
      </x:c>
      <x:c r="G4267" s="19" t="str">
        <x:v>Repair in Progress</x:v>
      </x:c>
      <x:c r="H4267" s="19" t="str">
        <x:v>In Field</x:v>
      </x:c>
      <x:c r="I4267" s="37" t="n">
        <x:v>46071</x:v>
      </x:c>
      <x:c r="J4267" s="37" t="n">
        <x:v>46071</x:v>
      </x:c>
      <x:c r="K4267" s="19" t="str">
        <x:v>Snowy River Launceston</x:v>
      </x:c>
      <x:c r="L4267" s="19" t="str">
        <x:v>Z006</x:v>
      </x:c>
      <x:c r="M4267" s="19" t="str">
        <x:v>In Field Warranty Claims</x:v>
      </x:c>
      <x:c r="N4267" s="37" t="n">
        <x:v>46036</x:v>
      </x:c>
      <x:c r="O4267" s="37"/>
      <x:c r="P4267" s="34" t="n">
        <x:v>0</x:v>
      </x:c>
      <x:c r="Q4267" s="37" t="n">
        <x:v>46070.90084490741</x:v>
      </x:c>
    </x:row>
    <x:row r="4268">
      <x:c r="A4268" s="22" t="n">
        <x:v>29865</x:v>
      </x:c>
      <x:c r="B4268" s="28" t="n">
        <x:v>70</x:v>
      </x:c>
      <x:c r="C4268" s="28"/>
      <x:c r="D4268" s="31" t="str">
        <x:f>IF(OR(ISBLANK(B4268),ISBLANK(C4268),B4268=0),"",(C4268-B4268)/B4268)</x:f>
      </x:c>
      <x:c r="E4268" s="22" t="str">
        <x:f>IF(ISBLANK(C4268),"AmountIncludingTax缺失",IF(ABS(B4268-C4268)&lt;0.005,"一致","不一致"))</x:f>
        <x:v>AmountIncludingTax缺失</x:v>
      </x:c>
      <x:c r="F4268" s="19" t="str">
        <x:v>approved</x:v>
      </x:c>
      <x:c r="G4268" s="19" t="str">
        <x:v>Repair in Progress</x:v>
      </x:c>
      <x:c r="H4268" s="19" t="str">
        <x:v>Pre Delivery</x:v>
      </x:c>
      <x:c r="I4268" s="37" t="n">
        <x:v>46092</x:v>
      </x:c>
      <x:c r="J4268" s="37" t="n">
        <x:v>46092</x:v>
      </x:c>
      <x:c r="K4268" s="19" t="str">
        <x:v>ABCO Caravans - Boambee Valley</x:v>
      </x:c>
      <x:c r="L4268" s="19" t="str">
        <x:v>Z005</x:v>
      </x:c>
      <x:c r="M4268" s="19" t="str">
        <x:v>Pre Delivery Warranty Claims</x:v>
      </x:c>
      <x:c r="N4268" s="37" t="n">
        <x:v>46036</x:v>
      </x:c>
      <x:c r="O4268" s="37"/>
      <x:c r="P4268" s="34" t="n">
        <x:v>0</x:v>
      </x:c>
      <x:c r="Q4268" s="37" t="n">
        <x:v>46092.25105324074</x:v>
      </x:c>
    </x:row>
    <x:row r="4269">
      <x:c r="A4269" s="22" t="n">
        <x:v>29864</x:v>
      </x:c>
      <x:c r="B4269" s="28" t="n">
        <x:v>72.5</x:v>
      </x:c>
      <x:c r="C4269" s="28"/>
      <x:c r="D4269" s="31" t="str">
        <x:f>IF(OR(ISBLANK(B4269),ISBLANK(C4269),B4269=0),"",(C4269-B4269)/B4269)</x:f>
      </x:c>
      <x:c r="E4269" s="22" t="str">
        <x:f>IF(ISBLANK(C4269),"AmountIncludingTax缺失",IF(ABS(B4269-C4269)&lt;0.005,"一致","不一致"))</x:f>
        <x:v>AmountIncludingTax缺失</x:v>
      </x:c>
      <x:c r="F4269" s="19" t="str">
        <x:v>approved</x:v>
      </x:c>
      <x:c r="G4269" s="19" t="str">
        <x:v>Repairer Invoiced Processed</x:v>
      </x:c>
      <x:c r="H4269" s="19" t="str">
        <x:v>In Field</x:v>
      </x:c>
      <x:c r="I4269" s="37" t="n">
        <x:v>46076</x:v>
      </x:c>
      <x:c r="J4269" s="37" t="n">
        <x:v>46076</x:v>
      </x:c>
      <x:c r="K4269" s="19" t="str">
        <x:v>Newcastle RV Super Centre - Beresfield</x:v>
      </x:c>
      <x:c r="L4269" s="19" t="str">
        <x:v>Z006</x:v>
      </x:c>
      <x:c r="M4269" s="19" t="str">
        <x:v>In Field Warranty Claims</x:v>
      </x:c>
      <x:c r="N4269" s="37" t="n">
        <x:v>46036</x:v>
      </x:c>
      <x:c r="O4269" s="37"/>
      <x:c r="P4269" s="34" t="n">
        <x:v>0</x:v>
      </x:c>
      <x:c r="Q4269" s="37" t="n">
        <x:v>46076.03466435185</x:v>
      </x:c>
    </x:row>
    <x:row r="4270">
      <x:c r="A4270" s="22" t="n">
        <x:v>29863</x:v>
      </x:c>
      <x:c r="B4270" s="28" t="n">
        <x:v>4370.45</x:v>
      </x:c>
      <x:c r="C4270" s="28"/>
      <x:c r="D4270" s="31" t="str">
        <x:f>IF(OR(ISBLANK(B4270),ISBLANK(C4270),B4270=0),"",(C4270-B4270)/B4270)</x:f>
      </x:c>
      <x:c r="E4270" s="22" t="str">
        <x:f>IF(ISBLANK(C4270),"AmountIncludingTax缺失",IF(ABS(B4270-C4270)&lt;0.005,"一致","不一致"))</x:f>
        <x:v>AmountIncludingTax缺失</x:v>
      </x:c>
      <x:c r="F4270" s="19" t="str">
        <x:v>approved</x:v>
      </x:c>
      <x:c r="G4270" s="19" t="str">
        <x:v>Repairer Invoiced Processed</x:v>
      </x:c>
      <x:c r="H4270" s="19" t="str">
        <x:v>In Field</x:v>
      </x:c>
      <x:c r="I4270" s="37" t="n">
        <x:v>46042</x:v>
      </x:c>
      <x:c r="J4270" s="37" t="n">
        <x:v>46042</x:v>
      </x:c>
      <x:c r="K4270" s="19" t="str">
        <x:v>Green RV - Forest Glen</x:v>
      </x:c>
      <x:c r="L4270" s="19" t="str">
        <x:v>Z006</x:v>
      </x:c>
      <x:c r="M4270" s="19" t="str">
        <x:v>In Field Warranty Claims</x:v>
      </x:c>
      <x:c r="N4270" s="37" t="n">
        <x:v>46036</x:v>
      </x:c>
      <x:c r="O4270" s="37"/>
      <x:c r="P4270" s="34" t="n">
        <x:v>4807.5</x:v>
      </x:c>
      <x:c r="Q4270" s="37" t="n">
        <x:v>46042.25418981481</x:v>
      </x:c>
    </x:row>
    <x:row r="4271">
      <x:c r="A4271" s="22" t="n">
        <x:v>29862</x:v>
      </x:c>
      <x:c r="B4271" s="28" t="n">
        <x:v>1651.19</x:v>
      </x:c>
      <x:c r="C4271" s="28"/>
      <x:c r="D4271" s="31" t="str">
        <x:f>IF(OR(ISBLANK(B4271),ISBLANK(C4271),B4271=0),"",(C4271-B4271)/B4271)</x:f>
      </x:c>
      <x:c r="E4271" s="22" t="str">
        <x:f>IF(ISBLANK(C4271),"AmountIncludingTax缺失",IF(ABS(B4271-C4271)&lt;0.005,"一致","不一致"))</x:f>
        <x:v>AmountIncludingTax缺失</x:v>
      </x:c>
      <x:c r="F4271" s="19" t="str">
        <x:v>approved</x:v>
      </x:c>
      <x:c r="G4271" s="19" t="str">
        <x:v>Repair in Progress</x:v>
      </x:c>
      <x:c r="H4271" s="19" t="str">
        <x:v>In Field</x:v>
      </x:c>
      <x:c r="I4271" s="37" t="n">
        <x:v>46099</x:v>
      </x:c>
      <x:c r="J4271" s="37" t="n">
        <x:v>46099</x:v>
      </x:c>
      <x:c r="K4271" s="19" t="str">
        <x:v>Green RV - Forest Glen</x:v>
      </x:c>
      <x:c r="L4271" s="19" t="str">
        <x:v>Z006</x:v>
      </x:c>
      <x:c r="M4271" s="19" t="str">
        <x:v>In Field Warranty Claims</x:v>
      </x:c>
      <x:c r="N4271" s="37" t="n">
        <x:v>46036</x:v>
      </x:c>
      <x:c r="O4271" s="37"/>
      <x:c r="P4271" s="34" t="n">
        <x:v>1816.31</x:v>
      </x:c>
      <x:c r="Q4271" s="37" t="n">
        <x:v>46098.95880787037</x:v>
      </x:c>
    </x:row>
    <x:row r="4272">
      <x:c r="A4272" s="22" t="n">
        <x:v>29861</x:v>
      </x:c>
      <x:c r="B4272" s="28" t="n">
        <x:v>1021.56</x:v>
      </x:c>
      <x:c r="C4272" s="28"/>
      <x:c r="D4272" s="31" t="str">
        <x:f>IF(OR(ISBLANK(B4272),ISBLANK(C4272),B4272=0),"",(C4272-B4272)/B4272)</x:f>
      </x:c>
      <x:c r="E4272" s="22" t="str">
        <x:f>IF(ISBLANK(C4272),"AmountIncludingTax缺失",IF(ABS(B4272-C4272)&lt;0.005,"一致","不一致"))</x:f>
        <x:v>AmountIncludingTax缺失</x:v>
      </x:c>
      <x:c r="F4272" s="19" t="str">
        <x:v>approved</x:v>
      </x:c>
      <x:c r="G4272" s="19" t="str">
        <x:v>Repairer Invoiced Processed</x:v>
      </x:c>
      <x:c r="H4272" s="19" t="str">
        <x:v>In Field</x:v>
      </x:c>
      <x:c r="I4272" s="37" t="n">
        <x:v>46057</x:v>
      </x:c>
      <x:c r="J4272" s="37" t="n">
        <x:v>46057</x:v>
      </x:c>
      <x:c r="K4272" s="19" t="str">
        <x:v>Green RV - Forest Glen</x:v>
      </x:c>
      <x:c r="L4272" s="19" t="str">
        <x:v>Z006</x:v>
      </x:c>
      <x:c r="M4272" s="19" t="str">
        <x:v>In Field Warranty Claims</x:v>
      </x:c>
      <x:c r="N4272" s="37" t="n">
        <x:v>46036</x:v>
      </x:c>
      <x:c r="O4272" s="37"/>
      <x:c r="P4272" s="34" t="n">
        <x:v>1123.72</x:v>
      </x:c>
      <x:c r="Q4272" s="37" t="n">
        <x:v>46057.10209490741</x:v>
      </x:c>
    </x:row>
    <x:row r="4273">
      <x:c r="A4273" s="22" t="n">
        <x:v>29860</x:v>
      </x:c>
      <x:c r="B4273" s="28" t="n">
        <x:v>324.38</x:v>
      </x:c>
      <x:c r="C4273" s="28" t="n">
        <x:v>356.82</x:v>
      </x:c>
      <x:c r="D4273" s="31" t="n">
        <x:f>IF(OR(ISBLANK(B4273),ISBLANK(C4273),B4273=0),"",(C4273-B4273)/B4273)</x:f>
        <x:v>0.10000616560823725</x:v>
      </x:c>
      <x:c r="E4273" s="22" t="str">
        <x:f>IF(ISBLANK(C4273),"AmountIncludingTax缺失",IF(ABS(B4273-C4273)&lt;0.005,"一致","不一致"))</x:f>
        <x:v>不一致</x:v>
      </x:c>
      <x:c r="F4273" s="19" t="str">
        <x:v>approved</x:v>
      </x:c>
      <x:c r="G4273" s="19" t="str">
        <x:v>Repairer Invoiced Processed</x:v>
      </x:c>
      <x:c r="H4273" s="19" t="str">
        <x:v>In Field</x:v>
      </x:c>
      <x:c r="I4273" s="37" t="n">
        <x:v>46042</x:v>
      </x:c>
      <x:c r="J4273" s="37" t="n">
        <x:v>46042</x:v>
      </x:c>
      <x:c r="K4273" s="19" t="str">
        <x:v>Green RV - Forest Glen</x:v>
      </x:c>
      <x:c r="L4273" s="19" t="str">
        <x:v>Z006</x:v>
      </x:c>
      <x:c r="M4273" s="19" t="str">
        <x:v>In Field Warranty Claims</x:v>
      </x:c>
      <x:c r="N4273" s="37" t="n">
        <x:v>46036</x:v>
      </x:c>
      <x:c r="O4273" s="37"/>
      <x:c r="P4273" s="34" t="n">
        <x:v>356.82</x:v>
      </x:c>
      <x:c r="Q4273" s="37" t="n">
        <x:v>46042.10734953704</x:v>
      </x:c>
    </x:row>
    <x:row r="4274">
      <x:c r="A4274" s="22" t="n">
        <x:v>29858</x:v>
      </x:c>
      <x:c r="B4274" s="28" t="n">
        <x:v>98.19</x:v>
      </x:c>
      <x:c r="C4274" s="28"/>
      <x:c r="D4274" s="31" t="str">
        <x:f>IF(OR(ISBLANK(B4274),ISBLANK(C4274),B4274=0),"",(C4274-B4274)/B4274)</x:f>
      </x:c>
      <x:c r="E4274" s="22" t="str">
        <x:f>IF(ISBLANK(C4274),"AmountIncludingTax缺失",IF(ABS(B4274-C4274)&lt;0.005,"一致","不一致"))</x:f>
        <x:v>AmountIncludingTax缺失</x:v>
      </x:c>
      <x:c r="F4274" s="19" t="str">
        <x:v>approved</x:v>
      </x:c>
      <x:c r="G4274" s="19" t="str">
        <x:v>Repairer Invoiced Processed</x:v>
      </x:c>
      <x:c r="H4274" s="19" t="str">
        <x:v>In Field</x:v>
      </x:c>
      <x:c r="I4274" s="37" t="n">
        <x:v>46041</x:v>
      </x:c>
      <x:c r="J4274" s="37" t="n">
        <x:v>46041</x:v>
      </x:c>
      <x:c r="K4274" s="19" t="str">
        <x:v>Newcastle RV Super Centre - Beresfield</x:v>
      </x:c>
      <x:c r="L4274" s="19" t="str">
        <x:v>Z006</x:v>
      </x:c>
      <x:c r="M4274" s="19" t="str">
        <x:v>In Field Warranty Claims</x:v>
      </x:c>
      <x:c r="N4274" s="37" t="n">
        <x:v>46036</x:v>
      </x:c>
      <x:c r="O4274" s="37"/>
      <x:c r="P4274" s="34" t="n">
        <x:v>0</x:v>
      </x:c>
      <x:c r="Q4274" s="37" t="n">
        <x:v>46040.97516203704</x:v>
      </x:c>
    </x:row>
    <x:row r="4275">
      <x:c r="A4275" s="22" t="n">
        <x:v>29857</x:v>
      </x:c>
      <x:c r="B4275" s="28" t="n">
        <x:v>72.5</x:v>
      </x:c>
      <x:c r="C4275" s="28"/>
      <x:c r="D4275" s="31" t="str">
        <x:f>IF(OR(ISBLANK(B4275),ISBLANK(C4275),B4275=0),"",(C4275-B4275)/B4275)</x:f>
      </x:c>
      <x:c r="E4275" s="22" t="str">
        <x:f>IF(ISBLANK(C4275),"AmountIncludingTax缺失",IF(ABS(B4275-C4275)&lt;0.005,"一致","不一致"))</x:f>
        <x:v>AmountIncludingTax缺失</x:v>
      </x:c>
      <x:c r="F4275" s="19" t="str">
        <x:v>approved</x:v>
      </x:c>
      <x:c r="G4275" s="19" t="str">
        <x:v>Repairer Invoiced Processed</x:v>
      </x:c>
      <x:c r="H4275" s="19" t="str">
        <x:v>In Field</x:v>
      </x:c>
      <x:c r="I4275" s="37" t="n">
        <x:v>46076</x:v>
      </x:c>
      <x:c r="J4275" s="37" t="n">
        <x:v>46076</x:v>
      </x:c>
      <x:c r="K4275" s="19" t="str">
        <x:v>Newcastle RV Super Centre - Beresfield</x:v>
      </x:c>
      <x:c r="L4275" s="19" t="str">
        <x:v>Z006</x:v>
      </x:c>
      <x:c r="M4275" s="19" t="str">
        <x:v>In Field Warranty Claims</x:v>
      </x:c>
      <x:c r="N4275" s="37" t="n">
        <x:v>46036</x:v>
      </x:c>
      <x:c r="O4275" s="37"/>
      <x:c r="P4275" s="34" t="n">
        <x:v>0</x:v>
      </x:c>
      <x:c r="Q4275" s="37" t="n">
        <x:v>46076.03600694444</x:v>
      </x:c>
    </x:row>
    <x:row r="4276">
      <x:c r="A4276" s="22" t="n">
        <x:v>29856</x:v>
      </x:c>
      <x:c r="B4276" s="28" t="n">
        <x:v>1571.25</x:v>
      </x:c>
      <x:c r="C4276" s="28"/>
      <x:c r="D4276" s="31" t="str">
        <x:f>IF(OR(ISBLANK(B4276),ISBLANK(C4276),B4276=0),"",(C4276-B4276)/B4276)</x:f>
      </x:c>
      <x:c r="E4276" s="22" t="str">
        <x:f>IF(ISBLANK(C4276),"AmountIncludingTax缺失",IF(ABS(B4276-C4276)&lt;0.005,"一致","不一致"))</x:f>
        <x:v>AmountIncludingTax缺失</x:v>
      </x:c>
      <x:c r="F4276" s="19" t="str">
        <x:v>approved</x:v>
      </x:c>
      <x:c r="G4276" s="19" t="str">
        <x:v>Partially Picked</x:v>
      </x:c>
      <x:c r="H4276" s="19" t="str">
        <x:v>Pre Delivery</x:v>
      </x:c>
      <x:c r="I4276" s="37" t="n">
        <x:v>46153</x:v>
      </x:c>
      <x:c r="J4276" s="37" t="n">
        <x:v>46153</x:v>
      </x:c>
      <x:c r="K4276" s="19" t="str">
        <x:v>Regent RV - Townsville</x:v>
      </x:c>
      <x:c r="L4276" s="19" t="str">
        <x:v>Z005</x:v>
      </x:c>
      <x:c r="M4276" s="19" t="str">
        <x:v>Pre Delivery Warranty Claims</x:v>
      </x:c>
      <x:c r="N4276" s="37" t="n">
        <x:v>46035</x:v>
      </x:c>
      <x:c r="O4276" s="37"/>
      <x:c r="P4276" s="34" t="n">
        <x:v>0</x:v>
      </x:c>
      <x:c r="Q4276" s="37" t="n">
        <x:v>46153.17085648148</x:v>
      </x:c>
    </x:row>
    <x:row r="4277">
      <x:c r="A4277" s="22" t="n">
        <x:v>29854</x:v>
      </x:c>
      <x:c r="B4277" s="28" t="n">
        <x:v>135</x:v>
      </x:c>
      <x:c r="C4277" s="28"/>
      <x:c r="D4277" s="31" t="str">
        <x:f>IF(OR(ISBLANK(B4277),ISBLANK(C4277),B4277=0),"",(C4277-B4277)/B4277)</x:f>
      </x:c>
      <x:c r="E4277" s="22" t="str">
        <x:f>IF(ISBLANK(C4277),"AmountIncludingTax缺失",IF(ABS(B4277-C4277)&lt;0.005,"一致","不一致"))</x:f>
        <x:v>AmountIncludingTax缺失</x:v>
      </x:c>
      <x:c r="F4277" s="19" t="str">
        <x:v>approved</x:v>
      </x:c>
      <x:c r="G4277" s="19" t="str">
        <x:v>Repair in Progress</x:v>
      </x:c>
      <x:c r="H4277" s="19" t="str">
        <x:v>In Field</x:v>
      </x:c>
      <x:c r="I4277" s="37" t="n">
        <x:v>46057</x:v>
      </x:c>
      <x:c r="J4277" s="37" t="n">
        <x:v>46057</x:v>
      </x:c>
      <x:c r="K4277" s="19" t="str">
        <x:v>Green RV - Forest Glen</x:v>
      </x:c>
      <x:c r="L4277" s="19" t="str">
        <x:v>Z006</x:v>
      </x:c>
      <x:c r="M4277" s="19" t="str">
        <x:v>In Field Warranty Claims</x:v>
      </x:c>
      <x:c r="N4277" s="37" t="n">
        <x:v>46035</x:v>
      </x:c>
      <x:c r="O4277" s="37"/>
      <x:c r="P4277" s="34" t="n">
        <x:v>0</x:v>
      </x:c>
      <x:c r="Q4277" s="37" t="n">
        <x:v>46056.926840277774</x:v>
      </x:c>
    </x:row>
    <x:row r="4278">
      <x:c r="A4278" s="22" t="n">
        <x:v>29853</x:v>
      </x:c>
      <x:c r="B4278" s="28" t="n">
        <x:v>295.34</x:v>
      </x:c>
      <x:c r="C4278" s="28" t="n">
        <x:v>324.87</x:v>
      </x:c>
      <x:c r="D4278" s="31" t="n">
        <x:f>IF(OR(ISBLANK(B4278),ISBLANK(C4278),B4278=0),"",(C4278-B4278)/B4278)</x:f>
        <x:v>0.09998645628766856</x:v>
      </x:c>
      <x:c r="E4278" s="22" t="str">
        <x:f>IF(ISBLANK(C4278),"AmountIncludingTax缺失",IF(ABS(B4278-C4278)&lt;0.005,"一致","不一致"))</x:f>
        <x:v>不一致</x:v>
      </x:c>
      <x:c r="F4278" s="19" t="str">
        <x:v>approved</x:v>
      </x:c>
      <x:c r="G4278" s="19" t="str">
        <x:v>Repairer Invoiced Processed</x:v>
      </x:c>
      <x:c r="H4278" s="19" t="str">
        <x:v>In Field</x:v>
      </x:c>
      <x:c r="I4278" s="37" t="n">
        <x:v>46062</x:v>
      </x:c>
      <x:c r="J4278" s="37" t="n">
        <x:v>46062</x:v>
      </x:c>
      <x:c r="K4278" s="19" t="str">
        <x:v>Green RV - Forest Glen</x:v>
      </x:c>
      <x:c r="L4278" s="19" t="str">
        <x:v>Z006</x:v>
      </x:c>
      <x:c r="M4278" s="19" t="str">
        <x:v>In Field Warranty Claims</x:v>
      </x:c>
      <x:c r="N4278" s="37" t="n">
        <x:v>46035</x:v>
      </x:c>
      <x:c r="O4278" s="37"/>
      <x:c r="P4278" s="34" t="n">
        <x:v>324.87</x:v>
      </x:c>
      <x:c r="Q4278" s="37" t="n">
        <x:v>46062.09795138889</x:v>
      </x:c>
    </x:row>
    <x:row r="4279">
      <x:c r="A4279" s="22" t="n">
        <x:v>29852</x:v>
      </x:c>
      <x:c r="B4279" s="28" t="n">
        <x:v>135</x:v>
      </x:c>
      <x:c r="C4279" s="28"/>
      <x:c r="D4279" s="31" t="str">
        <x:f>IF(OR(ISBLANK(B4279),ISBLANK(C4279),B4279=0),"",(C4279-B4279)/B4279)</x:f>
      </x:c>
      <x:c r="E4279" s="22" t="str">
        <x:f>IF(ISBLANK(C4279),"AmountIncludingTax缺失",IF(ABS(B4279-C4279)&lt;0.005,"一致","不一致"))</x:f>
        <x:v>AmountIncludingTax缺失</x:v>
      </x:c>
      <x:c r="F4279" s="19" t="str">
        <x:v>approved</x:v>
      </x:c>
      <x:c r="G4279" s="19" t="str">
        <x:v>Repair in Progress</x:v>
      </x:c>
      <x:c r="H4279" s="19" t="str">
        <x:v>In Field</x:v>
      </x:c>
      <x:c r="I4279" s="37" t="n">
        <x:v>46079</x:v>
      </x:c>
      <x:c r="J4279" s="37" t="n">
        <x:v>46079</x:v>
      </x:c>
      <x:c r="K4279" s="19" t="str">
        <x:v>Regent RV - Frankston</x:v>
      </x:c>
      <x:c r="L4279" s="19" t="str">
        <x:v>Z006</x:v>
      </x:c>
      <x:c r="M4279" s="19" t="str">
        <x:v>In Field Warranty Claims</x:v>
      </x:c>
      <x:c r="N4279" s="37" t="n">
        <x:v>46035</x:v>
      </x:c>
      <x:c r="O4279" s="37"/>
      <x:c r="P4279" s="34" t="n">
        <x:v>0</x:v>
      </x:c>
      <x:c r="Q4279" s="37" t="n">
        <x:v>46079.031018518515</x:v>
      </x:c>
    </x:row>
    <x:row r="4280">
      <x:c r="A4280" s="22" t="n">
        <x:v>29851</x:v>
      </x:c>
      <x:c r="B4280" s="28" t="n">
        <x:v>300</x:v>
      </x:c>
      <x:c r="C4280" s="28" t="n">
        <x:v>330</x:v>
      </x:c>
      <x:c r="D4280" s="31" t="n">
        <x:f>IF(OR(ISBLANK(B4280),ISBLANK(C4280),B4280=0),"",(C4280-B4280)/B4280)</x:f>
        <x:v>0.1</x:v>
      </x:c>
      <x:c r="E4280" s="22" t="str">
        <x:f>IF(ISBLANK(C4280),"AmountIncludingTax缺失",IF(ABS(B4280-C4280)&lt;0.005,"一致","不一致"))</x:f>
        <x:v>不一致</x:v>
      </x:c>
      <x:c r="F4280" s="19" t="str">
        <x:v>approved</x:v>
      </x:c>
      <x:c r="G4280" s="19" t="str">
        <x:v>Repairer Invoiced Processed</x:v>
      </x:c>
      <x:c r="H4280" s="19" t="str">
        <x:v>In Field</x:v>
      </x:c>
      <x:c r="I4280" s="37" t="n">
        <x:v>46149</x:v>
      </x:c>
      <x:c r="J4280" s="37" t="n">
        <x:v>46149</x:v>
      </x:c>
      <x:c r="K4280" s="19" t="str">
        <x:v>Lesiure Lion-New Castle</x:v>
      </x:c>
      <x:c r="L4280" s="19" t="str">
        <x:v>Z006</x:v>
      </x:c>
      <x:c r="M4280" s="19" t="str">
        <x:v>In Field Warranty Claims</x:v>
      </x:c>
      <x:c r="N4280" s="37" t="n">
        <x:v>46035</x:v>
      </x:c>
      <x:c r="O4280" s="37"/>
      <x:c r="P4280" s="34" t="n">
        <x:v>330</x:v>
      </x:c>
      <x:c r="Q4280" s="37" t="n">
        <x:v>46148.97488425926</x:v>
      </x:c>
    </x:row>
    <x:row r="4281">
      <x:c r="A4281" s="22" t="n">
        <x:v>29850</x:v>
      </x:c>
      <x:c r="B4281" s="28" t="n">
        <x:v>67.5</x:v>
      </x:c>
      <x:c r="C4281" s="28"/>
      <x:c r="D4281" s="31" t="str">
        <x:f>IF(OR(ISBLANK(B4281),ISBLANK(C4281),B4281=0),"",(C4281-B4281)/B4281)</x:f>
      </x:c>
      <x:c r="E4281" s="22" t="str">
        <x:f>IF(ISBLANK(C4281),"AmountIncludingTax缺失",IF(ABS(B4281-C4281)&lt;0.005,"一致","不一致"))</x:f>
        <x:v>AmountIncludingTax缺失</x:v>
      </x:c>
      <x:c r="F4281" s="19" t="str">
        <x:v>approved</x:v>
      </x:c>
      <x:c r="G4281" s="19" t="str">
        <x:v>Repairer Invoiced Processed</x:v>
      </x:c>
      <x:c r="H4281" s="19" t="str">
        <x:v>In Field</x:v>
      </x:c>
      <x:c r="I4281" s="37" t="n">
        <x:v>46062</x:v>
      </x:c>
      <x:c r="J4281" s="37" t="n">
        <x:v>46062</x:v>
      </x:c>
      <x:c r="K4281" s="19" t="str">
        <x:v>Green RV - Forest Glen</x:v>
      </x:c>
      <x:c r="L4281" s="19" t="str">
        <x:v>Z006</x:v>
      </x:c>
      <x:c r="M4281" s="19" t="str">
        <x:v>In Field Warranty Claims</x:v>
      </x:c>
      <x:c r="N4281" s="37" t="n">
        <x:v>46036</x:v>
      </x:c>
      <x:c r="O4281" s="37"/>
      <x:c r="P4281" s="34" t="n">
        <x:v>0</x:v>
      </x:c>
      <x:c r="Q4281" s="37" t="n">
        <x:v>46062.05709490741</x:v>
      </x:c>
    </x:row>
    <x:row r="4282">
      <x:c r="A4282" s="22" t="n">
        <x:v>29849</x:v>
      </x:c>
      <x:c r="B4282" s="28" t="n">
        <x:v>454.82</x:v>
      </x:c>
      <x:c r="C4282" s="28" t="n">
        <x:v>500.3</x:v>
      </x:c>
      <x:c r="D4282" s="31" t="n">
        <x:f>IF(OR(ISBLANK(B4282),ISBLANK(C4282),B4282=0),"",(C4282-B4282)/B4282)</x:f>
        <x:v>0.09999560265599582</x:v>
      </x:c>
      <x:c r="E4282" s="22" t="str">
        <x:f>IF(ISBLANK(C4282),"AmountIncludingTax缺失",IF(ABS(B4282-C4282)&lt;0.005,"一致","不一致"))</x:f>
        <x:v>不一致</x:v>
      </x:c>
      <x:c r="F4282" s="19" t="str">
        <x:v>approved</x:v>
      </x:c>
      <x:c r="G4282" s="19" t="str">
        <x:v>Repair in Progress</x:v>
      </x:c>
      <x:c r="H4282" s="19" t="str">
        <x:v>Pre Delivery</x:v>
      </x:c>
      <x:c r="I4282" s="37" t="n">
        <x:v>46112</x:v>
      </x:c>
      <x:c r="J4282" s="37" t="n">
        <x:v>46112</x:v>
      </x:c>
      <x:c r="K4282" s="19" t="str">
        <x:v>Lesiure Lion-New Castle</x:v>
      </x:c>
      <x:c r="L4282" s="19" t="str">
        <x:v>Z005</x:v>
      </x:c>
      <x:c r="M4282" s="19" t="str">
        <x:v>Pre Delivery Warranty Claims</x:v>
      </x:c>
      <x:c r="N4282" s="37" t="n">
        <x:v>46036</x:v>
      </x:c>
      <x:c r="O4282" s="37"/>
      <x:c r="P4282" s="34" t="n">
        <x:v>500.3</x:v>
      </x:c>
      <x:c r="Q4282" s="37" t="n">
        <x:v>46111.92760416667</x:v>
      </x:c>
    </x:row>
    <x:row r="4283">
      <x:c r="A4283" s="22" t="n">
        <x:v>29848</x:v>
      </x:c>
      <x:c r="B4283" s="28" t="n">
        <x:v>343.75</x:v>
      </x:c>
      <x:c r="C4283" s="28" t="n">
        <x:v>378.13</x:v>
      </x:c>
      <x:c r="D4283" s="31" t="n">
        <x:f>IF(OR(ISBLANK(B4283),ISBLANK(C4283),B4283=0),"",(C4283-B4283)/B4283)</x:f>
        <x:v>0.10001454545454544</x:v>
      </x:c>
      <x:c r="E4283" s="22" t="str">
        <x:f>IF(ISBLANK(C4283),"AmountIncludingTax缺失",IF(ABS(B4283-C4283)&lt;0.005,"一致","不一致"))</x:f>
        <x:v>不一致</x:v>
      </x:c>
      <x:c r="F4283" s="19" t="str">
        <x:v>approved</x:v>
      </x:c>
      <x:c r="G4283" s="19" t="str">
        <x:v>Repairer Invoiced Processed</x:v>
      </x:c>
      <x:c r="H4283" s="19" t="str">
        <x:v>In Field</x:v>
      </x:c>
      <x:c r="I4283" s="37" t="n">
        <x:v>46062</x:v>
      </x:c>
      <x:c r="J4283" s="37" t="n">
        <x:v>46062</x:v>
      </x:c>
      <x:c r="K4283" s="19" t="str">
        <x:v>Green RV - Forest Glen</x:v>
      </x:c>
      <x:c r="L4283" s="19" t="str">
        <x:v>Z006</x:v>
      </x:c>
      <x:c r="M4283" s="19" t="str">
        <x:v>In Field Warranty Claims</x:v>
      </x:c>
      <x:c r="N4283" s="37" t="n">
        <x:v>46036</x:v>
      </x:c>
      <x:c r="O4283" s="37"/>
      <x:c r="P4283" s="34" t="n">
        <x:v>378.13</x:v>
      </x:c>
      <x:c r="Q4283" s="37" t="n">
        <x:v>46062.03759259259</x:v>
      </x:c>
    </x:row>
    <x:row r="4284">
      <x:c r="A4284" s="22" t="n">
        <x:v>29847</x:v>
      </x:c>
      <x:c r="B4284" s="28" t="n">
        <x:v>280</x:v>
      </x:c>
      <x:c r="C4284" s="28"/>
      <x:c r="D4284" s="31" t="str">
        <x:f>IF(OR(ISBLANK(B4284),ISBLANK(C4284),B4284=0),"",(C4284-B4284)/B4284)</x:f>
      </x:c>
      <x:c r="E4284" s="22" t="str">
        <x:f>IF(ISBLANK(C4284),"AmountIncludingTax缺失",IF(ABS(B4284-C4284)&lt;0.005,"一致","不一致"))</x:f>
        <x:v>AmountIncludingTax缺失</x:v>
      </x:c>
      <x:c r="F4284" s="19"/>
      <x:c r="G4284" s="19" t="str">
        <x:v>Evidence Requested</x:v>
      </x:c>
      <x:c r="H4284" s="19" t="str">
        <x:v>In Field</x:v>
      </x:c>
      <x:c r="I4284" s="37" t="n">
        <x:v>46076</x:v>
      </x:c>
      <x:c r="J4284" s="37" t="n">
        <x:v>46076</x:v>
      </x:c>
      <x:c r="K4284" s="19" t="str">
        <x:v>Newcastle RV Super Centre - Beresfield</x:v>
      </x:c>
      <x:c r="L4284" s="19" t="str">
        <x:v>Z006</x:v>
      </x:c>
      <x:c r="M4284" s="19" t="str">
        <x:v>In Field Warranty Claims</x:v>
      </x:c>
      <x:c r="N4284" s="37" t="n">
        <x:v>46035</x:v>
      </x:c>
      <x:c r="O4284" s="37"/>
      <x:c r="P4284" s="34" t="n">
        <x:v>0</x:v>
      </x:c>
      <x:c r="Q4284" s="37" t="n">
        <x:v>46076.09832175926</x:v>
      </x:c>
    </x:row>
    <x:row r="4285">
      <x:c r="A4285" s="22" t="n">
        <x:v>29846</x:v>
      </x:c>
      <x:c r="B4285" s="28" t="n">
        <x:v>1383.75</x:v>
      </x:c>
      <x:c r="C4285" s="28"/>
      <x:c r="D4285" s="31" t="str">
        <x:f>IF(OR(ISBLANK(B4285),ISBLANK(C4285),B4285=0),"",(C4285-B4285)/B4285)</x:f>
      </x:c>
      <x:c r="E4285" s="22" t="str">
        <x:f>IF(ISBLANK(C4285),"AmountIncludingTax缺失",IF(ABS(B4285-C4285)&lt;0.005,"一致","不一致"))</x:f>
        <x:v>AmountIncludingTax缺失</x:v>
      </x:c>
      <x:c r="F4285" s="19" t="str">
        <x:v>approved</x:v>
      </x:c>
      <x:c r="G4285" s="19" t="str">
        <x:v>Repairer Invoiced Processed</x:v>
      </x:c>
      <x:c r="H4285" s="19" t="str">
        <x:v>In Field</x:v>
      </x:c>
      <x:c r="I4285" s="37" t="n">
        <x:v>46071</x:v>
      </x:c>
      <x:c r="J4285" s="37" t="n">
        <x:v>46071</x:v>
      </x:c>
      <x:c r="K4285" s="19" t="str">
        <x:v>Snowy River Launceston</x:v>
      </x:c>
      <x:c r="L4285" s="19" t="str">
        <x:v>Z006</x:v>
      </x:c>
      <x:c r="M4285" s="19" t="str">
        <x:v>In Field Warranty Claims</x:v>
      </x:c>
      <x:c r="N4285" s="37" t="n">
        <x:v>46035</x:v>
      </x:c>
      <x:c r="O4285" s="37"/>
      <x:c r="P4285" s="34" t="n">
        <x:v>0</x:v>
      </x:c>
      <x:c r="Q4285" s="37" t="n">
        <x:v>46070.89730324074</x:v>
      </x:c>
    </x:row>
    <x:row r="4286">
      <x:c r="A4286" s="22" t="n">
        <x:v>29844</x:v>
      </x:c>
      <x:c r="B4286" s="28" t="n">
        <x:v>6412.5</x:v>
      </x:c>
      <x:c r="C4286" s="28"/>
      <x:c r="D4286" s="31" t="str">
        <x:f>IF(OR(ISBLANK(B4286),ISBLANK(C4286),B4286=0),"",(C4286-B4286)/B4286)</x:f>
      </x:c>
      <x:c r="E4286" s="22" t="str">
        <x:f>IF(ISBLANK(C4286),"AmountIncludingTax缺失",IF(ABS(B4286-C4286)&lt;0.005,"一致","不一致"))</x:f>
        <x:v>AmountIncludingTax缺失</x:v>
      </x:c>
      <x:c r="F4286" s="19" t="str">
        <x:v>approved</x:v>
      </x:c>
      <x:c r="G4286" s="19" t="str">
        <x:v>Partially Picked</x:v>
      </x:c>
      <x:c r="H4286" s="19" t="str">
        <x:v>Pre Delivery</x:v>
      </x:c>
      <x:c r="I4286" s="37" t="n">
        <x:v>46190</x:v>
      </x:c>
      <x:c r="J4286" s="37" t="n">
        <x:v>46190</x:v>
      </x:c>
      <x:c r="K4286" s="19" t="str">
        <x:v>The Caravan Hub - Townsville</x:v>
      </x:c>
      <x:c r="L4286" s="19" t="str">
        <x:v>Z005</x:v>
      </x:c>
      <x:c r="M4286" s="19" t="str">
        <x:v>Pre Delivery Warranty Claims</x:v>
      </x:c>
      <x:c r="N4286" s="37" t="n">
        <x:v>46035</x:v>
      </x:c>
      <x:c r="O4286" s="37"/>
      <x:c r="P4286" s="34" t="n">
        <x:v>0</x:v>
      </x:c>
      <x:c r="Q4286" s="37" t="n">
        <x:v>46190.10855324074</x:v>
      </x:c>
    </x:row>
    <x:row r="4287">
      <x:c r="A4287" s="22" t="n">
        <x:v>29843</x:v>
      </x:c>
      <x:c r="B4287" s="28" t="n">
        <x:v>3830</x:v>
      </x:c>
      <x:c r="C4287" s="28"/>
      <x:c r="D4287" s="31" t="str">
        <x:f>IF(OR(ISBLANK(B4287),ISBLANK(C4287),B4287=0),"",(C4287-B4287)/B4287)</x:f>
      </x:c>
      <x:c r="E4287" s="22" t="str">
        <x:f>IF(ISBLANK(C4287),"AmountIncludingTax缺失",IF(ABS(B4287-C4287)&lt;0.005,"一致","不一致"))</x:f>
        <x:v>AmountIncludingTax缺失</x:v>
      </x:c>
      <x:c r="F4287" s="19" t="str">
        <x:v>approved</x:v>
      </x:c>
      <x:c r="G4287" s="19" t="str">
        <x:v>Repairer Invoiced Processed</x:v>
      </x:c>
      <x:c r="H4287" s="19" t="str">
        <x:v>In Field</x:v>
      </x:c>
      <x:c r="I4287" s="37" t="n">
        <x:v>46105</x:v>
      </x:c>
      <x:c r="J4287" s="37" t="n">
        <x:v>46105</x:v>
      </x:c>
      <x:c r="K4287" s="19" t="str">
        <x:v>Green RV - Forest Glen</x:v>
      </x:c>
      <x:c r="L4287" s="19" t="str">
        <x:v>Z006</x:v>
      </x:c>
      <x:c r="M4287" s="19" t="str">
        <x:v>In Field Warranty Claims</x:v>
      </x:c>
      <x:c r="N4287" s="37" t="n">
        <x:v>46035</x:v>
      </x:c>
      <x:c r="O4287" s="37"/>
      <x:c r="P4287" s="34" t="n">
        <x:v>4213</x:v>
      </x:c>
      <x:c r="Q4287" s="37" t="n">
        <x:v>46105.11539351852</x:v>
      </x:c>
    </x:row>
    <x:row r="4288">
      <x:c r="A4288" s="22" t="n">
        <x:v>29840</x:v>
      </x:c>
      <x:c r="B4288" s="28" t="n">
        <x:v>731.8</x:v>
      </x:c>
      <x:c r="C4288" s="28" t="n">
        <x:v>662.57</x:v>
      </x:c>
      <x:c r="D4288" s="31" t="n">
        <x:f>IF(OR(ISBLANK(B4288),ISBLANK(C4288),B4288=0),"",(C4288-B4288)/B4288)</x:f>
        <x:v>-0.09460235036895315</x:v>
      </x:c>
      <x:c r="E4288" s="22" t="str">
        <x:f>IF(ISBLANK(C4288),"AmountIncludingTax缺失",IF(ABS(B4288-C4288)&lt;0.005,"一致","不一致"))</x:f>
        <x:v>不一致</x:v>
      </x:c>
      <x:c r="F4288" s="19" t="str">
        <x:v>approved</x:v>
      </x:c>
      <x:c r="G4288" s="19" t="str">
        <x:v>Repair in Progress</x:v>
      </x:c>
      <x:c r="H4288" s="19" t="str">
        <x:v>In Field</x:v>
      </x:c>
      <x:c r="I4288" s="37" t="n">
        <x:v>46184</x:v>
      </x:c>
      <x:c r="J4288" s="37" t="n">
        <x:v>46115</x:v>
      </x:c>
      <x:c r="K4288" s="19" t="str">
        <x:v>Vanari Caravans - Marden Point</x:v>
      </x:c>
      <x:c r="L4288" s="19" t="str">
        <x:v>Z006</x:v>
      </x:c>
      <x:c r="M4288" s="19" t="str">
        <x:v>In Field Warranty Claims</x:v>
      </x:c>
      <x:c r="N4288" s="37" t="n">
        <x:v>46035</x:v>
      </x:c>
      <x:c r="O4288" s="37"/>
      <x:c r="P4288" s="34" t="n">
        <x:v>662.57</x:v>
      </x:c>
      <x:c r="Q4288" s="37" t="n">
        <x:v>46183.926574074074</x:v>
      </x:c>
    </x:row>
    <x:row r="4289">
      <x:c r="A4289" s="22" t="n">
        <x:v>29838</x:v>
      </x:c>
      <x:c r="B4289" s="28" t="n">
        <x:v>405</x:v>
      </x:c>
      <x:c r="C4289" s="28"/>
      <x:c r="D4289" s="31" t="str">
        <x:f>IF(OR(ISBLANK(B4289),ISBLANK(C4289),B4289=0),"",(C4289-B4289)/B4289)</x:f>
      </x:c>
      <x:c r="E4289" s="22" t="str">
        <x:f>IF(ISBLANK(C4289),"AmountIncludingTax缺失",IF(ABS(B4289-C4289)&lt;0.005,"一致","不一致"))</x:f>
        <x:v>AmountIncludingTax缺失</x:v>
      </x:c>
      <x:c r="F4289" s="19" t="str">
        <x:v>approved</x:v>
      </x:c>
      <x:c r="G4289" s="19" t="str">
        <x:v>Repair in Progress</x:v>
      </x:c>
      <x:c r="H4289" s="19" t="str">
        <x:v>In Field</x:v>
      </x:c>
      <x:c r="I4289" s="37" t="n">
        <x:v>46071</x:v>
      </x:c>
      <x:c r="J4289" s="37" t="n">
        <x:v>46071</x:v>
      </x:c>
      <x:c r="K4289" s="19" t="str">
        <x:v>Regent RV - Frankston</x:v>
      </x:c>
      <x:c r="L4289" s="19" t="str">
        <x:v>Z006</x:v>
      </x:c>
      <x:c r="M4289" s="19" t="str">
        <x:v>In Field Warranty Claims</x:v>
      </x:c>
      <x:c r="N4289" s="37" t="n">
        <x:v>46035</x:v>
      </x:c>
      <x:c r="O4289" s="37"/>
      <x:c r="P4289" s="34" t="n">
        <x:v>0</x:v>
      </x:c>
      <x:c r="Q4289" s="37" t="n">
        <x:v>46070.95042824074</x:v>
      </x:c>
    </x:row>
    <x:row r="4290">
      <x:c r="A4290" s="22" t="n">
        <x:v>29837</x:v>
      </x:c>
      <x:c r="B4290" s="28" t="n">
        <x:v>2104.25</x:v>
      </x:c>
      <x:c r="C4290" s="28"/>
      <x:c r="D4290" s="31" t="str">
        <x:f>IF(OR(ISBLANK(B4290),ISBLANK(C4290),B4290=0),"",(C4290-B4290)/B4290)</x:f>
      </x:c>
      <x:c r="E4290" s="22" t="str">
        <x:f>IF(ISBLANK(C4290),"AmountIncludingTax缺失",IF(ABS(B4290-C4290)&lt;0.005,"一致","不一致"))</x:f>
        <x:v>AmountIncludingTax缺失</x:v>
      </x:c>
      <x:c r="F4290" s="19" t="str">
        <x:v>approved</x:v>
      </x:c>
      <x:c r="G4290" s="19" t="str">
        <x:v>Repairer Invoiced Processed</x:v>
      </x:c>
      <x:c r="H4290" s="19" t="str">
        <x:v>In Field</x:v>
      </x:c>
      <x:c r="I4290" s="37" t="n">
        <x:v>46086</x:v>
      </x:c>
      <x:c r="J4290" s="37" t="n">
        <x:v>46086</x:v>
      </x:c>
      <x:c r="K4290" s="19" t="str">
        <x:v>Green RV - Forest Glen</x:v>
      </x:c>
      <x:c r="L4290" s="19" t="str">
        <x:v>Z006</x:v>
      </x:c>
      <x:c r="M4290" s="19" t="str">
        <x:v>In Field Warranty Claims</x:v>
      </x:c>
      <x:c r="N4290" s="37" t="n">
        <x:v>46035</x:v>
      </x:c>
      <x:c r="O4290" s="37"/>
      <x:c r="P4290" s="34" t="n">
        <x:v>0</x:v>
      </x:c>
      <x:c r="Q4290" s="37" t="n">
        <x:v>46085.85607638889</x:v>
      </x:c>
    </x:row>
    <x:row r="4291">
      <x:c r="A4291" s="22" t="n">
        <x:v>29835</x:v>
      </x:c>
      <x:c r="B4291" s="28" t="n">
        <x:v>202.5</x:v>
      </x:c>
      <x:c r="C4291" s="28"/>
      <x:c r="D4291" s="31" t="str">
        <x:f>IF(OR(ISBLANK(B4291),ISBLANK(C4291),B4291=0),"",(C4291-B4291)/B4291)</x:f>
      </x:c>
      <x:c r="E4291" s="22" t="str">
        <x:f>IF(ISBLANK(C4291),"AmountIncludingTax缺失",IF(ABS(B4291-C4291)&lt;0.005,"一致","不一致"))</x:f>
        <x:v>AmountIncludingTax缺失</x:v>
      </x:c>
      <x:c r="F4291" s="19" t="str">
        <x:v>approved</x:v>
      </x:c>
      <x:c r="G4291" s="19" t="str">
        <x:v>Repair in Progress</x:v>
      </x:c>
      <x:c r="H4291" s="19" t="str">
        <x:v>In Field</x:v>
      </x:c>
      <x:c r="I4291" s="37" t="n">
        <x:v>46078</x:v>
      </x:c>
      <x:c r="J4291" s="37" t="n">
        <x:v>46078</x:v>
      </x:c>
      <x:c r="K4291" s="19" t="str">
        <x:v>Regent RV - Frankston</x:v>
      </x:c>
      <x:c r="L4291" s="19" t="str">
        <x:v>Z006</x:v>
      </x:c>
      <x:c r="M4291" s="19" t="str">
        <x:v>In Field Warranty Claims</x:v>
      </x:c>
      <x:c r="N4291" s="37" t="n">
        <x:v>46035</x:v>
      </x:c>
      <x:c r="O4291" s="37"/>
      <x:c r="P4291" s="34" t="n">
        <x:v>0</x:v>
      </x:c>
      <x:c r="Q4291" s="37" t="n">
        <x:v>46078.20868055556</x:v>
      </x:c>
    </x:row>
    <x:row r="4292">
      <x:c r="A4292" s="22" t="n">
        <x:v>29833</x:v>
      </x:c>
      <x:c r="B4292" s="28" t="n">
        <x:v>138.18</x:v>
      </x:c>
      <x:c r="C4292" s="28"/>
      <x:c r="D4292" s="31" t="str">
        <x:f>IF(OR(ISBLANK(B4292),ISBLANK(C4292),B4292=0),"",(C4292-B4292)/B4292)</x:f>
      </x:c>
      <x:c r="E4292" s="22" t="str">
        <x:f>IF(ISBLANK(C4292),"AmountIncludingTax缺失",IF(ABS(B4292-C4292)&lt;0.005,"一致","不一致"))</x:f>
        <x:v>AmountIncludingTax缺失</x:v>
      </x:c>
      <x:c r="F4292" s="19" t="str">
        <x:v>approved</x:v>
      </x:c>
      <x:c r="G4292" s="19" t="str">
        <x:v>Repair in Progress</x:v>
      </x:c>
      <x:c r="H4292" s="19" t="str">
        <x:v>In Field</x:v>
      </x:c>
      <x:c r="I4292" s="37" t="n">
        <x:v>46077</x:v>
      </x:c>
      <x:c r="J4292" s="37" t="n">
        <x:v>46077</x:v>
      </x:c>
      <x:c r="K4292" s="19" t="str">
        <x:v>Auswide Caravans - South Nowra</x:v>
      </x:c>
      <x:c r="L4292" s="19" t="str">
        <x:v>Z006</x:v>
      </x:c>
      <x:c r="M4292" s="19" t="str">
        <x:v>In Field Warranty Claims</x:v>
      </x:c>
      <x:c r="N4292" s="37" t="n">
        <x:v>46035</x:v>
      </x:c>
      <x:c r="O4292" s="37"/>
      <x:c r="P4292" s="34" t="n">
        <x:v>0</x:v>
      </x:c>
      <x:c r="Q4292" s="37" t="n">
        <x:v>46077.18861111111</x:v>
      </x:c>
    </x:row>
    <x:row r="4293">
      <x:c r="A4293" s="22" t="n">
        <x:v>29830</x:v>
      </x:c>
      <x:c r="B4293" s="28" t="n">
        <x:v>38.75</x:v>
      </x:c>
      <x:c r="C4293" s="28"/>
      <x:c r="D4293" s="31" t="str">
        <x:f>IF(OR(ISBLANK(B4293),ISBLANK(C4293),B4293=0),"",(C4293-B4293)/B4293)</x:f>
      </x:c>
      <x:c r="E4293" s="22" t="str">
        <x:f>IF(ISBLANK(C4293),"AmountIncludingTax缺失",IF(ABS(B4293-C4293)&lt;0.005,"一致","不一致"))</x:f>
        <x:v>AmountIncludingTax缺失</x:v>
      </x:c>
      <x:c r="F4293" s="19" t="str">
        <x:v>approved</x:v>
      </x:c>
      <x:c r="G4293" s="19" t="str">
        <x:v>Repair in Progress</x:v>
      </x:c>
      <x:c r="H4293" s="19" t="str">
        <x:v>In Field</x:v>
      </x:c>
      <x:c r="I4293" s="37" t="n">
        <x:v>46122</x:v>
      </x:c>
      <x:c r="J4293" s="37" t="n">
        <x:v>46122</x:v>
      </x:c>
      <x:c r="K4293" s="19" t="str">
        <x:v>Bendigo Caravan Group - Bendigo</x:v>
      </x:c>
      <x:c r="L4293" s="19" t="str">
        <x:v>Z006</x:v>
      </x:c>
      <x:c r="M4293" s="19" t="str">
        <x:v>In Field Warranty Claims</x:v>
      </x:c>
      <x:c r="N4293" s="37" t="n">
        <x:v>46035</x:v>
      </x:c>
      <x:c r="O4293" s="37"/>
      <x:c r="P4293" s="34" t="n">
        <x:v>0</x:v>
      </x:c>
      <x:c r="Q4293" s="37" t="n">
        <x:v>46122.240266203706</x:v>
      </x:c>
    </x:row>
    <x:row r="4294">
      <x:c r="A4294" s="22" t="n">
        <x:v>29828</x:v>
      </x:c>
      <x:c r="B4294" s="28" t="n">
        <x:v>77.5</x:v>
      </x:c>
      <x:c r="C4294" s="28"/>
      <x:c r="D4294" s="31" t="str">
        <x:f>IF(OR(ISBLANK(B4294),ISBLANK(C4294),B4294=0),"",(C4294-B4294)/B4294)</x:f>
      </x:c>
      <x:c r="E4294" s="22" t="str">
        <x:f>IF(ISBLANK(C4294),"AmountIncludingTax缺失",IF(ABS(B4294-C4294)&lt;0.005,"一致","不一致"))</x:f>
        <x:v>AmountIncludingTax缺失</x:v>
      </x:c>
      <x:c r="F4294" s="19" t="str">
        <x:v>approved</x:v>
      </x:c>
      <x:c r="G4294" s="19" t="str">
        <x:v>Sales Order Approved</x:v>
      </x:c>
      <x:c r="H4294" s="19" t="str">
        <x:v>Pre Delivery</x:v>
      </x:c>
      <x:c r="I4294" s="37" t="n">
        <x:v>46097</x:v>
      </x:c>
      <x:c r="J4294" s="37" t="n">
        <x:v>46097</x:v>
      </x:c>
      <x:c r="K4294" s="19" t="str">
        <x:v>Regent RV - Perth</x:v>
      </x:c>
      <x:c r="L4294" s="19" t="str">
        <x:v>Z005</x:v>
      </x:c>
      <x:c r="M4294" s="19" t="str">
        <x:v>Pre Delivery Warranty Claims</x:v>
      </x:c>
      <x:c r="N4294" s="37" t="n">
        <x:v>46035</x:v>
      </x:c>
      <x:c r="O4294" s="37"/>
      <x:c r="P4294" s="34" t="n">
        <x:v>0</x:v>
      </x:c>
      <x:c r="Q4294" s="37" t="n">
        <x:v>46097.24858796296</x:v>
      </x:c>
    </x:row>
    <x:row r="4295">
      <x:c r="A4295" s="22" t="n">
        <x:v>29826</x:v>
      </x:c>
      <x:c r="B4295" s="28" t="n">
        <x:v>350</x:v>
      </x:c>
      <x:c r="C4295" s="28"/>
      <x:c r="D4295" s="31" t="str">
        <x:f>IF(OR(ISBLANK(B4295),ISBLANK(C4295),B4295=0),"",(C4295-B4295)/B4295)</x:f>
      </x:c>
      <x:c r="E4295" s="22" t="str">
        <x:f>IF(ISBLANK(C4295),"AmountIncludingTax缺失",IF(ABS(B4295-C4295)&lt;0.005,"一致","不一致"))</x:f>
        <x:v>AmountIncludingTax缺失</x:v>
      </x:c>
      <x:c r="F4295" s="19" t="str">
        <x:v>approved</x:v>
      </x:c>
      <x:c r="G4295" s="19" t="str">
        <x:v>Repair in Progress</x:v>
      </x:c>
      <x:c r="H4295" s="19" t="str">
        <x:v>Pre Delivery</x:v>
      </x:c>
      <x:c r="I4295" s="37" t="n">
        <x:v>46073</x:v>
      </x:c>
      <x:c r="J4295" s="37" t="n">
        <x:v>46073</x:v>
      </x:c>
      <x:c r="K4295" s="19" t="str">
        <x:v>Snowy River Frankston</x:v>
      </x:c>
      <x:c r="L4295" s="19" t="str">
        <x:v>Z005</x:v>
      </x:c>
      <x:c r="M4295" s="19" t="str">
        <x:v>Pre Delivery Warranty Claims</x:v>
      </x:c>
      <x:c r="N4295" s="37" t="n">
        <x:v>46035</x:v>
      </x:c>
      <x:c r="O4295" s="37"/>
      <x:c r="P4295" s="34" t="n">
        <x:v>0</x:v>
      </x:c>
      <x:c r="Q4295" s="37" t="n">
        <x:v>46073.09334490741</x:v>
      </x:c>
    </x:row>
    <x:row r="4296">
      <x:c r="A4296" s="22" t="n">
        <x:v>29825</x:v>
      </x:c>
      <x:c r="B4296" s="28" t="n">
        <x:v>106.25</x:v>
      </x:c>
      <x:c r="C4296" s="28"/>
      <x:c r="D4296" s="31" t="str">
        <x:f>IF(OR(ISBLANK(B4296),ISBLANK(C4296),B4296=0),"",(C4296-B4296)/B4296)</x:f>
      </x:c>
      <x:c r="E4296" s="22" t="str">
        <x:f>IF(ISBLANK(C4296),"AmountIncludingTax缺失",IF(ABS(B4296-C4296)&lt;0.005,"一致","不一致"))</x:f>
        <x:v>AmountIncludingTax缺失</x:v>
      </x:c>
      <x:c r="F4296" s="19" t="str">
        <x:v>approved</x:v>
      </x:c>
      <x:c r="G4296" s="19" t="str">
        <x:v>Repairer Invoiced Processed</x:v>
      </x:c>
      <x:c r="H4296" s="19" t="str">
        <x:v>In Field</x:v>
      </x:c>
      <x:c r="I4296" s="37" t="n">
        <x:v>46111</x:v>
      </x:c>
      <x:c r="J4296" s="37" t="n">
        <x:v>46111</x:v>
      </x:c>
      <x:c r="K4296" s="19" t="str">
        <x:v>Dario Caravans - Pooraka</x:v>
      </x:c>
      <x:c r="L4296" s="19" t="str">
        <x:v>Z006</x:v>
      </x:c>
      <x:c r="M4296" s="19" t="str">
        <x:v>In Field Warranty Claims</x:v>
      </x:c>
      <x:c r="N4296" s="37" t="n">
        <x:v>46035</x:v>
      </x:c>
      <x:c r="O4296" s="37"/>
      <x:c r="P4296" s="34" t="n">
        <x:v>0</x:v>
      </x:c>
      <x:c r="Q4296" s="37" t="n">
        <x:v>46111.10233796296</x:v>
      </x:c>
    </x:row>
    <x:row r="4297">
      <x:c r="A4297" s="22" t="n">
        <x:v>29824</x:v>
      </x:c>
      <x:c r="B4297" s="28" t="n">
        <x:v>130</x:v>
      </x:c>
      <x:c r="C4297" s="28"/>
      <x:c r="D4297" s="31" t="str">
        <x:f>IF(OR(ISBLANK(B4297),ISBLANK(C4297),B4297=0),"",(C4297-B4297)/B4297)</x:f>
      </x:c>
      <x:c r="E4297" s="22" t="str">
        <x:f>IF(ISBLANK(C4297),"AmountIncludingTax缺失",IF(ABS(B4297-C4297)&lt;0.005,"一致","不一致"))</x:f>
        <x:v>AmountIncludingTax缺失</x:v>
      </x:c>
      <x:c r="F4297" s="19" t="str">
        <x:v>approved</x:v>
      </x:c>
      <x:c r="G4297" s="19" t="str">
        <x:v>Repair in Progress</x:v>
      </x:c>
      <x:c r="H4297" s="19" t="str">
        <x:v>In Field</x:v>
      </x:c>
      <x:c r="I4297" s="37" t="n">
        <x:v>46064</x:v>
      </x:c>
      <x:c r="J4297" s="37" t="n">
        <x:v>46044</x:v>
      </x:c>
      <x:c r="K4297" s="19" t="str">
        <x:v>Snowy River Wangaratta</x:v>
      </x:c>
      <x:c r="L4297" s="19" t="str">
        <x:v>Z006</x:v>
      </x:c>
      <x:c r="M4297" s="19" t="str">
        <x:v>In Field Warranty Claims</x:v>
      </x:c>
      <x:c r="N4297" s="37" t="n">
        <x:v>46035</x:v>
      </x:c>
      <x:c r="O4297" s="37"/>
      <x:c r="P4297" s="34" t="n">
        <x:v>0</x:v>
      </x:c>
      <x:c r="Q4297" s="37" t="n">
        <x:v>46064.068125</x:v>
      </x:c>
    </x:row>
    <x:row r="4298">
      <x:c r="A4298" s="22" t="n">
        <x:v>29821</x:v>
      </x:c>
      <x:c r="B4298" s="28" t="n">
        <x:v>151.8</x:v>
      </x:c>
      <x:c r="C4298" s="28"/>
      <x:c r="D4298" s="31" t="str">
        <x:f>IF(OR(ISBLANK(B4298),ISBLANK(C4298),B4298=0),"",(C4298-B4298)/B4298)</x:f>
      </x:c>
      <x:c r="E4298" s="22" t="str">
        <x:f>IF(ISBLANK(C4298),"AmountIncludingTax缺失",IF(ABS(B4298-C4298)&lt;0.005,"一致","不一致"))</x:f>
        <x:v>AmountIncludingTax缺失</x:v>
      </x:c>
      <x:c r="F4298" s="19" t="str">
        <x:v>approved</x:v>
      </x:c>
      <x:c r="G4298" s="19" t="str">
        <x:v>Repair in Progress</x:v>
      </x:c>
      <x:c r="H4298" s="19" t="str">
        <x:v>In Field</x:v>
      </x:c>
      <x:c r="I4298" s="37" t="n">
        <x:v>46169</x:v>
      </x:c>
      <x:c r="J4298" s="37" t="n">
        <x:v>46149</x:v>
      </x:c>
      <x:c r="K4298" s="19" t="str">
        <x:v>Vanari Caravans - Marden Point</x:v>
      </x:c>
      <x:c r="L4298" s="19" t="str">
        <x:v>Z006</x:v>
      </x:c>
      <x:c r="M4298" s="19" t="str">
        <x:v>In Field Warranty Claims</x:v>
      </x:c>
      <x:c r="N4298" s="37" t="n">
        <x:v>46035</x:v>
      </x:c>
      <x:c r="O4298" s="37"/>
      <x:c r="P4298" s="34" t="n">
        <x:v>0</x:v>
      </x:c>
      <x:c r="Q4298" s="37" t="n">
        <x:v>46168.94068287037</x:v>
      </x:c>
    </x:row>
    <x:row r="4299">
      <x:c r="A4299" s="22" t="n">
        <x:v>29820</x:v>
      </x:c>
      <x:c r="B4299" s="28" t="n">
        <x:v>145.45</x:v>
      </x:c>
      <x:c r="C4299" s="28" t="n">
        <x:v>160</x:v>
      </x:c>
      <x:c r="D4299" s="31" t="n">
        <x:f>IF(OR(ISBLANK(B4299),ISBLANK(C4299),B4299=0),"",(C4299-B4299)/B4299)</x:f>
        <x:v>0.1000343760742524</x:v>
      </x:c>
      <x:c r="E4299" s="22" t="str">
        <x:f>IF(ISBLANK(C4299),"AmountIncludingTax缺失",IF(ABS(B4299-C4299)&lt;0.005,"一致","不一致"))</x:f>
        <x:v>不一致</x:v>
      </x:c>
      <x:c r="F4299" s="19" t="str">
        <x:v>approved</x:v>
      </x:c>
      <x:c r="G4299" s="19" t="str">
        <x:v>Repairer Invoiced Processed</x:v>
      </x:c>
      <x:c r="H4299" s="19" t="str">
        <x:v>In Field</x:v>
      </x:c>
      <x:c r="I4299" s="37" t="n">
        <x:v>46130</x:v>
      </x:c>
      <x:c r="J4299" s="37" t="n">
        <x:v>46130</x:v>
      </x:c>
      <x:c r="K4299" s="19" t="str">
        <x:v>Regent RV - Perth</x:v>
      </x:c>
      <x:c r="L4299" s="19" t="str">
        <x:v>Z006</x:v>
      </x:c>
      <x:c r="M4299" s="19" t="str">
        <x:v>In Field Warranty Claims</x:v>
      </x:c>
      <x:c r="N4299" s="37" t="n">
        <x:v>46035</x:v>
      </x:c>
      <x:c r="O4299" s="37"/>
      <x:c r="P4299" s="34" t="n">
        <x:v>160</x:v>
      </x:c>
      <x:c r="Q4299" s="37" t="n">
        <x:v>46130.11020833333</x:v>
      </x:c>
    </x:row>
    <x:row r="4300">
      <x:c r="A4300" s="22" t="n">
        <x:v>29818</x:v>
      </x:c>
      <x:c r="B4300" s="28" t="n">
        <x:v>67.5</x:v>
      </x:c>
      <x:c r="C4300" s="28"/>
      <x:c r="D4300" s="31" t="str">
        <x:f>IF(OR(ISBLANK(B4300),ISBLANK(C4300),B4300=0),"",(C4300-B4300)/B4300)</x:f>
      </x:c>
      <x:c r="E4300" s="22" t="str">
        <x:f>IF(ISBLANK(C4300),"AmountIncludingTax缺失",IF(ABS(B4300-C4300)&lt;0.005,"一致","不一致"))</x:f>
        <x:v>AmountIncludingTax缺失</x:v>
      </x:c>
      <x:c r="F4300" s="19" t="str">
        <x:v>approved</x:v>
      </x:c>
      <x:c r="G4300" s="19" t="str">
        <x:v>Repair in Progress</x:v>
      </x:c>
      <x:c r="H4300" s="19" t="str">
        <x:v>In Field</x:v>
      </x:c>
      <x:c r="I4300" s="37" t="n">
        <x:v>46071</x:v>
      </x:c>
      <x:c r="J4300" s="37" t="n">
        <x:v>46071</x:v>
      </x:c>
      <x:c r="K4300" s="19" t="str">
        <x:v>Leisure Lion Pty Ltd - Gympie</x:v>
      </x:c>
      <x:c r="L4300" s="19" t="str">
        <x:v>Z006</x:v>
      </x:c>
      <x:c r="M4300" s="19" t="str">
        <x:v>In Field Warranty Claims</x:v>
      </x:c>
      <x:c r="N4300" s="37" t="n">
        <x:v>46035</x:v>
      </x:c>
      <x:c r="O4300" s="37"/>
      <x:c r="P4300" s="34" t="n">
        <x:v>0</x:v>
      </x:c>
      <x:c r="Q4300" s="37" t="n">
        <x:v>46071.155590277776</x:v>
      </x:c>
    </x:row>
    <x:row r="4301">
      <x:c r="A4301" s="22" t="n">
        <x:v>29817</x:v>
      </x:c>
      <x:c r="B4301" s="28" t="n">
        <x:v>578.64</x:v>
      </x:c>
      <x:c r="C4301" s="28"/>
      <x:c r="D4301" s="31" t="str">
        <x:f>IF(OR(ISBLANK(B4301),ISBLANK(C4301),B4301=0),"",(C4301-B4301)/B4301)</x:f>
      </x:c>
      <x:c r="E4301" s="22" t="str">
        <x:f>IF(ISBLANK(C4301),"AmountIncludingTax缺失",IF(ABS(B4301-C4301)&lt;0.005,"一致","不一致"))</x:f>
        <x:v>AmountIncludingTax缺失</x:v>
      </x:c>
      <x:c r="F4301" s="19" t="str">
        <x:v>approved</x:v>
      </x:c>
      <x:c r="G4301" s="19" t="str">
        <x:v>Repairer Invoiced Received</x:v>
      </x:c>
      <x:c r="H4301" s="19" t="str">
        <x:v>In Field</x:v>
      </x:c>
      <x:c r="I4301" s="37" t="n">
        <x:v>46045</x:v>
      </x:c>
      <x:c r="J4301" s="37" t="n">
        <x:v>46044</x:v>
      </x:c>
      <x:c r="K4301" s="19" t="str">
        <x:v>Newcastle RV Super Centre - Beresfield</x:v>
      </x:c>
      <x:c r="L4301" s="19" t="str">
        <x:v>Z006</x:v>
      </x:c>
      <x:c r="M4301" s="19" t="str">
        <x:v>In Field Warranty Claims</x:v>
      </x:c>
      <x:c r="N4301" s="37" t="n">
        <x:v>46035</x:v>
      </x:c>
      <x:c r="O4301" s="37"/>
      <x:c r="P4301" s="34" t="n">
        <x:v>0</x:v>
      </x:c>
      <x:c r="Q4301" s="37" t="n">
        <x:v>46044.574479166666</x:v>
      </x:c>
    </x:row>
    <x:row r="4302">
      <x:c r="A4302" s="22" t="n">
        <x:v>29816</x:v>
      </x:c>
      <x:c r="B4302" s="28" t="n">
        <x:v>508.86</x:v>
      </x:c>
      <x:c r="C4302" s="28"/>
      <x:c r="D4302" s="31" t="str">
        <x:f>IF(OR(ISBLANK(B4302),ISBLANK(C4302),B4302=0),"",(C4302-B4302)/B4302)</x:f>
      </x:c>
      <x:c r="E4302" s="22" t="str">
        <x:f>IF(ISBLANK(C4302),"AmountIncludingTax缺失",IF(ABS(B4302-C4302)&lt;0.005,"一致","不一致"))</x:f>
        <x:v>AmountIncludingTax缺失</x:v>
      </x:c>
      <x:c r="F4302" s="19" t="str">
        <x:v>approved</x:v>
      </x:c>
      <x:c r="G4302" s="19" t="str">
        <x:v>Repairer Invoiced Processed</x:v>
      </x:c>
      <x:c r="H4302" s="19" t="str">
        <x:v>In Field</x:v>
      </x:c>
      <x:c r="I4302" s="37" t="n">
        <x:v>46168</x:v>
      </x:c>
      <x:c r="J4302" s="37" t="n">
        <x:v>46168</x:v>
      </x:c>
      <x:c r="K4302" s="19" t="str">
        <x:v>Destiny RV - South Australia</x:v>
      </x:c>
      <x:c r="L4302" s="19" t="str">
        <x:v>Z006</x:v>
      </x:c>
      <x:c r="M4302" s="19" t="str">
        <x:v>In Field Warranty Claims</x:v>
      </x:c>
      <x:c r="N4302" s="37" t="n">
        <x:v>46035</x:v>
      </x:c>
      <x:c r="O4302" s="37"/>
      <x:c r="P4302" s="34" t="n">
        <x:v>0</x:v>
      </x:c>
      <x:c r="Q4302" s="37" t="n">
        <x:v>46168.1550462963</x:v>
      </x:c>
    </x:row>
    <x:row r="4303">
      <x:c r="A4303" s="22" t="n">
        <x:v>29815</x:v>
      </x:c>
      <x:c r="B4303" s="28" t="n">
        <x:v>236.25</x:v>
      </x:c>
      <x:c r="C4303" s="28"/>
      <x:c r="D4303" s="31" t="str">
        <x:f>IF(OR(ISBLANK(B4303),ISBLANK(C4303),B4303=0),"",(C4303-B4303)/B4303)</x:f>
      </x:c>
      <x:c r="E4303" s="22" t="str">
        <x:f>IF(ISBLANK(C4303),"AmountIncludingTax缺失",IF(ABS(B4303-C4303)&lt;0.005,"一致","不一致"))</x:f>
        <x:v>AmountIncludingTax缺失</x:v>
      </x:c>
      <x:c r="F4303" s="19" t="str">
        <x:v>approved</x:v>
      </x:c>
      <x:c r="G4303" s="19" t="str">
        <x:v>Repairer Invoiced Processed</x:v>
      </x:c>
      <x:c r="H4303" s="19" t="str">
        <x:v>In Field</x:v>
      </x:c>
      <x:c r="I4303" s="37" t="n">
        <x:v>46078</x:v>
      </x:c>
      <x:c r="J4303" s="37" t="n">
        <x:v>46078</x:v>
      </x:c>
      <x:c r="K4303" s="19" t="str">
        <x:v>Newcastle RV Super Centre - Beresfield</x:v>
      </x:c>
      <x:c r="L4303" s="19" t="str">
        <x:v>Z006</x:v>
      </x:c>
      <x:c r="M4303" s="19" t="str">
        <x:v>In Field Warranty Claims</x:v>
      </x:c>
      <x:c r="N4303" s="37" t="n">
        <x:v>46035</x:v>
      </x:c>
      <x:c r="O4303" s="37"/>
      <x:c r="P4303" s="34" t="n">
        <x:v>0</x:v>
      </x:c>
      <x:c r="Q4303" s="37" t="n">
        <x:v>46077.912939814814</x:v>
      </x:c>
    </x:row>
    <x:row r="4304">
      <x:c r="A4304" s="22" t="n">
        <x:v>29814</x:v>
      </x:c>
      <x:c r="B4304" s="28" t="n">
        <x:v>1241.25</x:v>
      </x:c>
      <x:c r="C4304" s="28"/>
      <x:c r="D4304" s="31" t="str">
        <x:f>IF(OR(ISBLANK(B4304),ISBLANK(C4304),B4304=0),"",(C4304-B4304)/B4304)</x:f>
      </x:c>
      <x:c r="E4304" s="22" t="str">
        <x:f>IF(ISBLANK(C4304),"AmountIncludingTax缺失",IF(ABS(B4304-C4304)&lt;0.005,"一致","不一致"))</x:f>
        <x:v>AmountIncludingTax缺失</x:v>
      </x:c>
      <x:c r="F4304" s="19" t="str">
        <x:v>approved</x:v>
      </x:c>
      <x:c r="G4304" s="19" t="str">
        <x:v>Repair in Progress</x:v>
      </x:c>
      <x:c r="H4304" s="19" t="str">
        <x:v>In Field</x:v>
      </x:c>
      <x:c r="I4304" s="37" t="n">
        <x:v>46080</x:v>
      </x:c>
      <x:c r="J4304" s="37" t="n">
        <x:v>46080</x:v>
      </x:c>
      <x:c r="K4304" s="19" t="str">
        <x:v>Leisure Lion - Bundaberg</x:v>
      </x:c>
      <x:c r="L4304" s="19" t="str">
        <x:v>Z006</x:v>
      </x:c>
      <x:c r="M4304" s="19" t="str">
        <x:v>In Field Warranty Claims</x:v>
      </x:c>
      <x:c r="N4304" s="37" t="n">
        <x:v>46035</x:v>
      </x:c>
      <x:c r="O4304" s="37"/>
      <x:c r="P4304" s="34" t="n">
        <x:v>0</x:v>
      </x:c>
      <x:c r="Q4304" s="37" t="n">
        <x:v>46079.839166666665</x:v>
      </x:c>
    </x:row>
    <x:row r="4305">
      <x:c r="A4305" s="22" t="n">
        <x:v>29812</x:v>
      </x:c>
      <x:c r="B4305" s="28" t="n">
        <x:v>1178.75</x:v>
      </x:c>
      <x:c r="C4305" s="28"/>
      <x:c r="D4305" s="31" t="str">
        <x:f>IF(OR(ISBLANK(B4305),ISBLANK(C4305),B4305=0),"",(C4305-B4305)/B4305)</x:f>
      </x:c>
      <x:c r="E4305" s="22" t="str">
        <x:f>IF(ISBLANK(C4305),"AmountIncludingTax缺失",IF(ABS(B4305-C4305)&lt;0.005,"一致","不一致"))</x:f>
        <x:v>AmountIncludingTax缺失</x:v>
      </x:c>
      <x:c r="F4305" s="19" t="str">
        <x:v>approved</x:v>
      </x:c>
      <x:c r="G4305" s="19" t="str">
        <x:v>Repair in Progress</x:v>
      </x:c>
      <x:c r="H4305" s="19" t="str">
        <x:v>In Field</x:v>
      </x:c>
      <x:c r="I4305" s="37" t="n">
        <x:v>46112</x:v>
      </x:c>
      <x:c r="J4305" s="37" t="n">
        <x:v>46112</x:v>
      </x:c>
      <x:c r="K4305" s="19" t="str">
        <x:v>Green RV - Slacks Creek</x:v>
      </x:c>
      <x:c r="L4305" s="19" t="str">
        <x:v>Z006</x:v>
      </x:c>
      <x:c r="M4305" s="19" t="str">
        <x:v>In Field Warranty Claims</x:v>
      </x:c>
      <x:c r="N4305" s="37" t="n">
        <x:v>46034</x:v>
      </x:c>
      <x:c r="O4305" s="37"/>
      <x:c r="P4305" s="34" t="n">
        <x:v>0</x:v>
      </x:c>
      <x:c r="Q4305" s="37" t="n">
        <x:v>46111.90013888889</x:v>
      </x:c>
    </x:row>
    <x:row r="4306">
      <x:c r="A4306" s="22" t="n">
        <x:v>29811</x:v>
      </x:c>
      <x:c r="B4306" s="28" t="n">
        <x:v>715</x:v>
      </x:c>
      <x:c r="C4306" s="28"/>
      <x:c r="D4306" s="31" t="str">
        <x:f>IF(OR(ISBLANK(B4306),ISBLANK(C4306),B4306=0),"",(C4306-B4306)/B4306)</x:f>
      </x:c>
      <x:c r="E4306" s="22" t="str">
        <x:f>IF(ISBLANK(C4306),"AmountIncludingTax缺失",IF(ABS(B4306-C4306)&lt;0.005,"一致","不一致"))</x:f>
        <x:v>AmountIncludingTax缺失</x:v>
      </x:c>
      <x:c r="F4306" s="19" t="str">
        <x:v>approved</x:v>
      </x:c>
      <x:c r="G4306" s="19" t="str">
        <x:v>Repair in Progress</x:v>
      </x:c>
      <x:c r="H4306" s="19" t="str">
        <x:v>In Field</x:v>
      </x:c>
      <x:c r="I4306" s="37" t="n">
        <x:v>46112</x:v>
      </x:c>
      <x:c r="J4306" s="37" t="n">
        <x:v>46112</x:v>
      </x:c>
      <x:c r="K4306" s="19" t="str">
        <x:v>Regent RV - Perth</x:v>
      </x:c>
      <x:c r="L4306" s="19" t="str">
        <x:v>Z006</x:v>
      </x:c>
      <x:c r="M4306" s="19" t="str">
        <x:v>In Field Warranty Claims</x:v>
      </x:c>
      <x:c r="N4306" s="37" t="n">
        <x:v>46034</x:v>
      </x:c>
      <x:c r="O4306" s="37"/>
      <x:c r="P4306" s="34" t="n">
        <x:v>0</x:v>
      </x:c>
      <x:c r="Q4306" s="37" t="n">
        <x:v>46112.01497685185</x:v>
      </x:c>
    </x:row>
    <x:row r="4307">
      <x:c r="A4307" s="22" t="n">
        <x:v>29810</x:v>
      </x:c>
      <x:c r="B4307" s="28" t="n">
        <x:v>810</x:v>
      </x:c>
      <x:c r="C4307" s="28"/>
      <x:c r="D4307" s="31" t="str">
        <x:f>IF(OR(ISBLANK(B4307),ISBLANK(C4307),B4307=0),"",(C4307-B4307)/B4307)</x:f>
      </x:c>
      <x:c r="E4307" s="22" t="str">
        <x:f>IF(ISBLANK(C4307),"AmountIncludingTax缺失",IF(ABS(B4307-C4307)&lt;0.005,"一致","不一致"))</x:f>
        <x:v>AmountIncludingTax缺失</x:v>
      </x:c>
      <x:c r="F4307" s="19" t="str">
        <x:v>approved</x:v>
      </x:c>
      <x:c r="G4307" s="19" t="str">
        <x:v>Partially Picked</x:v>
      </x:c>
      <x:c r="H4307" s="19" t="str">
        <x:v>In Field</x:v>
      </x:c>
      <x:c r="I4307" s="37" t="n">
        <x:v>46111</x:v>
      </x:c>
      <x:c r="J4307" s="37" t="n">
        <x:v>46111</x:v>
      </x:c>
      <x:c r="K4307" s="19" t="str">
        <x:v>Regent RV - Perth</x:v>
      </x:c>
      <x:c r="L4307" s="19" t="str">
        <x:v>Z006</x:v>
      </x:c>
      <x:c r="M4307" s="19" t="str">
        <x:v>In Field Warranty Claims</x:v>
      </x:c>
      <x:c r="N4307" s="37" t="n">
        <x:v>46035</x:v>
      </x:c>
      <x:c r="O4307" s="37"/>
      <x:c r="P4307" s="34" t="n">
        <x:v>0</x:v>
      </x:c>
      <x:c r="Q4307" s="37" t="n">
        <x:v>46111.037256944444</x:v>
      </x:c>
    </x:row>
    <x:row r="4308">
      <x:c r="A4308" s="22" t="n">
        <x:v>29808</x:v>
      </x:c>
      <x:c r="B4308" s="28" t="n">
        <x:v>1140</x:v>
      </x:c>
      <x:c r="C4308" s="28"/>
      <x:c r="D4308" s="31" t="str">
        <x:f>IF(OR(ISBLANK(B4308),ISBLANK(C4308),B4308=0),"",(C4308-B4308)/B4308)</x:f>
      </x:c>
      <x:c r="E4308" s="22" t="str">
        <x:f>IF(ISBLANK(C4308),"AmountIncludingTax缺失",IF(ABS(B4308-C4308)&lt;0.005,"一致","不一致"))</x:f>
        <x:v>AmountIncludingTax缺失</x:v>
      </x:c>
      <x:c r="F4308" s="19" t="str">
        <x:v>approved</x:v>
      </x:c>
      <x:c r="G4308" s="19" t="str">
        <x:v>Repairer Invoiced Processed</x:v>
      </x:c>
      <x:c r="H4308" s="19" t="str">
        <x:v>In Field</x:v>
      </x:c>
      <x:c r="I4308" s="37" t="n">
        <x:v>46091</x:v>
      </x:c>
      <x:c r="J4308" s="37" t="n">
        <x:v>46086</x:v>
      </x:c>
      <x:c r="K4308" s="19" t="str">
        <x:v>Leisure Lion - Bundaberg</x:v>
      </x:c>
      <x:c r="L4308" s="19" t="str">
        <x:v>Z006</x:v>
      </x:c>
      <x:c r="M4308" s="19" t="str">
        <x:v>In Field Warranty Claims</x:v>
      </x:c>
      <x:c r="N4308" s="37" t="n">
        <x:v>46035</x:v>
      </x:c>
      <x:c r="O4308" s="37"/>
      <x:c r="P4308" s="34" t="n">
        <x:v>0</x:v>
      </x:c>
      <x:c r="Q4308" s="37" t="n">
        <x:v>46090.96539351852</x:v>
      </x:c>
    </x:row>
    <x:row r="4309">
      <x:c r="A4309" s="22" t="n">
        <x:v>29805</x:v>
      </x:c>
      <x:c r="B4309" s="28" t="n">
        <x:v>439.28</x:v>
      </x:c>
      <x:c r="C4309" s="28" t="n">
        <x:v>483.21</x:v>
      </x:c>
      <x:c r="D4309" s="31" t="n">
        <x:f>IF(OR(ISBLANK(B4309),ISBLANK(C4309),B4309=0),"",(C4309-B4309)/B4309)</x:f>
        <x:v>0.10000455290475325</x:v>
      </x:c>
      <x:c r="E4309" s="22" t="str">
        <x:f>IF(ISBLANK(C4309),"AmountIncludingTax缺失",IF(ABS(B4309-C4309)&lt;0.005,"一致","不一致"))</x:f>
        <x:v>不一致</x:v>
      </x:c>
      <x:c r="F4309" s="19" t="str">
        <x:v>approved</x:v>
      </x:c>
      <x:c r="G4309" s="19" t="str">
        <x:v>Repairer Invoiced Processed</x:v>
      </x:c>
      <x:c r="H4309" s="19" t="str">
        <x:v>In Field</x:v>
      </x:c>
      <x:c r="I4309" s="37" t="n">
        <x:v>46079</x:v>
      </x:c>
      <x:c r="J4309" s="37" t="n">
        <x:v>46079</x:v>
      </x:c>
      <x:c r="K4309" s="19" t="str">
        <x:v>Regent RV - Townsville</x:v>
      </x:c>
      <x:c r="L4309" s="19" t="str">
        <x:v>Z006</x:v>
      </x:c>
      <x:c r="M4309" s="19" t="str">
        <x:v>In Field Warranty Claims</x:v>
      </x:c>
      <x:c r="N4309" s="37" t="n">
        <x:v>46035</x:v>
      </x:c>
      <x:c r="O4309" s="37"/>
      <x:c r="P4309" s="34" t="n">
        <x:v>483.21</x:v>
      </x:c>
      <x:c r="Q4309" s="37" t="n">
        <x:v>46078.93152777778</x:v>
      </x:c>
    </x:row>
    <x:row r="4310">
      <x:c r="A4310" s="22" t="n">
        <x:v>29804</x:v>
      </x:c>
      <x:c r="B4310" s="28" t="n">
        <x:v>1232.95</x:v>
      </x:c>
      <x:c r="C4310" s="28"/>
      <x:c r="D4310" s="31" t="str">
        <x:f>IF(OR(ISBLANK(B4310),ISBLANK(C4310),B4310=0),"",(C4310-B4310)/B4310)</x:f>
      </x:c>
      <x:c r="E4310" s="22" t="str">
        <x:f>IF(ISBLANK(C4310),"AmountIncludingTax缺失",IF(ABS(B4310-C4310)&lt;0.005,"一致","不一致"))</x:f>
        <x:v>AmountIncludingTax缺失</x:v>
      </x:c>
      <x:c r="F4310" s="19" t="str">
        <x:v>approved</x:v>
      </x:c>
      <x:c r="G4310" s="19" t="str">
        <x:v>Repairer Invoiced Processed</x:v>
      </x:c>
      <x:c r="H4310" s="19" t="str">
        <x:v>In Field</x:v>
      </x:c>
      <x:c r="I4310" s="37" t="n">
        <x:v>46052</x:v>
      </x:c>
      <x:c r="J4310" s="37" t="n">
        <x:v>46052</x:v>
      </x:c>
      <x:c r="K4310" s="19" t="str">
        <x:v>Newcastle RV Super Centre - Beresfield</x:v>
      </x:c>
      <x:c r="L4310" s="19" t="str">
        <x:v>Z006</x:v>
      </x:c>
      <x:c r="M4310" s="19" t="str">
        <x:v>In Field Warranty Claims</x:v>
      </x:c>
      <x:c r="N4310" s="37" t="n">
        <x:v>46035</x:v>
      </x:c>
      <x:c r="O4310" s="37"/>
      <x:c r="P4310" s="34" t="n">
        <x:v>1356.25</x:v>
      </x:c>
      <x:c r="Q4310" s="37" t="n">
        <x:v>46052.13452546296</x:v>
      </x:c>
    </x:row>
    <x:row r="4311">
      <x:c r="A4311" s="22" t="n">
        <x:v>29802</x:v>
      </x:c>
      <x:c r="B4311" s="28" t="n">
        <x:v>951.25</x:v>
      </x:c>
      <x:c r="C4311" s="28"/>
      <x:c r="D4311" s="31" t="str">
        <x:f>IF(OR(ISBLANK(B4311),ISBLANK(C4311),B4311=0),"",(C4311-B4311)/B4311)</x:f>
      </x:c>
      <x:c r="E4311" s="22" t="str">
        <x:f>IF(ISBLANK(C4311),"AmountIncludingTax缺失",IF(ABS(B4311-C4311)&lt;0.005,"一致","不一致"))</x:f>
        <x:v>AmountIncludingTax缺失</x:v>
      </x:c>
      <x:c r="F4311" s="19" t="str">
        <x:v>approved</x:v>
      </x:c>
      <x:c r="G4311" s="19" t="str">
        <x:v>Repairer Invoiced Processed</x:v>
      </x:c>
      <x:c r="H4311" s="19" t="str">
        <x:v>In Field</x:v>
      </x:c>
      <x:c r="I4311" s="37" t="n">
        <x:v>46149</x:v>
      </x:c>
      <x:c r="J4311" s="37" t="n">
        <x:v>46149</x:v>
      </x:c>
      <x:c r="K4311" s="19" t="str">
        <x:v>Green RV - Forest Glen</x:v>
      </x:c>
      <x:c r="L4311" s="19" t="str">
        <x:v>Z006</x:v>
      </x:c>
      <x:c r="M4311" s="19" t="str">
        <x:v>In Field Warranty Claims</x:v>
      </x:c>
      <x:c r="N4311" s="37" t="n">
        <x:v>46034</x:v>
      </x:c>
      <x:c r="O4311" s="37"/>
      <x:c r="P4311" s="34" t="n">
        <x:v>0</x:v>
      </x:c>
      <x:c r="Q4311" s="37" t="n">
        <x:v>46149.26900462963</x:v>
      </x:c>
    </x:row>
    <x:row r="4312">
      <x:c r="A4312" s="22" t="n">
        <x:v>29790</x:v>
      </x:c>
      <x:c r="B4312" s="28" t="n">
        <x:v>540</x:v>
      </x:c>
      <x:c r="C4312" s="28"/>
      <x:c r="D4312" s="31" t="str">
        <x:f>IF(OR(ISBLANK(B4312),ISBLANK(C4312),B4312=0),"",(C4312-B4312)/B4312)</x:f>
      </x:c>
      <x:c r="E4312" s="22" t="str">
        <x:f>IF(ISBLANK(C4312),"AmountIncludingTax缺失",IF(ABS(B4312-C4312)&lt;0.005,"一致","不一致"))</x:f>
        <x:v>AmountIncludingTax缺失</x:v>
      </x:c>
      <x:c r="F4312" s="19" t="str">
        <x:v>approved</x:v>
      </x:c>
      <x:c r="G4312" s="19" t="str">
        <x:v>Repair in Progress</x:v>
      </x:c>
      <x:c r="H4312" s="19" t="str">
        <x:v>In Field</x:v>
      </x:c>
      <x:c r="I4312" s="37" t="n">
        <x:v>46112</x:v>
      </x:c>
      <x:c r="J4312" s="37" t="n">
        <x:v>46112</x:v>
      </x:c>
      <x:c r="K4312" s="19" t="str">
        <x:v>Green RV - Forest Glen</x:v>
      </x:c>
      <x:c r="L4312" s="19" t="str">
        <x:v>Z006</x:v>
      </x:c>
      <x:c r="M4312" s="19" t="str">
        <x:v>In Field Warranty Claims</x:v>
      </x:c>
      <x:c r="N4312" s="37" t="n">
        <x:v>46034</x:v>
      </x:c>
      <x:c r="O4312" s="37"/>
      <x:c r="P4312" s="34" t="n">
        <x:v>0</x:v>
      </x:c>
      <x:c r="Q4312" s="37" t="n">
        <x:v>46111.89931712963</x:v>
      </x:c>
    </x:row>
    <x:row r="4313">
      <x:c r="A4313" s="22" t="n">
        <x:v>29788</x:v>
      </x:c>
      <x:c r="B4313" s="28" t="n">
        <x:v>391.25</x:v>
      </x:c>
      <x:c r="C4313" s="28"/>
      <x:c r="D4313" s="31" t="str">
        <x:f>IF(OR(ISBLANK(B4313),ISBLANK(C4313),B4313=0),"",(C4313-B4313)/B4313)</x:f>
      </x:c>
      <x:c r="E4313" s="22" t="str">
        <x:f>IF(ISBLANK(C4313),"AmountIncludingTax缺失",IF(ABS(B4313-C4313)&lt;0.005,"一致","不一致"))</x:f>
        <x:v>AmountIncludingTax缺失</x:v>
      </x:c>
      <x:c r="F4313" s="19" t="str">
        <x:v>approved</x:v>
      </x:c>
      <x:c r="G4313" s="19" t="str">
        <x:v>Repairer Invoiced Processed</x:v>
      </x:c>
      <x:c r="H4313" s="19" t="str">
        <x:v>In Field</x:v>
      </x:c>
      <x:c r="I4313" s="37" t="n">
        <x:v>46070</x:v>
      </x:c>
      <x:c r="J4313" s="37" t="n">
        <x:v>46070</x:v>
      </x:c>
      <x:c r="K4313" s="19" t="str">
        <x:v>Lesiure Lion-New Castle</x:v>
      </x:c>
      <x:c r="L4313" s="19" t="str">
        <x:v>Z006</x:v>
      </x:c>
      <x:c r="M4313" s="19" t="str">
        <x:v>In Field Warranty Claims</x:v>
      </x:c>
      <x:c r="N4313" s="37" t="n">
        <x:v>46034</x:v>
      </x:c>
      <x:c r="O4313" s="37"/>
      <x:c r="P4313" s="34" t="n">
        <x:v>0</x:v>
      </x:c>
      <x:c r="Q4313" s="37" t="n">
        <x:v>46069.93372685185</x:v>
      </x:c>
    </x:row>
    <x:row r="4314">
      <x:c r="A4314" s="22" t="n">
        <x:v>29784</x:v>
      </x:c>
      <x:c r="B4314" s="28" t="n">
        <x:v>526.25</x:v>
      </x:c>
      <x:c r="C4314" s="28"/>
      <x:c r="D4314" s="31" t="str">
        <x:f>IF(OR(ISBLANK(B4314),ISBLANK(C4314),B4314=0),"",(C4314-B4314)/B4314)</x:f>
      </x:c>
      <x:c r="E4314" s="22" t="str">
        <x:f>IF(ISBLANK(C4314),"AmountIncludingTax缺失",IF(ABS(B4314-C4314)&lt;0.005,"一致","不一致"))</x:f>
        <x:v>AmountIncludingTax缺失</x:v>
      </x:c>
      <x:c r="F4314" s="19" t="str">
        <x:v>approved</x:v>
      </x:c>
      <x:c r="G4314" s="19" t="str">
        <x:v>Partially Picked</x:v>
      </x:c>
      <x:c r="H4314" s="19" t="str">
        <x:v>Pre Delivery</x:v>
      </x:c>
      <x:c r="I4314" s="37" t="n">
        <x:v>46135</x:v>
      </x:c>
      <x:c r="J4314" s="37" t="n">
        <x:v>46135</x:v>
      </x:c>
      <x:c r="K4314" s="19" t="str">
        <x:v>QCCC - Gympie</x:v>
      </x:c>
      <x:c r="L4314" s="19" t="str">
        <x:v>Z005</x:v>
      </x:c>
      <x:c r="M4314" s="19" t="str">
        <x:v>Pre Delivery Warranty Claims</x:v>
      </x:c>
      <x:c r="N4314" s="37" t="n">
        <x:v>46034</x:v>
      </x:c>
      <x:c r="O4314" s="37"/>
      <x:c r="P4314" s="34" t="n">
        <x:v>0</x:v>
      </x:c>
      <x:c r="Q4314" s="37" t="n">
        <x:v>46134.927141203705</x:v>
      </x:c>
    </x:row>
    <x:row r="4315">
      <x:c r="A4315" s="22" t="n">
        <x:v>29783</x:v>
      </x:c>
      <x:c r="B4315" s="28" t="n">
        <x:v>572.73</x:v>
      </x:c>
      <x:c r="C4315" s="28" t="n">
        <x:v>630</x:v>
      </x:c>
      <x:c r="D4315" s="31" t="n">
        <x:f>IF(OR(ISBLANK(B4315),ISBLANK(C4315),B4315=0),"",(C4315-B4315)/B4315)</x:f>
        <x:v>0.09999476192970506</x:v>
      </x:c>
      <x:c r="E4315" s="22" t="str">
        <x:f>IF(ISBLANK(C4315),"AmountIncludingTax缺失",IF(ABS(B4315-C4315)&lt;0.005,"一致","不一致"))</x:f>
        <x:v>不一致</x:v>
      </x:c>
      <x:c r="F4315" s="19" t="str">
        <x:v>approved</x:v>
      </x:c>
      <x:c r="G4315" s="19" t="str">
        <x:v>Repairer Invoiced Processed</x:v>
      </x:c>
      <x:c r="H4315" s="19" t="str">
        <x:v>In Field</x:v>
      </x:c>
      <x:c r="I4315" s="37" t="n">
        <x:v>46101</x:v>
      </x:c>
      <x:c r="J4315" s="37" t="n">
        <x:v>46101</x:v>
      </x:c>
      <x:c r="K4315" s="19" t="str">
        <x:v>Regent RV - Frankston</x:v>
      </x:c>
      <x:c r="L4315" s="19" t="str">
        <x:v>Z006</x:v>
      </x:c>
      <x:c r="M4315" s="19" t="str">
        <x:v>In Field Warranty Claims</x:v>
      </x:c>
      <x:c r="N4315" s="37" t="n">
        <x:v>46034</x:v>
      </x:c>
      <x:c r="O4315" s="37"/>
      <x:c r="P4315" s="34" t="n">
        <x:v>630</x:v>
      </x:c>
      <x:c r="Q4315" s="37" t="n">
        <x:v>46100.914606481485</x:v>
      </x:c>
    </x:row>
    <x:row r="4316">
      <x:c r="A4316" s="22" t="n">
        <x:v>29782</x:v>
      </x:c>
      <x:c r="B4316" s="28" t="n">
        <x:v>854.05</x:v>
      </x:c>
      <x:c r="C4316" s="28" t="n">
        <x:v>773.26</x:v>
      </x:c>
      <x:c r="D4316" s="31" t="n">
        <x:f>IF(OR(ISBLANK(B4316),ISBLANK(C4316),B4316=0),"",(C4316-B4316)/B4316)</x:f>
        <x:v>-0.09459633510918561</x:v>
      </x:c>
      <x:c r="E4316" s="22" t="str">
        <x:f>IF(ISBLANK(C4316),"AmountIncludingTax缺失",IF(ABS(B4316-C4316)&lt;0.005,"一致","不一致"))</x:f>
        <x:v>不一致</x:v>
      </x:c>
      <x:c r="F4316" s="19" t="str">
        <x:v>approved</x:v>
      </x:c>
      <x:c r="G4316" s="19" t="str">
        <x:v>Repairer Invoiced Processed</x:v>
      </x:c>
      <x:c r="H4316" s="19" t="str">
        <x:v>In Field</x:v>
      </x:c>
      <x:c r="I4316" s="37" t="n">
        <x:v>46091</x:v>
      </x:c>
      <x:c r="J4316" s="37" t="n">
        <x:v>46091</x:v>
      </x:c>
      <x:c r="K4316" s="19" t="str">
        <x:v>Vanari Caravans - Marden Point</x:v>
      </x:c>
      <x:c r="L4316" s="19" t="str">
        <x:v>Z006</x:v>
      </x:c>
      <x:c r="M4316" s="19" t="str">
        <x:v>In Field Warranty Claims</x:v>
      </x:c>
      <x:c r="N4316" s="37" t="n">
        <x:v>46034</x:v>
      </x:c>
      <x:c r="O4316" s="37"/>
      <x:c r="P4316" s="34" t="n">
        <x:v>773.26</x:v>
      </x:c>
      <x:c r="Q4316" s="37" t="n">
        <x:v>46091.17138888889</x:v>
      </x:c>
    </x:row>
    <x:row r="4317">
      <x:c r="A4317" s="22" t="n">
        <x:v>29781</x:v>
      </x:c>
      <x:c r="B4317" s="28" t="n">
        <x:v>67.5</x:v>
      </x:c>
      <x:c r="C4317" s="28"/>
      <x:c r="D4317" s="31" t="str">
        <x:f>IF(OR(ISBLANK(B4317),ISBLANK(C4317),B4317=0),"",(C4317-B4317)/B4317)</x:f>
      </x:c>
      <x:c r="E4317" s="22" t="str">
        <x:f>IF(ISBLANK(C4317),"AmountIncludingTax缺失",IF(ABS(B4317-C4317)&lt;0.005,"一致","不一致"))</x:f>
        <x:v>AmountIncludingTax缺失</x:v>
      </x:c>
      <x:c r="F4317" s="19" t="str">
        <x:v>approved</x:v>
      </x:c>
      <x:c r="G4317" s="19" t="str">
        <x:v>Repairer Invoiced Processed</x:v>
      </x:c>
      <x:c r="H4317" s="19" t="str">
        <x:v>In Field</x:v>
      </x:c>
      <x:c r="I4317" s="37" t="n">
        <x:v>46084</x:v>
      </x:c>
      <x:c r="J4317" s="37" t="n">
        <x:v>46084</x:v>
      </x:c>
      <x:c r="K4317" s="19" t="str">
        <x:v>Dario Caravans -St.Marys</x:v>
      </x:c>
      <x:c r="L4317" s="19" t="str">
        <x:v>Z006</x:v>
      </x:c>
      <x:c r="M4317" s="19" t="str">
        <x:v>In Field Warranty Claims</x:v>
      </x:c>
      <x:c r="N4317" s="37" t="n">
        <x:v>46034</x:v>
      </x:c>
      <x:c r="O4317" s="37"/>
      <x:c r="P4317" s="34" t="n">
        <x:v>0</x:v>
      </x:c>
      <x:c r="Q4317" s="37" t="n">
        <x:v>46083.9353125</x:v>
      </x:c>
    </x:row>
    <x:row r="4318">
      <x:c r="A4318" s="22" t="n">
        <x:v>29778</x:v>
      </x:c>
      <x:c r="B4318" s="28" t="n">
        <x:v>780</x:v>
      </x:c>
      <x:c r="C4318" s="28"/>
      <x:c r="D4318" s="31" t="str">
        <x:f>IF(OR(ISBLANK(B4318),ISBLANK(C4318),B4318=0),"",(C4318-B4318)/B4318)</x:f>
      </x:c>
      <x:c r="E4318" s="22" t="str">
        <x:f>IF(ISBLANK(C4318),"AmountIncludingTax缺失",IF(ABS(B4318-C4318)&lt;0.005,"一致","不一致"))</x:f>
        <x:v>AmountIncludingTax缺失</x:v>
      </x:c>
      <x:c r="F4318" s="19" t="str">
        <x:v>approved</x:v>
      </x:c>
      <x:c r="G4318" s="19" t="str">
        <x:v>Repair in Progress</x:v>
      </x:c>
      <x:c r="H4318" s="19" t="str">
        <x:v>Pre Delivery</x:v>
      </x:c>
      <x:c r="I4318" s="37" t="n">
        <x:v>46133</x:v>
      </x:c>
      <x:c r="J4318" s="37" t="n">
        <x:v>46133</x:v>
      </x:c>
      <x:c r="K4318" s="19" t="str">
        <x:v>QCCC - Gympie</x:v>
      </x:c>
      <x:c r="L4318" s="19" t="str">
        <x:v>Z005</x:v>
      </x:c>
      <x:c r="M4318" s="19" t="str">
        <x:v>Pre Delivery Warranty Claims</x:v>
      </x:c>
      <x:c r="N4318" s="37" t="n">
        <x:v>46034</x:v>
      </x:c>
      <x:c r="O4318" s="37"/>
      <x:c r="P4318" s="34" t="n">
        <x:v>0</x:v>
      </x:c>
      <x:c r="Q4318" s="37" t="n">
        <x:v>46132.9453125</x:v>
      </x:c>
    </x:row>
    <x:row r="4319">
      <x:c r="A4319" s="22" t="n">
        <x:v>29776</x:v>
      </x:c>
      <x:c r="B4319" s="28" t="n">
        <x:v>145</x:v>
      </x:c>
      <x:c r="C4319" s="28"/>
      <x:c r="D4319" s="31" t="str">
        <x:f>IF(OR(ISBLANK(B4319),ISBLANK(C4319),B4319=0),"",(C4319-B4319)/B4319)</x:f>
      </x:c>
      <x:c r="E4319" s="22" t="str">
        <x:f>IF(ISBLANK(C4319),"AmountIncludingTax缺失",IF(ABS(B4319-C4319)&lt;0.005,"一致","不一致"))</x:f>
        <x:v>AmountIncludingTax缺失</x:v>
      </x:c>
      <x:c r="F4319" s="19" t="str">
        <x:v>approved</x:v>
      </x:c>
      <x:c r="G4319" s="19" t="str">
        <x:v>Repairer Invoiced Processed</x:v>
      </x:c>
      <x:c r="H4319" s="19" t="str">
        <x:v>In Field</x:v>
      </x:c>
      <x:c r="I4319" s="37" t="n">
        <x:v>46070</x:v>
      </x:c>
      <x:c r="J4319" s="37" t="n">
        <x:v>46070</x:v>
      </x:c>
      <x:c r="K4319" s="19" t="str">
        <x:v>Regent RV Pty Ltd</x:v>
      </x:c>
      <x:c r="L4319" s="19" t="str">
        <x:v>Z006</x:v>
      </x:c>
      <x:c r="M4319" s="19" t="str">
        <x:v>In Field Warranty Claims</x:v>
      </x:c>
      <x:c r="N4319" s="37" t="n">
        <x:v>46034</x:v>
      </x:c>
      <x:c r="O4319" s="37"/>
      <x:c r="P4319" s="34" t="n">
        <x:v>0</x:v>
      </x:c>
      <x:c r="Q4319" s="37" t="n">
        <x:v>46069.93763888889</x:v>
      </x:c>
    </x:row>
    <x:row r="4320">
      <x:c r="A4320" s="22" t="n">
        <x:v>29775</x:v>
      </x:c>
      <x:c r="B4320" s="28" t="n">
        <x:v>205.5</x:v>
      </x:c>
      <x:c r="C4320" s="28"/>
      <x:c r="D4320" s="31" t="str">
        <x:f>IF(OR(ISBLANK(B4320),ISBLANK(C4320),B4320=0),"",(C4320-B4320)/B4320)</x:f>
      </x:c>
      <x:c r="E4320" s="22" t="str">
        <x:f>IF(ISBLANK(C4320),"AmountIncludingTax缺失",IF(ABS(B4320-C4320)&lt;0.005,"一致","不一致"))</x:f>
        <x:v>AmountIncludingTax缺失</x:v>
      </x:c>
      <x:c r="F4320" s="19" t="str">
        <x:v>approved</x:v>
      </x:c>
      <x:c r="G4320" s="19" t="str">
        <x:v>Repairer Invoiced Processed</x:v>
      </x:c>
      <x:c r="H4320" s="19" t="str">
        <x:v>In Field</x:v>
      </x:c>
      <x:c r="I4320" s="37" t="n">
        <x:v>46036</x:v>
      </x:c>
      <x:c r="J4320" s="37" t="n">
        <x:v>46036</x:v>
      </x:c>
      <x:c r="K4320" s="19" t="str">
        <x:v>Newcastle RV Super Centre - Beresfield</x:v>
      </x:c>
      <x:c r="L4320" s="19" t="str">
        <x:v>Z006</x:v>
      </x:c>
      <x:c r="M4320" s="19" t="str">
        <x:v>In Field Warranty Claims</x:v>
      </x:c>
      <x:c r="N4320" s="37" t="n">
        <x:v>46034</x:v>
      </x:c>
      <x:c r="O4320" s="37"/>
      <x:c r="P4320" s="34" t="n">
        <x:v>0</x:v>
      </x:c>
      <x:c r="Q4320" s="37" t="n">
        <x:v>46035.88611111111</x:v>
      </x:c>
    </x:row>
    <x:row r="4321">
      <x:c r="A4321" s="22" t="n">
        <x:v>29772</x:v>
      </x:c>
      <x:c r="B4321" s="28" t="n">
        <x:v>67.5</x:v>
      </x:c>
      <x:c r="C4321" s="28"/>
      <x:c r="D4321" s="31" t="str">
        <x:f>IF(OR(ISBLANK(B4321),ISBLANK(C4321),B4321=0),"",(C4321-B4321)/B4321)</x:f>
      </x:c>
      <x:c r="E4321" s="22" t="str">
        <x:f>IF(ISBLANK(C4321),"AmountIncludingTax缺失",IF(ABS(B4321-C4321)&lt;0.005,"一致","不一致"))</x:f>
        <x:v>AmountIncludingTax缺失</x:v>
      </x:c>
      <x:c r="F4321" s="19" t="str">
        <x:v>approved</x:v>
      </x:c>
      <x:c r="G4321" s="19" t="str">
        <x:v>Repair in Progress</x:v>
      </x:c>
      <x:c r="H4321" s="19" t="str">
        <x:v>In Field</x:v>
      </x:c>
      <x:c r="I4321" s="37" t="n">
        <x:v>46079</x:v>
      </x:c>
      <x:c r="J4321" s="37" t="n">
        <x:v>46079</x:v>
      </x:c>
      <x:c r="K4321" s="19" t="str">
        <x:v>Regent RV - Frankston</x:v>
      </x:c>
      <x:c r="L4321" s="19" t="str">
        <x:v>Z006</x:v>
      </x:c>
      <x:c r="M4321" s="19" t="str">
        <x:v>In Field Warranty Claims</x:v>
      </x:c>
      <x:c r="N4321" s="37" t="n">
        <x:v>46034</x:v>
      </x:c>
      <x:c r="O4321" s="37"/>
      <x:c r="P4321" s="34" t="n">
        <x:v>0</x:v>
      </x:c>
      <x:c r="Q4321" s="37" t="n">
        <x:v>46078.98679398148</x:v>
      </x:c>
    </x:row>
    <x:row r="4322">
      <x:c r="A4322" s="22" t="n">
        <x:v>29771</x:v>
      </x:c>
      <x:c r="B4322" s="28" t="n">
        <x:v>145.5</x:v>
      </x:c>
      <x:c r="C4322" s="28"/>
      <x:c r="D4322" s="31" t="str">
        <x:f>IF(OR(ISBLANK(B4322),ISBLANK(C4322),B4322=0),"",(C4322-B4322)/B4322)</x:f>
      </x:c>
      <x:c r="E4322" s="22" t="str">
        <x:f>IF(ISBLANK(C4322),"AmountIncludingTax缺失",IF(ABS(B4322-C4322)&lt;0.005,"一致","不一致"))</x:f>
        <x:v>AmountIncludingTax缺失</x:v>
      </x:c>
      <x:c r="F4322" s="19" t="str">
        <x:v>approved</x:v>
      </x:c>
      <x:c r="G4322" s="19" t="str">
        <x:v>Repairer Invoiced Processed</x:v>
      </x:c>
      <x:c r="H4322" s="19" t="str">
        <x:v>In Field</x:v>
      </x:c>
      <x:c r="I4322" s="37" t="n">
        <x:v>46076</x:v>
      </x:c>
      <x:c r="J4322" s="37" t="n">
        <x:v>46076</x:v>
      </x:c>
      <x:c r="K4322" s="19" t="str">
        <x:v>Newcastle RV Super Centre - Beresfield</x:v>
      </x:c>
      <x:c r="L4322" s="19" t="str">
        <x:v>Z006</x:v>
      </x:c>
      <x:c r="M4322" s="19" t="str">
        <x:v>In Field Warranty Claims</x:v>
      </x:c>
      <x:c r="N4322" s="37" t="n">
        <x:v>46034</x:v>
      </x:c>
      <x:c r="O4322" s="37"/>
      <x:c r="P4322" s="34" t="n">
        <x:v>0</x:v>
      </x:c>
      <x:c r="Q4322" s="37" t="n">
        <x:v>46076.17524305556</x:v>
      </x:c>
    </x:row>
    <x:row r="4323">
      <x:c r="A4323" s="22" t="n">
        <x:v>29758</x:v>
      </x:c>
      <x:c r="B4323" s="28" t="n">
        <x:v>545.45</x:v>
      </x:c>
      <x:c r="C4323" s="28" t="n">
        <x:v>600</x:v>
      </x:c>
      <x:c r="D4323" s="31" t="n">
        <x:f>IF(OR(ISBLANK(B4323),ISBLANK(C4323),B4323=0),"",(C4323-B4323)/B4323)</x:f>
        <x:v>0.1000091667430561</x:v>
      </x:c>
      <x:c r="E4323" s="22" t="str">
        <x:f>IF(ISBLANK(C4323),"AmountIncludingTax缺失",IF(ABS(B4323-C4323)&lt;0.005,"一致","不一致"))</x:f>
        <x:v>不一致</x:v>
      </x:c>
      <x:c r="F4323" s="19" t="str">
        <x:v>approved</x:v>
      </x:c>
      <x:c r="G4323" s="19" t="str">
        <x:v>Repairer Invoiced Processed</x:v>
      </x:c>
      <x:c r="H4323" s="19" t="str">
        <x:v>Pre Delivery</x:v>
      </x:c>
      <x:c r="I4323" s="37" t="n">
        <x:v>46153</x:v>
      </x:c>
      <x:c r="J4323" s="37" t="n">
        <x:v>46153</x:v>
      </x:c>
      <x:c r="K4323" s="19" t="str">
        <x:v>NEWCASTLE CARAVANS &amp; RVS</x:v>
      </x:c>
      <x:c r="L4323" s="19" t="str">
        <x:v>Z005</x:v>
      </x:c>
      <x:c r="M4323" s="19" t="str">
        <x:v>Pre Delivery Warranty Claims</x:v>
      </x:c>
      <x:c r="N4323" s="37" t="n">
        <x:v>46034</x:v>
      </x:c>
      <x:c r="O4323" s="37" t="n">
        <x:v>46122</x:v>
      </x:c>
      <x:c r="P4323" s="34" t="n">
        <x:v>600</x:v>
      </x:c>
      <x:c r="Q4323" s="37" t="n">
        <x:v>46153.22939814815</x:v>
      </x:c>
    </x:row>
    <x:row r="4324">
      <x:c r="A4324" s="22" t="n">
        <x:v>29757</x:v>
      </x:c>
      <x:c r="B4324" s="28" t="n">
        <x:v>458.75</x:v>
      </x:c>
      <x:c r="C4324" s="28"/>
      <x:c r="D4324" s="31" t="str">
        <x:f>IF(OR(ISBLANK(B4324),ISBLANK(C4324),B4324=0),"",(C4324-B4324)/B4324)</x:f>
      </x:c>
      <x:c r="E4324" s="22" t="str">
        <x:f>IF(ISBLANK(C4324),"AmountIncludingTax缺失",IF(ABS(B4324-C4324)&lt;0.005,"一致","不一致"))</x:f>
        <x:v>AmountIncludingTax缺失</x:v>
      </x:c>
      <x:c r="F4324" s="19" t="str">
        <x:v>approved</x:v>
      </x:c>
      <x:c r="G4324" s="19" t="str">
        <x:v>Repair in Progress</x:v>
      </x:c>
      <x:c r="H4324" s="19" t="str">
        <x:v>In Field</x:v>
      </x:c>
      <x:c r="I4324" s="37" t="n">
        <x:v>46083</x:v>
      </x:c>
      <x:c r="J4324" s="37" t="n">
        <x:v>46079</x:v>
      </x:c>
      <x:c r="K4324" s="19" t="str">
        <x:v>Leisure Lion - Bundaberg</x:v>
      </x:c>
      <x:c r="L4324" s="19" t="str">
        <x:v>Z006</x:v>
      </x:c>
      <x:c r="M4324" s="19" t="str">
        <x:v>In Field Warranty Claims</x:v>
      </x:c>
      <x:c r="N4324" s="37" t="n">
        <x:v>46034</x:v>
      </x:c>
      <x:c r="O4324" s="37"/>
      <x:c r="P4324" s="34" t="n">
        <x:v>0</x:v>
      </x:c>
      <x:c r="Q4324" s="37" t="n">
        <x:v>46082.86512731481</x:v>
      </x:c>
    </x:row>
    <x:row r="4325">
      <x:c r="A4325" s="22" t="n">
        <x:v>29756</x:v>
      </x:c>
      <x:c r="B4325" s="28" t="n">
        <x:v>323.75</x:v>
      </x:c>
      <x:c r="C4325" s="28"/>
      <x:c r="D4325" s="31" t="str">
        <x:f>IF(OR(ISBLANK(B4325),ISBLANK(C4325),B4325=0),"",(C4325-B4325)/B4325)</x:f>
      </x:c>
      <x:c r="E4325" s="22" t="str">
        <x:f>IF(ISBLANK(C4325),"AmountIncludingTax缺失",IF(ABS(B4325-C4325)&lt;0.005,"一致","不一致"))</x:f>
        <x:v>AmountIncludingTax缺失</x:v>
      </x:c>
      <x:c r="F4325" s="19" t="str">
        <x:v>approved</x:v>
      </x:c>
      <x:c r="G4325" s="19" t="str">
        <x:v>Repairer Invoiced Processed</x:v>
      </x:c>
      <x:c r="H4325" s="19" t="str">
        <x:v>In Field</x:v>
      </x:c>
      <x:c r="I4325" s="37" t="n">
        <x:v>46079</x:v>
      </x:c>
      <x:c r="J4325" s="37" t="n">
        <x:v>46079</x:v>
      </x:c>
      <x:c r="K4325" s="19" t="str">
        <x:v>Dario Caravans - Pooraka</x:v>
      </x:c>
      <x:c r="L4325" s="19" t="str">
        <x:v>Z006</x:v>
      </x:c>
      <x:c r="M4325" s="19" t="str">
        <x:v>In Field Warranty Claims</x:v>
      </x:c>
      <x:c r="N4325" s="37" t="n">
        <x:v>46034</x:v>
      </x:c>
      <x:c r="O4325" s="37"/>
      <x:c r="P4325" s="34" t="n">
        <x:v>0</x:v>
      </x:c>
      <x:c r="Q4325" s="37" t="n">
        <x:v>46079.00834490741</x:v>
      </x:c>
    </x:row>
    <x:row r="4326">
      <x:c r="A4326" s="22" t="n">
        <x:v>29755</x:v>
      </x:c>
      <x:c r="B4326" s="28" t="n">
        <x:v>67.5</x:v>
      </x:c>
      <x:c r="C4326" s="28"/>
      <x:c r="D4326" s="31" t="str">
        <x:f>IF(OR(ISBLANK(B4326),ISBLANK(C4326),B4326=0),"",(C4326-B4326)/B4326)</x:f>
      </x:c>
      <x:c r="E4326" s="22" t="str">
        <x:f>IF(ISBLANK(C4326),"AmountIncludingTax缺失",IF(ABS(B4326-C4326)&lt;0.005,"一致","不一致"))</x:f>
        <x:v>AmountIncludingTax缺失</x:v>
      </x:c>
      <x:c r="F4326" s="19" t="str">
        <x:v>approved</x:v>
      </x:c>
      <x:c r="G4326" s="19" t="str">
        <x:v>Repair in Progress</x:v>
      </x:c>
      <x:c r="H4326" s="19" t="str">
        <x:v>In Field</x:v>
      </x:c>
      <x:c r="I4326" s="37" t="n">
        <x:v>46071</x:v>
      </x:c>
      <x:c r="J4326" s="37" t="n">
        <x:v>46070</x:v>
      </x:c>
      <x:c r="K4326" s="19" t="str">
        <x:v>Lesiure Lion-New Castle</x:v>
      </x:c>
      <x:c r="L4326" s="19" t="str">
        <x:v>Z006</x:v>
      </x:c>
      <x:c r="M4326" s="19" t="str">
        <x:v>In Field Warranty Claims</x:v>
      </x:c>
      <x:c r="N4326" s="37" t="n">
        <x:v>46033</x:v>
      </x:c>
      <x:c r="O4326" s="37"/>
      <x:c r="P4326" s="34" t="n">
        <x:v>0</x:v>
      </x:c>
      <x:c r="Q4326" s="37" t="n">
        <x:v>46070.8878587963</x:v>
      </x:c>
    </x:row>
    <x:row r="4327">
      <x:c r="A4327" s="22" t="n">
        <x:v>29754</x:v>
      </x:c>
      <x:c r="B4327" s="28" t="n">
        <x:v>555</x:v>
      </x:c>
      <x:c r="C4327" s="28"/>
      <x:c r="D4327" s="31" t="str">
        <x:f>IF(OR(ISBLANK(B4327),ISBLANK(C4327),B4327=0),"",(C4327-B4327)/B4327)</x:f>
      </x:c>
      <x:c r="E4327" s="22" t="str">
        <x:f>IF(ISBLANK(C4327),"AmountIncludingTax缺失",IF(ABS(B4327-C4327)&lt;0.005,"一致","不一致"))</x:f>
        <x:v>AmountIncludingTax缺失</x:v>
      </x:c>
      <x:c r="F4327" s="19" t="str">
        <x:v>approved</x:v>
      </x:c>
      <x:c r="G4327" s="19" t="str">
        <x:v>Repair in Progress</x:v>
      </x:c>
      <x:c r="H4327" s="19" t="str">
        <x:v>Pre Delivery</x:v>
      </x:c>
      <x:c r="I4327" s="37" t="n">
        <x:v>46043</x:v>
      </x:c>
      <x:c r="J4327" s="37" t="n">
        <x:v>46043</x:v>
      </x:c>
      <x:c r="K4327" s="19" t="str">
        <x:v>Snowy River Frankston</x:v>
      </x:c>
      <x:c r="L4327" s="19" t="str">
        <x:v>Z005</x:v>
      </x:c>
      <x:c r="M4327" s="19" t="str">
        <x:v>Pre Delivery Warranty Claims</x:v>
      </x:c>
      <x:c r="N4327" s="37" t="n">
        <x:v>46033</x:v>
      </x:c>
      <x:c r="O4327" s="37"/>
      <x:c r="P4327" s="34" t="n">
        <x:v>0</x:v>
      </x:c>
      <x:c r="Q4327" s="37" t="n">
        <x:v>46043.321875</x:v>
      </x:c>
    </x:row>
    <x:row r="4328">
      <x:c r="A4328" s="22" t="n">
        <x:v>29753</x:v>
      </x:c>
      <x:c r="B4328" s="28" t="n">
        <x:v>2173</x:v>
      </x:c>
      <x:c r="C4328" s="28"/>
      <x:c r="D4328" s="31" t="str">
        <x:f>IF(OR(ISBLANK(B4328),ISBLANK(C4328),B4328=0),"",(C4328-B4328)/B4328)</x:f>
      </x:c>
      <x:c r="E4328" s="22" t="str">
        <x:f>IF(ISBLANK(C4328),"AmountIncludingTax缺失",IF(ABS(B4328-C4328)&lt;0.005,"一致","不一致"))</x:f>
        <x:v>AmountIncludingTax缺失</x:v>
      </x:c>
      <x:c r="F4328" s="19" t="str">
        <x:v>approved</x:v>
      </x:c>
      <x:c r="G4328" s="19" t="str">
        <x:v>Repair in Progress</x:v>
      </x:c>
      <x:c r="H4328" s="19" t="str">
        <x:v>In Field</x:v>
      </x:c>
      <x:c r="I4328" s="37" t="n">
        <x:v>46168</x:v>
      </x:c>
      <x:c r="J4328" s="37" t="n">
        <x:v>46168</x:v>
      </x:c>
      <x:c r="K4328" s="19" t="str">
        <x:v>Regent RV - Perth</x:v>
      </x:c>
      <x:c r="L4328" s="19" t="str">
        <x:v>Z006</x:v>
      </x:c>
      <x:c r="M4328" s="19" t="str">
        <x:v>In Field Warranty Claims</x:v>
      </x:c>
      <x:c r="N4328" s="37" t="n">
        <x:v>46033</x:v>
      </x:c>
      <x:c r="O4328" s="37" t="n">
        <x:v>46157</x:v>
      </x:c>
      <x:c r="P4328" s="34" t="n">
        <x:v>0</x:v>
      </x:c>
      <x:c r="Q4328" s="37" t="n">
        <x:v>46168.0216087963</x:v>
      </x:c>
    </x:row>
    <x:row r="4329">
      <x:c r="A4329" s="22" t="n">
        <x:v>29752</x:v>
      </x:c>
      <x:c r="B4329" s="28" t="n">
        <x:v>290</x:v>
      </x:c>
      <x:c r="C4329" s="28"/>
      <x:c r="D4329" s="31" t="str">
        <x:f>IF(OR(ISBLANK(B4329),ISBLANK(C4329),B4329=0),"",(C4329-B4329)/B4329)</x:f>
      </x:c>
      <x:c r="E4329" s="22" t="str">
        <x:f>IF(ISBLANK(C4329),"AmountIncludingTax缺失",IF(ABS(B4329-C4329)&lt;0.005,"一致","不一致"))</x:f>
        <x:v>AmountIncludingTax缺失</x:v>
      </x:c>
      <x:c r="F4329" s="19" t="str">
        <x:v>approved</x:v>
      </x:c>
      <x:c r="G4329" s="19" t="str">
        <x:v>Repairer Invoiced Processed</x:v>
      </x:c>
      <x:c r="H4329" s="19" t="str">
        <x:v>In Field</x:v>
      </x:c>
      <x:c r="I4329" s="37" t="n">
        <x:v>46112</x:v>
      </x:c>
      <x:c r="J4329" s="37" t="n">
        <x:v>46112</x:v>
      </x:c>
      <x:c r="K4329" s="19" t="str">
        <x:v>Regent RV - Townsville</x:v>
      </x:c>
      <x:c r="L4329" s="19" t="str">
        <x:v>Z006</x:v>
      </x:c>
      <x:c r="M4329" s="19" t="str">
        <x:v>In Field Warranty Claims</x:v>
      </x:c>
      <x:c r="N4329" s="37" t="n">
        <x:v>46033</x:v>
      </x:c>
      <x:c r="O4329" s="37"/>
      <x:c r="P4329" s="34" t="n">
        <x:v>0</x:v>
      </x:c>
      <x:c r="Q4329" s="37" t="n">
        <x:v>46111.88349537037</x:v>
      </x:c>
    </x:row>
    <x:row r="4330">
      <x:c r="A4330" s="22" t="n">
        <x:v>29751</x:v>
      </x:c>
      <x:c r="B4330" s="28" t="n">
        <x:v>27.5</x:v>
      </x:c>
      <x:c r="C4330" s="28"/>
      <x:c r="D4330" s="31" t="str">
        <x:f>IF(OR(ISBLANK(B4330),ISBLANK(C4330),B4330=0),"",(C4330-B4330)/B4330)</x:f>
      </x:c>
      <x:c r="E4330" s="22" t="str">
        <x:f>IF(ISBLANK(C4330),"AmountIncludingTax缺失",IF(ABS(B4330-C4330)&lt;0.005,"一致","不一致"))</x:f>
        <x:v>AmountIncludingTax缺失</x:v>
      </x:c>
      <x:c r="F4330" s="19" t="str">
        <x:v>approved_closed</x:v>
      </x:c>
      <x:c r="G4330" s="19" t="str">
        <x:v>Approved Claims Closed (Closed)</x:v>
      </x:c>
      <x:c r="H4330" s="19" t="str">
        <x:v>In Field</x:v>
      </x:c>
      <x:c r="I4330" s="37" t="n">
        <x:v>46058</x:v>
      </x:c>
      <x:c r="J4330" s="37" t="n">
        <x:v>46056</x:v>
      </x:c>
      <x:c r="K4330" s="19" t="str">
        <x:v>Regent RV Pty Ltd</x:v>
      </x:c>
      <x:c r="L4330" s="19" t="str">
        <x:v>Z006</x:v>
      </x:c>
      <x:c r="M4330" s="19" t="str">
        <x:v>In Field Warranty Claims</x:v>
      </x:c>
      <x:c r="N4330" s="37" t="n">
        <x:v>46033</x:v>
      </x:c>
      <x:c r="O4330" s="37" t="n">
        <x:v>46154</x:v>
      </x:c>
      <x:c r="P4330" s="34" t="n">
        <x:v>0</x:v>
      </x:c>
      <x:c r="Q4330" s="37" t="n">
        <x:v>46058.04273148148</x:v>
      </x:c>
    </x:row>
    <x:row r="4331">
      <x:c r="A4331" s="22" t="n">
        <x:v>29749</x:v>
      </x:c>
      <x:c r="B4331" s="28" t="n">
        <x:v>677.05</x:v>
      </x:c>
      <x:c r="C4331" s="28"/>
      <x:c r="D4331" s="31" t="str">
        <x:f>IF(OR(ISBLANK(B4331),ISBLANK(C4331),B4331=0),"",(C4331-B4331)/B4331)</x:f>
      </x:c>
      <x:c r="E4331" s="22" t="str">
        <x:f>IF(ISBLANK(C4331),"AmountIncludingTax缺失",IF(ABS(B4331-C4331)&lt;0.005,"一致","不一致"))</x:f>
        <x:v>AmountIncludingTax缺失</x:v>
      </x:c>
      <x:c r="F4331" s="19" t="str">
        <x:v>approved</x:v>
      </x:c>
      <x:c r="G4331" s="19" t="str">
        <x:v>Repairer Invoiced Processed</x:v>
      </x:c>
      <x:c r="H4331" s="19" t="str">
        <x:v>In Field</x:v>
      </x:c>
      <x:c r="I4331" s="37" t="n">
        <x:v>46112</x:v>
      </x:c>
      <x:c r="J4331" s="37" t="n">
        <x:v>46112</x:v>
      </x:c>
      <x:c r="K4331" s="19" t="str">
        <x:v>Newcastle RV Super Centre - Beresfield</x:v>
      </x:c>
      <x:c r="L4331" s="19" t="str">
        <x:v>Z006</x:v>
      </x:c>
      <x:c r="M4331" s="19" t="str">
        <x:v>In Field Warranty Claims</x:v>
      </x:c>
      <x:c r="N4331" s="37" t="n">
        <x:v>46034</x:v>
      </x:c>
      <x:c r="O4331" s="37"/>
      <x:c r="P4331" s="34" t="n">
        <x:v>0</x:v>
      </x:c>
      <x:c r="Q4331" s="37" t="n">
        <x:v>46112.20253472222</x:v>
      </x:c>
    </x:row>
    <x:row r="4332">
      <x:c r="A4332" s="22" t="n">
        <x:v>29748</x:v>
      </x:c>
      <x:c r="B4332" s="28" t="n">
        <x:v>160</x:v>
      </x:c>
      <x:c r="C4332" s="28"/>
      <x:c r="D4332" s="31" t="str">
        <x:f>IF(OR(ISBLANK(B4332),ISBLANK(C4332),B4332=0),"",(C4332-B4332)/B4332)</x:f>
      </x:c>
      <x:c r="E4332" s="22" t="str">
        <x:f>IF(ISBLANK(C4332),"AmountIncludingTax缺失",IF(ABS(B4332-C4332)&lt;0.005,"一致","不一致"))</x:f>
        <x:v>AmountIncludingTax缺失</x:v>
      </x:c>
      <x:c r="F4332" s="19" t="str">
        <x:v>approved</x:v>
      </x:c>
      <x:c r="G4332" s="19" t="str">
        <x:v>Repair in Progress</x:v>
      </x:c>
      <x:c r="H4332" s="19" t="str">
        <x:v>In Field</x:v>
      </x:c>
      <x:c r="I4332" s="37" t="n">
        <x:v>46105</x:v>
      </x:c>
      <x:c r="J4332" s="37" t="n">
        <x:v>46105</x:v>
      </x:c>
      <x:c r="K4332" s="19" t="str">
        <x:v>Green RV - Slacks Creek</x:v>
      </x:c>
      <x:c r="L4332" s="19" t="str">
        <x:v>Z006</x:v>
      </x:c>
      <x:c r="M4332" s="19" t="str">
        <x:v>In Field Warranty Claims</x:v>
      </x:c>
      <x:c r="N4332" s="37" t="n">
        <x:v>46034</x:v>
      </x:c>
      <x:c r="O4332" s="37"/>
      <x:c r="P4332" s="34" t="n">
        <x:v>0</x:v>
      </x:c>
      <x:c r="Q4332" s="37" t="n">
        <x:v>46104.98372685185</x:v>
      </x:c>
    </x:row>
    <x:row r="4333">
      <x:c r="A4333" s="22" t="n">
        <x:v>29747</x:v>
      </x:c>
      <x:c r="B4333" s="28" t="n">
        <x:v>226.56</x:v>
      </x:c>
      <x:c r="C4333" s="28" t="n">
        <x:v>249.22</x:v>
      </x:c>
      <x:c r="D4333" s="31" t="n">
        <x:f>IF(OR(ISBLANK(B4333),ISBLANK(C4333),B4333=0),"",(C4333-B4333)/B4333)</x:f>
        <x:v>0.10001765536723162</x:v>
      </x:c>
      <x:c r="E4333" s="22" t="str">
        <x:f>IF(ISBLANK(C4333),"AmountIncludingTax缺失",IF(ABS(B4333-C4333)&lt;0.005,"一致","不一致"))</x:f>
        <x:v>不一致</x:v>
      </x:c>
      <x:c r="F4333" s="19" t="str">
        <x:v>approved</x:v>
      </x:c>
      <x:c r="G4333" s="19" t="str">
        <x:v>Repairer Invoiced Processed</x:v>
      </x:c>
      <x:c r="H4333" s="19" t="str">
        <x:v>In Field</x:v>
      </x:c>
      <x:c r="I4333" s="37" t="n">
        <x:v>46036</x:v>
      </x:c>
      <x:c r="J4333" s="37" t="n">
        <x:v>46036</x:v>
      </x:c>
      <x:c r="K4333" s="19" t="str">
        <x:v>Regent RV - Frankston</x:v>
      </x:c>
      <x:c r="L4333" s="19" t="str">
        <x:v>Z006</x:v>
      </x:c>
      <x:c r="M4333" s="19" t="str">
        <x:v>In Field Warranty Claims</x:v>
      </x:c>
      <x:c r="N4333" s="37" t="n">
        <x:v>46033</x:v>
      </x:c>
      <x:c r="O4333" s="37"/>
      <x:c r="P4333" s="34" t="n">
        <x:v>249.22</x:v>
      </x:c>
      <x:c r="Q4333" s="37" t="n">
        <x:v>46035.89939814815</x:v>
      </x:c>
    </x:row>
    <x:row r="4334">
      <x:c r="A4334" s="22" t="n">
        <x:v>29744</x:v>
      </x:c>
      <x:c r="B4334" s="28" t="n">
        <x:v>270</x:v>
      </x:c>
      <x:c r="C4334" s="28"/>
      <x:c r="D4334" s="31" t="str">
        <x:f>IF(OR(ISBLANK(B4334),ISBLANK(C4334),B4334=0),"",(C4334-B4334)/B4334)</x:f>
      </x:c>
      <x:c r="E4334" s="22" t="str">
        <x:f>IF(ISBLANK(C4334),"AmountIncludingTax缺失",IF(ABS(B4334-C4334)&lt;0.005,"一致","不一致"))</x:f>
        <x:v>AmountIncludingTax缺失</x:v>
      </x:c>
      <x:c r="F4334" s="19" t="str">
        <x:v>approved</x:v>
      </x:c>
      <x:c r="G4334" s="19" t="str">
        <x:v>Repairer Invoiced Processed</x:v>
      </x:c>
      <x:c r="H4334" s="19" t="str">
        <x:v>In Field</x:v>
      </x:c>
      <x:c r="I4334" s="37" t="n">
        <x:v>46056</x:v>
      </x:c>
      <x:c r="J4334" s="37" t="n">
        <x:v>46056</x:v>
      </x:c>
      <x:c r="K4334" s="19" t="str">
        <x:v>Bendigo Caravan Group - Bendigo</x:v>
      </x:c>
      <x:c r="L4334" s="19" t="str">
        <x:v>Z006</x:v>
      </x:c>
      <x:c r="M4334" s="19" t="str">
        <x:v>In Field Warranty Claims</x:v>
      </x:c>
      <x:c r="N4334" s="37" t="n">
        <x:v>46033</x:v>
      </x:c>
      <x:c r="O4334" s="37"/>
      <x:c r="P4334" s="34" t="n">
        <x:v>0</x:v>
      </x:c>
      <x:c r="Q4334" s="37" t="n">
        <x:v>46055.934432870374</x:v>
      </x:c>
    </x:row>
    <x:row r="4335">
      <x:c r="A4335" s="22" t="n">
        <x:v>29743</x:v>
      </x:c>
      <x:c r="B4335" s="28" t="n">
        <x:v>92.58</x:v>
      </x:c>
      <x:c r="C4335" s="28"/>
      <x:c r="D4335" s="31" t="str">
        <x:f>IF(OR(ISBLANK(B4335),ISBLANK(C4335),B4335=0),"",(C4335-B4335)/B4335)</x:f>
      </x:c>
      <x:c r="E4335" s="22" t="str">
        <x:f>IF(ISBLANK(C4335),"AmountIncludingTax缺失",IF(ABS(B4335-C4335)&lt;0.005,"一致","不一致"))</x:f>
        <x:v>AmountIncludingTax缺失</x:v>
      </x:c>
      <x:c r="F4335" s="19" t="str">
        <x:v>approved</x:v>
      </x:c>
      <x:c r="G4335" s="19" t="str">
        <x:v>Repairer Invoiced Processed</x:v>
      </x:c>
      <x:c r="H4335" s="19" t="str">
        <x:v>In Field</x:v>
      </x:c>
      <x:c r="I4335" s="37" t="n">
        <x:v>46063</x:v>
      </x:c>
      <x:c r="J4335" s="37" t="n">
        <x:v>46056</x:v>
      </x:c>
      <x:c r="K4335" s="19" t="str">
        <x:v>Auswide Caravans - South Nowra</x:v>
      </x:c>
      <x:c r="L4335" s="19" t="str">
        <x:v>Z006</x:v>
      </x:c>
      <x:c r="M4335" s="19" t="str">
        <x:v>In Field Warranty Claims</x:v>
      </x:c>
      <x:c r="N4335" s="37" t="n">
        <x:v>46033</x:v>
      </x:c>
      <x:c r="O4335" s="37"/>
      <x:c r="P4335" s="34" t="n">
        <x:v>0</x:v>
      </x:c>
      <x:c r="Q4335" s="37" t="n">
        <x:v>46062.98443287037</x:v>
      </x:c>
    </x:row>
    <x:row r="4336">
      <x:c r="A4336" s="22" t="n">
        <x:v>29741</x:v>
      </x:c>
      <x:c r="B4336" s="28" t="n">
        <x:v>695</x:v>
      </x:c>
      <x:c r="C4336" s="28"/>
      <x:c r="D4336" s="31" t="str">
        <x:f>IF(OR(ISBLANK(B4336),ISBLANK(C4336),B4336=0),"",(C4336-B4336)/B4336)</x:f>
      </x:c>
      <x:c r="E4336" s="22" t="str">
        <x:f>IF(ISBLANK(C4336),"AmountIncludingTax缺失",IF(ABS(B4336-C4336)&lt;0.005,"一致","不一致"))</x:f>
        <x:v>AmountIncludingTax缺失</x:v>
      </x:c>
      <x:c r="F4336" s="19" t="str">
        <x:v>approved</x:v>
      </x:c>
      <x:c r="G4336" s="19" t="str">
        <x:v>Repairer Invoiced Processed</x:v>
      </x:c>
      <x:c r="H4336" s="19" t="str">
        <x:v>In Field</x:v>
      </x:c>
      <x:c r="I4336" s="37" t="n">
        <x:v>46135</x:v>
      </x:c>
      <x:c r="J4336" s="37" t="n">
        <x:v>46135</x:v>
      </x:c>
      <x:c r="K4336" s="19" t="str">
        <x:v>Green RV - Forest Glen</x:v>
      </x:c>
      <x:c r="L4336" s="19" t="str">
        <x:v>Z006</x:v>
      </x:c>
      <x:c r="M4336" s="19" t="str">
        <x:v>In Field Warranty Claims</x:v>
      </x:c>
      <x:c r="N4336" s="37" t="n">
        <x:v>46033</x:v>
      </x:c>
      <x:c r="O4336" s="37"/>
      <x:c r="P4336" s="34" t="n">
        <x:v>0</x:v>
      </x:c>
      <x:c r="Q4336" s="37" t="n">
        <x:v>46134.9090162037</x:v>
      </x:c>
    </x:row>
    <x:row r="4337">
      <x:c r="A4337" s="22" t="n">
        <x:v>29735</x:v>
      </x:c>
      <x:c r="B4337" s="28" t="n">
        <x:v>2312.75</x:v>
      </x:c>
      <x:c r="C4337" s="28"/>
      <x:c r="D4337" s="31" t="str">
        <x:f>IF(OR(ISBLANK(B4337),ISBLANK(C4337),B4337=0),"",(C4337-B4337)/B4337)</x:f>
      </x:c>
      <x:c r="E4337" s="22" t="str">
        <x:f>IF(ISBLANK(C4337),"AmountIncludingTax缺失",IF(ABS(B4337-C4337)&lt;0.005,"一致","不一致"))</x:f>
        <x:v>AmountIncludingTax缺失</x:v>
      </x:c>
      <x:c r="F4337" s="19" t="str">
        <x:v>approved</x:v>
      </x:c>
      <x:c r="G4337" s="19" t="str">
        <x:v>Repair in Progress</x:v>
      </x:c>
      <x:c r="H4337" s="19" t="str">
        <x:v>In Field</x:v>
      </x:c>
      <x:c r="I4337" s="37" t="n">
        <x:v>46171</x:v>
      </x:c>
      <x:c r="J4337" s="37" t="n">
        <x:v>46171</x:v>
      </x:c>
      <x:c r="K4337" s="19" t="str">
        <x:v>Vanari Caravans - Marden Point</x:v>
      </x:c>
      <x:c r="L4337" s="19" t="str">
        <x:v>Z006</x:v>
      </x:c>
      <x:c r="M4337" s="19" t="str">
        <x:v>In Field Warranty Claims</x:v>
      </x:c>
      <x:c r="N4337" s="37" t="n">
        <x:v>46032</x:v>
      </x:c>
      <x:c r="O4337" s="37"/>
      <x:c r="P4337" s="34" t="n">
        <x:v>0</x:v>
      </x:c>
      <x:c r="Q4337" s="37" t="n">
        <x:v>46170.998402777775</x:v>
      </x:c>
    </x:row>
    <x:row r="4338">
      <x:c r="A4338" s="22" t="n">
        <x:v>29734</x:v>
      </x:c>
      <x:c r="B4338" s="28" t="n">
        <x:v>174.5</x:v>
      </x:c>
      <x:c r="C4338" s="28" t="n">
        <x:v>191.95</x:v>
      </x:c>
      <x:c r="D4338" s="31" t="n">
        <x:f>IF(OR(ISBLANK(B4338),ISBLANK(C4338),B4338=0),"",(C4338-B4338)/B4338)</x:f>
        <x:v>0.09999999999999994</x:v>
      </x:c>
      <x:c r="E4338" s="22" t="str">
        <x:f>IF(ISBLANK(C4338),"AmountIncludingTax缺失",IF(ABS(B4338-C4338)&lt;0.005,"一致","不一致"))</x:f>
        <x:v>不一致</x:v>
      </x:c>
      <x:c r="F4338" s="19" t="str">
        <x:v>approved</x:v>
      </x:c>
      <x:c r="G4338" s="19" t="str">
        <x:v>Repairer Invoiced Processed</x:v>
      </x:c>
      <x:c r="H4338" s="19" t="str">
        <x:v>In Field</x:v>
      </x:c>
      <x:c r="I4338" s="37" t="n">
        <x:v>46175</x:v>
      </x:c>
      <x:c r="J4338" s="37" t="n">
        <x:v>46175</x:v>
      </x:c>
      <x:c r="K4338" s="19" t="str">
        <x:v>Regent RV - Perth</x:v>
      </x:c>
      <x:c r="L4338" s="19" t="str">
        <x:v>Z006</x:v>
      </x:c>
      <x:c r="M4338" s="19" t="str">
        <x:v>In Field Warranty Claims</x:v>
      </x:c>
      <x:c r="N4338" s="37" t="n">
        <x:v>46031</x:v>
      </x:c>
      <x:c r="O4338" s="37"/>
      <x:c r="P4338" s="34" t="n">
        <x:v>191.95</x:v>
      </x:c>
      <x:c r="Q4338" s="37" t="n">
        <x:v>46175.133043981485</x:v>
      </x:c>
    </x:row>
    <x:row r="4339">
      <x:c r="A4339" s="22" t="n">
        <x:v>29733</x:v>
      </x:c>
      <x:c r="B4339" s="28" t="n">
        <x:v>241.82</x:v>
      </x:c>
      <x:c r="C4339" s="28"/>
      <x:c r="D4339" s="31" t="str">
        <x:f>IF(OR(ISBLANK(B4339),ISBLANK(C4339),B4339=0),"",(C4339-B4339)/B4339)</x:f>
      </x:c>
      <x:c r="E4339" s="22" t="str">
        <x:f>IF(ISBLANK(C4339),"AmountIncludingTax缺失",IF(ABS(B4339-C4339)&lt;0.005,"一致","不一致"))</x:f>
        <x:v>AmountIncludingTax缺失</x:v>
      </x:c>
      <x:c r="F4339" s="19" t="str">
        <x:v>approved</x:v>
      </x:c>
      <x:c r="G4339" s="19" t="str">
        <x:v>Repair in Progress</x:v>
      </x:c>
      <x:c r="H4339" s="19" t="str">
        <x:v>In Field</x:v>
      </x:c>
      <x:c r="I4339" s="37" t="n">
        <x:v>46160</x:v>
      </x:c>
      <x:c r="J4339" s="37" t="n">
        <x:v>46160</x:v>
      </x:c>
      <x:c r="K4339" s="19" t="str">
        <x:v>Regent RV - Perth</x:v>
      </x:c>
      <x:c r="L4339" s="19" t="str">
        <x:v>Z006</x:v>
      </x:c>
      <x:c r="M4339" s="19" t="str">
        <x:v>In Field Warranty Claims</x:v>
      </x:c>
      <x:c r="N4339" s="37" t="n">
        <x:v>46031</x:v>
      </x:c>
      <x:c r="O4339" s="37"/>
      <x:c r="P4339" s="34" t="n">
        <x:v>0</x:v>
      </x:c>
      <x:c r="Q4339" s="37" t="n">
        <x:v>46159.95732638889</x:v>
      </x:c>
    </x:row>
    <x:row r="4340">
      <x:c r="A4340" s="22" t="n">
        <x:v>29729</x:v>
      </x:c>
      <x:c r="B4340" s="28" t="n">
        <x:v>205</x:v>
      </x:c>
      <x:c r="C4340" s="28" t="n">
        <x:v>185.61</x:v>
      </x:c>
      <x:c r="D4340" s="31" t="n">
        <x:f>IF(OR(ISBLANK(B4340),ISBLANK(C4340),B4340=0),"",(C4340-B4340)/B4340)</x:f>
        <x:v>-0.09458536585365847</x:v>
      </x:c>
      <x:c r="E4340" s="22" t="str">
        <x:f>IF(ISBLANK(C4340),"AmountIncludingTax缺失",IF(ABS(B4340-C4340)&lt;0.005,"一致","不一致"))</x:f>
        <x:v>不一致</x:v>
      </x:c>
      <x:c r="F4340" s="19" t="str">
        <x:v>approved</x:v>
      </x:c>
      <x:c r="G4340" s="19" t="str">
        <x:v>Repairer Invoiced Processed</x:v>
      </x:c>
      <x:c r="H4340" s="19" t="str">
        <x:v>In Field</x:v>
      </x:c>
      <x:c r="I4340" s="37" t="n">
        <x:v>46129</x:v>
      </x:c>
      <x:c r="J4340" s="37" t="n">
        <x:v>46112</x:v>
      </x:c>
      <x:c r="K4340" s="19" t="str">
        <x:v>Vanari Caravans - Marden Point</x:v>
      </x:c>
      <x:c r="L4340" s="19" t="str">
        <x:v>Z006</x:v>
      </x:c>
      <x:c r="M4340" s="19" t="str">
        <x:v>In Field Warranty Claims</x:v>
      </x:c>
      <x:c r="N4340" s="37" t="n">
        <x:v>46032</x:v>
      </x:c>
      <x:c r="O4340" s="37"/>
      <x:c r="P4340" s="34" t="n">
        <x:v>185.61</x:v>
      </x:c>
      <x:c r="Q4340" s="37" t="n">
        <x:v>46129.14717592593</x:v>
      </x:c>
    </x:row>
    <x:row r="4341">
      <x:c r="A4341" s="22" t="n">
        <x:v>29727</x:v>
      </x:c>
      <x:c r="B4341" s="28" t="n">
        <x:v>371.25</x:v>
      </x:c>
      <x:c r="C4341" s="28"/>
      <x:c r="D4341" s="31" t="str">
        <x:f>IF(OR(ISBLANK(B4341),ISBLANK(C4341),B4341=0),"",(C4341-B4341)/B4341)</x:f>
      </x:c>
      <x:c r="E4341" s="22" t="str">
        <x:f>IF(ISBLANK(C4341),"AmountIncludingTax缺失",IF(ABS(B4341-C4341)&lt;0.005,"一致","不一致"))</x:f>
        <x:v>AmountIncludingTax缺失</x:v>
      </x:c>
      <x:c r="F4341" s="19" t="str">
        <x:v>approved</x:v>
      </x:c>
      <x:c r="G4341" s="19" t="str">
        <x:v>Repair in Progress</x:v>
      </x:c>
      <x:c r="H4341" s="19" t="str">
        <x:v>In Field</x:v>
      </x:c>
      <x:c r="I4341" s="37" t="n">
        <x:v>46132</x:v>
      </x:c>
      <x:c r="J4341" s="37" t="n">
        <x:v>46132</x:v>
      </x:c>
      <x:c r="K4341" s="19" t="str">
        <x:v>Regent RV - Traralgon</x:v>
      </x:c>
      <x:c r="L4341" s="19" t="str">
        <x:v>Z006</x:v>
      </x:c>
      <x:c r="M4341" s="19" t="str">
        <x:v>In Field Warranty Claims</x:v>
      </x:c>
      <x:c r="N4341" s="37" t="n">
        <x:v>46032</x:v>
      </x:c>
      <x:c r="O4341" s="37" t="n">
        <x:v>46105</x:v>
      </x:c>
      <x:c r="P4341" s="34" t="n">
        <x:v>0</x:v>
      </x:c>
      <x:c r="Q4341" s="37" t="n">
        <x:v>46132.30469907408</x:v>
      </x:c>
    </x:row>
    <x:row r="4342">
      <x:c r="A4342" s="22" t="n">
        <x:v>29726</x:v>
      </x:c>
      <x:c r="B4342" s="28" t="n">
        <x:v>482.5</x:v>
      </x:c>
      <x:c r="C4342" s="28"/>
      <x:c r="D4342" s="31" t="str">
        <x:f>IF(OR(ISBLANK(B4342),ISBLANK(C4342),B4342=0),"",(C4342-B4342)/B4342)</x:f>
      </x:c>
      <x:c r="E4342" s="22" t="str">
        <x:f>IF(ISBLANK(C4342),"AmountIncludingTax缺失",IF(ABS(B4342-C4342)&lt;0.005,"一致","不一致"))</x:f>
        <x:v>AmountIncludingTax缺失</x:v>
      </x:c>
      <x:c r="F4342" s="19" t="str">
        <x:v>approved</x:v>
      </x:c>
      <x:c r="G4342" s="19" t="str">
        <x:v>Repairer Invoiced Processed</x:v>
      </x:c>
      <x:c r="H4342" s="19" t="str">
        <x:v>Pre Delivery</x:v>
      </x:c>
      <x:c r="I4342" s="37" t="n">
        <x:v>46108</x:v>
      </x:c>
      <x:c r="J4342" s="37" t="n">
        <x:v>46108</x:v>
      </x:c>
      <x:c r="K4342" s="19" t="str">
        <x:v>Green RV - Slacks Creek</x:v>
      </x:c>
      <x:c r="L4342" s="19" t="str">
        <x:v>Z005</x:v>
      </x:c>
      <x:c r="M4342" s="19" t="str">
        <x:v>Pre Delivery Warranty Claims</x:v>
      </x:c>
      <x:c r="N4342" s="37" t="n">
        <x:v>46032</x:v>
      </x:c>
      <x:c r="O4342" s="37"/>
      <x:c r="P4342" s="34" t="n">
        <x:v>0</x:v>
      </x:c>
      <x:c r="Q4342" s="37" t="n">
        <x:v>46108.16320601852</x:v>
      </x:c>
    </x:row>
    <x:row r="4343">
      <x:c r="A4343" s="22" t="n">
        <x:v>29725</x:v>
      </x:c>
      <x:c r="B4343" s="28" t="n">
        <x:v>233.18</x:v>
      </x:c>
      <x:c r="C4343" s="28" t="n">
        <x:v>256.5</x:v>
      </x:c>
      <x:c r="D4343" s="31" t="n">
        <x:f>IF(OR(ISBLANK(B4343),ISBLANK(C4343),B4343=0),"",(C4343-B4343)/B4343)</x:f>
        <x:v>0.10000857706492836</x:v>
      </x:c>
      <x:c r="E4343" s="22" t="str">
        <x:f>IF(ISBLANK(C4343),"AmountIncludingTax缺失",IF(ABS(B4343-C4343)&lt;0.005,"一致","不一致"))</x:f>
        <x:v>不一致</x:v>
      </x:c>
      <x:c r="F4343" s="19" t="str">
        <x:v>approved</x:v>
      </x:c>
      <x:c r="G4343" s="19" t="str">
        <x:v>Repairer Invoiced Processed</x:v>
      </x:c>
      <x:c r="H4343" s="19" t="str">
        <x:v>In Field</x:v>
      </x:c>
      <x:c r="I4343" s="37" t="n">
        <x:v>46111</x:v>
      </x:c>
      <x:c r="J4343" s="37" t="n">
        <x:v>46111</x:v>
      </x:c>
      <x:c r="K4343" s="19" t="str">
        <x:v>Bendigo Caravan Group - Bendigo</x:v>
      </x:c>
      <x:c r="L4343" s="19" t="str">
        <x:v>Z006</x:v>
      </x:c>
      <x:c r="M4343" s="19" t="str">
        <x:v>In Field Warranty Claims</x:v>
      </x:c>
      <x:c r="N4343" s="37" t="n">
        <x:v>46032</x:v>
      </x:c>
      <x:c r="O4343" s="37"/>
      <x:c r="P4343" s="34" t="n">
        <x:v>256.5</x:v>
      </x:c>
      <x:c r="Q4343" s="37" t="n">
        <x:v>46111.04443287037</x:v>
      </x:c>
    </x:row>
    <x:row r="4344">
      <x:c r="A4344" s="22" t="n">
        <x:v>29723</x:v>
      </x:c>
      <x:c r="B4344" s="28" t="n">
        <x:v>1127</x:v>
      </x:c>
      <x:c r="C4344" s="28"/>
      <x:c r="D4344" s="31" t="str">
        <x:f>IF(OR(ISBLANK(B4344),ISBLANK(C4344),B4344=0),"",(C4344-B4344)/B4344)</x:f>
      </x:c>
      <x:c r="E4344" s="22" t="str">
        <x:f>IF(ISBLANK(C4344),"AmountIncludingTax缺失",IF(ABS(B4344-C4344)&lt;0.005,"一致","不一致"))</x:f>
        <x:v>AmountIncludingTax缺失</x:v>
      </x:c>
      <x:c r="F4344" s="19" t="str">
        <x:v>approved</x:v>
      </x:c>
      <x:c r="G4344" s="19" t="str">
        <x:v>Repair in Progress</x:v>
      </x:c>
      <x:c r="H4344" s="19" t="str">
        <x:v>In Field</x:v>
      </x:c>
      <x:c r="I4344" s="37" t="n">
        <x:v>46107</x:v>
      </x:c>
      <x:c r="J4344" s="37" t="n">
        <x:v>46107</x:v>
      </x:c>
      <x:c r="K4344" s="19" t="str">
        <x:v>CMG Campers - Christchurch</x:v>
      </x:c>
      <x:c r="L4344" s="19" t="str">
        <x:v>Z006</x:v>
      </x:c>
      <x:c r="M4344" s="19" t="str">
        <x:v>In Field Warranty Claims</x:v>
      </x:c>
      <x:c r="N4344" s="37" t="n">
        <x:v>46031</x:v>
      </x:c>
      <x:c r="O4344" s="37"/>
      <x:c r="P4344" s="34" t="n">
        <x:v>0</x:v>
      </x:c>
      <x:c r="Q4344" s="37" t="n">
        <x:v>46106.923784722225</x:v>
      </x:c>
    </x:row>
    <x:row r="4345">
      <x:c r="A4345" s="22" t="n">
        <x:v>29722</x:v>
      </x:c>
      <x:c r="B4345" s="28" t="n">
        <x:v>2650.75</x:v>
      </x:c>
      <x:c r="C4345" s="28"/>
      <x:c r="D4345" s="31" t="str">
        <x:f>IF(OR(ISBLANK(B4345),ISBLANK(C4345),B4345=0),"",(C4345-B4345)/B4345)</x:f>
      </x:c>
      <x:c r="E4345" s="22" t="str">
        <x:f>IF(ISBLANK(C4345),"AmountIncludingTax缺失",IF(ABS(B4345-C4345)&lt;0.005,"一致","不一致"))</x:f>
        <x:v>AmountIncludingTax缺失</x:v>
      </x:c>
      <x:c r="F4345" s="19" t="str">
        <x:v>approved</x:v>
      </x:c>
      <x:c r="G4345" s="19" t="str">
        <x:v>Repairer Invoiced Processed</x:v>
      </x:c>
      <x:c r="H4345" s="19" t="str">
        <x:v>In Field</x:v>
      </x:c>
      <x:c r="I4345" s="37" t="n">
        <x:v>46107</x:v>
      </x:c>
      <x:c r="J4345" s="37" t="n">
        <x:v>46107</x:v>
      </x:c>
      <x:c r="K4345" s="19" t="str">
        <x:v>CMG Campers - Christchurch</x:v>
      </x:c>
      <x:c r="L4345" s="19" t="str">
        <x:v>Z006</x:v>
      </x:c>
      <x:c r="M4345" s="19" t="str">
        <x:v>In Field Warranty Claims</x:v>
      </x:c>
      <x:c r="N4345" s="37" t="n">
        <x:v>46031</x:v>
      </x:c>
      <x:c r="O4345" s="37"/>
      <x:c r="P4345" s="34" t="n">
        <x:v>2399.99</x:v>
      </x:c>
      <x:c r="Q4345" s="37" t="n">
        <x:v>46106.92212962963</x:v>
      </x:c>
    </x:row>
    <x:row r="4346">
      <x:c r="A4346" s="22" t="n">
        <x:v>29720</x:v>
      </x:c>
      <x:c r="B4346" s="28" t="n">
        <x:v>358.7</x:v>
      </x:c>
      <x:c r="C4346" s="28" t="n">
        <x:v>394.57</x:v>
      </x:c>
      <x:c r="D4346" s="31" t="n">
        <x:f>IF(OR(ISBLANK(B4346),ISBLANK(C4346),B4346=0),"",(C4346-B4346)/B4346)</x:f>
        <x:v>0.10000000000000002</x:v>
      </x:c>
      <x:c r="E4346" s="22" t="str">
        <x:f>IF(ISBLANK(C4346),"AmountIncludingTax缺失",IF(ABS(B4346-C4346)&lt;0.005,"一致","不一致"))</x:f>
        <x:v>不一致</x:v>
      </x:c>
      <x:c r="F4346" s="19" t="str">
        <x:v>approved</x:v>
      </x:c>
      <x:c r="G4346" s="19" t="str">
        <x:v>Repair in Progress</x:v>
      </x:c>
      <x:c r="H4346" s="19" t="str">
        <x:v>Pre Delivery</x:v>
      </x:c>
      <x:c r="I4346" s="37" t="n">
        <x:v>46112</x:v>
      </x:c>
      <x:c r="J4346" s="37" t="n">
        <x:v>46112</x:v>
      </x:c>
      <x:c r="K4346" s="19" t="str">
        <x:v>Lesiure Lion-New Castle</x:v>
      </x:c>
      <x:c r="L4346" s="19" t="str">
        <x:v>Z005</x:v>
      </x:c>
      <x:c r="M4346" s="19" t="str">
        <x:v>Pre Delivery Warranty Claims</x:v>
      </x:c>
      <x:c r="N4346" s="37" t="n">
        <x:v>46031</x:v>
      </x:c>
      <x:c r="O4346" s="37"/>
      <x:c r="P4346" s="34" t="n">
        <x:v>394.57</x:v>
      </x:c>
      <x:c r="Q4346" s="37" t="n">
        <x:v>46111.91688657407</x:v>
      </x:c>
    </x:row>
    <x:row r="4347">
      <x:c r="A4347" s="22" t="n">
        <x:v>29719</x:v>
      </x:c>
      <x:c r="B4347" s="28" t="n">
        <x:v>135</x:v>
      </x:c>
      <x:c r="C4347" s="28" t="n">
        <x:v>148.5</x:v>
      </x:c>
      <x:c r="D4347" s="31" t="n">
        <x:f>IF(OR(ISBLANK(B4347),ISBLANK(C4347),B4347=0),"",(C4347-B4347)/B4347)</x:f>
        <x:v>0.1</x:v>
      </x:c>
      <x:c r="E4347" s="22" t="str">
        <x:f>IF(ISBLANK(C4347),"AmountIncludingTax缺失",IF(ABS(B4347-C4347)&lt;0.005,"一致","不一致"))</x:f>
        <x:v>不一致</x:v>
      </x:c>
      <x:c r="F4347" s="19" t="str">
        <x:v>approved</x:v>
      </x:c>
      <x:c r="G4347" s="19" t="str">
        <x:v>Repairer Invoiced Processed</x:v>
      </x:c>
      <x:c r="H4347" s="19" t="str">
        <x:v>In Field</x:v>
      </x:c>
      <x:c r="I4347" s="37" t="n">
        <x:v>46112</x:v>
      </x:c>
      <x:c r="J4347" s="37" t="n">
        <x:v>46112</x:v>
      </x:c>
      <x:c r="K4347" s="19" t="str">
        <x:v>Newcastle RV Super Centre - Beresfield</x:v>
      </x:c>
      <x:c r="L4347" s="19" t="str">
        <x:v>Z006</x:v>
      </x:c>
      <x:c r="M4347" s="19" t="str">
        <x:v>In Field Warranty Claims</x:v>
      </x:c>
      <x:c r="N4347" s="37" t="n">
        <x:v>46031</x:v>
      </x:c>
      <x:c r="O4347" s="37"/>
      <x:c r="P4347" s="34" t="n">
        <x:v>148.5</x:v>
      </x:c>
      <x:c r="Q4347" s="37" t="n">
        <x:v>46112.07546296297</x:v>
      </x:c>
    </x:row>
    <x:row r="4348">
      <x:c r="A4348" s="22" t="n">
        <x:v>29717</x:v>
      </x:c>
      <x:c r="B4348" s="28" t="n">
        <x:v>850.12</x:v>
      </x:c>
      <x:c r="C4348" s="28"/>
      <x:c r="D4348" s="31" t="str">
        <x:f>IF(OR(ISBLANK(B4348),ISBLANK(C4348),B4348=0),"",(C4348-B4348)/B4348)</x:f>
      </x:c>
      <x:c r="E4348" s="22" t="str">
        <x:f>IF(ISBLANK(C4348),"AmountIncludingTax缺失",IF(ABS(B4348-C4348)&lt;0.005,"一致","不一致"))</x:f>
        <x:v>AmountIncludingTax缺失</x:v>
      </x:c>
      <x:c r="F4348" s="19" t="str">
        <x:v>approved</x:v>
      </x:c>
      <x:c r="G4348" s="19" t="str">
        <x:v>Partially Picked</x:v>
      </x:c>
      <x:c r="H4348" s="19" t="str">
        <x:v>Pre Delivery</x:v>
      </x:c>
      <x:c r="I4348" s="37" t="n">
        <x:v>46156</x:v>
      </x:c>
      <x:c r="J4348" s="37" t="n">
        <x:v>46156</x:v>
      </x:c>
      <x:c r="K4348" s="19" t="str">
        <x:v>Regent RV - Townsville</x:v>
      </x:c>
      <x:c r="L4348" s="19" t="str">
        <x:v>Z005</x:v>
      </x:c>
      <x:c r="M4348" s="19" t="str">
        <x:v>Pre Delivery Warranty Claims</x:v>
      </x:c>
      <x:c r="N4348" s="37" t="n">
        <x:v>46031</x:v>
      </x:c>
      <x:c r="O4348" s="37"/>
      <x:c r="P4348" s="34" t="n">
        <x:v>0</x:v>
      </x:c>
      <x:c r="Q4348" s="37" t="n">
        <x:v>46156.14413194444</x:v>
      </x:c>
    </x:row>
    <x:row r="4349">
      <x:c r="A4349" s="22" t="n">
        <x:v>29716</x:v>
      </x:c>
      <x:c r="B4349" s="28" t="n">
        <x:v>2070.75</x:v>
      </x:c>
      <x:c r="C4349" s="28"/>
      <x:c r="D4349" s="31" t="str">
        <x:f>IF(OR(ISBLANK(B4349),ISBLANK(C4349),B4349=0),"",(C4349-B4349)/B4349)</x:f>
      </x:c>
      <x:c r="E4349" s="22" t="str">
        <x:f>IF(ISBLANK(C4349),"AmountIncludingTax缺失",IF(ABS(B4349-C4349)&lt;0.005,"一致","不一致"))</x:f>
        <x:v>AmountIncludingTax缺失</x:v>
      </x:c>
      <x:c r="F4349" s="19" t="str">
        <x:v>approved</x:v>
      </x:c>
      <x:c r="G4349" s="19" t="str">
        <x:v>Repair in Progress</x:v>
      </x:c>
      <x:c r="H4349" s="19" t="str">
        <x:v>In Field</x:v>
      </x:c>
      <x:c r="I4349" s="37" t="n">
        <x:v>46139</x:v>
      </x:c>
      <x:c r="J4349" s="37" t="n">
        <x:v>46139</x:v>
      </x:c>
      <x:c r="K4349" s="19" t="str">
        <x:v>Regent RV - Perth</x:v>
      </x:c>
      <x:c r="L4349" s="19" t="str">
        <x:v>Z006</x:v>
      </x:c>
      <x:c r="M4349" s="19" t="str">
        <x:v>In Field Warranty Claims</x:v>
      </x:c>
      <x:c r="N4349" s="37" t="n">
        <x:v>46031</x:v>
      </x:c>
      <x:c r="O4349" s="37"/>
      <x:c r="P4349" s="34" t="n">
        <x:v>0</x:v>
      </x:c>
      <x:c r="Q4349" s="37" t="n">
        <x:v>46138.932858796295</x:v>
      </x:c>
    </x:row>
    <x:row r="4350">
      <x:c r="A4350" s="22" t="n">
        <x:v>29714</x:v>
      </x:c>
      <x:c r="B4350" s="28" t="n">
        <x:v>2315.24</x:v>
      </x:c>
      <x:c r="C4350" s="28"/>
      <x:c r="D4350" s="31" t="str">
        <x:f>IF(OR(ISBLANK(B4350),ISBLANK(C4350),B4350=0),"",(C4350-B4350)/B4350)</x:f>
      </x:c>
      <x:c r="E4350" s="22" t="str">
        <x:f>IF(ISBLANK(C4350),"AmountIncludingTax缺失",IF(ABS(B4350-C4350)&lt;0.005,"一致","不一致"))</x:f>
        <x:v>AmountIncludingTax缺失</x:v>
      </x:c>
      <x:c r="F4350" s="19" t="str">
        <x:v>approved</x:v>
      </x:c>
      <x:c r="G4350" s="19" t="str">
        <x:v>Repairer Invoiced Processed</x:v>
      </x:c>
      <x:c r="H4350" s="19" t="str">
        <x:v>Pre Delivery</x:v>
      </x:c>
      <x:c r="I4350" s="37" t="n">
        <x:v>46169</x:v>
      </x:c>
      <x:c r="J4350" s="37" t="n">
        <x:v>46169</x:v>
      </x:c>
      <x:c r="K4350" s="19" t="str">
        <x:v>Regent RV - Townsville</x:v>
      </x:c>
      <x:c r="L4350" s="19" t="str">
        <x:v>Z005</x:v>
      </x:c>
      <x:c r="M4350" s="19" t="str">
        <x:v>Pre Delivery Warranty Claims</x:v>
      </x:c>
      <x:c r="N4350" s="37" t="n">
        <x:v>46031</x:v>
      </x:c>
      <x:c r="O4350" s="37"/>
      <x:c r="P4350" s="34" t="n">
        <x:v>0</x:v>
      </x:c>
      <x:c r="Q4350" s="37" t="n">
        <x:v>46169.04068287037</x:v>
      </x:c>
    </x:row>
    <x:row r="4351">
      <x:c r="A4351" s="22" t="n">
        <x:v>29713</x:v>
      </x:c>
      <x:c r="B4351" s="28" t="n">
        <x:v>2201.48</x:v>
      </x:c>
      <x:c r="C4351" s="28"/>
      <x:c r="D4351" s="31" t="str">
        <x:f>IF(OR(ISBLANK(B4351),ISBLANK(C4351),B4351=0),"",(C4351-B4351)/B4351)</x:f>
      </x:c>
      <x:c r="E4351" s="22" t="str">
        <x:f>IF(ISBLANK(C4351),"AmountIncludingTax缺失",IF(ABS(B4351-C4351)&lt;0.005,"一致","不一致"))</x:f>
        <x:v>AmountIncludingTax缺失</x:v>
      </x:c>
      <x:c r="F4351" s="19" t="str">
        <x:v>approved</x:v>
      </x:c>
      <x:c r="G4351" s="19" t="str">
        <x:v>Repair in Progress</x:v>
      </x:c>
      <x:c r="H4351" s="19" t="str">
        <x:v>Pre Delivery</x:v>
      </x:c>
      <x:c r="I4351" s="37" t="n">
        <x:v>46156</x:v>
      </x:c>
      <x:c r="J4351" s="37" t="n">
        <x:v>46156</x:v>
      </x:c>
      <x:c r="K4351" s="19" t="str">
        <x:v>Regent RV - Townsville</x:v>
      </x:c>
      <x:c r="L4351" s="19" t="str">
        <x:v>Z005</x:v>
      </x:c>
      <x:c r="M4351" s="19" t="str">
        <x:v>Pre Delivery Warranty Claims</x:v>
      </x:c>
      <x:c r="N4351" s="37" t="n">
        <x:v>46031</x:v>
      </x:c>
      <x:c r="O4351" s="37"/>
      <x:c r="P4351" s="34" t="n">
        <x:v>0</x:v>
      </x:c>
      <x:c r="Q4351" s="37" t="n">
        <x:v>46156.13958333333</x:v>
      </x:c>
    </x:row>
    <x:row r="4352">
      <x:c r="A4352" s="22" t="n">
        <x:v>29711</x:v>
      </x:c>
      <x:c r="B4352" s="28" t="n">
        <x:v>218.18</x:v>
      </x:c>
      <x:c r="C4352" s="28" t="n">
        <x:v>240</x:v>
      </x:c>
      <x:c r="D4352" s="31" t="n">
        <x:f>IF(OR(ISBLANK(B4352),ISBLANK(C4352),B4352=0),"",(C4352-B4352)/B4352)</x:f>
        <x:v>0.10000916674305615</x:v>
      </x:c>
      <x:c r="E4352" s="22" t="str">
        <x:f>IF(ISBLANK(C4352),"AmountIncludingTax缺失",IF(ABS(B4352-C4352)&lt;0.005,"一致","不一致"))</x:f>
        <x:v>不一致</x:v>
      </x:c>
      <x:c r="F4352" s="19" t="str">
        <x:v>approved</x:v>
      </x:c>
      <x:c r="G4352" s="19" t="str">
        <x:v>Repairer Invoiced Processed</x:v>
      </x:c>
      <x:c r="H4352" s="19" t="str">
        <x:v>In Field</x:v>
      </x:c>
      <x:c r="I4352" s="37" t="n">
        <x:v>46149</x:v>
      </x:c>
      <x:c r="J4352" s="37" t="n">
        <x:v>46149</x:v>
      </x:c>
      <x:c r="K4352" s="19" t="str">
        <x:v>Green RV - Forest Glen</x:v>
      </x:c>
      <x:c r="L4352" s="19" t="str">
        <x:v>Z006</x:v>
      </x:c>
      <x:c r="M4352" s="19" t="str">
        <x:v>In Field Warranty Claims</x:v>
      </x:c>
      <x:c r="N4352" s="37" t="n">
        <x:v>46031</x:v>
      </x:c>
      <x:c r="O4352" s="37"/>
      <x:c r="P4352" s="34" t="n">
        <x:v>240</x:v>
      </x:c>
      <x:c r="Q4352" s="37" t="n">
        <x:v>46149.30881944444</x:v>
      </x:c>
    </x:row>
    <x:row r="4353">
      <x:c r="A4353" s="22" t="n">
        <x:v>29710</x:v>
      </x:c>
      <x:c r="B4353" s="28" t="n">
        <x:v>275</x:v>
      </x:c>
      <x:c r="C4353" s="28"/>
      <x:c r="D4353" s="31" t="str">
        <x:f>IF(OR(ISBLANK(B4353),ISBLANK(C4353),B4353=0),"",(C4353-B4353)/B4353)</x:f>
      </x:c>
      <x:c r="E4353" s="22" t="str">
        <x:f>IF(ISBLANK(C4353),"AmountIncludingTax缺失",IF(ABS(B4353-C4353)&lt;0.005,"一致","不一致"))</x:f>
        <x:v>AmountIncludingTax缺失</x:v>
      </x:c>
      <x:c r="F4353" s="19" t="str">
        <x:v>approved</x:v>
      </x:c>
      <x:c r="G4353" s="19" t="str">
        <x:v>Repairer Invoiced Received</x:v>
      </x:c>
      <x:c r="H4353" s="19" t="str">
        <x:v>In Field</x:v>
      </x:c>
      <x:c r="I4353" s="37" t="n">
        <x:v>46072</x:v>
      </x:c>
      <x:c r="J4353" s="37" t="n">
        <x:v>46072</x:v>
      </x:c>
      <x:c r="K4353" s="19" t="str">
        <x:v>Newcastle RV Super Centre - Beresfield</x:v>
      </x:c>
      <x:c r="L4353" s="19" t="str">
        <x:v>Z006</x:v>
      </x:c>
      <x:c r="M4353" s="19" t="str">
        <x:v>In Field Warranty Claims</x:v>
      </x:c>
      <x:c r="N4353" s="37" t="n">
        <x:v>46031</x:v>
      </x:c>
      <x:c r="O4353" s="37"/>
      <x:c r="P4353" s="34" t="n">
        <x:v>0</x:v>
      </x:c>
      <x:c r="Q4353" s="37" t="n">
        <x:v>46072.2065625</x:v>
      </x:c>
    </x:row>
    <x:row r="4354">
      <x:c r="A4354" s="22" t="n">
        <x:v>29709</x:v>
      </x:c>
      <x:c r="B4354" s="28" t="n">
        <x:v>130</x:v>
      </x:c>
      <x:c r="C4354" s="28" t="n">
        <x:v>143</x:v>
      </x:c>
      <x:c r="D4354" s="31" t="n">
        <x:f>IF(OR(ISBLANK(B4354),ISBLANK(C4354),B4354=0),"",(C4354-B4354)/B4354)</x:f>
        <x:v>0.1</x:v>
      </x:c>
      <x:c r="E4354" s="22" t="str">
        <x:f>IF(ISBLANK(C4354),"AmountIncludingTax缺失",IF(ABS(B4354-C4354)&lt;0.005,"一致","不一致"))</x:f>
        <x:v>不一致</x:v>
      </x:c>
      <x:c r="F4354" s="19" t="str">
        <x:v>approved</x:v>
      </x:c>
      <x:c r="G4354" s="19" t="str">
        <x:v>Repair in Progress</x:v>
      </x:c>
      <x:c r="H4354" s="19" t="str">
        <x:v>In Field</x:v>
      </x:c>
      <x:c r="I4354" s="37" t="n">
        <x:v>46108</x:v>
      </x:c>
      <x:c r="J4354" s="37" t="n">
        <x:v>46108</x:v>
      </x:c>
      <x:c r="K4354" s="19" t="str">
        <x:v>The Caravan Hub - Townsville</x:v>
      </x:c>
      <x:c r="L4354" s="19" t="str">
        <x:v>Z006</x:v>
      </x:c>
      <x:c r="M4354" s="19" t="str">
        <x:v>In Field Warranty Claims</x:v>
      </x:c>
      <x:c r="N4354" s="37" t="n">
        <x:v>46031</x:v>
      </x:c>
      <x:c r="O4354" s="37"/>
      <x:c r="P4354" s="34" t="n">
        <x:v>143</x:v>
      </x:c>
      <x:c r="Q4354" s="37" t="n">
        <x:v>46108.05421296296</x:v>
      </x:c>
    </x:row>
    <x:row r="4355">
      <x:c r="A4355" s="22" t="n">
        <x:v>29706</x:v>
      </x:c>
      <x:c r="B4355" s="28" t="n">
        <x:v>405</x:v>
      </x:c>
      <x:c r="C4355" s="28"/>
      <x:c r="D4355" s="31" t="str">
        <x:f>IF(OR(ISBLANK(B4355),ISBLANK(C4355),B4355=0),"",(C4355-B4355)/B4355)</x:f>
      </x:c>
      <x:c r="E4355" s="22" t="str">
        <x:f>IF(ISBLANK(C4355),"AmountIncludingTax缺失",IF(ABS(B4355-C4355)&lt;0.005,"一致","不一致"))</x:f>
        <x:v>AmountIncludingTax缺失</x:v>
      </x:c>
      <x:c r="F4355" s="19" t="str">
        <x:v>approved</x:v>
      </x:c>
      <x:c r="G4355" s="19" t="str">
        <x:v>Repair in Progress</x:v>
      </x:c>
      <x:c r="H4355" s="19" t="str">
        <x:v>Pre Delivery</x:v>
      </x:c>
      <x:c r="I4355" s="37" t="n">
        <x:v>46077</x:v>
      </x:c>
      <x:c r="J4355" s="37" t="n">
        <x:v>46077</x:v>
      </x:c>
      <x:c r="K4355" s="19" t="str">
        <x:v>Snowy River Frankston</x:v>
      </x:c>
      <x:c r="L4355" s="19" t="str">
        <x:v>Z005</x:v>
      </x:c>
      <x:c r="M4355" s="19" t="str">
        <x:v>Pre Delivery Warranty Claims</x:v>
      </x:c>
      <x:c r="N4355" s="37" t="n">
        <x:v>46031</x:v>
      </x:c>
      <x:c r="O4355" s="37"/>
      <x:c r="P4355" s="34" t="n">
        <x:v>0</x:v>
      </x:c>
      <x:c r="Q4355" s="37" t="n">
        <x:v>46076.92859953704</x:v>
      </x:c>
    </x:row>
    <x:row r="4356">
      <x:c r="A4356" s="22" t="n">
        <x:v>29705</x:v>
      </x:c>
      <x:c r="B4356" s="28" t="n">
        <x:v>401.37</x:v>
      </x:c>
      <x:c r="C4356" s="28"/>
      <x:c r="D4356" s="31" t="str">
        <x:f>IF(OR(ISBLANK(B4356),ISBLANK(C4356),B4356=0),"",(C4356-B4356)/B4356)</x:f>
      </x:c>
      <x:c r="E4356" s="22" t="str">
        <x:f>IF(ISBLANK(C4356),"AmountIncludingTax缺失",IF(ABS(B4356-C4356)&lt;0.005,"一致","不一致"))</x:f>
        <x:v>AmountIncludingTax缺失</x:v>
      </x:c>
      <x:c r="F4356" s="19" t="str">
        <x:v>approved_closed</x:v>
      </x:c>
      <x:c r="G4356" s="19" t="str">
        <x:v>Approved Claims Closed (Closed)</x:v>
      </x:c>
      <x:c r="H4356" s="19" t="str">
        <x:v>In Field</x:v>
      </x:c>
      <x:c r="I4356" s="37" t="n">
        <x:v>46064</x:v>
      </x:c>
      <x:c r="J4356" s="37" t="n">
        <x:v>46064</x:v>
      </x:c>
      <x:c r="K4356" s="19" t="str">
        <x:v>Newcastle RV Super Centre - Beresfield</x:v>
      </x:c>
      <x:c r="L4356" s="19" t="str">
        <x:v>Z006</x:v>
      </x:c>
      <x:c r="M4356" s="19" t="str">
        <x:v>In Field Warranty Claims</x:v>
      </x:c>
      <x:c r="N4356" s="37" t="n">
        <x:v>46031</x:v>
      </x:c>
      <x:c r="O4356" s="37" t="n">
        <x:v>46129</x:v>
      </x:c>
      <x:c r="P4356" s="34" t="n">
        <x:v>0</x:v>
      </x:c>
      <x:c r="Q4356" s="37" t="n">
        <x:v>46064.21304398148</x:v>
      </x:c>
    </x:row>
    <x:row r="4357">
      <x:c r="A4357" s="22" t="n">
        <x:v>29704</x:v>
      </x:c>
      <x:c r="B4357" s="28" t="n">
        <x:v>790.33</x:v>
      </x:c>
      <x:c r="C4357" s="28" t="n">
        <x:v>869.36</x:v>
      </x:c>
      <x:c r="D4357" s="31" t="n">
        <x:f>IF(OR(ISBLANK(B4357),ISBLANK(C4357),B4357=0),"",(C4357-B4357)/B4357)</x:f>
        <x:v>0.09999620411726744</x:v>
      </x:c>
      <x:c r="E4357" s="22" t="str">
        <x:f>IF(ISBLANK(C4357),"AmountIncludingTax缺失",IF(ABS(B4357-C4357)&lt;0.005,"一致","不一致"))</x:f>
        <x:v>不一致</x:v>
      </x:c>
      <x:c r="F4357" s="19" t="str">
        <x:v>approved</x:v>
      </x:c>
      <x:c r="G4357" s="19" t="str">
        <x:v>Repairer Invoiced Processed</x:v>
      </x:c>
      <x:c r="H4357" s="19" t="str">
        <x:v>In Field</x:v>
      </x:c>
      <x:c r="I4357" s="37" t="n">
        <x:v>46031</x:v>
      </x:c>
      <x:c r="J4357" s="37" t="n">
        <x:v>46031</x:v>
      </x:c>
      <x:c r="K4357" s="19" t="str">
        <x:v>Leisure Lion Pty Ltd - Morisset</x:v>
      </x:c>
      <x:c r="L4357" s="19" t="str">
        <x:v>Z006</x:v>
      </x:c>
      <x:c r="M4357" s="19" t="str">
        <x:v>In Field Warranty Claims</x:v>
      </x:c>
      <x:c r="N4357" s="37" t="n">
        <x:v>46031</x:v>
      </x:c>
      <x:c r="O4357" s="37"/>
      <x:c r="P4357" s="34" t="n">
        <x:v>869.36</x:v>
      </x:c>
      <x:c r="Q4357" s="37" t="n">
        <x:v>46031.19125</x:v>
      </x:c>
    </x:row>
    <x:row r="4358">
      <x:c r="A4358" s="22" t="n">
        <x:v>29703</x:v>
      </x:c>
      <x:c r="B4358" s="28" t="n">
        <x:v>202.5</x:v>
      </x:c>
      <x:c r="C4358" s="28"/>
      <x:c r="D4358" s="31" t="str">
        <x:f>IF(OR(ISBLANK(B4358),ISBLANK(C4358),B4358=0),"",(C4358-B4358)/B4358)</x:f>
      </x:c>
      <x:c r="E4358" s="22" t="str">
        <x:f>IF(ISBLANK(C4358),"AmountIncludingTax缺失",IF(ABS(B4358-C4358)&lt;0.005,"一致","不一致"))</x:f>
        <x:v>AmountIncludingTax缺失</x:v>
      </x:c>
      <x:c r="F4358" s="19" t="str">
        <x:v>approved</x:v>
      </x:c>
      <x:c r="G4358" s="19" t="str">
        <x:v>Repair in Progress</x:v>
      </x:c>
      <x:c r="H4358" s="19" t="str">
        <x:v>In Field</x:v>
      </x:c>
      <x:c r="I4358" s="37" t="n">
        <x:v>46084</x:v>
      </x:c>
      <x:c r="J4358" s="37" t="n">
        <x:v>46084</x:v>
      </x:c>
      <x:c r="K4358" s="19" t="str">
        <x:v>Dario Caravans -St.Marys</x:v>
      </x:c>
      <x:c r="L4358" s="19" t="str">
        <x:v>Z006</x:v>
      </x:c>
      <x:c r="M4358" s="19" t="str">
        <x:v>In Field Warranty Claims</x:v>
      </x:c>
      <x:c r="N4358" s="37" t="n">
        <x:v>46030</x:v>
      </x:c>
      <x:c r="O4358" s="37"/>
      <x:c r="P4358" s="34" t="n">
        <x:v>0</x:v>
      </x:c>
      <x:c r="Q4358" s="37" t="n">
        <x:v>46084.45738425926</x:v>
      </x:c>
    </x:row>
    <x:row r="4359">
      <x:c r="A4359" s="22" t="n">
        <x:v>29702</x:v>
      </x:c>
      <x:c r="B4359" s="28" t="n">
        <x:v>55</x:v>
      </x:c>
      <x:c r="C4359" s="28"/>
      <x:c r="D4359" s="31" t="str">
        <x:f>IF(OR(ISBLANK(B4359),ISBLANK(C4359),B4359=0),"",(C4359-B4359)/B4359)</x:f>
      </x:c>
      <x:c r="E4359" s="22" t="str">
        <x:f>IF(ISBLANK(C4359),"AmountIncludingTax缺失",IF(ABS(B4359-C4359)&lt;0.005,"一致","不一致"))</x:f>
        <x:v>AmountIncludingTax缺失</x:v>
      </x:c>
      <x:c r="F4359" s="19" t="str">
        <x:v>approved</x:v>
      </x:c>
      <x:c r="G4359" s="19" t="str">
        <x:v>Sales Order Approved</x:v>
      </x:c>
      <x:c r="H4359" s="19" t="str">
        <x:v>Pre Delivery</x:v>
      </x:c>
      <x:c r="I4359" s="37" t="n">
        <x:v>46076</x:v>
      </x:c>
      <x:c r="J4359" s="37" t="n">
        <x:v>46076</x:v>
      </x:c>
      <x:c r="K4359" s="19" t="str">
        <x:v>Regent RV - Perth</x:v>
      </x:c>
      <x:c r="L4359" s="19" t="str">
        <x:v>Z005</x:v>
      </x:c>
      <x:c r="M4359" s="19" t="str">
        <x:v>Pre Delivery Warranty Claims</x:v>
      </x:c>
      <x:c r="N4359" s="37" t="n">
        <x:v>46030</x:v>
      </x:c>
      <x:c r="O4359" s="37"/>
      <x:c r="P4359" s="34" t="n">
        <x:v>0</x:v>
      </x:c>
      <x:c r="Q4359" s="37" t="n">
        <x:v>46076.10302083333</x:v>
      </x:c>
    </x:row>
    <x:row r="4360">
      <x:c r="A4360" s="22" t="n">
        <x:v>29700</x:v>
      </x:c>
      <x:c r="B4360" s="28" t="n">
        <x:v>196.36</x:v>
      </x:c>
      <x:c r="C4360" s="28" t="n">
        <x:v>216</x:v>
      </x:c>
      <x:c r="D4360" s="31" t="n">
        <x:f>IF(OR(ISBLANK(B4360),ISBLANK(C4360),B4360=0),"",(C4360-B4360)/B4360)</x:f>
        <x:v>0.10002037074760636</x:v>
      </x:c>
      <x:c r="E4360" s="22" t="str">
        <x:f>IF(ISBLANK(C4360),"AmountIncludingTax缺失",IF(ABS(B4360-C4360)&lt;0.005,"一致","不一致"))</x:f>
        <x:v>不一致</x:v>
      </x:c>
      <x:c r="F4360" s="19" t="str">
        <x:v>approved</x:v>
      </x:c>
      <x:c r="G4360" s="19" t="str">
        <x:v>Repairer Invoiced Processed</x:v>
      </x:c>
      <x:c r="H4360" s="19" t="str">
        <x:v>In Field</x:v>
      </x:c>
      <x:c r="I4360" s="37" t="n">
        <x:v>46172</x:v>
      </x:c>
      <x:c r="J4360" s="37" t="n">
        <x:v>46172</x:v>
      </x:c>
      <x:c r="K4360" s="19" t="str">
        <x:v>Regent RV - Perth</x:v>
      </x:c>
      <x:c r="L4360" s="19" t="str">
        <x:v>Z006</x:v>
      </x:c>
      <x:c r="M4360" s="19" t="str">
        <x:v>In Field Warranty Claims</x:v>
      </x:c>
      <x:c r="N4360" s="37" t="n">
        <x:v>46030</x:v>
      </x:c>
      <x:c r="O4360" s="37"/>
      <x:c r="P4360" s="34" t="n">
        <x:v>216</x:v>
      </x:c>
      <x:c r="Q4360" s="37" t="n">
        <x:v>46172.32524305556</x:v>
      </x:c>
    </x:row>
    <x:row r="4361">
      <x:c r="A4361" s="22" t="n">
        <x:v>29699</x:v>
      </x:c>
      <x:c r="B4361" s="28" t="n">
        <x:v>632.5</x:v>
      </x:c>
      <x:c r="C4361" s="28" t="n">
        <x:v>572.67</x:v>
      </x:c>
      <x:c r="D4361" s="31" t="n">
        <x:f>IF(OR(ISBLANK(B4361),ISBLANK(C4361),B4361=0),"",(C4361-B4361)/B4361)</x:f>
        <x:v>-0.09459288537549414</x:v>
      </x:c>
      <x:c r="E4361" s="22" t="str">
        <x:f>IF(ISBLANK(C4361),"AmountIncludingTax缺失",IF(ABS(B4361-C4361)&lt;0.005,"一致","不一致"))</x:f>
        <x:v>不一致</x:v>
      </x:c>
      <x:c r="F4361" s="19" t="str">
        <x:v>approved</x:v>
      </x:c>
      <x:c r="G4361" s="19" t="str">
        <x:v>Repairer Invoiced Processed</x:v>
      </x:c>
      <x:c r="H4361" s="19" t="str">
        <x:v>In Field</x:v>
      </x:c>
      <x:c r="I4361" s="37" t="n">
        <x:v>46031</x:v>
      </x:c>
      <x:c r="J4361" s="37" t="n">
        <x:v>46031</x:v>
      </x:c>
      <x:c r="K4361" s="19" t="str">
        <x:v>Vanari Caravans - Marden Point</x:v>
      </x:c>
      <x:c r="L4361" s="19" t="str">
        <x:v>Z006</x:v>
      </x:c>
      <x:c r="M4361" s="19" t="str">
        <x:v>In Field Warranty Claims</x:v>
      </x:c>
      <x:c r="N4361" s="37" t="n">
        <x:v>46030</x:v>
      </x:c>
      <x:c r="O4361" s="37"/>
      <x:c r="P4361" s="34" t="n">
        <x:v>572.67</x:v>
      </x:c>
      <x:c r="Q4361" s="37" t="n">
        <x:v>46031.03693287037</x:v>
      </x:c>
    </x:row>
    <x:row r="4362">
      <x:c r="A4362" s="22" t="n">
        <x:v>29698</x:v>
      </x:c>
      <x:c r="B4362" s="28" t="n">
        <x:v>540</x:v>
      </x:c>
      <x:c r="C4362" s="28"/>
      <x:c r="D4362" s="31" t="str">
        <x:f>IF(OR(ISBLANK(B4362),ISBLANK(C4362),B4362=0),"",(C4362-B4362)/B4362)</x:f>
      </x:c>
      <x:c r="E4362" s="22" t="str">
        <x:f>IF(ISBLANK(C4362),"AmountIncludingTax缺失",IF(ABS(B4362-C4362)&lt;0.005,"一致","不一致"))</x:f>
        <x:v>AmountIncludingTax缺失</x:v>
      </x:c>
      <x:c r="F4362" s="19" t="str">
        <x:v>approved</x:v>
      </x:c>
      <x:c r="G4362" s="19" t="str">
        <x:v>Repair in Progress</x:v>
      </x:c>
      <x:c r="H4362" s="19" t="str">
        <x:v>In Field</x:v>
      </x:c>
      <x:c r="I4362" s="37" t="n">
        <x:v>46143</x:v>
      </x:c>
      <x:c r="J4362" s="37" t="n">
        <x:v>46142</x:v>
      </x:c>
      <x:c r="K4362" s="19" t="str">
        <x:v>Regent RV - Perth</x:v>
      </x:c>
      <x:c r="L4362" s="19" t="str">
        <x:v>Z006</x:v>
      </x:c>
      <x:c r="M4362" s="19" t="str">
        <x:v>In Field Warranty Claims</x:v>
      </x:c>
      <x:c r="N4362" s="37" t="n">
        <x:v>46030</x:v>
      </x:c>
      <x:c r="O4362" s="37"/>
      <x:c r="P4362" s="34" t="n">
        <x:v>0</x:v>
      </x:c>
      <x:c r="Q4362" s="37" t="n">
        <x:v>46143.20880787037</x:v>
      </x:c>
    </x:row>
    <x:row r="4363">
      <x:c r="A4363" s="22" t="n">
        <x:v>29696</x:v>
      </x:c>
      <x:c r="B4363" s="28" t="n">
        <x:v>1350</x:v>
      </x:c>
      <x:c r="C4363" s="28"/>
      <x:c r="D4363" s="31" t="str">
        <x:f>IF(OR(ISBLANK(B4363),ISBLANK(C4363),B4363=0),"",(C4363-B4363)/B4363)</x:f>
      </x:c>
      <x:c r="E4363" s="22" t="str">
        <x:f>IF(ISBLANK(C4363),"AmountIncludingTax缺失",IF(ABS(B4363-C4363)&lt;0.005,"一致","不一致"))</x:f>
        <x:v>AmountIncludingTax缺失</x:v>
      </x:c>
      <x:c r="F4363" s="19" t="str">
        <x:v>approved</x:v>
      </x:c>
      <x:c r="G4363" s="19" t="str">
        <x:v>Repair in Progress</x:v>
      </x:c>
      <x:c r="H4363" s="19" t="str">
        <x:v>In Field</x:v>
      </x:c>
      <x:c r="I4363" s="37" t="n">
        <x:v>46050</x:v>
      </x:c>
      <x:c r="J4363" s="37" t="n">
        <x:v>46043</x:v>
      </x:c>
      <x:c r="K4363" s="19" t="str">
        <x:v>Snowy River Wangaratta</x:v>
      </x:c>
      <x:c r="L4363" s="19" t="str">
        <x:v>Z006</x:v>
      </x:c>
      <x:c r="M4363" s="19" t="str">
        <x:v>In Field Warranty Claims</x:v>
      </x:c>
      <x:c r="N4363" s="37" t="n">
        <x:v>46030</x:v>
      </x:c>
      <x:c r="O4363" s="37"/>
      <x:c r="P4363" s="34" t="n">
        <x:v>0</x:v>
      </x:c>
      <x:c r="Q4363" s="37" t="n">
        <x:v>46050.28197916667</x:v>
      </x:c>
    </x:row>
    <x:row r="4364">
      <x:c r="A4364" s="22" t="n">
        <x:v>29692</x:v>
      </x:c>
      <x:c r="B4364" s="28" t="n">
        <x:v>1235</x:v>
      </x:c>
      <x:c r="C4364" s="28"/>
      <x:c r="D4364" s="31" t="str">
        <x:f>IF(OR(ISBLANK(B4364),ISBLANK(C4364),B4364=0),"",(C4364-B4364)/B4364)</x:f>
      </x:c>
      <x:c r="E4364" s="22" t="str">
        <x:f>IF(ISBLANK(C4364),"AmountIncludingTax缺失",IF(ABS(B4364-C4364)&lt;0.005,"一致","不一致"))</x:f>
        <x:v>AmountIncludingTax缺失</x:v>
      </x:c>
      <x:c r="F4364" s="19" t="str">
        <x:v>approved</x:v>
      </x:c>
      <x:c r="G4364" s="19" t="str">
        <x:v>Repair in Progress</x:v>
      </x:c>
      <x:c r="H4364" s="19" t="str">
        <x:v>In Field</x:v>
      </x:c>
      <x:c r="I4364" s="37" t="n">
        <x:v>46056</x:v>
      </x:c>
      <x:c r="J4364" s="37" t="n">
        <x:v>46050</x:v>
      </x:c>
      <x:c r="K4364" s="19" t="str">
        <x:v>Snowy River Wangaratta</x:v>
      </x:c>
      <x:c r="L4364" s="19" t="str">
        <x:v>Z006</x:v>
      </x:c>
      <x:c r="M4364" s="19" t="str">
        <x:v>In Field Warranty Claims</x:v>
      </x:c>
      <x:c r="N4364" s="37" t="n">
        <x:v>46030</x:v>
      </x:c>
      <x:c r="O4364" s="37"/>
      <x:c r="P4364" s="34" t="n">
        <x:v>0</x:v>
      </x:c>
      <x:c r="Q4364" s="37" t="n">
        <x:v>46055.94053240741</x:v>
      </x:c>
    </x:row>
    <x:row r="4365">
      <x:c r="A4365" s="22" t="n">
        <x:v>29691</x:v>
      </x:c>
      <x:c r="B4365" s="28" t="n">
        <x:v>111.25</x:v>
      </x:c>
      <x:c r="C4365" s="28"/>
      <x:c r="D4365" s="31" t="str">
        <x:f>IF(OR(ISBLANK(B4365),ISBLANK(C4365),B4365=0),"",(C4365-B4365)/B4365)</x:f>
      </x:c>
      <x:c r="E4365" s="22" t="str">
        <x:f>IF(ISBLANK(C4365),"AmountIncludingTax缺失",IF(ABS(B4365-C4365)&lt;0.005,"一致","不一致"))</x:f>
        <x:v>AmountIncludingTax缺失</x:v>
      </x:c>
      <x:c r="F4365" s="19" t="str">
        <x:v>approved</x:v>
      </x:c>
      <x:c r="G4365" s="19" t="str">
        <x:v>Repairer Invoiced Processed</x:v>
      </x:c>
      <x:c r="H4365" s="19" t="str">
        <x:v>In Field</x:v>
      </x:c>
      <x:c r="I4365" s="37" t="n">
        <x:v>46063</x:v>
      </x:c>
      <x:c r="J4365" s="37" t="n">
        <x:v>46063</x:v>
      </x:c>
      <x:c r="K4365" s="19" t="str">
        <x:v>Newcastle RV Super Centre - Beresfield</x:v>
      </x:c>
      <x:c r="L4365" s="19" t="str">
        <x:v>Z006</x:v>
      </x:c>
      <x:c r="M4365" s="19" t="str">
        <x:v>In Field Warranty Claims</x:v>
      </x:c>
      <x:c r="N4365" s="37" t="n">
        <x:v>46030</x:v>
      </x:c>
      <x:c r="O4365" s="37"/>
      <x:c r="P4365" s="34" t="n">
        <x:v>0</x:v>
      </x:c>
      <x:c r="Q4365" s="37" t="n">
        <x:v>46063.121712962966</x:v>
      </x:c>
    </x:row>
    <x:row r="4366">
      <x:c r="A4366" s="22" t="n">
        <x:v>29679</x:v>
      </x:c>
      <x:c r="B4366" s="28" t="n">
        <x:v>1625.15</x:v>
      </x:c>
      <x:c r="C4366" s="28"/>
      <x:c r="D4366" s="31" t="str">
        <x:f>IF(OR(ISBLANK(B4366),ISBLANK(C4366),B4366=0),"",(C4366-B4366)/B4366)</x:f>
      </x:c>
      <x:c r="E4366" s="22" t="str">
        <x:f>IF(ISBLANK(C4366),"AmountIncludingTax缺失",IF(ABS(B4366-C4366)&lt;0.005,"一致","不一致"))</x:f>
        <x:v>AmountIncludingTax缺失</x:v>
      </x:c>
      <x:c r="F4366" s="19" t="str">
        <x:v>approved</x:v>
      </x:c>
      <x:c r="G4366" s="19" t="str">
        <x:v>Repairer Invoiced Processed</x:v>
      </x:c>
      <x:c r="H4366" s="19" t="str">
        <x:v>Pre Delivery</x:v>
      </x:c>
      <x:c r="I4366" s="37" t="n">
        <x:v>46112</x:v>
      </x:c>
      <x:c r="J4366" s="37" t="n">
        <x:v>46112</x:v>
      </x:c>
      <x:c r="K4366" s="19" t="str">
        <x:v>Lesiure Lion-New Castle</x:v>
      </x:c>
      <x:c r="L4366" s="19" t="str">
        <x:v>Z005</x:v>
      </x:c>
      <x:c r="M4366" s="19" t="str">
        <x:v>Pre Delivery Warranty Claims</x:v>
      </x:c>
      <x:c r="N4366" s="37" t="n">
        <x:v>46030</x:v>
      </x:c>
      <x:c r="O4366" s="37"/>
      <x:c r="P4366" s="34" t="n">
        <x:v>1787.67</x:v>
      </x:c>
      <x:c r="Q4366" s="37" t="n">
        <x:v>46111.898877314816</x:v>
      </x:c>
    </x:row>
    <x:row r="4367">
      <x:c r="A4367" s="22" t="n">
        <x:v>29678</x:v>
      </x:c>
      <x:c r="B4367" s="28" t="n">
        <x:v>320.5</x:v>
      </x:c>
      <x:c r="C4367" s="28" t="n">
        <x:v>290.18</x:v>
      </x:c>
      <x:c r="D4367" s="31" t="n">
        <x:f>IF(OR(ISBLANK(B4367),ISBLANK(C4367),B4367=0),"",(C4367-B4367)/B4367)</x:f>
        <x:v>-0.09460218408736347</x:v>
      </x:c>
      <x:c r="E4367" s="22" t="str">
        <x:f>IF(ISBLANK(C4367),"AmountIncludingTax缺失",IF(ABS(B4367-C4367)&lt;0.005,"一致","不一致"))</x:f>
        <x:v>不一致</x:v>
      </x:c>
      <x:c r="F4367" s="19" t="str">
        <x:v>approved</x:v>
      </x:c>
      <x:c r="G4367" s="19" t="str">
        <x:v>Repairer Invoiced Processed</x:v>
      </x:c>
      <x:c r="H4367" s="19" t="str">
        <x:v>In Field</x:v>
      </x:c>
      <x:c r="I4367" s="37" t="n">
        <x:v>46056</x:v>
      </x:c>
      <x:c r="J4367" s="37" t="n">
        <x:v>46056</x:v>
      </x:c>
      <x:c r="K4367" s="19" t="str">
        <x:v>Vanari Caravans - Marden Point</x:v>
      </x:c>
      <x:c r="L4367" s="19" t="str">
        <x:v>Z006</x:v>
      </x:c>
      <x:c r="M4367" s="19" t="str">
        <x:v>In Field Warranty Claims</x:v>
      </x:c>
      <x:c r="N4367" s="37" t="n">
        <x:v>46030</x:v>
      </x:c>
      <x:c r="O4367" s="37"/>
      <x:c r="P4367" s="34" t="n">
        <x:v>290.18</x:v>
      </x:c>
      <x:c r="Q4367" s="37" t="n">
        <x:v>46056.21340277778</x:v>
      </x:c>
    </x:row>
    <x:row r="4368">
      <x:c r="A4368" s="22" t="n">
        <x:v>29674</x:v>
      </x:c>
      <x:c r="B4368" s="28" t="n">
        <x:v>555</x:v>
      </x:c>
      <x:c r="C4368" s="28"/>
      <x:c r="D4368" s="31" t="str">
        <x:f>IF(OR(ISBLANK(B4368),ISBLANK(C4368),B4368=0),"",(C4368-B4368)/B4368)</x:f>
      </x:c>
      <x:c r="E4368" s="22" t="str">
        <x:f>IF(ISBLANK(C4368),"AmountIncludingTax缺失",IF(ABS(B4368-C4368)&lt;0.005,"一致","不一致"))</x:f>
        <x:v>AmountIncludingTax缺失</x:v>
      </x:c>
      <x:c r="F4368" s="19" t="str">
        <x:v>approved</x:v>
      </x:c>
      <x:c r="G4368" s="19" t="str">
        <x:v>Repair in Progress</x:v>
      </x:c>
      <x:c r="H4368" s="19" t="str">
        <x:v>In Field</x:v>
      </x:c>
      <x:c r="I4368" s="37" t="n">
        <x:v>46078</x:v>
      </x:c>
      <x:c r="J4368" s="37" t="n">
        <x:v>46078</x:v>
      </x:c>
      <x:c r="K4368" s="19" t="str">
        <x:v>Regent RV - Frankston</x:v>
      </x:c>
      <x:c r="L4368" s="19" t="str">
        <x:v>Z006</x:v>
      </x:c>
      <x:c r="M4368" s="19" t="str">
        <x:v>In Field Warranty Claims</x:v>
      </x:c>
      <x:c r="N4368" s="37" t="n">
        <x:v>46030</x:v>
      </x:c>
      <x:c r="O4368" s="37" t="n">
        <x:v>46069</x:v>
      </x:c>
      <x:c r="P4368" s="34" t="n">
        <x:v>0</x:v>
      </x:c>
      <x:c r="Q4368" s="37" t="n">
        <x:v>46078.20150462963</x:v>
      </x:c>
    </x:row>
    <x:row r="4369">
      <x:c r="A4369" s="22" t="n">
        <x:v>29673</x:v>
      </x:c>
      <x:c r="B4369" s="28" t="n">
        <x:v>135</x:v>
      </x:c>
      <x:c r="C4369" s="28"/>
      <x:c r="D4369" s="31" t="str">
        <x:f>IF(OR(ISBLANK(B4369),ISBLANK(C4369),B4369=0),"",(C4369-B4369)/B4369)</x:f>
      </x:c>
      <x:c r="E4369" s="22" t="str">
        <x:f>IF(ISBLANK(C4369),"AmountIncludingTax缺失",IF(ABS(B4369-C4369)&lt;0.005,"一致","不一致"))</x:f>
        <x:v>AmountIncludingTax缺失</x:v>
      </x:c>
      <x:c r="F4369" s="19" t="str">
        <x:v>approved</x:v>
      </x:c>
      <x:c r="G4369" s="19" t="str">
        <x:v>Sales Order Approved</x:v>
      </x:c>
      <x:c r="H4369" s="19" t="str">
        <x:v>Pre Delivery</x:v>
      </x:c>
      <x:c r="I4369" s="37" t="n">
        <x:v>46077</x:v>
      </x:c>
      <x:c r="J4369" s="37" t="n">
        <x:v>46077</x:v>
      </x:c>
      <x:c r="K4369" s="19" t="str">
        <x:v>Snowy River Frankston</x:v>
      </x:c>
      <x:c r="L4369" s="19" t="str">
        <x:v>Z005</x:v>
      </x:c>
      <x:c r="M4369" s="19" t="str">
        <x:v>Pre Delivery Warranty Claims</x:v>
      </x:c>
      <x:c r="N4369" s="37" t="n">
        <x:v>46030</x:v>
      </x:c>
      <x:c r="O4369" s="37"/>
      <x:c r="P4369" s="34" t="n">
        <x:v>0</x:v>
      </x:c>
      <x:c r="Q4369" s="37" t="n">
        <x:v>46076.931909722225</x:v>
      </x:c>
    </x:row>
    <x:row r="4370">
      <x:c r="A4370" s="22" t="n">
        <x:v>29670</x:v>
      </x:c>
      <x:c r="B4370" s="28" t="n">
        <x:v>183.86</x:v>
      </x:c>
      <x:c r="C4370" s="28"/>
      <x:c r="D4370" s="31" t="str">
        <x:f>IF(OR(ISBLANK(B4370),ISBLANK(C4370),B4370=0),"",(C4370-B4370)/B4370)</x:f>
      </x:c>
      <x:c r="E4370" s="22" t="str">
        <x:f>IF(ISBLANK(C4370),"AmountIncludingTax缺失",IF(ABS(B4370-C4370)&lt;0.005,"一致","不一致"))</x:f>
        <x:v>AmountIncludingTax缺失</x:v>
      </x:c>
      <x:c r="F4370" s="19" t="str">
        <x:v>approved</x:v>
      </x:c>
      <x:c r="G4370" s="19" t="str">
        <x:v>Repairer Invoiced Processed</x:v>
      </x:c>
      <x:c r="H4370" s="19" t="str">
        <x:v>In Field</x:v>
      </x:c>
      <x:c r="I4370" s="37" t="n">
        <x:v>46104</x:v>
      </x:c>
      <x:c r="J4370" s="37" t="n">
        <x:v>46104</x:v>
      </x:c>
      <x:c r="K4370" s="19" t="str">
        <x:v>Dario Caravans -St.Marys</x:v>
      </x:c>
      <x:c r="L4370" s="19" t="str">
        <x:v>Z006</x:v>
      </x:c>
      <x:c r="M4370" s="19" t="str">
        <x:v>In Field Warranty Claims</x:v>
      </x:c>
      <x:c r="N4370" s="37" t="n">
        <x:v>46030</x:v>
      </x:c>
      <x:c r="O4370" s="37"/>
      <x:c r="P4370" s="34" t="n">
        <x:v>0</x:v>
      </x:c>
      <x:c r="Q4370" s="37" t="n">
        <x:v>46104.184965277775</x:v>
      </x:c>
    </x:row>
    <x:row r="4371">
      <x:c r="A4371" s="22" t="n">
        <x:v>29668</x:v>
      </x:c>
      <x:c r="B4371" s="28" t="n">
        <x:v>218.18</x:v>
      </x:c>
      <x:c r="C4371" s="28" t="n">
        <x:v>240</x:v>
      </x:c>
      <x:c r="D4371" s="31" t="n">
        <x:f>IF(OR(ISBLANK(B4371),ISBLANK(C4371),B4371=0),"",(C4371-B4371)/B4371)</x:f>
        <x:v>0.10000916674305615</x:v>
      </x:c>
      <x:c r="E4371" s="22" t="str">
        <x:f>IF(ISBLANK(C4371),"AmountIncludingTax缺失",IF(ABS(B4371-C4371)&lt;0.005,"一致","不一致"))</x:f>
        <x:v>不一致</x:v>
      </x:c>
      <x:c r="F4371" s="19" t="str">
        <x:v>approved</x:v>
      </x:c>
      <x:c r="G4371" s="19" t="str">
        <x:v>Repairer Invoiced Processed</x:v>
      </x:c>
      <x:c r="H4371" s="19" t="str">
        <x:v>Pre Delivery</x:v>
      </x:c>
      <x:c r="I4371" s="37" t="n">
        <x:v>46111</x:v>
      </x:c>
      <x:c r="J4371" s="37" t="n">
        <x:v>46111</x:v>
      </x:c>
      <x:c r="K4371" s="19" t="str">
        <x:v>Lesiure Lion-New Castle</x:v>
      </x:c>
      <x:c r="L4371" s="19" t="str">
        <x:v>Z005</x:v>
      </x:c>
      <x:c r="M4371" s="19" t="str">
        <x:v>Pre Delivery Warranty Claims</x:v>
      </x:c>
      <x:c r="N4371" s="37" t="n">
        <x:v>46030</x:v>
      </x:c>
      <x:c r="O4371" s="37"/>
      <x:c r="P4371" s="34" t="n">
        <x:v>240</x:v>
      </x:c>
      <x:c r="Q4371" s="37" t="n">
        <x:v>46111.2046412037</x:v>
      </x:c>
    </x:row>
    <x:row r="4372">
      <x:c r="A4372" s="22" t="n">
        <x:v>29665</x:v>
      </x:c>
      <x:c r="B4372" s="28" t="n">
        <x:v>324.97</x:v>
      </x:c>
      <x:c r="C4372" s="28" t="n">
        <x:v>357.47</x:v>
      </x:c>
      <x:c r="D4372" s="31" t="n">
        <x:f>IF(OR(ISBLANK(B4372),ISBLANK(C4372),B4372=0),"",(C4372-B4372)/B4372)</x:f>
        <x:v>0.10000923162138042</x:v>
      </x:c>
      <x:c r="E4372" s="22" t="str">
        <x:f>IF(ISBLANK(C4372),"AmountIncludingTax缺失",IF(ABS(B4372-C4372)&lt;0.005,"一致","不一致"))</x:f>
        <x:v>不一致</x:v>
      </x:c>
      <x:c r="F4372" s="19" t="str">
        <x:v>approved</x:v>
      </x:c>
      <x:c r="G4372" s="19" t="str">
        <x:v>Repairer Invoiced Processed</x:v>
      </x:c>
      <x:c r="H4372" s="19" t="str">
        <x:v>In Field</x:v>
      </x:c>
      <x:c r="I4372" s="37" t="n">
        <x:v>46120</x:v>
      </x:c>
      <x:c r="J4372" s="37" t="n">
        <x:v>46120</x:v>
      </x:c>
      <x:c r="K4372" s="19" t="str">
        <x:v>Auswide Caravans - South Nowra</x:v>
      </x:c>
      <x:c r="L4372" s="19" t="str">
        <x:v>Z006</x:v>
      </x:c>
      <x:c r="M4372" s="19" t="str">
        <x:v>In Field Warranty Claims</x:v>
      </x:c>
      <x:c r="N4372" s="37" t="n">
        <x:v>46030</x:v>
      </x:c>
      <x:c r="O4372" s="37"/>
      <x:c r="P4372" s="34" t="n">
        <x:v>357.47</x:v>
      </x:c>
      <x:c r="Q4372" s="37" t="n">
        <x:v>46120.24965277778</x:v>
      </x:c>
    </x:row>
    <x:row r="4373">
      <x:c r="A4373" s="22" t="n">
        <x:v>29664</x:v>
      </x:c>
      <x:c r="B4373" s="28" t="n">
        <x:v>661.51</x:v>
      </x:c>
      <x:c r="C4373" s="28" t="n">
        <x:v>727.66</x:v>
      </x:c>
      <x:c r="D4373" s="31" t="n">
        <x:f>IF(OR(ISBLANK(B4373),ISBLANK(C4373),B4373=0),"",(C4373-B4373)/B4373)</x:f>
        <x:v>0.09999848830705504</x:v>
      </x:c>
      <x:c r="E4373" s="22" t="str">
        <x:f>IF(ISBLANK(C4373),"AmountIncludingTax缺失",IF(ABS(B4373-C4373)&lt;0.005,"一致","不一致"))</x:f>
        <x:v>不一致</x:v>
      </x:c>
      <x:c r="F4373" s="19" t="str">
        <x:v>approved</x:v>
      </x:c>
      <x:c r="G4373" s="19" t="str">
        <x:v>Repairer Invoiced Processed</x:v>
      </x:c>
      <x:c r="H4373" s="19" t="str">
        <x:v>Pre Delivery</x:v>
      </x:c>
      <x:c r="I4373" s="37" t="n">
        <x:v>46184</x:v>
      </x:c>
      <x:c r="J4373" s="37" t="n">
        <x:v>46184</x:v>
      </x:c>
      <x:c r="K4373" s="19" t="str">
        <x:v>Lesiure Lion-New Castle</x:v>
      </x:c>
      <x:c r="L4373" s="19" t="str">
        <x:v>Z005</x:v>
      </x:c>
      <x:c r="M4373" s="19" t="str">
        <x:v>Pre Delivery Warranty Claims</x:v>
      </x:c>
      <x:c r="N4373" s="37" t="n">
        <x:v>46030</x:v>
      </x:c>
      <x:c r="O4373" s="37"/>
      <x:c r="P4373" s="34" t="n">
        <x:v>727.66</x:v>
      </x:c>
      <x:c r="Q4373" s="37" t="n">
        <x:v>46184.079050925924</x:v>
      </x:c>
    </x:row>
    <x:row r="4374">
      <x:c r="A4374" s="22" t="n">
        <x:v>29663</x:v>
      </x:c>
      <x:c r="B4374" s="28" t="n">
        <x:v>883.75</x:v>
      </x:c>
      <x:c r="C4374" s="28"/>
      <x:c r="D4374" s="31" t="str">
        <x:f>IF(OR(ISBLANK(B4374),ISBLANK(C4374),B4374=0),"",(C4374-B4374)/B4374)</x:f>
      </x:c>
      <x:c r="E4374" s="22" t="str">
        <x:f>IF(ISBLANK(C4374),"AmountIncludingTax缺失",IF(ABS(B4374-C4374)&lt;0.005,"一致","不一致"))</x:f>
        <x:v>AmountIncludingTax缺失</x:v>
      </x:c>
      <x:c r="F4374" s="19" t="str">
        <x:v>approved</x:v>
      </x:c>
      <x:c r="G4374" s="19" t="str">
        <x:v>Repair in Progress</x:v>
      </x:c>
      <x:c r="H4374" s="19" t="str">
        <x:v>Pre Delivery</x:v>
      </x:c>
      <x:c r="I4374" s="37" t="n">
        <x:v>46113</x:v>
      </x:c>
      <x:c r="J4374" s="37" t="n">
        <x:v>46073</x:v>
      </x:c>
      <x:c r="K4374" s="19" t="str">
        <x:v>Green RV - Forest Glen</x:v>
      </x:c>
      <x:c r="L4374" s="19" t="str">
        <x:v>Z005</x:v>
      </x:c>
      <x:c r="M4374" s="19" t="str">
        <x:v>Pre Delivery Warranty Claims</x:v>
      </x:c>
      <x:c r="N4374" s="37" t="n">
        <x:v>46030</x:v>
      </x:c>
      <x:c r="O4374" s="37"/>
      <x:c r="P4374" s="34" t="n">
        <x:v>0</x:v>
      </x:c>
      <x:c r="Q4374" s="37" t="n">
        <x:v>46113.03685185185</x:v>
      </x:c>
    </x:row>
    <x:row r="4375">
      <x:c r="A4375" s="22" t="n">
        <x:v>29662</x:v>
      </x:c>
      <x:c r="B4375" s="28" t="n">
        <x:v>67.5</x:v>
      </x:c>
      <x:c r="C4375" s="28"/>
      <x:c r="D4375" s="31" t="str">
        <x:f>IF(OR(ISBLANK(B4375),ISBLANK(C4375),B4375=0),"",(C4375-B4375)/B4375)</x:f>
      </x:c>
      <x:c r="E4375" s="22" t="str">
        <x:f>IF(ISBLANK(C4375),"AmountIncludingTax缺失",IF(ABS(B4375-C4375)&lt;0.005,"一致","不一致"))</x:f>
        <x:v>AmountIncludingTax缺失</x:v>
      </x:c>
      <x:c r="F4375" s="19" t="str">
        <x:v>approved</x:v>
      </x:c>
      <x:c r="G4375" s="19" t="str">
        <x:v>Repairer Invoiced Processed</x:v>
      </x:c>
      <x:c r="H4375" s="19" t="str">
        <x:v>In Field</x:v>
      </x:c>
      <x:c r="I4375" s="37" t="n">
        <x:v>46084</x:v>
      </x:c>
      <x:c r="J4375" s="37" t="n">
        <x:v>46084</x:v>
      </x:c>
      <x:c r="K4375" s="19" t="str">
        <x:v>Dario Caravans -St.Marys</x:v>
      </x:c>
      <x:c r="L4375" s="19" t="str">
        <x:v>Z006</x:v>
      </x:c>
      <x:c r="M4375" s="19" t="str">
        <x:v>In Field Warranty Claims</x:v>
      </x:c>
      <x:c r="N4375" s="37" t="n">
        <x:v>46030</x:v>
      </x:c>
      <x:c r="O4375" s="37"/>
      <x:c r="P4375" s="34" t="n">
        <x:v>0</x:v>
      </x:c>
      <x:c r="Q4375" s="37" t="n">
        <x:v>46084.076365740744</x:v>
      </x:c>
    </x:row>
    <x:row r="4376">
      <x:c r="A4376" s="22" t="n">
        <x:v>29661</x:v>
      </x:c>
      <x:c r="B4376" s="28" t="n">
        <x:v>212.5</x:v>
      </x:c>
      <x:c r="C4376" s="28"/>
      <x:c r="D4376" s="31" t="str">
        <x:f>IF(OR(ISBLANK(B4376),ISBLANK(C4376),B4376=0),"",(C4376-B4376)/B4376)</x:f>
      </x:c>
      <x:c r="E4376" s="22" t="str">
        <x:f>IF(ISBLANK(C4376),"AmountIncludingTax缺失",IF(ABS(B4376-C4376)&lt;0.005,"一致","不一致"))</x:f>
        <x:v>AmountIncludingTax缺失</x:v>
      </x:c>
      <x:c r="F4376" s="19" t="str">
        <x:v>approved</x:v>
      </x:c>
      <x:c r="G4376" s="19" t="str">
        <x:v>Repair in Progress</x:v>
      </x:c>
      <x:c r="H4376" s="19" t="str">
        <x:v>In Field</x:v>
      </x:c>
      <x:c r="I4376" s="37" t="n">
        <x:v>46062</x:v>
      </x:c>
      <x:c r="J4376" s="37" t="n">
        <x:v>46062</x:v>
      </x:c>
      <x:c r="K4376" s="19" t="str">
        <x:v>Green RV - Forest Glen</x:v>
      </x:c>
      <x:c r="L4376" s="19" t="str">
        <x:v>Z006</x:v>
      </x:c>
      <x:c r="M4376" s="19" t="str">
        <x:v>In Field Warranty Claims</x:v>
      </x:c>
      <x:c r="N4376" s="37" t="n">
        <x:v>46029</x:v>
      </x:c>
      <x:c r="O4376" s="37"/>
      <x:c r="P4376" s="34" t="n">
        <x:v>0</x:v>
      </x:c>
      <x:c r="Q4376" s="37" t="n">
        <x:v>46061.95914351852</x:v>
      </x:c>
    </x:row>
    <x:row r="4377">
      <x:c r="A4377" s="22" t="n">
        <x:v>29659</x:v>
      </x:c>
      <x:c r="B4377" s="28" t="n">
        <x:v>695</x:v>
      </x:c>
      <x:c r="C4377" s="28"/>
      <x:c r="D4377" s="31" t="str">
        <x:f>IF(OR(ISBLANK(B4377),ISBLANK(C4377),B4377=0),"",(C4377-B4377)/B4377)</x:f>
      </x:c>
      <x:c r="E4377" s="22" t="str">
        <x:f>IF(ISBLANK(C4377),"AmountIncludingTax缺失",IF(ABS(B4377-C4377)&lt;0.005,"一致","不一致"))</x:f>
        <x:v>AmountIncludingTax缺失</x:v>
      </x:c>
      <x:c r="F4377" s="19" t="str">
        <x:v>approved</x:v>
      </x:c>
      <x:c r="G4377" s="19" t="str">
        <x:v>Repairer Invoiced Processed</x:v>
      </x:c>
      <x:c r="H4377" s="19" t="str">
        <x:v>In Field</x:v>
      </x:c>
      <x:c r="I4377" s="37" t="n">
        <x:v>46087</x:v>
      </x:c>
      <x:c r="J4377" s="37" t="n">
        <x:v>46087</x:v>
      </x:c>
      <x:c r="K4377" s="19" t="str">
        <x:v>Newcastle RV Super Centre - Beresfield</x:v>
      </x:c>
      <x:c r="L4377" s="19" t="str">
        <x:v>Z006</x:v>
      </x:c>
      <x:c r="M4377" s="19" t="str">
        <x:v>In Field Warranty Claims</x:v>
      </x:c>
      <x:c r="N4377" s="37" t="n">
        <x:v>46030</x:v>
      </x:c>
      <x:c r="O4377" s="37"/>
      <x:c r="P4377" s="34" t="n">
        <x:v>0</x:v>
      </x:c>
      <x:c r="Q4377" s="37" t="n">
        <x:v>46087.06695601852</x:v>
      </x:c>
    </x:row>
    <x:row r="4378">
      <x:c r="A4378" s="22" t="n">
        <x:v>29658</x:v>
      </x:c>
      <x:c r="B4378" s="28" t="n">
        <x:v>73.86</x:v>
      </x:c>
      <x:c r="C4378" s="28"/>
      <x:c r="D4378" s="31" t="str">
        <x:f>IF(OR(ISBLANK(B4378),ISBLANK(C4378),B4378=0),"",(C4378-B4378)/B4378)</x:f>
      </x:c>
      <x:c r="E4378" s="22" t="str">
        <x:f>IF(ISBLANK(C4378),"AmountIncludingTax缺失",IF(ABS(B4378-C4378)&lt;0.005,"一致","不一致"))</x:f>
        <x:v>AmountIncludingTax缺失</x:v>
      </x:c>
      <x:c r="F4378" s="19" t="str">
        <x:v>approved</x:v>
      </x:c>
      <x:c r="G4378" s="19" t="str">
        <x:v>Repairer Invoiced Processed</x:v>
      </x:c>
      <x:c r="H4378" s="19" t="str">
        <x:v>In Field</x:v>
      </x:c>
      <x:c r="I4378" s="37" t="n">
        <x:v>46045</x:v>
      </x:c>
      <x:c r="J4378" s="37" t="n">
        <x:v>46044</x:v>
      </x:c>
      <x:c r="K4378" s="19" t="str">
        <x:v>Green RV - Forest Glen</x:v>
      </x:c>
      <x:c r="L4378" s="19" t="str">
        <x:v>Z006</x:v>
      </x:c>
      <x:c r="M4378" s="19" t="str">
        <x:v>In Field Warranty Claims</x:v>
      </x:c>
      <x:c r="N4378" s="37" t="n">
        <x:v>46030</x:v>
      </x:c>
      <x:c r="O4378" s="37"/>
      <x:c r="P4378" s="34" t="n">
        <x:v>0</x:v>
      </x:c>
      <x:c r="Q4378" s="37" t="n">
        <x:v>46044.57394675926</x:v>
      </x:c>
    </x:row>
    <x:row r="4379">
      <x:c r="A4379" s="22" t="n">
        <x:v>29657</x:v>
      </x:c>
      <x:c r="B4379" s="28" t="n">
        <x:v>72.5</x:v>
      </x:c>
      <x:c r="C4379" s="28"/>
      <x:c r="D4379" s="31" t="str">
        <x:f>IF(OR(ISBLANK(B4379),ISBLANK(C4379),B4379=0),"",(C4379-B4379)/B4379)</x:f>
      </x:c>
      <x:c r="E4379" s="22" t="str">
        <x:f>IF(ISBLANK(C4379),"AmountIncludingTax缺失",IF(ABS(B4379-C4379)&lt;0.005,"一致","不一致"))</x:f>
        <x:v>AmountIncludingTax缺失</x:v>
      </x:c>
      <x:c r="F4379" s="19" t="str">
        <x:v>approved</x:v>
      </x:c>
      <x:c r="G4379" s="19" t="str">
        <x:v>Repair in Progress</x:v>
      </x:c>
      <x:c r="H4379" s="19" t="str">
        <x:v>In Field</x:v>
      </x:c>
      <x:c r="I4379" s="37" t="n">
        <x:v>46076</x:v>
      </x:c>
      <x:c r="J4379" s="37" t="n">
        <x:v>46076</x:v>
      </x:c>
      <x:c r="K4379" s="19" t="str">
        <x:v>Newcastle RV Super Centre - Beresfield</x:v>
      </x:c>
      <x:c r="L4379" s="19" t="str">
        <x:v>Z006</x:v>
      </x:c>
      <x:c r="M4379" s="19" t="str">
        <x:v>In Field Warranty Claims</x:v>
      </x:c>
      <x:c r="N4379" s="37" t="n">
        <x:v>46030</x:v>
      </x:c>
      <x:c r="O4379" s="37"/>
      <x:c r="P4379" s="34" t="n">
        <x:v>0</x:v>
      </x:c>
      <x:c r="Q4379" s="37" t="n">
        <x:v>46076.1725</x:v>
      </x:c>
    </x:row>
    <x:row r="4380">
      <x:c r="A4380" s="22" t="n">
        <x:v>29656</x:v>
      </x:c>
      <x:c r="B4380" s="28" t="n">
        <x:v>659.55</x:v>
      </x:c>
      <x:c r="C4380" s="28" t="n">
        <x:v>725.51</x:v>
      </x:c>
      <x:c r="D4380" s="31" t="n">
        <x:f>IF(OR(ISBLANK(B4380),ISBLANK(C4380),B4380=0),"",(C4380-B4380)/B4380)</x:f>
        <x:v>0.10000758092638927</x:v>
      </x:c>
      <x:c r="E4380" s="22" t="str">
        <x:f>IF(ISBLANK(C4380),"AmountIncludingTax缺失",IF(ABS(B4380-C4380)&lt;0.005,"一致","不一致"))</x:f>
        <x:v>不一致</x:v>
      </x:c>
      <x:c r="F4380" s="19" t="str">
        <x:v>approved</x:v>
      </x:c>
      <x:c r="G4380" s="19" t="str">
        <x:v>Repairer Invoiced Processed</x:v>
      </x:c>
      <x:c r="H4380" s="19" t="str">
        <x:v>In Field</x:v>
      </x:c>
      <x:c r="I4380" s="37" t="n">
        <x:v>46067</x:v>
      </x:c>
      <x:c r="J4380" s="37" t="n">
        <x:v>46066</x:v>
      </x:c>
      <x:c r="K4380" s="19" t="str">
        <x:v>QCCC - Gympie</x:v>
      </x:c>
      <x:c r="L4380" s="19" t="str">
        <x:v>Z006</x:v>
      </x:c>
      <x:c r="M4380" s="19" t="str">
        <x:v>In Field Warranty Claims</x:v>
      </x:c>
      <x:c r="N4380" s="37" t="n">
        <x:v>46030</x:v>
      </x:c>
      <x:c r="O4380" s="37"/>
      <x:c r="P4380" s="34" t="n">
        <x:v>725.51</x:v>
      </x:c>
      <x:c r="Q4380" s="37" t="n">
        <x:v>46066.54928240741</x:v>
      </x:c>
    </x:row>
    <x:row r="4381">
      <x:c r="A4381" s="22" t="n">
        <x:v>29654</x:v>
      </x:c>
      <x:c r="B4381" s="28" t="n">
        <x:v>1132.27</x:v>
      </x:c>
      <x:c r="C4381" s="28"/>
      <x:c r="D4381" s="31" t="str">
        <x:f>IF(OR(ISBLANK(B4381),ISBLANK(C4381),B4381=0),"",(C4381-B4381)/B4381)</x:f>
      </x:c>
      <x:c r="E4381" s="22" t="str">
        <x:f>IF(ISBLANK(C4381),"AmountIncludingTax缺失",IF(ABS(B4381-C4381)&lt;0.005,"一致","不一致"))</x:f>
        <x:v>AmountIncludingTax缺失</x:v>
      </x:c>
      <x:c r="F4381" s="19" t="str">
        <x:v>approved</x:v>
      </x:c>
      <x:c r="G4381" s="19" t="str">
        <x:v>Repairer Invoiced Processed</x:v>
      </x:c>
      <x:c r="H4381" s="19" t="str">
        <x:v>In Field</x:v>
      </x:c>
      <x:c r="I4381" s="37" t="n">
        <x:v>46111</x:v>
      </x:c>
      <x:c r="J4381" s="37" t="n">
        <x:v>46111</x:v>
      </x:c>
      <x:c r="K4381" s="19" t="str">
        <x:v>Green RV - Forest Glen</x:v>
      </x:c>
      <x:c r="L4381" s="19" t="str">
        <x:v>Z006</x:v>
      </x:c>
      <x:c r="M4381" s="19" t="str">
        <x:v>In Field Warranty Claims</x:v>
      </x:c>
      <x:c r="N4381" s="37" t="n">
        <x:v>46029</x:v>
      </x:c>
      <x:c r="O4381" s="37"/>
      <x:c r="P4381" s="34" t="n">
        <x:v>1245.5</x:v>
      </x:c>
      <x:c r="Q4381" s="37" t="n">
        <x:v>46110.99755787037</x:v>
      </x:c>
    </x:row>
    <x:row r="4382">
      <x:c r="A4382" s="22" t="n">
        <x:v>29653</x:v>
      </x:c>
      <x:c r="B4382" s="28" t="n">
        <x:v>187.25</x:v>
      </x:c>
      <x:c r="C4382" s="28"/>
      <x:c r="D4382" s="31" t="str">
        <x:f>IF(OR(ISBLANK(B4382),ISBLANK(C4382),B4382=0),"",(C4382-B4382)/B4382)</x:f>
      </x:c>
      <x:c r="E4382" s="22" t="str">
        <x:f>IF(ISBLANK(C4382),"AmountIncludingTax缺失",IF(ABS(B4382-C4382)&lt;0.005,"一致","不一致"))</x:f>
        <x:v>AmountIncludingTax缺失</x:v>
      </x:c>
      <x:c r="F4382" s="19" t="str">
        <x:v>approved</x:v>
      </x:c>
      <x:c r="G4382" s="19" t="str">
        <x:v>Repairer Invoiced Processed</x:v>
      </x:c>
      <x:c r="H4382" s="19" t="str">
        <x:v>In Field</x:v>
      </x:c>
      <x:c r="I4382" s="37" t="n">
        <x:v>46076</x:v>
      </x:c>
      <x:c r="J4382" s="37" t="n">
        <x:v>46076</x:v>
      </x:c>
      <x:c r="K4382" s="19" t="str">
        <x:v>Newcastle RV Super Centre - Beresfield</x:v>
      </x:c>
      <x:c r="L4382" s="19" t="str">
        <x:v>Z006</x:v>
      </x:c>
      <x:c r="M4382" s="19" t="str">
        <x:v>In Field Warranty Claims</x:v>
      </x:c>
      <x:c r="N4382" s="37" t="n">
        <x:v>46029</x:v>
      </x:c>
      <x:c r="O4382" s="37"/>
      <x:c r="P4382" s="34" t="n">
        <x:v>0</x:v>
      </x:c>
      <x:c r="Q4382" s="37" t="n">
        <x:v>46076.17704861111</x:v>
      </x:c>
    </x:row>
    <x:row r="4383">
      <x:c r="A4383" s="22" t="n">
        <x:v>29650</x:v>
      </x:c>
      <x:c r="B4383" s="28" t="n">
        <x:v>645</x:v>
      </x:c>
      <x:c r="C4383" s="28" t="n">
        <x:v>583.98</x:v>
      </x:c>
      <x:c r="D4383" s="31" t="n">
        <x:f>IF(OR(ISBLANK(B4383),ISBLANK(C4383),B4383=0),"",(C4383-B4383)/B4383)</x:f>
        <x:v>-0.09460465116279067</x:v>
      </x:c>
      <x:c r="E4383" s="22" t="str">
        <x:f>IF(ISBLANK(C4383),"AmountIncludingTax缺失",IF(ABS(B4383-C4383)&lt;0.005,"一致","不一致"))</x:f>
        <x:v>不一致</x:v>
      </x:c>
      <x:c r="F4383" s="19" t="str">
        <x:v>approved</x:v>
      </x:c>
      <x:c r="G4383" s="19" t="str">
        <x:v>Repairer Invoiced Processed</x:v>
      </x:c>
      <x:c r="H4383" s="19" t="str">
        <x:v>In Field</x:v>
      </x:c>
      <x:c r="I4383" s="37" t="n">
        <x:v>46086</x:v>
      </x:c>
      <x:c r="J4383" s="37" t="n">
        <x:v>46086</x:v>
      </x:c>
      <x:c r="K4383" s="19" t="str">
        <x:v>Vanari Caravans - Marden Point</x:v>
      </x:c>
      <x:c r="L4383" s="19" t="str">
        <x:v>Z006</x:v>
      </x:c>
      <x:c r="M4383" s="19" t="str">
        <x:v>In Field Warranty Claims</x:v>
      </x:c>
      <x:c r="N4383" s="37" t="n">
        <x:v>46029</x:v>
      </x:c>
      <x:c r="O4383" s="37"/>
      <x:c r="P4383" s="34" t="n">
        <x:v>583.98</x:v>
      </x:c>
      <x:c r="Q4383" s="37" t="n">
        <x:v>46086.20358796296</x:v>
      </x:c>
    </x:row>
    <x:row r="4384">
      <x:c r="A4384" s="22" t="n">
        <x:v>29649</x:v>
      </x:c>
      <x:c r="B4384" s="28" t="n">
        <x:v>72.5</x:v>
      </x:c>
      <x:c r="C4384" s="28"/>
      <x:c r="D4384" s="31" t="str">
        <x:f>IF(OR(ISBLANK(B4384),ISBLANK(C4384),B4384=0),"",(C4384-B4384)/B4384)</x:f>
      </x:c>
      <x:c r="E4384" s="22" t="str">
        <x:f>IF(ISBLANK(C4384),"AmountIncludingTax缺失",IF(ABS(B4384-C4384)&lt;0.005,"一致","不一致"))</x:f>
        <x:v>AmountIncludingTax缺失</x:v>
      </x:c>
      <x:c r="F4384" s="19" t="str">
        <x:v>approved</x:v>
      </x:c>
      <x:c r="G4384" s="19" t="str">
        <x:v>Repair in Progress</x:v>
      </x:c>
      <x:c r="H4384" s="19" t="str">
        <x:v>In Field</x:v>
      </x:c>
      <x:c r="I4384" s="37" t="n">
        <x:v>46076</x:v>
      </x:c>
      <x:c r="J4384" s="37" t="n">
        <x:v>46076</x:v>
      </x:c>
      <x:c r="K4384" s="19" t="str">
        <x:v>Newcastle RV Super Centre - Beresfield</x:v>
      </x:c>
      <x:c r="L4384" s="19" t="str">
        <x:v>Z006</x:v>
      </x:c>
      <x:c r="M4384" s="19" t="str">
        <x:v>In Field Warranty Claims</x:v>
      </x:c>
      <x:c r="N4384" s="37" t="n">
        <x:v>46029</x:v>
      </x:c>
      <x:c r="O4384" s="37"/>
      <x:c r="P4384" s="34" t="n">
        <x:v>0</x:v>
      </x:c>
      <x:c r="Q4384" s="37" t="n">
        <x:v>46076.04508101852</x:v>
      </x:c>
    </x:row>
    <x:row r="4385">
      <x:c r="A4385" s="22" t="n">
        <x:v>29648</x:v>
      </x:c>
      <x:c r="B4385" s="28" t="n">
        <x:v>945</x:v>
      </x:c>
      <x:c r="C4385" s="28"/>
      <x:c r="D4385" s="31" t="str">
        <x:f>IF(OR(ISBLANK(B4385),ISBLANK(C4385),B4385=0),"",(C4385-B4385)/B4385)</x:f>
      </x:c>
      <x:c r="E4385" s="22" t="str">
        <x:f>IF(ISBLANK(C4385),"AmountIncludingTax缺失",IF(ABS(B4385-C4385)&lt;0.005,"一致","不一致"))</x:f>
        <x:v>AmountIncludingTax缺失</x:v>
      </x:c>
      <x:c r="F4385" s="19" t="str">
        <x:v>approved</x:v>
      </x:c>
      <x:c r="G4385" s="19" t="str">
        <x:v>Partially Picked</x:v>
      </x:c>
      <x:c r="H4385" s="19" t="str">
        <x:v>Pre Delivery</x:v>
      </x:c>
      <x:c r="I4385" s="37" t="n">
        <x:v>46077</x:v>
      </x:c>
      <x:c r="J4385" s="37" t="n">
        <x:v>46077</x:v>
      </x:c>
      <x:c r="K4385" s="19" t="str">
        <x:v>Snowy River Frankston</x:v>
      </x:c>
      <x:c r="L4385" s="19" t="str">
        <x:v>Z005</x:v>
      </x:c>
      <x:c r="M4385" s="19" t="str">
        <x:v>Pre Delivery Warranty Claims</x:v>
      </x:c>
      <x:c r="N4385" s="37" t="n">
        <x:v>46029</x:v>
      </x:c>
      <x:c r="O4385" s="37"/>
      <x:c r="P4385" s="34" t="n">
        <x:v>0</x:v>
      </x:c>
      <x:c r="Q4385" s="37" t="n">
        <x:v>46077.11591435185</x:v>
      </x:c>
    </x:row>
    <x:row r="4386">
      <x:c r="A4386" s="22" t="n">
        <x:v>29645</x:v>
      </x:c>
      <x:c r="B4386" s="28" t="n">
        <x:v>827.27</x:v>
      </x:c>
      <x:c r="C4386" s="28" t="n">
        <x:v>910</x:v>
      </x:c>
      <x:c r="D4386" s="31" t="n">
        <x:f>IF(OR(ISBLANK(B4386),ISBLANK(C4386),B4386=0),"",(C4386-B4386)/B4386)</x:f>
        <x:v>0.10000362638558151</x:v>
      </x:c>
      <x:c r="E4386" s="22" t="str">
        <x:f>IF(ISBLANK(C4386),"AmountIncludingTax缺失",IF(ABS(B4386-C4386)&lt;0.005,"一致","不一致"))</x:f>
        <x:v>不一致</x:v>
      </x:c>
      <x:c r="F4386" s="19" t="str">
        <x:v>approved</x:v>
      </x:c>
      <x:c r="G4386" s="19" t="str">
        <x:v>Repairer Invoiced Processed</x:v>
      </x:c>
      <x:c r="H4386" s="19" t="str">
        <x:v>In Field</x:v>
      </x:c>
      <x:c r="I4386" s="37" t="n">
        <x:v>46139</x:v>
      </x:c>
      <x:c r="J4386" s="37" t="n">
        <x:v>46136</x:v>
      </x:c>
      <x:c r="K4386" s="19" t="str">
        <x:v>Caravans WA</x:v>
      </x:c>
      <x:c r="L4386" s="19" t="str">
        <x:v>Z006</x:v>
      </x:c>
      <x:c r="M4386" s="19" t="str">
        <x:v>In Field Warranty Claims</x:v>
      </x:c>
      <x:c r="N4386" s="37" t="n">
        <x:v>46029</x:v>
      </x:c>
      <x:c r="O4386" s="37"/>
      <x:c r="P4386" s="34" t="n">
        <x:v>910</x:v>
      </x:c>
      <x:c r="Q4386" s="37" t="n">
        <x:v>46138.949907407405</x:v>
      </x:c>
    </x:row>
    <x:row r="4387">
      <x:c r="A4387" s="22" t="n">
        <x:v>29642</x:v>
      </x:c>
      <x:c r="B4387" s="28" t="n">
        <x:v>268</x:v>
      </x:c>
      <x:c r="C4387" s="28" t="n">
        <x:v>294.8</x:v>
      </x:c>
      <x:c r="D4387" s="31" t="n">
        <x:f>IF(OR(ISBLANK(B4387),ISBLANK(C4387),B4387=0),"",(C4387-B4387)/B4387)</x:f>
        <x:v>0.10000000000000005</x:v>
      </x:c>
      <x:c r="E4387" s="22" t="str">
        <x:f>IF(ISBLANK(C4387),"AmountIncludingTax缺失",IF(ABS(B4387-C4387)&lt;0.005,"一致","不一致"))</x:f>
        <x:v>不一致</x:v>
      </x:c>
      <x:c r="F4387" s="19" t="str">
        <x:v>approved</x:v>
      </x:c>
      <x:c r="G4387" s="19" t="str">
        <x:v>Repairer Invoiced Processed</x:v>
      </x:c>
      <x:c r="H4387" s="19" t="str">
        <x:v>In Field</x:v>
      </x:c>
      <x:c r="I4387" s="37" t="n">
        <x:v>46062</x:v>
      </x:c>
      <x:c r="J4387" s="37" t="n">
        <x:v>46062</x:v>
      </x:c>
      <x:c r="K4387" s="19" t="str">
        <x:v>Green RV - Forest Glen</x:v>
      </x:c>
      <x:c r="L4387" s="19" t="str">
        <x:v>Z006</x:v>
      </x:c>
      <x:c r="M4387" s="19" t="str">
        <x:v>In Field Warranty Claims</x:v>
      </x:c>
      <x:c r="N4387" s="37" t="n">
        <x:v>46029</x:v>
      </x:c>
      <x:c r="O4387" s="37"/>
      <x:c r="P4387" s="34" t="n">
        <x:v>294.8</x:v>
      </x:c>
      <x:c r="Q4387" s="37" t="n">
        <x:v>46061.897361111114</x:v>
      </x:c>
    </x:row>
    <x:row r="4388">
      <x:c r="A4388" s="22" t="n">
        <x:v>29641</x:v>
      </x:c>
      <x:c r="B4388" s="28" t="n">
        <x:v>429</x:v>
      </x:c>
      <x:c r="C4388" s="28"/>
      <x:c r="D4388" s="31" t="str">
        <x:f>IF(OR(ISBLANK(B4388),ISBLANK(C4388),B4388=0),"",(C4388-B4388)/B4388)</x:f>
      </x:c>
      <x:c r="E4388" s="22" t="str">
        <x:f>IF(ISBLANK(C4388),"AmountIncludingTax缺失",IF(ABS(B4388-C4388)&lt;0.005,"一致","不一致"))</x:f>
        <x:v>AmountIncludingTax缺失</x:v>
      </x:c>
      <x:c r="F4388" s="19" t="str">
        <x:v>approved</x:v>
      </x:c>
      <x:c r="G4388" s="19" t="str">
        <x:v>Repairer Invoiced Processed</x:v>
      </x:c>
      <x:c r="H4388" s="19" t="str">
        <x:v>In Field</x:v>
      </x:c>
      <x:c r="I4388" s="37" t="n">
        <x:v>46087</x:v>
      </x:c>
      <x:c r="J4388" s="37" t="n">
        <x:v>46087</x:v>
      </x:c>
      <x:c r="K4388" s="19" t="str">
        <x:v>Green RV - Slacks Creek</x:v>
      </x:c>
      <x:c r="L4388" s="19" t="str">
        <x:v>Z006</x:v>
      </x:c>
      <x:c r="M4388" s="19" t="str">
        <x:v>In Field Warranty Claims</x:v>
      </x:c>
      <x:c r="N4388" s="37" t="n">
        <x:v>46029</x:v>
      </x:c>
      <x:c r="O4388" s="37"/>
      <x:c r="P4388" s="34" t="n">
        <x:v>0</x:v>
      </x:c>
      <x:c r="Q4388" s="37" t="n">
        <x:v>46087.066782407404</x:v>
      </x:c>
    </x:row>
    <x:row r="4389">
      <x:c r="A4389" s="22" t="n">
        <x:v>29630</x:v>
      </x:c>
      <x:c r="B4389" s="28" t="n">
        <x:v>1222.5</x:v>
      </x:c>
      <x:c r="C4389" s="28"/>
      <x:c r="D4389" s="31" t="str">
        <x:f>IF(OR(ISBLANK(B4389),ISBLANK(C4389),B4389=0),"",(C4389-B4389)/B4389)</x:f>
      </x:c>
      <x:c r="E4389" s="22" t="str">
        <x:f>IF(ISBLANK(C4389),"AmountIncludingTax缺失",IF(ABS(B4389-C4389)&lt;0.005,"一致","不一致"))</x:f>
        <x:v>AmountIncludingTax缺失</x:v>
      </x:c>
      <x:c r="F4389" s="19" t="str">
        <x:v>approved</x:v>
      </x:c>
      <x:c r="G4389" s="19" t="str">
        <x:v>Repair in Progress</x:v>
      </x:c>
      <x:c r="H4389" s="19" t="str">
        <x:v>In Field</x:v>
      </x:c>
      <x:c r="I4389" s="37" t="n">
        <x:v>46121</x:v>
      </x:c>
      <x:c r="J4389" s="37" t="n">
        <x:v>46121</x:v>
      </x:c>
      <x:c r="K4389" s="19" t="str">
        <x:v>Regent RV - Perth</x:v>
      </x:c>
      <x:c r="L4389" s="19" t="str">
        <x:v>Z006</x:v>
      </x:c>
      <x:c r="M4389" s="19" t="str">
        <x:v>In Field Warranty Claims</x:v>
      </x:c>
      <x:c r="N4389" s="37" t="n">
        <x:v>46029</x:v>
      </x:c>
      <x:c r="O4389" s="37"/>
      <x:c r="P4389" s="34" t="n">
        <x:v>0</x:v>
      </x:c>
      <x:c r="Q4389" s="37" t="n">
        <x:v>46121.25491898148</x:v>
      </x:c>
    </x:row>
    <x:row r="4390">
      <x:c r="A4390" s="22" t="n">
        <x:v>29627</x:v>
      </x:c>
      <x:c r="B4390" s="28" t="n">
        <x:v>540</x:v>
      </x:c>
      <x:c r="C4390" s="28"/>
      <x:c r="D4390" s="31" t="str">
        <x:f>IF(OR(ISBLANK(B4390),ISBLANK(C4390),B4390=0),"",(C4390-B4390)/B4390)</x:f>
      </x:c>
      <x:c r="E4390" s="22" t="str">
        <x:f>IF(ISBLANK(C4390),"AmountIncludingTax缺失",IF(ABS(B4390-C4390)&lt;0.005,"一致","不一致"))</x:f>
        <x:v>AmountIncludingTax缺失</x:v>
      </x:c>
      <x:c r="F4390" s="19" t="str">
        <x:v>approved</x:v>
      </x:c>
      <x:c r="G4390" s="19" t="str">
        <x:v>Repair in Progress</x:v>
      </x:c>
      <x:c r="H4390" s="19" t="str">
        <x:v>In Field</x:v>
      </x:c>
      <x:c r="I4390" s="37" t="n">
        <x:v>46150</x:v>
      </x:c>
      <x:c r="J4390" s="37" t="n">
        <x:v>46150</x:v>
      </x:c>
      <x:c r="K4390" s="19" t="str">
        <x:v>Regent RV - Perth</x:v>
      </x:c>
      <x:c r="L4390" s="19" t="str">
        <x:v>Z006</x:v>
      </x:c>
      <x:c r="M4390" s="19" t="str">
        <x:v>In Field Warranty Claims</x:v>
      </x:c>
      <x:c r="N4390" s="37" t="n">
        <x:v>46029</x:v>
      </x:c>
      <x:c r="O4390" s="37"/>
      <x:c r="P4390" s="34" t="n">
        <x:v>0</x:v>
      </x:c>
      <x:c r="Q4390" s="37" t="n">
        <x:v>46150.02060185185</x:v>
      </x:c>
    </x:row>
    <x:row r="4391">
      <x:c r="A4391" s="22" t="n">
        <x:v>29626</x:v>
      </x:c>
      <x:c r="B4391" s="28" t="n">
        <x:v>226.68</x:v>
      </x:c>
      <x:c r="C4391" s="28" t="n">
        <x:v>249.35</x:v>
      </x:c>
      <x:c r="D4391" s="31" t="n">
        <x:f>IF(OR(ISBLANK(B4391),ISBLANK(C4391),B4391=0),"",(C4391-B4391)/B4391)</x:f>
        <x:v>0.1000088230104111</x:v>
      </x:c>
      <x:c r="E4391" s="22" t="str">
        <x:f>IF(ISBLANK(C4391),"AmountIncludingTax缺失",IF(ABS(B4391-C4391)&lt;0.005,"一致","不一致"))</x:f>
        <x:v>不一致</x:v>
      </x:c>
      <x:c r="F4391" s="19" t="str">
        <x:v>approved</x:v>
      </x:c>
      <x:c r="G4391" s="19" t="str">
        <x:v>Repairer Invoiced Processed</x:v>
      </x:c>
      <x:c r="H4391" s="19" t="str">
        <x:v>In Field</x:v>
      </x:c>
      <x:c r="I4391" s="37" t="n">
        <x:v>46062</x:v>
      </x:c>
      <x:c r="J4391" s="37" t="n">
        <x:v>46062</x:v>
      </x:c>
      <x:c r="K4391" s="19" t="str">
        <x:v>Green RV - Forest Glen</x:v>
      </x:c>
      <x:c r="L4391" s="19" t="str">
        <x:v>Z006</x:v>
      </x:c>
      <x:c r="M4391" s="19" t="str">
        <x:v>In Field Warranty Claims</x:v>
      </x:c>
      <x:c r="N4391" s="37" t="n">
        <x:v>46029</x:v>
      </x:c>
      <x:c r="O4391" s="37"/>
      <x:c r="P4391" s="34" t="n">
        <x:v>249.35</x:v>
      </x:c>
      <x:c r="Q4391" s="37" t="n">
        <x:v>46061.88408564815</x:v>
      </x:c>
    </x:row>
    <x:row r="4392">
      <x:c r="A4392" s="22" t="n">
        <x:v>29625</x:v>
      </x:c>
      <x:c r="B4392" s="28" t="n">
        <x:v>250</x:v>
      </x:c>
      <x:c r="C4392" s="28" t="n">
        <x:v>275</x:v>
      </x:c>
      <x:c r="D4392" s="31" t="n">
        <x:f>IF(OR(ISBLANK(B4392),ISBLANK(C4392),B4392=0),"",(C4392-B4392)/B4392)</x:f>
        <x:v>0.1</x:v>
      </x:c>
      <x:c r="E4392" s="22" t="str">
        <x:f>IF(ISBLANK(C4392),"AmountIncludingTax缺失",IF(ABS(B4392-C4392)&lt;0.005,"一致","不一致"))</x:f>
        <x:v>不一致</x:v>
      </x:c>
      <x:c r="F4392" s="19" t="str">
        <x:v>approved</x:v>
      </x:c>
      <x:c r="G4392" s="19" t="str">
        <x:v>Repairer Invoiced Processed</x:v>
      </x:c>
      <x:c r="H4392" s="19" t="str">
        <x:v>In Field</x:v>
      </x:c>
      <x:c r="I4392" s="37" t="n">
        <x:v>46057</x:v>
      </x:c>
      <x:c r="J4392" s="37" t="n">
        <x:v>46056</x:v>
      </x:c>
      <x:c r="K4392" s="19" t="str">
        <x:v>Green RV - Forest Glen</x:v>
      </x:c>
      <x:c r="L4392" s="19" t="str">
        <x:v>Z006</x:v>
      </x:c>
      <x:c r="M4392" s="19" t="str">
        <x:v>In Field Warranty Claims</x:v>
      </x:c>
      <x:c r="N4392" s="37" t="n">
        <x:v>46029</x:v>
      </x:c>
      <x:c r="O4392" s="37"/>
      <x:c r="P4392" s="34" t="n">
        <x:v>275</x:v>
      </x:c>
      <x:c r="Q4392" s="37" t="n">
        <x:v>46056.866064814814</x:v>
      </x:c>
    </x:row>
    <x:row r="4393">
      <x:c r="A4393" s="22" t="n">
        <x:v>29624</x:v>
      </x:c>
      <x:c r="B4393" s="28" t="n">
        <x:v>401.82</x:v>
      </x:c>
      <x:c r="C4393" s="28" t="n">
        <x:v>442</x:v>
      </x:c>
      <x:c r="D4393" s="31" t="n">
        <x:f>IF(OR(ISBLANK(B4393),ISBLANK(C4393),B4393=0),"",(C4393-B4393)/B4393)</x:f>
        <x:v>0.09999502264695637</x:v>
      </x:c>
      <x:c r="E4393" s="22" t="str">
        <x:f>IF(ISBLANK(C4393),"AmountIncludingTax缺失",IF(ABS(B4393-C4393)&lt;0.005,"一致","不一致"))</x:f>
        <x:v>不一致</x:v>
      </x:c>
      <x:c r="F4393" s="19" t="str">
        <x:v>approved</x:v>
      </x:c>
      <x:c r="G4393" s="19" t="str">
        <x:v>Repairer Invoiced Processed</x:v>
      </x:c>
      <x:c r="H4393" s="19" t="str">
        <x:v>In Field</x:v>
      </x:c>
      <x:c r="I4393" s="37" t="n">
        <x:v>46057</x:v>
      </x:c>
      <x:c r="J4393" s="37" t="n">
        <x:v>46057</x:v>
      </x:c>
      <x:c r="K4393" s="19" t="str">
        <x:v>Green RV - Slacks Creek</x:v>
      </x:c>
      <x:c r="L4393" s="19" t="str">
        <x:v>Z006</x:v>
      </x:c>
      <x:c r="M4393" s="19" t="str">
        <x:v>In Field Warranty Claims</x:v>
      </x:c>
      <x:c r="N4393" s="37" t="n">
        <x:v>46029</x:v>
      </x:c>
      <x:c r="O4393" s="37"/>
      <x:c r="P4393" s="34" t="n">
        <x:v>442</x:v>
      </x:c>
      <x:c r="Q4393" s="37" t="n">
        <x:v>46056.90320601852</x:v>
      </x:c>
    </x:row>
    <x:row r="4394">
      <x:c r="A4394" s="22" t="n">
        <x:v>29623</x:v>
      </x:c>
      <x:c r="B4394" s="28" t="n">
        <x:v>211.14</x:v>
      </x:c>
      <x:c r="C4394" s="28" t="n">
        <x:v>232.25</x:v>
      </x:c>
      <x:c r="D4394" s="31" t="n">
        <x:f>IF(OR(ISBLANK(B4394),ISBLANK(C4394),B4394=0),"",(C4394-B4394)/B4394)</x:f>
        <x:v>0.09998105522402205</x:v>
      </x:c>
      <x:c r="E4394" s="22" t="str">
        <x:f>IF(ISBLANK(C4394),"AmountIncludingTax缺失",IF(ABS(B4394-C4394)&lt;0.005,"一致","不一致"))</x:f>
        <x:v>不一致</x:v>
      </x:c>
      <x:c r="F4394" s="19" t="str">
        <x:v>approved</x:v>
      </x:c>
      <x:c r="G4394" s="19" t="str">
        <x:v>Repairer Invoiced Processed</x:v>
      </x:c>
      <x:c r="H4394" s="19" t="str">
        <x:v>In Field</x:v>
      </x:c>
      <x:c r="I4394" s="37" t="n">
        <x:v>46056</x:v>
      </x:c>
      <x:c r="J4394" s="37" t="n">
        <x:v>46056</x:v>
      </x:c>
      <x:c r="K4394" s="19" t="str">
        <x:v>Green RV - Forest Glen</x:v>
      </x:c>
      <x:c r="L4394" s="19" t="str">
        <x:v>Z006</x:v>
      </x:c>
      <x:c r="M4394" s="19" t="str">
        <x:v>In Field Warranty Claims</x:v>
      </x:c>
      <x:c r="N4394" s="37" t="n">
        <x:v>46029</x:v>
      </x:c>
      <x:c r="O4394" s="37"/>
      <x:c r="P4394" s="34" t="n">
        <x:v>232.25</x:v>
      </x:c>
      <x:c r="Q4394" s="37" t="n">
        <x:v>46056.20935185185</x:v>
      </x:c>
    </x:row>
    <x:row r="4395">
      <x:c r="A4395" s="22" t="n">
        <x:v>29620</x:v>
      </x:c>
      <x:c r="B4395" s="28" t="n">
        <x:v>1113.75</x:v>
      </x:c>
      <x:c r="C4395" s="28"/>
      <x:c r="D4395" s="31" t="str">
        <x:f>IF(OR(ISBLANK(B4395),ISBLANK(C4395),B4395=0),"",(C4395-B4395)/B4395)</x:f>
      </x:c>
      <x:c r="E4395" s="22" t="str">
        <x:f>IF(ISBLANK(C4395),"AmountIncludingTax缺失",IF(ABS(B4395-C4395)&lt;0.005,"一致","不一致"))</x:f>
        <x:v>AmountIncludingTax缺失</x:v>
      </x:c>
      <x:c r="F4395" s="19" t="str">
        <x:v>approved</x:v>
      </x:c>
      <x:c r="G4395" s="19" t="str">
        <x:v>Repairer Invoiced Processed</x:v>
      </x:c>
      <x:c r="H4395" s="19" t="str">
        <x:v>Pre Delivery</x:v>
      </x:c>
      <x:c r="I4395" s="37" t="n">
        <x:v>46184</x:v>
      </x:c>
      <x:c r="J4395" s="37" t="n">
        <x:v>46184</x:v>
      </x:c>
      <x:c r="K4395" s="19" t="str">
        <x:v>Green RV - Forest Glen</x:v>
      </x:c>
      <x:c r="L4395" s="19" t="str">
        <x:v>Z005</x:v>
      </x:c>
      <x:c r="M4395" s="19" t="str">
        <x:v>Pre Delivery Warranty Claims</x:v>
      </x:c>
      <x:c r="N4395" s="37" t="n">
        <x:v>46029</x:v>
      </x:c>
      <x:c r="O4395" s="37"/>
      <x:c r="P4395" s="34" t="n">
        <x:v>0</x:v>
      </x:c>
      <x:c r="Q4395" s="37" t="n">
        <x:v>46184.00672453704</x:v>
      </x:c>
    </x:row>
    <x:row r="4396">
      <x:c r="A4396" s="22" t="n">
        <x:v>29619</x:v>
      </x:c>
      <x:c r="B4396" s="28" t="n">
        <x:v>2564.65</x:v>
      </x:c>
      <x:c r="C4396" s="28"/>
      <x:c r="D4396" s="31" t="str">
        <x:f>IF(OR(ISBLANK(B4396),ISBLANK(C4396),B4396=0),"",(C4396-B4396)/B4396)</x:f>
      </x:c>
      <x:c r="E4396" s="22" t="str">
        <x:f>IF(ISBLANK(C4396),"AmountIncludingTax缺失",IF(ABS(B4396-C4396)&lt;0.005,"一致","不一致"))</x:f>
        <x:v>AmountIncludingTax缺失</x:v>
      </x:c>
      <x:c r="F4396" s="19" t="str">
        <x:v>approved</x:v>
      </x:c>
      <x:c r="G4396" s="19" t="str">
        <x:v>Repairer Invoiced Processed</x:v>
      </x:c>
      <x:c r="H4396" s="19" t="str">
        <x:v>In Field</x:v>
      </x:c>
      <x:c r="I4396" s="37" t="n">
        <x:v>46171</x:v>
      </x:c>
      <x:c r="J4396" s="37" t="n">
        <x:v>46171</x:v>
      </x:c>
      <x:c r="K4396" s="19" t="str">
        <x:v>CMG Campers - Christchurch</x:v>
      </x:c>
      <x:c r="L4396" s="19" t="str">
        <x:v>Z006</x:v>
      </x:c>
      <x:c r="M4396" s="19" t="str">
        <x:v>In Field Warranty Claims</x:v>
      </x:c>
      <x:c r="N4396" s="37" t="n">
        <x:v>46029</x:v>
      </x:c>
      <x:c r="O4396" s="37"/>
      <x:c r="P4396" s="34" t="n">
        <x:v>2322.03</x:v>
      </x:c>
      <x:c r="Q4396" s="37" t="n">
        <x:v>46170.98572916666</x:v>
      </x:c>
    </x:row>
    <x:row r="4397">
      <x:c r="A4397" s="22" t="n">
        <x:v>29618</x:v>
      </x:c>
      <x:c r="B4397" s="28" t="n">
        <x:v>236.36</x:v>
      </x:c>
      <x:c r="C4397" s="28" t="n">
        <x:v>260</x:v>
      </x:c>
      <x:c r="D4397" s="31" t="n">
        <x:f>IF(OR(ISBLANK(B4397),ISBLANK(C4397),B4397=0),"",(C4397-B4397)/B4397)</x:f>
        <x:v>0.10001692333728204</x:v>
      </x:c>
      <x:c r="E4397" s="22" t="str">
        <x:f>IF(ISBLANK(C4397),"AmountIncludingTax缺失",IF(ABS(B4397-C4397)&lt;0.005,"一致","不一致"))</x:f>
        <x:v>不一致</x:v>
      </x:c>
      <x:c r="F4397" s="19" t="str">
        <x:v>approved</x:v>
      </x:c>
      <x:c r="G4397" s="19" t="str">
        <x:v>Repairer Invoiced Processed</x:v>
      </x:c>
      <x:c r="H4397" s="19" t="str">
        <x:v>In Field</x:v>
      </x:c>
      <x:c r="I4397" s="37" t="n">
        <x:v>46056</x:v>
      </x:c>
      <x:c r="J4397" s="37" t="n">
        <x:v>46056</x:v>
      </x:c>
      <x:c r="K4397" s="19" t="str">
        <x:v>Green RV - Slacks Creek</x:v>
      </x:c>
      <x:c r="L4397" s="19" t="str">
        <x:v>Z006</x:v>
      </x:c>
      <x:c r="M4397" s="19" t="str">
        <x:v>In Field Warranty Claims</x:v>
      </x:c>
      <x:c r="N4397" s="37" t="n">
        <x:v>46029</x:v>
      </x:c>
      <x:c r="O4397" s="37"/>
      <x:c r="P4397" s="34" t="n">
        <x:v>260</x:v>
      </x:c>
      <x:c r="Q4397" s="37" t="n">
        <x:v>46055.99365740741</x:v>
      </x:c>
    </x:row>
    <x:row r="4398">
      <x:c r="A4398" s="22" t="n">
        <x:v>29617</x:v>
      </x:c>
      <x:c r="B4398" s="28" t="n">
        <x:v>384.48</x:v>
      </x:c>
      <x:c r="C4398" s="28" t="n">
        <x:v>422.93</x:v>
      </x:c>
      <x:c r="D4398" s="31" t="n">
        <x:f>IF(OR(ISBLANK(B4398),ISBLANK(C4398),B4398=0),"",(C4398-B4398)/B4398)</x:f>
        <x:v>0.1000052018310445</x:v>
      </x:c>
      <x:c r="E4398" s="22" t="str">
        <x:f>IF(ISBLANK(C4398),"AmountIncludingTax缺失",IF(ABS(B4398-C4398)&lt;0.005,"一致","不一致"))</x:f>
        <x:v>不一致</x:v>
      </x:c>
      <x:c r="F4398" s="19" t="str">
        <x:v>approved</x:v>
      </x:c>
      <x:c r="G4398" s="19" t="str">
        <x:v>Repairer Invoiced Processed</x:v>
      </x:c>
      <x:c r="H4398" s="19" t="str">
        <x:v>Pre Delivery</x:v>
      </x:c>
      <x:c r="I4398" s="37" t="n">
        <x:v>46111</x:v>
      </x:c>
      <x:c r="J4398" s="37" t="n">
        <x:v>46111</x:v>
      </x:c>
      <x:c r="K4398" s="19" t="str">
        <x:v>Lesiure Lion-New Castle</x:v>
      </x:c>
      <x:c r="L4398" s="19" t="str">
        <x:v>Z005</x:v>
      </x:c>
      <x:c r="M4398" s="19" t="str">
        <x:v>Pre Delivery Warranty Claims</x:v>
      </x:c>
      <x:c r="N4398" s="37" t="n">
        <x:v>46029</x:v>
      </x:c>
      <x:c r="O4398" s="37"/>
      <x:c r="P4398" s="34" t="n">
        <x:v>422.93</x:v>
      </x:c>
      <x:c r="Q4398" s="37" t="n">
        <x:v>46111.133784722224</x:v>
      </x:c>
    </x:row>
    <x:row r="4399">
      <x:c r="A4399" s="22" t="n">
        <x:v>29616</x:v>
      </x:c>
      <x:c r="B4399" s="28" t="n">
        <x:v>367.5</x:v>
      </x:c>
      <x:c r="C4399" s="28"/>
      <x:c r="D4399" s="31" t="str">
        <x:f>IF(OR(ISBLANK(B4399),ISBLANK(C4399),B4399=0),"",(C4399-B4399)/B4399)</x:f>
      </x:c>
      <x:c r="E4399" s="22" t="str">
        <x:f>IF(ISBLANK(C4399),"AmountIncludingTax缺失",IF(ABS(B4399-C4399)&lt;0.005,"一致","不一致"))</x:f>
        <x:v>AmountIncludingTax缺失</x:v>
      </x:c>
      <x:c r="F4399" s="19" t="str">
        <x:v>approved</x:v>
      </x:c>
      <x:c r="G4399" s="19" t="str">
        <x:v>Repair in Progress</x:v>
      </x:c>
      <x:c r="H4399" s="19" t="str">
        <x:v>In Field</x:v>
      </x:c>
      <x:c r="I4399" s="37" t="n">
        <x:v>46062</x:v>
      </x:c>
      <x:c r="J4399" s="37" t="n">
        <x:v>46062</x:v>
      </x:c>
      <x:c r="K4399" s="19" t="str">
        <x:v>Green RV - Forest Glen</x:v>
      </x:c>
      <x:c r="L4399" s="19" t="str">
        <x:v>Z006</x:v>
      </x:c>
      <x:c r="M4399" s="19" t="str">
        <x:v>In Field Warranty Claims</x:v>
      </x:c>
      <x:c r="N4399" s="37" t="n">
        <x:v>46029</x:v>
      </x:c>
      <x:c r="O4399" s="37"/>
      <x:c r="P4399" s="34" t="n">
        <x:v>0</x:v>
      </x:c>
      <x:c r="Q4399" s="37" t="n">
        <x:v>46061.93461805556</x:v>
      </x:c>
    </x:row>
    <x:row r="4400">
      <x:c r="A4400" s="22" t="n">
        <x:v>29615</x:v>
      </x:c>
      <x:c r="B4400" s="28" t="n">
        <x:v>310.46</x:v>
      </x:c>
      <x:c r="C4400" s="28" t="n">
        <x:v>341.51</x:v>
      </x:c>
      <x:c r="D4400" s="31" t="n">
        <x:f>IF(OR(ISBLANK(B4400),ISBLANK(C4400),B4400=0),"",(C4400-B4400)/B4400)</x:f>
        <x:v>0.1000128841074535</x:v>
      </x:c>
      <x:c r="E4400" s="22" t="str">
        <x:f>IF(ISBLANK(C4400),"AmountIncludingTax缺失",IF(ABS(B4400-C4400)&lt;0.005,"一致","不一致"))</x:f>
        <x:v>不一致</x:v>
      </x:c>
      <x:c r="F4400" s="19" t="str">
        <x:v>approved</x:v>
      </x:c>
      <x:c r="G4400" s="19" t="str">
        <x:v>Repairer Invoiced Processed</x:v>
      </x:c>
      <x:c r="H4400" s="19" t="str">
        <x:v>In Field</x:v>
      </x:c>
      <x:c r="I4400" s="37" t="n">
        <x:v>46059</x:v>
      </x:c>
      <x:c r="J4400" s="37" t="n">
        <x:v>46059</x:v>
      </x:c>
      <x:c r="K4400" s="19" t="str">
        <x:v>Green RV - Forest Glen</x:v>
      </x:c>
      <x:c r="L4400" s="19" t="str">
        <x:v>Z006</x:v>
      </x:c>
      <x:c r="M4400" s="19" t="str">
        <x:v>In Field Warranty Claims</x:v>
      </x:c>
      <x:c r="N4400" s="37" t="n">
        <x:v>46029</x:v>
      </x:c>
      <x:c r="O4400" s="37"/>
      <x:c r="P4400" s="34" t="n">
        <x:v>341.51</x:v>
      </x:c>
      <x:c r="Q4400" s="37" t="n">
        <x:v>46059.1196412037</x:v>
      </x:c>
    </x:row>
    <x:row r="4401">
      <x:c r="A4401" s="22" t="n">
        <x:v>29614</x:v>
      </x:c>
      <x:c r="B4401" s="28" t="n">
        <x:v>434.54</x:v>
      </x:c>
      <x:c r="C4401" s="28" t="n">
        <x:v>477.99</x:v>
      </x:c>
      <x:c r="D4401" s="31" t="n">
        <x:f>IF(OR(ISBLANK(B4401),ISBLANK(C4401),B4401=0),"",(C4401-B4401)/B4401)</x:f>
        <x:v>0.09999079486353382</x:v>
      </x:c>
      <x:c r="E4401" s="22" t="str">
        <x:f>IF(ISBLANK(C4401),"AmountIncludingTax缺失",IF(ABS(B4401-C4401)&lt;0.005,"一致","不一致"))</x:f>
        <x:v>不一致</x:v>
      </x:c>
      <x:c r="F4401" s="19" t="str">
        <x:v>approved</x:v>
      </x:c>
      <x:c r="G4401" s="19" t="str">
        <x:v>Repair in Progress</x:v>
      </x:c>
      <x:c r="H4401" s="19" t="str">
        <x:v>Pre Delivery</x:v>
      </x:c>
      <x:c r="I4401" s="37" t="n">
        <x:v>46072</x:v>
      </x:c>
      <x:c r="J4401" s="37" t="n">
        <x:v>46072</x:v>
      </x:c>
      <x:c r="K4401" s="19" t="str">
        <x:v>Lesiure Lion-New Castle</x:v>
      </x:c>
      <x:c r="L4401" s="19" t="str">
        <x:v>Z005</x:v>
      </x:c>
      <x:c r="M4401" s="19" t="str">
        <x:v>Pre Delivery Warranty Claims</x:v>
      </x:c>
      <x:c r="N4401" s="37" t="n">
        <x:v>46029</x:v>
      </x:c>
      <x:c r="O4401" s="37"/>
      <x:c r="P4401" s="34" t="n">
        <x:v>477.99</x:v>
      </x:c>
      <x:c r="Q4401" s="37" t="n">
        <x:v>46071.950625</x:v>
      </x:c>
    </x:row>
    <x:row r="4402">
      <x:c r="A4402" s="22" t="n">
        <x:v>29613</x:v>
      </x:c>
      <x:c r="B4402" s="28" t="n">
        <x:v>145</x:v>
      </x:c>
      <x:c r="C4402" s="28"/>
      <x:c r="D4402" s="31" t="str">
        <x:f>IF(OR(ISBLANK(B4402),ISBLANK(C4402),B4402=0),"",(C4402-B4402)/B4402)</x:f>
      </x:c>
      <x:c r="E4402" s="22" t="str">
        <x:f>IF(ISBLANK(C4402),"AmountIncludingTax缺失",IF(ABS(B4402-C4402)&lt;0.005,"一致","不一致"))</x:f>
        <x:v>AmountIncludingTax缺失</x:v>
      </x:c>
      <x:c r="F4402" s="19" t="str">
        <x:v>approved</x:v>
      </x:c>
      <x:c r="G4402" s="19" t="str">
        <x:v>Repairer Invoiced Processed</x:v>
      </x:c>
      <x:c r="H4402" s="19" t="str">
        <x:v>In Field</x:v>
      </x:c>
      <x:c r="I4402" s="37" t="n">
        <x:v>46059</x:v>
      </x:c>
      <x:c r="J4402" s="37" t="n">
        <x:v>46059</x:v>
      </x:c>
      <x:c r="K4402" s="19" t="str">
        <x:v>Green RV - Forest Glen</x:v>
      </x:c>
      <x:c r="L4402" s="19" t="str">
        <x:v>Z006</x:v>
      </x:c>
      <x:c r="M4402" s="19" t="str">
        <x:v>In Field Warranty Claims</x:v>
      </x:c>
      <x:c r="N4402" s="37" t="n">
        <x:v>46029</x:v>
      </x:c>
      <x:c r="O4402" s="37"/>
      <x:c r="P4402" s="34" t="n">
        <x:v>0</x:v>
      </x:c>
      <x:c r="Q4402" s="37" t="n">
        <x:v>46059.14299768519</x:v>
      </x:c>
    </x:row>
    <x:row r="4403">
      <x:c r="A4403" s="22" t="n">
        <x:v>29612</x:v>
      </x:c>
      <x:c r="B4403" s="28" t="n">
        <x:v>1457.5</x:v>
      </x:c>
      <x:c r="C4403" s="28"/>
      <x:c r="D4403" s="31" t="str">
        <x:f>IF(OR(ISBLANK(B4403),ISBLANK(C4403),B4403=0),"",(C4403-B4403)/B4403)</x:f>
      </x:c>
      <x:c r="E4403" s="22" t="str">
        <x:f>IF(ISBLANK(C4403),"AmountIncludingTax缺失",IF(ABS(B4403-C4403)&lt;0.005,"一致","不一致"))</x:f>
        <x:v>AmountIncludingTax缺失</x:v>
      </x:c>
      <x:c r="F4403" s="19" t="str">
        <x:v>approved</x:v>
      </x:c>
      <x:c r="G4403" s="19" t="str">
        <x:v>Repair in Progress</x:v>
      </x:c>
      <x:c r="H4403" s="19" t="str">
        <x:v>In Field</x:v>
      </x:c>
      <x:c r="I4403" s="37" t="n">
        <x:v>46134</x:v>
      </x:c>
      <x:c r="J4403" s="37" t="n">
        <x:v>46064</x:v>
      </x:c>
      <x:c r="K4403" s="19" t="str">
        <x:v>Green RV - Forest Glen</x:v>
      </x:c>
      <x:c r="L4403" s="19" t="str">
        <x:v>Z006</x:v>
      </x:c>
      <x:c r="M4403" s="19" t="str">
        <x:v>In Field Warranty Claims</x:v>
      </x:c>
      <x:c r="N4403" s="37" t="n">
        <x:v>46029</x:v>
      </x:c>
      <x:c r="O4403" s="37"/>
      <x:c r="P4403" s="34" t="n">
        <x:v>0</x:v>
      </x:c>
      <x:c r="Q4403" s="37" t="n">
        <x:v>46134.15447916667</x:v>
      </x:c>
    </x:row>
    <x:row r="4404">
      <x:c r="A4404" s="22" t="n">
        <x:v>29611</x:v>
      </x:c>
      <x:c r="B4404" s="28" t="n">
        <x:v>1001.57</x:v>
      </x:c>
      <x:c r="C4404" s="28"/>
      <x:c r="D4404" s="31" t="str">
        <x:f>IF(OR(ISBLANK(B4404),ISBLANK(C4404),B4404=0),"",(C4404-B4404)/B4404)</x:f>
      </x:c>
      <x:c r="E4404" s="22" t="str">
        <x:f>IF(ISBLANK(C4404),"AmountIncludingTax缺失",IF(ABS(B4404-C4404)&lt;0.005,"一致","不一致"))</x:f>
        <x:v>AmountIncludingTax缺失</x:v>
      </x:c>
      <x:c r="F4404" s="19" t="str">
        <x:v>approved</x:v>
      </x:c>
      <x:c r="G4404" s="19" t="str">
        <x:v>Repairer Invoiced Processed</x:v>
      </x:c>
      <x:c r="H4404" s="19" t="str">
        <x:v>Pre Delivery</x:v>
      </x:c>
      <x:c r="I4404" s="37" t="n">
        <x:v>46058</x:v>
      </x:c>
      <x:c r="J4404" s="37" t="n">
        <x:v>46058</x:v>
      </x:c>
      <x:c r="K4404" s="19" t="str">
        <x:v>Green RV - Forest Glen</x:v>
      </x:c>
      <x:c r="L4404" s="19" t="str">
        <x:v>Z005</x:v>
      </x:c>
      <x:c r="M4404" s="19" t="str">
        <x:v>Pre Delivery Warranty Claims</x:v>
      </x:c>
      <x:c r="N4404" s="37" t="n">
        <x:v>46028</x:v>
      </x:c>
      <x:c r="O4404" s="37"/>
      <x:c r="P4404" s="34" t="n">
        <x:v>1101.73</x:v>
      </x:c>
      <x:c r="Q4404" s="37" t="n">
        <x:v>46057.988275462965</x:v>
      </x:c>
    </x:row>
    <x:row r="4405">
      <x:c r="A4405" s="22" t="n">
        <x:v>29609</x:v>
      </x:c>
      <x:c r="B4405" s="28" t="n">
        <x:v>1082.43</x:v>
      </x:c>
      <x:c r="C4405" s="28"/>
      <x:c r="D4405" s="31" t="str">
        <x:f>IF(OR(ISBLANK(B4405),ISBLANK(C4405),B4405=0),"",(C4405-B4405)/B4405)</x:f>
      </x:c>
      <x:c r="E4405" s="22" t="str">
        <x:f>IF(ISBLANK(C4405),"AmountIncludingTax缺失",IF(ABS(B4405-C4405)&lt;0.005,"一致","不一致"))</x:f>
        <x:v>AmountIncludingTax缺失</x:v>
      </x:c>
      <x:c r="F4405" s="19" t="str">
        <x:v>approved</x:v>
      </x:c>
      <x:c r="G4405" s="19" t="str">
        <x:v>Repairer Invoiced Processed</x:v>
      </x:c>
      <x:c r="H4405" s="19" t="str">
        <x:v>In Field</x:v>
      </x:c>
      <x:c r="I4405" s="37" t="n">
        <x:v>46057</x:v>
      </x:c>
      <x:c r="J4405" s="37" t="n">
        <x:v>46057</x:v>
      </x:c>
      <x:c r="K4405" s="19" t="str">
        <x:v>Green RV - Slacks Creek</x:v>
      </x:c>
      <x:c r="L4405" s="19" t="str">
        <x:v>Z006</x:v>
      </x:c>
      <x:c r="M4405" s="19" t="str">
        <x:v>In Field Warranty Claims</x:v>
      </x:c>
      <x:c r="N4405" s="37" t="n">
        <x:v>46029</x:v>
      </x:c>
      <x:c r="O4405" s="37"/>
      <x:c r="P4405" s="34" t="n">
        <x:v>0</x:v>
      </x:c>
      <x:c r="Q4405" s="37" t="n">
        <x:v>46057.168854166666</x:v>
      </x:c>
    </x:row>
    <x:row r="4406">
      <x:c r="A4406" s="22" t="n">
        <x:v>29608</x:v>
      </x:c>
      <x:c r="B4406" s="28" t="n">
        <x:v>748.75</x:v>
      </x:c>
      <x:c r="C4406" s="28"/>
      <x:c r="D4406" s="31" t="str">
        <x:f>IF(OR(ISBLANK(B4406),ISBLANK(C4406),B4406=0),"",(C4406-B4406)/B4406)</x:f>
      </x:c>
      <x:c r="E4406" s="22" t="str">
        <x:f>IF(ISBLANK(C4406),"AmountIncludingTax缺失",IF(ABS(B4406-C4406)&lt;0.005,"一致","不一致"))</x:f>
        <x:v>AmountIncludingTax缺失</x:v>
      </x:c>
      <x:c r="F4406" s="19" t="str">
        <x:v>approved</x:v>
      </x:c>
      <x:c r="G4406" s="19" t="str">
        <x:v>Repair in Progress</x:v>
      </x:c>
      <x:c r="H4406" s="19" t="str">
        <x:v>In Field</x:v>
      </x:c>
      <x:c r="I4406" s="37" t="n">
        <x:v>46087</x:v>
      </x:c>
      <x:c r="J4406" s="37" t="n">
        <x:v>46087</x:v>
      </x:c>
      <x:c r="K4406" s="19" t="str">
        <x:v>Green RV - Forest Glen</x:v>
      </x:c>
      <x:c r="L4406" s="19" t="str">
        <x:v>Z006</x:v>
      </x:c>
      <x:c r="M4406" s="19" t="str">
        <x:v>In Field Warranty Claims</x:v>
      </x:c>
      <x:c r="N4406" s="37" t="n">
        <x:v>46029</x:v>
      </x:c>
      <x:c r="O4406" s="37"/>
      <x:c r="P4406" s="34" t="n">
        <x:v>0</x:v>
      </x:c>
      <x:c r="Q4406" s="37" t="n">
        <x:v>46087.168761574074</x:v>
      </x:c>
    </x:row>
    <x:row r="4407">
      <x:c r="A4407" s="22" t="n">
        <x:v>29604</x:v>
      </x:c>
      <x:c r="B4407" s="28" t="n">
        <x:v>300</x:v>
      </x:c>
      <x:c r="C4407" s="28" t="n">
        <x:v>330</x:v>
      </x:c>
      <x:c r="D4407" s="31" t="n">
        <x:f>IF(OR(ISBLANK(B4407),ISBLANK(C4407),B4407=0),"",(C4407-B4407)/B4407)</x:f>
        <x:v>0.1</x:v>
      </x:c>
      <x:c r="E4407" s="22" t="str">
        <x:f>IF(ISBLANK(C4407),"AmountIncludingTax缺失",IF(ABS(B4407-C4407)&lt;0.005,"一致","不一致"))</x:f>
        <x:v>不一致</x:v>
      </x:c>
      <x:c r="F4407" s="19" t="str">
        <x:v>approved</x:v>
      </x:c>
      <x:c r="G4407" s="19" t="str">
        <x:v>Repairer Invoiced Processed</x:v>
      </x:c>
      <x:c r="H4407" s="19" t="str">
        <x:v>In Field</x:v>
      </x:c>
      <x:c r="I4407" s="37" t="n">
        <x:v>46059</x:v>
      </x:c>
      <x:c r="J4407" s="37" t="n">
        <x:v>46059</x:v>
      </x:c>
      <x:c r="K4407" s="19" t="str">
        <x:v>Green RV - Forest Glen</x:v>
      </x:c>
      <x:c r="L4407" s="19" t="str">
        <x:v>Z006</x:v>
      </x:c>
      <x:c r="M4407" s="19" t="str">
        <x:v>In Field Warranty Claims</x:v>
      </x:c>
      <x:c r="N4407" s="37" t="n">
        <x:v>46029</x:v>
      </x:c>
      <x:c r="O4407" s="37"/>
      <x:c r="P4407" s="34" t="n">
        <x:v>330</x:v>
      </x:c>
      <x:c r="Q4407" s="37" t="n">
        <x:v>46059.09328703704</x:v>
      </x:c>
    </x:row>
    <x:row r="4408">
      <x:c r="A4408" s="22" t="n">
        <x:v>29603</x:v>
      </x:c>
      <x:c r="B4408" s="28" t="n">
        <x:v>163.64</x:v>
      </x:c>
      <x:c r="C4408" s="28" t="n">
        <x:v>180</x:v>
      </x:c>
      <x:c r="D4408" s="31" t="n">
        <x:f>IF(OR(ISBLANK(B4408),ISBLANK(C4408),B4408=0),"",(C4408-B4408)/B4408)</x:f>
        <x:v>0.09997555609875346</x:v>
      </x:c>
      <x:c r="E4408" s="22" t="str">
        <x:f>IF(ISBLANK(C4408),"AmountIncludingTax缺失",IF(ABS(B4408-C4408)&lt;0.005,"一致","不一致"))</x:f>
        <x:v>不一致</x:v>
      </x:c>
      <x:c r="F4408" s="19" t="str">
        <x:v>approved</x:v>
      </x:c>
      <x:c r="G4408" s="19" t="str">
        <x:v>Repairer Invoiced Processed</x:v>
      </x:c>
      <x:c r="H4408" s="19" t="str">
        <x:v>In Field</x:v>
      </x:c>
      <x:c r="I4408" s="37" t="n">
        <x:v>46104</x:v>
      </x:c>
      <x:c r="J4408" s="37" t="n">
        <x:v>46104</x:v>
      </x:c>
      <x:c r="K4408" s="19" t="str">
        <x:v>Dario Caravans -St.Marys</x:v>
      </x:c>
      <x:c r="L4408" s="19" t="str">
        <x:v>Z006</x:v>
      </x:c>
      <x:c r="M4408" s="19" t="str">
        <x:v>In Field Warranty Claims</x:v>
      </x:c>
      <x:c r="N4408" s="37" t="n">
        <x:v>46029</x:v>
      </x:c>
      <x:c r="O4408" s="37"/>
      <x:c r="P4408" s="34" t="n">
        <x:v>180</x:v>
      </x:c>
      <x:c r="Q4408" s="37" t="n">
        <x:v>46104.26809027778</x:v>
      </x:c>
    </x:row>
    <x:row r="4409">
      <x:c r="A4409" s="22" t="n">
        <x:v>29602</x:v>
      </x:c>
      <x:c r="B4409" s="28" t="n">
        <x:v>320</x:v>
      </x:c>
      <x:c r="C4409" s="28" t="n">
        <x:v>352</x:v>
      </x:c>
      <x:c r="D4409" s="31" t="n">
        <x:f>IF(OR(ISBLANK(B4409),ISBLANK(C4409),B4409=0),"",(C4409-B4409)/B4409)</x:f>
        <x:v>0.1</x:v>
      </x:c>
      <x:c r="E4409" s="22" t="str">
        <x:f>IF(ISBLANK(C4409),"AmountIncludingTax缺失",IF(ABS(B4409-C4409)&lt;0.005,"一致","不一致"))</x:f>
        <x:v>不一致</x:v>
      </x:c>
      <x:c r="F4409" s="19" t="str">
        <x:v>approved</x:v>
      </x:c>
      <x:c r="G4409" s="19" t="str">
        <x:v>Repairer Invoiced Processed</x:v>
      </x:c>
      <x:c r="H4409" s="19" t="str">
        <x:v>In Field</x:v>
      </x:c>
      <x:c r="I4409" s="37" t="n">
        <x:v>46078</x:v>
      </x:c>
      <x:c r="J4409" s="37" t="n">
        <x:v>46078</x:v>
      </x:c>
      <x:c r="K4409" s="19" t="str">
        <x:v>ABCO Caravans - Boambee Valley</x:v>
      </x:c>
      <x:c r="L4409" s="19" t="str">
        <x:v>Z006</x:v>
      </x:c>
      <x:c r="M4409" s="19" t="str">
        <x:v>In Field Warranty Claims</x:v>
      </x:c>
      <x:c r="N4409" s="37" t="n">
        <x:v>46029</x:v>
      </x:c>
      <x:c r="O4409" s="37"/>
      <x:c r="P4409" s="34" t="n">
        <x:v>352</x:v>
      </x:c>
      <x:c r="Q4409" s="37" t="n">
        <x:v>46078.07165509259</x:v>
      </x:c>
    </x:row>
    <x:row r="4410">
      <x:c r="A4410" s="22" t="n">
        <x:v>29601</x:v>
      </x:c>
      <x:c r="B4410" s="28" t="n">
        <x:v>576.36</x:v>
      </x:c>
      <x:c r="C4410" s="28"/>
      <x:c r="D4410" s="31" t="str">
        <x:f>IF(OR(ISBLANK(B4410),ISBLANK(C4410),B4410=0),"",(C4410-B4410)/B4410)</x:f>
      </x:c>
      <x:c r="E4410" s="22" t="str">
        <x:f>IF(ISBLANK(C4410),"AmountIncludingTax缺失",IF(ABS(B4410-C4410)&lt;0.005,"一致","不一致"))</x:f>
        <x:v>AmountIncludingTax缺失</x:v>
      </x:c>
      <x:c r="F4410" s="19" t="str">
        <x:v>approved</x:v>
      </x:c>
      <x:c r="G4410" s="19" t="str">
        <x:v>Repairer Invoiced Processed</x:v>
      </x:c>
      <x:c r="H4410" s="19" t="str">
        <x:v>In Field</x:v>
      </x:c>
      <x:c r="I4410" s="37" t="n">
        <x:v>46092</x:v>
      </x:c>
      <x:c r="J4410" s="37" t="n">
        <x:v>46092</x:v>
      </x:c>
      <x:c r="K4410" s="19" t="str">
        <x:v>Regent RV - Perth</x:v>
      </x:c>
      <x:c r="L4410" s="19" t="str">
        <x:v>Z006</x:v>
      </x:c>
      <x:c r="M4410" s="19" t="str">
        <x:v>In Field Warranty Claims</x:v>
      </x:c>
      <x:c r="N4410" s="37" t="n">
        <x:v>46028</x:v>
      </x:c>
      <x:c r="O4410" s="37"/>
      <x:c r="P4410" s="34" t="n">
        <x:v>0</x:v>
      </x:c>
      <x:c r="Q4410" s="37" t="n">
        <x:v>46092.22347222222</x:v>
      </x:c>
    </x:row>
    <x:row r="4411">
      <x:c r="A4411" s="22" t="n">
        <x:v>29600</x:v>
      </x:c>
      <x:c r="B4411" s="28" t="n">
        <x:v>695</x:v>
      </x:c>
      <x:c r="C4411" s="28"/>
      <x:c r="D4411" s="31" t="str">
        <x:f>IF(OR(ISBLANK(B4411),ISBLANK(C4411),B4411=0),"",(C4411-B4411)/B4411)</x:f>
      </x:c>
      <x:c r="E4411" s="22" t="str">
        <x:f>IF(ISBLANK(C4411),"AmountIncludingTax缺失",IF(ABS(B4411-C4411)&lt;0.005,"一致","不一致"))</x:f>
        <x:v>AmountIncludingTax缺失</x:v>
      </x:c>
      <x:c r="F4411" s="19" t="str">
        <x:v>approved</x:v>
      </x:c>
      <x:c r="G4411" s="19" t="str">
        <x:v>Repairer Invoiced Received</x:v>
      </x:c>
      <x:c r="H4411" s="19" t="str">
        <x:v>In Field</x:v>
      </x:c>
      <x:c r="I4411" s="37" t="n">
        <x:v>46056</x:v>
      </x:c>
      <x:c r="J4411" s="37" t="n">
        <x:v>46056</x:v>
      </x:c>
      <x:c r="K4411" s="19" t="str">
        <x:v>Green RV - Forest Glen</x:v>
      </x:c>
      <x:c r="L4411" s="19" t="str">
        <x:v>Z006</x:v>
      </x:c>
      <x:c r="M4411" s="19" t="str">
        <x:v>In Field Warranty Claims</x:v>
      </x:c>
      <x:c r="N4411" s="37" t="n">
        <x:v>46028</x:v>
      </x:c>
      <x:c r="O4411" s="37"/>
      <x:c r="P4411" s="34" t="n">
        <x:v>0</x:v>
      </x:c>
      <x:c r="Q4411" s="37" t="n">
        <x:v>46056.142800925925</x:v>
      </x:c>
    </x:row>
    <x:row r="4412">
      <x:c r="A4412" s="22" t="n">
        <x:v>29599</x:v>
      </x:c>
      <x:c r="B4412" s="28" t="n">
        <x:v>60</x:v>
      </x:c>
      <x:c r="C4412" s="28"/>
      <x:c r="D4412" s="31" t="str">
        <x:f>IF(OR(ISBLANK(B4412),ISBLANK(C4412),B4412=0),"",(C4412-B4412)/B4412)</x:f>
      </x:c>
      <x:c r="E4412" s="22" t="str">
        <x:f>IF(ISBLANK(C4412),"AmountIncludingTax缺失",IF(ABS(B4412-C4412)&lt;0.005,"一致","不一致"))</x:f>
        <x:v>AmountIncludingTax缺失</x:v>
      </x:c>
      <x:c r="F4412" s="19" t="str">
        <x:v>approved</x:v>
      </x:c>
      <x:c r="G4412" s="19" t="str">
        <x:v>Repair in Progress</x:v>
      </x:c>
      <x:c r="H4412" s="19" t="str">
        <x:v>In Field</x:v>
      </x:c>
      <x:c r="I4412" s="37" t="n">
        <x:v>46079</x:v>
      </x:c>
      <x:c r="J4412" s="37" t="n">
        <x:v>46079</x:v>
      </x:c>
      <x:c r="K4412" s="19" t="str">
        <x:v>Regent RV - Frankston</x:v>
      </x:c>
      <x:c r="L4412" s="19" t="str">
        <x:v>Z006</x:v>
      </x:c>
      <x:c r="M4412" s="19" t="str">
        <x:v>In Field Warranty Claims</x:v>
      </x:c>
      <x:c r="N4412" s="37" t="n">
        <x:v>46028</x:v>
      </x:c>
      <x:c r="O4412" s="37"/>
      <x:c r="P4412" s="34" t="n">
        <x:v>0</x:v>
      </x:c>
      <x:c r="Q4412" s="37" t="n">
        <x:v>46078.867939814816</x:v>
      </x:c>
    </x:row>
    <x:row r="4413">
      <x:c r="A4413" s="22" t="n">
        <x:v>29598</x:v>
      </x:c>
      <x:c r="B4413" s="28" t="n">
        <x:v>1216.36</x:v>
      </x:c>
      <x:c r="C4413" s="28"/>
      <x:c r="D4413" s="31" t="str">
        <x:f>IF(OR(ISBLANK(B4413),ISBLANK(C4413),B4413=0),"",(C4413-B4413)/B4413)</x:f>
      </x:c>
      <x:c r="E4413" s="22" t="str">
        <x:f>IF(ISBLANK(C4413),"AmountIncludingTax缺失",IF(ABS(B4413-C4413)&lt;0.005,"一致","不一致"))</x:f>
        <x:v>AmountIncludingTax缺失</x:v>
      </x:c>
      <x:c r="F4413" s="19" t="str">
        <x:v>approved</x:v>
      </x:c>
      <x:c r="G4413" s="19" t="str">
        <x:v>Repairer Invoiced Processed</x:v>
      </x:c>
      <x:c r="H4413" s="19" t="str">
        <x:v>In Field</x:v>
      </x:c>
      <x:c r="I4413" s="37" t="n">
        <x:v>46044</x:v>
      </x:c>
      <x:c r="J4413" s="37" t="n">
        <x:v>46044</x:v>
      </x:c>
      <x:c r="K4413" s="19" t="str">
        <x:v>Dario Caravans -St.Marys</x:v>
      </x:c>
      <x:c r="L4413" s="19" t="str">
        <x:v>Z006</x:v>
      </x:c>
      <x:c r="M4413" s="19" t="str">
        <x:v>In Field Warranty Claims</x:v>
      </x:c>
      <x:c r="N4413" s="37" t="n">
        <x:v>46028</x:v>
      </x:c>
      <x:c r="O4413" s="37"/>
      <x:c r="P4413" s="34" t="n">
        <x:v>1338</x:v>
      </x:c>
      <x:c r="Q4413" s="37" t="n">
        <x:v>46044.18971064815</x:v>
      </x:c>
    </x:row>
    <x:row r="4414">
      <x:c r="A4414" s="22" t="n">
        <x:v>29594</x:v>
      </x:c>
      <x:c r="B4414" s="28" t="n">
        <x:v>135</x:v>
      </x:c>
      <x:c r="C4414" s="28"/>
      <x:c r="D4414" s="31" t="str">
        <x:f>IF(OR(ISBLANK(B4414),ISBLANK(C4414),B4414=0),"",(C4414-B4414)/B4414)</x:f>
      </x:c>
      <x:c r="E4414" s="22" t="str">
        <x:f>IF(ISBLANK(C4414),"AmountIncludingTax缺失",IF(ABS(B4414-C4414)&lt;0.005,"一致","不一致"))</x:f>
        <x:v>AmountIncludingTax缺失</x:v>
      </x:c>
      <x:c r="F4414" s="19" t="str">
        <x:v>approved</x:v>
      </x:c>
      <x:c r="G4414" s="19" t="str">
        <x:v>Repairer Invoiced Processed</x:v>
      </x:c>
      <x:c r="H4414" s="19" t="str">
        <x:v>In Field</x:v>
      </x:c>
      <x:c r="I4414" s="37" t="n">
        <x:v>46076</x:v>
      </x:c>
      <x:c r="J4414" s="37" t="n">
        <x:v>46076</x:v>
      </x:c>
      <x:c r="K4414" s="19" t="str">
        <x:v>Green RV - Slacks Creek</x:v>
      </x:c>
      <x:c r="L4414" s="19" t="str">
        <x:v>Z006</x:v>
      </x:c>
      <x:c r="M4414" s="19" t="str">
        <x:v>In Field Warranty Claims</x:v>
      </x:c>
      <x:c r="N4414" s="37" t="n">
        <x:v>46028</x:v>
      </x:c>
      <x:c r="O4414" s="37"/>
      <x:c r="P4414" s="34" t="n">
        <x:v>0</x:v>
      </x:c>
      <x:c r="Q4414" s="37" t="n">
        <x:v>46075.948125</x:v>
      </x:c>
    </x:row>
    <x:row r="4415">
      <x:c r="A4415" s="22" t="n">
        <x:v>29593</x:v>
      </x:c>
      <x:c r="B4415" s="28" t="n">
        <x:v>362.62</x:v>
      </x:c>
      <x:c r="C4415" s="28" t="n">
        <x:v>398.88</x:v>
      </x:c>
      <x:c r="D4415" s="31" t="n">
        <x:f>IF(OR(ISBLANK(B4415),ISBLANK(C4415),B4415=0),"",(C4415-B4415)/B4415)</x:f>
        <x:v>0.09999448458441342</x:v>
      </x:c>
      <x:c r="E4415" s="22" t="str">
        <x:f>IF(ISBLANK(C4415),"AmountIncludingTax缺失",IF(ABS(B4415-C4415)&lt;0.005,"一致","不一致"))</x:f>
        <x:v>不一致</x:v>
      </x:c>
      <x:c r="F4415" s="19" t="str">
        <x:v>approved</x:v>
      </x:c>
      <x:c r="G4415" s="19" t="str">
        <x:v>Repairer Invoiced Processed</x:v>
      </x:c>
      <x:c r="H4415" s="19" t="str">
        <x:v>In Field</x:v>
      </x:c>
      <x:c r="I4415" s="37" t="n">
        <x:v>46125</x:v>
      </x:c>
      <x:c r="J4415" s="37" t="n">
        <x:v>46125</x:v>
      </x:c>
      <x:c r="K4415" s="19" t="str">
        <x:v>Regent RV - Townsville</x:v>
      </x:c>
      <x:c r="L4415" s="19" t="str">
        <x:v>Z006</x:v>
      </x:c>
      <x:c r="M4415" s="19" t="str">
        <x:v>In Field Warranty Claims</x:v>
      </x:c>
      <x:c r="N4415" s="37" t="n">
        <x:v>46028</x:v>
      </x:c>
      <x:c r="O4415" s="37"/>
      <x:c r="P4415" s="34" t="n">
        <x:v>398.88</x:v>
      </x:c>
      <x:c r="Q4415" s="37" t="n">
        <x:v>46125.232569444444</x:v>
      </x:c>
    </x:row>
    <x:row r="4416">
      <x:c r="A4416" s="22" t="n">
        <x:v>29592</x:v>
      </x:c>
      <x:c r="B4416" s="28" t="n">
        <x:v>316.37</x:v>
      </x:c>
      <x:c r="C4416" s="28" t="n">
        <x:v>947.32</x:v>
      </x:c>
      <x:c r="D4416" s="31" t="n">
        <x:f>IF(OR(ISBLANK(B4416),ISBLANK(C4416),B4416=0),"",(C4416-B4416)/B4416)</x:f>
        <x:v>1.994342067831969</x:v>
      </x:c>
      <x:c r="E4416" s="22" t="str">
        <x:f>IF(ISBLANK(C4416),"AmountIncludingTax缺失",IF(ABS(B4416-C4416)&lt;0.005,"一致","不一致"))</x:f>
        <x:v>不一致</x:v>
      </x:c>
      <x:c r="F4416" s="19" t="str">
        <x:v>approved</x:v>
      </x:c>
      <x:c r="G4416" s="19" t="str">
        <x:v>Repairer Invoiced Processed</x:v>
      </x:c>
      <x:c r="H4416" s="19" t="str">
        <x:v>Pre Delivery</x:v>
      </x:c>
      <x:c r="I4416" s="37" t="n">
        <x:v>46059</x:v>
      </x:c>
      <x:c r="J4416" s="37" t="n">
        <x:v>46050</x:v>
      </x:c>
      <x:c r="K4416" s="19" t="str">
        <x:v>Green RV - Forest Glen</x:v>
      </x:c>
      <x:c r="L4416" s="19" t="str">
        <x:v>Z005</x:v>
      </x:c>
      <x:c r="M4416" s="19" t="str">
        <x:v>Pre Delivery Warranty Claims</x:v>
      </x:c>
      <x:c r="N4416" s="37" t="n">
        <x:v>46028</x:v>
      </x:c>
      <x:c r="O4416" s="37"/>
      <x:c r="P4416" s="34" t="n">
        <x:v>947.32</x:v>
      </x:c>
      <x:c r="Q4416" s="37" t="n">
        <x:v>46059.15375</x:v>
      </x:c>
    </x:row>
    <x:row r="4417">
      <x:c r="A4417" s="22" t="n">
        <x:v>29591</x:v>
      </x:c>
      <x:c r="B4417" s="28" t="n">
        <x:v>951.25</x:v>
      </x:c>
      <x:c r="C4417" s="28"/>
      <x:c r="D4417" s="31" t="str">
        <x:f>IF(OR(ISBLANK(B4417),ISBLANK(C4417),B4417=0),"",(C4417-B4417)/B4417)</x:f>
      </x:c>
      <x:c r="E4417" s="22" t="str">
        <x:f>IF(ISBLANK(C4417),"AmountIncludingTax缺失",IF(ABS(B4417-C4417)&lt;0.005,"一致","不一致"))</x:f>
        <x:v>AmountIncludingTax缺失</x:v>
      </x:c>
      <x:c r="F4417" s="19" t="str">
        <x:v>approved</x:v>
      </x:c>
      <x:c r="G4417" s="19" t="str">
        <x:v>Repair in Progress</x:v>
      </x:c>
      <x:c r="H4417" s="19" t="str">
        <x:v>In Field</x:v>
      </x:c>
      <x:c r="I4417" s="37" t="n">
        <x:v>46059</x:v>
      </x:c>
      <x:c r="J4417" s="37" t="n">
        <x:v>46059</x:v>
      </x:c>
      <x:c r="K4417" s="19" t="str">
        <x:v>Green RV - Forest Glen</x:v>
      </x:c>
      <x:c r="L4417" s="19" t="str">
        <x:v>Z006</x:v>
      </x:c>
      <x:c r="M4417" s="19" t="str">
        <x:v>In Field Warranty Claims</x:v>
      </x:c>
      <x:c r="N4417" s="37" t="n">
        <x:v>46028</x:v>
      </x:c>
      <x:c r="O4417" s="37"/>
      <x:c r="P4417" s="34" t="n">
        <x:v>0</x:v>
      </x:c>
      <x:c r="Q4417" s="37" t="n">
        <x:v>46059.11226851852</x:v>
      </x:c>
    </x:row>
    <x:row r="4418">
      <x:c r="A4418" s="22" t="n">
        <x:v>29590</x:v>
      </x:c>
      <x:c r="B4418" s="28" t="n">
        <x:v>218.32</x:v>
      </x:c>
      <x:c r="C4418" s="28"/>
      <x:c r="D4418" s="31" t="str">
        <x:f>IF(OR(ISBLANK(B4418),ISBLANK(C4418),B4418=0),"",(C4418-B4418)/B4418)</x:f>
      </x:c>
      <x:c r="E4418" s="22" t="str">
        <x:f>IF(ISBLANK(C4418),"AmountIncludingTax缺失",IF(ABS(B4418-C4418)&lt;0.005,"一致","不一致"))</x:f>
        <x:v>AmountIncludingTax缺失</x:v>
      </x:c>
      <x:c r="F4418" s="19" t="str">
        <x:v>approved</x:v>
      </x:c>
      <x:c r="G4418" s="19" t="str">
        <x:v>Repair in Progress</x:v>
      </x:c>
      <x:c r="H4418" s="19" t="str">
        <x:v>In Field</x:v>
      </x:c>
      <x:c r="I4418" s="37" t="n">
        <x:v>46091</x:v>
      </x:c>
      <x:c r="J4418" s="37" t="n">
        <x:v>46091</x:v>
      </x:c>
      <x:c r="K4418" s="19" t="str">
        <x:v>Auswide Caravans - South Nowra</x:v>
      </x:c>
      <x:c r="L4418" s="19" t="str">
        <x:v>Z006</x:v>
      </x:c>
      <x:c r="M4418" s="19" t="str">
        <x:v>In Field Warranty Claims</x:v>
      </x:c>
      <x:c r="N4418" s="37" t="n">
        <x:v>46028</x:v>
      </x:c>
      <x:c r="O4418" s="37"/>
      <x:c r="P4418" s="34" t="n">
        <x:v>0</x:v>
      </x:c>
      <x:c r="Q4418" s="37" t="n">
        <x:v>46091.21127314815</x:v>
      </x:c>
    </x:row>
    <x:row r="4419">
      <x:c r="A4419" s="22" t="n">
        <x:v>29589</x:v>
      </x:c>
      <x:c r="B4419" s="28" t="n">
        <x:v>890</x:v>
      </x:c>
      <x:c r="C4419" s="28"/>
      <x:c r="D4419" s="31" t="str">
        <x:f>IF(OR(ISBLANK(B4419),ISBLANK(C4419),B4419=0),"",(C4419-B4419)/B4419)</x:f>
      </x:c>
      <x:c r="E4419" s="22" t="str">
        <x:f>IF(ISBLANK(C4419),"AmountIncludingTax缺失",IF(ABS(B4419-C4419)&lt;0.005,"一致","不一致"))</x:f>
        <x:v>AmountIncludingTax缺失</x:v>
      </x:c>
      <x:c r="F4419" s="19" t="str">
        <x:v>approved</x:v>
      </x:c>
      <x:c r="G4419" s="19" t="str">
        <x:v>Partially Picked</x:v>
      </x:c>
      <x:c r="H4419" s="19" t="str">
        <x:v>In Field</x:v>
      </x:c>
      <x:c r="I4419" s="37" t="n">
        <x:v>46112</x:v>
      </x:c>
      <x:c r="J4419" s="37" t="n">
        <x:v>46112</x:v>
      </x:c>
      <x:c r="K4419" s="19" t="str">
        <x:v>The Caravan Hub - Townsville</x:v>
      </x:c>
      <x:c r="L4419" s="19" t="str">
        <x:v>Z006</x:v>
      </x:c>
      <x:c r="M4419" s="19" t="str">
        <x:v>In Field Warranty Claims</x:v>
      </x:c>
      <x:c r="N4419" s="37" t="n">
        <x:v>46028</x:v>
      </x:c>
      <x:c r="O4419" s="37"/>
      <x:c r="P4419" s="34" t="n">
        <x:v>0</x:v>
      </x:c>
      <x:c r="Q4419" s="37" t="n">
        <x:v>46111.89457175926</x:v>
      </x:c>
    </x:row>
    <x:row r="4420">
      <x:c r="A4420" s="22" t="n">
        <x:v>29588</x:v>
      </x:c>
      <x:c r="B4420" s="28" t="n">
        <x:v>1631.25</x:v>
      </x:c>
      <x:c r="C4420" s="28"/>
      <x:c r="D4420" s="31" t="str">
        <x:f>IF(OR(ISBLANK(B4420),ISBLANK(C4420),B4420=0),"",(C4420-B4420)/B4420)</x:f>
      </x:c>
      <x:c r="E4420" s="22" t="str">
        <x:f>IF(ISBLANK(C4420),"AmountIncludingTax缺失",IF(ABS(B4420-C4420)&lt;0.005,"一致","不一致"))</x:f>
        <x:v>AmountIncludingTax缺失</x:v>
      </x:c>
      <x:c r="F4420" s="19" t="str">
        <x:v>approved</x:v>
      </x:c>
      <x:c r="G4420" s="19" t="str">
        <x:v>Repair in Progress</x:v>
      </x:c>
      <x:c r="H4420" s="19" t="str">
        <x:v>In Field</x:v>
      </x:c>
      <x:c r="I4420" s="37" t="n">
        <x:v>46101</x:v>
      </x:c>
      <x:c r="J4420" s="37" t="n">
        <x:v>46101</x:v>
      </x:c>
      <x:c r="K4420" s="19" t="str">
        <x:v>Auswide Caravans - South Nowra</x:v>
      </x:c>
      <x:c r="L4420" s="19" t="str">
        <x:v>Z006</x:v>
      </x:c>
      <x:c r="M4420" s="19" t="str">
        <x:v>In Field Warranty Claims</x:v>
      </x:c>
      <x:c r="N4420" s="37" t="n">
        <x:v>46028</x:v>
      </x:c>
      <x:c r="O4420" s="37"/>
      <x:c r="P4420" s="34" t="n">
        <x:v>0</x:v>
      </x:c>
      <x:c r="Q4420" s="37" t="n">
        <x:v>46101.53107638889</x:v>
      </x:c>
    </x:row>
    <x:row r="4421">
      <x:c r="A4421" s="22" t="n">
        <x:v>29587</x:v>
      </x:c>
      <x:c r="B4421" s="28" t="n">
        <x:v>1248.75</x:v>
      </x:c>
      <x:c r="C4421" s="28"/>
      <x:c r="D4421" s="31" t="str">
        <x:f>IF(OR(ISBLANK(B4421),ISBLANK(C4421),B4421=0),"",(C4421-B4421)/B4421)</x:f>
      </x:c>
      <x:c r="E4421" s="22" t="str">
        <x:f>IF(ISBLANK(C4421),"AmountIncludingTax缺失",IF(ABS(B4421-C4421)&lt;0.005,"一致","不一致"))</x:f>
        <x:v>AmountIncludingTax缺失</x:v>
      </x:c>
      <x:c r="F4421" s="19" t="str">
        <x:v>approved</x:v>
      </x:c>
      <x:c r="G4421" s="19" t="str">
        <x:v>Sales Order Approved</x:v>
      </x:c>
      <x:c r="H4421" s="19" t="str">
        <x:v>In Field</x:v>
      </x:c>
      <x:c r="I4421" s="37" t="n">
        <x:v>46114</x:v>
      </x:c>
      <x:c r="J4421" s="37" t="n">
        <x:v>46079</x:v>
      </x:c>
      <x:c r="K4421" s="19" t="str">
        <x:v>Regent RV - Frankston</x:v>
      </x:c>
      <x:c r="L4421" s="19" t="str">
        <x:v>Z006</x:v>
      </x:c>
      <x:c r="M4421" s="19" t="str">
        <x:v>In Field Warranty Claims</x:v>
      </x:c>
      <x:c r="N4421" s="37" t="n">
        <x:v>46028</x:v>
      </x:c>
      <x:c r="O4421" s="37"/>
      <x:c r="P4421" s="34" t="n">
        <x:v>0</x:v>
      </x:c>
      <x:c r="Q4421" s="37" t="n">
        <x:v>46114.01090277778</x:v>
      </x:c>
    </x:row>
    <x:row r="4422">
      <x:c r="A4422" s="22" t="n">
        <x:v>29586</x:v>
      </x:c>
      <x:c r="B4422" s="28" t="n">
        <x:v>390.41</x:v>
      </x:c>
      <x:c r="C4422" s="28" t="n">
        <x:v>429.45</x:v>
      </x:c>
      <x:c r="D4422" s="31" t="n">
        <x:f>IF(OR(ISBLANK(B4422),ISBLANK(C4422),B4422=0),"",(C4422-B4422)/B4422)</x:f>
        <x:v>0.09999743859019995</x:v>
      </x:c>
      <x:c r="E4422" s="22" t="str">
        <x:f>IF(ISBLANK(C4422),"AmountIncludingTax缺失",IF(ABS(B4422-C4422)&lt;0.005,"一致","不一致"))</x:f>
        <x:v>不一致</x:v>
      </x:c>
      <x:c r="F4422" s="19" t="str">
        <x:v>approved</x:v>
      </x:c>
      <x:c r="G4422" s="19" t="str">
        <x:v>Repairer Invoiced Processed</x:v>
      </x:c>
      <x:c r="H4422" s="19" t="str">
        <x:v>In Field</x:v>
      </x:c>
      <x:c r="I4422" s="37" t="n">
        <x:v>46113</x:v>
      </x:c>
      <x:c r="J4422" s="37" t="n">
        <x:v>46113</x:v>
      </x:c>
      <x:c r="K4422" s="19" t="str">
        <x:v>Regent RV - Perth</x:v>
      </x:c>
      <x:c r="L4422" s="19" t="str">
        <x:v>Z006</x:v>
      </x:c>
      <x:c r="M4422" s="19" t="str">
        <x:v>In Field Warranty Claims</x:v>
      </x:c>
      <x:c r="N4422" s="37" t="n">
        <x:v>46028</x:v>
      </x:c>
      <x:c r="O4422" s="37"/>
      <x:c r="P4422" s="34" t="n">
        <x:v>429.45</x:v>
      </x:c>
      <x:c r="Q4422" s="37" t="n">
        <x:v>46113.02376157408</x:v>
      </x:c>
    </x:row>
    <x:row r="4423">
      <x:c r="A4423" s="22" t="n">
        <x:v>29583</x:v>
      </x:c>
      <x:c r="B4423" s="28" t="n">
        <x:v>359.09</x:v>
      </x:c>
      <x:c r="C4423" s="28"/>
      <x:c r="D4423" s="31" t="str">
        <x:f>IF(OR(ISBLANK(B4423),ISBLANK(C4423),B4423=0),"",(C4423-B4423)/B4423)</x:f>
      </x:c>
      <x:c r="E4423" s="22" t="str">
        <x:f>IF(ISBLANK(C4423),"AmountIncludingTax缺失",IF(ABS(B4423-C4423)&lt;0.005,"一致","不一致"))</x:f>
        <x:v>AmountIncludingTax缺失</x:v>
      </x:c>
      <x:c r="F4423" s="19" t="str">
        <x:v>approved</x:v>
      </x:c>
      <x:c r="G4423" s="19" t="str">
        <x:v>Repairer Invoiced Processed</x:v>
      </x:c>
      <x:c r="H4423" s="19" t="str">
        <x:v>In Field</x:v>
      </x:c>
      <x:c r="I4423" s="37" t="n">
        <x:v>46112</x:v>
      </x:c>
      <x:c r="J4423" s="37" t="n">
        <x:v>46112</x:v>
      </x:c>
      <x:c r="K4423" s="19" t="str">
        <x:v>Newcastle RV Super Centre - Beresfield</x:v>
      </x:c>
      <x:c r="L4423" s="19" t="str">
        <x:v>Z006</x:v>
      </x:c>
      <x:c r="M4423" s="19" t="str">
        <x:v>In Field Warranty Claims</x:v>
      </x:c>
      <x:c r="N4423" s="37" t="n">
        <x:v>46028</x:v>
      </x:c>
      <x:c r="O4423" s="37"/>
      <x:c r="P4423" s="34" t="n">
        <x:v>0</x:v>
      </x:c>
      <x:c r="Q4423" s="37" t="n">
        <x:v>46111.94917824074</x:v>
      </x:c>
    </x:row>
    <x:row r="4424">
      <x:c r="A4424" s="22" t="n">
        <x:v>29582</x:v>
      </x:c>
      <x:c r="B4424" s="28" t="n">
        <x:v>240</x:v>
      </x:c>
      <x:c r="C4424" s="28" t="n">
        <x:v>264</x:v>
      </x:c>
      <x:c r="D4424" s="31" t="n">
        <x:f>IF(OR(ISBLANK(B4424),ISBLANK(C4424),B4424=0),"",(C4424-B4424)/B4424)</x:f>
        <x:v>0.1</x:v>
      </x:c>
      <x:c r="E4424" s="22" t="str">
        <x:f>IF(ISBLANK(C4424),"AmountIncludingTax缺失",IF(ABS(B4424-C4424)&lt;0.005,"一致","不一致"))</x:f>
        <x:v>不一致</x:v>
      </x:c>
      <x:c r="F4424" s="19" t="str">
        <x:v>approved</x:v>
      </x:c>
      <x:c r="G4424" s="19" t="str">
        <x:v>Repair in Progress</x:v>
      </x:c>
      <x:c r="H4424" s="19" t="str">
        <x:v>In Field</x:v>
      </x:c>
      <x:c r="I4424" s="37" t="n">
        <x:v>46055</x:v>
      </x:c>
      <x:c r="J4424" s="37" t="n">
        <x:v>46055</x:v>
      </x:c>
      <x:c r="K4424" s="19" t="str">
        <x:v>Green RV - Forest Glen</x:v>
      </x:c>
      <x:c r="L4424" s="19" t="str">
        <x:v>Z006</x:v>
      </x:c>
      <x:c r="M4424" s="19" t="str">
        <x:v>In Field Warranty Claims</x:v>
      </x:c>
      <x:c r="N4424" s="37" t="n">
        <x:v>46028</x:v>
      </x:c>
      <x:c r="O4424" s="37"/>
      <x:c r="P4424" s="34" t="n">
        <x:v>264</x:v>
      </x:c>
      <x:c r="Q4424" s="37" t="n">
        <x:v>46055.209652777776</x:v>
      </x:c>
    </x:row>
    <x:row r="4425">
      <x:c r="A4425" s="22" t="n">
        <x:v>29581</x:v>
      </x:c>
      <x:c r="B4425" s="28" t="n">
        <x:v>1679.76</x:v>
      </x:c>
      <x:c r="C4425" s="28"/>
      <x:c r="D4425" s="31" t="str">
        <x:f>IF(OR(ISBLANK(B4425),ISBLANK(C4425),B4425=0),"",(C4425-B4425)/B4425)</x:f>
      </x:c>
      <x:c r="E4425" s="22" t="str">
        <x:f>IF(ISBLANK(C4425),"AmountIncludingTax缺失",IF(ABS(B4425-C4425)&lt;0.005,"一致","不一致"))</x:f>
        <x:v>AmountIncludingTax缺失</x:v>
      </x:c>
      <x:c r="F4425" s="19" t="str">
        <x:v>approved</x:v>
      </x:c>
      <x:c r="G4425" s="19" t="str">
        <x:v>Repair in Progress</x:v>
      </x:c>
      <x:c r="H4425" s="19" t="str">
        <x:v>In Field</x:v>
      </x:c>
      <x:c r="I4425" s="37" t="n">
        <x:v>46049</x:v>
      </x:c>
      <x:c r="J4425" s="37" t="n">
        <x:v>46044</x:v>
      </x:c>
      <x:c r="K4425" s="19" t="str">
        <x:v>Green RV - Forest Glen</x:v>
      </x:c>
      <x:c r="L4425" s="19" t="str">
        <x:v>Z006</x:v>
      </x:c>
      <x:c r="M4425" s="19" t="str">
        <x:v>In Field Warranty Claims</x:v>
      </x:c>
      <x:c r="N4425" s="37" t="n">
        <x:v>46028</x:v>
      </x:c>
      <x:c r="O4425" s="37"/>
      <x:c r="P4425" s="34" t="n">
        <x:v>0</x:v>
      </x:c>
      <x:c r="Q4425" s="37" t="n">
        <x:v>46048.88862268518</x:v>
      </x:c>
    </x:row>
    <x:row r="4426">
      <x:c r="A4426" s="22" t="n">
        <x:v>29580</x:v>
      </x:c>
      <x:c r="B4426" s="28" t="n">
        <x:v>67.5</x:v>
      </x:c>
      <x:c r="C4426" s="28"/>
      <x:c r="D4426" s="31" t="str">
        <x:f>IF(OR(ISBLANK(B4426),ISBLANK(C4426),B4426=0),"",(C4426-B4426)/B4426)</x:f>
      </x:c>
      <x:c r="E4426" s="22" t="str">
        <x:f>IF(ISBLANK(C4426),"AmountIncludingTax缺失",IF(ABS(B4426-C4426)&lt;0.005,"一致","不一致"))</x:f>
        <x:v>AmountIncludingTax缺失</x:v>
      </x:c>
      <x:c r="F4426" s="19" t="str">
        <x:v>approved</x:v>
      </x:c>
      <x:c r="G4426" s="19" t="str">
        <x:v>Repairer Invoiced Processed</x:v>
      </x:c>
      <x:c r="H4426" s="19" t="str">
        <x:v>In Field</x:v>
      </x:c>
      <x:c r="I4426" s="37" t="n">
        <x:v>46084</x:v>
      </x:c>
      <x:c r="J4426" s="37" t="n">
        <x:v>46084</x:v>
      </x:c>
      <x:c r="K4426" s="19" t="str">
        <x:v>Dario Caravans - Pooraka</x:v>
      </x:c>
      <x:c r="L4426" s="19" t="str">
        <x:v>Z006</x:v>
      </x:c>
      <x:c r="M4426" s="19" t="str">
        <x:v>In Field Warranty Claims</x:v>
      </x:c>
      <x:c r="N4426" s="37" t="n">
        <x:v>46028</x:v>
      </x:c>
      <x:c r="O4426" s="37"/>
      <x:c r="P4426" s="34" t="n">
        <x:v>0</x:v>
      </x:c>
      <x:c r="Q4426" s="37" t="n">
        <x:v>46084.46388888889</x:v>
      </x:c>
    </x:row>
    <x:row r="4427">
      <x:c r="A4427" s="22" t="n">
        <x:v>29578</x:v>
      </x:c>
      <x:c r="B4427" s="28" t="n">
        <x:v>2025</x:v>
      </x:c>
      <x:c r="C4427" s="28"/>
      <x:c r="D4427" s="31" t="str">
        <x:f>IF(OR(ISBLANK(B4427),ISBLANK(C4427),B4427=0),"",(C4427-B4427)/B4427)</x:f>
      </x:c>
      <x:c r="E4427" s="22" t="str">
        <x:f>IF(ISBLANK(C4427),"AmountIncludingTax缺失",IF(ABS(B4427-C4427)&lt;0.005,"一致","不一致"))</x:f>
        <x:v>AmountIncludingTax缺失</x:v>
      </x:c>
      <x:c r="F4427" s="19" t="str">
        <x:v>approved</x:v>
      </x:c>
      <x:c r="G4427" s="19" t="str">
        <x:v>Repair in Progress</x:v>
      </x:c>
      <x:c r="H4427" s="19" t="str">
        <x:v>In Field</x:v>
      </x:c>
      <x:c r="I4427" s="37" t="n">
        <x:v>46115</x:v>
      </x:c>
      <x:c r="J4427" s="37" t="n">
        <x:v>46115</x:v>
      </x:c>
      <x:c r="K4427" s="19" t="str">
        <x:v>Regent RV - Perth</x:v>
      </x:c>
      <x:c r="L4427" s="19" t="str">
        <x:v>Z006</x:v>
      </x:c>
      <x:c r="M4427" s="19" t="str">
        <x:v>In Field Warranty Claims</x:v>
      </x:c>
      <x:c r="N4427" s="37" t="n">
        <x:v>46028</x:v>
      </x:c>
      <x:c r="O4427" s="37"/>
      <x:c r="P4427" s="34" t="n">
        <x:v>0</x:v>
      </x:c>
      <x:c r="Q4427" s="37" t="n">
        <x:v>46115.32476851852</x:v>
      </x:c>
    </x:row>
    <x:row r="4428">
      <x:c r="A4428" s="22" t="n">
        <x:v>29577</x:v>
      </x:c>
      <x:c r="B4428" s="28" t="n">
        <x:v>155</x:v>
      </x:c>
      <x:c r="C4428" s="28" t="n">
        <x:v>170.5</x:v>
      </x:c>
      <x:c r="D4428" s="31" t="n">
        <x:f>IF(OR(ISBLANK(B4428),ISBLANK(C4428),B4428=0),"",(C4428-B4428)/B4428)</x:f>
        <x:v>0.1</x:v>
      </x:c>
      <x:c r="E4428" s="22" t="str">
        <x:f>IF(ISBLANK(C4428),"AmountIncludingTax缺失",IF(ABS(B4428-C4428)&lt;0.005,"一致","不一致"))</x:f>
        <x:v>不一致</x:v>
      </x:c>
      <x:c r="F4428" s="19" t="str">
        <x:v>approved</x:v>
      </x:c>
      <x:c r="G4428" s="19" t="str">
        <x:v>Repairer Invoiced Processed</x:v>
      </x:c>
      <x:c r="H4428" s="19" t="str">
        <x:v>In Field</x:v>
      </x:c>
      <x:c r="I4428" s="37" t="n">
        <x:v>46057</x:v>
      </x:c>
      <x:c r="J4428" s="37" t="n">
        <x:v>46057</x:v>
      </x:c>
      <x:c r="K4428" s="19" t="str">
        <x:v>Bendigo Caravan Group - Bendigo</x:v>
      </x:c>
      <x:c r="L4428" s="19" t="str">
        <x:v>Z006</x:v>
      </x:c>
      <x:c r="M4428" s="19" t="str">
        <x:v>In Field Warranty Claims</x:v>
      </x:c>
      <x:c r="N4428" s="37" t="n">
        <x:v>46028</x:v>
      </x:c>
      <x:c r="O4428" s="37"/>
      <x:c r="P4428" s="34" t="n">
        <x:v>170.5</x:v>
      </x:c>
      <x:c r="Q4428" s="37" t="n">
        <x:v>46057.29414351852</x:v>
      </x:c>
    </x:row>
    <x:row r="4429">
      <x:c r="A4429" s="22" t="n">
        <x:v>29576</x:v>
      </x:c>
      <x:c r="B4429" s="28" t="n">
        <x:v>1125</x:v>
      </x:c>
      <x:c r="C4429" s="28"/>
      <x:c r="D4429" s="31" t="str">
        <x:f>IF(OR(ISBLANK(B4429),ISBLANK(C4429),B4429=0),"",(C4429-B4429)/B4429)</x:f>
      </x:c>
      <x:c r="E4429" s="22" t="str">
        <x:f>IF(ISBLANK(C4429),"AmountIncludingTax缺失",IF(ABS(B4429-C4429)&lt;0.005,"一致","不一致"))</x:f>
        <x:v>AmountIncludingTax缺失</x:v>
      </x:c>
      <x:c r="F4429" s="19" t="str">
        <x:v>approved</x:v>
      </x:c>
      <x:c r="G4429" s="19" t="str">
        <x:v>Repairer Invoiced Processed</x:v>
      </x:c>
      <x:c r="H4429" s="19" t="str">
        <x:v>In Field</x:v>
      </x:c>
      <x:c r="I4429" s="37" t="n">
        <x:v>46164</x:v>
      </x:c>
      <x:c r="J4429" s="37" t="n">
        <x:v>46164</x:v>
      </x:c>
      <x:c r="K4429" s="19" t="str">
        <x:v>Green RV - Forest Glen</x:v>
      </x:c>
      <x:c r="L4429" s="19" t="str">
        <x:v>Z006</x:v>
      </x:c>
      <x:c r="M4429" s="19" t="str">
        <x:v>In Field Warranty Claims</x:v>
      </x:c>
      <x:c r="N4429" s="37" t="n">
        <x:v>46028</x:v>
      </x:c>
      <x:c r="O4429" s="37" t="n">
        <x:v>46125</x:v>
      </x:c>
      <x:c r="P4429" s="34" t="n">
        <x:v>1237.5</x:v>
      </x:c>
      <x:c r="Q4429" s="37" t="n">
        <x:v>46164.10804398148</x:v>
      </x:c>
    </x:row>
    <x:row r="4430">
      <x:c r="A4430" s="22" t="n">
        <x:v>29574</x:v>
      </x:c>
      <x:c r="B4430" s="28" t="n">
        <x:v>183.87</x:v>
      </x:c>
      <x:c r="C4430" s="28"/>
      <x:c r="D4430" s="31" t="str">
        <x:f>IF(OR(ISBLANK(B4430),ISBLANK(C4430),B4430=0),"",(C4430-B4430)/B4430)</x:f>
      </x:c>
      <x:c r="E4430" s="22" t="str">
        <x:f>IF(ISBLANK(C4430),"AmountIncludingTax缺失",IF(ABS(B4430-C4430)&lt;0.005,"一致","不一致"))</x:f>
        <x:v>AmountIncludingTax缺失</x:v>
      </x:c>
      <x:c r="F4430" s="19" t="str">
        <x:v>approved</x:v>
      </x:c>
      <x:c r="G4430" s="19" t="str">
        <x:v>Repairer Invoiced Processed</x:v>
      </x:c>
      <x:c r="H4430" s="19" t="str">
        <x:v>In Field</x:v>
      </x:c>
      <x:c r="I4430" s="37" t="n">
        <x:v>46101</x:v>
      </x:c>
      <x:c r="J4430" s="37" t="n">
        <x:v>46101</x:v>
      </x:c>
      <x:c r="K4430" s="19" t="str">
        <x:v>Dario Caravans -St.Marys</x:v>
      </x:c>
      <x:c r="L4430" s="19" t="str">
        <x:v>Z006</x:v>
      </x:c>
      <x:c r="M4430" s="19" t="str">
        <x:v>In Field Warranty Claims</x:v>
      </x:c>
      <x:c r="N4430" s="37" t="n">
        <x:v>46027</x:v>
      </x:c>
      <x:c r="O4430" s="37"/>
      <x:c r="P4430" s="34" t="n">
        <x:v>0</x:v>
      </x:c>
      <x:c r="Q4430" s="37" t="n">
        <x:v>46101.13408564815</x:v>
      </x:c>
    </x:row>
    <x:row r="4431">
      <x:c r="A4431" s="22" t="n">
        <x:v>29573</x:v>
      </x:c>
      <x:c r="B4431" s="28" t="n">
        <x:v>1973.4</x:v>
      </x:c>
      <x:c r="C4431" s="28"/>
      <x:c r="D4431" s="31" t="str">
        <x:f>IF(OR(ISBLANK(B4431),ISBLANK(C4431),B4431=0),"",(C4431-B4431)/B4431)</x:f>
      </x:c>
      <x:c r="E4431" s="22" t="str">
        <x:f>IF(ISBLANK(C4431),"AmountIncludingTax缺失",IF(ABS(B4431-C4431)&lt;0.005,"一致","不一致"))</x:f>
        <x:v>AmountIncludingTax缺失</x:v>
      </x:c>
      <x:c r="F4431" s="19" t="str">
        <x:v>approved</x:v>
      </x:c>
      <x:c r="G4431" s="19" t="str">
        <x:v>Repairer Invoiced Processed</x:v>
      </x:c>
      <x:c r="H4431" s="19" t="str">
        <x:v>In Field</x:v>
      </x:c>
      <x:c r="I4431" s="37" t="n">
        <x:v>46028</x:v>
      </x:c>
      <x:c r="J4431" s="37" t="n">
        <x:v>46028</x:v>
      </x:c>
      <x:c r="K4431" s="19" t="str">
        <x:v>Lesiure Lion-New Castle</x:v>
      </x:c>
      <x:c r="L4431" s="19" t="str">
        <x:v>Z006</x:v>
      </x:c>
      <x:c r="M4431" s="19" t="str">
        <x:v>In Field Warranty Claims</x:v>
      </x:c>
      <x:c r="N4431" s="37" t="n">
        <x:v>46027</x:v>
      </x:c>
      <x:c r="O4431" s="37"/>
      <x:c r="P4431" s="34" t="n">
        <x:v>2170.74</x:v>
      </x:c>
      <x:c r="Q4431" s="37" t="n">
        <x:v>46027.939791666664</x:v>
      </x:c>
    </x:row>
    <x:row r="4432">
      <x:c r="A4432" s="22" t="n">
        <x:v>29572</x:v>
      </x:c>
      <x:c r="B4432" s="28" t="n">
        <x:v>175.45</x:v>
      </x:c>
      <x:c r="C4432" s="28" t="n">
        <x:v>193</x:v>
      </x:c>
      <x:c r="D4432" s="31" t="n">
        <x:f>IF(OR(ISBLANK(B4432),ISBLANK(C4432),B4432=0),"",(C4432-B4432)/B4432)</x:f>
        <x:v>0.10002849814762048</x:v>
      </x:c>
      <x:c r="E4432" s="22" t="str">
        <x:f>IF(ISBLANK(C4432),"AmountIncludingTax缺失",IF(ABS(B4432-C4432)&lt;0.005,"一致","不一致"))</x:f>
        <x:v>不一致</x:v>
      </x:c>
      <x:c r="F4432" s="19" t="str">
        <x:v>approved</x:v>
      </x:c>
      <x:c r="G4432" s="19" t="str">
        <x:v>Repairer Invoiced Processed</x:v>
      </x:c>
      <x:c r="H4432" s="19" t="str">
        <x:v>In Field</x:v>
      </x:c>
      <x:c r="I4432" s="37" t="n">
        <x:v>46154</x:v>
      </x:c>
      <x:c r="J4432" s="37" t="n">
        <x:v>46154</x:v>
      </x:c>
      <x:c r="K4432" s="19" t="str">
        <x:v>Regent RV - Perth</x:v>
      </x:c>
      <x:c r="L4432" s="19" t="str">
        <x:v>Z006</x:v>
      </x:c>
      <x:c r="M4432" s="19" t="str">
        <x:v>In Field Warranty Claims</x:v>
      </x:c>
      <x:c r="N4432" s="37" t="n">
        <x:v>46027</x:v>
      </x:c>
      <x:c r="O4432" s="37" t="n">
        <x:v>46153</x:v>
      </x:c>
      <x:c r="P4432" s="34" t="n">
        <x:v>193</x:v>
      </x:c>
      <x:c r="Q4432" s="37" t="n">
        <x:v>46154.00685185185</x:v>
      </x:c>
    </x:row>
    <x:row r="4433">
      <x:c r="A4433" s="22" t="n">
        <x:v>29566</x:v>
      </x:c>
      <x:c r="B4433" s="28" t="n">
        <x:v>110</x:v>
      </x:c>
      <x:c r="C4433" s="28" t="n">
        <x:v>121</x:v>
      </x:c>
      <x:c r="D4433" s="31" t="n">
        <x:f>IF(OR(ISBLANK(B4433),ISBLANK(C4433),B4433=0),"",(C4433-B4433)/B4433)</x:f>
        <x:v>0.1</x:v>
      </x:c>
      <x:c r="E4433" s="22" t="str">
        <x:f>IF(ISBLANK(C4433),"AmountIncludingTax缺失",IF(ABS(B4433-C4433)&lt;0.005,"一致","不一致"))</x:f>
        <x:v>不一致</x:v>
      </x:c>
      <x:c r="F4433" s="19" t="str">
        <x:v>unapproved_closed</x:v>
      </x:c>
      <x:c r="G4433" s="19" t="str">
        <x:v>Unapproved Claims Closed (Closed)</x:v>
      </x:c>
      <x:c r="H4433" s="19" t="str">
        <x:v>In Field</x:v>
      </x:c>
      <x:c r="I4433" s="37" t="n">
        <x:v>46030</x:v>
      </x:c>
      <x:c r="J4433" s="37" t="n">
        <x:v>46030</x:v>
      </x:c>
      <x:c r="K4433" s="19" t="str">
        <x:v>Regent RV - Perth</x:v>
      </x:c>
      <x:c r="L4433" s="19" t="str">
        <x:v>Z006</x:v>
      </x:c>
      <x:c r="M4433" s="19" t="str">
        <x:v>In Field Warranty Claims</x:v>
      </x:c>
      <x:c r="N4433" s="37" t="n">
        <x:v>46029</x:v>
      </x:c>
      <x:c r="O4433" s="37" t="n">
        <x:v>46050</x:v>
      </x:c>
      <x:c r="P4433" s="34" t="n">
        <x:v>121</x:v>
      </x:c>
      <x:c r="Q4433" s="37" t="n">
        <x:v>46029.944375</x:v>
      </x:c>
    </x:row>
    <x:row r="4434">
      <x:c r="A4434" s="22" t="n">
        <x:v>29561</x:v>
      </x:c>
      <x:c r="B4434" s="28" t="n">
        <x:v>40</x:v>
      </x:c>
      <x:c r="C4434" s="28"/>
      <x:c r="D4434" s="31" t="str">
        <x:f>IF(OR(ISBLANK(B4434),ISBLANK(C4434),B4434=0),"",(C4434-B4434)/B4434)</x:f>
      </x:c>
      <x:c r="E4434" s="22" t="str">
        <x:f>IF(ISBLANK(C4434),"AmountIncludingTax缺失",IF(ABS(B4434-C4434)&lt;0.005,"一致","不一致"))</x:f>
        <x:v>AmountIncludingTax缺失</x:v>
      </x:c>
      <x:c r="F4434" s="19" t="str">
        <x:v>approved</x:v>
      </x:c>
      <x:c r="G4434" s="19" t="str">
        <x:v>Sales Order Approved</x:v>
      </x:c>
      <x:c r="H4434" s="19" t="str">
        <x:v>In Field</x:v>
      </x:c>
      <x:c r="I4434" s="37" t="n">
        <x:v>46192</x:v>
      </x:c>
      <x:c r="J4434" s="37" t="n">
        <x:v>46192</x:v>
      </x:c>
      <x:c r="K4434" s="19" t="str">
        <x:v>Regent RV - Perth</x:v>
      </x:c>
      <x:c r="L4434" s="19" t="str">
        <x:v>Z006</x:v>
      </x:c>
      <x:c r="M4434" s="19" t="str">
        <x:v>In Field Warranty Claims</x:v>
      </x:c>
      <x:c r="N4434" s="37" t="n">
        <x:v>46027</x:v>
      </x:c>
      <x:c r="O4434" s="37" t="n">
        <x:v>46101</x:v>
      </x:c>
      <x:c r="P4434" s="34" t="n">
        <x:v>0</x:v>
      </x:c>
      <x:c r="Q4434" s="37" t="n">
        <x:v>46192.16443287037</x:v>
      </x:c>
    </x:row>
    <x:row r="4435">
      <x:c r="A4435" s="22" t="n">
        <x:v>29558</x:v>
      </x:c>
      <x:c r="B4435" s="28" t="n">
        <x:v>391.25</x:v>
      </x:c>
      <x:c r="C4435" s="28"/>
      <x:c r="D4435" s="31" t="str">
        <x:f>IF(OR(ISBLANK(B4435),ISBLANK(C4435),B4435=0),"",(C4435-B4435)/B4435)</x:f>
      </x:c>
      <x:c r="E4435" s="22" t="str">
        <x:f>IF(ISBLANK(C4435),"AmountIncludingTax缺失",IF(ABS(B4435-C4435)&lt;0.005,"一致","不一致"))</x:f>
        <x:v>AmountIncludingTax缺失</x:v>
      </x:c>
      <x:c r="F4435" s="19" t="str">
        <x:v>approved</x:v>
      </x:c>
      <x:c r="G4435" s="19" t="str">
        <x:v>Repairer Invoiced Processed</x:v>
      </x:c>
      <x:c r="H4435" s="19" t="str">
        <x:v>In Field</x:v>
      </x:c>
      <x:c r="I4435" s="37" t="n">
        <x:v>46086</x:v>
      </x:c>
      <x:c r="J4435" s="37" t="n">
        <x:v>46086</x:v>
      </x:c>
      <x:c r="K4435" s="19" t="str">
        <x:v>Dario Caravans -St.Marys</x:v>
      </x:c>
      <x:c r="L4435" s="19" t="str">
        <x:v>Z006</x:v>
      </x:c>
      <x:c r="M4435" s="19" t="str">
        <x:v>In Field Warranty Claims</x:v>
      </x:c>
      <x:c r="N4435" s="37" t="n">
        <x:v>46027</x:v>
      </x:c>
      <x:c r="O4435" s="37"/>
      <x:c r="P4435" s="34" t="n">
        <x:v>0</x:v>
      </x:c>
      <x:c r="Q4435" s="37" t="n">
        <x:v>46086.47083333333</x:v>
      </x:c>
    </x:row>
    <x:row r="4436">
      <x:c r="A4436" s="22" t="n">
        <x:v>29557</x:v>
      </x:c>
      <x:c r="B4436" s="28" t="n">
        <x:v>67.5</x:v>
      </x:c>
      <x:c r="C4436" s="28"/>
      <x:c r="D4436" s="31" t="str">
        <x:f>IF(OR(ISBLANK(B4436),ISBLANK(C4436),B4436=0),"",(C4436-B4436)/B4436)</x:f>
      </x:c>
      <x:c r="E4436" s="22" t="str">
        <x:f>IF(ISBLANK(C4436),"AmountIncludingTax缺失",IF(ABS(B4436-C4436)&lt;0.005,"一致","不一致"))</x:f>
        <x:v>AmountIncludingTax缺失</x:v>
      </x:c>
      <x:c r="F4436" s="19" t="str">
        <x:v>approved</x:v>
      </x:c>
      <x:c r="G4436" s="19" t="str">
        <x:v>Repairer Invoiced Processed</x:v>
      </x:c>
      <x:c r="H4436" s="19" t="str">
        <x:v>In Field</x:v>
      </x:c>
      <x:c r="I4436" s="37" t="n">
        <x:v>46084</x:v>
      </x:c>
      <x:c r="J4436" s="37" t="n">
        <x:v>46084</x:v>
      </x:c>
      <x:c r="K4436" s="19" t="str">
        <x:v>Dario Caravans -St.Marys</x:v>
      </x:c>
      <x:c r="L4436" s="19" t="str">
        <x:v>Z006</x:v>
      </x:c>
      <x:c r="M4436" s="19" t="str">
        <x:v>In Field Warranty Claims</x:v>
      </x:c>
      <x:c r="N4436" s="37" t="n">
        <x:v>46027</x:v>
      </x:c>
      <x:c r="O4436" s="37"/>
      <x:c r="P4436" s="34" t="n">
        <x:v>0</x:v>
      </x:c>
      <x:c r="Q4436" s="37" t="n">
        <x:v>46084.45513888889</x:v>
      </x:c>
    </x:row>
    <x:row r="4437">
      <x:c r="A4437" s="22" t="n">
        <x:v>29555</x:v>
      </x:c>
      <x:c r="B4437" s="28" t="n">
        <x:v>337.5</x:v>
      </x:c>
      <x:c r="C4437" s="28"/>
      <x:c r="D4437" s="31" t="str">
        <x:f>IF(OR(ISBLANK(B4437),ISBLANK(C4437),B4437=0),"",(C4437-B4437)/B4437)</x:f>
      </x:c>
      <x:c r="E4437" s="22" t="str">
        <x:f>IF(ISBLANK(C4437),"AmountIncludingTax缺失",IF(ABS(B4437-C4437)&lt;0.005,"一致","不一致"))</x:f>
        <x:v>AmountIncludingTax缺失</x:v>
      </x:c>
      <x:c r="F4437" s="19" t="str">
        <x:v>approved</x:v>
      </x:c>
      <x:c r="G4437" s="19" t="str">
        <x:v>Repair in Progress</x:v>
      </x:c>
      <x:c r="H4437" s="19" t="str">
        <x:v>In Field</x:v>
      </x:c>
      <x:c r="I4437" s="37" t="n">
        <x:v>46084</x:v>
      </x:c>
      <x:c r="J4437" s="37" t="n">
        <x:v>46084</x:v>
      </x:c>
      <x:c r="K4437" s="19" t="str">
        <x:v>Dario Caravans - Pooraka</x:v>
      </x:c>
      <x:c r="L4437" s="19" t="str">
        <x:v>Z006</x:v>
      </x:c>
      <x:c r="M4437" s="19" t="str">
        <x:v>In Field Warranty Claims</x:v>
      </x:c>
      <x:c r="N4437" s="37" t="n">
        <x:v>46027</x:v>
      </x:c>
      <x:c r="O4437" s="37"/>
      <x:c r="P4437" s="34" t="n">
        <x:v>0</x:v>
      </x:c>
      <x:c r="Q4437" s="37" t="n">
        <x:v>46084.20045138889</x:v>
      </x:c>
    </x:row>
    <x:row r="4438">
      <x:c r="A4438" s="22" t="n">
        <x:v>29553</x:v>
      </x:c>
      <x:c r="B4438" s="28" t="n">
        <x:v>345</x:v>
      </x:c>
      <x:c r="C4438" s="28" t="n">
        <x:v>379.5</x:v>
      </x:c>
      <x:c r="D4438" s="31" t="n">
        <x:f>IF(OR(ISBLANK(B4438),ISBLANK(C4438),B4438=0),"",(C4438-B4438)/B4438)</x:f>
        <x:v>0.1</x:v>
      </x:c>
      <x:c r="E4438" s="22" t="str">
        <x:f>IF(ISBLANK(C4438),"AmountIncludingTax缺失",IF(ABS(B4438-C4438)&lt;0.005,"一致","不一致"))</x:f>
        <x:v>不一致</x:v>
      </x:c>
      <x:c r="F4438" s="19" t="str">
        <x:v>approved</x:v>
      </x:c>
      <x:c r="G4438" s="19" t="str">
        <x:v>Repairer Invoiced Processed</x:v>
      </x:c>
      <x:c r="H4438" s="19" t="str">
        <x:v>In Field</x:v>
      </x:c>
      <x:c r="I4438" s="37" t="n">
        <x:v>46098</x:v>
      </x:c>
      <x:c r="J4438" s="37" t="n">
        <x:v>46098</x:v>
      </x:c>
      <x:c r="K4438" s="19" t="str">
        <x:v>Lesiure Lion-New Castle</x:v>
      </x:c>
      <x:c r="L4438" s="19" t="str">
        <x:v>Z006</x:v>
      </x:c>
      <x:c r="M4438" s="19" t="str">
        <x:v>In Field Warranty Claims</x:v>
      </x:c>
      <x:c r="N4438" s="37" t="n">
        <x:v>46027</x:v>
      </x:c>
      <x:c r="O4438" s="37"/>
      <x:c r="P4438" s="34" t="n">
        <x:v>379.5</x:v>
      </x:c>
      <x:c r="Q4438" s="37" t="n">
        <x:v>46098.16449074074</x:v>
      </x:c>
    </x:row>
    <x:row r="4439">
      <x:c r="A4439" s="22" t="n">
        <x:v>29551</x:v>
      </x:c>
      <x:c r="B4439" s="28" t="n">
        <x:v>546.25</x:v>
      </x:c>
      <x:c r="C4439" s="28"/>
      <x:c r="D4439" s="31" t="str">
        <x:f>IF(OR(ISBLANK(B4439),ISBLANK(C4439),B4439=0),"",(C4439-B4439)/B4439)</x:f>
      </x:c>
      <x:c r="E4439" s="22" t="str">
        <x:f>IF(ISBLANK(C4439),"AmountIncludingTax缺失",IF(ABS(B4439-C4439)&lt;0.005,"一致","不一致"))</x:f>
        <x:v>AmountIncludingTax缺失</x:v>
      </x:c>
      <x:c r="F4439" s="19" t="str">
        <x:v>approved</x:v>
      </x:c>
      <x:c r="G4439" s="19" t="str">
        <x:v>Repair in Progress</x:v>
      </x:c>
      <x:c r="H4439" s="19" t="str">
        <x:v>In Field</x:v>
      </x:c>
      <x:c r="I4439" s="37" t="n">
        <x:v>46076</x:v>
      </x:c>
      <x:c r="J4439" s="37" t="n">
        <x:v>46076</x:v>
      </x:c>
      <x:c r="K4439" s="19" t="str">
        <x:v>Newcastle RV Super Centre - Beresfield</x:v>
      </x:c>
      <x:c r="L4439" s="19" t="str">
        <x:v>Z006</x:v>
      </x:c>
      <x:c r="M4439" s="19" t="str">
        <x:v>In Field Warranty Claims</x:v>
      </x:c>
      <x:c r="N4439" s="37" t="n">
        <x:v>46027</x:v>
      </x:c>
      <x:c r="O4439" s="37"/>
      <x:c r="P4439" s="34" t="n">
        <x:v>0</x:v>
      </x:c>
      <x:c r="Q4439" s="37" t="n">
        <x:v>46076.178125</x:v>
      </x:c>
    </x:row>
    <x:row r="4440">
      <x:c r="A4440" s="22" t="n">
        <x:v>29550</x:v>
      </x:c>
      <x:c r="B4440" s="28" t="n">
        <x:v>454.21</x:v>
      </x:c>
      <x:c r="C4440" s="28" t="n">
        <x:v>499.63</x:v>
      </x:c>
      <x:c r="D4440" s="31" t="n">
        <x:f>IF(OR(ISBLANK(B4440),ISBLANK(C4440),B4440=0),"",(C4440-B4440)/B4440)</x:f>
        <x:v>0.09999779837520094</x:v>
      </x:c>
      <x:c r="E4440" s="22" t="str">
        <x:f>IF(ISBLANK(C4440),"AmountIncludingTax缺失",IF(ABS(B4440-C4440)&lt;0.005,"一致","不一致"))</x:f>
        <x:v>不一致</x:v>
      </x:c>
      <x:c r="F4440" s="19" t="str">
        <x:v>approved</x:v>
      </x:c>
      <x:c r="G4440" s="19" t="str">
        <x:v>Repairer Invoiced Processed</x:v>
      </x:c>
      <x:c r="H4440" s="19" t="str">
        <x:v>Pre Delivery</x:v>
      </x:c>
      <x:c r="I4440" s="37" t="n">
        <x:v>46065</x:v>
      </x:c>
      <x:c r="J4440" s="37" t="n">
        <x:v>46065</x:v>
      </x:c>
      <x:c r="K4440" s="19" t="str">
        <x:v>Lesiure Lion-New Castle</x:v>
      </x:c>
      <x:c r="L4440" s="19" t="str">
        <x:v>Z005</x:v>
      </x:c>
      <x:c r="M4440" s="19" t="str">
        <x:v>Pre Delivery Warranty Claims</x:v>
      </x:c>
      <x:c r="N4440" s="37" t="n">
        <x:v>46027</x:v>
      </x:c>
      <x:c r="O4440" s="37"/>
      <x:c r="P4440" s="34" t="n">
        <x:v>499.63</x:v>
      </x:c>
      <x:c r="Q4440" s="37" t="n">
        <x:v>46065.20763888889</x:v>
      </x:c>
    </x:row>
    <x:row r="4441">
      <x:c r="A4441" s="22" t="n">
        <x:v>29549</x:v>
      </x:c>
      <x:c r="B4441" s="28" t="n">
        <x:v>923.46</x:v>
      </x:c>
      <x:c r="C4441" s="28"/>
      <x:c r="D4441" s="31" t="str">
        <x:f>IF(OR(ISBLANK(B4441),ISBLANK(C4441),B4441=0),"",(C4441-B4441)/B4441)</x:f>
      </x:c>
      <x:c r="E4441" s="22" t="str">
        <x:f>IF(ISBLANK(C4441),"AmountIncludingTax缺失",IF(ABS(B4441-C4441)&lt;0.005,"一致","不一致"))</x:f>
        <x:v>AmountIncludingTax缺失</x:v>
      </x:c>
      <x:c r="F4441" s="19" t="str">
        <x:v>approved</x:v>
      </x:c>
      <x:c r="G4441" s="19" t="str">
        <x:v>Repairer Invoiced Processed</x:v>
      </x:c>
      <x:c r="H4441" s="19" t="str">
        <x:v>In Field</x:v>
      </x:c>
      <x:c r="I4441" s="37" t="n">
        <x:v>46111</x:v>
      </x:c>
      <x:c r="J4441" s="37" t="n">
        <x:v>46111</x:v>
      </x:c>
      <x:c r="K4441" s="19" t="str">
        <x:v>Auswide Caravans - South Nowra</x:v>
      </x:c>
      <x:c r="L4441" s="19" t="str">
        <x:v>Z006</x:v>
      </x:c>
      <x:c r="M4441" s="19" t="str">
        <x:v>In Field Warranty Claims</x:v>
      </x:c>
      <x:c r="N4441" s="37" t="n">
        <x:v>46027</x:v>
      </x:c>
      <x:c r="O4441" s="37"/>
      <x:c r="P4441" s="34" t="n">
        <x:v>1015.81</x:v>
      </x:c>
      <x:c r="Q4441" s="37" t="n">
        <x:v>46111.02943287037</x:v>
      </x:c>
    </x:row>
    <x:row r="4442">
      <x:c r="A4442" s="22" t="n">
        <x:v>29548</x:v>
      </x:c>
      <x:c r="B4442" s="28" t="n">
        <x:v>120.31</x:v>
      </x:c>
      <x:c r="C4442" s="28" t="n">
        <x:v>132.34</x:v>
      </x:c>
      <x:c r="D4442" s="31" t="n">
        <x:f>IF(OR(ISBLANK(B4442),ISBLANK(C4442),B4442=0),"",(C4442-B4442)/B4442)</x:f>
        <x:v>0.09999168813897433</x:v>
      </x:c>
      <x:c r="E4442" s="22" t="str">
        <x:f>IF(ISBLANK(C4442),"AmountIncludingTax缺失",IF(ABS(B4442-C4442)&lt;0.005,"一致","不一致"))</x:f>
        <x:v>不一致</x:v>
      </x:c>
      <x:c r="F4442" s="19" t="str">
        <x:v>approved</x:v>
      </x:c>
      <x:c r="G4442" s="19" t="str">
        <x:v>Repairer Invoiced Processed</x:v>
      </x:c>
      <x:c r="H4442" s="19" t="str">
        <x:v>Pre Delivery</x:v>
      </x:c>
      <x:c r="I4442" s="37" t="n">
        <x:v>46111</x:v>
      </x:c>
      <x:c r="J4442" s="37" t="n">
        <x:v>46111</x:v>
      </x:c>
      <x:c r="K4442" s="19" t="str">
        <x:v>Lesiure Lion-New Castle</x:v>
      </x:c>
      <x:c r="L4442" s="19" t="str">
        <x:v>Z005</x:v>
      </x:c>
      <x:c r="M4442" s="19" t="str">
        <x:v>Pre Delivery Warranty Claims</x:v>
      </x:c>
      <x:c r="N4442" s="37" t="n">
        <x:v>46027</x:v>
      </x:c>
      <x:c r="O4442" s="37"/>
      <x:c r="P4442" s="34" t="n">
        <x:v>132.34</x:v>
      </x:c>
      <x:c r="Q4442" s="37" t="n">
        <x:v>46111.12636574074</x:v>
      </x:c>
    </x:row>
    <x:row r="4443">
      <x:c r="A4443" s="22" t="n">
        <x:v>29543</x:v>
      </x:c>
      <x:c r="B4443" s="28" t="n">
        <x:v>314.93</x:v>
      </x:c>
      <x:c r="C4443" s="28" t="n">
        <x:v>346.42</x:v>
      </x:c>
      <x:c r="D4443" s="31" t="n">
        <x:f>IF(OR(ISBLANK(B4443),ISBLANK(C4443),B4443=0),"",(C4443-B4443)/B4443)</x:f>
        <x:v>0.09999047407360369</x:v>
      </x:c>
      <x:c r="E4443" s="22" t="str">
        <x:f>IF(ISBLANK(C4443),"AmountIncludingTax缺失",IF(ABS(B4443-C4443)&lt;0.005,"一致","不一致"))</x:f>
        <x:v>不一致</x:v>
      </x:c>
      <x:c r="F4443" s="19" t="str">
        <x:v>approved</x:v>
      </x:c>
      <x:c r="G4443" s="19" t="str">
        <x:v>Repairer Invoiced Processed</x:v>
      </x:c>
      <x:c r="H4443" s="19" t="str">
        <x:v>In Field</x:v>
      </x:c>
      <x:c r="I4443" s="37" t="n">
        <x:v>46028</x:v>
      </x:c>
      <x:c r="J4443" s="37" t="n">
        <x:v>46028</x:v>
      </x:c>
      <x:c r="K4443" s="19" t="str">
        <x:v>Lesiure Lion-New Castle</x:v>
      </x:c>
      <x:c r="L4443" s="19" t="str">
        <x:v>Z006</x:v>
      </x:c>
      <x:c r="M4443" s="19" t="str">
        <x:v>In Field Warranty Claims</x:v>
      </x:c>
      <x:c r="N4443" s="37" t="n">
        <x:v>46027</x:v>
      </x:c>
      <x:c r="O4443" s="37"/>
      <x:c r="P4443" s="34" t="n">
        <x:v>346.42</x:v>
      </x:c>
      <x:c r="Q4443" s="37" t="n">
        <x:v>46028.05106481481</x:v>
      </x:c>
    </x:row>
    <x:row r="4444">
      <x:c r="A4444" s="22" t="n">
        <x:v>29542</x:v>
      </x:c>
      <x:c r="B4444" s="28" t="n">
        <x:v>1182.5</x:v>
      </x:c>
      <x:c r="C4444" s="28"/>
      <x:c r="D4444" s="31" t="str">
        <x:f>IF(OR(ISBLANK(B4444),ISBLANK(C4444),B4444=0),"",(C4444-B4444)/B4444)</x:f>
      </x:c>
      <x:c r="E4444" s="22" t="str">
        <x:f>IF(ISBLANK(C4444),"AmountIncludingTax缺失",IF(ABS(B4444-C4444)&lt;0.005,"一致","不一致"))</x:f>
        <x:v>AmountIncludingTax缺失</x:v>
      </x:c>
      <x:c r="F4444" s="19" t="str">
        <x:v>approved</x:v>
      </x:c>
      <x:c r="G4444" s="19" t="str">
        <x:v>Repair in Progress</x:v>
      </x:c>
      <x:c r="H4444" s="19" t="str">
        <x:v>Pre Delivery</x:v>
      </x:c>
      <x:c r="I4444" s="37" t="n">
        <x:v>46119</x:v>
      </x:c>
      <x:c r="J4444" s="37" t="n">
        <x:v>46119</x:v>
      </x:c>
      <x:c r="K4444" s="19" t="str">
        <x:v>Regent RV - Perth</x:v>
      </x:c>
      <x:c r="L4444" s="19" t="str">
        <x:v>Z005</x:v>
      </x:c>
      <x:c r="M4444" s="19" t="str">
        <x:v>Pre Delivery Warranty Claims</x:v>
      </x:c>
      <x:c r="N4444" s="37" t="n">
        <x:v>46027</x:v>
      </x:c>
      <x:c r="O4444" s="37"/>
      <x:c r="P4444" s="34" t="n">
        <x:v>0</x:v>
      </x:c>
      <x:c r="Q4444" s="37" t="n">
        <x:v>46118.93454861111</x:v>
      </x:c>
    </x:row>
    <x:row r="4445">
      <x:c r="A4445" s="22" t="n">
        <x:v>29541</x:v>
      </x:c>
      <x:c r="B4445" s="28" t="n">
        <x:v>67.5</x:v>
      </x:c>
      <x:c r="C4445" s="28"/>
      <x:c r="D4445" s="31" t="str">
        <x:f>IF(OR(ISBLANK(B4445),ISBLANK(C4445),B4445=0),"",(C4445-B4445)/B4445)</x:f>
      </x:c>
      <x:c r="E4445" s="22" t="str">
        <x:f>IF(ISBLANK(C4445),"AmountIncludingTax缺失",IF(ABS(B4445-C4445)&lt;0.005,"一致","不一致"))</x:f>
        <x:v>AmountIncludingTax缺失</x:v>
      </x:c>
      <x:c r="F4445" s="19" t="str">
        <x:v>approved</x:v>
      </x:c>
      <x:c r="G4445" s="19" t="str">
        <x:v>Repair in Progress</x:v>
      </x:c>
      <x:c r="H4445" s="19" t="str">
        <x:v>In Field</x:v>
      </x:c>
      <x:c r="I4445" s="37" t="n">
        <x:v>46112</x:v>
      </x:c>
      <x:c r="J4445" s="37" t="n">
        <x:v>46112</x:v>
      </x:c>
      <x:c r="K4445" s="19" t="str">
        <x:v>Snowy River Wangaratta</x:v>
      </x:c>
      <x:c r="L4445" s="19" t="str">
        <x:v>Z006</x:v>
      </x:c>
      <x:c r="M4445" s="19" t="str">
        <x:v>In Field Warranty Claims</x:v>
      </x:c>
      <x:c r="N4445" s="37" t="n">
        <x:v>46027</x:v>
      </x:c>
      <x:c r="O4445" s="37"/>
      <x:c r="P4445" s="34" t="n">
        <x:v>0</x:v>
      </x:c>
      <x:c r="Q4445" s="37" t="n">
        <x:v>46111.95025462963</x:v>
      </x:c>
    </x:row>
    <x:row r="4446">
      <x:c r="A4446" s="22" t="n">
        <x:v>29538</x:v>
      </x:c>
      <x:c r="B4446" s="28" t="n">
        <x:v>757.04</x:v>
      </x:c>
      <x:c r="C4446" s="28" t="n">
        <x:v>685.42</x:v>
      </x:c>
      <x:c r="D4446" s="31" t="n">
        <x:f>IF(OR(ISBLANK(B4446),ISBLANK(C4446),B4446=0),"",(C4446-B4446)/B4446)</x:f>
        <x:v>-0.0946053048716052</x:v>
      </x:c>
      <x:c r="E4446" s="22" t="str">
        <x:f>IF(ISBLANK(C4446),"AmountIncludingTax缺失",IF(ABS(B4446-C4446)&lt;0.005,"一致","不一致"))</x:f>
        <x:v>不一致</x:v>
      </x:c>
      <x:c r="F4446" s="19" t="str">
        <x:v>approved</x:v>
      </x:c>
      <x:c r="G4446" s="19" t="str">
        <x:v>Repairer Invoiced Processed</x:v>
      </x:c>
      <x:c r="H4446" s="19" t="str">
        <x:v>In Field</x:v>
      </x:c>
      <x:c r="I4446" s="37" t="n">
        <x:v>46087</x:v>
      </x:c>
      <x:c r="J4446" s="37" t="n">
        <x:v>46087</x:v>
      </x:c>
      <x:c r="K4446" s="19" t="str">
        <x:v>Vanari Caravans - Marden Point</x:v>
      </x:c>
      <x:c r="L4446" s="19" t="str">
        <x:v>Z006</x:v>
      </x:c>
      <x:c r="M4446" s="19" t="str">
        <x:v>In Field Warranty Claims</x:v>
      </x:c>
      <x:c r="N4446" s="37" t="n">
        <x:v>46027</x:v>
      </x:c>
      <x:c r="O4446" s="37"/>
      <x:c r="P4446" s="34" t="n">
        <x:v>685.42</x:v>
      </x:c>
      <x:c r="Q4446" s="37" t="n">
        <x:v>46087.21931712963</x:v>
      </x:c>
    </x:row>
    <x:row r="4447">
      <x:c r="A4447" s="22" t="n">
        <x:v>29537</x:v>
      </x:c>
      <x:c r="B4447" s="28" t="n">
        <x:v>68.34</x:v>
      </x:c>
      <x:c r="C4447" s="28" t="n">
        <x:v>75.17</x:v>
      </x:c>
      <x:c r="D4447" s="31" t="n">
        <x:f>IF(OR(ISBLANK(B4447),ISBLANK(C4447),B4447=0),"",(C4447-B4447)/B4447)</x:f>
        <x:v>0.09994146912496339</x:v>
      </x:c>
      <x:c r="E4447" s="22" t="str">
        <x:f>IF(ISBLANK(C4447),"AmountIncludingTax缺失",IF(ABS(B4447-C4447)&lt;0.005,"一致","不一致"))</x:f>
        <x:v>不一致</x:v>
      </x:c>
      <x:c r="F4447" s="19" t="str">
        <x:v>approved</x:v>
      </x:c>
      <x:c r="G4447" s="19" t="str">
        <x:v>Repair in Progress</x:v>
      </x:c>
      <x:c r="H4447" s="19" t="str">
        <x:v>In Field</x:v>
      </x:c>
      <x:c r="I4447" s="37" t="n">
        <x:v>46112</x:v>
      </x:c>
      <x:c r="J4447" s="37" t="n">
        <x:v>46112</x:v>
      </x:c>
      <x:c r="K4447" s="19" t="str">
        <x:v>The Caravan Hub - Townsville</x:v>
      </x:c>
      <x:c r="L4447" s="19" t="str">
        <x:v>Z006</x:v>
      </x:c>
      <x:c r="M4447" s="19" t="str">
        <x:v>In Field Warranty Claims</x:v>
      </x:c>
      <x:c r="N4447" s="37" t="n">
        <x:v>46027</x:v>
      </x:c>
      <x:c r="O4447" s="37"/>
      <x:c r="P4447" s="34" t="n">
        <x:v>75.17</x:v>
      </x:c>
      <x:c r="Q4447" s="37" t="n">
        <x:v>46111.88415509259</x:v>
      </x:c>
    </x:row>
    <x:row r="4448">
      <x:c r="A4448" s="22" t="n">
        <x:v>29536</x:v>
      </x:c>
      <x:c r="B4448" s="28" t="n">
        <x:v>633.29</x:v>
      </x:c>
      <x:c r="C4448" s="28"/>
      <x:c r="D4448" s="31" t="str">
        <x:f>IF(OR(ISBLANK(B4448),ISBLANK(C4448),B4448=0),"",(C4448-B4448)/B4448)</x:f>
      </x:c>
      <x:c r="E4448" s="22" t="str">
        <x:f>IF(ISBLANK(C4448),"AmountIncludingTax缺失",IF(ABS(B4448-C4448)&lt;0.005,"一致","不一致"))</x:f>
        <x:v>AmountIncludingTax缺失</x:v>
      </x:c>
      <x:c r="F4448" s="19" t="str">
        <x:v>approved</x:v>
      </x:c>
      <x:c r="G4448" s="19" t="str">
        <x:v>Repairer Invoiced Processed</x:v>
      </x:c>
      <x:c r="H4448" s="19" t="str">
        <x:v>In Field</x:v>
      </x:c>
      <x:c r="I4448" s="37" t="n">
        <x:v>46090</x:v>
      </x:c>
      <x:c r="J4448" s="37" t="n">
        <x:v>46090</x:v>
      </x:c>
      <x:c r="K4448" s="19" t="str">
        <x:v>Green RV - Forest Glen</x:v>
      </x:c>
      <x:c r="L4448" s="19" t="str">
        <x:v>Z006</x:v>
      </x:c>
      <x:c r="M4448" s="19" t="str">
        <x:v>In Field Warranty Claims</x:v>
      </x:c>
      <x:c r="N4448" s="37" t="n">
        <x:v>46027</x:v>
      </x:c>
      <x:c r="O4448" s="37"/>
      <x:c r="P4448" s="34" t="n">
        <x:v>0</x:v>
      </x:c>
      <x:c r="Q4448" s="37" t="n">
        <x:v>46089.92402777778</x:v>
      </x:c>
    </x:row>
    <x:row r="4449">
      <x:c r="A4449" s="22" t="n">
        <x:v>29535</x:v>
      </x:c>
      <x:c r="B4449" s="28" t="n">
        <x:v>522.5</x:v>
      </x:c>
      <x:c r="C4449" s="28"/>
      <x:c r="D4449" s="31" t="str">
        <x:f>IF(OR(ISBLANK(B4449),ISBLANK(C4449),B4449=0),"",(C4449-B4449)/B4449)</x:f>
      </x:c>
      <x:c r="E4449" s="22" t="str">
        <x:f>IF(ISBLANK(C4449),"AmountIncludingTax缺失",IF(ABS(B4449-C4449)&lt;0.005,"一致","不一致"))</x:f>
        <x:v>AmountIncludingTax缺失</x:v>
      </x:c>
      <x:c r="F4449" s="19" t="str">
        <x:v>approved</x:v>
      </x:c>
      <x:c r="G4449" s="19" t="str">
        <x:v>Partially Picked</x:v>
      </x:c>
      <x:c r="H4449" s="19" t="str">
        <x:v>Pre Delivery</x:v>
      </x:c>
      <x:c r="I4449" s="37" t="n">
        <x:v>46076</x:v>
      </x:c>
      <x:c r="J4449" s="37" t="n">
        <x:v>46076</x:v>
      </x:c>
      <x:c r="K4449" s="19" t="str">
        <x:v>Regent RV - Perth</x:v>
      </x:c>
      <x:c r="L4449" s="19" t="str">
        <x:v>Z005</x:v>
      </x:c>
      <x:c r="M4449" s="19" t="str">
        <x:v>Pre Delivery Warranty Claims</x:v>
      </x:c>
      <x:c r="N4449" s="37" t="n">
        <x:v>46027</x:v>
      </x:c>
      <x:c r="O4449" s="37"/>
      <x:c r="P4449" s="34" t="n">
        <x:v>0</x:v>
      </x:c>
      <x:c r="Q4449" s="37" t="n">
        <x:v>46076.115381944444</x:v>
      </x:c>
    </x:row>
    <x:row r="4450">
      <x:c r="A4450" s="22" t="n">
        <x:v>29533</x:v>
      </x:c>
      <x:c r="B4450" s="28" t="n">
        <x:v>270</x:v>
      </x:c>
      <x:c r="C4450" s="28"/>
      <x:c r="D4450" s="31" t="str">
        <x:f>IF(OR(ISBLANK(B4450),ISBLANK(C4450),B4450=0),"",(C4450-B4450)/B4450)</x:f>
      </x:c>
      <x:c r="E4450" s="22" t="str">
        <x:f>IF(ISBLANK(C4450),"AmountIncludingTax缺失",IF(ABS(B4450-C4450)&lt;0.005,"一致","不一致"))</x:f>
        <x:v>AmountIncludingTax缺失</x:v>
      </x:c>
      <x:c r="F4450" s="19" t="str">
        <x:v>approved</x:v>
      </x:c>
      <x:c r="G4450" s="19" t="str">
        <x:v>Repair in Progress</x:v>
      </x:c>
      <x:c r="H4450" s="19" t="str">
        <x:v>Pre Delivery</x:v>
      </x:c>
      <x:c r="I4450" s="37" t="n">
        <x:v>46087</x:v>
      </x:c>
      <x:c r="J4450" s="37" t="n">
        <x:v>46087</x:v>
      </x:c>
      <x:c r="K4450" s="19" t="str">
        <x:v>Lesiure Lion-New Castle</x:v>
      </x:c>
      <x:c r="L4450" s="19" t="str">
        <x:v>Z005</x:v>
      </x:c>
      <x:c r="M4450" s="19" t="str">
        <x:v>Pre Delivery Warranty Claims</x:v>
      </x:c>
      <x:c r="N4450" s="37" t="n">
        <x:v>46026</x:v>
      </x:c>
      <x:c r="O4450" s="37"/>
      <x:c r="P4450" s="34" t="n">
        <x:v>0</x:v>
      </x:c>
      <x:c r="Q4450" s="37" t="n">
        <x:v>46087.20753472222</x:v>
      </x:c>
    </x:row>
    <x:row r="4451">
      <x:c r="A4451" s="22" t="n">
        <x:v>29531</x:v>
      </x:c>
      <x:c r="B4451" s="28" t="n">
        <x:v>1400</x:v>
      </x:c>
      <x:c r="C4451" s="28"/>
      <x:c r="D4451" s="31" t="str">
        <x:f>IF(OR(ISBLANK(B4451),ISBLANK(C4451),B4451=0),"",(C4451-B4451)/B4451)</x:f>
      </x:c>
      <x:c r="E4451" s="22" t="str">
        <x:f>IF(ISBLANK(C4451),"AmountIncludingTax缺失",IF(ABS(B4451-C4451)&lt;0.005,"一致","不一致"))</x:f>
        <x:v>AmountIncludingTax缺失</x:v>
      </x:c>
      <x:c r="F4451" s="19" t="str">
        <x:v>approved</x:v>
      </x:c>
      <x:c r="G4451" s="19" t="str">
        <x:v>Repair in Progress</x:v>
      </x:c>
      <x:c r="H4451" s="19" t="str">
        <x:v>In Field</x:v>
      </x:c>
      <x:c r="I4451" s="37" t="n">
        <x:v>46098</x:v>
      </x:c>
      <x:c r="J4451" s="37" t="n">
        <x:v>46098</x:v>
      </x:c>
      <x:c r="K4451" s="19" t="str">
        <x:v>Vanari Caravans - Marden Point</x:v>
      </x:c>
      <x:c r="L4451" s="19" t="str">
        <x:v>Z006</x:v>
      </x:c>
      <x:c r="M4451" s="19" t="str">
        <x:v>In Field Warranty Claims</x:v>
      </x:c>
      <x:c r="N4451" s="37" t="n">
        <x:v>46026</x:v>
      </x:c>
      <x:c r="O4451" s="37"/>
      <x:c r="P4451" s="34" t="n">
        <x:v>1267.56</x:v>
      </x:c>
      <x:c r="Q4451" s="37" t="n">
        <x:v>46097.87472222222</x:v>
      </x:c>
    </x:row>
    <x:row r="4452">
      <x:c r="A4452" s="22" t="n">
        <x:v>29530</x:v>
      </x:c>
      <x:c r="B4452" s="28" t="n">
        <x:v>910</x:v>
      </x:c>
      <x:c r="C4452" s="28"/>
      <x:c r="D4452" s="31" t="str">
        <x:f>IF(OR(ISBLANK(B4452),ISBLANK(C4452),B4452=0),"",(C4452-B4452)/B4452)</x:f>
      </x:c>
      <x:c r="E4452" s="22" t="str">
        <x:f>IF(ISBLANK(C4452),"AmountIncludingTax缺失",IF(ABS(B4452-C4452)&lt;0.005,"一致","不一致"))</x:f>
        <x:v>AmountIncludingTax缺失</x:v>
      </x:c>
      <x:c r="F4452" s="19" t="str">
        <x:v>approved</x:v>
      </x:c>
      <x:c r="G4452" s="19" t="str">
        <x:v>Repair in Progress</x:v>
      </x:c>
      <x:c r="H4452" s="19" t="str">
        <x:v>In Field</x:v>
      </x:c>
      <x:c r="I4452" s="37" t="n">
        <x:v>46157</x:v>
      </x:c>
      <x:c r="J4452" s="37" t="n">
        <x:v>46157</x:v>
      </x:c>
      <x:c r="K4452" s="19" t="str">
        <x:v>Green RV - Forest Glen</x:v>
      </x:c>
      <x:c r="L4452" s="19" t="str">
        <x:v>Z006</x:v>
      </x:c>
      <x:c r="M4452" s="19" t="str">
        <x:v>In Field Warranty Claims</x:v>
      </x:c>
      <x:c r="N4452" s="37" t="n">
        <x:v>46025</x:v>
      </x:c>
      <x:c r="O4452" s="37"/>
      <x:c r="P4452" s="34" t="n">
        <x:v>0</x:v>
      </x:c>
      <x:c r="Q4452" s="37" t="n">
        <x:v>46157.09197916667</x:v>
      </x:c>
    </x:row>
    <x:row r="4453">
      <x:c r="A4453" s="22" t="n">
        <x:v>29529</x:v>
      </x:c>
      <x:c r="B4453" s="28" t="n">
        <x:v>1080</x:v>
      </x:c>
      <x:c r="C4453" s="28"/>
      <x:c r="D4453" s="31" t="str">
        <x:f>IF(OR(ISBLANK(B4453),ISBLANK(C4453),B4453=0),"",(C4453-B4453)/B4453)</x:f>
      </x:c>
      <x:c r="E4453" s="22" t="str">
        <x:f>IF(ISBLANK(C4453),"AmountIncludingTax缺失",IF(ABS(B4453-C4453)&lt;0.005,"一致","不一致"))</x:f>
        <x:v>AmountIncludingTax缺失</x:v>
      </x:c>
      <x:c r="F4453" s="19" t="str">
        <x:v>approved</x:v>
      </x:c>
      <x:c r="G4453" s="19" t="str">
        <x:v>Repair in Progress</x:v>
      </x:c>
      <x:c r="H4453" s="19" t="str">
        <x:v>In Field</x:v>
      </x:c>
      <x:c r="I4453" s="37" t="n">
        <x:v>46135</x:v>
      </x:c>
      <x:c r="J4453" s="37" t="n">
        <x:v>46135</x:v>
      </x:c>
      <x:c r="K4453" s="19" t="str">
        <x:v>Regent RV - Perth</x:v>
      </x:c>
      <x:c r="L4453" s="19" t="str">
        <x:v>Z006</x:v>
      </x:c>
      <x:c r="M4453" s="19" t="str">
        <x:v>In Field Warranty Claims</x:v>
      </x:c>
      <x:c r="N4453" s="37" t="n">
        <x:v>46025</x:v>
      </x:c>
      <x:c r="O4453" s="37"/>
      <x:c r="P4453" s="34" t="n">
        <x:v>0</x:v>
      </x:c>
      <x:c r="Q4453" s="37" t="n">
        <x:v>46134.949583333335</x:v>
      </x:c>
    </x:row>
    <x:row r="4454">
      <x:c r="A4454" s="22" t="n">
        <x:v>29528</x:v>
      </x:c>
      <x:c r="B4454" s="28" t="n">
        <x:v>250</x:v>
      </x:c>
      <x:c r="C4454" s="28" t="n">
        <x:v>275</x:v>
      </x:c>
      <x:c r="D4454" s="31" t="n">
        <x:f>IF(OR(ISBLANK(B4454),ISBLANK(C4454),B4454=0),"",(C4454-B4454)/B4454)</x:f>
        <x:v>0.1</x:v>
      </x:c>
      <x:c r="E4454" s="22" t="str">
        <x:f>IF(ISBLANK(C4454),"AmountIncludingTax缺失",IF(ABS(B4454-C4454)&lt;0.005,"一致","不一致"))</x:f>
        <x:v>不一致</x:v>
      </x:c>
      <x:c r="F4454" s="19" t="str">
        <x:v>approved</x:v>
      </x:c>
      <x:c r="G4454" s="19" t="str">
        <x:v>Repair in Progress</x:v>
      </x:c>
      <x:c r="H4454" s="19" t="str">
        <x:v>In Field</x:v>
      </x:c>
      <x:c r="I4454" s="37" t="n">
        <x:v>46107</x:v>
      </x:c>
      <x:c r="J4454" s="37" t="n">
        <x:v>46107</x:v>
      </x:c>
      <x:c r="K4454" s="19" t="str">
        <x:v>Regent RV - Perth</x:v>
      </x:c>
      <x:c r="L4454" s="19" t="str">
        <x:v>Z006</x:v>
      </x:c>
      <x:c r="M4454" s="19" t="str">
        <x:v>In Field Warranty Claims</x:v>
      </x:c>
      <x:c r="N4454" s="37" t="n">
        <x:v>46025</x:v>
      </x:c>
      <x:c r="O4454" s="37"/>
      <x:c r="P4454" s="34" t="n">
        <x:v>275</x:v>
      </x:c>
      <x:c r="Q4454" s="37" t="n">
        <x:v>46106.928194444445</x:v>
      </x:c>
    </x:row>
    <x:row r="4455">
      <x:c r="A4455" s="22" t="n">
        <x:v>29523</x:v>
      </x:c>
      <x:c r="B4455" s="28" t="n">
        <x:v>288</x:v>
      </x:c>
      <x:c r="C4455" s="28" t="n">
        <x:v>363</x:v>
      </x:c>
      <x:c r="D4455" s="31" t="n">
        <x:f>IF(OR(ISBLANK(B4455),ISBLANK(C4455),B4455=0),"",(C4455-B4455)/B4455)</x:f>
        <x:v>0.2604166666666667</x:v>
      </x:c>
      <x:c r="E4455" s="22" t="str">
        <x:f>IF(ISBLANK(C4455),"AmountIncludingTax缺失",IF(ABS(B4455-C4455)&lt;0.005,"一致","不一致"))</x:f>
        <x:v>不一致</x:v>
      </x:c>
      <x:c r="F4455" s="19" t="str">
        <x:v>approved</x:v>
      </x:c>
      <x:c r="G4455" s="19" t="str">
        <x:v>Repair in Progress</x:v>
      </x:c>
      <x:c r="H4455" s="19" t="str">
        <x:v>In Field</x:v>
      </x:c>
      <x:c r="I4455" s="37" t="n">
        <x:v>46126</x:v>
      </x:c>
      <x:c r="J4455" s="37" t="n">
        <x:v>46069</x:v>
      </x:c>
      <x:c r="K4455" s="19" t="str">
        <x:v>Lesiure Lion-New Castle</x:v>
      </x:c>
      <x:c r="L4455" s="19" t="str">
        <x:v>Z006</x:v>
      </x:c>
      <x:c r="M4455" s="19" t="str">
        <x:v>In Field Warranty Claims</x:v>
      </x:c>
      <x:c r="N4455" s="37" t="n">
        <x:v>46022</x:v>
      </x:c>
      <x:c r="O4455" s="37"/>
      <x:c r="P4455" s="34" t="n">
        <x:v>363</x:v>
      </x:c>
      <x:c r="Q4455" s="37" t="n">
        <x:v>46126.009050925924</x:v>
      </x:c>
    </x:row>
    <x:row r="4456">
      <x:c r="A4456" s="22" t="n">
        <x:v>29522</x:v>
      </x:c>
      <x:c r="B4456" s="28" t="n">
        <x:v>1937.27</x:v>
      </x:c>
      <x:c r="C4456" s="28"/>
      <x:c r="D4456" s="31" t="str">
        <x:f>IF(OR(ISBLANK(B4456),ISBLANK(C4456),B4456=0),"",(C4456-B4456)/B4456)</x:f>
      </x:c>
      <x:c r="E4456" s="22" t="str">
        <x:f>IF(ISBLANK(C4456),"AmountIncludingTax缺失",IF(ABS(B4456-C4456)&lt;0.005,"一致","不一致"))</x:f>
        <x:v>AmountIncludingTax缺失</x:v>
      </x:c>
      <x:c r="F4456" s="19" t="str">
        <x:v>approved</x:v>
      </x:c>
      <x:c r="G4456" s="19" t="str">
        <x:v>Repair in Progress</x:v>
      </x:c>
      <x:c r="H4456" s="19" t="str">
        <x:v>In Field</x:v>
      </x:c>
      <x:c r="I4456" s="37" t="n">
        <x:v>46076</x:v>
      </x:c>
      <x:c r="J4456" s="37" t="n">
        <x:v>46076</x:v>
      </x:c>
      <x:c r="K4456" s="19" t="str">
        <x:v>Dario Caravans -St.Marys</x:v>
      </x:c>
      <x:c r="L4456" s="19" t="str">
        <x:v>Z006</x:v>
      </x:c>
      <x:c r="M4456" s="19" t="str">
        <x:v>In Field Warranty Claims</x:v>
      </x:c>
      <x:c r="N4456" s="37" t="n">
        <x:v>46022</x:v>
      </x:c>
      <x:c r="O4456" s="37"/>
      <x:c r="P4456" s="34" t="n">
        <x:v>0</x:v>
      </x:c>
      <x:c r="Q4456" s="37" t="n">
        <x:v>46076.15081018519</x:v>
      </x:c>
    </x:row>
    <x:row r="4457">
      <x:c r="A4457" s="22" t="n">
        <x:v>29519</x:v>
      </x:c>
      <x:c r="B4457" s="28" t="n">
        <x:v>280</x:v>
      </x:c>
      <x:c r="C4457" s="28" t="n">
        <x:v>253.51</x:v>
      </x:c>
      <x:c r="D4457" s="31" t="n">
        <x:f>IF(OR(ISBLANK(B4457),ISBLANK(C4457),B4457=0),"",(C4457-B4457)/B4457)</x:f>
        <x:v>-0.09460714285714289</x:v>
      </x:c>
      <x:c r="E4457" s="22" t="str">
        <x:f>IF(ISBLANK(C4457),"AmountIncludingTax缺失",IF(ABS(B4457-C4457)&lt;0.005,"一致","不一致"))</x:f>
        <x:v>不一致</x:v>
      </x:c>
      <x:c r="F4457" s="19" t="str">
        <x:v>approved</x:v>
      </x:c>
      <x:c r="G4457" s="19" t="str">
        <x:v>Repairer Invoiced Processed</x:v>
      </x:c>
      <x:c r="H4457" s="19" t="str">
        <x:v>In Field</x:v>
      </x:c>
      <x:c r="I4457" s="37" t="n">
        <x:v>46100</x:v>
      </x:c>
      <x:c r="J4457" s="37" t="n">
        <x:v>46100</x:v>
      </x:c>
      <x:c r="K4457" s="19" t="str">
        <x:v>Vanari Caravans - Marden Point</x:v>
      </x:c>
      <x:c r="L4457" s="19" t="str">
        <x:v>Z006</x:v>
      </x:c>
      <x:c r="M4457" s="19" t="str">
        <x:v>In Field Warranty Claims</x:v>
      </x:c>
      <x:c r="N4457" s="37" t="n">
        <x:v>46026</x:v>
      </x:c>
      <x:c r="O4457" s="37"/>
      <x:c r="P4457" s="34" t="n">
        <x:v>253.51</x:v>
      </x:c>
      <x:c r="Q4457" s="37" t="n">
        <x:v>46099.98315972222</x:v>
      </x:c>
    </x:row>
    <x:row r="4458">
      <x:c r="A4458" s="22" t="n">
        <x:v>29518</x:v>
      </x:c>
      <x:c r="B4458" s="28" t="n">
        <x:v>67.5</x:v>
      </x:c>
      <x:c r="C4458" s="28" t="n">
        <x:v>74.25</x:v>
      </x:c>
      <x:c r="D4458" s="31" t="n">
        <x:f>IF(OR(ISBLANK(B4458),ISBLANK(C4458),B4458=0),"",(C4458-B4458)/B4458)</x:f>
        <x:v>0.1</x:v>
      </x:c>
      <x:c r="E4458" s="22" t="str">
        <x:f>IF(ISBLANK(C4458),"AmountIncludingTax缺失",IF(ABS(B4458-C4458)&lt;0.005,"一致","不一致"))</x:f>
        <x:v>不一致</x:v>
      </x:c>
      <x:c r="F4458" s="19" t="str">
        <x:v>approved</x:v>
      </x:c>
      <x:c r="G4458" s="19" t="str">
        <x:v>Repairer Invoiced Processed</x:v>
      </x:c>
      <x:c r="H4458" s="19" t="str">
        <x:v>In Field</x:v>
      </x:c>
      <x:c r="I4458" s="37" t="n">
        <x:v>46041</x:v>
      </x:c>
      <x:c r="J4458" s="37" t="n">
        <x:v>46041</x:v>
      </x:c>
      <x:c r="K4458" s="19" t="str">
        <x:v>Regent RV - Townsville</x:v>
      </x:c>
      <x:c r="L4458" s="19" t="str">
        <x:v>Z006</x:v>
      </x:c>
      <x:c r="M4458" s="19" t="str">
        <x:v>In Field Warranty Claims</x:v>
      </x:c>
      <x:c r="N4458" s="37" t="n">
        <x:v>46026</x:v>
      </x:c>
      <x:c r="O4458" s="37"/>
      <x:c r="P4458" s="34" t="n">
        <x:v>74.25</x:v>
      </x:c>
      <x:c r="Q4458" s="37" t="n">
        <x:v>46041.15954861111</x:v>
      </x:c>
    </x:row>
    <x:row r="4459">
      <x:c r="A4459" s="22" t="n">
        <x:v>29517</x:v>
      </x:c>
      <x:c r="B4459" s="28" t="n">
        <x:v>122.75</x:v>
      </x:c>
      <x:c r="C4459" s="28" t="n">
        <x:v>111.14</x:v>
      </x:c>
      <x:c r="D4459" s="31" t="n">
        <x:f>IF(OR(ISBLANK(B4459),ISBLANK(C4459),B4459=0),"",(C4459-B4459)/B4459)</x:f>
        <x:v>-0.09458248472505092</x:v>
      </x:c>
      <x:c r="E4459" s="22" t="str">
        <x:f>IF(ISBLANK(C4459),"AmountIncludingTax缺失",IF(ABS(B4459-C4459)&lt;0.005,"一致","不一致"))</x:f>
        <x:v>不一致</x:v>
      </x:c>
      <x:c r="F4459" s="19" t="str">
        <x:v>approved</x:v>
      </x:c>
      <x:c r="G4459" s="19" t="str">
        <x:v>Repair in Progress</x:v>
      </x:c>
      <x:c r="H4459" s="19" t="str">
        <x:v>In Field</x:v>
      </x:c>
      <x:c r="I4459" s="37" t="n">
        <x:v>46154</x:v>
      </x:c>
      <x:c r="J4459" s="37" t="n">
        <x:v>46154</x:v>
      </x:c>
      <x:c r="K4459" s="19" t="str">
        <x:v>Vanari Caravans - Marden Point</x:v>
      </x:c>
      <x:c r="L4459" s="19" t="str">
        <x:v>Z006</x:v>
      </x:c>
      <x:c r="M4459" s="19" t="str">
        <x:v>In Field Warranty Claims</x:v>
      </x:c>
      <x:c r="N4459" s="37" t="n">
        <x:v>46026</x:v>
      </x:c>
      <x:c r="O4459" s="37"/>
      <x:c r="P4459" s="34" t="n">
        <x:v>111.14</x:v>
      </x:c>
      <x:c r="Q4459" s="37" t="n">
        <x:v>46154.11439814815</x:v>
      </x:c>
    </x:row>
    <x:row r="4460">
      <x:c r="A4460" s="22" t="n">
        <x:v>29512</x:v>
      </x:c>
      <x:c r="B4460" s="28" t="n">
        <x:v>482.19</x:v>
      </x:c>
      <x:c r="C4460" s="28"/>
      <x:c r="D4460" s="31" t="str">
        <x:f>IF(OR(ISBLANK(B4460),ISBLANK(C4460),B4460=0),"",(C4460-B4460)/B4460)</x:f>
      </x:c>
      <x:c r="E4460" s="22" t="str">
        <x:f>IF(ISBLANK(C4460),"AmountIncludingTax缺失",IF(ABS(B4460-C4460)&lt;0.005,"一致","不一致"))</x:f>
        <x:v>AmountIncludingTax缺失</x:v>
      </x:c>
      <x:c r="F4460" s="19" t="str">
        <x:v>approved</x:v>
      </x:c>
      <x:c r="G4460" s="19" t="str">
        <x:v>Repair in Progress</x:v>
      </x:c>
      <x:c r="H4460" s="19" t="str">
        <x:v>In Field</x:v>
      </x:c>
      <x:c r="I4460" s="37" t="n">
        <x:v>46091</x:v>
      </x:c>
      <x:c r="J4460" s="37" t="n">
        <x:v>46027</x:v>
      </x:c>
      <x:c r="K4460" s="19" t="str">
        <x:v>Regent RV - Toowoomba</x:v>
      </x:c>
      <x:c r="L4460" s="19" t="str">
        <x:v>Z006</x:v>
      </x:c>
      <x:c r="M4460" s="19" t="str">
        <x:v>In Field Warranty Claims</x:v>
      </x:c>
      <x:c r="N4460" s="37" t="n">
        <x:v>46022</x:v>
      </x:c>
      <x:c r="O4460" s="37"/>
      <x:c r="P4460" s="34" t="n">
        <x:v>0</x:v>
      </x:c>
      <x:c r="Q4460" s="37" t="n">
        <x:v>46091.181284722225</x:v>
      </x:c>
    </x:row>
    <x:row r="4461">
      <x:c r="A4461" s="22" t="n">
        <x:v>29511</x:v>
      </x:c>
      <x:c r="B4461" s="28" t="n">
        <x:v>135</x:v>
      </x:c>
      <x:c r="C4461" s="28"/>
      <x:c r="D4461" s="31" t="str">
        <x:f>IF(OR(ISBLANK(B4461),ISBLANK(C4461),B4461=0),"",(C4461-B4461)/B4461)</x:f>
      </x:c>
      <x:c r="E4461" s="22" t="str">
        <x:f>IF(ISBLANK(C4461),"AmountIncludingTax缺失",IF(ABS(B4461-C4461)&lt;0.005,"一致","不一致"))</x:f>
        <x:v>AmountIncludingTax缺失</x:v>
      </x:c>
      <x:c r="F4461" s="19" t="str">
        <x:v>approved</x:v>
      </x:c>
      <x:c r="G4461" s="19" t="str">
        <x:v>Repair in Progress</x:v>
      </x:c>
      <x:c r="H4461" s="19" t="str">
        <x:v>In Field</x:v>
      </x:c>
      <x:c r="I4461" s="37" t="n">
        <x:v>46126</x:v>
      </x:c>
      <x:c r="J4461" s="37" t="n">
        <x:v>46126</x:v>
      </x:c>
      <x:c r="K4461" s="19" t="str">
        <x:v>Regent RV - Perth</x:v>
      </x:c>
      <x:c r="L4461" s="19" t="str">
        <x:v>Z006</x:v>
      </x:c>
      <x:c r="M4461" s="19" t="str">
        <x:v>In Field Warranty Claims</x:v>
      </x:c>
      <x:c r="N4461" s="37" t="n">
        <x:v>46021</x:v>
      </x:c>
      <x:c r="O4461" s="37"/>
      <x:c r="P4461" s="34" t="n">
        <x:v>0</x:v>
      </x:c>
      <x:c r="Q4461" s="37" t="n">
        <x:v>46126.089270833334</x:v>
      </x:c>
    </x:row>
    <x:row r="4462">
      <x:c r="A4462" s="22" t="n">
        <x:v>29510</x:v>
      </x:c>
      <x:c r="B4462" s="28" t="n">
        <x:v>135</x:v>
      </x:c>
      <x:c r="C4462" s="28"/>
      <x:c r="D4462" s="31" t="str">
        <x:f>IF(OR(ISBLANK(B4462),ISBLANK(C4462),B4462=0),"",(C4462-B4462)/B4462)</x:f>
      </x:c>
      <x:c r="E4462" s="22" t="str">
        <x:f>IF(ISBLANK(C4462),"AmountIncludingTax缺失",IF(ABS(B4462-C4462)&lt;0.005,"一致","不一致"))</x:f>
        <x:v>AmountIncludingTax缺失</x:v>
      </x:c>
      <x:c r="F4462" s="19" t="str">
        <x:v>approved</x:v>
      </x:c>
      <x:c r="G4462" s="19" t="str">
        <x:v>Repair in Progress</x:v>
      </x:c>
      <x:c r="H4462" s="19" t="str">
        <x:v>In Field</x:v>
      </x:c>
      <x:c r="I4462" s="37" t="n">
        <x:v>46121</x:v>
      </x:c>
      <x:c r="J4462" s="37" t="n">
        <x:v>46121</x:v>
      </x:c>
      <x:c r="K4462" s="19" t="str">
        <x:v>Regent RV Pty Ltd</x:v>
      </x:c>
      <x:c r="L4462" s="19" t="str">
        <x:v>Z006</x:v>
      </x:c>
      <x:c r="M4462" s="19" t="str">
        <x:v>In Field Warranty Claims</x:v>
      </x:c>
      <x:c r="N4462" s="37" t="n">
        <x:v>46021</x:v>
      </x:c>
      <x:c r="O4462" s="37"/>
      <x:c r="P4462" s="34" t="n">
        <x:v>0</x:v>
      </x:c>
      <x:c r="Q4462" s="37" t="n">
        <x:v>46121.05600694445</x:v>
      </x:c>
    </x:row>
    <x:row r="4463">
      <x:c r="A4463" s="22" t="n">
        <x:v>29509</x:v>
      </x:c>
      <x:c r="B4463" s="28" t="n">
        <x:v>476.36</x:v>
      </x:c>
      <x:c r="C4463" s="28"/>
      <x:c r="D4463" s="31" t="str">
        <x:f>IF(OR(ISBLANK(B4463),ISBLANK(C4463),B4463=0),"",(C4463-B4463)/B4463)</x:f>
      </x:c>
      <x:c r="E4463" s="22" t="str">
        <x:f>IF(ISBLANK(C4463),"AmountIncludingTax缺失",IF(ABS(B4463-C4463)&lt;0.005,"一致","不一致"))</x:f>
        <x:v>AmountIncludingTax缺失</x:v>
      </x:c>
      <x:c r="F4463" s="19" t="str">
        <x:v>approved</x:v>
      </x:c>
      <x:c r="G4463" s="19" t="str">
        <x:v>Repair in Progress</x:v>
      </x:c>
      <x:c r="H4463" s="19" t="str">
        <x:v>In Field</x:v>
      </x:c>
      <x:c r="I4463" s="37" t="n">
        <x:v>46080</x:v>
      </x:c>
      <x:c r="J4463" s="37" t="n">
        <x:v>46080</x:v>
      </x:c>
      <x:c r="K4463" s="19" t="str">
        <x:v>Dario Caravans -St.Marys</x:v>
      </x:c>
      <x:c r="L4463" s="19" t="str">
        <x:v>Z006</x:v>
      </x:c>
      <x:c r="M4463" s="19" t="str">
        <x:v>In Field Warranty Claims</x:v>
      </x:c>
      <x:c r="N4463" s="37" t="n">
        <x:v>46021</x:v>
      </x:c>
      <x:c r="O4463" s="37"/>
      <x:c r="P4463" s="34" t="n">
        <x:v>0</x:v>
      </x:c>
      <x:c r="Q4463" s="37" t="n">
        <x:v>46079.90269675926</x:v>
      </x:c>
    </x:row>
    <x:row r="4464">
      <x:c r="A4464" s="22" t="n">
        <x:v>29507</x:v>
      </x:c>
      <x:c r="B4464" s="28" t="n">
        <x:v>145</x:v>
      </x:c>
      <x:c r="C4464" s="28"/>
      <x:c r="D4464" s="31" t="str">
        <x:f>IF(OR(ISBLANK(B4464),ISBLANK(C4464),B4464=0),"",(C4464-B4464)/B4464)</x:f>
      </x:c>
      <x:c r="E4464" s="22" t="str">
        <x:f>IF(ISBLANK(C4464),"AmountIncludingTax缺失",IF(ABS(B4464-C4464)&lt;0.005,"一致","不一致"))</x:f>
        <x:v>AmountIncludingTax缺失</x:v>
      </x:c>
      <x:c r="F4464" s="19" t="str">
        <x:v>approved</x:v>
      </x:c>
      <x:c r="G4464" s="19" t="str">
        <x:v>Repair in Progress</x:v>
      </x:c>
      <x:c r="H4464" s="19" t="str">
        <x:v>In Field</x:v>
      </x:c>
      <x:c r="I4464" s="37" t="n">
        <x:v>46079</x:v>
      </x:c>
      <x:c r="J4464" s="37" t="n">
        <x:v>46079</x:v>
      </x:c>
      <x:c r="K4464" s="19" t="str">
        <x:v>Regent RV - Toowoomba</x:v>
      </x:c>
      <x:c r="L4464" s="19" t="str">
        <x:v>Z006</x:v>
      </x:c>
      <x:c r="M4464" s="19" t="str">
        <x:v>In Field Warranty Claims</x:v>
      </x:c>
      <x:c r="N4464" s="37" t="n">
        <x:v>46021</x:v>
      </x:c>
      <x:c r="O4464" s="37"/>
      <x:c r="P4464" s="34" t="n">
        <x:v>0</x:v>
      </x:c>
      <x:c r="Q4464" s="37" t="n">
        <x:v>46079.216319444444</x:v>
      </x:c>
    </x:row>
    <x:row r="4465">
      <x:c r="A4465" s="22" t="n">
        <x:v>29506</x:v>
      </x:c>
      <x:c r="B4465" s="28" t="n">
        <x:v>207.5</x:v>
      </x:c>
      <x:c r="C4465" s="28"/>
      <x:c r="D4465" s="31" t="str">
        <x:f>IF(OR(ISBLANK(B4465),ISBLANK(C4465),B4465=0),"",(C4465-B4465)/B4465)</x:f>
      </x:c>
      <x:c r="E4465" s="22" t="str">
        <x:f>IF(ISBLANK(C4465),"AmountIncludingTax缺失",IF(ABS(B4465-C4465)&lt;0.005,"一致","不一致"))</x:f>
        <x:v>AmountIncludingTax缺失</x:v>
      </x:c>
      <x:c r="F4465" s="19" t="str">
        <x:v>approved</x:v>
      </x:c>
      <x:c r="G4465" s="19" t="str">
        <x:v>Repairer Invoiced Processed</x:v>
      </x:c>
      <x:c r="H4465" s="19" t="str">
        <x:v>In Field</x:v>
      </x:c>
      <x:c r="I4465" s="37" t="n">
        <x:v>46111</x:v>
      </x:c>
      <x:c r="J4465" s="37" t="n">
        <x:v>46111</x:v>
      </x:c>
      <x:c r="K4465" s="19" t="str">
        <x:v>Regent RV - Toowoomba</x:v>
      </x:c>
      <x:c r="L4465" s="19" t="str">
        <x:v>Z006</x:v>
      </x:c>
      <x:c r="M4465" s="19" t="str">
        <x:v>In Field Warranty Claims</x:v>
      </x:c>
      <x:c r="N4465" s="37" t="n">
        <x:v>46021</x:v>
      </x:c>
      <x:c r="O4465" s="37"/>
      <x:c r="P4465" s="34" t="n">
        <x:v>0</x:v>
      </x:c>
      <x:c r="Q4465" s="37" t="n">
        <x:v>46111.17928240741</x:v>
      </x:c>
    </x:row>
    <x:row r="4466">
      <x:c r="A4466" s="22" t="n">
        <x:v>29505</x:v>
      </x:c>
      <x:c r="B4466" s="28" t="n">
        <x:v>1951</x:v>
      </x:c>
      <x:c r="C4466" s="28"/>
      <x:c r="D4466" s="31" t="str">
        <x:f>IF(OR(ISBLANK(B4466),ISBLANK(C4466),B4466=0),"",(C4466-B4466)/B4466)</x:f>
      </x:c>
      <x:c r="E4466" s="22" t="str">
        <x:f>IF(ISBLANK(C4466),"AmountIncludingTax缺失",IF(ABS(B4466-C4466)&lt;0.005,"一致","不一致"))</x:f>
        <x:v>AmountIncludingTax缺失</x:v>
      </x:c>
      <x:c r="F4466" s="19" t="str">
        <x:v>approved</x:v>
      </x:c>
      <x:c r="G4466" s="19" t="str">
        <x:v>Repairer Invoiced Processed</x:v>
      </x:c>
      <x:c r="H4466" s="19" t="str">
        <x:v>In Field</x:v>
      </x:c>
      <x:c r="I4466" s="37" t="n">
        <x:v>46043</x:v>
      </x:c>
      <x:c r="J4466" s="37" t="n">
        <x:v>46043</x:v>
      </x:c>
      <x:c r="K4466" s="19" t="str">
        <x:v>Green RV - Forest Glen</x:v>
      </x:c>
      <x:c r="L4466" s="19" t="str">
        <x:v>Z006</x:v>
      </x:c>
      <x:c r="M4466" s="19" t="str">
        <x:v>In Field Warranty Claims</x:v>
      </x:c>
      <x:c r="N4466" s="37" t="n">
        <x:v>46021</x:v>
      </x:c>
      <x:c r="O4466" s="37"/>
      <x:c r="P4466" s="34" t="n">
        <x:v>2146.1</x:v>
      </x:c>
      <x:c r="Q4466" s="37" t="n">
        <x:v>46043.32991898148</x:v>
      </x:c>
    </x:row>
    <x:row r="4467">
      <x:c r="A4467" s="22" t="n">
        <x:v>29503</x:v>
      </x:c>
      <x:c r="B4467" s="28" t="n">
        <x:v>222.5</x:v>
      </x:c>
      <x:c r="C4467" s="28"/>
      <x:c r="D4467" s="31" t="str">
        <x:f>IF(OR(ISBLANK(B4467),ISBLANK(C4467),B4467=0),"",(C4467-B4467)/B4467)</x:f>
      </x:c>
      <x:c r="E4467" s="22" t="str">
        <x:f>IF(ISBLANK(C4467),"AmountIncludingTax缺失",IF(ABS(B4467-C4467)&lt;0.005,"一致","不一致"))</x:f>
        <x:v>AmountIncludingTax缺失</x:v>
      </x:c>
      <x:c r="F4467" s="19" t="str">
        <x:v>approved</x:v>
      </x:c>
      <x:c r="G4467" s="19" t="str">
        <x:v>Repairer Invoiced Processed</x:v>
      </x:c>
      <x:c r="H4467" s="19" t="str">
        <x:v>In Field</x:v>
      </x:c>
      <x:c r="I4467" s="37" t="n">
        <x:v>46059</x:v>
      </x:c>
      <x:c r="J4467" s="37" t="n">
        <x:v>46059</x:v>
      </x:c>
      <x:c r="K4467" s="19" t="str">
        <x:v>Green RV - Forest Glen</x:v>
      </x:c>
      <x:c r="L4467" s="19" t="str">
        <x:v>Z006</x:v>
      </x:c>
      <x:c r="M4467" s="19" t="str">
        <x:v>In Field Warranty Claims</x:v>
      </x:c>
      <x:c r="N4467" s="37" t="n">
        <x:v>46021</x:v>
      </x:c>
      <x:c r="O4467" s="37"/>
      <x:c r="P4467" s="34" t="n">
        <x:v>0</x:v>
      </x:c>
      <x:c r="Q4467" s="37" t="n">
        <x:v>46058.899351851855</x:v>
      </x:c>
    </x:row>
    <x:row r="4468">
      <x:c r="A4468" s="22" t="n">
        <x:v>29499</x:v>
      </x:c>
      <x:c r="B4468" s="28" t="n">
        <x:v>330</x:v>
      </x:c>
      <x:c r="C4468" s="28" t="n">
        <x:v>363</x:v>
      </x:c>
      <x:c r="D4468" s="31" t="n">
        <x:f>IF(OR(ISBLANK(B4468),ISBLANK(C4468),B4468=0),"",(C4468-B4468)/B4468)</x:f>
        <x:v>0.1</x:v>
      </x:c>
      <x:c r="E4468" s="22" t="str">
        <x:f>IF(ISBLANK(C4468),"AmountIncludingTax缺失",IF(ABS(B4468-C4468)&lt;0.005,"一致","不一致"))</x:f>
        <x:v>不一致</x:v>
      </x:c>
      <x:c r="F4468" s="19" t="str">
        <x:v>approved</x:v>
      </x:c>
      <x:c r="G4468" s="19" t="str">
        <x:v>Repairer Invoiced Received</x:v>
      </x:c>
      <x:c r="H4468" s="19" t="str">
        <x:v>In Field</x:v>
      </x:c>
      <x:c r="I4468" s="37" t="n">
        <x:v>46062</x:v>
      </x:c>
      <x:c r="J4468" s="37" t="n">
        <x:v>46062</x:v>
      </x:c>
      <x:c r="K4468" s="19" t="str">
        <x:v>Lesiure Lion-New Castle</x:v>
      </x:c>
      <x:c r="L4468" s="19" t="str">
        <x:v>Z006</x:v>
      </x:c>
      <x:c r="M4468" s="19" t="str">
        <x:v>In Field Warranty Claims</x:v>
      </x:c>
      <x:c r="N4468" s="37" t="n">
        <x:v>46021</x:v>
      </x:c>
      <x:c r="O4468" s="37"/>
      <x:c r="P4468" s="34" t="n">
        <x:v>363</x:v>
      </x:c>
      <x:c r="Q4468" s="37" t="n">
        <x:v>46062.19490740741</x:v>
      </x:c>
    </x:row>
    <x:row r="4469">
      <x:c r="A4469" s="22" t="n">
        <x:v>29497</x:v>
      </x:c>
      <x:c r="B4469" s="28" t="n">
        <x:v>72.73</x:v>
      </x:c>
      <x:c r="C4469" s="28" t="n">
        <x:v>80</x:v>
      </x:c>
      <x:c r="D4469" s="31" t="n">
        <x:f>IF(OR(ISBLANK(B4469),ISBLANK(C4469),B4469=0),"",(C4469-B4469)/B4469)</x:f>
        <x:v>0.09995875154681694</x:v>
      </x:c>
      <x:c r="E4469" s="22" t="str">
        <x:f>IF(ISBLANK(C4469),"AmountIncludingTax缺失",IF(ABS(B4469-C4469)&lt;0.005,"一致","不一致"))</x:f>
        <x:v>不一致</x:v>
      </x:c>
      <x:c r="F4469" s="19" t="str">
        <x:v>approved</x:v>
      </x:c>
      <x:c r="G4469" s="19" t="str">
        <x:v>Repairer Invoiced Processed</x:v>
      </x:c>
      <x:c r="H4469" s="19" t="str">
        <x:v>In Field</x:v>
      </x:c>
      <x:c r="I4469" s="37" t="n">
        <x:v>46105</x:v>
      </x:c>
      <x:c r="J4469" s="37" t="n">
        <x:v>46105</x:v>
      </x:c>
      <x:c r="K4469" s="19" t="str">
        <x:v>Snowy River Launceston</x:v>
      </x:c>
      <x:c r="L4469" s="19" t="str">
        <x:v>Z006</x:v>
      </x:c>
      <x:c r="M4469" s="19" t="str">
        <x:v>In Field Warranty Claims</x:v>
      </x:c>
      <x:c r="N4469" s="37" t="n">
        <x:v>46021</x:v>
      </x:c>
      <x:c r="O4469" s="37"/>
      <x:c r="P4469" s="34" t="n">
        <x:v>80</x:v>
      </x:c>
      <x:c r="Q4469" s="37" t="n">
        <x:v>46104.98210648148</x:v>
      </x:c>
    </x:row>
    <x:row r="4470">
      <x:c r="A4470" s="22" t="n">
        <x:v>29496</x:v>
      </x:c>
      <x:c r="B4470" s="28" t="n">
        <x:v>3623.56</x:v>
      </x:c>
      <x:c r="C4470" s="28"/>
      <x:c r="D4470" s="31" t="str">
        <x:f>IF(OR(ISBLANK(B4470),ISBLANK(C4470),B4470=0),"",(C4470-B4470)/B4470)</x:f>
      </x:c>
      <x:c r="E4470" s="22" t="str">
        <x:f>IF(ISBLANK(C4470),"AmountIncludingTax缺失",IF(ABS(B4470-C4470)&lt;0.005,"一致","不一致"))</x:f>
        <x:v>AmountIncludingTax缺失</x:v>
      </x:c>
      <x:c r="F4470" s="19" t="str">
        <x:v>approved</x:v>
      </x:c>
      <x:c r="G4470" s="19" t="str">
        <x:v>Repairer Invoiced Processed</x:v>
      </x:c>
      <x:c r="H4470" s="19" t="str">
        <x:v>In Field</x:v>
      </x:c>
      <x:c r="I4470" s="37" t="n">
        <x:v>46087</x:v>
      </x:c>
      <x:c r="J4470" s="37" t="n">
        <x:v>46087</x:v>
      </x:c>
      <x:c r="K4470" s="19" t="str">
        <x:v>Green RV - Forest Glen</x:v>
      </x:c>
      <x:c r="L4470" s="19" t="str">
        <x:v>Z006</x:v>
      </x:c>
      <x:c r="M4470" s="19" t="str">
        <x:v>In Field Warranty Claims</x:v>
      </x:c>
      <x:c r="N4470" s="37" t="n">
        <x:v>46021</x:v>
      </x:c>
      <x:c r="O4470" s="37"/>
      <x:c r="P4470" s="34" t="n">
        <x:v>3985.92</x:v>
      </x:c>
      <x:c r="Q4470" s="37" t="n">
        <x:v>46087.186585648145</x:v>
      </x:c>
    </x:row>
    <x:row r="4471">
      <x:c r="A4471" s="22" t="n">
        <x:v>29493</x:v>
      </x:c>
      <x:c r="B4471" s="28" t="n">
        <x:v>33.75</x:v>
      </x:c>
      <x:c r="C4471" s="28"/>
      <x:c r="D4471" s="31" t="str">
        <x:f>IF(OR(ISBLANK(B4471),ISBLANK(C4471),B4471=0),"",(C4471-B4471)/B4471)</x:f>
      </x:c>
      <x:c r="E4471" s="22" t="str">
        <x:f>IF(ISBLANK(C4471),"AmountIncludingTax缺失",IF(ABS(B4471-C4471)&lt;0.005,"一致","不一致"))</x:f>
        <x:v>AmountIncludingTax缺失</x:v>
      </x:c>
      <x:c r="F4471" s="19" t="str">
        <x:v>approved</x:v>
      </x:c>
      <x:c r="G4471" s="19" t="str">
        <x:v>Repairer Invoiced Processed</x:v>
      </x:c>
      <x:c r="H4471" s="19" t="str">
        <x:v>In Field</x:v>
      </x:c>
      <x:c r="I4471" s="37" t="n">
        <x:v>46078</x:v>
      </x:c>
      <x:c r="J4471" s="37" t="n">
        <x:v>46078</x:v>
      </x:c>
      <x:c r="K4471" s="19" t="str">
        <x:v>Lesiure Lion-New Castle</x:v>
      </x:c>
      <x:c r="L4471" s="19" t="str">
        <x:v>Z006</x:v>
      </x:c>
      <x:c r="M4471" s="19" t="str">
        <x:v>In Field Warranty Claims</x:v>
      </x:c>
      <x:c r="N4471" s="37" t="n">
        <x:v>46020</x:v>
      </x:c>
      <x:c r="O4471" s="37"/>
      <x:c r="P4471" s="34" t="n">
        <x:v>0</x:v>
      </x:c>
      <x:c r="Q4471" s="37" t="n">
        <x:v>46078.14100694445</x:v>
      </x:c>
    </x:row>
    <x:row r="4472">
      <x:c r="A4472" s="22" t="n">
        <x:v>29491</x:v>
      </x:c>
      <x:c r="B4472" s="28" t="n">
        <x:v>67.5</x:v>
      </x:c>
      <x:c r="C4472" s="28"/>
      <x:c r="D4472" s="31" t="str">
        <x:f>IF(OR(ISBLANK(B4472),ISBLANK(C4472),B4472=0),"",(C4472-B4472)/B4472)</x:f>
      </x:c>
      <x:c r="E4472" s="22" t="str">
        <x:f>IF(ISBLANK(C4472),"AmountIncludingTax缺失",IF(ABS(B4472-C4472)&lt;0.005,"一致","不一致"))</x:f>
        <x:v>AmountIncludingTax缺失</x:v>
      </x:c>
      <x:c r="F4472" s="19" t="str">
        <x:v>approved</x:v>
      </x:c>
      <x:c r="G4472" s="19" t="str">
        <x:v>Repair in Progress</x:v>
      </x:c>
      <x:c r="H4472" s="19" t="str">
        <x:v>In Field</x:v>
      </x:c>
      <x:c r="I4472" s="37" t="n">
        <x:v>46084</x:v>
      </x:c>
      <x:c r="J4472" s="37" t="n">
        <x:v>46084</x:v>
      </x:c>
      <x:c r="K4472" s="19" t="str">
        <x:v>Dario Caravans -St.Marys</x:v>
      </x:c>
      <x:c r="L4472" s="19" t="str">
        <x:v>Z006</x:v>
      </x:c>
      <x:c r="M4472" s="19" t="str">
        <x:v>In Field Warranty Claims</x:v>
      </x:c>
      <x:c r="N4472" s="37" t="n">
        <x:v>46020</x:v>
      </x:c>
      <x:c r="O4472" s="37"/>
      <x:c r="P4472" s="34" t="n">
        <x:v>0</x:v>
      </x:c>
      <x:c r="Q4472" s="37" t="n">
        <x:v>46084.202418981484</x:v>
      </x:c>
    </x:row>
    <x:row r="4473">
      <x:c r="A4473" s="22" t="n">
        <x:v>29490</x:v>
      </x:c>
      <x:c r="B4473" s="28" t="n">
        <x:v>742.5</x:v>
      </x:c>
      <x:c r="C4473" s="28"/>
      <x:c r="D4473" s="31" t="str">
        <x:f>IF(OR(ISBLANK(B4473),ISBLANK(C4473),B4473=0),"",(C4473-B4473)/B4473)</x:f>
      </x:c>
      <x:c r="E4473" s="22" t="str">
        <x:f>IF(ISBLANK(C4473),"AmountIncludingTax缺失",IF(ABS(B4473-C4473)&lt;0.005,"一致","不一致"))</x:f>
        <x:v>AmountIncludingTax缺失</x:v>
      </x:c>
      <x:c r="F4473" s="19" t="str">
        <x:v>approved</x:v>
      </x:c>
      <x:c r="G4473" s="19" t="str">
        <x:v>Repairer Invoiced Processed</x:v>
      </x:c>
      <x:c r="H4473" s="19" t="str">
        <x:v>In Field</x:v>
      </x:c>
      <x:c r="I4473" s="37" t="n">
        <x:v>46080</x:v>
      </x:c>
      <x:c r="J4473" s="37" t="n">
        <x:v>46080</x:v>
      </x:c>
      <x:c r="K4473" s="19" t="str">
        <x:v>Dario Caravans -St.Marys</x:v>
      </x:c>
      <x:c r="L4473" s="19" t="str">
        <x:v>Z006</x:v>
      </x:c>
      <x:c r="M4473" s="19" t="str">
        <x:v>In Field Warranty Claims</x:v>
      </x:c>
      <x:c r="N4473" s="37" t="n">
        <x:v>46020</x:v>
      </x:c>
      <x:c r="O4473" s="37"/>
      <x:c r="P4473" s="34" t="n">
        <x:v>0</x:v>
      </x:c>
      <x:c r="Q4473" s="37" t="n">
        <x:v>46080.18837962963</x:v>
      </x:c>
    </x:row>
    <x:row r="4474">
      <x:c r="A4474" s="22" t="n">
        <x:v>29487</x:v>
      </x:c>
      <x:c r="B4474" s="28" t="n">
        <x:v>405</x:v>
      </x:c>
      <x:c r="C4474" s="28"/>
      <x:c r="D4474" s="31" t="str">
        <x:f>IF(OR(ISBLANK(B4474),ISBLANK(C4474),B4474=0),"",(C4474-B4474)/B4474)</x:f>
      </x:c>
      <x:c r="E4474" s="22" t="str">
        <x:f>IF(ISBLANK(C4474),"AmountIncludingTax缺失",IF(ABS(B4474-C4474)&lt;0.005,"一致","不一致"))</x:f>
        <x:v>AmountIncludingTax缺失</x:v>
      </x:c>
      <x:c r="F4474" s="19" t="str">
        <x:v>approved</x:v>
      </x:c>
      <x:c r="G4474" s="19" t="str">
        <x:v>Repair in Progress</x:v>
      </x:c>
      <x:c r="H4474" s="19" t="str">
        <x:v>In Field</x:v>
      </x:c>
      <x:c r="I4474" s="37" t="n">
        <x:v>46066</x:v>
      </x:c>
      <x:c r="J4474" s="37" t="n">
        <x:v>46066</x:v>
      </x:c>
      <x:c r="K4474" s="19" t="str">
        <x:v>Newcastle RV Super Centre - Beresfield</x:v>
      </x:c>
      <x:c r="L4474" s="19" t="str">
        <x:v>Z006</x:v>
      </x:c>
      <x:c r="M4474" s="19" t="str">
        <x:v>In Field Warranty Claims</x:v>
      </x:c>
      <x:c r="N4474" s="37" t="n">
        <x:v>46020</x:v>
      </x:c>
      <x:c r="O4474" s="37"/>
      <x:c r="P4474" s="34" t="n">
        <x:v>0</x:v>
      </x:c>
      <x:c r="Q4474" s="37" t="n">
        <x:v>46066.13711805556</x:v>
      </x:c>
    </x:row>
    <x:row r="4475">
      <x:c r="A4475" s="22" t="n">
        <x:v>29486</x:v>
      </x:c>
      <x:c r="B4475" s="28" t="n">
        <x:v>573.37</x:v>
      </x:c>
      <x:c r="C4475" s="28" t="n">
        <x:v>630.71</x:v>
      </x:c>
      <x:c r="D4475" s="31" t="n">
        <x:f>IF(OR(ISBLANK(B4475),ISBLANK(C4475),B4475=0),"",(C4475-B4475)/B4475)</x:f>
        <x:v>0.10000523222352065</x:v>
      </x:c>
      <x:c r="E4475" s="22" t="str">
        <x:f>IF(ISBLANK(C4475),"AmountIncludingTax缺失",IF(ABS(B4475-C4475)&lt;0.005,"一致","不一致"))</x:f>
        <x:v>不一致</x:v>
      </x:c>
      <x:c r="F4475" s="19" t="str">
        <x:v>approved</x:v>
      </x:c>
      <x:c r="G4475" s="19" t="str">
        <x:v>Repairer Invoiced Processed</x:v>
      </x:c>
      <x:c r="H4475" s="19" t="str">
        <x:v>In Field</x:v>
      </x:c>
      <x:c r="I4475" s="37" t="n">
        <x:v>46059</x:v>
      </x:c>
      <x:c r="J4475" s="37" t="n">
        <x:v>46059</x:v>
      </x:c>
      <x:c r="K4475" s="19" t="str">
        <x:v>Newcastle RV Super Centre - Beresfield</x:v>
      </x:c>
      <x:c r="L4475" s="19" t="str">
        <x:v>Z006</x:v>
      </x:c>
      <x:c r="M4475" s="19" t="str">
        <x:v>In Field Warranty Claims</x:v>
      </x:c>
      <x:c r="N4475" s="37" t="n">
        <x:v>46020</x:v>
      </x:c>
      <x:c r="O4475" s="37"/>
      <x:c r="P4475" s="34" t="n">
        <x:v>630.71</x:v>
      </x:c>
      <x:c r="Q4475" s="37" t="n">
        <x:v>46059.07126157408</x:v>
      </x:c>
    </x:row>
    <x:row r="4476">
      <x:c r="A4476" s="22" t="n">
        <x:v>29484</x:v>
      </x:c>
      <x:c r="B4476" s="28" t="n">
        <x:v>890</x:v>
      </x:c>
      <x:c r="C4476" s="28"/>
      <x:c r="D4476" s="31" t="str">
        <x:f>IF(OR(ISBLANK(B4476),ISBLANK(C4476),B4476=0),"",(C4476-B4476)/B4476)</x:f>
      </x:c>
      <x:c r="E4476" s="22" t="str">
        <x:f>IF(ISBLANK(C4476),"AmountIncludingTax缺失",IF(ABS(B4476-C4476)&lt;0.005,"一致","不一致"))</x:f>
        <x:v>AmountIncludingTax缺失</x:v>
      </x:c>
      <x:c r="F4476" s="19" t="str">
        <x:v>approved</x:v>
      </x:c>
      <x:c r="G4476" s="19" t="str">
        <x:v>Repairer Invoiced Processed</x:v>
      </x:c>
      <x:c r="H4476" s="19" t="str">
        <x:v>Pre Delivery</x:v>
      </x:c>
      <x:c r="I4476" s="37" t="n">
        <x:v>46199</x:v>
      </x:c>
      <x:c r="J4476" s="37" t="n">
        <x:v>46199</x:v>
      </x:c>
      <x:c r="K4476" s="19" t="str">
        <x:v>Regent RV Pty Ltd</x:v>
      </x:c>
      <x:c r="L4476" s="19" t="str">
        <x:v>Z005</x:v>
      </x:c>
      <x:c r="M4476" s="19" t="str">
        <x:v>Pre Delivery Warranty Claims</x:v>
      </x:c>
      <x:c r="N4476" s="37" t="n">
        <x:v>46020</x:v>
      </x:c>
      <x:c r="O4476" s="37"/>
      <x:c r="P4476" s="34" t="n">
        <x:v>0</x:v>
      </x:c>
      <x:c r="Q4476" s="37" t="n">
        <x:v>46199.160891203705</x:v>
      </x:c>
    </x:row>
    <x:row r="4477">
      <x:c r="A4477" s="22" t="n">
        <x:v>29483</x:v>
      </x:c>
      <x:c r="B4477" s="28" t="n">
        <x:v>151.36</x:v>
      </x:c>
      <x:c r="C4477" s="28" t="n">
        <x:v>166.5</x:v>
      </x:c>
      <x:c r="D4477" s="31" t="n">
        <x:f>IF(OR(ISBLANK(B4477),ISBLANK(C4477),B4477=0),"",(C4477-B4477)/B4477)</x:f>
        <x:v>0.10002642706131068</x:v>
      </x:c>
      <x:c r="E4477" s="22" t="str">
        <x:f>IF(ISBLANK(C4477),"AmountIncludingTax缺失",IF(ABS(B4477-C4477)&lt;0.005,"一致","不一致"))</x:f>
        <x:v>不一致</x:v>
      </x:c>
      <x:c r="F4477" s="19" t="str">
        <x:v>approved</x:v>
      </x:c>
      <x:c r="G4477" s="19" t="str">
        <x:v>Repairer Invoiced Processed</x:v>
      </x:c>
      <x:c r="H4477" s="19" t="str">
        <x:v>In Field</x:v>
      </x:c>
      <x:c r="I4477" s="37" t="n">
        <x:v>46056</x:v>
      </x:c>
      <x:c r="J4477" s="37" t="n">
        <x:v>46056</x:v>
      </x:c>
      <x:c r="K4477" s="19" t="str">
        <x:v>Dario Caravans - Pooraka</x:v>
      </x:c>
      <x:c r="L4477" s="19" t="str">
        <x:v>Z006</x:v>
      </x:c>
      <x:c r="M4477" s="19" t="str">
        <x:v>In Field Warranty Claims</x:v>
      </x:c>
      <x:c r="N4477" s="37" t="n">
        <x:v>46020</x:v>
      </x:c>
      <x:c r="O4477" s="37"/>
      <x:c r="P4477" s="34" t="n">
        <x:v>166.5</x:v>
      </x:c>
      <x:c r="Q4477" s="37" t="n">
        <x:v>46055.934965277775</x:v>
      </x:c>
    </x:row>
    <x:row r="4478">
      <x:c r="A4478" s="22" t="n">
        <x:v>29482</x:v>
      </x:c>
      <x:c r="B4478" s="28" t="n">
        <x:v>998.75</x:v>
      </x:c>
      <x:c r="C4478" s="28"/>
      <x:c r="D4478" s="31" t="str">
        <x:f>IF(OR(ISBLANK(B4478),ISBLANK(C4478),B4478=0),"",(C4478-B4478)/B4478)</x:f>
      </x:c>
      <x:c r="E4478" s="22" t="str">
        <x:f>IF(ISBLANK(C4478),"AmountIncludingTax缺失",IF(ABS(B4478-C4478)&lt;0.005,"一致","不一致"))</x:f>
        <x:v>AmountIncludingTax缺失</x:v>
      </x:c>
      <x:c r="F4478" s="19" t="str">
        <x:v>approved</x:v>
      </x:c>
      <x:c r="G4478" s="19" t="str">
        <x:v>Repair in Progress</x:v>
      </x:c>
      <x:c r="H4478" s="19" t="str">
        <x:v>In Field</x:v>
      </x:c>
      <x:c r="I4478" s="37" t="n">
        <x:v>46156</x:v>
      </x:c>
      <x:c r="J4478" s="37" t="n">
        <x:v>46155</x:v>
      </x:c>
      <x:c r="K4478" s="19" t="str">
        <x:v>Regent RV - Toowoomba</x:v>
      </x:c>
      <x:c r="L4478" s="19" t="str">
        <x:v>Z006</x:v>
      </x:c>
      <x:c r="M4478" s="19" t="str">
        <x:v>In Field Warranty Claims</x:v>
      </x:c>
      <x:c r="N4478" s="37" t="n">
        <x:v>46020</x:v>
      </x:c>
      <x:c r="O4478" s="37"/>
      <x:c r="P4478" s="34" t="n">
        <x:v>0</x:v>
      </x:c>
      <x:c r="Q4478" s="37" t="n">
        <x:v>46155.91986111111</x:v>
      </x:c>
    </x:row>
    <x:row r="4479">
      <x:c r="A4479" s="22" t="n">
        <x:v>29479</x:v>
      </x:c>
      <x:c r="B4479" s="28" t="n">
        <x:v>135</x:v>
      </x:c>
      <x:c r="C4479" s="28"/>
      <x:c r="D4479" s="31" t="str">
        <x:f>IF(OR(ISBLANK(B4479),ISBLANK(C4479),B4479=0),"",(C4479-B4479)/B4479)</x:f>
      </x:c>
      <x:c r="E4479" s="22" t="str">
        <x:f>IF(ISBLANK(C4479),"AmountIncludingTax缺失",IF(ABS(B4479-C4479)&lt;0.005,"一致","不一致"))</x:f>
        <x:v>AmountIncludingTax缺失</x:v>
      </x:c>
      <x:c r="F4479" s="19" t="str">
        <x:v>approved</x:v>
      </x:c>
      <x:c r="G4479" s="19" t="str">
        <x:v>Repair in Progress</x:v>
      </x:c>
      <x:c r="H4479" s="19" t="str">
        <x:v>In Field</x:v>
      </x:c>
      <x:c r="I4479" s="37" t="n">
        <x:v>46119</x:v>
      </x:c>
      <x:c r="J4479" s="37" t="n">
        <x:v>46119</x:v>
      </x:c>
      <x:c r="K4479" s="19" t="str">
        <x:v>Bendigo Caravan Group - Bendigo</x:v>
      </x:c>
      <x:c r="L4479" s="19" t="str">
        <x:v>Z006</x:v>
      </x:c>
      <x:c r="M4479" s="19" t="str">
        <x:v>In Field Warranty Claims</x:v>
      </x:c>
      <x:c r="N4479" s="37" t="n">
        <x:v>46020</x:v>
      </x:c>
      <x:c r="O4479" s="37"/>
      <x:c r="P4479" s="34" t="n">
        <x:v>0</x:v>
      </x:c>
      <x:c r="Q4479" s="37" t="n">
        <x:v>46118.95340277778</x:v>
      </x:c>
    </x:row>
    <x:row r="4480">
      <x:c r="A4480" s="22" t="n">
        <x:v>29478</x:v>
      </x:c>
      <x:c r="B4480" s="28" t="n">
        <x:v>135</x:v>
      </x:c>
      <x:c r="C4480" s="28"/>
      <x:c r="D4480" s="31" t="str">
        <x:f>IF(OR(ISBLANK(B4480),ISBLANK(C4480),B4480=0),"",(C4480-B4480)/B4480)</x:f>
      </x:c>
      <x:c r="E4480" s="22" t="str">
        <x:f>IF(ISBLANK(C4480),"AmountIncludingTax缺失",IF(ABS(B4480-C4480)&lt;0.005,"一致","不一致"))</x:f>
        <x:v>AmountIncludingTax缺失</x:v>
      </x:c>
      <x:c r="F4480" s="19" t="str">
        <x:v>approved</x:v>
      </x:c>
      <x:c r="G4480" s="19" t="str">
        <x:v>Repair in Progress</x:v>
      </x:c>
      <x:c r="H4480" s="19" t="str">
        <x:v>In Field</x:v>
      </x:c>
      <x:c r="I4480" s="37" t="n">
        <x:v>46080</x:v>
      </x:c>
      <x:c r="J4480" s="37" t="n">
        <x:v>46080</x:v>
      </x:c>
      <x:c r="K4480" s="19" t="str">
        <x:v>Dario Caravans -St.Marys</x:v>
      </x:c>
      <x:c r="L4480" s="19" t="str">
        <x:v>Z006</x:v>
      </x:c>
      <x:c r="M4480" s="19" t="str">
        <x:v>In Field Warranty Claims</x:v>
      </x:c>
      <x:c r="N4480" s="37" t="n">
        <x:v>46020</x:v>
      </x:c>
      <x:c r="O4480" s="37"/>
      <x:c r="P4480" s="34" t="n">
        <x:v>0</x:v>
      </x:c>
      <x:c r="Q4480" s="37" t="n">
        <x:v>46080.12923611111</x:v>
      </x:c>
    </x:row>
    <x:row r="4481">
      <x:c r="A4481" s="22" t="n">
        <x:v>29476</x:v>
      </x:c>
      <x:c r="B4481" s="28" t="n">
        <x:v>2165.5</x:v>
      </x:c>
      <x:c r="C4481" s="28"/>
      <x:c r="D4481" s="31" t="str">
        <x:f>IF(OR(ISBLANK(B4481),ISBLANK(C4481),B4481=0),"",(C4481-B4481)/B4481)</x:f>
      </x:c>
      <x:c r="E4481" s="22" t="str">
        <x:f>IF(ISBLANK(C4481),"AmountIncludingTax缺失",IF(ABS(B4481-C4481)&lt;0.005,"一致","不一致"))</x:f>
        <x:v>AmountIncludingTax缺失</x:v>
      </x:c>
      <x:c r="F4481" s="19" t="str">
        <x:v>approved</x:v>
      </x:c>
      <x:c r="G4481" s="19" t="str">
        <x:v>Repairer Invoiced Processed</x:v>
      </x:c>
      <x:c r="H4481" s="19" t="str">
        <x:v>In Field</x:v>
      </x:c>
      <x:c r="I4481" s="37" t="n">
        <x:v>46104</x:v>
      </x:c>
      <x:c r="J4481" s="37" t="n">
        <x:v>46104</x:v>
      </x:c>
      <x:c r="K4481" s="19" t="str">
        <x:v>Newcastle RV Super Centre - Beresfield</x:v>
      </x:c>
      <x:c r="L4481" s="19" t="str">
        <x:v>Z006</x:v>
      </x:c>
      <x:c r="M4481" s="19" t="str">
        <x:v>In Field Warranty Claims</x:v>
      </x:c>
      <x:c r="N4481" s="37" t="n">
        <x:v>46020</x:v>
      </x:c>
      <x:c r="O4481" s="37"/>
      <x:c r="P4481" s="34" t="n">
        <x:v>2382.05</x:v>
      </x:c>
      <x:c r="Q4481" s="37" t="n">
        <x:v>46104.10545138889</x:v>
      </x:c>
    </x:row>
    <x:row r="4482">
      <x:c r="A4482" s="22" t="n">
        <x:v>29475</x:v>
      </x:c>
      <x:c r="B4482" s="28" t="n">
        <x:v>574.37</x:v>
      </x:c>
      <x:c r="C4482" s="28" t="n">
        <x:v>631.81</x:v>
      </x:c>
      <x:c r="D4482" s="31" t="n">
        <x:f>IF(OR(ISBLANK(B4482),ISBLANK(C4482),B4482=0),"",(C4482-B4482)/B4482)</x:f>
        <x:v>0.10000522311402048</x:v>
      </x:c>
      <x:c r="E4482" s="22" t="str">
        <x:f>IF(ISBLANK(C4482),"AmountIncludingTax缺失",IF(ABS(B4482-C4482)&lt;0.005,"一致","不一致"))</x:f>
        <x:v>不一致</x:v>
      </x:c>
      <x:c r="F4482" s="19" t="str">
        <x:v>approved</x:v>
      </x:c>
      <x:c r="G4482" s="19" t="str">
        <x:v>Repair in Progress</x:v>
      </x:c>
      <x:c r="H4482" s="19" t="str">
        <x:v>In Field</x:v>
      </x:c>
      <x:c r="I4482" s="37" t="n">
        <x:v>46057</x:v>
      </x:c>
      <x:c r="J4482" s="37" t="n">
        <x:v>46057</x:v>
      </x:c>
      <x:c r="K4482" s="19" t="str">
        <x:v>Green RV - Forest Glen</x:v>
      </x:c>
      <x:c r="L4482" s="19" t="str">
        <x:v>Z006</x:v>
      </x:c>
      <x:c r="M4482" s="19" t="str">
        <x:v>In Field Warranty Claims</x:v>
      </x:c>
      <x:c r="N4482" s="37" t="n">
        <x:v>46020</x:v>
      </x:c>
      <x:c r="O4482" s="37"/>
      <x:c r="P4482" s="34" t="n">
        <x:v>631.81</x:v>
      </x:c>
      <x:c r="Q4482" s="37" t="n">
        <x:v>46057.40256944444</x:v>
      </x:c>
    </x:row>
    <x:row r="4483">
      <x:c r="A4483" s="22" t="n">
        <x:v>29473</x:v>
      </x:c>
      <x:c r="B4483" s="28" t="n">
        <x:v>211.13</x:v>
      </x:c>
      <x:c r="C4483" s="28"/>
      <x:c r="D4483" s="31" t="str">
        <x:f>IF(OR(ISBLANK(B4483),ISBLANK(C4483),B4483=0),"",(C4483-B4483)/B4483)</x:f>
      </x:c>
      <x:c r="E4483" s="22" t="str">
        <x:f>IF(ISBLANK(C4483),"AmountIncludingTax缺失",IF(ABS(B4483-C4483)&lt;0.005,"一致","不一致"))</x:f>
        <x:v>AmountIncludingTax缺失</x:v>
      </x:c>
      <x:c r="F4483" s="19" t="str">
        <x:v>approved</x:v>
      </x:c>
      <x:c r="G4483" s="19" t="str">
        <x:v>Repairer Invoiced Received</x:v>
      </x:c>
      <x:c r="H4483" s="19" t="str">
        <x:v>In Field</x:v>
      </x:c>
      <x:c r="I4483" s="37" t="n">
        <x:v>46076</x:v>
      </x:c>
      <x:c r="J4483" s="37" t="n">
        <x:v>46076</x:v>
      </x:c>
      <x:c r="K4483" s="19" t="str">
        <x:v>Dario Caravans - Pooraka</x:v>
      </x:c>
      <x:c r="L4483" s="19" t="str">
        <x:v>Z006</x:v>
      </x:c>
      <x:c r="M4483" s="19" t="str">
        <x:v>In Field Warranty Claims</x:v>
      </x:c>
      <x:c r="N4483" s="37" t="n">
        <x:v>46019</x:v>
      </x:c>
      <x:c r="O4483" s="37"/>
      <x:c r="P4483" s="34" t="n">
        <x:v>0</x:v>
      </x:c>
      <x:c r="Q4483" s="37" t="n">
        <x:v>46076.20537037037</x:v>
      </x:c>
    </x:row>
    <x:row r="4484">
      <x:c r="A4484" s="22" t="n">
        <x:v>29472</x:v>
      </x:c>
      <x:c r="B4484" s="28" t="n">
        <x:v>236.36</x:v>
      </x:c>
      <x:c r="C4484" s="28" t="n">
        <x:v>260</x:v>
      </x:c>
      <x:c r="D4484" s="31" t="n">
        <x:f>IF(OR(ISBLANK(B4484),ISBLANK(C4484),B4484=0),"",(C4484-B4484)/B4484)</x:f>
        <x:v>0.10001692333728204</x:v>
      </x:c>
      <x:c r="E4484" s="22" t="str">
        <x:f>IF(ISBLANK(C4484),"AmountIncludingTax缺失",IF(ABS(B4484-C4484)&lt;0.005,"一致","不一致"))</x:f>
        <x:v>不一致</x:v>
      </x:c>
      <x:c r="F4484" s="19" t="str">
        <x:v>approved</x:v>
      </x:c>
      <x:c r="G4484" s="19" t="str">
        <x:v>Repairer Invoiced Processed</x:v>
      </x:c>
      <x:c r="H4484" s="19" t="str">
        <x:v>In Field</x:v>
      </x:c>
      <x:c r="I4484" s="37" t="n">
        <x:v>46055</x:v>
      </x:c>
      <x:c r="J4484" s="37" t="n">
        <x:v>46055</x:v>
      </x:c>
      <x:c r="K4484" s="19" t="str">
        <x:v>Green RV - Forest Glen</x:v>
      </x:c>
      <x:c r="L4484" s="19" t="str">
        <x:v>Z006</x:v>
      </x:c>
      <x:c r="M4484" s="19" t="str">
        <x:v>In Field Warranty Claims</x:v>
      </x:c>
      <x:c r="N4484" s="37" t="n">
        <x:v>46019</x:v>
      </x:c>
      <x:c r="O4484" s="37"/>
      <x:c r="P4484" s="34" t="n">
        <x:v>260</x:v>
      </x:c>
      <x:c r="Q4484" s="37" t="n">
        <x:v>46055.11760416667</x:v>
      </x:c>
    </x:row>
    <x:row r="4485">
      <x:c r="A4485" s="22" t="n">
        <x:v>29471</x:v>
      </x:c>
      <x:c r="B4485" s="28" t="n">
        <x:v>606.36</x:v>
      </x:c>
      <x:c r="C4485" s="28"/>
      <x:c r="D4485" s="31" t="str">
        <x:f>IF(OR(ISBLANK(B4485),ISBLANK(C4485),B4485=0),"",(C4485-B4485)/B4485)</x:f>
      </x:c>
      <x:c r="E4485" s="22" t="str">
        <x:f>IF(ISBLANK(C4485),"AmountIncludingTax缺失",IF(ABS(B4485-C4485)&lt;0.005,"一致","不一致"))</x:f>
        <x:v>AmountIncludingTax缺失</x:v>
      </x:c>
      <x:c r="F4485" s="19" t="str">
        <x:v>approved</x:v>
      </x:c>
      <x:c r="G4485" s="19" t="str">
        <x:v>Repair in Progress</x:v>
      </x:c>
      <x:c r="H4485" s="19" t="str">
        <x:v>In Field</x:v>
      </x:c>
      <x:c r="I4485" s="37" t="n">
        <x:v>46077</x:v>
      </x:c>
      <x:c r="J4485" s="37" t="n">
        <x:v>46076</x:v>
      </x:c>
      <x:c r="K4485" s="19" t="str">
        <x:v>Dario Caravans -St.Marys</x:v>
      </x:c>
      <x:c r="L4485" s="19" t="str">
        <x:v>Z006</x:v>
      </x:c>
      <x:c r="M4485" s="19" t="str">
        <x:v>In Field Warranty Claims</x:v>
      </x:c>
      <x:c r="N4485" s="37" t="n">
        <x:v>46019</x:v>
      </x:c>
      <x:c r="O4485" s="37"/>
      <x:c r="P4485" s="34" t="n">
        <x:v>0</x:v>
      </x:c>
      <x:c r="Q4485" s="37" t="n">
        <x:v>46077.16270833334</x:v>
      </x:c>
    </x:row>
    <x:row r="4486">
      <x:c r="A4486" s="22" t="n">
        <x:v>29470</x:v>
      </x:c>
      <x:c r="B4486" s="28" t="n">
        <x:v>256.25</x:v>
      </x:c>
      <x:c r="C4486" s="28"/>
      <x:c r="D4486" s="31" t="str">
        <x:f>IF(OR(ISBLANK(B4486),ISBLANK(C4486),B4486=0),"",(C4486-B4486)/B4486)</x:f>
      </x:c>
      <x:c r="E4486" s="22" t="str">
        <x:f>IF(ISBLANK(C4486),"AmountIncludingTax缺失",IF(ABS(B4486-C4486)&lt;0.005,"一致","不一致"))</x:f>
        <x:v>AmountIncludingTax缺失</x:v>
      </x:c>
      <x:c r="F4486" s="19" t="str">
        <x:v>approved</x:v>
      </x:c>
      <x:c r="G4486" s="19" t="str">
        <x:v>Repair in Progress</x:v>
      </x:c>
      <x:c r="H4486" s="19" t="str">
        <x:v>Pre Delivery</x:v>
      </x:c>
      <x:c r="I4486" s="37" t="n">
        <x:v>46129</x:v>
      </x:c>
      <x:c r="J4486" s="37" t="n">
        <x:v>46129</x:v>
      </x:c>
      <x:c r="K4486" s="19" t="str">
        <x:v>Regent RV Pty Ltd</x:v>
      </x:c>
      <x:c r="L4486" s="19" t="str">
        <x:v>Z005</x:v>
      </x:c>
      <x:c r="M4486" s="19" t="str">
        <x:v>Pre Delivery Warranty Claims</x:v>
      </x:c>
      <x:c r="N4486" s="37" t="n">
        <x:v>46020</x:v>
      </x:c>
      <x:c r="O4486" s="37"/>
      <x:c r="P4486" s="34" t="n">
        <x:v>0</x:v>
      </x:c>
      <x:c r="Q4486" s="37" t="n">
        <x:v>46129.1215625</x:v>
      </x:c>
    </x:row>
    <x:row r="4487">
      <x:c r="A4487" s="22" t="n">
        <x:v>29468</x:v>
      </x:c>
      <x:c r="B4487" s="28" t="n">
        <x:v>675</x:v>
      </x:c>
      <x:c r="C4487" s="28" t="n">
        <x:v>742.5</x:v>
      </x:c>
      <x:c r="D4487" s="31" t="n">
        <x:f>IF(OR(ISBLANK(B4487),ISBLANK(C4487),B4487=0),"",(C4487-B4487)/B4487)</x:f>
        <x:v>0.1</x:v>
      </x:c>
      <x:c r="E4487" s="22" t="str">
        <x:f>IF(ISBLANK(C4487),"AmountIncludingTax缺失",IF(ABS(B4487-C4487)&lt;0.005,"一致","不一致"))</x:f>
        <x:v>不一致</x:v>
      </x:c>
      <x:c r="F4487" s="19" t="str">
        <x:v>approved</x:v>
      </x:c>
      <x:c r="G4487" s="19" t="str">
        <x:v>Repairer Invoiced Processed</x:v>
      </x:c>
      <x:c r="H4487" s="19" t="str">
        <x:v>In Field</x:v>
      </x:c>
      <x:c r="I4487" s="37" t="n">
        <x:v>46070</x:v>
      </x:c>
      <x:c r="J4487" s="37" t="n">
        <x:v>46070</x:v>
      </x:c>
      <x:c r="K4487" s="19" t="str">
        <x:v>Lesiure Lion-New Castle</x:v>
      </x:c>
      <x:c r="L4487" s="19" t="str">
        <x:v>Z006</x:v>
      </x:c>
      <x:c r="M4487" s="19" t="str">
        <x:v>In Field Warranty Claims</x:v>
      </x:c>
      <x:c r="N4487" s="37" t="n">
        <x:v>46020</x:v>
      </x:c>
      <x:c r="O4487" s="37"/>
      <x:c r="P4487" s="34" t="n">
        <x:v>742.5</x:v>
      </x:c>
      <x:c r="Q4487" s="37" t="n">
        <x:v>46069.906331018516</x:v>
      </x:c>
    </x:row>
    <x:row r="4488">
      <x:c r="A4488" s="22" t="n">
        <x:v>29467</x:v>
      </x:c>
      <x:c r="B4488" s="28" t="n">
        <x:v>270</x:v>
      </x:c>
      <x:c r="C4488" s="28"/>
      <x:c r="D4488" s="31" t="str">
        <x:f>IF(OR(ISBLANK(B4488),ISBLANK(C4488),B4488=0),"",(C4488-B4488)/B4488)</x:f>
      </x:c>
      <x:c r="E4488" s="22" t="str">
        <x:f>IF(ISBLANK(C4488),"AmountIncludingTax缺失",IF(ABS(B4488-C4488)&lt;0.005,"一致","不一致"))</x:f>
        <x:v>AmountIncludingTax缺失</x:v>
      </x:c>
      <x:c r="F4488" s="19" t="str">
        <x:v>approved</x:v>
      </x:c>
      <x:c r="G4488" s="19" t="str">
        <x:v>Repair in Progress</x:v>
      </x:c>
      <x:c r="H4488" s="19" t="str">
        <x:v>In Field</x:v>
      </x:c>
      <x:c r="I4488" s="37" t="n">
        <x:v>46125</x:v>
      </x:c>
      <x:c r="J4488" s="37" t="n">
        <x:v>46125</x:v>
      </x:c>
      <x:c r="K4488" s="19" t="str">
        <x:v>Regent RV - Toowoomba</x:v>
      </x:c>
      <x:c r="L4488" s="19" t="str">
        <x:v>Z006</x:v>
      </x:c>
      <x:c r="M4488" s="19" t="str">
        <x:v>In Field Warranty Claims</x:v>
      </x:c>
      <x:c r="N4488" s="37" t="n">
        <x:v>46019</x:v>
      </x:c>
      <x:c r="O4488" s="37"/>
      <x:c r="P4488" s="34" t="n">
        <x:v>0</x:v>
      </x:c>
      <x:c r="Q4488" s="37" t="n">
        <x:v>46125.05564814815</x:v>
      </x:c>
    </x:row>
    <x:row r="4489">
      <x:c r="A4489" s="22" t="n">
        <x:v>29466</x:v>
      </x:c>
      <x:c r="B4489" s="28" t="n">
        <x:v>1147.27</x:v>
      </x:c>
      <x:c r="C4489" s="28"/>
      <x:c r="D4489" s="31" t="str">
        <x:f>IF(OR(ISBLANK(B4489),ISBLANK(C4489),B4489=0),"",(C4489-B4489)/B4489)</x:f>
      </x:c>
      <x:c r="E4489" s="22" t="str">
        <x:f>IF(ISBLANK(C4489),"AmountIncludingTax缺失",IF(ABS(B4489-C4489)&lt;0.005,"一致","不一致"))</x:f>
        <x:v>AmountIncludingTax缺失</x:v>
      </x:c>
      <x:c r="F4489" s="19" t="str">
        <x:v>approved</x:v>
      </x:c>
      <x:c r="G4489" s="19" t="str">
        <x:v>Repair in Progress</x:v>
      </x:c>
      <x:c r="H4489" s="19" t="str">
        <x:v>In Field</x:v>
      </x:c>
      <x:c r="I4489" s="37" t="n">
        <x:v>46076</x:v>
      </x:c>
      <x:c r="J4489" s="37" t="n">
        <x:v>46076</x:v>
      </x:c>
      <x:c r="K4489" s="19" t="str">
        <x:v>Dario Caravans -St.Marys</x:v>
      </x:c>
      <x:c r="L4489" s="19" t="str">
        <x:v>Z006</x:v>
      </x:c>
      <x:c r="M4489" s="19" t="str">
        <x:v>In Field Warranty Claims</x:v>
      </x:c>
      <x:c r="N4489" s="37" t="n">
        <x:v>46019</x:v>
      </x:c>
      <x:c r="O4489" s="37"/>
      <x:c r="P4489" s="34" t="n">
        <x:v>0</x:v>
      </x:c>
      <x:c r="Q4489" s="37" t="n">
        <x:v>46076.15045138889</x:v>
      </x:c>
    </x:row>
    <x:row r="4490">
      <x:c r="A4490" s="22" t="n">
        <x:v>29465</x:v>
      </x:c>
      <x:c r="B4490" s="28" t="n">
        <x:v>2368.19</x:v>
      </x:c>
      <x:c r="C4490" s="28"/>
      <x:c r="D4490" s="31" t="str">
        <x:f>IF(OR(ISBLANK(B4490),ISBLANK(C4490),B4490=0),"",(C4490-B4490)/B4490)</x:f>
      </x:c>
      <x:c r="E4490" s="22" t="str">
        <x:f>IF(ISBLANK(C4490),"AmountIncludingTax缺失",IF(ABS(B4490-C4490)&lt;0.005,"一致","不一致"))</x:f>
        <x:v>AmountIncludingTax缺失</x:v>
      </x:c>
      <x:c r="F4490" s="19" t="str">
        <x:v>approved</x:v>
      </x:c>
      <x:c r="G4490" s="19" t="str">
        <x:v>Repairer Invoiced Processed</x:v>
      </x:c>
      <x:c r="H4490" s="19" t="str">
        <x:v>In Field</x:v>
      </x:c>
      <x:c r="I4490" s="37" t="n">
        <x:v>46077</x:v>
      </x:c>
      <x:c r="J4490" s="37" t="n">
        <x:v>46077</x:v>
      </x:c>
      <x:c r="K4490" s="19" t="str">
        <x:v>Regent RV - Toowoomba</x:v>
      </x:c>
      <x:c r="L4490" s="19" t="str">
        <x:v>Z006</x:v>
      </x:c>
      <x:c r="M4490" s="19" t="str">
        <x:v>In Field Warranty Claims</x:v>
      </x:c>
      <x:c r="N4490" s="37" t="n">
        <x:v>46019</x:v>
      </x:c>
      <x:c r="O4490" s="37"/>
      <x:c r="P4490" s="34" t="n">
        <x:v>2605.01</x:v>
      </x:c>
      <x:c r="Q4490" s="37" t="n">
        <x:v>46077.07444444444</x:v>
      </x:c>
    </x:row>
    <x:row r="4491">
      <x:c r="A4491" s="22" t="n">
        <x:v>29464</x:v>
      </x:c>
      <x:c r="B4491" s="28" t="n">
        <x:v>2891.83</x:v>
      </x:c>
      <x:c r="C4491" s="28"/>
      <x:c r="D4491" s="31" t="str">
        <x:f>IF(OR(ISBLANK(B4491),ISBLANK(C4491),B4491=0),"",(C4491-B4491)/B4491)</x:f>
      </x:c>
      <x:c r="E4491" s="22" t="str">
        <x:f>IF(ISBLANK(C4491),"AmountIncludingTax缺失",IF(ABS(B4491-C4491)&lt;0.005,"一致","不一致"))</x:f>
        <x:v>AmountIncludingTax缺失</x:v>
      </x:c>
      <x:c r="F4491" s="19" t="str">
        <x:v>approved</x:v>
      </x:c>
      <x:c r="G4491" s="19" t="str">
        <x:v>Repair in Progress</x:v>
      </x:c>
      <x:c r="H4491" s="19" t="str">
        <x:v>In Field</x:v>
      </x:c>
      <x:c r="I4491" s="37" t="n">
        <x:v>46056</x:v>
      </x:c>
      <x:c r="J4491" s="37" t="n">
        <x:v>46056</x:v>
      </x:c>
      <x:c r="K4491" s="19" t="str">
        <x:v>Green RV - Forest Glen</x:v>
      </x:c>
      <x:c r="L4491" s="19" t="str">
        <x:v>Z006</x:v>
      </x:c>
      <x:c r="M4491" s="19" t="str">
        <x:v>In Field Warranty Claims</x:v>
      </x:c>
      <x:c r="N4491" s="37" t="n">
        <x:v>46019</x:v>
      </x:c>
      <x:c r="O4491" s="37"/>
      <x:c r="P4491" s="34" t="n">
        <x:v>3181.01</x:v>
      </x:c>
      <x:c r="Q4491" s="37" t="n">
        <x:v>46056.238541666666</x:v>
      </x:c>
    </x:row>
    <x:row r="4492">
      <x:c r="A4492" s="22" t="n">
        <x:v>29463</x:v>
      </x:c>
      <x:c r="B4492" s="28" t="n">
        <x:v>3043.26</x:v>
      </x:c>
      <x:c r="C4492" s="28"/>
      <x:c r="D4492" s="31" t="str">
        <x:f>IF(OR(ISBLANK(B4492),ISBLANK(C4492),B4492=0),"",(C4492-B4492)/B4492)</x:f>
      </x:c>
      <x:c r="E4492" s="22" t="str">
        <x:f>IF(ISBLANK(C4492),"AmountIncludingTax缺失",IF(ABS(B4492-C4492)&lt;0.005,"一致","不一致"))</x:f>
        <x:v>AmountIncludingTax缺失</x:v>
      </x:c>
      <x:c r="F4492" s="19" t="str">
        <x:v>approved</x:v>
      </x:c>
      <x:c r="G4492" s="19" t="str">
        <x:v>Partially Picked</x:v>
      </x:c>
      <x:c r="H4492" s="19" t="str">
        <x:v>In Field</x:v>
      </x:c>
      <x:c r="I4492" s="37" t="n">
        <x:v>46112</x:v>
      </x:c>
      <x:c r="J4492" s="37" t="n">
        <x:v>46112</x:v>
      </x:c>
      <x:c r="K4492" s="19" t="str">
        <x:v>Green RV - Forest Glen</x:v>
      </x:c>
      <x:c r="L4492" s="19" t="str">
        <x:v>Z006</x:v>
      </x:c>
      <x:c r="M4492" s="19" t="str">
        <x:v>In Field Warranty Claims</x:v>
      </x:c>
      <x:c r="N4492" s="37" t="n">
        <x:v>46018</x:v>
      </x:c>
      <x:c r="O4492" s="37"/>
      <x:c r="P4492" s="34" t="n">
        <x:v>0</x:v>
      </x:c>
      <x:c r="Q4492" s="37" t="n">
        <x:v>46112.09594907407</x:v>
      </x:c>
    </x:row>
    <x:row r="4493">
      <x:c r="A4493" s="22" t="n">
        <x:v>29462</x:v>
      </x:c>
      <x:c r="B4493" s="28" t="n">
        <x:v>417.3</x:v>
      </x:c>
      <x:c r="C4493" s="28" t="n">
        <x:v>377.82</x:v>
      </x:c>
      <x:c r="D4493" s="31" t="n">
        <x:f>IF(OR(ISBLANK(B4493),ISBLANK(C4493),B4493=0),"",(C4493-B4493)/B4493)</x:f>
        <x:v>-0.09460819554277503</x:v>
      </x:c>
      <x:c r="E4493" s="22" t="str">
        <x:f>IF(ISBLANK(C4493),"AmountIncludingTax缺失",IF(ABS(B4493-C4493)&lt;0.005,"一致","不一致"))</x:f>
        <x:v>不一致</x:v>
      </x:c>
      <x:c r="F4493" s="19" t="str">
        <x:v>approved</x:v>
      </x:c>
      <x:c r="G4493" s="19" t="str">
        <x:v>Repairer Invoiced Processed</x:v>
      </x:c>
      <x:c r="H4493" s="19" t="str">
        <x:v>In Field</x:v>
      </x:c>
      <x:c r="I4493" s="37" t="n">
        <x:v>46086</x:v>
      </x:c>
      <x:c r="J4493" s="37" t="n">
        <x:v>46086</x:v>
      </x:c>
      <x:c r="K4493" s="19" t="str">
        <x:v>Vanari Caravans - Marden Point</x:v>
      </x:c>
      <x:c r="L4493" s="19" t="str">
        <x:v>Z006</x:v>
      </x:c>
      <x:c r="M4493" s="19" t="str">
        <x:v>In Field Warranty Claims</x:v>
      </x:c>
      <x:c r="N4493" s="37" t="n">
        <x:v>46017</x:v>
      </x:c>
      <x:c r="O4493" s="37"/>
      <x:c r="P4493" s="34" t="n">
        <x:v>377.82</x:v>
      </x:c>
      <x:c r="Q4493" s="37" t="n">
        <x:v>46086.16554398148</x:v>
      </x:c>
    </x:row>
    <x:row r="4494">
      <x:c r="A4494" s="22" t="n">
        <x:v>29461</x:v>
      </x:c>
      <x:c r="B4494" s="28" t="n">
        <x:v>270</x:v>
      </x:c>
      <x:c r="C4494" s="28"/>
      <x:c r="D4494" s="31" t="str">
        <x:f>IF(OR(ISBLANK(B4494),ISBLANK(C4494),B4494=0),"",(C4494-B4494)/B4494)</x:f>
      </x:c>
      <x:c r="E4494" s="22" t="str">
        <x:f>IF(ISBLANK(C4494),"AmountIncludingTax缺失",IF(ABS(B4494-C4494)&lt;0.005,"一致","不一致"))</x:f>
        <x:v>AmountIncludingTax缺失</x:v>
      </x:c>
      <x:c r="F4494" s="19" t="str">
        <x:v>approved</x:v>
      </x:c>
      <x:c r="G4494" s="19" t="str">
        <x:v>Partially Picked</x:v>
      </x:c>
      <x:c r="H4494" s="19" t="str">
        <x:v>In Field</x:v>
      </x:c>
      <x:c r="I4494" s="37" t="n">
        <x:v>46192</x:v>
      </x:c>
      <x:c r="J4494" s="37" t="n">
        <x:v>46141</x:v>
      </x:c>
      <x:c r="K4494" s="19" t="str">
        <x:v>Regent RV - Perth</x:v>
      </x:c>
      <x:c r="L4494" s="19" t="str">
        <x:v>Z006</x:v>
      </x:c>
      <x:c r="M4494" s="19" t="str">
        <x:v>In Field Warranty Claims</x:v>
      </x:c>
      <x:c r="N4494" s="37" t="n">
        <x:v>46015</x:v>
      </x:c>
      <x:c r="O4494" s="37"/>
      <x:c r="P4494" s="34" t="n">
        <x:v>0</x:v>
      </x:c>
      <x:c r="Q4494" s="37" t="n">
        <x:v>46192.12358796296</x:v>
      </x:c>
    </x:row>
    <x:row r="4495">
      <x:c r="A4495" s="22" t="n">
        <x:v>29460</x:v>
      </x:c>
      <x:c r="B4495" s="28" t="n">
        <x:v>300</x:v>
      </x:c>
      <x:c r="C4495" s="28"/>
      <x:c r="D4495" s="31" t="str">
        <x:f>IF(OR(ISBLANK(B4495),ISBLANK(C4495),B4495=0),"",(C4495-B4495)/B4495)</x:f>
      </x:c>
      <x:c r="E4495" s="22" t="str">
        <x:f>IF(ISBLANK(C4495),"AmountIncludingTax缺失",IF(ABS(B4495-C4495)&lt;0.005,"一致","不一致"))</x:f>
        <x:v>AmountIncludingTax缺失</x:v>
      </x:c>
      <x:c r="F4495" s="19" t="str">
        <x:v>approved</x:v>
      </x:c>
      <x:c r="G4495" s="19" t="str">
        <x:v>Repairer Invoiced Processed</x:v>
      </x:c>
      <x:c r="H4495" s="19" t="str">
        <x:v>In Field</x:v>
      </x:c>
      <x:c r="I4495" s="37" t="n">
        <x:v>46126</x:v>
      </x:c>
      <x:c r="J4495" s="37" t="n">
        <x:v>46056</x:v>
      </x:c>
      <x:c r="K4495" s="19" t="str">
        <x:v>Regent RV - Perth</x:v>
      </x:c>
      <x:c r="L4495" s="19" t="str">
        <x:v>Z006</x:v>
      </x:c>
      <x:c r="M4495" s="19" t="str">
        <x:v>In Field Warranty Claims</x:v>
      </x:c>
      <x:c r="N4495" s="37" t="n">
        <x:v>46019</x:v>
      </x:c>
      <x:c r="O4495" s="37"/>
      <x:c r="P4495" s="34" t="n">
        <x:v>0</x:v>
      </x:c>
      <x:c r="Q4495" s="37" t="n">
        <x:v>46126.082766203705</x:v>
      </x:c>
    </x:row>
    <x:row r="4496">
      <x:c r="A4496" s="22" t="n">
        <x:v>29458</x:v>
      </x:c>
      <x:c r="B4496" s="28" t="n">
        <x:v>122.5</x:v>
      </x:c>
      <x:c r="C4496" s="28"/>
      <x:c r="D4496" s="31" t="str">
        <x:f>IF(OR(ISBLANK(B4496),ISBLANK(C4496),B4496=0),"",(C4496-B4496)/B4496)</x:f>
      </x:c>
      <x:c r="E4496" s="22" t="str">
        <x:f>IF(ISBLANK(C4496),"AmountIncludingTax缺失",IF(ABS(B4496-C4496)&lt;0.005,"一致","不一致"))</x:f>
        <x:v>AmountIncludingTax缺失</x:v>
      </x:c>
      <x:c r="F4496" s="19" t="str">
        <x:v>approved</x:v>
      </x:c>
      <x:c r="G4496" s="19" t="str">
        <x:v>Repair in Progress</x:v>
      </x:c>
      <x:c r="H4496" s="19" t="str">
        <x:v>In Field</x:v>
      </x:c>
      <x:c r="I4496" s="37" t="n">
        <x:v>46148</x:v>
      </x:c>
      <x:c r="J4496" s="37" t="n">
        <x:v>46148</x:v>
      </x:c>
      <x:c r="K4496" s="19" t="str">
        <x:v>Regent RV - Perth</x:v>
      </x:c>
      <x:c r="L4496" s="19" t="str">
        <x:v>Z006</x:v>
      </x:c>
      <x:c r="M4496" s="19" t="str">
        <x:v>In Field Warranty Claims</x:v>
      </x:c>
      <x:c r="N4496" s="37" t="n">
        <x:v>46017</x:v>
      </x:c>
      <x:c r="O4496" s="37"/>
      <x:c r="P4496" s="34" t="n">
        <x:v>0</x:v>
      </x:c>
      <x:c r="Q4496" s="37" t="n">
        <x:v>46148.04813657407</x:v>
      </x:c>
    </x:row>
    <x:row r="4497">
      <x:c r="A4497" s="22" t="n">
        <x:v>29451</x:v>
      </x:c>
      <x:c r="B4497" s="28" t="n">
        <x:v>270</x:v>
      </x:c>
      <x:c r="C4497" s="28" t="n">
        <x:v>297</x:v>
      </x:c>
      <x:c r="D4497" s="31" t="n">
        <x:f>IF(OR(ISBLANK(B4497),ISBLANK(C4497),B4497=0),"",(C4497-B4497)/B4497)</x:f>
        <x:v>0.1</x:v>
      </x:c>
      <x:c r="E4497" s="22" t="str">
        <x:f>IF(ISBLANK(C4497),"AmountIncludingTax缺失",IF(ABS(B4497-C4497)&lt;0.005,"一致","不一致"))</x:f>
        <x:v>不一致</x:v>
      </x:c>
      <x:c r="F4497" s="19" t="str">
        <x:v>approved</x:v>
      </x:c>
      <x:c r="G4497" s="19" t="str">
        <x:v>Repairer Invoiced Processed</x:v>
      </x:c>
      <x:c r="H4497" s="19" t="str">
        <x:v>In Field</x:v>
      </x:c>
      <x:c r="I4497" s="37" t="n">
        <x:v>46055</x:v>
      </x:c>
      <x:c r="J4497" s="37" t="n">
        <x:v>46055</x:v>
      </x:c>
      <x:c r="K4497" s="19" t="str">
        <x:v>Green RV - Forest Glen</x:v>
      </x:c>
      <x:c r="L4497" s="19" t="str">
        <x:v>Z006</x:v>
      </x:c>
      <x:c r="M4497" s="19" t="str">
        <x:v>In Field Warranty Claims</x:v>
      </x:c>
      <x:c r="N4497" s="37" t="n">
        <x:v>46015</x:v>
      </x:c>
      <x:c r="O4497" s="37"/>
      <x:c r="P4497" s="34" t="n">
        <x:v>297</x:v>
      </x:c>
      <x:c r="Q4497" s="37" t="n">
        <x:v>46054.973229166666</x:v>
      </x:c>
    </x:row>
    <x:row r="4498">
      <x:c r="A4498" s="22" t="n">
        <x:v>29448</x:v>
      </x:c>
      <x:c r="B4498" s="28" t="n">
        <x:v>936.6</x:v>
      </x:c>
      <x:c r="C4498" s="28"/>
      <x:c r="D4498" s="31" t="str">
        <x:f>IF(OR(ISBLANK(B4498),ISBLANK(C4498),B4498=0),"",(C4498-B4498)/B4498)</x:f>
      </x:c>
      <x:c r="E4498" s="22" t="str">
        <x:f>IF(ISBLANK(C4498),"AmountIncludingTax缺失",IF(ABS(B4498-C4498)&lt;0.005,"一致","不一致"))</x:f>
        <x:v>AmountIncludingTax缺失</x:v>
      </x:c>
      <x:c r="F4498" s="19" t="str">
        <x:v>approved</x:v>
      </x:c>
      <x:c r="G4498" s="19" t="str">
        <x:v>Repairer Invoiced Processed</x:v>
      </x:c>
      <x:c r="H4498" s="19" t="str">
        <x:v>Pre Delivery</x:v>
      </x:c>
      <x:c r="I4498" s="37" t="n">
        <x:v>46028</x:v>
      </x:c>
      <x:c r="J4498" s="37" t="n">
        <x:v>46028</x:v>
      </x:c>
      <x:c r="K4498" s="19" t="str">
        <x:v>Lesiure Lion-New Castle</x:v>
      </x:c>
      <x:c r="L4498" s="19" t="str">
        <x:v>Z005</x:v>
      </x:c>
      <x:c r="M4498" s="19" t="str">
        <x:v>Pre Delivery Warranty Claims</x:v>
      </x:c>
      <x:c r="N4498" s="37" t="n">
        <x:v>46028</x:v>
      </x:c>
      <x:c r="O4498" s="37"/>
      <x:c r="P4498" s="34" t="n">
        <x:v>1030.26</x:v>
      </x:c>
      <x:c r="Q4498" s="37" t="n">
        <x:v>46028.05894675926</x:v>
      </x:c>
    </x:row>
    <x:row r="4499">
      <x:c r="A4499" s="22" t="n">
        <x:v>29439</x:v>
      </x:c>
      <x:c r="B4499" s="28" t="n">
        <x:v>405</x:v>
      </x:c>
      <x:c r="C4499" s="28" t="n">
        <x:v>445.5</x:v>
      </x:c>
      <x:c r="D4499" s="31" t="n">
        <x:f>IF(OR(ISBLANK(B4499),ISBLANK(C4499),B4499=0),"",(C4499-B4499)/B4499)</x:f>
        <x:v>0.1</x:v>
      </x:c>
      <x:c r="E4499" s="22" t="str">
        <x:f>IF(ISBLANK(C4499),"AmountIncludingTax缺失",IF(ABS(B4499-C4499)&lt;0.005,"一致","不一致"))</x:f>
        <x:v>不一致</x:v>
      </x:c>
      <x:c r="F4499" s="19" t="str">
        <x:v>approved</x:v>
      </x:c>
      <x:c r="G4499" s="19" t="str">
        <x:v>Repairer Invoiced Processed</x:v>
      </x:c>
      <x:c r="H4499" s="19" t="str">
        <x:v>In Field</x:v>
      </x:c>
      <x:c r="I4499" s="37" t="n">
        <x:v>46055</x:v>
      </x:c>
      <x:c r="J4499" s="37" t="n">
        <x:v>46055</x:v>
      </x:c>
      <x:c r="K4499" s="19" t="str">
        <x:v>Green RV - Forest Glen</x:v>
      </x:c>
      <x:c r="L4499" s="19" t="str">
        <x:v>Z006</x:v>
      </x:c>
      <x:c r="M4499" s="19" t="str">
        <x:v>In Field Warranty Claims</x:v>
      </x:c>
      <x:c r="N4499" s="37" t="n">
        <x:v>46014</x:v>
      </x:c>
      <x:c r="O4499" s="37"/>
      <x:c r="P4499" s="34" t="n">
        <x:v>445.5</x:v>
      </x:c>
      <x:c r="Q4499" s="37" t="n">
        <x:v>46055.07747685185</x:v>
      </x:c>
    </x:row>
    <x:row r="4500">
      <x:c r="A4500" s="22" t="n">
        <x:v>29437</x:v>
      </x:c>
      <x:c r="B4500" s="28" t="n">
        <x:v>2600.42</x:v>
      </x:c>
      <x:c r="C4500" s="28"/>
      <x:c r="D4500" s="31" t="str">
        <x:f>IF(OR(ISBLANK(B4500),ISBLANK(C4500),B4500=0),"",(C4500-B4500)/B4500)</x:f>
      </x:c>
      <x:c r="E4500" s="22" t="str">
        <x:f>IF(ISBLANK(C4500),"AmountIncludingTax缺失",IF(ABS(B4500-C4500)&lt;0.005,"一致","不一致"))</x:f>
        <x:v>AmountIncludingTax缺失</x:v>
      </x:c>
      <x:c r="F4500" s="19" t="str">
        <x:v>approved</x:v>
      </x:c>
      <x:c r="G4500" s="19" t="str">
        <x:v>Repair in Progress</x:v>
      </x:c>
      <x:c r="H4500" s="19" t="str">
        <x:v>In Field</x:v>
      </x:c>
      <x:c r="I4500" s="37" t="n">
        <x:v>46111</x:v>
      </x:c>
      <x:c r="J4500" s="37" t="n">
        <x:v>46056</x:v>
      </x:c>
      <x:c r="K4500" s="19" t="str">
        <x:v>Bendigo Caravan Group - Bendigo</x:v>
      </x:c>
      <x:c r="L4500" s="19" t="str">
        <x:v>Z006</x:v>
      </x:c>
      <x:c r="M4500" s="19" t="str">
        <x:v>In Field Warranty Claims</x:v>
      </x:c>
      <x:c r="N4500" s="37" t="n">
        <x:v>46014</x:v>
      </x:c>
      <x:c r="O4500" s="37"/>
      <x:c r="P4500" s="34" t="n">
        <x:v>0</x:v>
      </x:c>
      <x:c r="Q4500" s="37" t="n">
        <x:v>46110.9053125</x:v>
      </x:c>
    </x:row>
    <x:row r="4501">
      <x:c r="A4501" s="22" t="n">
        <x:v>29435</x:v>
      </x:c>
      <x:c r="B4501" s="28" t="n">
        <x:v>202.5</x:v>
      </x:c>
      <x:c r="C4501" s="28"/>
      <x:c r="D4501" s="31" t="str">
        <x:f>IF(OR(ISBLANK(B4501),ISBLANK(C4501),B4501=0),"",(C4501-B4501)/B4501)</x:f>
      </x:c>
      <x:c r="E4501" s="22" t="str">
        <x:f>IF(ISBLANK(C4501),"AmountIncludingTax缺失",IF(ABS(B4501-C4501)&lt;0.005,"一致","不一致"))</x:f>
        <x:v>AmountIncludingTax缺失</x:v>
      </x:c>
      <x:c r="F4501" s="19" t="str">
        <x:v>approved</x:v>
      </x:c>
      <x:c r="G4501" s="19" t="str">
        <x:v>Repairer Invoiced Processed</x:v>
      </x:c>
      <x:c r="H4501" s="19" t="str">
        <x:v>Pre Delivery</x:v>
      </x:c>
      <x:c r="I4501" s="37" t="n">
        <x:v>46104</x:v>
      </x:c>
      <x:c r="J4501" s="37" t="n">
        <x:v>46104</x:v>
      </x:c>
      <x:c r="K4501" s="19" t="str">
        <x:v>Green RV - Slacks Creek</x:v>
      </x:c>
      <x:c r="L4501" s="19" t="str">
        <x:v>Z005</x:v>
      </x:c>
      <x:c r="M4501" s="19" t="str">
        <x:v>Pre Delivery Warranty Claims</x:v>
      </x:c>
      <x:c r="N4501" s="37" t="n">
        <x:v>46014</x:v>
      </x:c>
      <x:c r="O4501" s="37"/>
      <x:c r="P4501" s="34" t="n">
        <x:v>0</x:v>
      </x:c>
      <x:c r="Q4501" s="37" t="n">
        <x:v>46103.991875</x:v>
      </x:c>
    </x:row>
    <x:row r="4502">
      <x:c r="A4502" s="22" t="n">
        <x:v>29434</x:v>
      </x:c>
      <x:c r="B4502" s="28" t="n">
        <x:v>654.55</x:v>
      </x:c>
      <x:c r="C4502" s="28" t="n">
        <x:v>720.01</x:v>
      </x:c>
      <x:c r="D4502" s="31" t="n">
        <x:f>IF(OR(ISBLANK(B4502),ISBLANK(C4502),B4502=0),"",(C4502-B4502)/B4502)</x:f>
        <x:v>0.10000763883584148</x:v>
      </x:c>
      <x:c r="E4502" s="22" t="str">
        <x:f>IF(ISBLANK(C4502),"AmountIncludingTax缺失",IF(ABS(B4502-C4502)&lt;0.005,"一致","不一致"))</x:f>
        <x:v>不一致</x:v>
      </x:c>
      <x:c r="F4502" s="19" t="str">
        <x:v>approved</x:v>
      </x:c>
      <x:c r="G4502" s="19" t="str">
        <x:v>Repairer Invoiced Processed</x:v>
      </x:c>
      <x:c r="H4502" s="19" t="str">
        <x:v>In Field</x:v>
      </x:c>
      <x:c r="I4502" s="37" t="n">
        <x:v>46155</x:v>
      </x:c>
      <x:c r="J4502" s="37" t="n">
        <x:v>46155</x:v>
      </x:c>
      <x:c r="K4502" s="19" t="str">
        <x:v>Regent RV - Perth</x:v>
      </x:c>
      <x:c r="L4502" s="19" t="str">
        <x:v>Z006</x:v>
      </x:c>
      <x:c r="M4502" s="19" t="str">
        <x:v>In Field Warranty Claims</x:v>
      </x:c>
      <x:c r="N4502" s="37" t="n">
        <x:v>46014</x:v>
      </x:c>
      <x:c r="O4502" s="37"/>
      <x:c r="P4502" s="34" t="n">
        <x:v>720.01</x:v>
      </x:c>
      <x:c r="Q4502" s="37" t="n">
        <x:v>46155.157858796294</x:v>
      </x:c>
    </x:row>
    <x:row r="4503">
      <x:c r="A4503" s="22" t="n">
        <x:v>29433</x:v>
      </x:c>
      <x:c r="B4503" s="28" t="n">
        <x:v>275</x:v>
      </x:c>
      <x:c r="C4503" s="28"/>
      <x:c r="D4503" s="31" t="str">
        <x:f>IF(OR(ISBLANK(B4503),ISBLANK(C4503),B4503=0),"",(C4503-B4503)/B4503)</x:f>
      </x:c>
      <x:c r="E4503" s="22" t="str">
        <x:f>IF(ISBLANK(C4503),"AmountIncludingTax缺失",IF(ABS(B4503-C4503)&lt;0.005,"一致","不一致"))</x:f>
        <x:v>AmountIncludingTax缺失</x:v>
      </x:c>
      <x:c r="F4503" s="19" t="str">
        <x:v>approved</x:v>
      </x:c>
      <x:c r="G4503" s="19" t="str">
        <x:v>Repair in Progress</x:v>
      </x:c>
      <x:c r="H4503" s="19" t="str">
        <x:v>Pre Delivery</x:v>
      </x:c>
      <x:c r="I4503" s="37" t="n">
        <x:v>46120</x:v>
      </x:c>
      <x:c r="J4503" s="37" t="n">
        <x:v>46120</x:v>
      </x:c>
      <x:c r="K4503" s="19" t="str">
        <x:v>Regent RV - Perth</x:v>
      </x:c>
      <x:c r="L4503" s="19" t="str">
        <x:v>Z005</x:v>
      </x:c>
      <x:c r="M4503" s="19" t="str">
        <x:v>Pre Delivery Warranty Claims</x:v>
      </x:c>
      <x:c r="N4503" s="37" t="n">
        <x:v>46014</x:v>
      </x:c>
      <x:c r="O4503" s="37"/>
      <x:c r="P4503" s="34" t="n">
        <x:v>0</x:v>
      </x:c>
      <x:c r="Q4503" s="37" t="n">
        <x:v>46119.970497685186</x:v>
      </x:c>
    </x:row>
    <x:row r="4504">
      <x:c r="A4504" s="22" t="n">
        <x:v>29432</x:v>
      </x:c>
      <x:c r="B4504" s="28" t="n">
        <x:v>607.5</x:v>
      </x:c>
      <x:c r="C4504" s="28"/>
      <x:c r="D4504" s="31" t="str">
        <x:f>IF(OR(ISBLANK(B4504),ISBLANK(C4504),B4504=0),"",(C4504-B4504)/B4504)</x:f>
      </x:c>
      <x:c r="E4504" s="22" t="str">
        <x:f>IF(ISBLANK(C4504),"AmountIncludingTax缺失",IF(ABS(B4504-C4504)&lt;0.005,"一致","不一致"))</x:f>
        <x:v>AmountIncludingTax缺失</x:v>
      </x:c>
      <x:c r="F4504" s="19" t="str">
        <x:v>approved</x:v>
      </x:c>
      <x:c r="G4504" s="19" t="str">
        <x:v>Repairer Invoiced Processed</x:v>
      </x:c>
      <x:c r="H4504" s="19" t="str">
        <x:v>In Field</x:v>
      </x:c>
      <x:c r="I4504" s="37" t="n">
        <x:v>46059</x:v>
      </x:c>
      <x:c r="J4504" s="37" t="n">
        <x:v>46059</x:v>
      </x:c>
      <x:c r="K4504" s="19" t="str">
        <x:v>Leisure Lion Pty Ltd - Toowoomba</x:v>
      </x:c>
      <x:c r="L4504" s="19" t="str">
        <x:v>Z006</x:v>
      </x:c>
      <x:c r="M4504" s="19" t="str">
        <x:v>In Field Warranty Claims</x:v>
      </x:c>
      <x:c r="N4504" s="37" t="n">
        <x:v>46014</x:v>
      </x:c>
      <x:c r="O4504" s="37"/>
      <x:c r="P4504" s="34" t="n">
        <x:v>0</x:v>
      </x:c>
      <x:c r="Q4504" s="37" t="n">
        <x:v>46058.947291666664</x:v>
      </x:c>
    </x:row>
    <x:row r="4505">
      <x:c r="A4505" s="22" t="n">
        <x:v>29431</x:v>
      </x:c>
      <x:c r="B4505" s="28" t="n">
        <x:v>82.5</x:v>
      </x:c>
      <x:c r="C4505" s="28"/>
      <x:c r="D4505" s="31" t="str">
        <x:f>IF(OR(ISBLANK(B4505),ISBLANK(C4505),B4505=0),"",(C4505-B4505)/B4505)</x:f>
      </x:c>
      <x:c r="E4505" s="22" t="str">
        <x:f>IF(ISBLANK(C4505),"AmountIncludingTax缺失",IF(ABS(B4505-C4505)&lt;0.005,"一致","不一致"))</x:f>
        <x:v>AmountIncludingTax缺失</x:v>
      </x:c>
      <x:c r="F4505" s="19" t="str">
        <x:v>approved</x:v>
      </x:c>
      <x:c r="G4505" s="19" t="str">
        <x:v>Sales Order Approved</x:v>
      </x:c>
      <x:c r="H4505" s="19" t="str">
        <x:v>Pre Delivery</x:v>
      </x:c>
      <x:c r="I4505" s="37" t="n">
        <x:v>46104</x:v>
      </x:c>
      <x:c r="J4505" s="37" t="n">
        <x:v>46104</x:v>
      </x:c>
      <x:c r="K4505" s="19" t="str">
        <x:v>Regent RV - Perth</x:v>
      </x:c>
      <x:c r="L4505" s="19" t="str">
        <x:v>Z005</x:v>
      </x:c>
      <x:c r="M4505" s="19" t="str">
        <x:v>Pre Delivery Warranty Claims</x:v>
      </x:c>
      <x:c r="N4505" s="37" t="n">
        <x:v>46014</x:v>
      </x:c>
      <x:c r="O4505" s="37"/>
      <x:c r="P4505" s="34" t="n">
        <x:v>0</x:v>
      </x:c>
      <x:c r="Q4505" s="37" t="n">
        <x:v>46104.13590277778</x:v>
      </x:c>
    </x:row>
    <x:row r="4506">
      <x:c r="A4506" s="22" t="n">
        <x:v>29430</x:v>
      </x:c>
      <x:c r="B4506" s="28" t="n">
        <x:v>313.75</x:v>
      </x:c>
      <x:c r="C4506" s="28"/>
      <x:c r="D4506" s="31" t="str">
        <x:f>IF(OR(ISBLANK(B4506),ISBLANK(C4506),B4506=0),"",(C4506-B4506)/B4506)</x:f>
      </x:c>
      <x:c r="E4506" s="22" t="str">
        <x:f>IF(ISBLANK(C4506),"AmountIncludingTax缺失",IF(ABS(B4506-C4506)&lt;0.005,"一致","不一致"))</x:f>
        <x:v>AmountIncludingTax缺失</x:v>
      </x:c>
      <x:c r="F4506" s="19" t="str">
        <x:v>approved</x:v>
      </x:c>
      <x:c r="G4506" s="19" t="str">
        <x:v>Repairer Invoiced Processed</x:v>
      </x:c>
      <x:c r="H4506" s="19" t="str">
        <x:v>In Field</x:v>
      </x:c>
      <x:c r="I4506" s="37" t="n">
        <x:v>46087</x:v>
      </x:c>
      <x:c r="J4506" s="37" t="n">
        <x:v>46087</x:v>
      </x:c>
      <x:c r="K4506" s="19" t="str">
        <x:v>Leisure Lion Pty Ltd - Morisset</x:v>
      </x:c>
      <x:c r="L4506" s="19" t="str">
        <x:v>Z006</x:v>
      </x:c>
      <x:c r="M4506" s="19" t="str">
        <x:v>In Field Warranty Claims</x:v>
      </x:c>
      <x:c r="N4506" s="37" t="n">
        <x:v>46015</x:v>
      </x:c>
      <x:c r="O4506" s="37"/>
      <x:c r="P4506" s="34" t="n">
        <x:v>0</x:v>
      </x:c>
      <x:c r="Q4506" s="37" t="n">
        <x:v>46087.10052083333</x:v>
      </x:c>
    </x:row>
    <x:row r="4507">
      <x:c r="A4507" s="22" t="n">
        <x:v>29429</x:v>
      </x:c>
      <x:c r="B4507" s="28" t="n">
        <x:v>2891.83</x:v>
      </x:c>
      <x:c r="C4507" s="28"/>
      <x:c r="D4507" s="31" t="str">
        <x:f>IF(OR(ISBLANK(B4507),ISBLANK(C4507),B4507=0),"",(C4507-B4507)/B4507)</x:f>
      </x:c>
      <x:c r="E4507" s="22" t="str">
        <x:f>IF(ISBLANK(C4507),"AmountIncludingTax缺失",IF(ABS(B4507-C4507)&lt;0.005,"一致","不一致"))</x:f>
        <x:v>AmountIncludingTax缺失</x:v>
      </x:c>
      <x:c r="F4507" s="19" t="str">
        <x:v>approved</x:v>
      </x:c>
      <x:c r="G4507" s="19" t="str">
        <x:v>Repairer Invoiced Processed</x:v>
      </x:c>
      <x:c r="H4507" s="19" t="str">
        <x:v>In Field</x:v>
      </x:c>
      <x:c r="I4507" s="37" t="n">
        <x:v>46079</x:v>
      </x:c>
      <x:c r="J4507" s="37" t="n">
        <x:v>46079</x:v>
      </x:c>
      <x:c r="K4507" s="19" t="str">
        <x:v>Green RV - Slacks Creek</x:v>
      </x:c>
      <x:c r="L4507" s="19" t="str">
        <x:v>Z006</x:v>
      </x:c>
      <x:c r="M4507" s="19" t="str">
        <x:v>In Field Warranty Claims</x:v>
      </x:c>
      <x:c r="N4507" s="37" t="n">
        <x:v>46014</x:v>
      </x:c>
      <x:c r="O4507" s="37"/>
      <x:c r="P4507" s="34" t="n">
        <x:v>3181.01</x:v>
      </x:c>
      <x:c r="Q4507" s="37" t="n">
        <x:v>46079.18646990741</x:v>
      </x:c>
    </x:row>
    <x:row r="4508">
      <x:c r="A4508" s="22" t="n">
        <x:v>29428</x:v>
      </x:c>
      <x:c r="B4508" s="28" t="n">
        <x:v>688.05</x:v>
      </x:c>
      <x:c r="C4508" s="28" t="n">
        <x:v>623.01</x:v>
      </x:c>
      <x:c r="D4508" s="31" t="n">
        <x:f>IF(OR(ISBLANK(B4508),ISBLANK(C4508),B4508=0),"",(C4508-B4508)/B4508)</x:f>
        <x:v>-0.09452801395247434</x:v>
      </x:c>
      <x:c r="E4508" s="22" t="str">
        <x:f>IF(ISBLANK(C4508),"AmountIncludingTax缺失",IF(ABS(B4508-C4508)&lt;0.005,"一致","不一致"))</x:f>
        <x:v>不一致</x:v>
      </x:c>
      <x:c r="F4508" s="19" t="str">
        <x:v>approved</x:v>
      </x:c>
      <x:c r="G4508" s="19" t="str">
        <x:v>Repairer Invoiced Processed</x:v>
      </x:c>
      <x:c r="H4508" s="19" t="str">
        <x:v>In Field</x:v>
      </x:c>
      <x:c r="I4508" s="37" t="n">
        <x:v>46041</x:v>
      </x:c>
      <x:c r="J4508" s="37" t="n">
        <x:v>46041</x:v>
      </x:c>
      <x:c r="K4508" s="19" t="str">
        <x:v>CMG Campers - Christchurch</x:v>
      </x:c>
      <x:c r="L4508" s="19" t="str">
        <x:v>Z006</x:v>
      </x:c>
      <x:c r="M4508" s="19" t="str">
        <x:v>In Field Warranty Claims</x:v>
      </x:c>
      <x:c r="N4508" s="37" t="n">
        <x:v>46014</x:v>
      </x:c>
      <x:c r="O4508" s="37"/>
      <x:c r="P4508" s="34" t="n">
        <x:v>623.01</x:v>
      </x:c>
      <x:c r="Q4508" s="37" t="n">
        <x:v>46041.01184027778</x:v>
      </x:c>
    </x:row>
    <x:row r="4509">
      <x:c r="A4509" s="22" t="n">
        <x:v>29427</x:v>
      </x:c>
      <x:c r="B4509" s="28" t="n">
        <x:v>708.75</x:v>
      </x:c>
      <x:c r="C4509" s="28"/>
      <x:c r="D4509" s="31" t="str">
        <x:f>IF(OR(ISBLANK(B4509),ISBLANK(C4509),B4509=0),"",(C4509-B4509)/B4509)</x:f>
      </x:c>
      <x:c r="E4509" s="22" t="str">
        <x:f>IF(ISBLANK(C4509),"AmountIncludingTax缺失",IF(ABS(B4509-C4509)&lt;0.005,"一致","不一致"))</x:f>
        <x:v>AmountIncludingTax缺失</x:v>
      </x:c>
      <x:c r="F4509" s="19" t="str">
        <x:v>approved</x:v>
      </x:c>
      <x:c r="G4509" s="19" t="str">
        <x:v>Repair in Progress</x:v>
      </x:c>
      <x:c r="H4509" s="19" t="str">
        <x:v>In Field</x:v>
      </x:c>
      <x:c r="I4509" s="37" t="n">
        <x:v>46101</x:v>
      </x:c>
      <x:c r="J4509" s="37" t="n">
        <x:v>46101</x:v>
      </x:c>
      <x:c r="K4509" s="19" t="str">
        <x:v>Newcastle RV Super Centre - Beresfield</x:v>
      </x:c>
      <x:c r="L4509" s="19" t="str">
        <x:v>Z006</x:v>
      </x:c>
      <x:c r="M4509" s="19" t="str">
        <x:v>In Field Warranty Claims</x:v>
      </x:c>
      <x:c r="N4509" s="37" t="n">
        <x:v>46014</x:v>
      </x:c>
      <x:c r="O4509" s="37"/>
      <x:c r="P4509" s="34" t="n">
        <x:v>0</x:v>
      </x:c>
      <x:c r="Q4509" s="37" t="n">
        <x:v>46101.528703703705</x:v>
      </x:c>
    </x:row>
    <x:row r="4510">
      <x:c r="A4510" s="22" t="n">
        <x:v>29426</x:v>
      </x:c>
      <x:c r="B4510" s="28" t="n">
        <x:v>1038.75</x:v>
      </x:c>
      <x:c r="C4510" s="28"/>
      <x:c r="D4510" s="31" t="str">
        <x:f>IF(OR(ISBLANK(B4510),ISBLANK(C4510),B4510=0),"",(C4510-B4510)/B4510)</x:f>
      </x:c>
      <x:c r="E4510" s="22" t="str">
        <x:f>IF(ISBLANK(C4510),"AmountIncludingTax缺失",IF(ABS(B4510-C4510)&lt;0.005,"一致","不一致"))</x:f>
        <x:v>AmountIncludingTax缺失</x:v>
      </x:c>
      <x:c r="F4510" s="19" t="str">
        <x:v>approved</x:v>
      </x:c>
      <x:c r="G4510" s="19" t="str">
        <x:v>Repair in Progress</x:v>
      </x:c>
      <x:c r="H4510" s="19" t="str">
        <x:v>In Field</x:v>
      </x:c>
      <x:c r="I4510" s="37" t="n">
        <x:v>46167</x:v>
      </x:c>
      <x:c r="J4510" s="37" t="n">
        <x:v>46167</x:v>
      </x:c>
      <x:c r="K4510" s="19" t="str">
        <x:v>Regent RV - Perth</x:v>
      </x:c>
      <x:c r="L4510" s="19" t="str">
        <x:v>Z006</x:v>
      </x:c>
      <x:c r="M4510" s="19" t="str">
        <x:v>In Field Warranty Claims</x:v>
      </x:c>
      <x:c r="N4510" s="37" t="n">
        <x:v>46014</x:v>
      </x:c>
      <x:c r="O4510" s="37" t="n">
        <x:v>46153</x:v>
      </x:c>
      <x:c r="P4510" s="34" t="n">
        <x:v>0</x:v>
      </x:c>
      <x:c r="Q4510" s="37" t="n">
        <x:v>46167.22773148148</x:v>
      </x:c>
    </x:row>
    <x:row r="4511">
      <x:c r="A4511" s="22" t="n">
        <x:v>29425</x:v>
      </x:c>
      <x:c r="B4511" s="28" t="n">
        <x:v>540</x:v>
      </x:c>
      <x:c r="C4511" s="28"/>
      <x:c r="D4511" s="31" t="str">
        <x:f>IF(OR(ISBLANK(B4511),ISBLANK(C4511),B4511=0),"",(C4511-B4511)/B4511)</x:f>
      </x:c>
      <x:c r="E4511" s="22" t="str">
        <x:f>IF(ISBLANK(C4511),"AmountIncludingTax缺失",IF(ABS(B4511-C4511)&lt;0.005,"一致","不一致"))</x:f>
        <x:v>AmountIncludingTax缺失</x:v>
      </x:c>
      <x:c r="F4511" s="19" t="str">
        <x:v>approved</x:v>
      </x:c>
      <x:c r="G4511" s="19" t="str">
        <x:v>Repair in Progress</x:v>
      </x:c>
      <x:c r="H4511" s="19" t="str">
        <x:v>In Field</x:v>
      </x:c>
      <x:c r="I4511" s="37" t="n">
        <x:v>46107</x:v>
      </x:c>
      <x:c r="J4511" s="37" t="n">
        <x:v>46107</x:v>
      </x:c>
      <x:c r="K4511" s="19" t="str">
        <x:v>Regent RV - Perth</x:v>
      </x:c>
      <x:c r="L4511" s="19" t="str">
        <x:v>Z006</x:v>
      </x:c>
      <x:c r="M4511" s="19" t="str">
        <x:v>In Field Warranty Claims</x:v>
      </x:c>
      <x:c r="N4511" s="37" t="n">
        <x:v>46014</x:v>
      </x:c>
      <x:c r="O4511" s="37"/>
      <x:c r="P4511" s="34" t="n">
        <x:v>0</x:v>
      </x:c>
      <x:c r="Q4511" s="37" t="n">
        <x:v>46107.01740740741</x:v>
      </x:c>
    </x:row>
    <x:row r="4512">
      <x:c r="A4512" s="22" t="n">
        <x:v>29423</x:v>
      </x:c>
      <x:c r="B4512" s="28" t="n">
        <x:v>330</x:v>
      </x:c>
      <x:c r="C4512" s="28"/>
      <x:c r="D4512" s="31" t="str">
        <x:f>IF(OR(ISBLANK(B4512),ISBLANK(C4512),B4512=0),"",(C4512-B4512)/B4512)</x:f>
      </x:c>
      <x:c r="E4512" s="22" t="str">
        <x:f>IF(ISBLANK(C4512),"AmountIncludingTax缺失",IF(ABS(B4512-C4512)&lt;0.005,"一致","不一致"))</x:f>
        <x:v>AmountIncludingTax缺失</x:v>
      </x:c>
      <x:c r="F4512" s="19" t="str">
        <x:v>approved</x:v>
      </x:c>
      <x:c r="G4512" s="19" t="str">
        <x:v>Sales Order Approved</x:v>
      </x:c>
      <x:c r="H4512" s="19" t="str">
        <x:v>Pre Delivery</x:v>
      </x:c>
      <x:c r="I4512" s="37" t="n">
        <x:v>46104</x:v>
      </x:c>
      <x:c r="J4512" s="37" t="n">
        <x:v>46104</x:v>
      </x:c>
      <x:c r="K4512" s="19" t="str">
        <x:v>Regent RV - Perth</x:v>
      </x:c>
      <x:c r="L4512" s="19" t="str">
        <x:v>Z005</x:v>
      </x:c>
      <x:c r="M4512" s="19" t="str">
        <x:v>Pre Delivery Warranty Claims</x:v>
      </x:c>
      <x:c r="N4512" s="37" t="n">
        <x:v>46014</x:v>
      </x:c>
      <x:c r="O4512" s="37"/>
      <x:c r="P4512" s="34" t="n">
        <x:v>0</x:v>
      </x:c>
      <x:c r="Q4512" s="37" t="n">
        <x:v>46104.1391087963</x:v>
      </x:c>
    </x:row>
    <x:row r="4513">
      <x:c r="A4513" s="22" t="n">
        <x:v>29421</x:v>
      </x:c>
      <x:c r="B4513" s="28" t="n">
        <x:v>135</x:v>
      </x:c>
      <x:c r="C4513" s="28"/>
      <x:c r="D4513" s="31" t="str">
        <x:f>IF(OR(ISBLANK(B4513),ISBLANK(C4513),B4513=0),"",(C4513-B4513)/B4513)</x:f>
      </x:c>
      <x:c r="E4513" s="22" t="str">
        <x:f>IF(ISBLANK(C4513),"AmountIncludingTax缺失",IF(ABS(B4513-C4513)&lt;0.005,"一致","不一致"))</x:f>
        <x:v>AmountIncludingTax缺失</x:v>
      </x:c>
      <x:c r="F4513" s="19" t="str">
        <x:v>approved</x:v>
      </x:c>
      <x:c r="G4513" s="19" t="str">
        <x:v>Repairer Invoiced Processed</x:v>
      </x:c>
      <x:c r="H4513" s="19" t="str">
        <x:v>In Field</x:v>
      </x:c>
      <x:c r="I4513" s="37" t="n">
        <x:v>46071</x:v>
      </x:c>
      <x:c r="J4513" s="37" t="n">
        <x:v>46071</x:v>
      </x:c>
      <x:c r="K4513" s="19" t="str">
        <x:v>Snowy River Launceston</x:v>
      </x:c>
      <x:c r="L4513" s="19" t="str">
        <x:v>Z006</x:v>
      </x:c>
      <x:c r="M4513" s="19" t="str">
        <x:v>In Field Warranty Claims</x:v>
      </x:c>
      <x:c r="N4513" s="37" t="n">
        <x:v>46014</x:v>
      </x:c>
      <x:c r="O4513" s="37"/>
      <x:c r="P4513" s="34" t="n">
        <x:v>0</x:v>
      </x:c>
      <x:c r="Q4513" s="37" t="n">
        <x:v>46070.98653935185</x:v>
      </x:c>
    </x:row>
    <x:row r="4514">
      <x:c r="A4514" s="22" t="n">
        <x:v>29420</x:v>
      </x:c>
      <x:c r="B4514" s="28" t="n">
        <x:v>954.55</x:v>
      </x:c>
      <x:c r="C4514" s="28"/>
      <x:c r="D4514" s="31" t="str">
        <x:f>IF(OR(ISBLANK(B4514),ISBLANK(C4514),B4514=0),"",(C4514-B4514)/B4514)</x:f>
      </x:c>
      <x:c r="E4514" s="22" t="str">
        <x:f>IF(ISBLANK(C4514),"AmountIncludingTax缺失",IF(ABS(B4514-C4514)&lt;0.005,"一致","不一致"))</x:f>
        <x:v>AmountIncludingTax缺失</x:v>
      </x:c>
      <x:c r="F4514" s="19" t="str">
        <x:v>approved</x:v>
      </x:c>
      <x:c r="G4514" s="19" t="str">
        <x:v>Repairer Invoiced Processed</x:v>
      </x:c>
      <x:c r="H4514" s="19" t="str">
        <x:v>In Field</x:v>
      </x:c>
      <x:c r="I4514" s="37" t="n">
        <x:v>46153</x:v>
      </x:c>
      <x:c r="J4514" s="37" t="n">
        <x:v>46153</x:v>
      </x:c>
      <x:c r="K4514" s="19" t="str">
        <x:v>The Caravan Hub - Townsville</x:v>
      </x:c>
      <x:c r="L4514" s="19" t="str">
        <x:v>Z006</x:v>
      </x:c>
      <x:c r="M4514" s="19" t="str">
        <x:v>In Field Warranty Claims</x:v>
      </x:c>
      <x:c r="N4514" s="37" t="n">
        <x:v>46014</x:v>
      </x:c>
      <x:c r="O4514" s="37"/>
      <x:c r="P4514" s="34" t="n">
        <x:v>1050.01</x:v>
      </x:c>
      <x:c r="Q4514" s="37" t="n">
        <x:v>46152.976851851854</x:v>
      </x:c>
    </x:row>
    <x:row r="4515">
      <x:c r="A4515" s="22" t="n">
        <x:v>29419</x:v>
      </x:c>
      <x:c r="B4515" s="28" t="n">
        <x:v>337.5</x:v>
      </x:c>
      <x:c r="C4515" s="28"/>
      <x:c r="D4515" s="31" t="str">
        <x:f>IF(OR(ISBLANK(B4515),ISBLANK(C4515),B4515=0),"",(C4515-B4515)/B4515)</x:f>
      </x:c>
      <x:c r="E4515" s="22" t="str">
        <x:f>IF(ISBLANK(C4515),"AmountIncludingTax缺失",IF(ABS(B4515-C4515)&lt;0.005,"一致","不一致"))</x:f>
        <x:v>AmountIncludingTax缺失</x:v>
      </x:c>
      <x:c r="F4515" s="19" t="str">
        <x:v>approved</x:v>
      </x:c>
      <x:c r="G4515" s="19" t="str">
        <x:v>Repair in Progress</x:v>
      </x:c>
      <x:c r="H4515" s="19" t="str">
        <x:v>In Field</x:v>
      </x:c>
      <x:c r="I4515" s="37" t="n">
        <x:v>46122</x:v>
      </x:c>
      <x:c r="J4515" s="37" t="n">
        <x:v>46111</x:v>
      </x:c>
      <x:c r="K4515" s="19" t="str">
        <x:v>Sherrif Caravans &amp; Traliers - Prospect Vale</x:v>
      </x:c>
      <x:c r="L4515" s="19" t="str">
        <x:v>Z006</x:v>
      </x:c>
      <x:c r="M4515" s="19" t="str">
        <x:v>In Field Warranty Claims</x:v>
      </x:c>
      <x:c r="N4515" s="37" t="n">
        <x:v>46014</x:v>
      </x:c>
      <x:c r="O4515" s="37"/>
      <x:c r="P4515" s="34" t="n">
        <x:v>0</x:v>
      </x:c>
      <x:c r="Q4515" s="37" t="n">
        <x:v>46122.19431712963</x:v>
      </x:c>
    </x:row>
    <x:row r="4516">
      <x:c r="A4516" s="22" t="n">
        <x:v>29417</x:v>
      </x:c>
      <x:c r="B4516" s="28" t="n">
        <x:v>206.5</x:v>
      </x:c>
      <x:c r="C4516" s="28"/>
      <x:c r="D4516" s="31" t="str">
        <x:f>IF(OR(ISBLANK(B4516),ISBLANK(C4516),B4516=0),"",(C4516-B4516)/B4516)</x:f>
      </x:c>
      <x:c r="E4516" s="22" t="str">
        <x:f>IF(ISBLANK(C4516),"AmountIncludingTax缺失",IF(ABS(B4516-C4516)&lt;0.005,"一致","不一致"))</x:f>
        <x:v>AmountIncludingTax缺失</x:v>
      </x:c>
      <x:c r="F4516" s="19" t="str">
        <x:v>approved</x:v>
      </x:c>
      <x:c r="G4516" s="19" t="str">
        <x:v>Repairer Invoiced Processed</x:v>
      </x:c>
      <x:c r="H4516" s="19" t="str">
        <x:v>In Field</x:v>
      </x:c>
      <x:c r="I4516" s="37" t="n">
        <x:v>46076</x:v>
      </x:c>
      <x:c r="J4516" s="37" t="n">
        <x:v>46076</x:v>
      </x:c>
      <x:c r="K4516" s="19" t="str">
        <x:v>Regent RV - Toowoomba</x:v>
      </x:c>
      <x:c r="L4516" s="19" t="str">
        <x:v>Z006</x:v>
      </x:c>
      <x:c r="M4516" s="19" t="str">
        <x:v>In Field Warranty Claims</x:v>
      </x:c>
      <x:c r="N4516" s="37" t="n">
        <x:v>46014</x:v>
      </x:c>
      <x:c r="O4516" s="37"/>
      <x:c r="P4516" s="34" t="n">
        <x:v>0</x:v>
      </x:c>
      <x:c r="Q4516" s="37" t="n">
        <x:v>46075.93976851852</x:v>
      </x:c>
    </x:row>
    <x:row r="4517">
      <x:c r="A4517" s="22" t="n">
        <x:v>29413</x:v>
      </x:c>
      <x:c r="B4517" s="28" t="n">
        <x:v>1158.05</x:v>
      </x:c>
      <x:c r="C4517" s="28"/>
      <x:c r="D4517" s="31" t="str">
        <x:f>IF(OR(ISBLANK(B4517),ISBLANK(C4517),B4517=0),"",(C4517-B4517)/B4517)</x:f>
      </x:c>
      <x:c r="E4517" s="22" t="str">
        <x:f>IF(ISBLANK(C4517),"AmountIncludingTax缺失",IF(ABS(B4517-C4517)&lt;0.005,"一致","不一致"))</x:f>
        <x:v>AmountIncludingTax缺失</x:v>
      </x:c>
      <x:c r="F4517" s="19" t="str">
        <x:v>approved</x:v>
      </x:c>
      <x:c r="G4517" s="19" t="str">
        <x:v>Repairer Invoiced Processed</x:v>
      </x:c>
      <x:c r="H4517" s="19" t="str">
        <x:v>Pre Delivery</x:v>
      </x:c>
      <x:c r="I4517" s="37" t="n">
        <x:v>46111</x:v>
      </x:c>
      <x:c r="J4517" s="37" t="n">
        <x:v>46111</x:v>
      </x:c>
      <x:c r="K4517" s="19" t="str">
        <x:v>Lesiure Lion-New Castle</x:v>
      </x:c>
      <x:c r="L4517" s="19" t="str">
        <x:v>Z005</x:v>
      </x:c>
      <x:c r="M4517" s="19" t="str">
        <x:v>Pre Delivery Warranty Claims</x:v>
      </x:c>
      <x:c r="N4517" s="37" t="n">
        <x:v>46014</x:v>
      </x:c>
      <x:c r="O4517" s="37"/>
      <x:c r="P4517" s="34" t="n">
        <x:v>1273.86</x:v>
      </x:c>
      <x:c r="Q4517" s="37" t="n">
        <x:v>46111.17784722222</x:v>
      </x:c>
    </x:row>
    <x:row r="4518">
      <x:c r="A4518" s="22" t="n">
        <x:v>29412</x:v>
      </x:c>
      <x:c r="B4518" s="28" t="n">
        <x:v>275</x:v>
      </x:c>
      <x:c r="C4518" s="28"/>
      <x:c r="D4518" s="31" t="str">
        <x:f>IF(OR(ISBLANK(B4518),ISBLANK(C4518),B4518=0),"",(C4518-B4518)/B4518)</x:f>
      </x:c>
      <x:c r="E4518" s="22" t="str">
        <x:f>IF(ISBLANK(C4518),"AmountIncludingTax缺失",IF(ABS(B4518-C4518)&lt;0.005,"一致","不一致"))</x:f>
        <x:v>AmountIncludingTax缺失</x:v>
      </x:c>
      <x:c r="F4518" s="19" t="str">
        <x:v>approved</x:v>
      </x:c>
      <x:c r="G4518" s="19" t="str">
        <x:v>Sales Order Approved</x:v>
      </x:c>
      <x:c r="H4518" s="19" t="str">
        <x:v>Pre Delivery</x:v>
      </x:c>
      <x:c r="I4518" s="37" t="n">
        <x:v>46160</x:v>
      </x:c>
      <x:c r="J4518" s="37" t="n">
        <x:v>46160</x:v>
      </x:c>
      <x:c r="K4518" s="19" t="str">
        <x:v>Regent RV - Perth</x:v>
      </x:c>
      <x:c r="L4518" s="19" t="str">
        <x:v>Z005</x:v>
      </x:c>
      <x:c r="M4518" s="19" t="str">
        <x:v>Pre Delivery Warranty Claims</x:v>
      </x:c>
      <x:c r="N4518" s="37" t="n">
        <x:v>46014</x:v>
      </x:c>
      <x:c r="O4518" s="37"/>
      <x:c r="P4518" s="34" t="n">
        <x:v>0</x:v>
      </x:c>
      <x:c r="Q4518" s="37" t="n">
        <x:v>46159.95576388889</x:v>
      </x:c>
    </x:row>
    <x:row r="4519">
      <x:c r="A4519" s="22" t="n">
        <x:v>29411</x:v>
      </x:c>
      <x:c r="B4519" s="28" t="n">
        <x:v>1080</x:v>
      </x:c>
      <x:c r="C4519" s="28"/>
      <x:c r="D4519" s="31" t="str">
        <x:f>IF(OR(ISBLANK(B4519),ISBLANK(C4519),B4519=0),"",(C4519-B4519)/B4519)</x:f>
      </x:c>
      <x:c r="E4519" s="22" t="str">
        <x:f>IF(ISBLANK(C4519),"AmountIncludingTax缺失",IF(ABS(B4519-C4519)&lt;0.005,"一致","不一致"))</x:f>
        <x:v>AmountIncludingTax缺失</x:v>
      </x:c>
      <x:c r="F4519" s="19" t="str">
        <x:v>approved</x:v>
      </x:c>
      <x:c r="G4519" s="19" t="str">
        <x:v>Repair in Progress</x:v>
      </x:c>
      <x:c r="H4519" s="19" t="str">
        <x:v>In Field</x:v>
      </x:c>
      <x:c r="I4519" s="37" t="n">
        <x:v>46101</x:v>
      </x:c>
      <x:c r="J4519" s="37" t="n">
        <x:v>46101</x:v>
      </x:c>
      <x:c r="K4519" s="19" t="str">
        <x:v>Regent RV Pty Ltd</x:v>
      </x:c>
      <x:c r="L4519" s="19" t="str">
        <x:v>Z006</x:v>
      </x:c>
      <x:c r="M4519" s="19" t="str">
        <x:v>In Field Warranty Claims</x:v>
      </x:c>
      <x:c r="N4519" s="37" t="n">
        <x:v>46014</x:v>
      </x:c>
      <x:c r="O4519" s="37"/>
      <x:c r="P4519" s="34" t="n">
        <x:v>0</x:v>
      </x:c>
      <x:c r="Q4519" s="37" t="n">
        <x:v>46101.52957175926</x:v>
      </x:c>
    </x:row>
    <x:row r="4520">
      <x:c r="A4520" s="22" t="n">
        <x:v>29410</x:v>
      </x:c>
      <x:c r="B4520" s="28" t="n">
        <x:v>476</x:v>
      </x:c>
      <x:c r="C4520" s="28" t="n">
        <x:v>523.6</x:v>
      </x:c>
      <x:c r="D4520" s="31" t="n">
        <x:f>IF(OR(ISBLANK(B4520),ISBLANK(C4520),B4520=0),"",(C4520-B4520)/B4520)</x:f>
        <x:v>0.10000000000000005</x:v>
      </x:c>
      <x:c r="E4520" s="22" t="str">
        <x:f>IF(ISBLANK(C4520),"AmountIncludingTax缺失",IF(ABS(B4520-C4520)&lt;0.005,"一致","不一致"))</x:f>
        <x:v>不一致</x:v>
      </x:c>
      <x:c r="F4520" s="19" t="str">
        <x:v>approved</x:v>
      </x:c>
      <x:c r="G4520" s="19" t="str">
        <x:v>Repairer Invoiced Processed</x:v>
      </x:c>
      <x:c r="H4520" s="19" t="str">
        <x:v>In Field</x:v>
      </x:c>
      <x:c r="I4520" s="37" t="n">
        <x:v>46100</x:v>
      </x:c>
      <x:c r="J4520" s="37" t="n">
        <x:v>46100</x:v>
      </x:c>
      <x:c r="K4520" s="19" t="str">
        <x:v>Regent RV - Townsville</x:v>
      </x:c>
      <x:c r="L4520" s="19" t="str">
        <x:v>Z006</x:v>
      </x:c>
      <x:c r="M4520" s="19" t="str">
        <x:v>In Field Warranty Claims</x:v>
      </x:c>
      <x:c r="N4520" s="37" t="n">
        <x:v>46014</x:v>
      </x:c>
      <x:c r="O4520" s="37"/>
      <x:c r="P4520" s="34" t="n">
        <x:v>523.6</x:v>
      </x:c>
      <x:c r="Q4520" s="37" t="n">
        <x:v>46100.369479166664</x:v>
      </x:c>
    </x:row>
    <x:row r="4521">
      <x:c r="A4521" s="22" t="n">
        <x:v>29408</x:v>
      </x:c>
      <x:c r="B4521" s="28" t="n">
        <x:v>122.73</x:v>
      </x:c>
      <x:c r="C4521" s="28"/>
      <x:c r="D4521" s="31" t="str">
        <x:f>IF(OR(ISBLANK(B4521),ISBLANK(C4521),B4521=0),"",(C4521-B4521)/B4521)</x:f>
      </x:c>
      <x:c r="E4521" s="22" t="str">
        <x:f>IF(ISBLANK(C4521),"AmountIncludingTax缺失",IF(ABS(B4521-C4521)&lt;0.005,"一致","不一致"))</x:f>
        <x:v>AmountIncludingTax缺失</x:v>
      </x:c>
      <x:c r="F4521" s="19" t="str">
        <x:v>approved</x:v>
      </x:c>
      <x:c r="G4521" s="19" t="str">
        <x:v>Repairer Invoiced Processed</x:v>
      </x:c>
      <x:c r="H4521" s="19" t="str">
        <x:v>In Field</x:v>
      </x:c>
      <x:c r="I4521" s="37" t="n">
        <x:v>46112</x:v>
      </x:c>
      <x:c r="J4521" s="37" t="n">
        <x:v>46049</x:v>
      </x:c>
      <x:c r="K4521" s="19" t="str">
        <x:v>Green RV - Forest Glen</x:v>
      </x:c>
      <x:c r="L4521" s="19" t="str">
        <x:v>Z006</x:v>
      </x:c>
      <x:c r="M4521" s="19" t="str">
        <x:v>In Field Warranty Claims</x:v>
      </x:c>
      <x:c r="N4521" s="37" t="n">
        <x:v>46014</x:v>
      </x:c>
      <x:c r="O4521" s="37"/>
      <x:c r="P4521" s="34" t="n">
        <x:v>0</x:v>
      </x:c>
      <x:c r="Q4521" s="37" t="n">
        <x:v>46112.24285879629</x:v>
      </x:c>
    </x:row>
    <x:row r="4522">
      <x:c r="A4522" s="22" t="n">
        <x:v>29407</x:v>
      </x:c>
      <x:c r="B4522" s="28" t="n">
        <x:v>145</x:v>
      </x:c>
      <x:c r="C4522" s="28"/>
      <x:c r="D4522" s="31" t="str">
        <x:f>IF(OR(ISBLANK(B4522),ISBLANK(C4522),B4522=0),"",(C4522-B4522)/B4522)</x:f>
      </x:c>
      <x:c r="E4522" s="22" t="str">
        <x:f>IF(ISBLANK(C4522),"AmountIncludingTax缺失",IF(ABS(B4522-C4522)&lt;0.005,"一致","不一致"))</x:f>
        <x:v>AmountIncludingTax缺失</x:v>
      </x:c>
      <x:c r="F4522" s="19" t="str">
        <x:v>approved</x:v>
      </x:c>
      <x:c r="G4522" s="19" t="str">
        <x:v>Repairer Invoiced Processed</x:v>
      </x:c>
      <x:c r="H4522" s="19" t="str">
        <x:v>In Field</x:v>
      </x:c>
      <x:c r="I4522" s="37" t="n">
        <x:v>46076</x:v>
      </x:c>
      <x:c r="J4522" s="37" t="n">
        <x:v>46076</x:v>
      </x:c>
      <x:c r="K4522" s="19" t="str">
        <x:v>Leisure Lion Pty Ltd - Morisset</x:v>
      </x:c>
      <x:c r="L4522" s="19" t="str">
        <x:v>Z006</x:v>
      </x:c>
      <x:c r="M4522" s="19" t="str">
        <x:v>In Field Warranty Claims</x:v>
      </x:c>
      <x:c r="N4522" s="37" t="n">
        <x:v>46014</x:v>
      </x:c>
      <x:c r="O4522" s="37"/>
      <x:c r="P4522" s="34" t="n">
        <x:v>0</x:v>
      </x:c>
      <x:c r="Q4522" s="37" t="n">
        <x:v>46076.17959490741</x:v>
      </x:c>
    </x:row>
    <x:row r="4523">
      <x:c r="A4523" s="22" t="n">
        <x:v>29402</x:v>
      </x:c>
      <x:c r="B4523" s="28" t="n">
        <x:v>607.5</x:v>
      </x:c>
      <x:c r="C4523" s="28" t="n">
        <x:v>773.96</x:v>
      </x:c>
      <x:c r="D4523" s="31" t="n">
        <x:f>IF(OR(ISBLANK(B4523),ISBLANK(C4523),B4523=0),"",(C4523-B4523)/B4523)</x:f>
        <x:v>0.274008230452675</x:v>
      </x:c>
      <x:c r="E4523" s="22" t="str">
        <x:f>IF(ISBLANK(C4523),"AmountIncludingTax缺失",IF(ABS(B4523-C4523)&lt;0.005,"一致","不一致"))</x:f>
        <x:v>不一致</x:v>
      </x:c>
      <x:c r="F4523" s="19" t="str">
        <x:v>approved</x:v>
      </x:c>
      <x:c r="G4523" s="19" t="str">
        <x:v>Repair in Progress</x:v>
      </x:c>
      <x:c r="H4523" s="19" t="str">
        <x:v>In Field</x:v>
      </x:c>
      <x:c r="I4523" s="37" t="n">
        <x:v>46062</x:v>
      </x:c>
      <x:c r="J4523" s="37" t="n">
        <x:v>46062</x:v>
      </x:c>
      <x:c r="K4523" s="19" t="str">
        <x:v>Regent RV - Frankston</x:v>
      </x:c>
      <x:c r="L4523" s="19" t="str">
        <x:v>Z006</x:v>
      </x:c>
      <x:c r="M4523" s="19" t="str">
        <x:v>In Field Warranty Claims</x:v>
      </x:c>
      <x:c r="N4523" s="37" t="n">
        <x:v>46013</x:v>
      </x:c>
      <x:c r="O4523" s="37"/>
      <x:c r="P4523" s="34" t="n">
        <x:v>773.96</x:v>
      </x:c>
      <x:c r="Q4523" s="37" t="n">
        <x:v>46061.97773148148</x:v>
      </x:c>
    </x:row>
    <x:row r="4524">
      <x:c r="A4524" s="22" t="n">
        <x:v>29401</x:v>
      </x:c>
      <x:c r="B4524" s="28" t="n">
        <x:v>234.1</x:v>
      </x:c>
      <x:c r="C4524" s="28"/>
      <x:c r="D4524" s="31" t="str">
        <x:f>IF(OR(ISBLANK(B4524),ISBLANK(C4524),B4524=0),"",(C4524-B4524)/B4524)</x:f>
      </x:c>
      <x:c r="E4524" s="22" t="str">
        <x:f>IF(ISBLANK(C4524),"AmountIncludingTax缺失",IF(ABS(B4524-C4524)&lt;0.005,"一致","不一致"))</x:f>
        <x:v>AmountIncludingTax缺失</x:v>
      </x:c>
      <x:c r="F4524" s="19" t="str">
        <x:v>approved</x:v>
      </x:c>
      <x:c r="G4524" s="19" t="str">
        <x:v>Repairer Invoiced Processed</x:v>
      </x:c>
      <x:c r="H4524" s="19" t="str">
        <x:v>In Field</x:v>
      </x:c>
      <x:c r="I4524" s="37" t="n">
        <x:v>46052</x:v>
      </x:c>
      <x:c r="J4524" s="37" t="n">
        <x:v>46052</x:v>
      </x:c>
      <x:c r="K4524" s="19" t="str">
        <x:v>Green RV - Forest Glen</x:v>
      </x:c>
      <x:c r="L4524" s="19" t="str">
        <x:v>Z006</x:v>
      </x:c>
      <x:c r="M4524" s="19" t="str">
        <x:v>In Field Warranty Claims</x:v>
      </x:c>
      <x:c r="N4524" s="37" t="n">
        <x:v>46013</x:v>
      </x:c>
      <x:c r="O4524" s="37"/>
      <x:c r="P4524" s="34" t="n">
        <x:v>0</x:v>
      </x:c>
      <x:c r="Q4524" s="37" t="n">
        <x:v>46052.13377314815</x:v>
      </x:c>
    </x:row>
    <x:row r="4525">
      <x:c r="A4525" s="22" t="n">
        <x:v>29399</x:v>
      </x:c>
      <x:c r="B4525" s="28" t="n">
        <x:v>220</x:v>
      </x:c>
      <x:c r="C4525" s="28"/>
      <x:c r="D4525" s="31" t="str">
        <x:f>IF(OR(ISBLANK(B4525),ISBLANK(C4525),B4525=0),"",(C4525-B4525)/B4525)</x:f>
      </x:c>
      <x:c r="E4525" s="22" t="str">
        <x:f>IF(ISBLANK(C4525),"AmountIncludingTax缺失",IF(ABS(B4525-C4525)&lt;0.005,"一致","不一致"))</x:f>
        <x:v>AmountIncludingTax缺失</x:v>
      </x:c>
      <x:c r="F4525" s="19" t="str">
        <x:v>approved</x:v>
      </x:c>
      <x:c r="G4525" s="19" t="str">
        <x:v>Repair in Progress</x:v>
      </x:c>
      <x:c r="H4525" s="19" t="str">
        <x:v>In Field</x:v>
      </x:c>
      <x:c r="I4525" s="37" t="n">
        <x:v>46036</x:v>
      </x:c>
      <x:c r="J4525" s="37" t="n">
        <x:v>46036</x:v>
      </x:c>
      <x:c r="K4525" s="19" t="str">
        <x:v>Regent RV - Perth</x:v>
      </x:c>
      <x:c r="L4525" s="19" t="str">
        <x:v>Z006</x:v>
      </x:c>
      <x:c r="M4525" s="19" t="str">
        <x:v>In Field Warranty Claims</x:v>
      </x:c>
      <x:c r="N4525" s="37" t="n">
        <x:v>46014</x:v>
      </x:c>
      <x:c r="O4525" s="37"/>
      <x:c r="P4525" s="34" t="n">
        <x:v>0</x:v>
      </x:c>
      <x:c r="Q4525" s="37" t="n">
        <x:v>46036.000439814816</x:v>
      </x:c>
    </x:row>
    <x:row r="4526">
      <x:c r="A4526" s="22" t="n">
        <x:v>29398</x:v>
      </x:c>
      <x:c r="B4526" s="28" t="n">
        <x:v>270</x:v>
      </x:c>
      <x:c r="C4526" s="28"/>
      <x:c r="D4526" s="31" t="str">
        <x:f>IF(OR(ISBLANK(B4526),ISBLANK(C4526),B4526=0),"",(C4526-B4526)/B4526)</x:f>
      </x:c>
      <x:c r="E4526" s="22" t="str">
        <x:f>IF(ISBLANK(C4526),"AmountIncludingTax缺失",IF(ABS(B4526-C4526)&lt;0.005,"一致","不一致"))</x:f>
        <x:v>AmountIncludingTax缺失</x:v>
      </x:c>
      <x:c r="F4526" s="19" t="str">
        <x:v>approved</x:v>
      </x:c>
      <x:c r="G4526" s="19" t="str">
        <x:v>Sales Order Approved</x:v>
      </x:c>
      <x:c r="H4526" s="19" t="str">
        <x:v>Pre Delivery</x:v>
      </x:c>
      <x:c r="I4526" s="37" t="n">
        <x:v>46076</x:v>
      </x:c>
      <x:c r="J4526" s="37" t="n">
        <x:v>46076</x:v>
      </x:c>
      <x:c r="K4526" s="19" t="str">
        <x:v>Regent RV - Frankston</x:v>
      </x:c>
      <x:c r="L4526" s="19" t="str">
        <x:v>Z005</x:v>
      </x:c>
      <x:c r="M4526" s="19" t="str">
        <x:v>Pre Delivery Warranty Claims</x:v>
      </x:c>
      <x:c r="N4526" s="37" t="n">
        <x:v>46013</x:v>
      </x:c>
      <x:c r="O4526" s="37"/>
      <x:c r="P4526" s="34" t="n">
        <x:v>0</x:v>
      </x:c>
      <x:c r="Q4526" s="37" t="n">
        <x:v>46076.151354166665</x:v>
      </x:c>
    </x:row>
    <x:row r="4527">
      <x:c r="A4527" s="22" t="n">
        <x:v>29397</x:v>
      </x:c>
      <x:c r="B4527" s="28" t="n">
        <x:v>1030</x:v>
      </x:c>
      <x:c r="C4527" s="28"/>
      <x:c r="D4527" s="31" t="str">
        <x:f>IF(OR(ISBLANK(B4527),ISBLANK(C4527),B4527=0),"",(C4527-B4527)/B4527)</x:f>
      </x:c>
      <x:c r="E4527" s="22" t="str">
        <x:f>IF(ISBLANK(C4527),"AmountIncludingTax缺失",IF(ABS(B4527-C4527)&lt;0.005,"一致","不一致"))</x:f>
        <x:v>AmountIncludingTax缺失</x:v>
      </x:c>
      <x:c r="F4527" s="19" t="str">
        <x:v>approved</x:v>
      </x:c>
      <x:c r="G4527" s="19" t="str">
        <x:v>Repairer Invoiced Processed</x:v>
      </x:c>
      <x:c r="H4527" s="19" t="str">
        <x:v>In Field</x:v>
      </x:c>
      <x:c r="I4527" s="37" t="n">
        <x:v>46092</x:v>
      </x:c>
      <x:c r="J4527" s="37" t="n">
        <x:v>46092</x:v>
      </x:c>
      <x:c r="K4527" s="19" t="str">
        <x:v>Green RV - Forest Glen</x:v>
      </x:c>
      <x:c r="L4527" s="19" t="str">
        <x:v>Z006</x:v>
      </x:c>
      <x:c r="M4527" s="19" t="str">
        <x:v>In Field Warranty Claims</x:v>
      </x:c>
      <x:c r="N4527" s="37" t="n">
        <x:v>46013</x:v>
      </x:c>
      <x:c r="O4527" s="37"/>
      <x:c r="P4527" s="34" t="n">
        <x:v>0</x:v>
      </x:c>
      <x:c r="Q4527" s="37" t="n">
        <x:v>46091.94929398148</x:v>
      </x:c>
    </x:row>
    <x:row r="4528">
      <x:c r="A4528" s="22" t="n">
        <x:v>29396</x:v>
      </x:c>
      <x:c r="B4528" s="28" t="n">
        <x:v>202.5</x:v>
      </x:c>
      <x:c r="C4528" s="28" t="n">
        <x:v>222.75</x:v>
      </x:c>
      <x:c r="D4528" s="31" t="n">
        <x:f>IF(OR(ISBLANK(B4528),ISBLANK(C4528),B4528=0),"",(C4528-B4528)/B4528)</x:f>
        <x:v>0.1</x:v>
      </x:c>
      <x:c r="E4528" s="22" t="str">
        <x:f>IF(ISBLANK(C4528),"AmountIncludingTax缺失",IF(ABS(B4528-C4528)&lt;0.005,"一致","不一致"))</x:f>
        <x:v>不一致</x:v>
      </x:c>
      <x:c r="F4528" s="19" t="str">
        <x:v>approved</x:v>
      </x:c>
      <x:c r="G4528" s="19" t="str">
        <x:v>Repairer Invoiced Processed</x:v>
      </x:c>
      <x:c r="H4528" s="19" t="str">
        <x:v>In Field</x:v>
      </x:c>
      <x:c r="I4528" s="37" t="n">
        <x:v>46087</x:v>
      </x:c>
      <x:c r="J4528" s="37" t="n">
        <x:v>46087</x:v>
      </x:c>
      <x:c r="K4528" s="19" t="str">
        <x:v>Lesiure Lion-New Castle</x:v>
      </x:c>
      <x:c r="L4528" s="19" t="str">
        <x:v>Z006</x:v>
      </x:c>
      <x:c r="M4528" s="19" t="str">
        <x:v>In Field Warranty Claims</x:v>
      </x:c>
      <x:c r="N4528" s="37" t="n">
        <x:v>46013</x:v>
      </x:c>
      <x:c r="O4528" s="37"/>
      <x:c r="P4528" s="34" t="n">
        <x:v>222.75</x:v>
      </x:c>
      <x:c r="Q4528" s="37" t="n">
        <x:v>46087.010659722226</x:v>
      </x:c>
    </x:row>
    <x:row r="4529">
      <x:c r="A4529" s="22" t="n">
        <x:v>29395</x:v>
      </x:c>
      <x:c r="B4529" s="28" t="n">
        <x:v>135</x:v>
      </x:c>
      <x:c r="C4529" s="28"/>
      <x:c r="D4529" s="31" t="str">
        <x:f>IF(OR(ISBLANK(B4529),ISBLANK(C4529),B4529=0),"",(C4529-B4529)/B4529)</x:f>
      </x:c>
      <x:c r="E4529" s="22" t="str">
        <x:f>IF(ISBLANK(C4529),"AmountIncludingTax缺失",IF(ABS(B4529-C4529)&lt;0.005,"一致","不一致"))</x:f>
        <x:v>AmountIncludingTax缺失</x:v>
      </x:c>
      <x:c r="F4529" s="19" t="str">
        <x:v>approved</x:v>
      </x:c>
      <x:c r="G4529" s="19" t="str">
        <x:v>Repair in Progress</x:v>
      </x:c>
      <x:c r="H4529" s="19" t="str">
        <x:v>In Field</x:v>
      </x:c>
      <x:c r="I4529" s="37" t="n">
        <x:v>46062</x:v>
      </x:c>
      <x:c r="J4529" s="37" t="n">
        <x:v>46062</x:v>
      </x:c>
      <x:c r="K4529" s="19" t="str">
        <x:v>Regent RV - Frankston</x:v>
      </x:c>
      <x:c r="L4529" s="19" t="str">
        <x:v>Z006</x:v>
      </x:c>
      <x:c r="M4529" s="19" t="str">
        <x:v>In Field Warranty Claims</x:v>
      </x:c>
      <x:c r="N4529" s="37" t="n">
        <x:v>46013</x:v>
      </x:c>
      <x:c r="O4529" s="37"/>
      <x:c r="P4529" s="34" t="n">
        <x:v>0</x:v>
      </x:c>
      <x:c r="Q4529" s="37" t="n">
        <x:v>46062.123252314814</x:v>
      </x:c>
    </x:row>
    <x:row r="4530">
      <x:c r="A4530" s="22" t="n">
        <x:v>29393</x:v>
      </x:c>
      <x:c r="B4530" s="28" t="n">
        <x:v>247.5</x:v>
      </x:c>
      <x:c r="C4530" s="28"/>
      <x:c r="D4530" s="31" t="str">
        <x:f>IF(OR(ISBLANK(B4530),ISBLANK(C4530),B4530=0),"",(C4530-B4530)/B4530)</x:f>
      </x:c>
      <x:c r="E4530" s="22" t="str">
        <x:f>IF(ISBLANK(C4530),"AmountIncludingTax缺失",IF(ABS(B4530-C4530)&lt;0.005,"一致","不一致"))</x:f>
        <x:v>AmountIncludingTax缺失</x:v>
      </x:c>
      <x:c r="F4530" s="19" t="str">
        <x:v>approved</x:v>
      </x:c>
      <x:c r="G4530" s="19" t="str">
        <x:v>Partially Picked</x:v>
      </x:c>
      <x:c r="H4530" s="19" t="str">
        <x:v>Pre Delivery</x:v>
      </x:c>
      <x:c r="I4530" s="37" t="n">
        <x:v>46114</x:v>
      </x:c>
      <x:c r="J4530" s="37" t="n">
        <x:v>46114</x:v>
      </x:c>
      <x:c r="K4530" s="19" t="str">
        <x:v>Regent RV - Perth</x:v>
      </x:c>
      <x:c r="L4530" s="19" t="str">
        <x:v>Z005</x:v>
      </x:c>
      <x:c r="M4530" s="19" t="str">
        <x:v>Pre Delivery Warranty Claims</x:v>
      </x:c>
      <x:c r="N4530" s="37" t="n">
        <x:v>46013</x:v>
      </x:c>
      <x:c r="O4530" s="37"/>
      <x:c r="P4530" s="34" t="n">
        <x:v>0</x:v>
      </x:c>
      <x:c r="Q4530" s="37" t="n">
        <x:v>46114.12458333333</x:v>
      </x:c>
    </x:row>
    <x:row r="4531">
      <x:c r="A4531" s="22" t="n">
        <x:v>29391</x:v>
      </x:c>
      <x:c r="B4531" s="28" t="n">
        <x:v>367.5</x:v>
      </x:c>
      <x:c r="C4531" s="28"/>
      <x:c r="D4531" s="31" t="str">
        <x:f>IF(OR(ISBLANK(B4531),ISBLANK(C4531),B4531=0),"",(C4531-B4531)/B4531)</x:f>
      </x:c>
      <x:c r="E4531" s="22" t="str">
        <x:f>IF(ISBLANK(C4531),"AmountIncludingTax缺失",IF(ABS(B4531-C4531)&lt;0.005,"一致","不一致"))</x:f>
        <x:v>AmountIncludingTax缺失</x:v>
      </x:c>
      <x:c r="F4531" s="19" t="str">
        <x:v>approved</x:v>
      </x:c>
      <x:c r="G4531" s="19" t="str">
        <x:v>Repairer Invoiced Processed</x:v>
      </x:c>
      <x:c r="H4531" s="19" t="str">
        <x:v>In Field</x:v>
      </x:c>
      <x:c r="I4531" s="37" t="n">
        <x:v>46059</x:v>
      </x:c>
      <x:c r="J4531" s="37" t="n">
        <x:v>46058</x:v>
      </x:c>
      <x:c r="K4531" s="19" t="str">
        <x:v>Green RV - Forest Glen</x:v>
      </x:c>
      <x:c r="L4531" s="19" t="str">
        <x:v>Z006</x:v>
      </x:c>
      <x:c r="M4531" s="19" t="str">
        <x:v>In Field Warranty Claims</x:v>
      </x:c>
      <x:c r="N4531" s="37" t="n">
        <x:v>46013</x:v>
      </x:c>
      <x:c r="O4531" s="37"/>
      <x:c r="P4531" s="34" t="n">
        <x:v>0</x:v>
      </x:c>
      <x:c r="Q4531" s="37" t="n">
        <x:v>46058.95684027778</x:v>
      </x:c>
    </x:row>
    <x:row r="4532">
      <x:c r="A4532" s="22" t="n">
        <x:v>29390</x:v>
      </x:c>
      <x:c r="B4532" s="28" t="n">
        <x:v>540</x:v>
      </x:c>
      <x:c r="C4532" s="28"/>
      <x:c r="D4532" s="31" t="str">
        <x:f>IF(OR(ISBLANK(B4532),ISBLANK(C4532),B4532=0),"",(C4532-B4532)/B4532)</x:f>
      </x:c>
      <x:c r="E4532" s="22" t="str">
        <x:f>IF(ISBLANK(C4532),"AmountIncludingTax缺失",IF(ABS(B4532-C4532)&lt;0.005,"一致","不一致"))</x:f>
        <x:v>AmountIncludingTax缺失</x:v>
      </x:c>
      <x:c r="F4532" s="19" t="str">
        <x:v>approved</x:v>
      </x:c>
      <x:c r="G4532" s="19" t="str">
        <x:v>Repairer Invoiced Received</x:v>
      </x:c>
      <x:c r="H4532" s="19" t="str">
        <x:v>In Field</x:v>
      </x:c>
      <x:c r="I4532" s="37" t="n">
        <x:v>46065</x:v>
      </x:c>
      <x:c r="J4532" s="37" t="n">
        <x:v>46065</x:v>
      </x:c>
      <x:c r="K4532" s="19" t="str">
        <x:v>Green RV - Forest Glen</x:v>
      </x:c>
      <x:c r="L4532" s="19" t="str">
        <x:v>Z006</x:v>
      </x:c>
      <x:c r="M4532" s="19" t="str">
        <x:v>In Field Warranty Claims</x:v>
      </x:c>
      <x:c r="N4532" s="37" t="n">
        <x:v>46013</x:v>
      </x:c>
      <x:c r="O4532" s="37"/>
      <x:c r="P4532" s="34" t="n">
        <x:v>0</x:v>
      </x:c>
      <x:c r="Q4532" s="37" t="n">
        <x:v>46064.87994212963</x:v>
      </x:c>
    </x:row>
    <x:row r="4533">
      <x:c r="A4533" s="22" t="n">
        <x:v>29389</x:v>
      </x:c>
      <x:c r="B4533" s="28" t="n">
        <x:v>1417.5</x:v>
      </x:c>
      <x:c r="C4533" s="28"/>
      <x:c r="D4533" s="31" t="str">
        <x:f>IF(OR(ISBLANK(B4533),ISBLANK(C4533),B4533=0),"",(C4533-B4533)/B4533)</x:f>
      </x:c>
      <x:c r="E4533" s="22" t="str">
        <x:f>IF(ISBLANK(C4533),"AmountIncludingTax缺失",IF(ABS(B4533-C4533)&lt;0.005,"一致","不一致"))</x:f>
        <x:v>AmountIncludingTax缺失</x:v>
      </x:c>
      <x:c r="F4533" s="19" t="str">
        <x:v>approved</x:v>
      </x:c>
      <x:c r="G4533" s="19" t="str">
        <x:v>Repairer Invoiced Processed</x:v>
      </x:c>
      <x:c r="H4533" s="19" t="str">
        <x:v>In Field</x:v>
      </x:c>
      <x:c r="I4533" s="37" t="n">
        <x:v>46057</x:v>
      </x:c>
      <x:c r="J4533" s="37" t="n">
        <x:v>46057</x:v>
      </x:c>
      <x:c r="K4533" s="19" t="str">
        <x:v>Green RV - Forest Glen</x:v>
      </x:c>
      <x:c r="L4533" s="19" t="str">
        <x:v>Z006</x:v>
      </x:c>
      <x:c r="M4533" s="19" t="str">
        <x:v>In Field Warranty Claims</x:v>
      </x:c>
      <x:c r="N4533" s="37" t="n">
        <x:v>46013</x:v>
      </x:c>
      <x:c r="O4533" s="37"/>
      <x:c r="P4533" s="34" t="n">
        <x:v>0</x:v>
      </x:c>
      <x:c r="Q4533" s="37" t="n">
        <x:v>46056.891701388886</x:v>
      </x:c>
    </x:row>
    <x:row r="4534">
      <x:c r="A4534" s="22" t="n">
        <x:v>29388</x:v>
      </x:c>
      <x:c r="B4534" s="28" t="n">
        <x:v>108.05</x:v>
      </x:c>
      <x:c r="C4534" s="28" t="n">
        <x:v>118.86</x:v>
      </x:c>
      <x:c r="D4534" s="31" t="n">
        <x:f>IF(OR(ISBLANK(B4534),ISBLANK(C4534),B4534=0),"",(C4534-B4534)/B4534)</x:f>
        <x:v>0.10004627487274412</x:v>
      </x:c>
      <x:c r="E4534" s="22" t="str">
        <x:f>IF(ISBLANK(C4534),"AmountIncludingTax缺失",IF(ABS(B4534-C4534)&lt;0.005,"一致","不一致"))</x:f>
        <x:v>不一致</x:v>
      </x:c>
      <x:c r="F4534" s="19" t="str">
        <x:v>approved</x:v>
      </x:c>
      <x:c r="G4534" s="19" t="str">
        <x:v>Repairer Invoiced Processed</x:v>
      </x:c>
      <x:c r="H4534" s="19" t="str">
        <x:v>In Field</x:v>
      </x:c>
      <x:c r="I4534" s="37" t="n">
        <x:v>46125</x:v>
      </x:c>
      <x:c r="J4534" s="37" t="n">
        <x:v>46125</x:v>
      </x:c>
      <x:c r="K4534" s="19" t="str">
        <x:v>Regent RV - Toowoomba</x:v>
      </x:c>
      <x:c r="L4534" s="19" t="str">
        <x:v>Z006</x:v>
      </x:c>
      <x:c r="M4534" s="19" t="str">
        <x:v>In Field Warranty Claims</x:v>
      </x:c>
      <x:c r="N4534" s="37" t="n">
        <x:v>46013</x:v>
      </x:c>
      <x:c r="O4534" s="37"/>
      <x:c r="P4534" s="34" t="n">
        <x:v>118.86</x:v>
      </x:c>
      <x:c r="Q4534" s="37" t="n">
        <x:v>46125.073229166665</x:v>
      </x:c>
    </x:row>
    <x:row r="4535">
      <x:c r="A4535" s="22" t="n">
        <x:v>29387</x:v>
      </x:c>
      <x:c r="B4535" s="28" t="n">
        <x:v>1747.5</x:v>
      </x:c>
      <x:c r="C4535" s="28"/>
      <x:c r="D4535" s="31" t="str">
        <x:f>IF(OR(ISBLANK(B4535),ISBLANK(C4535),B4535=0),"",(C4535-B4535)/B4535)</x:f>
      </x:c>
      <x:c r="E4535" s="22" t="str">
        <x:f>IF(ISBLANK(C4535),"AmountIncludingTax缺失",IF(ABS(B4535-C4535)&lt;0.005,"一致","不一致"))</x:f>
        <x:v>AmountIncludingTax缺失</x:v>
      </x:c>
      <x:c r="F4535" s="19" t="str">
        <x:v>approved</x:v>
      </x:c>
      <x:c r="G4535" s="19" t="str">
        <x:v>Repairer Invoiced Processed</x:v>
      </x:c>
      <x:c r="H4535" s="19" t="str">
        <x:v>In Field</x:v>
      </x:c>
      <x:c r="I4535" s="37" t="n">
        <x:v>46091</x:v>
      </x:c>
      <x:c r="J4535" s="37" t="n">
        <x:v>46091</x:v>
      </x:c>
      <x:c r="K4535" s="19" t="str">
        <x:v>Newcastle RV Super Centre - Beresfield</x:v>
      </x:c>
      <x:c r="L4535" s="19" t="str">
        <x:v>Z006</x:v>
      </x:c>
      <x:c r="M4535" s="19" t="str">
        <x:v>In Field Warranty Claims</x:v>
      </x:c>
      <x:c r="N4535" s="37" t="n">
        <x:v>46013</x:v>
      </x:c>
      <x:c r="O4535" s="37"/>
      <x:c r="P4535" s="34" t="n">
        <x:v>0</x:v>
      </x:c>
      <x:c r="Q4535" s="37" t="n">
        <x:v>46091.0609375</x:v>
      </x:c>
    </x:row>
    <x:row r="4536">
      <x:c r="A4536" s="22" t="n">
        <x:v>29386</x:v>
      </x:c>
      <x:c r="B4536" s="28" t="n">
        <x:v>716.21</x:v>
      </x:c>
      <x:c r="C4536" s="28" t="n">
        <x:v>787.83</x:v>
      </x:c>
      <x:c r="D4536" s="31" t="n">
        <x:f>IF(OR(ISBLANK(B4536),ISBLANK(C4536),B4536=0),"",(C4536-B4536)/B4536)</x:f>
        <x:v>0.0999986037614666</x:v>
      </x:c>
      <x:c r="E4536" s="22" t="str">
        <x:f>IF(ISBLANK(C4536),"AmountIncludingTax缺失",IF(ABS(B4536-C4536)&lt;0.005,"一致","不一致"))</x:f>
        <x:v>不一致</x:v>
      </x:c>
      <x:c r="F4536" s="19" t="str">
        <x:v>approved</x:v>
      </x:c>
      <x:c r="G4536" s="19" t="str">
        <x:v>Repairer Invoiced Processed</x:v>
      </x:c>
      <x:c r="H4536" s="19" t="str">
        <x:v>In Field</x:v>
      </x:c>
      <x:c r="I4536" s="37" t="n">
        <x:v>46184</x:v>
      </x:c>
      <x:c r="J4536" s="37" t="n">
        <x:v>46184</x:v>
      </x:c>
      <x:c r="K4536" s="19" t="str">
        <x:v>Regent RV - Perth</x:v>
      </x:c>
      <x:c r="L4536" s="19" t="str">
        <x:v>Z006</x:v>
      </x:c>
      <x:c r="M4536" s="19" t="str">
        <x:v>In Field Warranty Claims</x:v>
      </x:c>
      <x:c r="N4536" s="37" t="n">
        <x:v>46013</x:v>
      </x:c>
      <x:c r="O4536" s="37"/>
      <x:c r="P4536" s="34" t="n">
        <x:v>787.83</x:v>
      </x:c>
      <x:c r="Q4536" s="37" t="n">
        <x:v>46184.13891203704</x:v>
      </x:c>
    </x:row>
    <x:row r="4537">
      <x:c r="A4537" s="22" t="n">
        <x:v>29385</x:v>
      </x:c>
      <x:c r="B4537" s="28" t="n">
        <x:v>67.5</x:v>
      </x:c>
      <x:c r="C4537" s="28"/>
      <x:c r="D4537" s="31" t="str">
        <x:f>IF(OR(ISBLANK(B4537),ISBLANK(C4537),B4537=0),"",(C4537-B4537)/B4537)</x:f>
      </x:c>
      <x:c r="E4537" s="22" t="str">
        <x:f>IF(ISBLANK(C4537),"AmountIncludingTax缺失",IF(ABS(B4537-C4537)&lt;0.005,"一致","不一致"))</x:f>
        <x:v>AmountIncludingTax缺失</x:v>
      </x:c>
      <x:c r="F4537" s="19" t="str">
        <x:v>approved</x:v>
      </x:c>
      <x:c r="G4537" s="19" t="str">
        <x:v>Repair in Progress</x:v>
      </x:c>
      <x:c r="H4537" s="19" t="str">
        <x:v>In Field</x:v>
      </x:c>
      <x:c r="I4537" s="37" t="n">
        <x:v>46160</x:v>
      </x:c>
      <x:c r="J4537" s="37" t="n">
        <x:v>46160</x:v>
      </x:c>
      <x:c r="K4537" s="19" t="str">
        <x:v>Regent RV - Perth</x:v>
      </x:c>
      <x:c r="L4537" s="19" t="str">
        <x:v>Z006</x:v>
      </x:c>
      <x:c r="M4537" s="19" t="str">
        <x:v>In Field Warranty Claims</x:v>
      </x:c>
      <x:c r="N4537" s="37" t="n">
        <x:v>46013</x:v>
      </x:c>
      <x:c r="O4537" s="37"/>
      <x:c r="P4537" s="34" t="n">
        <x:v>0</x:v>
      </x:c>
      <x:c r="Q4537" s="37" t="n">
        <x:v>46159.95484953704</x:v>
      </x:c>
    </x:row>
    <x:row r="4538">
      <x:c r="A4538" s="22" t="n">
        <x:v>29384</x:v>
      </x:c>
      <x:c r="B4538" s="28" t="n">
        <x:v>546.25</x:v>
      </x:c>
      <x:c r="C4538" s="28"/>
      <x:c r="D4538" s="31" t="str">
        <x:f>IF(OR(ISBLANK(B4538),ISBLANK(C4538),B4538=0),"",(C4538-B4538)/B4538)</x:f>
      </x:c>
      <x:c r="E4538" s="22" t="str">
        <x:f>IF(ISBLANK(C4538),"AmountIncludingTax缺失",IF(ABS(B4538-C4538)&lt;0.005,"一致","不一致"))</x:f>
        <x:v>AmountIncludingTax缺失</x:v>
      </x:c>
      <x:c r="F4538" s="19" t="str">
        <x:v>approved</x:v>
      </x:c>
      <x:c r="G4538" s="19" t="str">
        <x:v>Repairer Invoiced Processed</x:v>
      </x:c>
      <x:c r="H4538" s="19" t="str">
        <x:v>In Field</x:v>
      </x:c>
      <x:c r="I4538" s="37" t="n">
        <x:v>46058</x:v>
      </x:c>
      <x:c r="J4538" s="37" t="n">
        <x:v>46058</x:v>
      </x:c>
      <x:c r="K4538" s="19" t="str">
        <x:v>Green RV - Forest Glen</x:v>
      </x:c>
      <x:c r="L4538" s="19" t="str">
        <x:v>Z006</x:v>
      </x:c>
      <x:c r="M4538" s="19" t="str">
        <x:v>In Field Warranty Claims</x:v>
      </x:c>
      <x:c r="N4538" s="37" t="n">
        <x:v>46013</x:v>
      </x:c>
      <x:c r="O4538" s="37"/>
      <x:c r="P4538" s="34" t="n">
        <x:v>0</x:v>
      </x:c>
      <x:c r="Q4538" s="37" t="n">
        <x:v>46058.14733796296</x:v>
      </x:c>
    </x:row>
    <x:row r="4539">
      <x:c r="A4539" s="22" t="n">
        <x:v>29380</x:v>
      </x:c>
      <x:c r="B4539" s="28" t="n">
        <x:v>136.28</x:v>
      </x:c>
      <x:c r="C4539" s="28" t="n">
        <x:v>149.91</x:v>
      </x:c>
      <x:c r="D4539" s="31" t="n">
        <x:f>IF(OR(ISBLANK(B4539),ISBLANK(C4539),B4539=0),"",(C4539-B4539)/B4539)</x:f>
        <x:v>0.10001467566774284</x:v>
      </x:c>
      <x:c r="E4539" s="22" t="str">
        <x:f>IF(ISBLANK(C4539),"AmountIncludingTax缺失",IF(ABS(B4539-C4539)&lt;0.005,"一致","不一致"))</x:f>
        <x:v>不一致</x:v>
      </x:c>
      <x:c r="F4539" s="19" t="str">
        <x:v>approved</x:v>
      </x:c>
      <x:c r="G4539" s="19" t="str">
        <x:v>Repairer Invoiced Processed</x:v>
      </x:c>
      <x:c r="H4539" s="19" t="str">
        <x:v>Pre Delivery</x:v>
      </x:c>
      <x:c r="I4539" s="37" t="n">
        <x:v>46055</x:v>
      </x:c>
      <x:c r="J4539" s="37" t="n">
        <x:v>46055</x:v>
      </x:c>
      <x:c r="K4539" s="19" t="str">
        <x:v>Green RV - Forest Glen</x:v>
      </x:c>
      <x:c r="L4539" s="19" t="str">
        <x:v>Z005</x:v>
      </x:c>
      <x:c r="M4539" s="19" t="str">
        <x:v>Pre Delivery Warranty Claims</x:v>
      </x:c>
      <x:c r="N4539" s="37" t="n">
        <x:v>46013</x:v>
      </x:c>
      <x:c r="O4539" s="37"/>
      <x:c r="P4539" s="34" t="n">
        <x:v>149.91</x:v>
      </x:c>
      <x:c r="Q4539" s="37" t="n">
        <x:v>46054.96913194445</x:v>
      </x:c>
    </x:row>
    <x:row r="4540">
      <x:c r="A4540" s="22" t="n">
        <x:v>29379</x:v>
      </x:c>
      <x:c r="B4540" s="28" t="n">
        <x:v>236.25</x:v>
      </x:c>
      <x:c r="C4540" s="28"/>
      <x:c r="D4540" s="31" t="str">
        <x:f>IF(OR(ISBLANK(B4540),ISBLANK(C4540),B4540=0),"",(C4540-B4540)/B4540)</x:f>
      </x:c>
      <x:c r="E4540" s="22" t="str">
        <x:f>IF(ISBLANK(C4540),"AmountIncludingTax缺失",IF(ABS(B4540-C4540)&lt;0.005,"一致","不一致"))</x:f>
        <x:v>AmountIncludingTax缺失</x:v>
      </x:c>
      <x:c r="F4540" s="19" t="str">
        <x:v>approved</x:v>
      </x:c>
      <x:c r="G4540" s="19" t="str">
        <x:v>Repairer Invoiced Processed</x:v>
      </x:c>
      <x:c r="H4540" s="19" t="str">
        <x:v>Pre Delivery</x:v>
      </x:c>
      <x:c r="I4540" s="37" t="n">
        <x:v>46106</x:v>
      </x:c>
      <x:c r="J4540" s="37" t="n">
        <x:v>46106</x:v>
      </x:c>
      <x:c r="K4540" s="19" t="str">
        <x:v>Green RV - Forest Glen</x:v>
      </x:c>
      <x:c r="L4540" s="19" t="str">
        <x:v>Z005</x:v>
      </x:c>
      <x:c r="M4540" s="19" t="str">
        <x:v>Pre Delivery Warranty Claims</x:v>
      </x:c>
      <x:c r="N4540" s="37" t="n">
        <x:v>46013</x:v>
      </x:c>
      <x:c r="O4540" s="37"/>
      <x:c r="P4540" s="34" t="n">
        <x:v>0</x:v>
      </x:c>
      <x:c r="Q4540" s="37" t="n">
        <x:v>46105.90788194445</x:v>
      </x:c>
    </x:row>
    <x:row r="4541">
      <x:c r="A4541" s="22" t="n">
        <x:v>29377</x:v>
      </x:c>
      <x:c r="B4541" s="28" t="n">
        <x:v>330</x:v>
      </x:c>
      <x:c r="C4541" s="28"/>
      <x:c r="D4541" s="31" t="str">
        <x:f>IF(OR(ISBLANK(B4541),ISBLANK(C4541),B4541=0),"",(C4541-B4541)/B4541)</x:f>
      </x:c>
      <x:c r="E4541" s="22" t="str">
        <x:f>IF(ISBLANK(C4541),"AmountIncludingTax缺失",IF(ABS(B4541-C4541)&lt;0.005,"一致","不一致"))</x:f>
        <x:v>AmountIncludingTax缺失</x:v>
      </x:c>
      <x:c r="F4541" s="19" t="str">
        <x:v>approved</x:v>
      </x:c>
      <x:c r="G4541" s="19" t="str">
        <x:v>Repair in Progress</x:v>
      </x:c>
      <x:c r="H4541" s="19" t="str">
        <x:v>In Field</x:v>
      </x:c>
      <x:c r="I4541" s="37" t="n">
        <x:v>46066</x:v>
      </x:c>
      <x:c r="J4541" s="37" t="n">
        <x:v>46066</x:v>
      </x:c>
      <x:c r="K4541" s="19" t="str">
        <x:v>Regent RV - Perth</x:v>
      </x:c>
      <x:c r="L4541" s="19" t="str">
        <x:v>Z006</x:v>
      </x:c>
      <x:c r="M4541" s="19" t="str">
        <x:v>In Field Warranty Claims</x:v>
      </x:c>
      <x:c r="N4541" s="37" t="n">
        <x:v>46013</x:v>
      </x:c>
      <x:c r="O4541" s="37"/>
      <x:c r="P4541" s="34" t="n">
        <x:v>0</x:v>
      </x:c>
      <x:c r="Q4541" s="37" t="n">
        <x:v>46065.89255787037</x:v>
      </x:c>
    </x:row>
    <x:row r="4542">
      <x:c r="A4542" s="22" t="n">
        <x:v>29376</x:v>
      </x:c>
      <x:c r="B4542" s="28" t="n">
        <x:v>212.5</x:v>
      </x:c>
      <x:c r="C4542" s="28"/>
      <x:c r="D4542" s="31" t="str">
        <x:f>IF(OR(ISBLANK(B4542),ISBLANK(C4542),B4542=0),"",(C4542-B4542)/B4542)</x:f>
      </x:c>
      <x:c r="E4542" s="22" t="str">
        <x:f>IF(ISBLANK(C4542),"AmountIncludingTax缺失",IF(ABS(B4542-C4542)&lt;0.005,"一致","不一致"))</x:f>
        <x:v>AmountIncludingTax缺失</x:v>
      </x:c>
      <x:c r="F4542" s="19" t="str">
        <x:v>approved</x:v>
      </x:c>
      <x:c r="G4542" s="19" t="str">
        <x:v>Repairer Invoiced Processed</x:v>
      </x:c>
      <x:c r="H4542" s="19" t="str">
        <x:v>In Field</x:v>
      </x:c>
      <x:c r="I4542" s="37" t="n">
        <x:v>46058</x:v>
      </x:c>
      <x:c r="J4542" s="37" t="n">
        <x:v>46058</x:v>
      </x:c>
      <x:c r="K4542" s="19" t="str">
        <x:v>Green RV - Forest Glen</x:v>
      </x:c>
      <x:c r="L4542" s="19" t="str">
        <x:v>Z006</x:v>
      </x:c>
      <x:c r="M4542" s="19" t="str">
        <x:v>In Field Warranty Claims</x:v>
      </x:c>
      <x:c r="N4542" s="37" t="n">
        <x:v>46013</x:v>
      </x:c>
      <x:c r="O4542" s="37"/>
      <x:c r="P4542" s="34" t="n">
        <x:v>0</x:v>
      </x:c>
      <x:c r="Q4542" s="37" t="n">
        <x:v>46058.109351851854</x:v>
      </x:c>
    </x:row>
    <x:row r="4543">
      <x:c r="A4543" s="22" t="n">
        <x:v>29374</x:v>
      </x:c>
      <x:c r="B4543" s="28" t="n">
        <x:v>1780.5</x:v>
      </x:c>
      <x:c r="C4543" s="28"/>
      <x:c r="D4543" s="31" t="str">
        <x:f>IF(OR(ISBLANK(B4543),ISBLANK(C4543),B4543=0),"",(C4543-B4543)/B4543)</x:f>
      </x:c>
      <x:c r="E4543" s="22" t="str">
        <x:f>IF(ISBLANK(C4543),"AmountIncludingTax缺失",IF(ABS(B4543-C4543)&lt;0.005,"一致","不一致"))</x:f>
        <x:v>AmountIncludingTax缺失</x:v>
      </x:c>
      <x:c r="F4543" s="19" t="str">
        <x:v>approved</x:v>
      </x:c>
      <x:c r="G4543" s="19" t="str">
        <x:v>Repairer Invoiced Processed</x:v>
      </x:c>
      <x:c r="H4543" s="19" t="str">
        <x:v>Pre Delivery</x:v>
      </x:c>
      <x:c r="I4543" s="37" t="n">
        <x:v>46076</x:v>
      </x:c>
      <x:c r="J4543" s="37" t="n">
        <x:v>46051</x:v>
      </x:c>
      <x:c r="K4543" s="19" t="str">
        <x:v>Green RV - Forest Glen</x:v>
      </x:c>
      <x:c r="L4543" s="19" t="str">
        <x:v>Z005</x:v>
      </x:c>
      <x:c r="M4543" s="19" t="str">
        <x:v>Pre Delivery Warranty Claims</x:v>
      </x:c>
      <x:c r="N4543" s="37" t="n">
        <x:v>46013</x:v>
      </x:c>
      <x:c r="O4543" s="37"/>
      <x:c r="P4543" s="34" t="n">
        <x:v>1958.55</x:v>
      </x:c>
      <x:c r="Q4543" s="37" t="n">
        <x:v>46076.16695601852</x:v>
      </x:c>
    </x:row>
    <x:row r="4544">
      <x:c r="A4544" s="22" t="n">
        <x:v>29373</x:v>
      </x:c>
      <x:c r="B4544" s="28" t="n">
        <x:v>144.09</x:v>
      </x:c>
      <x:c r="C4544" s="28"/>
      <x:c r="D4544" s="31" t="str">
        <x:f>IF(OR(ISBLANK(B4544),ISBLANK(C4544),B4544=0),"",(C4544-B4544)/B4544)</x:f>
      </x:c>
      <x:c r="E4544" s="22" t="str">
        <x:f>IF(ISBLANK(C4544),"AmountIncludingTax缺失",IF(ABS(B4544-C4544)&lt;0.005,"一致","不一致"))</x:f>
        <x:v>AmountIncludingTax缺失</x:v>
      </x:c>
      <x:c r="F4544" s="19" t="str">
        <x:v>approved</x:v>
      </x:c>
      <x:c r="G4544" s="19" t="str">
        <x:v>Repair in Progress</x:v>
      </x:c>
      <x:c r="H4544" s="19" t="str">
        <x:v>Pre Delivery</x:v>
      </x:c>
      <x:c r="I4544" s="37" t="n">
        <x:v>46057</x:v>
      </x:c>
      <x:c r="J4544" s="37" t="n">
        <x:v>46057</x:v>
      </x:c>
      <x:c r="K4544" s="19" t="str">
        <x:v>Green RV - Forest Glen</x:v>
      </x:c>
      <x:c r="L4544" s="19" t="str">
        <x:v>Z005</x:v>
      </x:c>
      <x:c r="M4544" s="19" t="str">
        <x:v>Pre Delivery Warranty Claims</x:v>
      </x:c>
      <x:c r="N4544" s="37" t="n">
        <x:v>46013</x:v>
      </x:c>
      <x:c r="O4544" s="37"/>
      <x:c r="P4544" s="34" t="n">
        <x:v>0</x:v>
      </x:c>
      <x:c r="Q4544" s="37" t="n">
        <x:v>46057.06165509259</x:v>
      </x:c>
    </x:row>
    <x:row r="4545">
      <x:c r="A4545" s="22" t="n">
        <x:v>29370</x:v>
      </x:c>
      <x:c r="B4545" s="28" t="n">
        <x:v>388.19</x:v>
      </x:c>
      <x:c r="C4545" s="28"/>
      <x:c r="D4545" s="31" t="str">
        <x:f>IF(OR(ISBLANK(B4545),ISBLANK(C4545),B4545=0),"",(C4545-B4545)/B4545)</x:f>
      </x:c>
      <x:c r="E4545" s="22" t="str">
        <x:f>IF(ISBLANK(C4545),"AmountIncludingTax缺失",IF(ABS(B4545-C4545)&lt;0.005,"一致","不一致"))</x:f>
        <x:v>AmountIncludingTax缺失</x:v>
      </x:c>
      <x:c r="F4545" s="19" t="str">
        <x:v>approved</x:v>
      </x:c>
      <x:c r="G4545" s="19" t="str">
        <x:v>Repair in Progress</x:v>
      </x:c>
      <x:c r="H4545" s="19" t="str">
        <x:v>In Field</x:v>
      </x:c>
      <x:c r="I4545" s="37" t="n">
        <x:v>46051</x:v>
      </x:c>
      <x:c r="J4545" s="37" t="n">
        <x:v>46051</x:v>
      </x:c>
      <x:c r="K4545" s="19" t="str">
        <x:v>Green RV - Forest Glen</x:v>
      </x:c>
      <x:c r="L4545" s="19" t="str">
        <x:v>Z006</x:v>
      </x:c>
      <x:c r="M4545" s="19" t="str">
        <x:v>In Field Warranty Claims</x:v>
      </x:c>
      <x:c r="N4545" s="37" t="n">
        <x:v>46013</x:v>
      </x:c>
      <x:c r="O4545" s="37"/>
      <x:c r="P4545" s="34" t="n">
        <x:v>0</x:v>
      </x:c>
      <x:c r="Q4545" s="37" t="n">
        <x:v>46051.27116898148</x:v>
      </x:c>
    </x:row>
    <x:row r="4546">
      <x:c r="A4546" s="22" t="n">
        <x:v>29368</x:v>
      </x:c>
      <x:c r="B4546" s="28" t="n">
        <x:v>1982.5</x:v>
      </x:c>
      <x:c r="C4546" s="28"/>
      <x:c r="D4546" s="31" t="str">
        <x:f>IF(OR(ISBLANK(B4546),ISBLANK(C4546),B4546=0),"",(C4546-B4546)/B4546)</x:f>
      </x:c>
      <x:c r="E4546" s="22" t="str">
        <x:f>IF(ISBLANK(C4546),"AmountIncludingTax缺失",IF(ABS(B4546-C4546)&lt;0.005,"一致","不一致"))</x:f>
        <x:v>AmountIncludingTax缺失</x:v>
      </x:c>
      <x:c r="F4546" s="19" t="str">
        <x:v>approved</x:v>
      </x:c>
      <x:c r="G4546" s="19" t="str">
        <x:v>Repairer Invoiced Processed</x:v>
      </x:c>
      <x:c r="H4546" s="19" t="str">
        <x:v>In Field</x:v>
      </x:c>
      <x:c r="I4546" s="37" t="n">
        <x:v>46161</x:v>
      </x:c>
      <x:c r="J4546" s="37" t="n">
        <x:v>46161</x:v>
      </x:c>
      <x:c r="K4546" s="19" t="str">
        <x:v>Regent RV - Toowoomba</x:v>
      </x:c>
      <x:c r="L4546" s="19" t="str">
        <x:v>Z006</x:v>
      </x:c>
      <x:c r="M4546" s="19" t="str">
        <x:v>In Field Warranty Claims</x:v>
      </x:c>
      <x:c r="N4546" s="37" t="n">
        <x:v>46013</x:v>
      </x:c>
      <x:c r="O4546" s="37"/>
      <x:c r="P4546" s="34" t="n">
        <x:v>0</x:v>
      </x:c>
      <x:c r="Q4546" s="37" t="n">
        <x:v>46161.55609953704</x:v>
      </x:c>
    </x:row>
    <x:row r="4547">
      <x:c r="A4547" s="22" t="n">
        <x:v>29367</x:v>
      </x:c>
      <x:c r="B4547" s="28" t="n">
        <x:v>472.5</x:v>
      </x:c>
      <x:c r="C4547" s="28"/>
      <x:c r="D4547" s="31" t="str">
        <x:f>IF(OR(ISBLANK(B4547),ISBLANK(C4547),B4547=0),"",(C4547-B4547)/B4547)</x:f>
      </x:c>
      <x:c r="E4547" s="22" t="str">
        <x:f>IF(ISBLANK(C4547),"AmountIncludingTax缺失",IF(ABS(B4547-C4547)&lt;0.005,"一致","不一致"))</x:f>
        <x:v>AmountIncludingTax缺失</x:v>
      </x:c>
      <x:c r="F4547" s="19" t="str">
        <x:v>approved</x:v>
      </x:c>
      <x:c r="G4547" s="19" t="str">
        <x:v>Repair in Progress</x:v>
      </x:c>
      <x:c r="H4547" s="19" t="str">
        <x:v>In Field</x:v>
      </x:c>
      <x:c r="I4547" s="37" t="n">
        <x:v>46059</x:v>
      </x:c>
      <x:c r="J4547" s="37" t="n">
        <x:v>46059</x:v>
      </x:c>
      <x:c r="K4547" s="19" t="str">
        <x:v>Green RV - Slacks Creek</x:v>
      </x:c>
      <x:c r="L4547" s="19" t="str">
        <x:v>Z006</x:v>
      </x:c>
      <x:c r="M4547" s="19" t="str">
        <x:v>In Field Warranty Claims</x:v>
      </x:c>
      <x:c r="N4547" s="37" t="n">
        <x:v>46013</x:v>
      </x:c>
      <x:c r="O4547" s="37"/>
      <x:c r="P4547" s="34" t="n">
        <x:v>0</x:v>
      </x:c>
      <x:c r="Q4547" s="37" t="n">
        <x:v>46059.09706018519</x:v>
      </x:c>
    </x:row>
    <x:row r="4548">
      <x:c r="A4548" s="22" t="n">
        <x:v>29366</x:v>
      </x:c>
      <x:c r="B4548" s="28" t="n">
        <x:v>270</x:v>
      </x:c>
      <x:c r="C4548" s="28"/>
      <x:c r="D4548" s="31" t="str">
        <x:f>IF(OR(ISBLANK(B4548),ISBLANK(C4548),B4548=0),"",(C4548-B4548)/B4548)</x:f>
      </x:c>
      <x:c r="E4548" s="22" t="str">
        <x:f>IF(ISBLANK(C4548),"AmountIncludingTax缺失",IF(ABS(B4548-C4548)&lt;0.005,"一致","不一致"))</x:f>
        <x:v>AmountIncludingTax缺失</x:v>
      </x:c>
      <x:c r="F4548" s="19" t="str">
        <x:v>approved</x:v>
      </x:c>
      <x:c r="G4548" s="19" t="str">
        <x:v>Sales Order Approved</x:v>
      </x:c>
      <x:c r="H4548" s="19" t="str">
        <x:v>Pre Delivery</x:v>
      </x:c>
      <x:c r="I4548" s="37" t="n">
        <x:v>46114</x:v>
      </x:c>
      <x:c r="J4548" s="37" t="n">
        <x:v>46076</x:v>
      </x:c>
      <x:c r="K4548" s="19" t="str">
        <x:v>Regent RV - Frankston</x:v>
      </x:c>
      <x:c r="L4548" s="19" t="str">
        <x:v>Z005</x:v>
      </x:c>
      <x:c r="M4548" s="19" t="str">
        <x:v>Pre Delivery Warranty Claims</x:v>
      </x:c>
      <x:c r="N4548" s="37" t="n">
        <x:v>46013</x:v>
      </x:c>
      <x:c r="O4548" s="37"/>
      <x:c r="P4548" s="34" t="n">
        <x:v>0</x:v>
      </x:c>
      <x:c r="Q4548" s="37" t="n">
        <x:v>46114.01017361111</x:v>
      </x:c>
    </x:row>
    <x:row r="4549">
      <x:c r="A4549" s="22" t="n">
        <x:v>29365</x:v>
      </x:c>
      <x:c r="B4549" s="28" t="n">
        <x:v>352.5</x:v>
      </x:c>
      <x:c r="C4549" s="28"/>
      <x:c r="D4549" s="31" t="str">
        <x:f>IF(OR(ISBLANK(B4549),ISBLANK(C4549),B4549=0),"",(C4549-B4549)/B4549)</x:f>
      </x:c>
      <x:c r="E4549" s="22" t="str">
        <x:f>IF(ISBLANK(C4549),"AmountIncludingTax缺失",IF(ABS(B4549-C4549)&lt;0.005,"一致","不一致"))</x:f>
        <x:v>AmountIncludingTax缺失</x:v>
      </x:c>
      <x:c r="F4549" s="19" t="str">
        <x:v>approved</x:v>
      </x:c>
      <x:c r="G4549" s="19" t="str">
        <x:v>Repair in Progress</x:v>
      </x:c>
      <x:c r="H4549" s="19" t="str">
        <x:v>In Field</x:v>
      </x:c>
      <x:c r="I4549" s="37" t="n">
        <x:v>46076</x:v>
      </x:c>
      <x:c r="J4549" s="37" t="n">
        <x:v>46076</x:v>
      </x:c>
      <x:c r="K4549" s="19" t="str">
        <x:v>Regent RV - Frankston</x:v>
      </x:c>
      <x:c r="L4549" s="19" t="str">
        <x:v>Z006</x:v>
      </x:c>
      <x:c r="M4549" s="19" t="str">
        <x:v>In Field Warranty Claims</x:v>
      </x:c>
      <x:c r="N4549" s="37" t="n">
        <x:v>46013</x:v>
      </x:c>
      <x:c r="O4549" s="37"/>
      <x:c r="P4549" s="34" t="n">
        <x:v>0</x:v>
      </x:c>
      <x:c r="Q4549" s="37" t="n">
        <x:v>46076.17711805556</x:v>
      </x:c>
    </x:row>
    <x:row r="4550">
      <x:c r="A4550" s="22" t="n">
        <x:v>29363</x:v>
      </x:c>
      <x:c r="B4550" s="28" t="n">
        <x:v>270</x:v>
      </x:c>
      <x:c r="C4550" s="28"/>
      <x:c r="D4550" s="31" t="str">
        <x:f>IF(OR(ISBLANK(B4550),ISBLANK(C4550),B4550=0),"",(C4550-B4550)/B4550)</x:f>
      </x:c>
      <x:c r="E4550" s="22" t="str">
        <x:f>IF(ISBLANK(C4550),"AmountIncludingTax缺失",IF(ABS(B4550-C4550)&lt;0.005,"一致","不一致"))</x:f>
        <x:v>AmountIncludingTax缺失</x:v>
      </x:c>
      <x:c r="F4550" s="19" t="str">
        <x:v>approved</x:v>
      </x:c>
      <x:c r="G4550" s="19" t="str">
        <x:v>Repair in Progress</x:v>
      </x:c>
      <x:c r="H4550" s="19" t="str">
        <x:v>In Field</x:v>
      </x:c>
      <x:c r="I4550" s="37" t="n">
        <x:v>46079</x:v>
      </x:c>
      <x:c r="J4550" s="37" t="n">
        <x:v>46079</x:v>
      </x:c>
      <x:c r="K4550" s="19" t="str">
        <x:v>Regent RV - Frankston</x:v>
      </x:c>
      <x:c r="L4550" s="19" t="str">
        <x:v>Z006</x:v>
      </x:c>
      <x:c r="M4550" s="19" t="str">
        <x:v>In Field Warranty Claims</x:v>
      </x:c>
      <x:c r="N4550" s="37" t="n">
        <x:v>46013</x:v>
      </x:c>
      <x:c r="O4550" s="37" t="n">
        <x:v>46129</x:v>
      </x:c>
      <x:c r="P4550" s="34" t="n">
        <x:v>0</x:v>
      </x:c>
      <x:c r="Q4550" s="37" t="n">
        <x:v>46078.99005787037</x:v>
      </x:c>
    </x:row>
    <x:row r="4551">
      <x:c r="A4551" s="22" t="n">
        <x:v>29362</x:v>
      </x:c>
      <x:c r="B4551" s="28" t="n">
        <x:v>1228.93</x:v>
      </x:c>
      <x:c r="C4551" s="28"/>
      <x:c r="D4551" s="31" t="str">
        <x:f>IF(OR(ISBLANK(B4551),ISBLANK(C4551),B4551=0),"",(C4551-B4551)/B4551)</x:f>
      </x:c>
      <x:c r="E4551" s="22" t="str">
        <x:f>IF(ISBLANK(C4551),"AmountIncludingTax缺失",IF(ABS(B4551-C4551)&lt;0.005,"一致","不一致"))</x:f>
        <x:v>AmountIncludingTax缺失</x:v>
      </x:c>
      <x:c r="F4551" s="19" t="str">
        <x:v>approved</x:v>
      </x:c>
      <x:c r="G4551" s="19" t="str">
        <x:v>Repairer Invoiced Received</x:v>
      </x:c>
      <x:c r="H4551" s="19" t="str">
        <x:v>In Field</x:v>
      </x:c>
      <x:c r="I4551" s="37" t="n">
        <x:v>46065</x:v>
      </x:c>
      <x:c r="J4551" s="37" t="n">
        <x:v>46065</x:v>
      </x:c>
      <x:c r="K4551" s="19" t="str">
        <x:v>Newcastle RV Super Centre - Beresfield</x:v>
      </x:c>
      <x:c r="L4551" s="19" t="str">
        <x:v>Z006</x:v>
      </x:c>
      <x:c r="M4551" s="19" t="str">
        <x:v>In Field Warranty Claims</x:v>
      </x:c>
      <x:c r="N4551" s="37" t="n">
        <x:v>46013</x:v>
      </x:c>
      <x:c r="O4551" s="37"/>
      <x:c r="P4551" s="34" t="n">
        <x:v>1351.82</x:v>
      </x:c>
      <x:c r="Q4551" s="37" t="n">
        <x:v>46065.001875</x:v>
      </x:c>
    </x:row>
    <x:row r="4552">
      <x:c r="A4552" s="22" t="n">
        <x:v>29341</x:v>
      </x:c>
      <x:c r="B4552" s="28" t="n">
        <x:v>661.25</x:v>
      </x:c>
      <x:c r="C4552" s="28"/>
      <x:c r="D4552" s="31" t="str">
        <x:f>IF(OR(ISBLANK(B4552),ISBLANK(C4552),B4552=0),"",(C4552-B4552)/B4552)</x:f>
      </x:c>
      <x:c r="E4552" s="22" t="str">
        <x:f>IF(ISBLANK(C4552),"AmountIncludingTax缺失",IF(ABS(B4552-C4552)&lt;0.005,"一致","不一致"))</x:f>
        <x:v>AmountIncludingTax缺失</x:v>
      </x:c>
      <x:c r="F4552" s="19" t="str">
        <x:v>approved</x:v>
      </x:c>
      <x:c r="G4552" s="19" t="str">
        <x:v>Repairer Invoiced Processed</x:v>
      </x:c>
      <x:c r="H4552" s="19" t="str">
        <x:v>In Field</x:v>
      </x:c>
      <x:c r="I4552" s="37" t="n">
        <x:v>46056</x:v>
      </x:c>
      <x:c r="J4552" s="37" t="n">
        <x:v>46056</x:v>
      </x:c>
      <x:c r="K4552" s="19" t="str">
        <x:v>Green RV - Forest Glen</x:v>
      </x:c>
      <x:c r="L4552" s="19" t="str">
        <x:v>Z006</x:v>
      </x:c>
      <x:c r="M4552" s="19" t="str">
        <x:v>In Field Warranty Claims</x:v>
      </x:c>
      <x:c r="N4552" s="37" t="n">
        <x:v>46012</x:v>
      </x:c>
      <x:c r="O4552" s="37"/>
      <x:c r="P4552" s="34" t="n">
        <x:v>0</x:v>
      </x:c>
      <x:c r="Q4552" s="37" t="n">
        <x:v>46056.27300925926</x:v>
      </x:c>
    </x:row>
    <x:row r="4553">
      <x:c r="A4553" s="22" t="n">
        <x:v>29337</x:v>
      </x:c>
      <x:c r="B4553" s="28" t="n">
        <x:v>202.5</x:v>
      </x:c>
      <x:c r="C4553" s="28"/>
      <x:c r="D4553" s="31" t="str">
        <x:f>IF(OR(ISBLANK(B4553),ISBLANK(C4553),B4553=0),"",(C4553-B4553)/B4553)</x:f>
      </x:c>
      <x:c r="E4553" s="22" t="str">
        <x:f>IF(ISBLANK(C4553),"AmountIncludingTax缺失",IF(ABS(B4553-C4553)&lt;0.005,"一致","不一致"))</x:f>
        <x:v>AmountIncludingTax缺失</x:v>
      </x:c>
      <x:c r="F4553" s="19" t="str">
        <x:v>approved</x:v>
      </x:c>
      <x:c r="G4553" s="19" t="str">
        <x:v>Repairer Invoiced Processed</x:v>
      </x:c>
      <x:c r="H4553" s="19" t="str">
        <x:v>In Field</x:v>
      </x:c>
      <x:c r="I4553" s="37" t="n">
        <x:v>46076</x:v>
      </x:c>
      <x:c r="J4553" s="37" t="n">
        <x:v>46076</x:v>
      </x:c>
      <x:c r="K4553" s="19" t="str">
        <x:v>Newcastle RV Super Centre - Beresfield</x:v>
      </x:c>
      <x:c r="L4553" s="19" t="str">
        <x:v>Z006</x:v>
      </x:c>
      <x:c r="M4553" s="19" t="str">
        <x:v>In Field Warranty Claims</x:v>
      </x:c>
      <x:c r="N4553" s="37" t="n">
        <x:v>46013</x:v>
      </x:c>
      <x:c r="O4553" s="37"/>
      <x:c r="P4553" s="34" t="n">
        <x:v>0</x:v>
      </x:c>
      <x:c r="Q4553" s="37" t="n">
        <x:v>46076.183229166665</x:v>
      </x:c>
    </x:row>
    <x:row r="4554">
      <x:c r="A4554" s="22" t="n">
        <x:v>29334</x:v>
      </x:c>
      <x:c r="B4554" s="28" t="n">
        <x:v>1687.5</x:v>
      </x:c>
      <x:c r="C4554" s="28"/>
      <x:c r="D4554" s="31" t="str">
        <x:f>IF(OR(ISBLANK(B4554),ISBLANK(C4554),B4554=0),"",(C4554-B4554)/B4554)</x:f>
      </x:c>
      <x:c r="E4554" s="22" t="str">
        <x:f>IF(ISBLANK(C4554),"AmountIncludingTax缺失",IF(ABS(B4554-C4554)&lt;0.005,"一致","不一致"))</x:f>
        <x:v>AmountIncludingTax缺失</x:v>
      </x:c>
      <x:c r="F4554" s="19" t="str">
        <x:v>approved</x:v>
      </x:c>
      <x:c r="G4554" s="19" t="str">
        <x:v>Repair in Progress</x:v>
      </x:c>
      <x:c r="H4554" s="19" t="str">
        <x:v>In Field</x:v>
      </x:c>
      <x:c r="I4554" s="37" t="n">
        <x:v>46086</x:v>
      </x:c>
      <x:c r="J4554" s="37" t="n">
        <x:v>46086</x:v>
      </x:c>
      <x:c r="K4554" s="19" t="str">
        <x:v>Regent RV - Frankston</x:v>
      </x:c>
      <x:c r="L4554" s="19" t="str">
        <x:v>Z006</x:v>
      </x:c>
      <x:c r="M4554" s="19" t="str">
        <x:v>In Field Warranty Claims</x:v>
      </x:c>
      <x:c r="N4554" s="37" t="n">
        <x:v>46012</x:v>
      </x:c>
      <x:c r="O4554" s="37"/>
      <x:c r="P4554" s="34" t="n">
        <x:v>0</x:v>
      </x:c>
      <x:c r="Q4554" s="37" t="n">
        <x:v>46086.02875</x:v>
      </x:c>
    </x:row>
    <x:row r="4555">
      <x:c r="A4555" s="22" t="n">
        <x:v>29332</x:v>
      </x:c>
      <x:c r="B4555" s="28" t="n">
        <x:v>517.05</x:v>
      </x:c>
      <x:c r="C4555" s="28"/>
      <x:c r="D4555" s="31" t="str">
        <x:f>IF(OR(ISBLANK(B4555),ISBLANK(C4555),B4555=0),"",(C4555-B4555)/B4555)</x:f>
      </x:c>
      <x:c r="E4555" s="22" t="str">
        <x:f>IF(ISBLANK(C4555),"AmountIncludingTax缺失",IF(ABS(B4555-C4555)&lt;0.005,"一致","不一致"))</x:f>
        <x:v>AmountIncludingTax缺失</x:v>
      </x:c>
      <x:c r="F4555" s="19" t="str">
        <x:v>approved</x:v>
      </x:c>
      <x:c r="G4555" s="19" t="str">
        <x:v>Repair in Progress</x:v>
      </x:c>
      <x:c r="H4555" s="19" t="str">
        <x:v>In Field</x:v>
      </x:c>
      <x:c r="I4555" s="37" t="n">
        <x:v>46108</x:v>
      </x:c>
      <x:c r="J4555" s="37" t="n">
        <x:v>46108</x:v>
      </x:c>
      <x:c r="K4555" s="19" t="str">
        <x:v>Green RV - Slacks Creek</x:v>
      </x:c>
      <x:c r="L4555" s="19" t="str">
        <x:v>Z006</x:v>
      </x:c>
      <x:c r="M4555" s="19" t="str">
        <x:v>In Field Warranty Claims</x:v>
      </x:c>
      <x:c r="N4555" s="37" t="n">
        <x:v>46012</x:v>
      </x:c>
      <x:c r="O4555" s="37"/>
      <x:c r="P4555" s="34" t="n">
        <x:v>0</x:v>
      </x:c>
      <x:c r="Q4555" s="37" t="n">
        <x:v>46108.05878472222</x:v>
      </x:c>
    </x:row>
    <x:row r="4556">
      <x:c r="A4556" s="22" t="n">
        <x:v>29331</x:v>
      </x:c>
      <x:c r="B4556" s="28" t="n">
        <x:v>1205.53</x:v>
      </x:c>
      <x:c r="C4556" s="28"/>
      <x:c r="D4556" s="31" t="str">
        <x:f>IF(OR(ISBLANK(B4556),ISBLANK(C4556),B4556=0),"",(C4556-B4556)/B4556)</x:f>
      </x:c>
      <x:c r="E4556" s="22" t="str">
        <x:f>IF(ISBLANK(C4556),"AmountIncludingTax缺失",IF(ABS(B4556-C4556)&lt;0.005,"一致","不一致"))</x:f>
        <x:v>AmountIncludingTax缺失</x:v>
      </x:c>
      <x:c r="F4556" s="19" t="str">
        <x:v>approved</x:v>
      </x:c>
      <x:c r="G4556" s="19" t="str">
        <x:v>Repairer Invoiced Processed</x:v>
      </x:c>
      <x:c r="H4556" s="19" t="str">
        <x:v>In Field</x:v>
      </x:c>
      <x:c r="I4556" s="37" t="n">
        <x:v>46093</x:v>
      </x:c>
      <x:c r="J4556" s="37" t="n">
        <x:v>46093</x:v>
      </x:c>
      <x:c r="K4556" s="19" t="str">
        <x:v>Newcastle RV Super Centre - Beresfield</x:v>
      </x:c>
      <x:c r="L4556" s="19" t="str">
        <x:v>Z006</x:v>
      </x:c>
      <x:c r="M4556" s="19" t="str">
        <x:v>In Field Warranty Claims</x:v>
      </x:c>
      <x:c r="N4556" s="37" t="n">
        <x:v>46012</x:v>
      </x:c>
      <x:c r="O4556" s="37"/>
      <x:c r="P4556" s="34" t="n">
        <x:v>0</x:v>
      </x:c>
      <x:c r="Q4556" s="37" t="n">
        <x:v>46093.47541666667</x:v>
      </x:c>
    </x:row>
    <x:row r="4557">
      <x:c r="A4557" s="22" t="n">
        <x:v>29326</x:v>
      </x:c>
      <x:c r="B4557" s="28" t="n">
        <x:v>538.17</x:v>
      </x:c>
      <x:c r="C4557" s="28" t="n">
        <x:v>591.99</x:v>
      </x:c>
      <x:c r="D4557" s="31" t="n">
        <x:f>IF(OR(ISBLANK(B4557),ISBLANK(C4557),B4557=0),"",(C4557-B4557)/B4557)</x:f>
        <x:v>0.10000557444673626</x:v>
      </x:c>
      <x:c r="E4557" s="22" t="str">
        <x:f>IF(ISBLANK(C4557),"AmountIncludingTax缺失",IF(ABS(B4557-C4557)&lt;0.005,"一致","不一致"))</x:f>
        <x:v>不一致</x:v>
      </x:c>
      <x:c r="F4557" s="19" t="str">
        <x:v>approved</x:v>
      </x:c>
      <x:c r="G4557" s="19" t="str">
        <x:v>Repairer Invoiced Processed</x:v>
      </x:c>
      <x:c r="H4557" s="19" t="str">
        <x:v>In Field</x:v>
      </x:c>
      <x:c r="I4557" s="37" t="n">
        <x:v>46112</x:v>
      </x:c>
      <x:c r="J4557" s="37" t="n">
        <x:v>46112</x:v>
      </x:c>
      <x:c r="K4557" s="19" t="str">
        <x:v>Leisure Lion Pty Ltd - Toowoomba</x:v>
      </x:c>
      <x:c r="L4557" s="19" t="str">
        <x:v>Z006</x:v>
      </x:c>
      <x:c r="M4557" s="19" t="str">
        <x:v>In Field Warranty Claims</x:v>
      </x:c>
      <x:c r="N4557" s="37" t="n">
        <x:v>46013</x:v>
      </x:c>
      <x:c r="O4557" s="37"/>
      <x:c r="P4557" s="34" t="n">
        <x:v>591.99</x:v>
      </x:c>
      <x:c r="Q4557" s="37" t="n">
        <x:v>46111.991122685184</x:v>
      </x:c>
    </x:row>
    <x:row r="4558">
      <x:c r="A4558" s="22" t="n">
        <x:v>29320</x:v>
      </x:c>
      <x:c r="B4558" s="28" t="n">
        <x:v>256.25</x:v>
      </x:c>
      <x:c r="C4558" s="28"/>
      <x:c r="D4558" s="31" t="str">
        <x:f>IF(OR(ISBLANK(B4558),ISBLANK(C4558),B4558=0),"",(C4558-B4558)/B4558)</x:f>
      </x:c>
      <x:c r="E4558" s="22" t="str">
        <x:f>IF(ISBLANK(C4558),"AmountIncludingTax缺失",IF(ABS(B4558-C4558)&lt;0.005,"一致","不一致"))</x:f>
        <x:v>AmountIncludingTax缺失</x:v>
      </x:c>
      <x:c r="F4558" s="19" t="str">
        <x:v>approved</x:v>
      </x:c>
      <x:c r="G4558" s="19" t="str">
        <x:v>Repairer Invoiced Processed</x:v>
      </x:c>
      <x:c r="H4558" s="19" t="str">
        <x:v>In Field</x:v>
      </x:c>
      <x:c r="I4558" s="37" t="n">
        <x:v>46055</x:v>
      </x:c>
      <x:c r="J4558" s="37" t="n">
        <x:v>46055</x:v>
      </x:c>
      <x:c r="K4558" s="19" t="str">
        <x:v>Green RV - Forest Glen</x:v>
      </x:c>
      <x:c r="L4558" s="19" t="str">
        <x:v>Z006</x:v>
      </x:c>
      <x:c r="M4558" s="19" t="str">
        <x:v>In Field Warranty Claims</x:v>
      </x:c>
      <x:c r="N4558" s="37" t="n">
        <x:v>46012</x:v>
      </x:c>
      <x:c r="O4558" s="37"/>
      <x:c r="P4558" s="34" t="n">
        <x:v>0</x:v>
      </x:c>
      <x:c r="Q4558" s="37" t="n">
        <x:v>46054.97258101852</x:v>
      </x:c>
    </x:row>
    <x:row r="4559">
      <x:c r="A4559" s="22" t="n">
        <x:v>29319</x:v>
      </x:c>
      <x:c r="B4559" s="28" t="n">
        <x:v>236.25</x:v>
      </x:c>
      <x:c r="C4559" s="28"/>
      <x:c r="D4559" s="31" t="str">
        <x:f>IF(OR(ISBLANK(B4559),ISBLANK(C4559),B4559=0),"",(C4559-B4559)/B4559)</x:f>
      </x:c>
      <x:c r="E4559" s="22" t="str">
        <x:f>IF(ISBLANK(C4559),"AmountIncludingTax缺失",IF(ABS(B4559-C4559)&lt;0.005,"一致","不一致"))</x:f>
        <x:v>AmountIncludingTax缺失</x:v>
      </x:c>
      <x:c r="F4559" s="19" t="str">
        <x:v>approved</x:v>
      </x:c>
      <x:c r="G4559" s="19" t="str">
        <x:v>Repair in Progress</x:v>
      </x:c>
      <x:c r="H4559" s="19" t="str">
        <x:v>Pre Delivery</x:v>
      </x:c>
      <x:c r="I4559" s="37" t="n">
        <x:v>46104</x:v>
      </x:c>
      <x:c r="J4559" s="37" t="n">
        <x:v>46104</x:v>
      </x:c>
      <x:c r="K4559" s="19" t="str">
        <x:v>Green RV - Slacks Creek</x:v>
      </x:c>
      <x:c r="L4559" s="19" t="str">
        <x:v>Z005</x:v>
      </x:c>
      <x:c r="M4559" s="19" t="str">
        <x:v>Pre Delivery Warranty Claims</x:v>
      </x:c>
      <x:c r="N4559" s="37" t="n">
        <x:v>46012</x:v>
      </x:c>
      <x:c r="O4559" s="37"/>
      <x:c r="P4559" s="34" t="n">
        <x:v>0</x:v>
      </x:c>
      <x:c r="Q4559" s="37" t="n">
        <x:v>46103.973912037036</x:v>
      </x:c>
    </x:row>
    <x:row r="4560">
      <x:c r="A4560" s="22" t="n">
        <x:v>29316</x:v>
      </x:c>
      <x:c r="B4560" s="28" t="n">
        <x:v>500</x:v>
      </x:c>
      <x:c r="C4560" s="28" t="n">
        <x:v>550</x:v>
      </x:c>
      <x:c r="D4560" s="31" t="n">
        <x:f>IF(OR(ISBLANK(B4560),ISBLANK(C4560),B4560=0),"",(C4560-B4560)/B4560)</x:f>
        <x:v>0.1</x:v>
      </x:c>
      <x:c r="E4560" s="22" t="str">
        <x:f>IF(ISBLANK(C4560),"AmountIncludingTax缺失",IF(ABS(B4560-C4560)&lt;0.005,"一致","不一致"))</x:f>
        <x:v>不一致</x:v>
      </x:c>
      <x:c r="F4560" s="19" t="str">
        <x:v>approved</x:v>
      </x:c>
      <x:c r="G4560" s="19" t="str">
        <x:v>Repairer Invoiced Processed</x:v>
      </x:c>
      <x:c r="H4560" s="19" t="str">
        <x:v>In Field</x:v>
      </x:c>
      <x:c r="I4560" s="37" t="n">
        <x:v>46136</x:v>
      </x:c>
      <x:c r="J4560" s="37" t="n">
        <x:v>46136</x:v>
      </x:c>
      <x:c r="K4560" s="19" t="str">
        <x:v>Green RV - Forest Glen</x:v>
      </x:c>
      <x:c r="L4560" s="19" t="str">
        <x:v>Z006</x:v>
      </x:c>
      <x:c r="M4560" s="19" t="str">
        <x:v>In Field Warranty Claims</x:v>
      </x:c>
      <x:c r="N4560" s="37" t="n">
        <x:v>46012</x:v>
      </x:c>
      <x:c r="O4560" s="37"/>
      <x:c r="P4560" s="34" t="n">
        <x:v>550</x:v>
      </x:c>
      <x:c r="Q4560" s="37" t="n">
        <x:v>46136.15380787037</x:v>
      </x:c>
    </x:row>
    <x:row r="4561">
      <x:c r="A4561" s="22" t="n">
        <x:v>29311</x:v>
      </x:c>
      <x:c r="B4561" s="28" t="n">
        <x:v>81.81</x:v>
      </x:c>
      <x:c r="C4561" s="28" t="n">
        <x:v>89.99</x:v>
      </x:c>
      <x:c r="D4561" s="31" t="n">
        <x:f>IF(OR(ISBLANK(B4561),ISBLANK(C4561),B4561=0),"",(C4561-B4561)/B4561)</x:f>
        <x:v>0.09998777655543323</x:v>
      </x:c>
      <x:c r="E4561" s="22" t="str">
        <x:f>IF(ISBLANK(C4561),"AmountIncludingTax缺失",IF(ABS(B4561-C4561)&lt;0.005,"一致","不一致"))</x:f>
        <x:v>不一致</x:v>
      </x:c>
      <x:c r="F4561" s="19" t="str">
        <x:v>approved</x:v>
      </x:c>
      <x:c r="G4561" s="19" t="str">
        <x:v>Repairer Invoiced Processed</x:v>
      </x:c>
      <x:c r="H4561" s="19" t="str">
        <x:v>In Field</x:v>
      </x:c>
      <x:c r="I4561" s="37" t="n">
        <x:v>46101</x:v>
      </x:c>
      <x:c r="J4561" s="37" t="n">
        <x:v>46101</x:v>
      </x:c>
      <x:c r="K4561" s="19" t="str">
        <x:v>Green RV - Forest Glen</x:v>
      </x:c>
      <x:c r="L4561" s="19" t="str">
        <x:v>Z006</x:v>
      </x:c>
      <x:c r="M4561" s="19" t="str">
        <x:v>In Field Warranty Claims</x:v>
      </x:c>
      <x:c r="N4561" s="37" t="n">
        <x:v>46011</x:v>
      </x:c>
      <x:c r="O4561" s="37"/>
      <x:c r="P4561" s="34" t="n">
        <x:v>89.99</x:v>
      </x:c>
      <x:c r="Q4561" s="37" t="n">
        <x:v>46101.074166666665</x:v>
      </x:c>
    </x:row>
    <x:row r="4562">
      <x:c r="A4562" s="22" t="n">
        <x:v>29307</x:v>
      </x:c>
      <x:c r="B4562" s="28" t="n">
        <x:v>826.23</x:v>
      </x:c>
      <x:c r="C4562" s="28" t="n">
        <x:v>908.85</x:v>
      </x:c>
      <x:c r="D4562" s="31" t="n">
        <x:f>IF(OR(ISBLANK(B4562),ISBLANK(C4562),B4562=0),"",(C4562-B4562)/B4562)</x:f>
        <x:v>0.09999636904978033</x:v>
      </x:c>
      <x:c r="E4562" s="22" t="str">
        <x:f>IF(ISBLANK(C4562),"AmountIncludingTax缺失",IF(ABS(B4562-C4562)&lt;0.005,"一致","不一致"))</x:f>
        <x:v>不一致</x:v>
      </x:c>
      <x:c r="F4562" s="19" t="str">
        <x:v>approved</x:v>
      </x:c>
      <x:c r="G4562" s="19" t="str">
        <x:v>Repairer Invoiced Processed</x:v>
      </x:c>
      <x:c r="H4562" s="19" t="str">
        <x:v>In Field</x:v>
      </x:c>
      <x:c r="I4562" s="37" t="n">
        <x:v>46085</x:v>
      </x:c>
      <x:c r="J4562" s="37" t="n">
        <x:v>46085</x:v>
      </x:c>
      <x:c r="K4562" s="19" t="str">
        <x:v>Newcastle RV Super Centre - Beresfield</x:v>
      </x:c>
      <x:c r="L4562" s="19" t="str">
        <x:v>Z006</x:v>
      </x:c>
      <x:c r="M4562" s="19" t="str">
        <x:v>In Field Warranty Claims</x:v>
      </x:c>
      <x:c r="N4562" s="37" t="n">
        <x:v>46012</x:v>
      </x:c>
      <x:c r="O4562" s="37"/>
      <x:c r="P4562" s="34" t="n">
        <x:v>908.85</x:v>
      </x:c>
      <x:c r="Q4562" s="37" t="n">
        <x:v>46084.87490740741</x:v>
      </x:c>
    </x:row>
    <x:row r="4563">
      <x:c r="A4563" s="22" t="n">
        <x:v>29300</x:v>
      </x:c>
      <x:c r="B4563" s="28" t="n">
        <x:v>985</x:v>
      </x:c>
      <x:c r="C4563" s="28"/>
      <x:c r="D4563" s="31" t="str">
        <x:f>IF(OR(ISBLANK(B4563),ISBLANK(C4563),B4563=0),"",(C4563-B4563)/B4563)</x:f>
      </x:c>
      <x:c r="E4563" s="22" t="str">
        <x:f>IF(ISBLANK(C4563),"AmountIncludingTax缺失",IF(ABS(B4563-C4563)&lt;0.005,"一致","不一致"))</x:f>
        <x:v>AmountIncludingTax缺失</x:v>
      </x:c>
      <x:c r="F4563" s="19" t="str">
        <x:v>approved</x:v>
      </x:c>
      <x:c r="G4563" s="19" t="str">
        <x:v>Repair in Progress</x:v>
      </x:c>
      <x:c r="H4563" s="19" t="str">
        <x:v>In Field</x:v>
      </x:c>
      <x:c r="I4563" s="37" t="n">
        <x:v>46106</x:v>
      </x:c>
      <x:c r="J4563" s="37" t="n">
        <x:v>46106</x:v>
      </x:c>
      <x:c r="K4563" s="19" t="str">
        <x:v>Regent RV - Perth</x:v>
      </x:c>
      <x:c r="L4563" s="19" t="str">
        <x:v>Z006</x:v>
      </x:c>
      <x:c r="M4563" s="19" t="str">
        <x:v>In Field Warranty Claims</x:v>
      </x:c>
      <x:c r="N4563" s="37" t="n">
        <x:v>46010</x:v>
      </x:c>
      <x:c r="O4563" s="37"/>
      <x:c r="P4563" s="34" t="n">
        <x:v>0</x:v>
      </x:c>
      <x:c r="Q4563" s="37" t="n">
        <x:v>46106.10047453704</x:v>
      </x:c>
    </x:row>
    <x:row r="4564">
      <x:c r="A4564" s="22" t="n">
        <x:v>29299</x:v>
      </x:c>
      <x:c r="B4564" s="28" t="n">
        <x:v>7995</x:v>
      </x:c>
      <x:c r="C4564" s="28"/>
      <x:c r="D4564" s="31" t="str">
        <x:f>IF(OR(ISBLANK(B4564),ISBLANK(C4564),B4564=0),"",(C4564-B4564)/B4564)</x:f>
      </x:c>
      <x:c r="E4564" s="22" t="str">
        <x:f>IF(ISBLANK(C4564),"AmountIncludingTax缺失",IF(ABS(B4564-C4564)&lt;0.005,"一致","不一致"))</x:f>
        <x:v>AmountIncludingTax缺失</x:v>
      </x:c>
      <x:c r="F4564" s="19" t="str">
        <x:v>approved</x:v>
      </x:c>
      <x:c r="G4564" s="19" t="str">
        <x:v>Repairer Invoiced Processed</x:v>
      </x:c>
      <x:c r="H4564" s="19" t="str">
        <x:v>In Field</x:v>
      </x:c>
      <x:c r="I4564" s="37" t="n">
        <x:v>46108</x:v>
      </x:c>
      <x:c r="J4564" s="37" t="n">
        <x:v>46108</x:v>
      </x:c>
      <x:c r="K4564" s="19" t="str">
        <x:v>Newcastle RV Super Centre - Beresfield</x:v>
      </x:c>
      <x:c r="L4564" s="19" t="str">
        <x:v>Z006</x:v>
      </x:c>
      <x:c r="M4564" s="19" t="str">
        <x:v>In Field Warranty Claims</x:v>
      </x:c>
      <x:c r="N4564" s="37" t="n">
        <x:v>46010</x:v>
      </x:c>
      <x:c r="O4564" s="37"/>
      <x:c r="P4564" s="34" t="n">
        <x:v>8938.31</x:v>
      </x:c>
      <x:c r="Q4564" s="37" t="n">
        <x:v>46108.2096875</x:v>
      </x:c>
    </x:row>
    <x:row r="4565">
      <x:c r="A4565" s="22" t="n">
        <x:v>29296</x:v>
      </x:c>
      <x:c r="B4565" s="28" t="n">
        <x:v>364.91</x:v>
      </x:c>
      <x:c r="C4565" s="28" t="n">
        <x:v>401.4</x:v>
      </x:c>
      <x:c r="D4565" s="31" t="n">
        <x:f>IF(OR(ISBLANK(B4565),ISBLANK(C4565),B4565=0),"",(C4565-B4565)/B4565)</x:f>
        <x:v>0.09999725959825696</x:v>
      </x:c>
      <x:c r="E4565" s="22" t="str">
        <x:f>IF(ISBLANK(C4565),"AmountIncludingTax缺失",IF(ABS(B4565-C4565)&lt;0.005,"一致","不一致"))</x:f>
        <x:v>不一致</x:v>
      </x:c>
      <x:c r="F4565" s="19" t="str">
        <x:v>approved</x:v>
      </x:c>
      <x:c r="G4565" s="19" t="str">
        <x:v>Repair in Progress</x:v>
      </x:c>
      <x:c r="H4565" s="19" t="str">
        <x:v>In Field</x:v>
      </x:c>
      <x:c r="I4565" s="37" t="n">
        <x:v>46055</x:v>
      </x:c>
      <x:c r="J4565" s="37" t="n">
        <x:v>46055</x:v>
      </x:c>
      <x:c r="K4565" s="19" t="str">
        <x:v>Regent RV - Perth</x:v>
      </x:c>
      <x:c r="L4565" s="19" t="str">
        <x:v>Z006</x:v>
      </x:c>
      <x:c r="M4565" s="19" t="str">
        <x:v>In Field Warranty Claims</x:v>
      </x:c>
      <x:c r="N4565" s="37" t="n">
        <x:v>46010</x:v>
      </x:c>
      <x:c r="O4565" s="37"/>
      <x:c r="P4565" s="34" t="n">
        <x:v>401.4</x:v>
      </x:c>
      <x:c r="Q4565" s="37" t="n">
        <x:v>46055.150925925926</x:v>
      </x:c>
    </x:row>
    <x:row r="4566">
      <x:c r="A4566" s="22" t="n">
        <x:v>29295</x:v>
      </x:c>
      <x:c r="B4566" s="28" t="n">
        <x:v>285</x:v>
      </x:c>
      <x:c r="C4566" s="28"/>
      <x:c r="D4566" s="31" t="str">
        <x:f>IF(OR(ISBLANK(B4566),ISBLANK(C4566),B4566=0),"",(C4566-B4566)/B4566)</x:f>
      </x:c>
      <x:c r="E4566" s="22" t="str">
        <x:f>IF(ISBLANK(C4566),"AmountIncludingTax缺失",IF(ABS(B4566-C4566)&lt;0.005,"一致","不一致"))</x:f>
        <x:v>AmountIncludingTax缺失</x:v>
      </x:c>
      <x:c r="F4566" s="19" t="str">
        <x:v>approved</x:v>
      </x:c>
      <x:c r="G4566" s="19" t="str">
        <x:v>Repair in Progress</x:v>
      </x:c>
      <x:c r="H4566" s="19" t="str">
        <x:v>In Field</x:v>
      </x:c>
      <x:c r="I4566" s="37" t="n">
        <x:v>46072</x:v>
      </x:c>
      <x:c r="J4566" s="37" t="n">
        <x:v>46072</x:v>
      </x:c>
      <x:c r="K4566" s="19" t="str">
        <x:v>Newcastle RV Super Centre - Beresfield</x:v>
      </x:c>
      <x:c r="L4566" s="19" t="str">
        <x:v>Z006</x:v>
      </x:c>
      <x:c r="M4566" s="19" t="str">
        <x:v>In Field Warranty Claims</x:v>
      </x:c>
      <x:c r="N4566" s="37" t="n">
        <x:v>46010</x:v>
      </x:c>
      <x:c r="O4566" s="37"/>
      <x:c r="P4566" s="34" t="n">
        <x:v>0</x:v>
      </x:c>
      <x:c r="Q4566" s="37" t="n">
        <x:v>46072.207870370374</x:v>
      </x:c>
    </x:row>
    <x:row r="4567">
      <x:c r="A4567" s="22" t="n">
        <x:v>29292</x:v>
      </x:c>
      <x:c r="B4567" s="28" t="n">
        <x:v>540</x:v>
      </x:c>
      <x:c r="C4567" s="28"/>
      <x:c r="D4567" s="31" t="str">
        <x:f>IF(OR(ISBLANK(B4567),ISBLANK(C4567),B4567=0),"",(C4567-B4567)/B4567)</x:f>
      </x:c>
      <x:c r="E4567" s="22" t="str">
        <x:f>IF(ISBLANK(C4567),"AmountIncludingTax缺失",IF(ABS(B4567-C4567)&lt;0.005,"一致","不一致"))</x:f>
        <x:v>AmountIncludingTax缺失</x:v>
      </x:c>
      <x:c r="F4567" s="19" t="str">
        <x:v>approved</x:v>
      </x:c>
      <x:c r="G4567" s="19" t="str">
        <x:v>Repair in Progress</x:v>
      </x:c>
      <x:c r="H4567" s="19" t="str">
        <x:v>In Field</x:v>
      </x:c>
      <x:c r="I4567" s="37" t="n">
        <x:v>46115</x:v>
      </x:c>
      <x:c r="J4567" s="37" t="n">
        <x:v>46115</x:v>
      </x:c>
      <x:c r="K4567" s="19" t="str">
        <x:v>Auswide Caravans - South Nowra</x:v>
      </x:c>
      <x:c r="L4567" s="19" t="str">
        <x:v>Z006</x:v>
      </x:c>
      <x:c r="M4567" s="19" t="str">
        <x:v>In Field Warranty Claims</x:v>
      </x:c>
      <x:c r="N4567" s="37" t="n">
        <x:v>46010</x:v>
      </x:c>
      <x:c r="O4567" s="37"/>
      <x:c r="P4567" s="34" t="n">
        <x:v>0</x:v>
      </x:c>
      <x:c r="Q4567" s="37" t="n">
        <x:v>46115.318703703706</x:v>
      </x:c>
    </x:row>
    <x:row r="4568">
      <x:c r="A4568" s="22" t="n">
        <x:v>29290</x:v>
      </x:c>
      <x:c r="B4568" s="28" t="n">
        <x:v>220</x:v>
      </x:c>
      <x:c r="C4568" s="28"/>
      <x:c r="D4568" s="31" t="str">
        <x:f>IF(OR(ISBLANK(B4568),ISBLANK(C4568),B4568=0),"",(C4568-B4568)/B4568)</x:f>
      </x:c>
      <x:c r="E4568" s="22" t="str">
        <x:f>IF(ISBLANK(C4568),"AmountIncludingTax缺失",IF(ABS(B4568-C4568)&lt;0.005,"一致","不一致"))</x:f>
        <x:v>AmountIncludingTax缺失</x:v>
      </x:c>
      <x:c r="F4568" s="19" t="str">
        <x:v>approved</x:v>
      </x:c>
      <x:c r="G4568" s="19" t="str">
        <x:v>Repair in Progress</x:v>
      </x:c>
      <x:c r="H4568" s="19" t="str">
        <x:v>In Field</x:v>
      </x:c>
      <x:c r="I4568" s="37" t="n">
        <x:v>46100</x:v>
      </x:c>
      <x:c r="J4568" s="37" t="n">
        <x:v>46100</x:v>
      </x:c>
      <x:c r="K4568" s="19" t="str">
        <x:v>Regent RV - Perth</x:v>
      </x:c>
      <x:c r="L4568" s="19" t="str">
        <x:v>Z006</x:v>
      </x:c>
      <x:c r="M4568" s="19" t="str">
        <x:v>In Field Warranty Claims</x:v>
      </x:c>
      <x:c r="N4568" s="37" t="n">
        <x:v>46010</x:v>
      </x:c>
      <x:c r="O4568" s="37"/>
      <x:c r="P4568" s="34" t="n">
        <x:v>0</x:v>
      </x:c>
      <x:c r="Q4568" s="37" t="n">
        <x:v>46100.19792824074</x:v>
      </x:c>
    </x:row>
    <x:row r="4569">
      <x:c r="A4569" s="22" t="n">
        <x:v>29285</x:v>
      </x:c>
      <x:c r="B4569" s="28" t="n">
        <x:v>3610.44</x:v>
      </x:c>
      <x:c r="C4569" s="28"/>
      <x:c r="D4569" s="31" t="str">
        <x:f>IF(OR(ISBLANK(B4569),ISBLANK(C4569),B4569=0),"",(C4569-B4569)/B4569)</x:f>
      </x:c>
      <x:c r="E4569" s="22" t="str">
        <x:f>IF(ISBLANK(C4569),"AmountIncludingTax缺失",IF(ABS(B4569-C4569)&lt;0.005,"一致","不一致"))</x:f>
        <x:v>AmountIncludingTax缺失</x:v>
      </x:c>
      <x:c r="F4569" s="19" t="str">
        <x:v>approved</x:v>
      </x:c>
      <x:c r="G4569" s="19" t="str">
        <x:v>Sales Order Approved</x:v>
      </x:c>
      <x:c r="H4569" s="19" t="str">
        <x:v>Pre Delivery</x:v>
      </x:c>
      <x:c r="I4569" s="37" t="n">
        <x:v>46190</x:v>
      </x:c>
      <x:c r="J4569" s="37" t="n">
        <x:v>46190</x:v>
      </x:c>
      <x:c r="K4569" s="19" t="str">
        <x:v>The Caravan Hub - Townsville</x:v>
      </x:c>
      <x:c r="L4569" s="19" t="str">
        <x:v>Z005</x:v>
      </x:c>
      <x:c r="M4569" s="19" t="str">
        <x:v>Pre Delivery Warranty Claims</x:v>
      </x:c>
      <x:c r="N4569" s="37" t="n">
        <x:v>46010</x:v>
      </x:c>
      <x:c r="O4569" s="37"/>
      <x:c r="P4569" s="34" t="n">
        <x:v>0</x:v>
      </x:c>
      <x:c r="Q4569" s="37" t="n">
        <x:v>46190.12761574074</x:v>
      </x:c>
    </x:row>
    <x:row r="4570">
      <x:c r="A4570" s="22" t="n">
        <x:v>29284</x:v>
      </x:c>
      <x:c r="B4570" s="28" t="n">
        <x:v>330</x:v>
      </x:c>
      <x:c r="C4570" s="28"/>
      <x:c r="D4570" s="31" t="str">
        <x:f>IF(OR(ISBLANK(B4570),ISBLANK(C4570),B4570=0),"",(C4570-B4570)/B4570)</x:f>
      </x:c>
      <x:c r="E4570" s="22" t="str">
        <x:f>IF(ISBLANK(C4570),"AmountIncludingTax缺失",IF(ABS(B4570-C4570)&lt;0.005,"一致","不一致"))</x:f>
        <x:v>AmountIncludingTax缺失</x:v>
      </x:c>
      <x:c r="F4570" s="19" t="str">
        <x:v>approved</x:v>
      </x:c>
      <x:c r="G4570" s="19" t="str">
        <x:v>Repair in Progress</x:v>
      </x:c>
      <x:c r="H4570" s="19" t="str">
        <x:v>Pre Delivery</x:v>
      </x:c>
      <x:c r="I4570" s="37" t="n">
        <x:v>46129</x:v>
      </x:c>
      <x:c r="J4570" s="37" t="n">
        <x:v>46129</x:v>
      </x:c>
      <x:c r="K4570" s="19" t="str">
        <x:v>Regent RV - Perth</x:v>
      </x:c>
      <x:c r="L4570" s="19" t="str">
        <x:v>Z005</x:v>
      </x:c>
      <x:c r="M4570" s="19" t="str">
        <x:v>Pre Delivery Warranty Claims</x:v>
      </x:c>
      <x:c r="N4570" s="37" t="n">
        <x:v>46010</x:v>
      </x:c>
      <x:c r="O4570" s="37"/>
      <x:c r="P4570" s="34" t="n">
        <x:v>0</x:v>
      </x:c>
      <x:c r="Q4570" s="37" t="n">
        <x:v>46129.11787037037</x:v>
      </x:c>
    </x:row>
    <x:row r="4571">
      <x:c r="A4571" s="22" t="n">
        <x:v>29283</x:v>
      </x:c>
      <x:c r="B4571" s="28" t="n">
        <x:v>275</x:v>
      </x:c>
      <x:c r="C4571" s="28"/>
      <x:c r="D4571" s="31" t="str">
        <x:f>IF(OR(ISBLANK(B4571),ISBLANK(C4571),B4571=0),"",(C4571-B4571)/B4571)</x:f>
      </x:c>
      <x:c r="E4571" s="22" t="str">
        <x:f>IF(ISBLANK(C4571),"AmountIncludingTax缺失",IF(ABS(B4571-C4571)&lt;0.005,"一致","不一致"))</x:f>
        <x:v>AmountIncludingTax缺失</x:v>
      </x:c>
      <x:c r="F4571" s="19" t="str">
        <x:v>approved</x:v>
      </x:c>
      <x:c r="G4571" s="19" t="str">
        <x:v>Repair in Progress</x:v>
      </x:c>
      <x:c r="H4571" s="19" t="str">
        <x:v>In Field</x:v>
      </x:c>
      <x:c r="I4571" s="37" t="n">
        <x:v>46056</x:v>
      </x:c>
      <x:c r="J4571" s="37" t="n">
        <x:v>46056</x:v>
      </x:c>
      <x:c r="K4571" s="19" t="str">
        <x:v>Regent RV - Perth</x:v>
      </x:c>
      <x:c r="L4571" s="19" t="str">
        <x:v>Z006</x:v>
      </x:c>
      <x:c r="M4571" s="19" t="str">
        <x:v>In Field Warranty Claims</x:v>
      </x:c>
      <x:c r="N4571" s="37" t="n">
        <x:v>46010</x:v>
      </x:c>
      <x:c r="O4571" s="37"/>
      <x:c r="P4571" s="34" t="n">
        <x:v>0</x:v>
      </x:c>
      <x:c r="Q4571" s="37" t="n">
        <x:v>46055.95003472222</x:v>
      </x:c>
    </x:row>
    <x:row r="4572">
      <x:c r="A4572" s="22" t="n">
        <x:v>29282</x:v>
      </x:c>
      <x:c r="B4572" s="28" t="n">
        <x:v>1167</x:v>
      </x:c>
      <x:c r="C4572" s="28"/>
      <x:c r="D4572" s="31" t="str">
        <x:f>IF(OR(ISBLANK(B4572),ISBLANK(C4572),B4572=0),"",(C4572-B4572)/B4572)</x:f>
      </x:c>
      <x:c r="E4572" s="22" t="str">
        <x:f>IF(ISBLANK(C4572),"AmountIncludingTax缺失",IF(ABS(B4572-C4572)&lt;0.005,"一致","不一致"))</x:f>
        <x:v>AmountIncludingTax缺失</x:v>
      </x:c>
      <x:c r="F4572" s="19" t="str">
        <x:v>approved</x:v>
      </x:c>
      <x:c r="G4572" s="19" t="str">
        <x:v>Repair in Progress</x:v>
      </x:c>
      <x:c r="H4572" s="19" t="str">
        <x:v>In Field</x:v>
      </x:c>
      <x:c r="I4572" s="37" t="n">
        <x:v>46132</x:v>
      </x:c>
      <x:c r="J4572" s="37" t="n">
        <x:v>46132</x:v>
      </x:c>
      <x:c r="K4572" s="19" t="str">
        <x:v>Regent RV - Perth</x:v>
      </x:c>
      <x:c r="L4572" s="19" t="str">
        <x:v>Z006</x:v>
      </x:c>
      <x:c r="M4572" s="19" t="str">
        <x:v>In Field Warranty Claims</x:v>
      </x:c>
      <x:c r="N4572" s="37" t="n">
        <x:v>46010</x:v>
      </x:c>
      <x:c r="O4572" s="37"/>
      <x:c r="P4572" s="34" t="n">
        <x:v>1283.7</x:v>
      </x:c>
      <x:c r="Q4572" s="37" t="n">
        <x:v>46132.25090277778</x:v>
      </x:c>
    </x:row>
    <x:row r="4573">
      <x:c r="A4573" s="22" t="n">
        <x:v>29281</x:v>
      </x:c>
      <x:c r="B4573" s="28" t="n">
        <x:v>82.5</x:v>
      </x:c>
      <x:c r="C4573" s="28"/>
      <x:c r="D4573" s="31" t="str">
        <x:f>IF(OR(ISBLANK(B4573),ISBLANK(C4573),B4573=0),"",(C4573-B4573)/B4573)</x:f>
      </x:c>
      <x:c r="E4573" s="22" t="str">
        <x:f>IF(ISBLANK(C4573),"AmountIncludingTax缺失",IF(ABS(B4573-C4573)&lt;0.005,"一致","不一致"))</x:f>
        <x:v>AmountIncludingTax缺失</x:v>
      </x:c>
      <x:c r="F4573" s="19" t="str">
        <x:v>approved</x:v>
      </x:c>
      <x:c r="G4573" s="19" t="str">
        <x:v>Repair in Progress</x:v>
      </x:c>
      <x:c r="H4573" s="19" t="str">
        <x:v>Pre Delivery</x:v>
      </x:c>
      <x:c r="I4573" s="37" t="n">
        <x:v>46114</x:v>
      </x:c>
      <x:c r="J4573" s="37" t="n">
        <x:v>46114</x:v>
      </x:c>
      <x:c r="K4573" s="19" t="str">
        <x:v>Regent RV - Perth</x:v>
      </x:c>
      <x:c r="L4573" s="19" t="str">
        <x:v>Z005</x:v>
      </x:c>
      <x:c r="M4573" s="19" t="str">
        <x:v>Pre Delivery Warranty Claims</x:v>
      </x:c>
      <x:c r="N4573" s="37" t="n">
        <x:v>46010</x:v>
      </x:c>
      <x:c r="O4573" s="37"/>
      <x:c r="P4573" s="34" t="n">
        <x:v>0</x:v>
      </x:c>
      <x:c r="Q4573" s="37" t="n">
        <x:v>46114.143425925926</x:v>
      </x:c>
    </x:row>
    <x:row r="4574">
      <x:c r="A4574" s="22" t="n">
        <x:v>29280</x:v>
      </x:c>
      <x:c r="B4574" s="28" t="n">
        <x:v>577.5</x:v>
      </x:c>
      <x:c r="C4574" s="28"/>
      <x:c r="D4574" s="31" t="str">
        <x:f>IF(OR(ISBLANK(B4574),ISBLANK(C4574),B4574=0),"",(C4574-B4574)/B4574)</x:f>
      </x:c>
      <x:c r="E4574" s="22" t="str">
        <x:f>IF(ISBLANK(C4574),"AmountIncludingTax缺失",IF(ABS(B4574-C4574)&lt;0.005,"一致","不一致"))</x:f>
        <x:v>AmountIncludingTax缺失</x:v>
      </x:c>
      <x:c r="F4574" s="19" t="str">
        <x:v>approved</x:v>
      </x:c>
      <x:c r="G4574" s="19" t="str">
        <x:v>Repairer Invoiced Processed</x:v>
      </x:c>
      <x:c r="H4574" s="19" t="str">
        <x:v>Pre Delivery</x:v>
      </x:c>
      <x:c r="I4574" s="37" t="n">
        <x:v>46055</x:v>
      </x:c>
      <x:c r="J4574" s="37" t="n">
        <x:v>46055</x:v>
      </x:c>
      <x:c r="K4574" s="19" t="str">
        <x:v>Regent RV - Perth</x:v>
      </x:c>
      <x:c r="L4574" s="19" t="str">
        <x:v>Z005</x:v>
      </x:c>
      <x:c r="M4574" s="19" t="str">
        <x:v>Pre Delivery Warranty Claims</x:v>
      </x:c>
      <x:c r="N4574" s="37" t="n">
        <x:v>46010</x:v>
      </x:c>
      <x:c r="O4574" s="37"/>
      <x:c r="P4574" s="34" t="n">
        <x:v>0</x:v>
      </x:c>
      <x:c r="Q4574" s="37" t="n">
        <x:v>46055.122465277775</x:v>
      </x:c>
    </x:row>
    <x:row r="4575">
      <x:c r="A4575" s="22" t="n">
        <x:v>29279</x:v>
      </x:c>
      <x:c r="B4575" s="28" t="n">
        <x:v>308.18</x:v>
      </x:c>
      <x:c r="C4575" s="28" t="n">
        <x:v>339</x:v>
      </x:c>
      <x:c r="D4575" s="31" t="n">
        <x:f>IF(OR(ISBLANK(B4575),ISBLANK(C4575),B4575=0),"",(C4575-B4575)/B4575)</x:f>
        <x:v>0.1000064897138036</x:v>
      </x:c>
      <x:c r="E4575" s="22" t="str">
        <x:f>IF(ISBLANK(C4575),"AmountIncludingTax缺失",IF(ABS(B4575-C4575)&lt;0.005,"一致","不一致"))</x:f>
        <x:v>不一致</x:v>
      </x:c>
      <x:c r="F4575" s="19" t="str">
        <x:v>approved</x:v>
      </x:c>
      <x:c r="G4575" s="19" t="str">
        <x:v>Repairer Invoiced Processed</x:v>
      </x:c>
      <x:c r="H4575" s="19" t="str">
        <x:v>Pre Delivery</x:v>
      </x:c>
      <x:c r="I4575" s="37" t="n">
        <x:v>46066</x:v>
      </x:c>
      <x:c r="J4575" s="37" t="n">
        <x:v>46066</x:v>
      </x:c>
      <x:c r="K4575" s="19" t="str">
        <x:v>The Caravan Hub - Townsville</x:v>
      </x:c>
      <x:c r="L4575" s="19" t="str">
        <x:v>Z005</x:v>
      </x:c>
      <x:c r="M4575" s="19" t="str">
        <x:v>Pre Delivery Warranty Claims</x:v>
      </x:c>
      <x:c r="N4575" s="37" t="n">
        <x:v>46010</x:v>
      </x:c>
      <x:c r="O4575" s="37"/>
      <x:c r="P4575" s="34" t="n">
        <x:v>339</x:v>
      </x:c>
      <x:c r="Q4575" s="37" t="n">
        <x:v>46066.130636574075</x:v>
      </x:c>
    </x:row>
    <x:row r="4576">
      <x:c r="A4576" s="22" t="n">
        <x:v>29278</x:v>
      </x:c>
      <x:c r="B4576" s="28" t="n">
        <x:v>195.67</x:v>
      </x:c>
      <x:c r="C4576" s="28" t="n">
        <x:v>215.24</x:v>
      </x:c>
      <x:c r="D4576" s="31" t="n">
        <x:f>IF(OR(ISBLANK(B4576),ISBLANK(C4576),B4576=0),"",(C4576-B4576)/B4576)</x:f>
        <x:v>0.10001533193642369</x:v>
      </x:c>
      <x:c r="E4576" s="22" t="str">
        <x:f>IF(ISBLANK(C4576),"AmountIncludingTax缺失",IF(ABS(B4576-C4576)&lt;0.005,"一致","不一致"))</x:f>
        <x:v>不一致</x:v>
      </x:c>
      <x:c r="F4576" s="19" t="str">
        <x:v>approved</x:v>
      </x:c>
      <x:c r="G4576" s="19" t="str">
        <x:v>Repairer Invoiced Processed</x:v>
      </x:c>
      <x:c r="H4576" s="19" t="str">
        <x:v>In Field</x:v>
      </x:c>
      <x:c r="I4576" s="37" t="n">
        <x:v>46130</x:v>
      </x:c>
      <x:c r="J4576" s="37" t="n">
        <x:v>46130</x:v>
      </x:c>
      <x:c r="K4576" s="19" t="str">
        <x:v>Regent RV - Perth</x:v>
      </x:c>
      <x:c r="L4576" s="19" t="str">
        <x:v>Z006</x:v>
      </x:c>
      <x:c r="M4576" s="19" t="str">
        <x:v>In Field Warranty Claims</x:v>
      </x:c>
      <x:c r="N4576" s="37" t="n">
        <x:v>46010</x:v>
      </x:c>
      <x:c r="O4576" s="37"/>
      <x:c r="P4576" s="34" t="n">
        <x:v>215.24</x:v>
      </x:c>
      <x:c r="Q4576" s="37" t="n">
        <x:v>46130.1087962963</x:v>
      </x:c>
    </x:row>
    <x:row r="4577">
      <x:c r="A4577" s="22" t="n">
        <x:v>29277</x:v>
      </x:c>
      <x:c r="B4577" s="28" t="n">
        <x:v>208.75</x:v>
      </x:c>
      <x:c r="C4577" s="28" t="n">
        <x:v>229.63</x:v>
      </x:c>
      <x:c r="D4577" s="31" t="n">
        <x:f>IF(OR(ISBLANK(B4577),ISBLANK(C4577),B4577=0),"",(C4577-B4577)/B4577)</x:f>
        <x:v>0.10002395209580836</x:v>
      </x:c>
      <x:c r="E4577" s="22" t="str">
        <x:f>IF(ISBLANK(C4577),"AmountIncludingTax缺失",IF(ABS(B4577-C4577)&lt;0.005,"一致","不一致"))</x:f>
        <x:v>不一致</x:v>
      </x:c>
      <x:c r="F4577" s="19" t="str">
        <x:v>approved</x:v>
      </x:c>
      <x:c r="G4577" s="19" t="str">
        <x:v>Repairer Invoiced Processed</x:v>
      </x:c>
      <x:c r="H4577" s="19" t="str">
        <x:v>Pre Delivery</x:v>
      </x:c>
      <x:c r="I4577" s="37" t="n">
        <x:v>46108</x:v>
      </x:c>
      <x:c r="J4577" s="37" t="n">
        <x:v>46108</x:v>
      </x:c>
      <x:c r="K4577" s="19" t="str">
        <x:v>Green RV - Slacks Creek</x:v>
      </x:c>
      <x:c r="L4577" s="19" t="str">
        <x:v>Z005</x:v>
      </x:c>
      <x:c r="M4577" s="19" t="str">
        <x:v>Pre Delivery Warranty Claims</x:v>
      </x:c>
      <x:c r="N4577" s="37" t="n">
        <x:v>46010</x:v>
      </x:c>
      <x:c r="O4577" s="37"/>
      <x:c r="P4577" s="34" t="n">
        <x:v>229.63</x:v>
      </x:c>
      <x:c r="Q4577" s="37" t="n">
        <x:v>46108.01155092593</x:v>
      </x:c>
    </x:row>
    <x:row r="4578">
      <x:c r="A4578" s="22" t="n">
        <x:v>29276</x:v>
      </x:c>
      <x:c r="B4578" s="28" t="n">
        <x:v>208.75</x:v>
      </x:c>
      <x:c r="C4578" s="28" t="n">
        <x:v>229.63</x:v>
      </x:c>
      <x:c r="D4578" s="31" t="n">
        <x:f>IF(OR(ISBLANK(B4578),ISBLANK(C4578),B4578=0),"",(C4578-B4578)/B4578)</x:f>
        <x:v>0.10002395209580836</x:v>
      </x:c>
      <x:c r="E4578" s="22" t="str">
        <x:f>IF(ISBLANK(C4578),"AmountIncludingTax缺失",IF(ABS(B4578-C4578)&lt;0.005,"一致","不一致"))</x:f>
        <x:v>不一致</x:v>
      </x:c>
      <x:c r="F4578" s="19" t="str">
        <x:v>approved</x:v>
      </x:c>
      <x:c r="G4578" s="19" t="str">
        <x:v>Repairer Invoiced Processed</x:v>
      </x:c>
      <x:c r="H4578" s="19" t="str">
        <x:v>Pre Delivery</x:v>
      </x:c>
      <x:c r="I4578" s="37" t="n">
        <x:v>46108</x:v>
      </x:c>
      <x:c r="J4578" s="37" t="n">
        <x:v>46108</x:v>
      </x:c>
      <x:c r="K4578" s="19" t="str">
        <x:v>Green RV - Slacks Creek</x:v>
      </x:c>
      <x:c r="L4578" s="19" t="str">
        <x:v>Z005</x:v>
      </x:c>
      <x:c r="M4578" s="19" t="str">
        <x:v>Pre Delivery Warranty Claims</x:v>
      </x:c>
      <x:c r="N4578" s="37" t="n">
        <x:v>46010</x:v>
      </x:c>
      <x:c r="O4578" s="37"/>
      <x:c r="P4578" s="34" t="n">
        <x:v>229.63</x:v>
      </x:c>
      <x:c r="Q4578" s="37" t="n">
        <x:v>46108.00759259259</x:v>
      </x:c>
    </x:row>
    <x:row r="4579">
      <x:c r="A4579" s="22" t="n">
        <x:v>29275</x:v>
      </x:c>
      <x:c r="B4579" s="28" t="n">
        <x:v>440</x:v>
      </x:c>
      <x:c r="C4579" s="28"/>
      <x:c r="D4579" s="31" t="str">
        <x:f>IF(OR(ISBLANK(B4579),ISBLANK(C4579),B4579=0),"",(C4579-B4579)/B4579)</x:f>
      </x:c>
      <x:c r="E4579" s="22" t="str">
        <x:f>IF(ISBLANK(C4579),"AmountIncludingTax缺失",IF(ABS(B4579-C4579)&lt;0.005,"一致","不一致"))</x:f>
        <x:v>AmountIncludingTax缺失</x:v>
      </x:c>
      <x:c r="F4579" s="19" t="str">
        <x:v>approved</x:v>
      </x:c>
      <x:c r="G4579" s="19" t="str">
        <x:v>Repair in Progress</x:v>
      </x:c>
      <x:c r="H4579" s="19" t="str">
        <x:v>In Field</x:v>
      </x:c>
      <x:c r="I4579" s="37" t="n">
        <x:v>46029</x:v>
      </x:c>
      <x:c r="J4579" s="37" t="n">
        <x:v>46029</x:v>
      </x:c>
      <x:c r="K4579" s="19" t="str">
        <x:v>Regent RV - Perth</x:v>
      </x:c>
      <x:c r="L4579" s="19" t="str">
        <x:v>Z006</x:v>
      </x:c>
      <x:c r="M4579" s="19" t="str">
        <x:v>In Field Warranty Claims</x:v>
      </x:c>
      <x:c r="N4579" s="37" t="n">
        <x:v>46009</x:v>
      </x:c>
      <x:c r="O4579" s="37"/>
      <x:c r="P4579" s="34" t="n">
        <x:v>0</x:v>
      </x:c>
      <x:c r="Q4579" s="37" t="n">
        <x:v>46029.160833333335</x:v>
      </x:c>
    </x:row>
    <x:row r="4580">
      <x:c r="A4580" s="22" t="n">
        <x:v>29274</x:v>
      </x:c>
      <x:c r="B4580" s="28" t="n">
        <x:v>6940</x:v>
      </x:c>
      <x:c r="C4580" s="28"/>
      <x:c r="D4580" s="31" t="str">
        <x:f>IF(OR(ISBLANK(B4580),ISBLANK(C4580),B4580=0),"",(C4580-B4580)/B4580)</x:f>
      </x:c>
      <x:c r="E4580" s="22" t="str">
        <x:f>IF(ISBLANK(C4580),"AmountIncludingTax缺失",IF(ABS(B4580-C4580)&lt;0.005,"一致","不一致"))</x:f>
        <x:v>AmountIncludingTax缺失</x:v>
      </x:c>
      <x:c r="F4580" s="19" t="str">
        <x:v>approved</x:v>
      </x:c>
      <x:c r="G4580" s="19" t="str">
        <x:v>Repairer Invoiced Processed</x:v>
      </x:c>
      <x:c r="H4580" s="19" t="str">
        <x:v>In Field</x:v>
      </x:c>
      <x:c r="I4580" s="37" t="n">
        <x:v>46057</x:v>
      </x:c>
      <x:c r="J4580" s="37" t="n">
        <x:v>46057</x:v>
      </x:c>
      <x:c r="K4580" s="19" t="str">
        <x:v>Regent RV - Perth</x:v>
      </x:c>
      <x:c r="L4580" s="19" t="str">
        <x:v>Z006</x:v>
      </x:c>
      <x:c r="M4580" s="19" t="str">
        <x:v>In Field Warranty Claims</x:v>
      </x:c>
      <x:c r="N4580" s="37" t="n">
        <x:v>46009</x:v>
      </x:c>
      <x:c r="O4580" s="37"/>
      <x:c r="P4580" s="34" t="n">
        <x:v>7634</x:v>
      </x:c>
      <x:c r="Q4580" s="37" t="n">
        <x:v>46057.15399305556</x:v>
      </x:c>
    </x:row>
    <x:row r="4581">
      <x:c r="A4581" s="22" t="n">
        <x:v>29273</x:v>
      </x:c>
      <x:c r="B4581" s="28" t="n">
        <x:v>667.93</x:v>
      </x:c>
      <x:c r="C4581" s="28" t="n">
        <x:v>604.74</x:v>
      </x:c>
      <x:c r="D4581" s="31" t="n">
        <x:f>IF(OR(ISBLANK(B4581),ISBLANK(C4581),B4581=0),"",(C4581-B4581)/B4581)</x:f>
        <x:v>-0.09460572215651332</x:v>
      </x:c>
      <x:c r="E4581" s="22" t="str">
        <x:f>IF(ISBLANK(C4581),"AmountIncludingTax缺失",IF(ABS(B4581-C4581)&lt;0.005,"一致","不一致"))</x:f>
        <x:v>不一致</x:v>
      </x:c>
      <x:c r="F4581" s="19" t="str">
        <x:v>approved</x:v>
      </x:c>
      <x:c r="G4581" s="19" t="str">
        <x:v>Repairer Invoiced Processed</x:v>
      </x:c>
      <x:c r="H4581" s="19" t="str">
        <x:v>In Field</x:v>
      </x:c>
      <x:c r="I4581" s="37" t="n">
        <x:v>46101</x:v>
      </x:c>
      <x:c r="J4581" s="37" t="n">
        <x:v>46101</x:v>
      </x:c>
      <x:c r="K4581" s="19" t="str">
        <x:v>Vanari Caravans - Marden Point</x:v>
      </x:c>
      <x:c r="L4581" s="19" t="str">
        <x:v>Z006</x:v>
      </x:c>
      <x:c r="M4581" s="19" t="str">
        <x:v>In Field Warranty Claims</x:v>
      </x:c>
      <x:c r="N4581" s="37" t="n">
        <x:v>46009</x:v>
      </x:c>
      <x:c r="O4581" s="37"/>
      <x:c r="P4581" s="34" t="n">
        <x:v>604.74</x:v>
      </x:c>
      <x:c r="Q4581" s="37" t="n">
        <x:v>46100.97513888889</x:v>
      </x:c>
    </x:row>
    <x:row r="4582">
      <x:c r="A4582" s="22" t="n">
        <x:v>29272</x:v>
      </x:c>
      <x:c r="B4582" s="28" t="n">
        <x:v>1660.88</x:v>
      </x:c>
      <x:c r="C4582" s="28"/>
      <x:c r="D4582" s="31" t="str">
        <x:f>IF(OR(ISBLANK(B4582),ISBLANK(C4582),B4582=0),"",(C4582-B4582)/B4582)</x:f>
      </x:c>
      <x:c r="E4582" s="22" t="str">
        <x:f>IF(ISBLANK(C4582),"AmountIncludingTax缺失",IF(ABS(B4582-C4582)&lt;0.005,"一致","不一致"))</x:f>
        <x:v>AmountIncludingTax缺失</x:v>
      </x:c>
      <x:c r="F4582" s="19" t="str">
        <x:v>approved</x:v>
      </x:c>
      <x:c r="G4582" s="19" t="str">
        <x:v>Repairer Invoiced Processed</x:v>
      </x:c>
      <x:c r="H4582" s="19" t="str">
        <x:v>Pre Delivery</x:v>
      </x:c>
      <x:c r="I4582" s="37" t="n">
        <x:v>46069</x:v>
      </x:c>
      <x:c r="J4582" s="37" t="n">
        <x:v>46069</x:v>
      </x:c>
      <x:c r="K4582" s="19" t="str">
        <x:v>Lesiure Lion-New Castle</x:v>
      </x:c>
      <x:c r="L4582" s="19" t="str">
        <x:v>Z005</x:v>
      </x:c>
      <x:c r="M4582" s="19" t="str">
        <x:v>Pre Delivery Warranty Claims</x:v>
      </x:c>
      <x:c r="N4582" s="37" t="n">
        <x:v>46009</x:v>
      </x:c>
      <x:c r="O4582" s="37"/>
      <x:c r="P4582" s="34" t="n">
        <x:v>1826.97</x:v>
      </x:c>
      <x:c r="Q4582" s="37" t="n">
        <x:v>46069.17376157407</x:v>
      </x:c>
    </x:row>
    <x:row r="4583">
      <x:c r="A4583" s="22" t="n">
        <x:v>29271</x:v>
      </x:c>
      <x:c r="B4583" s="28" t="n">
        <x:v>405</x:v>
      </x:c>
      <x:c r="C4583" s="28"/>
      <x:c r="D4583" s="31" t="str">
        <x:f>IF(OR(ISBLANK(B4583),ISBLANK(C4583),B4583=0),"",(C4583-B4583)/B4583)</x:f>
      </x:c>
      <x:c r="E4583" s="22" t="str">
        <x:f>IF(ISBLANK(C4583),"AmountIncludingTax缺失",IF(ABS(B4583-C4583)&lt;0.005,"一致","不一致"))</x:f>
        <x:v>AmountIncludingTax缺失</x:v>
      </x:c>
      <x:c r="F4583" s="19" t="str">
        <x:v>approved</x:v>
      </x:c>
      <x:c r="G4583" s="19" t="str">
        <x:v>Sales Order Approved</x:v>
      </x:c>
      <x:c r="H4583" s="19" t="str">
        <x:v>Pre Delivery</x:v>
      </x:c>
      <x:c r="I4583" s="37" t="n">
        <x:v>46076</x:v>
      </x:c>
      <x:c r="J4583" s="37" t="n">
        <x:v>46076</x:v>
      </x:c>
      <x:c r="K4583" s="19" t="str">
        <x:v>Regent RV - Frankston</x:v>
      </x:c>
      <x:c r="L4583" s="19" t="str">
        <x:v>Z005</x:v>
      </x:c>
      <x:c r="M4583" s="19" t="str">
        <x:v>Pre Delivery Warranty Claims</x:v>
      </x:c>
      <x:c r="N4583" s="37" t="n">
        <x:v>46009</x:v>
      </x:c>
      <x:c r="O4583" s="37"/>
      <x:c r="P4583" s="34" t="n">
        <x:v>0</x:v>
      </x:c>
      <x:c r="Q4583" s="37" t="n">
        <x:v>46076.18498842593</x:v>
      </x:c>
    </x:row>
    <x:row r="4584">
      <x:c r="A4584" s="22" t="n">
        <x:v>29270</x:v>
      </x:c>
      <x:c r="B4584" s="28" t="n">
        <x:v>208.75</x:v>
      </x:c>
      <x:c r="C4584" s="28" t="n">
        <x:v>229.63</x:v>
      </x:c>
      <x:c r="D4584" s="31" t="n">
        <x:f>IF(OR(ISBLANK(B4584),ISBLANK(C4584),B4584=0),"",(C4584-B4584)/B4584)</x:f>
        <x:v>0.10002395209580836</x:v>
      </x:c>
      <x:c r="E4584" s="22" t="str">
        <x:f>IF(ISBLANK(C4584),"AmountIncludingTax缺失",IF(ABS(B4584-C4584)&lt;0.005,"一致","不一致"))</x:f>
        <x:v>不一致</x:v>
      </x:c>
      <x:c r="F4584" s="19" t="str">
        <x:v>approved</x:v>
      </x:c>
      <x:c r="G4584" s="19" t="str">
        <x:v>Repairer Invoiced Processed</x:v>
      </x:c>
      <x:c r="H4584" s="19" t="str">
        <x:v>Pre Delivery</x:v>
      </x:c>
      <x:c r="I4584" s="37" t="n">
        <x:v>46108</x:v>
      </x:c>
      <x:c r="J4584" s="37" t="n">
        <x:v>46108</x:v>
      </x:c>
      <x:c r="K4584" s="19" t="str">
        <x:v>Green RV - Slacks Creek</x:v>
      </x:c>
      <x:c r="L4584" s="19" t="str">
        <x:v>Z005</x:v>
      </x:c>
      <x:c r="M4584" s="19" t="str">
        <x:v>Pre Delivery Warranty Claims</x:v>
      </x:c>
      <x:c r="N4584" s="37" t="n">
        <x:v>46010</x:v>
      </x:c>
      <x:c r="O4584" s="37"/>
      <x:c r="P4584" s="34" t="n">
        <x:v>229.63</x:v>
      </x:c>
      <x:c r="Q4584" s="37" t="n">
        <x:v>46108.01688657407</x:v>
      </x:c>
    </x:row>
    <x:row r="4585">
      <x:c r="A4585" s="22" t="n">
        <x:v>29269</x:v>
      </x:c>
      <x:c r="B4585" s="28" t="n">
        <x:v>404.44</x:v>
      </x:c>
      <x:c r="C4585" s="28" t="n">
        <x:v>444.88</x:v>
      </x:c>
      <x:c r="D4585" s="31" t="n">
        <x:f>IF(OR(ISBLANK(B4585),ISBLANK(C4585),B4585=0),"",(C4585-B4585)/B4585)</x:f>
        <x:v>0.09999010978142617</x:v>
      </x:c>
      <x:c r="E4585" s="22" t="str">
        <x:f>IF(ISBLANK(C4585),"AmountIncludingTax缺失",IF(ABS(B4585-C4585)&lt;0.005,"一致","不一致"))</x:f>
        <x:v>不一致</x:v>
      </x:c>
      <x:c r="F4585" s="19" t="str">
        <x:v>approved</x:v>
      </x:c>
      <x:c r="G4585" s="19" t="str">
        <x:v>Repairer Invoiced Processed</x:v>
      </x:c>
      <x:c r="H4585" s="19" t="str">
        <x:v>Pre Delivery</x:v>
      </x:c>
      <x:c r="I4585" s="37" t="n">
        <x:v>46111</x:v>
      </x:c>
      <x:c r="J4585" s="37" t="n">
        <x:v>46111</x:v>
      </x:c>
      <x:c r="K4585" s="19" t="str">
        <x:v>Lesiure Lion-New Castle</x:v>
      </x:c>
      <x:c r="L4585" s="19" t="str">
        <x:v>Z005</x:v>
      </x:c>
      <x:c r="M4585" s="19" t="str">
        <x:v>Pre Delivery Warranty Claims</x:v>
      </x:c>
      <x:c r="N4585" s="37" t="n">
        <x:v>46009</x:v>
      </x:c>
      <x:c r="O4585" s="37"/>
      <x:c r="P4585" s="34" t="n">
        <x:v>444.88</x:v>
      </x:c>
      <x:c r="Q4585" s="37" t="n">
        <x:v>46111.11271990741</x:v>
      </x:c>
    </x:row>
    <x:row r="4586">
      <x:c r="A4586" s="22" t="n">
        <x:v>29262</x:v>
      </x:c>
      <x:c r="B4586" s="28" t="n">
        <x:v>82.5</x:v>
      </x:c>
      <x:c r="C4586" s="28" t="n">
        <x:v>90.75</x:v>
      </x:c>
      <x:c r="D4586" s="31" t="n">
        <x:f>IF(OR(ISBLANK(B4586),ISBLANK(C4586),B4586=0),"",(C4586-B4586)/B4586)</x:f>
        <x:v>0.1</x:v>
      </x:c>
      <x:c r="E4586" s="22" t="str">
        <x:f>IF(ISBLANK(C4586),"AmountIncludingTax缺失",IF(ABS(B4586-C4586)&lt;0.005,"一致","不一致"))</x:f>
        <x:v>不一致</x:v>
      </x:c>
      <x:c r="F4586" s="19" t="str">
        <x:v>approved</x:v>
      </x:c>
      <x:c r="G4586" s="19" t="str">
        <x:v>Repair in Progress</x:v>
      </x:c>
      <x:c r="H4586" s="19" t="str">
        <x:v>Pre Delivery</x:v>
      </x:c>
      <x:c r="I4586" s="37" t="n">
        <x:v>46055</x:v>
      </x:c>
      <x:c r="J4586" s="37" t="n">
        <x:v>46055</x:v>
      </x:c>
      <x:c r="K4586" s="19" t="str">
        <x:v>Regent RV - Perth</x:v>
      </x:c>
      <x:c r="L4586" s="19" t="str">
        <x:v>Z005</x:v>
      </x:c>
      <x:c r="M4586" s="19" t="str">
        <x:v>Pre Delivery Warranty Claims</x:v>
      </x:c>
      <x:c r="N4586" s="37" t="n">
        <x:v>46009</x:v>
      </x:c>
      <x:c r="O4586" s="37"/>
      <x:c r="P4586" s="34" t="n">
        <x:v>90.75</x:v>
      </x:c>
      <x:c r="Q4586" s="37" t="n">
        <x:v>46055.17517361111</x:v>
      </x:c>
    </x:row>
    <x:row r="4587">
      <x:c r="A4587" s="22" t="n">
        <x:v>29260</x:v>
      </x:c>
      <x:c r="B4587" s="28" t="n">
        <x:v>207.05</x:v>
      </x:c>
      <x:c r="C4587" s="28"/>
      <x:c r="D4587" s="31" t="str">
        <x:f>IF(OR(ISBLANK(B4587),ISBLANK(C4587),B4587=0),"",(C4587-B4587)/B4587)</x:f>
      </x:c>
      <x:c r="E4587" s="22" t="str">
        <x:f>IF(ISBLANK(C4587),"AmountIncludingTax缺失",IF(ABS(B4587-C4587)&lt;0.005,"一致","不一致"))</x:f>
        <x:v>AmountIncludingTax缺失</x:v>
      </x:c>
      <x:c r="F4587" s="19" t="str">
        <x:v>approved</x:v>
      </x:c>
      <x:c r="G4587" s="19" t="str">
        <x:v>Repairer Invoiced Processed</x:v>
      </x:c>
      <x:c r="H4587" s="19" t="str">
        <x:v>In Field</x:v>
      </x:c>
      <x:c r="I4587" s="37" t="n">
        <x:v>46079</x:v>
      </x:c>
      <x:c r="J4587" s="37" t="n">
        <x:v>46079</x:v>
      </x:c>
      <x:c r="K4587" s="19" t="str">
        <x:v>Green RV - Forest Glen</x:v>
      </x:c>
      <x:c r="L4587" s="19" t="str">
        <x:v>Z006</x:v>
      </x:c>
      <x:c r="M4587" s="19" t="str">
        <x:v>In Field Warranty Claims</x:v>
      </x:c>
      <x:c r="N4587" s="37" t="n">
        <x:v>46009</x:v>
      </x:c>
      <x:c r="O4587" s="37"/>
      <x:c r="P4587" s="34" t="n">
        <x:v>0</x:v>
      </x:c>
      <x:c r="Q4587" s="37" t="n">
        <x:v>46079.1518287037</x:v>
      </x:c>
    </x:row>
    <x:row r="4588">
      <x:c r="A4588" s="22" t="n">
        <x:v>29258</x:v>
      </x:c>
      <x:c r="B4588" s="28" t="n">
        <x:v>67.5</x:v>
      </x:c>
      <x:c r="C4588" s="28" t="n">
        <x:v>74.25</x:v>
      </x:c>
      <x:c r="D4588" s="31" t="n">
        <x:f>IF(OR(ISBLANK(B4588),ISBLANK(C4588),B4588=0),"",(C4588-B4588)/B4588)</x:f>
        <x:v>0.1</x:v>
      </x:c>
      <x:c r="E4588" s="22" t="str">
        <x:f>IF(ISBLANK(C4588),"AmountIncludingTax缺失",IF(ABS(B4588-C4588)&lt;0.005,"一致","不一致"))</x:f>
        <x:v>不一致</x:v>
      </x:c>
      <x:c r="F4588" s="19" t="str">
        <x:v>approved</x:v>
      </x:c>
      <x:c r="G4588" s="19" t="str">
        <x:v>Repair in Progress</x:v>
      </x:c>
      <x:c r="H4588" s="19" t="str">
        <x:v>In Field</x:v>
      </x:c>
      <x:c r="I4588" s="37" t="n">
        <x:v>46051</x:v>
      </x:c>
      <x:c r="J4588" s="37" t="n">
        <x:v>46051</x:v>
      </x:c>
      <x:c r="K4588" s="19" t="str">
        <x:v>Green RV - Forest Glen</x:v>
      </x:c>
      <x:c r="L4588" s="19" t="str">
        <x:v>Z006</x:v>
      </x:c>
      <x:c r="M4588" s="19" t="str">
        <x:v>In Field Warranty Claims</x:v>
      </x:c>
      <x:c r="N4588" s="37" t="n">
        <x:v>46009</x:v>
      </x:c>
      <x:c r="O4588" s="37"/>
      <x:c r="P4588" s="34" t="n">
        <x:v>74.25</x:v>
      </x:c>
      <x:c r="Q4588" s="37" t="n">
        <x:v>46051.109618055554</x:v>
      </x:c>
    </x:row>
    <x:row r="4589">
      <x:c r="A4589" s="22" t="n">
        <x:v>29257</x:v>
      </x:c>
      <x:c r="B4589" s="28" t="n">
        <x:v>1522.76</x:v>
      </x:c>
      <x:c r="C4589" s="28"/>
      <x:c r="D4589" s="31" t="str">
        <x:f>IF(OR(ISBLANK(B4589),ISBLANK(C4589),B4589=0),"",(C4589-B4589)/B4589)</x:f>
      </x:c>
      <x:c r="E4589" s="22" t="str">
        <x:f>IF(ISBLANK(C4589),"AmountIncludingTax缺失",IF(ABS(B4589-C4589)&lt;0.005,"一致","不一致"))</x:f>
        <x:v>AmountIncludingTax缺失</x:v>
      </x:c>
      <x:c r="F4589" s="19" t="str">
        <x:v>approved</x:v>
      </x:c>
      <x:c r="G4589" s="19" t="str">
        <x:v>Repairer Invoiced Processed</x:v>
      </x:c>
      <x:c r="H4589" s="19" t="str">
        <x:v>In Field</x:v>
      </x:c>
      <x:c r="I4589" s="37" t="n">
        <x:v>46056</x:v>
      </x:c>
      <x:c r="J4589" s="37" t="n">
        <x:v>46056</x:v>
      </x:c>
      <x:c r="K4589" s="19" t="str">
        <x:v>Green RV - Slacks Creek</x:v>
      </x:c>
      <x:c r="L4589" s="19" t="str">
        <x:v>Z006</x:v>
      </x:c>
      <x:c r="M4589" s="19" t="str">
        <x:v>In Field Warranty Claims</x:v>
      </x:c>
      <x:c r="N4589" s="37" t="n">
        <x:v>46009</x:v>
      </x:c>
      <x:c r="O4589" s="37"/>
      <x:c r="P4589" s="34" t="n">
        <x:v>1675.04</x:v>
      </x:c>
      <x:c r="Q4589" s="37" t="n">
        <x:v>46056.23929398148</x:v>
      </x:c>
    </x:row>
    <x:row r="4590">
      <x:c r="A4590" s="22" t="n">
        <x:v>29256</x:v>
      </x:c>
      <x:c r="B4590" s="28" t="n">
        <x:v>280</x:v>
      </x:c>
      <x:c r="C4590" s="28"/>
      <x:c r="D4590" s="31" t="str">
        <x:f>IF(OR(ISBLANK(B4590),ISBLANK(C4590),B4590=0),"",(C4590-B4590)/B4590)</x:f>
      </x:c>
      <x:c r="E4590" s="22" t="str">
        <x:f>IF(ISBLANK(C4590),"AmountIncludingTax缺失",IF(ABS(B4590-C4590)&lt;0.005,"一致","不一致"))</x:f>
        <x:v>AmountIncludingTax缺失</x:v>
      </x:c>
      <x:c r="F4590" s="19" t="str">
        <x:v>approved</x:v>
      </x:c>
      <x:c r="G4590" s="19" t="str">
        <x:v>Repair in Progress</x:v>
      </x:c>
      <x:c r="H4590" s="19" t="str">
        <x:v>Pre Delivery</x:v>
      </x:c>
      <x:c r="I4590" s="37" t="n">
        <x:v>46100</x:v>
      </x:c>
      <x:c r="J4590" s="37" t="n">
        <x:v>46100</x:v>
      </x:c>
      <x:c r="K4590" s="19" t="str">
        <x:v>Green RV - Forest Glen</x:v>
      </x:c>
      <x:c r="L4590" s="19" t="str">
        <x:v>Z005</x:v>
      </x:c>
      <x:c r="M4590" s="19" t="str">
        <x:v>Pre Delivery Warranty Claims</x:v>
      </x:c>
      <x:c r="N4590" s="37" t="n">
        <x:v>46009</x:v>
      </x:c>
      <x:c r="O4590" s="37"/>
      <x:c r="P4590" s="34" t="n">
        <x:v>0</x:v>
      </x:c>
      <x:c r="Q4590" s="37" t="n">
        <x:v>46100.24597222222</x:v>
      </x:c>
    </x:row>
    <x:row r="4591">
      <x:c r="A4591" s="22" t="n">
        <x:v>29253</x:v>
      </x:c>
      <x:c r="B4591" s="28" t="n">
        <x:v>1350</x:v>
      </x:c>
      <x:c r="C4591" s="28"/>
      <x:c r="D4591" s="31" t="str">
        <x:f>IF(OR(ISBLANK(B4591),ISBLANK(C4591),B4591=0),"",(C4591-B4591)/B4591)</x:f>
      </x:c>
      <x:c r="E4591" s="22" t="str">
        <x:f>IF(ISBLANK(C4591),"AmountIncludingTax缺失",IF(ABS(B4591-C4591)&lt;0.005,"一致","不一致"))</x:f>
        <x:v>AmountIncludingTax缺失</x:v>
      </x:c>
      <x:c r="F4591" s="19" t="str">
        <x:v>approved</x:v>
      </x:c>
      <x:c r="G4591" s="19" t="str">
        <x:v>Repair in Progress</x:v>
      </x:c>
      <x:c r="H4591" s="19" t="str">
        <x:v>In Field</x:v>
      </x:c>
      <x:c r="I4591" s="37" t="n">
        <x:v>46183</x:v>
      </x:c>
      <x:c r="J4591" s="37" t="n">
        <x:v>46058</x:v>
      </x:c>
      <x:c r="K4591" s="19" t="str">
        <x:v>Green RV - Forest Glen</x:v>
      </x:c>
      <x:c r="L4591" s="19" t="str">
        <x:v>Z006</x:v>
      </x:c>
      <x:c r="M4591" s="19" t="str">
        <x:v>In Field Warranty Claims</x:v>
      </x:c>
      <x:c r="N4591" s="37" t="n">
        <x:v>46009</x:v>
      </x:c>
      <x:c r="O4591" s="37"/>
      <x:c r="P4591" s="34" t="n">
        <x:v>0</x:v>
      </x:c>
      <x:c r="Q4591" s="37" t="n">
        <x:v>46182.96388888889</x:v>
      </x:c>
    </x:row>
    <x:row r="4592">
      <x:c r="A4592" s="22" t="n">
        <x:v>29251</x:v>
      </x:c>
      <x:c r="B4592" s="28" t="n">
        <x:v>810</x:v>
      </x:c>
      <x:c r="C4592" s="28"/>
      <x:c r="D4592" s="31" t="str">
        <x:f>IF(OR(ISBLANK(B4592),ISBLANK(C4592),B4592=0),"",(C4592-B4592)/B4592)</x:f>
      </x:c>
      <x:c r="E4592" s="22" t="str">
        <x:f>IF(ISBLANK(C4592),"AmountIncludingTax缺失",IF(ABS(B4592-C4592)&lt;0.005,"一致","不一致"))</x:f>
        <x:v>AmountIncludingTax缺失</x:v>
      </x:c>
      <x:c r="F4592" s="19" t="str">
        <x:v>approved</x:v>
      </x:c>
      <x:c r="G4592" s="19" t="str">
        <x:v>Sales Order Approved</x:v>
      </x:c>
      <x:c r="H4592" s="19" t="str">
        <x:v>In Field</x:v>
      </x:c>
      <x:c r="I4592" s="37" t="n">
        <x:v>46114</x:v>
      </x:c>
      <x:c r="J4592" s="37" t="n">
        <x:v>46114</x:v>
      </x:c>
      <x:c r="K4592" s="19" t="str">
        <x:v>Green RV - Slacks Creek</x:v>
      </x:c>
      <x:c r="L4592" s="19" t="str">
        <x:v>Z006</x:v>
      </x:c>
      <x:c r="M4592" s="19" t="str">
        <x:v>In Field Warranty Claims</x:v>
      </x:c>
      <x:c r="N4592" s="37" t="n">
        <x:v>46009</x:v>
      </x:c>
      <x:c r="O4592" s="37"/>
      <x:c r="P4592" s="34" t="n">
        <x:v>0</x:v>
      </x:c>
      <x:c r="Q4592" s="37" t="n">
        <x:v>46114.06214120371</x:v>
      </x:c>
    </x:row>
    <x:row r="4593">
      <x:c r="A4593" s="22" t="n">
        <x:v>29246</x:v>
      </x:c>
      <x:c r="B4593" s="28" t="n">
        <x:v>277.27</x:v>
      </x:c>
      <x:c r="C4593" s="28" t="n">
        <x:v>305</x:v>
      </x:c>
      <x:c r="D4593" s="31" t="n">
        <x:f>IF(OR(ISBLANK(B4593),ISBLANK(C4593),B4593=0),"",(C4593-B4593)/B4593)</x:f>
        <x:v>0.10001081977855528</x:v>
      </x:c>
      <x:c r="E4593" s="22" t="str">
        <x:f>IF(ISBLANK(C4593),"AmountIncludingTax缺失",IF(ABS(B4593-C4593)&lt;0.005,"一致","不一致"))</x:f>
        <x:v>不一致</x:v>
      </x:c>
      <x:c r="F4593" s="19" t="str">
        <x:v>approved</x:v>
      </x:c>
      <x:c r="G4593" s="19" t="str">
        <x:v>Repairer Invoiced Processed</x:v>
      </x:c>
      <x:c r="H4593" s="19" t="str">
        <x:v>In Field</x:v>
      </x:c>
      <x:c r="I4593" s="37" t="n">
        <x:v>46084</x:v>
      </x:c>
      <x:c r="J4593" s="37" t="n">
        <x:v>46084</x:v>
      </x:c>
      <x:c r="K4593" s="19" t="str">
        <x:v>Snowy River Frankston</x:v>
      </x:c>
      <x:c r="L4593" s="19" t="str">
        <x:v>Z006</x:v>
      </x:c>
      <x:c r="M4593" s="19" t="str">
        <x:v>In Field Warranty Claims</x:v>
      </x:c>
      <x:c r="N4593" s="37" t="n">
        <x:v>46010</x:v>
      </x:c>
      <x:c r="O4593" s="37"/>
      <x:c r="P4593" s="34" t="n">
        <x:v>305</x:v>
      </x:c>
      <x:c r="Q4593" s="37" t="n">
        <x:v>46084.103854166664</x:v>
      </x:c>
    </x:row>
    <x:row r="4594">
      <x:c r="A4594" s="22" t="n">
        <x:v>29238</x:v>
      </x:c>
      <x:c r="B4594" s="28" t="n">
        <x:v>446.44</x:v>
      </x:c>
      <x:c r="C4594" s="28" t="n">
        <x:v>491.08</x:v>
      </x:c>
      <x:c r="D4594" s="31" t="n">
        <x:f>IF(OR(ISBLANK(B4594),ISBLANK(C4594),B4594=0),"",(C4594-B4594)/B4594)</x:f>
        <x:v>0.0999910402293701</x:v>
      </x:c>
      <x:c r="E4594" s="22" t="str">
        <x:f>IF(ISBLANK(C4594),"AmountIncludingTax缺失",IF(ABS(B4594-C4594)&lt;0.005,"一致","不一致"))</x:f>
        <x:v>不一致</x:v>
      </x:c>
      <x:c r="F4594" s="19" t="str">
        <x:v>approved</x:v>
      </x:c>
      <x:c r="G4594" s="19" t="str">
        <x:v>Repairer Invoiced Processed</x:v>
      </x:c>
      <x:c r="H4594" s="19" t="str">
        <x:v>Pre Delivery</x:v>
      </x:c>
      <x:c r="I4594" s="37" t="n">
        <x:v>46111</x:v>
      </x:c>
      <x:c r="J4594" s="37" t="n">
        <x:v>46111</x:v>
      </x:c>
      <x:c r="K4594" s="19" t="str">
        <x:v>Lesiure Lion-New Castle</x:v>
      </x:c>
      <x:c r="L4594" s="19" t="str">
        <x:v>Z005</x:v>
      </x:c>
      <x:c r="M4594" s="19" t="str">
        <x:v>Pre Delivery Warranty Claims</x:v>
      </x:c>
      <x:c r="N4594" s="37" t="n">
        <x:v>46009</x:v>
      </x:c>
      <x:c r="O4594" s="37"/>
      <x:c r="P4594" s="34" t="n">
        <x:v>491.08</x:v>
      </x:c>
      <x:c r="Q4594" s="37" t="n">
        <x:v>46111.05532407408</x:v>
      </x:c>
    </x:row>
    <x:row r="4595">
      <x:c r="A4595" s="22" t="n">
        <x:v>29236</x:v>
      </x:c>
      <x:c r="B4595" s="28" t="n">
        <x:v>357.5</x:v>
      </x:c>
      <x:c r="C4595" s="28"/>
      <x:c r="D4595" s="31" t="str">
        <x:f>IF(OR(ISBLANK(B4595),ISBLANK(C4595),B4595=0),"",(C4595-B4595)/B4595)</x:f>
      </x:c>
      <x:c r="E4595" s="22" t="str">
        <x:f>IF(ISBLANK(C4595),"AmountIncludingTax缺失",IF(ABS(B4595-C4595)&lt;0.005,"一致","不一致"))</x:f>
        <x:v>AmountIncludingTax缺失</x:v>
      </x:c>
      <x:c r="F4595" s="19" t="str">
        <x:v>approved</x:v>
      </x:c>
      <x:c r="G4595" s="19" t="str">
        <x:v>Repairer Invoiced Received</x:v>
      </x:c>
      <x:c r="H4595" s="19" t="str">
        <x:v>Pre Delivery</x:v>
      </x:c>
      <x:c r="I4595" s="37" t="n">
        <x:v>46059</x:v>
      </x:c>
      <x:c r="J4595" s="37" t="n">
        <x:v>46059</x:v>
      </x:c>
      <x:c r="K4595" s="19" t="str">
        <x:v>Snowy River Wangaratta</x:v>
      </x:c>
      <x:c r="L4595" s="19" t="str">
        <x:v>Z005</x:v>
      </x:c>
      <x:c r="M4595" s="19" t="str">
        <x:v>Pre Delivery Warranty Claims</x:v>
      </x:c>
      <x:c r="N4595" s="37" t="n">
        <x:v>46009</x:v>
      </x:c>
      <x:c r="O4595" s="37"/>
      <x:c r="P4595" s="34" t="n">
        <x:v>0</x:v>
      </x:c>
      <x:c r="Q4595" s="37" t="n">
        <x:v>46058.91355324074</x:v>
      </x:c>
    </x:row>
    <x:row r="4596">
      <x:c r="A4596" s="22" t="n">
        <x:v>29234</x:v>
      </x:c>
      <x:c r="B4596" s="28" t="n">
        <x:v>165</x:v>
      </x:c>
      <x:c r="C4596" s="28"/>
      <x:c r="D4596" s="31" t="str">
        <x:f>IF(OR(ISBLANK(B4596),ISBLANK(C4596),B4596=0),"",(C4596-B4596)/B4596)</x:f>
      </x:c>
      <x:c r="E4596" s="22" t="str">
        <x:f>IF(ISBLANK(C4596),"AmountIncludingTax缺失",IF(ABS(B4596-C4596)&lt;0.005,"一致","不一致"))</x:f>
        <x:v>AmountIncludingTax缺失</x:v>
      </x:c>
      <x:c r="F4596" s="19" t="str">
        <x:v>approved</x:v>
      </x:c>
      <x:c r="G4596" s="19" t="str">
        <x:v>Repair in Progress</x:v>
      </x:c>
      <x:c r="H4596" s="19" t="str">
        <x:v>Pre Delivery</x:v>
      </x:c>
      <x:c r="I4596" s="37" t="n">
        <x:v>46114</x:v>
      </x:c>
      <x:c r="J4596" s="37" t="n">
        <x:v>46114</x:v>
      </x:c>
      <x:c r="K4596" s="19" t="str">
        <x:v>Regent RV - Perth</x:v>
      </x:c>
      <x:c r="L4596" s="19" t="str">
        <x:v>Z005</x:v>
      </x:c>
      <x:c r="M4596" s="19" t="str">
        <x:v>Pre Delivery Warranty Claims</x:v>
      </x:c>
      <x:c r="N4596" s="37" t="n">
        <x:v>46009</x:v>
      </x:c>
      <x:c r="O4596" s="37"/>
      <x:c r="P4596" s="34" t="n">
        <x:v>0</x:v>
      </x:c>
      <x:c r="Q4596" s="37" t="n">
        <x:v>46114.138240740744</x:v>
      </x:c>
    </x:row>
    <x:row r="4597">
      <x:c r="A4597" s="22" t="n">
        <x:v>29233</x:v>
      </x:c>
      <x:c r="B4597" s="28" t="n">
        <x:v>135</x:v>
      </x:c>
      <x:c r="C4597" s="28"/>
      <x:c r="D4597" s="31" t="str">
        <x:f>IF(OR(ISBLANK(B4597),ISBLANK(C4597),B4597=0),"",(C4597-B4597)/B4597)</x:f>
      </x:c>
      <x:c r="E4597" s="22" t="str">
        <x:f>IF(ISBLANK(C4597),"AmountIncludingTax缺失",IF(ABS(B4597-C4597)&lt;0.005,"一致","不一致"))</x:f>
        <x:v>AmountIncludingTax缺失</x:v>
      </x:c>
      <x:c r="F4597" s="19" t="str">
        <x:v>approved</x:v>
      </x:c>
      <x:c r="G4597" s="19" t="str">
        <x:v>Repairer Invoiced Processed</x:v>
      </x:c>
      <x:c r="H4597" s="19" t="str">
        <x:v>In Field</x:v>
      </x:c>
      <x:c r="I4597" s="37" t="n">
        <x:v>46070</x:v>
      </x:c>
      <x:c r="J4597" s="37" t="n">
        <x:v>46070</x:v>
      </x:c>
      <x:c r="K4597" s="19" t="str">
        <x:v>Regent RV Pty Ltd</x:v>
      </x:c>
      <x:c r="L4597" s="19" t="str">
        <x:v>Z006</x:v>
      </x:c>
      <x:c r="M4597" s="19" t="str">
        <x:v>In Field Warranty Claims</x:v>
      </x:c>
      <x:c r="N4597" s="37" t="n">
        <x:v>46009</x:v>
      </x:c>
      <x:c r="O4597" s="37"/>
      <x:c r="P4597" s="34" t="n">
        <x:v>0</x:v>
      </x:c>
      <x:c r="Q4597" s="37" t="n">
        <x:v>46069.95825231481</x:v>
      </x:c>
    </x:row>
    <x:row r="4598">
      <x:c r="A4598" s="22" t="n">
        <x:v>29231</x:v>
      </x:c>
      <x:c r="B4598" s="28" t="n">
        <x:v>275</x:v>
      </x:c>
      <x:c r="C4598" s="28"/>
      <x:c r="D4598" s="31" t="str">
        <x:f>IF(OR(ISBLANK(B4598),ISBLANK(C4598),B4598=0),"",(C4598-B4598)/B4598)</x:f>
      </x:c>
      <x:c r="E4598" s="22" t="str">
        <x:f>IF(ISBLANK(C4598),"AmountIncludingTax缺失",IF(ABS(B4598-C4598)&lt;0.005,"一致","不一致"))</x:f>
        <x:v>AmountIncludingTax缺失</x:v>
      </x:c>
      <x:c r="F4598" s="19" t="str">
        <x:v>approved</x:v>
      </x:c>
      <x:c r="G4598" s="19" t="str">
        <x:v>Repairer Invoiced Processed</x:v>
      </x:c>
      <x:c r="H4598" s="19" t="str">
        <x:v>In Field</x:v>
      </x:c>
      <x:c r="I4598" s="37" t="n">
        <x:v>46072</x:v>
      </x:c>
      <x:c r="J4598" s="37" t="n">
        <x:v>46072</x:v>
      </x:c>
      <x:c r="K4598" s="19" t="str">
        <x:v>Newcastle RV Super Centre - Beresfield</x:v>
      </x:c>
      <x:c r="L4598" s="19" t="str">
        <x:v>Z006</x:v>
      </x:c>
      <x:c r="M4598" s="19" t="str">
        <x:v>In Field Warranty Claims</x:v>
      </x:c>
      <x:c r="N4598" s="37" t="n">
        <x:v>46009</x:v>
      </x:c>
      <x:c r="O4598" s="37"/>
      <x:c r="P4598" s="34" t="n">
        <x:v>0</x:v>
      </x:c>
      <x:c r="Q4598" s="37" t="n">
        <x:v>46072.209548611114</x:v>
      </x:c>
    </x:row>
    <x:row r="4599">
      <x:c r="A4599" s="22" t="n">
        <x:v>29230</x:v>
      </x:c>
      <x:c r="B4599" s="28" t="n">
        <x:v>3510</x:v>
      </x:c>
      <x:c r="C4599" s="28"/>
      <x:c r="D4599" s="31" t="str">
        <x:f>IF(OR(ISBLANK(B4599),ISBLANK(C4599),B4599=0),"",(C4599-B4599)/B4599)</x:f>
      </x:c>
      <x:c r="E4599" s="22" t="str">
        <x:f>IF(ISBLANK(C4599),"AmountIncludingTax缺失",IF(ABS(B4599-C4599)&lt;0.005,"一致","不一致"))</x:f>
        <x:v>AmountIncludingTax缺失</x:v>
      </x:c>
      <x:c r="F4599" s="19" t="str">
        <x:v>approved</x:v>
      </x:c>
      <x:c r="G4599" s="19" t="str">
        <x:v>Repair in Progress</x:v>
      </x:c>
      <x:c r="H4599" s="19" t="str">
        <x:v>In Field</x:v>
      </x:c>
      <x:c r="I4599" s="37" t="n">
        <x:v>46150</x:v>
      </x:c>
      <x:c r="J4599" s="37" t="n">
        <x:v>46150</x:v>
      </x:c>
      <x:c r="K4599" s="19" t="str">
        <x:v>Green RV - Forest Glen</x:v>
      </x:c>
      <x:c r="L4599" s="19" t="str">
        <x:v>Z006</x:v>
      </x:c>
      <x:c r="M4599" s="19" t="str">
        <x:v>In Field Warranty Claims</x:v>
      </x:c>
      <x:c r="N4599" s="37" t="n">
        <x:v>46009</x:v>
      </x:c>
      <x:c r="O4599" s="37"/>
      <x:c r="P4599" s="34" t="n">
        <x:v>0</x:v>
      </x:c>
      <x:c r="Q4599" s="37" t="n">
        <x:v>46150.07775462963</x:v>
      </x:c>
    </x:row>
    <x:row r="4600">
      <x:c r="A4600" s="22" t="n">
        <x:v>29225</x:v>
      </x:c>
      <x:c r="B4600" s="28" t="n">
        <x:v>935</x:v>
      </x:c>
      <x:c r="C4600" s="28"/>
      <x:c r="D4600" s="31" t="str">
        <x:f>IF(OR(ISBLANK(B4600),ISBLANK(C4600),B4600=0),"",(C4600-B4600)/B4600)</x:f>
      </x:c>
      <x:c r="E4600" s="22" t="str">
        <x:f>IF(ISBLANK(C4600),"AmountIncludingTax缺失",IF(ABS(B4600-C4600)&lt;0.005,"一致","不一致"))</x:f>
        <x:v>AmountIncludingTax缺失</x:v>
      </x:c>
      <x:c r="F4600" s="19" t="str">
        <x:v>approved</x:v>
      </x:c>
      <x:c r="G4600" s="19" t="str">
        <x:v>Repair in Progress</x:v>
      </x:c>
      <x:c r="H4600" s="19" t="str">
        <x:v>Pre Delivery</x:v>
      </x:c>
      <x:c r="I4600" s="37" t="n">
        <x:v>46071</x:v>
      </x:c>
      <x:c r="J4600" s="37" t="n">
        <x:v>46071</x:v>
      </x:c>
      <x:c r="K4600" s="19" t="str">
        <x:v>Regent RV - Perth</x:v>
      </x:c>
      <x:c r="L4600" s="19" t="str">
        <x:v>Z005</x:v>
      </x:c>
      <x:c r="M4600" s="19" t="str">
        <x:v>Pre Delivery Warranty Claims</x:v>
      </x:c>
      <x:c r="N4600" s="37" t="n">
        <x:v>46009</x:v>
      </x:c>
      <x:c r="O4600" s="37"/>
      <x:c r="P4600" s="34" t="n">
        <x:v>1028.5</x:v>
      </x:c>
      <x:c r="Q4600" s="37" t="n">
        <x:v>46071.047268518516</x:v>
      </x:c>
    </x:row>
    <x:row r="4601">
      <x:c r="A4601" s="22" t="n">
        <x:v>29223</x:v>
      </x:c>
      <x:c r="B4601" s="28" t="n">
        <x:v>165</x:v>
      </x:c>
      <x:c r="C4601" s="28"/>
      <x:c r="D4601" s="31" t="str">
        <x:f>IF(OR(ISBLANK(B4601),ISBLANK(C4601),B4601=0),"",(C4601-B4601)/B4601)</x:f>
      </x:c>
      <x:c r="E4601" s="22" t="str">
        <x:f>IF(ISBLANK(C4601),"AmountIncludingTax缺失",IF(ABS(B4601-C4601)&lt;0.005,"一致","不一致"))</x:f>
        <x:v>AmountIncludingTax缺失</x:v>
      </x:c>
      <x:c r="F4601" s="19" t="str">
        <x:v>approved</x:v>
      </x:c>
      <x:c r="G4601" s="19" t="str">
        <x:v>Repairer Invoiced Processed</x:v>
      </x:c>
      <x:c r="H4601" s="19" t="str">
        <x:v>Pre Delivery</x:v>
      </x:c>
      <x:c r="I4601" s="37" t="n">
        <x:v>46055</x:v>
      </x:c>
      <x:c r="J4601" s="37" t="n">
        <x:v>46055</x:v>
      </x:c>
      <x:c r="K4601" s="19" t="str">
        <x:v>Regent RV - Perth</x:v>
      </x:c>
      <x:c r="L4601" s="19" t="str">
        <x:v>Z005</x:v>
      </x:c>
      <x:c r="M4601" s="19" t="str">
        <x:v>Pre Delivery Warranty Claims</x:v>
      </x:c>
      <x:c r="N4601" s="37" t="n">
        <x:v>46009</x:v>
      </x:c>
      <x:c r="O4601" s="37"/>
      <x:c r="P4601" s="34" t="n">
        <x:v>0</x:v>
      </x:c>
      <x:c r="Q4601" s="37" t="n">
        <x:v>46054.974907407406</x:v>
      </x:c>
    </x:row>
    <x:row r="4602">
      <x:c r="A4602" s="22" t="n">
        <x:v>29210</x:v>
      </x:c>
      <x:c r="B4602" s="28" t="n">
        <x:v>453.75</x:v>
      </x:c>
      <x:c r="C4602" s="28"/>
      <x:c r="D4602" s="31" t="str">
        <x:f>IF(OR(ISBLANK(B4602),ISBLANK(C4602),B4602=0),"",(C4602-B4602)/B4602)</x:f>
      </x:c>
      <x:c r="E4602" s="22" t="str">
        <x:f>IF(ISBLANK(C4602),"AmountIncludingTax缺失",IF(ABS(B4602-C4602)&lt;0.005,"一致","不一致"))</x:f>
        <x:v>AmountIncludingTax缺失</x:v>
      </x:c>
      <x:c r="F4602" s="19" t="str">
        <x:v>approved</x:v>
      </x:c>
      <x:c r="G4602" s="19" t="str">
        <x:v>Repair in Progress</x:v>
      </x:c>
      <x:c r="H4602" s="19" t="str">
        <x:v>Pre Delivery</x:v>
      </x:c>
      <x:c r="I4602" s="37" t="n">
        <x:v>46114</x:v>
      </x:c>
      <x:c r="J4602" s="37" t="n">
        <x:v>46114</x:v>
      </x:c>
      <x:c r="K4602" s="19" t="str">
        <x:v>Regent RV - Perth</x:v>
      </x:c>
      <x:c r="L4602" s="19" t="str">
        <x:v>Z005</x:v>
      </x:c>
      <x:c r="M4602" s="19" t="str">
        <x:v>Pre Delivery Warranty Claims</x:v>
      </x:c>
      <x:c r="N4602" s="37" t="n">
        <x:v>46009</x:v>
      </x:c>
      <x:c r="O4602" s="37"/>
      <x:c r="P4602" s="34" t="n">
        <x:v>0</x:v>
      </x:c>
      <x:c r="Q4602" s="37" t="n">
        <x:v>46113.8587962963</x:v>
      </x:c>
    </x:row>
    <x:row r="4603">
      <x:c r="A4603" s="22" t="n">
        <x:v>29209</x:v>
      </x:c>
      <x:c r="B4603" s="28" t="n">
        <x:v>323.75</x:v>
      </x:c>
      <x:c r="C4603" s="28"/>
      <x:c r="D4603" s="31" t="str">
        <x:f>IF(OR(ISBLANK(B4603),ISBLANK(C4603),B4603=0),"",(C4603-B4603)/B4603)</x:f>
      </x:c>
      <x:c r="E4603" s="22" t="str">
        <x:f>IF(ISBLANK(C4603),"AmountIncludingTax缺失",IF(ABS(B4603-C4603)&lt;0.005,"一致","不一致"))</x:f>
        <x:v>AmountIncludingTax缺失</x:v>
      </x:c>
      <x:c r="F4603" s="19" t="str">
        <x:v>approved</x:v>
      </x:c>
      <x:c r="G4603" s="19" t="str">
        <x:v>Repair in Progress</x:v>
      </x:c>
      <x:c r="H4603" s="19" t="str">
        <x:v>In Field</x:v>
      </x:c>
      <x:c r="I4603" s="37" t="n">
        <x:v>46114</x:v>
      </x:c>
      <x:c r="J4603" s="37" t="n">
        <x:v>46114</x:v>
      </x:c>
      <x:c r="K4603" s="19" t="str">
        <x:v>Newcastle RV Super Centre - Beresfield</x:v>
      </x:c>
      <x:c r="L4603" s="19" t="str">
        <x:v>Z006</x:v>
      </x:c>
      <x:c r="M4603" s="19" t="str">
        <x:v>In Field Warranty Claims</x:v>
      </x:c>
      <x:c r="N4603" s="37" t="n">
        <x:v>46009</x:v>
      </x:c>
      <x:c r="O4603" s="37"/>
      <x:c r="P4603" s="34" t="n">
        <x:v>0</x:v>
      </x:c>
      <x:c r="Q4603" s="37" t="n">
        <x:v>46114.071875</x:v>
      </x:c>
    </x:row>
    <x:row r="4604">
      <x:c r="A4604" s="22" t="n">
        <x:v>29206</x:v>
      </x:c>
      <x:c r="B4604" s="28" t="n">
        <x:v>313.16</x:v>
      </x:c>
      <x:c r="C4604" s="28" t="n">
        <x:v>344.48</x:v>
      </x:c>
      <x:c r="D4604" s="31" t="n">
        <x:f>IF(OR(ISBLANK(B4604),ISBLANK(C4604),B4604=0),"",(C4604-B4604)/B4604)</x:f>
        <x:v>0.10001277302337461</x:v>
      </x:c>
      <x:c r="E4604" s="22" t="str">
        <x:f>IF(ISBLANK(C4604),"AmountIncludingTax缺失",IF(ABS(B4604-C4604)&lt;0.005,"一致","不一致"))</x:f>
        <x:v>不一致</x:v>
      </x:c>
      <x:c r="F4604" s="19" t="str">
        <x:v>approved</x:v>
      </x:c>
      <x:c r="G4604" s="19" t="str">
        <x:v>Repairer Invoiced Processed</x:v>
      </x:c>
      <x:c r="H4604" s="19" t="str">
        <x:v>Pre Delivery</x:v>
      </x:c>
      <x:c r="I4604" s="37" t="n">
        <x:v>46111</x:v>
      </x:c>
      <x:c r="J4604" s="37" t="n">
        <x:v>46111</x:v>
      </x:c>
      <x:c r="K4604" s="19" t="str">
        <x:v>Lesiure Lion-New Castle</x:v>
      </x:c>
      <x:c r="L4604" s="19" t="str">
        <x:v>Z005</x:v>
      </x:c>
      <x:c r="M4604" s="19" t="str">
        <x:v>Pre Delivery Warranty Claims</x:v>
      </x:c>
      <x:c r="N4604" s="37" t="n">
        <x:v>46008</x:v>
      </x:c>
      <x:c r="O4604" s="37"/>
      <x:c r="P4604" s="34" t="n">
        <x:v>344.48</x:v>
      </x:c>
      <x:c r="Q4604" s="37" t="n">
        <x:v>46111.04608796296</x:v>
      </x:c>
    </x:row>
    <x:row r="4605">
      <x:c r="A4605" s="22" t="n">
        <x:v>29205</x:v>
      </x:c>
      <x:c r="B4605" s="28" t="n">
        <x:v>627.8</x:v>
      </x:c>
      <x:c r="C4605" s="28" t="n">
        <x:v>690.58</x:v>
      </x:c>
      <x:c r="D4605" s="31" t="n">
        <x:f>IF(OR(ISBLANK(B4605),ISBLANK(C4605),B4605=0),"",(C4605-B4605)/B4605)</x:f>
        <x:v>0.10000000000000014</x:v>
      </x:c>
      <x:c r="E4605" s="22" t="str">
        <x:f>IF(ISBLANK(C4605),"AmountIncludingTax缺失",IF(ABS(B4605-C4605)&lt;0.005,"一致","不一致"))</x:f>
        <x:v>不一致</x:v>
      </x:c>
      <x:c r="F4605" s="19" t="str">
        <x:v>approved</x:v>
      </x:c>
      <x:c r="G4605" s="19" t="str">
        <x:v>Repairer Invoiced Processed</x:v>
      </x:c>
      <x:c r="H4605" s="19" t="str">
        <x:v>Pre Delivery</x:v>
      </x:c>
      <x:c r="I4605" s="37" t="n">
        <x:v>46111</x:v>
      </x:c>
      <x:c r="J4605" s="37" t="n">
        <x:v>46065</x:v>
      </x:c>
      <x:c r="K4605" s="19" t="str">
        <x:v>Lesiure Lion-New Castle</x:v>
      </x:c>
      <x:c r="L4605" s="19" t="str">
        <x:v>Z005</x:v>
      </x:c>
      <x:c r="M4605" s="19" t="str">
        <x:v>Pre Delivery Warranty Claims</x:v>
      </x:c>
      <x:c r="N4605" s="37" t="n">
        <x:v>46008</x:v>
      </x:c>
      <x:c r="O4605" s="37"/>
      <x:c r="P4605" s="34" t="n">
        <x:v>690.58</x:v>
      </x:c>
      <x:c r="Q4605" s="37" t="n">
        <x:v>46111.160462962966</x:v>
      </x:c>
    </x:row>
    <x:row r="4606">
      <x:c r="A4606" s="22" t="n">
        <x:v>29204</x:v>
      </x:c>
      <x:c r="B4606" s="28" t="n">
        <x:v>547.73</x:v>
      </x:c>
      <x:c r="C4606" s="28" t="n">
        <x:v>602.5</x:v>
      </x:c>
      <x:c r="D4606" s="31" t="n">
        <x:f>IF(OR(ISBLANK(B4606),ISBLANK(C4606),B4606=0),"",(C4606-B4606)/B4606)</x:f>
        <x:v>0.09999452284884885</x:v>
      </x:c>
      <x:c r="E4606" s="22" t="str">
        <x:f>IF(ISBLANK(C4606),"AmountIncludingTax缺失",IF(ABS(B4606-C4606)&lt;0.005,"一致","不一致"))</x:f>
        <x:v>不一致</x:v>
      </x:c>
      <x:c r="F4606" s="19" t="str">
        <x:v>approved</x:v>
      </x:c>
      <x:c r="G4606" s="19" t="str">
        <x:v>Repairer Invoiced Processed</x:v>
      </x:c>
      <x:c r="H4606" s="19" t="str">
        <x:v>Pre Delivery</x:v>
      </x:c>
      <x:c r="I4606" s="37" t="n">
        <x:v>46045</x:v>
      </x:c>
      <x:c r="J4606" s="37" t="n">
        <x:v>46044</x:v>
      </x:c>
      <x:c r="K4606" s="19" t="str">
        <x:v>Lesiure Lion-New Castle</x:v>
      </x:c>
      <x:c r="L4606" s="19" t="str">
        <x:v>Z005</x:v>
      </x:c>
      <x:c r="M4606" s="19" t="str">
        <x:v>Pre Delivery Warranty Claims</x:v>
      </x:c>
      <x:c r="N4606" s="37" t="n">
        <x:v>46008</x:v>
      </x:c>
      <x:c r="O4606" s="37"/>
      <x:c r="P4606" s="34" t="n">
        <x:v>602.5</x:v>
      </x:c>
      <x:c r="Q4606" s="37" t="n">
        <x:v>46044.573333333334</x:v>
      </x:c>
    </x:row>
    <x:row r="4607">
      <x:c r="A4607" s="22" t="n">
        <x:v>29202</x:v>
      </x:c>
      <x:c r="B4607" s="28" t="n">
        <x:v>385</x:v>
      </x:c>
      <x:c r="C4607" s="28"/>
      <x:c r="D4607" s="31" t="str">
        <x:f>IF(OR(ISBLANK(B4607),ISBLANK(C4607),B4607=0),"",(C4607-B4607)/B4607)</x:f>
      </x:c>
      <x:c r="E4607" s="22" t="str">
        <x:f>IF(ISBLANK(C4607),"AmountIncludingTax缺失",IF(ABS(B4607-C4607)&lt;0.005,"一致","不一致"))</x:f>
        <x:v>AmountIncludingTax缺失</x:v>
      </x:c>
      <x:c r="F4607" s="19" t="str">
        <x:v>approved</x:v>
      </x:c>
      <x:c r="G4607" s="19" t="str">
        <x:v>Partially Picked</x:v>
      </x:c>
      <x:c r="H4607" s="19" t="str">
        <x:v>Pre Delivery</x:v>
      </x:c>
      <x:c r="I4607" s="37" t="n">
        <x:v>46076</x:v>
      </x:c>
      <x:c r="J4607" s="37" t="n">
        <x:v>46076</x:v>
      </x:c>
      <x:c r="K4607" s="19" t="str">
        <x:v>Regent RV - Frankston</x:v>
      </x:c>
      <x:c r="L4607" s="19" t="str">
        <x:v>Z005</x:v>
      </x:c>
      <x:c r="M4607" s="19" t="str">
        <x:v>Pre Delivery Warranty Claims</x:v>
      </x:c>
      <x:c r="N4607" s="37" t="n">
        <x:v>46008</x:v>
      </x:c>
      <x:c r="O4607" s="37"/>
      <x:c r="P4607" s="34" t="n">
        <x:v>0</x:v>
      </x:c>
      <x:c r="Q4607" s="37" t="n">
        <x:v>46076.18854166667</x:v>
      </x:c>
    </x:row>
    <x:row r="4608">
      <x:c r="A4608" s="22" t="n">
        <x:v>29201</x:v>
      </x:c>
      <x:c r="B4608" s="28" t="n">
        <x:v>899.01</x:v>
      </x:c>
      <x:c r="C4608" s="28" t="n">
        <x:v>988.91</x:v>
      </x:c>
      <x:c r="D4608" s="31" t="n">
        <x:f>IF(OR(ISBLANK(B4608),ISBLANK(C4608),B4608=0),"",(C4608-B4608)/B4608)</x:f>
        <x:v>0.09999888766532072</x:v>
      </x:c>
      <x:c r="E4608" s="22" t="str">
        <x:f>IF(ISBLANK(C4608),"AmountIncludingTax缺失",IF(ABS(B4608-C4608)&lt;0.005,"一致","不一致"))</x:f>
        <x:v>不一致</x:v>
      </x:c>
      <x:c r="F4608" s="19" t="str">
        <x:v>approved</x:v>
      </x:c>
      <x:c r="G4608" s="19" t="str">
        <x:v>Repairer Invoiced Processed</x:v>
      </x:c>
      <x:c r="H4608" s="19" t="str">
        <x:v>Pre Delivery</x:v>
      </x:c>
      <x:c r="I4608" s="37" t="n">
        <x:v>46045</x:v>
      </x:c>
      <x:c r="J4608" s="37" t="n">
        <x:v>46044</x:v>
      </x:c>
      <x:c r="K4608" s="19" t="str">
        <x:v>Lesiure Lion-New Castle</x:v>
      </x:c>
      <x:c r="L4608" s="19" t="str">
        <x:v>Z005</x:v>
      </x:c>
      <x:c r="M4608" s="19" t="str">
        <x:v>Pre Delivery Warranty Claims</x:v>
      </x:c>
      <x:c r="N4608" s="37" t="n">
        <x:v>46008</x:v>
      </x:c>
      <x:c r="O4608" s="37"/>
      <x:c r="P4608" s="34" t="n">
        <x:v>988.91</x:v>
      </x:c>
      <x:c r="Q4608" s="37" t="n">
        <x:v>46044.57300925926</x:v>
      </x:c>
    </x:row>
    <x:row r="4609">
      <x:c r="A4609" s="22" t="n">
        <x:v>29197</x:v>
      </x:c>
      <x:c r="B4609" s="28" t="n">
        <x:v>571.5</x:v>
      </x:c>
      <x:c r="C4609" s="28" t="n">
        <x:v>517.44</x:v>
      </x:c>
      <x:c r="D4609" s="31" t="n">
        <x:f>IF(OR(ISBLANK(B4609),ISBLANK(C4609),B4609=0),"",(C4609-B4609)/B4609)</x:f>
        <x:v>-0.09459317585301828</x:v>
      </x:c>
      <x:c r="E4609" s="22" t="str">
        <x:f>IF(ISBLANK(C4609),"AmountIncludingTax缺失",IF(ABS(B4609-C4609)&lt;0.005,"一致","不一致"))</x:f>
        <x:v>不一致</x:v>
      </x:c>
      <x:c r="F4609" s="19" t="str">
        <x:v>approved</x:v>
      </x:c>
      <x:c r="G4609" s="19" t="str">
        <x:v>Repairer Invoiced Processed</x:v>
      </x:c>
      <x:c r="H4609" s="19" t="str">
        <x:v>In Field</x:v>
      </x:c>
      <x:c r="I4609" s="37" t="n">
        <x:v>46077</x:v>
      </x:c>
      <x:c r="J4609" s="37" t="n">
        <x:v>46077</x:v>
      </x:c>
      <x:c r="K4609" s="19" t="str">
        <x:v>QCCC - Gympie</x:v>
      </x:c>
      <x:c r="L4609" s="19" t="str">
        <x:v>Z006</x:v>
      </x:c>
      <x:c r="M4609" s="19" t="str">
        <x:v>In Field Warranty Claims</x:v>
      </x:c>
      <x:c r="N4609" s="37" t="n">
        <x:v>46009</x:v>
      </x:c>
      <x:c r="O4609" s="37"/>
      <x:c r="P4609" s="34" t="n">
        <x:v>517.44</x:v>
      </x:c>
      <x:c r="Q4609" s="37" t="n">
        <x:v>46076.89638888889</x:v>
      </x:c>
    </x:row>
    <x:row r="4610">
      <x:c r="A4610" s="22" t="n">
        <x:v>29195</x:v>
      </x:c>
      <x:c r="B4610" s="28" t="n">
        <x:v>101.25</x:v>
      </x:c>
      <x:c r="C4610" s="28" t="n">
        <x:v>111.38</x:v>
      </x:c>
      <x:c r="D4610" s="31" t="n">
        <x:f>IF(OR(ISBLANK(B4610),ISBLANK(C4610),B4610=0),"",(C4610-B4610)/B4610)</x:f>
        <x:v>0.10004938271604934</x:v>
      </x:c>
      <x:c r="E4610" s="22" t="str">
        <x:f>IF(ISBLANK(C4610),"AmountIncludingTax缺失",IF(ABS(B4610-C4610)&lt;0.005,"一致","不一致"))</x:f>
        <x:v>不一致</x:v>
      </x:c>
      <x:c r="F4610" s="19" t="str">
        <x:v>approved</x:v>
      </x:c>
      <x:c r="G4610" s="19" t="str">
        <x:v>Repairer Invoiced Processed</x:v>
      </x:c>
      <x:c r="H4610" s="19" t="str">
        <x:v>In Field</x:v>
      </x:c>
      <x:c r="I4610" s="37" t="n">
        <x:v>46078</x:v>
      </x:c>
      <x:c r="J4610" s="37" t="n">
        <x:v>46078</x:v>
      </x:c>
      <x:c r="K4610" s="19" t="str">
        <x:v>Leisure Lion - Bundaberg</x:v>
      </x:c>
      <x:c r="L4610" s="19" t="str">
        <x:v>Z006</x:v>
      </x:c>
      <x:c r="M4610" s="19" t="str">
        <x:v>In Field Warranty Claims</x:v>
      </x:c>
      <x:c r="N4610" s="37" t="n">
        <x:v>46008</x:v>
      </x:c>
      <x:c r="O4610" s="37"/>
      <x:c r="P4610" s="34" t="n">
        <x:v>111.38</x:v>
      </x:c>
      <x:c r="Q4610" s="37" t="n">
        <x:v>46077.97556712963</x:v>
      </x:c>
    </x:row>
    <x:row r="4611">
      <x:c r="A4611" s="22" t="n">
        <x:v>29191</x:v>
      </x:c>
      <x:c r="B4611" s="28" t="n">
        <x:v>1312.91</x:v>
      </x:c>
      <x:c r="C4611" s="28"/>
      <x:c r="D4611" s="31" t="str">
        <x:f>IF(OR(ISBLANK(B4611),ISBLANK(C4611),B4611=0),"",(C4611-B4611)/B4611)</x:f>
      </x:c>
      <x:c r="E4611" s="22" t="str">
        <x:f>IF(ISBLANK(C4611),"AmountIncludingTax缺失",IF(ABS(B4611-C4611)&lt;0.005,"一致","不一致"))</x:f>
        <x:v>AmountIncludingTax缺失</x:v>
      </x:c>
      <x:c r="F4611" s="19" t="str">
        <x:v>approved</x:v>
      </x:c>
      <x:c r="G4611" s="19" t="str">
        <x:v>Sales Order Approved</x:v>
      </x:c>
      <x:c r="H4611" s="19" t="str">
        <x:v>Pre Delivery</x:v>
      </x:c>
      <x:c r="I4611" s="37" t="n">
        <x:v>46070</x:v>
      </x:c>
      <x:c r="J4611" s="37" t="n">
        <x:v>46070</x:v>
      </x:c>
      <x:c r="K4611" s="19" t="str">
        <x:v>The Caravan Hub - Townsville</x:v>
      </x:c>
      <x:c r="L4611" s="19" t="str">
        <x:v>Z005</x:v>
      </x:c>
      <x:c r="M4611" s="19" t="str">
        <x:v>Pre Delivery Warranty Claims</x:v>
      </x:c>
      <x:c r="N4611" s="37" t="n">
        <x:v>46008</x:v>
      </x:c>
      <x:c r="O4611" s="37"/>
      <x:c r="P4611" s="34" t="n">
        <x:v>0</x:v>
      </x:c>
      <x:c r="Q4611" s="37" t="n">
        <x:v>46070.084502314814</x:v>
      </x:c>
    </x:row>
    <x:row r="4612">
      <x:c r="A4612" s="22" t="n">
        <x:v>29190</x:v>
      </x:c>
      <x:c r="B4612" s="28" t="n">
        <x:v>527.28</x:v>
      </x:c>
      <x:c r="C4612" s="28"/>
      <x:c r="D4612" s="31" t="str">
        <x:f>IF(OR(ISBLANK(B4612),ISBLANK(C4612),B4612=0),"",(C4612-B4612)/B4612)</x:f>
      </x:c>
      <x:c r="E4612" s="22" t="str">
        <x:f>IF(ISBLANK(C4612),"AmountIncludingTax缺失",IF(ABS(B4612-C4612)&lt;0.005,"一致","不一致"))</x:f>
        <x:v>AmountIncludingTax缺失</x:v>
      </x:c>
      <x:c r="F4612" s="19" t="str">
        <x:v>approved</x:v>
      </x:c>
      <x:c r="G4612" s="19" t="str">
        <x:v>Repairer Invoiced Processed</x:v>
      </x:c>
      <x:c r="H4612" s="19" t="str">
        <x:v>In Field</x:v>
      </x:c>
      <x:c r="I4612" s="37" t="n">
        <x:v>46057</x:v>
      </x:c>
      <x:c r="J4612" s="37" t="n">
        <x:v>46057</x:v>
      </x:c>
      <x:c r="K4612" s="19" t="str">
        <x:v>Regent RV - Perth</x:v>
      </x:c>
      <x:c r="L4612" s="19" t="str">
        <x:v>Z006</x:v>
      </x:c>
      <x:c r="M4612" s="19" t="str">
        <x:v>In Field Warranty Claims</x:v>
      </x:c>
      <x:c r="N4612" s="37" t="n">
        <x:v>46008</x:v>
      </x:c>
      <x:c r="O4612" s="37"/>
      <x:c r="P4612" s="34" t="n">
        <x:v>0</x:v>
      </x:c>
      <x:c r="Q4612" s="37" t="n">
        <x:v>46057.10418981482</x:v>
      </x:c>
    </x:row>
    <x:row r="4613">
      <x:c r="A4613" s="22" t="n">
        <x:v>29186</x:v>
      </x:c>
      <x:c r="B4613" s="28" t="n">
        <x:v>165</x:v>
      </x:c>
      <x:c r="C4613" s="28"/>
      <x:c r="D4613" s="31" t="str">
        <x:f>IF(OR(ISBLANK(B4613),ISBLANK(C4613),B4613=0),"",(C4613-B4613)/B4613)</x:f>
      </x:c>
      <x:c r="E4613" s="22" t="str">
        <x:f>IF(ISBLANK(C4613),"AmountIncludingTax缺失",IF(ABS(B4613-C4613)&lt;0.005,"一致","不一致"))</x:f>
        <x:v>AmountIncludingTax缺失</x:v>
      </x:c>
      <x:c r="F4613" s="19" t="str">
        <x:v>approved</x:v>
      </x:c>
      <x:c r="G4613" s="19" t="str">
        <x:v>Repair in Progress</x:v>
      </x:c>
      <x:c r="H4613" s="19" t="str">
        <x:v>In Field</x:v>
      </x:c>
      <x:c r="I4613" s="37" t="n">
        <x:v>46073</x:v>
      </x:c>
      <x:c r="J4613" s="37" t="n">
        <x:v>46073</x:v>
      </x:c>
      <x:c r="K4613" s="19" t="str">
        <x:v>Regent RV - Perth</x:v>
      </x:c>
      <x:c r="L4613" s="19" t="str">
        <x:v>Z006</x:v>
      </x:c>
      <x:c r="M4613" s="19" t="str">
        <x:v>In Field Warranty Claims</x:v>
      </x:c>
      <x:c r="N4613" s="37" t="n">
        <x:v>46008</x:v>
      </x:c>
      <x:c r="O4613" s="37"/>
      <x:c r="P4613" s="34" t="n">
        <x:v>0</x:v>
      </x:c>
      <x:c r="Q4613" s="37" t="n">
        <x:v>46073.12577546296</x:v>
      </x:c>
    </x:row>
    <x:row r="4614">
      <x:c r="A4614" s="22" t="n">
        <x:v>29185</x:v>
      </x:c>
      <x:c r="B4614" s="28" t="n">
        <x:v>880</x:v>
      </x:c>
      <x:c r="C4614" s="28"/>
      <x:c r="D4614" s="31" t="str">
        <x:f>IF(OR(ISBLANK(B4614),ISBLANK(C4614),B4614=0),"",(C4614-B4614)/B4614)</x:f>
      </x:c>
      <x:c r="E4614" s="22" t="str">
        <x:f>IF(ISBLANK(C4614),"AmountIncludingTax缺失",IF(ABS(B4614-C4614)&lt;0.005,"一致","不一致"))</x:f>
        <x:v>AmountIncludingTax缺失</x:v>
      </x:c>
      <x:c r="F4614" s="19" t="str">
        <x:v>approved</x:v>
      </x:c>
      <x:c r="G4614" s="19" t="str">
        <x:v>Repair in Progress</x:v>
      </x:c>
      <x:c r="H4614" s="19" t="str">
        <x:v>In Field</x:v>
      </x:c>
      <x:c r="I4614" s="37" t="n">
        <x:v>46154</x:v>
      </x:c>
      <x:c r="J4614" s="37" t="n">
        <x:v>46154</x:v>
      </x:c>
      <x:c r="K4614" s="19" t="str">
        <x:v>Regent RV - Perth</x:v>
      </x:c>
      <x:c r="L4614" s="19" t="str">
        <x:v>Z006</x:v>
      </x:c>
      <x:c r="M4614" s="19" t="str">
        <x:v>In Field Warranty Claims</x:v>
      </x:c>
      <x:c r="N4614" s="37" t="n">
        <x:v>46008</x:v>
      </x:c>
      <x:c r="O4614" s="37"/>
      <x:c r="P4614" s="34" t="n">
        <x:v>0</x:v>
      </x:c>
      <x:c r="Q4614" s="37" t="n">
        <x:v>46154.03670138889</x:v>
      </x:c>
    </x:row>
    <x:row r="4615">
      <x:c r="A4615" s="22" t="n">
        <x:v>29184</x:v>
      </x:c>
      <x:c r="B4615" s="28" t="n">
        <x:v>929.5</x:v>
      </x:c>
      <x:c r="C4615" s="28"/>
      <x:c r="D4615" s="31" t="str">
        <x:f>IF(OR(ISBLANK(B4615),ISBLANK(C4615),B4615=0),"",(C4615-B4615)/B4615)</x:f>
      </x:c>
      <x:c r="E4615" s="22" t="str">
        <x:f>IF(ISBLANK(C4615),"AmountIncludingTax缺失",IF(ABS(B4615-C4615)&lt;0.005,"一致","不一致"))</x:f>
        <x:v>AmountIncludingTax缺失</x:v>
      </x:c>
      <x:c r="F4615" s="19" t="str">
        <x:v>approved</x:v>
      </x:c>
      <x:c r="G4615" s="19" t="str">
        <x:v>Partially Picked</x:v>
      </x:c>
      <x:c r="H4615" s="19" t="str">
        <x:v>In Field</x:v>
      </x:c>
      <x:c r="I4615" s="37" t="n">
        <x:v>46160</x:v>
      </x:c>
      <x:c r="J4615" s="37" t="n">
        <x:v>46160</x:v>
      </x:c>
      <x:c r="K4615" s="19" t="str">
        <x:v>Newcastle RV Super Centre - Beresfield</x:v>
      </x:c>
      <x:c r="L4615" s="19" t="str">
        <x:v>Z006</x:v>
      </x:c>
      <x:c r="M4615" s="19" t="str">
        <x:v>In Field Warranty Claims</x:v>
      </x:c>
      <x:c r="N4615" s="37" t="n">
        <x:v>46008</x:v>
      </x:c>
      <x:c r="O4615" s="37"/>
      <x:c r="P4615" s="34" t="n">
        <x:v>0</x:v>
      </x:c>
      <x:c r="Q4615" s="37" t="n">
        <x:v>46160.196238425924</x:v>
      </x:c>
    </x:row>
    <x:row r="4616">
      <x:c r="A4616" s="22" t="n">
        <x:v>29182</x:v>
      </x:c>
      <x:c r="B4616" s="28" t="n">
        <x:v>306</x:v>
      </x:c>
      <x:c r="C4616" s="28"/>
      <x:c r="D4616" s="31" t="str">
        <x:f>IF(OR(ISBLANK(B4616),ISBLANK(C4616),B4616=0),"",(C4616-B4616)/B4616)</x:f>
      </x:c>
      <x:c r="E4616" s="22" t="str">
        <x:f>IF(ISBLANK(C4616),"AmountIncludingTax缺失",IF(ABS(B4616-C4616)&lt;0.005,"一致","不一致"))</x:f>
        <x:v>AmountIncludingTax缺失</x:v>
      </x:c>
      <x:c r="F4616" s="19" t="str">
        <x:v>approved</x:v>
      </x:c>
      <x:c r="G4616" s="19" t="str">
        <x:v>Repairer Invoiced Processed</x:v>
      </x:c>
      <x:c r="H4616" s="19" t="str">
        <x:v>In Field</x:v>
      </x:c>
      <x:c r="I4616" s="37" t="n">
        <x:v>46076</x:v>
      </x:c>
      <x:c r="J4616" s="37" t="n">
        <x:v>46076</x:v>
      </x:c>
      <x:c r="K4616" s="19" t="str">
        <x:v>Newcastle RV Super Centre - Beresfield</x:v>
      </x:c>
      <x:c r="L4616" s="19" t="str">
        <x:v>Z006</x:v>
      </x:c>
      <x:c r="M4616" s="19" t="str">
        <x:v>In Field Warranty Claims</x:v>
      </x:c>
      <x:c r="N4616" s="37" t="n">
        <x:v>46008</x:v>
      </x:c>
      <x:c r="O4616" s="37"/>
      <x:c r="P4616" s="34" t="n">
        <x:v>0</x:v>
      </x:c>
      <x:c r="Q4616" s="37" t="n">
        <x:v>46076.18418981481</x:v>
      </x:c>
    </x:row>
    <x:row r="4617">
      <x:c r="A4617" s="22" t="n">
        <x:v>29181</x:v>
      </x:c>
      <x:c r="B4617" s="28" t="n">
        <x:v>724.38</x:v>
      </x:c>
      <x:c r="C4617" s="28" t="n">
        <x:v>796.82</x:v>
      </x:c>
      <x:c r="D4617" s="31" t="n">
        <x:f>IF(OR(ISBLANK(B4617),ISBLANK(C4617),B4617=0),"",(C4617-B4617)/B4617)</x:f>
        <x:v>0.1000027609818052</x:v>
      </x:c>
      <x:c r="E4617" s="22" t="str">
        <x:f>IF(ISBLANK(C4617),"AmountIncludingTax缺失",IF(ABS(B4617-C4617)&lt;0.005,"一致","不一致"))</x:f>
        <x:v>不一致</x:v>
      </x:c>
      <x:c r="F4617" s="19" t="str">
        <x:v>approved</x:v>
      </x:c>
      <x:c r="G4617" s="19" t="str">
        <x:v>Repairer Invoiced Processed</x:v>
      </x:c>
      <x:c r="H4617" s="19" t="str">
        <x:v>In Field</x:v>
      </x:c>
      <x:c r="I4617" s="37" t="n">
        <x:v>46178</x:v>
      </x:c>
      <x:c r="J4617" s="37" t="n">
        <x:v>46178</x:v>
      </x:c>
      <x:c r="K4617" s="19" t="str">
        <x:v>Green RV - Forest Glen</x:v>
      </x:c>
      <x:c r="L4617" s="19" t="str">
        <x:v>Z006</x:v>
      </x:c>
      <x:c r="M4617" s="19" t="str">
        <x:v>In Field Warranty Claims</x:v>
      </x:c>
      <x:c r="N4617" s="37" t="n">
        <x:v>46008</x:v>
      </x:c>
      <x:c r="O4617" s="37"/>
      <x:c r="P4617" s="34" t="n">
        <x:v>796.82</x:v>
      </x:c>
      <x:c r="Q4617" s="37" t="n">
        <x:v>46178.19252314815</x:v>
      </x:c>
    </x:row>
    <x:row r="4618">
      <x:c r="A4618" s="22" t="n">
        <x:v>29180</x:v>
      </x:c>
      <x:c r="B4618" s="28" t="n">
        <x:v>725</x:v>
      </x:c>
      <x:c r="C4618" s="28"/>
      <x:c r="D4618" s="31" t="str">
        <x:f>IF(OR(ISBLANK(B4618),ISBLANK(C4618),B4618=0),"",(C4618-B4618)/B4618)</x:f>
      </x:c>
      <x:c r="E4618" s="22" t="str">
        <x:f>IF(ISBLANK(C4618),"AmountIncludingTax缺失",IF(ABS(B4618-C4618)&lt;0.005,"一致","不一致"))</x:f>
        <x:v>AmountIncludingTax缺失</x:v>
      </x:c>
      <x:c r="F4618" s="19" t="str">
        <x:v>approved</x:v>
      </x:c>
      <x:c r="G4618" s="19" t="str">
        <x:v>Repairer Invoiced Processed</x:v>
      </x:c>
      <x:c r="H4618" s="19" t="str">
        <x:v>In Field</x:v>
      </x:c>
      <x:c r="I4618" s="37" t="n">
        <x:v>46068</x:v>
      </x:c>
      <x:c r="J4618" s="37" t="n">
        <x:v>46068</x:v>
      </x:c>
      <x:c r="K4618" s="19" t="str">
        <x:v>The Caravan Hub - Townsville</x:v>
      </x:c>
      <x:c r="L4618" s="19" t="str">
        <x:v>Z006</x:v>
      </x:c>
      <x:c r="M4618" s="19" t="str">
        <x:v>In Field Warranty Claims</x:v>
      </x:c>
      <x:c r="N4618" s="37" t="n">
        <x:v>46008</x:v>
      </x:c>
      <x:c r="O4618" s="37" t="n">
        <x:v>46061</x:v>
      </x:c>
      <x:c r="P4618" s="34" t="n">
        <x:v>0</x:v>
      </x:c>
      <x:c r="Q4618" s="37" t="n">
        <x:v>46067.92710648148</x:v>
      </x:c>
    </x:row>
    <x:row r="4619">
      <x:c r="A4619" s="22" t="n">
        <x:v>29173</x:v>
      </x:c>
      <x:c r="B4619" s="28" t="n">
        <x:v>2493.75</x:v>
      </x:c>
      <x:c r="C4619" s="28"/>
      <x:c r="D4619" s="31" t="str">
        <x:f>IF(OR(ISBLANK(B4619),ISBLANK(C4619),B4619=0),"",(C4619-B4619)/B4619)</x:f>
      </x:c>
      <x:c r="E4619" s="22" t="str">
        <x:f>IF(ISBLANK(C4619),"AmountIncludingTax缺失",IF(ABS(B4619-C4619)&lt;0.005,"一致","不一致"))</x:f>
        <x:v>AmountIncludingTax缺失</x:v>
      </x:c>
      <x:c r="F4619" s="19" t="str">
        <x:v>approved</x:v>
      </x:c>
      <x:c r="G4619" s="19" t="str">
        <x:v>Repairer Invoiced Processed</x:v>
      </x:c>
      <x:c r="H4619" s="19" t="str">
        <x:v>In Field</x:v>
      </x:c>
      <x:c r="I4619" s="37" t="n">
        <x:v>46157</x:v>
      </x:c>
      <x:c r="J4619" s="37" t="n">
        <x:v>46035</x:v>
      </x:c>
      <x:c r="K4619" s="19" t="str">
        <x:v>Vanari Caravans - Marden Point</x:v>
      </x:c>
      <x:c r="L4619" s="19" t="str">
        <x:v>Z006</x:v>
      </x:c>
      <x:c r="M4619" s="19" t="str">
        <x:v>In Field Warranty Claims</x:v>
      </x:c>
      <x:c r="N4619" s="37" t="n">
        <x:v>46008</x:v>
      </x:c>
      <x:c r="O4619" s="37"/>
      <x:c r="P4619" s="34" t="n">
        <x:v>2257.84</x:v>
      </x:c>
      <x:c r="Q4619" s="37" t="n">
        <x:v>46157.26765046296</x:v>
      </x:c>
    </x:row>
    <x:row r="4620">
      <x:c r="A4620" s="22" t="n">
        <x:v>29172</x:v>
      </x:c>
      <x:c r="B4620" s="28" t="n">
        <x:v>254.55</x:v>
      </x:c>
      <x:c r="C4620" s="28" t="n">
        <x:v>280.01</x:v>
      </x:c>
      <x:c r="D4620" s="31" t="n">
        <x:f>IF(OR(ISBLANK(B4620),ISBLANK(C4620),B4620=0),"",(C4620-B4620)/B4620)</x:f>
        <x:v>0.10001964250638373</x:v>
      </x:c>
      <x:c r="E4620" s="22" t="str">
        <x:f>IF(ISBLANK(C4620),"AmountIncludingTax缺失",IF(ABS(B4620-C4620)&lt;0.005,"一致","不一致"))</x:f>
        <x:v>不一致</x:v>
      </x:c>
      <x:c r="F4620" s="19" t="str">
        <x:v>approved</x:v>
      </x:c>
      <x:c r="G4620" s="19" t="str">
        <x:v>Repairer Invoiced Processed</x:v>
      </x:c>
      <x:c r="H4620" s="19" t="str">
        <x:v>In Field</x:v>
      </x:c>
      <x:c r="I4620" s="37" t="n">
        <x:v>46049</x:v>
      </x:c>
      <x:c r="J4620" s="37" t="n">
        <x:v>46049</x:v>
      </x:c>
      <x:c r="K4620" s="19" t="str">
        <x:v>Green RV - Forest Glen</x:v>
      </x:c>
      <x:c r="L4620" s="19" t="str">
        <x:v>Z006</x:v>
      </x:c>
      <x:c r="M4620" s="19" t="str">
        <x:v>In Field Warranty Claims</x:v>
      </x:c>
      <x:c r="N4620" s="37" t="n">
        <x:v>46008</x:v>
      </x:c>
      <x:c r="O4620" s="37"/>
      <x:c r="P4620" s="34" t="n">
        <x:v>280.01</x:v>
      </x:c>
      <x:c r="Q4620" s="37" t="n">
        <x:v>46049.14572916667</x:v>
      </x:c>
    </x:row>
    <x:row r="4621">
      <x:c r="A4621" s="22" t="n">
        <x:v>29171</x:v>
      </x:c>
      <x:c r="B4621" s="28" t="n">
        <x:v>37.5</x:v>
      </x:c>
      <x:c r="C4621" s="28"/>
      <x:c r="D4621" s="31" t="str">
        <x:f>IF(OR(ISBLANK(B4621),ISBLANK(C4621),B4621=0),"",(C4621-B4621)/B4621)</x:f>
      </x:c>
      <x:c r="E4621" s="22" t="str">
        <x:f>IF(ISBLANK(C4621),"AmountIncludingTax缺失",IF(ABS(B4621-C4621)&lt;0.005,"一致","不一致"))</x:f>
        <x:v>AmountIncludingTax缺失</x:v>
      </x:c>
      <x:c r="F4621" s="19" t="str">
        <x:v>approved</x:v>
      </x:c>
      <x:c r="G4621" s="19" t="str">
        <x:v>Repair in Progress</x:v>
      </x:c>
      <x:c r="H4621" s="19" t="str">
        <x:v>In Field</x:v>
      </x:c>
      <x:c r="I4621" s="37" t="n">
        <x:v>46087</x:v>
      </x:c>
      <x:c r="J4621" s="37" t="n">
        <x:v>46087</x:v>
      </x:c>
      <x:c r="K4621" s="19" t="str">
        <x:v>Vanari Caravans - Marden Point</x:v>
      </x:c>
      <x:c r="L4621" s="19" t="str">
        <x:v>Z006</x:v>
      </x:c>
      <x:c r="M4621" s="19" t="str">
        <x:v>In Field Warranty Claims</x:v>
      </x:c>
      <x:c r="N4621" s="37" t="n">
        <x:v>46008</x:v>
      </x:c>
      <x:c r="O4621" s="37"/>
      <x:c r="P4621" s="34" t="n">
        <x:v>0</x:v>
      </x:c>
      <x:c r="Q4621" s="37" t="n">
        <x:v>46087.1947337963</x:v>
      </x:c>
    </x:row>
    <x:row r="4622">
      <x:c r="A4622" s="22" t="n">
        <x:v>29149</x:v>
      </x:c>
      <x:c r="B4622" s="28" t="n">
        <x:v>385</x:v>
      </x:c>
      <x:c r="C4622" s="28"/>
      <x:c r="D4622" s="31" t="str">
        <x:f>IF(OR(ISBLANK(B4622),ISBLANK(C4622),B4622=0),"",(C4622-B4622)/B4622)</x:f>
      </x:c>
      <x:c r="E4622" s="22" t="str">
        <x:f>IF(ISBLANK(C4622),"AmountIncludingTax缺失",IF(ABS(B4622-C4622)&lt;0.005,"一致","不一致"))</x:f>
        <x:v>AmountIncludingTax缺失</x:v>
      </x:c>
      <x:c r="F4622" s="19" t="str">
        <x:v>approved</x:v>
      </x:c>
      <x:c r="G4622" s="19" t="str">
        <x:v>Repair in Progress</x:v>
      </x:c>
      <x:c r="H4622" s="19" t="str">
        <x:v>In Field</x:v>
      </x:c>
      <x:c r="I4622" s="37" t="n">
        <x:v>46073</x:v>
      </x:c>
      <x:c r="J4622" s="37" t="n">
        <x:v>46073</x:v>
      </x:c>
      <x:c r="K4622" s="19" t="str">
        <x:v>Regent RV - Frankston</x:v>
      </x:c>
      <x:c r="L4622" s="19" t="str">
        <x:v>Z006</x:v>
      </x:c>
      <x:c r="M4622" s="19" t="str">
        <x:v>In Field Warranty Claims</x:v>
      </x:c>
      <x:c r="N4622" s="37" t="n">
        <x:v>46007</x:v>
      </x:c>
      <x:c r="O4622" s="37"/>
      <x:c r="P4622" s="34" t="n">
        <x:v>0</x:v>
      </x:c>
      <x:c r="Q4622" s="37" t="n">
        <x:v>46073.011354166665</x:v>
      </x:c>
    </x:row>
    <x:row r="4623">
      <x:c r="A4623" s="22" t="n">
        <x:v>29148</x:v>
      </x:c>
      <x:c r="B4623" s="28" t="n">
        <x:v>352.91</x:v>
      </x:c>
      <x:c r="C4623" s="28" t="n">
        <x:v>388.2</x:v>
      </x:c>
      <x:c r="D4623" s="31" t="n">
        <x:f>IF(OR(ISBLANK(B4623),ISBLANK(C4623),B4623=0),"",(C4623-B4623)/B4623)</x:f>
        <x:v>0.09999716641636668</x:v>
      </x:c>
      <x:c r="E4623" s="22" t="str">
        <x:f>IF(ISBLANK(C4623),"AmountIncludingTax缺失",IF(ABS(B4623-C4623)&lt;0.005,"一致","不一致"))</x:f>
        <x:v>不一致</x:v>
      </x:c>
      <x:c r="F4623" s="19" t="str">
        <x:v>approved</x:v>
      </x:c>
      <x:c r="G4623" s="19" t="str">
        <x:v>Repairer Invoiced Processed</x:v>
      </x:c>
      <x:c r="H4623" s="19" t="str">
        <x:v>In Field</x:v>
      </x:c>
      <x:c r="I4623" s="37" t="n">
        <x:v>46098</x:v>
      </x:c>
      <x:c r="J4623" s="37" t="n">
        <x:v>46098</x:v>
      </x:c>
      <x:c r="K4623" s="19" t="str">
        <x:v>Lesiure Lion-New Castle</x:v>
      </x:c>
      <x:c r="L4623" s="19" t="str">
        <x:v>Z006</x:v>
      </x:c>
      <x:c r="M4623" s="19" t="str">
        <x:v>In Field Warranty Claims</x:v>
      </x:c>
      <x:c r="N4623" s="37" t="n">
        <x:v>46007</x:v>
      </x:c>
      <x:c r="O4623" s="37"/>
      <x:c r="P4623" s="34" t="n">
        <x:v>388.2</x:v>
      </x:c>
      <x:c r="Q4623" s="37" t="n">
        <x:v>46098.19991898148</x:v>
      </x:c>
    </x:row>
    <x:row r="4624">
      <x:c r="A4624" s="22" t="n">
        <x:v>29143</x:v>
      </x:c>
      <x:c r="B4624" s="28" t="n">
        <x:v>1182.5</x:v>
      </x:c>
      <x:c r="C4624" s="28"/>
      <x:c r="D4624" s="31" t="str">
        <x:f>IF(OR(ISBLANK(B4624),ISBLANK(C4624),B4624=0),"",(C4624-B4624)/B4624)</x:f>
      </x:c>
      <x:c r="E4624" s="22" t="str">
        <x:f>IF(ISBLANK(C4624),"AmountIncludingTax缺失",IF(ABS(B4624-C4624)&lt;0.005,"一致","不一致"))</x:f>
        <x:v>AmountIncludingTax缺失</x:v>
      </x:c>
      <x:c r="F4624" s="19" t="str">
        <x:v>approved</x:v>
      </x:c>
      <x:c r="G4624" s="19" t="str">
        <x:v>Repair in Progress</x:v>
      </x:c>
      <x:c r="H4624" s="19" t="str">
        <x:v>In Field</x:v>
      </x:c>
      <x:c r="I4624" s="37" t="n">
        <x:v>46076</x:v>
      </x:c>
      <x:c r="J4624" s="37" t="n">
        <x:v>46076</x:v>
      </x:c>
      <x:c r="K4624" s="19" t="str">
        <x:v>Regent RV - Frankston</x:v>
      </x:c>
      <x:c r="L4624" s="19" t="str">
        <x:v>Z006</x:v>
      </x:c>
      <x:c r="M4624" s="19" t="str">
        <x:v>In Field Warranty Claims</x:v>
      </x:c>
      <x:c r="N4624" s="37" t="n">
        <x:v>46007</x:v>
      </x:c>
      <x:c r="O4624" s="37"/>
      <x:c r="P4624" s="34" t="n">
        <x:v>0</x:v>
      </x:c>
      <x:c r="Q4624" s="37" t="n">
        <x:v>46076.13582175926</x:v>
      </x:c>
    </x:row>
    <x:row r="4625">
      <x:c r="A4625" s="22" t="n">
        <x:v>29142</x:v>
      </x:c>
      <x:c r="B4625" s="28" t="n">
        <x:v>330</x:v>
      </x:c>
      <x:c r="C4625" s="28" t="n">
        <x:v>298.78</x:v>
      </x:c>
      <x:c r="D4625" s="31" t="n">
        <x:f>IF(OR(ISBLANK(B4625),ISBLANK(C4625),B4625=0),"",(C4625-B4625)/B4625)</x:f>
        <x:v>-0.0946060606060607</x:v>
      </x:c>
      <x:c r="E4625" s="22" t="str">
        <x:f>IF(ISBLANK(C4625),"AmountIncludingTax缺失",IF(ABS(B4625-C4625)&lt;0.005,"一致","不一致"))</x:f>
        <x:v>不一致</x:v>
      </x:c>
      <x:c r="F4625" s="19" t="str">
        <x:v>approved</x:v>
      </x:c>
      <x:c r="G4625" s="19" t="str">
        <x:v>Repairer Invoiced Processed</x:v>
      </x:c>
      <x:c r="H4625" s="19" t="str">
        <x:v>In Field</x:v>
      </x:c>
      <x:c r="I4625" s="37" t="n">
        <x:v>46085</x:v>
      </x:c>
      <x:c r="J4625" s="37" t="n">
        <x:v>46085</x:v>
      </x:c>
      <x:c r="K4625" s="19" t="str">
        <x:v>Vanari Caravans - Marden Point</x:v>
      </x:c>
      <x:c r="L4625" s="19" t="str">
        <x:v>Z006</x:v>
      </x:c>
      <x:c r="M4625" s="19" t="str">
        <x:v>In Field Warranty Claims</x:v>
      </x:c>
      <x:c r="N4625" s="37" t="n">
        <x:v>46007</x:v>
      </x:c>
      <x:c r="O4625" s="37"/>
      <x:c r="P4625" s="34" t="n">
        <x:v>298.78</x:v>
      </x:c>
      <x:c r="Q4625" s="37" t="n">
        <x:v>46085.22986111111</x:v>
      </x:c>
    </x:row>
    <x:row r="4626">
      <x:c r="A4626" s="22" t="n">
        <x:v>29135</x:v>
      </x:c>
      <x:c r="B4626" s="28" t="n">
        <x:v>825</x:v>
      </x:c>
      <x:c r="C4626" s="28"/>
      <x:c r="D4626" s="31" t="str">
        <x:f>IF(OR(ISBLANK(B4626),ISBLANK(C4626),B4626=0),"",(C4626-B4626)/B4626)</x:f>
      </x:c>
      <x:c r="E4626" s="22" t="str">
        <x:f>IF(ISBLANK(C4626),"AmountIncludingTax缺失",IF(ABS(B4626-C4626)&lt;0.005,"一致","不一致"))</x:f>
        <x:v>AmountIncludingTax缺失</x:v>
      </x:c>
      <x:c r="F4626" s="19" t="str">
        <x:v>approved</x:v>
      </x:c>
      <x:c r="G4626" s="19" t="str">
        <x:v>Repair in Progress</x:v>
      </x:c>
      <x:c r="H4626" s="19" t="str">
        <x:v>In Field</x:v>
      </x:c>
      <x:c r="I4626" s="37" t="n">
        <x:v>46125</x:v>
      </x:c>
      <x:c r="J4626" s="37" t="n">
        <x:v>46125</x:v>
      </x:c>
      <x:c r="K4626" s="19" t="str">
        <x:v>Regent RV - Perth</x:v>
      </x:c>
      <x:c r="L4626" s="19" t="str">
        <x:v>Z006</x:v>
      </x:c>
      <x:c r="M4626" s="19" t="str">
        <x:v>In Field Warranty Claims</x:v>
      </x:c>
      <x:c r="N4626" s="37" t="n">
        <x:v>46007</x:v>
      </x:c>
      <x:c r="O4626" s="37"/>
      <x:c r="P4626" s="34" t="n">
        <x:v>0</x:v>
      </x:c>
      <x:c r="Q4626" s="37" t="n">
        <x:v>46125.001979166664</x:v>
      </x:c>
    </x:row>
    <x:row r="4627">
      <x:c r="A4627" s="22" t="n">
        <x:v>29131</x:v>
      </x:c>
      <x:c r="B4627" s="28" t="n">
        <x:v>883.75</x:v>
      </x:c>
      <x:c r="C4627" s="28"/>
      <x:c r="D4627" s="31" t="str">
        <x:f>IF(OR(ISBLANK(B4627),ISBLANK(C4627),B4627=0),"",(C4627-B4627)/B4627)</x:f>
      </x:c>
      <x:c r="E4627" s="22" t="str">
        <x:f>IF(ISBLANK(C4627),"AmountIncludingTax缺失",IF(ABS(B4627-C4627)&lt;0.005,"一致","不一致"))</x:f>
        <x:v>AmountIncludingTax缺失</x:v>
      </x:c>
      <x:c r="F4627" s="19" t="str">
        <x:v>approved</x:v>
      </x:c>
      <x:c r="G4627" s="19" t="str">
        <x:v>Repairer Invoiced Processed</x:v>
      </x:c>
      <x:c r="H4627" s="19" t="str">
        <x:v>In Field</x:v>
      </x:c>
      <x:c r="I4627" s="37" t="n">
        <x:v>46112</x:v>
      </x:c>
      <x:c r="J4627" s="37" t="n">
        <x:v>46112</x:v>
      </x:c>
      <x:c r="K4627" s="19" t="str">
        <x:v>Newcastle RV Super Centre - Beresfield</x:v>
      </x:c>
      <x:c r="L4627" s="19" t="str">
        <x:v>Z006</x:v>
      </x:c>
      <x:c r="M4627" s="19" t="str">
        <x:v>In Field Warranty Claims</x:v>
      </x:c>
      <x:c r="N4627" s="37" t="n">
        <x:v>46007</x:v>
      </x:c>
      <x:c r="O4627" s="37"/>
      <x:c r="P4627" s="34" t="n">
        <x:v>0</x:v>
      </x:c>
      <x:c r="Q4627" s="37" t="n">
        <x:v>46111.89380787037</x:v>
      </x:c>
    </x:row>
    <x:row r="4628">
      <x:c r="A4628" s="22" t="n">
        <x:v>29127</x:v>
      </x:c>
      <x:c r="B4628" s="28" t="n">
        <x:v>845</x:v>
      </x:c>
      <x:c r="C4628" s="28"/>
      <x:c r="D4628" s="31" t="str">
        <x:f>IF(OR(ISBLANK(B4628),ISBLANK(C4628),B4628=0),"",(C4628-B4628)/B4628)</x:f>
      </x:c>
      <x:c r="E4628" s="22" t="str">
        <x:f>IF(ISBLANK(C4628),"AmountIncludingTax缺失",IF(ABS(B4628-C4628)&lt;0.005,"一致","不一致"))</x:f>
        <x:v>AmountIncludingTax缺失</x:v>
      </x:c>
      <x:c r="F4628" s="19" t="str">
        <x:v>approved</x:v>
      </x:c>
      <x:c r="G4628" s="19" t="str">
        <x:v>Repair in Progress</x:v>
      </x:c>
      <x:c r="H4628" s="19" t="str">
        <x:v>In Field</x:v>
      </x:c>
      <x:c r="I4628" s="37" t="n">
        <x:v>46076</x:v>
      </x:c>
      <x:c r="J4628" s="37" t="n">
        <x:v>46076</x:v>
      </x:c>
      <x:c r="K4628" s="19" t="str">
        <x:v>Newcastle RV Super Centre - Beresfield</x:v>
      </x:c>
      <x:c r="L4628" s="19" t="str">
        <x:v>Z006</x:v>
      </x:c>
      <x:c r="M4628" s="19" t="str">
        <x:v>In Field Warranty Claims</x:v>
      </x:c>
      <x:c r="N4628" s="37" t="n">
        <x:v>46007</x:v>
      </x:c>
      <x:c r="O4628" s="37"/>
      <x:c r="P4628" s="34" t="n">
        <x:v>0</x:v>
      </x:c>
      <x:c r="Q4628" s="37" t="n">
        <x:v>46076.19105324074</x:v>
      </x:c>
    </x:row>
    <x:row r="4629">
      <x:c r="A4629" s="22" t="n">
        <x:v>29126</x:v>
      </x:c>
      <x:c r="B4629" s="28" t="n">
        <x:v>101.25</x:v>
      </x:c>
      <x:c r="C4629" s="28"/>
      <x:c r="D4629" s="31" t="str">
        <x:f>IF(OR(ISBLANK(B4629),ISBLANK(C4629),B4629=0),"",(C4629-B4629)/B4629)</x:f>
      </x:c>
      <x:c r="E4629" s="22" t="str">
        <x:f>IF(ISBLANK(C4629),"AmountIncludingTax缺失",IF(ABS(B4629-C4629)&lt;0.005,"一致","不一致"))</x:f>
        <x:v>AmountIncludingTax缺失</x:v>
      </x:c>
      <x:c r="F4629" s="19" t="str">
        <x:v>approved</x:v>
      </x:c>
      <x:c r="G4629" s="19" t="str">
        <x:v>Repairer Invoiced Processed</x:v>
      </x:c>
      <x:c r="H4629" s="19" t="str">
        <x:v>Pre Delivery</x:v>
      </x:c>
      <x:c r="I4629" s="37" t="n">
        <x:v>46079</x:v>
      </x:c>
      <x:c r="J4629" s="37" t="n">
        <x:v>46079</x:v>
      </x:c>
      <x:c r="K4629" s="19" t="str">
        <x:v>Green RV - Forest Glen</x:v>
      </x:c>
      <x:c r="L4629" s="19" t="str">
        <x:v>Z005</x:v>
      </x:c>
      <x:c r="M4629" s="19" t="str">
        <x:v>Pre Delivery Warranty Claims</x:v>
      </x:c>
      <x:c r="N4629" s="37" t="n">
        <x:v>46007</x:v>
      </x:c>
      <x:c r="O4629" s="37"/>
      <x:c r="P4629" s="34" t="n">
        <x:v>0</x:v>
      </x:c>
      <x:c r="Q4629" s="37" t="n">
        <x:v>46079.15167824074</x:v>
      </x:c>
    </x:row>
    <x:row r="4630">
      <x:c r="A4630" s="22" t="n">
        <x:v>29124</x:v>
      </x:c>
      <x:c r="B4630" s="28" t="n">
        <x:v>135</x:v>
      </x:c>
      <x:c r="C4630" s="28"/>
      <x:c r="D4630" s="31" t="str">
        <x:f>IF(OR(ISBLANK(B4630),ISBLANK(C4630),B4630=0),"",(C4630-B4630)/B4630)</x:f>
      </x:c>
      <x:c r="E4630" s="22" t="str">
        <x:f>IF(ISBLANK(C4630),"AmountIncludingTax缺失",IF(ABS(B4630-C4630)&lt;0.005,"一致","不一致"))</x:f>
        <x:v>AmountIncludingTax缺失</x:v>
      </x:c>
      <x:c r="F4630" s="19" t="str">
        <x:v>approved</x:v>
      </x:c>
      <x:c r="G4630" s="19" t="str">
        <x:v>Repairer Invoiced Processed</x:v>
      </x:c>
      <x:c r="H4630" s="19" t="str">
        <x:v>In Field</x:v>
      </x:c>
      <x:c r="I4630" s="37" t="n">
        <x:v>46058</x:v>
      </x:c>
      <x:c r="J4630" s="37" t="n">
        <x:v>46058</x:v>
      </x:c>
      <x:c r="K4630" s="19" t="str">
        <x:v>Green RV - Forest Glen</x:v>
      </x:c>
      <x:c r="L4630" s="19" t="str">
        <x:v>Z006</x:v>
      </x:c>
      <x:c r="M4630" s="19" t="str">
        <x:v>In Field Warranty Claims</x:v>
      </x:c>
      <x:c r="N4630" s="37" t="n">
        <x:v>46006</x:v>
      </x:c>
      <x:c r="O4630" s="37"/>
      <x:c r="P4630" s="34" t="n">
        <x:v>0</x:v>
      </x:c>
      <x:c r="Q4630" s="37" t="n">
        <x:v>46057.93618055555</x:v>
      </x:c>
    </x:row>
    <x:row r="4631">
      <x:c r="A4631" s="22" t="n">
        <x:v>29123</x:v>
      </x:c>
      <x:c r="B4631" s="28" t="n">
        <x:v>72.5</x:v>
      </x:c>
      <x:c r="C4631" s="28"/>
      <x:c r="D4631" s="31" t="str">
        <x:f>IF(OR(ISBLANK(B4631),ISBLANK(C4631),B4631=0),"",(C4631-B4631)/B4631)</x:f>
      </x:c>
      <x:c r="E4631" s="22" t="str">
        <x:f>IF(ISBLANK(C4631),"AmountIncludingTax缺失",IF(ABS(B4631-C4631)&lt;0.005,"一致","不一致"))</x:f>
        <x:v>AmountIncludingTax缺失</x:v>
      </x:c>
      <x:c r="F4631" s="19" t="str">
        <x:v>approved</x:v>
      </x:c>
      <x:c r="G4631" s="19" t="str">
        <x:v>Repairer Invoiced Processed</x:v>
      </x:c>
      <x:c r="H4631" s="19" t="str">
        <x:v>Pre Delivery</x:v>
      </x:c>
      <x:c r="I4631" s="37" t="n">
        <x:v>46154</x:v>
      </x:c>
      <x:c r="J4631" s="37" t="n">
        <x:v>46100</x:v>
      </x:c>
      <x:c r="K4631" s="19" t="str">
        <x:v>Green RV - Forest Glen</x:v>
      </x:c>
      <x:c r="L4631" s="19" t="str">
        <x:v>Z005</x:v>
      </x:c>
      <x:c r="M4631" s="19" t="str">
        <x:v>Pre Delivery Warranty Claims</x:v>
      </x:c>
      <x:c r="N4631" s="37" t="n">
        <x:v>46006</x:v>
      </x:c>
      <x:c r="O4631" s="37"/>
      <x:c r="P4631" s="34" t="n">
        <x:v>0</x:v>
      </x:c>
      <x:c r="Q4631" s="37" t="n">
        <x:v>46154.123240740744</x:v>
      </x:c>
    </x:row>
    <x:row r="4632">
      <x:c r="A4632" s="22" t="n">
        <x:v>29122</x:v>
      </x:c>
      <x:c r="B4632" s="28" t="n">
        <x:v>878</x:v>
      </x:c>
      <x:c r="C4632" s="28"/>
      <x:c r="D4632" s="31" t="str">
        <x:f>IF(OR(ISBLANK(B4632),ISBLANK(C4632),B4632=0),"",(C4632-B4632)/B4632)</x:f>
      </x:c>
      <x:c r="E4632" s="22" t="str">
        <x:f>IF(ISBLANK(C4632),"AmountIncludingTax缺失",IF(ABS(B4632-C4632)&lt;0.005,"一致","不一致"))</x:f>
        <x:v>AmountIncludingTax缺失</x:v>
      </x:c>
      <x:c r="F4632" s="19" t="str">
        <x:v>approved</x:v>
      </x:c>
      <x:c r="G4632" s="19" t="str">
        <x:v>Repairer Invoiced Processed</x:v>
      </x:c>
      <x:c r="H4632" s="19" t="str">
        <x:v>Pre Delivery</x:v>
      </x:c>
      <x:c r="I4632" s="37" t="n">
        <x:v>46106</x:v>
      </x:c>
      <x:c r="J4632" s="37" t="n">
        <x:v>46106</x:v>
      </x:c>
      <x:c r="K4632" s="19" t="str">
        <x:v>Green RV - Forest Glen</x:v>
      </x:c>
      <x:c r="L4632" s="19" t="str">
        <x:v>Z005</x:v>
      </x:c>
      <x:c r="M4632" s="19" t="str">
        <x:v>Pre Delivery Warranty Claims</x:v>
      </x:c>
      <x:c r="N4632" s="37" t="n">
        <x:v>46006</x:v>
      </x:c>
      <x:c r="O4632" s="37"/>
      <x:c r="P4632" s="34" t="n">
        <x:v>0</x:v>
      </x:c>
      <x:c r="Q4632" s="37" t="n">
        <x:v>46105.90100694444</x:v>
      </x:c>
    </x:row>
    <x:row r="4633">
      <x:c r="A4633" s="22" t="n">
        <x:v>29121</x:v>
      </x:c>
      <x:c r="B4633" s="28" t="n">
        <x:v>67.5</x:v>
      </x:c>
      <x:c r="C4633" s="28"/>
      <x:c r="D4633" s="31" t="str">
        <x:f>IF(OR(ISBLANK(B4633),ISBLANK(C4633),B4633=0),"",(C4633-B4633)/B4633)</x:f>
      </x:c>
      <x:c r="E4633" s="22" t="str">
        <x:f>IF(ISBLANK(C4633),"AmountIncludingTax缺失",IF(ABS(B4633-C4633)&lt;0.005,"一致","不一致"))</x:f>
        <x:v>AmountIncludingTax缺失</x:v>
      </x:c>
      <x:c r="F4633" s="19" t="str">
        <x:v>approved</x:v>
      </x:c>
      <x:c r="G4633" s="19" t="str">
        <x:v>Repair in Progress</x:v>
      </x:c>
      <x:c r="H4633" s="19" t="str">
        <x:v>In Field</x:v>
      </x:c>
      <x:c r="I4633" s="37" t="n">
        <x:v>46111</x:v>
      </x:c>
      <x:c r="J4633" s="37" t="n">
        <x:v>46111</x:v>
      </x:c>
      <x:c r="K4633" s="19" t="str">
        <x:v>Regent RV - Toowoomba</x:v>
      </x:c>
      <x:c r="L4633" s="19" t="str">
        <x:v>Z006</x:v>
      </x:c>
      <x:c r="M4633" s="19" t="str">
        <x:v>In Field Warranty Claims</x:v>
      </x:c>
      <x:c r="N4633" s="37" t="n">
        <x:v>46006</x:v>
      </x:c>
      <x:c r="O4633" s="37"/>
      <x:c r="P4633" s="34" t="n">
        <x:v>0</x:v>
      </x:c>
      <x:c r="Q4633" s="37" t="n">
        <x:v>46111.177037037036</x:v>
      </x:c>
    </x:row>
    <x:row r="4634">
      <x:c r="A4634" s="22" t="n">
        <x:v>29120</x:v>
      </x:c>
      <x:c r="B4634" s="28" t="n">
        <x:v>324.55</x:v>
      </x:c>
      <x:c r="C4634" s="28"/>
      <x:c r="D4634" s="31" t="str">
        <x:f>IF(OR(ISBLANK(B4634),ISBLANK(C4634),B4634=0),"",(C4634-B4634)/B4634)</x:f>
      </x:c>
      <x:c r="E4634" s="22" t="str">
        <x:f>IF(ISBLANK(C4634),"AmountIncludingTax缺失",IF(ABS(B4634-C4634)&lt;0.005,"一致","不一致"))</x:f>
        <x:v>AmountIncludingTax缺失</x:v>
      </x:c>
      <x:c r="F4634" s="19" t="str">
        <x:v>approved</x:v>
      </x:c>
      <x:c r="G4634" s="19" t="str">
        <x:v>Repair in Progress</x:v>
      </x:c>
      <x:c r="H4634" s="19" t="str">
        <x:v>In Field</x:v>
      </x:c>
      <x:c r="I4634" s="37" t="n">
        <x:v>46056</x:v>
      </x:c>
      <x:c r="J4634" s="37" t="n">
        <x:v>46056</x:v>
      </x:c>
      <x:c r="K4634" s="19" t="str">
        <x:v>Green RV - Forest Glen</x:v>
      </x:c>
      <x:c r="L4634" s="19" t="str">
        <x:v>Z006</x:v>
      </x:c>
      <x:c r="M4634" s="19" t="str">
        <x:v>In Field Warranty Claims</x:v>
      </x:c>
      <x:c r="N4634" s="37" t="n">
        <x:v>46007</x:v>
      </x:c>
      <x:c r="O4634" s="37"/>
      <x:c r="P4634" s="34" t="n">
        <x:v>0</x:v>
      </x:c>
      <x:c r="Q4634" s="37" t="n">
        <x:v>46056.26850694444</x:v>
      </x:c>
    </x:row>
    <x:row r="4635">
      <x:c r="A4635" s="22" t="n">
        <x:v>29118</x:v>
      </x:c>
      <x:c r="B4635" s="28" t="n">
        <x:v>288</x:v>
      </x:c>
      <x:c r="C4635" s="28"/>
      <x:c r="D4635" s="31" t="str">
        <x:f>IF(OR(ISBLANK(B4635),ISBLANK(C4635),B4635=0),"",(C4635-B4635)/B4635)</x:f>
      </x:c>
      <x:c r="E4635" s="22" t="str">
        <x:f>IF(ISBLANK(C4635),"AmountIncludingTax缺失",IF(ABS(B4635-C4635)&lt;0.005,"一致","不一致"))</x:f>
        <x:v>AmountIncludingTax缺失</x:v>
      </x:c>
      <x:c r="F4635" s="19" t="str">
        <x:v>approved</x:v>
      </x:c>
      <x:c r="G4635" s="19" t="str">
        <x:v>Repairer Invoiced Processed</x:v>
      </x:c>
      <x:c r="H4635" s="19" t="str">
        <x:v>In Field</x:v>
      </x:c>
      <x:c r="I4635" s="37" t="n">
        <x:v>46073</x:v>
      </x:c>
      <x:c r="J4635" s="37" t="n">
        <x:v>46073</x:v>
      </x:c>
      <x:c r="K4635" s="19" t="str">
        <x:v>Green RV - Forest Glen</x:v>
      </x:c>
      <x:c r="L4635" s="19" t="str">
        <x:v>Z006</x:v>
      </x:c>
      <x:c r="M4635" s="19" t="str">
        <x:v>In Field Warranty Claims</x:v>
      </x:c>
      <x:c r="N4635" s="37" t="n">
        <x:v>46007</x:v>
      </x:c>
      <x:c r="O4635" s="37"/>
      <x:c r="P4635" s="34" t="n">
        <x:v>0</x:v>
      </x:c>
      <x:c r="Q4635" s="37" t="n">
        <x:v>46073.128645833334</x:v>
      </x:c>
    </x:row>
    <x:row r="4636">
      <x:c r="A4636" s="22" t="n">
        <x:v>29117</x:v>
      </x:c>
      <x:c r="B4636" s="28" t="n">
        <x:v>901.6</x:v>
      </x:c>
      <x:c r="C4636" s="28" t="n">
        <x:v>991.76</x:v>
      </x:c>
      <x:c r="D4636" s="31" t="n">
        <x:f>IF(OR(ISBLANK(B4636),ISBLANK(C4636),B4636=0),"",(C4636-B4636)/B4636)</x:f>
        <x:v>0.09999999999999996</x:v>
      </x:c>
      <x:c r="E4636" s="22" t="str">
        <x:f>IF(ISBLANK(C4636),"AmountIncludingTax缺失",IF(ABS(B4636-C4636)&lt;0.005,"一致","不一致"))</x:f>
        <x:v>不一致</x:v>
      </x:c>
      <x:c r="F4636" s="19" t="str">
        <x:v>approved</x:v>
      </x:c>
      <x:c r="G4636" s="19" t="str">
        <x:v>Repair in Progress</x:v>
      </x:c>
      <x:c r="H4636" s="19" t="str">
        <x:v>In Field</x:v>
      </x:c>
      <x:c r="I4636" s="37" t="n">
        <x:v>46163</x:v>
      </x:c>
      <x:c r="J4636" s="37" t="n">
        <x:v>46163</x:v>
      </x:c>
      <x:c r="K4636" s="19" t="str">
        <x:v>Auswide Caravans - South Nowra</x:v>
      </x:c>
      <x:c r="L4636" s="19" t="str">
        <x:v>Z006</x:v>
      </x:c>
      <x:c r="M4636" s="19" t="str">
        <x:v>In Field Warranty Claims</x:v>
      </x:c>
      <x:c r="N4636" s="37" t="n">
        <x:v>46007</x:v>
      </x:c>
      <x:c r="O4636" s="37"/>
      <x:c r="P4636" s="34" t="n">
        <x:v>991.76</x:v>
      </x:c>
      <x:c r="Q4636" s="37" t="n">
        <x:v>46163.10984953704</x:v>
      </x:c>
    </x:row>
    <x:row r="4637">
      <x:c r="A4637" s="22" t="n">
        <x:v>29116</x:v>
      </x:c>
      <x:c r="B4637" s="28" t="n">
        <x:v>363.09</x:v>
      </x:c>
      <x:c r="C4637" s="28" t="n">
        <x:v>399.4</x:v>
      </x:c>
      <x:c r="D4637" s="31" t="n">
        <x:f>IF(OR(ISBLANK(B4637),ISBLANK(C4637),B4637=0),"",(C4637-B4637)/B4637)</x:f>
        <x:v>0.1000027541380925</x:v>
      </x:c>
      <x:c r="E4637" s="22" t="str">
        <x:f>IF(ISBLANK(C4637),"AmountIncludingTax缺失",IF(ABS(B4637-C4637)&lt;0.005,"一致","不一致"))</x:f>
        <x:v>不一致</x:v>
      </x:c>
      <x:c r="F4637" s="19" t="str">
        <x:v>approved</x:v>
      </x:c>
      <x:c r="G4637" s="19" t="str">
        <x:v>Repairer Invoiced Processed</x:v>
      </x:c>
      <x:c r="H4637" s="19" t="str">
        <x:v>In Field</x:v>
      </x:c>
      <x:c r="I4637" s="37" t="n">
        <x:v>46083</x:v>
      </x:c>
      <x:c r="J4637" s="37" t="n">
        <x:v>46083</x:v>
      </x:c>
      <x:c r="K4637" s="19" t="str">
        <x:v>Green RV - Forest Glen</x:v>
      </x:c>
      <x:c r="L4637" s="19" t="str">
        <x:v>Z006</x:v>
      </x:c>
      <x:c r="M4637" s="19" t="str">
        <x:v>In Field Warranty Claims</x:v>
      </x:c>
      <x:c r="N4637" s="37" t="n">
        <x:v>46006</x:v>
      </x:c>
      <x:c r="O4637" s="37"/>
      <x:c r="P4637" s="34" t="n">
        <x:v>399.4</x:v>
      </x:c>
      <x:c r="Q4637" s="37" t="n">
        <x:v>46083.109814814816</x:v>
      </x:c>
    </x:row>
    <x:row r="4638">
      <x:c r="A4638" s="22" t="n">
        <x:v>29115</x:v>
      </x:c>
      <x:c r="B4638" s="28" t="n">
        <x:v>135</x:v>
      </x:c>
      <x:c r="C4638" s="28"/>
      <x:c r="D4638" s="31" t="str">
        <x:f>IF(OR(ISBLANK(B4638),ISBLANK(C4638),B4638=0),"",(C4638-B4638)/B4638)</x:f>
      </x:c>
      <x:c r="E4638" s="22" t="str">
        <x:f>IF(ISBLANK(C4638),"AmountIncludingTax缺失",IF(ABS(B4638-C4638)&lt;0.005,"一致","不一致"))</x:f>
        <x:v>AmountIncludingTax缺失</x:v>
      </x:c>
      <x:c r="F4638" s="19" t="str">
        <x:v>approved</x:v>
      </x:c>
      <x:c r="G4638" s="19" t="str">
        <x:v>Repairer Invoiced Processed</x:v>
      </x:c>
      <x:c r="H4638" s="19" t="str">
        <x:v>Pre Delivery</x:v>
      </x:c>
      <x:c r="I4638" s="37" t="n">
        <x:v>46059</x:v>
      </x:c>
      <x:c r="J4638" s="37" t="n">
        <x:v>46059</x:v>
      </x:c>
      <x:c r="K4638" s="19" t="str">
        <x:v>Snowy River Wangaratta</x:v>
      </x:c>
      <x:c r="L4638" s="19" t="str">
        <x:v>Z005</x:v>
      </x:c>
      <x:c r="M4638" s="19" t="str">
        <x:v>Pre Delivery Warranty Claims</x:v>
      </x:c>
      <x:c r="N4638" s="37" t="n">
        <x:v>46006</x:v>
      </x:c>
      <x:c r="O4638" s="37"/>
      <x:c r="P4638" s="34" t="n">
        <x:v>0</x:v>
      </x:c>
      <x:c r="Q4638" s="37" t="n">
        <x:v>46058.915810185186</x:v>
      </x:c>
    </x:row>
    <x:row r="4639">
      <x:c r="A4639" s="22" t="n">
        <x:v>29114</x:v>
      </x:c>
      <x:c r="B4639" s="28" t="n">
        <x:v>917.5</x:v>
      </x:c>
      <x:c r="C4639" s="28"/>
      <x:c r="D4639" s="31" t="str">
        <x:f>IF(OR(ISBLANK(B4639),ISBLANK(C4639),B4639=0),"",(C4639-B4639)/B4639)</x:f>
      </x:c>
      <x:c r="E4639" s="22" t="str">
        <x:f>IF(ISBLANK(C4639),"AmountIncludingTax缺失",IF(ABS(B4639-C4639)&lt;0.005,"一致","不一致"))</x:f>
        <x:v>AmountIncludingTax缺失</x:v>
      </x:c>
      <x:c r="F4639" s="19" t="str">
        <x:v>approved</x:v>
      </x:c>
      <x:c r="G4639" s="19" t="str">
        <x:v>Repairer Invoiced Processed</x:v>
      </x:c>
      <x:c r="H4639" s="19" t="str">
        <x:v>In Field</x:v>
      </x:c>
      <x:c r="I4639" s="37" t="n">
        <x:v>46055</x:v>
      </x:c>
      <x:c r="J4639" s="37" t="n">
        <x:v>46055</x:v>
      </x:c>
      <x:c r="K4639" s="19" t="str">
        <x:v>Green RV - Forest Glen</x:v>
      </x:c>
      <x:c r="L4639" s="19" t="str">
        <x:v>Z006</x:v>
      </x:c>
      <x:c r="M4639" s="19" t="str">
        <x:v>In Field Warranty Claims</x:v>
      </x:c>
      <x:c r="N4639" s="37" t="n">
        <x:v>46006</x:v>
      </x:c>
      <x:c r="O4639" s="37"/>
      <x:c r="P4639" s="34" t="n">
        <x:v>0</x:v>
      </x:c>
      <x:c r="Q4639" s="37" t="n">
        <x:v>46055.22555555555</x:v>
      </x:c>
    </x:row>
    <x:row r="4640">
      <x:c r="A4640" s="22" t="n">
        <x:v>29113</x:v>
      </x:c>
      <x:c r="B4640" s="28" t="n">
        <x:v>1407.17</x:v>
      </x:c>
      <x:c r="C4640" s="28"/>
      <x:c r="D4640" s="31" t="str">
        <x:f>IF(OR(ISBLANK(B4640),ISBLANK(C4640),B4640=0),"",(C4640-B4640)/B4640)</x:f>
      </x:c>
      <x:c r="E4640" s="22" t="str">
        <x:f>IF(ISBLANK(C4640),"AmountIncludingTax缺失",IF(ABS(B4640-C4640)&lt;0.005,"一致","不一致"))</x:f>
        <x:v>AmountIncludingTax缺失</x:v>
      </x:c>
      <x:c r="F4640" s="19" t="str">
        <x:v>approved</x:v>
      </x:c>
      <x:c r="G4640" s="19" t="str">
        <x:v>Repairer Invoiced Processed</x:v>
      </x:c>
      <x:c r="H4640" s="19" t="str">
        <x:v>In Field</x:v>
      </x:c>
      <x:c r="I4640" s="37" t="n">
        <x:v>46034</x:v>
      </x:c>
      <x:c r="J4640" s="37" t="n">
        <x:v>46031</x:v>
      </x:c>
      <x:c r="K4640" s="19" t="str">
        <x:v>The Caravan Hub - Townsville</x:v>
      </x:c>
      <x:c r="L4640" s="19" t="str">
        <x:v>Z006</x:v>
      </x:c>
      <x:c r="M4640" s="19" t="str">
        <x:v>In Field Warranty Claims</x:v>
      </x:c>
      <x:c r="N4640" s="37" t="n">
        <x:v>46006</x:v>
      </x:c>
      <x:c r="O4640" s="37"/>
      <x:c r="P4640" s="34" t="n">
        <x:v>1547.89</x:v>
      </x:c>
      <x:c r="Q4640" s="37" t="n">
        <x:v>46034.21836805555</x:v>
      </x:c>
    </x:row>
    <x:row r="4641">
      <x:c r="A4641" s="22" t="n">
        <x:v>29109</x:v>
      </x:c>
      <x:c r="B4641" s="28" t="n">
        <x:v>3073.66</x:v>
      </x:c>
      <x:c r="C4641" s="28"/>
      <x:c r="D4641" s="31" t="str">
        <x:f>IF(OR(ISBLANK(B4641),ISBLANK(C4641),B4641=0),"",(C4641-B4641)/B4641)</x:f>
      </x:c>
      <x:c r="E4641" s="22" t="str">
        <x:f>IF(ISBLANK(C4641),"AmountIncludingTax缺失",IF(ABS(B4641-C4641)&lt;0.005,"一致","不一致"))</x:f>
        <x:v>AmountIncludingTax缺失</x:v>
      </x:c>
      <x:c r="F4641" s="19" t="str">
        <x:v>approved</x:v>
      </x:c>
      <x:c r="G4641" s="19" t="str">
        <x:v>Repairer Invoiced Processed</x:v>
      </x:c>
      <x:c r="H4641" s="19" t="str">
        <x:v>In Field</x:v>
      </x:c>
      <x:c r="I4641" s="37" t="n">
        <x:v>46030</x:v>
      </x:c>
      <x:c r="J4641" s="37" t="n">
        <x:v>46030</x:v>
      </x:c>
      <x:c r="K4641" s="19" t="str">
        <x:v>Green RV - Forest Glen</x:v>
      </x:c>
      <x:c r="L4641" s="19" t="str">
        <x:v>Z006</x:v>
      </x:c>
      <x:c r="M4641" s="19" t="str">
        <x:v>In Field Warranty Claims</x:v>
      </x:c>
      <x:c r="N4641" s="37" t="n">
        <x:v>46006</x:v>
      </x:c>
      <x:c r="O4641" s="37"/>
      <x:c r="P4641" s="34" t="n">
        <x:v>3381.03</x:v>
      </x:c>
      <x:c r="Q4641" s="37" t="n">
        <x:v>46030.198969907404</x:v>
      </x:c>
    </x:row>
    <x:row r="4642">
      <x:c r="A4642" s="22" t="n">
        <x:v>29107</x:v>
      </x:c>
      <x:c r="B4642" s="28" t="n">
        <x:v>641.25</x:v>
      </x:c>
      <x:c r="C4642" s="28"/>
      <x:c r="D4642" s="31" t="str">
        <x:f>IF(OR(ISBLANK(B4642),ISBLANK(C4642),B4642=0),"",(C4642-B4642)/B4642)</x:f>
      </x:c>
      <x:c r="E4642" s="22" t="str">
        <x:f>IF(ISBLANK(C4642),"AmountIncludingTax缺失",IF(ABS(B4642-C4642)&lt;0.005,"一致","不一致"))</x:f>
        <x:v>AmountIncludingTax缺失</x:v>
      </x:c>
      <x:c r="F4642" s="19" t="str">
        <x:v>approved</x:v>
      </x:c>
      <x:c r="G4642" s="19" t="str">
        <x:v>Partially Picked</x:v>
      </x:c>
      <x:c r="H4642" s="19" t="str">
        <x:v>In Field</x:v>
      </x:c>
      <x:c r="I4642" s="37" t="n">
        <x:v>46185</x:v>
      </x:c>
      <x:c r="J4642" s="37" t="n">
        <x:v>46185</x:v>
      </x:c>
      <x:c r="K4642" s="19" t="str">
        <x:v>Bendigo Caravan Group - Bendigo</x:v>
      </x:c>
      <x:c r="L4642" s="19" t="str">
        <x:v>Z006</x:v>
      </x:c>
      <x:c r="M4642" s="19" t="str">
        <x:v>In Field Warranty Claims</x:v>
      </x:c>
      <x:c r="N4642" s="37" t="n">
        <x:v>46006</x:v>
      </x:c>
      <x:c r="O4642" s="37"/>
      <x:c r="P4642" s="34" t="n">
        <x:v>0</x:v>
      </x:c>
      <x:c r="Q4642" s="37" t="n">
        <x:v>46185.26936342593</x:v>
      </x:c>
    </x:row>
    <x:row r="4643">
      <x:c r="A4643" s="22" t="n">
        <x:v>29106</x:v>
      </x:c>
      <x:c r="B4643" s="28" t="n">
        <x:v>405</x:v>
      </x:c>
      <x:c r="C4643" s="28"/>
      <x:c r="D4643" s="31" t="str">
        <x:f>IF(OR(ISBLANK(B4643),ISBLANK(C4643),B4643=0),"",(C4643-B4643)/B4643)</x:f>
      </x:c>
      <x:c r="E4643" s="22" t="str">
        <x:f>IF(ISBLANK(C4643),"AmountIncludingTax缺失",IF(ABS(B4643-C4643)&lt;0.005,"一致","不一致"))</x:f>
        <x:v>AmountIncludingTax缺失</x:v>
      </x:c>
      <x:c r="F4643" s="19" t="str">
        <x:v>approved</x:v>
      </x:c>
      <x:c r="G4643" s="19" t="str">
        <x:v>Repair in Progress</x:v>
      </x:c>
      <x:c r="H4643" s="19" t="str">
        <x:v>In Field</x:v>
      </x:c>
      <x:c r="I4643" s="37" t="n">
        <x:v>46155</x:v>
      </x:c>
      <x:c r="J4643" s="37" t="n">
        <x:v>46155</x:v>
      </x:c>
      <x:c r="K4643" s="19" t="str">
        <x:v>QCCC - Gympie</x:v>
      </x:c>
      <x:c r="L4643" s="19" t="str">
        <x:v>Z006</x:v>
      </x:c>
      <x:c r="M4643" s="19" t="str">
        <x:v>In Field Warranty Claims</x:v>
      </x:c>
      <x:c r="N4643" s="37" t="n">
        <x:v>46006</x:v>
      </x:c>
      <x:c r="O4643" s="37" t="n">
        <x:v>46153</x:v>
      </x:c>
      <x:c r="P4643" s="34" t="n">
        <x:v>0</x:v>
      </x:c>
      <x:c r="Q4643" s="37" t="n">
        <x:v>46155.228483796294</x:v>
      </x:c>
    </x:row>
    <x:row r="4644">
      <x:c r="A4644" s="22" t="n">
        <x:v>29105</x:v>
      </x:c>
      <x:c r="B4644" s="28" t="n">
        <x:v>192.5</x:v>
      </x:c>
      <x:c r="C4644" s="28"/>
      <x:c r="D4644" s="31" t="str">
        <x:f>IF(OR(ISBLANK(B4644),ISBLANK(C4644),B4644=0),"",(C4644-B4644)/B4644)</x:f>
      </x:c>
      <x:c r="E4644" s="22" t="str">
        <x:f>IF(ISBLANK(C4644),"AmountIncludingTax缺失",IF(ABS(B4644-C4644)&lt;0.005,"一致","不一致"))</x:f>
        <x:v>AmountIncludingTax缺失</x:v>
      </x:c>
      <x:c r="F4644" s="19" t="str">
        <x:v>approved</x:v>
      </x:c>
      <x:c r="G4644" s="19" t="str">
        <x:v>Repair in Progress</x:v>
      </x:c>
      <x:c r="H4644" s="19" t="str">
        <x:v>Pre Delivery</x:v>
      </x:c>
      <x:c r="I4644" s="37" t="n">
        <x:v>46076</x:v>
      </x:c>
      <x:c r="J4644" s="37" t="n">
        <x:v>46076</x:v>
      </x:c>
      <x:c r="K4644" s="19" t="str">
        <x:v>Regent RV - Frankston</x:v>
      </x:c>
      <x:c r="L4644" s="19" t="str">
        <x:v>Z005</x:v>
      </x:c>
      <x:c r="M4644" s="19" t="str">
        <x:v>Pre Delivery Warranty Claims</x:v>
      </x:c>
      <x:c r="N4644" s="37" t="n">
        <x:v>46006</x:v>
      </x:c>
      <x:c r="O4644" s="37"/>
      <x:c r="P4644" s="34" t="n">
        <x:v>0</x:v>
      </x:c>
      <x:c r="Q4644" s="37" t="n">
        <x:v>46076.107523148145</x:v>
      </x:c>
    </x:row>
    <x:row r="4645">
      <x:c r="A4645" s="22" t="n">
        <x:v>29103</x:v>
      </x:c>
      <x:c r="B4645" s="28" t="n">
        <x:v>782.5</x:v>
      </x:c>
      <x:c r="C4645" s="28"/>
      <x:c r="D4645" s="31" t="str">
        <x:f>IF(OR(ISBLANK(B4645),ISBLANK(C4645),B4645=0),"",(C4645-B4645)/B4645)</x:f>
      </x:c>
      <x:c r="E4645" s="22" t="str">
        <x:f>IF(ISBLANK(C4645),"AmountIncludingTax缺失",IF(ABS(B4645-C4645)&lt;0.005,"一致","不一致"))</x:f>
        <x:v>AmountIncludingTax缺失</x:v>
      </x:c>
      <x:c r="F4645" s="19" t="str">
        <x:v>approved</x:v>
      </x:c>
      <x:c r="G4645" s="19" t="str">
        <x:v>Repair in Progress</x:v>
      </x:c>
      <x:c r="H4645" s="19" t="str">
        <x:v>In Field</x:v>
      </x:c>
      <x:c r="I4645" s="37" t="n">
        <x:v>46126</x:v>
      </x:c>
      <x:c r="J4645" s="37" t="n">
        <x:v>46126</x:v>
      </x:c>
      <x:c r="K4645" s="19" t="str">
        <x:v>Regent RV - Perth</x:v>
      </x:c>
      <x:c r="L4645" s="19" t="str">
        <x:v>Z006</x:v>
      </x:c>
      <x:c r="M4645" s="19" t="str">
        <x:v>In Field Warranty Claims</x:v>
      </x:c>
      <x:c r="N4645" s="37" t="n">
        <x:v>46006</x:v>
      </x:c>
      <x:c r="O4645" s="37"/>
      <x:c r="P4645" s="34" t="n">
        <x:v>0</x:v>
      </x:c>
      <x:c r="Q4645" s="37" t="n">
        <x:v>46125.98782407407</x:v>
      </x:c>
    </x:row>
    <x:row r="4646">
      <x:c r="A4646" s="22" t="n">
        <x:v>29101</x:v>
      </x:c>
      <x:c r="B4646" s="28" t="n">
        <x:v>201</x:v>
      </x:c>
      <x:c r="C4646" s="28"/>
      <x:c r="D4646" s="31" t="str">
        <x:f>IF(OR(ISBLANK(B4646),ISBLANK(C4646),B4646=0),"",(C4646-B4646)/B4646)</x:f>
      </x:c>
      <x:c r="E4646" s="22" t="str">
        <x:f>IF(ISBLANK(C4646),"AmountIncludingTax缺失",IF(ABS(B4646-C4646)&lt;0.005,"一致","不一致"))</x:f>
        <x:v>AmountIncludingTax缺失</x:v>
      </x:c>
      <x:c r="F4646" s="19" t="str">
        <x:v>approved</x:v>
      </x:c>
      <x:c r="G4646" s="19" t="str">
        <x:v>Repairer Invoiced Processed</x:v>
      </x:c>
      <x:c r="H4646" s="19" t="str">
        <x:v>In Field</x:v>
      </x:c>
      <x:c r="I4646" s="37" t="n">
        <x:v>46076</x:v>
      </x:c>
      <x:c r="J4646" s="37" t="n">
        <x:v>46076</x:v>
      </x:c>
      <x:c r="K4646" s="19" t="str">
        <x:v>Newcastle RV Super Centre - Beresfield</x:v>
      </x:c>
      <x:c r="L4646" s="19" t="str">
        <x:v>Z006</x:v>
      </x:c>
      <x:c r="M4646" s="19" t="str">
        <x:v>In Field Warranty Claims</x:v>
      </x:c>
      <x:c r="N4646" s="37" t="n">
        <x:v>46006</x:v>
      </x:c>
      <x:c r="O4646" s="37"/>
      <x:c r="P4646" s="34" t="n">
        <x:v>0</x:v>
      </x:c>
      <x:c r="Q4646" s="37" t="n">
        <x:v>46076.18885416666</x:v>
      </x:c>
    </x:row>
    <x:row r="4647">
      <x:c r="A4647" s="22" t="n">
        <x:v>29099</x:v>
      </x:c>
      <x:c r="B4647" s="28" t="n">
        <x:v>477.99</x:v>
      </x:c>
      <x:c r="C4647" s="28" t="n">
        <x:v>432.77</x:v>
      </x:c>
      <x:c r="D4647" s="31" t="n">
        <x:f>IF(OR(ISBLANK(B4647),ISBLANK(C4647),B4647=0),"",(C4647-B4647)/B4647)</x:f>
        <x:v>-0.0946044896336744</x:v>
      </x:c>
      <x:c r="E4647" s="22" t="str">
        <x:f>IF(ISBLANK(C4647),"AmountIncludingTax缺失",IF(ABS(B4647-C4647)&lt;0.005,"一致","不一致"))</x:f>
        <x:v>不一致</x:v>
      </x:c>
      <x:c r="F4647" s="19" t="str">
        <x:v>approved</x:v>
      </x:c>
      <x:c r="G4647" s="19" t="str">
        <x:v>Repairer Invoiced Processed</x:v>
      </x:c>
      <x:c r="H4647" s="19" t="str">
        <x:v>In Field</x:v>
      </x:c>
      <x:c r="I4647" s="37" t="n">
        <x:v>46128</x:v>
      </x:c>
      <x:c r="J4647" s="37" t="n">
        <x:v>46128</x:v>
      </x:c>
      <x:c r="K4647" s="19" t="str">
        <x:v>Vanari Caravans - Marden Point</x:v>
      </x:c>
      <x:c r="L4647" s="19" t="str">
        <x:v>Z006</x:v>
      </x:c>
      <x:c r="M4647" s="19" t="str">
        <x:v>In Field Warranty Claims</x:v>
      </x:c>
      <x:c r="N4647" s="37" t="n">
        <x:v>46006</x:v>
      </x:c>
      <x:c r="O4647" s="37"/>
      <x:c r="P4647" s="34" t="n">
        <x:v>432.77</x:v>
      </x:c>
      <x:c r="Q4647" s="37" t="n">
        <x:v>46127.955775462964</x:v>
      </x:c>
    </x:row>
    <x:row r="4648">
      <x:c r="A4648" s="22" t="n">
        <x:v>29097</x:v>
      </x:c>
      <x:c r="B4648" s="28" t="n">
        <x:v>810</x:v>
      </x:c>
      <x:c r="C4648" s="28"/>
      <x:c r="D4648" s="31" t="str">
        <x:f>IF(OR(ISBLANK(B4648),ISBLANK(C4648),B4648=0),"",(C4648-B4648)/B4648)</x:f>
      </x:c>
      <x:c r="E4648" s="22" t="str">
        <x:f>IF(ISBLANK(C4648),"AmountIncludingTax缺失",IF(ABS(B4648-C4648)&lt;0.005,"一致","不一致"))</x:f>
        <x:v>AmountIncludingTax缺失</x:v>
      </x:c>
      <x:c r="F4648" s="19" t="str">
        <x:v>approved</x:v>
      </x:c>
      <x:c r="G4648" s="19" t="str">
        <x:v>Partially Picked</x:v>
      </x:c>
      <x:c r="H4648" s="19" t="str">
        <x:v>In Field</x:v>
      </x:c>
      <x:c r="I4648" s="37" t="n">
        <x:v>46108</x:v>
      </x:c>
      <x:c r="J4648" s="37" t="n">
        <x:v>46108</x:v>
      </x:c>
      <x:c r="K4648" s="19" t="str">
        <x:v>Regent RV - Traralgon</x:v>
      </x:c>
      <x:c r="L4648" s="19" t="str">
        <x:v>Z006</x:v>
      </x:c>
      <x:c r="M4648" s="19" t="str">
        <x:v>In Field Warranty Claims</x:v>
      </x:c>
      <x:c r="N4648" s="37" t="n">
        <x:v>46006</x:v>
      </x:c>
      <x:c r="O4648" s="37"/>
      <x:c r="P4648" s="34" t="n">
        <x:v>0</x:v>
      </x:c>
      <x:c r="Q4648" s="37" t="n">
        <x:v>46107.944652777776</x:v>
      </x:c>
    </x:row>
    <x:row r="4649">
      <x:c r="A4649" s="22" t="n">
        <x:v>29095</x:v>
      </x:c>
      <x:c r="B4649" s="28" t="n">
        <x:v>540</x:v>
      </x:c>
      <x:c r="C4649" s="28"/>
      <x:c r="D4649" s="31" t="str">
        <x:f>IF(OR(ISBLANK(B4649),ISBLANK(C4649),B4649=0),"",(C4649-B4649)/B4649)</x:f>
      </x:c>
      <x:c r="E4649" s="22" t="str">
        <x:f>IF(ISBLANK(C4649),"AmountIncludingTax缺失",IF(ABS(B4649-C4649)&lt;0.005,"一致","不一致"))</x:f>
        <x:v>AmountIncludingTax缺失</x:v>
      </x:c>
      <x:c r="F4649" s="19" t="str">
        <x:v>approved</x:v>
      </x:c>
      <x:c r="G4649" s="19" t="str">
        <x:v>Repair in Progress</x:v>
      </x:c>
      <x:c r="H4649" s="19" t="str">
        <x:v>In Field</x:v>
      </x:c>
      <x:c r="I4649" s="37" t="n">
        <x:v>46069</x:v>
      </x:c>
      <x:c r="J4649" s="37" t="n">
        <x:v>46069</x:v>
      </x:c>
      <x:c r="K4649" s="19" t="str">
        <x:v>Newcastle RV Super Centre - Beresfield</x:v>
      </x:c>
      <x:c r="L4649" s="19" t="str">
        <x:v>Z006</x:v>
      </x:c>
      <x:c r="M4649" s="19" t="str">
        <x:v>In Field Warranty Claims</x:v>
      </x:c>
      <x:c r="N4649" s="37" t="n">
        <x:v>46006</x:v>
      </x:c>
      <x:c r="O4649" s="37"/>
      <x:c r="P4649" s="34" t="n">
        <x:v>0</x:v>
      </x:c>
      <x:c r="Q4649" s="37" t="n">
        <x:v>46069.05878472222</x:v>
      </x:c>
    </x:row>
    <x:row r="4650">
      <x:c r="A4650" s="22" t="n">
        <x:v>29093</x:v>
      </x:c>
      <x:c r="B4650" s="28" t="n">
        <x:v>550</x:v>
      </x:c>
      <x:c r="C4650" s="28"/>
      <x:c r="D4650" s="31" t="str">
        <x:f>IF(OR(ISBLANK(B4650),ISBLANK(C4650),B4650=0),"",(C4650-B4650)/B4650)</x:f>
      </x:c>
      <x:c r="E4650" s="22" t="str">
        <x:f>IF(ISBLANK(C4650),"AmountIncludingTax缺失",IF(ABS(B4650-C4650)&lt;0.005,"一致","不一致"))</x:f>
        <x:v>AmountIncludingTax缺失</x:v>
      </x:c>
      <x:c r="F4650" s="19" t="str">
        <x:v>approved</x:v>
      </x:c>
      <x:c r="G4650" s="19" t="str">
        <x:v>Sales Order Approved</x:v>
      </x:c>
      <x:c r="H4650" s="19" t="str">
        <x:v>Pre Delivery</x:v>
      </x:c>
      <x:c r="I4650" s="37" t="n">
        <x:v>46076</x:v>
      </x:c>
      <x:c r="J4650" s="37" t="n">
        <x:v>46076</x:v>
      </x:c>
      <x:c r="K4650" s="19" t="str">
        <x:v>Regent RV - Frankston</x:v>
      </x:c>
      <x:c r="L4650" s="19" t="str">
        <x:v>Z005</x:v>
      </x:c>
      <x:c r="M4650" s="19" t="str">
        <x:v>Pre Delivery Warranty Claims</x:v>
      </x:c>
      <x:c r="N4650" s="37" t="n">
        <x:v>46006</x:v>
      </x:c>
      <x:c r="O4650" s="37"/>
      <x:c r="P4650" s="34" t="n">
        <x:v>0</x:v>
      </x:c>
      <x:c r="Q4650" s="37" t="n">
        <x:v>46076.132314814815</x:v>
      </x:c>
    </x:row>
    <x:row r="4651">
      <x:c r="A4651" s="22" t="n">
        <x:v>29092</x:v>
      </x:c>
      <x:c r="B4651" s="28" t="n">
        <x:v>732.5</x:v>
      </x:c>
      <x:c r="C4651" s="28" t="n">
        <x:v>663.21</x:v>
      </x:c>
      <x:c r="D4651" s="31" t="n">
        <x:f>IF(OR(ISBLANK(B4651),ISBLANK(C4651),B4651=0),"",(C4651-B4651)/B4651)</x:f>
        <x:v>-0.09459385665529005</x:v>
      </x:c>
      <x:c r="E4651" s="22" t="str">
        <x:f>IF(ISBLANK(C4651),"AmountIncludingTax缺失",IF(ABS(B4651-C4651)&lt;0.005,"一致","不一致"))</x:f>
        <x:v>不一致</x:v>
      </x:c>
      <x:c r="F4651" s="19" t="str">
        <x:v>approved</x:v>
      </x:c>
      <x:c r="G4651" s="19" t="str">
        <x:v>Repairer Invoiced Processed</x:v>
      </x:c>
      <x:c r="H4651" s="19" t="str">
        <x:v>In Field</x:v>
      </x:c>
      <x:c r="I4651" s="37" t="n">
        <x:v>46100</x:v>
      </x:c>
      <x:c r="J4651" s="37" t="n">
        <x:v>46100</x:v>
      </x:c>
      <x:c r="K4651" s="19" t="str">
        <x:v>Vanari Caravans - Marden Point</x:v>
      </x:c>
      <x:c r="L4651" s="19" t="str">
        <x:v>Z006</x:v>
      </x:c>
      <x:c r="M4651" s="19" t="str">
        <x:v>In Field Warranty Claims</x:v>
      </x:c>
      <x:c r="N4651" s="37" t="n">
        <x:v>46006</x:v>
      </x:c>
      <x:c r="O4651" s="37"/>
      <x:c r="P4651" s="34" t="n">
        <x:v>663.21</x:v>
      </x:c>
      <x:c r="Q4651" s="37" t="n">
        <x:v>46099.87598379629</x:v>
      </x:c>
    </x:row>
    <x:row r="4652">
      <x:c r="A4652" s="22" t="n">
        <x:v>29080</x:v>
      </x:c>
      <x:c r="B4652" s="28" t="n">
        <x:v>433.52</x:v>
      </x:c>
      <x:c r="C4652" s="28"/>
      <x:c r="D4652" s="31" t="str">
        <x:f>IF(OR(ISBLANK(B4652),ISBLANK(C4652),B4652=0),"",(C4652-B4652)/B4652)</x:f>
      </x:c>
      <x:c r="E4652" s="22" t="str">
        <x:f>IF(ISBLANK(C4652),"AmountIncludingTax缺失",IF(ABS(B4652-C4652)&lt;0.005,"一致","不一致"))</x:f>
        <x:v>AmountIncludingTax缺失</x:v>
      </x:c>
      <x:c r="F4652" s="19" t="str">
        <x:v>approved</x:v>
      </x:c>
      <x:c r="G4652" s="19" t="str">
        <x:v>Partially Picked</x:v>
      </x:c>
      <x:c r="H4652" s="19" t="str">
        <x:v>In Field</x:v>
      </x:c>
      <x:c r="I4652" s="37" t="n">
        <x:v>46190</x:v>
      </x:c>
      <x:c r="J4652" s="37" t="n">
        <x:v>46190</x:v>
      </x:c>
      <x:c r="K4652" s="19" t="str">
        <x:v>Green RV - Forest Glen</x:v>
      </x:c>
      <x:c r="L4652" s="19" t="str">
        <x:v>Z006</x:v>
      </x:c>
      <x:c r="M4652" s="19" t="str">
        <x:v>In Field Warranty Claims</x:v>
      </x:c>
      <x:c r="N4652" s="37" t="n">
        <x:v>46006</x:v>
      </x:c>
      <x:c r="O4652" s="37" t="n">
        <x:v>46126</x:v>
      </x:c>
      <x:c r="P4652" s="34" t="n">
        <x:v>0</x:v>
      </x:c>
      <x:c r="Q4652" s="37" t="n">
        <x:v>46190.236122685186</x:v>
      </x:c>
    </x:row>
    <x:row r="4653">
      <x:c r="A4653" s="22" t="n">
        <x:v>29077</x:v>
      </x:c>
      <x:c r="B4653" s="28" t="n">
        <x:v>935</x:v>
      </x:c>
      <x:c r="C4653" s="28"/>
      <x:c r="D4653" s="31" t="str">
        <x:f>IF(OR(ISBLANK(B4653),ISBLANK(C4653),B4653=0),"",(C4653-B4653)/B4653)</x:f>
      </x:c>
      <x:c r="E4653" s="22" t="str">
        <x:f>IF(ISBLANK(C4653),"AmountIncludingTax缺失",IF(ABS(B4653-C4653)&lt;0.005,"一致","不一致"))</x:f>
        <x:v>AmountIncludingTax缺失</x:v>
      </x:c>
      <x:c r="F4653" s="19" t="str">
        <x:v>approved</x:v>
      </x:c>
      <x:c r="G4653" s="19" t="str">
        <x:v>Repair in Progress</x:v>
      </x:c>
      <x:c r="H4653" s="19" t="str">
        <x:v>Pre Delivery</x:v>
      </x:c>
      <x:c r="I4653" s="37" t="n">
        <x:v>46076</x:v>
      </x:c>
      <x:c r="J4653" s="37" t="n">
        <x:v>46076</x:v>
      </x:c>
      <x:c r="K4653" s="19" t="str">
        <x:v>Regent RV - Frankston</x:v>
      </x:c>
      <x:c r="L4653" s="19" t="str">
        <x:v>Z005</x:v>
      </x:c>
      <x:c r="M4653" s="19" t="str">
        <x:v>Pre Delivery Warranty Claims</x:v>
      </x:c>
      <x:c r="N4653" s="37" t="n">
        <x:v>46006</x:v>
      </x:c>
      <x:c r="O4653" s="37"/>
      <x:c r="P4653" s="34" t="n">
        <x:v>0</x:v>
      </x:c>
      <x:c r="Q4653" s="37" t="n">
        <x:v>46076.1521875</x:v>
      </x:c>
    </x:row>
    <x:row r="4654">
      <x:c r="A4654" s="22" t="n">
        <x:v>29075</x:v>
      </x:c>
      <x:c r="B4654" s="28" t="n">
        <x:v>190.34</x:v>
      </x:c>
      <x:c r="C4654" s="28"/>
      <x:c r="D4654" s="31" t="str">
        <x:f>IF(OR(ISBLANK(B4654),ISBLANK(C4654),B4654=0),"",(C4654-B4654)/B4654)</x:f>
      </x:c>
      <x:c r="E4654" s="22" t="str">
        <x:f>IF(ISBLANK(C4654),"AmountIncludingTax缺失",IF(ABS(B4654-C4654)&lt;0.005,"一致","不一致"))</x:f>
        <x:v>AmountIncludingTax缺失</x:v>
      </x:c>
      <x:c r="F4654" s="19" t="str">
        <x:v>approved</x:v>
      </x:c>
      <x:c r="G4654" s="19" t="str">
        <x:v>Repairer Invoiced Processed</x:v>
      </x:c>
      <x:c r="H4654" s="19" t="str">
        <x:v>In Field</x:v>
      </x:c>
      <x:c r="I4654" s="37" t="n">
        <x:v>46069</x:v>
      </x:c>
      <x:c r="J4654" s="37" t="n">
        <x:v>46069</x:v>
      </x:c>
      <x:c r="K4654" s="19" t="str">
        <x:v>The Caravan Hub - Townsville</x:v>
      </x:c>
      <x:c r="L4654" s="19" t="str">
        <x:v>Z006</x:v>
      </x:c>
      <x:c r="M4654" s="19" t="str">
        <x:v>In Field Warranty Claims</x:v>
      </x:c>
      <x:c r="N4654" s="37" t="n">
        <x:v>46005</x:v>
      </x:c>
      <x:c r="O4654" s="37"/>
      <x:c r="P4654" s="34" t="n">
        <x:v>0</x:v>
      </x:c>
      <x:c r="Q4654" s="37" t="n">
        <x:v>46068.9596875</x:v>
      </x:c>
    </x:row>
    <x:row r="4655">
      <x:c r="A4655" s="22" t="n">
        <x:v>29074</x:v>
      </x:c>
      <x:c r="B4655" s="28" t="n">
        <x:v>599.85</x:v>
      </x:c>
      <x:c r="C4655" s="28" t="n">
        <x:v>659.84</x:v>
      </x:c>
      <x:c r="D4655" s="31" t="n">
        <x:f>IF(OR(ISBLANK(B4655),ISBLANK(C4655),B4655=0),"",(C4655-B4655)/B4655)</x:f>
        <x:v>0.10000833541718764</x:v>
      </x:c>
      <x:c r="E4655" s="22" t="str">
        <x:f>IF(ISBLANK(C4655),"AmountIncludingTax缺失",IF(ABS(B4655-C4655)&lt;0.005,"一致","不一致"))</x:f>
        <x:v>不一致</x:v>
      </x:c>
      <x:c r="F4655" s="19" t="str">
        <x:v>approved</x:v>
      </x:c>
      <x:c r="G4655" s="19" t="str">
        <x:v>Repair in Progress</x:v>
      </x:c>
      <x:c r="H4655" s="19" t="str">
        <x:v>In Field</x:v>
      </x:c>
      <x:c r="I4655" s="37" t="n">
        <x:v>46203</x:v>
      </x:c>
      <x:c r="J4655" s="37" t="n">
        <x:v>46203</x:v>
      </x:c>
      <x:c r="K4655" s="19" t="str">
        <x:v>Green RV - Forest Glen</x:v>
      </x:c>
      <x:c r="L4655" s="19" t="str">
        <x:v>Z006</x:v>
      </x:c>
      <x:c r="M4655" s="19" t="str">
        <x:v>In Field Warranty Claims</x:v>
      </x:c>
      <x:c r="N4655" s="37" t="n">
        <x:v>46005</x:v>
      </x:c>
      <x:c r="O4655" s="37" t="n">
        <x:v>46156</x:v>
      </x:c>
      <x:c r="P4655" s="34" t="n">
        <x:v>659.84</x:v>
      </x:c>
      <x:c r="Q4655" s="37" t="n">
        <x:v>46203.295694444445</x:v>
      </x:c>
    </x:row>
    <x:row r="4656">
      <x:c r="A4656" s="22" t="n">
        <x:v>29072</x:v>
      </x:c>
      <x:c r="B4656" s="28" t="n">
        <x:v>2175.75</x:v>
      </x:c>
      <x:c r="C4656" s="28"/>
      <x:c r="D4656" s="31" t="str">
        <x:f>IF(OR(ISBLANK(B4656),ISBLANK(C4656),B4656=0),"",(C4656-B4656)/B4656)</x:f>
      </x:c>
      <x:c r="E4656" s="22" t="str">
        <x:f>IF(ISBLANK(C4656),"AmountIncludingTax缺失",IF(ABS(B4656-C4656)&lt;0.005,"一致","不一致"))</x:f>
        <x:v>AmountIncludingTax缺失</x:v>
      </x:c>
      <x:c r="F4656" s="19" t="str">
        <x:v>approved</x:v>
      </x:c>
      <x:c r="G4656" s="19" t="str">
        <x:v>Repairer Invoiced Processed</x:v>
      </x:c>
      <x:c r="H4656" s="19" t="str">
        <x:v>In Field</x:v>
      </x:c>
      <x:c r="I4656" s="37" t="n">
        <x:v>46160</x:v>
      </x:c>
      <x:c r="J4656" s="37" t="n">
        <x:v>46160</x:v>
      </x:c>
      <x:c r="K4656" s="19" t="str">
        <x:v>Vanari Caravans - Marden Point</x:v>
      </x:c>
      <x:c r="L4656" s="19" t="str">
        <x:v>Z006</x:v>
      </x:c>
      <x:c r="M4656" s="19" t="str">
        <x:v>In Field Warranty Claims</x:v>
      </x:c>
      <x:c r="N4656" s="37" t="n">
        <x:v>46005</x:v>
      </x:c>
      <x:c r="O4656" s="37"/>
      <x:c r="P4656" s="34" t="n">
        <x:v>1969.92</x:v>
      </x:c>
      <x:c r="Q4656" s="37" t="n">
        <x:v>46160.08918981482</x:v>
      </x:c>
    </x:row>
    <x:row r="4657">
      <x:c r="A4657" s="22" t="n">
        <x:v>29059</x:v>
      </x:c>
      <x:c r="B4657" s="28" t="n">
        <x:v>547.5</x:v>
      </x:c>
      <x:c r="C4657" s="28" t="n">
        <x:v>495.71</x:v>
      </x:c>
      <x:c r="D4657" s="31" t="n">
        <x:f>IF(OR(ISBLANK(B4657),ISBLANK(C4657),B4657=0),"",(C4657-B4657)/B4657)</x:f>
        <x:v>-0.0945936073059361</x:v>
      </x:c>
      <x:c r="E4657" s="22" t="str">
        <x:f>IF(ISBLANK(C4657),"AmountIncludingTax缺失",IF(ABS(B4657-C4657)&lt;0.005,"一致","不一致"))</x:f>
        <x:v>不一致</x:v>
      </x:c>
      <x:c r="F4657" s="19" t="str">
        <x:v>approved</x:v>
      </x:c>
      <x:c r="G4657" s="19" t="str">
        <x:v>Repairer Invoiced Processed</x:v>
      </x:c>
      <x:c r="H4657" s="19" t="str">
        <x:v>In Field</x:v>
      </x:c>
      <x:c r="I4657" s="37" t="n">
        <x:v>46086</x:v>
      </x:c>
      <x:c r="J4657" s="37" t="n">
        <x:v>46086</x:v>
      </x:c>
      <x:c r="K4657" s="19" t="str">
        <x:v>Vanari Caravans - Marden Point</x:v>
      </x:c>
      <x:c r="L4657" s="19" t="str">
        <x:v>Z006</x:v>
      </x:c>
      <x:c r="M4657" s="19" t="str">
        <x:v>In Field Warranty Claims</x:v>
      </x:c>
      <x:c r="N4657" s="37" t="n">
        <x:v>46006</x:v>
      </x:c>
      <x:c r="O4657" s="37"/>
      <x:c r="P4657" s="34" t="n">
        <x:v>495.71</x:v>
      </x:c>
      <x:c r="Q4657" s="37" t="n">
        <x:v>46085.86675925926</x:v>
      </x:c>
    </x:row>
    <x:row r="4658">
      <x:c r="A4658" s="22" t="n">
        <x:v>29058</x:v>
      </x:c>
      <x:c r="B4658" s="28" t="n">
        <x:v>145</x:v>
      </x:c>
      <x:c r="C4658" s="28"/>
      <x:c r="D4658" s="31" t="str">
        <x:f>IF(OR(ISBLANK(B4658),ISBLANK(C4658),B4658=0),"",(C4658-B4658)/B4658)</x:f>
      </x:c>
      <x:c r="E4658" s="22" t="str">
        <x:f>IF(ISBLANK(C4658),"AmountIncludingTax缺失",IF(ABS(B4658-C4658)&lt;0.005,"一致","不一致"))</x:f>
        <x:v>AmountIncludingTax缺失</x:v>
      </x:c>
      <x:c r="F4658" s="19" t="str">
        <x:v>approved</x:v>
      </x:c>
      <x:c r="G4658" s="19" t="str">
        <x:v>Repair in Progress</x:v>
      </x:c>
      <x:c r="H4658" s="19" t="str">
        <x:v>In Field</x:v>
      </x:c>
      <x:c r="I4658" s="37" t="n">
        <x:v>46112</x:v>
      </x:c>
      <x:c r="J4658" s="37" t="n">
        <x:v>46112</x:v>
      </x:c>
      <x:c r="K4658" s="19" t="str">
        <x:v>Regent RV Pty Ltd</x:v>
      </x:c>
      <x:c r="L4658" s="19" t="str">
        <x:v>Z006</x:v>
      </x:c>
      <x:c r="M4658" s="19" t="str">
        <x:v>In Field Warranty Claims</x:v>
      </x:c>
      <x:c r="N4658" s="37" t="n">
        <x:v>46006</x:v>
      </x:c>
      <x:c r="O4658" s="37"/>
      <x:c r="P4658" s="34" t="n">
        <x:v>0</x:v>
      </x:c>
      <x:c r="Q4658" s="37" t="n">
        <x:v>46111.884733796294</x:v>
      </x:c>
    </x:row>
    <x:row r="4659">
      <x:c r="A4659" s="22" t="n">
        <x:v>29056</x:v>
      </x:c>
      <x:c r="B4659" s="28" t="n">
        <x:v>955</x:v>
      </x:c>
      <x:c r="C4659" s="28"/>
      <x:c r="D4659" s="31" t="str">
        <x:f>IF(OR(ISBLANK(B4659),ISBLANK(C4659),B4659=0),"",(C4659-B4659)/B4659)</x:f>
      </x:c>
      <x:c r="E4659" s="22" t="str">
        <x:f>IF(ISBLANK(C4659),"AmountIncludingTax缺失",IF(ABS(B4659-C4659)&lt;0.005,"一致","不一致"))</x:f>
        <x:v>AmountIncludingTax缺失</x:v>
      </x:c>
      <x:c r="F4659" s="19" t="str">
        <x:v>approved</x:v>
      </x:c>
      <x:c r="G4659" s="19" t="str">
        <x:v>Partially Picked</x:v>
      </x:c>
      <x:c r="H4659" s="19" t="str">
        <x:v>In Field</x:v>
      </x:c>
      <x:c r="I4659" s="37" t="n">
        <x:v>46157</x:v>
      </x:c>
      <x:c r="J4659" s="37" t="n">
        <x:v>46157</x:v>
      </x:c>
      <x:c r="K4659" s="19" t="str">
        <x:v>Regent RV - Perth</x:v>
      </x:c>
      <x:c r="L4659" s="19" t="str">
        <x:v>Z006</x:v>
      </x:c>
      <x:c r="M4659" s="19" t="str">
        <x:v>In Field Warranty Claims</x:v>
      </x:c>
      <x:c r="N4659" s="37" t="n">
        <x:v>46005</x:v>
      </x:c>
      <x:c r="O4659" s="37" t="n">
        <x:v>46156</x:v>
      </x:c>
      <x:c r="P4659" s="34" t="n">
        <x:v>0</x:v>
      </x:c>
      <x:c r="Q4659" s="37" t="n">
        <x:v>46156.95630787037</x:v>
      </x:c>
    </x:row>
    <x:row r="4660">
      <x:c r="A4660" s="22" t="n">
        <x:v>29055</x:v>
      </x:c>
      <x:c r="B4660" s="28" t="n">
        <x:v>135</x:v>
      </x:c>
      <x:c r="C4660" s="28"/>
      <x:c r="D4660" s="31" t="str">
        <x:f>IF(OR(ISBLANK(B4660),ISBLANK(C4660),B4660=0),"",(C4660-B4660)/B4660)</x:f>
      </x:c>
      <x:c r="E4660" s="22" t="str">
        <x:f>IF(ISBLANK(C4660),"AmountIncludingTax缺失",IF(ABS(B4660-C4660)&lt;0.005,"一致","不一致"))</x:f>
        <x:v>AmountIncludingTax缺失</x:v>
      </x:c>
      <x:c r="F4660" s="19" t="str">
        <x:v>approved</x:v>
      </x:c>
      <x:c r="G4660" s="19" t="str">
        <x:v>Repair in Progress</x:v>
      </x:c>
      <x:c r="H4660" s="19" t="str">
        <x:v>In Field</x:v>
      </x:c>
      <x:c r="I4660" s="37" t="n">
        <x:v>46107</x:v>
      </x:c>
      <x:c r="J4660" s="37" t="n">
        <x:v>46106</x:v>
      </x:c>
      <x:c r="K4660" s="19" t="str">
        <x:v>Regent RV - Perth</x:v>
      </x:c>
      <x:c r="L4660" s="19" t="str">
        <x:v>Z006</x:v>
      </x:c>
      <x:c r="M4660" s="19" t="str">
        <x:v>In Field Warranty Claims</x:v>
      </x:c>
      <x:c r="N4660" s="37" t="n">
        <x:v>46005</x:v>
      </x:c>
      <x:c r="O4660" s="37" t="n">
        <x:v>46106</x:v>
      </x:c>
      <x:c r="P4660" s="34" t="n">
        <x:v>0</x:v>
      </x:c>
      <x:c r="Q4660" s="37" t="n">
        <x:v>46107.05957175926</x:v>
      </x:c>
    </x:row>
    <x:row r="4661">
      <x:c r="A4661" s="22" t="n">
        <x:v>29054</x:v>
      </x:c>
      <x:c r="B4661" s="28" t="n">
        <x:v>220</x:v>
      </x:c>
      <x:c r="C4661" s="28"/>
      <x:c r="D4661" s="31" t="str">
        <x:f>IF(OR(ISBLANK(B4661),ISBLANK(C4661),B4661=0),"",(C4661-B4661)/B4661)</x:f>
      </x:c>
      <x:c r="E4661" s="22" t="str">
        <x:f>IF(ISBLANK(C4661),"AmountIncludingTax缺失",IF(ABS(B4661-C4661)&lt;0.005,"一致","不一致"))</x:f>
        <x:v>AmountIncludingTax缺失</x:v>
      </x:c>
      <x:c r="F4661" s="19" t="str">
        <x:v>approved</x:v>
      </x:c>
      <x:c r="G4661" s="19" t="str">
        <x:v>Repair in Progress</x:v>
      </x:c>
      <x:c r="H4661" s="19" t="str">
        <x:v>In Field</x:v>
      </x:c>
      <x:c r="I4661" s="37" t="n">
        <x:v>46063</x:v>
      </x:c>
      <x:c r="J4661" s="37" t="n">
        <x:v>46063</x:v>
      </x:c>
      <x:c r="K4661" s="19" t="str">
        <x:v>Regent RV - Perth</x:v>
      </x:c>
      <x:c r="L4661" s="19" t="str">
        <x:v>Z006</x:v>
      </x:c>
      <x:c r="M4661" s="19" t="str">
        <x:v>In Field Warranty Claims</x:v>
      </x:c>
      <x:c r="N4661" s="37" t="n">
        <x:v>46005</x:v>
      </x:c>
      <x:c r="O4661" s="37"/>
      <x:c r="P4661" s="34" t="n">
        <x:v>0</x:v>
      </x:c>
      <x:c r="Q4661" s="37" t="n">
        <x:v>46063.093194444446</x:v>
      </x:c>
    </x:row>
    <x:row r="4662">
      <x:c r="A4662" s="22" t="n">
        <x:v>29052</x:v>
      </x:c>
      <x:c r="B4662" s="28" t="n">
        <x:v>67.5</x:v>
      </x:c>
      <x:c r="C4662" s="28"/>
      <x:c r="D4662" s="31" t="str">
        <x:f>IF(OR(ISBLANK(B4662),ISBLANK(C4662),B4662=0),"",(C4662-B4662)/B4662)</x:f>
      </x:c>
      <x:c r="E4662" s="22" t="str">
        <x:f>IF(ISBLANK(C4662),"AmountIncludingTax缺失",IF(ABS(B4662-C4662)&lt;0.005,"一致","不一致"))</x:f>
        <x:v>AmountIncludingTax缺失</x:v>
      </x:c>
      <x:c r="F4662" s="19" t="str">
        <x:v>approved</x:v>
      </x:c>
      <x:c r="G4662" s="19" t="str">
        <x:v>Repairer Invoiced Processed</x:v>
      </x:c>
      <x:c r="H4662" s="19" t="str">
        <x:v>In Field</x:v>
      </x:c>
      <x:c r="I4662" s="37" t="n">
        <x:v>46106</x:v>
      </x:c>
      <x:c r="J4662" s="37" t="n">
        <x:v>46106</x:v>
      </x:c>
      <x:c r="K4662" s="19" t="str">
        <x:v>Regent RV - Perth</x:v>
      </x:c>
      <x:c r="L4662" s="19" t="str">
        <x:v>Z006</x:v>
      </x:c>
      <x:c r="M4662" s="19" t="str">
        <x:v>In Field Warranty Claims</x:v>
      </x:c>
      <x:c r="N4662" s="37" t="n">
        <x:v>46005</x:v>
      </x:c>
      <x:c r="O4662" s="37"/>
      <x:c r="P4662" s="34" t="n">
        <x:v>0</x:v>
      </x:c>
      <x:c r="Q4662" s="37" t="n">
        <x:v>46106.26799768519</x:v>
      </x:c>
    </x:row>
    <x:row r="4663">
      <x:c r="A4663" s="22" t="n">
        <x:v>29044</x:v>
      </x:c>
      <x:c r="B4663" s="28" t="n">
        <x:v>1316.25</x:v>
      </x:c>
      <x:c r="C4663" s="28"/>
      <x:c r="D4663" s="31" t="str">
        <x:f>IF(OR(ISBLANK(B4663),ISBLANK(C4663),B4663=0),"",(C4663-B4663)/B4663)</x:f>
      </x:c>
      <x:c r="E4663" s="22" t="str">
        <x:f>IF(ISBLANK(C4663),"AmountIncludingTax缺失",IF(ABS(B4663-C4663)&lt;0.005,"一致","不一致"))</x:f>
        <x:v>AmountIncludingTax缺失</x:v>
      </x:c>
      <x:c r="F4663" s="19" t="str">
        <x:v>approved</x:v>
      </x:c>
      <x:c r="G4663" s="19" t="str">
        <x:v>Repair in Progress</x:v>
      </x:c>
      <x:c r="H4663" s="19" t="str">
        <x:v>Pre Delivery</x:v>
      </x:c>
      <x:c r="I4663" s="37" t="n">
        <x:v>46064</x:v>
      </x:c>
      <x:c r="J4663" s="37" t="n">
        <x:v>46064</x:v>
      </x:c>
      <x:c r="K4663" s="19" t="str">
        <x:v>Great Ocean Road RV &amp; Caravans - Warrnambool</x:v>
      </x:c>
      <x:c r="L4663" s="19" t="str">
        <x:v>Z005</x:v>
      </x:c>
      <x:c r="M4663" s="19" t="str">
        <x:v>Pre Delivery Warranty Claims</x:v>
      </x:c>
      <x:c r="N4663" s="37" t="n">
        <x:v>46004</x:v>
      </x:c>
      <x:c r="O4663" s="37"/>
      <x:c r="P4663" s="34" t="n">
        <x:v>0</x:v>
      </x:c>
      <x:c r="Q4663" s="37" t="n">
        <x:v>46064.02228009259</x:v>
      </x:c>
    </x:row>
    <x:row r="4664">
      <x:c r="A4664" s="22" t="n">
        <x:v>29043</x:v>
      </x:c>
      <x:c r="B4664" s="28" t="n">
        <x:v>200</x:v>
      </x:c>
      <x:c r="C4664" s="28" t="n">
        <x:v>220</x:v>
      </x:c>
      <x:c r="D4664" s="31" t="n">
        <x:f>IF(OR(ISBLANK(B4664),ISBLANK(C4664),B4664=0),"",(C4664-B4664)/B4664)</x:f>
        <x:v>0.1</x:v>
      </x:c>
      <x:c r="E4664" s="22" t="str">
        <x:f>IF(ISBLANK(C4664),"AmountIncludingTax缺失",IF(ABS(B4664-C4664)&lt;0.005,"一致","不一致"))</x:f>
        <x:v>不一致</x:v>
      </x:c>
      <x:c r="F4664" s="19" t="str">
        <x:v>approved</x:v>
      </x:c>
      <x:c r="G4664" s="19" t="str">
        <x:v>Repairer Invoiced Processed</x:v>
      </x:c>
      <x:c r="H4664" s="19" t="str">
        <x:v>In Field</x:v>
      </x:c>
      <x:c r="I4664" s="37" t="n">
        <x:v>46061</x:v>
      </x:c>
      <x:c r="J4664" s="37" t="n">
        <x:v>46061</x:v>
      </x:c>
      <x:c r="K4664" s="19" t="str">
        <x:v>Great Ocean Road RV &amp; Caravans - Warrnambool</x:v>
      </x:c>
      <x:c r="L4664" s="19" t="str">
        <x:v>Z006</x:v>
      </x:c>
      <x:c r="M4664" s="19" t="str">
        <x:v>In Field Warranty Claims</x:v>
      </x:c>
      <x:c r="N4664" s="37" t="n">
        <x:v>46003</x:v>
      </x:c>
      <x:c r="O4664" s="37"/>
      <x:c r="P4664" s="34" t="n">
        <x:v>220</x:v>
      </x:c>
      <x:c r="Q4664" s="37" t="n">
        <x:v>46061.15568287037</x:v>
      </x:c>
    </x:row>
    <x:row r="4665">
      <x:c r="A4665" s="22" t="n">
        <x:v>29042</x:v>
      </x:c>
      <x:c r="B4665" s="28" t="n">
        <x:v>540</x:v>
      </x:c>
      <x:c r="C4665" s="28"/>
      <x:c r="D4665" s="31" t="str">
        <x:f>IF(OR(ISBLANK(B4665),ISBLANK(C4665),B4665=0),"",(C4665-B4665)/B4665)</x:f>
      </x:c>
      <x:c r="E4665" s="22" t="str">
        <x:f>IF(ISBLANK(C4665),"AmountIncludingTax缺失",IF(ABS(B4665-C4665)&lt;0.005,"一致","不一致"))</x:f>
        <x:v>AmountIncludingTax缺失</x:v>
      </x:c>
      <x:c r="F4665" s="19" t="str">
        <x:v>approved</x:v>
      </x:c>
      <x:c r="G4665" s="19" t="str">
        <x:v>Repairer Invoiced Processed</x:v>
      </x:c>
      <x:c r="H4665" s="19" t="str">
        <x:v>Pre Delivery</x:v>
      </x:c>
      <x:c r="I4665" s="37" t="n">
        <x:v>46064</x:v>
      </x:c>
      <x:c r="J4665" s="37" t="n">
        <x:v>46064</x:v>
      </x:c>
      <x:c r="K4665" s="19" t="str">
        <x:v>Great Ocean Road RV &amp; Caravans - Warrnambool</x:v>
      </x:c>
      <x:c r="L4665" s="19" t="str">
        <x:v>Z005</x:v>
      </x:c>
      <x:c r="M4665" s="19" t="str">
        <x:v>Pre Delivery Warranty Claims</x:v>
      </x:c>
      <x:c r="N4665" s="37" t="n">
        <x:v>46003</x:v>
      </x:c>
      <x:c r="O4665" s="37"/>
      <x:c r="P4665" s="34" t="n">
        <x:v>0</x:v>
      </x:c>
      <x:c r="Q4665" s="37" t="n">
        <x:v>46064.02559027778</x:v>
      </x:c>
    </x:row>
    <x:row r="4666">
      <x:c r="A4666" s="22" t="n">
        <x:v>29041</x:v>
      </x:c>
      <x:c r="B4666" s="28" t="n">
        <x:v>450</x:v>
      </x:c>
      <x:c r="C4666" s="28" t="n">
        <x:v>495</x:v>
      </x:c>
      <x:c r="D4666" s="31" t="n">
        <x:f>IF(OR(ISBLANK(B4666),ISBLANK(C4666),B4666=0),"",(C4666-B4666)/B4666)</x:f>
        <x:v>0.1</x:v>
      </x:c>
      <x:c r="E4666" s="22" t="str">
        <x:f>IF(ISBLANK(C4666),"AmountIncludingTax缺失",IF(ABS(B4666-C4666)&lt;0.005,"一致","不一致"))</x:f>
        <x:v>不一致</x:v>
      </x:c>
      <x:c r="F4666" s="19" t="str">
        <x:v>approved</x:v>
      </x:c>
      <x:c r="G4666" s="19" t="str">
        <x:v>Repair in Progress</x:v>
      </x:c>
      <x:c r="H4666" s="19" t="str">
        <x:v>In Field</x:v>
      </x:c>
      <x:c r="I4666" s="37" t="n">
        <x:v>46055</x:v>
      </x:c>
      <x:c r="J4666" s="37" t="n">
        <x:v>46055</x:v>
      </x:c>
      <x:c r="K4666" s="19" t="str">
        <x:v>Regent RV - Perth</x:v>
      </x:c>
      <x:c r="L4666" s="19" t="str">
        <x:v>Z006</x:v>
      </x:c>
      <x:c r="M4666" s="19" t="str">
        <x:v>In Field Warranty Claims</x:v>
      </x:c>
      <x:c r="N4666" s="37" t="n">
        <x:v>46003</x:v>
      </x:c>
      <x:c r="O4666" s="37"/>
      <x:c r="P4666" s="34" t="n">
        <x:v>495</x:v>
      </x:c>
      <x:c r="Q4666" s="37" t="n">
        <x:v>46054.96084490741</x:v>
      </x:c>
    </x:row>
    <x:row r="4667">
      <x:c r="A4667" s="22" t="n">
        <x:v>29037</x:v>
      </x:c>
      <x:c r="B4667" s="28" t="n">
        <x:v>660</x:v>
      </x:c>
      <x:c r="C4667" s="28"/>
      <x:c r="D4667" s="31" t="str">
        <x:f>IF(OR(ISBLANK(B4667),ISBLANK(C4667),B4667=0),"",(C4667-B4667)/B4667)</x:f>
      </x:c>
      <x:c r="E4667" s="22" t="str">
        <x:f>IF(ISBLANK(C4667),"AmountIncludingTax缺失",IF(ABS(B4667-C4667)&lt;0.005,"一致","不一致"))</x:f>
        <x:v>AmountIncludingTax缺失</x:v>
      </x:c>
      <x:c r="F4667" s="19" t="str">
        <x:v>approved</x:v>
      </x:c>
      <x:c r="G4667" s="19" t="str">
        <x:v>Repair in Progress</x:v>
      </x:c>
      <x:c r="H4667" s="19" t="str">
        <x:v>In Field</x:v>
      </x:c>
      <x:c r="I4667" s="37" t="n">
        <x:v>46071</x:v>
      </x:c>
      <x:c r="J4667" s="37" t="n">
        <x:v>46071</x:v>
      </x:c>
      <x:c r="K4667" s="19" t="str">
        <x:v>Regent RV - Perth</x:v>
      </x:c>
      <x:c r="L4667" s="19" t="str">
        <x:v>Z006</x:v>
      </x:c>
      <x:c r="M4667" s="19" t="str">
        <x:v>In Field Warranty Claims</x:v>
      </x:c>
      <x:c r="N4667" s="37" t="n">
        <x:v>46004</x:v>
      </x:c>
      <x:c r="O4667" s="37"/>
      <x:c r="P4667" s="34" t="n">
        <x:v>0</x:v>
      </x:c>
      <x:c r="Q4667" s="37" t="n">
        <x:v>46071.003796296296</x:v>
      </x:c>
    </x:row>
    <x:row r="4668">
      <x:c r="A4668" s="22" t="n">
        <x:v>29036</x:v>
      </x:c>
      <x:c r="B4668" s="28" t="n">
        <x:v>60</x:v>
      </x:c>
      <x:c r="C4668" s="28"/>
      <x:c r="D4668" s="31" t="str">
        <x:f>IF(OR(ISBLANK(B4668),ISBLANK(C4668),B4668=0),"",(C4668-B4668)/B4668)</x:f>
      </x:c>
      <x:c r="E4668" s="22" t="str">
        <x:f>IF(ISBLANK(C4668),"AmountIncludingTax缺失",IF(ABS(B4668-C4668)&lt;0.005,"一致","不一致"))</x:f>
        <x:v>AmountIncludingTax缺失</x:v>
      </x:c>
      <x:c r="F4668" s="19" t="str">
        <x:v>approved</x:v>
      </x:c>
      <x:c r="G4668" s="19" t="str">
        <x:v>Repair in Progress</x:v>
      </x:c>
      <x:c r="H4668" s="19" t="str">
        <x:v>In Field</x:v>
      </x:c>
      <x:c r="I4668" s="37" t="n">
        <x:v>46104</x:v>
      </x:c>
      <x:c r="J4668" s="37" t="n">
        <x:v>46104</x:v>
      </x:c>
      <x:c r="K4668" s="19" t="str">
        <x:v>Snowy River Geelong</x:v>
      </x:c>
      <x:c r="L4668" s="19" t="str">
        <x:v>Z006</x:v>
      </x:c>
      <x:c r="M4668" s="19" t="str">
        <x:v>In Field Warranty Claims</x:v>
      </x:c>
      <x:c r="N4668" s="37" t="n">
        <x:v>46004</x:v>
      </x:c>
      <x:c r="O4668" s="37"/>
      <x:c r="P4668" s="34" t="n">
        <x:v>0</x:v>
      </x:c>
      <x:c r="Q4668" s="37" t="n">
        <x:v>46104.16787037037</x:v>
      </x:c>
    </x:row>
    <x:row r="4669">
      <x:c r="A4669" s="22" t="n">
        <x:v>29031</x:v>
      </x:c>
      <x:c r="B4669" s="28" t="n">
        <x:v>945.49</x:v>
      </x:c>
      <x:c r="C4669" s="28"/>
      <x:c r="D4669" s="31" t="str">
        <x:f>IF(OR(ISBLANK(B4669),ISBLANK(C4669),B4669=0),"",(C4669-B4669)/B4669)</x:f>
      </x:c>
      <x:c r="E4669" s="22" t="str">
        <x:f>IF(ISBLANK(C4669),"AmountIncludingTax缺失",IF(ABS(B4669-C4669)&lt;0.005,"一致","不一致"))</x:f>
        <x:v>AmountIncludingTax缺失</x:v>
      </x:c>
      <x:c r="F4669" s="19" t="str">
        <x:v>approved</x:v>
      </x:c>
      <x:c r="G4669" s="19" t="str">
        <x:v>Repairer Invoiced Received</x:v>
      </x:c>
      <x:c r="H4669" s="19" t="str">
        <x:v>In Field</x:v>
      </x:c>
      <x:c r="I4669" s="37" t="n">
        <x:v>46059</x:v>
      </x:c>
      <x:c r="J4669" s="37" t="n">
        <x:v>46059</x:v>
      </x:c>
      <x:c r="K4669" s="19" t="str">
        <x:v>Green RV - Slacks Creek</x:v>
      </x:c>
      <x:c r="L4669" s="19" t="str">
        <x:v>Z006</x:v>
      </x:c>
      <x:c r="M4669" s="19" t="str">
        <x:v>In Field Warranty Claims</x:v>
      </x:c>
      <x:c r="N4669" s="37" t="n">
        <x:v>46003</x:v>
      </x:c>
      <x:c r="O4669" s="37"/>
      <x:c r="P4669" s="34" t="n">
        <x:v>0</x:v>
      </x:c>
      <x:c r="Q4669" s="37" t="n">
        <x:v>46059.11002314815</x:v>
      </x:c>
    </x:row>
    <x:row r="4670">
      <x:c r="A4670" s="22" t="n">
        <x:v>29018</x:v>
      </x:c>
      <x:c r="B4670" s="28" t="n">
        <x:v>2394.68</x:v>
      </x:c>
      <x:c r="C4670" s="28"/>
      <x:c r="D4670" s="31" t="str">
        <x:f>IF(OR(ISBLANK(B4670),ISBLANK(C4670),B4670=0),"",(C4670-B4670)/B4670)</x:f>
      </x:c>
      <x:c r="E4670" s="22" t="str">
        <x:f>IF(ISBLANK(C4670),"AmountIncludingTax缺失",IF(ABS(B4670-C4670)&lt;0.005,"一致","不一致"))</x:f>
        <x:v>AmountIncludingTax缺失</x:v>
      </x:c>
      <x:c r="F4670" s="19" t="str">
        <x:v>approved</x:v>
      </x:c>
      <x:c r="G4670" s="19" t="str">
        <x:v>Repairer Invoiced Processed</x:v>
      </x:c>
      <x:c r="H4670" s="19" t="str">
        <x:v>Pre Delivery</x:v>
      </x:c>
      <x:c r="I4670" s="37" t="n">
        <x:v>46050</x:v>
      </x:c>
      <x:c r="J4670" s="37" t="n">
        <x:v>46050</x:v>
      </x:c>
      <x:c r="K4670" s="19" t="str">
        <x:v>Green RV - Forest Glen</x:v>
      </x:c>
      <x:c r="L4670" s="19" t="str">
        <x:v>Z005</x:v>
      </x:c>
      <x:c r="M4670" s="19" t="str">
        <x:v>Pre Delivery Warranty Claims</x:v>
      </x:c>
      <x:c r="N4670" s="37" t="n">
        <x:v>46003</x:v>
      </x:c>
      <x:c r="O4670" s="37"/>
      <x:c r="P4670" s="34" t="n">
        <x:v>2634.15</x:v>
      </x:c>
      <x:c r="Q4670" s="37" t="n">
        <x:v>46050.28289351852</x:v>
      </x:c>
    </x:row>
    <x:row r="4671">
      <x:c r="A4671" s="22" t="n">
        <x:v>29017</x:v>
      </x:c>
      <x:c r="B4671" s="28" t="n">
        <x:v>489.82</x:v>
      </x:c>
      <x:c r="C4671" s="28"/>
      <x:c r="D4671" s="31" t="str">
        <x:f>IF(OR(ISBLANK(B4671),ISBLANK(C4671),B4671=0),"",(C4671-B4671)/B4671)</x:f>
      </x:c>
      <x:c r="E4671" s="22" t="str">
        <x:f>IF(ISBLANK(C4671),"AmountIncludingTax缺失",IF(ABS(B4671-C4671)&lt;0.005,"一致","不一致"))</x:f>
        <x:v>AmountIncludingTax缺失</x:v>
      </x:c>
      <x:c r="F4671" s="19" t="str">
        <x:v>approved</x:v>
      </x:c>
      <x:c r="G4671" s="19" t="str">
        <x:v>Repair in Progress</x:v>
      </x:c>
      <x:c r="H4671" s="19" t="str">
        <x:v>In Field</x:v>
      </x:c>
      <x:c r="I4671" s="37" t="n">
        <x:v>46177</x:v>
      </x:c>
      <x:c r="J4671" s="37" t="n">
        <x:v>46177</x:v>
      </x:c>
      <x:c r="K4671" s="19" t="str">
        <x:v>Green RV - Forest Glen</x:v>
      </x:c>
      <x:c r="L4671" s="19" t="str">
        <x:v>Z006</x:v>
      </x:c>
      <x:c r="M4671" s="19" t="str">
        <x:v>In Field Warranty Claims</x:v>
      </x:c>
      <x:c r="N4671" s="37" t="n">
        <x:v>46003</x:v>
      </x:c>
      <x:c r="O4671" s="37" t="n">
        <x:v>46101</x:v>
      </x:c>
      <x:c r="P4671" s="34" t="n">
        <x:v>0</x:v>
      </x:c>
      <x:c r="Q4671" s="37" t="n">
        <x:v>46177.08354166667</x:v>
      </x:c>
    </x:row>
    <x:row r="4672">
      <x:c r="A4672" s="22" t="n">
        <x:v>29016</x:v>
      </x:c>
      <x:c r="B4672" s="28" t="n">
        <x:v>509.1</x:v>
      </x:c>
      <x:c r="C4672" s="28" t="n">
        <x:v>560.01</x:v>
      </x:c>
      <x:c r="D4672" s="31" t="n">
        <x:f>IF(OR(ISBLANK(B4672),ISBLANK(C4672),B4672=0),"",(C4672-B4672)/B4672)</x:f>
        <x:v>0.09999999999999994</x:v>
      </x:c>
      <x:c r="E4672" s="22" t="str">
        <x:f>IF(ISBLANK(C4672),"AmountIncludingTax缺失",IF(ABS(B4672-C4672)&lt;0.005,"一致","不一致"))</x:f>
        <x:v>不一致</x:v>
      </x:c>
      <x:c r="F4672" s="19" t="str">
        <x:v>approved</x:v>
      </x:c>
      <x:c r="G4672" s="19" t="str">
        <x:v>Repairer Invoiced Processed</x:v>
      </x:c>
      <x:c r="H4672" s="19" t="str">
        <x:v>Pre Delivery</x:v>
      </x:c>
      <x:c r="I4672" s="37" t="n">
        <x:v>46098</x:v>
      </x:c>
      <x:c r="J4672" s="37" t="n">
        <x:v>46098</x:v>
      </x:c>
      <x:c r="K4672" s="19" t="str">
        <x:v>Green RV - Slacks Creek</x:v>
      </x:c>
      <x:c r="L4672" s="19" t="str">
        <x:v>Z005</x:v>
      </x:c>
      <x:c r="M4672" s="19" t="str">
        <x:v>Pre Delivery Warranty Claims</x:v>
      </x:c>
      <x:c r="N4672" s="37" t="n">
        <x:v>46003</x:v>
      </x:c>
      <x:c r="O4672" s="37"/>
      <x:c r="P4672" s="34" t="n">
        <x:v>560.01</x:v>
      </x:c>
      <x:c r="Q4672" s="37" t="n">
        <x:v>46098.15659722222</x:v>
      </x:c>
    </x:row>
    <x:row r="4673">
      <x:c r="A4673" s="22" t="n">
        <x:v>29015</x:v>
      </x:c>
      <x:c r="B4673" s="28" t="n">
        <x:v>355.69</x:v>
      </x:c>
      <x:c r="C4673" s="28" t="n">
        <x:v>391.26</x:v>
      </x:c>
      <x:c r="D4673" s="31" t="n">
        <x:f>IF(OR(ISBLANK(B4673),ISBLANK(C4673),B4673=0),"",(C4673-B4673)/B4673)</x:f>
        <x:v>0.1000028114369254</x:v>
      </x:c>
      <x:c r="E4673" s="22" t="str">
        <x:f>IF(ISBLANK(C4673),"AmountIncludingTax缺失",IF(ABS(B4673-C4673)&lt;0.005,"一致","不一致"))</x:f>
        <x:v>不一致</x:v>
      </x:c>
      <x:c r="F4673" s="19" t="str">
        <x:v>approved</x:v>
      </x:c>
      <x:c r="G4673" s="19" t="str">
        <x:v>Repairer Invoiced Processed</x:v>
      </x:c>
      <x:c r="H4673" s="19" t="str">
        <x:v>Pre Delivery</x:v>
      </x:c>
      <x:c r="I4673" s="37" t="n">
        <x:v>46099</x:v>
      </x:c>
      <x:c r="J4673" s="37" t="n">
        <x:v>46098</x:v>
      </x:c>
      <x:c r="K4673" s="19" t="str">
        <x:v>Green RV - Slacks Creek</x:v>
      </x:c>
      <x:c r="L4673" s="19" t="str">
        <x:v>Z005</x:v>
      </x:c>
      <x:c r="M4673" s="19" t="str">
        <x:v>Pre Delivery Warranty Claims</x:v>
      </x:c>
      <x:c r="N4673" s="37" t="n">
        <x:v>46003</x:v>
      </x:c>
      <x:c r="O4673" s="37"/>
      <x:c r="P4673" s="34" t="n">
        <x:v>391.26</x:v>
      </x:c>
      <x:c r="Q4673" s="37" t="n">
        <x:v>46099.09700231482</x:v>
      </x:c>
    </x:row>
    <x:row r="4674">
      <x:c r="A4674" s="22" t="n">
        <x:v>29014</x:v>
      </x:c>
      <x:c r="B4674" s="28" t="n">
        <x:v>135</x:v>
      </x:c>
      <x:c r="C4674" s="28" t="n">
        <x:v>148.5</x:v>
      </x:c>
      <x:c r="D4674" s="31" t="n">
        <x:f>IF(OR(ISBLANK(B4674),ISBLANK(C4674),B4674=0),"",(C4674-B4674)/B4674)</x:f>
        <x:v>0.1</x:v>
      </x:c>
      <x:c r="E4674" s="22" t="str">
        <x:f>IF(ISBLANK(C4674),"AmountIncludingTax缺失",IF(ABS(B4674-C4674)&lt;0.005,"一致","不一致"))</x:f>
        <x:v>不一致</x:v>
      </x:c>
      <x:c r="F4674" s="19" t="str">
        <x:v>approved</x:v>
      </x:c>
      <x:c r="G4674" s="19" t="str">
        <x:v>Repairer Invoiced Processed</x:v>
      </x:c>
      <x:c r="H4674" s="19" t="str">
        <x:v>Pre Delivery</x:v>
      </x:c>
      <x:c r="I4674" s="37" t="n">
        <x:v>46100</x:v>
      </x:c>
      <x:c r="J4674" s="37" t="n">
        <x:v>46100</x:v>
      </x:c>
      <x:c r="K4674" s="19" t="str">
        <x:v>Green RV - Slacks Creek</x:v>
      </x:c>
      <x:c r="L4674" s="19" t="str">
        <x:v>Z005</x:v>
      </x:c>
      <x:c r="M4674" s="19" t="str">
        <x:v>Pre Delivery Warranty Claims</x:v>
      </x:c>
      <x:c r="N4674" s="37" t="n">
        <x:v>46003</x:v>
      </x:c>
      <x:c r="O4674" s="37"/>
      <x:c r="P4674" s="34" t="n">
        <x:v>148.5</x:v>
      </x:c>
      <x:c r="Q4674" s="37" t="n">
        <x:v>46100.163310185184</x:v>
      </x:c>
    </x:row>
    <x:row r="4675">
      <x:c r="A4675" s="22" t="n">
        <x:v>29012</x:v>
      </x:c>
      <x:c r="B4675" s="28" t="n">
        <x:v>978.75</x:v>
      </x:c>
      <x:c r="C4675" s="28"/>
      <x:c r="D4675" s="31" t="str">
        <x:f>IF(OR(ISBLANK(B4675),ISBLANK(C4675),B4675=0),"",(C4675-B4675)/B4675)</x:f>
      </x:c>
      <x:c r="E4675" s="22" t="str">
        <x:f>IF(ISBLANK(C4675),"AmountIncludingTax缺失",IF(ABS(B4675-C4675)&lt;0.005,"一致","不一致"))</x:f>
        <x:v>AmountIncludingTax缺失</x:v>
      </x:c>
      <x:c r="F4675" s="19" t="str">
        <x:v>approved</x:v>
      </x:c>
      <x:c r="G4675" s="19" t="str">
        <x:v>Repairer Invoiced Processed</x:v>
      </x:c>
      <x:c r="H4675" s="19" t="str">
        <x:v>In Field</x:v>
      </x:c>
      <x:c r="I4675" s="37" t="n">
        <x:v>46058</x:v>
      </x:c>
      <x:c r="J4675" s="37" t="n">
        <x:v>46058</x:v>
      </x:c>
      <x:c r="K4675" s="19" t="str">
        <x:v>ABCO Caravans - Boambee Valley</x:v>
      </x:c>
      <x:c r="L4675" s="19" t="str">
        <x:v>Z006</x:v>
      </x:c>
      <x:c r="M4675" s="19" t="str">
        <x:v>In Field Warranty Claims</x:v>
      </x:c>
      <x:c r="N4675" s="37" t="n">
        <x:v>46003</x:v>
      </x:c>
      <x:c r="O4675" s="37"/>
      <x:c r="P4675" s="34" t="n">
        <x:v>0</x:v>
      </x:c>
      <x:c r="Q4675" s="37" t="n">
        <x:v>46058.14</x:v>
      </x:c>
    </x:row>
    <x:row r="4676">
      <x:c r="A4676" s="22" t="n">
        <x:v>29011</x:v>
      </x:c>
      <x:c r="B4676" s="28" t="n">
        <x:v>135</x:v>
      </x:c>
      <x:c r="C4676" s="28"/>
      <x:c r="D4676" s="31" t="str">
        <x:f>IF(OR(ISBLANK(B4676),ISBLANK(C4676),B4676=0),"",(C4676-B4676)/B4676)</x:f>
      </x:c>
      <x:c r="E4676" s="22" t="str">
        <x:f>IF(ISBLANK(C4676),"AmountIncludingTax缺失",IF(ABS(B4676-C4676)&lt;0.005,"一致","不一致"))</x:f>
        <x:v>AmountIncludingTax缺失</x:v>
      </x:c>
      <x:c r="F4676" s="19" t="str">
        <x:v>approved</x:v>
      </x:c>
      <x:c r="G4676" s="19" t="str">
        <x:v>Repair in Progress</x:v>
      </x:c>
      <x:c r="H4676" s="19" t="str">
        <x:v>In Field</x:v>
      </x:c>
      <x:c r="I4676" s="37" t="n">
        <x:v>46087</x:v>
      </x:c>
      <x:c r="J4676" s="37" t="n">
        <x:v>46086</x:v>
      </x:c>
      <x:c r="K4676" s="19" t="str">
        <x:v>Leisure Lion Pty Ltd - Toowoomba</x:v>
      </x:c>
      <x:c r="L4676" s="19" t="str">
        <x:v>Z006</x:v>
      </x:c>
      <x:c r="M4676" s="19" t="str">
        <x:v>In Field Warranty Claims</x:v>
      </x:c>
      <x:c r="N4676" s="37" t="n">
        <x:v>46003</x:v>
      </x:c>
      <x:c r="O4676" s="37"/>
      <x:c r="P4676" s="34" t="n">
        <x:v>0</x:v>
      </x:c>
      <x:c r="Q4676" s="37" t="n">
        <x:v>46087.15263888889</x:v>
      </x:c>
    </x:row>
    <x:row r="4677">
      <x:c r="A4677" s="22" t="n">
        <x:v>29010</x:v>
      </x:c>
      <x:c r="B4677" s="28" t="n">
        <x:v>617.9</x:v>
      </x:c>
      <x:c r="C4677" s="28"/>
      <x:c r="D4677" s="31" t="str">
        <x:f>IF(OR(ISBLANK(B4677),ISBLANK(C4677),B4677=0),"",(C4677-B4677)/B4677)</x:f>
      </x:c>
      <x:c r="E4677" s="22" t="str">
        <x:f>IF(ISBLANK(C4677),"AmountIncludingTax缺失",IF(ABS(B4677-C4677)&lt;0.005,"一致","不一致"))</x:f>
        <x:v>AmountIncludingTax缺失</x:v>
      </x:c>
      <x:c r="F4677" s="19" t="str">
        <x:v>approved</x:v>
      </x:c>
      <x:c r="G4677" s="19" t="str">
        <x:v>Repair in Progress</x:v>
      </x:c>
      <x:c r="H4677" s="19" t="str">
        <x:v>In Field</x:v>
      </x:c>
      <x:c r="I4677" s="37" t="n">
        <x:v>46093</x:v>
      </x:c>
      <x:c r="J4677" s="37" t="n">
        <x:v>46087</x:v>
      </x:c>
      <x:c r="K4677" s="19" t="str">
        <x:v>Green RV - Slacks Creek</x:v>
      </x:c>
      <x:c r="L4677" s="19" t="str">
        <x:v>Z006</x:v>
      </x:c>
      <x:c r="M4677" s="19" t="str">
        <x:v>In Field Warranty Claims</x:v>
      </x:c>
      <x:c r="N4677" s="37" t="n">
        <x:v>46003</x:v>
      </x:c>
      <x:c r="O4677" s="37"/>
      <x:c r="P4677" s="34" t="n">
        <x:v>0</x:v>
      </x:c>
      <x:c r="Q4677" s="37" t="n">
        <x:v>46093.4890625</x:v>
      </x:c>
    </x:row>
    <x:row r="4678">
      <x:c r="A4678" s="22" t="n">
        <x:v>29009</x:v>
      </x:c>
      <x:c r="B4678" s="28" t="n">
        <x:v>767.05</x:v>
      </x:c>
      <x:c r="C4678" s="28" t="n">
        <x:v>843.76</x:v>
      </x:c>
      <x:c r="D4678" s="31" t="n">
        <x:f>IF(OR(ISBLANK(B4678),ISBLANK(C4678),B4678=0),"",(C4678-B4678)/B4678)</x:f>
        <x:v>0.10000651847989055</x:v>
      </x:c>
      <x:c r="E4678" s="22" t="str">
        <x:f>IF(ISBLANK(C4678),"AmountIncludingTax缺失",IF(ABS(B4678-C4678)&lt;0.005,"一致","不一致"))</x:f>
        <x:v>不一致</x:v>
      </x:c>
      <x:c r="F4678" s="19" t="str">
        <x:v>approved</x:v>
      </x:c>
      <x:c r="G4678" s="19" t="str">
        <x:v>Repairer Invoiced Processed</x:v>
      </x:c>
      <x:c r="H4678" s="19" t="str">
        <x:v>Pre Delivery</x:v>
      </x:c>
      <x:c r="I4678" s="37" t="n">
        <x:v>46083</x:v>
      </x:c>
      <x:c r="J4678" s="37" t="n">
        <x:v>46083</x:v>
      </x:c>
      <x:c r="K4678" s="19" t="str">
        <x:v>Green RV - Slacks Creek</x:v>
      </x:c>
      <x:c r="L4678" s="19" t="str">
        <x:v>Z005</x:v>
      </x:c>
      <x:c r="M4678" s="19" t="str">
        <x:v>Pre Delivery Warranty Claims</x:v>
      </x:c>
      <x:c r="N4678" s="37" t="n">
        <x:v>46003</x:v>
      </x:c>
      <x:c r="O4678" s="37"/>
      <x:c r="P4678" s="34" t="n">
        <x:v>843.76</x:v>
      </x:c>
      <x:c r="Q4678" s="37" t="n">
        <x:v>46083.00201388889</x:v>
      </x:c>
    </x:row>
    <x:row r="4679">
      <x:c r="A4679" s="22" t="n">
        <x:v>29007</x:v>
      </x:c>
      <x:c r="B4679" s="28" t="n">
        <x:v>1394.43</x:v>
      </x:c>
      <x:c r="C4679" s="28"/>
      <x:c r="D4679" s="31" t="str">
        <x:f>IF(OR(ISBLANK(B4679),ISBLANK(C4679),B4679=0),"",(C4679-B4679)/B4679)</x:f>
      </x:c>
      <x:c r="E4679" s="22" t="str">
        <x:f>IF(ISBLANK(C4679),"AmountIncludingTax缺失",IF(ABS(B4679-C4679)&lt;0.005,"一致","不一致"))</x:f>
        <x:v>AmountIncludingTax缺失</x:v>
      </x:c>
      <x:c r="F4679" s="19" t="str">
        <x:v>approved</x:v>
      </x:c>
      <x:c r="G4679" s="19" t="str">
        <x:v>Repairer Invoiced Processed</x:v>
      </x:c>
      <x:c r="H4679" s="19" t="str">
        <x:v>In Field</x:v>
      </x:c>
      <x:c r="I4679" s="37" t="n">
        <x:v>46091</x:v>
      </x:c>
      <x:c r="J4679" s="37" t="n">
        <x:v>46091</x:v>
      </x:c>
      <x:c r="K4679" s="19" t="str">
        <x:v>CMG Campers - Christchurch</x:v>
      </x:c>
      <x:c r="L4679" s="19" t="str">
        <x:v>Z006</x:v>
      </x:c>
      <x:c r="M4679" s="19" t="str">
        <x:v>In Field Warranty Claims</x:v>
      </x:c>
      <x:c r="N4679" s="37" t="n">
        <x:v>46003</x:v>
      </x:c>
      <x:c r="O4679" s="37"/>
      <x:c r="P4679" s="34" t="n">
        <x:v>1262.52</x:v>
      </x:c>
      <x:c r="Q4679" s="37" t="n">
        <x:v>46091.08</x:v>
      </x:c>
    </x:row>
    <x:row r="4680">
      <x:c r="A4680" s="22" t="n">
        <x:v>29006</x:v>
      </x:c>
      <x:c r="B4680" s="28" t="n">
        <x:v>820.92</x:v>
      </x:c>
      <x:c r="C4680" s="28"/>
      <x:c r="D4680" s="31" t="str">
        <x:f>IF(OR(ISBLANK(B4680),ISBLANK(C4680),B4680=0),"",(C4680-B4680)/B4680)</x:f>
      </x:c>
      <x:c r="E4680" s="22" t="str">
        <x:f>IF(ISBLANK(C4680),"AmountIncludingTax缺失",IF(ABS(B4680-C4680)&lt;0.005,"一致","不一致"))</x:f>
        <x:v>AmountIncludingTax缺失</x:v>
      </x:c>
      <x:c r="F4680" s="19" t="str">
        <x:v>approved</x:v>
      </x:c>
      <x:c r="G4680" s="19" t="str">
        <x:v>Repairer Invoiced Processed</x:v>
      </x:c>
      <x:c r="H4680" s="19" t="str">
        <x:v>In Field</x:v>
      </x:c>
      <x:c r="I4680" s="37" t="n">
        <x:v>46058</x:v>
      </x:c>
      <x:c r="J4680" s="37" t="n">
        <x:v>46058</x:v>
      </x:c>
      <x:c r="K4680" s="19" t="str">
        <x:v>Springvale Caravan Centre - Keysborough</x:v>
      </x:c>
      <x:c r="L4680" s="19" t="str">
        <x:v>Z006</x:v>
      </x:c>
      <x:c r="M4680" s="19" t="str">
        <x:v>In Field Warranty Claims</x:v>
      </x:c>
      <x:c r="N4680" s="37" t="n">
        <x:v>46003</x:v>
      </x:c>
      <x:c r="O4680" s="37" t="n">
        <x:v>46129</x:v>
      </x:c>
      <x:c r="P4680" s="34" t="n">
        <x:v>0</x:v>
      </x:c>
      <x:c r="Q4680" s="37" t="n">
        <x:v>46058.150671296295</x:v>
      </x:c>
    </x:row>
    <x:row r="4681">
      <x:c r="A4681" s="22" t="n">
        <x:v>28999</x:v>
      </x:c>
      <x:c r="B4681" s="28" t="n">
        <x:v>54.55</x:v>
      </x:c>
      <x:c r="C4681" s="28"/>
      <x:c r="D4681" s="31" t="str">
        <x:f>IF(OR(ISBLANK(B4681),ISBLANK(C4681),B4681=0),"",(C4681-B4681)/B4681)</x:f>
      </x:c>
      <x:c r="E4681" s="22" t="str">
        <x:f>IF(ISBLANK(C4681),"AmountIncludingTax缺失",IF(ABS(B4681-C4681)&lt;0.005,"一致","不一致"))</x:f>
        <x:v>AmountIncludingTax缺失</x:v>
      </x:c>
      <x:c r="F4681" s="19" t="str">
        <x:v>approved</x:v>
      </x:c>
      <x:c r="G4681" s="19" t="str">
        <x:v>Repairer Invoiced Processed</x:v>
      </x:c>
      <x:c r="H4681" s="19" t="str">
        <x:v>In Field</x:v>
      </x:c>
      <x:c r="I4681" s="37" t="n">
        <x:v>46037</x:v>
      </x:c>
      <x:c r="J4681" s="37" t="n">
        <x:v>46037</x:v>
      </x:c>
      <x:c r="K4681" s="19" t="str">
        <x:v>ABCO Caravans - Boambee Valley</x:v>
      </x:c>
      <x:c r="L4681" s="19" t="str">
        <x:v>Z006</x:v>
      </x:c>
      <x:c r="M4681" s="19" t="str">
        <x:v>In Field Warranty Claims</x:v>
      </x:c>
      <x:c r="N4681" s="37" t="n">
        <x:v>46003</x:v>
      </x:c>
      <x:c r="O4681" s="37"/>
      <x:c r="P4681" s="34" t="n">
        <x:v>0</x:v>
      </x:c>
      <x:c r="Q4681" s="37" t="n">
        <x:v>46037.03119212963</x:v>
      </x:c>
    </x:row>
    <x:row r="4682">
      <x:c r="A4682" s="22" t="n">
        <x:v>28998</x:v>
      </x:c>
      <x:c r="B4682" s="28" t="n">
        <x:v>38.75</x:v>
      </x:c>
      <x:c r="C4682" s="28"/>
      <x:c r="D4682" s="31" t="str">
        <x:f>IF(OR(ISBLANK(B4682),ISBLANK(C4682),B4682=0),"",(C4682-B4682)/B4682)</x:f>
      </x:c>
      <x:c r="E4682" s="22" t="str">
        <x:f>IF(ISBLANK(C4682),"AmountIncludingTax缺失",IF(ABS(B4682-C4682)&lt;0.005,"一致","不一致"))</x:f>
        <x:v>AmountIncludingTax缺失</x:v>
      </x:c>
      <x:c r="F4682" s="19" t="str">
        <x:v>approved</x:v>
      </x:c>
      <x:c r="G4682" s="19" t="str">
        <x:v>Repairer Invoiced Processed</x:v>
      </x:c>
      <x:c r="H4682" s="19" t="str">
        <x:v>In Field</x:v>
      </x:c>
      <x:c r="I4682" s="37" t="n">
        <x:v>46072</x:v>
      </x:c>
      <x:c r="J4682" s="37" t="n">
        <x:v>46072</x:v>
      </x:c>
      <x:c r="K4682" s="19" t="str">
        <x:v>Newcastle RV Super Centre - Beresfield</x:v>
      </x:c>
      <x:c r="L4682" s="19" t="str">
        <x:v>Z006</x:v>
      </x:c>
      <x:c r="M4682" s="19" t="str">
        <x:v>In Field Warranty Claims</x:v>
      </x:c>
      <x:c r="N4682" s="37" t="n">
        <x:v>46002</x:v>
      </x:c>
      <x:c r="O4682" s="37"/>
      <x:c r="P4682" s="34" t="n">
        <x:v>0</x:v>
      </x:c>
      <x:c r="Q4682" s="37" t="n">
        <x:v>46072.21780092592</x:v>
      </x:c>
    </x:row>
    <x:row r="4683">
      <x:c r="A4683" s="22" t="n">
        <x:v>28997</x:v>
      </x:c>
      <x:c r="B4683" s="28" t="n">
        <x:v>797.75</x:v>
      </x:c>
      <x:c r="C4683" s="28"/>
      <x:c r="D4683" s="31" t="str">
        <x:f>IF(OR(ISBLANK(B4683),ISBLANK(C4683),B4683=0),"",(C4683-B4683)/B4683)</x:f>
      </x:c>
      <x:c r="E4683" s="22" t="str">
        <x:f>IF(ISBLANK(C4683),"AmountIncludingTax缺失",IF(ABS(B4683-C4683)&lt;0.005,"一致","不一致"))</x:f>
        <x:v>AmountIncludingTax缺失</x:v>
      </x:c>
      <x:c r="F4683" s="19" t="str">
        <x:v>approved</x:v>
      </x:c>
      <x:c r="G4683" s="19" t="str">
        <x:v>Repair in Progress</x:v>
      </x:c>
      <x:c r="H4683" s="19" t="str">
        <x:v>Pre Delivery</x:v>
      </x:c>
      <x:c r="I4683" s="37" t="n">
        <x:v>46099</x:v>
      </x:c>
      <x:c r="J4683" s="37" t="n">
        <x:v>46099</x:v>
      </x:c>
      <x:c r="K4683" s="19" t="str">
        <x:v>Green RV - Slacks Creek</x:v>
      </x:c>
      <x:c r="L4683" s="19" t="str">
        <x:v>Z005</x:v>
      </x:c>
      <x:c r="M4683" s="19" t="str">
        <x:v>Pre Delivery Warranty Claims</x:v>
      </x:c>
      <x:c r="N4683" s="37" t="n">
        <x:v>46002</x:v>
      </x:c>
      <x:c r="O4683" s="37"/>
      <x:c r="P4683" s="34" t="n">
        <x:v>0</x:v>
      </x:c>
      <x:c r="Q4683" s="37" t="n">
        <x:v>46099.16365740741</x:v>
      </x:c>
    </x:row>
    <x:row r="4684">
      <x:c r="A4684" s="22" t="n">
        <x:v>28996</x:v>
      </x:c>
      <x:c r="B4684" s="28" t="n">
        <x:v>1730.34</x:v>
      </x:c>
      <x:c r="C4684" s="28"/>
      <x:c r="D4684" s="31" t="str">
        <x:f>IF(OR(ISBLANK(B4684),ISBLANK(C4684),B4684=0),"",(C4684-B4684)/B4684)</x:f>
      </x:c>
      <x:c r="E4684" s="22" t="str">
        <x:f>IF(ISBLANK(C4684),"AmountIncludingTax缺失",IF(ABS(B4684-C4684)&lt;0.005,"一致","不一致"))</x:f>
        <x:v>AmountIncludingTax缺失</x:v>
      </x:c>
      <x:c r="F4684" s="19" t="str">
        <x:v>approved</x:v>
      </x:c>
      <x:c r="G4684" s="19" t="str">
        <x:v>Partially Picked</x:v>
      </x:c>
      <x:c r="H4684" s="19" t="str">
        <x:v>In Field</x:v>
      </x:c>
      <x:c r="I4684" s="37" t="n">
        <x:v>46101</x:v>
      </x:c>
      <x:c r="J4684" s="37" t="n">
        <x:v>46101</x:v>
      </x:c>
      <x:c r="K4684" s="19" t="str">
        <x:v>Green RV - Forest Glen</x:v>
      </x:c>
      <x:c r="L4684" s="19" t="str">
        <x:v>Z006</x:v>
      </x:c>
      <x:c r="M4684" s="19" t="str">
        <x:v>In Field Warranty Claims</x:v>
      </x:c>
      <x:c r="N4684" s="37" t="n">
        <x:v>46002</x:v>
      </x:c>
      <x:c r="O4684" s="37"/>
      <x:c r="P4684" s="34" t="n">
        <x:v>0</x:v>
      </x:c>
      <x:c r="Q4684" s="37" t="n">
        <x:v>46101.49092592593</x:v>
      </x:c>
    </x:row>
    <x:row r="4685">
      <x:c r="A4685" s="22" t="n">
        <x:v>28995</x:v>
      </x:c>
      <x:c r="B4685" s="28" t="n">
        <x:v>210</x:v>
      </x:c>
      <x:c r="C4685" s="28" t="n">
        <x:v>190.13</x:v>
      </x:c>
      <x:c r="D4685" s="31" t="n">
        <x:f>IF(OR(ISBLANK(B4685),ISBLANK(C4685),B4685=0),"",(C4685-B4685)/B4685)</x:f>
        <x:v>-0.09461904761904764</x:v>
      </x:c>
      <x:c r="E4685" s="22" t="str">
        <x:f>IF(ISBLANK(C4685),"AmountIncludingTax缺失",IF(ABS(B4685-C4685)&lt;0.005,"一致","不一致"))</x:f>
        <x:v>不一致</x:v>
      </x:c>
      <x:c r="F4685" s="19" t="str">
        <x:v>approved</x:v>
      </x:c>
      <x:c r="G4685" s="19" t="str">
        <x:v>Repairer Invoiced Processed</x:v>
      </x:c>
      <x:c r="H4685" s="19" t="str">
        <x:v>In Field</x:v>
      </x:c>
      <x:c r="I4685" s="37" t="n">
        <x:v>46112</x:v>
      </x:c>
      <x:c r="J4685" s="37" t="n">
        <x:v>46112</x:v>
      </x:c>
      <x:c r="K4685" s="19" t="str">
        <x:v>Vanari Caravans - Marden Point</x:v>
      </x:c>
      <x:c r="L4685" s="19" t="str">
        <x:v>Z006</x:v>
      </x:c>
      <x:c r="M4685" s="19" t="str">
        <x:v>In Field Warranty Claims</x:v>
      </x:c>
      <x:c r="N4685" s="37" t="n">
        <x:v>46002</x:v>
      </x:c>
      <x:c r="O4685" s="37"/>
      <x:c r="P4685" s="34" t="n">
        <x:v>190.13</x:v>
      </x:c>
      <x:c r="Q4685" s="37" t="n">
        <x:v>46111.93298611111</x:v>
      </x:c>
    </x:row>
    <x:row r="4686">
      <x:c r="A4686" s="22" t="n">
        <x:v>28992</x:v>
      </x:c>
      <x:c r="B4686" s="28" t="n">
        <x:v>202.5</x:v>
      </x:c>
      <x:c r="C4686" s="28" t="n">
        <x:v>222.75</x:v>
      </x:c>
      <x:c r="D4686" s="31" t="n">
        <x:f>IF(OR(ISBLANK(B4686),ISBLANK(C4686),B4686=0),"",(C4686-B4686)/B4686)</x:f>
        <x:v>0.1</x:v>
      </x:c>
      <x:c r="E4686" s="22" t="str">
        <x:f>IF(ISBLANK(C4686),"AmountIncludingTax缺失",IF(ABS(B4686-C4686)&lt;0.005,"一致","不一致"))</x:f>
        <x:v>不一致</x:v>
      </x:c>
      <x:c r="F4686" s="19" t="str">
        <x:v>approved</x:v>
      </x:c>
      <x:c r="G4686" s="19" t="str">
        <x:v>Repairer Invoiced Processed</x:v>
      </x:c>
      <x:c r="H4686" s="19" t="str">
        <x:v>In Field</x:v>
      </x:c>
      <x:c r="I4686" s="37" t="n">
        <x:v>46093</x:v>
      </x:c>
      <x:c r="J4686" s="37" t="n">
        <x:v>46093</x:v>
      </x:c>
      <x:c r="K4686" s="19" t="str">
        <x:v>Great Ocean Road RV &amp; Caravans - Warrnambool</x:v>
      </x:c>
      <x:c r="L4686" s="19" t="str">
        <x:v>Z006</x:v>
      </x:c>
      <x:c r="M4686" s="19" t="str">
        <x:v>In Field Warranty Claims</x:v>
      </x:c>
      <x:c r="N4686" s="37" t="n">
        <x:v>46002</x:v>
      </x:c>
      <x:c r="O4686" s="37"/>
      <x:c r="P4686" s="34" t="n">
        <x:v>222.75</x:v>
      </x:c>
      <x:c r="Q4686" s="37" t="n">
        <x:v>46093.25976851852</x:v>
      </x:c>
    </x:row>
    <x:row r="4687">
      <x:c r="A4687" s="22" t="n">
        <x:v>28990</x:v>
      </x:c>
      <x:c r="B4687" s="28" t="n">
        <x:v>173.75</x:v>
      </x:c>
      <x:c r="C4687" s="28"/>
      <x:c r="D4687" s="31" t="str">
        <x:f>IF(OR(ISBLANK(B4687),ISBLANK(C4687),B4687=0),"",(C4687-B4687)/B4687)</x:f>
      </x:c>
      <x:c r="E4687" s="22" t="str">
        <x:f>IF(ISBLANK(C4687),"AmountIncludingTax缺失",IF(ABS(B4687-C4687)&lt;0.005,"一致","不一致"))</x:f>
        <x:v>AmountIncludingTax缺失</x:v>
      </x:c>
      <x:c r="F4687" s="19" t="str">
        <x:v>approved</x:v>
      </x:c>
      <x:c r="G4687" s="19" t="str">
        <x:v>Repairer Invoiced Processed</x:v>
      </x:c>
      <x:c r="H4687" s="19" t="str">
        <x:v>Pre Delivery</x:v>
      </x:c>
      <x:c r="I4687" s="37" t="n">
        <x:v>46100</x:v>
      </x:c>
      <x:c r="J4687" s="37" t="n">
        <x:v>46100</x:v>
      </x:c>
      <x:c r="K4687" s="19" t="str">
        <x:v>Green RV - Forest Glen</x:v>
      </x:c>
      <x:c r="L4687" s="19" t="str">
        <x:v>Z005</x:v>
      </x:c>
      <x:c r="M4687" s="19" t="str">
        <x:v>Pre Delivery Warranty Claims</x:v>
      </x:c>
      <x:c r="N4687" s="37" t="n">
        <x:v>46002</x:v>
      </x:c>
      <x:c r="O4687" s="37"/>
      <x:c r="P4687" s="34" t="n">
        <x:v>0</x:v>
      </x:c>
      <x:c r="Q4687" s="37" t="n">
        <x:v>46100.23440972222</x:v>
      </x:c>
    </x:row>
    <x:row r="4688">
      <x:c r="A4688" s="22" t="n">
        <x:v>28989</x:v>
      </x:c>
      <x:c r="B4688" s="28" t="n">
        <x:v>101.25</x:v>
      </x:c>
      <x:c r="C4688" s="28"/>
      <x:c r="D4688" s="31" t="str">
        <x:f>IF(OR(ISBLANK(B4688),ISBLANK(C4688),B4688=0),"",(C4688-B4688)/B4688)</x:f>
      </x:c>
      <x:c r="E4688" s="22" t="str">
        <x:f>IF(ISBLANK(C4688),"AmountIncludingTax缺失",IF(ABS(B4688-C4688)&lt;0.005,"一致","不一致"))</x:f>
        <x:v>AmountIncludingTax缺失</x:v>
      </x:c>
      <x:c r="F4688" s="19" t="str">
        <x:v>approved</x:v>
      </x:c>
      <x:c r="G4688" s="19" t="str">
        <x:v>Repair in Progress</x:v>
      </x:c>
      <x:c r="H4688" s="19" t="str">
        <x:v>Pre Delivery</x:v>
      </x:c>
      <x:c r="I4688" s="37" t="n">
        <x:v>46086</x:v>
      </x:c>
      <x:c r="J4688" s="37" t="n">
        <x:v>46086</x:v>
      </x:c>
      <x:c r="K4688" s="19" t="str">
        <x:v>Green RV - Forest Glen</x:v>
      </x:c>
      <x:c r="L4688" s="19" t="str">
        <x:v>Z005</x:v>
      </x:c>
      <x:c r="M4688" s="19" t="str">
        <x:v>Pre Delivery Warranty Claims</x:v>
      </x:c>
      <x:c r="N4688" s="37" t="n">
        <x:v>46002</x:v>
      </x:c>
      <x:c r="O4688" s="37"/>
      <x:c r="P4688" s="34" t="n">
        <x:v>0</x:v>
      </x:c>
      <x:c r="Q4688" s="37" t="n">
        <x:v>46085.96450231481</x:v>
      </x:c>
    </x:row>
    <x:row r="4689">
      <x:c r="A4689" s="22" t="n">
        <x:v>28987</x:v>
      </x:c>
      <x:c r="B4689" s="28" t="n">
        <x:v>1012.5</x:v>
      </x:c>
      <x:c r="C4689" s="28"/>
      <x:c r="D4689" s="31" t="str">
        <x:f>IF(OR(ISBLANK(B4689),ISBLANK(C4689),B4689=0),"",(C4689-B4689)/B4689)</x:f>
      </x:c>
      <x:c r="E4689" s="22" t="str">
        <x:f>IF(ISBLANK(C4689),"AmountIncludingTax缺失",IF(ABS(B4689-C4689)&lt;0.005,"一致","不一致"))</x:f>
        <x:v>AmountIncludingTax缺失</x:v>
      </x:c>
      <x:c r="F4689" s="19" t="str">
        <x:v>approved</x:v>
      </x:c>
      <x:c r="G4689" s="19" t="str">
        <x:v>Repair in Progress</x:v>
      </x:c>
      <x:c r="H4689" s="19" t="str">
        <x:v>In Field</x:v>
      </x:c>
      <x:c r="I4689" s="37" t="n">
        <x:v>46050</x:v>
      </x:c>
      <x:c r="J4689" s="37" t="n">
        <x:v>46050</x:v>
      </x:c>
      <x:c r="K4689" s="19" t="str">
        <x:v>Regent RV - Frankston</x:v>
      </x:c>
      <x:c r="L4689" s="19" t="str">
        <x:v>Z006</x:v>
      </x:c>
      <x:c r="M4689" s="19" t="str">
        <x:v>In Field Warranty Claims</x:v>
      </x:c>
      <x:c r="N4689" s="37" t="n">
        <x:v>46002</x:v>
      </x:c>
      <x:c r="O4689" s="37"/>
      <x:c r="P4689" s="34" t="n">
        <x:v>0</x:v>
      </x:c>
      <x:c r="Q4689" s="37" t="n">
        <x:v>46050.32366898148</x:v>
      </x:c>
    </x:row>
    <x:row r="4690">
      <x:c r="A4690" s="22" t="n">
        <x:v>28986</x:v>
      </x:c>
      <x:c r="B4690" s="28" t="n">
        <x:v>949.09</x:v>
      </x:c>
      <x:c r="C4690" s="28"/>
      <x:c r="D4690" s="31" t="str">
        <x:f>IF(OR(ISBLANK(B4690),ISBLANK(C4690),B4690=0),"",(C4690-B4690)/B4690)</x:f>
      </x:c>
      <x:c r="E4690" s="22" t="str">
        <x:f>IF(ISBLANK(C4690),"AmountIncludingTax缺失",IF(ABS(B4690-C4690)&lt;0.005,"一致","不一致"))</x:f>
        <x:v>AmountIncludingTax缺失</x:v>
      </x:c>
      <x:c r="F4690" s="19" t="str">
        <x:v>approved</x:v>
      </x:c>
      <x:c r="G4690" s="19" t="str">
        <x:v>Repairer Invoiced Processed</x:v>
      </x:c>
      <x:c r="H4690" s="19" t="str">
        <x:v>In Field</x:v>
      </x:c>
      <x:c r="I4690" s="37" t="n">
        <x:v>46093</x:v>
      </x:c>
      <x:c r="J4690" s="37" t="n">
        <x:v>46093</x:v>
      </x:c>
      <x:c r="K4690" s="19" t="str">
        <x:v>Auswide Caravans - South Nowra</x:v>
      </x:c>
      <x:c r="L4690" s="19" t="str">
        <x:v>Z006</x:v>
      </x:c>
      <x:c r="M4690" s="19" t="str">
        <x:v>In Field Warranty Claims</x:v>
      </x:c>
      <x:c r="N4690" s="37" t="n">
        <x:v>46002</x:v>
      </x:c>
      <x:c r="O4690" s="37"/>
      <x:c r="P4690" s="34" t="n">
        <x:v>0</x:v>
      </x:c>
      <x:c r="Q4690" s="37" t="n">
        <x:v>46093.121145833335</x:v>
      </x:c>
    </x:row>
    <x:row r="4691">
      <x:c r="A4691" s="22" t="n">
        <x:v>28985</x:v>
      </x:c>
      <x:c r="B4691" s="28" t="n">
        <x:v>165</x:v>
      </x:c>
      <x:c r="C4691" s="28"/>
      <x:c r="D4691" s="31" t="str">
        <x:f>IF(OR(ISBLANK(B4691),ISBLANK(C4691),B4691=0),"",(C4691-B4691)/B4691)</x:f>
      </x:c>
      <x:c r="E4691" s="22" t="str">
        <x:f>IF(ISBLANK(C4691),"AmountIncludingTax缺失",IF(ABS(B4691-C4691)&lt;0.005,"一致","不一致"))</x:f>
        <x:v>AmountIncludingTax缺失</x:v>
      </x:c>
      <x:c r="F4691" s="19" t="str">
        <x:v>approved</x:v>
      </x:c>
      <x:c r="G4691" s="19" t="str">
        <x:v>Sales Order Approved</x:v>
      </x:c>
      <x:c r="H4691" s="19" t="str">
        <x:v>Pre Delivery</x:v>
      </x:c>
      <x:c r="I4691" s="37" t="n">
        <x:v>46097</x:v>
      </x:c>
      <x:c r="J4691" s="37" t="n">
        <x:v>46097</x:v>
      </x:c>
      <x:c r="K4691" s="19" t="str">
        <x:v>Regent RV - Perth</x:v>
      </x:c>
      <x:c r="L4691" s="19" t="str">
        <x:v>Z005</x:v>
      </x:c>
      <x:c r="M4691" s="19" t="str">
        <x:v>Pre Delivery Warranty Claims</x:v>
      </x:c>
      <x:c r="N4691" s="37" t="n">
        <x:v>46002</x:v>
      </x:c>
      <x:c r="O4691" s="37"/>
      <x:c r="P4691" s="34" t="n">
        <x:v>0</x:v>
      </x:c>
      <x:c r="Q4691" s="37" t="n">
        <x:v>46096.96337962963</x:v>
      </x:c>
    </x:row>
    <x:row r="4692">
      <x:c r="A4692" s="22" t="n">
        <x:v>28983</x:v>
      </x:c>
      <x:c r="B4692" s="28" t="n">
        <x:v>110</x:v>
      </x:c>
      <x:c r="C4692" s="28"/>
      <x:c r="D4692" s="31" t="str">
        <x:f>IF(OR(ISBLANK(B4692),ISBLANK(C4692),B4692=0),"",(C4692-B4692)/B4692)</x:f>
      </x:c>
      <x:c r="E4692" s="22" t="str">
        <x:f>IF(ISBLANK(C4692),"AmountIncludingTax缺失",IF(ABS(B4692-C4692)&lt;0.005,"一致","不一致"))</x:f>
        <x:v>AmountIncludingTax缺失</x:v>
      </x:c>
      <x:c r="F4692" s="19" t="str">
        <x:v>approved</x:v>
      </x:c>
      <x:c r="G4692" s="19" t="str">
        <x:v>Sales Order Approved</x:v>
      </x:c>
      <x:c r="H4692" s="19" t="str">
        <x:v>Pre Delivery</x:v>
      </x:c>
      <x:c r="I4692" s="37" t="n">
        <x:v>46098</x:v>
      </x:c>
      <x:c r="J4692" s="37" t="n">
        <x:v>46098</x:v>
      </x:c>
      <x:c r="K4692" s="19" t="str">
        <x:v>Regent RV - Perth</x:v>
      </x:c>
      <x:c r="L4692" s="19" t="str">
        <x:v>Z005</x:v>
      </x:c>
      <x:c r="M4692" s="19" t="str">
        <x:v>Pre Delivery Warranty Claims</x:v>
      </x:c>
      <x:c r="N4692" s="37" t="n">
        <x:v>46002</x:v>
      </x:c>
      <x:c r="O4692" s="37"/>
      <x:c r="P4692" s="34" t="n">
        <x:v>0</x:v>
      </x:c>
      <x:c r="Q4692" s="37" t="n">
        <x:v>46097.9028125</x:v>
      </x:c>
    </x:row>
    <x:row r="4693">
      <x:c r="A4693" s="22" t="n">
        <x:v>28982</x:v>
      </x:c>
      <x:c r="B4693" s="28" t="n">
        <x:v>200</x:v>
      </x:c>
      <x:c r="C4693" s="28"/>
      <x:c r="D4693" s="31" t="str">
        <x:f>IF(OR(ISBLANK(B4693),ISBLANK(C4693),B4693=0),"",(C4693-B4693)/B4693)</x:f>
      </x:c>
      <x:c r="E4693" s="22" t="str">
        <x:f>IF(ISBLANK(C4693),"AmountIncludingTax缺失",IF(ABS(B4693-C4693)&lt;0.005,"一致","不一致"))</x:f>
        <x:v>AmountIncludingTax缺失</x:v>
      </x:c>
      <x:c r="F4693" s="19" t="str">
        <x:v>approved</x:v>
      </x:c>
      <x:c r="G4693" s="19" t="str">
        <x:v>Repair in Progress</x:v>
      </x:c>
      <x:c r="H4693" s="19" t="str">
        <x:v>In Field</x:v>
      </x:c>
      <x:c r="I4693" s="37" t="n">
        <x:v>46060</x:v>
      </x:c>
      <x:c r="J4693" s="37" t="n">
        <x:v>46060</x:v>
      </x:c>
      <x:c r="K4693" s="19" t="str">
        <x:v>Great Ocean Road RV &amp; Caravans - Warrnambool</x:v>
      </x:c>
      <x:c r="L4693" s="19" t="str">
        <x:v>Z006</x:v>
      </x:c>
      <x:c r="M4693" s="19" t="str">
        <x:v>In Field Warranty Claims</x:v>
      </x:c>
      <x:c r="N4693" s="37" t="n">
        <x:v>46002</x:v>
      </x:c>
      <x:c r="O4693" s="37"/>
      <x:c r="P4693" s="34" t="n">
        <x:v>0</x:v>
      </x:c>
      <x:c r="Q4693" s="37" t="n">
        <x:v>46059.9093287037</x:v>
      </x:c>
    </x:row>
    <x:row r="4694">
      <x:c r="A4694" s="22" t="n">
        <x:v>28970</x:v>
      </x:c>
      <x:c r="B4694" s="28" t="n">
        <x:v>505.45</x:v>
      </x:c>
      <x:c r="C4694" s="28" t="n">
        <x:v>556</x:v>
      </x:c>
      <x:c r="D4694" s="31" t="n">
        <x:f>IF(OR(ISBLANK(B4694),ISBLANK(C4694),B4694=0),"",(C4694-B4694)/B4694)</x:f>
        <x:v>0.10000989217528937</x:v>
      </x:c>
      <x:c r="E4694" s="22" t="str">
        <x:f>IF(ISBLANK(C4694),"AmountIncludingTax缺失",IF(ABS(B4694-C4694)&lt;0.005,"一致","不一致"))</x:f>
        <x:v>不一致</x:v>
      </x:c>
      <x:c r="F4694" s="19" t="str">
        <x:v>approved</x:v>
      </x:c>
      <x:c r="G4694" s="19" t="str">
        <x:v>Repair in Progress</x:v>
      </x:c>
      <x:c r="H4694" s="19" t="str">
        <x:v>In Field</x:v>
      </x:c>
      <x:c r="I4694" s="37" t="n">
        <x:v>46100</x:v>
      </x:c>
      <x:c r="J4694" s="37" t="n">
        <x:v>46100</x:v>
      </x:c>
      <x:c r="K4694" s="19" t="str">
        <x:v>Leisure Lion Pty Ltd - Gympie</x:v>
      </x:c>
      <x:c r="L4694" s="19" t="str">
        <x:v>Z006</x:v>
      </x:c>
      <x:c r="M4694" s="19" t="str">
        <x:v>In Field Warranty Claims</x:v>
      </x:c>
      <x:c r="N4694" s="37" t="n">
        <x:v>46002</x:v>
      </x:c>
      <x:c r="O4694" s="37"/>
      <x:c r="P4694" s="34" t="n">
        <x:v>556</x:v>
      </x:c>
      <x:c r="Q4694" s="37" t="n">
        <x:v>46100.42767361111</x:v>
      </x:c>
    </x:row>
    <x:row r="4695">
      <x:c r="A4695" s="22" t="n">
        <x:v>28969</x:v>
      </x:c>
      <x:c r="B4695" s="28" t="n">
        <x:v>2667.5</x:v>
      </x:c>
      <x:c r="C4695" s="28"/>
      <x:c r="D4695" s="31" t="str">
        <x:f>IF(OR(ISBLANK(B4695),ISBLANK(C4695),B4695=0),"",(C4695-B4695)/B4695)</x:f>
      </x:c>
      <x:c r="E4695" s="22" t="str">
        <x:f>IF(ISBLANK(C4695),"AmountIncludingTax缺失",IF(ABS(B4695-C4695)&lt;0.005,"一致","不一致"))</x:f>
        <x:v>AmountIncludingTax缺失</x:v>
      </x:c>
      <x:c r="F4695" s="19" t="str">
        <x:v>unapproved_closed</x:v>
      </x:c>
      <x:c r="G4695" s="19" t="str">
        <x:v>Unapproved Claims Closed (Closed)</x:v>
      </x:c>
      <x:c r="H4695" s="19" t="str">
        <x:v>In Field</x:v>
      </x:c>
      <x:c r="I4695" s="37" t="n">
        <x:v>46062</x:v>
      </x:c>
      <x:c r="J4695" s="37" t="n">
        <x:v>46062</x:v>
      </x:c>
      <x:c r="K4695" s="19" t="str">
        <x:v>Regent RV - Perth</x:v>
      </x:c>
      <x:c r="L4695" s="19" t="str">
        <x:v>Z006</x:v>
      </x:c>
      <x:c r="M4695" s="19" t="str">
        <x:v>In Field Warranty Claims</x:v>
      </x:c>
      <x:c r="N4695" s="37" t="n">
        <x:v>46002</x:v>
      </x:c>
      <x:c r="O4695" s="37" t="n">
        <x:v>46085</x:v>
      </x:c>
      <x:c r="P4695" s="34" t="n">
        <x:v>3218.46</x:v>
      </x:c>
      <x:c r="Q4695" s="37" t="n">
        <x:v>46061.866898148146</x:v>
      </x:c>
    </x:row>
    <x:row r="4696">
      <x:c r="A4696" s="22" t="n">
        <x:v>28967</x:v>
      </x:c>
      <x:c r="B4696" s="28" t="n">
        <x:v>675</x:v>
      </x:c>
      <x:c r="C4696" s="28"/>
      <x:c r="D4696" s="31" t="str">
        <x:f>IF(OR(ISBLANK(B4696),ISBLANK(C4696),B4696=0),"",(C4696-B4696)/B4696)</x:f>
      </x:c>
      <x:c r="E4696" s="22" t="str">
        <x:f>IF(ISBLANK(C4696),"AmountIncludingTax缺失",IF(ABS(B4696-C4696)&lt;0.005,"一致","不一致"))</x:f>
        <x:v>AmountIncludingTax缺失</x:v>
      </x:c>
      <x:c r="F4696" s="19" t="str">
        <x:v>approved</x:v>
      </x:c>
      <x:c r="G4696" s="19" t="str">
        <x:v>Repairer Invoiced Processed</x:v>
      </x:c>
      <x:c r="H4696" s="19" t="str">
        <x:v>In Field</x:v>
      </x:c>
      <x:c r="I4696" s="37" t="n">
        <x:v>46091</x:v>
      </x:c>
      <x:c r="J4696" s="37" t="n">
        <x:v>46091</x:v>
      </x:c>
      <x:c r="K4696" s="19" t="str">
        <x:v>Regent RV - Toowoomba</x:v>
      </x:c>
      <x:c r="L4696" s="19" t="str">
        <x:v>Z006</x:v>
      </x:c>
      <x:c r="M4696" s="19" t="str">
        <x:v>In Field Warranty Claims</x:v>
      </x:c>
      <x:c r="N4696" s="37" t="n">
        <x:v>46002</x:v>
      </x:c>
      <x:c r="O4696" s="37"/>
      <x:c r="P4696" s="34" t="n">
        <x:v>0</x:v>
      </x:c>
      <x:c r="Q4696" s="37" t="n">
        <x:v>46091.155497685184</x:v>
      </x:c>
    </x:row>
    <x:row r="4697">
      <x:c r="A4697" s="22" t="n">
        <x:v>28965</x:v>
      </x:c>
      <x:c r="B4697" s="28" t="n">
        <x:v>596.33</x:v>
      </x:c>
      <x:c r="C4697" s="28" t="n">
        <x:v>655.96</x:v>
      </x:c>
      <x:c r="D4697" s="31" t="n">
        <x:f>IF(OR(ISBLANK(B4697),ISBLANK(C4697),B4697=0),"",(C4697-B4697)/B4697)</x:f>
        <x:v>0.09999496922844732</x:v>
      </x:c>
      <x:c r="E4697" s="22" t="str">
        <x:f>IF(ISBLANK(C4697),"AmountIncludingTax缺失",IF(ABS(B4697-C4697)&lt;0.005,"一致","不一致"))</x:f>
        <x:v>不一致</x:v>
      </x:c>
      <x:c r="F4697" s="19" t="str">
        <x:v>approved</x:v>
      </x:c>
      <x:c r="G4697" s="19" t="str">
        <x:v>Repairer Invoiced Processed</x:v>
      </x:c>
      <x:c r="H4697" s="19" t="str">
        <x:v>Pre Delivery</x:v>
      </x:c>
      <x:c r="I4697" s="37" t="n">
        <x:v>46034</x:v>
      </x:c>
      <x:c r="J4697" s="37" t="n">
        <x:v>46034</x:v>
      </x:c>
      <x:c r="K4697" s="19" t="str">
        <x:v>Green RV - Forest Glen</x:v>
      </x:c>
      <x:c r="L4697" s="19" t="str">
        <x:v>Z005</x:v>
      </x:c>
      <x:c r="M4697" s="19" t="str">
        <x:v>Pre Delivery Warranty Claims</x:v>
      </x:c>
      <x:c r="N4697" s="37" t="n">
        <x:v>46002</x:v>
      </x:c>
      <x:c r="O4697" s="37"/>
      <x:c r="P4697" s="34" t="n">
        <x:v>655.96</x:v>
      </x:c>
      <x:c r="Q4697" s="37" t="n">
        <x:v>46034.112592592595</x:v>
      </x:c>
    </x:row>
    <x:row r="4698">
      <x:c r="A4698" s="22" t="n">
        <x:v>28964</x:v>
      </x:c>
      <x:c r="B4698" s="28" t="n">
        <x:v>110</x:v>
      </x:c>
      <x:c r="C4698" s="28"/>
      <x:c r="D4698" s="31" t="str">
        <x:f>IF(OR(ISBLANK(B4698),ISBLANK(C4698),B4698=0),"",(C4698-B4698)/B4698)</x:f>
      </x:c>
      <x:c r="E4698" s="22" t="str">
        <x:f>IF(ISBLANK(C4698),"AmountIncludingTax缺失",IF(ABS(B4698-C4698)&lt;0.005,"一致","不一致"))</x:f>
        <x:v>AmountIncludingTax缺失</x:v>
      </x:c>
      <x:c r="F4698" s="19" t="str">
        <x:v>approved</x:v>
      </x:c>
      <x:c r="G4698" s="19" t="str">
        <x:v>Repair in Progress</x:v>
      </x:c>
      <x:c r="H4698" s="19" t="str">
        <x:v>In Field</x:v>
      </x:c>
      <x:c r="I4698" s="37" t="n">
        <x:v>46065</x:v>
      </x:c>
      <x:c r="J4698" s="37" t="n">
        <x:v>46065</x:v>
      </x:c>
      <x:c r="K4698" s="19" t="str">
        <x:v>Regent RV - Perth</x:v>
      </x:c>
      <x:c r="L4698" s="19" t="str">
        <x:v>Z006</x:v>
      </x:c>
      <x:c r="M4698" s="19" t="str">
        <x:v>In Field Warranty Claims</x:v>
      </x:c>
      <x:c r="N4698" s="37" t="n">
        <x:v>46002</x:v>
      </x:c>
      <x:c r="O4698" s="37"/>
      <x:c r="P4698" s="34" t="n">
        <x:v>0</x:v>
      </x:c>
      <x:c r="Q4698" s="37" t="n">
        <x:v>46064.976006944446</x:v>
      </x:c>
    </x:row>
    <x:row r="4699">
      <x:c r="A4699" s="22" t="n">
        <x:v>28961</x:v>
      </x:c>
      <x:c r="B4699" s="28" t="n">
        <x:v>65.92</x:v>
      </x:c>
      <x:c r="C4699" s="28"/>
      <x:c r="D4699" s="31" t="str">
        <x:f>IF(OR(ISBLANK(B4699),ISBLANK(C4699),B4699=0),"",(C4699-B4699)/B4699)</x:f>
      </x:c>
      <x:c r="E4699" s="22" t="str">
        <x:f>IF(ISBLANK(C4699),"AmountIncludingTax缺失",IF(ABS(B4699-C4699)&lt;0.005,"一致","不一致"))</x:f>
        <x:v>AmountIncludingTax缺失</x:v>
      </x:c>
      <x:c r="F4699" s="19" t="str">
        <x:v>approved</x:v>
      </x:c>
      <x:c r="G4699" s="19" t="str">
        <x:v>Repairer Invoiced Processed</x:v>
      </x:c>
      <x:c r="H4699" s="19" t="str">
        <x:v>Pre Delivery</x:v>
      </x:c>
      <x:c r="I4699" s="37" t="n">
        <x:v>46072</x:v>
      </x:c>
      <x:c r="J4699" s="37" t="n">
        <x:v>46072</x:v>
      </x:c>
      <x:c r="K4699" s="19" t="str">
        <x:v>Regent RV Pty Ltd</x:v>
      </x:c>
      <x:c r="L4699" s="19" t="str">
        <x:v>Z005</x:v>
      </x:c>
      <x:c r="M4699" s="19" t="str">
        <x:v>Pre Delivery Warranty Claims</x:v>
      </x:c>
      <x:c r="N4699" s="37" t="n">
        <x:v>46001</x:v>
      </x:c>
      <x:c r="O4699" s="37"/>
      <x:c r="P4699" s="34" t="n">
        <x:v>0</x:v>
      </x:c>
      <x:c r="Q4699" s="37" t="n">
        <x:v>46071.96239583333</x:v>
      </x:c>
    </x:row>
    <x:row r="4700">
      <x:c r="A4700" s="22" t="n">
        <x:v>28947</x:v>
      </x:c>
      <x:c r="B4700" s="28" t="n">
        <x:v>59.09</x:v>
      </x:c>
      <x:c r="C4700" s="28"/>
      <x:c r="D4700" s="31" t="str">
        <x:f>IF(OR(ISBLANK(B4700),ISBLANK(C4700),B4700=0),"",(C4700-B4700)/B4700)</x:f>
      </x:c>
      <x:c r="E4700" s="22" t="str">
        <x:f>IF(ISBLANK(C4700),"AmountIncludingTax缺失",IF(ABS(B4700-C4700)&lt;0.005,"一致","不一致"))</x:f>
        <x:v>AmountIncludingTax缺失</x:v>
      </x:c>
      <x:c r="F4700" s="19" t="str">
        <x:v>approved</x:v>
      </x:c>
      <x:c r="G4700" s="19" t="str">
        <x:v>Repair in Progress</x:v>
      </x:c>
      <x:c r="H4700" s="19" t="str">
        <x:v>In Field</x:v>
      </x:c>
      <x:c r="I4700" s="37" t="n">
        <x:v>46104</x:v>
      </x:c>
      <x:c r="J4700" s="37" t="n">
        <x:v>46104</x:v>
      </x:c>
      <x:c r="K4700" s="19" t="str">
        <x:v>Newcastle RV Super Centre - Beresfield</x:v>
      </x:c>
      <x:c r="L4700" s="19" t="str">
        <x:v>Z006</x:v>
      </x:c>
      <x:c r="M4700" s="19" t="str">
        <x:v>In Field Warranty Claims</x:v>
      </x:c>
      <x:c r="N4700" s="37" t="n">
        <x:v>46002</x:v>
      </x:c>
      <x:c r="O4700" s="37"/>
      <x:c r="P4700" s="34" t="n">
        <x:v>0</x:v>
      </x:c>
      <x:c r="Q4700" s="37" t="n">
        <x:v>46103.92369212963</x:v>
      </x:c>
    </x:row>
    <x:row r="4701">
      <x:c r="A4701" s="22" t="n">
        <x:v>28946</x:v>
      </x:c>
      <x:c r="B4701" s="28" t="n">
        <x:v>65.92</x:v>
      </x:c>
      <x:c r="C4701" s="28"/>
      <x:c r="D4701" s="31" t="str">
        <x:f>IF(OR(ISBLANK(B4701),ISBLANK(C4701),B4701=0),"",(C4701-B4701)/B4701)</x:f>
      </x:c>
      <x:c r="E4701" s="22" t="str">
        <x:f>IF(ISBLANK(C4701),"AmountIncludingTax缺失",IF(ABS(B4701-C4701)&lt;0.005,"一致","不一致"))</x:f>
        <x:v>AmountIncludingTax缺失</x:v>
      </x:c>
      <x:c r="F4701" s="19" t="str">
        <x:v>approved</x:v>
      </x:c>
      <x:c r="G4701" s="19" t="str">
        <x:v>Repairer Invoiced Processed</x:v>
      </x:c>
      <x:c r="H4701" s="19" t="str">
        <x:v>Pre Delivery</x:v>
      </x:c>
      <x:c r="I4701" s="37" t="n">
        <x:v>46072</x:v>
      </x:c>
      <x:c r="J4701" s="37" t="n">
        <x:v>46072</x:v>
      </x:c>
      <x:c r="K4701" s="19" t="str">
        <x:v>Regent RV Pty Ltd</x:v>
      </x:c>
      <x:c r="L4701" s="19" t="str">
        <x:v>Z005</x:v>
      </x:c>
      <x:c r="M4701" s="19" t="str">
        <x:v>Pre Delivery Warranty Claims</x:v>
      </x:c>
      <x:c r="N4701" s="37" t="n">
        <x:v>46001</x:v>
      </x:c>
      <x:c r="O4701" s="37"/>
      <x:c r="P4701" s="34" t="n">
        <x:v>0</x:v>
      </x:c>
      <x:c r="Q4701" s="37" t="n">
        <x:v>46071.97121527778</x:v>
      </x:c>
    </x:row>
    <x:row r="4702">
      <x:c r="A4702" s="22" t="n">
        <x:v>28945</x:v>
      </x:c>
      <x:c r="B4702" s="28" t="n">
        <x:v>821.25</x:v>
      </x:c>
      <x:c r="C4702" s="28"/>
      <x:c r="D4702" s="31" t="str">
        <x:f>IF(OR(ISBLANK(B4702),ISBLANK(C4702),B4702=0),"",(C4702-B4702)/B4702)</x:f>
      </x:c>
      <x:c r="E4702" s="22" t="str">
        <x:f>IF(ISBLANK(C4702),"AmountIncludingTax缺失",IF(ABS(B4702-C4702)&lt;0.005,"一致","不一致"))</x:f>
        <x:v>AmountIncludingTax缺失</x:v>
      </x:c>
      <x:c r="F4702" s="19" t="str">
        <x:v>approved</x:v>
      </x:c>
      <x:c r="G4702" s="19" t="str">
        <x:v>Repairer Invoiced Processed</x:v>
      </x:c>
      <x:c r="H4702" s="19" t="str">
        <x:v>In Field</x:v>
      </x:c>
      <x:c r="I4702" s="37" t="n">
        <x:v>46111</x:v>
      </x:c>
      <x:c r="J4702" s="37" t="n">
        <x:v>46111</x:v>
      </x:c>
      <x:c r="K4702" s="19" t="str">
        <x:v>Regent RV - Toowoomba</x:v>
      </x:c>
      <x:c r="L4702" s="19" t="str">
        <x:v>Z006</x:v>
      </x:c>
      <x:c r="M4702" s="19" t="str">
        <x:v>In Field Warranty Claims</x:v>
      </x:c>
      <x:c r="N4702" s="37" t="n">
        <x:v>46001</x:v>
      </x:c>
      <x:c r="O4702" s="37"/>
      <x:c r="P4702" s="34" t="n">
        <x:v>0</x:v>
      </x:c>
      <x:c r="Q4702" s="37" t="n">
        <x:v>46111.15282407407</x:v>
      </x:c>
    </x:row>
    <x:row r="4703">
      <x:c r="A4703" s="22" t="n">
        <x:v>28944</x:v>
      </x:c>
      <x:c r="B4703" s="28" t="n">
        <x:v>404</x:v>
      </x:c>
      <x:c r="C4703" s="28" t="n">
        <x:v>365.78</x:v>
      </x:c>
      <x:c r="D4703" s="31" t="n">
        <x:f>IF(OR(ISBLANK(B4703),ISBLANK(C4703),B4703=0),"",(C4703-B4703)/B4703)</x:f>
        <x:v>-0.09460396039603967</x:v>
      </x:c>
      <x:c r="E4703" s="22" t="str">
        <x:f>IF(ISBLANK(C4703),"AmountIncludingTax缺失",IF(ABS(B4703-C4703)&lt;0.005,"一致","不一致"))</x:f>
        <x:v>不一致</x:v>
      </x:c>
      <x:c r="F4703" s="19" t="str">
        <x:v>approved</x:v>
      </x:c>
      <x:c r="G4703" s="19" t="str">
        <x:v>Repairer Invoiced Processed</x:v>
      </x:c>
      <x:c r="H4703" s="19" t="str">
        <x:v>In Field</x:v>
      </x:c>
      <x:c r="I4703" s="37" t="n">
        <x:v>46100</x:v>
      </x:c>
      <x:c r="J4703" s="37" t="n">
        <x:v>46100</x:v>
      </x:c>
      <x:c r="K4703" s="19" t="str">
        <x:v>Vanari Caravans - Marden Point</x:v>
      </x:c>
      <x:c r="L4703" s="19" t="str">
        <x:v>Z006</x:v>
      </x:c>
      <x:c r="M4703" s="19" t="str">
        <x:v>In Field Warranty Claims</x:v>
      </x:c>
      <x:c r="N4703" s="37" t="n">
        <x:v>46001</x:v>
      </x:c>
      <x:c r="O4703" s="37"/>
      <x:c r="P4703" s="34" t="n">
        <x:v>365.78</x:v>
      </x:c>
      <x:c r="Q4703" s="37" t="n">
        <x:v>46099.9122337963</x:v>
      </x:c>
    </x:row>
    <x:row r="4704">
      <x:c r="A4704" s="22" t="n">
        <x:v>28943</x:v>
      </x:c>
      <x:c r="B4704" s="28" t="n">
        <x:v>220</x:v>
      </x:c>
      <x:c r="C4704" s="28"/>
      <x:c r="D4704" s="31" t="str">
        <x:f>IF(OR(ISBLANK(B4704),ISBLANK(C4704),B4704=0),"",(C4704-B4704)/B4704)</x:f>
      </x:c>
      <x:c r="E4704" s="22" t="str">
        <x:f>IF(ISBLANK(C4704),"AmountIncludingTax缺失",IF(ABS(B4704-C4704)&lt;0.005,"一致","不一致"))</x:f>
        <x:v>AmountIncludingTax缺失</x:v>
      </x:c>
      <x:c r="F4704" s="19" t="str">
        <x:v>approved</x:v>
      </x:c>
      <x:c r="G4704" s="19" t="str">
        <x:v>Repair in Progress</x:v>
      </x:c>
      <x:c r="H4704" s="19" t="str">
        <x:v>In Field</x:v>
      </x:c>
      <x:c r="I4704" s="37" t="n">
        <x:v>46076</x:v>
      </x:c>
      <x:c r="J4704" s="37" t="n">
        <x:v>46076</x:v>
      </x:c>
      <x:c r="K4704" s="19" t="str">
        <x:v>Regent RV - Frankston</x:v>
      </x:c>
      <x:c r="L4704" s="19" t="str">
        <x:v>Z006</x:v>
      </x:c>
      <x:c r="M4704" s="19" t="str">
        <x:v>In Field Warranty Claims</x:v>
      </x:c>
      <x:c r="N4704" s="37" t="n">
        <x:v>46001</x:v>
      </x:c>
      <x:c r="O4704" s="37"/>
      <x:c r="P4704" s="34" t="n">
        <x:v>0</x:v>
      </x:c>
      <x:c r="Q4704" s="37" t="n">
        <x:v>46076.19158564815</x:v>
      </x:c>
    </x:row>
    <x:row r="4705">
      <x:c r="A4705" s="22" t="n">
        <x:v>28940</x:v>
      </x:c>
      <x:c r="B4705" s="28" t="n">
        <x:v>65.92</x:v>
      </x:c>
      <x:c r="C4705" s="28"/>
      <x:c r="D4705" s="31" t="str">
        <x:f>IF(OR(ISBLANK(B4705),ISBLANK(C4705),B4705=0),"",(C4705-B4705)/B4705)</x:f>
      </x:c>
      <x:c r="E4705" s="22" t="str">
        <x:f>IF(ISBLANK(C4705),"AmountIncludingTax缺失",IF(ABS(B4705-C4705)&lt;0.005,"一致","不一致"))</x:f>
        <x:v>AmountIncludingTax缺失</x:v>
      </x:c>
      <x:c r="F4705" s="19" t="str">
        <x:v>approved</x:v>
      </x:c>
      <x:c r="G4705" s="19" t="str">
        <x:v>Repairer Invoiced Processed</x:v>
      </x:c>
      <x:c r="H4705" s="19" t="str">
        <x:v>Pre Delivery</x:v>
      </x:c>
      <x:c r="I4705" s="37" t="n">
        <x:v>46072</x:v>
      </x:c>
      <x:c r="J4705" s="37" t="n">
        <x:v>46072</x:v>
      </x:c>
      <x:c r="K4705" s="19" t="str">
        <x:v>Regent RV Pty Ltd</x:v>
      </x:c>
      <x:c r="L4705" s="19" t="str">
        <x:v>Z005</x:v>
      </x:c>
      <x:c r="M4705" s="19" t="str">
        <x:v>Pre Delivery Warranty Claims</x:v>
      </x:c>
      <x:c r="N4705" s="37" t="n">
        <x:v>46001</x:v>
      </x:c>
      <x:c r="O4705" s="37"/>
      <x:c r="P4705" s="34" t="n">
        <x:v>0</x:v>
      </x:c>
      <x:c r="Q4705" s="37" t="n">
        <x:v>46071.9690625</x:v>
      </x:c>
    </x:row>
    <x:row r="4706">
      <x:c r="A4706" s="22" t="n">
        <x:v>28939</x:v>
      </x:c>
      <x:c r="B4706" s="28" t="n">
        <x:v>65.92</x:v>
      </x:c>
      <x:c r="C4706" s="28"/>
      <x:c r="D4706" s="31" t="str">
        <x:f>IF(OR(ISBLANK(B4706),ISBLANK(C4706),B4706=0),"",(C4706-B4706)/B4706)</x:f>
      </x:c>
      <x:c r="E4706" s="22" t="str">
        <x:f>IF(ISBLANK(C4706),"AmountIncludingTax缺失",IF(ABS(B4706-C4706)&lt;0.005,"一致","不一致"))</x:f>
        <x:v>AmountIncludingTax缺失</x:v>
      </x:c>
      <x:c r="F4706" s="19" t="str">
        <x:v>approved</x:v>
      </x:c>
      <x:c r="G4706" s="19" t="str">
        <x:v>Repairer Invoiced Processed</x:v>
      </x:c>
      <x:c r="H4706" s="19" t="str">
        <x:v>Pre Delivery</x:v>
      </x:c>
      <x:c r="I4706" s="37" t="n">
        <x:v>46072</x:v>
      </x:c>
      <x:c r="J4706" s="37" t="n">
        <x:v>46072</x:v>
      </x:c>
      <x:c r="K4706" s="19" t="str">
        <x:v>Regent RV Pty Ltd</x:v>
      </x:c>
      <x:c r="L4706" s="19" t="str">
        <x:v>Z005</x:v>
      </x:c>
      <x:c r="M4706" s="19" t="str">
        <x:v>Pre Delivery Warranty Claims</x:v>
      </x:c>
      <x:c r="N4706" s="37" t="n">
        <x:v>46001</x:v>
      </x:c>
      <x:c r="O4706" s="37"/>
      <x:c r="P4706" s="34" t="n">
        <x:v>0</x:v>
      </x:c>
      <x:c r="Q4706" s="37" t="n">
        <x:v>46071.965844907405</x:v>
      </x:c>
    </x:row>
    <x:row r="4707">
      <x:c r="A4707" s="22" t="n">
        <x:v>28935</x:v>
      </x:c>
      <x:c r="B4707" s="28" t="n">
        <x:v>178.75</x:v>
      </x:c>
      <x:c r="C4707" s="28"/>
      <x:c r="D4707" s="31" t="str">
        <x:f>IF(OR(ISBLANK(B4707),ISBLANK(C4707),B4707=0),"",(C4707-B4707)/B4707)</x:f>
      </x:c>
      <x:c r="E4707" s="22" t="str">
        <x:f>IF(ISBLANK(C4707),"AmountIncludingTax缺失",IF(ABS(B4707-C4707)&lt;0.005,"一致","不一致"))</x:f>
        <x:v>AmountIncludingTax缺失</x:v>
      </x:c>
      <x:c r="F4707" s="19" t="str">
        <x:v>approved</x:v>
      </x:c>
      <x:c r="G4707" s="19" t="str">
        <x:v>Repairer Invoiced Processed</x:v>
      </x:c>
      <x:c r="H4707" s="19" t="str">
        <x:v>Pre Delivery</x:v>
      </x:c>
      <x:c r="I4707" s="37" t="n">
        <x:v>46205</x:v>
      </x:c>
      <x:c r="J4707" s="37" t="n">
        <x:v>46143</x:v>
      </x:c>
      <x:c r="K4707" s="19" t="str">
        <x:v>Regent RV Pty Ltd</x:v>
      </x:c>
      <x:c r="L4707" s="19" t="str">
        <x:v>Z005</x:v>
      </x:c>
      <x:c r="M4707" s="19" t="str">
        <x:v>Pre Delivery Warranty Claims</x:v>
      </x:c>
      <x:c r="N4707" s="37" t="n">
        <x:v>46001</x:v>
      </x:c>
      <x:c r="O4707" s="37"/>
      <x:c r="P4707" s="34" t="n">
        <x:v>0</x:v>
      </x:c>
      <x:c r="Q4707" s="37" t="n">
        <x:v>46205.278958333336</x:v>
      </x:c>
    </x:row>
    <x:row r="4708">
      <x:c r="A4708" s="22" t="n">
        <x:v>28927</x:v>
      </x:c>
      <x:c r="B4708" s="28" t="n">
        <x:v>735.02</x:v>
      </x:c>
      <x:c r="C4708" s="28"/>
      <x:c r="D4708" s="31" t="str">
        <x:f>IF(OR(ISBLANK(B4708),ISBLANK(C4708),B4708=0),"",(C4708-B4708)/B4708)</x:f>
      </x:c>
      <x:c r="E4708" s="22" t="str">
        <x:f>IF(ISBLANK(C4708),"AmountIncludingTax缺失",IF(ABS(B4708-C4708)&lt;0.005,"一致","不一致"))</x:f>
        <x:v>AmountIncludingTax缺失</x:v>
      </x:c>
      <x:c r="F4708" s="19" t="str">
        <x:v>approved</x:v>
      </x:c>
      <x:c r="G4708" s="19" t="str">
        <x:v>Repairer Invoiced Processed</x:v>
      </x:c>
      <x:c r="H4708" s="19" t="str">
        <x:v>In Field</x:v>
      </x:c>
      <x:c r="I4708" s="37" t="n">
        <x:v>46024</x:v>
      </x:c>
      <x:c r="J4708" s="37" t="n">
        <x:v>46024</x:v>
      </x:c>
      <x:c r="K4708" s="19" t="str">
        <x:v>Regent RV - Toowoomba</x:v>
      </x:c>
      <x:c r="L4708" s="19" t="str">
        <x:v>Z006</x:v>
      </x:c>
      <x:c r="M4708" s="19" t="str">
        <x:v>In Field Warranty Claims</x:v>
      </x:c>
      <x:c r="N4708" s="37" t="n">
        <x:v>46001</x:v>
      </x:c>
      <x:c r="O4708" s="37"/>
      <x:c r="P4708" s="34" t="n">
        <x:v>0</x:v>
      </x:c>
      <x:c r="Q4708" s="37" t="n">
        <x:v>46023.976875</x:v>
      </x:c>
    </x:row>
    <x:row r="4709">
      <x:c r="A4709" s="22" t="n">
        <x:v>28926</x:v>
      </x:c>
      <x:c r="B4709" s="28" t="n">
        <x:v>495</x:v>
      </x:c>
      <x:c r="C4709" s="28"/>
      <x:c r="D4709" s="31" t="str">
        <x:f>IF(OR(ISBLANK(B4709),ISBLANK(C4709),B4709=0),"",(C4709-B4709)/B4709)</x:f>
      </x:c>
      <x:c r="E4709" s="22" t="str">
        <x:f>IF(ISBLANK(C4709),"AmountIncludingTax缺失",IF(ABS(B4709-C4709)&lt;0.005,"一致","不一致"))</x:f>
        <x:v>AmountIncludingTax缺失</x:v>
      </x:c>
      <x:c r="F4709" s="19" t="str">
        <x:v>approved</x:v>
      </x:c>
      <x:c r="G4709" s="19" t="str">
        <x:v>Repair in Progress</x:v>
      </x:c>
      <x:c r="H4709" s="19" t="str">
        <x:v>In Field</x:v>
      </x:c>
      <x:c r="I4709" s="37" t="n">
        <x:v>46024</x:v>
      </x:c>
      <x:c r="J4709" s="37" t="n">
        <x:v>46024</x:v>
      </x:c>
      <x:c r="K4709" s="19" t="str">
        <x:v>Regent RV - Perth</x:v>
      </x:c>
      <x:c r="L4709" s="19" t="str">
        <x:v>Z006</x:v>
      </x:c>
      <x:c r="M4709" s="19" t="str">
        <x:v>In Field Warranty Claims</x:v>
      </x:c>
      <x:c r="N4709" s="37" t="n">
        <x:v>46001</x:v>
      </x:c>
      <x:c r="O4709" s="37"/>
      <x:c r="P4709" s="34" t="n">
        <x:v>0</x:v>
      </x:c>
      <x:c r="Q4709" s="37" t="n">
        <x:v>46023.98537037037</x:v>
      </x:c>
    </x:row>
    <x:row r="4710">
      <x:c r="A4710" s="22" t="n">
        <x:v>28925</x:v>
      </x:c>
      <x:c r="B4710" s="28" t="n">
        <x:v>101.14</x:v>
      </x:c>
      <x:c r="C4710" s="28"/>
      <x:c r="D4710" s="31" t="str">
        <x:f>IF(OR(ISBLANK(B4710),ISBLANK(C4710),B4710=0),"",(C4710-B4710)/B4710)</x:f>
      </x:c>
      <x:c r="E4710" s="22" t="str">
        <x:f>IF(ISBLANK(C4710),"AmountIncludingTax缺失",IF(ABS(B4710-C4710)&lt;0.005,"一致","不一致"))</x:f>
        <x:v>AmountIncludingTax缺失</x:v>
      </x:c>
      <x:c r="F4710" s="19" t="str">
        <x:v>approved</x:v>
      </x:c>
      <x:c r="G4710" s="19" t="str">
        <x:v>Repair in Progress</x:v>
      </x:c>
      <x:c r="H4710" s="19" t="str">
        <x:v>Pre Delivery</x:v>
      </x:c>
      <x:c r="I4710" s="37" t="n">
        <x:v>46097</x:v>
      </x:c>
      <x:c r="J4710" s="37" t="n">
        <x:v>46097</x:v>
      </x:c>
      <x:c r="K4710" s="19" t="str">
        <x:v>Regent RV Pty Ltd</x:v>
      </x:c>
      <x:c r="L4710" s="19" t="str">
        <x:v>Z005</x:v>
      </x:c>
      <x:c r="M4710" s="19" t="str">
        <x:v>Pre Delivery Warranty Claims</x:v>
      </x:c>
      <x:c r="N4710" s="37" t="n">
        <x:v>46001</x:v>
      </x:c>
      <x:c r="O4710" s="37"/>
      <x:c r="P4710" s="34" t="n">
        <x:v>0</x:v>
      </x:c>
      <x:c r="Q4710" s="37" t="n">
        <x:v>46097.23391203704</x:v>
      </x:c>
    </x:row>
    <x:row r="4711">
      <x:c r="A4711" s="22" t="n">
        <x:v>28924</x:v>
      </x:c>
      <x:c r="B4711" s="28" t="n">
        <x:v>1227.24</x:v>
      </x:c>
      <x:c r="C4711" s="28"/>
      <x:c r="D4711" s="31" t="str">
        <x:f>IF(OR(ISBLANK(B4711),ISBLANK(C4711),B4711=0),"",(C4711-B4711)/B4711)</x:f>
      </x:c>
      <x:c r="E4711" s="22" t="str">
        <x:f>IF(ISBLANK(C4711),"AmountIncludingTax缺失",IF(ABS(B4711-C4711)&lt;0.005,"一致","不一致"))</x:f>
        <x:v>AmountIncludingTax缺失</x:v>
      </x:c>
      <x:c r="F4711" s="19" t="str">
        <x:v>approved</x:v>
      </x:c>
      <x:c r="G4711" s="19" t="str">
        <x:v>Repairer Invoiced Processed</x:v>
      </x:c>
      <x:c r="H4711" s="19" t="str">
        <x:v>Pre Delivery</x:v>
      </x:c>
      <x:c r="I4711" s="37" t="n">
        <x:v>46077</x:v>
      </x:c>
      <x:c r="J4711" s="37" t="n">
        <x:v>46077</x:v>
      </x:c>
      <x:c r="K4711" s="19" t="str">
        <x:v>NEWCASTLE CARAVANS &amp; RVS</x:v>
      </x:c>
      <x:c r="L4711" s="19" t="str">
        <x:v>Z005</x:v>
      </x:c>
      <x:c r="M4711" s="19" t="str">
        <x:v>Pre Delivery Warranty Claims</x:v>
      </x:c>
      <x:c r="N4711" s="37" t="n">
        <x:v>46001</x:v>
      </x:c>
      <x:c r="O4711" s="37"/>
      <x:c r="P4711" s="34" t="n">
        <x:v>1349.96</x:v>
      </x:c>
      <x:c r="Q4711" s="37" t="n">
        <x:v>46077.085486111115</x:v>
      </x:c>
    </x:row>
    <x:row r="4712">
      <x:c r="A4712" s="22" t="n">
        <x:v>28923</x:v>
      </x:c>
      <x:c r="B4712" s="28" t="n">
        <x:v>1046.25</x:v>
      </x:c>
      <x:c r="C4712" s="28"/>
      <x:c r="D4712" s="31" t="str">
        <x:f>IF(OR(ISBLANK(B4712),ISBLANK(C4712),B4712=0),"",(C4712-B4712)/B4712)</x:f>
      </x:c>
      <x:c r="E4712" s="22" t="str">
        <x:f>IF(ISBLANK(C4712),"AmountIncludingTax缺失",IF(ABS(B4712-C4712)&lt;0.005,"一致","不一致"))</x:f>
        <x:v>AmountIncludingTax缺失</x:v>
      </x:c>
      <x:c r="F4712" s="19" t="str">
        <x:v>approved</x:v>
      </x:c>
      <x:c r="G4712" s="19" t="str">
        <x:v>Repair in Progress</x:v>
      </x:c>
      <x:c r="H4712" s="19" t="str">
        <x:v>In Field</x:v>
      </x:c>
      <x:c r="I4712" s="37" t="n">
        <x:v>46094</x:v>
      </x:c>
      <x:c r="J4712" s="37" t="n">
        <x:v>46094</x:v>
      </x:c>
      <x:c r="K4712" s="19" t="str">
        <x:v>Newcastle RV Super Centre - Beresfield</x:v>
      </x:c>
      <x:c r="L4712" s="19" t="str">
        <x:v>Z006</x:v>
      </x:c>
      <x:c r="M4712" s="19" t="str">
        <x:v>In Field Warranty Claims</x:v>
      </x:c>
      <x:c r="N4712" s="37" t="n">
        <x:v>46001</x:v>
      </x:c>
      <x:c r="O4712" s="37"/>
      <x:c r="P4712" s="34" t="n">
        <x:v>0</x:v>
      </x:c>
      <x:c r="Q4712" s="37" t="n">
        <x:v>46094.27130787037</x:v>
      </x:c>
    </x:row>
    <x:row r="4713">
      <x:c r="A4713" s="22" t="n">
        <x:v>28919</x:v>
      </x:c>
      <x:c r="B4713" s="28" t="n">
        <x:v>82.5</x:v>
      </x:c>
      <x:c r="C4713" s="28" t="n">
        <x:v>90.75</x:v>
      </x:c>
      <x:c r="D4713" s="31" t="n">
        <x:f>IF(OR(ISBLANK(B4713),ISBLANK(C4713),B4713=0),"",(C4713-B4713)/B4713)</x:f>
        <x:v>0.1</x:v>
      </x:c>
      <x:c r="E4713" s="22" t="str">
        <x:f>IF(ISBLANK(C4713),"AmountIncludingTax缺失",IF(ABS(B4713-C4713)&lt;0.005,"一致","不一致"))</x:f>
        <x:v>不一致</x:v>
      </x:c>
      <x:c r="F4713" s="19" t="str">
        <x:v>approved</x:v>
      </x:c>
      <x:c r="G4713" s="19" t="str">
        <x:v>Repair in Progress</x:v>
      </x:c>
      <x:c r="H4713" s="19" t="str">
        <x:v>Pre Delivery</x:v>
      </x:c>
      <x:c r="I4713" s="37" t="n">
        <x:v>46119</x:v>
      </x:c>
      <x:c r="J4713" s="37" t="n">
        <x:v>46119</x:v>
      </x:c>
      <x:c r="K4713" s="19" t="str">
        <x:v>Regent RV - Perth</x:v>
      </x:c>
      <x:c r="L4713" s="19" t="str">
        <x:v>Z005</x:v>
      </x:c>
      <x:c r="M4713" s="19" t="str">
        <x:v>Pre Delivery Warranty Claims</x:v>
      </x:c>
      <x:c r="N4713" s="37" t="n">
        <x:v>46001</x:v>
      </x:c>
      <x:c r="O4713" s="37"/>
      <x:c r="P4713" s="34" t="n">
        <x:v>90.75</x:v>
      </x:c>
      <x:c r="Q4713" s="37" t="n">
        <x:v>46118.99320601852</x:v>
      </x:c>
    </x:row>
    <x:row r="4714">
      <x:c r="A4714" s="22" t="n">
        <x:v>28918</x:v>
      </x:c>
      <x:c r="B4714" s="28" t="n">
        <x:v>472.5</x:v>
      </x:c>
      <x:c r="C4714" s="28" t="n">
        <x:v>519.75</x:v>
      </x:c>
      <x:c r="D4714" s="31" t="n">
        <x:f>IF(OR(ISBLANK(B4714),ISBLANK(C4714),B4714=0),"",(C4714-B4714)/B4714)</x:f>
        <x:v>0.1</x:v>
      </x:c>
      <x:c r="E4714" s="22" t="str">
        <x:f>IF(ISBLANK(C4714),"AmountIncludingTax缺失",IF(ABS(B4714-C4714)&lt;0.005,"一致","不一致"))</x:f>
        <x:v>不一致</x:v>
      </x:c>
      <x:c r="F4714" s="19" t="str">
        <x:v>approved</x:v>
      </x:c>
      <x:c r="G4714" s="19" t="str">
        <x:v>Repair in Progress</x:v>
      </x:c>
      <x:c r="H4714" s="19" t="str">
        <x:v>In Field</x:v>
      </x:c>
      <x:c r="I4714" s="37" t="n">
        <x:v>46111</x:v>
      </x:c>
      <x:c r="J4714" s="37" t="n">
        <x:v>46111</x:v>
      </x:c>
      <x:c r="K4714" s="19" t="str">
        <x:v>Regent RV Pty Ltd</x:v>
      </x:c>
      <x:c r="L4714" s="19" t="str">
        <x:v>Z006</x:v>
      </x:c>
      <x:c r="M4714" s="19" t="str">
        <x:v>In Field Warranty Claims</x:v>
      </x:c>
      <x:c r="N4714" s="37" t="n">
        <x:v>46001</x:v>
      </x:c>
      <x:c r="O4714" s="37"/>
      <x:c r="P4714" s="34" t="n">
        <x:v>519.75</x:v>
      </x:c>
      <x:c r="Q4714" s="37" t="n">
        <x:v>46111.18225694444</x:v>
      </x:c>
    </x:row>
    <x:row r="4715">
      <x:c r="A4715" s="22" t="n">
        <x:v>28915</x:v>
      </x:c>
      <x:c r="B4715" s="28" t="n">
        <x:v>425</x:v>
      </x:c>
      <x:c r="C4715" s="28"/>
      <x:c r="D4715" s="31" t="str">
        <x:f>IF(OR(ISBLANK(B4715),ISBLANK(C4715),B4715=0),"",(C4715-B4715)/B4715)</x:f>
      </x:c>
      <x:c r="E4715" s="22" t="str">
        <x:f>IF(ISBLANK(C4715),"AmountIncludingTax缺失",IF(ABS(B4715-C4715)&lt;0.005,"一致","不一致"))</x:f>
        <x:v>AmountIncludingTax缺失</x:v>
      </x:c>
      <x:c r="F4715" s="19" t="str">
        <x:v>approved</x:v>
      </x:c>
      <x:c r="G4715" s="19" t="str">
        <x:v>Repair in Progress</x:v>
      </x:c>
      <x:c r="H4715" s="19" t="str">
        <x:v>In Field</x:v>
      </x:c>
      <x:c r="I4715" s="37" t="n">
        <x:v>46055</x:v>
      </x:c>
      <x:c r="J4715" s="37" t="n">
        <x:v>46055</x:v>
      </x:c>
      <x:c r="K4715" s="19" t="str">
        <x:v>Green RV - Forest Glen</x:v>
      </x:c>
      <x:c r="L4715" s="19" t="str">
        <x:v>Z006</x:v>
      </x:c>
      <x:c r="M4715" s="19" t="str">
        <x:v>In Field Warranty Claims</x:v>
      </x:c>
      <x:c r="N4715" s="37" t="n">
        <x:v>46001</x:v>
      </x:c>
      <x:c r="O4715" s="37"/>
      <x:c r="P4715" s="34" t="n">
        <x:v>0</x:v>
      </x:c>
      <x:c r="Q4715" s="37" t="n">
        <x:v>46054.96952546296</x:v>
      </x:c>
    </x:row>
    <x:row r="4716">
      <x:c r="A4716" s="22" t="n">
        <x:v>28913</x:v>
      </x:c>
      <x:c r="B4716" s="28" t="n">
        <x:v>217.5</x:v>
      </x:c>
      <x:c r="C4716" s="28"/>
      <x:c r="D4716" s="31" t="str">
        <x:f>IF(OR(ISBLANK(B4716),ISBLANK(C4716),B4716=0),"",(C4716-B4716)/B4716)</x:f>
      </x:c>
      <x:c r="E4716" s="22" t="str">
        <x:f>IF(ISBLANK(C4716),"AmountIncludingTax缺失",IF(ABS(B4716-C4716)&lt;0.005,"一致","不一致"))</x:f>
        <x:v>AmountIncludingTax缺失</x:v>
      </x:c>
      <x:c r="F4716" s="19" t="str">
        <x:v>approved</x:v>
      </x:c>
      <x:c r="G4716" s="19" t="str">
        <x:v>Repairer Invoiced Processed</x:v>
      </x:c>
      <x:c r="H4716" s="19" t="str">
        <x:v>In Field</x:v>
      </x:c>
      <x:c r="I4716" s="37" t="n">
        <x:v>46055</x:v>
      </x:c>
      <x:c r="J4716" s="37" t="n">
        <x:v>46055</x:v>
      </x:c>
      <x:c r="K4716" s="19" t="str">
        <x:v>Green RV - Forest Glen</x:v>
      </x:c>
      <x:c r="L4716" s="19" t="str">
        <x:v>Z006</x:v>
      </x:c>
      <x:c r="M4716" s="19" t="str">
        <x:v>In Field Warranty Claims</x:v>
      </x:c>
      <x:c r="N4716" s="37" t="n">
        <x:v>46001</x:v>
      </x:c>
      <x:c r="O4716" s="37"/>
      <x:c r="P4716" s="34" t="n">
        <x:v>0</x:v>
      </x:c>
      <x:c r="Q4716" s="37" t="n">
        <x:v>46054.961643518516</x:v>
      </x:c>
    </x:row>
    <x:row r="4717">
      <x:c r="A4717" s="22" t="n">
        <x:v>28912</x:v>
      </x:c>
      <x:c r="B4717" s="28" t="n">
        <x:v>303.75</x:v>
      </x:c>
      <x:c r="C4717" s="28"/>
      <x:c r="D4717" s="31" t="str">
        <x:f>IF(OR(ISBLANK(B4717),ISBLANK(C4717),B4717=0),"",(C4717-B4717)/B4717)</x:f>
      </x:c>
      <x:c r="E4717" s="22" t="str">
        <x:f>IF(ISBLANK(C4717),"AmountIncludingTax缺失",IF(ABS(B4717-C4717)&lt;0.005,"一致","不一致"))</x:f>
        <x:v>AmountIncludingTax缺失</x:v>
      </x:c>
      <x:c r="F4717" s="19" t="str">
        <x:v>approved</x:v>
      </x:c>
      <x:c r="G4717" s="19" t="str">
        <x:v>Repairer Invoiced Processed</x:v>
      </x:c>
      <x:c r="H4717" s="19" t="str">
        <x:v>In Field</x:v>
      </x:c>
      <x:c r="I4717" s="37" t="n">
        <x:v>46101</x:v>
      </x:c>
      <x:c r="J4717" s="37" t="n">
        <x:v>46101</x:v>
      </x:c>
      <x:c r="K4717" s="19" t="str">
        <x:v>Regent RV - Toowoomba</x:v>
      </x:c>
      <x:c r="L4717" s="19" t="str">
        <x:v>Z006</x:v>
      </x:c>
      <x:c r="M4717" s="19" t="str">
        <x:v>In Field Warranty Claims</x:v>
      </x:c>
      <x:c r="N4717" s="37" t="n">
        <x:v>46000</x:v>
      </x:c>
      <x:c r="O4717" s="37"/>
      <x:c r="P4717" s="34" t="n">
        <x:v>0</x:v>
      </x:c>
      <x:c r="Q4717" s="37" t="n">
        <x:v>46100.94880787037</x:v>
      </x:c>
    </x:row>
    <x:row r="4718">
      <x:c r="A4718" s="22" t="n">
        <x:v>28904</x:v>
      </x:c>
      <x:c r="B4718" s="28" t="n">
        <x:v>357.5</x:v>
      </x:c>
      <x:c r="C4718" s="28"/>
      <x:c r="D4718" s="31" t="str">
        <x:f>IF(OR(ISBLANK(B4718),ISBLANK(C4718),B4718=0),"",(C4718-B4718)/B4718)</x:f>
      </x:c>
      <x:c r="E4718" s="22" t="str">
        <x:f>IF(ISBLANK(C4718),"AmountIncludingTax缺失",IF(ABS(B4718-C4718)&lt;0.005,"一致","不一致"))</x:f>
        <x:v>AmountIncludingTax缺失</x:v>
      </x:c>
      <x:c r="F4718" s="19" t="str">
        <x:v>approved</x:v>
      </x:c>
      <x:c r="G4718" s="19" t="str">
        <x:v>Repairer Invoiced Processed</x:v>
      </x:c>
      <x:c r="H4718" s="19" t="str">
        <x:v>In Field</x:v>
      </x:c>
      <x:c r="I4718" s="37" t="n">
        <x:v>46058</x:v>
      </x:c>
      <x:c r="J4718" s="37" t="n">
        <x:v>46058</x:v>
      </x:c>
      <x:c r="K4718" s="19" t="str">
        <x:v>Green RV - Forest Glen</x:v>
      </x:c>
      <x:c r="L4718" s="19" t="str">
        <x:v>Z006</x:v>
      </x:c>
      <x:c r="M4718" s="19" t="str">
        <x:v>In Field Warranty Claims</x:v>
      </x:c>
      <x:c r="N4718" s="37" t="n">
        <x:v>46000</x:v>
      </x:c>
      <x:c r="O4718" s="37"/>
      <x:c r="P4718" s="34" t="n">
        <x:v>0</x:v>
      </x:c>
      <x:c r="Q4718" s="37" t="n">
        <x:v>46057.86858796296</x:v>
      </x:c>
    </x:row>
    <x:row r="4719">
      <x:c r="A4719" s="22" t="n">
        <x:v>28903</x:v>
      </x:c>
      <x:c r="B4719" s="28" t="n">
        <x:v>140</x:v>
      </x:c>
      <x:c r="C4719" s="28"/>
      <x:c r="D4719" s="31" t="str">
        <x:f>IF(OR(ISBLANK(B4719),ISBLANK(C4719),B4719=0),"",(C4719-B4719)/B4719)</x:f>
      </x:c>
      <x:c r="E4719" s="22" t="str">
        <x:f>IF(ISBLANK(C4719),"AmountIncludingTax缺失",IF(ABS(B4719-C4719)&lt;0.005,"一致","不一致"))</x:f>
        <x:v>AmountIncludingTax缺失</x:v>
      </x:c>
      <x:c r="F4719" s="19" t="str">
        <x:v>approved</x:v>
      </x:c>
      <x:c r="G4719" s="19" t="str">
        <x:v>Repair in Progress</x:v>
      </x:c>
      <x:c r="H4719" s="19" t="str">
        <x:v>In Field</x:v>
      </x:c>
      <x:c r="I4719" s="37" t="n">
        <x:v>46055</x:v>
      </x:c>
      <x:c r="J4719" s="37" t="n">
        <x:v>46055</x:v>
      </x:c>
      <x:c r="K4719" s="19" t="str">
        <x:v>Green RV - Forest Glen</x:v>
      </x:c>
      <x:c r="L4719" s="19" t="str">
        <x:v>Z006</x:v>
      </x:c>
      <x:c r="M4719" s="19" t="str">
        <x:v>In Field Warranty Claims</x:v>
      </x:c>
      <x:c r="N4719" s="37" t="n">
        <x:v>46000</x:v>
      </x:c>
      <x:c r="O4719" s="37"/>
      <x:c r="P4719" s="34" t="n">
        <x:v>0</x:v>
      </x:c>
      <x:c r="Q4719" s="37" t="n">
        <x:v>46054.93016203704</x:v>
      </x:c>
    </x:row>
    <x:row r="4720">
      <x:c r="A4720" s="22" t="n">
        <x:v>28902</x:v>
      </x:c>
      <x:c r="B4720" s="28" t="n">
        <x:v>220</x:v>
      </x:c>
      <x:c r="C4720" s="28"/>
      <x:c r="D4720" s="31" t="str">
        <x:f>IF(OR(ISBLANK(B4720),ISBLANK(C4720),B4720=0),"",(C4720-B4720)/B4720)</x:f>
      </x:c>
      <x:c r="E4720" s="22" t="str">
        <x:f>IF(ISBLANK(C4720),"AmountIncludingTax缺失",IF(ABS(B4720-C4720)&lt;0.005,"一致","不一致"))</x:f>
        <x:v>AmountIncludingTax缺失</x:v>
      </x:c>
      <x:c r="F4720" s="19" t="str">
        <x:v>approved</x:v>
      </x:c>
      <x:c r="G4720" s="19" t="str">
        <x:v>Repair in Progress</x:v>
      </x:c>
      <x:c r="H4720" s="19" t="str">
        <x:v>Pre Delivery</x:v>
      </x:c>
      <x:c r="I4720" s="37" t="n">
        <x:v>46051</x:v>
      </x:c>
      <x:c r="J4720" s="37" t="n">
        <x:v>46051</x:v>
      </x:c>
      <x:c r="K4720" s="19" t="str">
        <x:v>Regent RV - Frankston</x:v>
      </x:c>
      <x:c r="L4720" s="19" t="str">
        <x:v>Z005</x:v>
      </x:c>
      <x:c r="M4720" s="19" t="str">
        <x:v>Pre Delivery Warranty Claims</x:v>
      </x:c>
      <x:c r="N4720" s="37" t="n">
        <x:v>46000</x:v>
      </x:c>
      <x:c r="O4720" s="37"/>
      <x:c r="P4720" s="34" t="n">
        <x:v>0</x:v>
      </x:c>
      <x:c r="Q4720" s="37" t="n">
        <x:v>46051.17097222222</x:v>
      </x:c>
    </x:row>
    <x:row r="4721">
      <x:c r="A4721" s="22" t="n">
        <x:v>28901</x:v>
      </x:c>
      <x:c r="B4721" s="28" t="n">
        <x:v>281.82</x:v>
      </x:c>
      <x:c r="C4721" s="28"/>
      <x:c r="D4721" s="31" t="str">
        <x:f>IF(OR(ISBLANK(B4721),ISBLANK(C4721),B4721=0),"",(C4721-B4721)/B4721)</x:f>
      </x:c>
      <x:c r="E4721" s="22" t="str">
        <x:f>IF(ISBLANK(C4721),"AmountIncludingTax缺失",IF(ABS(B4721-C4721)&lt;0.005,"一致","不一致"))</x:f>
        <x:v>AmountIncludingTax缺失</x:v>
      </x:c>
      <x:c r="F4721" s="19" t="str">
        <x:v>approved</x:v>
      </x:c>
      <x:c r="G4721" s="19" t="str">
        <x:v>Repairer Invoiced Processed</x:v>
      </x:c>
      <x:c r="H4721" s="19" t="str">
        <x:v>In Field</x:v>
      </x:c>
      <x:c r="I4721" s="37" t="n">
        <x:v>46055</x:v>
      </x:c>
      <x:c r="J4721" s="37" t="n">
        <x:v>46055</x:v>
      </x:c>
      <x:c r="K4721" s="19" t="str">
        <x:v>Green RV - Forest Glen</x:v>
      </x:c>
      <x:c r="L4721" s="19" t="str">
        <x:v>Z006</x:v>
      </x:c>
      <x:c r="M4721" s="19" t="str">
        <x:v>In Field Warranty Claims</x:v>
      </x:c>
      <x:c r="N4721" s="37" t="n">
        <x:v>46000</x:v>
      </x:c>
      <x:c r="O4721" s="37"/>
      <x:c r="P4721" s="34" t="n">
        <x:v>0</x:v>
      </x:c>
      <x:c r="Q4721" s="37" t="n">
        <x:v>46054.92234953704</x:v>
      </x:c>
    </x:row>
    <x:row r="4722">
      <x:c r="A4722" s="22" t="n">
        <x:v>28900</x:v>
      </x:c>
      <x:c r="B4722" s="28" t="n">
        <x:v>467</x:v>
      </x:c>
      <x:c r="C4722" s="28" t="n">
        <x:v>422.82</x:v>
      </x:c>
      <x:c r="D4722" s="31" t="n">
        <x:f>IF(OR(ISBLANK(B4722),ISBLANK(C4722),B4722=0),"",(C4722-B4722)/B4722)</x:f>
        <x:v>-0.09460385438972164</x:v>
      </x:c>
      <x:c r="E4722" s="22" t="str">
        <x:f>IF(ISBLANK(C4722),"AmountIncludingTax缺失",IF(ABS(B4722-C4722)&lt;0.005,"一致","不一致"))</x:f>
        <x:v>不一致</x:v>
      </x:c>
      <x:c r="F4722" s="19" t="str">
        <x:v>approved</x:v>
      </x:c>
      <x:c r="G4722" s="19" t="str">
        <x:v>Repairer Invoiced Processed</x:v>
      </x:c>
      <x:c r="H4722" s="19" t="str">
        <x:v>In Field</x:v>
      </x:c>
      <x:c r="I4722" s="37" t="n">
        <x:v>46065</x:v>
      </x:c>
      <x:c r="J4722" s="37" t="n">
        <x:v>46065</x:v>
      </x:c>
      <x:c r="K4722" s="19" t="str">
        <x:v>Vanari Caravans - Christchurch</x:v>
      </x:c>
      <x:c r="L4722" s="19" t="str">
        <x:v>Z006</x:v>
      </x:c>
      <x:c r="M4722" s="19" t="str">
        <x:v>In Field Warranty Claims</x:v>
      </x:c>
      <x:c r="N4722" s="37" t="n">
        <x:v>46000</x:v>
      </x:c>
      <x:c r="O4722" s="37"/>
      <x:c r="P4722" s="34" t="n">
        <x:v>422.82</x:v>
      </x:c>
      <x:c r="Q4722" s="37" t="n">
        <x:v>46065.2241087963</x:v>
      </x:c>
    </x:row>
    <x:row r="4723">
      <x:c r="A4723" s="22" t="n">
        <x:v>28899</x:v>
      </x:c>
      <x:c r="B4723" s="28" t="n">
        <x:v>270</x:v>
      </x:c>
      <x:c r="C4723" s="28"/>
      <x:c r="D4723" s="31" t="str">
        <x:f>IF(OR(ISBLANK(B4723),ISBLANK(C4723),B4723=0),"",(C4723-B4723)/B4723)</x:f>
      </x:c>
      <x:c r="E4723" s="22" t="str">
        <x:f>IF(ISBLANK(C4723),"AmountIncludingTax缺失",IF(ABS(B4723-C4723)&lt;0.005,"一致","不一致"))</x:f>
        <x:v>AmountIncludingTax缺失</x:v>
      </x:c>
      <x:c r="F4723" s="19" t="str">
        <x:v>approved</x:v>
      </x:c>
      <x:c r="G4723" s="19" t="str">
        <x:v>Repair in Progress</x:v>
      </x:c>
      <x:c r="H4723" s="19" t="str">
        <x:v>In Field</x:v>
      </x:c>
      <x:c r="I4723" s="37" t="n">
        <x:v>46121</x:v>
      </x:c>
      <x:c r="J4723" s="37" t="n">
        <x:v>46121</x:v>
      </x:c>
      <x:c r="K4723" s="19" t="str">
        <x:v>Regent RV - Perth</x:v>
      </x:c>
      <x:c r="L4723" s="19" t="str">
        <x:v>Z006</x:v>
      </x:c>
      <x:c r="M4723" s="19" t="str">
        <x:v>In Field Warranty Claims</x:v>
      </x:c>
      <x:c r="N4723" s="37" t="n">
        <x:v>46000</x:v>
      </x:c>
      <x:c r="O4723" s="37" t="n">
        <x:v>46083</x:v>
      </x:c>
      <x:c r="P4723" s="34" t="n">
        <x:v>0</x:v>
      </x:c>
      <x:c r="Q4723" s="37" t="n">
        <x:v>46120.956145833334</x:v>
      </x:c>
    </x:row>
    <x:row r="4724">
      <x:c r="A4724" s="22" t="n">
        <x:v>28897</x:v>
      </x:c>
      <x:c r="B4724" s="28" t="n">
        <x:v>131.82</x:v>
      </x:c>
      <x:c r="C4724" s="28"/>
      <x:c r="D4724" s="31" t="str">
        <x:f>IF(OR(ISBLANK(B4724),ISBLANK(C4724),B4724=0),"",(C4724-B4724)/B4724)</x:f>
      </x:c>
      <x:c r="E4724" s="22" t="str">
        <x:f>IF(ISBLANK(C4724),"AmountIncludingTax缺失",IF(ABS(B4724-C4724)&lt;0.005,"一致","不一致"))</x:f>
        <x:v>AmountIncludingTax缺失</x:v>
      </x:c>
      <x:c r="F4724" s="19" t="str">
        <x:v>approved</x:v>
      </x:c>
      <x:c r="G4724" s="19" t="str">
        <x:v>Repairer Invoiced Received</x:v>
      </x:c>
      <x:c r="H4724" s="19" t="str">
        <x:v>Pre Delivery</x:v>
      </x:c>
      <x:c r="I4724" s="37" t="n">
        <x:v>46045</x:v>
      </x:c>
      <x:c r="J4724" s="37" t="n">
        <x:v>46044</x:v>
      </x:c>
      <x:c r="K4724" s="19" t="str">
        <x:v>Newcastle RV Super Centre - Beresfield</x:v>
      </x:c>
      <x:c r="L4724" s="19" t="str">
        <x:v>Z005</x:v>
      </x:c>
      <x:c r="M4724" s="19" t="str">
        <x:v>Pre Delivery Warranty Claims</x:v>
      </x:c>
      <x:c r="N4724" s="37" t="n">
        <x:v>46000</x:v>
      </x:c>
      <x:c r="O4724" s="37"/>
      <x:c r="P4724" s="34" t="n">
        <x:v>0</x:v>
      </x:c>
      <x:c r="Q4724" s="37" t="n">
        <x:v>46044.571226851855</x:v>
      </x:c>
    </x:row>
    <x:row r="4725">
      <x:c r="A4725" s="22" t="n">
        <x:v>28895</x:v>
      </x:c>
      <x:c r="B4725" s="28" t="n">
        <x:v>100</x:v>
      </x:c>
      <x:c r="C4725" s="28"/>
      <x:c r="D4725" s="31" t="str">
        <x:f>IF(OR(ISBLANK(B4725),ISBLANK(C4725),B4725=0),"",(C4725-B4725)/B4725)</x:f>
      </x:c>
      <x:c r="E4725" s="22" t="str">
        <x:f>IF(ISBLANK(C4725),"AmountIncludingTax缺失",IF(ABS(B4725-C4725)&lt;0.005,"一致","不一致"))</x:f>
        <x:v>AmountIncludingTax缺失</x:v>
      </x:c>
      <x:c r="F4725" s="19" t="str">
        <x:v>approved</x:v>
      </x:c>
      <x:c r="G4725" s="19" t="str">
        <x:v>Repair in Progress</x:v>
      </x:c>
      <x:c r="H4725" s="19" t="str">
        <x:v>In Field</x:v>
      </x:c>
      <x:c r="I4725" s="37" t="n">
        <x:v>46104</x:v>
      </x:c>
      <x:c r="J4725" s="37" t="n">
        <x:v>46104</x:v>
      </x:c>
      <x:c r="K4725" s="19" t="str">
        <x:v>Regent RV - Perth</x:v>
      </x:c>
      <x:c r="L4725" s="19" t="str">
        <x:v>Z006</x:v>
      </x:c>
      <x:c r="M4725" s="19" t="str">
        <x:v>In Field Warranty Claims</x:v>
      </x:c>
      <x:c r="N4725" s="37" t="n">
        <x:v>46000</x:v>
      </x:c>
      <x:c r="O4725" s="37"/>
      <x:c r="P4725" s="34" t="n">
        <x:v>0</x:v>
      </x:c>
      <x:c r="Q4725" s="37" t="n">
        <x:v>46104.18457175926</x:v>
      </x:c>
    </x:row>
    <x:row r="4726">
      <x:c r="A4726" s="22" t="n">
        <x:v>28894</x:v>
      </x:c>
      <x:c r="B4726" s="28" t="n">
        <x:v>256.25</x:v>
      </x:c>
      <x:c r="C4726" s="28"/>
      <x:c r="D4726" s="31" t="str">
        <x:f>IF(OR(ISBLANK(B4726),ISBLANK(C4726),B4726=0),"",(C4726-B4726)/B4726)</x:f>
      </x:c>
      <x:c r="E4726" s="22" t="str">
        <x:f>IF(ISBLANK(C4726),"AmountIncludingTax缺失",IF(ABS(B4726-C4726)&lt;0.005,"一致","不一致"))</x:f>
        <x:v>AmountIncludingTax缺失</x:v>
      </x:c>
      <x:c r="F4726" s="19" t="str">
        <x:v>approved</x:v>
      </x:c>
      <x:c r="G4726" s="19" t="str">
        <x:v>Repair in Progress</x:v>
      </x:c>
      <x:c r="H4726" s="19" t="str">
        <x:v>In Field</x:v>
      </x:c>
      <x:c r="I4726" s="37" t="n">
        <x:v>46076</x:v>
      </x:c>
      <x:c r="J4726" s="37" t="n">
        <x:v>46076</x:v>
      </x:c>
      <x:c r="K4726" s="19" t="str">
        <x:v>Newcastle RV Super Centre - Beresfield</x:v>
      </x:c>
      <x:c r="L4726" s="19" t="str">
        <x:v>Z006</x:v>
      </x:c>
      <x:c r="M4726" s="19" t="str">
        <x:v>In Field Warranty Claims</x:v>
      </x:c>
      <x:c r="N4726" s="37" t="n">
        <x:v>46000</x:v>
      </x:c>
      <x:c r="O4726" s="37"/>
      <x:c r="P4726" s="34" t="n">
        <x:v>0</x:v>
      </x:c>
      <x:c r="Q4726" s="37" t="n">
        <x:v>46076.04655092592</x:v>
      </x:c>
    </x:row>
    <x:row r="4727">
      <x:c r="A4727" s="22" t="n">
        <x:v>28893</x:v>
      </x:c>
      <x:c r="B4727" s="28" t="n">
        <x:v>290</x:v>
      </x:c>
      <x:c r="C4727" s="28"/>
      <x:c r="D4727" s="31" t="str">
        <x:f>IF(OR(ISBLANK(B4727),ISBLANK(C4727),B4727=0),"",(C4727-B4727)/B4727)</x:f>
      </x:c>
      <x:c r="E4727" s="22" t="str">
        <x:f>IF(ISBLANK(C4727),"AmountIncludingTax缺失",IF(ABS(B4727-C4727)&lt;0.005,"一致","不一致"))</x:f>
        <x:v>AmountIncludingTax缺失</x:v>
      </x:c>
      <x:c r="F4727" s="19" t="str">
        <x:v>approved</x:v>
      </x:c>
      <x:c r="G4727" s="19" t="str">
        <x:v>Repairer Invoiced Processed</x:v>
      </x:c>
      <x:c r="H4727" s="19" t="str">
        <x:v>In Field</x:v>
      </x:c>
      <x:c r="I4727" s="37" t="n">
        <x:v>46057</x:v>
      </x:c>
      <x:c r="J4727" s="37" t="n">
        <x:v>46057</x:v>
      </x:c>
      <x:c r="K4727" s="19" t="str">
        <x:v>Green RV - Forest Glen</x:v>
      </x:c>
      <x:c r="L4727" s="19" t="str">
        <x:v>Z006</x:v>
      </x:c>
      <x:c r="M4727" s="19" t="str">
        <x:v>In Field Warranty Claims</x:v>
      </x:c>
      <x:c r="N4727" s="37" t="n">
        <x:v>46000</x:v>
      </x:c>
      <x:c r="O4727" s="37"/>
      <x:c r="P4727" s="34" t="n">
        <x:v>0</x:v>
      </x:c>
      <x:c r="Q4727" s="37" t="n">
        <x:v>46057.17285879629</x:v>
      </x:c>
    </x:row>
    <x:row r="4728">
      <x:c r="A4728" s="22" t="n">
        <x:v>28892</x:v>
      </x:c>
      <x:c r="B4728" s="28" t="n">
        <x:v>135</x:v>
      </x:c>
      <x:c r="C4728" s="28"/>
      <x:c r="D4728" s="31" t="str">
        <x:f>IF(OR(ISBLANK(B4728),ISBLANK(C4728),B4728=0),"",(C4728-B4728)/B4728)</x:f>
      </x:c>
      <x:c r="E4728" s="22" t="str">
        <x:f>IF(ISBLANK(C4728),"AmountIncludingTax缺失",IF(ABS(B4728-C4728)&lt;0.005,"一致","不一致"))</x:f>
        <x:v>AmountIncludingTax缺失</x:v>
      </x:c>
      <x:c r="F4728" s="19" t="str">
        <x:v>approved</x:v>
      </x:c>
      <x:c r="G4728" s="19" t="str">
        <x:v>Repairer Invoiced Processed</x:v>
      </x:c>
      <x:c r="H4728" s="19" t="str">
        <x:v>In Field</x:v>
      </x:c>
      <x:c r="I4728" s="37" t="n">
        <x:v>46112</x:v>
      </x:c>
      <x:c r="J4728" s="37" t="n">
        <x:v>46112</x:v>
      </x:c>
      <x:c r="K4728" s="19" t="str">
        <x:v>Regent RV Pty Ltd</x:v>
      </x:c>
      <x:c r="L4728" s="19" t="str">
        <x:v>Z006</x:v>
      </x:c>
      <x:c r="M4728" s="19" t="str">
        <x:v>In Field Warranty Claims</x:v>
      </x:c>
      <x:c r="N4728" s="37" t="n">
        <x:v>46000</x:v>
      </x:c>
      <x:c r="O4728" s="37"/>
      <x:c r="P4728" s="34" t="n">
        <x:v>0</x:v>
      </x:c>
      <x:c r="Q4728" s="37" t="n">
        <x:v>46111.94975694444</x:v>
      </x:c>
    </x:row>
    <x:row r="4729">
      <x:c r="A4729" s="22" t="n">
        <x:v>28891</x:v>
      </x:c>
      <x:c r="B4729" s="28" t="n">
        <x:v>261.37</x:v>
      </x:c>
      <x:c r="C4729" s="28" t="n">
        <x:v>287.51</x:v>
      </x:c>
      <x:c r="D4729" s="31" t="n">
        <x:f>IF(OR(ISBLANK(B4729),ISBLANK(C4729),B4729=0),"",(C4729-B4729)/B4729)</x:f>
        <x:v>0.10001147798140561</x:v>
      </x:c>
      <x:c r="E4729" s="22" t="str">
        <x:f>IF(ISBLANK(C4729),"AmountIncludingTax缺失",IF(ABS(B4729-C4729)&lt;0.005,"一致","不一致"))</x:f>
        <x:v>不一致</x:v>
      </x:c>
      <x:c r="F4729" s="19" t="str">
        <x:v>approved</x:v>
      </x:c>
      <x:c r="G4729" s="19" t="str">
        <x:v>Repairer Invoiced Processed</x:v>
      </x:c>
      <x:c r="H4729" s="19" t="str">
        <x:v>In Field</x:v>
      </x:c>
      <x:c r="I4729" s="37" t="n">
        <x:v>46042</x:v>
      </x:c>
      <x:c r="J4729" s="37" t="n">
        <x:v>46042</x:v>
      </x:c>
      <x:c r="K4729" s="19" t="str">
        <x:v>Green RV - Forest Glen</x:v>
      </x:c>
      <x:c r="L4729" s="19" t="str">
        <x:v>Z006</x:v>
      </x:c>
      <x:c r="M4729" s="19" t="str">
        <x:v>In Field Warranty Claims</x:v>
      </x:c>
      <x:c r="N4729" s="37" t="n">
        <x:v>46000</x:v>
      </x:c>
      <x:c r="O4729" s="37"/>
      <x:c r="P4729" s="34" t="n">
        <x:v>287.51</x:v>
      </x:c>
      <x:c r="Q4729" s="37" t="n">
        <x:v>46042.111030092594</x:v>
      </x:c>
    </x:row>
    <x:row r="4730">
      <x:c r="A4730" s="22" t="n">
        <x:v>28890</x:v>
      </x:c>
      <x:c r="B4730" s="28" t="n">
        <x:v>440</x:v>
      </x:c>
      <x:c r="C4730" s="28"/>
      <x:c r="D4730" s="31" t="str">
        <x:f>IF(OR(ISBLANK(B4730),ISBLANK(C4730),B4730=0),"",(C4730-B4730)/B4730)</x:f>
      </x:c>
      <x:c r="E4730" s="22" t="str">
        <x:f>IF(ISBLANK(C4730),"AmountIncludingTax缺失",IF(ABS(B4730-C4730)&lt;0.005,"一致","不一致"))</x:f>
        <x:v>AmountIncludingTax缺失</x:v>
      </x:c>
      <x:c r="F4730" s="19" t="str">
        <x:v>approved</x:v>
      </x:c>
      <x:c r="G4730" s="19" t="str">
        <x:v>Repair in Progress</x:v>
      </x:c>
      <x:c r="H4730" s="19" t="str">
        <x:v>In Field</x:v>
      </x:c>
      <x:c r="I4730" s="37" t="n">
        <x:v>46076</x:v>
      </x:c>
      <x:c r="J4730" s="37" t="n">
        <x:v>46076</x:v>
      </x:c>
      <x:c r="K4730" s="19" t="str">
        <x:v>Regent RV - Frankston</x:v>
      </x:c>
      <x:c r="L4730" s="19" t="str">
        <x:v>Z006</x:v>
      </x:c>
      <x:c r="M4730" s="19" t="str">
        <x:v>In Field Warranty Claims</x:v>
      </x:c>
      <x:c r="N4730" s="37" t="n">
        <x:v>46000</x:v>
      </x:c>
      <x:c r="O4730" s="37"/>
      <x:c r="P4730" s="34" t="n">
        <x:v>0</x:v>
      </x:c>
      <x:c r="Q4730" s="37" t="n">
        <x:v>46076.19645833333</x:v>
      </x:c>
    </x:row>
    <x:row r="4731">
      <x:c r="A4731" s="22" t="n">
        <x:v>28888</x:v>
      </x:c>
      <x:c r="B4731" s="28" t="n">
        <x:v>123.99</x:v>
      </x:c>
      <x:c r="C4731" s="28" t="n">
        <x:v>136.39</x:v>
      </x:c>
      <x:c r="D4731" s="31" t="n">
        <x:f>IF(OR(ISBLANK(B4731),ISBLANK(C4731),B4731=0),"",(C4731-B4731)/B4731)</x:f>
        <x:v>0.10000806516654562</x:v>
      </x:c>
      <x:c r="E4731" s="22" t="str">
        <x:f>IF(ISBLANK(C4731),"AmountIncludingTax缺失",IF(ABS(B4731-C4731)&lt;0.005,"一致","不一致"))</x:f>
        <x:v>不一致</x:v>
      </x:c>
      <x:c r="F4731" s="19" t="str">
        <x:v>approved</x:v>
      </x:c>
      <x:c r="G4731" s="19" t="str">
        <x:v>Repairer Invoiced Processed</x:v>
      </x:c>
      <x:c r="H4731" s="19" t="str">
        <x:v>In Field</x:v>
      </x:c>
      <x:c r="I4731" s="37" t="n">
        <x:v>46059</x:v>
      </x:c>
      <x:c r="J4731" s="37" t="n">
        <x:v>46059</x:v>
      </x:c>
      <x:c r="K4731" s="19" t="str">
        <x:v>Leisure Lion Pty Ltd - Toowoomba</x:v>
      </x:c>
      <x:c r="L4731" s="19" t="str">
        <x:v>Z006</x:v>
      </x:c>
      <x:c r="M4731" s="19" t="str">
        <x:v>In Field Warranty Claims</x:v>
      </x:c>
      <x:c r="N4731" s="37" t="n">
        <x:v>46000</x:v>
      </x:c>
      <x:c r="O4731" s="37"/>
      <x:c r="P4731" s="34" t="n">
        <x:v>136.39</x:v>
      </x:c>
      <x:c r="Q4731" s="37" t="n">
        <x:v>46059.1065625</x:v>
      </x:c>
    </x:row>
    <x:row r="4732">
      <x:c r="A4732" s="22" t="n">
        <x:v>28887</x:v>
      </x:c>
      <x:c r="B4732" s="28" t="n">
        <x:v>582</x:v>
      </x:c>
      <x:c r="C4732" s="28" t="n">
        <x:v>526.94</x:v>
      </x:c>
      <x:c r="D4732" s="31" t="n">
        <x:f>IF(OR(ISBLANK(B4732),ISBLANK(C4732),B4732=0),"",(C4732-B4732)/B4732)</x:f>
        <x:v>-0.09460481099656348</x:v>
      </x:c>
      <x:c r="E4732" s="22" t="str">
        <x:f>IF(ISBLANK(C4732),"AmountIncludingTax缺失",IF(ABS(B4732-C4732)&lt;0.005,"一致","不一致"))</x:f>
        <x:v>不一致</x:v>
      </x:c>
      <x:c r="F4732" s="19" t="str">
        <x:v>approved</x:v>
      </x:c>
      <x:c r="G4732" s="19" t="str">
        <x:v>Repairer Invoiced Processed</x:v>
      </x:c>
      <x:c r="H4732" s="19" t="str">
        <x:v>In Field</x:v>
      </x:c>
      <x:c r="I4732" s="37" t="n">
        <x:v>46072</x:v>
      </x:c>
      <x:c r="J4732" s="37" t="n">
        <x:v>46045</x:v>
      </x:c>
      <x:c r="K4732" s="19" t="str">
        <x:v>Vanari Caravans - Marden Point</x:v>
      </x:c>
      <x:c r="L4732" s="19" t="str">
        <x:v>Z006</x:v>
      </x:c>
      <x:c r="M4732" s="19" t="str">
        <x:v>In Field Warranty Claims</x:v>
      </x:c>
      <x:c r="N4732" s="37" t="n">
        <x:v>46000</x:v>
      </x:c>
      <x:c r="O4732" s="37"/>
      <x:c r="P4732" s="34" t="n">
        <x:v>526.94</x:v>
      </x:c>
      <x:c r="Q4732" s="37" t="n">
        <x:v>46072.02148148148</x:v>
      </x:c>
    </x:row>
    <x:row r="4733">
      <x:c r="A4733" s="22" t="n">
        <x:v>28883</x:v>
      </x:c>
      <x:c r="B4733" s="28" t="n">
        <x:v>321.25</x:v>
      </x:c>
      <x:c r="C4733" s="28"/>
      <x:c r="D4733" s="31" t="str">
        <x:f>IF(OR(ISBLANK(B4733),ISBLANK(C4733),B4733=0),"",(C4733-B4733)/B4733)</x:f>
      </x:c>
      <x:c r="E4733" s="22" t="str">
        <x:f>IF(ISBLANK(C4733),"AmountIncludingTax缺失",IF(ABS(B4733-C4733)&lt;0.005,"一致","不一致"))</x:f>
        <x:v>AmountIncludingTax缺失</x:v>
      </x:c>
      <x:c r="F4733" s="19" t="str">
        <x:v>approved</x:v>
      </x:c>
      <x:c r="G4733" s="19" t="str">
        <x:v>Repairer Invoiced Processed</x:v>
      </x:c>
      <x:c r="H4733" s="19" t="str">
        <x:v>In Field</x:v>
      </x:c>
      <x:c r="I4733" s="37" t="n">
        <x:v>46087</x:v>
      </x:c>
      <x:c r="J4733" s="37" t="n">
        <x:v>46087</x:v>
      </x:c>
      <x:c r="K4733" s="19" t="str">
        <x:v>Newcastle RV Super Centre - Beresfield</x:v>
      </x:c>
      <x:c r="L4733" s="19" t="str">
        <x:v>Z006</x:v>
      </x:c>
      <x:c r="M4733" s="19" t="str">
        <x:v>In Field Warranty Claims</x:v>
      </x:c>
      <x:c r="N4733" s="37" t="n">
        <x:v>46000</x:v>
      </x:c>
      <x:c r="O4733" s="37"/>
      <x:c r="P4733" s="34" t="n">
        <x:v>0</x:v>
      </x:c>
      <x:c r="Q4733" s="37" t="n">
        <x:v>46087.058530092596</x:v>
      </x:c>
    </x:row>
    <x:row r="4734">
      <x:c r="A4734" s="22" t="n">
        <x:v>28881</x:v>
      </x:c>
      <x:c r="B4734" s="28" t="n">
        <x:v>202.5</x:v>
      </x:c>
      <x:c r="C4734" s="28"/>
      <x:c r="D4734" s="31" t="str">
        <x:f>IF(OR(ISBLANK(B4734),ISBLANK(C4734),B4734=0),"",(C4734-B4734)/B4734)</x:f>
      </x:c>
      <x:c r="E4734" s="22" t="str">
        <x:f>IF(ISBLANK(C4734),"AmountIncludingTax缺失",IF(ABS(B4734-C4734)&lt;0.005,"一致","不一致"))</x:f>
        <x:v>AmountIncludingTax缺失</x:v>
      </x:c>
      <x:c r="F4734" s="19" t="str">
        <x:v>approved</x:v>
      </x:c>
      <x:c r="G4734" s="19" t="str">
        <x:v>Repair in Progress</x:v>
      </x:c>
      <x:c r="H4734" s="19" t="str">
        <x:v>Pre Delivery</x:v>
      </x:c>
      <x:c r="I4734" s="37" t="n">
        <x:v>46155</x:v>
      </x:c>
      <x:c r="J4734" s="37" t="n">
        <x:v>46155</x:v>
      </x:c>
      <x:c r="K4734" s="19" t="str">
        <x:v>Regent RV Pty Ltd</x:v>
      </x:c>
      <x:c r="L4734" s="19" t="str">
        <x:v>Z005</x:v>
      </x:c>
      <x:c r="M4734" s="19" t="str">
        <x:v>Pre Delivery Warranty Claims</x:v>
      </x:c>
      <x:c r="N4734" s="37" t="n">
        <x:v>46000</x:v>
      </x:c>
      <x:c r="O4734" s="37"/>
      <x:c r="P4734" s="34" t="n">
        <x:v>0</x:v>
      </x:c>
      <x:c r="Q4734" s="37" t="n">
        <x:v>46154.92618055556</x:v>
      </x:c>
    </x:row>
    <x:row r="4735">
      <x:c r="A4735" s="22" t="n">
        <x:v>28880</x:v>
      </x:c>
      <x:c r="B4735" s="28" t="n">
        <x:v>647.5</x:v>
      </x:c>
      <x:c r="C4735" s="28"/>
      <x:c r="D4735" s="31" t="str">
        <x:f>IF(OR(ISBLANK(B4735),ISBLANK(C4735),B4735=0),"",(C4735-B4735)/B4735)</x:f>
      </x:c>
      <x:c r="E4735" s="22" t="str">
        <x:f>IF(ISBLANK(C4735),"AmountIncludingTax缺失",IF(ABS(B4735-C4735)&lt;0.005,"一致","不一致"))</x:f>
        <x:v>AmountIncludingTax缺失</x:v>
      </x:c>
      <x:c r="F4735" s="19" t="str">
        <x:v>approved</x:v>
      </x:c>
      <x:c r="G4735" s="19" t="str">
        <x:v>Repairer Invoiced Processed</x:v>
      </x:c>
      <x:c r="H4735" s="19" t="str">
        <x:v>In Field</x:v>
      </x:c>
      <x:c r="I4735" s="37" t="n">
        <x:v>46055</x:v>
      </x:c>
      <x:c r="J4735" s="37" t="n">
        <x:v>46055</x:v>
      </x:c>
      <x:c r="K4735" s="19" t="str">
        <x:v>Green RV - Forest Glen</x:v>
      </x:c>
      <x:c r="L4735" s="19" t="str">
        <x:v>Z006</x:v>
      </x:c>
      <x:c r="M4735" s="19" t="str">
        <x:v>In Field Warranty Claims</x:v>
      </x:c>
      <x:c r="N4735" s="37" t="n">
        <x:v>46000</x:v>
      </x:c>
      <x:c r="O4735" s="37"/>
      <x:c r="P4735" s="34" t="n">
        <x:v>0</x:v>
      </x:c>
      <x:c r="Q4735" s="37" t="n">
        <x:v>46054.91148148148</x:v>
      </x:c>
    </x:row>
    <x:row r="4736">
      <x:c r="A4736" s="22" t="n">
        <x:v>28878</x:v>
      </x:c>
      <x:c r="B4736" s="28" t="n">
        <x:v>487.5</x:v>
      </x:c>
      <x:c r="C4736" s="28"/>
      <x:c r="D4736" s="31" t="str">
        <x:f>IF(OR(ISBLANK(B4736),ISBLANK(C4736),B4736=0),"",(C4736-B4736)/B4736)</x:f>
      </x:c>
      <x:c r="E4736" s="22" t="str">
        <x:f>IF(ISBLANK(C4736),"AmountIncludingTax缺失",IF(ABS(B4736-C4736)&lt;0.005,"一致","不一致"))</x:f>
        <x:v>AmountIncludingTax缺失</x:v>
      </x:c>
      <x:c r="F4736" s="19" t="str">
        <x:v>approved</x:v>
      </x:c>
      <x:c r="G4736" s="19" t="str">
        <x:v>Repairer Invoiced Processed</x:v>
      </x:c>
      <x:c r="H4736" s="19" t="str">
        <x:v>In Field</x:v>
      </x:c>
      <x:c r="I4736" s="37" t="n">
        <x:v>46087</x:v>
      </x:c>
      <x:c r="J4736" s="37" t="n">
        <x:v>46087</x:v>
      </x:c>
      <x:c r="K4736" s="19" t="str">
        <x:v>Newcastle RV Super Centre - Beresfield</x:v>
      </x:c>
      <x:c r="L4736" s="19" t="str">
        <x:v>Z006</x:v>
      </x:c>
      <x:c r="M4736" s="19" t="str">
        <x:v>In Field Warranty Claims</x:v>
      </x:c>
      <x:c r="N4736" s="37" t="n">
        <x:v>46000</x:v>
      </x:c>
      <x:c r="O4736" s="37"/>
      <x:c r="P4736" s="34" t="n">
        <x:v>0</x:v>
      </x:c>
      <x:c r="Q4736" s="37" t="n">
        <x:v>46087.05831018519</x:v>
      </x:c>
    </x:row>
    <x:row r="4737">
      <x:c r="A4737" s="22" t="n">
        <x:v>28877</x:v>
      </x:c>
      <x:c r="B4737" s="28" t="n">
        <x:v>580</x:v>
      </x:c>
      <x:c r="C4737" s="28"/>
      <x:c r="D4737" s="31" t="str">
        <x:f>IF(OR(ISBLANK(B4737),ISBLANK(C4737),B4737=0),"",(C4737-B4737)/B4737)</x:f>
      </x:c>
      <x:c r="E4737" s="22" t="str">
        <x:f>IF(ISBLANK(C4737),"AmountIncludingTax缺失",IF(ABS(B4737-C4737)&lt;0.005,"一致","不一致"))</x:f>
        <x:v>AmountIncludingTax缺失</x:v>
      </x:c>
      <x:c r="F4737" s="19" t="str">
        <x:v>approved</x:v>
      </x:c>
      <x:c r="G4737" s="19" t="str">
        <x:v>Repair in Progress</x:v>
      </x:c>
      <x:c r="H4737" s="19" t="str">
        <x:v>In Field</x:v>
      </x:c>
      <x:c r="I4737" s="37" t="n">
        <x:v>46055</x:v>
      </x:c>
      <x:c r="J4737" s="37" t="n">
        <x:v>46055</x:v>
      </x:c>
      <x:c r="K4737" s="19" t="str">
        <x:v>Green RV - Forest Glen</x:v>
      </x:c>
      <x:c r="L4737" s="19" t="str">
        <x:v>Z006</x:v>
      </x:c>
      <x:c r="M4737" s="19" t="str">
        <x:v>In Field Warranty Claims</x:v>
      </x:c>
      <x:c r="N4737" s="37" t="n">
        <x:v>46000</x:v>
      </x:c>
      <x:c r="O4737" s="37"/>
      <x:c r="P4737" s="34" t="n">
        <x:v>0</x:v>
      </x:c>
      <x:c r="Q4737" s="37" t="n">
        <x:v>46054.900185185186</x:v>
      </x:c>
    </x:row>
    <x:row r="4738">
      <x:c r="A4738" s="22" t="n">
        <x:v>28876</x:v>
      </x:c>
      <x:c r="B4738" s="28" t="n">
        <x:v>256.25</x:v>
      </x:c>
      <x:c r="C4738" s="28"/>
      <x:c r="D4738" s="31" t="str">
        <x:f>IF(OR(ISBLANK(B4738),ISBLANK(C4738),B4738=0),"",(C4738-B4738)/B4738)</x:f>
      </x:c>
      <x:c r="E4738" s="22" t="str">
        <x:f>IF(ISBLANK(C4738),"AmountIncludingTax缺失",IF(ABS(B4738-C4738)&lt;0.005,"一致","不一致"))</x:f>
        <x:v>AmountIncludingTax缺失</x:v>
      </x:c>
      <x:c r="F4738" s="19" t="str">
        <x:v>approved</x:v>
      </x:c>
      <x:c r="G4738" s="19" t="str">
        <x:v>Repairer Invoiced Processed</x:v>
      </x:c>
      <x:c r="H4738" s="19" t="str">
        <x:v>In Field</x:v>
      </x:c>
      <x:c r="I4738" s="37" t="n">
        <x:v>46057</x:v>
      </x:c>
      <x:c r="J4738" s="37" t="n">
        <x:v>46057</x:v>
      </x:c>
      <x:c r="K4738" s="19" t="str">
        <x:v>Green RV - Forest Glen</x:v>
      </x:c>
      <x:c r="L4738" s="19" t="str">
        <x:v>Z006</x:v>
      </x:c>
      <x:c r="M4738" s="19" t="str">
        <x:v>In Field Warranty Claims</x:v>
      </x:c>
      <x:c r="N4738" s="37" t="n">
        <x:v>46000</x:v>
      </x:c>
      <x:c r="O4738" s="37"/>
      <x:c r="P4738" s="34" t="n">
        <x:v>0</x:v>
      </x:c>
      <x:c r="Q4738" s="37" t="n">
        <x:v>46057.15305555556</x:v>
      </x:c>
    </x:row>
    <x:row r="4739">
      <x:c r="A4739" s="22" t="n">
        <x:v>28875</x:v>
      </x:c>
      <x:c r="B4739" s="28" t="n">
        <x:v>55</x:v>
      </x:c>
      <x:c r="C4739" s="28"/>
      <x:c r="D4739" s="31" t="str">
        <x:f>IF(OR(ISBLANK(B4739),ISBLANK(C4739),B4739=0),"",(C4739-B4739)/B4739)</x:f>
      </x:c>
      <x:c r="E4739" s="22" t="str">
        <x:f>IF(ISBLANK(C4739),"AmountIncludingTax缺失",IF(ABS(B4739-C4739)&lt;0.005,"一致","不一致"))</x:f>
        <x:v>AmountIncludingTax缺失</x:v>
      </x:c>
      <x:c r="F4739" s="19" t="str">
        <x:v>approved</x:v>
      </x:c>
      <x:c r="G4739" s="19" t="str">
        <x:v>Repairer Invoiced Processed</x:v>
      </x:c>
      <x:c r="H4739" s="19" t="str">
        <x:v>Pre Delivery</x:v>
      </x:c>
      <x:c r="I4739" s="37" t="n">
        <x:v>46098</x:v>
      </x:c>
      <x:c r="J4739" s="37" t="n">
        <x:v>46098</x:v>
      </x:c>
      <x:c r="K4739" s="19" t="str">
        <x:v>Regent RV - Perth</x:v>
      </x:c>
      <x:c r="L4739" s="19" t="str">
        <x:v>Z005</x:v>
      </x:c>
      <x:c r="M4739" s="19" t="str">
        <x:v>Pre Delivery Warranty Claims</x:v>
      </x:c>
      <x:c r="N4739" s="37" t="n">
        <x:v>46000</x:v>
      </x:c>
      <x:c r="O4739" s="37"/>
      <x:c r="P4739" s="34" t="n">
        <x:v>0</x:v>
      </x:c>
      <x:c r="Q4739" s="37" t="n">
        <x:v>46097.848032407404</x:v>
      </x:c>
    </x:row>
    <x:row r="4740">
      <x:c r="A4740" s="22" t="n">
        <x:v>28874</x:v>
      </x:c>
      <x:c r="B4740" s="28" t="n">
        <x:v>135</x:v>
      </x:c>
      <x:c r="C4740" s="28"/>
      <x:c r="D4740" s="31" t="str">
        <x:f>IF(OR(ISBLANK(B4740),ISBLANK(C4740),B4740=0),"",(C4740-B4740)/B4740)</x:f>
      </x:c>
      <x:c r="E4740" s="22" t="str">
        <x:f>IF(ISBLANK(C4740),"AmountIncludingTax缺失",IF(ABS(B4740-C4740)&lt;0.005,"一致","不一致"))</x:f>
        <x:v>AmountIncludingTax缺失</x:v>
      </x:c>
      <x:c r="F4740" s="19" t="str">
        <x:v>approved</x:v>
      </x:c>
      <x:c r="G4740" s="19" t="str">
        <x:v>Repairer Invoiced Processed</x:v>
      </x:c>
      <x:c r="H4740" s="19" t="str">
        <x:v>In Field</x:v>
      </x:c>
      <x:c r="I4740" s="37" t="n">
        <x:v>46055</x:v>
      </x:c>
      <x:c r="J4740" s="37" t="n">
        <x:v>46055</x:v>
      </x:c>
      <x:c r="K4740" s="19" t="str">
        <x:v>Green RV - Forest Glen</x:v>
      </x:c>
      <x:c r="L4740" s="19" t="str">
        <x:v>Z006</x:v>
      </x:c>
      <x:c r="M4740" s="19" t="str">
        <x:v>In Field Warranty Claims</x:v>
      </x:c>
      <x:c r="N4740" s="37" t="n">
        <x:v>46000</x:v>
      </x:c>
      <x:c r="O4740" s="37"/>
      <x:c r="P4740" s="34" t="n">
        <x:v>0</x:v>
      </x:c>
      <x:c r="Q4740" s="37" t="n">
        <x:v>46055.197962962964</x:v>
      </x:c>
    </x:row>
    <x:row r="4741">
      <x:c r="A4741" s="22" t="n">
        <x:v>28873</x:v>
      </x:c>
      <x:c r="B4741" s="28" t="n">
        <x:v>2724.3</x:v>
      </x:c>
      <x:c r="C4741" s="28"/>
      <x:c r="D4741" s="31" t="str">
        <x:f>IF(OR(ISBLANK(B4741),ISBLANK(C4741),B4741=0),"",(C4741-B4741)/B4741)</x:f>
      </x:c>
      <x:c r="E4741" s="22" t="str">
        <x:f>IF(ISBLANK(C4741),"AmountIncludingTax缺失",IF(ABS(B4741-C4741)&lt;0.005,"一致","不一致"))</x:f>
        <x:v>AmountIncludingTax缺失</x:v>
      </x:c>
      <x:c r="F4741" s="19" t="str">
        <x:v>approved</x:v>
      </x:c>
      <x:c r="G4741" s="19" t="str">
        <x:v>Repairer Invoiced Processed</x:v>
      </x:c>
      <x:c r="H4741" s="19" t="str">
        <x:v>In Field</x:v>
      </x:c>
      <x:c r="I4741" s="37" t="n">
        <x:v>46099</x:v>
      </x:c>
      <x:c r="J4741" s="37" t="n">
        <x:v>46099</x:v>
      </x:c>
      <x:c r="K4741" s="19" t="str">
        <x:v>Regent RV - Frankston</x:v>
      </x:c>
      <x:c r="L4741" s="19" t="str">
        <x:v>Z006</x:v>
      </x:c>
      <x:c r="M4741" s="19" t="str">
        <x:v>In Field Warranty Claims</x:v>
      </x:c>
      <x:c r="N4741" s="37" t="n">
        <x:v>46000</x:v>
      </x:c>
      <x:c r="O4741" s="37"/>
      <x:c r="P4741" s="34" t="n">
        <x:v>0</x:v>
      </x:c>
      <x:c r="Q4741" s="37" t="n">
        <x:v>46099.16693287037</x:v>
      </x:c>
    </x:row>
    <x:row r="4742">
      <x:c r="A4742" s="22" t="n">
        <x:v>28872</x:v>
      </x:c>
      <x:c r="B4742" s="28" t="n">
        <x:v>580</x:v>
      </x:c>
      <x:c r="C4742" s="28"/>
      <x:c r="D4742" s="31" t="str">
        <x:f>IF(OR(ISBLANK(B4742),ISBLANK(C4742),B4742=0),"",(C4742-B4742)/B4742)</x:f>
      </x:c>
      <x:c r="E4742" s="22" t="str">
        <x:f>IF(ISBLANK(C4742),"AmountIncludingTax缺失",IF(ABS(B4742-C4742)&lt;0.005,"一致","不一致"))</x:f>
        <x:v>AmountIncludingTax缺失</x:v>
      </x:c>
      <x:c r="F4742" s="19" t="str">
        <x:v>approved</x:v>
      </x:c>
      <x:c r="G4742" s="19" t="str">
        <x:v>Repairer Invoiced Processed</x:v>
      </x:c>
      <x:c r="H4742" s="19" t="str">
        <x:v>In Field</x:v>
      </x:c>
      <x:c r="I4742" s="37" t="n">
        <x:v>46055</x:v>
      </x:c>
      <x:c r="J4742" s="37" t="n">
        <x:v>46055</x:v>
      </x:c>
      <x:c r="K4742" s="19" t="str">
        <x:v>Green RV - Forest Glen</x:v>
      </x:c>
      <x:c r="L4742" s="19" t="str">
        <x:v>Z006</x:v>
      </x:c>
      <x:c r="M4742" s="19" t="str">
        <x:v>In Field Warranty Claims</x:v>
      </x:c>
      <x:c r="N4742" s="37" t="n">
        <x:v>46000</x:v>
      </x:c>
      <x:c r="O4742" s="37"/>
      <x:c r="P4742" s="34" t="n">
        <x:v>0</x:v>
      </x:c>
      <x:c r="Q4742" s="37" t="n">
        <x:v>46054.89013888889</x:v>
      </x:c>
    </x:row>
    <x:row r="4743">
      <x:c r="A4743" s="22" t="n">
        <x:v>28871</x:v>
      </x:c>
      <x:c r="B4743" s="28" t="n">
        <x:v>546.25</x:v>
      </x:c>
      <x:c r="C4743" s="28"/>
      <x:c r="D4743" s="31" t="str">
        <x:f>IF(OR(ISBLANK(B4743),ISBLANK(C4743),B4743=0),"",(C4743-B4743)/B4743)</x:f>
      </x:c>
      <x:c r="E4743" s="22" t="str">
        <x:f>IF(ISBLANK(C4743),"AmountIncludingTax缺失",IF(ABS(B4743-C4743)&lt;0.005,"一致","不一致"))</x:f>
        <x:v>AmountIncludingTax缺失</x:v>
      </x:c>
      <x:c r="F4743" s="19" t="str">
        <x:v>approved</x:v>
      </x:c>
      <x:c r="G4743" s="19" t="str">
        <x:v>Repair in Progress</x:v>
      </x:c>
      <x:c r="H4743" s="19" t="str">
        <x:v>In Field</x:v>
      </x:c>
      <x:c r="I4743" s="37" t="n">
        <x:v>46059</x:v>
      </x:c>
      <x:c r="J4743" s="37" t="n">
        <x:v>46059</x:v>
      </x:c>
      <x:c r="K4743" s="19" t="str">
        <x:v>Leisure Lion Pty Ltd - Toowoomba</x:v>
      </x:c>
      <x:c r="L4743" s="19" t="str">
        <x:v>Z006</x:v>
      </x:c>
      <x:c r="M4743" s="19" t="str">
        <x:v>In Field Warranty Claims</x:v>
      </x:c>
      <x:c r="N4743" s="37" t="n">
        <x:v>46000</x:v>
      </x:c>
      <x:c r="O4743" s="37"/>
      <x:c r="P4743" s="34" t="n">
        <x:v>0</x:v>
      </x:c>
      <x:c r="Q4743" s="37" t="n">
        <x:v>46058.89844907408</x:v>
      </x:c>
    </x:row>
    <x:row r="4744">
      <x:c r="A4744" s="22" t="n">
        <x:v>28864</x:v>
      </x:c>
      <x:c r="B4744" s="28" t="n">
        <x:v>101.77</x:v>
      </x:c>
      <x:c r="C4744" s="28"/>
      <x:c r="D4744" s="31" t="str">
        <x:f>IF(OR(ISBLANK(B4744),ISBLANK(C4744),B4744=0),"",(C4744-B4744)/B4744)</x:f>
      </x:c>
      <x:c r="E4744" s="22" t="str">
        <x:f>IF(ISBLANK(C4744),"AmountIncludingTax缺失",IF(ABS(B4744-C4744)&lt;0.005,"一致","不一致"))</x:f>
        <x:v>AmountIncludingTax缺失</x:v>
      </x:c>
      <x:c r="F4744" s="19" t="str">
        <x:v>approved</x:v>
      </x:c>
      <x:c r="G4744" s="19" t="str">
        <x:v>Repairer Invoiced Processed</x:v>
      </x:c>
      <x:c r="H4744" s="19" t="str">
        <x:v>Pre Delivery</x:v>
      </x:c>
      <x:c r="I4744" s="37" t="n">
        <x:v>46079</x:v>
      </x:c>
      <x:c r="J4744" s="37" t="n">
        <x:v>46079</x:v>
      </x:c>
      <x:c r="K4744" s="19" t="str">
        <x:v>Green RV - Forest Glen</x:v>
      </x:c>
      <x:c r="L4744" s="19" t="str">
        <x:v>Z005</x:v>
      </x:c>
      <x:c r="M4744" s="19" t="str">
        <x:v>Pre Delivery Warranty Claims</x:v>
      </x:c>
      <x:c r="N4744" s="37" t="n">
        <x:v>46000</x:v>
      </x:c>
      <x:c r="O4744" s="37"/>
      <x:c r="P4744" s="34" t="n">
        <x:v>0</x:v>
      </x:c>
      <x:c r="Q4744" s="37" t="n">
        <x:v>46079.07409722222</x:v>
      </x:c>
    </x:row>
    <x:row r="4745">
      <x:c r="A4745" s="22" t="n">
        <x:v>28863</x:v>
      </x:c>
      <x:c r="B4745" s="28" t="n">
        <x:v>82.5</x:v>
      </x:c>
      <x:c r="C4745" s="28"/>
      <x:c r="D4745" s="31" t="str">
        <x:f>IF(OR(ISBLANK(B4745),ISBLANK(C4745),B4745=0),"",(C4745-B4745)/B4745)</x:f>
      </x:c>
      <x:c r="E4745" s="22" t="str">
        <x:f>IF(ISBLANK(C4745),"AmountIncludingTax缺失",IF(ABS(B4745-C4745)&lt;0.005,"一致","不一致"))</x:f>
        <x:v>AmountIncludingTax缺失</x:v>
      </x:c>
      <x:c r="F4745" s="19" t="str">
        <x:v>approved</x:v>
      </x:c>
      <x:c r="G4745" s="19" t="str">
        <x:v>Repair in Progress</x:v>
      </x:c>
      <x:c r="H4745" s="19" t="str">
        <x:v>Pre Delivery</x:v>
      </x:c>
      <x:c r="I4745" s="37" t="n">
        <x:v>46097</x:v>
      </x:c>
      <x:c r="J4745" s="37" t="n">
        <x:v>46097</x:v>
      </x:c>
      <x:c r="K4745" s="19" t="str">
        <x:v>Regent RV - Perth</x:v>
      </x:c>
      <x:c r="L4745" s="19" t="str">
        <x:v>Z005</x:v>
      </x:c>
      <x:c r="M4745" s="19" t="str">
        <x:v>Pre Delivery Warranty Claims</x:v>
      </x:c>
      <x:c r="N4745" s="37" t="n">
        <x:v>45999</x:v>
      </x:c>
      <x:c r="O4745" s="37"/>
      <x:c r="P4745" s="34" t="n">
        <x:v>0</x:v>
      </x:c>
      <x:c r="Q4745" s="37" t="n">
        <x:v>46097.23229166667</x:v>
      </x:c>
    </x:row>
    <x:row r="4746">
      <x:c r="A4746" s="22" t="n">
        <x:v>28862</x:v>
      </x:c>
      <x:c r="B4746" s="28" t="n">
        <x:v>1221.25</x:v>
      </x:c>
      <x:c r="C4746" s="28"/>
      <x:c r="D4746" s="31" t="str">
        <x:f>IF(OR(ISBLANK(B4746),ISBLANK(C4746),B4746=0),"",(C4746-B4746)/B4746)</x:f>
      </x:c>
      <x:c r="E4746" s="22" t="str">
        <x:f>IF(ISBLANK(C4746),"AmountIncludingTax缺失",IF(ABS(B4746-C4746)&lt;0.005,"一致","不一致"))</x:f>
        <x:v>AmountIncludingTax缺失</x:v>
      </x:c>
      <x:c r="F4746" s="19" t="str">
        <x:v>approved</x:v>
      </x:c>
      <x:c r="G4746" s="19" t="str">
        <x:v>Repairer Invoiced Processed</x:v>
      </x:c>
      <x:c r="H4746" s="19" t="str">
        <x:v>In Field</x:v>
      </x:c>
      <x:c r="I4746" s="37" t="n">
        <x:v>46077</x:v>
      </x:c>
      <x:c r="J4746" s="37" t="n">
        <x:v>46077</x:v>
      </x:c>
      <x:c r="K4746" s="19" t="str">
        <x:v>Regent RV - Toowoomba</x:v>
      </x:c>
      <x:c r="L4746" s="19" t="str">
        <x:v>Z006</x:v>
      </x:c>
      <x:c r="M4746" s="19" t="str">
        <x:v>In Field Warranty Claims</x:v>
      </x:c>
      <x:c r="N4746" s="37" t="n">
        <x:v>45999</x:v>
      </x:c>
      <x:c r="O4746" s="37"/>
      <x:c r="P4746" s="34" t="n">
        <x:v>0</x:v>
      </x:c>
      <x:c r="Q4746" s="37" t="n">
        <x:v>46077.22782407407</x:v>
      </x:c>
    </x:row>
    <x:row r="4747">
      <x:c r="A4747" s="22" t="n">
        <x:v>28861</x:v>
      </x:c>
      <x:c r="B4747" s="28" t="n">
        <x:v>917.5</x:v>
      </x:c>
      <x:c r="C4747" s="28"/>
      <x:c r="D4747" s="31" t="str">
        <x:f>IF(OR(ISBLANK(B4747),ISBLANK(C4747),B4747=0),"",(C4747-B4747)/B4747)</x:f>
      </x:c>
      <x:c r="E4747" s="22" t="str">
        <x:f>IF(ISBLANK(C4747),"AmountIncludingTax缺失",IF(ABS(B4747-C4747)&lt;0.005,"一致","不一致"))</x:f>
        <x:v>AmountIncludingTax缺失</x:v>
      </x:c>
      <x:c r="F4747" s="19" t="str">
        <x:v>approved</x:v>
      </x:c>
      <x:c r="G4747" s="19" t="str">
        <x:v>Repairer Invoiced Processed</x:v>
      </x:c>
      <x:c r="H4747" s="19" t="str">
        <x:v>In Field</x:v>
      </x:c>
      <x:c r="I4747" s="37" t="n">
        <x:v>46055</x:v>
      </x:c>
      <x:c r="J4747" s="37" t="n">
        <x:v>46055</x:v>
      </x:c>
      <x:c r="K4747" s="19" t="str">
        <x:v>Green RV - Forest Glen</x:v>
      </x:c>
      <x:c r="L4747" s="19" t="str">
        <x:v>Z006</x:v>
      </x:c>
      <x:c r="M4747" s="19" t="str">
        <x:v>In Field Warranty Claims</x:v>
      </x:c>
      <x:c r="N4747" s="37" t="n">
        <x:v>45999</x:v>
      </x:c>
      <x:c r="O4747" s="37"/>
      <x:c r="P4747" s="34" t="n">
        <x:v>0</x:v>
      </x:c>
      <x:c r="Q4747" s="37" t="n">
        <x:v>46054.93032407408</x:v>
      </x:c>
    </x:row>
    <x:row r="4748">
      <x:c r="A4748" s="22" t="n">
        <x:v>28859</x:v>
      </x:c>
      <x:c r="B4748" s="28" t="n">
        <x:v>67.5</x:v>
      </x:c>
      <x:c r="C4748" s="28"/>
      <x:c r="D4748" s="31" t="str">
        <x:f>IF(OR(ISBLANK(B4748),ISBLANK(C4748),B4748=0),"",(C4748-B4748)/B4748)</x:f>
      </x:c>
      <x:c r="E4748" s="22" t="str">
        <x:f>IF(ISBLANK(C4748),"AmountIncludingTax缺失",IF(ABS(B4748-C4748)&lt;0.005,"一致","不一致"))</x:f>
        <x:v>AmountIncludingTax缺失</x:v>
      </x:c>
      <x:c r="F4748" s="19" t="str">
        <x:v>approved</x:v>
      </x:c>
      <x:c r="G4748" s="19" t="str">
        <x:v>Repair in Progress</x:v>
      </x:c>
      <x:c r="H4748" s="19" t="str">
        <x:v>In Field</x:v>
      </x:c>
      <x:c r="I4748" s="37" t="n">
        <x:v>46112</x:v>
      </x:c>
      <x:c r="J4748" s="37" t="n">
        <x:v>46112</x:v>
      </x:c>
      <x:c r="K4748" s="19" t="str">
        <x:v>QCCC - Gympie</x:v>
      </x:c>
      <x:c r="L4748" s="19" t="str">
        <x:v>Z006</x:v>
      </x:c>
      <x:c r="M4748" s="19" t="str">
        <x:v>In Field Warranty Claims</x:v>
      </x:c>
      <x:c r="N4748" s="37" t="n">
        <x:v>45999</x:v>
      </x:c>
      <x:c r="O4748" s="37"/>
      <x:c r="P4748" s="34" t="n">
        <x:v>0</x:v>
      </x:c>
      <x:c r="Q4748" s="37" t="n">
        <x:v>46111.978055555555</x:v>
      </x:c>
    </x:row>
    <x:row r="4749">
      <x:c r="A4749" s="22" t="n">
        <x:v>28858</x:v>
      </x:c>
      <x:c r="B4749" s="28" t="n">
        <x:v>910.42</x:v>
      </x:c>
      <x:c r="C4749" s="28"/>
      <x:c r="D4749" s="31" t="str">
        <x:f>IF(OR(ISBLANK(B4749),ISBLANK(C4749),B4749=0),"",(C4749-B4749)/B4749)</x:f>
      </x:c>
      <x:c r="E4749" s="22" t="str">
        <x:f>IF(ISBLANK(C4749),"AmountIncludingTax缺失",IF(ABS(B4749-C4749)&lt;0.005,"一致","不一致"))</x:f>
        <x:v>AmountIncludingTax缺失</x:v>
      </x:c>
      <x:c r="F4749" s="19" t="str">
        <x:v>approved</x:v>
      </x:c>
      <x:c r="G4749" s="19" t="str">
        <x:v>Repairer Invoiced Processed</x:v>
      </x:c>
      <x:c r="H4749" s="19" t="str">
        <x:v>Pre Delivery</x:v>
      </x:c>
      <x:c r="I4749" s="37" t="n">
        <x:v>46073</x:v>
      </x:c>
      <x:c r="J4749" s="37" t="n">
        <x:v>46072</x:v>
      </x:c>
      <x:c r="K4749" s="19" t="str">
        <x:v>Green RV - Forest Glen</x:v>
      </x:c>
      <x:c r="L4749" s="19" t="str">
        <x:v>Z005</x:v>
      </x:c>
      <x:c r="M4749" s="19" t="str">
        <x:v>Pre Delivery Warranty Claims</x:v>
      </x:c>
      <x:c r="N4749" s="37" t="n">
        <x:v>45999</x:v>
      </x:c>
      <x:c r="O4749" s="37"/>
      <x:c r="P4749" s="34" t="n">
        <x:v>1001.46</x:v>
      </x:c>
      <x:c r="Q4749" s="37" t="n">
        <x:v>46073.02291666667</x:v>
      </x:c>
    </x:row>
    <x:row r="4750">
      <x:c r="A4750" s="22" t="n">
        <x:v>28857</x:v>
      </x:c>
      <x:c r="B4750" s="28" t="n">
        <x:v>742.69</x:v>
      </x:c>
      <x:c r="C4750" s="28" t="n">
        <x:v>816.96</x:v>
      </x:c>
      <x:c r="D4750" s="31" t="n">
        <x:f>IF(OR(ISBLANK(B4750),ISBLANK(C4750),B4750=0),"",(C4750-B4750)/B4750)</x:f>
        <x:v>0.1000013464567989</x:v>
      </x:c>
      <x:c r="E4750" s="22" t="str">
        <x:f>IF(ISBLANK(C4750),"AmountIncludingTax缺失",IF(ABS(B4750-C4750)&lt;0.005,"一致","不一致"))</x:f>
        <x:v>不一致</x:v>
      </x:c>
      <x:c r="F4750" s="19" t="str">
        <x:v>approved</x:v>
      </x:c>
      <x:c r="G4750" s="19" t="str">
        <x:v>Repairer Invoiced Processed</x:v>
      </x:c>
      <x:c r="H4750" s="19" t="str">
        <x:v>Pre Delivery</x:v>
      </x:c>
      <x:c r="I4750" s="37" t="n">
        <x:v>46072</x:v>
      </x:c>
      <x:c r="J4750" s="37" t="n">
        <x:v>46072</x:v>
      </x:c>
      <x:c r="K4750" s="19" t="str">
        <x:v>Green RV - Forest Glen</x:v>
      </x:c>
      <x:c r="L4750" s="19" t="str">
        <x:v>Z005</x:v>
      </x:c>
      <x:c r="M4750" s="19" t="str">
        <x:v>Pre Delivery Warranty Claims</x:v>
      </x:c>
      <x:c r="N4750" s="37" t="n">
        <x:v>45999</x:v>
      </x:c>
      <x:c r="O4750" s="37"/>
      <x:c r="P4750" s="34" t="n">
        <x:v>816.96</x:v>
      </x:c>
      <x:c r="Q4750" s="37" t="n">
        <x:v>46072.15791666666</x:v>
      </x:c>
    </x:row>
    <x:row r="4751">
      <x:c r="A4751" s="22" t="n">
        <x:v>28856</x:v>
      </x:c>
      <x:c r="B4751" s="28" t="n">
        <x:v>2976.83</x:v>
      </x:c>
      <x:c r="C4751" s="28"/>
      <x:c r="D4751" s="31" t="str">
        <x:f>IF(OR(ISBLANK(B4751),ISBLANK(C4751),B4751=0),"",(C4751-B4751)/B4751)</x:f>
      </x:c>
      <x:c r="E4751" s="22" t="str">
        <x:f>IF(ISBLANK(C4751),"AmountIncludingTax缺失",IF(ABS(B4751-C4751)&lt;0.005,"一致","不一致"))</x:f>
        <x:v>AmountIncludingTax缺失</x:v>
      </x:c>
      <x:c r="F4751" s="19" t="str">
        <x:v>approved</x:v>
      </x:c>
      <x:c r="G4751" s="19" t="str">
        <x:v>Repairer Invoiced Received</x:v>
      </x:c>
      <x:c r="H4751" s="19" t="str">
        <x:v>In Field</x:v>
      </x:c>
      <x:c r="I4751" s="37" t="n">
        <x:v>46079</x:v>
      </x:c>
      <x:c r="J4751" s="37" t="n">
        <x:v>46079</x:v>
      </x:c>
      <x:c r="K4751" s="19" t="str">
        <x:v>Leisure Lion Pty Ltd - Toowoomba</x:v>
      </x:c>
      <x:c r="L4751" s="19" t="str">
        <x:v>Z006</x:v>
      </x:c>
      <x:c r="M4751" s="19" t="str">
        <x:v>In Field Warranty Claims</x:v>
      </x:c>
      <x:c r="N4751" s="37" t="n">
        <x:v>45999</x:v>
      </x:c>
      <x:c r="O4751" s="37"/>
      <x:c r="P4751" s="34" t="n">
        <x:v>0</x:v>
      </x:c>
      <x:c r="Q4751" s="37" t="n">
        <x:v>46079.187939814816</x:v>
      </x:c>
    </x:row>
    <x:row r="4752">
      <x:c r="A4752" s="22" t="n">
        <x:v>28851</x:v>
      </x:c>
      <x:c r="B4752" s="28" t="n">
        <x:v>1748.04</x:v>
      </x:c>
      <x:c r="C4752" s="28"/>
      <x:c r="D4752" s="31" t="str">
        <x:f>IF(OR(ISBLANK(B4752),ISBLANK(C4752),B4752=0),"",(C4752-B4752)/B4752)</x:f>
      </x:c>
      <x:c r="E4752" s="22" t="str">
        <x:f>IF(ISBLANK(C4752),"AmountIncludingTax缺失",IF(ABS(B4752-C4752)&lt;0.005,"一致","不一致"))</x:f>
        <x:v>AmountIncludingTax缺失</x:v>
      </x:c>
      <x:c r="F4752" s="19" t="str">
        <x:v>approved</x:v>
      </x:c>
      <x:c r="G4752" s="19" t="str">
        <x:v>Repairer Invoiced Processed</x:v>
      </x:c>
      <x:c r="H4752" s="19" t="str">
        <x:v>In Field</x:v>
      </x:c>
      <x:c r="I4752" s="37" t="n">
        <x:v>46042</x:v>
      </x:c>
      <x:c r="J4752" s="37" t="n">
        <x:v>46042</x:v>
      </x:c>
      <x:c r="K4752" s="19" t="str">
        <x:v>Green RV - Forest Glen</x:v>
      </x:c>
      <x:c r="L4752" s="19" t="str">
        <x:v>Z006</x:v>
      </x:c>
      <x:c r="M4752" s="19" t="str">
        <x:v>In Field Warranty Claims</x:v>
      </x:c>
      <x:c r="N4752" s="37" t="n">
        <x:v>45999</x:v>
      </x:c>
      <x:c r="O4752" s="37"/>
      <x:c r="P4752" s="34" t="n">
        <x:v>1922.84</x:v>
      </x:c>
      <x:c r="Q4752" s="37" t="n">
        <x:v>46042.21230324074</x:v>
      </x:c>
    </x:row>
    <x:row r="4753">
      <x:c r="A4753" s="22" t="n">
        <x:v>28850</x:v>
      </x:c>
      <x:c r="B4753" s="28" t="n">
        <x:v>67.5</x:v>
      </x:c>
      <x:c r="C4753" s="28"/>
      <x:c r="D4753" s="31" t="str">
        <x:f>IF(OR(ISBLANK(B4753),ISBLANK(C4753),B4753=0),"",(C4753-B4753)/B4753)</x:f>
      </x:c>
      <x:c r="E4753" s="22" t="str">
        <x:f>IF(ISBLANK(C4753),"AmountIncludingTax缺失",IF(ABS(B4753-C4753)&lt;0.005,"一致","不一致"))</x:f>
        <x:v>AmountIncludingTax缺失</x:v>
      </x:c>
      <x:c r="F4753" s="19" t="str">
        <x:v>approved</x:v>
      </x:c>
      <x:c r="G4753" s="19" t="str">
        <x:v>Repairer Invoiced Processed</x:v>
      </x:c>
      <x:c r="H4753" s="19" t="str">
        <x:v>In Field</x:v>
      </x:c>
      <x:c r="I4753" s="37" t="n">
        <x:v>46073</x:v>
      </x:c>
      <x:c r="J4753" s="37" t="n">
        <x:v>46073</x:v>
      </x:c>
      <x:c r="K4753" s="19" t="str">
        <x:v>Green RV - Forest Glen</x:v>
      </x:c>
      <x:c r="L4753" s="19" t="str">
        <x:v>Z006</x:v>
      </x:c>
      <x:c r="M4753" s="19" t="str">
        <x:v>In Field Warranty Claims</x:v>
      </x:c>
      <x:c r="N4753" s="37" t="n">
        <x:v>45999</x:v>
      </x:c>
      <x:c r="O4753" s="37"/>
      <x:c r="P4753" s="34" t="n">
        <x:v>0</x:v>
      </x:c>
      <x:c r="Q4753" s="37" t="n">
        <x:v>46073.15452546296</x:v>
      </x:c>
    </x:row>
    <x:row r="4754">
      <x:c r="A4754" s="22" t="n">
        <x:v>28849</x:v>
      </x:c>
      <x:c r="B4754" s="28" t="n">
        <x:v>110</x:v>
      </x:c>
      <x:c r="C4754" s="28"/>
      <x:c r="D4754" s="31" t="str">
        <x:f>IF(OR(ISBLANK(B4754),ISBLANK(C4754),B4754=0),"",(C4754-B4754)/B4754)</x:f>
      </x:c>
      <x:c r="E4754" s="22" t="str">
        <x:f>IF(ISBLANK(C4754),"AmountIncludingTax缺失",IF(ABS(B4754-C4754)&lt;0.005,"一致","不一致"))</x:f>
        <x:v>AmountIncludingTax缺失</x:v>
      </x:c>
      <x:c r="F4754" s="19" t="str">
        <x:v>approved</x:v>
      </x:c>
      <x:c r="G4754" s="19" t="str">
        <x:v>Repair in Progress</x:v>
      </x:c>
      <x:c r="H4754" s="19" t="str">
        <x:v>In Field</x:v>
      </x:c>
      <x:c r="I4754" s="37" t="n">
        <x:v>46056</x:v>
      </x:c>
      <x:c r="J4754" s="37" t="n">
        <x:v>46056</x:v>
      </x:c>
      <x:c r="K4754" s="19" t="str">
        <x:v>Regent RV - Perth</x:v>
      </x:c>
      <x:c r="L4754" s="19" t="str">
        <x:v>Z006</x:v>
      </x:c>
      <x:c r="M4754" s="19" t="str">
        <x:v>In Field Warranty Claims</x:v>
      </x:c>
      <x:c r="N4754" s="37" t="n">
        <x:v>45999</x:v>
      </x:c>
      <x:c r="O4754" s="37"/>
      <x:c r="P4754" s="34" t="n">
        <x:v>0</x:v>
      </x:c>
      <x:c r="Q4754" s="37" t="n">
        <x:v>46056.21986111111</x:v>
      </x:c>
    </x:row>
    <x:row r="4755">
      <x:c r="A4755" s="22" t="n">
        <x:v>28847</x:v>
      </x:c>
      <x:c r="B4755" s="28" t="n">
        <x:v>1072.5</x:v>
      </x:c>
      <x:c r="C4755" s="28"/>
      <x:c r="D4755" s="31" t="str">
        <x:f>IF(OR(ISBLANK(B4755),ISBLANK(C4755),B4755=0),"",(C4755-B4755)/B4755)</x:f>
      </x:c>
      <x:c r="E4755" s="22" t="str">
        <x:f>IF(ISBLANK(C4755),"AmountIncludingTax缺失",IF(ABS(B4755-C4755)&lt;0.005,"一致","不一致"))</x:f>
        <x:v>AmountIncludingTax缺失</x:v>
      </x:c>
      <x:c r="F4755" s="19" t="str">
        <x:v>approved</x:v>
      </x:c>
      <x:c r="G4755" s="19" t="str">
        <x:v>Repairer Invoiced Processed</x:v>
      </x:c>
      <x:c r="H4755" s="19" t="str">
        <x:v>In Field</x:v>
      </x:c>
      <x:c r="I4755" s="37" t="n">
        <x:v>46112</x:v>
      </x:c>
      <x:c r="J4755" s="37" t="n">
        <x:v>46098</x:v>
      </x:c>
      <x:c r="K4755" s="19" t="str">
        <x:v>Green RV - Forest Glen</x:v>
      </x:c>
      <x:c r="L4755" s="19" t="str">
        <x:v>Z006</x:v>
      </x:c>
      <x:c r="M4755" s="19" t="str">
        <x:v>In Field Warranty Claims</x:v>
      </x:c>
      <x:c r="N4755" s="37" t="n">
        <x:v>45999</x:v>
      </x:c>
      <x:c r="O4755" s="37"/>
      <x:c r="P4755" s="34" t="n">
        <x:v>0</x:v>
      </x:c>
      <x:c r="Q4755" s="37" t="n">
        <x:v>46112.08184027778</x:v>
      </x:c>
    </x:row>
    <x:row r="4756">
      <x:c r="A4756" s="22" t="n">
        <x:v>28846</x:v>
      </x:c>
      <x:c r="B4756" s="28" t="n">
        <x:v>72.5</x:v>
      </x:c>
      <x:c r="C4756" s="28"/>
      <x:c r="D4756" s="31" t="str">
        <x:f>IF(OR(ISBLANK(B4756),ISBLANK(C4756),B4756=0),"",(C4756-B4756)/B4756)</x:f>
      </x:c>
      <x:c r="E4756" s="22" t="str">
        <x:f>IF(ISBLANK(C4756),"AmountIncludingTax缺失",IF(ABS(B4756-C4756)&lt;0.005,"一致","不一致"))</x:f>
        <x:v>AmountIncludingTax缺失</x:v>
      </x:c>
      <x:c r="F4756" s="19" t="str">
        <x:v>approved</x:v>
      </x:c>
      <x:c r="G4756" s="19" t="str">
        <x:v>Repairer Invoiced Processed</x:v>
      </x:c>
      <x:c r="H4756" s="19" t="str">
        <x:v>In Field</x:v>
      </x:c>
      <x:c r="I4756" s="37" t="n">
        <x:v>46064</x:v>
      </x:c>
      <x:c r="J4756" s="37" t="n">
        <x:v>46064</x:v>
      </x:c>
      <x:c r="K4756" s="19" t="str">
        <x:v>Newcastle RV Super Centre - Beresfield</x:v>
      </x:c>
      <x:c r="L4756" s="19" t="str">
        <x:v>Z006</x:v>
      </x:c>
      <x:c r="M4756" s="19" t="str">
        <x:v>In Field Warranty Claims</x:v>
      </x:c>
      <x:c r="N4756" s="37" t="n">
        <x:v>45999</x:v>
      </x:c>
      <x:c r="O4756" s="37"/>
      <x:c r="P4756" s="34" t="n">
        <x:v>0</x:v>
      </x:c>
      <x:c r="Q4756" s="37" t="n">
        <x:v>46064.209872685184</x:v>
      </x:c>
    </x:row>
    <x:row r="4757">
      <x:c r="A4757" s="22" t="n">
        <x:v>28845</x:v>
      </x:c>
      <x:c r="B4757" s="28" t="n">
        <x:v>67.5</x:v>
      </x:c>
      <x:c r="C4757" s="28"/>
      <x:c r="D4757" s="31" t="str">
        <x:f>IF(OR(ISBLANK(B4757),ISBLANK(C4757),B4757=0),"",(C4757-B4757)/B4757)</x:f>
      </x:c>
      <x:c r="E4757" s="22" t="str">
        <x:f>IF(ISBLANK(C4757),"AmountIncludingTax缺失",IF(ABS(B4757-C4757)&lt;0.005,"一致","不一致"))</x:f>
        <x:v>AmountIncludingTax缺失</x:v>
      </x:c>
      <x:c r="F4757" s="19" t="str">
        <x:v>approved</x:v>
      </x:c>
      <x:c r="G4757" s="19" t="str">
        <x:v>Repair in Progress</x:v>
      </x:c>
      <x:c r="H4757" s="19" t="str">
        <x:v>In Field</x:v>
      </x:c>
      <x:c r="I4757" s="37" t="n">
        <x:v>46135</x:v>
      </x:c>
      <x:c r="J4757" s="37" t="n">
        <x:v>46135</x:v>
      </x:c>
      <x:c r="K4757" s="19" t="str">
        <x:v>Regent RV - Perth</x:v>
      </x:c>
      <x:c r="L4757" s="19" t="str">
        <x:v>Z006</x:v>
      </x:c>
      <x:c r="M4757" s="19" t="str">
        <x:v>In Field Warranty Claims</x:v>
      </x:c>
      <x:c r="N4757" s="37" t="n">
        <x:v>45999</x:v>
      </x:c>
      <x:c r="O4757" s="37"/>
      <x:c r="P4757" s="34" t="n">
        <x:v>0</x:v>
      </x:c>
      <x:c r="Q4757" s="37" t="n">
        <x:v>46134.91140046297</x:v>
      </x:c>
    </x:row>
    <x:row r="4758">
      <x:c r="A4758" s="22" t="n">
        <x:v>28844</x:v>
      </x:c>
      <x:c r="B4758" s="28" t="n">
        <x:v>165</x:v>
      </x:c>
      <x:c r="C4758" s="28"/>
      <x:c r="D4758" s="31" t="str">
        <x:f>IF(OR(ISBLANK(B4758),ISBLANK(C4758),B4758=0),"",(C4758-B4758)/B4758)</x:f>
      </x:c>
      <x:c r="E4758" s="22" t="str">
        <x:f>IF(ISBLANK(C4758),"AmountIncludingTax缺失",IF(ABS(B4758-C4758)&lt;0.005,"一致","不一致"))</x:f>
        <x:v>AmountIncludingTax缺失</x:v>
      </x:c>
      <x:c r="F4758" s="19" t="str">
        <x:v>approved</x:v>
      </x:c>
      <x:c r="G4758" s="19" t="str">
        <x:v>Repair in Progress</x:v>
      </x:c>
      <x:c r="H4758" s="19" t="str">
        <x:v>In Field</x:v>
      </x:c>
      <x:c r="I4758" s="37" t="n">
        <x:v>46051</x:v>
      </x:c>
      <x:c r="J4758" s="37" t="n">
        <x:v>46051</x:v>
      </x:c>
      <x:c r="K4758" s="19" t="str">
        <x:v>Regent RV - Frankston</x:v>
      </x:c>
      <x:c r="L4758" s="19" t="str">
        <x:v>Z006</x:v>
      </x:c>
      <x:c r="M4758" s="19" t="str">
        <x:v>In Field Warranty Claims</x:v>
      </x:c>
      <x:c r="N4758" s="37" t="n">
        <x:v>45999</x:v>
      </x:c>
      <x:c r="O4758" s="37"/>
      <x:c r="P4758" s="34" t="n">
        <x:v>0</x:v>
      </x:c>
      <x:c r="Q4758" s="37" t="n">
        <x:v>46051.20508101852</x:v>
      </x:c>
    </x:row>
    <x:row r="4759">
      <x:c r="A4759" s="22" t="n">
        <x:v>28843</x:v>
      </x:c>
      <x:c r="B4759" s="28" t="n">
        <x:v>45.6</x:v>
      </x:c>
      <x:c r="C4759" s="28"/>
      <x:c r="D4759" s="31" t="str">
        <x:f>IF(OR(ISBLANK(B4759),ISBLANK(C4759),B4759=0),"",(C4759-B4759)/B4759)</x:f>
      </x:c>
      <x:c r="E4759" s="22" t="str">
        <x:f>IF(ISBLANK(C4759),"AmountIncludingTax缺失",IF(ABS(B4759-C4759)&lt;0.005,"一致","不一致"))</x:f>
        <x:v>AmountIncludingTax缺失</x:v>
      </x:c>
      <x:c r="F4759" s="19" t="str">
        <x:v>approved</x:v>
      </x:c>
      <x:c r="G4759" s="19" t="str">
        <x:v>Repair in Progress</x:v>
      </x:c>
      <x:c r="H4759" s="19" t="str">
        <x:v>Pre Delivery</x:v>
      </x:c>
      <x:c r="I4759" s="37" t="n">
        <x:v>46072</x:v>
      </x:c>
      <x:c r="J4759" s="37" t="n">
        <x:v>46072</x:v>
      </x:c>
      <x:c r="K4759" s="19" t="str">
        <x:v>Auswide Caravans - South Nowra</x:v>
      </x:c>
      <x:c r="L4759" s="19" t="str">
        <x:v>Z005</x:v>
      </x:c>
      <x:c r="M4759" s="19" t="str">
        <x:v>Pre Delivery Warranty Claims</x:v>
      </x:c>
      <x:c r="N4759" s="37" t="n">
        <x:v>45999</x:v>
      </x:c>
      <x:c r="O4759" s="37"/>
      <x:c r="P4759" s="34" t="n">
        <x:v>0</x:v>
      </x:c>
      <x:c r="Q4759" s="37" t="n">
        <x:v>46071.97351851852</x:v>
      </x:c>
    </x:row>
    <x:row r="4760">
      <x:c r="A4760" s="22" t="n">
        <x:v>28841</x:v>
      </x:c>
      <x:c r="B4760" s="28" t="n">
        <x:v>480</x:v>
      </x:c>
      <x:c r="C4760" s="28"/>
      <x:c r="D4760" s="31" t="str">
        <x:f>IF(OR(ISBLANK(B4760),ISBLANK(C4760),B4760=0),"",(C4760-B4760)/B4760)</x:f>
      </x:c>
      <x:c r="E4760" s="22" t="str">
        <x:f>IF(ISBLANK(C4760),"AmountIncludingTax缺失",IF(ABS(B4760-C4760)&lt;0.005,"一致","不一致"))</x:f>
        <x:v>AmountIncludingTax缺失</x:v>
      </x:c>
      <x:c r="F4760" s="19" t="str">
        <x:v>approved</x:v>
      </x:c>
      <x:c r="G4760" s="19" t="str">
        <x:v>Repair in Progress</x:v>
      </x:c>
      <x:c r="H4760" s="19" t="str">
        <x:v>In Field</x:v>
      </x:c>
      <x:c r="I4760" s="37" t="n">
        <x:v>46087</x:v>
      </x:c>
      <x:c r="J4760" s="37" t="n">
        <x:v>46087</x:v>
      </x:c>
      <x:c r="K4760" s="19" t="str">
        <x:v>Leisure Lion Pty Ltd - Toowoomba</x:v>
      </x:c>
      <x:c r="L4760" s="19" t="str">
        <x:v>Z006</x:v>
      </x:c>
      <x:c r="M4760" s="19" t="str">
        <x:v>In Field Warranty Claims</x:v>
      </x:c>
      <x:c r="N4760" s="37" t="n">
        <x:v>45999</x:v>
      </x:c>
      <x:c r="O4760" s="37"/>
      <x:c r="P4760" s="34" t="n">
        <x:v>0</x:v>
      </x:c>
      <x:c r="Q4760" s="37" t="n">
        <x:v>46087.07965277778</x:v>
      </x:c>
    </x:row>
    <x:row r="4761">
      <x:c r="A4761" s="22" t="n">
        <x:v>28840</x:v>
      </x:c>
      <x:c r="B4761" s="28" t="n">
        <x:v>460.86</x:v>
      </x:c>
      <x:c r="C4761" s="28" t="n">
        <x:v>506.95</x:v>
      </x:c>
      <x:c r="D4761" s="31" t="n">
        <x:f>IF(OR(ISBLANK(B4761),ISBLANK(C4761),B4761=0),"",(C4761-B4761)/B4761)</x:f>
        <x:v>0.10000867942542198</x:v>
      </x:c>
      <x:c r="E4761" s="22" t="str">
        <x:f>IF(ISBLANK(C4761),"AmountIncludingTax缺失",IF(ABS(B4761-C4761)&lt;0.005,"一致","不一致"))</x:f>
        <x:v>不一致</x:v>
      </x:c>
      <x:c r="F4761" s="19" t="str">
        <x:v>approved</x:v>
      </x:c>
      <x:c r="G4761" s="19" t="str">
        <x:v>Repairer Invoiced Processed</x:v>
      </x:c>
      <x:c r="H4761" s="19" t="str">
        <x:v>In Field</x:v>
      </x:c>
      <x:c r="I4761" s="37" t="n">
        <x:v>46125</x:v>
      </x:c>
      <x:c r="J4761" s="37" t="n">
        <x:v>46125</x:v>
      </x:c>
      <x:c r="K4761" s="19" t="str">
        <x:v>Mandurah Caravan &amp; RV Centre</x:v>
      </x:c>
      <x:c r="L4761" s="19" t="str">
        <x:v>Z006</x:v>
      </x:c>
      <x:c r="M4761" s="19" t="str">
        <x:v>In Field Warranty Claims</x:v>
      </x:c>
      <x:c r="N4761" s="37" t="n">
        <x:v>45999</x:v>
      </x:c>
      <x:c r="O4761" s="37"/>
      <x:c r="P4761" s="34" t="n">
        <x:v>506.95</x:v>
      </x:c>
      <x:c r="Q4761" s="37" t="n">
        <x:v>46124.992418981485</x:v>
      </x:c>
    </x:row>
    <x:row r="4762">
      <x:c r="A4762" s="22" t="n">
        <x:v>28839</x:v>
      </x:c>
      <x:c r="B4762" s="28" t="n">
        <x:v>178.75</x:v>
      </x:c>
      <x:c r="C4762" s="28"/>
      <x:c r="D4762" s="31" t="str">
        <x:f>IF(OR(ISBLANK(B4762),ISBLANK(C4762),B4762=0),"",(C4762-B4762)/B4762)</x:f>
      </x:c>
      <x:c r="E4762" s="22" t="str">
        <x:f>IF(ISBLANK(C4762),"AmountIncludingTax缺失",IF(ABS(B4762-C4762)&lt;0.005,"一致","不一致"))</x:f>
        <x:v>AmountIncludingTax缺失</x:v>
      </x:c>
      <x:c r="F4762" s="19" t="str">
        <x:v>approved</x:v>
      </x:c>
      <x:c r="G4762" s="19" t="str">
        <x:v>Repair in Progress</x:v>
      </x:c>
      <x:c r="H4762" s="19" t="str">
        <x:v>In Field</x:v>
      </x:c>
      <x:c r="I4762" s="37" t="n">
        <x:v>46058</x:v>
      </x:c>
      <x:c r="J4762" s="37" t="n">
        <x:v>46057</x:v>
      </x:c>
      <x:c r="K4762" s="19" t="str">
        <x:v>Green RV - Forest Glen</x:v>
      </x:c>
      <x:c r="L4762" s="19" t="str">
        <x:v>Z006</x:v>
      </x:c>
      <x:c r="M4762" s="19" t="str">
        <x:v>In Field Warranty Claims</x:v>
      </x:c>
      <x:c r="N4762" s="37" t="n">
        <x:v>45999</x:v>
      </x:c>
      <x:c r="O4762" s="37"/>
      <x:c r="P4762" s="34" t="n">
        <x:v>0</x:v>
      </x:c>
      <x:c r="Q4762" s="37" t="n">
        <x:v>46057.856203703705</x:v>
      </x:c>
    </x:row>
    <x:row r="4763">
      <x:c r="A4763" s="22" t="n">
        <x:v>28837</x:v>
      </x:c>
      <x:c r="B4763" s="28" t="n">
        <x:v>67.5</x:v>
      </x:c>
      <x:c r="C4763" s="28"/>
      <x:c r="D4763" s="31" t="str">
        <x:f>IF(OR(ISBLANK(B4763),ISBLANK(C4763),B4763=0),"",(C4763-B4763)/B4763)</x:f>
      </x:c>
      <x:c r="E4763" s="22" t="str">
        <x:f>IF(ISBLANK(C4763),"AmountIncludingTax缺失",IF(ABS(B4763-C4763)&lt;0.005,"一致","不一致"))</x:f>
        <x:v>AmountIncludingTax缺失</x:v>
      </x:c>
      <x:c r="F4763" s="19" t="str">
        <x:v>approved</x:v>
      </x:c>
      <x:c r="G4763" s="19" t="str">
        <x:v>Repairer Invoiced Processed</x:v>
      </x:c>
      <x:c r="H4763" s="19" t="str">
        <x:v>In Field</x:v>
      </x:c>
      <x:c r="I4763" s="37" t="n">
        <x:v>46080</x:v>
      </x:c>
      <x:c r="J4763" s="37" t="n">
        <x:v>46080</x:v>
      </x:c>
      <x:c r="K4763" s="19" t="str">
        <x:v>Dario Caravans - Pooraka</x:v>
      </x:c>
      <x:c r="L4763" s="19" t="str">
        <x:v>Z006</x:v>
      </x:c>
      <x:c r="M4763" s="19" t="str">
        <x:v>In Field Warranty Claims</x:v>
      </x:c>
      <x:c r="N4763" s="37" t="n">
        <x:v>45999</x:v>
      </x:c>
      <x:c r="O4763" s="37"/>
      <x:c r="P4763" s="34" t="n">
        <x:v>0</x:v>
      </x:c>
      <x:c r="Q4763" s="37" t="n">
        <x:v>46080.12724537037</x:v>
      </x:c>
    </x:row>
    <x:row r="4764">
      <x:c r="A4764" s="22" t="n">
        <x:v>28836</x:v>
      </x:c>
      <x:c r="B4764" s="28" t="n">
        <x:v>92.58</x:v>
      </x:c>
      <x:c r="C4764" s="28"/>
      <x:c r="D4764" s="31" t="str">
        <x:f>IF(OR(ISBLANK(B4764),ISBLANK(C4764),B4764=0),"",(C4764-B4764)/B4764)</x:f>
      </x:c>
      <x:c r="E4764" s="22" t="str">
        <x:f>IF(ISBLANK(C4764),"AmountIncludingTax缺失",IF(ABS(B4764-C4764)&lt;0.005,"一致","不一致"))</x:f>
        <x:v>AmountIncludingTax缺失</x:v>
      </x:c>
      <x:c r="F4764" s="19" t="str">
        <x:v>approved</x:v>
      </x:c>
      <x:c r="G4764" s="19" t="str">
        <x:v>Sales Order Approved</x:v>
      </x:c>
      <x:c r="H4764" s="19" t="str">
        <x:v>Pre Delivery</x:v>
      </x:c>
      <x:c r="I4764" s="37" t="n">
        <x:v>46100</x:v>
      </x:c>
      <x:c r="J4764" s="37" t="n">
        <x:v>46099</x:v>
      </x:c>
      <x:c r="K4764" s="19" t="str">
        <x:v>Auswide Caravans - South Nowra</x:v>
      </x:c>
      <x:c r="L4764" s="19" t="str">
        <x:v>Z005</x:v>
      </x:c>
      <x:c r="M4764" s="19" t="str">
        <x:v>Pre Delivery Warranty Claims</x:v>
      </x:c>
      <x:c r="N4764" s="37" t="n">
        <x:v>45999</x:v>
      </x:c>
      <x:c r="O4764" s="37"/>
      <x:c r="P4764" s="34" t="n">
        <x:v>0</x:v>
      </x:c>
      <x:c r="Q4764" s="37" t="n">
        <x:v>46099.88664351852</x:v>
      </x:c>
    </x:row>
    <x:row r="4765">
      <x:c r="A4765" s="22" t="n">
        <x:v>28835</x:v>
      </x:c>
      <x:c r="B4765" s="28" t="n">
        <x:v>272.73</x:v>
      </x:c>
      <x:c r="C4765" s="28" t="n">
        <x:v>300</x:v>
      </x:c>
      <x:c r="D4765" s="31" t="n">
        <x:f>IF(OR(ISBLANK(B4765),ISBLANK(C4765),B4765=0),"",(C4765-B4765)/B4765)</x:f>
        <x:v>0.09998900010999882</x:v>
      </x:c>
      <x:c r="E4765" s="22" t="str">
        <x:f>IF(ISBLANK(C4765),"AmountIncludingTax缺失",IF(ABS(B4765-C4765)&lt;0.005,"一致","不一致"))</x:f>
        <x:v>不一致</x:v>
      </x:c>
      <x:c r="F4765" s="19" t="str">
        <x:v>approved</x:v>
      </x:c>
      <x:c r="G4765" s="19" t="str">
        <x:v>Repairer Invoiced Processed</x:v>
      </x:c>
      <x:c r="H4765" s="19" t="str">
        <x:v>In Field</x:v>
      </x:c>
      <x:c r="I4765" s="37" t="n">
        <x:v>46100</x:v>
      </x:c>
      <x:c r="J4765" s="37" t="n">
        <x:v>46100</x:v>
      </x:c>
      <x:c r="K4765" s="19" t="str">
        <x:v>Regent RV - Perth</x:v>
      </x:c>
      <x:c r="L4765" s="19" t="str">
        <x:v>Z006</x:v>
      </x:c>
      <x:c r="M4765" s="19" t="str">
        <x:v>In Field Warranty Claims</x:v>
      </x:c>
      <x:c r="N4765" s="37" t="n">
        <x:v>45999</x:v>
      </x:c>
      <x:c r="O4765" s="37"/>
      <x:c r="P4765" s="34" t="n">
        <x:v>300</x:v>
      </x:c>
      <x:c r="Q4765" s="37" t="n">
        <x:v>46100.49699074074</x:v>
      </x:c>
    </x:row>
    <x:row r="4766">
      <x:c r="A4766" s="22" t="n">
        <x:v>28834</x:v>
      </x:c>
      <x:c r="B4766" s="28" t="n">
        <x:v>2640</x:v>
      </x:c>
      <x:c r="C4766" s="28"/>
      <x:c r="D4766" s="31" t="str">
        <x:f>IF(OR(ISBLANK(B4766),ISBLANK(C4766),B4766=0),"",(C4766-B4766)/B4766)</x:f>
      </x:c>
      <x:c r="E4766" s="22" t="str">
        <x:f>IF(ISBLANK(C4766),"AmountIncludingTax缺失",IF(ABS(B4766-C4766)&lt;0.005,"一致","不一致"))</x:f>
        <x:v>AmountIncludingTax缺失</x:v>
      </x:c>
      <x:c r="F4766" s="19" t="str">
        <x:v>approved</x:v>
      </x:c>
      <x:c r="G4766" s="19" t="str">
        <x:v>Repairer Invoiced Processed</x:v>
      </x:c>
      <x:c r="H4766" s="19" t="str">
        <x:v>In Field</x:v>
      </x:c>
      <x:c r="I4766" s="37" t="n">
        <x:v>46057</x:v>
      </x:c>
      <x:c r="J4766" s="37" t="n">
        <x:v>46057</x:v>
      </x:c>
      <x:c r="K4766" s="19" t="str">
        <x:v>Regent RV - Perth</x:v>
      </x:c>
      <x:c r="L4766" s="19" t="str">
        <x:v>Z006</x:v>
      </x:c>
      <x:c r="M4766" s="19" t="str">
        <x:v>In Field Warranty Claims</x:v>
      </x:c>
      <x:c r="N4766" s="37" t="n">
        <x:v>45999</x:v>
      </x:c>
      <x:c r="O4766" s="37"/>
      <x:c r="P4766" s="34" t="n">
        <x:v>2904</x:v>
      </x:c>
      <x:c r="Q4766" s="37" t="n">
        <x:v>46057.10880787037</x:v>
      </x:c>
    </x:row>
    <x:row r="4767">
      <x:c r="A4767" s="22" t="n">
        <x:v>28833</x:v>
      </x:c>
      <x:c r="B4767" s="28" t="n">
        <x:v>110</x:v>
      </x:c>
      <x:c r="C4767" s="28"/>
      <x:c r="D4767" s="31" t="str">
        <x:f>IF(OR(ISBLANK(B4767),ISBLANK(C4767),B4767=0),"",(C4767-B4767)/B4767)</x:f>
      </x:c>
      <x:c r="E4767" s="22" t="str">
        <x:f>IF(ISBLANK(C4767),"AmountIncludingTax缺失",IF(ABS(B4767-C4767)&lt;0.005,"一致","不一致"))</x:f>
        <x:v>AmountIncludingTax缺失</x:v>
      </x:c>
      <x:c r="F4767" s="19" t="str">
        <x:v>approved</x:v>
      </x:c>
      <x:c r="G4767" s="19" t="str">
        <x:v>Repair in Progress</x:v>
      </x:c>
      <x:c r="H4767" s="19" t="str">
        <x:v>Pre Delivery</x:v>
      </x:c>
      <x:c r="I4767" s="37" t="n">
        <x:v>46051</x:v>
      </x:c>
      <x:c r="J4767" s="37" t="n">
        <x:v>46051</x:v>
      </x:c>
      <x:c r="K4767" s="19" t="str">
        <x:v>Regent RV - Frankston</x:v>
      </x:c>
      <x:c r="L4767" s="19" t="str">
        <x:v>Z005</x:v>
      </x:c>
      <x:c r="M4767" s="19" t="str">
        <x:v>Pre Delivery Warranty Claims</x:v>
      </x:c>
      <x:c r="N4767" s="37" t="n">
        <x:v>45999</x:v>
      </x:c>
      <x:c r="O4767" s="37"/>
      <x:c r="P4767" s="34" t="n">
        <x:v>0</x:v>
      </x:c>
      <x:c r="Q4767" s="37" t="n">
        <x:v>46050.95877314815</x:v>
      </x:c>
    </x:row>
    <x:row r="4768">
      <x:c r="A4768" s="22" t="n">
        <x:v>28819</x:v>
      </x:c>
      <x:c r="B4768" s="28" t="n">
        <x:v>220</x:v>
      </x:c>
      <x:c r="C4768" s="28"/>
      <x:c r="D4768" s="31" t="str">
        <x:f>IF(OR(ISBLANK(B4768),ISBLANK(C4768),B4768=0),"",(C4768-B4768)/B4768)</x:f>
      </x:c>
      <x:c r="E4768" s="22" t="str">
        <x:f>IF(ISBLANK(C4768),"AmountIncludingTax缺失",IF(ABS(B4768-C4768)&lt;0.005,"一致","不一致"))</x:f>
        <x:v>AmountIncludingTax缺失</x:v>
      </x:c>
      <x:c r="F4768" s="19" t="str">
        <x:v>approved</x:v>
      </x:c>
      <x:c r="G4768" s="19" t="str">
        <x:v>Sales Order Approved</x:v>
      </x:c>
      <x:c r="H4768" s="19" t="str">
        <x:v>Pre Delivery</x:v>
      </x:c>
      <x:c r="I4768" s="37" t="n">
        <x:v>46097</x:v>
      </x:c>
      <x:c r="J4768" s="37" t="n">
        <x:v>46097</x:v>
      </x:c>
      <x:c r="K4768" s="19" t="str">
        <x:v>Regent RV - Perth</x:v>
      </x:c>
      <x:c r="L4768" s="19" t="str">
        <x:v>Z005</x:v>
      </x:c>
      <x:c r="M4768" s="19" t="str">
        <x:v>Pre Delivery Warranty Claims</x:v>
      </x:c>
      <x:c r="N4768" s="37" t="n">
        <x:v>45999</x:v>
      </x:c>
      <x:c r="O4768" s="37"/>
      <x:c r="P4768" s="34" t="n">
        <x:v>0</x:v>
      </x:c>
      <x:c r="Q4768" s="37" t="n">
        <x:v>46097.22277777778</x:v>
      </x:c>
    </x:row>
    <x:row r="4769">
      <x:c r="A4769" s="22" t="n">
        <x:v>28816</x:v>
      </x:c>
      <x:c r="B4769" s="28" t="n">
        <x:v>321.93</x:v>
      </x:c>
      <x:c r="C4769" s="28"/>
      <x:c r="D4769" s="31" t="str">
        <x:f>IF(OR(ISBLANK(B4769),ISBLANK(C4769),B4769=0),"",(C4769-B4769)/B4769)</x:f>
      </x:c>
      <x:c r="E4769" s="22" t="str">
        <x:f>IF(ISBLANK(C4769),"AmountIncludingTax缺失",IF(ABS(B4769-C4769)&lt;0.005,"一致","不一致"))</x:f>
        <x:v>AmountIncludingTax缺失</x:v>
      </x:c>
      <x:c r="F4769" s="19" t="str">
        <x:v>approved</x:v>
      </x:c>
      <x:c r="G4769" s="19" t="str">
        <x:v>Repair in Progress</x:v>
      </x:c>
      <x:c r="H4769" s="19" t="str">
        <x:v>In Field</x:v>
      </x:c>
      <x:c r="I4769" s="37" t="n">
        <x:v>46055</x:v>
      </x:c>
      <x:c r="J4769" s="37" t="n">
        <x:v>46055</x:v>
      </x:c>
      <x:c r="K4769" s="19" t="str">
        <x:v>Green RV - Forest Glen</x:v>
      </x:c>
      <x:c r="L4769" s="19" t="str">
        <x:v>Z006</x:v>
      </x:c>
      <x:c r="M4769" s="19" t="str">
        <x:v>In Field Warranty Claims</x:v>
      </x:c>
      <x:c r="N4769" s="37" t="n">
        <x:v>45999</x:v>
      </x:c>
      <x:c r="O4769" s="37"/>
      <x:c r="P4769" s="34" t="n">
        <x:v>0</x:v>
      </x:c>
      <x:c r="Q4769" s="37" t="n">
        <x:v>46055.195231481484</x:v>
      </x:c>
    </x:row>
    <x:row r="4770">
      <x:c r="A4770" s="22" t="n">
        <x:v>28815</x:v>
      </x:c>
      <x:c r="B4770" s="28" t="n">
        <x:v>76.59</x:v>
      </x:c>
      <x:c r="C4770" s="28"/>
      <x:c r="D4770" s="31" t="str">
        <x:f>IF(OR(ISBLANK(B4770),ISBLANK(C4770),B4770=0),"",(C4770-B4770)/B4770)</x:f>
      </x:c>
      <x:c r="E4770" s="22" t="str">
        <x:f>IF(ISBLANK(C4770),"AmountIncludingTax缺失",IF(ABS(B4770-C4770)&lt;0.005,"一致","不一致"))</x:f>
        <x:v>AmountIncludingTax缺失</x:v>
      </x:c>
      <x:c r="F4770" s="19" t="str">
        <x:v>approved</x:v>
      </x:c>
      <x:c r="G4770" s="19" t="str">
        <x:v>Repair in Progress</x:v>
      </x:c>
      <x:c r="H4770" s="19" t="str">
        <x:v>In Field</x:v>
      </x:c>
      <x:c r="I4770" s="37" t="n">
        <x:v>46055</x:v>
      </x:c>
      <x:c r="J4770" s="37" t="n">
        <x:v>46055</x:v>
      </x:c>
      <x:c r="K4770" s="19" t="str">
        <x:v>Green RV - Forest Glen</x:v>
      </x:c>
      <x:c r="L4770" s="19" t="str">
        <x:v>Z006</x:v>
      </x:c>
      <x:c r="M4770" s="19" t="str">
        <x:v>In Field Warranty Claims</x:v>
      </x:c>
      <x:c r="N4770" s="37" t="n">
        <x:v>45999</x:v>
      </x:c>
      <x:c r="O4770" s="37"/>
      <x:c r="P4770" s="34" t="n">
        <x:v>0</x:v>
      </x:c>
      <x:c r="Q4770" s="37" t="n">
        <x:v>46055.18662037037</x:v>
      </x:c>
    </x:row>
    <x:row r="4771">
      <x:c r="A4771" s="22" t="n">
        <x:v>28814</x:v>
      </x:c>
      <x:c r="B4771" s="28" t="n">
        <x:v>605</x:v>
      </x:c>
      <x:c r="C4771" s="28"/>
      <x:c r="D4771" s="31" t="str">
        <x:f>IF(OR(ISBLANK(B4771),ISBLANK(C4771),B4771=0),"",(C4771-B4771)/B4771)</x:f>
      </x:c>
      <x:c r="E4771" s="22" t="str">
        <x:f>IF(ISBLANK(C4771),"AmountIncludingTax缺失",IF(ABS(B4771-C4771)&lt;0.005,"一致","不一致"))</x:f>
        <x:v>AmountIncludingTax缺失</x:v>
      </x:c>
      <x:c r="F4771" s="19" t="str">
        <x:v>approved</x:v>
      </x:c>
      <x:c r="G4771" s="19" t="str">
        <x:v>Repair in Progress</x:v>
      </x:c>
      <x:c r="H4771" s="19" t="str">
        <x:v>Pre Delivery</x:v>
      </x:c>
      <x:c r="I4771" s="37" t="n">
        <x:v>46079</x:v>
      </x:c>
      <x:c r="J4771" s="37" t="n">
        <x:v>46079</x:v>
      </x:c>
      <x:c r="K4771" s="19" t="str">
        <x:v>Regent RV - Perth</x:v>
      </x:c>
      <x:c r="L4771" s="19" t="str">
        <x:v>Z005</x:v>
      </x:c>
      <x:c r="M4771" s="19" t="str">
        <x:v>Pre Delivery Warranty Claims</x:v>
      </x:c>
      <x:c r="N4771" s="37" t="n">
        <x:v>45999</x:v>
      </x:c>
      <x:c r="O4771" s="37"/>
      <x:c r="P4771" s="34" t="n">
        <x:v>0</x:v>
      </x:c>
      <x:c r="Q4771" s="37" t="n">
        <x:v>46079.25822916667</x:v>
      </x:c>
    </x:row>
    <x:row r="4772">
      <x:c r="A4772" s="22" t="n">
        <x:v>28812</x:v>
      </x:c>
      <x:c r="B4772" s="28" t="n">
        <x:v>500</x:v>
      </x:c>
      <x:c r="C4772" s="28" t="n">
        <x:v>550</x:v>
      </x:c>
      <x:c r="D4772" s="31" t="n">
        <x:f>IF(OR(ISBLANK(B4772),ISBLANK(C4772),B4772=0),"",(C4772-B4772)/B4772)</x:f>
        <x:v>0.1</x:v>
      </x:c>
      <x:c r="E4772" s="22" t="str">
        <x:f>IF(ISBLANK(C4772),"AmountIncludingTax缺失",IF(ABS(B4772-C4772)&lt;0.005,"一致","不一致"))</x:f>
        <x:v>不一致</x:v>
      </x:c>
      <x:c r="F4772" s="19" t="str">
        <x:v>approved</x:v>
      </x:c>
      <x:c r="G4772" s="19" t="str">
        <x:v>Repairer Invoiced Processed</x:v>
      </x:c>
      <x:c r="H4772" s="19" t="str">
        <x:v>Pre Delivery</x:v>
      </x:c>
      <x:c r="I4772" s="37" t="n">
        <x:v>46057</x:v>
      </x:c>
      <x:c r="J4772" s="37" t="n">
        <x:v>46057</x:v>
      </x:c>
      <x:c r="K4772" s="19" t="str">
        <x:v>ABCO Caravans - Boambee Valley</x:v>
      </x:c>
      <x:c r="L4772" s="19" t="str">
        <x:v>Z005</x:v>
      </x:c>
      <x:c r="M4772" s="19" t="str">
        <x:v>Pre Delivery Warranty Claims</x:v>
      </x:c>
      <x:c r="N4772" s="37" t="n">
        <x:v>45999</x:v>
      </x:c>
      <x:c r="O4772" s="37"/>
      <x:c r="P4772" s="34" t="n">
        <x:v>550</x:v>
      </x:c>
      <x:c r="Q4772" s="37" t="n">
        <x:v>46057.41334490741</x:v>
      </x:c>
    </x:row>
    <x:row r="4773">
      <x:c r="A4773" s="22" t="n">
        <x:v>28811</x:v>
      </x:c>
      <x:c r="B4773" s="28" t="n">
        <x:v>1690.91</x:v>
      </x:c>
      <x:c r="C4773" s="28"/>
      <x:c r="D4773" s="31" t="str">
        <x:f>IF(OR(ISBLANK(B4773),ISBLANK(C4773),B4773=0),"",(C4773-B4773)/B4773)</x:f>
      </x:c>
      <x:c r="E4773" s="22" t="str">
        <x:f>IF(ISBLANK(C4773),"AmountIncludingTax缺失",IF(ABS(B4773-C4773)&lt;0.005,"一致","不一致"))</x:f>
        <x:v>AmountIncludingTax缺失</x:v>
      </x:c>
      <x:c r="F4773" s="19" t="str">
        <x:v>approved</x:v>
      </x:c>
      <x:c r="G4773" s="19" t="str">
        <x:v>Repair in Progress</x:v>
      </x:c>
      <x:c r="H4773" s="19" t="str">
        <x:v>In Field</x:v>
      </x:c>
      <x:c r="I4773" s="37" t="n">
        <x:v>46119</x:v>
      </x:c>
      <x:c r="J4773" s="37" t="n">
        <x:v>46119</x:v>
      </x:c>
      <x:c r="K4773" s="19" t="str">
        <x:v>Green RV - Forest Glen</x:v>
      </x:c>
      <x:c r="L4773" s="19" t="str">
        <x:v>Z006</x:v>
      </x:c>
      <x:c r="M4773" s="19" t="str">
        <x:v>In Field Warranty Claims</x:v>
      </x:c>
      <x:c r="N4773" s="37" t="n">
        <x:v>45999</x:v>
      </x:c>
      <x:c r="O4773" s="37"/>
      <x:c r="P4773" s="34" t="n">
        <x:v>1860</x:v>
      </x:c>
      <x:c r="Q4773" s="37" t="n">
        <x:v>46119.19435185185</x:v>
      </x:c>
    </x:row>
    <x:row r="4774">
      <x:c r="A4774" s="22" t="n">
        <x:v>28800</x:v>
      </x:c>
      <x:c r="B4774" s="28" t="n">
        <x:v>935</x:v>
      </x:c>
      <x:c r="C4774" s="28"/>
      <x:c r="D4774" s="31" t="str">
        <x:f>IF(OR(ISBLANK(B4774),ISBLANK(C4774),B4774=0),"",(C4774-B4774)/B4774)</x:f>
      </x:c>
      <x:c r="E4774" s="22" t="str">
        <x:f>IF(ISBLANK(C4774),"AmountIncludingTax缺失",IF(ABS(B4774-C4774)&lt;0.005,"一致","不一致"))</x:f>
        <x:v>AmountIncludingTax缺失</x:v>
      </x:c>
      <x:c r="F4774" s="19" t="str">
        <x:v>approved</x:v>
      </x:c>
      <x:c r="G4774" s="19" t="str">
        <x:v>Repair in Progress</x:v>
      </x:c>
      <x:c r="H4774" s="19" t="str">
        <x:v>In Field</x:v>
      </x:c>
      <x:c r="I4774" s="37" t="n">
        <x:v>46076</x:v>
      </x:c>
      <x:c r="J4774" s="37" t="n">
        <x:v>46073</x:v>
      </x:c>
      <x:c r="K4774" s="19" t="str">
        <x:v>Regent RV - Frankston</x:v>
      </x:c>
      <x:c r="L4774" s="19" t="str">
        <x:v>Z006</x:v>
      </x:c>
      <x:c r="M4774" s="19" t="str">
        <x:v>In Field Warranty Claims</x:v>
      </x:c>
      <x:c r="N4774" s="37" t="n">
        <x:v>45999</x:v>
      </x:c>
      <x:c r="O4774" s="37"/>
      <x:c r="P4774" s="34" t="n">
        <x:v>0</x:v>
      </x:c>
      <x:c r="Q4774" s="37" t="n">
        <x:v>46076.20650462963</x:v>
      </x:c>
    </x:row>
    <x:row r="4775">
      <x:c r="A4775" s="22" t="n">
        <x:v>28797</x:v>
      </x:c>
      <x:c r="B4775" s="28" t="n">
        <x:v>573.75</x:v>
      </x:c>
      <x:c r="C4775" s="28"/>
      <x:c r="D4775" s="31" t="str">
        <x:f>IF(OR(ISBLANK(B4775),ISBLANK(C4775),B4775=0),"",(C4775-B4775)/B4775)</x:f>
      </x:c>
      <x:c r="E4775" s="22" t="str">
        <x:f>IF(ISBLANK(C4775),"AmountIncludingTax缺失",IF(ABS(B4775-C4775)&lt;0.005,"一致","不一致"))</x:f>
        <x:v>AmountIncludingTax缺失</x:v>
      </x:c>
      <x:c r="F4775" s="19" t="str">
        <x:v>approved</x:v>
      </x:c>
      <x:c r="G4775" s="19" t="str">
        <x:v>Repairer Invoiced Received</x:v>
      </x:c>
      <x:c r="H4775" s="19" t="str">
        <x:v>Pre Delivery</x:v>
      </x:c>
      <x:c r="I4775" s="37" t="n">
        <x:v>46056</x:v>
      </x:c>
      <x:c r="J4775" s="37" t="n">
        <x:v>46056</x:v>
      </x:c>
      <x:c r="K4775" s="19" t="str">
        <x:v>Green RV - Forest Glen</x:v>
      </x:c>
      <x:c r="L4775" s="19" t="str">
        <x:v>Z005</x:v>
      </x:c>
      <x:c r="M4775" s="19" t="str">
        <x:v>Pre Delivery Warranty Claims</x:v>
      </x:c>
      <x:c r="N4775" s="37" t="n">
        <x:v>45999</x:v>
      </x:c>
      <x:c r="O4775" s="37"/>
      <x:c r="P4775" s="34" t="n">
        <x:v>0</x:v>
      </x:c>
      <x:c r="Q4775" s="37" t="n">
        <x:v>46056.27375</x:v>
      </x:c>
    </x:row>
    <x:row r="4776">
      <x:c r="A4776" s="22" t="n">
        <x:v>28796</x:v>
      </x:c>
      <x:c r="B4776" s="28" t="n">
        <x:v>337.5</x:v>
      </x:c>
      <x:c r="C4776" s="28"/>
      <x:c r="D4776" s="31" t="str">
        <x:f>IF(OR(ISBLANK(B4776),ISBLANK(C4776),B4776=0),"",(C4776-B4776)/B4776)</x:f>
      </x:c>
      <x:c r="E4776" s="22" t="str">
        <x:f>IF(ISBLANK(C4776),"AmountIncludingTax缺失",IF(ABS(B4776-C4776)&lt;0.005,"一致","不一致"))</x:f>
        <x:v>AmountIncludingTax缺失</x:v>
      </x:c>
      <x:c r="F4776" s="19" t="str">
        <x:v>approved</x:v>
      </x:c>
      <x:c r="G4776" s="19" t="str">
        <x:v>Repair in Progress</x:v>
      </x:c>
      <x:c r="H4776" s="19" t="str">
        <x:v>In Field</x:v>
      </x:c>
      <x:c r="I4776" s="37" t="n">
        <x:v>46114</x:v>
      </x:c>
      <x:c r="J4776" s="37" t="n">
        <x:v>46114</x:v>
      </x:c>
      <x:c r="K4776" s="19" t="str">
        <x:v>Regent RV - Toowoomba</x:v>
      </x:c>
      <x:c r="L4776" s="19" t="str">
        <x:v>Z006</x:v>
      </x:c>
      <x:c r="M4776" s="19" t="str">
        <x:v>In Field Warranty Claims</x:v>
      </x:c>
      <x:c r="N4776" s="37" t="n">
        <x:v>45999</x:v>
      </x:c>
      <x:c r="O4776" s="37"/>
      <x:c r="P4776" s="34" t="n">
        <x:v>0</x:v>
      </x:c>
      <x:c r="Q4776" s="37" t="n">
        <x:v>46114.05118055556</x:v>
      </x:c>
    </x:row>
    <x:row r="4777">
      <x:c r="A4777" s="22" t="n">
        <x:v>28794</x:v>
      </x:c>
      <x:c r="B4777" s="28" t="n">
        <x:v>927.5</x:v>
      </x:c>
      <x:c r="C4777" s="28"/>
      <x:c r="D4777" s="31" t="str">
        <x:f>IF(OR(ISBLANK(B4777),ISBLANK(C4777),B4777=0),"",(C4777-B4777)/B4777)</x:f>
      </x:c>
      <x:c r="E4777" s="22" t="str">
        <x:f>IF(ISBLANK(C4777),"AmountIncludingTax缺失",IF(ABS(B4777-C4777)&lt;0.005,"一致","不一致"))</x:f>
        <x:v>AmountIncludingTax缺失</x:v>
      </x:c>
      <x:c r="F4777" s="19" t="str">
        <x:v>approved</x:v>
      </x:c>
      <x:c r="G4777" s="19" t="str">
        <x:v>Repair in Progress</x:v>
      </x:c>
      <x:c r="H4777" s="19" t="str">
        <x:v>In Field</x:v>
      </x:c>
      <x:c r="I4777" s="37" t="n">
        <x:v>46112</x:v>
      </x:c>
      <x:c r="J4777" s="37" t="n">
        <x:v>46112</x:v>
      </x:c>
      <x:c r="K4777" s="19" t="str">
        <x:v>Auswide Caravans - South Nowra</x:v>
      </x:c>
      <x:c r="L4777" s="19" t="str">
        <x:v>Z006</x:v>
      </x:c>
      <x:c r="M4777" s="19" t="str">
        <x:v>In Field Warranty Claims</x:v>
      </x:c>
      <x:c r="N4777" s="37" t="n">
        <x:v>45999</x:v>
      </x:c>
      <x:c r="O4777" s="37"/>
      <x:c r="P4777" s="34" t="n">
        <x:v>0</x:v>
      </x:c>
      <x:c r="Q4777" s="37" t="n">
        <x:v>46111.888553240744</x:v>
      </x:c>
    </x:row>
    <x:row r="4778">
      <x:c r="A4778" s="22" t="n">
        <x:v>28791</x:v>
      </x:c>
      <x:c r="B4778" s="28" t="n">
        <x:v>72.05</x:v>
      </x:c>
      <x:c r="C4778" s="28"/>
      <x:c r="D4778" s="31" t="str">
        <x:f>IF(OR(ISBLANK(B4778),ISBLANK(C4778),B4778=0),"",(C4778-B4778)/B4778)</x:f>
      </x:c>
      <x:c r="E4778" s="22" t="str">
        <x:f>IF(ISBLANK(C4778),"AmountIncludingTax缺失",IF(ABS(B4778-C4778)&lt;0.005,"一致","不一致"))</x:f>
        <x:v>AmountIncludingTax缺失</x:v>
      </x:c>
      <x:c r="F4778" s="19" t="str">
        <x:v>approved</x:v>
      </x:c>
      <x:c r="G4778" s="19" t="str">
        <x:v>Repairer Invoiced Processed</x:v>
      </x:c>
      <x:c r="H4778" s="19" t="str">
        <x:v>In Field</x:v>
      </x:c>
      <x:c r="I4778" s="37" t="n">
        <x:v>46055</x:v>
      </x:c>
      <x:c r="J4778" s="37" t="n">
        <x:v>46055</x:v>
      </x:c>
      <x:c r="K4778" s="19" t="str">
        <x:v>Green RV - Forest Glen</x:v>
      </x:c>
      <x:c r="L4778" s="19" t="str">
        <x:v>Z006</x:v>
      </x:c>
      <x:c r="M4778" s="19" t="str">
        <x:v>In Field Warranty Claims</x:v>
      </x:c>
      <x:c r="N4778" s="37" t="n">
        <x:v>45999</x:v>
      </x:c>
      <x:c r="O4778" s="37"/>
      <x:c r="P4778" s="34" t="n">
        <x:v>0</x:v>
      </x:c>
      <x:c r="Q4778" s="37" t="n">
        <x:v>46055.18383101852</x:v>
      </x:c>
    </x:row>
    <x:row r="4779">
      <x:c r="A4779" s="22" t="n">
        <x:v>28790</x:v>
      </x:c>
      <x:c r="B4779" s="28" t="n">
        <x:v>101.25</x:v>
      </x:c>
      <x:c r="C4779" s="28"/>
      <x:c r="D4779" s="31" t="str">
        <x:f>IF(OR(ISBLANK(B4779),ISBLANK(C4779),B4779=0),"",(C4779-B4779)/B4779)</x:f>
      </x:c>
      <x:c r="E4779" s="22" t="str">
        <x:f>IF(ISBLANK(C4779),"AmountIncludingTax缺失",IF(ABS(B4779-C4779)&lt;0.005,"一致","不一致"))</x:f>
        <x:v>AmountIncludingTax缺失</x:v>
      </x:c>
      <x:c r="F4779" s="19" t="str">
        <x:v>approved</x:v>
      </x:c>
      <x:c r="G4779" s="19" t="str">
        <x:v>Repair in Progress</x:v>
      </x:c>
      <x:c r="H4779" s="19" t="str">
        <x:v>In Field</x:v>
      </x:c>
      <x:c r="I4779" s="37" t="n">
        <x:v>46111</x:v>
      </x:c>
      <x:c r="J4779" s="37" t="n">
        <x:v>46111</x:v>
      </x:c>
      <x:c r="K4779" s="19" t="str">
        <x:v>Regent RV - Toowoomba</x:v>
      </x:c>
      <x:c r="L4779" s="19" t="str">
        <x:v>Z006</x:v>
      </x:c>
      <x:c r="M4779" s="19" t="str">
        <x:v>In Field Warranty Claims</x:v>
      </x:c>
      <x:c r="N4779" s="37" t="n">
        <x:v>45999</x:v>
      </x:c>
      <x:c r="O4779" s="37"/>
      <x:c r="P4779" s="34" t="n">
        <x:v>0</x:v>
      </x:c>
      <x:c r="Q4779" s="37" t="n">
        <x:v>46111.182118055556</x:v>
      </x:c>
    </x:row>
    <x:row r="4780">
      <x:c r="A4780" s="22" t="n">
        <x:v>28788</x:v>
      </x:c>
      <x:c r="B4780" s="28" t="n">
        <x:v>225</x:v>
      </x:c>
      <x:c r="C4780" s="28"/>
      <x:c r="D4780" s="31" t="str">
        <x:f>IF(OR(ISBLANK(B4780),ISBLANK(C4780),B4780=0),"",(C4780-B4780)/B4780)</x:f>
      </x:c>
      <x:c r="E4780" s="22" t="str">
        <x:f>IF(ISBLANK(C4780),"AmountIncludingTax缺失",IF(ABS(B4780-C4780)&lt;0.005,"一致","不一致"))</x:f>
        <x:v>AmountIncludingTax缺失</x:v>
      </x:c>
      <x:c r="F4780" s="19" t="str">
        <x:v>approved</x:v>
      </x:c>
      <x:c r="G4780" s="19" t="str">
        <x:v>Partially Picked</x:v>
      </x:c>
      <x:c r="H4780" s="19" t="str">
        <x:v>Pre Delivery</x:v>
      </x:c>
      <x:c r="I4780" s="37" t="n">
        <x:v>46057</x:v>
      </x:c>
      <x:c r="J4780" s="37" t="n">
        <x:v>46057</x:v>
      </x:c>
      <x:c r="K4780" s="19" t="str">
        <x:v>Regent RV - Perth</x:v>
      </x:c>
      <x:c r="L4780" s="19" t="str">
        <x:v>Z005</x:v>
      </x:c>
      <x:c r="M4780" s="19" t="str">
        <x:v>Pre Delivery Warranty Claims</x:v>
      </x:c>
      <x:c r="N4780" s="37" t="n">
        <x:v>45999</x:v>
      </x:c>
      <x:c r="O4780" s="37"/>
      <x:c r="P4780" s="34" t="n">
        <x:v>0</x:v>
      </x:c>
      <x:c r="Q4780" s="37" t="n">
        <x:v>46056.925405092596</x:v>
      </x:c>
    </x:row>
    <x:row r="4781">
      <x:c r="A4781" s="22" t="n">
        <x:v>28786</x:v>
      </x:c>
      <x:c r="B4781" s="28" t="n">
        <x:v>1072.5</x:v>
      </x:c>
      <x:c r="C4781" s="28"/>
      <x:c r="D4781" s="31" t="str">
        <x:f>IF(OR(ISBLANK(B4781),ISBLANK(C4781),B4781=0),"",(C4781-B4781)/B4781)</x:f>
      </x:c>
      <x:c r="E4781" s="22" t="str">
        <x:f>IF(ISBLANK(C4781),"AmountIncludingTax缺失",IF(ABS(B4781-C4781)&lt;0.005,"一致","不一致"))</x:f>
        <x:v>AmountIncludingTax缺失</x:v>
      </x:c>
      <x:c r="F4781" s="19" t="str">
        <x:v>approved</x:v>
      </x:c>
      <x:c r="G4781" s="19" t="str">
        <x:v>Repairer Invoiced Received</x:v>
      </x:c>
      <x:c r="H4781" s="19" t="str">
        <x:v>In Field</x:v>
      </x:c>
      <x:c r="I4781" s="37" t="n">
        <x:v>46057</x:v>
      </x:c>
      <x:c r="J4781" s="37" t="n">
        <x:v>46057</x:v>
      </x:c>
      <x:c r="K4781" s="19" t="str">
        <x:v>Green RV - Forest Glen</x:v>
      </x:c>
      <x:c r="L4781" s="19" t="str">
        <x:v>Z006</x:v>
      </x:c>
      <x:c r="M4781" s="19" t="str">
        <x:v>In Field Warranty Claims</x:v>
      </x:c>
      <x:c r="N4781" s="37" t="n">
        <x:v>45998</x:v>
      </x:c>
      <x:c r="O4781" s="37"/>
      <x:c r="P4781" s="34" t="n">
        <x:v>0</x:v>
      </x:c>
      <x:c r="Q4781" s="37" t="n">
        <x:v>46057.19542824074</x:v>
      </x:c>
    </x:row>
    <x:row r="4782">
      <x:c r="A4782" s="22" t="n">
        <x:v>28785</x:v>
      </x:c>
      <x:c r="B4782" s="28" t="n">
        <x:v>207.5</x:v>
      </x:c>
      <x:c r="C4782" s="28"/>
      <x:c r="D4782" s="31" t="str">
        <x:f>IF(OR(ISBLANK(B4782),ISBLANK(C4782),B4782=0),"",(C4782-B4782)/B4782)</x:f>
      </x:c>
      <x:c r="E4782" s="22" t="str">
        <x:f>IF(ISBLANK(C4782),"AmountIncludingTax缺失",IF(ABS(B4782-C4782)&lt;0.005,"一致","不一致"))</x:f>
        <x:v>AmountIncludingTax缺失</x:v>
      </x:c>
      <x:c r="F4782" s="19" t="str">
        <x:v>approved</x:v>
      </x:c>
      <x:c r="G4782" s="19" t="str">
        <x:v>Repair in Progress</x:v>
      </x:c>
      <x:c r="H4782" s="19" t="str">
        <x:v>In Field</x:v>
      </x:c>
      <x:c r="I4782" s="37" t="n">
        <x:v>46111</x:v>
      </x:c>
      <x:c r="J4782" s="37" t="n">
        <x:v>46111</x:v>
      </x:c>
      <x:c r="K4782" s="19" t="str">
        <x:v>Regent RV Pty Ltd</x:v>
      </x:c>
      <x:c r="L4782" s="19" t="str">
        <x:v>Z006</x:v>
      </x:c>
      <x:c r="M4782" s="19" t="str">
        <x:v>In Field Warranty Claims</x:v>
      </x:c>
      <x:c r="N4782" s="37" t="n">
        <x:v>45998</x:v>
      </x:c>
      <x:c r="O4782" s="37"/>
      <x:c r="P4782" s="34" t="n">
        <x:v>0</x:v>
      </x:c>
      <x:c r="Q4782" s="37" t="n">
        <x:v>46111.226319444446</x:v>
      </x:c>
    </x:row>
    <x:row r="4783">
      <x:c r="A4783" s="22" t="n">
        <x:v>28784</x:v>
      </x:c>
      <x:c r="B4783" s="28" t="n">
        <x:v>440</x:v>
      </x:c>
      <x:c r="C4783" s="28" t="n">
        <x:v>484</x:v>
      </x:c>
      <x:c r="D4783" s="31" t="n">
        <x:f>IF(OR(ISBLANK(B4783),ISBLANK(C4783),B4783=0),"",(C4783-B4783)/B4783)</x:f>
        <x:v>0.1</x:v>
      </x:c>
      <x:c r="E4783" s="22" t="str">
        <x:f>IF(ISBLANK(C4783),"AmountIncludingTax缺失",IF(ABS(B4783-C4783)&lt;0.005,"一致","不一致"))</x:f>
        <x:v>不一致</x:v>
      </x:c>
      <x:c r="F4783" s="19" t="str">
        <x:v>approved</x:v>
      </x:c>
      <x:c r="G4783" s="19" t="str">
        <x:v>Repair in Progress</x:v>
      </x:c>
      <x:c r="H4783" s="19" t="str">
        <x:v>Pre Delivery</x:v>
      </x:c>
      <x:c r="I4783" s="37" t="n">
        <x:v>46056</x:v>
      </x:c>
      <x:c r="J4783" s="37" t="n">
        <x:v>46056</x:v>
      </x:c>
      <x:c r="K4783" s="19" t="str">
        <x:v>Regent RV - Frankston</x:v>
      </x:c>
      <x:c r="L4783" s="19" t="str">
        <x:v>Z005</x:v>
      </x:c>
      <x:c r="M4783" s="19" t="str">
        <x:v>Pre Delivery Warranty Claims</x:v>
      </x:c>
      <x:c r="N4783" s="37" t="n">
        <x:v>45998</x:v>
      </x:c>
      <x:c r="O4783" s="37"/>
      <x:c r="P4783" s="34" t="n">
        <x:v>484</x:v>
      </x:c>
      <x:c r="Q4783" s="37" t="n">
        <x:v>46056.213796296295</x:v>
      </x:c>
    </x:row>
    <x:row r="4784">
      <x:c r="A4784" s="22" t="n">
        <x:v>28783</x:v>
      </x:c>
      <x:c r="B4784" s="28" t="n">
        <x:v>336.25</x:v>
      </x:c>
      <x:c r="C4784" s="28"/>
      <x:c r="D4784" s="31" t="str">
        <x:f>IF(OR(ISBLANK(B4784),ISBLANK(C4784),B4784=0),"",(C4784-B4784)/B4784)</x:f>
      </x:c>
      <x:c r="E4784" s="22" t="str">
        <x:f>IF(ISBLANK(C4784),"AmountIncludingTax缺失",IF(ABS(B4784-C4784)&lt;0.005,"一致","不一致"))</x:f>
        <x:v>AmountIncludingTax缺失</x:v>
      </x:c>
      <x:c r="F4784" s="19" t="str">
        <x:v>approved</x:v>
      </x:c>
      <x:c r="G4784" s="19" t="str">
        <x:v>Repair in Progress</x:v>
      </x:c>
      <x:c r="H4784" s="19" t="str">
        <x:v>Pre Delivery</x:v>
      </x:c>
      <x:c r="I4784" s="37" t="n">
        <x:v>46066</x:v>
      </x:c>
      <x:c r="J4784" s="37" t="n">
        <x:v>46066</x:v>
      </x:c>
      <x:c r="K4784" s="19" t="str">
        <x:v>The Caravan Hub - Townsville</x:v>
      </x:c>
      <x:c r="L4784" s="19" t="str">
        <x:v>Z005</x:v>
      </x:c>
      <x:c r="M4784" s="19" t="str">
        <x:v>Pre Delivery Warranty Claims</x:v>
      </x:c>
      <x:c r="N4784" s="37" t="n">
        <x:v>45998</x:v>
      </x:c>
      <x:c r="O4784" s="37"/>
      <x:c r="P4784" s="34" t="n">
        <x:v>0</x:v>
      </x:c>
      <x:c r="Q4784" s="37" t="n">
        <x:v>46066.08490740741</x:v>
      </x:c>
    </x:row>
    <x:row r="4785">
      <x:c r="A4785" s="22" t="n">
        <x:v>28781</x:v>
      </x:c>
      <x:c r="B4785" s="28" t="n">
        <x:v>691.8</x:v>
      </x:c>
      <x:c r="C4785" s="28" t="n">
        <x:v>760.98</x:v>
      </x:c>
      <x:c r="D4785" s="31" t="n">
        <x:f>IF(OR(ISBLANK(B4785),ISBLANK(C4785),B4785=0),"",(C4785-B4785)/B4785)</x:f>
        <x:v>0.1000000000000001</x:v>
      </x:c>
      <x:c r="E4785" s="22" t="str">
        <x:f>IF(ISBLANK(C4785),"AmountIncludingTax缺失",IF(ABS(B4785-C4785)&lt;0.005,"一致","不一致"))</x:f>
        <x:v>不一致</x:v>
      </x:c>
      <x:c r="F4785" s="19" t="str">
        <x:v>approved</x:v>
      </x:c>
      <x:c r="G4785" s="19" t="str">
        <x:v>Repairer Invoiced Processed</x:v>
      </x:c>
      <x:c r="H4785" s="19" t="str">
        <x:v>In Field</x:v>
      </x:c>
      <x:c r="I4785" s="37" t="n">
        <x:v>46029</x:v>
      </x:c>
      <x:c r="J4785" s="37" t="n">
        <x:v>46029</x:v>
      </x:c>
      <x:c r="K4785" s="19" t="str">
        <x:v>Auswide Caravans - South Nowra</x:v>
      </x:c>
      <x:c r="L4785" s="19" t="str">
        <x:v>Z006</x:v>
      </x:c>
      <x:c r="M4785" s="19" t="str">
        <x:v>In Field Warranty Claims</x:v>
      </x:c>
      <x:c r="N4785" s="37" t="n">
        <x:v>45998</x:v>
      </x:c>
      <x:c r="O4785" s="37"/>
      <x:c r="P4785" s="34" t="n">
        <x:v>760.98</x:v>
      </x:c>
      <x:c r="Q4785" s="37" t="n">
        <x:v>46028.944814814815</x:v>
      </x:c>
    </x:row>
    <x:row r="4786">
      <x:c r="A4786" s="22" t="n">
        <x:v>28780</x:v>
      </x:c>
      <x:c r="B4786" s="28" t="n">
        <x:v>793.75</x:v>
      </x:c>
      <x:c r="C4786" s="28"/>
      <x:c r="D4786" s="31" t="str">
        <x:f>IF(OR(ISBLANK(B4786),ISBLANK(C4786),B4786=0),"",(C4786-B4786)/B4786)</x:f>
      </x:c>
      <x:c r="E4786" s="22" t="str">
        <x:f>IF(ISBLANK(C4786),"AmountIncludingTax缺失",IF(ABS(B4786-C4786)&lt;0.005,"一致","不一致"))</x:f>
        <x:v>AmountIncludingTax缺失</x:v>
      </x:c>
      <x:c r="F4786" s="19" t="str">
        <x:v>approved</x:v>
      </x:c>
      <x:c r="G4786" s="19" t="str">
        <x:v>Repairer Invoiced Processed</x:v>
      </x:c>
      <x:c r="H4786" s="19" t="str">
        <x:v>In Field</x:v>
      </x:c>
      <x:c r="I4786" s="37" t="n">
        <x:v>46055</x:v>
      </x:c>
      <x:c r="J4786" s="37" t="n">
        <x:v>46055</x:v>
      </x:c>
      <x:c r="K4786" s="19" t="str">
        <x:v>Green RV - Forest Glen</x:v>
      </x:c>
      <x:c r="L4786" s="19" t="str">
        <x:v>Z006</x:v>
      </x:c>
      <x:c r="M4786" s="19" t="str">
        <x:v>In Field Warranty Claims</x:v>
      </x:c>
      <x:c r="N4786" s="37" t="n">
        <x:v>45998</x:v>
      </x:c>
      <x:c r="O4786" s="37"/>
      <x:c r="P4786" s="34" t="n">
        <x:v>0</x:v>
      </x:c>
      <x:c r="Q4786" s="37" t="n">
        <x:v>46055.17396990741</x:v>
      </x:c>
    </x:row>
    <x:row r="4787">
      <x:c r="A4787" s="22" t="n">
        <x:v>28779</x:v>
      </x:c>
      <x:c r="B4787" s="28" t="n">
        <x:v>111.25</x:v>
      </x:c>
      <x:c r="C4787" s="28"/>
      <x:c r="D4787" s="31" t="str">
        <x:f>IF(OR(ISBLANK(B4787),ISBLANK(C4787),B4787=0),"",(C4787-B4787)/B4787)</x:f>
      </x:c>
      <x:c r="E4787" s="22" t="str">
        <x:f>IF(ISBLANK(C4787),"AmountIncludingTax缺失",IF(ABS(B4787-C4787)&lt;0.005,"一致","不一致"))</x:f>
        <x:v>AmountIncludingTax缺失</x:v>
      </x:c>
      <x:c r="F4787" s="19" t="str">
        <x:v>approved</x:v>
      </x:c>
      <x:c r="G4787" s="19" t="str">
        <x:v>Repairer Invoiced Processed</x:v>
      </x:c>
      <x:c r="H4787" s="19" t="str">
        <x:v>In Field</x:v>
      </x:c>
      <x:c r="I4787" s="37" t="n">
        <x:v>46057</x:v>
      </x:c>
      <x:c r="J4787" s="37" t="n">
        <x:v>46057</x:v>
      </x:c>
      <x:c r="K4787" s="19" t="str">
        <x:v>Dario Caravans - Pooraka</x:v>
      </x:c>
      <x:c r="L4787" s="19" t="str">
        <x:v>Z006</x:v>
      </x:c>
      <x:c r="M4787" s="19" t="str">
        <x:v>In Field Warranty Claims</x:v>
      </x:c>
      <x:c r="N4787" s="37" t="n">
        <x:v>45998</x:v>
      </x:c>
      <x:c r="O4787" s="37"/>
      <x:c r="P4787" s="34" t="n">
        <x:v>0</x:v>
      </x:c>
      <x:c r="Q4787" s="37" t="n">
        <x:v>46057.292916666665</x:v>
      </x:c>
    </x:row>
    <x:row r="4788">
      <x:c r="A4788" s="22" t="n">
        <x:v>28776</x:v>
      </x:c>
      <x:c r="B4788" s="28" t="n">
        <x:v>1381.25</x:v>
      </x:c>
      <x:c r="C4788" s="28"/>
      <x:c r="D4788" s="31" t="str">
        <x:f>IF(OR(ISBLANK(B4788),ISBLANK(C4788),B4788=0),"",(C4788-B4788)/B4788)</x:f>
      </x:c>
      <x:c r="E4788" s="22" t="str">
        <x:f>IF(ISBLANK(C4788),"AmountIncludingTax缺失",IF(ABS(B4788-C4788)&lt;0.005,"一致","不一致"))</x:f>
        <x:v>AmountIncludingTax缺失</x:v>
      </x:c>
      <x:c r="F4788" s="19" t="str">
        <x:v>approved</x:v>
      </x:c>
      <x:c r="G4788" s="19" t="str">
        <x:v>Repairer Invoiced Processed</x:v>
      </x:c>
      <x:c r="H4788" s="19" t="str">
        <x:v>In Field</x:v>
      </x:c>
      <x:c r="I4788" s="37" t="n">
        <x:v>46140</x:v>
      </x:c>
      <x:c r="J4788" s="37" t="n">
        <x:v>46069</x:v>
      </x:c>
      <x:c r="K4788" s="19" t="str">
        <x:v>The Caravan Hub - Townsville</x:v>
      </x:c>
      <x:c r="L4788" s="19" t="str">
        <x:v>Z006</x:v>
      </x:c>
      <x:c r="M4788" s="19" t="str">
        <x:v>In Field Warranty Claims</x:v>
      </x:c>
      <x:c r="N4788" s="37" t="n">
        <x:v>45998</x:v>
      </x:c>
      <x:c r="O4788" s="37"/>
      <x:c r="P4788" s="34" t="n">
        <x:v>0</x:v>
      </x:c>
      <x:c r="Q4788" s="37" t="n">
        <x:v>46140.21606481481</x:v>
      </x:c>
    </x:row>
    <x:row r="4789">
      <x:c r="A4789" s="22" t="n">
        <x:v>28775</x:v>
      </x:c>
      <x:c r="B4789" s="28" t="n">
        <x:v>480.34</x:v>
      </x:c>
      <x:c r="C4789" s="28"/>
      <x:c r="D4789" s="31" t="str">
        <x:f>IF(OR(ISBLANK(B4789),ISBLANK(C4789),B4789=0),"",(C4789-B4789)/B4789)</x:f>
      </x:c>
      <x:c r="E4789" s="22" t="str">
        <x:f>IF(ISBLANK(C4789),"AmountIncludingTax缺失",IF(ABS(B4789-C4789)&lt;0.005,"一致","不一致"))</x:f>
        <x:v>AmountIncludingTax缺失</x:v>
      </x:c>
      <x:c r="F4789" s="19" t="str">
        <x:v>approved</x:v>
      </x:c>
      <x:c r="G4789" s="19" t="str">
        <x:v>Sales Order Approved</x:v>
      </x:c>
      <x:c r="H4789" s="19" t="str">
        <x:v>Pre Delivery</x:v>
      </x:c>
      <x:c r="I4789" s="37" t="n">
        <x:v>46121</x:v>
      </x:c>
      <x:c r="J4789" s="37" t="n">
        <x:v>46052</x:v>
      </x:c>
      <x:c r="K4789" s="19" t="str">
        <x:v>The Caravan Hub - Townsville</x:v>
      </x:c>
      <x:c r="L4789" s="19" t="str">
        <x:v>Z005</x:v>
      </x:c>
      <x:c r="M4789" s="19" t="str">
        <x:v>Pre Delivery Warranty Claims</x:v>
      </x:c>
      <x:c r="N4789" s="37" t="n">
        <x:v>45998</x:v>
      </x:c>
      <x:c r="O4789" s="37"/>
      <x:c r="P4789" s="34" t="n">
        <x:v>0</x:v>
      </x:c>
      <x:c r="Q4789" s="37" t="n">
        <x:v>46120.985601851855</x:v>
      </x:c>
    </x:row>
    <x:row r="4790">
      <x:c r="A4790" s="22" t="n">
        <x:v>28774</x:v>
      </x:c>
      <x:c r="B4790" s="28" t="n">
        <x:v>110</x:v>
      </x:c>
      <x:c r="C4790" s="28" t="n">
        <x:v>123.73</x:v>
      </x:c>
      <x:c r="D4790" s="31" t="n">
        <x:f>IF(OR(ISBLANK(B4790),ISBLANK(C4790),B4790=0),"",(C4790-B4790)/B4790)</x:f>
        <x:v>0.12481818181818186</x:v>
      </x:c>
      <x:c r="E4790" s="22" t="str">
        <x:f>IF(ISBLANK(C4790),"AmountIncludingTax缺失",IF(ABS(B4790-C4790)&lt;0.005,"一致","不一致"))</x:f>
        <x:v>不一致</x:v>
      </x:c>
      <x:c r="F4790" s="19" t="str">
        <x:v>approved</x:v>
      </x:c>
      <x:c r="G4790" s="19" t="str">
        <x:v>Repair in Progress</x:v>
      </x:c>
      <x:c r="H4790" s="19" t="str">
        <x:v>In Field</x:v>
      </x:c>
      <x:c r="I4790" s="37" t="n">
        <x:v>46055</x:v>
      </x:c>
      <x:c r="J4790" s="37" t="n">
        <x:v>46055</x:v>
      </x:c>
      <x:c r="K4790" s="19" t="str">
        <x:v>Regent RV - Perth</x:v>
      </x:c>
      <x:c r="L4790" s="19" t="str">
        <x:v>Z006</x:v>
      </x:c>
      <x:c r="M4790" s="19" t="str">
        <x:v>In Field Warranty Claims</x:v>
      </x:c>
      <x:c r="N4790" s="37" t="n">
        <x:v>45998</x:v>
      </x:c>
      <x:c r="O4790" s="37"/>
      <x:c r="P4790" s="34" t="n">
        <x:v>123.73</x:v>
      </x:c>
      <x:c r="Q4790" s="37" t="n">
        <x:v>46055.19055555556</x:v>
      </x:c>
    </x:row>
    <x:row r="4791">
      <x:c r="A4791" s="22" t="n">
        <x:v>28773</x:v>
      </x:c>
      <x:c r="B4791" s="28" t="n">
        <x:v>1350</x:v>
      </x:c>
      <x:c r="C4791" s="28"/>
      <x:c r="D4791" s="31" t="str">
        <x:f>IF(OR(ISBLANK(B4791),ISBLANK(C4791),B4791=0),"",(C4791-B4791)/B4791)</x:f>
      </x:c>
      <x:c r="E4791" s="22" t="str">
        <x:f>IF(ISBLANK(C4791),"AmountIncludingTax缺失",IF(ABS(B4791-C4791)&lt;0.005,"一致","不一致"))</x:f>
        <x:v>AmountIncludingTax缺失</x:v>
      </x:c>
      <x:c r="F4791" s="19" t="str">
        <x:v>approved</x:v>
      </x:c>
      <x:c r="G4791" s="19" t="str">
        <x:v>Partially Picked</x:v>
      </x:c>
      <x:c r="H4791" s="19" t="str">
        <x:v>In Field</x:v>
      </x:c>
      <x:c r="I4791" s="37" t="n">
        <x:v>46112</x:v>
      </x:c>
      <x:c r="J4791" s="37" t="n">
        <x:v>46112</x:v>
      </x:c>
      <x:c r="K4791" s="19" t="str">
        <x:v>Auswide Caravans - South Nowra</x:v>
      </x:c>
      <x:c r="L4791" s="19" t="str">
        <x:v>Z006</x:v>
      </x:c>
      <x:c r="M4791" s="19" t="str">
        <x:v>In Field Warranty Claims</x:v>
      </x:c>
      <x:c r="N4791" s="37" t="n">
        <x:v>45997</x:v>
      </x:c>
      <x:c r="O4791" s="37"/>
      <x:c r="P4791" s="34" t="n">
        <x:v>0</x:v>
      </x:c>
      <x:c r="Q4791" s="37" t="n">
        <x:v>46111.89025462963</x:v>
      </x:c>
    </x:row>
    <x:row r="4792">
      <x:c r="A4792" s="22" t="n">
        <x:v>28772</x:v>
      </x:c>
      <x:c r="B4792" s="28" t="n">
        <x:v>1454.55</x:v>
      </x:c>
      <x:c r="C4792" s="28"/>
      <x:c r="D4792" s="31" t="str">
        <x:f>IF(OR(ISBLANK(B4792),ISBLANK(C4792),B4792=0),"",(C4792-B4792)/B4792)</x:f>
      </x:c>
      <x:c r="E4792" s="22" t="str">
        <x:f>IF(ISBLANK(C4792),"AmountIncludingTax缺失",IF(ABS(B4792-C4792)&lt;0.005,"一致","不一致"))</x:f>
        <x:v>AmountIncludingTax缺失</x:v>
      </x:c>
      <x:c r="F4792" s="19" t="str">
        <x:v>approved</x:v>
      </x:c>
      <x:c r="G4792" s="19" t="str">
        <x:v>Repair in Progress</x:v>
      </x:c>
      <x:c r="H4792" s="19" t="str">
        <x:v>In Field</x:v>
      </x:c>
      <x:c r="I4792" s="37" t="n">
        <x:v>46153</x:v>
      </x:c>
      <x:c r="J4792" s="37" t="n">
        <x:v>46153</x:v>
      </x:c>
      <x:c r="K4792" s="19" t="str">
        <x:v>Regent RV - Perth</x:v>
      </x:c>
      <x:c r="L4792" s="19" t="str">
        <x:v>Z006</x:v>
      </x:c>
      <x:c r="M4792" s="19" t="str">
        <x:v>In Field Warranty Claims</x:v>
      </x:c>
      <x:c r="N4792" s="37" t="n">
        <x:v>45996</x:v>
      </x:c>
      <x:c r="O4792" s="37"/>
      <x:c r="P4792" s="34" t="n">
        <x:v>1600.01</x:v>
      </x:c>
      <x:c r="Q4792" s="37" t="n">
        <x:v>46153.23800925926</x:v>
      </x:c>
    </x:row>
    <x:row r="4793">
      <x:c r="A4793" s="22" t="n">
        <x:v>28770</x:v>
      </x:c>
      <x:c r="B4793" s="28" t="n">
        <x:v>91</x:v>
      </x:c>
      <x:c r="C4793" s="28" t="n">
        <x:v>82.39</x:v>
      </x:c>
      <x:c r="D4793" s="31" t="n">
        <x:f>IF(OR(ISBLANK(B4793),ISBLANK(C4793),B4793=0),"",(C4793-B4793)/B4793)</x:f>
        <x:v>-0.09461538461538462</x:v>
      </x:c>
      <x:c r="E4793" s="22" t="str">
        <x:f>IF(ISBLANK(C4793),"AmountIncludingTax缺失",IF(ABS(B4793-C4793)&lt;0.005,"一致","不一致"))</x:f>
        <x:v>不一致</x:v>
      </x:c>
      <x:c r="F4793" s="19" t="str">
        <x:v>approved</x:v>
      </x:c>
      <x:c r="G4793" s="19" t="str">
        <x:v>Repairer Invoiced Processed</x:v>
      </x:c>
      <x:c r="H4793" s="19" t="str">
        <x:v>In Field</x:v>
      </x:c>
      <x:c r="I4793" s="37" t="n">
        <x:v>46036</x:v>
      </x:c>
      <x:c r="J4793" s="37" t="n">
        <x:v>46036</x:v>
      </x:c>
      <x:c r="K4793" s="19" t="str">
        <x:v>Vanari Caravans - Marden Point</x:v>
      </x:c>
      <x:c r="L4793" s="19" t="str">
        <x:v>Z006</x:v>
      </x:c>
      <x:c r="M4793" s="19" t="str">
        <x:v>In Field Warranty Claims</x:v>
      </x:c>
      <x:c r="N4793" s="37" t="n">
        <x:v>45998</x:v>
      </x:c>
      <x:c r="O4793" s="37"/>
      <x:c r="P4793" s="34" t="n">
        <x:v>82.39</x:v>
      </x:c>
      <x:c r="Q4793" s="37" t="n">
        <x:v>46036.00206018519</x:v>
      </x:c>
    </x:row>
    <x:row r="4794">
      <x:c r="A4794" s="22" t="n">
        <x:v>28769</x:v>
      </x:c>
      <x:c r="B4794" s="28" t="n">
        <x:v>359.09</x:v>
      </x:c>
      <x:c r="C4794" s="28" t="n">
        <x:v>395</x:v>
      </x:c>
      <x:c r="D4794" s="31" t="n">
        <x:f>IF(OR(ISBLANK(B4794),ISBLANK(C4794),B4794=0),"",(C4794-B4794)/B4794)</x:f>
        <x:v>0.10000278481717682</x:v>
      </x:c>
      <x:c r="E4794" s="22" t="str">
        <x:f>IF(ISBLANK(C4794),"AmountIncludingTax缺失",IF(ABS(B4794-C4794)&lt;0.005,"一致","不一致"))</x:f>
        <x:v>不一致</x:v>
      </x:c>
      <x:c r="F4794" s="19" t="str">
        <x:v>approved</x:v>
      </x:c>
      <x:c r="G4794" s="19" t="str">
        <x:v>Repairer Invoiced Processed</x:v>
      </x:c>
      <x:c r="H4794" s="19" t="str">
        <x:v>In Field</x:v>
      </x:c>
      <x:c r="I4794" s="37" t="n">
        <x:v>46136</x:v>
      </x:c>
      <x:c r="J4794" s="37" t="n">
        <x:v>46136</x:v>
      </x:c>
      <x:c r="K4794" s="19" t="str">
        <x:v>Regent RV - Perth</x:v>
      </x:c>
      <x:c r="L4794" s="19" t="str">
        <x:v>Z006</x:v>
      </x:c>
      <x:c r="M4794" s="19" t="str">
        <x:v>In Field Warranty Claims</x:v>
      </x:c>
      <x:c r="N4794" s="37" t="n">
        <x:v>45998</x:v>
      </x:c>
      <x:c r="O4794" s="37"/>
      <x:c r="P4794" s="34" t="n">
        <x:v>395</x:v>
      </x:c>
      <x:c r="Q4794" s="37" t="n">
        <x:v>46136.06085648148</x:v>
      </x:c>
    </x:row>
    <x:row r="4795">
      <x:c r="A4795" s="22" t="n">
        <x:v>28766</x:v>
      </x:c>
      <x:c r="B4795" s="28" t="n">
        <x:v>540</x:v>
      </x:c>
      <x:c r="C4795" s="28"/>
      <x:c r="D4795" s="31" t="str">
        <x:f>IF(OR(ISBLANK(B4795),ISBLANK(C4795),B4795=0),"",(C4795-B4795)/B4795)</x:f>
      </x:c>
      <x:c r="E4795" s="22" t="str">
        <x:f>IF(ISBLANK(C4795),"AmountIncludingTax缺失",IF(ABS(B4795-C4795)&lt;0.005,"一致","不一致"))</x:f>
        <x:v>AmountIncludingTax缺失</x:v>
      </x:c>
      <x:c r="F4795" s="19" t="str">
        <x:v>approved</x:v>
      </x:c>
      <x:c r="G4795" s="19" t="str">
        <x:v>Partially Picked</x:v>
      </x:c>
      <x:c r="H4795" s="19" t="str">
        <x:v>In Field</x:v>
      </x:c>
      <x:c r="I4795" s="37" t="n">
        <x:v>46114</x:v>
      </x:c>
      <x:c r="J4795" s="37" t="n">
        <x:v>46114</x:v>
      </x:c>
      <x:c r="K4795" s="19" t="str">
        <x:v>The Caravan Hub - Townsville</x:v>
      </x:c>
      <x:c r="L4795" s="19" t="str">
        <x:v>Z006</x:v>
      </x:c>
      <x:c r="M4795" s="19" t="str">
        <x:v>In Field Warranty Claims</x:v>
      </x:c>
      <x:c r="N4795" s="37" t="n">
        <x:v>45997</x:v>
      </x:c>
      <x:c r="O4795" s="37"/>
      <x:c r="P4795" s="34" t="n">
        <x:v>0</x:v>
      </x:c>
      <x:c r="Q4795" s="37" t="n">
        <x:v>46113.89703703704</x:v>
      </x:c>
    </x:row>
    <x:row r="4796">
      <x:c r="A4796" s="22" t="n">
        <x:v>28765</x:v>
      </x:c>
      <x:c r="B4796" s="28" t="n">
        <x:v>2783.2</x:v>
      </x:c>
      <x:c r="C4796" s="28"/>
      <x:c r="D4796" s="31" t="str">
        <x:f>IF(OR(ISBLANK(B4796),ISBLANK(C4796),B4796=0),"",(C4796-B4796)/B4796)</x:f>
      </x:c>
      <x:c r="E4796" s="22" t="str">
        <x:f>IF(ISBLANK(C4796),"AmountIncludingTax缺失",IF(ABS(B4796-C4796)&lt;0.005,"一致","不一致"))</x:f>
        <x:v>AmountIncludingTax缺失</x:v>
      </x:c>
      <x:c r="F4796" s="19" t="str">
        <x:v>approved</x:v>
      </x:c>
      <x:c r="G4796" s="19" t="str">
        <x:v>Repairer Invoiced Processed</x:v>
      </x:c>
      <x:c r="H4796" s="19" t="str">
        <x:v>In Field</x:v>
      </x:c>
      <x:c r="I4796" s="37" t="n">
        <x:v>46153</x:v>
      </x:c>
      <x:c r="J4796" s="37" t="n">
        <x:v>46055</x:v>
      </x:c>
      <x:c r="K4796" s="19" t="str">
        <x:v>Auswide Caravans - South Nowra</x:v>
      </x:c>
      <x:c r="L4796" s="19" t="str">
        <x:v>Z006</x:v>
      </x:c>
      <x:c r="M4796" s="19" t="str">
        <x:v>In Field Warranty Claims</x:v>
      </x:c>
      <x:c r="N4796" s="37" t="n">
        <x:v>45997</x:v>
      </x:c>
      <x:c r="O4796" s="37"/>
      <x:c r="P4796" s="34" t="n">
        <x:v>0</x:v>
      </x:c>
      <x:c r="Q4796" s="37" t="n">
        <x:v>46152.989699074074</x:v>
      </x:c>
    </x:row>
    <x:row r="4797">
      <x:c r="A4797" s="22" t="n">
        <x:v>28764</x:v>
      </x:c>
      <x:c r="B4797" s="28" t="n">
        <x:v>420.5</x:v>
      </x:c>
      <x:c r="C4797" s="28"/>
      <x:c r="D4797" s="31" t="str">
        <x:f>IF(OR(ISBLANK(B4797),ISBLANK(C4797),B4797=0),"",(C4797-B4797)/B4797)</x:f>
      </x:c>
      <x:c r="E4797" s="22" t="str">
        <x:f>IF(ISBLANK(C4797),"AmountIncludingTax缺失",IF(ABS(B4797-C4797)&lt;0.005,"一致","不一致"))</x:f>
        <x:v>AmountIncludingTax缺失</x:v>
      </x:c>
      <x:c r="F4797" s="19" t="str">
        <x:v>approved</x:v>
      </x:c>
      <x:c r="G4797" s="19" t="str">
        <x:v>Repair in Progress</x:v>
      </x:c>
      <x:c r="H4797" s="19" t="str">
        <x:v>In Field</x:v>
      </x:c>
      <x:c r="I4797" s="37" t="n">
        <x:v>46063</x:v>
      </x:c>
      <x:c r="J4797" s="37" t="n">
        <x:v>46063</x:v>
      </x:c>
      <x:c r="K4797" s="19" t="str">
        <x:v>Green RV - Forest Glen</x:v>
      </x:c>
      <x:c r="L4797" s="19" t="str">
        <x:v>Z006</x:v>
      </x:c>
      <x:c r="M4797" s="19" t="str">
        <x:v>In Field Warranty Claims</x:v>
      </x:c>
      <x:c r="N4797" s="37" t="n">
        <x:v>45996</x:v>
      </x:c>
      <x:c r="O4797" s="37"/>
      <x:c r="P4797" s="34" t="n">
        <x:v>0</x:v>
      </x:c>
      <x:c r="Q4797" s="37" t="n">
        <x:v>46063.112962962965</x:v>
      </x:c>
    </x:row>
    <x:row r="4798">
      <x:c r="A4798" s="22" t="n">
        <x:v>28763</x:v>
      </x:c>
      <x:c r="B4798" s="28" t="n">
        <x:v>735</x:v>
      </x:c>
      <x:c r="C4798" s="28"/>
      <x:c r="D4798" s="31" t="str">
        <x:f>IF(OR(ISBLANK(B4798),ISBLANK(C4798),B4798=0),"",(C4798-B4798)/B4798)</x:f>
      </x:c>
      <x:c r="E4798" s="22" t="str">
        <x:f>IF(ISBLANK(C4798),"AmountIncludingTax缺失",IF(ABS(B4798-C4798)&lt;0.005,"一致","不一致"))</x:f>
        <x:v>AmountIncludingTax缺失</x:v>
      </x:c>
      <x:c r="F4798" s="19" t="str">
        <x:v>approved</x:v>
      </x:c>
      <x:c r="G4798" s="19" t="str">
        <x:v>Repair in Progress</x:v>
      </x:c>
      <x:c r="H4798" s="19" t="str">
        <x:v>In Field</x:v>
      </x:c>
      <x:c r="I4798" s="37" t="n">
        <x:v>46154</x:v>
      </x:c>
      <x:c r="J4798" s="37" t="n">
        <x:v>46057</x:v>
      </x:c>
      <x:c r="K4798" s="19" t="str">
        <x:v>Green RV - Forest Glen</x:v>
      </x:c>
      <x:c r="L4798" s="19" t="str">
        <x:v>Z006</x:v>
      </x:c>
      <x:c r="M4798" s="19" t="str">
        <x:v>In Field Warranty Claims</x:v>
      </x:c>
      <x:c r="N4798" s="37" t="n">
        <x:v>45996</x:v>
      </x:c>
      <x:c r="O4798" s="37"/>
      <x:c r="P4798" s="34" t="n">
        <x:v>0</x:v>
      </x:c>
      <x:c r="Q4798" s="37" t="n">
        <x:v>46154.14142361111</x:v>
      </x:c>
    </x:row>
    <x:row r="4799">
      <x:c r="A4799" s="22" t="n">
        <x:v>28762</x:v>
      </x:c>
      <x:c r="B4799" s="28" t="n">
        <x:v>222.46</x:v>
      </x:c>
      <x:c r="C4799" s="28" t="n">
        <x:v>244.71</x:v>
      </x:c>
      <x:c r="D4799" s="31" t="n">
        <x:f>IF(OR(ISBLANK(B4799),ISBLANK(C4799),B4799=0),"",(C4799-B4799)/B4799)</x:f>
        <x:v>0.10001798076058617</x:v>
      </x:c>
      <x:c r="E4799" s="22" t="str">
        <x:f>IF(ISBLANK(C4799),"AmountIncludingTax缺失",IF(ABS(B4799-C4799)&lt;0.005,"一致","不一致"))</x:f>
        <x:v>不一致</x:v>
      </x:c>
      <x:c r="F4799" s="19" t="str">
        <x:v>approved</x:v>
      </x:c>
      <x:c r="G4799" s="19" t="str">
        <x:v>Repairer Invoiced Processed</x:v>
      </x:c>
      <x:c r="H4799" s="19" t="str">
        <x:v>Pre Delivery</x:v>
      </x:c>
      <x:c r="I4799" s="37" t="n">
        <x:v>46059</x:v>
      </x:c>
      <x:c r="J4799" s="37" t="n">
        <x:v>46050</x:v>
      </x:c>
      <x:c r="K4799" s="19" t="str">
        <x:v>Green RV - Forest Glen</x:v>
      </x:c>
      <x:c r="L4799" s="19" t="str">
        <x:v>Z005</x:v>
      </x:c>
      <x:c r="M4799" s="19" t="str">
        <x:v>Pre Delivery Warranty Claims</x:v>
      </x:c>
      <x:c r="N4799" s="37" t="n">
        <x:v>45996</x:v>
      </x:c>
      <x:c r="O4799" s="37"/>
      <x:c r="P4799" s="34" t="n">
        <x:v>244.71</x:v>
      </x:c>
      <x:c r="Q4799" s="37" t="n">
        <x:v>46059.043541666666</x:v>
      </x:c>
    </x:row>
    <x:row r="4800">
      <x:c r="A4800" s="22" t="n">
        <x:v>28761</x:v>
      </x:c>
      <x:c r="B4800" s="28" t="n">
        <x:v>323.75</x:v>
      </x:c>
      <x:c r="C4800" s="28" t="n">
        <x:v>369.35</x:v>
      </x:c>
      <x:c r="D4800" s="31" t="n">
        <x:f>IF(OR(ISBLANK(B4800),ISBLANK(C4800),B4800=0),"",(C4800-B4800)/B4800)</x:f>
        <x:v>0.14084942084942093</x:v>
      </x:c>
      <x:c r="E4800" s="22" t="str">
        <x:f>IF(ISBLANK(C4800),"AmountIncludingTax缺失",IF(ABS(B4800-C4800)&lt;0.005,"一致","不一致"))</x:f>
        <x:v>不一致</x:v>
      </x:c>
      <x:c r="F4800" s="19" t="str">
        <x:v>unapproved_closed</x:v>
      </x:c>
      <x:c r="G4800" s="19" t="str">
        <x:v>Unapproved Claims Closed (Closed)</x:v>
      </x:c>
      <x:c r="H4800" s="19" t="str">
        <x:v>In Field</x:v>
      </x:c>
      <x:c r="I4800" s="37" t="n">
        <x:v>46057</x:v>
      </x:c>
      <x:c r="J4800" s="37" t="n">
        <x:v>46057</x:v>
      </x:c>
      <x:c r="K4800" s="19" t="str">
        <x:v>Green RV - Forest Glen</x:v>
      </x:c>
      <x:c r="L4800" s="19" t="str">
        <x:v>Z006</x:v>
      </x:c>
      <x:c r="M4800" s="19" t="str">
        <x:v>In Field Warranty Claims</x:v>
      </x:c>
      <x:c r="N4800" s="37" t="n">
        <x:v>45996</x:v>
      </x:c>
      <x:c r="O4800" s="37" t="n">
        <x:v>46102</x:v>
      </x:c>
      <x:c r="P4800" s="34" t="n">
        <x:v>369.35</x:v>
      </x:c>
      <x:c r="Q4800" s="37" t="n">
        <x:v>46057.048159722224</x:v>
      </x:c>
    </x:row>
    <x:row r="4801">
      <x:c r="A4801" s="22" t="n">
        <x:v>28760</x:v>
      </x:c>
      <x:c r="B4801" s="28" t="n">
        <x:v>165</x:v>
      </x:c>
      <x:c r="C4801" s="28"/>
      <x:c r="D4801" s="31" t="str">
        <x:f>IF(OR(ISBLANK(B4801),ISBLANK(C4801),B4801=0),"",(C4801-B4801)/B4801)</x:f>
      </x:c>
      <x:c r="E4801" s="22" t="str">
        <x:f>IF(ISBLANK(C4801),"AmountIncludingTax缺失",IF(ABS(B4801-C4801)&lt;0.005,"一致","不一致"))</x:f>
        <x:v>AmountIncludingTax缺失</x:v>
      </x:c>
      <x:c r="F4801" s="19" t="str">
        <x:v>approved</x:v>
      </x:c>
      <x:c r="G4801" s="19" t="str">
        <x:v>Repair in Progress</x:v>
      </x:c>
      <x:c r="H4801" s="19" t="str">
        <x:v>In Field</x:v>
      </x:c>
      <x:c r="I4801" s="37" t="n">
        <x:v>46083</x:v>
      </x:c>
      <x:c r="J4801" s="37" t="n">
        <x:v>46083</x:v>
      </x:c>
      <x:c r="K4801" s="19" t="str">
        <x:v>Regent RV - Perth</x:v>
      </x:c>
      <x:c r="L4801" s="19" t="str">
        <x:v>Z006</x:v>
      </x:c>
      <x:c r="M4801" s="19" t="str">
        <x:v>In Field Warranty Claims</x:v>
      </x:c>
      <x:c r="N4801" s="37" t="n">
        <x:v>45996</x:v>
      </x:c>
      <x:c r="O4801" s="37"/>
      <x:c r="P4801" s="34" t="n">
        <x:v>0</x:v>
      </x:c>
      <x:c r="Q4801" s="37" t="n">
        <x:v>46083.011724537035</x:v>
      </x:c>
    </x:row>
    <x:row r="4802">
      <x:c r="A4802" s="22" t="n">
        <x:v>28759</x:v>
      </x:c>
      <x:c r="B4802" s="28" t="n">
        <x:v>198.43</x:v>
      </x:c>
      <x:c r="C4802" s="28" t="n">
        <x:v>218.27</x:v>
      </x:c>
      <x:c r="D4802" s="31" t="n">
        <x:f>IF(OR(ISBLANK(B4802),ISBLANK(C4802),B4802=0),"",(C4802-B4802)/B4802)</x:f>
        <x:v>0.09998488131834905</x:v>
      </x:c>
      <x:c r="E4802" s="22" t="str">
        <x:f>IF(ISBLANK(C4802),"AmountIncludingTax缺失",IF(ABS(B4802-C4802)&lt;0.005,"一致","不一致"))</x:f>
        <x:v>不一致</x:v>
      </x:c>
      <x:c r="F4802" s="19" t="str">
        <x:v>approved</x:v>
      </x:c>
      <x:c r="G4802" s="19" t="str">
        <x:v>Repairer Invoiced Processed</x:v>
      </x:c>
      <x:c r="H4802" s="19" t="str">
        <x:v>In Field</x:v>
      </x:c>
      <x:c r="I4802" s="37" t="n">
        <x:v>46160</x:v>
      </x:c>
      <x:c r="J4802" s="37" t="n">
        <x:v>46160</x:v>
      </x:c>
      <x:c r="K4802" s="19" t="str">
        <x:v>Regent RV - Perth</x:v>
      </x:c>
      <x:c r="L4802" s="19" t="str">
        <x:v>Z006</x:v>
      </x:c>
      <x:c r="M4802" s="19" t="str">
        <x:v>In Field Warranty Claims</x:v>
      </x:c>
      <x:c r="N4802" s="37" t="n">
        <x:v>45996</x:v>
      </x:c>
      <x:c r="O4802" s="37"/>
      <x:c r="P4802" s="34" t="n">
        <x:v>218.27</x:v>
      </x:c>
      <x:c r="Q4802" s="37" t="n">
        <x:v>46160.02885416667</x:v>
      </x:c>
    </x:row>
    <x:row r="4803">
      <x:c r="A4803" s="22" t="n">
        <x:v>28758</x:v>
      </x:c>
      <x:c r="B4803" s="28" t="n">
        <x:v>807.01</x:v>
      </x:c>
      <x:c r="C4803" s="28" t="n">
        <x:v>887.71</x:v>
      </x:c>
      <x:c r="D4803" s="31" t="n">
        <x:f>IF(OR(ISBLANK(B4803),ISBLANK(C4803),B4803=0),"",(C4803-B4803)/B4803)</x:f>
        <x:v>0.099998760857982</x:v>
      </x:c>
      <x:c r="E4803" s="22" t="str">
        <x:f>IF(ISBLANK(C4803),"AmountIncludingTax缺失",IF(ABS(B4803-C4803)&lt;0.005,"一致","不一致"))</x:f>
        <x:v>不一致</x:v>
      </x:c>
      <x:c r="F4803" s="19" t="str">
        <x:v>approved</x:v>
      </x:c>
      <x:c r="G4803" s="19" t="str">
        <x:v>Repairer Invoiced Processed</x:v>
      </x:c>
      <x:c r="H4803" s="19" t="str">
        <x:v>Pre Delivery</x:v>
      </x:c>
      <x:c r="I4803" s="37" t="n">
        <x:v>46055</x:v>
      </x:c>
      <x:c r="J4803" s="37" t="n">
        <x:v>46055</x:v>
      </x:c>
      <x:c r="K4803" s="19" t="str">
        <x:v>Green RV - Forest Glen</x:v>
      </x:c>
      <x:c r="L4803" s="19" t="str">
        <x:v>Z005</x:v>
      </x:c>
      <x:c r="M4803" s="19" t="str">
        <x:v>Pre Delivery Warranty Claims</x:v>
      </x:c>
      <x:c r="N4803" s="37" t="n">
        <x:v>45996</x:v>
      </x:c>
      <x:c r="O4803" s="37"/>
      <x:c r="P4803" s="34" t="n">
        <x:v>887.71</x:v>
      </x:c>
      <x:c r="Q4803" s="37" t="n">
        <x:v>46054.96871527778</x:v>
      </x:c>
    </x:row>
    <x:row r="4804">
      <x:c r="A4804" s="22" t="n">
        <x:v>28757</x:v>
      </x:c>
      <x:c r="B4804" s="28" t="n">
        <x:v>405</x:v>
      </x:c>
      <x:c r="C4804" s="28"/>
      <x:c r="D4804" s="31" t="str">
        <x:f>IF(OR(ISBLANK(B4804),ISBLANK(C4804),B4804=0),"",(C4804-B4804)/B4804)</x:f>
      </x:c>
      <x:c r="E4804" s="22" t="str">
        <x:f>IF(ISBLANK(C4804),"AmountIncludingTax缺失",IF(ABS(B4804-C4804)&lt;0.005,"一致","不一致"))</x:f>
        <x:v>AmountIncludingTax缺失</x:v>
      </x:c>
      <x:c r="F4804" s="19" t="str">
        <x:v>approved</x:v>
      </x:c>
      <x:c r="G4804" s="19" t="str">
        <x:v>Repair in Progress</x:v>
      </x:c>
      <x:c r="H4804" s="19" t="str">
        <x:v>In Field</x:v>
      </x:c>
      <x:c r="I4804" s="37" t="n">
        <x:v>46077</x:v>
      </x:c>
      <x:c r="J4804" s="37" t="n">
        <x:v>46077</x:v>
      </x:c>
      <x:c r="K4804" s="19" t="str">
        <x:v>Regent RV - Frankston</x:v>
      </x:c>
      <x:c r="L4804" s="19" t="str">
        <x:v>Z006</x:v>
      </x:c>
      <x:c r="M4804" s="19" t="str">
        <x:v>In Field Warranty Claims</x:v>
      </x:c>
      <x:c r="N4804" s="37" t="n">
        <x:v>45996</x:v>
      </x:c>
      <x:c r="O4804" s="37"/>
      <x:c r="P4804" s="34" t="n">
        <x:v>0</x:v>
      </x:c>
      <x:c r="Q4804" s="37" t="n">
        <x:v>46076.93748842592</x:v>
      </x:c>
    </x:row>
    <x:row r="4805">
      <x:c r="A4805" s="22" t="n">
        <x:v>28756</x:v>
      </x:c>
      <x:c r="B4805" s="28" t="n">
        <x:v>1390</x:v>
      </x:c>
      <x:c r="C4805" s="28"/>
      <x:c r="D4805" s="31" t="str">
        <x:f>IF(OR(ISBLANK(B4805),ISBLANK(C4805),B4805=0),"",(C4805-B4805)/B4805)</x:f>
      </x:c>
      <x:c r="E4805" s="22" t="str">
        <x:f>IF(ISBLANK(C4805),"AmountIncludingTax缺失",IF(ABS(B4805-C4805)&lt;0.005,"一致","不一致"))</x:f>
        <x:v>AmountIncludingTax缺失</x:v>
      </x:c>
      <x:c r="F4805" s="19" t="str">
        <x:v>approved</x:v>
      </x:c>
      <x:c r="G4805" s="19" t="str">
        <x:v>Repairer Invoiced Processed</x:v>
      </x:c>
      <x:c r="H4805" s="19" t="str">
        <x:v>In Field</x:v>
      </x:c>
      <x:c r="I4805" s="37" t="n">
        <x:v>46029</x:v>
      </x:c>
      <x:c r="J4805" s="37" t="n">
        <x:v>46029</x:v>
      </x:c>
      <x:c r="K4805" s="19" t="str">
        <x:v>Dario Caravans -St.Marys</x:v>
      </x:c>
      <x:c r="L4805" s="19" t="str">
        <x:v>Z006</x:v>
      </x:c>
      <x:c r="M4805" s="19" t="str">
        <x:v>In Field Warranty Claims</x:v>
      </x:c>
      <x:c r="N4805" s="37" t="n">
        <x:v>45996</x:v>
      </x:c>
      <x:c r="O4805" s="37"/>
      <x:c r="P4805" s="34" t="n">
        <x:v>1529</x:v>
      </x:c>
      <x:c r="Q4805" s="37" t="n">
        <x:v>46029.12321759259</x:v>
      </x:c>
    </x:row>
    <x:row r="4806">
      <x:c r="A4806" s="22" t="n">
        <x:v>28755</x:v>
      </x:c>
      <x:c r="B4806" s="28" t="n">
        <x:v>315</x:v>
      </x:c>
      <x:c r="C4806" s="28" t="n">
        <x:v>346.5</x:v>
      </x:c>
      <x:c r="D4806" s="31" t="n">
        <x:f>IF(OR(ISBLANK(B4806),ISBLANK(C4806),B4806=0),"",(C4806-B4806)/B4806)</x:f>
        <x:v>0.1</x:v>
      </x:c>
      <x:c r="E4806" s="22" t="str">
        <x:f>IF(ISBLANK(C4806),"AmountIncludingTax缺失",IF(ABS(B4806-C4806)&lt;0.005,"一致","不一致"))</x:f>
        <x:v>不一致</x:v>
      </x:c>
      <x:c r="F4806" s="19" t="str">
        <x:v>approved</x:v>
      </x:c>
      <x:c r="G4806" s="19" t="str">
        <x:v>Repairer Invoiced Processed</x:v>
      </x:c>
      <x:c r="H4806" s="19" t="str">
        <x:v>Pre Delivery</x:v>
      </x:c>
      <x:c r="I4806" s="37" t="n">
        <x:v>46148</x:v>
      </x:c>
      <x:c r="J4806" s="37" t="n">
        <x:v>46148</x:v>
      </x:c>
      <x:c r="K4806" s="19" t="str">
        <x:v>Regent RV - Frankston</x:v>
      </x:c>
      <x:c r="L4806" s="19" t="str">
        <x:v>Z005</x:v>
      </x:c>
      <x:c r="M4806" s="19" t="str">
        <x:v>Pre Delivery Warranty Claims</x:v>
      </x:c>
      <x:c r="N4806" s="37" t="n">
        <x:v>45996</x:v>
      </x:c>
      <x:c r="O4806" s="37"/>
      <x:c r="P4806" s="34" t="n">
        <x:v>346.5</x:v>
      </x:c>
      <x:c r="Q4806" s="37" t="n">
        <x:v>46148.1359375</x:v>
      </x:c>
    </x:row>
    <x:row r="4807">
      <x:c r="A4807" s="22" t="n">
        <x:v>28754</x:v>
      </x:c>
      <x:c r="B4807" s="28" t="n">
        <x:v>87.5</x:v>
      </x:c>
      <x:c r="C4807" s="28"/>
      <x:c r="D4807" s="31" t="str">
        <x:f>IF(OR(ISBLANK(B4807),ISBLANK(C4807),B4807=0),"",(C4807-B4807)/B4807)</x:f>
      </x:c>
      <x:c r="E4807" s="22" t="str">
        <x:f>IF(ISBLANK(C4807),"AmountIncludingTax缺失",IF(ABS(B4807-C4807)&lt;0.005,"一致","不一致"))</x:f>
        <x:v>AmountIncludingTax缺失</x:v>
      </x:c>
      <x:c r="F4807" s="19" t="str">
        <x:v>approved</x:v>
      </x:c>
      <x:c r="G4807" s="19" t="str">
        <x:v>Repair in Progress</x:v>
      </x:c>
      <x:c r="H4807" s="19" t="str">
        <x:v>In Field</x:v>
      </x:c>
      <x:c r="I4807" s="37" t="n">
        <x:v>46157</x:v>
      </x:c>
      <x:c r="J4807" s="37" t="n">
        <x:v>46157</x:v>
      </x:c>
      <x:c r="K4807" s="19" t="str">
        <x:v>Regent RV - Perth</x:v>
      </x:c>
      <x:c r="L4807" s="19" t="str">
        <x:v>Z006</x:v>
      </x:c>
      <x:c r="M4807" s="19" t="str">
        <x:v>In Field Warranty Claims</x:v>
      </x:c>
      <x:c r="N4807" s="37" t="n">
        <x:v>45996</x:v>
      </x:c>
      <x:c r="O4807" s="37"/>
      <x:c r="P4807" s="34" t="n">
        <x:v>0</x:v>
      </x:c>
      <x:c r="Q4807" s="37" t="n">
        <x:v>46157.25072916667</x:v>
      </x:c>
    </x:row>
    <x:row r="4808">
      <x:c r="A4808" s="22" t="n">
        <x:v>28753</x:v>
      </x:c>
      <x:c r="B4808" s="28" t="n">
        <x:v>135</x:v>
      </x:c>
      <x:c r="C4808" s="28"/>
      <x:c r="D4808" s="31" t="str">
        <x:f>IF(OR(ISBLANK(B4808),ISBLANK(C4808),B4808=0),"",(C4808-B4808)/B4808)</x:f>
      </x:c>
      <x:c r="E4808" s="22" t="str">
        <x:f>IF(ISBLANK(C4808),"AmountIncludingTax缺失",IF(ABS(B4808-C4808)&lt;0.005,"一致","不一致"))</x:f>
        <x:v>AmountIncludingTax缺失</x:v>
      </x:c>
      <x:c r="F4808" s="19" t="str">
        <x:v>approved</x:v>
      </x:c>
      <x:c r="G4808" s="19" t="str">
        <x:v>Repairer Invoiced Processed</x:v>
      </x:c>
      <x:c r="H4808" s="19" t="str">
        <x:v>In Field</x:v>
      </x:c>
      <x:c r="I4808" s="37" t="n">
        <x:v>46076</x:v>
      </x:c>
      <x:c r="J4808" s="37" t="n">
        <x:v>46076</x:v>
      </x:c>
      <x:c r="K4808" s="19" t="str">
        <x:v>Newcastle RV Super Centre - Beresfield</x:v>
      </x:c>
      <x:c r="L4808" s="19" t="str">
        <x:v>Z006</x:v>
      </x:c>
      <x:c r="M4808" s="19" t="str">
        <x:v>In Field Warranty Claims</x:v>
      </x:c>
      <x:c r="N4808" s="37" t="n">
        <x:v>45996</x:v>
      </x:c>
      <x:c r="O4808" s="37"/>
      <x:c r="P4808" s="34" t="n">
        <x:v>0</x:v>
      </x:c>
      <x:c r="Q4808" s="37" t="n">
        <x:v>46076.189884259256</x:v>
      </x:c>
    </x:row>
    <x:row r="4809">
      <x:c r="A4809" s="22" t="n">
        <x:v>28752</x:v>
      </x:c>
      <x:c r="B4809" s="28" t="n">
        <x:v>681.25</x:v>
      </x:c>
      <x:c r="C4809" s="28"/>
      <x:c r="D4809" s="31" t="str">
        <x:f>IF(OR(ISBLANK(B4809),ISBLANK(C4809),B4809=0),"",(C4809-B4809)/B4809)</x:f>
      </x:c>
      <x:c r="E4809" s="22" t="str">
        <x:f>IF(ISBLANK(C4809),"AmountIncludingTax缺失",IF(ABS(B4809-C4809)&lt;0.005,"一致","不一致"))</x:f>
        <x:v>AmountIncludingTax缺失</x:v>
      </x:c>
      <x:c r="F4809" s="19" t="str">
        <x:v>approved</x:v>
      </x:c>
      <x:c r="G4809" s="19" t="str">
        <x:v>Repair in Progress</x:v>
      </x:c>
      <x:c r="H4809" s="19" t="str">
        <x:v>In Field</x:v>
      </x:c>
      <x:c r="I4809" s="37" t="n">
        <x:v>46106</x:v>
      </x:c>
      <x:c r="J4809" s="37" t="n">
        <x:v>46106</x:v>
      </x:c>
      <x:c r="K4809" s="19" t="str">
        <x:v>Regent RV - Perth</x:v>
      </x:c>
      <x:c r="L4809" s="19" t="str">
        <x:v>Z006</x:v>
      </x:c>
      <x:c r="M4809" s="19" t="str">
        <x:v>In Field Warranty Claims</x:v>
      </x:c>
      <x:c r="N4809" s="37" t="n">
        <x:v>45996</x:v>
      </x:c>
      <x:c r="O4809" s="37"/>
      <x:c r="P4809" s="34" t="n">
        <x:v>0</x:v>
      </x:c>
      <x:c r="Q4809" s="37" t="n">
        <x:v>46106.01707175926</x:v>
      </x:c>
    </x:row>
    <x:row r="4810">
      <x:c r="A4810" s="22" t="n">
        <x:v>28750</x:v>
      </x:c>
      <x:c r="B4810" s="28" t="n">
        <x:v>715.64</x:v>
      </x:c>
      <x:c r="C4810" s="28" t="n">
        <x:v>787.2</x:v>
      </x:c>
      <x:c r="D4810" s="31" t="n">
        <x:f>IF(OR(ISBLANK(B4810),ISBLANK(C4810),B4810=0),"",(C4810-B4810)/B4810)</x:f>
        <x:v>0.09999441059750722</x:v>
      </x:c>
      <x:c r="E4810" s="22" t="str">
        <x:f>IF(ISBLANK(C4810),"AmountIncludingTax缺失",IF(ABS(B4810-C4810)&lt;0.005,"一致","不一致"))</x:f>
        <x:v>不一致</x:v>
      </x:c>
      <x:c r="F4810" s="19" t="str">
        <x:v>approved</x:v>
      </x:c>
      <x:c r="G4810" s="19" t="str">
        <x:v>Repairer Invoiced Processed</x:v>
      </x:c>
      <x:c r="H4810" s="19" t="str">
        <x:v>Pre Delivery</x:v>
      </x:c>
      <x:c r="I4810" s="37" t="n">
        <x:v>46045</x:v>
      </x:c>
      <x:c r="J4810" s="37" t="n">
        <x:v>46044</x:v>
      </x:c>
      <x:c r="K4810" s="19" t="str">
        <x:v>Lesiure Lion-New Castle</x:v>
      </x:c>
      <x:c r="L4810" s="19" t="str">
        <x:v>Z005</x:v>
      </x:c>
      <x:c r="M4810" s="19" t="str">
        <x:v>Pre Delivery Warranty Claims</x:v>
      </x:c>
      <x:c r="N4810" s="37" t="n">
        <x:v>45996</x:v>
      </x:c>
      <x:c r="O4810" s="37"/>
      <x:c r="P4810" s="34" t="n">
        <x:v>787.2</x:v>
      </x:c>
      <x:c r="Q4810" s="37" t="n">
        <x:v>46044.56996527778</x:v>
      </x:c>
    </x:row>
    <x:row r="4811">
      <x:c r="A4811" s="22" t="n">
        <x:v>28749</x:v>
      </x:c>
      <x:c r="B4811" s="28" t="n">
        <x:v>121.25</x:v>
      </x:c>
      <x:c r="C4811" s="28"/>
      <x:c r="D4811" s="31" t="str">
        <x:f>IF(OR(ISBLANK(B4811),ISBLANK(C4811),B4811=0),"",(C4811-B4811)/B4811)</x:f>
      </x:c>
      <x:c r="E4811" s="22" t="str">
        <x:f>IF(ISBLANK(C4811),"AmountIncludingTax缺失",IF(ABS(B4811-C4811)&lt;0.005,"一致","不一致"))</x:f>
        <x:v>AmountIncludingTax缺失</x:v>
      </x:c>
      <x:c r="F4811" s="19" t="str">
        <x:v>approved</x:v>
      </x:c>
      <x:c r="G4811" s="19" t="str">
        <x:v>Repairer Invoiced Processed</x:v>
      </x:c>
      <x:c r="H4811" s="19" t="str">
        <x:v>In Field</x:v>
      </x:c>
      <x:c r="I4811" s="37" t="n">
        <x:v>46122</x:v>
      </x:c>
      <x:c r="J4811" s="37" t="n">
        <x:v>46122</x:v>
      </x:c>
      <x:c r="K4811" s="19" t="str">
        <x:v>Lesiure Lion-New Castle</x:v>
      </x:c>
      <x:c r="L4811" s="19" t="str">
        <x:v>Z006</x:v>
      </x:c>
      <x:c r="M4811" s="19" t="str">
        <x:v>In Field Warranty Claims</x:v>
      </x:c>
      <x:c r="N4811" s="37" t="n">
        <x:v>45996</x:v>
      </x:c>
      <x:c r="O4811" s="37"/>
      <x:c r="P4811" s="34" t="n">
        <x:v>0</x:v>
      </x:c>
      <x:c r="Q4811" s="37" t="n">
        <x:v>46122.20520833333</x:v>
      </x:c>
    </x:row>
    <x:row r="4812">
      <x:c r="A4812" s="22" t="n">
        <x:v>28748</x:v>
      </x:c>
      <x:c r="B4812" s="28" t="n">
        <x:v>801.25</x:v>
      </x:c>
      <x:c r="C4812" s="28"/>
      <x:c r="D4812" s="31" t="str">
        <x:f>IF(OR(ISBLANK(B4812),ISBLANK(C4812),B4812=0),"",(C4812-B4812)/B4812)</x:f>
      </x:c>
      <x:c r="E4812" s="22" t="str">
        <x:f>IF(ISBLANK(C4812),"AmountIncludingTax缺失",IF(ABS(B4812-C4812)&lt;0.005,"一致","不一致"))</x:f>
        <x:v>AmountIncludingTax缺失</x:v>
      </x:c>
      <x:c r="F4812" s="19" t="str">
        <x:v>approved</x:v>
      </x:c>
      <x:c r="G4812" s="19" t="str">
        <x:v>Repair in Progress</x:v>
      </x:c>
      <x:c r="H4812" s="19" t="str">
        <x:v>In Field</x:v>
      </x:c>
      <x:c r="I4812" s="37" t="n">
        <x:v>46135</x:v>
      </x:c>
      <x:c r="J4812" s="37" t="n">
        <x:v>46135</x:v>
      </x:c>
      <x:c r="K4812" s="19" t="str">
        <x:v>Regent RV - Perth</x:v>
      </x:c>
      <x:c r="L4812" s="19" t="str">
        <x:v>Z006</x:v>
      </x:c>
      <x:c r="M4812" s="19" t="str">
        <x:v>In Field Warranty Claims</x:v>
      </x:c>
      <x:c r="N4812" s="37" t="n">
        <x:v>45996</x:v>
      </x:c>
      <x:c r="O4812" s="37"/>
      <x:c r="P4812" s="34" t="n">
        <x:v>0</x:v>
      </x:c>
      <x:c r="Q4812" s="37" t="n">
        <x:v>46134.948599537034</x:v>
      </x:c>
    </x:row>
    <x:row r="4813">
      <x:c r="A4813" s="22" t="n">
        <x:v>28747</x:v>
      </x:c>
      <x:c r="B4813" s="28" t="n">
        <x:v>142.54</x:v>
      </x:c>
      <x:c r="C4813" s="28" t="n">
        <x:v>156.79</x:v>
      </x:c>
      <x:c r="D4813" s="31" t="n">
        <x:f>IF(OR(ISBLANK(B4813),ISBLANK(C4813),B4813=0),"",(C4813-B4813)/B4813)</x:f>
        <x:v>0.09997193770169778</x:v>
      </x:c>
      <x:c r="E4813" s="22" t="str">
        <x:f>IF(ISBLANK(C4813),"AmountIncludingTax缺失",IF(ABS(B4813-C4813)&lt;0.005,"一致","不一致"))</x:f>
        <x:v>不一致</x:v>
      </x:c>
      <x:c r="F4813" s="19" t="str">
        <x:v>approved</x:v>
      </x:c>
      <x:c r="G4813" s="19" t="str">
        <x:v>Repairer Invoiced Processed</x:v>
      </x:c>
      <x:c r="H4813" s="19" t="str">
        <x:v>In Field</x:v>
      </x:c>
      <x:c r="I4813" s="37" t="n">
        <x:v>46041</x:v>
      </x:c>
      <x:c r="J4813" s="37" t="n">
        <x:v>46041</x:v>
      </x:c>
      <x:c r="K4813" s="19" t="str">
        <x:v>Green RV - Forest Glen</x:v>
      </x:c>
      <x:c r="L4813" s="19" t="str">
        <x:v>Z006</x:v>
      </x:c>
      <x:c r="M4813" s="19" t="str">
        <x:v>In Field Warranty Claims</x:v>
      </x:c>
      <x:c r="N4813" s="37" t="n">
        <x:v>45996</x:v>
      </x:c>
      <x:c r="O4813" s="37"/>
      <x:c r="P4813" s="34" t="n">
        <x:v>156.79</x:v>
      </x:c>
      <x:c r="Q4813" s="37" t="n">
        <x:v>46041.114699074074</x:v>
      </x:c>
    </x:row>
    <x:row r="4814">
      <x:c r="A4814" s="22" t="n">
        <x:v>28744</x:v>
      </x:c>
      <x:c r="B4814" s="28" t="n">
        <x:v>240</x:v>
      </x:c>
      <x:c r="C4814" s="28" t="n">
        <x:v>217.3</x:v>
      </x:c>
      <x:c r="D4814" s="31" t="n">
        <x:f>IF(OR(ISBLANK(B4814),ISBLANK(C4814),B4814=0),"",(C4814-B4814)/B4814)</x:f>
        <x:v>-0.09458333333333328</x:v>
      </x:c>
      <x:c r="E4814" s="22" t="str">
        <x:f>IF(ISBLANK(C4814),"AmountIncludingTax缺失",IF(ABS(B4814-C4814)&lt;0.005,"一致","不一致"))</x:f>
        <x:v>不一致</x:v>
      </x:c>
      <x:c r="F4814" s="19" t="str">
        <x:v>approved</x:v>
      </x:c>
      <x:c r="G4814" s="19" t="str">
        <x:v>Repairer Invoiced Processed</x:v>
      </x:c>
      <x:c r="H4814" s="19" t="str">
        <x:v>In Field</x:v>
      </x:c>
      <x:c r="I4814" s="37" t="n">
        <x:v>46086</x:v>
      </x:c>
      <x:c r="J4814" s="37" t="n">
        <x:v>46086</x:v>
      </x:c>
      <x:c r="K4814" s="19" t="str">
        <x:v>Vanari Caravans - Marden Point</x:v>
      </x:c>
      <x:c r="L4814" s="19" t="str">
        <x:v>Z006</x:v>
      </x:c>
      <x:c r="M4814" s="19" t="str">
        <x:v>In Field Warranty Claims</x:v>
      </x:c>
      <x:c r="N4814" s="37" t="n">
        <x:v>45995</x:v>
      </x:c>
      <x:c r="O4814" s="37"/>
      <x:c r="P4814" s="34" t="n">
        <x:v>217.3</x:v>
      </x:c>
      <x:c r="Q4814" s="37" t="n">
        <x:v>46086.03863425926</x:v>
      </x:c>
    </x:row>
    <x:row r="4815">
      <x:c r="A4815" s="22" t="n">
        <x:v>28743</x:v>
      </x:c>
      <x:c r="B4815" s="28" t="n">
        <x:v>73.5</x:v>
      </x:c>
      <x:c r="C4815" s="28"/>
      <x:c r="D4815" s="31" t="str">
        <x:f>IF(OR(ISBLANK(B4815),ISBLANK(C4815),B4815=0),"",(C4815-B4815)/B4815)</x:f>
      </x:c>
      <x:c r="E4815" s="22" t="str">
        <x:f>IF(ISBLANK(C4815),"AmountIncludingTax缺失",IF(ABS(B4815-C4815)&lt;0.005,"一致","不一致"))</x:f>
        <x:v>AmountIncludingTax缺失</x:v>
      </x:c>
      <x:c r="F4815" s="19" t="str">
        <x:v>approved</x:v>
      </x:c>
      <x:c r="G4815" s="19" t="str">
        <x:v>Repair in Progress</x:v>
      </x:c>
      <x:c r="H4815" s="19" t="str">
        <x:v>In Field</x:v>
      </x:c>
      <x:c r="I4815" s="37" t="n">
        <x:v>46070</x:v>
      </x:c>
      <x:c r="J4815" s="37" t="n">
        <x:v>46070</x:v>
      </x:c>
      <x:c r="K4815" s="19" t="str">
        <x:v>Lesiure Lion-New Castle</x:v>
      </x:c>
      <x:c r="L4815" s="19" t="str">
        <x:v>Z006</x:v>
      </x:c>
      <x:c r="M4815" s="19" t="str">
        <x:v>In Field Warranty Claims</x:v>
      </x:c>
      <x:c r="N4815" s="37" t="n">
        <x:v>45995</x:v>
      </x:c>
      <x:c r="O4815" s="37"/>
      <x:c r="P4815" s="34" t="n">
        <x:v>0</x:v>
      </x:c>
      <x:c r="Q4815" s="37" t="n">
        <x:v>46069.980219907404</x:v>
      </x:c>
    </x:row>
    <x:row r="4816">
      <x:c r="A4816" s="22" t="n">
        <x:v>28742</x:v>
      </x:c>
      <x:c r="B4816" s="28" t="n">
        <x:v>314.23</x:v>
      </x:c>
      <x:c r="C4816" s="28" t="n">
        <x:v>345.65</x:v>
      </x:c>
      <x:c r="D4816" s="31" t="n">
        <x:f>IF(OR(ISBLANK(B4816),ISBLANK(C4816),B4816=0),"",(C4816-B4816)/B4816)</x:f>
        <x:v>0.09999045285300562</x:v>
      </x:c>
      <x:c r="E4816" s="22" t="str">
        <x:f>IF(ISBLANK(C4816),"AmountIncludingTax缺失",IF(ABS(B4816-C4816)&lt;0.005,"一致","不一致"))</x:f>
        <x:v>不一致</x:v>
      </x:c>
      <x:c r="F4816" s="19" t="str">
        <x:v>approved</x:v>
      </x:c>
      <x:c r="G4816" s="19" t="str">
        <x:v>Repairer Invoiced Processed</x:v>
      </x:c>
      <x:c r="H4816" s="19" t="str">
        <x:v>Pre Delivery</x:v>
      </x:c>
      <x:c r="I4816" s="37" t="n">
        <x:v>46050</x:v>
      </x:c>
      <x:c r="J4816" s="37" t="n">
        <x:v>46050</x:v>
      </x:c>
      <x:c r="K4816" s="19" t="str">
        <x:v>Green RV - Forest Glen</x:v>
      </x:c>
      <x:c r="L4816" s="19" t="str">
        <x:v>Z005</x:v>
      </x:c>
      <x:c r="M4816" s="19" t="str">
        <x:v>Pre Delivery Warranty Claims</x:v>
      </x:c>
      <x:c r="N4816" s="37" t="n">
        <x:v>45995</x:v>
      </x:c>
      <x:c r="O4816" s="37"/>
      <x:c r="P4816" s="34" t="n">
        <x:v>345.65</x:v>
      </x:c>
      <x:c r="Q4816" s="37" t="n">
        <x:v>46050.29164351852</x:v>
      </x:c>
    </x:row>
    <x:row r="4817">
      <x:c r="A4817" s="22" t="n">
        <x:v>28741</x:v>
      </x:c>
      <x:c r="B4817" s="28" t="n">
        <x:v>240</x:v>
      </x:c>
      <x:c r="C4817" s="28" t="n">
        <x:v>264</x:v>
      </x:c>
      <x:c r="D4817" s="31" t="n">
        <x:f>IF(OR(ISBLANK(B4817),ISBLANK(C4817),B4817=0),"",(C4817-B4817)/B4817)</x:f>
        <x:v>0.1</x:v>
      </x:c>
      <x:c r="E4817" s="22" t="str">
        <x:f>IF(ISBLANK(C4817),"AmountIncludingTax缺失",IF(ABS(B4817-C4817)&lt;0.005,"一致","不一致"))</x:f>
        <x:v>不一致</x:v>
      </x:c>
      <x:c r="F4817" s="19" t="str">
        <x:v>approved</x:v>
      </x:c>
      <x:c r="G4817" s="19" t="str">
        <x:v>Repair in Progress</x:v>
      </x:c>
      <x:c r="H4817" s="19" t="str">
        <x:v>In Field</x:v>
      </x:c>
      <x:c r="I4817" s="37" t="n">
        <x:v>46092</x:v>
      </x:c>
      <x:c r="J4817" s="37" t="n">
        <x:v>46092</x:v>
      </x:c>
      <x:c r="K4817" s="19" t="str">
        <x:v>Vanari Caravans - Marden Point</x:v>
      </x:c>
      <x:c r="L4817" s="19" t="str">
        <x:v>Z006</x:v>
      </x:c>
      <x:c r="M4817" s="19" t="str">
        <x:v>In Field Warranty Claims</x:v>
      </x:c>
      <x:c r="N4817" s="37" t="n">
        <x:v>45995</x:v>
      </x:c>
      <x:c r="O4817" s="37"/>
      <x:c r="P4817" s="34" t="n">
        <x:v>264</x:v>
      </x:c>
      <x:c r="Q4817" s="37" t="n">
        <x:v>46092.07822916667</x:v>
      </x:c>
    </x:row>
    <x:row r="4818">
      <x:c r="A4818" s="22" t="n">
        <x:v>28738</x:v>
      </x:c>
      <x:c r="B4818" s="28" t="n">
        <x:v>305.46</x:v>
      </x:c>
      <x:c r="C4818" s="28"/>
      <x:c r="D4818" s="31" t="str">
        <x:f>IF(OR(ISBLANK(B4818),ISBLANK(C4818),B4818=0),"",(C4818-B4818)/B4818)</x:f>
      </x:c>
      <x:c r="E4818" s="22" t="str">
        <x:f>IF(ISBLANK(C4818),"AmountIncludingTax缺失",IF(ABS(B4818-C4818)&lt;0.005,"一致","不一致"))</x:f>
        <x:v>AmountIncludingTax缺失</x:v>
      </x:c>
      <x:c r="F4818" s="19" t="str">
        <x:v>approved</x:v>
      </x:c>
      <x:c r="G4818" s="19" t="str">
        <x:v>Repairer Invoiced Processed</x:v>
      </x:c>
      <x:c r="H4818" s="19" t="str">
        <x:v>Pre Delivery</x:v>
      </x:c>
      <x:c r="I4818" s="37" t="n">
        <x:v>46056</x:v>
      </x:c>
      <x:c r="J4818" s="37" t="n">
        <x:v>46056</x:v>
      </x:c>
      <x:c r="K4818" s="19" t="str">
        <x:v>Regent RV - Toowoomba</x:v>
      </x:c>
      <x:c r="L4818" s="19" t="str">
        <x:v>Z005</x:v>
      </x:c>
      <x:c r="M4818" s="19" t="str">
        <x:v>Pre Delivery Warranty Claims</x:v>
      </x:c>
      <x:c r="N4818" s="37" t="n">
        <x:v>45996</x:v>
      </x:c>
      <x:c r="O4818" s="37"/>
      <x:c r="P4818" s="34" t="n">
        <x:v>0</x:v>
      </x:c>
      <x:c r="Q4818" s="37" t="n">
        <x:v>46056.270162037035</x:v>
      </x:c>
    </x:row>
    <x:row r="4819">
      <x:c r="A4819" s="22" t="n">
        <x:v>28736</x:v>
      </x:c>
      <x:c r="B4819" s="28" t="n">
        <x:v>383.22</x:v>
      </x:c>
      <x:c r="C4819" s="28" t="n">
        <x:v>421.54</x:v>
      </x:c>
      <x:c r="D4819" s="31" t="n">
        <x:f>IF(OR(ISBLANK(B4819),ISBLANK(C4819),B4819=0),"",(C4819-B4819)/B4819)</x:f>
        <x:v>0.09999478106570636</x:v>
      </x:c>
      <x:c r="E4819" s="22" t="str">
        <x:f>IF(ISBLANK(C4819),"AmountIncludingTax缺失",IF(ABS(B4819-C4819)&lt;0.005,"一致","不一致"))</x:f>
        <x:v>不一致</x:v>
      </x:c>
      <x:c r="F4819" s="19" t="str">
        <x:v>approved</x:v>
      </x:c>
      <x:c r="G4819" s="19" t="str">
        <x:v>Repairer Invoiced Processed</x:v>
      </x:c>
      <x:c r="H4819" s="19" t="str">
        <x:v>In Field</x:v>
      </x:c>
      <x:c r="I4819" s="37" t="n">
        <x:v>46080</x:v>
      </x:c>
      <x:c r="J4819" s="37" t="n">
        <x:v>46080</x:v>
      </x:c>
      <x:c r="K4819" s="19" t="str">
        <x:v>Dario Caravans - Pooraka</x:v>
      </x:c>
      <x:c r="L4819" s="19" t="str">
        <x:v>Z006</x:v>
      </x:c>
      <x:c r="M4819" s="19" t="str">
        <x:v>In Field Warranty Claims</x:v>
      </x:c>
      <x:c r="N4819" s="37" t="n">
        <x:v>45996</x:v>
      </x:c>
      <x:c r="O4819" s="37"/>
      <x:c r="P4819" s="34" t="n">
        <x:v>421.54</x:v>
      </x:c>
      <x:c r="Q4819" s="37" t="n">
        <x:v>46080.11444444444</x:v>
      </x:c>
    </x:row>
    <x:row r="4820">
      <x:c r="A4820" s="22" t="n">
        <x:v>28733</x:v>
      </x:c>
      <x:c r="B4820" s="28" t="n">
        <x:v>200.55</x:v>
      </x:c>
      <x:c r="C4820" s="28" t="n">
        <x:v>220.61</x:v>
      </x:c>
      <x:c r="D4820" s="31" t="n">
        <x:f>IF(OR(ISBLANK(B4820),ISBLANK(C4820),B4820=0),"",(C4820-B4820)/B4820)</x:f>
        <x:v>0.100024931438544</x:v>
      </x:c>
      <x:c r="E4820" s="22" t="str">
        <x:f>IF(ISBLANK(C4820),"AmountIncludingTax缺失",IF(ABS(B4820-C4820)&lt;0.005,"一致","不一致"))</x:f>
        <x:v>不一致</x:v>
      </x:c>
      <x:c r="F4820" s="19" t="str">
        <x:v>approved</x:v>
      </x:c>
      <x:c r="G4820" s="19" t="str">
        <x:v>Repairer Invoiced Processed</x:v>
      </x:c>
      <x:c r="H4820" s="19" t="str">
        <x:v>Pre Delivery</x:v>
      </x:c>
      <x:c r="I4820" s="37" t="n">
        <x:v>46050</x:v>
      </x:c>
      <x:c r="J4820" s="37" t="n">
        <x:v>46050</x:v>
      </x:c>
      <x:c r="K4820" s="19" t="str">
        <x:v>Green RV - Forest Glen</x:v>
      </x:c>
      <x:c r="L4820" s="19" t="str">
        <x:v>Z005</x:v>
      </x:c>
      <x:c r="M4820" s="19" t="str">
        <x:v>Pre Delivery Warranty Claims</x:v>
      </x:c>
      <x:c r="N4820" s="37" t="n">
        <x:v>45995</x:v>
      </x:c>
      <x:c r="O4820" s="37"/>
      <x:c r="P4820" s="34" t="n">
        <x:v>220.61</x:v>
      </x:c>
      <x:c r="Q4820" s="37" t="n">
        <x:v>46050.29335648148</x:v>
      </x:c>
    </x:row>
    <x:row r="4821">
      <x:c r="A4821" s="22" t="n">
        <x:v>28732</x:v>
      </x:c>
      <x:c r="B4821" s="28" t="n">
        <x:v>279.15</x:v>
      </x:c>
      <x:c r="C4821" s="28" t="n">
        <x:v>307.07</x:v>
      </x:c>
      <x:c r="D4821" s="31" t="n">
        <x:f>IF(OR(ISBLANK(B4821),ISBLANK(C4821),B4821=0),"",(C4821-B4821)/B4821)</x:f>
        <x:v>0.10001791151710557</x:v>
      </x:c>
      <x:c r="E4821" s="22" t="str">
        <x:f>IF(ISBLANK(C4821),"AmountIncludingTax缺失",IF(ABS(B4821-C4821)&lt;0.005,"一致","不一致"))</x:f>
        <x:v>不一致</x:v>
      </x:c>
      <x:c r="F4821" s="19" t="str">
        <x:v>approved</x:v>
      </x:c>
      <x:c r="G4821" s="19" t="str">
        <x:v>Repairer Invoiced Processed</x:v>
      </x:c>
      <x:c r="H4821" s="19" t="str">
        <x:v>In Field</x:v>
      </x:c>
      <x:c r="I4821" s="37" t="n">
        <x:v>46071</x:v>
      </x:c>
      <x:c r="J4821" s="37" t="n">
        <x:v>46071</x:v>
      </x:c>
      <x:c r="K4821" s="19" t="str">
        <x:v>Lesiure Lion-New Castle</x:v>
      </x:c>
      <x:c r="L4821" s="19" t="str">
        <x:v>Z006</x:v>
      </x:c>
      <x:c r="M4821" s="19" t="str">
        <x:v>In Field Warranty Claims</x:v>
      </x:c>
      <x:c r="N4821" s="37" t="n">
        <x:v>45995</x:v>
      </x:c>
      <x:c r="O4821" s="37"/>
      <x:c r="P4821" s="34" t="n">
        <x:v>307.07</x:v>
      </x:c>
      <x:c r="Q4821" s="37" t="n">
        <x:v>46071.16268518518</x:v>
      </x:c>
    </x:row>
    <x:row r="4822">
      <x:c r="A4822" s="22" t="n">
        <x:v>28731</x:v>
      </x:c>
      <x:c r="B4822" s="28" t="n">
        <x:v>1281.65</x:v>
      </x:c>
      <x:c r="C4822" s="28"/>
      <x:c r="D4822" s="31" t="str">
        <x:f>IF(OR(ISBLANK(B4822),ISBLANK(C4822),B4822=0),"",(C4822-B4822)/B4822)</x:f>
      </x:c>
      <x:c r="E4822" s="22" t="str">
        <x:f>IF(ISBLANK(C4822),"AmountIncludingTax缺失",IF(ABS(B4822-C4822)&lt;0.005,"一致","不一致"))</x:f>
        <x:v>AmountIncludingTax缺失</x:v>
      </x:c>
      <x:c r="F4822" s="19" t="str">
        <x:v>approved</x:v>
      </x:c>
      <x:c r="G4822" s="19" t="str">
        <x:v>Repairer Invoiced Processed</x:v>
      </x:c>
      <x:c r="H4822" s="19" t="str">
        <x:v>Pre Delivery</x:v>
      </x:c>
      <x:c r="I4822" s="37" t="n">
        <x:v>46043</x:v>
      </x:c>
      <x:c r="J4822" s="37" t="n">
        <x:v>46043</x:v>
      </x:c>
      <x:c r="K4822" s="19" t="str">
        <x:v>Lesiure Lion-New Castle</x:v>
      </x:c>
      <x:c r="L4822" s="19" t="str">
        <x:v>Z005</x:v>
      </x:c>
      <x:c r="M4822" s="19" t="str">
        <x:v>Pre Delivery Warranty Claims</x:v>
      </x:c>
      <x:c r="N4822" s="37" t="n">
        <x:v>45995</x:v>
      </x:c>
      <x:c r="O4822" s="37"/>
      <x:c r="P4822" s="34" t="n">
        <x:v>1409.82</x:v>
      </x:c>
      <x:c r="Q4822" s="37" t="n">
        <x:v>46043.322222222225</x:v>
      </x:c>
    </x:row>
    <x:row r="4823">
      <x:c r="A4823" s="22" t="n">
        <x:v>28730</x:v>
      </x:c>
      <x:c r="B4823" s="28" t="n">
        <x:v>101.25</x:v>
      </x:c>
      <x:c r="C4823" s="28"/>
      <x:c r="D4823" s="31" t="str">
        <x:f>IF(OR(ISBLANK(B4823),ISBLANK(C4823),B4823=0),"",(C4823-B4823)/B4823)</x:f>
      </x:c>
      <x:c r="E4823" s="22" t="str">
        <x:f>IF(ISBLANK(C4823),"AmountIncludingTax缺失",IF(ABS(B4823-C4823)&lt;0.005,"一致","不一致"))</x:f>
        <x:v>AmountIncludingTax缺失</x:v>
      </x:c>
      <x:c r="F4823" s="19" t="str">
        <x:v>approved</x:v>
      </x:c>
      <x:c r="G4823" s="19" t="str">
        <x:v>Repair in Progress</x:v>
      </x:c>
      <x:c r="H4823" s="19" t="str">
        <x:v>Pre Delivery</x:v>
      </x:c>
      <x:c r="I4823" s="37" t="n">
        <x:v>46056</x:v>
      </x:c>
      <x:c r="J4823" s="37" t="n">
        <x:v>46056</x:v>
      </x:c>
      <x:c r="K4823" s="19" t="str">
        <x:v>Regent RV - Frankston</x:v>
      </x:c>
      <x:c r="L4823" s="19" t="str">
        <x:v>Z005</x:v>
      </x:c>
      <x:c r="M4823" s="19" t="str">
        <x:v>Pre Delivery Warranty Claims</x:v>
      </x:c>
      <x:c r="N4823" s="37" t="n">
        <x:v>45995</x:v>
      </x:c>
      <x:c r="O4823" s="37"/>
      <x:c r="P4823" s="34" t="n">
        <x:v>0</x:v>
      </x:c>
      <x:c r="Q4823" s="37" t="n">
        <x:v>46056.20851851852</x:v>
      </x:c>
    </x:row>
    <x:row r="4824">
      <x:c r="A4824" s="22" t="n">
        <x:v>28728</x:v>
      </x:c>
      <x:c r="B4824" s="28" t="n">
        <x:v>443.86</x:v>
      </x:c>
      <x:c r="C4824" s="28" t="n">
        <x:v>488.25</x:v>
      </x:c>
      <x:c r="D4824" s="31" t="n">
        <x:f>IF(OR(ISBLANK(B4824),ISBLANK(C4824),B4824=0),"",(C4824-B4824)/B4824)</x:f>
        <x:v>0.10000901185058349</x:v>
      </x:c>
      <x:c r="E4824" s="22" t="str">
        <x:f>IF(ISBLANK(C4824),"AmountIncludingTax缺失",IF(ABS(B4824-C4824)&lt;0.005,"一致","不一致"))</x:f>
        <x:v>不一致</x:v>
      </x:c>
      <x:c r="F4824" s="19" t="str">
        <x:v>approved</x:v>
      </x:c>
      <x:c r="G4824" s="19" t="str">
        <x:v>Repairer Invoiced Processed</x:v>
      </x:c>
      <x:c r="H4824" s="19" t="str">
        <x:v>In Field</x:v>
      </x:c>
      <x:c r="I4824" s="37" t="n">
        <x:v>46036</x:v>
      </x:c>
      <x:c r="J4824" s="37" t="n">
        <x:v>46036</x:v>
      </x:c>
      <x:c r="K4824" s="19" t="str">
        <x:v>The Caravan Hub - Townsville</x:v>
      </x:c>
      <x:c r="L4824" s="19" t="str">
        <x:v>Z006</x:v>
      </x:c>
      <x:c r="M4824" s="19" t="str">
        <x:v>In Field Warranty Claims</x:v>
      </x:c>
      <x:c r="N4824" s="37" t="n">
        <x:v>45995</x:v>
      </x:c>
      <x:c r="O4824" s="37"/>
      <x:c r="P4824" s="34" t="n">
        <x:v>488.25</x:v>
      </x:c>
      <x:c r="Q4824" s="37" t="n">
        <x:v>46036.19445601852</x:v>
      </x:c>
    </x:row>
    <x:row r="4825">
      <x:c r="A4825" s="22" t="n">
        <x:v>28725</x:v>
      </x:c>
      <x:c r="B4825" s="28" t="n">
        <x:v>469.34</x:v>
      </x:c>
      <x:c r="C4825" s="28" t="n">
        <x:v>682.69</x:v>
      </x:c>
      <x:c r="D4825" s="31" t="n">
        <x:f>IF(OR(ISBLANK(B4825),ISBLANK(C4825),B4825=0),"",(C4825-B4825)/B4825)</x:f>
        <x:v>0.45457450888481715</x:v>
      </x:c>
      <x:c r="E4825" s="22" t="str">
        <x:f>IF(ISBLANK(C4825),"AmountIncludingTax缺失",IF(ABS(B4825-C4825)&lt;0.005,"一致","不一致"))</x:f>
        <x:v>不一致</x:v>
      </x:c>
      <x:c r="F4825" s="19" t="str">
        <x:v>approved</x:v>
      </x:c>
      <x:c r="G4825" s="19" t="str">
        <x:v>Repairer Invoiced Processed</x:v>
      </x:c>
      <x:c r="H4825" s="19" t="str">
        <x:v>In Field</x:v>
      </x:c>
      <x:c r="I4825" s="37" t="n">
        <x:v>46055</x:v>
      </x:c>
      <x:c r="J4825" s="37" t="n">
        <x:v>46055</x:v>
      </x:c>
      <x:c r="K4825" s="19" t="str">
        <x:v>Green RV - Forest Glen</x:v>
      </x:c>
      <x:c r="L4825" s="19" t="str">
        <x:v>Z006</x:v>
      </x:c>
      <x:c r="M4825" s="19" t="str">
        <x:v>In Field Warranty Claims</x:v>
      </x:c>
      <x:c r="N4825" s="37" t="n">
        <x:v>45995</x:v>
      </x:c>
      <x:c r="O4825" s="37" t="n">
        <x:v>46055</x:v>
      </x:c>
      <x:c r="P4825" s="34" t="n">
        <x:v>682.69</x:v>
      </x:c>
      <x:c r="Q4825" s="37" t="n">
        <x:v>46054.971041666664</x:v>
      </x:c>
    </x:row>
    <x:row r="4826">
      <x:c r="A4826" s="22" t="n">
        <x:v>28724</x:v>
      </x:c>
      <x:c r="B4826" s="28" t="n">
        <x:v>391.12</x:v>
      </x:c>
      <x:c r="C4826" s="28"/>
      <x:c r="D4826" s="31" t="str">
        <x:f>IF(OR(ISBLANK(B4826),ISBLANK(C4826),B4826=0),"",(C4826-B4826)/B4826)</x:f>
      </x:c>
      <x:c r="E4826" s="22" t="str">
        <x:f>IF(ISBLANK(C4826),"AmountIncludingTax缺失",IF(ABS(B4826-C4826)&lt;0.005,"一致","不一致"))</x:f>
        <x:v>AmountIncludingTax缺失</x:v>
      </x:c>
      <x:c r="F4826" s="19" t="str">
        <x:v>approved</x:v>
      </x:c>
      <x:c r="G4826" s="19" t="str">
        <x:v>Repairer Invoiced Processed</x:v>
      </x:c>
      <x:c r="H4826" s="19" t="str">
        <x:v>In Field</x:v>
      </x:c>
      <x:c r="I4826" s="37" t="n">
        <x:v>46136</x:v>
      </x:c>
      <x:c r="J4826" s="37" t="n">
        <x:v>46136</x:v>
      </x:c>
      <x:c r="K4826" s="19" t="str">
        <x:v>Dario Caravans - Pooraka</x:v>
      </x:c>
      <x:c r="L4826" s="19" t="str">
        <x:v>Z006</x:v>
      </x:c>
      <x:c r="M4826" s="19" t="str">
        <x:v>In Field Warranty Claims</x:v>
      </x:c>
      <x:c r="N4826" s="37" t="n">
        <x:v>45995</x:v>
      </x:c>
      <x:c r="O4826" s="37"/>
      <x:c r="P4826" s="34" t="n">
        <x:v>0</x:v>
      </x:c>
      <x:c r="Q4826" s="37" t="n">
        <x:v>46136.207916666666</x:v>
      </x:c>
    </x:row>
    <x:row r="4827">
      <x:c r="A4827" s="22" t="n">
        <x:v>28723</x:v>
      </x:c>
      <x:c r="B4827" s="28" t="n">
        <x:v>146.73</x:v>
      </x:c>
      <x:c r="C4827" s="28" t="n">
        <x:v>161.4</x:v>
      </x:c>
      <x:c r="D4827" s="31" t="n">
        <x:f>IF(OR(ISBLANK(B4827),ISBLANK(C4827),B4827=0),"",(C4827-B4827)/B4827)</x:f>
        <x:v>0.09997955428337775</x:v>
      </x:c>
      <x:c r="E4827" s="22" t="str">
        <x:f>IF(ISBLANK(C4827),"AmountIncludingTax缺失",IF(ABS(B4827-C4827)&lt;0.005,"一致","不一致"))</x:f>
        <x:v>不一致</x:v>
      </x:c>
      <x:c r="F4827" s="19" t="str">
        <x:v>approved</x:v>
      </x:c>
      <x:c r="G4827" s="19" t="str">
        <x:v>Repairer Invoiced Received</x:v>
      </x:c>
      <x:c r="H4827" s="19" t="str">
        <x:v>Pre Delivery</x:v>
      </x:c>
      <x:c r="I4827" s="37" t="n">
        <x:v>46069</x:v>
      </x:c>
      <x:c r="J4827" s="37" t="n">
        <x:v>46069</x:v>
      </x:c>
      <x:c r="K4827" s="19" t="str">
        <x:v>Green RV - Slacks Creek</x:v>
      </x:c>
      <x:c r="L4827" s="19" t="str">
        <x:v>Z005</x:v>
      </x:c>
      <x:c r="M4827" s="19" t="str">
        <x:v>Pre Delivery Warranty Claims</x:v>
      </x:c>
      <x:c r="N4827" s="37" t="n">
        <x:v>45995</x:v>
      </x:c>
      <x:c r="O4827" s="37"/>
      <x:c r="P4827" s="34" t="n">
        <x:v>161.4</x:v>
      </x:c>
      <x:c r="Q4827" s="37" t="n">
        <x:v>46069.21362268519</x:v>
      </x:c>
    </x:row>
    <x:row r="4828">
      <x:c r="A4828" s="22" t="n">
        <x:v>28721</x:v>
      </x:c>
      <x:c r="B4828" s="28" t="n">
        <x:v>540</x:v>
      </x:c>
      <x:c r="C4828" s="28"/>
      <x:c r="D4828" s="31" t="str">
        <x:f>IF(OR(ISBLANK(B4828),ISBLANK(C4828),B4828=0),"",(C4828-B4828)/B4828)</x:f>
      </x:c>
      <x:c r="E4828" s="22" t="str">
        <x:f>IF(ISBLANK(C4828),"AmountIncludingTax缺失",IF(ABS(B4828-C4828)&lt;0.005,"一致","不一致"))</x:f>
        <x:v>AmountIncludingTax缺失</x:v>
      </x:c>
      <x:c r="F4828" s="19" t="str">
        <x:v>approved</x:v>
      </x:c>
      <x:c r="G4828" s="19" t="str">
        <x:v>Repairer Invoiced Processed</x:v>
      </x:c>
      <x:c r="H4828" s="19" t="str">
        <x:v>In Field</x:v>
      </x:c>
      <x:c r="I4828" s="37" t="n">
        <x:v>46099</x:v>
      </x:c>
      <x:c r="J4828" s="37" t="n">
        <x:v>46099</x:v>
      </x:c>
      <x:c r="K4828" s="19" t="str">
        <x:v>Newcastle RV Super Centre - Beresfield</x:v>
      </x:c>
      <x:c r="L4828" s="19" t="str">
        <x:v>Z006</x:v>
      </x:c>
      <x:c r="M4828" s="19" t="str">
        <x:v>In Field Warranty Claims</x:v>
      </x:c>
      <x:c r="N4828" s="37" t="n">
        <x:v>45995</x:v>
      </x:c>
      <x:c r="O4828" s="37"/>
      <x:c r="P4828" s="34" t="n">
        <x:v>0</x:v>
      </x:c>
      <x:c r="Q4828" s="37" t="n">
        <x:v>46099.534166666665</x:v>
      </x:c>
    </x:row>
    <x:row r="4829">
      <x:c r="A4829" s="22" t="n">
        <x:v>28720</x:v>
      </x:c>
      <x:c r="B4829" s="28" t="n">
        <x:v>1497.5</x:v>
      </x:c>
      <x:c r="C4829" s="28"/>
      <x:c r="D4829" s="31" t="str">
        <x:f>IF(OR(ISBLANK(B4829),ISBLANK(C4829),B4829=0),"",(C4829-B4829)/B4829)</x:f>
      </x:c>
      <x:c r="E4829" s="22" t="str">
        <x:f>IF(ISBLANK(C4829),"AmountIncludingTax缺失",IF(ABS(B4829-C4829)&lt;0.005,"一致","不一致"))</x:f>
        <x:v>AmountIncludingTax缺失</x:v>
      </x:c>
      <x:c r="F4829" s="19" t="str">
        <x:v>approved</x:v>
      </x:c>
      <x:c r="G4829" s="19" t="str">
        <x:v>Repairer Invoiced Processed</x:v>
      </x:c>
      <x:c r="H4829" s="19" t="str">
        <x:v>In Field</x:v>
      </x:c>
      <x:c r="I4829" s="37" t="n">
        <x:v>46064</x:v>
      </x:c>
      <x:c r="J4829" s="37" t="n">
        <x:v>46062</x:v>
      </x:c>
      <x:c r="K4829" s="19" t="str">
        <x:v>Great Ocean Road RV &amp; Caravans - Warrnambool</x:v>
      </x:c>
      <x:c r="L4829" s="19" t="str">
        <x:v>Z006</x:v>
      </x:c>
      <x:c r="M4829" s="19" t="str">
        <x:v>In Field Warranty Claims</x:v>
      </x:c>
      <x:c r="N4829" s="37" t="n">
        <x:v>45995</x:v>
      </x:c>
      <x:c r="O4829" s="37"/>
      <x:c r="P4829" s="34" t="n">
        <x:v>0</x:v>
      </x:c>
      <x:c r="Q4829" s="37" t="n">
        <x:v>46063.894953703704</x:v>
      </x:c>
    </x:row>
    <x:row r="4830">
      <x:c r="A4830" s="22" t="n">
        <x:v>28719</x:v>
      </x:c>
      <x:c r="B4830" s="28" t="n">
        <x:v>1157.5</x:v>
      </x:c>
      <x:c r="C4830" s="28"/>
      <x:c r="D4830" s="31" t="str">
        <x:f>IF(OR(ISBLANK(B4830),ISBLANK(C4830),B4830=0),"",(C4830-B4830)/B4830)</x:f>
      </x:c>
      <x:c r="E4830" s="22" t="str">
        <x:f>IF(ISBLANK(C4830),"AmountIncludingTax缺失",IF(ABS(B4830-C4830)&lt;0.005,"一致","不一致"))</x:f>
        <x:v>AmountIncludingTax缺失</x:v>
      </x:c>
      <x:c r="F4830" s="19" t="str">
        <x:v>approved</x:v>
      </x:c>
      <x:c r="G4830" s="19" t="str">
        <x:v>Repairer Invoiced Processed</x:v>
      </x:c>
      <x:c r="H4830" s="19" t="str">
        <x:v>In Field</x:v>
      </x:c>
      <x:c r="I4830" s="37" t="n">
        <x:v>46065</x:v>
      </x:c>
      <x:c r="J4830" s="37" t="n">
        <x:v>46065</x:v>
      </x:c>
      <x:c r="K4830" s="19" t="str">
        <x:v>Green RV - Forest Glen</x:v>
      </x:c>
      <x:c r="L4830" s="19" t="str">
        <x:v>Z006</x:v>
      </x:c>
      <x:c r="M4830" s="19" t="str">
        <x:v>In Field Warranty Claims</x:v>
      </x:c>
      <x:c r="N4830" s="37" t="n">
        <x:v>45995</x:v>
      </x:c>
      <x:c r="O4830" s="37"/>
      <x:c r="P4830" s="34" t="n">
        <x:v>0</x:v>
      </x:c>
      <x:c r="Q4830" s="37" t="n">
        <x:v>46065.19386574074</x:v>
      </x:c>
    </x:row>
    <x:row r="4831">
      <x:c r="A4831" s="22" t="n">
        <x:v>28718</x:v>
      </x:c>
      <x:c r="B4831" s="28" t="n">
        <x:v>393.75</x:v>
      </x:c>
      <x:c r="C4831" s="28" t="n">
        <x:v>433.13</x:v>
      </x:c>
      <x:c r="D4831" s="31" t="n">
        <x:f>IF(OR(ISBLANK(B4831),ISBLANK(C4831),B4831=0),"",(C4831-B4831)/B4831)</x:f>
        <x:v>0.1000126984126984</x:v>
      </x:c>
      <x:c r="E4831" s="22" t="str">
        <x:f>IF(ISBLANK(C4831),"AmountIncludingTax缺失",IF(ABS(B4831-C4831)&lt;0.005,"一致","不一致"))</x:f>
        <x:v>不一致</x:v>
      </x:c>
      <x:c r="F4831" s="19" t="str">
        <x:v>approved</x:v>
      </x:c>
      <x:c r="G4831" s="19" t="str">
        <x:v>Repair in Progress</x:v>
      </x:c>
      <x:c r="H4831" s="19" t="str">
        <x:v>Pre Delivery</x:v>
      </x:c>
      <x:c r="I4831" s="37" t="n">
        <x:v>46083</x:v>
      </x:c>
      <x:c r="J4831" s="37" t="n">
        <x:v>46083</x:v>
      </x:c>
      <x:c r="K4831" s="19" t="str">
        <x:v>Regent RV - Perth</x:v>
      </x:c>
      <x:c r="L4831" s="19" t="str">
        <x:v>Z005</x:v>
      </x:c>
      <x:c r="M4831" s="19" t="str">
        <x:v>Pre Delivery Warranty Claims</x:v>
      </x:c>
      <x:c r="N4831" s="37" t="n">
        <x:v>45995</x:v>
      </x:c>
      <x:c r="O4831" s="37"/>
      <x:c r="P4831" s="34" t="n">
        <x:v>433.13</x:v>
      </x:c>
      <x:c r="Q4831" s="37" t="n">
        <x:v>46083.223125</x:v>
      </x:c>
    </x:row>
    <x:row r="4832">
      <x:c r="A4832" s="22" t="n">
        <x:v>28716</x:v>
      </x:c>
      <x:c r="B4832" s="28" t="n">
        <x:v>7082.96</x:v>
      </x:c>
      <x:c r="C4832" s="28"/>
      <x:c r="D4832" s="31" t="str">
        <x:f>IF(OR(ISBLANK(B4832),ISBLANK(C4832),B4832=0),"",(C4832-B4832)/B4832)</x:f>
      </x:c>
      <x:c r="E4832" s="22" t="str">
        <x:f>IF(ISBLANK(C4832),"AmountIncludingTax缺失",IF(ABS(B4832-C4832)&lt;0.005,"一致","不一致"))</x:f>
        <x:v>AmountIncludingTax缺失</x:v>
      </x:c>
      <x:c r="F4832" s="19" t="str">
        <x:v>approved</x:v>
      </x:c>
      <x:c r="G4832" s="19" t="str">
        <x:v>Repair in Progress</x:v>
      </x:c>
      <x:c r="H4832" s="19" t="str">
        <x:v>In Field</x:v>
      </x:c>
      <x:c r="I4832" s="37" t="n">
        <x:v>46129</x:v>
      </x:c>
      <x:c r="J4832" s="37" t="n">
        <x:v>46129</x:v>
      </x:c>
      <x:c r="K4832" s="19" t="str">
        <x:v>Regent RV - Toowoomba</x:v>
      </x:c>
      <x:c r="L4832" s="19" t="str">
        <x:v>Z006</x:v>
      </x:c>
      <x:c r="M4832" s="19" t="str">
        <x:v>In Field Warranty Claims</x:v>
      </x:c>
      <x:c r="N4832" s="37" t="n">
        <x:v>45995</x:v>
      </x:c>
      <x:c r="O4832" s="37"/>
      <x:c r="P4832" s="34" t="n">
        <x:v>7791.26</x:v>
      </x:c>
      <x:c r="Q4832" s="37" t="n">
        <x:v>46129.1727662037</x:v>
      </x:c>
    </x:row>
    <x:row r="4833">
      <x:c r="A4833" s="22" t="n">
        <x:v>28714</x:v>
      </x:c>
      <x:c r="B4833" s="28" t="n">
        <x:v>212.5</x:v>
      </x:c>
      <x:c r="C4833" s="28" t="n">
        <x:v>233.75</x:v>
      </x:c>
      <x:c r="D4833" s="31" t="n">
        <x:f>IF(OR(ISBLANK(B4833),ISBLANK(C4833),B4833=0),"",(C4833-B4833)/B4833)</x:f>
        <x:v>0.1</x:v>
      </x:c>
      <x:c r="E4833" s="22" t="str">
        <x:f>IF(ISBLANK(C4833),"AmountIncludingTax缺失",IF(ABS(B4833-C4833)&lt;0.005,"一致","不一致"))</x:f>
        <x:v>不一致</x:v>
      </x:c>
      <x:c r="F4833" s="19" t="str">
        <x:v>approved</x:v>
      </x:c>
      <x:c r="G4833" s="19" t="str">
        <x:v>Repairer Invoiced Processed</x:v>
      </x:c>
      <x:c r="H4833" s="19" t="str">
        <x:v>In Field</x:v>
      </x:c>
      <x:c r="I4833" s="37" t="n">
        <x:v>46051</x:v>
      </x:c>
      <x:c r="J4833" s="37" t="n">
        <x:v>46051</x:v>
      </x:c>
      <x:c r="K4833" s="19" t="str">
        <x:v>Regent RV - Frankston</x:v>
      </x:c>
      <x:c r="L4833" s="19" t="str">
        <x:v>Z006</x:v>
      </x:c>
      <x:c r="M4833" s="19" t="str">
        <x:v>In Field Warranty Claims</x:v>
      </x:c>
      <x:c r="N4833" s="37" t="n">
        <x:v>45995</x:v>
      </x:c>
      <x:c r="O4833" s="37"/>
      <x:c r="P4833" s="34" t="n">
        <x:v>233.75</x:v>
      </x:c>
      <x:c r="Q4833" s="37" t="n">
        <x:v>46051.009421296294</x:v>
      </x:c>
    </x:row>
    <x:row r="4834">
      <x:c r="A4834" s="22" t="n">
        <x:v>28713</x:v>
      </x:c>
      <x:c r="B4834" s="28" t="n">
        <x:v>130.5</x:v>
      </x:c>
      <x:c r="C4834" s="28" t="n">
        <x:v>118.15</x:v>
      </x:c>
      <x:c r="D4834" s="31" t="n">
        <x:f>IF(OR(ISBLANK(B4834),ISBLANK(C4834),B4834=0),"",(C4834-B4834)/B4834)</x:f>
        <x:v>-0.09463601532567045</x:v>
      </x:c>
      <x:c r="E4834" s="22" t="str">
        <x:f>IF(ISBLANK(C4834),"AmountIncludingTax缺失",IF(ABS(B4834-C4834)&lt;0.005,"一致","不一致"))</x:f>
        <x:v>不一致</x:v>
      </x:c>
      <x:c r="F4834" s="19" t="str">
        <x:v>approved</x:v>
      </x:c>
      <x:c r="G4834" s="19" t="str">
        <x:v>Repairer Invoiced Processed</x:v>
      </x:c>
      <x:c r="H4834" s="19" t="str">
        <x:v>In Field</x:v>
      </x:c>
      <x:c r="I4834" s="37" t="n">
        <x:v>46056</x:v>
      </x:c>
      <x:c r="J4834" s="37" t="n">
        <x:v>46056</x:v>
      </x:c>
      <x:c r="K4834" s="19" t="str">
        <x:v>Vanari Caravans - Marden Point</x:v>
      </x:c>
      <x:c r="L4834" s="19" t="str">
        <x:v>Z006</x:v>
      </x:c>
      <x:c r="M4834" s="19" t="str">
        <x:v>In Field Warranty Claims</x:v>
      </x:c>
      <x:c r="N4834" s="37" t="n">
        <x:v>45995</x:v>
      </x:c>
      <x:c r="O4834" s="37"/>
      <x:c r="P4834" s="34" t="n">
        <x:v>118.15</x:v>
      </x:c>
      <x:c r="Q4834" s="37" t="n">
        <x:v>46056.20287037037</x:v>
      </x:c>
    </x:row>
    <x:row r="4835">
      <x:c r="A4835" s="22" t="n">
        <x:v>28712</x:v>
      </x:c>
      <x:c r="B4835" s="28" t="n">
        <x:v>225</x:v>
      </x:c>
      <x:c r="C4835" s="28"/>
      <x:c r="D4835" s="31" t="str">
        <x:f>IF(OR(ISBLANK(B4835),ISBLANK(C4835),B4835=0),"",(C4835-B4835)/B4835)</x:f>
      </x:c>
      <x:c r="E4835" s="22" t="str">
        <x:f>IF(ISBLANK(C4835),"AmountIncludingTax缺失",IF(ABS(B4835-C4835)&lt;0.005,"一致","不一致"))</x:f>
        <x:v>AmountIncludingTax缺失</x:v>
      </x:c>
      <x:c r="F4835" s="19" t="str">
        <x:v>approved</x:v>
      </x:c>
      <x:c r="G4835" s="19" t="str">
        <x:v>Repair in Progress</x:v>
      </x:c>
      <x:c r="H4835" s="19" t="str">
        <x:v>Pre Delivery</x:v>
      </x:c>
      <x:c r="I4835" s="37" t="n">
        <x:v>46057</x:v>
      </x:c>
      <x:c r="J4835" s="37" t="n">
        <x:v>46057</x:v>
      </x:c>
      <x:c r="K4835" s="19" t="str">
        <x:v>Regent RV - Perth</x:v>
      </x:c>
      <x:c r="L4835" s="19" t="str">
        <x:v>Z005</x:v>
      </x:c>
      <x:c r="M4835" s="19" t="str">
        <x:v>Pre Delivery Warranty Claims</x:v>
      </x:c>
      <x:c r="N4835" s="37" t="n">
        <x:v>45995</x:v>
      </x:c>
      <x:c r="O4835" s="37"/>
      <x:c r="P4835" s="34" t="n">
        <x:v>0</x:v>
      </x:c>
      <x:c r="Q4835" s="37" t="n">
        <x:v>46056.9281712963</x:v>
      </x:c>
    </x:row>
    <x:row r="4836">
      <x:c r="A4836" s="22" t="n">
        <x:v>28711</x:v>
      </x:c>
      <x:c r="B4836" s="28" t="n">
        <x:v>67.5</x:v>
      </x:c>
      <x:c r="C4836" s="28"/>
      <x:c r="D4836" s="31" t="str">
        <x:f>IF(OR(ISBLANK(B4836),ISBLANK(C4836),B4836=0),"",(C4836-B4836)/B4836)</x:f>
      </x:c>
      <x:c r="E4836" s="22" t="str">
        <x:f>IF(ISBLANK(C4836),"AmountIncludingTax缺失",IF(ABS(B4836-C4836)&lt;0.005,"一致","不一致"))</x:f>
        <x:v>AmountIncludingTax缺失</x:v>
      </x:c>
      <x:c r="F4836" s="19" t="str">
        <x:v>approved</x:v>
      </x:c>
      <x:c r="G4836" s="19" t="str">
        <x:v>Repairer Invoiced Processed</x:v>
      </x:c>
      <x:c r="H4836" s="19" t="str">
        <x:v>In Field</x:v>
      </x:c>
      <x:c r="I4836" s="37" t="n">
        <x:v>46093</x:v>
      </x:c>
      <x:c r="J4836" s="37" t="n">
        <x:v>46093</x:v>
      </x:c>
      <x:c r="K4836" s="19" t="str">
        <x:v>Regent RV - Toowoomba</x:v>
      </x:c>
      <x:c r="L4836" s="19" t="str">
        <x:v>Z006</x:v>
      </x:c>
      <x:c r="M4836" s="19" t="str">
        <x:v>In Field Warranty Claims</x:v>
      </x:c>
      <x:c r="N4836" s="37" t="n">
        <x:v>45995</x:v>
      </x:c>
      <x:c r="O4836" s="37"/>
      <x:c r="P4836" s="34" t="n">
        <x:v>0</x:v>
      </x:c>
      <x:c r="Q4836" s="37" t="n">
        <x:v>46093.2596412037</x:v>
      </x:c>
    </x:row>
    <x:row r="4837">
      <x:c r="A4837" s="22" t="n">
        <x:v>28705</x:v>
      </x:c>
      <x:c r="B4837" s="28" t="n">
        <x:v>750</x:v>
      </x:c>
      <x:c r="C4837" s="28" t="n">
        <x:v>825</x:v>
      </x:c>
      <x:c r="D4837" s="31" t="n">
        <x:f>IF(OR(ISBLANK(B4837),ISBLANK(C4837),B4837=0),"",(C4837-B4837)/B4837)</x:f>
        <x:v>0.1</x:v>
      </x:c>
      <x:c r="E4837" s="22" t="str">
        <x:f>IF(ISBLANK(C4837),"AmountIncludingTax缺失",IF(ABS(B4837-C4837)&lt;0.005,"一致","不一致"))</x:f>
        <x:v>不一致</x:v>
      </x:c>
      <x:c r="F4837" s="19" t="str">
        <x:v>approved</x:v>
      </x:c>
      <x:c r="G4837" s="19" t="str">
        <x:v>Repairer Invoiced Processed</x:v>
      </x:c>
      <x:c r="H4837" s="19" t="str">
        <x:v>In Field</x:v>
      </x:c>
      <x:c r="I4837" s="37" t="n">
        <x:v>46067</x:v>
      </x:c>
      <x:c r="J4837" s="37" t="n">
        <x:v>46066</x:v>
      </x:c>
      <x:c r="K4837" s="19" t="str">
        <x:v>Dario Caravans -St.Marys</x:v>
      </x:c>
      <x:c r="L4837" s="19" t="str">
        <x:v>Z006</x:v>
      </x:c>
      <x:c r="M4837" s="19" t="str">
        <x:v>In Field Warranty Claims</x:v>
      </x:c>
      <x:c r="N4837" s="37" t="n">
        <x:v>45995</x:v>
      </x:c>
      <x:c r="O4837" s="37"/>
      <x:c r="P4837" s="34" t="n">
        <x:v>825</x:v>
      </x:c>
      <x:c r="Q4837" s="37" t="n">
        <x:v>46066.562743055554</x:v>
      </x:c>
    </x:row>
    <x:row r="4838">
      <x:c r="A4838" s="22" t="n">
        <x:v>28699</x:v>
      </x:c>
      <x:c r="B4838" s="28" t="n">
        <x:v>250.65</x:v>
      </x:c>
      <x:c r="C4838" s="28" t="n">
        <x:v>275.72</x:v>
      </x:c>
      <x:c r="D4838" s="31" t="n">
        <x:f>IF(OR(ISBLANK(B4838),ISBLANK(C4838),B4838=0),"",(C4838-B4838)/B4838)</x:f>
        <x:v>0.10001994813484948</x:v>
      </x:c>
      <x:c r="E4838" s="22" t="str">
        <x:f>IF(ISBLANK(C4838),"AmountIncludingTax缺失",IF(ABS(B4838-C4838)&lt;0.005,"一致","不一致"))</x:f>
        <x:v>不一致</x:v>
      </x:c>
      <x:c r="F4838" s="19" t="str">
        <x:v>approved</x:v>
      </x:c>
      <x:c r="G4838" s="19" t="str">
        <x:v>Repairer Invoiced Processed</x:v>
      </x:c>
      <x:c r="H4838" s="19" t="str">
        <x:v>In Field</x:v>
      </x:c>
      <x:c r="I4838" s="37" t="n">
        <x:v>46142</x:v>
      </x:c>
      <x:c r="J4838" s="37" t="n">
        <x:v>46142</x:v>
      </x:c>
      <x:c r="K4838" s="19" t="str">
        <x:v>Regent RV - Frankston</x:v>
      </x:c>
      <x:c r="L4838" s="19" t="str">
        <x:v>Z006</x:v>
      </x:c>
      <x:c r="M4838" s="19" t="str">
        <x:v>In Field Warranty Claims</x:v>
      </x:c>
      <x:c r="N4838" s="37" t="n">
        <x:v>45995</x:v>
      </x:c>
      <x:c r="O4838" s="37"/>
      <x:c r="P4838" s="34" t="n">
        <x:v>275.72</x:v>
      </x:c>
      <x:c r="Q4838" s="37" t="n">
        <x:v>46141.96403935185</x:v>
      </x:c>
    </x:row>
    <x:row r="4839">
      <x:c r="A4839" s="22" t="n">
        <x:v>28698</x:v>
      </x:c>
      <x:c r="B4839" s="28" t="n">
        <x:v>244.09</x:v>
      </x:c>
      <x:c r="C4839" s="28"/>
      <x:c r="D4839" s="31" t="str">
        <x:f>IF(OR(ISBLANK(B4839),ISBLANK(C4839),B4839=0),"",(C4839-B4839)/B4839)</x:f>
      </x:c>
      <x:c r="E4839" s="22" t="str">
        <x:f>IF(ISBLANK(C4839),"AmountIncludingTax缺失",IF(ABS(B4839-C4839)&lt;0.005,"一致","不一致"))</x:f>
        <x:v>AmountIncludingTax缺失</x:v>
      </x:c>
      <x:c r="F4839" s="19" t="str">
        <x:v>approved</x:v>
      </x:c>
      <x:c r="G4839" s="19" t="str">
        <x:v>Repair in Progress</x:v>
      </x:c>
      <x:c r="H4839" s="19" t="str">
        <x:v>In Field</x:v>
      </x:c>
      <x:c r="I4839" s="37" t="n">
        <x:v>46100</x:v>
      </x:c>
      <x:c r="J4839" s="37" t="n">
        <x:v>46100</x:v>
      </x:c>
      <x:c r="K4839" s="19" t="str">
        <x:v>Regent RV - Toowoomba</x:v>
      </x:c>
      <x:c r="L4839" s="19" t="str">
        <x:v>Z006</x:v>
      </x:c>
      <x:c r="M4839" s="19" t="str">
        <x:v>In Field Warranty Claims</x:v>
      </x:c>
      <x:c r="N4839" s="37" t="n">
        <x:v>45995</x:v>
      </x:c>
      <x:c r="O4839" s="37"/>
      <x:c r="P4839" s="34" t="n">
        <x:v>0</x:v>
      </x:c>
      <x:c r="Q4839" s="37" t="n">
        <x:v>46100.10386574074</x:v>
      </x:c>
    </x:row>
    <x:row r="4840">
      <x:c r="A4840" s="22" t="n">
        <x:v>28697</x:v>
      </x:c>
      <x:c r="B4840" s="28" t="n">
        <x:v>78.75</x:v>
      </x:c>
      <x:c r="C4840" s="28" t="n">
        <x:v>86.63</x:v>
      </x:c>
      <x:c r="D4840" s="31" t="n">
        <x:f>IF(OR(ISBLANK(B4840),ISBLANK(C4840),B4840=0),"",(C4840-B4840)/B4840)</x:f>
        <x:v>0.10006349206349201</x:v>
      </x:c>
      <x:c r="E4840" s="22" t="str">
        <x:f>IF(ISBLANK(C4840),"AmountIncludingTax缺失",IF(ABS(B4840-C4840)&lt;0.005,"一致","不一致"))</x:f>
        <x:v>不一致</x:v>
      </x:c>
      <x:c r="F4840" s="19" t="str">
        <x:v>approved</x:v>
      </x:c>
      <x:c r="G4840" s="19" t="str">
        <x:v>Repair in Progress</x:v>
      </x:c>
      <x:c r="H4840" s="19" t="str">
        <x:v>Pre Delivery</x:v>
      </x:c>
      <x:c r="I4840" s="37" t="n">
        <x:v>46050</x:v>
      </x:c>
      <x:c r="J4840" s="37" t="n">
        <x:v>46050</x:v>
      </x:c>
      <x:c r="K4840" s="19" t="str">
        <x:v>Regent RV Pty Ltd</x:v>
      </x:c>
      <x:c r="L4840" s="19" t="str">
        <x:v>Z005</x:v>
      </x:c>
      <x:c r="M4840" s="19" t="str">
        <x:v>Pre Delivery Warranty Claims</x:v>
      </x:c>
      <x:c r="N4840" s="37" t="n">
        <x:v>45995</x:v>
      </x:c>
      <x:c r="O4840" s="37"/>
      <x:c r="P4840" s="34" t="n">
        <x:v>86.63</x:v>
      </x:c>
      <x:c r="Q4840" s="37" t="n">
        <x:v>46050.32707175926</x:v>
      </x:c>
    </x:row>
    <x:row r="4841">
      <x:c r="A4841" s="22" t="n">
        <x:v>28695</x:v>
      </x:c>
      <x:c r="B4841" s="28" t="n">
        <x:v>220</x:v>
      </x:c>
      <x:c r="C4841" s="28"/>
      <x:c r="D4841" s="31" t="str">
        <x:f>IF(OR(ISBLANK(B4841),ISBLANK(C4841),B4841=0),"",(C4841-B4841)/B4841)</x:f>
      </x:c>
      <x:c r="E4841" s="22" t="str">
        <x:f>IF(ISBLANK(C4841),"AmountIncludingTax缺失",IF(ABS(B4841-C4841)&lt;0.005,"一致","不一致"))</x:f>
        <x:v>AmountIncludingTax缺失</x:v>
      </x:c>
      <x:c r="F4841" s="19" t="str">
        <x:v>approved</x:v>
      </x:c>
      <x:c r="G4841" s="19" t="str">
        <x:v>Repair in Progress</x:v>
      </x:c>
      <x:c r="H4841" s="19" t="str">
        <x:v>Pre Delivery</x:v>
      </x:c>
      <x:c r="I4841" s="37" t="n">
        <x:v>46057</x:v>
      </x:c>
      <x:c r="J4841" s="37" t="n">
        <x:v>46057</x:v>
      </x:c>
      <x:c r="K4841" s="19" t="str">
        <x:v>Regent RV - Perth</x:v>
      </x:c>
      <x:c r="L4841" s="19" t="str">
        <x:v>Z005</x:v>
      </x:c>
      <x:c r="M4841" s="19" t="str">
        <x:v>Pre Delivery Warranty Claims</x:v>
      </x:c>
      <x:c r="N4841" s="37" t="n">
        <x:v>45995</x:v>
      </x:c>
      <x:c r="O4841" s="37"/>
      <x:c r="P4841" s="34" t="n">
        <x:v>0</x:v>
      </x:c>
      <x:c r="Q4841" s="37" t="n">
        <x:v>46056.945243055554</x:v>
      </x:c>
    </x:row>
    <x:row r="4842">
      <x:c r="A4842" s="22" t="n">
        <x:v>28694</x:v>
      </x:c>
      <x:c r="B4842" s="28" t="n">
        <x:v>1927.5</x:v>
      </x:c>
      <x:c r="C4842" s="28"/>
      <x:c r="D4842" s="31" t="str">
        <x:f>IF(OR(ISBLANK(B4842),ISBLANK(C4842),B4842=0),"",(C4842-B4842)/B4842)</x:f>
      </x:c>
      <x:c r="E4842" s="22" t="str">
        <x:f>IF(ISBLANK(C4842),"AmountIncludingTax缺失",IF(ABS(B4842-C4842)&lt;0.005,"一致","不一致"))</x:f>
        <x:v>AmountIncludingTax缺失</x:v>
      </x:c>
      <x:c r="F4842" s="19" t="str">
        <x:v>approved</x:v>
      </x:c>
      <x:c r="G4842" s="19" t="str">
        <x:v>Repairer Invoiced Processed</x:v>
      </x:c>
      <x:c r="H4842" s="19" t="str">
        <x:v>In Field</x:v>
      </x:c>
      <x:c r="I4842" s="37" t="n">
        <x:v>46185</x:v>
      </x:c>
      <x:c r="J4842" s="37" t="n">
        <x:v>46082</x:v>
      </x:c>
      <x:c r="K4842" s="19" t="str">
        <x:v>Vanari Caravans - Marden Point</x:v>
      </x:c>
      <x:c r="L4842" s="19" t="str">
        <x:v>Z006</x:v>
      </x:c>
      <x:c r="M4842" s="19" t="str">
        <x:v>In Field Warranty Claims</x:v>
      </x:c>
      <x:c r="N4842" s="37" t="n">
        <x:v>45995</x:v>
      </x:c>
      <x:c r="O4842" s="37"/>
      <x:c r="P4842" s="34" t="n">
        <x:v>1745.16</x:v>
      </x:c>
      <x:c r="Q4842" s="37" t="n">
        <x:v>46185.13892361111</x:v>
      </x:c>
    </x:row>
    <x:row r="4843">
      <x:c r="A4843" s="22" t="n">
        <x:v>28691</x:v>
      </x:c>
      <x:c r="B4843" s="28" t="n">
        <x:v>425</x:v>
      </x:c>
      <x:c r="C4843" s="28"/>
      <x:c r="D4843" s="31" t="str">
        <x:f>IF(OR(ISBLANK(B4843),ISBLANK(C4843),B4843=0),"",(C4843-B4843)/B4843)</x:f>
      </x:c>
      <x:c r="E4843" s="22" t="str">
        <x:f>IF(ISBLANK(C4843),"AmountIncludingTax缺失",IF(ABS(B4843-C4843)&lt;0.005,"一致","不一致"))</x:f>
        <x:v>AmountIncludingTax缺失</x:v>
      </x:c>
      <x:c r="F4843" s="19" t="str">
        <x:v>approved</x:v>
      </x:c>
      <x:c r="G4843" s="19" t="str">
        <x:v>Repairer Invoiced Processed</x:v>
      </x:c>
      <x:c r="H4843" s="19" t="str">
        <x:v>In Field</x:v>
      </x:c>
      <x:c r="I4843" s="37" t="n">
        <x:v>46079</x:v>
      </x:c>
      <x:c r="J4843" s="37" t="n">
        <x:v>46079</x:v>
      </x:c>
      <x:c r="K4843" s="19" t="str">
        <x:v>Regent RV Pty Ltd</x:v>
      </x:c>
      <x:c r="L4843" s="19" t="str">
        <x:v>Z006</x:v>
      </x:c>
      <x:c r="M4843" s="19" t="str">
        <x:v>In Field Warranty Claims</x:v>
      </x:c>
      <x:c r="N4843" s="37" t="n">
        <x:v>45994</x:v>
      </x:c>
      <x:c r="O4843" s="37"/>
      <x:c r="P4843" s="34" t="n">
        <x:v>0</x:v>
      </x:c>
      <x:c r="Q4843" s="37" t="n">
        <x:v>46079.21892361111</x:v>
      </x:c>
    </x:row>
    <x:row r="4844">
      <x:c r="A4844" s="22" t="n">
        <x:v>28688</x:v>
      </x:c>
      <x:c r="B4844" s="28" t="n">
        <x:v>405</x:v>
      </x:c>
      <x:c r="C4844" s="28"/>
      <x:c r="D4844" s="31" t="str">
        <x:f>IF(OR(ISBLANK(B4844),ISBLANK(C4844),B4844=0),"",(C4844-B4844)/B4844)</x:f>
      </x:c>
      <x:c r="E4844" s="22" t="str">
        <x:f>IF(ISBLANK(C4844),"AmountIncludingTax缺失",IF(ABS(B4844-C4844)&lt;0.005,"一致","不一致"))</x:f>
        <x:v>AmountIncludingTax缺失</x:v>
      </x:c>
      <x:c r="F4844" s="19" t="str">
        <x:v>approved</x:v>
      </x:c>
      <x:c r="G4844" s="19" t="str">
        <x:v>Repairer Invoiced Processed</x:v>
      </x:c>
      <x:c r="H4844" s="19" t="str">
        <x:v>In Field</x:v>
      </x:c>
      <x:c r="I4844" s="37" t="n">
        <x:v>46092</x:v>
      </x:c>
      <x:c r="J4844" s="37" t="n">
        <x:v>46059</x:v>
      </x:c>
      <x:c r="K4844" s="19" t="str">
        <x:v>Leisure Lion Pty Ltd - Toowoomba</x:v>
      </x:c>
      <x:c r="L4844" s="19" t="str">
        <x:v>Z006</x:v>
      </x:c>
      <x:c r="M4844" s="19" t="str">
        <x:v>In Field Warranty Claims</x:v>
      </x:c>
      <x:c r="N4844" s="37" t="n">
        <x:v>45995</x:v>
      </x:c>
      <x:c r="O4844" s="37"/>
      <x:c r="P4844" s="34" t="n">
        <x:v>0</x:v>
      </x:c>
      <x:c r="Q4844" s="37" t="n">
        <x:v>46092.21271990741</x:v>
      </x:c>
    </x:row>
    <x:row r="4845">
      <x:c r="A4845" s="22" t="n">
        <x:v>28687</x:v>
      </x:c>
      <x:c r="B4845" s="28" t="n">
        <x:v>1400</x:v>
      </x:c>
      <x:c r="C4845" s="28"/>
      <x:c r="D4845" s="31" t="str">
        <x:f>IF(OR(ISBLANK(B4845),ISBLANK(C4845),B4845=0),"",(C4845-B4845)/B4845)</x:f>
      </x:c>
      <x:c r="E4845" s="22" t="str">
        <x:f>IF(ISBLANK(C4845),"AmountIncludingTax缺失",IF(ABS(B4845-C4845)&lt;0.005,"一致","不一致"))</x:f>
        <x:v>AmountIncludingTax缺失</x:v>
      </x:c>
      <x:c r="F4845" s="19" t="str">
        <x:v>approved</x:v>
      </x:c>
      <x:c r="G4845" s="19" t="str">
        <x:v>Repairer Invoiced Processed</x:v>
      </x:c>
      <x:c r="H4845" s="19" t="str">
        <x:v>Pre Delivery</x:v>
      </x:c>
      <x:c r="I4845" s="37" t="n">
        <x:v>46034</x:v>
      </x:c>
      <x:c r="J4845" s="37" t="n">
        <x:v>46034</x:v>
      </x:c>
      <x:c r="K4845" s="19" t="str">
        <x:v>Dario Caravans -St.Marys</x:v>
      </x:c>
      <x:c r="L4845" s="19" t="str">
        <x:v>Z005</x:v>
      </x:c>
      <x:c r="M4845" s="19" t="str">
        <x:v>Pre Delivery Warranty Claims</x:v>
      </x:c>
      <x:c r="N4845" s="37" t="n">
        <x:v>45995</x:v>
      </x:c>
      <x:c r="O4845" s="37"/>
      <x:c r="P4845" s="34" t="n">
        <x:v>1540</x:v>
      </x:c>
      <x:c r="Q4845" s="37" t="n">
        <x:v>46034.220972222225</x:v>
      </x:c>
    </x:row>
    <x:row r="4846">
      <x:c r="A4846" s="22" t="n">
        <x:v>28686</x:v>
      </x:c>
      <x:c r="B4846" s="28" t="n">
        <x:v>67.5</x:v>
      </x:c>
      <x:c r="C4846" s="28"/>
      <x:c r="D4846" s="31" t="str">
        <x:f>IF(OR(ISBLANK(B4846),ISBLANK(C4846),B4846=0),"",(C4846-B4846)/B4846)</x:f>
      </x:c>
      <x:c r="E4846" s="22" t="str">
        <x:f>IF(ISBLANK(C4846),"AmountIncludingTax缺失",IF(ABS(B4846-C4846)&lt;0.005,"一致","不一致"))</x:f>
        <x:v>AmountIncludingTax缺失</x:v>
      </x:c>
      <x:c r="F4846" s="19" t="str">
        <x:v>approved</x:v>
      </x:c>
      <x:c r="G4846" s="19" t="str">
        <x:v>Repairer Invoiced Processed</x:v>
      </x:c>
      <x:c r="H4846" s="19" t="str">
        <x:v>In Field</x:v>
      </x:c>
      <x:c r="I4846" s="37" t="n">
        <x:v>46126</x:v>
      </x:c>
      <x:c r="J4846" s="37" t="n">
        <x:v>46126</x:v>
      </x:c>
      <x:c r="K4846" s="19" t="str">
        <x:v>Regent RV Pty Ltd</x:v>
      </x:c>
      <x:c r="L4846" s="19" t="str">
        <x:v>Z006</x:v>
      </x:c>
      <x:c r="M4846" s="19" t="str">
        <x:v>In Field Warranty Claims</x:v>
      </x:c>
      <x:c r="N4846" s="37" t="n">
        <x:v>45995</x:v>
      </x:c>
      <x:c r="O4846" s="37"/>
      <x:c r="P4846" s="34" t="n">
        <x:v>0</x:v>
      </x:c>
      <x:c r="Q4846" s="37" t="n">
        <x:v>46126.20704861111</x:v>
      </x:c>
    </x:row>
    <x:row r="4847">
      <x:c r="A4847" s="22" t="n">
        <x:v>28683</x:v>
      </x:c>
      <x:c r="B4847" s="28" t="n">
        <x:v>168.75</x:v>
      </x:c>
      <x:c r="C4847" s="28"/>
      <x:c r="D4847" s="31" t="str">
        <x:f>IF(OR(ISBLANK(B4847),ISBLANK(C4847),B4847=0),"",(C4847-B4847)/B4847)</x:f>
      </x:c>
      <x:c r="E4847" s="22" t="str">
        <x:f>IF(ISBLANK(C4847),"AmountIncludingTax缺失",IF(ABS(B4847-C4847)&lt;0.005,"一致","不一致"))</x:f>
        <x:v>AmountIncludingTax缺失</x:v>
      </x:c>
      <x:c r="F4847" s="19" t="str">
        <x:v>approved</x:v>
      </x:c>
      <x:c r="G4847" s="19" t="str">
        <x:v>Repairer Invoiced Processed</x:v>
      </x:c>
      <x:c r="H4847" s="19" t="str">
        <x:v>In Field</x:v>
      </x:c>
      <x:c r="I4847" s="37" t="n">
        <x:v>46062</x:v>
      </x:c>
      <x:c r="J4847" s="37" t="n">
        <x:v>46062</x:v>
      </x:c>
      <x:c r="K4847" s="19" t="str">
        <x:v>Regent RV Pty Ltd</x:v>
      </x:c>
      <x:c r="L4847" s="19" t="str">
        <x:v>Z006</x:v>
      </x:c>
      <x:c r="M4847" s="19" t="str">
        <x:v>In Field Warranty Claims</x:v>
      </x:c>
      <x:c r="N4847" s="37" t="n">
        <x:v>45994</x:v>
      </x:c>
      <x:c r="O4847" s="37"/>
      <x:c r="P4847" s="34" t="n">
        <x:v>0</x:v>
      </x:c>
      <x:c r="Q4847" s="37" t="n">
        <x:v>46062.022372685184</x:v>
      </x:c>
    </x:row>
    <x:row r="4848">
      <x:c r="A4848" s="22" t="n">
        <x:v>28681</x:v>
      </x:c>
      <x:c r="B4848" s="28" t="n">
        <x:v>1350</x:v>
      </x:c>
      <x:c r="C4848" s="28"/>
      <x:c r="D4848" s="31" t="str">
        <x:f>IF(OR(ISBLANK(B4848),ISBLANK(C4848),B4848=0),"",(C4848-B4848)/B4848)</x:f>
      </x:c>
      <x:c r="E4848" s="22" t="str">
        <x:f>IF(ISBLANK(C4848),"AmountIncludingTax缺失",IF(ABS(B4848-C4848)&lt;0.005,"一致","不一致"))</x:f>
        <x:v>AmountIncludingTax缺失</x:v>
      </x:c>
      <x:c r="F4848" s="19" t="str">
        <x:v>approved</x:v>
      </x:c>
      <x:c r="G4848" s="19" t="str">
        <x:v>Repair in Progress</x:v>
      </x:c>
      <x:c r="H4848" s="19" t="str">
        <x:v>In Field</x:v>
      </x:c>
      <x:c r="I4848" s="37" t="n">
        <x:v>46076</x:v>
      </x:c>
      <x:c r="J4848" s="37" t="n">
        <x:v>46076</x:v>
      </x:c>
      <x:c r="K4848" s="19" t="str">
        <x:v>Regent RV - Frankston</x:v>
      </x:c>
      <x:c r="L4848" s="19" t="str">
        <x:v>Z006</x:v>
      </x:c>
      <x:c r="M4848" s="19" t="str">
        <x:v>In Field Warranty Claims</x:v>
      </x:c>
      <x:c r="N4848" s="37" t="n">
        <x:v>45994</x:v>
      </x:c>
      <x:c r="O4848" s="37"/>
      <x:c r="P4848" s="34" t="n">
        <x:v>0</x:v>
      </x:c>
      <x:c r="Q4848" s="37" t="n">
        <x:v>46076.211597222224</x:v>
      </x:c>
    </x:row>
    <x:row r="4849">
      <x:c r="A4849" s="22" t="n">
        <x:v>28678</x:v>
      </x:c>
      <x:c r="B4849" s="28" t="n">
        <x:v>610.09</x:v>
      </x:c>
      <x:c r="C4849" s="28"/>
      <x:c r="D4849" s="31" t="str">
        <x:f>IF(OR(ISBLANK(B4849),ISBLANK(C4849),B4849=0),"",(C4849-B4849)/B4849)</x:f>
      </x:c>
      <x:c r="E4849" s="22" t="str">
        <x:f>IF(ISBLANK(C4849),"AmountIncludingTax缺失",IF(ABS(B4849-C4849)&lt;0.005,"一致","不一致"))</x:f>
        <x:v>AmountIncludingTax缺失</x:v>
      </x:c>
      <x:c r="F4849" s="19" t="str">
        <x:v>approved</x:v>
      </x:c>
      <x:c r="G4849" s="19" t="str">
        <x:v>Repairer Invoiced Processed</x:v>
      </x:c>
      <x:c r="H4849" s="19" t="str">
        <x:v>Pre Delivery</x:v>
      </x:c>
      <x:c r="I4849" s="37" t="n">
        <x:v>46072</x:v>
      </x:c>
      <x:c r="J4849" s="37" t="n">
        <x:v>46062</x:v>
      </x:c>
      <x:c r="K4849" s="19" t="str">
        <x:v>Regent RV Pty Ltd</x:v>
      </x:c>
      <x:c r="L4849" s="19" t="str">
        <x:v>Z005</x:v>
      </x:c>
      <x:c r="M4849" s="19" t="str">
        <x:v>Pre Delivery Warranty Claims</x:v>
      </x:c>
      <x:c r="N4849" s="37" t="n">
        <x:v>45994</x:v>
      </x:c>
      <x:c r="O4849" s="37"/>
      <x:c r="P4849" s="34" t="n">
        <x:v>0</x:v>
      </x:c>
      <x:c r="Q4849" s="37" t="n">
        <x:v>46071.98800925926</x:v>
      </x:c>
    </x:row>
    <x:row r="4850">
      <x:c r="A4850" s="22" t="n">
        <x:v>28673</x:v>
      </x:c>
      <x:c r="B4850" s="28" t="n">
        <x:v>135</x:v>
      </x:c>
      <x:c r="C4850" s="28"/>
      <x:c r="D4850" s="31" t="str">
        <x:f>IF(OR(ISBLANK(B4850),ISBLANK(C4850),B4850=0),"",(C4850-B4850)/B4850)</x:f>
      </x:c>
      <x:c r="E4850" s="22" t="str">
        <x:f>IF(ISBLANK(C4850),"AmountIncludingTax缺失",IF(ABS(B4850-C4850)&lt;0.005,"一致","不一致"))</x:f>
        <x:v>AmountIncludingTax缺失</x:v>
      </x:c>
      <x:c r="F4850" s="19" t="str">
        <x:v>approved</x:v>
      </x:c>
      <x:c r="G4850" s="19" t="str">
        <x:v>Repairer Invoiced Processed</x:v>
      </x:c>
      <x:c r="H4850" s="19" t="str">
        <x:v>In Field</x:v>
      </x:c>
      <x:c r="I4850" s="37" t="n">
        <x:v>46121</x:v>
      </x:c>
      <x:c r="J4850" s="37" t="n">
        <x:v>46121</x:v>
      </x:c>
      <x:c r="K4850" s="19" t="str">
        <x:v>Lesiure Lion-New Castle</x:v>
      </x:c>
      <x:c r="L4850" s="19" t="str">
        <x:v>Z006</x:v>
      </x:c>
      <x:c r="M4850" s="19" t="str">
        <x:v>In Field Warranty Claims</x:v>
      </x:c>
      <x:c r="N4850" s="37" t="n">
        <x:v>45994</x:v>
      </x:c>
      <x:c r="O4850" s="37"/>
      <x:c r="P4850" s="34" t="n">
        <x:v>0</x:v>
      </x:c>
      <x:c r="Q4850" s="37" t="n">
        <x:v>46120.943090277775</x:v>
      </x:c>
    </x:row>
    <x:row r="4851">
      <x:c r="A4851" s="22" t="n">
        <x:v>28672</x:v>
      </x:c>
      <x:c r="B4851" s="28" t="n">
        <x:v>601.15</x:v>
      </x:c>
      <x:c r="C4851" s="28"/>
      <x:c r="D4851" s="31" t="str">
        <x:f>IF(OR(ISBLANK(B4851),ISBLANK(C4851),B4851=0),"",(C4851-B4851)/B4851)</x:f>
      </x:c>
      <x:c r="E4851" s="22" t="str">
        <x:f>IF(ISBLANK(C4851),"AmountIncludingTax缺失",IF(ABS(B4851-C4851)&lt;0.005,"一致","不一致"))</x:f>
        <x:v>AmountIncludingTax缺失</x:v>
      </x:c>
      <x:c r="F4851" s="19" t="str">
        <x:v>approved</x:v>
      </x:c>
      <x:c r="G4851" s="19" t="str">
        <x:v>Repairer Invoiced Processed</x:v>
      </x:c>
      <x:c r="H4851" s="19" t="str">
        <x:v>In Field</x:v>
      </x:c>
      <x:c r="I4851" s="37" t="n">
        <x:v>46052</x:v>
      </x:c>
      <x:c r="J4851" s="37" t="n">
        <x:v>46052</x:v>
      </x:c>
      <x:c r="K4851" s="19" t="str">
        <x:v>Green RV - Forest Glen</x:v>
      </x:c>
      <x:c r="L4851" s="19" t="str">
        <x:v>Z006</x:v>
      </x:c>
      <x:c r="M4851" s="19" t="str">
        <x:v>In Field Warranty Claims</x:v>
      </x:c>
      <x:c r="N4851" s="37" t="n">
        <x:v>45994</x:v>
      </x:c>
      <x:c r="O4851" s="37"/>
      <x:c r="P4851" s="34" t="n">
        <x:v>0</x:v>
      </x:c>
      <x:c r="Q4851" s="37" t="n">
        <x:v>46052.02128472222</x:v>
      </x:c>
    </x:row>
    <x:row r="4852">
      <x:c r="A4852" s="22" t="n">
        <x:v>28669</x:v>
      </x:c>
      <x:c r="B4852" s="28" t="n">
        <x:v>1648.75</x:v>
      </x:c>
      <x:c r="C4852" s="28"/>
      <x:c r="D4852" s="31" t="str">
        <x:f>IF(OR(ISBLANK(B4852),ISBLANK(C4852),B4852=0),"",(C4852-B4852)/B4852)</x:f>
      </x:c>
      <x:c r="E4852" s="22" t="str">
        <x:f>IF(ISBLANK(C4852),"AmountIncludingTax缺失",IF(ABS(B4852-C4852)&lt;0.005,"一致","不一致"))</x:f>
        <x:v>AmountIncludingTax缺失</x:v>
      </x:c>
      <x:c r="F4852" s="19" t="str">
        <x:v>approved</x:v>
      </x:c>
      <x:c r="G4852" s="19" t="str">
        <x:v>Partially Picked</x:v>
      </x:c>
      <x:c r="H4852" s="19" t="str">
        <x:v>In Field</x:v>
      </x:c>
      <x:c r="I4852" s="37" t="n">
        <x:v>46148</x:v>
      </x:c>
      <x:c r="J4852" s="37" t="n">
        <x:v>46148</x:v>
      </x:c>
      <x:c r="K4852" s="19" t="str">
        <x:v>Dario Caravans -St.Marys</x:v>
      </x:c>
      <x:c r="L4852" s="19" t="str">
        <x:v>Z006</x:v>
      </x:c>
      <x:c r="M4852" s="19" t="str">
        <x:v>In Field Warranty Claims</x:v>
      </x:c>
      <x:c r="N4852" s="37" t="n">
        <x:v>45994</x:v>
      </x:c>
      <x:c r="O4852" s="37"/>
      <x:c r="P4852" s="34" t="n">
        <x:v>0</x:v>
      </x:c>
      <x:c r="Q4852" s="37" t="n">
        <x:v>46148.04002314815</x:v>
      </x:c>
    </x:row>
    <x:row r="4853">
      <x:c r="A4853" s="22" t="n">
        <x:v>28668</x:v>
      </x:c>
      <x:c r="B4853" s="28" t="n">
        <x:v>50</x:v>
      </x:c>
      <x:c r="C4853" s="28"/>
      <x:c r="D4853" s="31" t="str">
        <x:f>IF(OR(ISBLANK(B4853),ISBLANK(C4853),B4853=0),"",(C4853-B4853)/B4853)</x:f>
      </x:c>
      <x:c r="E4853" s="22" t="str">
        <x:f>IF(ISBLANK(C4853),"AmountIncludingTax缺失",IF(ABS(B4853-C4853)&lt;0.005,"一致","不一致"))</x:f>
        <x:v>AmountIncludingTax缺失</x:v>
      </x:c>
      <x:c r="F4853" s="19" t="str">
        <x:v>approved</x:v>
      </x:c>
      <x:c r="G4853" s="19" t="str">
        <x:v>Repair in Progress</x:v>
      </x:c>
      <x:c r="H4853" s="19" t="str">
        <x:v>Pre Delivery</x:v>
      </x:c>
      <x:c r="I4853" s="37" t="n">
        <x:v>46052</x:v>
      </x:c>
      <x:c r="J4853" s="37" t="n">
        <x:v>46052</x:v>
      </x:c>
      <x:c r="K4853" s="19" t="str">
        <x:v>Regent RV - Perth</x:v>
      </x:c>
      <x:c r="L4853" s="19" t="str">
        <x:v>Z005</x:v>
      </x:c>
      <x:c r="M4853" s="19" t="str">
        <x:v>Pre Delivery Warranty Claims</x:v>
      </x:c>
      <x:c r="N4853" s="37" t="n">
        <x:v>45994</x:v>
      </x:c>
      <x:c r="O4853" s="37"/>
      <x:c r="P4853" s="34" t="n">
        <x:v>0</x:v>
      </x:c>
      <x:c r="Q4853" s="37" t="n">
        <x:v>46051.9168287037</x:v>
      </x:c>
    </x:row>
    <x:row r="4854">
      <x:c r="A4854" s="22" t="n">
        <x:v>28667</x:v>
      </x:c>
      <x:c r="B4854" s="28" t="n">
        <x:v>985</x:v>
      </x:c>
      <x:c r="C4854" s="28"/>
      <x:c r="D4854" s="31" t="str">
        <x:f>IF(OR(ISBLANK(B4854),ISBLANK(C4854),B4854=0),"",(C4854-B4854)/B4854)</x:f>
      </x:c>
      <x:c r="E4854" s="22" t="str">
        <x:f>IF(ISBLANK(C4854),"AmountIncludingTax缺失",IF(ABS(B4854-C4854)&lt;0.005,"一致","不一致"))</x:f>
        <x:v>AmountIncludingTax缺失</x:v>
      </x:c>
      <x:c r="F4854" s="19" t="str">
        <x:v>approved</x:v>
      </x:c>
      <x:c r="G4854" s="19" t="str">
        <x:v>Repairer Invoiced Processed</x:v>
      </x:c>
      <x:c r="H4854" s="19" t="str">
        <x:v>In Field</x:v>
      </x:c>
      <x:c r="I4854" s="37" t="n">
        <x:v>46079</x:v>
      </x:c>
      <x:c r="J4854" s="37" t="n">
        <x:v>46079</x:v>
      </x:c>
      <x:c r="K4854" s="19" t="str">
        <x:v>Regent RV - Toowoomba</x:v>
      </x:c>
      <x:c r="L4854" s="19" t="str">
        <x:v>Z006</x:v>
      </x:c>
      <x:c r="M4854" s="19" t="str">
        <x:v>In Field Warranty Claims</x:v>
      </x:c>
      <x:c r="N4854" s="37" t="n">
        <x:v>45994</x:v>
      </x:c>
      <x:c r="O4854" s="37"/>
      <x:c r="P4854" s="34" t="n">
        <x:v>0</x:v>
      </x:c>
      <x:c r="Q4854" s="37" t="n">
        <x:v>46079.25172453704</x:v>
      </x:c>
    </x:row>
    <x:row r="4855">
      <x:c r="A4855" s="22" t="n">
        <x:v>28665</x:v>
      </x:c>
      <x:c r="B4855" s="28" t="n">
        <x:v>815.94</x:v>
      </x:c>
      <x:c r="C4855" s="28"/>
      <x:c r="D4855" s="31" t="str">
        <x:f>IF(OR(ISBLANK(B4855),ISBLANK(C4855),B4855=0),"",(C4855-B4855)/B4855)</x:f>
      </x:c>
      <x:c r="E4855" s="22" t="str">
        <x:f>IF(ISBLANK(C4855),"AmountIncludingTax缺失",IF(ABS(B4855-C4855)&lt;0.005,"一致","不一致"))</x:f>
        <x:v>AmountIncludingTax缺失</x:v>
      </x:c>
      <x:c r="F4855" s="19" t="str">
        <x:v>approved</x:v>
      </x:c>
      <x:c r="G4855" s="19" t="str">
        <x:v>Repairer Invoiced Processed</x:v>
      </x:c>
      <x:c r="H4855" s="19" t="str">
        <x:v>In Field</x:v>
      </x:c>
      <x:c r="I4855" s="37" t="n">
        <x:v>46097</x:v>
      </x:c>
      <x:c r="J4855" s="37" t="n">
        <x:v>46097</x:v>
      </x:c>
      <x:c r="K4855" s="19" t="str">
        <x:v>Green RV - Forest Glen</x:v>
      </x:c>
      <x:c r="L4855" s="19" t="str">
        <x:v>Z006</x:v>
      </x:c>
      <x:c r="M4855" s="19" t="str">
        <x:v>In Field Warranty Claims</x:v>
      </x:c>
      <x:c r="N4855" s="37" t="n">
        <x:v>45994</x:v>
      </x:c>
      <x:c r="O4855" s="37"/>
      <x:c r="P4855" s="34" t="n">
        <x:v>0</x:v>
      </x:c>
      <x:c r="Q4855" s="37" t="n">
        <x:v>46097.18478009259</x:v>
      </x:c>
    </x:row>
    <x:row r="4856">
      <x:c r="A4856" s="22" t="n">
        <x:v>28662</x:v>
      </x:c>
      <x:c r="B4856" s="28" t="n">
        <x:v>290</x:v>
      </x:c>
      <x:c r="C4856" s="28"/>
      <x:c r="D4856" s="31" t="str">
        <x:f>IF(OR(ISBLANK(B4856),ISBLANK(C4856),B4856=0),"",(C4856-B4856)/B4856)</x:f>
      </x:c>
      <x:c r="E4856" s="22" t="str">
        <x:f>IF(ISBLANK(C4856),"AmountIncludingTax缺失",IF(ABS(B4856-C4856)&lt;0.005,"一致","不一致"))</x:f>
        <x:v>AmountIncludingTax缺失</x:v>
      </x:c>
      <x:c r="F4856" s="19" t="str">
        <x:v>approved</x:v>
      </x:c>
      <x:c r="G4856" s="19" t="str">
        <x:v>Repairer Invoiced Processed</x:v>
      </x:c>
      <x:c r="H4856" s="19" t="str">
        <x:v>In Field</x:v>
      </x:c>
      <x:c r="I4856" s="37" t="n">
        <x:v>46059</x:v>
      </x:c>
      <x:c r="J4856" s="37" t="n">
        <x:v>46059</x:v>
      </x:c>
      <x:c r="K4856" s="19" t="str">
        <x:v>Leisure Lion Pty Ltd - Toowoomba</x:v>
      </x:c>
      <x:c r="L4856" s="19" t="str">
        <x:v>Z006</x:v>
      </x:c>
      <x:c r="M4856" s="19" t="str">
        <x:v>In Field Warranty Claims</x:v>
      </x:c>
      <x:c r="N4856" s="37" t="n">
        <x:v>45994</x:v>
      </x:c>
      <x:c r="O4856" s="37"/>
      <x:c r="P4856" s="34" t="n">
        <x:v>0</x:v>
      </x:c>
      <x:c r="Q4856" s="37" t="n">
        <x:v>46058.94857638889</x:v>
      </x:c>
    </x:row>
    <x:row r="4857">
      <x:c r="A4857" s="22" t="n">
        <x:v>28661</x:v>
      </x:c>
      <x:c r="B4857" s="28" t="n">
        <x:v>463.18</x:v>
      </x:c>
      <x:c r="C4857" s="28"/>
      <x:c r="D4857" s="31" t="str">
        <x:f>IF(OR(ISBLANK(B4857),ISBLANK(C4857),B4857=0),"",(C4857-B4857)/B4857)</x:f>
      </x:c>
      <x:c r="E4857" s="22" t="str">
        <x:f>IF(ISBLANK(C4857),"AmountIncludingTax缺失",IF(ABS(B4857-C4857)&lt;0.005,"一致","不一致"))</x:f>
        <x:v>AmountIncludingTax缺失</x:v>
      </x:c>
      <x:c r="F4857" s="19" t="str">
        <x:v>approved</x:v>
      </x:c>
      <x:c r="G4857" s="19" t="str">
        <x:v>Partially Picked</x:v>
      </x:c>
      <x:c r="H4857" s="19" t="str">
        <x:v>Pre Delivery</x:v>
      </x:c>
      <x:c r="I4857" s="37" t="n">
        <x:v>46154</x:v>
      </x:c>
      <x:c r="J4857" s="37" t="n">
        <x:v>46154</x:v>
      </x:c>
      <x:c r="K4857" s="19" t="str">
        <x:v>The Caravan Hub - Townsville</x:v>
      </x:c>
      <x:c r="L4857" s="19" t="str">
        <x:v>Z005</x:v>
      </x:c>
      <x:c r="M4857" s="19" t="str">
        <x:v>Pre Delivery Warranty Claims</x:v>
      </x:c>
      <x:c r="N4857" s="37" t="n">
        <x:v>45994</x:v>
      </x:c>
      <x:c r="O4857" s="37"/>
      <x:c r="P4857" s="34" t="n">
        <x:v>0</x:v>
      </x:c>
      <x:c r="Q4857" s="37" t="n">
        <x:v>46154.021782407406</x:v>
      </x:c>
    </x:row>
    <x:row r="4858">
      <x:c r="A4858" s="22" t="n">
        <x:v>28653</x:v>
      </x:c>
      <x:c r="B4858" s="28" t="n">
        <x:v>81.82</x:v>
      </x:c>
      <x:c r="C4858" s="28" t="n">
        <x:v>90</x:v>
      </x:c>
      <x:c r="D4858" s="31" t="n">
        <x:f>IF(OR(ISBLANK(B4858),ISBLANK(C4858),B4858=0),"",(C4858-B4858)/B4858)</x:f>
        <x:v>0.09997555609875346</x:v>
      </x:c>
      <x:c r="E4858" s="22" t="str">
        <x:f>IF(ISBLANK(C4858),"AmountIncludingTax缺失",IF(ABS(B4858-C4858)&lt;0.005,"一致","不一致"))</x:f>
        <x:v>不一致</x:v>
      </x:c>
      <x:c r="F4858" s="19" t="str">
        <x:v>approved</x:v>
      </x:c>
      <x:c r="G4858" s="19" t="str">
        <x:v>Repairer Invoiced Processed</x:v>
      </x:c>
      <x:c r="H4858" s="19" t="str">
        <x:v>In Field</x:v>
      </x:c>
      <x:c r="I4858" s="37" t="n">
        <x:v>46120</x:v>
      </x:c>
      <x:c r="J4858" s="37" t="n">
        <x:v>46120</x:v>
      </x:c>
      <x:c r="K4858" s="19" t="str">
        <x:v>Auswide Caravans - South Nowra</x:v>
      </x:c>
      <x:c r="L4858" s="19" t="str">
        <x:v>Z006</x:v>
      </x:c>
      <x:c r="M4858" s="19" t="str">
        <x:v>In Field Warranty Claims</x:v>
      </x:c>
      <x:c r="N4858" s="37" t="n">
        <x:v>45994</x:v>
      </x:c>
      <x:c r="O4858" s="37"/>
      <x:c r="P4858" s="34" t="n">
        <x:v>90</x:v>
      </x:c>
      <x:c r="Q4858" s="37" t="n">
        <x:v>46120.25561342593</x:v>
      </x:c>
    </x:row>
    <x:row r="4859">
      <x:c r="A4859" s="22" t="n">
        <x:v>28650</x:v>
      </x:c>
      <x:c r="B4859" s="28" t="n">
        <x:v>332.27</x:v>
      </x:c>
      <x:c r="C4859" s="28"/>
      <x:c r="D4859" s="31" t="str">
        <x:f>IF(OR(ISBLANK(B4859),ISBLANK(C4859),B4859=0),"",(C4859-B4859)/B4859)</x:f>
      </x:c>
      <x:c r="E4859" s="22" t="str">
        <x:f>IF(ISBLANK(C4859),"AmountIncludingTax缺失",IF(ABS(B4859-C4859)&lt;0.005,"一致","不一致"))</x:f>
        <x:v>AmountIncludingTax缺失</x:v>
      </x:c>
      <x:c r="F4859" s="19" t="str">
        <x:v>approved</x:v>
      </x:c>
      <x:c r="G4859" s="19" t="str">
        <x:v>Repair in Progress</x:v>
      </x:c>
      <x:c r="H4859" s="19" t="str">
        <x:v>In Field</x:v>
      </x:c>
      <x:c r="I4859" s="37" t="n">
        <x:v>46072</x:v>
      </x:c>
      <x:c r="J4859" s="37" t="n">
        <x:v>46072</x:v>
      </x:c>
      <x:c r="K4859" s="19" t="str">
        <x:v>ABCO Caravans - Boambee Valley</x:v>
      </x:c>
      <x:c r="L4859" s="19" t="str">
        <x:v>Z006</x:v>
      </x:c>
      <x:c r="M4859" s="19" t="str">
        <x:v>In Field Warranty Claims</x:v>
      </x:c>
      <x:c r="N4859" s="37" t="n">
        <x:v>45994</x:v>
      </x:c>
      <x:c r="O4859" s="37" t="n">
        <x:v>46057</x:v>
      </x:c>
      <x:c r="P4859" s="34" t="n">
        <x:v>0</x:v>
      </x:c>
      <x:c r="Q4859" s="37" t="n">
        <x:v>46072.03078703704</x:v>
      </x:c>
    </x:row>
    <x:row r="4860">
      <x:c r="A4860" s="22" t="n">
        <x:v>28649</x:v>
      </x:c>
      <x:c r="B4860" s="28" t="n">
        <x:v>368.19</x:v>
      </x:c>
      <x:c r="C4860" s="28"/>
      <x:c r="D4860" s="31" t="str">
        <x:f>IF(OR(ISBLANK(B4860),ISBLANK(C4860),B4860=0),"",(C4860-B4860)/B4860)</x:f>
      </x:c>
      <x:c r="E4860" s="22" t="str">
        <x:f>IF(ISBLANK(C4860),"AmountIncludingTax缺失",IF(ABS(B4860-C4860)&lt;0.005,"一致","不一致"))</x:f>
        <x:v>AmountIncludingTax缺失</x:v>
      </x:c>
      <x:c r="F4860" s="19" t="str">
        <x:v>approved</x:v>
      </x:c>
      <x:c r="G4860" s="19" t="str">
        <x:v>Repairer Invoiced Processed</x:v>
      </x:c>
      <x:c r="H4860" s="19" t="str">
        <x:v>In Field</x:v>
      </x:c>
      <x:c r="I4860" s="37" t="n">
        <x:v>46065</x:v>
      </x:c>
      <x:c r="J4860" s="37" t="n">
        <x:v>46065</x:v>
      </x:c>
      <x:c r="K4860" s="19" t="str">
        <x:v>Green RV - Forest Glen</x:v>
      </x:c>
      <x:c r="L4860" s="19" t="str">
        <x:v>Z006</x:v>
      </x:c>
      <x:c r="M4860" s="19" t="str">
        <x:v>In Field Warranty Claims</x:v>
      </x:c>
      <x:c r="N4860" s="37" t="n">
        <x:v>45994</x:v>
      </x:c>
      <x:c r="O4860" s="37" t="n">
        <x:v>46006</x:v>
      </x:c>
      <x:c r="P4860" s="34" t="n">
        <x:v>0</x:v>
      </x:c>
      <x:c r="Q4860" s="37" t="n">
        <x:v>46064.92454861111</x:v>
      </x:c>
    </x:row>
    <x:row r="4861">
      <x:c r="A4861" s="22" t="n">
        <x:v>28647</x:v>
      </x:c>
      <x:c r="B4861" s="28" t="n">
        <x:v>67.5</x:v>
      </x:c>
      <x:c r="C4861" s="28"/>
      <x:c r="D4861" s="31" t="str">
        <x:f>IF(OR(ISBLANK(B4861),ISBLANK(C4861),B4861=0),"",(C4861-B4861)/B4861)</x:f>
      </x:c>
      <x:c r="E4861" s="22" t="str">
        <x:f>IF(ISBLANK(C4861),"AmountIncludingTax缺失",IF(ABS(B4861-C4861)&lt;0.005,"一致","不一致"))</x:f>
        <x:v>AmountIncludingTax缺失</x:v>
      </x:c>
      <x:c r="F4861" s="19" t="str">
        <x:v>approved</x:v>
      </x:c>
      <x:c r="G4861" s="19" t="str">
        <x:v>Sales Order Approved</x:v>
      </x:c>
      <x:c r="H4861" s="19" t="str">
        <x:v>In Field</x:v>
      </x:c>
      <x:c r="I4861" s="37" t="n">
        <x:v>46148</x:v>
      </x:c>
      <x:c r="J4861" s="37" t="n">
        <x:v>46148</x:v>
      </x:c>
      <x:c r="K4861" s="19" t="str">
        <x:v>Regent RV - Perth</x:v>
      </x:c>
      <x:c r="L4861" s="19" t="str">
        <x:v>Z006</x:v>
      </x:c>
      <x:c r="M4861" s="19" t="str">
        <x:v>In Field Warranty Claims</x:v>
      </x:c>
      <x:c r="N4861" s="37" t="n">
        <x:v>45994</x:v>
      </x:c>
      <x:c r="O4861" s="37"/>
      <x:c r="P4861" s="34" t="n">
        <x:v>0</x:v>
      </x:c>
      <x:c r="Q4861" s="37" t="n">
        <x:v>46147.979791666665</x:v>
      </x:c>
    </x:row>
    <x:row r="4862">
      <x:c r="A4862" s="22" t="n">
        <x:v>28646</x:v>
      </x:c>
      <x:c r="B4862" s="28" t="n">
        <x:v>135</x:v>
      </x:c>
      <x:c r="C4862" s="28"/>
      <x:c r="D4862" s="31" t="str">
        <x:f>IF(OR(ISBLANK(B4862),ISBLANK(C4862),B4862=0),"",(C4862-B4862)/B4862)</x:f>
      </x:c>
      <x:c r="E4862" s="22" t="str">
        <x:f>IF(ISBLANK(C4862),"AmountIncludingTax缺失",IF(ABS(B4862-C4862)&lt;0.005,"一致","不一致"))</x:f>
        <x:v>AmountIncludingTax缺失</x:v>
      </x:c>
      <x:c r="F4862" s="19" t="str">
        <x:v>approved</x:v>
      </x:c>
      <x:c r="G4862" s="19" t="str">
        <x:v>Repairer Invoiced Processed</x:v>
      </x:c>
      <x:c r="H4862" s="19" t="str">
        <x:v>In Field</x:v>
      </x:c>
      <x:c r="I4862" s="37" t="n">
        <x:v>46070</x:v>
      </x:c>
      <x:c r="J4862" s="37" t="n">
        <x:v>46070</x:v>
      </x:c>
      <x:c r="K4862" s="19" t="str">
        <x:v>Lesiure Lion-New Castle</x:v>
      </x:c>
      <x:c r="L4862" s="19" t="str">
        <x:v>Z006</x:v>
      </x:c>
      <x:c r="M4862" s="19" t="str">
        <x:v>In Field Warranty Claims</x:v>
      </x:c>
      <x:c r="N4862" s="37" t="n">
        <x:v>45994</x:v>
      </x:c>
      <x:c r="O4862" s="37"/>
      <x:c r="P4862" s="34" t="n">
        <x:v>0</x:v>
      </x:c>
      <x:c r="Q4862" s="37" t="n">
        <x:v>46069.982256944444</x:v>
      </x:c>
    </x:row>
    <x:row r="4863">
      <x:c r="A4863" s="22" t="n">
        <x:v>28645</x:v>
      </x:c>
      <x:c r="B4863" s="28" t="n">
        <x:v>200</x:v>
      </x:c>
      <x:c r="C4863" s="28"/>
      <x:c r="D4863" s="31" t="str">
        <x:f>IF(OR(ISBLANK(B4863),ISBLANK(C4863),B4863=0),"",(C4863-B4863)/B4863)</x:f>
      </x:c>
      <x:c r="E4863" s="22" t="str">
        <x:f>IF(ISBLANK(C4863),"AmountIncludingTax缺失",IF(ABS(B4863-C4863)&lt;0.005,"一致","不一致"))</x:f>
        <x:v>AmountIncludingTax缺失</x:v>
      </x:c>
      <x:c r="F4863" s="19" t="str">
        <x:v>approved</x:v>
      </x:c>
      <x:c r="G4863" s="19" t="str">
        <x:v>Repair in Progress</x:v>
      </x:c>
      <x:c r="H4863" s="19" t="str">
        <x:v>Pre Delivery</x:v>
      </x:c>
      <x:c r="I4863" s="37" t="n">
        <x:v>46079</x:v>
      </x:c>
      <x:c r="J4863" s="37" t="n">
        <x:v>46079</x:v>
      </x:c>
      <x:c r="K4863" s="19" t="str">
        <x:v>Regent RV - Perth</x:v>
      </x:c>
      <x:c r="L4863" s="19" t="str">
        <x:v>Z005</x:v>
      </x:c>
      <x:c r="M4863" s="19" t="str">
        <x:v>Pre Delivery Warranty Claims</x:v>
      </x:c>
      <x:c r="N4863" s="37" t="n">
        <x:v>45994</x:v>
      </x:c>
      <x:c r="O4863" s="37"/>
      <x:c r="P4863" s="34" t="n">
        <x:v>0</x:v>
      </x:c>
      <x:c r="Q4863" s="37" t="n">
        <x:v>46079.2706712963</x:v>
      </x:c>
    </x:row>
    <x:row r="4864">
      <x:c r="A4864" s="22" t="n">
        <x:v>28641</x:v>
      </x:c>
      <x:c r="B4864" s="28" t="n">
        <x:v>110</x:v>
      </x:c>
      <x:c r="C4864" s="28"/>
      <x:c r="D4864" s="31" t="str">
        <x:f>IF(OR(ISBLANK(B4864),ISBLANK(C4864),B4864=0),"",(C4864-B4864)/B4864)</x:f>
      </x:c>
      <x:c r="E4864" s="22" t="str">
        <x:f>IF(ISBLANK(C4864),"AmountIncludingTax缺失",IF(ABS(B4864-C4864)&lt;0.005,"一致","不一致"))</x:f>
        <x:v>AmountIncludingTax缺失</x:v>
      </x:c>
      <x:c r="F4864" s="19" t="str">
        <x:v>approved</x:v>
      </x:c>
      <x:c r="G4864" s="19" t="str">
        <x:v>Repair in Progress</x:v>
      </x:c>
      <x:c r="H4864" s="19" t="str">
        <x:v>Pre Delivery</x:v>
      </x:c>
      <x:c r="I4864" s="37" t="n">
        <x:v>46050</x:v>
      </x:c>
      <x:c r="J4864" s="37" t="n">
        <x:v>46050</x:v>
      </x:c>
      <x:c r="K4864" s="19" t="str">
        <x:v>Regent RV - Frankston</x:v>
      </x:c>
      <x:c r="L4864" s="19" t="str">
        <x:v>Z005</x:v>
      </x:c>
      <x:c r="M4864" s="19" t="str">
        <x:v>Pre Delivery Warranty Claims</x:v>
      </x:c>
      <x:c r="N4864" s="37" t="n">
        <x:v>45994</x:v>
      </x:c>
      <x:c r="O4864" s="37"/>
      <x:c r="P4864" s="34" t="n">
        <x:v>0</x:v>
      </x:c>
      <x:c r="Q4864" s="37" t="n">
        <x:v>46050.211180555554</x:v>
      </x:c>
    </x:row>
    <x:row r="4865">
      <x:c r="A4865" s="22" t="n">
        <x:v>28637</x:v>
      </x:c>
      <x:c r="B4865" s="28" t="n">
        <x:v>135</x:v>
      </x:c>
      <x:c r="C4865" s="28"/>
      <x:c r="D4865" s="31" t="str">
        <x:f>IF(OR(ISBLANK(B4865),ISBLANK(C4865),B4865=0),"",(C4865-B4865)/B4865)</x:f>
      </x:c>
      <x:c r="E4865" s="22" t="str">
        <x:f>IF(ISBLANK(C4865),"AmountIncludingTax缺失",IF(ABS(B4865-C4865)&lt;0.005,"一致","不一致"))</x:f>
        <x:v>AmountIncludingTax缺失</x:v>
      </x:c>
      <x:c r="F4865" s="19" t="str">
        <x:v>approved</x:v>
      </x:c>
      <x:c r="G4865" s="19" t="str">
        <x:v>Repair in Progress</x:v>
      </x:c>
      <x:c r="H4865" s="19" t="str">
        <x:v>In Field</x:v>
      </x:c>
      <x:c r="I4865" s="37" t="n">
        <x:v>46086</x:v>
      </x:c>
      <x:c r="J4865" s="37" t="n">
        <x:v>46086</x:v>
      </x:c>
      <x:c r="K4865" s="19" t="str">
        <x:v>The Caravan Hub - Townsville</x:v>
      </x:c>
      <x:c r="L4865" s="19" t="str">
        <x:v>Z006</x:v>
      </x:c>
      <x:c r="M4865" s="19" t="str">
        <x:v>In Field Warranty Claims</x:v>
      </x:c>
      <x:c r="N4865" s="37" t="n">
        <x:v>45994</x:v>
      </x:c>
      <x:c r="O4865" s="37"/>
      <x:c r="P4865" s="34" t="n">
        <x:v>0</x:v>
      </x:c>
      <x:c r="Q4865" s="37" t="n">
        <x:v>46086.46472222222</x:v>
      </x:c>
    </x:row>
    <x:row r="4866">
      <x:c r="A4866" s="22" t="n">
        <x:v>28634</x:v>
      </x:c>
      <x:c r="B4866" s="28" t="n">
        <x:v>230.97</x:v>
      </x:c>
      <x:c r="C4866" s="28" t="n">
        <x:v>254.07</x:v>
      </x:c>
      <x:c r="D4866" s="31" t="n">
        <x:f>IF(OR(ISBLANK(B4866),ISBLANK(C4866),B4866=0),"",(C4866-B4866)/B4866)</x:f>
        <x:v>0.10001298869983112</x:v>
      </x:c>
      <x:c r="E4866" s="22" t="str">
        <x:f>IF(ISBLANK(C4866),"AmountIncludingTax缺失",IF(ABS(B4866-C4866)&lt;0.005,"一致","不一致"))</x:f>
        <x:v>不一致</x:v>
      </x:c>
      <x:c r="F4866" s="19" t="str">
        <x:v>approved</x:v>
      </x:c>
      <x:c r="G4866" s="19" t="str">
        <x:v>Repairer Invoiced Processed</x:v>
      </x:c>
      <x:c r="H4866" s="19" t="str">
        <x:v>Pre Delivery</x:v>
      </x:c>
      <x:c r="I4866" s="37" t="n">
        <x:v>46072</x:v>
      </x:c>
      <x:c r="J4866" s="37" t="n">
        <x:v>46072</x:v>
      </x:c>
      <x:c r="K4866" s="19" t="str">
        <x:v>Green RV - Slacks Creek</x:v>
      </x:c>
      <x:c r="L4866" s="19" t="str">
        <x:v>Z005</x:v>
      </x:c>
      <x:c r="M4866" s="19" t="str">
        <x:v>Pre Delivery Warranty Claims</x:v>
      </x:c>
      <x:c r="N4866" s="37" t="n">
        <x:v>45994</x:v>
      </x:c>
      <x:c r="O4866" s="37"/>
      <x:c r="P4866" s="34" t="n">
        <x:v>254.07</x:v>
      </x:c>
      <x:c r="Q4866" s="37" t="n">
        <x:v>46071.98872685185</x:v>
      </x:c>
    </x:row>
    <x:row r="4867">
      <x:c r="A4867" s="22" t="n">
        <x:v>28633</x:v>
      </x:c>
      <x:c r="B4867" s="28" t="n">
        <x:v>333.69</x:v>
      </x:c>
      <x:c r="C4867" s="28" t="n">
        <x:v>367.06</x:v>
      </x:c>
      <x:c r="D4867" s="31" t="n">
        <x:f>IF(OR(ISBLANK(B4867),ISBLANK(C4867),B4867=0),"",(C4867-B4867)/B4867)</x:f>
        <x:v>0.10000299679343104</x:v>
      </x:c>
      <x:c r="E4867" s="22" t="str">
        <x:f>IF(ISBLANK(C4867),"AmountIncludingTax缺失",IF(ABS(B4867-C4867)&lt;0.005,"一致","不一致"))</x:f>
        <x:v>不一致</x:v>
      </x:c>
      <x:c r="F4867" s="19" t="str">
        <x:v>approved</x:v>
      </x:c>
      <x:c r="G4867" s="19" t="str">
        <x:v>Repairer Invoiced Processed</x:v>
      </x:c>
      <x:c r="H4867" s="19" t="str">
        <x:v>Pre Delivery</x:v>
      </x:c>
      <x:c r="I4867" s="37" t="n">
        <x:v>46063</x:v>
      </x:c>
      <x:c r="J4867" s="37" t="n">
        <x:v>46063</x:v>
      </x:c>
      <x:c r="K4867" s="19" t="str">
        <x:v>Green RV - Slacks Creek</x:v>
      </x:c>
      <x:c r="L4867" s="19" t="str">
        <x:v>Z005</x:v>
      </x:c>
      <x:c r="M4867" s="19" t="str">
        <x:v>Pre Delivery Warranty Claims</x:v>
      </x:c>
      <x:c r="N4867" s="37" t="n">
        <x:v>45994</x:v>
      </x:c>
      <x:c r="O4867" s="37"/>
      <x:c r="P4867" s="34" t="n">
        <x:v>367.06</x:v>
      </x:c>
      <x:c r="Q4867" s="37" t="n">
        <x:v>46063.192777777775</x:v>
      </x:c>
    </x:row>
    <x:row r="4868">
      <x:c r="A4868" s="22" t="n">
        <x:v>28632</x:v>
      </x:c>
      <x:c r="B4868" s="28" t="n">
        <x:v>33.75</x:v>
      </x:c>
      <x:c r="C4868" s="28"/>
      <x:c r="D4868" s="31" t="str">
        <x:f>IF(OR(ISBLANK(B4868),ISBLANK(C4868),B4868=0),"",(C4868-B4868)/B4868)</x:f>
      </x:c>
      <x:c r="E4868" s="22" t="str">
        <x:f>IF(ISBLANK(C4868),"AmountIncludingTax缺失",IF(ABS(B4868-C4868)&lt;0.005,"一致","不一致"))</x:f>
        <x:v>AmountIncludingTax缺失</x:v>
      </x:c>
      <x:c r="F4868" s="19" t="str">
        <x:v>approved</x:v>
      </x:c>
      <x:c r="G4868" s="19" t="str">
        <x:v>Repairer Invoiced Processed</x:v>
      </x:c>
      <x:c r="H4868" s="19" t="str">
        <x:v>In Field</x:v>
      </x:c>
      <x:c r="I4868" s="37" t="n">
        <x:v>46076</x:v>
      </x:c>
      <x:c r="J4868" s="37" t="n">
        <x:v>46076</x:v>
      </x:c>
      <x:c r="K4868" s="19" t="str">
        <x:v>Newcastle RV Super Centre - Beresfield</x:v>
      </x:c>
      <x:c r="L4868" s="19" t="str">
        <x:v>Z006</x:v>
      </x:c>
      <x:c r="M4868" s="19" t="str">
        <x:v>In Field Warranty Claims</x:v>
      </x:c>
      <x:c r="N4868" s="37" t="n">
        <x:v>45994</x:v>
      </x:c>
      <x:c r="O4868" s="37"/>
      <x:c r="P4868" s="34" t="n">
        <x:v>0</x:v>
      </x:c>
      <x:c r="Q4868" s="37" t="n">
        <x:v>46076.19086805556</x:v>
      </x:c>
    </x:row>
    <x:row r="4869">
      <x:c r="A4869" s="22" t="n">
        <x:v>28631</x:v>
      </x:c>
      <x:c r="B4869" s="28" t="n">
        <x:v>415</x:v>
      </x:c>
      <x:c r="C4869" s="28"/>
      <x:c r="D4869" s="31" t="str">
        <x:f>IF(OR(ISBLANK(B4869),ISBLANK(C4869),B4869=0),"",(C4869-B4869)/B4869)</x:f>
      </x:c>
      <x:c r="E4869" s="22" t="str">
        <x:f>IF(ISBLANK(C4869),"AmountIncludingTax缺失",IF(ABS(B4869-C4869)&lt;0.005,"一致","不一致"))</x:f>
        <x:v>AmountIncludingTax缺失</x:v>
      </x:c>
      <x:c r="F4869" s="19" t="str">
        <x:v>approved</x:v>
      </x:c>
      <x:c r="G4869" s="19" t="str">
        <x:v>Repairer Invoiced Processed</x:v>
      </x:c>
      <x:c r="H4869" s="19" t="str">
        <x:v>In Field</x:v>
      </x:c>
      <x:c r="I4869" s="37" t="n">
        <x:v>46098</x:v>
      </x:c>
      <x:c r="J4869" s="37" t="n">
        <x:v>46093</x:v>
      </x:c>
      <x:c r="K4869" s="19" t="str">
        <x:v>Leisure Lion Pty Ltd - Toowoomba</x:v>
      </x:c>
      <x:c r="L4869" s="19" t="str">
        <x:v>Z006</x:v>
      </x:c>
      <x:c r="M4869" s="19" t="str">
        <x:v>In Field Warranty Claims</x:v>
      </x:c>
      <x:c r="N4869" s="37" t="n">
        <x:v>45994</x:v>
      </x:c>
      <x:c r="O4869" s="37"/>
      <x:c r="P4869" s="34" t="n">
        <x:v>0</x:v>
      </x:c>
      <x:c r="Q4869" s="37" t="n">
        <x:v>46098.01232638889</x:v>
      </x:c>
    </x:row>
    <x:row r="4870">
      <x:c r="A4870" s="22" t="n">
        <x:v>28629</x:v>
      </x:c>
      <x:c r="B4870" s="28" t="n">
        <x:v>1997</x:v>
      </x:c>
      <x:c r="C4870" s="28"/>
      <x:c r="D4870" s="31" t="str">
        <x:f>IF(OR(ISBLANK(B4870),ISBLANK(C4870),B4870=0),"",(C4870-B4870)/B4870)</x:f>
      </x:c>
      <x:c r="E4870" s="22" t="str">
        <x:f>IF(ISBLANK(C4870),"AmountIncludingTax缺失",IF(ABS(B4870-C4870)&lt;0.005,"一致","不一致"))</x:f>
        <x:v>AmountIncludingTax缺失</x:v>
      </x:c>
      <x:c r="F4870" s="19" t="str">
        <x:v>approved</x:v>
      </x:c>
      <x:c r="G4870" s="19" t="str">
        <x:v>Repair in Progress</x:v>
      </x:c>
      <x:c r="H4870" s="19" t="str">
        <x:v>Pre Delivery</x:v>
      </x:c>
      <x:c r="I4870" s="37" t="n">
        <x:v>46084</x:v>
      </x:c>
      <x:c r="J4870" s="37" t="n">
        <x:v>46084</x:v>
      </x:c>
      <x:c r="K4870" s="19" t="str">
        <x:v>Vanari Caravans - Marden Point</x:v>
      </x:c>
      <x:c r="L4870" s="19" t="str">
        <x:v>Z005</x:v>
      </x:c>
      <x:c r="M4870" s="19" t="str">
        <x:v>Pre Delivery Warranty Claims</x:v>
      </x:c>
      <x:c r="N4870" s="37" t="n">
        <x:v>45994</x:v>
      </x:c>
      <x:c r="O4870" s="37"/>
      <x:c r="P4870" s="34" t="n">
        <x:v>0</x:v>
      </x:c>
      <x:c r="Q4870" s="37" t="n">
        <x:v>46083.89019675926</x:v>
      </x:c>
    </x:row>
    <x:row r="4871">
      <x:c r="A4871" s="22" t="n">
        <x:v>28628</x:v>
      </x:c>
      <x:c r="B4871" s="28" t="n">
        <x:v>317.19</x:v>
      </x:c>
      <x:c r="C4871" s="28" t="n">
        <x:v>348.91</x:v>
      </x:c>
      <x:c r="D4871" s="31" t="n">
        <x:f>IF(OR(ISBLANK(B4871),ISBLANK(C4871),B4871=0),"",(C4871-B4871)/B4871)</x:f>
        <x:v>0.10000315268451095</x:v>
      </x:c>
      <x:c r="E4871" s="22" t="str">
        <x:f>IF(ISBLANK(C4871),"AmountIncludingTax缺失",IF(ABS(B4871-C4871)&lt;0.005,"一致","不一致"))</x:f>
        <x:v>不一致</x:v>
      </x:c>
      <x:c r="F4871" s="19" t="str">
        <x:v>approved</x:v>
      </x:c>
      <x:c r="G4871" s="19" t="str">
        <x:v>Repairer Invoiced Processed</x:v>
      </x:c>
      <x:c r="H4871" s="19" t="str">
        <x:v>Pre Delivery</x:v>
      </x:c>
      <x:c r="I4871" s="37" t="n">
        <x:v>46045</x:v>
      </x:c>
      <x:c r="J4871" s="37" t="n">
        <x:v>46045</x:v>
      </x:c>
      <x:c r="K4871" s="19" t="str">
        <x:v>Green RV - Slacks Creek</x:v>
      </x:c>
      <x:c r="L4871" s="19" t="str">
        <x:v>Z005</x:v>
      </x:c>
      <x:c r="M4871" s="19" t="str">
        <x:v>Pre Delivery Warranty Claims</x:v>
      </x:c>
      <x:c r="N4871" s="37" t="n">
        <x:v>45994</x:v>
      </x:c>
      <x:c r="O4871" s="37"/>
      <x:c r="P4871" s="34" t="n">
        <x:v>348.91</x:v>
      </x:c>
      <x:c r="Q4871" s="37" t="n">
        <x:v>46045.15346064815</x:v>
      </x:c>
    </x:row>
    <x:row r="4872">
      <x:c r="A4872" s="22" t="n">
        <x:v>28627</x:v>
      </x:c>
      <x:c r="B4872" s="28" t="n">
        <x:v>715</x:v>
      </x:c>
      <x:c r="C4872" s="28"/>
      <x:c r="D4872" s="31" t="str">
        <x:f>IF(OR(ISBLANK(B4872),ISBLANK(C4872),B4872=0),"",(C4872-B4872)/B4872)</x:f>
      </x:c>
      <x:c r="E4872" s="22" t="str">
        <x:f>IF(ISBLANK(C4872),"AmountIncludingTax缺失",IF(ABS(B4872-C4872)&lt;0.005,"一致","不一致"))</x:f>
        <x:v>AmountIncludingTax缺失</x:v>
      </x:c>
      <x:c r="F4872" s="19" t="str">
        <x:v>approved</x:v>
      </x:c>
      <x:c r="G4872" s="19" t="str">
        <x:v>Repair in Progress</x:v>
      </x:c>
      <x:c r="H4872" s="19" t="str">
        <x:v>In Field</x:v>
      </x:c>
      <x:c r="I4872" s="37" t="n">
        <x:v>46091</x:v>
      </x:c>
      <x:c r="J4872" s="37" t="n">
        <x:v>46091</x:v>
      </x:c>
      <x:c r="K4872" s="19" t="str">
        <x:v>Snowy River Frankston</x:v>
      </x:c>
      <x:c r="L4872" s="19" t="str">
        <x:v>Z006</x:v>
      </x:c>
      <x:c r="M4872" s="19" t="str">
        <x:v>In Field Warranty Claims</x:v>
      </x:c>
      <x:c r="N4872" s="37" t="n">
        <x:v>45994</x:v>
      </x:c>
      <x:c r="O4872" s="37"/>
      <x:c r="P4872" s="34" t="n">
        <x:v>0</x:v>
      </x:c>
      <x:c r="Q4872" s="37" t="n">
        <x:v>46091.05944444444</x:v>
      </x:c>
    </x:row>
    <x:row r="4873">
      <x:c r="A4873" s="22" t="n">
        <x:v>28624</x:v>
      </x:c>
      <x:c r="B4873" s="28" t="n">
        <x:v>1502.08</x:v>
      </x:c>
      <x:c r="C4873" s="28"/>
      <x:c r="D4873" s="31" t="str">
        <x:f>IF(OR(ISBLANK(B4873),ISBLANK(C4873),B4873=0),"",(C4873-B4873)/B4873)</x:f>
      </x:c>
      <x:c r="E4873" s="22" t="str">
        <x:f>IF(ISBLANK(C4873),"AmountIncludingTax缺失",IF(ABS(B4873-C4873)&lt;0.005,"一致","不一致"))</x:f>
        <x:v>AmountIncludingTax缺失</x:v>
      </x:c>
      <x:c r="F4873" s="19" t="str">
        <x:v>approved</x:v>
      </x:c>
      <x:c r="G4873" s="19" t="str">
        <x:v>Partially Picked</x:v>
      </x:c>
      <x:c r="H4873" s="19" t="str">
        <x:v>Pre Delivery</x:v>
      </x:c>
      <x:c r="I4873" s="37" t="n">
        <x:v>46064</x:v>
      </x:c>
      <x:c r="J4873" s="37" t="n">
        <x:v>46064</x:v>
      </x:c>
      <x:c r="K4873" s="19" t="str">
        <x:v>Regent RV Pty Ltd</x:v>
      </x:c>
      <x:c r="L4873" s="19" t="str">
        <x:v>Z005</x:v>
      </x:c>
      <x:c r="M4873" s="19" t="str">
        <x:v>Pre Delivery Warranty Claims</x:v>
      </x:c>
      <x:c r="N4873" s="37" t="n">
        <x:v>45994</x:v>
      </x:c>
      <x:c r="O4873" s="37"/>
      <x:c r="P4873" s="34" t="n">
        <x:v>0</x:v>
      </x:c>
      <x:c r="Q4873" s="37" t="n">
        <x:v>46063.87326388889</x:v>
      </x:c>
    </x:row>
    <x:row r="4874">
      <x:c r="A4874" s="22" t="n">
        <x:v>28623</x:v>
      </x:c>
      <x:c r="B4874" s="28" t="n">
        <x:v>97</x:v>
      </x:c>
      <x:c r="C4874" s="28"/>
      <x:c r="D4874" s="31" t="str">
        <x:f>IF(OR(ISBLANK(B4874),ISBLANK(C4874),B4874=0),"",(C4874-B4874)/B4874)</x:f>
      </x:c>
      <x:c r="E4874" s="22" t="str">
        <x:f>IF(ISBLANK(C4874),"AmountIncludingTax缺失",IF(ABS(B4874-C4874)&lt;0.005,"一致","不一致"))</x:f>
        <x:v>AmountIncludingTax缺失</x:v>
      </x:c>
      <x:c r="F4874" s="19" t="str">
        <x:v>approved</x:v>
      </x:c>
      <x:c r="G4874" s="19" t="str">
        <x:v>Repair in Progress</x:v>
      </x:c>
      <x:c r="H4874" s="19" t="str">
        <x:v>Pre Delivery</x:v>
      </x:c>
      <x:c r="I4874" s="37" t="n">
        <x:v>46057</x:v>
      </x:c>
      <x:c r="J4874" s="37" t="n">
        <x:v>46057</x:v>
      </x:c>
      <x:c r="K4874" s="19" t="str">
        <x:v>NEWCASTLE CARAVANS &amp; RVS</x:v>
      </x:c>
      <x:c r="L4874" s="19" t="str">
        <x:v>Z005</x:v>
      </x:c>
      <x:c r="M4874" s="19" t="str">
        <x:v>Pre Delivery Warranty Claims</x:v>
      </x:c>
      <x:c r="N4874" s="37" t="n">
        <x:v>45994</x:v>
      </x:c>
      <x:c r="O4874" s="37"/>
      <x:c r="P4874" s="34" t="n">
        <x:v>0</x:v>
      </x:c>
      <x:c r="Q4874" s="37" t="n">
        <x:v>46057.29350694444</x:v>
      </x:c>
    </x:row>
    <x:row r="4875">
      <x:c r="A4875" s="22" t="n">
        <x:v>28622</x:v>
      </x:c>
      <x:c r="B4875" s="28" t="n">
        <x:v>103.82</x:v>
      </x:c>
      <x:c r="C4875" s="28" t="n">
        <x:v>114.2</x:v>
      </x:c>
      <x:c r="D4875" s="31" t="n">
        <x:f>IF(OR(ISBLANK(B4875),ISBLANK(C4875),B4875=0),"",(C4875-B4875)/B4875)</x:f>
        <x:v>0.09998073588903882</x:v>
      </x:c>
      <x:c r="E4875" s="22" t="str">
        <x:f>IF(ISBLANK(C4875),"AmountIncludingTax缺失",IF(ABS(B4875-C4875)&lt;0.005,"一致","不一致"))</x:f>
        <x:v>不一致</x:v>
      </x:c>
      <x:c r="F4875" s="19" t="str">
        <x:v>approved</x:v>
      </x:c>
      <x:c r="G4875" s="19" t="str">
        <x:v>Repair in Progress</x:v>
      </x:c>
      <x:c r="H4875" s="19" t="str">
        <x:v>Pre Delivery</x:v>
      </x:c>
      <x:c r="I4875" s="37" t="n">
        <x:v>46058</x:v>
      </x:c>
      <x:c r="J4875" s="37" t="n">
        <x:v>46058</x:v>
      </x:c>
      <x:c r="K4875" s="19" t="str">
        <x:v>NEWCASTLE CARAVANS &amp; RVS</x:v>
      </x:c>
      <x:c r="L4875" s="19" t="str">
        <x:v>Z005</x:v>
      </x:c>
      <x:c r="M4875" s="19" t="str">
        <x:v>Pre Delivery Warranty Claims</x:v>
      </x:c>
      <x:c r="N4875" s="37" t="n">
        <x:v>45993</x:v>
      </x:c>
      <x:c r="O4875" s="37"/>
      <x:c r="P4875" s="34" t="n">
        <x:v>114.2</x:v>
      </x:c>
      <x:c r="Q4875" s="37" t="n">
        <x:v>46058.29027777778</x:v>
      </x:c>
    </x:row>
    <x:row r="4876">
      <x:c r="A4876" s="22" t="n">
        <x:v>28621</x:v>
      </x:c>
      <x:c r="B4876" s="28" t="n">
        <x:v>251.05</x:v>
      </x:c>
      <x:c r="C4876" s="28"/>
      <x:c r="D4876" s="31" t="str">
        <x:f>IF(OR(ISBLANK(B4876),ISBLANK(C4876),B4876=0),"",(C4876-B4876)/B4876)</x:f>
      </x:c>
      <x:c r="E4876" s="22" t="str">
        <x:f>IF(ISBLANK(C4876),"AmountIncludingTax缺失",IF(ABS(B4876-C4876)&lt;0.005,"一致","不一致"))</x:f>
        <x:v>AmountIncludingTax缺失</x:v>
      </x:c>
      <x:c r="F4876" s="19" t="str">
        <x:v>approved</x:v>
      </x:c>
      <x:c r="G4876" s="19" t="str">
        <x:v>Repairer Invoiced Processed</x:v>
      </x:c>
      <x:c r="H4876" s="19" t="str">
        <x:v>In Field</x:v>
      </x:c>
      <x:c r="I4876" s="37" t="n">
        <x:v>46178</x:v>
      </x:c>
      <x:c r="J4876" s="37" t="n">
        <x:v>46072</x:v>
      </x:c>
      <x:c r="K4876" s="19" t="str">
        <x:v>QCCC - Gympie</x:v>
      </x:c>
      <x:c r="L4876" s="19" t="str">
        <x:v>Z006</x:v>
      </x:c>
      <x:c r="M4876" s="19" t="str">
        <x:v>In Field Warranty Claims</x:v>
      </x:c>
      <x:c r="N4876" s="37" t="n">
        <x:v>45993</x:v>
      </x:c>
      <x:c r="O4876" s="37"/>
      <x:c r="P4876" s="34" t="n">
        <x:v>0</x:v>
      </x:c>
      <x:c r="Q4876" s="37" t="n">
        <x:v>46178.253275462965</x:v>
      </x:c>
    </x:row>
    <x:row r="4877">
      <x:c r="A4877" s="22" t="n">
        <x:v>28620</x:v>
      </x:c>
      <x:c r="B4877" s="28" t="n">
        <x:v>2134.55</x:v>
      </x:c>
      <x:c r="C4877" s="28"/>
      <x:c r="D4877" s="31" t="str">
        <x:f>IF(OR(ISBLANK(B4877),ISBLANK(C4877),B4877=0),"",(C4877-B4877)/B4877)</x:f>
      </x:c>
      <x:c r="E4877" s="22" t="str">
        <x:f>IF(ISBLANK(C4877),"AmountIncludingTax缺失",IF(ABS(B4877-C4877)&lt;0.005,"一致","不一致"))</x:f>
        <x:v>AmountIncludingTax缺失</x:v>
      </x:c>
      <x:c r="F4877" s="19" t="str">
        <x:v>approved</x:v>
      </x:c>
      <x:c r="G4877" s="19" t="str">
        <x:v>Repair in Progress</x:v>
      </x:c>
      <x:c r="H4877" s="19" t="str">
        <x:v>In Field</x:v>
      </x:c>
      <x:c r="I4877" s="37" t="n">
        <x:v>46094</x:v>
      </x:c>
      <x:c r="J4877" s="37" t="n">
        <x:v>46094</x:v>
      </x:c>
      <x:c r="K4877" s="19" t="str">
        <x:v>Newcastle RV Super Centre - Beresfield</x:v>
      </x:c>
      <x:c r="L4877" s="19" t="str">
        <x:v>Z006</x:v>
      </x:c>
      <x:c r="M4877" s="19" t="str">
        <x:v>In Field Warranty Claims</x:v>
      </x:c>
      <x:c r="N4877" s="37" t="n">
        <x:v>45994</x:v>
      </x:c>
      <x:c r="O4877" s="37"/>
      <x:c r="P4877" s="34" t="n">
        <x:v>0</x:v>
      </x:c>
      <x:c r="Q4877" s="37" t="n">
        <x:v>46093.98363425926</x:v>
      </x:c>
    </x:row>
    <x:row r="4878">
      <x:c r="A4878" s="22" t="n">
        <x:v>28619</x:v>
      </x:c>
      <x:c r="B4878" s="28" t="n">
        <x:v>131.82</x:v>
      </x:c>
      <x:c r="C4878" s="28"/>
      <x:c r="D4878" s="31" t="str">
        <x:f>IF(OR(ISBLANK(B4878),ISBLANK(C4878),B4878=0),"",(C4878-B4878)/B4878)</x:f>
      </x:c>
      <x:c r="E4878" s="22" t="str">
        <x:f>IF(ISBLANK(C4878),"AmountIncludingTax缺失",IF(ABS(B4878-C4878)&lt;0.005,"一致","不一致"))</x:f>
        <x:v>AmountIncludingTax缺失</x:v>
      </x:c>
      <x:c r="F4878" s="19" t="str">
        <x:v>approved</x:v>
      </x:c>
      <x:c r="G4878" s="19" t="str">
        <x:v>Repairer Invoiced Processed</x:v>
      </x:c>
      <x:c r="H4878" s="19" t="str">
        <x:v>In Field</x:v>
      </x:c>
      <x:c r="I4878" s="37" t="n">
        <x:v>46063</x:v>
      </x:c>
      <x:c r="J4878" s="37" t="n">
        <x:v>46063</x:v>
      </x:c>
      <x:c r="K4878" s="19" t="str">
        <x:v>Regent RV - Toowoomba</x:v>
      </x:c>
      <x:c r="L4878" s="19" t="str">
        <x:v>Z006</x:v>
      </x:c>
      <x:c r="M4878" s="19" t="str">
        <x:v>In Field Warranty Claims</x:v>
      </x:c>
      <x:c r="N4878" s="37" t="n">
        <x:v>45994</x:v>
      </x:c>
      <x:c r="O4878" s="37"/>
      <x:c r="P4878" s="34" t="n">
        <x:v>0</x:v>
      </x:c>
      <x:c r="Q4878" s="37" t="n">
        <x:v>46062.994259259256</x:v>
      </x:c>
    </x:row>
    <x:row r="4879">
      <x:c r="A4879" s="22" t="n">
        <x:v>28618</x:v>
      </x:c>
      <x:c r="B4879" s="28" t="n">
        <x:v>202.5</x:v>
      </x:c>
      <x:c r="C4879" s="28"/>
      <x:c r="D4879" s="31" t="str">
        <x:f>IF(OR(ISBLANK(B4879),ISBLANK(C4879),B4879=0),"",(C4879-B4879)/B4879)</x:f>
      </x:c>
      <x:c r="E4879" s="22" t="str">
        <x:f>IF(ISBLANK(C4879),"AmountIncludingTax缺失",IF(ABS(B4879-C4879)&lt;0.005,"一致","不一致"))</x:f>
        <x:v>AmountIncludingTax缺失</x:v>
      </x:c>
      <x:c r="F4879" s="19" t="str">
        <x:v>approved</x:v>
      </x:c>
      <x:c r="G4879" s="19" t="str">
        <x:v>Repair in Progress</x:v>
      </x:c>
      <x:c r="H4879" s="19" t="str">
        <x:v>In Field</x:v>
      </x:c>
      <x:c r="I4879" s="37" t="n">
        <x:v>46093</x:v>
      </x:c>
      <x:c r="J4879" s="37" t="n">
        <x:v>46093</x:v>
      </x:c>
      <x:c r="K4879" s="19" t="str">
        <x:v>Green RV - Forest Glen</x:v>
      </x:c>
      <x:c r="L4879" s="19" t="str">
        <x:v>Z006</x:v>
      </x:c>
      <x:c r="M4879" s="19" t="str">
        <x:v>In Field Warranty Claims</x:v>
      </x:c>
      <x:c r="N4879" s="37" t="n">
        <x:v>45994</x:v>
      </x:c>
      <x:c r="O4879" s="37"/>
      <x:c r="P4879" s="34" t="n">
        <x:v>0</x:v>
      </x:c>
      <x:c r="Q4879" s="37" t="n">
        <x:v>46093.25916666666</x:v>
      </x:c>
    </x:row>
    <x:row r="4880">
      <x:c r="A4880" s="22" t="n">
        <x:v>28616</x:v>
      </x:c>
      <x:c r="B4880" s="28" t="n">
        <x:v>334.08</x:v>
      </x:c>
      <x:c r="C4880" s="28"/>
      <x:c r="D4880" s="31" t="str">
        <x:f>IF(OR(ISBLANK(B4880),ISBLANK(C4880),B4880=0),"",(C4880-B4880)/B4880)</x:f>
      </x:c>
      <x:c r="E4880" s="22" t="str">
        <x:f>IF(ISBLANK(C4880),"AmountIncludingTax缺失",IF(ABS(B4880-C4880)&lt;0.005,"一致","不一致"))</x:f>
        <x:v>AmountIncludingTax缺失</x:v>
      </x:c>
      <x:c r="F4880" s="19" t="str">
        <x:v>approved</x:v>
      </x:c>
      <x:c r="G4880" s="19" t="str">
        <x:v>Repair in Progress</x:v>
      </x:c>
      <x:c r="H4880" s="19" t="str">
        <x:v>Pre Delivery</x:v>
      </x:c>
      <x:c r="I4880" s="37" t="n">
        <x:v>46057</x:v>
      </x:c>
      <x:c r="J4880" s="37" t="n">
        <x:v>46057</x:v>
      </x:c>
      <x:c r="K4880" s="19" t="str">
        <x:v>NEWCASTLE CARAVANS &amp; RVS</x:v>
      </x:c>
      <x:c r="L4880" s="19" t="str">
        <x:v>Z005</x:v>
      </x:c>
      <x:c r="M4880" s="19" t="str">
        <x:v>Pre Delivery Warranty Claims</x:v>
      </x:c>
      <x:c r="N4880" s="37" t="n">
        <x:v>45994</x:v>
      </x:c>
      <x:c r="O4880" s="37"/>
      <x:c r="P4880" s="34" t="n">
        <x:v>0</x:v>
      </x:c>
      <x:c r="Q4880" s="37" t="n">
        <x:v>46057.33841435185</x:v>
      </x:c>
    </x:row>
    <x:row r="4881">
      <x:c r="A4881" s="22" t="n">
        <x:v>28615</x:v>
      </x:c>
      <x:c r="B4881" s="28" t="n">
        <x:v>678.08</x:v>
      </x:c>
      <x:c r="C4881" s="28"/>
      <x:c r="D4881" s="31" t="str">
        <x:f>IF(OR(ISBLANK(B4881),ISBLANK(C4881),B4881=0),"",(C4881-B4881)/B4881)</x:f>
      </x:c>
      <x:c r="E4881" s="22" t="str">
        <x:f>IF(ISBLANK(C4881),"AmountIncludingTax缺失",IF(ABS(B4881-C4881)&lt;0.005,"一致","不一致"))</x:f>
        <x:v>AmountIncludingTax缺失</x:v>
      </x:c>
      <x:c r="F4881" s="19" t="str">
        <x:v>approved</x:v>
      </x:c>
      <x:c r="G4881" s="19" t="str">
        <x:v>Repair in Progress</x:v>
      </x:c>
      <x:c r="H4881" s="19" t="str">
        <x:v>Pre Delivery</x:v>
      </x:c>
      <x:c r="I4881" s="37" t="n">
        <x:v>46058</x:v>
      </x:c>
      <x:c r="J4881" s="37" t="n">
        <x:v>46058</x:v>
      </x:c>
      <x:c r="K4881" s="19" t="str">
        <x:v>NEWCASTLE CARAVANS &amp; RVS</x:v>
      </x:c>
      <x:c r="L4881" s="19" t="str">
        <x:v>Z005</x:v>
      </x:c>
      <x:c r="M4881" s="19" t="str">
        <x:v>Pre Delivery Warranty Claims</x:v>
      </x:c>
      <x:c r="N4881" s="37" t="n">
        <x:v>45993</x:v>
      </x:c>
      <x:c r="O4881" s="37"/>
      <x:c r="P4881" s="34" t="n">
        <x:v>0</x:v>
      </x:c>
      <x:c r="Q4881" s="37" t="n">
        <x:v>46058.28922453704</x:v>
      </x:c>
    </x:row>
    <x:row r="4882">
      <x:c r="A4882" s="22" t="n">
        <x:v>28613</x:v>
      </x:c>
      <x:c r="B4882" s="28" t="n">
        <x:v>119.55</x:v>
      </x:c>
      <x:c r="C4882" s="28"/>
      <x:c r="D4882" s="31" t="str">
        <x:f>IF(OR(ISBLANK(B4882),ISBLANK(C4882),B4882=0),"",(C4882-B4882)/B4882)</x:f>
      </x:c>
      <x:c r="E4882" s="22" t="str">
        <x:f>IF(ISBLANK(C4882),"AmountIncludingTax缺失",IF(ABS(B4882-C4882)&lt;0.005,"一致","不一致"))</x:f>
        <x:v>AmountIncludingTax缺失</x:v>
      </x:c>
      <x:c r="F4882" s="19" t="str">
        <x:v>approved</x:v>
      </x:c>
      <x:c r="G4882" s="19" t="str">
        <x:v>Repairer Invoiced Received</x:v>
      </x:c>
      <x:c r="H4882" s="19" t="str">
        <x:v>In Field</x:v>
      </x:c>
      <x:c r="I4882" s="37" t="n">
        <x:v>46076</x:v>
      </x:c>
      <x:c r="J4882" s="37" t="n">
        <x:v>46076</x:v>
      </x:c>
      <x:c r="K4882" s="19" t="str">
        <x:v>Dario Caravans -St.Marys</x:v>
      </x:c>
      <x:c r="L4882" s="19" t="str">
        <x:v>Z006</x:v>
      </x:c>
      <x:c r="M4882" s="19" t="str">
        <x:v>In Field Warranty Claims</x:v>
      </x:c>
      <x:c r="N4882" s="37" t="n">
        <x:v>45993</x:v>
      </x:c>
      <x:c r="O4882" s="37"/>
      <x:c r="P4882" s="34" t="n">
        <x:v>0</x:v>
      </x:c>
      <x:c r="Q4882" s="37" t="n">
        <x:v>46076.20829861111</x:v>
      </x:c>
    </x:row>
    <x:row r="4883">
      <x:c r="A4883" s="22" t="n">
        <x:v>28611</x:v>
      </x:c>
      <x:c r="B4883" s="28" t="n">
        <x:v>67.5</x:v>
      </x:c>
      <x:c r="C4883" s="28"/>
      <x:c r="D4883" s="31" t="str">
        <x:f>IF(OR(ISBLANK(B4883),ISBLANK(C4883),B4883=0),"",(C4883-B4883)/B4883)</x:f>
      </x:c>
      <x:c r="E4883" s="22" t="str">
        <x:f>IF(ISBLANK(C4883),"AmountIncludingTax缺失",IF(ABS(B4883-C4883)&lt;0.005,"一致","不一致"))</x:f>
        <x:v>AmountIncludingTax缺失</x:v>
      </x:c>
      <x:c r="F4883" s="19" t="str">
        <x:v>approved</x:v>
      </x:c>
      <x:c r="G4883" s="19" t="str">
        <x:v>Repairer Invoiced Processed</x:v>
      </x:c>
      <x:c r="H4883" s="19" t="str">
        <x:v>In Field</x:v>
      </x:c>
      <x:c r="I4883" s="37" t="n">
        <x:v>46120</x:v>
      </x:c>
      <x:c r="J4883" s="37" t="n">
        <x:v>46120</x:v>
      </x:c>
      <x:c r="K4883" s="19" t="str">
        <x:v>QCCC - Gympie</x:v>
      </x:c>
      <x:c r="L4883" s="19" t="str">
        <x:v>Z006</x:v>
      </x:c>
      <x:c r="M4883" s="19" t="str">
        <x:v>In Field Warranty Claims</x:v>
      </x:c>
      <x:c r="N4883" s="37" t="n">
        <x:v>45993</x:v>
      </x:c>
      <x:c r="O4883" s="37"/>
      <x:c r="P4883" s="34" t="n">
        <x:v>0</x:v>
      </x:c>
      <x:c r="Q4883" s="37" t="n">
        <x:v>46120.11971064815</x:v>
      </x:c>
    </x:row>
    <x:row r="4884">
      <x:c r="A4884" s="22" t="n">
        <x:v>28610</x:v>
      </x:c>
      <x:c r="B4884" s="28" t="n">
        <x:v>65</x:v>
      </x:c>
      <x:c r="C4884" s="28"/>
      <x:c r="D4884" s="31" t="str">
        <x:f>IF(OR(ISBLANK(B4884),ISBLANK(C4884),B4884=0),"",(C4884-B4884)/B4884)</x:f>
      </x:c>
      <x:c r="E4884" s="22" t="str">
        <x:f>IF(ISBLANK(C4884),"AmountIncludingTax缺失",IF(ABS(B4884-C4884)&lt;0.005,"一致","不一致"))</x:f>
        <x:v>AmountIncludingTax缺失</x:v>
      </x:c>
      <x:c r="F4884" s="19" t="str">
        <x:v>approved</x:v>
      </x:c>
      <x:c r="G4884" s="19" t="str">
        <x:v>Repair in Progress</x:v>
      </x:c>
      <x:c r="H4884" s="19" t="str">
        <x:v>In Field</x:v>
      </x:c>
      <x:c r="I4884" s="37" t="n">
        <x:v>46057</x:v>
      </x:c>
      <x:c r="J4884" s="37" t="n">
        <x:v>46057</x:v>
      </x:c>
      <x:c r="K4884" s="19" t="str">
        <x:v>Snowy River Launceston</x:v>
      </x:c>
      <x:c r="L4884" s="19" t="str">
        <x:v>Z006</x:v>
      </x:c>
      <x:c r="M4884" s="19" t="str">
        <x:v>In Field Warranty Claims</x:v>
      </x:c>
      <x:c r="N4884" s="37" t="n">
        <x:v>45993</x:v>
      </x:c>
      <x:c r="O4884" s="37"/>
      <x:c r="P4884" s="34" t="n">
        <x:v>0</x:v>
      </x:c>
      <x:c r="Q4884" s="37" t="n">
        <x:v>46057.06449074074</x:v>
      </x:c>
    </x:row>
    <x:row r="4885">
      <x:c r="A4885" s="22" t="n">
        <x:v>28609</x:v>
      </x:c>
      <x:c r="B4885" s="28" t="n">
        <x:v>195</x:v>
      </x:c>
      <x:c r="C4885" s="28" t="n">
        <x:v>248.33</x:v>
      </x:c>
      <x:c r="D4885" s="31" t="n">
        <x:f>IF(OR(ISBLANK(B4885),ISBLANK(C4885),B4885=0),"",(C4885-B4885)/B4885)</x:f>
        <x:v>0.27348717948717954</x:v>
      </x:c>
      <x:c r="E4885" s="22" t="str">
        <x:f>IF(ISBLANK(C4885),"AmountIncludingTax缺失",IF(ABS(B4885-C4885)&lt;0.005,"一致","不一致"))</x:f>
        <x:v>不一致</x:v>
      </x:c>
      <x:c r="F4885" s="19" t="str">
        <x:v>approved</x:v>
      </x:c>
      <x:c r="G4885" s="19" t="str">
        <x:v>Repair in Progress</x:v>
      </x:c>
      <x:c r="H4885" s="19" t="str">
        <x:v>In Field</x:v>
      </x:c>
      <x:c r="I4885" s="37" t="n">
        <x:v>46104</x:v>
      </x:c>
      <x:c r="J4885" s="37" t="n">
        <x:v>46104</x:v>
      </x:c>
      <x:c r="K4885" s="19" t="str">
        <x:v>Snowy River Launceston</x:v>
      </x:c>
      <x:c r="L4885" s="19" t="str">
        <x:v>Z006</x:v>
      </x:c>
      <x:c r="M4885" s="19" t="str">
        <x:v>In Field Warranty Claims</x:v>
      </x:c>
      <x:c r="N4885" s="37" t="n">
        <x:v>45993</x:v>
      </x:c>
      <x:c r="O4885" s="37"/>
      <x:c r="P4885" s="34" t="n">
        <x:v>248.33</x:v>
      </x:c>
      <x:c r="Q4885" s="37" t="n">
        <x:v>46104.183217592596</x:v>
      </x:c>
    </x:row>
    <x:row r="4886">
      <x:c r="A4886" s="22" t="n">
        <x:v>28608</x:v>
      </x:c>
      <x:c r="B4886" s="28" t="n">
        <x:v>1282.5</x:v>
      </x:c>
      <x:c r="C4886" s="28"/>
      <x:c r="D4886" s="31" t="str">
        <x:f>IF(OR(ISBLANK(B4886),ISBLANK(C4886),B4886=0),"",(C4886-B4886)/B4886)</x:f>
      </x:c>
      <x:c r="E4886" s="22" t="str">
        <x:f>IF(ISBLANK(C4886),"AmountIncludingTax缺失",IF(ABS(B4886-C4886)&lt;0.005,"一致","不一致"))</x:f>
        <x:v>AmountIncludingTax缺失</x:v>
      </x:c>
      <x:c r="F4886" s="19" t="str">
        <x:v>approved</x:v>
      </x:c>
      <x:c r="G4886" s="19" t="str">
        <x:v>Repair in Progress</x:v>
      </x:c>
      <x:c r="H4886" s="19" t="str">
        <x:v>In Field</x:v>
      </x:c>
      <x:c r="I4886" s="37" t="n">
        <x:v>46050</x:v>
      </x:c>
      <x:c r="J4886" s="37" t="n">
        <x:v>46050</x:v>
      </x:c>
      <x:c r="K4886" s="19" t="str">
        <x:v>Regent RV Pty Ltd</x:v>
      </x:c>
      <x:c r="L4886" s="19" t="str">
        <x:v>Z006</x:v>
      </x:c>
      <x:c r="M4886" s="19" t="str">
        <x:v>In Field Warranty Claims</x:v>
      </x:c>
      <x:c r="N4886" s="37" t="n">
        <x:v>45993</x:v>
      </x:c>
      <x:c r="O4886" s="37"/>
      <x:c r="P4886" s="34" t="n">
        <x:v>0</x:v>
      </x:c>
      <x:c r="Q4886" s="37" t="n">
        <x:v>46050.218356481484</x:v>
      </x:c>
    </x:row>
    <x:row r="4887">
      <x:c r="A4887" s="22" t="n">
        <x:v>28607</x:v>
      </x:c>
      <x:c r="B4887" s="28" t="n">
        <x:v>520</x:v>
      </x:c>
      <x:c r="C4887" s="28"/>
      <x:c r="D4887" s="31" t="str">
        <x:f>IF(OR(ISBLANK(B4887),ISBLANK(C4887),B4887=0),"",(C4887-B4887)/B4887)</x:f>
      </x:c>
      <x:c r="E4887" s="22" t="str">
        <x:f>IF(ISBLANK(C4887),"AmountIncludingTax缺失",IF(ABS(B4887-C4887)&lt;0.005,"一致","不一致"))</x:f>
        <x:v>AmountIncludingTax缺失</x:v>
      </x:c>
      <x:c r="F4887" s="19" t="str">
        <x:v>approved</x:v>
      </x:c>
      <x:c r="G4887" s="19" t="str">
        <x:v>Repair in Progress</x:v>
      </x:c>
      <x:c r="H4887" s="19" t="str">
        <x:v>In Field</x:v>
      </x:c>
      <x:c r="I4887" s="37" t="n">
        <x:v>46057</x:v>
      </x:c>
      <x:c r="J4887" s="37" t="n">
        <x:v>46057</x:v>
      </x:c>
      <x:c r="K4887" s="19" t="str">
        <x:v>Sherrif Caravans &amp; Traliers - Prospect Vale</x:v>
      </x:c>
      <x:c r="L4887" s="19" t="str">
        <x:v>Z006</x:v>
      </x:c>
      <x:c r="M4887" s="19" t="str">
        <x:v>In Field Warranty Claims</x:v>
      </x:c>
      <x:c r="N4887" s="37" t="n">
        <x:v>45993</x:v>
      </x:c>
      <x:c r="O4887" s="37"/>
      <x:c r="P4887" s="34" t="n">
        <x:v>0</x:v>
      </x:c>
      <x:c r="Q4887" s="37" t="n">
        <x:v>46057.01337962963</x:v>
      </x:c>
    </x:row>
    <x:row r="4888">
      <x:c r="A4888" s="22" t="n">
        <x:v>28606</x:v>
      </x:c>
      <x:c r="B4888" s="28" t="n">
        <x:v>1365</x:v>
      </x:c>
      <x:c r="C4888" s="28"/>
      <x:c r="D4888" s="31" t="str">
        <x:f>IF(OR(ISBLANK(B4888),ISBLANK(C4888),B4888=0),"",(C4888-B4888)/B4888)</x:f>
      </x:c>
      <x:c r="E4888" s="22" t="str">
        <x:f>IF(ISBLANK(C4888),"AmountIncludingTax缺失",IF(ABS(B4888-C4888)&lt;0.005,"一致","不一致"))</x:f>
        <x:v>AmountIncludingTax缺失</x:v>
      </x:c>
      <x:c r="F4888" s="19" t="str">
        <x:v>approved</x:v>
      </x:c>
      <x:c r="G4888" s="19" t="str">
        <x:v>Repair in Progress</x:v>
      </x:c>
      <x:c r="H4888" s="19" t="str">
        <x:v>In Field</x:v>
      </x:c>
      <x:c r="I4888" s="37" t="n">
        <x:v>46065</x:v>
      </x:c>
      <x:c r="J4888" s="37" t="n">
        <x:v>46065</x:v>
      </x:c>
      <x:c r="K4888" s="19" t="str">
        <x:v>Snowy River Launceston</x:v>
      </x:c>
      <x:c r="L4888" s="19" t="str">
        <x:v>Z006</x:v>
      </x:c>
      <x:c r="M4888" s="19" t="str">
        <x:v>In Field Warranty Claims</x:v>
      </x:c>
      <x:c r="N4888" s="37" t="n">
        <x:v>45993</x:v>
      </x:c>
      <x:c r="O4888" s="37"/>
      <x:c r="P4888" s="34" t="n">
        <x:v>0</x:v>
      </x:c>
      <x:c r="Q4888" s="37" t="n">
        <x:v>46065.10469907407</x:v>
      </x:c>
    </x:row>
    <x:row r="4889">
      <x:c r="A4889" s="22" t="n">
        <x:v>28603</x:v>
      </x:c>
      <x:c r="B4889" s="28" t="n">
        <x:v>202.5</x:v>
      </x:c>
      <x:c r="C4889" s="28"/>
      <x:c r="D4889" s="31" t="str">
        <x:f>IF(OR(ISBLANK(B4889),ISBLANK(C4889),B4889=0),"",(C4889-B4889)/B4889)</x:f>
      </x:c>
      <x:c r="E4889" s="22" t="str">
        <x:f>IF(ISBLANK(C4889),"AmountIncludingTax缺失",IF(ABS(B4889-C4889)&lt;0.005,"一致","不一致"))</x:f>
        <x:v>AmountIncludingTax缺失</x:v>
      </x:c>
      <x:c r="F4889" s="19" t="str">
        <x:v>approved</x:v>
      </x:c>
      <x:c r="G4889" s="19" t="str">
        <x:v>Repairer Invoiced Processed</x:v>
      </x:c>
      <x:c r="H4889" s="19" t="str">
        <x:v>In Field</x:v>
      </x:c>
      <x:c r="I4889" s="37" t="n">
        <x:v>46077</x:v>
      </x:c>
      <x:c r="J4889" s="37" t="n">
        <x:v>46077</x:v>
      </x:c>
      <x:c r="K4889" s="19" t="str">
        <x:v>Dario Caravans -St.Marys</x:v>
      </x:c>
      <x:c r="L4889" s="19" t="str">
        <x:v>Z006</x:v>
      </x:c>
      <x:c r="M4889" s="19" t="str">
        <x:v>In Field Warranty Claims</x:v>
      </x:c>
      <x:c r="N4889" s="37" t="n">
        <x:v>45993</x:v>
      </x:c>
      <x:c r="O4889" s="37"/>
      <x:c r="P4889" s="34" t="n">
        <x:v>0</x:v>
      </x:c>
      <x:c r="Q4889" s="37" t="n">
        <x:v>46077.14059027778</x:v>
      </x:c>
    </x:row>
    <x:row r="4890">
      <x:c r="A4890" s="22" t="n">
        <x:v>28601</x:v>
      </x:c>
      <x:c r="B4890" s="28" t="n">
        <x:v>72.5</x:v>
      </x:c>
      <x:c r="C4890" s="28"/>
      <x:c r="D4890" s="31" t="str">
        <x:f>IF(OR(ISBLANK(B4890),ISBLANK(C4890),B4890=0),"",(C4890-B4890)/B4890)</x:f>
      </x:c>
      <x:c r="E4890" s="22" t="str">
        <x:f>IF(ISBLANK(C4890),"AmountIncludingTax缺失",IF(ABS(B4890-C4890)&lt;0.005,"一致","不一致"))</x:f>
        <x:v>AmountIncludingTax缺失</x:v>
      </x:c>
      <x:c r="F4890" s="19" t="str">
        <x:v>approved</x:v>
      </x:c>
      <x:c r="G4890" s="19" t="str">
        <x:v>Repairer Invoiced Processed</x:v>
      </x:c>
      <x:c r="H4890" s="19" t="str">
        <x:v>In Field</x:v>
      </x:c>
      <x:c r="I4890" s="37" t="n">
        <x:v>46076</x:v>
      </x:c>
      <x:c r="J4890" s="37" t="n">
        <x:v>46076</x:v>
      </x:c>
      <x:c r="K4890" s="19" t="str">
        <x:v>Newcastle RV Super Centre - Beresfield</x:v>
      </x:c>
      <x:c r="L4890" s="19" t="str">
        <x:v>Z006</x:v>
      </x:c>
      <x:c r="M4890" s="19" t="str">
        <x:v>In Field Warranty Claims</x:v>
      </x:c>
      <x:c r="N4890" s="37" t="n">
        <x:v>45993</x:v>
      </x:c>
      <x:c r="O4890" s="37"/>
      <x:c r="P4890" s="34" t="n">
        <x:v>0</x:v>
      </x:c>
      <x:c r="Q4890" s="37" t="n">
        <x:v>46076.1931712963</x:v>
      </x:c>
    </x:row>
    <x:row r="4891">
      <x:c r="A4891" s="22" t="n">
        <x:v>28590</x:v>
      </x:c>
      <x:c r="B4891" s="28" t="n">
        <x:v>130.18</x:v>
      </x:c>
      <x:c r="C4891" s="28" t="n">
        <x:v>143.2</x:v>
      </x:c>
      <x:c r="D4891" s="31" t="n">
        <x:f>IF(OR(ISBLANK(B4891),ISBLANK(C4891),B4891=0),"",(C4891-B4891)/B4891)</x:f>
        <x:v>0.10001536334306331</x:v>
      </x:c>
      <x:c r="E4891" s="22" t="str">
        <x:f>IF(ISBLANK(C4891),"AmountIncludingTax缺失",IF(ABS(B4891-C4891)&lt;0.005,"一致","不一致"))</x:f>
        <x:v>不一致</x:v>
      </x:c>
      <x:c r="F4891" s="19" t="str">
        <x:v>approved</x:v>
      </x:c>
      <x:c r="G4891" s="19" t="str">
        <x:v>Repairer Invoiced Processed</x:v>
      </x:c>
      <x:c r="H4891" s="19" t="str">
        <x:v>In Field</x:v>
      </x:c>
      <x:c r="I4891" s="37" t="n">
        <x:v>46065</x:v>
      </x:c>
      <x:c r="J4891" s="37" t="n">
        <x:v>46065</x:v>
      </x:c>
      <x:c r="K4891" s="19" t="str">
        <x:v>ABCO Caravans - Boambee Valley</x:v>
      </x:c>
      <x:c r="L4891" s="19" t="str">
        <x:v>Z006</x:v>
      </x:c>
      <x:c r="M4891" s="19" t="str">
        <x:v>In Field Warranty Claims</x:v>
      </x:c>
      <x:c r="N4891" s="37" t="n">
        <x:v>45993</x:v>
      </x:c>
      <x:c r="O4891" s="37"/>
      <x:c r="P4891" s="34" t="n">
        <x:v>143.2</x:v>
      </x:c>
      <x:c r="Q4891" s="37" t="n">
        <x:v>46064.95060185185</x:v>
      </x:c>
    </x:row>
    <x:row r="4892">
      <x:c r="A4892" s="22" t="n">
        <x:v>28589</x:v>
      </x:c>
      <x:c r="B4892" s="28" t="n">
        <x:v>195</x:v>
      </x:c>
      <x:c r="C4892" s="28"/>
      <x:c r="D4892" s="31" t="str">
        <x:f>IF(OR(ISBLANK(B4892),ISBLANK(C4892),B4892=0),"",(C4892-B4892)/B4892)</x:f>
      </x:c>
      <x:c r="E4892" s="22" t="str">
        <x:f>IF(ISBLANK(C4892),"AmountIncludingTax缺失",IF(ABS(B4892-C4892)&lt;0.005,"一致","不一致"))</x:f>
        <x:v>AmountIncludingTax缺失</x:v>
      </x:c>
      <x:c r="F4892" s="19" t="str">
        <x:v>approved</x:v>
      </x:c>
      <x:c r="G4892" s="19" t="str">
        <x:v>Repairer Invoiced Processed</x:v>
      </x:c>
      <x:c r="H4892" s="19" t="str">
        <x:v>In Field</x:v>
      </x:c>
      <x:c r="I4892" s="37" t="n">
        <x:v>46056</x:v>
      </x:c>
      <x:c r="J4892" s="37" t="n">
        <x:v>46056</x:v>
      </x:c>
      <x:c r="K4892" s="19" t="str">
        <x:v>Snowy River Launceston</x:v>
      </x:c>
      <x:c r="L4892" s="19" t="str">
        <x:v>Z006</x:v>
      </x:c>
      <x:c r="M4892" s="19" t="str">
        <x:v>In Field Warranty Claims</x:v>
      </x:c>
      <x:c r="N4892" s="37" t="n">
        <x:v>45993</x:v>
      </x:c>
      <x:c r="O4892" s="37"/>
      <x:c r="P4892" s="34" t="n">
        <x:v>0</x:v>
      </x:c>
      <x:c r="Q4892" s="37" t="n">
        <x:v>46056.118252314816</x:v>
      </x:c>
    </x:row>
    <x:row r="4893">
      <x:c r="A4893" s="22" t="n">
        <x:v>28588</x:v>
      </x:c>
      <x:c r="B4893" s="28" t="n">
        <x:v>371.25</x:v>
      </x:c>
      <x:c r="C4893" s="28"/>
      <x:c r="D4893" s="31" t="str">
        <x:f>IF(OR(ISBLANK(B4893),ISBLANK(C4893),B4893=0),"",(C4893-B4893)/B4893)</x:f>
      </x:c>
      <x:c r="E4893" s="22" t="str">
        <x:f>IF(ISBLANK(C4893),"AmountIncludingTax缺失",IF(ABS(B4893-C4893)&lt;0.005,"一致","不一致"))</x:f>
        <x:v>AmountIncludingTax缺失</x:v>
      </x:c>
      <x:c r="F4893" s="19" t="str">
        <x:v>approved</x:v>
      </x:c>
      <x:c r="G4893" s="19" t="str">
        <x:v>Repair in Progress</x:v>
      </x:c>
      <x:c r="H4893" s="19" t="str">
        <x:v>In Field</x:v>
      </x:c>
      <x:c r="I4893" s="37" t="n">
        <x:v>46077</x:v>
      </x:c>
      <x:c r="J4893" s="37" t="n">
        <x:v>46077</x:v>
      </x:c>
      <x:c r="K4893" s="19" t="str">
        <x:v>Dario Caravans -St.Marys</x:v>
      </x:c>
      <x:c r="L4893" s="19" t="str">
        <x:v>Z006</x:v>
      </x:c>
      <x:c r="M4893" s="19" t="str">
        <x:v>In Field Warranty Claims</x:v>
      </x:c>
      <x:c r="N4893" s="37" t="n">
        <x:v>45993</x:v>
      </x:c>
      <x:c r="O4893" s="37"/>
      <x:c r="P4893" s="34" t="n">
        <x:v>0</x:v>
      </x:c>
      <x:c r="Q4893" s="37" t="n">
        <x:v>46077.139386574076</x:v>
      </x:c>
    </x:row>
    <x:row r="4894">
      <x:c r="A4894" s="22" t="n">
        <x:v>28587</x:v>
      </x:c>
      <x:c r="B4894" s="28" t="n">
        <x:v>537.5</x:v>
      </x:c>
      <x:c r="C4894" s="28"/>
      <x:c r="D4894" s="31" t="str">
        <x:f>IF(OR(ISBLANK(B4894),ISBLANK(C4894),B4894=0),"",(C4894-B4894)/B4894)</x:f>
      </x:c>
      <x:c r="E4894" s="22" t="str">
        <x:f>IF(ISBLANK(C4894),"AmountIncludingTax缺失",IF(ABS(B4894-C4894)&lt;0.005,"一致","不一致"))</x:f>
        <x:v>AmountIncludingTax缺失</x:v>
      </x:c>
      <x:c r="F4894" s="19" t="str">
        <x:v>approved</x:v>
      </x:c>
      <x:c r="G4894" s="19" t="str">
        <x:v>Repair in Progress</x:v>
      </x:c>
      <x:c r="H4894" s="19" t="str">
        <x:v>In Field</x:v>
      </x:c>
      <x:c r="I4894" s="37" t="n">
        <x:v>46070</x:v>
      </x:c>
      <x:c r="J4894" s="37" t="n">
        <x:v>46070</x:v>
      </x:c>
      <x:c r="K4894" s="19" t="str">
        <x:v>Regent RV - Townsville</x:v>
      </x:c>
      <x:c r="L4894" s="19" t="str">
        <x:v>Z006</x:v>
      </x:c>
      <x:c r="M4894" s="19" t="str">
        <x:v>In Field Warranty Claims</x:v>
      </x:c>
      <x:c r="N4894" s="37" t="n">
        <x:v>45993</x:v>
      </x:c>
      <x:c r="O4894" s="37"/>
      <x:c r="P4894" s="34" t="n">
        <x:v>0</x:v>
      </x:c>
      <x:c r="Q4894" s="37" t="n">
        <x:v>46070.18722222222</x:v>
      </x:c>
    </x:row>
    <x:row r="4895">
      <x:c r="A4895" s="22" t="n">
        <x:v>28583</x:v>
      </x:c>
      <x:c r="B4895" s="28" t="n">
        <x:v>34.54</x:v>
      </x:c>
      <x:c r="C4895" s="28"/>
      <x:c r="D4895" s="31" t="str">
        <x:f>IF(OR(ISBLANK(B4895),ISBLANK(C4895),B4895=0),"",(C4895-B4895)/B4895)</x:f>
      </x:c>
      <x:c r="E4895" s="22" t="str">
        <x:f>IF(ISBLANK(C4895),"AmountIncludingTax缺失",IF(ABS(B4895-C4895)&lt;0.005,"一致","不一致"))</x:f>
        <x:v>AmountIncludingTax缺失</x:v>
      </x:c>
      <x:c r="F4895" s="19" t="str">
        <x:v>approved</x:v>
      </x:c>
      <x:c r="G4895" s="19" t="str">
        <x:v>Repair in Progress</x:v>
      </x:c>
      <x:c r="H4895" s="19" t="str">
        <x:v>Pre Delivery</x:v>
      </x:c>
      <x:c r="I4895" s="37" t="n">
        <x:v>46055</x:v>
      </x:c>
      <x:c r="J4895" s="37" t="n">
        <x:v>46055</x:v>
      </x:c>
      <x:c r="K4895" s="19" t="str">
        <x:v>Auswide Caravans - South Nowra</x:v>
      </x:c>
      <x:c r="L4895" s="19" t="str">
        <x:v>Z005</x:v>
      </x:c>
      <x:c r="M4895" s="19" t="str">
        <x:v>Pre Delivery Warranty Claims</x:v>
      </x:c>
      <x:c r="N4895" s="37" t="n">
        <x:v>45993</x:v>
      </x:c>
      <x:c r="O4895" s="37"/>
      <x:c r="P4895" s="34" t="n">
        <x:v>0</x:v>
      </x:c>
      <x:c r="Q4895" s="37" t="n">
        <x:v>46055.23758101852</x:v>
      </x:c>
    </x:row>
    <x:row r="4896">
      <x:c r="A4896" s="22" t="n">
        <x:v>28580</x:v>
      </x:c>
      <x:c r="B4896" s="28" t="n">
        <x:v>178.75</x:v>
      </x:c>
      <x:c r="C4896" s="28"/>
      <x:c r="D4896" s="31" t="str">
        <x:f>IF(OR(ISBLANK(B4896),ISBLANK(C4896),B4896=0),"",(C4896-B4896)/B4896)</x:f>
      </x:c>
      <x:c r="E4896" s="22" t="str">
        <x:f>IF(ISBLANK(C4896),"AmountIncludingTax缺失",IF(ABS(B4896-C4896)&lt;0.005,"一致","不一致"))</x:f>
        <x:v>AmountIncludingTax缺失</x:v>
      </x:c>
      <x:c r="F4896" s="19" t="str">
        <x:v>approved</x:v>
      </x:c>
      <x:c r="G4896" s="19" t="str">
        <x:v>Repair in Progress</x:v>
      </x:c>
      <x:c r="H4896" s="19" t="str">
        <x:v>In Field</x:v>
      </x:c>
      <x:c r="I4896" s="37" t="n">
        <x:v>46112</x:v>
      </x:c>
      <x:c r="J4896" s="37" t="n">
        <x:v>46112</x:v>
      </x:c>
      <x:c r="K4896" s="19" t="str">
        <x:v>Green RV - Slacks Creek</x:v>
      </x:c>
      <x:c r="L4896" s="19" t="str">
        <x:v>Z006</x:v>
      </x:c>
      <x:c r="M4896" s="19" t="str">
        <x:v>In Field Warranty Claims</x:v>
      </x:c>
      <x:c r="N4896" s="37" t="n">
        <x:v>45993</x:v>
      </x:c>
      <x:c r="O4896" s="37"/>
      <x:c r="P4896" s="34" t="n">
        <x:v>0</x:v>
      </x:c>
      <x:c r="Q4896" s="37" t="n">
        <x:v>46111.94417824074</x:v>
      </x:c>
    </x:row>
    <x:row r="4897">
      <x:c r="A4897" s="22" t="n">
        <x:v>28579</x:v>
      </x:c>
      <x:c r="B4897" s="28" t="n">
        <x:v>130</x:v>
      </x:c>
      <x:c r="C4897" s="28"/>
      <x:c r="D4897" s="31" t="str">
        <x:f>IF(OR(ISBLANK(B4897),ISBLANK(C4897),B4897=0),"",(C4897-B4897)/B4897)</x:f>
      </x:c>
      <x:c r="E4897" s="22" t="str">
        <x:f>IF(ISBLANK(C4897),"AmountIncludingTax缺失",IF(ABS(B4897-C4897)&lt;0.005,"一致","不一致"))</x:f>
        <x:v>AmountIncludingTax缺失</x:v>
      </x:c>
      <x:c r="F4897" s="19" t="str">
        <x:v>approved</x:v>
      </x:c>
      <x:c r="G4897" s="19" t="str">
        <x:v>Repair in Progress</x:v>
      </x:c>
      <x:c r="H4897" s="19" t="str">
        <x:v>In Field</x:v>
      </x:c>
      <x:c r="I4897" s="37" t="n">
        <x:v>46065</x:v>
      </x:c>
      <x:c r="J4897" s="37" t="n">
        <x:v>46065</x:v>
      </x:c>
      <x:c r="K4897" s="19" t="str">
        <x:v>Snowy River Launceston</x:v>
      </x:c>
      <x:c r="L4897" s="19" t="str">
        <x:v>Z006</x:v>
      </x:c>
      <x:c r="M4897" s="19" t="str">
        <x:v>In Field Warranty Claims</x:v>
      </x:c>
      <x:c r="N4897" s="37" t="n">
        <x:v>45993</x:v>
      </x:c>
      <x:c r="O4897" s="37"/>
      <x:c r="P4897" s="34" t="n">
        <x:v>0</x:v>
      </x:c>
      <x:c r="Q4897" s="37" t="n">
        <x:v>46065.213125</x:v>
      </x:c>
    </x:row>
    <x:row r="4898">
      <x:c r="A4898" s="22" t="n">
        <x:v>28578</x:v>
      </x:c>
      <x:c r="B4898" s="28" t="n">
        <x:v>67.5</x:v>
      </x:c>
      <x:c r="C4898" s="28"/>
      <x:c r="D4898" s="31" t="str">
        <x:f>IF(OR(ISBLANK(B4898),ISBLANK(C4898),B4898=0),"",(C4898-B4898)/B4898)</x:f>
      </x:c>
      <x:c r="E4898" s="22" t="str">
        <x:f>IF(ISBLANK(C4898),"AmountIncludingTax缺失",IF(ABS(B4898-C4898)&lt;0.005,"一致","不一致"))</x:f>
        <x:v>AmountIncludingTax缺失</x:v>
      </x:c>
      <x:c r="F4898" s="19" t="str">
        <x:v>approved</x:v>
      </x:c>
      <x:c r="G4898" s="19" t="str">
        <x:v>Repair in Progress</x:v>
      </x:c>
      <x:c r="H4898" s="19" t="str">
        <x:v>In Field</x:v>
      </x:c>
      <x:c r="I4898" s="37" t="n">
        <x:v>46062</x:v>
      </x:c>
      <x:c r="J4898" s="37" t="n">
        <x:v>46058</x:v>
      </x:c>
      <x:c r="K4898" s="19" t="str">
        <x:v>ABCO Caravans - Boambee Valley</x:v>
      </x:c>
      <x:c r="L4898" s="19" t="str">
        <x:v>Z006</x:v>
      </x:c>
      <x:c r="M4898" s="19" t="str">
        <x:v>In Field Warranty Claims</x:v>
      </x:c>
      <x:c r="N4898" s="37" t="n">
        <x:v>45993</x:v>
      </x:c>
      <x:c r="O4898" s="37"/>
      <x:c r="P4898" s="34" t="n">
        <x:v>0</x:v>
      </x:c>
      <x:c r="Q4898" s="37" t="n">
        <x:v>46062.22287037037</x:v>
      </x:c>
    </x:row>
    <x:row r="4899">
      <x:c r="A4899" s="22" t="n">
        <x:v>28576</x:v>
      </x:c>
      <x:c r="B4899" s="28" t="n">
        <x:v>593.75</x:v>
      </x:c>
      <x:c r="C4899" s="28"/>
      <x:c r="D4899" s="31" t="str">
        <x:f>IF(OR(ISBLANK(B4899),ISBLANK(C4899),B4899=0),"",(C4899-B4899)/B4899)</x:f>
      </x:c>
      <x:c r="E4899" s="22" t="str">
        <x:f>IF(ISBLANK(C4899),"AmountIncludingTax缺失",IF(ABS(B4899-C4899)&lt;0.005,"一致","不一致"))</x:f>
        <x:v>AmountIncludingTax缺失</x:v>
      </x:c>
      <x:c r="F4899" s="19" t="str">
        <x:v>approved</x:v>
      </x:c>
      <x:c r="G4899" s="19" t="str">
        <x:v>Repair in Progress</x:v>
      </x:c>
      <x:c r="H4899" s="19" t="str">
        <x:v>In Field</x:v>
      </x:c>
      <x:c r="I4899" s="37" t="n">
        <x:v>46072</x:v>
      </x:c>
      <x:c r="J4899" s="37" t="n">
        <x:v>46072</x:v>
      </x:c>
      <x:c r="K4899" s="19" t="str">
        <x:v>Newcastle RV Super Centre - Beresfield</x:v>
      </x:c>
      <x:c r="L4899" s="19" t="str">
        <x:v>Z006</x:v>
      </x:c>
      <x:c r="M4899" s="19" t="str">
        <x:v>In Field Warranty Claims</x:v>
      </x:c>
      <x:c r="N4899" s="37" t="n">
        <x:v>45993</x:v>
      </x:c>
      <x:c r="O4899" s="37"/>
      <x:c r="P4899" s="34" t="n">
        <x:v>0</x:v>
      </x:c>
      <x:c r="Q4899" s="37" t="n">
        <x:v>46072.21900462963</x:v>
      </x:c>
    </x:row>
    <x:row r="4900">
      <x:c r="A4900" s="22" t="n">
        <x:v>28575</x:v>
      </x:c>
      <x:c r="B4900" s="28" t="n">
        <x:v>69.09</x:v>
      </x:c>
      <x:c r="C4900" s="28"/>
      <x:c r="D4900" s="31" t="str">
        <x:f>IF(OR(ISBLANK(B4900),ISBLANK(C4900),B4900=0),"",(C4900-B4900)/B4900)</x:f>
      </x:c>
      <x:c r="E4900" s="22" t="str">
        <x:f>IF(ISBLANK(C4900),"AmountIncludingTax缺失",IF(ABS(B4900-C4900)&lt;0.005,"一致","不一致"))</x:f>
        <x:v>AmountIncludingTax缺失</x:v>
      </x:c>
      <x:c r="F4900" s="19" t="str">
        <x:v>approved</x:v>
      </x:c>
      <x:c r="G4900" s="19" t="str">
        <x:v>Repair in Progress</x:v>
      </x:c>
      <x:c r="H4900" s="19" t="str">
        <x:v>In Field</x:v>
      </x:c>
      <x:c r="I4900" s="37" t="n">
        <x:v>46101</x:v>
      </x:c>
      <x:c r="J4900" s="37" t="n">
        <x:v>46101</x:v>
      </x:c>
      <x:c r="K4900" s="19" t="str">
        <x:v>Auswide Caravans - South Nowra</x:v>
      </x:c>
      <x:c r="L4900" s="19" t="str">
        <x:v>Z006</x:v>
      </x:c>
      <x:c r="M4900" s="19" t="str">
        <x:v>In Field Warranty Claims</x:v>
      </x:c>
      <x:c r="N4900" s="37" t="n">
        <x:v>45993</x:v>
      </x:c>
      <x:c r="O4900" s="37"/>
      <x:c r="P4900" s="34" t="n">
        <x:v>0</x:v>
      </x:c>
      <x:c r="Q4900" s="37" t="n">
        <x:v>46101.203043981484</x:v>
      </x:c>
    </x:row>
    <x:row r="4901">
      <x:c r="A4901" s="22" t="n">
        <x:v>28574</x:v>
      </x:c>
      <x:c r="B4901" s="28" t="n">
        <x:v>229.77</x:v>
      </x:c>
      <x:c r="C4901" s="28"/>
      <x:c r="D4901" s="31" t="str">
        <x:f>IF(OR(ISBLANK(B4901),ISBLANK(C4901),B4901=0),"",(C4901-B4901)/B4901)</x:f>
      </x:c>
      <x:c r="E4901" s="22" t="str">
        <x:f>IF(ISBLANK(C4901),"AmountIncludingTax缺失",IF(ABS(B4901-C4901)&lt;0.005,"一致","不一致"))</x:f>
        <x:v>AmountIncludingTax缺失</x:v>
      </x:c>
      <x:c r="F4901" s="19" t="str">
        <x:v>approved</x:v>
      </x:c>
      <x:c r="G4901" s="19" t="str">
        <x:v>Repair in Progress</x:v>
      </x:c>
      <x:c r="H4901" s="19" t="str">
        <x:v>Pre Delivery</x:v>
      </x:c>
      <x:c r="I4901" s="37" t="n">
        <x:v>46092</x:v>
      </x:c>
      <x:c r="J4901" s="37" t="n">
        <x:v>46036</x:v>
      </x:c>
      <x:c r="K4901" s="19" t="str">
        <x:v>The Caravan Hub - Townsville</x:v>
      </x:c>
      <x:c r="L4901" s="19" t="str">
        <x:v>Z005</x:v>
      </x:c>
      <x:c r="M4901" s="19" t="str">
        <x:v>Pre Delivery Warranty Claims</x:v>
      </x:c>
      <x:c r="N4901" s="37" t="n">
        <x:v>45993</x:v>
      </x:c>
      <x:c r="O4901" s="37"/>
      <x:c r="P4901" s="34" t="n">
        <x:v>0</x:v>
      </x:c>
      <x:c r="Q4901" s="37" t="n">
        <x:v>46092.19961805556</x:v>
      </x:c>
    </x:row>
    <x:row r="4902">
      <x:c r="A4902" s="22" t="n">
        <x:v>28573</x:v>
      </x:c>
      <x:c r="B4902" s="28" t="n">
        <x:v>1750</x:v>
      </x:c>
      <x:c r="C4902" s="28"/>
      <x:c r="D4902" s="31" t="str">
        <x:f>IF(OR(ISBLANK(B4902),ISBLANK(C4902),B4902=0),"",(C4902-B4902)/B4902)</x:f>
      </x:c>
      <x:c r="E4902" s="22" t="str">
        <x:f>IF(ISBLANK(C4902),"AmountIncludingTax缺失",IF(ABS(B4902-C4902)&lt;0.005,"一致","不一致"))</x:f>
        <x:v>AmountIncludingTax缺失</x:v>
      </x:c>
      <x:c r="F4902" s="19" t="str">
        <x:v>approved</x:v>
      </x:c>
      <x:c r="G4902" s="19" t="str">
        <x:v>Repairer Invoiced Processed</x:v>
      </x:c>
      <x:c r="H4902" s="19" t="str">
        <x:v>In Field</x:v>
      </x:c>
      <x:c r="I4902" s="37" t="n">
        <x:v>46076</x:v>
      </x:c>
      <x:c r="J4902" s="37" t="n">
        <x:v>46076</x:v>
      </x:c>
      <x:c r="K4902" s="19" t="str">
        <x:v>Dario Caravans -St.Marys</x:v>
      </x:c>
      <x:c r="L4902" s="19" t="str">
        <x:v>Z006</x:v>
      </x:c>
      <x:c r="M4902" s="19" t="str">
        <x:v>In Field Warranty Claims</x:v>
      </x:c>
      <x:c r="N4902" s="37" t="n">
        <x:v>45993</x:v>
      </x:c>
      <x:c r="O4902" s="37"/>
      <x:c r="P4902" s="34" t="n">
        <x:v>0</x:v>
      </x:c>
      <x:c r="Q4902" s="37" t="n">
        <x:v>46076.14916666667</x:v>
      </x:c>
    </x:row>
    <x:row r="4903">
      <x:c r="A4903" s="22" t="n">
        <x:v>28571</x:v>
      </x:c>
      <x:c r="B4903" s="28" t="n">
        <x:v>337.5</x:v>
      </x:c>
      <x:c r="C4903" s="28"/>
      <x:c r="D4903" s="31" t="str">
        <x:f>IF(OR(ISBLANK(B4903),ISBLANK(C4903),B4903=0),"",(C4903-B4903)/B4903)</x:f>
      </x:c>
      <x:c r="E4903" s="22" t="str">
        <x:f>IF(ISBLANK(C4903),"AmountIncludingTax缺失",IF(ABS(B4903-C4903)&lt;0.005,"一致","不一致"))</x:f>
        <x:v>AmountIncludingTax缺失</x:v>
      </x:c>
      <x:c r="F4903" s="19" t="str">
        <x:v>approved</x:v>
      </x:c>
      <x:c r="G4903" s="19" t="str">
        <x:v>Repair in Progress</x:v>
      </x:c>
      <x:c r="H4903" s="19" t="str">
        <x:v>In Field</x:v>
      </x:c>
      <x:c r="I4903" s="37" t="n">
        <x:v>46084</x:v>
      </x:c>
      <x:c r="J4903" s="37" t="n">
        <x:v>46084</x:v>
      </x:c>
      <x:c r="K4903" s="19" t="str">
        <x:v>Green RV - Forest Glen</x:v>
      </x:c>
      <x:c r="L4903" s="19" t="str">
        <x:v>Z006</x:v>
      </x:c>
      <x:c r="M4903" s="19" t="str">
        <x:v>In Field Warranty Claims</x:v>
      </x:c>
      <x:c r="N4903" s="37" t="n">
        <x:v>45992</x:v>
      </x:c>
      <x:c r="O4903" s="37"/>
      <x:c r="P4903" s="34" t="n">
        <x:v>0</x:v>
      </x:c>
      <x:c r="Q4903" s="37" t="n">
        <x:v>46083.98532407408</x:v>
      </x:c>
    </x:row>
    <x:row r="4904">
      <x:c r="A4904" s="22" t="n">
        <x:v>28570</x:v>
      </x:c>
      <x:c r="B4904" s="28" t="n">
        <x:v>175</x:v>
      </x:c>
      <x:c r="C4904" s="28"/>
      <x:c r="D4904" s="31" t="str">
        <x:f>IF(OR(ISBLANK(B4904),ISBLANK(C4904),B4904=0),"",(C4904-B4904)/B4904)</x:f>
      </x:c>
      <x:c r="E4904" s="22" t="str">
        <x:f>IF(ISBLANK(C4904),"AmountIncludingTax缺失",IF(ABS(B4904-C4904)&lt;0.005,"一致","不一致"))</x:f>
        <x:v>AmountIncludingTax缺失</x:v>
      </x:c>
      <x:c r="F4904" s="19" t="str">
        <x:v>approved</x:v>
      </x:c>
      <x:c r="G4904" s="19" t="str">
        <x:v>Repairer Invoiced Processed</x:v>
      </x:c>
      <x:c r="H4904" s="19" t="str">
        <x:v>In Field</x:v>
      </x:c>
      <x:c r="I4904" s="37" t="n">
        <x:v>46065</x:v>
      </x:c>
      <x:c r="J4904" s="37" t="n">
        <x:v>46065</x:v>
      </x:c>
      <x:c r="K4904" s="19" t="str">
        <x:v>ABCO Caravans - Boambee Valley</x:v>
      </x:c>
      <x:c r="L4904" s="19" t="str">
        <x:v>Z006</x:v>
      </x:c>
      <x:c r="M4904" s="19" t="str">
        <x:v>In Field Warranty Claims</x:v>
      </x:c>
      <x:c r="N4904" s="37" t="n">
        <x:v>45993</x:v>
      </x:c>
      <x:c r="O4904" s="37"/>
      <x:c r="P4904" s="34" t="n">
        <x:v>0</x:v>
      </x:c>
      <x:c r="Q4904" s="37" t="n">
        <x:v>46064.94416666667</x:v>
      </x:c>
    </x:row>
    <x:row r="4905">
      <x:c r="A4905" s="22" t="n">
        <x:v>28569</x:v>
      </x:c>
      <x:c r="B4905" s="28" t="n">
        <x:v>340</x:v>
      </x:c>
      <x:c r="C4905" s="28"/>
      <x:c r="D4905" s="31" t="str">
        <x:f>IF(OR(ISBLANK(B4905),ISBLANK(C4905),B4905=0),"",(C4905-B4905)/B4905)</x:f>
      </x:c>
      <x:c r="E4905" s="22" t="str">
        <x:f>IF(ISBLANK(C4905),"AmountIncludingTax缺失",IF(ABS(B4905-C4905)&lt;0.005,"一致","不一致"))</x:f>
        <x:v>AmountIncludingTax缺失</x:v>
      </x:c>
      <x:c r="F4905" s="19" t="str">
        <x:v>approved</x:v>
      </x:c>
      <x:c r="G4905" s="19" t="str">
        <x:v>Repairer Invoiced Received</x:v>
      </x:c>
      <x:c r="H4905" s="19" t="str">
        <x:v>In Field</x:v>
      </x:c>
      <x:c r="I4905" s="37" t="n">
        <x:v>46081</x:v>
      </x:c>
      <x:c r="J4905" s="37" t="n">
        <x:v>46081</x:v>
      </x:c>
      <x:c r="K4905" s="19" t="str">
        <x:v>Green RV - Forest Glen</x:v>
      </x:c>
      <x:c r="L4905" s="19" t="str">
        <x:v>Z006</x:v>
      </x:c>
      <x:c r="M4905" s="19" t="str">
        <x:v>In Field Warranty Claims</x:v>
      </x:c>
      <x:c r="N4905" s="37" t="n">
        <x:v>45993</x:v>
      </x:c>
      <x:c r="O4905" s="37"/>
      <x:c r="P4905" s="34" t="n">
        <x:v>0</x:v>
      </x:c>
      <x:c r="Q4905" s="37" t="n">
        <x:v>46080.931550925925</x:v>
      </x:c>
    </x:row>
    <x:row r="4906">
      <x:c r="A4906" s="22" t="n">
        <x:v>28568</x:v>
      </x:c>
      <x:c r="B4906" s="28" t="n">
        <x:v>135</x:v>
      </x:c>
      <x:c r="C4906" s="28"/>
      <x:c r="D4906" s="31" t="str">
        <x:f>IF(OR(ISBLANK(B4906),ISBLANK(C4906),B4906=0),"",(C4906-B4906)/B4906)</x:f>
      </x:c>
      <x:c r="E4906" s="22" t="str">
        <x:f>IF(ISBLANK(C4906),"AmountIncludingTax缺失",IF(ABS(B4906-C4906)&lt;0.005,"一致","不一致"))</x:f>
        <x:v>AmountIncludingTax缺失</x:v>
      </x:c>
      <x:c r="F4906" s="19" t="str">
        <x:v>approved</x:v>
      </x:c>
      <x:c r="G4906" s="19" t="str">
        <x:v>Repairer Invoiced Processed</x:v>
      </x:c>
      <x:c r="H4906" s="19" t="str">
        <x:v>In Field</x:v>
      </x:c>
      <x:c r="I4906" s="37" t="n">
        <x:v>46113</x:v>
      </x:c>
      <x:c r="J4906" s="37" t="n">
        <x:v>46112</x:v>
      </x:c>
      <x:c r="K4906" s="19" t="str">
        <x:v>Auswide Caravans - South Nowra</x:v>
      </x:c>
      <x:c r="L4906" s="19" t="str">
        <x:v>Z006</x:v>
      </x:c>
      <x:c r="M4906" s="19" t="str">
        <x:v>In Field Warranty Claims</x:v>
      </x:c>
      <x:c r="N4906" s="37" t="n">
        <x:v>45993</x:v>
      </x:c>
      <x:c r="O4906" s="37"/>
      <x:c r="P4906" s="34" t="n">
        <x:v>0</x:v>
      </x:c>
      <x:c r="Q4906" s="37" t="n">
        <x:v>46113.15430555555</x:v>
      </x:c>
    </x:row>
    <x:row r="4907">
      <x:c r="A4907" s="22" t="n">
        <x:v>28567</x:v>
      </x:c>
      <x:c r="B4907" s="28" t="n">
        <x:v>330</x:v>
      </x:c>
      <x:c r="C4907" s="28"/>
      <x:c r="D4907" s="31" t="str">
        <x:f>IF(OR(ISBLANK(B4907),ISBLANK(C4907),B4907=0),"",(C4907-B4907)/B4907)</x:f>
      </x:c>
      <x:c r="E4907" s="22" t="str">
        <x:f>IF(ISBLANK(C4907),"AmountIncludingTax缺失",IF(ABS(B4907-C4907)&lt;0.005,"一致","不一致"))</x:f>
        <x:v>AmountIncludingTax缺失</x:v>
      </x:c>
      <x:c r="F4907" s="19" t="str">
        <x:v>approved</x:v>
      </x:c>
      <x:c r="G4907" s="19" t="str">
        <x:v>Repair in Progress</x:v>
      </x:c>
      <x:c r="H4907" s="19" t="str">
        <x:v>In Field</x:v>
      </x:c>
      <x:c r="I4907" s="37" t="n">
        <x:v>46045</x:v>
      </x:c>
      <x:c r="J4907" s="37" t="n">
        <x:v>46044</x:v>
      </x:c>
      <x:c r="K4907" s="19" t="str">
        <x:v>Regent RV - Perth</x:v>
      </x:c>
      <x:c r="L4907" s="19" t="str">
        <x:v>Z006</x:v>
      </x:c>
      <x:c r="M4907" s="19" t="str">
        <x:v>In Field Warranty Claims</x:v>
      </x:c>
      <x:c r="N4907" s="37" t="n">
        <x:v>45993</x:v>
      </x:c>
      <x:c r="O4907" s="37"/>
      <x:c r="P4907" s="34" t="n">
        <x:v>0</x:v>
      </x:c>
      <x:c r="Q4907" s="37" t="n">
        <x:v>46044.56895833334</x:v>
      </x:c>
    </x:row>
    <x:row r="4908">
      <x:c r="A4908" s="22" t="n">
        <x:v>28566</x:v>
      </x:c>
      <x:c r="B4908" s="28" t="n">
        <x:v>11818.18</x:v>
      </x:c>
      <x:c r="C4908" s="28"/>
      <x:c r="D4908" s="31" t="str">
        <x:f>IF(OR(ISBLANK(B4908),ISBLANK(C4908),B4908=0),"",(C4908-B4908)/B4908)</x:f>
      </x:c>
      <x:c r="E4908" s="22" t="str">
        <x:f>IF(ISBLANK(C4908),"AmountIncludingTax缺失",IF(ABS(B4908-C4908)&lt;0.005,"一致","不一致"))</x:f>
        <x:v>AmountIncludingTax缺失</x:v>
      </x:c>
      <x:c r="F4908" s="19" t="str">
        <x:v>approved</x:v>
      </x:c>
      <x:c r="G4908" s="19" t="str">
        <x:v>Repairer Invoiced Processed</x:v>
      </x:c>
      <x:c r="H4908" s="19" t="str">
        <x:v>In Field</x:v>
      </x:c>
      <x:c r="I4908" s="37" t="n">
        <x:v>46189</x:v>
      </x:c>
      <x:c r="J4908" s="37" t="n">
        <x:v>46189</x:v>
      </x:c>
      <x:c r="K4908" s="19" t="str">
        <x:v>Green RV - Forest Glen</x:v>
      </x:c>
      <x:c r="L4908" s="19" t="str">
        <x:v>Z006</x:v>
      </x:c>
      <x:c r="M4908" s="19" t="str">
        <x:v>In Field Warranty Claims</x:v>
      </x:c>
      <x:c r="N4908" s="37" t="n">
        <x:v>45993</x:v>
      </x:c>
      <x:c r="O4908" s="37"/>
      <x:c r="P4908" s="34" t="n">
        <x:v>0</x:v>
      </x:c>
      <x:c r="Q4908" s="37" t="n">
        <x:v>46189.02103009259</x:v>
      </x:c>
    </x:row>
    <x:row r="4909">
      <x:c r="A4909" s="22" t="n">
        <x:v>28565</x:v>
      </x:c>
      <x:c r="B4909" s="28" t="n">
        <x:v>340.18</x:v>
      </x:c>
      <x:c r="C4909" s="28"/>
      <x:c r="D4909" s="31" t="str">
        <x:f>IF(OR(ISBLANK(B4909),ISBLANK(C4909),B4909=0),"",(C4909-B4909)/B4909)</x:f>
      </x:c>
      <x:c r="E4909" s="22" t="str">
        <x:f>IF(ISBLANK(C4909),"AmountIncludingTax缺失",IF(ABS(B4909-C4909)&lt;0.005,"一致","不一致"))</x:f>
        <x:v>AmountIncludingTax缺失</x:v>
      </x:c>
      <x:c r="F4909" s="19" t="str">
        <x:v>approved</x:v>
      </x:c>
      <x:c r="G4909" s="19" t="str">
        <x:v>Repairer Invoiced Processed</x:v>
      </x:c>
      <x:c r="H4909" s="19" t="str">
        <x:v>In Field</x:v>
      </x:c>
      <x:c r="I4909" s="37" t="n">
        <x:v>46065</x:v>
      </x:c>
      <x:c r="J4909" s="37" t="n">
        <x:v>46065</x:v>
      </x:c>
      <x:c r="K4909" s="19" t="str">
        <x:v>ABCO Caravans - Boambee Valley</x:v>
      </x:c>
      <x:c r="L4909" s="19" t="str">
        <x:v>Z006</x:v>
      </x:c>
      <x:c r="M4909" s="19" t="str">
        <x:v>In Field Warranty Claims</x:v>
      </x:c>
      <x:c r="N4909" s="37" t="n">
        <x:v>45993</x:v>
      </x:c>
      <x:c r="O4909" s="37"/>
      <x:c r="P4909" s="34" t="n">
        <x:v>0</x:v>
      </x:c>
      <x:c r="Q4909" s="37" t="n">
        <x:v>46064.934432870374</x:v>
      </x:c>
    </x:row>
    <x:row r="4910">
      <x:c r="A4910" s="22" t="n">
        <x:v>28563</x:v>
      </x:c>
      <x:c r="B4910" s="28" t="n">
        <x:v>254.56</x:v>
      </x:c>
      <x:c r="C4910" s="28"/>
      <x:c r="D4910" s="31" t="str">
        <x:f>IF(OR(ISBLANK(B4910),ISBLANK(C4910),B4910=0),"",(C4910-B4910)/B4910)</x:f>
      </x:c>
      <x:c r="E4910" s="22" t="str">
        <x:f>IF(ISBLANK(C4910),"AmountIncludingTax缺失",IF(ABS(B4910-C4910)&lt;0.005,"一致","不一致"))</x:f>
        <x:v>AmountIncludingTax缺失</x:v>
      </x:c>
      <x:c r="F4910" s="19" t="str">
        <x:v>approved</x:v>
      </x:c>
      <x:c r="G4910" s="19" t="str">
        <x:v>Repairer Invoiced Processed</x:v>
      </x:c>
      <x:c r="H4910" s="19" t="str">
        <x:v>In Field</x:v>
      </x:c>
      <x:c r="I4910" s="37" t="n">
        <x:v>46052</x:v>
      </x:c>
      <x:c r="J4910" s="37" t="n">
        <x:v>46052</x:v>
      </x:c>
      <x:c r="K4910" s="19" t="str">
        <x:v>Green RV - Forest Glen</x:v>
      </x:c>
      <x:c r="L4910" s="19" t="str">
        <x:v>Z006</x:v>
      </x:c>
      <x:c r="M4910" s="19" t="str">
        <x:v>In Field Warranty Claims</x:v>
      </x:c>
      <x:c r="N4910" s="37" t="n">
        <x:v>45993</x:v>
      </x:c>
      <x:c r="O4910" s="37"/>
      <x:c r="P4910" s="34" t="n">
        <x:v>0</x:v>
      </x:c>
      <x:c r="Q4910" s="37" t="n">
        <x:v>46052.01425925926</x:v>
      </x:c>
    </x:row>
    <x:row r="4911">
      <x:c r="A4911" s="22" t="n">
        <x:v>28562</x:v>
      </x:c>
      <x:c r="B4911" s="28" t="n">
        <x:v>79.55</x:v>
      </x:c>
      <x:c r="C4911" s="28"/>
      <x:c r="D4911" s="31" t="str">
        <x:f>IF(OR(ISBLANK(B4911),ISBLANK(C4911),B4911=0),"",(C4911-B4911)/B4911)</x:f>
      </x:c>
      <x:c r="E4911" s="22" t="str">
        <x:f>IF(ISBLANK(C4911),"AmountIncludingTax缺失",IF(ABS(B4911-C4911)&lt;0.005,"一致","不一致"))</x:f>
        <x:v>AmountIncludingTax缺失</x:v>
      </x:c>
      <x:c r="F4911" s="19" t="str">
        <x:v>approved</x:v>
      </x:c>
      <x:c r="G4911" s="19" t="str">
        <x:v>Repair in Progress</x:v>
      </x:c>
      <x:c r="H4911" s="19" t="str">
        <x:v>In Field</x:v>
      </x:c>
      <x:c r="I4911" s="37" t="n">
        <x:v>46052</x:v>
      </x:c>
      <x:c r="J4911" s="37" t="n">
        <x:v>46052</x:v>
      </x:c>
      <x:c r="K4911" s="19" t="str">
        <x:v>Green RV - Forest Glen</x:v>
      </x:c>
      <x:c r="L4911" s="19" t="str">
        <x:v>Z006</x:v>
      </x:c>
      <x:c r="M4911" s="19" t="str">
        <x:v>In Field Warranty Claims</x:v>
      </x:c>
      <x:c r="N4911" s="37" t="n">
        <x:v>45992</x:v>
      </x:c>
      <x:c r="O4911" s="37"/>
      <x:c r="P4911" s="34" t="n">
        <x:v>0</x:v>
      </x:c>
      <x:c r="Q4911" s="37" t="n">
        <x:v>46051.866585648146</x:v>
      </x:c>
    </x:row>
    <x:row r="4912">
      <x:c r="A4912" s="22" t="n">
        <x:v>28561</x:v>
      </x:c>
      <x:c r="B4912" s="28" t="n">
        <x:v>850.12</x:v>
      </x:c>
      <x:c r="C4912" s="28" t="n">
        <x:v>935.13</x:v>
      </x:c>
      <x:c r="D4912" s="31" t="n">
        <x:f>IF(OR(ISBLANK(B4912),ISBLANK(C4912),B4912=0),"",(C4912-B4912)/B4912)</x:f>
        <x:v>0.09999764739095655</x:v>
      </x:c>
      <x:c r="E4912" s="22" t="str">
        <x:f>IF(ISBLANK(C4912),"AmountIncludingTax缺失",IF(ABS(B4912-C4912)&lt;0.005,"一致","不一致"))</x:f>
        <x:v>不一致</x:v>
      </x:c>
      <x:c r="F4912" s="19" t="str">
        <x:v>approved</x:v>
      </x:c>
      <x:c r="G4912" s="19" t="str">
        <x:v>Repairer Invoiced Processed</x:v>
      </x:c>
      <x:c r="H4912" s="19" t="str">
        <x:v>Pre Delivery</x:v>
      </x:c>
      <x:c r="I4912" s="37" t="n">
        <x:v>46072</x:v>
      </x:c>
      <x:c r="J4912" s="37" t="n">
        <x:v>46072</x:v>
      </x:c>
      <x:c r="K4912" s="19" t="str">
        <x:v>Green RV - Forest Glen</x:v>
      </x:c>
      <x:c r="L4912" s="19" t="str">
        <x:v>Z005</x:v>
      </x:c>
      <x:c r="M4912" s="19" t="str">
        <x:v>Pre Delivery Warranty Claims</x:v>
      </x:c>
      <x:c r="N4912" s="37" t="n">
        <x:v>45992</x:v>
      </x:c>
      <x:c r="O4912" s="37"/>
      <x:c r="P4912" s="34" t="n">
        <x:v>935.13</x:v>
      </x:c>
      <x:c r="Q4912" s="37" t="n">
        <x:v>46071.991898148146</x:v>
      </x:c>
    </x:row>
    <x:row r="4913">
      <x:c r="A4913" s="22" t="n">
        <x:v>28560</x:v>
      </x:c>
      <x:c r="B4913" s="28" t="n">
        <x:v>61.37</x:v>
      </x:c>
      <x:c r="C4913" s="28"/>
      <x:c r="D4913" s="31" t="str">
        <x:f>IF(OR(ISBLANK(B4913),ISBLANK(C4913),B4913=0),"",(C4913-B4913)/B4913)</x:f>
      </x:c>
      <x:c r="E4913" s="22" t="str">
        <x:f>IF(ISBLANK(C4913),"AmountIncludingTax缺失",IF(ABS(B4913-C4913)&lt;0.005,"一致","不一致"))</x:f>
        <x:v>AmountIncludingTax缺失</x:v>
      </x:c>
      <x:c r="F4913" s="19" t="str">
        <x:v>approved</x:v>
      </x:c>
      <x:c r="G4913" s="19" t="str">
        <x:v>Repairer Invoiced Processed</x:v>
      </x:c>
      <x:c r="H4913" s="19" t="str">
        <x:v>In Field</x:v>
      </x:c>
      <x:c r="I4913" s="37" t="n">
        <x:v>46052</x:v>
      </x:c>
      <x:c r="J4913" s="37" t="n">
        <x:v>46052</x:v>
      </x:c>
      <x:c r="K4913" s="19" t="str">
        <x:v>Green RV - Forest Glen</x:v>
      </x:c>
      <x:c r="L4913" s="19" t="str">
        <x:v>Z006</x:v>
      </x:c>
      <x:c r="M4913" s="19" t="str">
        <x:v>In Field Warranty Claims</x:v>
      </x:c>
      <x:c r="N4913" s="37" t="n">
        <x:v>45992</x:v>
      </x:c>
      <x:c r="O4913" s="37"/>
      <x:c r="P4913" s="34" t="n">
        <x:v>0</x:v>
      </x:c>
      <x:c r="Q4913" s="37" t="n">
        <x:v>46051.85377314815</x:v>
      </x:c>
    </x:row>
    <x:row r="4914">
      <x:c r="A4914" s="22" t="n">
        <x:v>28559</x:v>
      </x:c>
      <x:c r="B4914" s="28" t="n">
        <x:v>438.75</x:v>
      </x:c>
      <x:c r="C4914" s="28"/>
      <x:c r="D4914" s="31" t="str">
        <x:f>IF(OR(ISBLANK(B4914),ISBLANK(C4914),B4914=0),"",(C4914-B4914)/B4914)</x:f>
      </x:c>
      <x:c r="E4914" s="22" t="str">
        <x:f>IF(ISBLANK(C4914),"AmountIncludingTax缺失",IF(ABS(B4914-C4914)&lt;0.005,"一致","不一致"))</x:f>
        <x:v>AmountIncludingTax缺失</x:v>
      </x:c>
      <x:c r="F4914" s="19" t="str">
        <x:v>approved</x:v>
      </x:c>
      <x:c r="G4914" s="19" t="str">
        <x:v>Repair in Progress</x:v>
      </x:c>
      <x:c r="H4914" s="19" t="str">
        <x:v>In Field</x:v>
      </x:c>
      <x:c r="I4914" s="37" t="n">
        <x:v>46106</x:v>
      </x:c>
      <x:c r="J4914" s="37" t="n">
        <x:v>46106</x:v>
      </x:c>
      <x:c r="K4914" s="19" t="str">
        <x:v>Newcastle RV Super Centre - Beresfield</x:v>
      </x:c>
      <x:c r="L4914" s="19" t="str">
        <x:v>Z006</x:v>
      </x:c>
      <x:c r="M4914" s="19" t="str">
        <x:v>In Field Warranty Claims</x:v>
      </x:c>
      <x:c r="N4914" s="37" t="n">
        <x:v>45992</x:v>
      </x:c>
      <x:c r="O4914" s="37"/>
      <x:c r="P4914" s="34" t="n">
        <x:v>0</x:v>
      </x:c>
      <x:c r="Q4914" s="37" t="n">
        <x:v>46106.0209375</x:v>
      </x:c>
    </x:row>
    <x:row r="4915">
      <x:c r="A4915" s="22" t="n">
        <x:v>28558</x:v>
      </x:c>
      <x:c r="B4915" s="28" t="n">
        <x:v>323.75</x:v>
      </x:c>
      <x:c r="C4915" s="28"/>
      <x:c r="D4915" s="31" t="str">
        <x:f>IF(OR(ISBLANK(B4915),ISBLANK(C4915),B4915=0),"",(C4915-B4915)/B4915)</x:f>
      </x:c>
      <x:c r="E4915" s="22" t="str">
        <x:f>IF(ISBLANK(C4915),"AmountIncludingTax缺失",IF(ABS(B4915-C4915)&lt;0.005,"一致","不一致"))</x:f>
        <x:v>AmountIncludingTax缺失</x:v>
      </x:c>
      <x:c r="F4915" s="19" t="str">
        <x:v>approved</x:v>
      </x:c>
      <x:c r="G4915" s="19" t="str">
        <x:v>Repairer Invoiced Processed</x:v>
      </x:c>
      <x:c r="H4915" s="19" t="str">
        <x:v>In Field</x:v>
      </x:c>
      <x:c r="I4915" s="37" t="n">
        <x:v>46055</x:v>
      </x:c>
      <x:c r="J4915" s="37" t="n">
        <x:v>46055</x:v>
      </x:c>
      <x:c r="K4915" s="19" t="str">
        <x:v>Green RV - Slacks Creek</x:v>
      </x:c>
      <x:c r="L4915" s="19" t="str">
        <x:v>Z006</x:v>
      </x:c>
      <x:c r="M4915" s="19" t="str">
        <x:v>In Field Warranty Claims</x:v>
      </x:c>
      <x:c r="N4915" s="37" t="n">
        <x:v>45992</x:v>
      </x:c>
      <x:c r="O4915" s="37"/>
      <x:c r="P4915" s="34" t="n">
        <x:v>0</x:v>
      </x:c>
      <x:c r="Q4915" s="37" t="n">
        <x:v>46055.17054398148</x:v>
      </x:c>
    </x:row>
    <x:row r="4916">
      <x:c r="A4916" s="22" t="n">
        <x:v>28557</x:v>
      </x:c>
      <x:c r="B4916" s="28" t="n">
        <x:v>584.55</x:v>
      </x:c>
      <x:c r="C4916" s="28"/>
      <x:c r="D4916" s="31" t="str">
        <x:f>IF(OR(ISBLANK(B4916),ISBLANK(C4916),B4916=0),"",(C4916-B4916)/B4916)</x:f>
      </x:c>
      <x:c r="E4916" s="22" t="str">
        <x:f>IF(ISBLANK(C4916),"AmountIncludingTax缺失",IF(ABS(B4916-C4916)&lt;0.005,"一致","不一致"))</x:f>
        <x:v>AmountIncludingTax缺失</x:v>
      </x:c>
      <x:c r="F4916" s="19" t="str">
        <x:v>approved</x:v>
      </x:c>
      <x:c r="G4916" s="19" t="str">
        <x:v>Repair in Progress</x:v>
      </x:c>
      <x:c r="H4916" s="19" t="str">
        <x:v>In Field</x:v>
      </x:c>
      <x:c r="I4916" s="37" t="n">
        <x:v>46100</x:v>
      </x:c>
      <x:c r="J4916" s="37" t="n">
        <x:v>46100</x:v>
      </x:c>
      <x:c r="K4916" s="19" t="str">
        <x:v>Green RV - Forest Glen</x:v>
      </x:c>
      <x:c r="L4916" s="19" t="str">
        <x:v>Z006</x:v>
      </x:c>
      <x:c r="M4916" s="19" t="str">
        <x:v>In Field Warranty Claims</x:v>
      </x:c>
      <x:c r="N4916" s="37" t="n">
        <x:v>45992</x:v>
      </x:c>
      <x:c r="O4916" s="37"/>
      <x:c r="P4916" s="34" t="n">
        <x:v>0</x:v>
      </x:c>
      <x:c r="Q4916" s="37" t="n">
        <x:v>46099.92753472222</x:v>
      </x:c>
    </x:row>
    <x:row r="4917">
      <x:c r="A4917" s="22" t="n">
        <x:v>28556</x:v>
      </x:c>
      <x:c r="B4917" s="28" t="n">
        <x:v>852.5</x:v>
      </x:c>
      <x:c r="C4917" s="28"/>
      <x:c r="D4917" s="31" t="str">
        <x:f>IF(OR(ISBLANK(B4917),ISBLANK(C4917),B4917=0),"",(C4917-B4917)/B4917)</x:f>
      </x:c>
      <x:c r="E4917" s="22" t="str">
        <x:f>IF(ISBLANK(C4917),"AmountIncludingTax缺失",IF(ABS(B4917-C4917)&lt;0.005,"一致","不一致"))</x:f>
        <x:v>AmountIncludingTax缺失</x:v>
      </x:c>
      <x:c r="F4917" s="19" t="str">
        <x:v>approved</x:v>
      </x:c>
      <x:c r="G4917" s="19" t="str">
        <x:v>Repair in Progress</x:v>
      </x:c>
      <x:c r="H4917" s="19" t="str">
        <x:v>In Field</x:v>
      </x:c>
      <x:c r="I4917" s="37" t="n">
        <x:v>46076</x:v>
      </x:c>
      <x:c r="J4917" s="37" t="n">
        <x:v>46073</x:v>
      </x:c>
      <x:c r="K4917" s="19" t="str">
        <x:v>Regent RV - Frankston</x:v>
      </x:c>
      <x:c r="L4917" s="19" t="str">
        <x:v>Z006</x:v>
      </x:c>
      <x:c r="M4917" s="19" t="str">
        <x:v>In Field Warranty Claims</x:v>
      </x:c>
      <x:c r="N4917" s="37" t="n">
        <x:v>45992</x:v>
      </x:c>
      <x:c r="O4917" s="37"/>
      <x:c r="P4917" s="34" t="n">
        <x:v>0</x:v>
      </x:c>
      <x:c r="Q4917" s="37" t="n">
        <x:v>46076.019895833335</x:v>
      </x:c>
    </x:row>
    <x:row r="4918">
      <x:c r="A4918" s="22" t="n">
        <x:v>28555</x:v>
      </x:c>
      <x:c r="B4918" s="28" t="n">
        <x:v>1072.5</x:v>
      </x:c>
      <x:c r="C4918" s="28"/>
      <x:c r="D4918" s="31" t="str">
        <x:f>IF(OR(ISBLANK(B4918),ISBLANK(C4918),B4918=0),"",(C4918-B4918)/B4918)</x:f>
      </x:c>
      <x:c r="E4918" s="22" t="str">
        <x:f>IF(ISBLANK(C4918),"AmountIncludingTax缺失",IF(ABS(B4918-C4918)&lt;0.005,"一致","不一致"))</x:f>
        <x:v>AmountIncludingTax缺失</x:v>
      </x:c>
      <x:c r="F4918" s="19" t="str">
        <x:v>approved</x:v>
      </x:c>
      <x:c r="G4918" s="19" t="str">
        <x:v>Repair in Progress</x:v>
      </x:c>
      <x:c r="H4918" s="19" t="str">
        <x:v>In Field</x:v>
      </x:c>
      <x:c r="I4918" s="37" t="n">
        <x:v>46076</x:v>
      </x:c>
      <x:c r="J4918" s="37" t="n">
        <x:v>46076</x:v>
      </x:c>
      <x:c r="K4918" s="19" t="str">
        <x:v>Regent RV - Frankston</x:v>
      </x:c>
      <x:c r="L4918" s="19" t="str">
        <x:v>Z006</x:v>
      </x:c>
      <x:c r="M4918" s="19" t="str">
        <x:v>In Field Warranty Claims</x:v>
      </x:c>
      <x:c r="N4918" s="37" t="n">
        <x:v>45992</x:v>
      </x:c>
      <x:c r="O4918" s="37"/>
      <x:c r="P4918" s="34" t="n">
        <x:v>0</x:v>
      </x:c>
      <x:c r="Q4918" s="37" t="n">
        <x:v>46076.146516203706</x:v>
      </x:c>
    </x:row>
    <x:row r="4919">
      <x:c r="A4919" s="22" t="n">
        <x:v>28553</x:v>
      </x:c>
      <x:c r="B4919" s="28" t="n">
        <x:v>186</x:v>
      </x:c>
      <x:c r="C4919" s="28" t="n">
        <x:v>204.6</x:v>
      </x:c>
      <x:c r="D4919" s="31" t="n">
        <x:f>IF(OR(ISBLANK(B4919),ISBLANK(C4919),B4919=0),"",(C4919-B4919)/B4919)</x:f>
        <x:v>0.09999999999999996</x:v>
      </x:c>
      <x:c r="E4919" s="22" t="str">
        <x:f>IF(ISBLANK(C4919),"AmountIncludingTax缺失",IF(ABS(B4919-C4919)&lt;0.005,"一致","不一致"))</x:f>
        <x:v>不一致</x:v>
      </x:c>
      <x:c r="F4919" s="19" t="str">
        <x:v>approved</x:v>
      </x:c>
      <x:c r="G4919" s="19" t="str">
        <x:v>Repairer Invoiced Processed</x:v>
      </x:c>
      <x:c r="H4919" s="19" t="str">
        <x:v>In Field</x:v>
      </x:c>
      <x:c r="I4919" s="37" t="n">
        <x:v>46163</x:v>
      </x:c>
      <x:c r="J4919" s="37" t="n">
        <x:v>46163</x:v>
      </x:c>
      <x:c r="K4919" s="19" t="str">
        <x:v>Green RV - Forest Glen</x:v>
      </x:c>
      <x:c r="L4919" s="19" t="str">
        <x:v>Z006</x:v>
      </x:c>
      <x:c r="M4919" s="19" t="str">
        <x:v>In Field Warranty Claims</x:v>
      </x:c>
      <x:c r="N4919" s="37" t="n">
        <x:v>45992</x:v>
      </x:c>
      <x:c r="O4919" s="37"/>
      <x:c r="P4919" s="34" t="n">
        <x:v>204.6</x:v>
      </x:c>
      <x:c r="Q4919" s="37" t="n">
        <x:v>46163.22056712963</x:v>
      </x:c>
    </x:row>
    <x:row r="4920">
      <x:c r="A4920" s="22" t="n">
        <x:v>28552</x:v>
      </x:c>
      <x:c r="B4920" s="28" t="n">
        <x:v>654.55</x:v>
      </x:c>
      <x:c r="C4920" s="28" t="n">
        <x:v>720.01</x:v>
      </x:c>
      <x:c r="D4920" s="31" t="n">
        <x:f>IF(OR(ISBLANK(B4920),ISBLANK(C4920),B4920=0),"",(C4920-B4920)/B4920)</x:f>
        <x:v>0.10000763883584148</x:v>
      </x:c>
      <x:c r="E4920" s="22" t="str">
        <x:f>IF(ISBLANK(C4920),"AmountIncludingTax缺失",IF(ABS(B4920-C4920)&lt;0.005,"一致","不一致"))</x:f>
        <x:v>不一致</x:v>
      </x:c>
      <x:c r="F4920" s="19" t="str">
        <x:v>approved</x:v>
      </x:c>
      <x:c r="G4920" s="19" t="str">
        <x:v>Repairer Invoiced Processed</x:v>
      </x:c>
      <x:c r="H4920" s="19" t="str">
        <x:v>In Field</x:v>
      </x:c>
      <x:c r="I4920" s="37" t="n">
        <x:v>46056</x:v>
      </x:c>
      <x:c r="J4920" s="37" t="n">
        <x:v>46056</x:v>
      </x:c>
      <x:c r="K4920" s="19" t="str">
        <x:v>Dario Caravans - Pooraka</x:v>
      </x:c>
      <x:c r="L4920" s="19" t="str">
        <x:v>Z006</x:v>
      </x:c>
      <x:c r="M4920" s="19" t="str">
        <x:v>In Field Warranty Claims</x:v>
      </x:c>
      <x:c r="N4920" s="37" t="n">
        <x:v>45992</x:v>
      </x:c>
      <x:c r="O4920" s="37"/>
      <x:c r="P4920" s="34" t="n">
        <x:v>720.01</x:v>
      </x:c>
      <x:c r="Q4920" s="37" t="n">
        <x:v>46056.27594907407</x:v>
      </x:c>
    </x:row>
    <x:row r="4921">
      <x:c r="A4921" s="22" t="n">
        <x:v>28551</x:v>
      </x:c>
      <x:c r="B4921" s="28" t="n">
        <x:v>2510.86</x:v>
      </x:c>
      <x:c r="C4921" s="28"/>
      <x:c r="D4921" s="31" t="str">
        <x:f>IF(OR(ISBLANK(B4921),ISBLANK(C4921),B4921=0),"",(C4921-B4921)/B4921)</x:f>
      </x:c>
      <x:c r="E4921" s="22" t="str">
        <x:f>IF(ISBLANK(C4921),"AmountIncludingTax缺失",IF(ABS(B4921-C4921)&lt;0.005,"一致","不一致"))</x:f>
        <x:v>AmountIncludingTax缺失</x:v>
      </x:c>
      <x:c r="F4921" s="19" t="str">
        <x:v>approved</x:v>
      </x:c>
      <x:c r="G4921" s="19" t="str">
        <x:v>Repairer Invoiced Processed</x:v>
      </x:c>
      <x:c r="H4921" s="19" t="str">
        <x:v>In Field</x:v>
      </x:c>
      <x:c r="I4921" s="37" t="n">
        <x:v>46101</x:v>
      </x:c>
      <x:c r="J4921" s="37" t="n">
        <x:v>46101</x:v>
      </x:c>
      <x:c r="K4921" s="19" t="str">
        <x:v>Green RV - Forest Glen</x:v>
      </x:c>
      <x:c r="L4921" s="19" t="str">
        <x:v>Z006</x:v>
      </x:c>
      <x:c r="M4921" s="19" t="str">
        <x:v>In Field Warranty Claims</x:v>
      </x:c>
      <x:c r="N4921" s="37" t="n">
        <x:v>45992</x:v>
      </x:c>
      <x:c r="O4921" s="37"/>
      <x:c r="P4921" s="34" t="n">
        <x:v>2761.95</x:v>
      </x:c>
      <x:c r="Q4921" s="37" t="n">
        <x:v>46101.492731481485</x:v>
      </x:c>
    </x:row>
    <x:row r="4922">
      <x:c r="A4922" s="22" t="n">
        <x:v>28550</x:v>
      </x:c>
      <x:c r="B4922" s="28" t="n">
        <x:v>397.73</x:v>
      </x:c>
      <x:c r="C4922" s="28"/>
      <x:c r="D4922" s="31" t="str">
        <x:f>IF(OR(ISBLANK(B4922),ISBLANK(C4922),B4922=0),"",(C4922-B4922)/B4922)</x:f>
      </x:c>
      <x:c r="E4922" s="22" t="str">
        <x:f>IF(ISBLANK(C4922),"AmountIncludingTax缺失",IF(ABS(B4922-C4922)&lt;0.005,"一致","不一致"))</x:f>
        <x:v>AmountIncludingTax缺失</x:v>
      </x:c>
      <x:c r="F4922" s="19" t="str">
        <x:v>approved</x:v>
      </x:c>
      <x:c r="G4922" s="19" t="str">
        <x:v>Repairer Invoiced Processed</x:v>
      </x:c>
      <x:c r="H4922" s="19" t="str">
        <x:v>In Field</x:v>
      </x:c>
      <x:c r="I4922" s="37" t="n">
        <x:v>46031</x:v>
      </x:c>
      <x:c r="J4922" s="37" t="n">
        <x:v>46031</x:v>
      </x:c>
      <x:c r="K4922" s="19" t="str">
        <x:v>Dario Caravans -St.Marys</x:v>
      </x:c>
      <x:c r="L4922" s="19" t="str">
        <x:v>Z006</x:v>
      </x:c>
      <x:c r="M4922" s="19" t="str">
        <x:v>In Field Warranty Claims</x:v>
      </x:c>
      <x:c r="N4922" s="37" t="n">
        <x:v>45992</x:v>
      </x:c>
      <x:c r="O4922" s="37"/>
      <x:c r="P4922" s="34" t="n">
        <x:v>0</x:v>
      </x:c>
      <x:c r="Q4922" s="37" t="n">
        <x:v>46030.895416666666</x:v>
      </x:c>
    </x:row>
    <x:row r="4923">
      <x:c r="A4923" s="22" t="n">
        <x:v>28549</x:v>
      </x:c>
      <x:c r="B4923" s="28" t="n">
        <x:v>340</x:v>
      </x:c>
      <x:c r="C4923" s="28" t="n">
        <x:v>374</x:v>
      </x:c>
      <x:c r="D4923" s="31" t="n">
        <x:f>IF(OR(ISBLANK(B4923),ISBLANK(C4923),B4923=0),"",(C4923-B4923)/B4923)</x:f>
        <x:v>0.1</x:v>
      </x:c>
      <x:c r="E4923" s="22" t="str">
        <x:f>IF(ISBLANK(C4923),"AmountIncludingTax缺失",IF(ABS(B4923-C4923)&lt;0.005,"一致","不一致"))</x:f>
        <x:v>不一致</x:v>
      </x:c>
      <x:c r="F4923" s="19" t="str">
        <x:v>approved</x:v>
      </x:c>
      <x:c r="G4923" s="19" t="str">
        <x:v>Repairer Invoiced Processed</x:v>
      </x:c>
      <x:c r="H4923" s="19" t="str">
        <x:v>In Field</x:v>
      </x:c>
      <x:c r="I4923" s="37" t="n">
        <x:v>46139</x:v>
      </x:c>
      <x:c r="J4923" s="37" t="n">
        <x:v>46139</x:v>
      </x:c>
      <x:c r="K4923" s="19" t="str">
        <x:v>Regent RV - Frankston</x:v>
      </x:c>
      <x:c r="L4923" s="19" t="str">
        <x:v>Z006</x:v>
      </x:c>
      <x:c r="M4923" s="19" t="str">
        <x:v>In Field Warranty Claims</x:v>
      </x:c>
      <x:c r="N4923" s="37" t="n">
        <x:v>45992</x:v>
      </x:c>
      <x:c r="O4923" s="37"/>
      <x:c r="P4923" s="34" t="n">
        <x:v>374</x:v>
      </x:c>
      <x:c r="Q4923" s="37" t="n">
        <x:v>46138.96780092592</x:v>
      </x:c>
    </x:row>
    <x:row r="4924">
      <x:c r="A4924" s="22" t="n">
        <x:v>28547</x:v>
      </x:c>
      <x:c r="B4924" s="28" t="n">
        <x:v>270</x:v>
      </x:c>
      <x:c r="C4924" s="28" t="n">
        <x:v>297</x:v>
      </x:c>
      <x:c r="D4924" s="31" t="n">
        <x:f>IF(OR(ISBLANK(B4924),ISBLANK(C4924),B4924=0),"",(C4924-B4924)/B4924)</x:f>
        <x:v>0.1</x:v>
      </x:c>
      <x:c r="E4924" s="22" t="str">
        <x:f>IF(ISBLANK(C4924),"AmountIncludingTax缺失",IF(ABS(B4924-C4924)&lt;0.005,"一致","不一致"))</x:f>
        <x:v>不一致</x:v>
      </x:c>
      <x:c r="F4924" s="19" t="str">
        <x:v>approved</x:v>
      </x:c>
      <x:c r="G4924" s="19" t="str">
        <x:v>Repairer Invoiced Processed</x:v>
      </x:c>
      <x:c r="H4924" s="19" t="str">
        <x:v>In Field</x:v>
      </x:c>
      <x:c r="I4924" s="37" t="n">
        <x:v>46044</x:v>
      </x:c>
      <x:c r="J4924" s="37" t="n">
        <x:v>46044</x:v>
      </x:c>
      <x:c r="K4924" s="19" t="str">
        <x:v>Regent RV Pty Ltd</x:v>
      </x:c>
      <x:c r="L4924" s="19" t="str">
        <x:v>Z006</x:v>
      </x:c>
      <x:c r="M4924" s="19" t="str">
        <x:v>In Field Warranty Claims</x:v>
      </x:c>
      <x:c r="N4924" s="37" t="n">
        <x:v>45992</x:v>
      </x:c>
      <x:c r="O4924" s="37"/>
      <x:c r="P4924" s="34" t="n">
        <x:v>297</x:v>
      </x:c>
      <x:c r="Q4924" s="37" t="n">
        <x:v>46044.137395833335</x:v>
      </x:c>
    </x:row>
    <x:row r="4925">
      <x:c r="A4925" s="22" t="n">
        <x:v>28544</x:v>
      </x:c>
      <x:c r="B4925" s="28" t="n">
        <x:v>748.75</x:v>
      </x:c>
      <x:c r="C4925" s="28"/>
      <x:c r="D4925" s="31" t="str">
        <x:f>IF(OR(ISBLANK(B4925),ISBLANK(C4925),B4925=0),"",(C4925-B4925)/B4925)</x:f>
      </x:c>
      <x:c r="E4925" s="22" t="str">
        <x:f>IF(ISBLANK(C4925),"AmountIncludingTax缺失",IF(ABS(B4925-C4925)&lt;0.005,"一致","不一致"))</x:f>
        <x:v>AmountIncludingTax缺失</x:v>
      </x:c>
      <x:c r="F4925" s="19" t="str">
        <x:v>approved</x:v>
      </x:c>
      <x:c r="G4925" s="19" t="str">
        <x:v>Repairer Invoiced Processed</x:v>
      </x:c>
      <x:c r="H4925" s="19" t="str">
        <x:v>In Field</x:v>
      </x:c>
      <x:c r="I4925" s="37" t="n">
        <x:v>46150</x:v>
      </x:c>
      <x:c r="J4925" s="37" t="n">
        <x:v>46055</x:v>
      </x:c>
      <x:c r="K4925" s="19" t="str">
        <x:v>Green RV - Slacks Creek</x:v>
      </x:c>
      <x:c r="L4925" s="19" t="str">
        <x:v>Z006</x:v>
      </x:c>
      <x:c r="M4925" s="19" t="str">
        <x:v>In Field Warranty Claims</x:v>
      </x:c>
      <x:c r="N4925" s="37" t="n">
        <x:v>45992</x:v>
      </x:c>
      <x:c r="O4925" s="37"/>
      <x:c r="P4925" s="34" t="n">
        <x:v>0</x:v>
      </x:c>
      <x:c r="Q4925" s="37" t="n">
        <x:v>46149.97782407407</x:v>
      </x:c>
    </x:row>
    <x:row r="4926">
      <x:c r="A4926" s="22" t="n">
        <x:v>28543</x:v>
      </x:c>
      <x:c r="B4926" s="28" t="n">
        <x:v>165</x:v>
      </x:c>
      <x:c r="C4926" s="28"/>
      <x:c r="D4926" s="31" t="str">
        <x:f>IF(OR(ISBLANK(B4926),ISBLANK(C4926),B4926=0),"",(C4926-B4926)/B4926)</x:f>
      </x:c>
      <x:c r="E4926" s="22" t="str">
        <x:f>IF(ISBLANK(C4926),"AmountIncludingTax缺失",IF(ABS(B4926-C4926)&lt;0.005,"一致","不一致"))</x:f>
        <x:v>AmountIncludingTax缺失</x:v>
      </x:c>
      <x:c r="F4926" s="19" t="str">
        <x:v>approved</x:v>
      </x:c>
      <x:c r="G4926" s="19" t="str">
        <x:v>Repair in Progress</x:v>
      </x:c>
      <x:c r="H4926" s="19" t="str">
        <x:v>In Field</x:v>
      </x:c>
      <x:c r="I4926" s="37" t="n">
        <x:v>46076</x:v>
      </x:c>
      <x:c r="J4926" s="37" t="n">
        <x:v>46076</x:v>
      </x:c>
      <x:c r="K4926" s="19" t="str">
        <x:v>Regent RV - Frankston</x:v>
      </x:c>
      <x:c r="L4926" s="19" t="str">
        <x:v>Z006</x:v>
      </x:c>
      <x:c r="M4926" s="19" t="str">
        <x:v>In Field Warranty Claims</x:v>
      </x:c>
      <x:c r="N4926" s="37" t="n">
        <x:v>45992</x:v>
      </x:c>
      <x:c r="O4926" s="37"/>
      <x:c r="P4926" s="34" t="n">
        <x:v>0</x:v>
      </x:c>
      <x:c r="Q4926" s="37" t="n">
        <x:v>46075.937372685185</x:v>
      </x:c>
    </x:row>
    <x:row r="4927">
      <x:c r="A4927" s="22" t="n">
        <x:v>28542</x:v>
      </x:c>
      <x:c r="B4927" s="28" t="n">
        <x:v>824.57</x:v>
      </x:c>
      <x:c r="C4927" s="28" t="n">
        <x:v>907.03</x:v>
      </x:c>
      <x:c r="D4927" s="31" t="n">
        <x:f>IF(OR(ISBLANK(B4927),ISBLANK(C4927),B4927=0),"",(C4927-B4927)/B4927)</x:f>
        <x:v>0.10000363825994145</x:v>
      </x:c>
      <x:c r="E4927" s="22" t="str">
        <x:f>IF(ISBLANK(C4927),"AmountIncludingTax缺失",IF(ABS(B4927-C4927)&lt;0.005,"一致","不一致"))</x:f>
        <x:v>不一致</x:v>
      </x:c>
      <x:c r="F4927" s="19" t="str">
        <x:v>approved</x:v>
      </x:c>
      <x:c r="G4927" s="19" t="str">
        <x:v>Repairer Invoiced Processed</x:v>
      </x:c>
      <x:c r="H4927" s="19" t="str">
        <x:v>Pre Delivery</x:v>
      </x:c>
      <x:c r="I4927" s="37" t="n">
        <x:v>46045</x:v>
      </x:c>
      <x:c r="J4927" s="37" t="n">
        <x:v>46044</x:v>
      </x:c>
      <x:c r="K4927" s="19" t="str">
        <x:v>Green RV - Slacks Creek</x:v>
      </x:c>
      <x:c r="L4927" s="19" t="str">
        <x:v>Z005</x:v>
      </x:c>
      <x:c r="M4927" s="19" t="str">
        <x:v>Pre Delivery Warranty Claims</x:v>
      </x:c>
      <x:c r="N4927" s="37" t="n">
        <x:v>45992</x:v>
      </x:c>
      <x:c r="O4927" s="37"/>
      <x:c r="P4927" s="34" t="n">
        <x:v>907.03</x:v>
      </x:c>
      <x:c r="Q4927" s="37" t="n">
        <x:v>46044.56806712963</x:v>
      </x:c>
    </x:row>
    <x:row r="4928">
      <x:c r="A4928" s="22" t="n">
        <x:v>28541</x:v>
      </x:c>
      <x:c r="B4928" s="28" t="n">
        <x:v>61.37</x:v>
      </x:c>
      <x:c r="C4928" s="28"/>
      <x:c r="D4928" s="31" t="str">
        <x:f>IF(OR(ISBLANK(B4928),ISBLANK(C4928),B4928=0),"",(C4928-B4928)/B4928)</x:f>
      </x:c>
      <x:c r="E4928" s="22" t="str">
        <x:f>IF(ISBLANK(C4928),"AmountIncludingTax缺失",IF(ABS(B4928-C4928)&lt;0.005,"一致","不一致"))</x:f>
        <x:v>AmountIncludingTax缺失</x:v>
      </x:c>
      <x:c r="F4928" s="19" t="str">
        <x:v>approved</x:v>
      </x:c>
      <x:c r="G4928" s="19" t="str">
        <x:v>Repair in Progress</x:v>
      </x:c>
      <x:c r="H4928" s="19" t="str">
        <x:v>In Field</x:v>
      </x:c>
      <x:c r="I4928" s="37" t="n">
        <x:v>46056</x:v>
      </x:c>
      <x:c r="J4928" s="37" t="n">
        <x:v>46056</x:v>
      </x:c>
      <x:c r="K4928" s="19" t="str">
        <x:v>Green RV - Forest Glen</x:v>
      </x:c>
      <x:c r="L4928" s="19" t="str">
        <x:v>Z006</x:v>
      </x:c>
      <x:c r="M4928" s="19" t="str">
        <x:v>In Field Warranty Claims</x:v>
      </x:c>
      <x:c r="N4928" s="37" t="n">
        <x:v>45992</x:v>
      </x:c>
      <x:c r="O4928" s="37"/>
      <x:c r="P4928" s="34" t="n">
        <x:v>0</x:v>
      </x:c>
      <x:c r="Q4928" s="37" t="n">
        <x:v>46056.270636574074</x:v>
      </x:c>
    </x:row>
    <x:row r="4929">
      <x:c r="A4929" s="22" t="n">
        <x:v>28539</x:v>
      </x:c>
      <x:c r="B4929" s="28" t="n">
        <x:v>570.01</x:v>
      </x:c>
      <x:c r="C4929" s="28" t="n">
        <x:v>627.01</x:v>
      </x:c>
      <x:c r="D4929" s="31" t="n">
        <x:f>IF(OR(ISBLANK(B4929),ISBLANK(C4929),B4929=0),"",(C4929-B4929)/B4929)</x:f>
        <x:v>0.09999824564481324</x:v>
      </x:c>
      <x:c r="E4929" s="22" t="str">
        <x:f>IF(ISBLANK(C4929),"AmountIncludingTax缺失",IF(ABS(B4929-C4929)&lt;0.005,"一致","不一致"))</x:f>
        <x:v>不一致</x:v>
      </x:c>
      <x:c r="F4929" s="19" t="str">
        <x:v>approved</x:v>
      </x:c>
      <x:c r="G4929" s="19" t="str">
        <x:v>Repairer Invoiced Processed</x:v>
      </x:c>
      <x:c r="H4929" s="19" t="str">
        <x:v>Pre Delivery</x:v>
      </x:c>
      <x:c r="I4929" s="37" t="n">
        <x:v>46057</x:v>
      </x:c>
      <x:c r="J4929" s="37" t="n">
        <x:v>46057</x:v>
      </x:c>
      <x:c r="K4929" s="19" t="str">
        <x:v>Green RV - Slacks Creek</x:v>
      </x:c>
      <x:c r="L4929" s="19" t="str">
        <x:v>Z005</x:v>
      </x:c>
      <x:c r="M4929" s="19" t="str">
        <x:v>Pre Delivery Warranty Claims</x:v>
      </x:c>
      <x:c r="N4929" s="37" t="n">
        <x:v>45992</x:v>
      </x:c>
      <x:c r="O4929" s="37"/>
      <x:c r="P4929" s="34" t="n">
        <x:v>627.01</x:v>
      </x:c>
      <x:c r="Q4929" s="37" t="n">
        <x:v>46056.9380787037</x:v>
      </x:c>
    </x:row>
    <x:row r="4930">
      <x:c r="A4930" s="22" t="n">
        <x:v>28538</x:v>
      </x:c>
      <x:c r="B4930" s="28" t="n">
        <x:v>23.49</x:v>
      </x:c>
      <x:c r="C4930" s="28"/>
      <x:c r="D4930" s="31" t="str">
        <x:f>IF(OR(ISBLANK(B4930),ISBLANK(C4930),B4930=0),"",(C4930-B4930)/B4930)</x:f>
      </x:c>
      <x:c r="E4930" s="22" t="str">
        <x:f>IF(ISBLANK(C4930),"AmountIncludingTax缺失",IF(ABS(B4930-C4930)&lt;0.005,"一致","不一致"))</x:f>
        <x:v>AmountIncludingTax缺失</x:v>
      </x:c>
      <x:c r="F4930" s="19" t="str">
        <x:v>approved</x:v>
      </x:c>
      <x:c r="G4930" s="19" t="str">
        <x:v>Repair in Progress</x:v>
      </x:c>
      <x:c r="H4930" s="19" t="str">
        <x:v>Pre Delivery</x:v>
      </x:c>
      <x:c r="I4930" s="37" t="n">
        <x:v>46045</x:v>
      </x:c>
      <x:c r="J4930" s="37" t="n">
        <x:v>46044</x:v>
      </x:c>
      <x:c r="K4930" s="19" t="str">
        <x:v>Auswide Caravans - South Nowra</x:v>
      </x:c>
      <x:c r="L4930" s="19" t="str">
        <x:v>Z005</x:v>
      </x:c>
      <x:c r="M4930" s="19" t="str">
        <x:v>Pre Delivery Warranty Claims</x:v>
      </x:c>
      <x:c r="N4930" s="37" t="n">
        <x:v>45992</x:v>
      </x:c>
      <x:c r="O4930" s="37"/>
      <x:c r="P4930" s="34" t="n">
        <x:v>0</x:v>
      </x:c>
      <x:c r="Q4930" s="37" t="n">
        <x:v>46044.56616898148</x:v>
      </x:c>
    </x:row>
    <x:row r="4931">
      <x:c r="A4931" s="22" t="n">
        <x:v>28537</x:v>
      </x:c>
      <x:c r="B4931" s="28" t="n">
        <x:v>455</x:v>
      </x:c>
      <x:c r="C4931" s="28"/>
      <x:c r="D4931" s="31" t="str">
        <x:f>IF(OR(ISBLANK(B4931),ISBLANK(C4931),B4931=0),"",(C4931-B4931)/B4931)</x:f>
      </x:c>
      <x:c r="E4931" s="22" t="str">
        <x:f>IF(ISBLANK(C4931),"AmountIncludingTax缺失",IF(ABS(B4931-C4931)&lt;0.005,"一致","不一致"))</x:f>
        <x:v>AmountIncludingTax缺失</x:v>
      </x:c>
      <x:c r="F4931" s="19" t="str">
        <x:v>approved</x:v>
      </x:c>
      <x:c r="G4931" s="19" t="str">
        <x:v>Repairer Invoiced Processed</x:v>
      </x:c>
      <x:c r="H4931" s="19" t="str">
        <x:v>In Field</x:v>
      </x:c>
      <x:c r="I4931" s="37" t="n">
        <x:v>46077</x:v>
      </x:c>
      <x:c r="J4931" s="37" t="n">
        <x:v>46057</x:v>
      </x:c>
      <x:c r="K4931" s="19" t="str">
        <x:v>Green RV - Slacks Creek</x:v>
      </x:c>
      <x:c r="L4931" s="19" t="str">
        <x:v>Z006</x:v>
      </x:c>
      <x:c r="M4931" s="19" t="str">
        <x:v>In Field Warranty Claims</x:v>
      </x:c>
      <x:c r="N4931" s="37" t="n">
        <x:v>45992</x:v>
      </x:c>
      <x:c r="O4931" s="37"/>
      <x:c r="P4931" s="34" t="n">
        <x:v>0</x:v>
      </x:c>
      <x:c r="Q4931" s="37" t="n">
        <x:v>46077.15383101852</x:v>
      </x:c>
    </x:row>
    <x:row r="4932">
      <x:c r="A4932" s="22" t="n">
        <x:v>28536</x:v>
      </x:c>
      <x:c r="B4932" s="28" t="n">
        <x:v>127.28</x:v>
      </x:c>
      <x:c r="C4932" s="28"/>
      <x:c r="D4932" s="31" t="str">
        <x:f>IF(OR(ISBLANK(B4932),ISBLANK(C4932),B4932=0),"",(C4932-B4932)/B4932)</x:f>
      </x:c>
      <x:c r="E4932" s="22" t="str">
        <x:f>IF(ISBLANK(C4932),"AmountIncludingTax缺失",IF(ABS(B4932-C4932)&lt;0.005,"一致","不一致"))</x:f>
        <x:v>AmountIncludingTax缺失</x:v>
      </x:c>
      <x:c r="F4932" s="19" t="str">
        <x:v>approved</x:v>
      </x:c>
      <x:c r="G4932" s="19" t="str">
        <x:v>Repairer Invoiced Processed</x:v>
      </x:c>
      <x:c r="H4932" s="19" t="str">
        <x:v>In Field</x:v>
      </x:c>
      <x:c r="I4932" s="37" t="n">
        <x:v>46050</x:v>
      </x:c>
      <x:c r="J4932" s="37" t="n">
        <x:v>46050</x:v>
      </x:c>
      <x:c r="K4932" s="19" t="str">
        <x:v>Green RV - Forest Glen</x:v>
      </x:c>
      <x:c r="L4932" s="19" t="str">
        <x:v>Z006</x:v>
      </x:c>
      <x:c r="M4932" s="19" t="str">
        <x:v>In Field Warranty Claims</x:v>
      </x:c>
      <x:c r="N4932" s="37" t="n">
        <x:v>45992</x:v>
      </x:c>
      <x:c r="O4932" s="37"/>
      <x:c r="P4932" s="34" t="n">
        <x:v>0</x:v>
      </x:c>
      <x:c r="Q4932" s="37" t="n">
        <x:v>46050.10016203704</x:v>
      </x:c>
    </x:row>
    <x:row r="4933">
      <x:c r="A4933" s="22" t="n">
        <x:v>28535</x:v>
      </x:c>
      <x:c r="B4933" s="28" t="n">
        <x:v>504.56</x:v>
      </x:c>
      <x:c r="C4933" s="28"/>
      <x:c r="D4933" s="31" t="str">
        <x:f>IF(OR(ISBLANK(B4933),ISBLANK(C4933),B4933=0),"",(C4933-B4933)/B4933)</x:f>
      </x:c>
      <x:c r="E4933" s="22" t="str">
        <x:f>IF(ISBLANK(C4933),"AmountIncludingTax缺失",IF(ABS(B4933-C4933)&lt;0.005,"一致","不一致"))</x:f>
        <x:v>AmountIncludingTax缺失</x:v>
      </x:c>
      <x:c r="F4933" s="19" t="str">
        <x:v>approved</x:v>
      </x:c>
      <x:c r="G4933" s="19" t="str">
        <x:v>Repairer Invoiced Processed</x:v>
      </x:c>
      <x:c r="H4933" s="19" t="str">
        <x:v>Pre Delivery</x:v>
      </x:c>
      <x:c r="I4933" s="37" t="n">
        <x:v>46062</x:v>
      </x:c>
      <x:c r="J4933" s="37" t="n">
        <x:v>46062</x:v>
      </x:c>
      <x:c r="K4933" s="19" t="str">
        <x:v>Green RV - Slacks Creek</x:v>
      </x:c>
      <x:c r="L4933" s="19" t="str">
        <x:v>Z005</x:v>
      </x:c>
      <x:c r="M4933" s="19" t="str">
        <x:v>Pre Delivery Warranty Claims</x:v>
      </x:c>
      <x:c r="N4933" s="37" t="n">
        <x:v>45992</x:v>
      </x:c>
      <x:c r="O4933" s="37"/>
      <x:c r="P4933" s="34" t="n">
        <x:v>0</x:v>
      </x:c>
      <x:c r="Q4933" s="37" t="n">
        <x:v>46062.21685185185</x:v>
      </x:c>
    </x:row>
    <x:row r="4934">
      <x:c r="A4934" s="22" t="n">
        <x:v>28532</x:v>
      </x:c>
      <x:c r="B4934" s="28" t="n">
        <x:v>141.82</x:v>
      </x:c>
      <x:c r="C4934" s="28" t="n">
        <x:v>156</x:v>
      </x:c>
      <x:c r="D4934" s="31" t="n">
        <x:f>IF(OR(ISBLANK(B4934),ISBLANK(C4934),B4934=0),"",(C4934-B4934)/B4934)</x:f>
        <x:v>0.09998589761669728</x:v>
      </x:c>
      <x:c r="E4934" s="22" t="str">
        <x:f>IF(ISBLANK(C4934),"AmountIncludingTax缺失",IF(ABS(B4934-C4934)&lt;0.005,"一致","不一致"))</x:f>
        <x:v>不一致</x:v>
      </x:c>
      <x:c r="F4934" s="19" t="str">
        <x:v>approved</x:v>
      </x:c>
      <x:c r="G4934" s="19" t="str">
        <x:v>Repairer Invoiced Processed</x:v>
      </x:c>
      <x:c r="H4934" s="19" t="str">
        <x:v>Pre Delivery</x:v>
      </x:c>
      <x:c r="I4934" s="37" t="n">
        <x:v>46058</x:v>
      </x:c>
      <x:c r="J4934" s="37" t="n">
        <x:v>46058</x:v>
      </x:c>
      <x:c r="K4934" s="19" t="str">
        <x:v>Green RV - Slacks Creek</x:v>
      </x:c>
      <x:c r="L4934" s="19" t="str">
        <x:v>Z005</x:v>
      </x:c>
      <x:c r="M4934" s="19" t="str">
        <x:v>Pre Delivery Warranty Claims</x:v>
      </x:c>
      <x:c r="N4934" s="37" t="n">
        <x:v>45992</x:v>
      </x:c>
      <x:c r="O4934" s="37"/>
      <x:c r="P4934" s="34" t="n">
        <x:v>156</x:v>
      </x:c>
      <x:c r="Q4934" s="37" t="n">
        <x:v>46058.28505787037</x:v>
      </x:c>
    </x:row>
    <x:row r="4935">
      <x:c r="A4935" s="22" t="n">
        <x:v>28531</x:v>
      </x:c>
      <x:c r="B4935" s="28" t="n">
        <x:v>70</x:v>
      </x:c>
      <x:c r="C4935" s="28"/>
      <x:c r="D4935" s="31" t="str">
        <x:f>IF(OR(ISBLANK(B4935),ISBLANK(C4935),B4935=0),"",(C4935-B4935)/B4935)</x:f>
      </x:c>
      <x:c r="E4935" s="22" t="str">
        <x:f>IF(ISBLANK(C4935),"AmountIncludingTax缺失",IF(ABS(B4935-C4935)&lt;0.005,"一致","不一致"))</x:f>
        <x:v>AmountIncludingTax缺失</x:v>
      </x:c>
      <x:c r="F4935" s="19" t="str">
        <x:v>approved</x:v>
      </x:c>
      <x:c r="G4935" s="19" t="str">
        <x:v>Repair in Progress</x:v>
      </x:c>
      <x:c r="H4935" s="19" t="str">
        <x:v>In Field</x:v>
      </x:c>
      <x:c r="I4935" s="37" t="n">
        <x:v>46065</x:v>
      </x:c>
      <x:c r="J4935" s="37" t="n">
        <x:v>46065</x:v>
      </x:c>
      <x:c r="K4935" s="19" t="str">
        <x:v>ABCO Caravans - Boambee Valley</x:v>
      </x:c>
      <x:c r="L4935" s="19" t="str">
        <x:v>Z006</x:v>
      </x:c>
      <x:c r="M4935" s="19" t="str">
        <x:v>In Field Warranty Claims</x:v>
      </x:c>
      <x:c r="N4935" s="37" t="n">
        <x:v>45992</x:v>
      </x:c>
      <x:c r="O4935" s="37"/>
      <x:c r="P4935" s="34" t="n">
        <x:v>0</x:v>
      </x:c>
      <x:c r="Q4935" s="37" t="n">
        <x:v>46064.881898148145</x:v>
      </x:c>
    </x:row>
    <x:row r="4936">
      <x:c r="A4936" s="22" t="n">
        <x:v>28530</x:v>
      </x:c>
      <x:c r="B4936" s="28" t="n">
        <x:v>381.65</x:v>
      </x:c>
      <x:c r="C4936" s="28" t="n">
        <x:v>419.82</x:v>
      </x:c>
      <x:c r="D4936" s="31" t="n">
        <x:f>IF(OR(ISBLANK(B4936),ISBLANK(C4936),B4936=0),"",(C4936-B4936)/B4936)</x:f>
        <x:v>0.10001310100877772</x:v>
      </x:c>
      <x:c r="E4936" s="22" t="str">
        <x:f>IF(ISBLANK(C4936),"AmountIncludingTax缺失",IF(ABS(B4936-C4936)&lt;0.005,"一致","不一致"))</x:f>
        <x:v>不一致</x:v>
      </x:c>
      <x:c r="F4936" s="19" t="str">
        <x:v>approved</x:v>
      </x:c>
      <x:c r="G4936" s="19" t="str">
        <x:v>Repairer Invoiced Processed</x:v>
      </x:c>
      <x:c r="H4936" s="19" t="str">
        <x:v>In Field</x:v>
      </x:c>
      <x:c r="I4936" s="37" t="n">
        <x:v>46050</x:v>
      </x:c>
      <x:c r="J4936" s="37" t="n">
        <x:v>46050</x:v>
      </x:c>
      <x:c r="K4936" s="19" t="str">
        <x:v>Green RV - Forest Glen</x:v>
      </x:c>
      <x:c r="L4936" s="19" t="str">
        <x:v>Z006</x:v>
      </x:c>
      <x:c r="M4936" s="19" t="str">
        <x:v>In Field Warranty Claims</x:v>
      </x:c>
      <x:c r="N4936" s="37" t="n">
        <x:v>45992</x:v>
      </x:c>
      <x:c r="O4936" s="37"/>
      <x:c r="P4936" s="34" t="n">
        <x:v>419.82</x:v>
      </x:c>
      <x:c r="Q4936" s="37" t="n">
        <x:v>46050.29280092593</x:v>
      </x:c>
    </x:row>
    <x:row r="4937">
      <x:c r="A4937" s="22" t="n">
        <x:v>28529</x:v>
      </x:c>
      <x:c r="B4937" s="28" t="n">
        <x:v>898.17</x:v>
      </x:c>
      <x:c r="C4937" s="28"/>
      <x:c r="D4937" s="31" t="str">
        <x:f>IF(OR(ISBLANK(B4937),ISBLANK(C4937),B4937=0),"",(C4937-B4937)/B4937)</x:f>
      </x:c>
      <x:c r="E4937" s="22" t="str">
        <x:f>IF(ISBLANK(C4937),"AmountIncludingTax缺失",IF(ABS(B4937-C4937)&lt;0.005,"一致","不一致"))</x:f>
        <x:v>AmountIncludingTax缺失</x:v>
      </x:c>
      <x:c r="F4937" s="19" t="str">
        <x:v>approved</x:v>
      </x:c>
      <x:c r="G4937" s="19" t="str">
        <x:v>Repairer Invoiced Processed</x:v>
      </x:c>
      <x:c r="H4937" s="19" t="str">
        <x:v>Pre Delivery</x:v>
      </x:c>
      <x:c r="I4937" s="37" t="n">
        <x:v>46062</x:v>
      </x:c>
      <x:c r="J4937" s="37" t="n">
        <x:v>46062</x:v>
      </x:c>
      <x:c r="K4937" s="19" t="str">
        <x:v>Auswide Caravans - South Nowra</x:v>
      </x:c>
      <x:c r="L4937" s="19" t="str">
        <x:v>Z005</x:v>
      </x:c>
      <x:c r="M4937" s="19" t="str">
        <x:v>Pre Delivery Warranty Claims</x:v>
      </x:c>
      <x:c r="N4937" s="37" t="n">
        <x:v>45992</x:v>
      </x:c>
      <x:c r="O4937" s="37"/>
      <x:c r="P4937" s="34" t="n">
        <x:v>0</x:v>
      </x:c>
      <x:c r="Q4937" s="37" t="n">
        <x:v>46062.19466435185</x:v>
      </x:c>
    </x:row>
    <x:row r="4938">
      <x:c r="A4938" s="22" t="n">
        <x:v>28527</x:v>
      </x:c>
      <x:c r="B4938" s="28" t="n">
        <x:v>208.65</x:v>
      </x:c>
      <x:c r="C4938" s="28" t="n">
        <x:v>229.52</x:v>
      </x:c>
      <x:c r="D4938" s="31" t="n">
        <x:f>IF(OR(ISBLANK(B4938),ISBLANK(C4938),B4938=0),"",(C4938-B4938)/B4938)</x:f>
        <x:v>0.10002396357536546</x:v>
      </x:c>
      <x:c r="E4938" s="22" t="str">
        <x:f>IF(ISBLANK(C4938),"AmountIncludingTax缺失",IF(ABS(B4938-C4938)&lt;0.005,"一致","不一致"))</x:f>
        <x:v>不一致</x:v>
      </x:c>
      <x:c r="F4938" s="19" t="str">
        <x:v>approved</x:v>
      </x:c>
      <x:c r="G4938" s="19" t="str">
        <x:v>Repairer Invoiced Processed</x:v>
      </x:c>
      <x:c r="H4938" s="19" t="str">
        <x:v>Pre Delivery</x:v>
      </x:c>
      <x:c r="I4938" s="37" t="n">
        <x:v>46057</x:v>
      </x:c>
      <x:c r="J4938" s="37" t="n">
        <x:v>46057</x:v>
      </x:c>
      <x:c r="K4938" s="19" t="str">
        <x:v>Green RV - Slacks Creek</x:v>
      </x:c>
      <x:c r="L4938" s="19" t="str">
        <x:v>Z005</x:v>
      </x:c>
      <x:c r="M4938" s="19" t="str">
        <x:v>Pre Delivery Warranty Claims</x:v>
      </x:c>
      <x:c r="N4938" s="37" t="n">
        <x:v>45992</x:v>
      </x:c>
      <x:c r="O4938" s="37"/>
      <x:c r="P4938" s="34" t="n">
        <x:v>229.52</x:v>
      </x:c>
      <x:c r="Q4938" s="37" t="n">
        <x:v>46057.222395833334</x:v>
      </x:c>
    </x:row>
    <x:row r="4939">
      <x:c r="A4939" s="22" t="n">
        <x:v>28526</x:v>
      </x:c>
      <x:c r="B4939" s="28" t="n">
        <x:v>504.56</x:v>
      </x:c>
      <x:c r="C4939" s="28"/>
      <x:c r="D4939" s="31" t="str">
        <x:f>IF(OR(ISBLANK(B4939),ISBLANK(C4939),B4939=0),"",(C4939-B4939)/B4939)</x:f>
      </x:c>
      <x:c r="E4939" s="22" t="str">
        <x:f>IF(ISBLANK(C4939),"AmountIncludingTax缺失",IF(ABS(B4939-C4939)&lt;0.005,"一致","不一致"))</x:f>
        <x:v>AmountIncludingTax缺失</x:v>
      </x:c>
      <x:c r="F4939" s="19" t="str">
        <x:v>approved</x:v>
      </x:c>
      <x:c r="G4939" s="19" t="str">
        <x:v>Repairer Invoiced Received</x:v>
      </x:c>
      <x:c r="H4939" s="19" t="str">
        <x:v>Pre Delivery</x:v>
      </x:c>
      <x:c r="I4939" s="37" t="n">
        <x:v>46057</x:v>
      </x:c>
      <x:c r="J4939" s="37" t="n">
        <x:v>46057</x:v>
      </x:c>
      <x:c r="K4939" s="19" t="str">
        <x:v>Green RV - Slacks Creek</x:v>
      </x:c>
      <x:c r="L4939" s="19" t="str">
        <x:v>Z005</x:v>
      </x:c>
      <x:c r="M4939" s="19" t="str">
        <x:v>Pre Delivery Warranty Claims</x:v>
      </x:c>
      <x:c r="N4939" s="37" t="n">
        <x:v>45992</x:v>
      </x:c>
      <x:c r="O4939" s="37"/>
      <x:c r="P4939" s="34" t="n">
        <x:v>0</x:v>
      </x:c>
      <x:c r="Q4939" s="37" t="n">
        <x:v>46057.12412037037</x:v>
      </x:c>
    </x:row>
    <x:row r="4940">
      <x:c r="A4940" s="22" t="n">
        <x:v>28525</x:v>
      </x:c>
      <x:c r="B4940" s="28" t="n">
        <x:v>208.65</x:v>
      </x:c>
      <x:c r="C4940" s="28" t="n">
        <x:v>229.52</x:v>
      </x:c>
      <x:c r="D4940" s="31" t="n">
        <x:f>IF(OR(ISBLANK(B4940),ISBLANK(C4940),B4940=0),"",(C4940-B4940)/B4940)</x:f>
        <x:v>0.10002396357536546</x:v>
      </x:c>
      <x:c r="E4940" s="22" t="str">
        <x:f>IF(ISBLANK(C4940),"AmountIncludingTax缺失",IF(ABS(B4940-C4940)&lt;0.005,"一致","不一致"))</x:f>
        <x:v>不一致</x:v>
      </x:c>
      <x:c r="F4940" s="19" t="str">
        <x:v>approved</x:v>
      </x:c>
      <x:c r="G4940" s="19" t="str">
        <x:v>Repairer Invoiced Processed</x:v>
      </x:c>
      <x:c r="H4940" s="19" t="str">
        <x:v>Pre Delivery</x:v>
      </x:c>
      <x:c r="I4940" s="37" t="n">
        <x:v>46056</x:v>
      </x:c>
      <x:c r="J4940" s="37" t="n">
        <x:v>46056</x:v>
      </x:c>
      <x:c r="K4940" s="19" t="str">
        <x:v>Green RV - Slacks Creek</x:v>
      </x:c>
      <x:c r="L4940" s="19" t="str">
        <x:v>Z005</x:v>
      </x:c>
      <x:c r="M4940" s="19" t="str">
        <x:v>Pre Delivery Warranty Claims</x:v>
      </x:c>
      <x:c r="N4940" s="37" t="n">
        <x:v>45992</x:v>
      </x:c>
      <x:c r="O4940" s="37"/>
      <x:c r="P4940" s="34" t="n">
        <x:v>229.52</x:v>
      </x:c>
      <x:c r="Q4940" s="37" t="n">
        <x:v>46056.291863425926</x:v>
      </x:c>
    </x:row>
    <x:row r="4941">
      <x:c r="A4941" s="22" t="n">
        <x:v>28524</x:v>
      </x:c>
      <x:c r="B4941" s="28" t="n">
        <x:v>130</x:v>
      </x:c>
      <x:c r="C4941" s="28"/>
      <x:c r="D4941" s="31" t="str">
        <x:f>IF(OR(ISBLANK(B4941),ISBLANK(C4941),B4941=0),"",(C4941-B4941)/B4941)</x:f>
      </x:c>
      <x:c r="E4941" s="22" t="str">
        <x:f>IF(ISBLANK(C4941),"AmountIncludingTax缺失",IF(ABS(B4941-C4941)&lt;0.005,"一致","不一致"))</x:f>
        <x:v>AmountIncludingTax缺失</x:v>
      </x:c>
      <x:c r="F4941" s="19" t="str">
        <x:v>approved</x:v>
      </x:c>
      <x:c r="G4941" s="19" t="str">
        <x:v>Repair in Progress</x:v>
      </x:c>
      <x:c r="H4941" s="19" t="str">
        <x:v>In Field</x:v>
      </x:c>
      <x:c r="I4941" s="37" t="n">
        <x:v>46055</x:v>
      </x:c>
      <x:c r="J4941" s="37" t="n">
        <x:v>46055</x:v>
      </x:c>
      <x:c r="K4941" s="19" t="str">
        <x:v>Snowy River Launceston</x:v>
      </x:c>
      <x:c r="L4941" s="19" t="str">
        <x:v>Z006</x:v>
      </x:c>
      <x:c r="M4941" s="19" t="str">
        <x:v>In Field Warranty Claims</x:v>
      </x:c>
      <x:c r="N4941" s="37" t="n">
        <x:v>45992</x:v>
      </x:c>
      <x:c r="O4941" s="37"/>
      <x:c r="P4941" s="34" t="n">
        <x:v>0</x:v>
      </x:c>
      <x:c r="Q4941" s="37" t="n">
        <x:v>46054.91207175926</x:v>
      </x:c>
    </x:row>
    <x:row r="4942">
      <x:c r="A4942" s="22" t="n">
        <x:v>28523</x:v>
      </x:c>
      <x:c r="B4942" s="28" t="n">
        <x:v>440</x:v>
      </x:c>
      <x:c r="C4942" s="28"/>
      <x:c r="D4942" s="31" t="str">
        <x:f>IF(OR(ISBLANK(B4942),ISBLANK(C4942),B4942=0),"",(C4942-B4942)/B4942)</x:f>
      </x:c>
      <x:c r="E4942" s="22" t="str">
        <x:f>IF(ISBLANK(C4942),"AmountIncludingTax缺失",IF(ABS(B4942-C4942)&lt;0.005,"一致","不一致"))</x:f>
        <x:v>AmountIncludingTax缺失</x:v>
      </x:c>
      <x:c r="F4942" s="19" t="str">
        <x:v>approved</x:v>
      </x:c>
      <x:c r="G4942" s="19" t="str">
        <x:v>Repair in Progress</x:v>
      </x:c>
      <x:c r="H4942" s="19" t="str">
        <x:v>Pre Delivery</x:v>
      </x:c>
      <x:c r="I4942" s="37" t="n">
        <x:v>46051</x:v>
      </x:c>
      <x:c r="J4942" s="37" t="n">
        <x:v>46055</x:v>
      </x:c>
      <x:c r="K4942" s="19" t="str">
        <x:v>Regent RV - Frankston</x:v>
      </x:c>
      <x:c r="L4942" s="19" t="str">
        <x:v>Z005</x:v>
      </x:c>
      <x:c r="M4942" s="19" t="str">
        <x:v>Pre Delivery Warranty Claims</x:v>
      </x:c>
      <x:c r="N4942" s="37" t="n">
        <x:v>45992</x:v>
      </x:c>
      <x:c r="O4942" s="37"/>
      <x:c r="P4942" s="34" t="n">
        <x:v>0</x:v>
      </x:c>
      <x:c r="Q4942" s="37" t="n">
        <x:v>46051.28618055556</x:v>
      </x:c>
    </x:row>
    <x:row r="4943">
      <x:c r="A4943" s="22" t="n">
        <x:v>28522</x:v>
      </x:c>
      <x:c r="B4943" s="28" t="n">
        <x:v>561.38</x:v>
      </x:c>
      <x:c r="C4943" s="28"/>
      <x:c r="D4943" s="31" t="str">
        <x:f>IF(OR(ISBLANK(B4943),ISBLANK(C4943),B4943=0),"",(C4943-B4943)/B4943)</x:f>
      </x:c>
      <x:c r="E4943" s="22" t="str">
        <x:f>IF(ISBLANK(C4943),"AmountIncludingTax缺失",IF(ABS(B4943-C4943)&lt;0.005,"一致","不一致"))</x:f>
        <x:v>AmountIncludingTax缺失</x:v>
      </x:c>
      <x:c r="F4943" s="19" t="str">
        <x:v>approved</x:v>
      </x:c>
      <x:c r="G4943" s="19" t="str">
        <x:v>Repairer Invoiced Processed</x:v>
      </x:c>
      <x:c r="H4943" s="19" t="str">
        <x:v>Pre Delivery</x:v>
      </x:c>
      <x:c r="I4943" s="37" t="n">
        <x:v>46045</x:v>
      </x:c>
      <x:c r="J4943" s="37" t="n">
        <x:v>46044</x:v>
      </x:c>
      <x:c r="K4943" s="19" t="str">
        <x:v>Green RV - Slacks Creek</x:v>
      </x:c>
      <x:c r="L4943" s="19" t="str">
        <x:v>Z005</x:v>
      </x:c>
      <x:c r="M4943" s="19" t="str">
        <x:v>Pre Delivery Warranty Claims</x:v>
      </x:c>
      <x:c r="N4943" s="37" t="n">
        <x:v>45992</x:v>
      </x:c>
      <x:c r="O4943" s="37"/>
      <x:c r="P4943" s="34" t="n">
        <x:v>0</x:v>
      </x:c>
      <x:c r="Q4943" s="37" t="n">
        <x:v>46044.564884259256</x:v>
      </x:c>
    </x:row>
    <x:row r="4944">
      <x:c r="A4944" s="22" t="n">
        <x:v>28521</x:v>
      </x:c>
      <x:c r="B4944" s="28" t="n">
        <x:v>208.65</x:v>
      </x:c>
      <x:c r="C4944" s="28" t="n">
        <x:v>229.52</x:v>
      </x:c>
      <x:c r="D4944" s="31" t="n">
        <x:f>IF(OR(ISBLANK(B4944),ISBLANK(C4944),B4944=0),"",(C4944-B4944)/B4944)</x:f>
        <x:v>0.10002396357536546</x:v>
      </x:c>
      <x:c r="E4944" s="22" t="str">
        <x:f>IF(ISBLANK(C4944),"AmountIncludingTax缺失",IF(ABS(B4944-C4944)&lt;0.005,"一致","不一致"))</x:f>
        <x:v>不一致</x:v>
      </x:c>
      <x:c r="F4944" s="19" t="str">
        <x:v>approved</x:v>
      </x:c>
      <x:c r="G4944" s="19" t="str">
        <x:v>Repairer Invoiced Processed</x:v>
      </x:c>
      <x:c r="H4944" s="19" t="str">
        <x:v>Pre Delivery</x:v>
      </x:c>
      <x:c r="I4944" s="37" t="n">
        <x:v>46056</x:v>
      </x:c>
      <x:c r="J4944" s="37" t="n">
        <x:v>46056</x:v>
      </x:c>
      <x:c r="K4944" s="19" t="str">
        <x:v>Green RV - Slacks Creek</x:v>
      </x:c>
      <x:c r="L4944" s="19" t="str">
        <x:v>Z005</x:v>
      </x:c>
      <x:c r="M4944" s="19" t="str">
        <x:v>Pre Delivery Warranty Claims</x:v>
      </x:c>
      <x:c r="N4944" s="37" t="n">
        <x:v>45992</x:v>
      </x:c>
      <x:c r="O4944" s="37"/>
      <x:c r="P4944" s="34" t="n">
        <x:v>229.52</x:v>
      </x:c>
      <x:c r="Q4944" s="37" t="n">
        <x:v>46056.292337962965</x:v>
      </x:c>
    </x:row>
    <x:row r="4945">
      <x:c r="A4945" s="22" t="n">
        <x:v>28518</x:v>
      </x:c>
      <x:c r="B4945" s="28" t="n">
        <x:v>975</x:v>
      </x:c>
      <x:c r="C4945" s="28"/>
      <x:c r="D4945" s="31" t="str">
        <x:f>IF(OR(ISBLANK(B4945),ISBLANK(C4945),B4945=0),"",(C4945-B4945)/B4945)</x:f>
      </x:c>
      <x:c r="E4945" s="22" t="str">
        <x:f>IF(ISBLANK(C4945),"AmountIncludingTax缺失",IF(ABS(B4945-C4945)&lt;0.005,"一致","不一致"))</x:f>
        <x:v>AmountIncludingTax缺失</x:v>
      </x:c>
      <x:c r="F4945" s="19" t="str">
        <x:v>approved</x:v>
      </x:c>
      <x:c r="G4945" s="19" t="str">
        <x:v>Repair in Progress</x:v>
      </x:c>
      <x:c r="H4945" s="19" t="str">
        <x:v>In Field</x:v>
      </x:c>
      <x:c r="I4945" s="37" t="n">
        <x:v>46101</x:v>
      </x:c>
      <x:c r="J4945" s="37" t="n">
        <x:v>46101</x:v>
      </x:c>
      <x:c r="K4945" s="19" t="str">
        <x:v>Snowy River Launceston</x:v>
      </x:c>
      <x:c r="L4945" s="19" t="str">
        <x:v>Z006</x:v>
      </x:c>
      <x:c r="M4945" s="19" t="str">
        <x:v>In Field Warranty Claims</x:v>
      </x:c>
      <x:c r="N4945" s="37" t="n">
        <x:v>45992</x:v>
      </x:c>
      <x:c r="O4945" s="37"/>
      <x:c r="P4945" s="34" t="n">
        <x:v>0</x:v>
      </x:c>
      <x:c r="Q4945" s="37" t="n">
        <x:v>46101.4933912037</x:v>
      </x:c>
    </x:row>
    <x:row r="4946">
      <x:c r="A4946" s="22" t="n">
        <x:v>28517</x:v>
      </x:c>
      <x:c r="B4946" s="28" t="n">
        <x:v>208.65</x:v>
      </x:c>
      <x:c r="C4946" s="28" t="n">
        <x:v>229.52</x:v>
      </x:c>
      <x:c r="D4946" s="31" t="n">
        <x:f>IF(OR(ISBLANK(B4946),ISBLANK(C4946),B4946=0),"",(C4946-B4946)/B4946)</x:f>
        <x:v>0.10002396357536546</x:v>
      </x:c>
      <x:c r="E4946" s="22" t="str">
        <x:f>IF(ISBLANK(C4946),"AmountIncludingTax缺失",IF(ABS(B4946-C4946)&lt;0.005,"一致","不一致"))</x:f>
        <x:v>不一致</x:v>
      </x:c>
      <x:c r="F4946" s="19" t="str">
        <x:v>approved</x:v>
      </x:c>
      <x:c r="G4946" s="19" t="str">
        <x:v>Repairer Invoiced Processed</x:v>
      </x:c>
      <x:c r="H4946" s="19" t="str">
        <x:v>Pre Delivery</x:v>
      </x:c>
      <x:c r="I4946" s="37" t="n">
        <x:v>46056</x:v>
      </x:c>
      <x:c r="J4946" s="37" t="n">
        <x:v>46056</x:v>
      </x:c>
      <x:c r="K4946" s="19" t="str">
        <x:v>Green RV - Slacks Creek</x:v>
      </x:c>
      <x:c r="L4946" s="19" t="str">
        <x:v>Z005</x:v>
      </x:c>
      <x:c r="M4946" s="19" t="str">
        <x:v>Pre Delivery Warranty Claims</x:v>
      </x:c>
      <x:c r="N4946" s="37" t="n">
        <x:v>45992</x:v>
      </x:c>
      <x:c r="O4946" s="37"/>
      <x:c r="P4946" s="34" t="n">
        <x:v>229.52</x:v>
      </x:c>
      <x:c r="Q4946" s="37" t="n">
        <x:v>46056.292337962965</x:v>
      </x:c>
    </x:row>
    <x:row r="4947">
      <x:c r="A4947" s="22" t="n">
        <x:v>28516</x:v>
      </x:c>
      <x:c r="B4947" s="28" t="n">
        <x:v>1052.98</x:v>
      </x:c>
      <x:c r="C4947" s="28"/>
      <x:c r="D4947" s="31" t="str">
        <x:f>IF(OR(ISBLANK(B4947),ISBLANK(C4947),B4947=0),"",(C4947-B4947)/B4947)</x:f>
      </x:c>
      <x:c r="E4947" s="22" t="str">
        <x:f>IF(ISBLANK(C4947),"AmountIncludingTax缺失",IF(ABS(B4947-C4947)&lt;0.005,"一致","不一致"))</x:f>
        <x:v>AmountIncludingTax缺失</x:v>
      </x:c>
      <x:c r="F4947" s="19" t="str">
        <x:v>approved</x:v>
      </x:c>
      <x:c r="G4947" s="19" t="str">
        <x:v>Repairer Invoiced Processed</x:v>
      </x:c>
      <x:c r="H4947" s="19" t="str">
        <x:v>In Field</x:v>
      </x:c>
      <x:c r="I4947" s="37" t="n">
        <x:v>46043</x:v>
      </x:c>
      <x:c r="J4947" s="37" t="n">
        <x:v>46043</x:v>
      </x:c>
      <x:c r="K4947" s="19" t="str">
        <x:v>Regent RV Pty Ltd</x:v>
      </x:c>
      <x:c r="L4947" s="19" t="str">
        <x:v>Z006</x:v>
      </x:c>
      <x:c r="M4947" s="19" t="str">
        <x:v>In Field Warranty Claims</x:v>
      </x:c>
      <x:c r="N4947" s="37" t="n">
        <x:v>45992</x:v>
      </x:c>
      <x:c r="O4947" s="37"/>
      <x:c r="P4947" s="34" t="n">
        <x:v>1158.28</x:v>
      </x:c>
      <x:c r="Q4947" s="37" t="n">
        <x:v>46043.29</x:v>
      </x:c>
    </x:row>
    <x:row r="4948">
      <x:c r="A4948" s="22" t="n">
        <x:v>28513</x:v>
      </x:c>
      <x:c r="B4948" s="28" t="n">
        <x:v>420</x:v>
      </x:c>
      <x:c r="C4948" s="28"/>
      <x:c r="D4948" s="31" t="str">
        <x:f>IF(OR(ISBLANK(B4948),ISBLANK(C4948),B4948=0),"",(C4948-B4948)/B4948)</x:f>
      </x:c>
      <x:c r="E4948" s="22" t="str">
        <x:f>IF(ISBLANK(C4948),"AmountIncludingTax缺失",IF(ABS(B4948-C4948)&lt;0.005,"一致","不一致"))</x:f>
        <x:v>AmountIncludingTax缺失</x:v>
      </x:c>
      <x:c r="F4948" s="19" t="str">
        <x:v>approved</x:v>
      </x:c>
      <x:c r="G4948" s="19" t="str">
        <x:v>Repair in Progress</x:v>
      </x:c>
      <x:c r="H4948" s="19" t="str">
        <x:v>In Field</x:v>
      </x:c>
      <x:c r="I4948" s="37" t="n">
        <x:v>46079</x:v>
      </x:c>
      <x:c r="J4948" s="37" t="n">
        <x:v>46079</x:v>
      </x:c>
      <x:c r="K4948" s="19" t="str">
        <x:v>Green RV - Forest Glen</x:v>
      </x:c>
      <x:c r="L4948" s="19" t="str">
        <x:v>Z006</x:v>
      </x:c>
      <x:c r="M4948" s="19" t="str">
        <x:v>In Field Warranty Claims</x:v>
      </x:c>
      <x:c r="N4948" s="37" t="n">
        <x:v>45992</x:v>
      </x:c>
      <x:c r="O4948" s="37"/>
      <x:c r="P4948" s="34" t="n">
        <x:v>0</x:v>
      </x:c>
      <x:c r="Q4948" s="37" t="n">
        <x:v>46078.97856481482</x:v>
      </x:c>
    </x:row>
    <x:row r="4949">
      <x:c r="A4949" s="22" t="n">
        <x:v>28512</x:v>
      </x:c>
      <x:c r="B4949" s="28" t="n">
        <x:v>780</x:v>
      </x:c>
      <x:c r="C4949" s="28"/>
      <x:c r="D4949" s="31" t="str">
        <x:f>IF(OR(ISBLANK(B4949),ISBLANK(C4949),B4949=0),"",(C4949-B4949)/B4949)</x:f>
      </x:c>
      <x:c r="E4949" s="22" t="str">
        <x:f>IF(ISBLANK(C4949),"AmountIncludingTax缺失",IF(ABS(B4949-C4949)&lt;0.005,"一致","不一致"))</x:f>
        <x:v>AmountIncludingTax缺失</x:v>
      </x:c>
      <x:c r="F4949" s="19" t="str">
        <x:v>approved</x:v>
      </x:c>
      <x:c r="G4949" s="19" t="str">
        <x:v>Repairer Invoiced Processed</x:v>
      </x:c>
      <x:c r="H4949" s="19" t="str">
        <x:v>In Field</x:v>
      </x:c>
      <x:c r="I4949" s="37" t="n">
        <x:v>46084</x:v>
      </x:c>
      <x:c r="J4949" s="37" t="n">
        <x:v>46084</x:v>
      </x:c>
      <x:c r="K4949" s="19" t="str">
        <x:v>Snowy River Launceston</x:v>
      </x:c>
      <x:c r="L4949" s="19" t="str">
        <x:v>Z006</x:v>
      </x:c>
      <x:c r="M4949" s="19" t="str">
        <x:v>In Field Warranty Claims</x:v>
      </x:c>
      <x:c r="N4949" s="37" t="n">
        <x:v>45992</x:v>
      </x:c>
      <x:c r="O4949" s="37"/>
      <x:c r="P4949" s="34" t="n">
        <x:v>0</x:v>
      </x:c>
      <x:c r="Q4949" s="37" t="n">
        <x:v>46084.04326388889</x:v>
      </x:c>
    </x:row>
    <x:row r="4950">
      <x:c r="A4950" s="22" t="n">
        <x:v>28511</x:v>
      </x:c>
      <x:c r="B4950" s="28" t="n">
        <x:v>166.06</x:v>
      </x:c>
      <x:c r="C4950" s="28" t="n">
        <x:v>182.67</x:v>
      </x:c>
      <x:c r="D4950" s="31" t="n">
        <x:f>IF(OR(ISBLANK(B4950),ISBLANK(C4950),B4950=0),"",(C4950-B4950)/B4950)</x:f>
        <x:v>0.10002408767915202</x:v>
      </x:c>
      <x:c r="E4950" s="22" t="str">
        <x:f>IF(ISBLANK(C4950),"AmountIncludingTax缺失",IF(ABS(B4950-C4950)&lt;0.005,"一致","不一致"))</x:f>
        <x:v>不一致</x:v>
      </x:c>
      <x:c r="F4950" s="19" t="str">
        <x:v>approved</x:v>
      </x:c>
      <x:c r="G4950" s="19" t="str">
        <x:v>Repair in Progress</x:v>
      </x:c>
      <x:c r="H4950" s="19" t="str">
        <x:v>In Field</x:v>
      </x:c>
      <x:c r="I4950" s="37" t="n">
        <x:v>46068</x:v>
      </x:c>
      <x:c r="J4950" s="37" t="n">
        <x:v>46068</x:v>
      </x:c>
      <x:c r="K4950" s="19" t="str">
        <x:v>Newcastle RV Super Centre - Beresfield</x:v>
      </x:c>
      <x:c r="L4950" s="19" t="str">
        <x:v>Z006</x:v>
      </x:c>
      <x:c r="M4950" s="19" t="str">
        <x:v>In Field Warranty Claims</x:v>
      </x:c>
      <x:c r="N4950" s="37" t="n">
        <x:v>45992</x:v>
      </x:c>
      <x:c r="O4950" s="37"/>
      <x:c r="P4950" s="34" t="n">
        <x:v>182.67</x:v>
      </x:c>
      <x:c r="Q4950" s="37" t="n">
        <x:v>46068.132002314815</x:v>
      </x:c>
    </x:row>
    <x:row r="4951">
      <x:c r="A4951" s="22" t="n">
        <x:v>28510</x:v>
      </x:c>
      <x:c r="B4951" s="28" t="n">
        <x:v>208.65</x:v>
      </x:c>
      <x:c r="C4951" s="28" t="n">
        <x:v>229.52</x:v>
      </x:c>
      <x:c r="D4951" s="31" t="n">
        <x:f>IF(OR(ISBLANK(B4951),ISBLANK(C4951),B4951=0),"",(C4951-B4951)/B4951)</x:f>
        <x:v>0.10002396357536546</x:v>
      </x:c>
      <x:c r="E4951" s="22" t="str">
        <x:f>IF(ISBLANK(C4951),"AmountIncludingTax缺失",IF(ABS(B4951-C4951)&lt;0.005,"一致","不一致"))</x:f>
        <x:v>不一致</x:v>
      </x:c>
      <x:c r="F4951" s="19" t="str">
        <x:v>approved</x:v>
      </x:c>
      <x:c r="G4951" s="19" t="str">
        <x:v>Repairer Invoiced Processed</x:v>
      </x:c>
      <x:c r="H4951" s="19" t="str">
        <x:v>Pre Delivery</x:v>
      </x:c>
      <x:c r="I4951" s="37" t="n">
        <x:v>46045</x:v>
      </x:c>
      <x:c r="J4951" s="37" t="n">
        <x:v>46044</x:v>
      </x:c>
      <x:c r="K4951" s="19" t="str">
        <x:v>Green RV - Slacks Creek</x:v>
      </x:c>
      <x:c r="L4951" s="19" t="str">
        <x:v>Z005</x:v>
      </x:c>
      <x:c r="M4951" s="19" t="str">
        <x:v>Pre Delivery Warranty Claims</x:v>
      </x:c>
      <x:c r="N4951" s="37" t="n">
        <x:v>45992</x:v>
      </x:c>
      <x:c r="O4951" s="37"/>
      <x:c r="P4951" s="34" t="n">
        <x:v>229.52</x:v>
      </x:c>
      <x:c r="Q4951" s="37" t="n">
        <x:v>46044.563310185185</x:v>
      </x:c>
    </x:row>
    <x:row r="4952">
      <x:c r="A4952" s="22" t="n">
        <x:v>28509</x:v>
      </x:c>
      <x:c r="B4952" s="28" t="n">
        <x:v>585</x:v>
      </x:c>
      <x:c r="C4952" s="28"/>
      <x:c r="D4952" s="31" t="str">
        <x:f>IF(OR(ISBLANK(B4952),ISBLANK(C4952),B4952=0),"",(C4952-B4952)/B4952)</x:f>
      </x:c>
      <x:c r="E4952" s="22" t="str">
        <x:f>IF(ISBLANK(C4952),"AmountIncludingTax缺失",IF(ABS(B4952-C4952)&lt;0.005,"一致","不一致"))</x:f>
        <x:v>AmountIncludingTax缺失</x:v>
      </x:c>
      <x:c r="F4952" s="19" t="str">
        <x:v>approved</x:v>
      </x:c>
      <x:c r="G4952" s="19" t="str">
        <x:v>Repair in Progress</x:v>
      </x:c>
      <x:c r="H4952" s="19" t="str">
        <x:v>In Field</x:v>
      </x:c>
      <x:c r="I4952" s="37" t="n">
        <x:v>46121</x:v>
      </x:c>
      <x:c r="J4952" s="37" t="n">
        <x:v>46121</x:v>
      </x:c>
      <x:c r="K4952" s="19" t="str">
        <x:v>Regent RV - Frankston</x:v>
      </x:c>
      <x:c r="L4952" s="19" t="str">
        <x:v>Z006</x:v>
      </x:c>
      <x:c r="M4952" s="19" t="str">
        <x:v>In Field Warranty Claims</x:v>
      </x:c>
      <x:c r="N4952" s="37" t="n">
        <x:v>45992</x:v>
      </x:c>
      <x:c r="O4952" s="37"/>
      <x:c r="P4952" s="34" t="n">
        <x:v>0</x:v>
      </x:c>
      <x:c r="Q4952" s="37" t="n">
        <x:v>46121.218506944446</x:v>
      </x:c>
    </x:row>
    <x:row r="4953">
      <x:c r="A4953" s="22" t="n">
        <x:v>28508</x:v>
      </x:c>
      <x:c r="B4953" s="28" t="n">
        <x:v>500.01</x:v>
      </x:c>
      <x:c r="C4953" s="28"/>
      <x:c r="D4953" s="31" t="str">
        <x:f>IF(OR(ISBLANK(B4953),ISBLANK(C4953),B4953=0),"",(C4953-B4953)/B4953)</x:f>
      </x:c>
      <x:c r="E4953" s="22" t="str">
        <x:f>IF(ISBLANK(C4953),"AmountIncludingTax缺失",IF(ABS(B4953-C4953)&lt;0.005,"一致","不一致"))</x:f>
        <x:v>AmountIncludingTax缺失</x:v>
      </x:c>
      <x:c r="F4953" s="19" t="str">
        <x:v>approved</x:v>
      </x:c>
      <x:c r="G4953" s="19" t="str">
        <x:v>Sales Order Approved</x:v>
      </x:c>
      <x:c r="H4953" s="19" t="str">
        <x:v>Pre Delivery</x:v>
      </x:c>
      <x:c r="I4953" s="37" t="n">
        <x:v>46203</x:v>
      </x:c>
      <x:c r="J4953" s="37" t="n">
        <x:v>46056</x:v>
      </x:c>
      <x:c r="K4953" s="19" t="str">
        <x:v>Green RV - Slacks Creek</x:v>
      </x:c>
      <x:c r="L4953" s="19" t="str">
        <x:v>Z005</x:v>
      </x:c>
      <x:c r="M4953" s="19" t="str">
        <x:v>Pre Delivery Warranty Claims</x:v>
      </x:c>
      <x:c r="N4953" s="37" t="n">
        <x:v>45992</x:v>
      </x:c>
      <x:c r="O4953" s="37"/>
      <x:c r="P4953" s="34" t="n">
        <x:v>0</x:v>
      </x:c>
      <x:c r="Q4953" s="37" t="n">
        <x:v>46203.126539351855</x:v>
      </x:c>
    </x:row>
    <x:row r="4954">
      <x:c r="A4954" s="22" t="n">
        <x:v>28507</x:v>
      </x:c>
      <x:c r="B4954" s="28" t="n">
        <x:v>1300</x:v>
      </x:c>
      <x:c r="C4954" s="28"/>
      <x:c r="D4954" s="31" t="str">
        <x:f>IF(OR(ISBLANK(B4954),ISBLANK(C4954),B4954=0),"",(C4954-B4954)/B4954)</x:f>
      </x:c>
      <x:c r="E4954" s="22" t="str">
        <x:f>IF(ISBLANK(C4954),"AmountIncludingTax缺失",IF(ABS(B4954-C4954)&lt;0.005,"一致","不一致"))</x:f>
        <x:v>AmountIncludingTax缺失</x:v>
      </x:c>
      <x:c r="F4954" s="19" t="str">
        <x:v>approved</x:v>
      </x:c>
      <x:c r="G4954" s="19" t="str">
        <x:v>Repair in Progress</x:v>
      </x:c>
      <x:c r="H4954" s="19" t="str">
        <x:v>In Field</x:v>
      </x:c>
      <x:c r="I4954" s="37" t="n">
        <x:v>46083</x:v>
      </x:c>
      <x:c r="J4954" s="37" t="n">
        <x:v>46083</x:v>
      </x:c>
      <x:c r="K4954" s="19" t="str">
        <x:v>Snowy River Launceston</x:v>
      </x:c>
      <x:c r="L4954" s="19" t="str">
        <x:v>Z006</x:v>
      </x:c>
      <x:c r="M4954" s="19" t="str">
        <x:v>In Field Warranty Claims</x:v>
      </x:c>
      <x:c r="N4954" s="37" t="n">
        <x:v>45992</x:v>
      </x:c>
      <x:c r="O4954" s="37"/>
      <x:c r="P4954" s="34" t="n">
        <x:v>0</x:v>
      </x:c>
      <x:c r="Q4954" s="37" t="n">
        <x:v>46083.10706018518</x:v>
      </x:c>
    </x:row>
    <x:row r="4955">
      <x:c r="A4955" s="22" t="n">
        <x:v>28506</x:v>
      </x:c>
      <x:c r="B4955" s="28" t="n">
        <x:v>500.01</x:v>
      </x:c>
      <x:c r="C4955" s="28"/>
      <x:c r="D4955" s="31" t="str">
        <x:f>IF(OR(ISBLANK(B4955),ISBLANK(C4955),B4955=0),"",(C4955-B4955)/B4955)</x:f>
      </x:c>
      <x:c r="E4955" s="22" t="str">
        <x:f>IF(ISBLANK(C4955),"AmountIncludingTax缺失",IF(ABS(B4955-C4955)&lt;0.005,"一致","不一致"))</x:f>
        <x:v>AmountIncludingTax缺失</x:v>
      </x:c>
      <x:c r="F4955" s="19" t="str">
        <x:v>approved</x:v>
      </x:c>
      <x:c r="G4955" s="19" t="str">
        <x:v>Repairer Invoiced Processed</x:v>
      </x:c>
      <x:c r="H4955" s="19" t="str">
        <x:v>Pre Delivery</x:v>
      </x:c>
      <x:c r="I4955" s="37" t="n">
        <x:v>46056</x:v>
      </x:c>
      <x:c r="J4955" s="37" t="n">
        <x:v>46056</x:v>
      </x:c>
      <x:c r="K4955" s="19" t="str">
        <x:v>Green RV - Slacks Creek</x:v>
      </x:c>
      <x:c r="L4955" s="19" t="str">
        <x:v>Z005</x:v>
      </x:c>
      <x:c r="M4955" s="19" t="str">
        <x:v>Pre Delivery Warranty Claims</x:v>
      </x:c>
      <x:c r="N4955" s="37" t="n">
        <x:v>45992</x:v>
      </x:c>
      <x:c r="O4955" s="37"/>
      <x:c r="P4955" s="34" t="n">
        <x:v>0</x:v>
      </x:c>
      <x:c r="Q4955" s="37" t="n">
        <x:v>46056.29310185185</x:v>
      </x:c>
    </x:row>
    <x:row r="4956">
      <x:c r="A4956" s="22" t="n">
        <x:v>28505</x:v>
      </x:c>
      <x:c r="B4956" s="28" t="n">
        <x:v>742.97</x:v>
      </x:c>
      <x:c r="C4956" s="28"/>
      <x:c r="D4956" s="31" t="str">
        <x:f>IF(OR(ISBLANK(B4956),ISBLANK(C4956),B4956=0),"",(C4956-B4956)/B4956)</x:f>
      </x:c>
      <x:c r="E4956" s="22" t="str">
        <x:f>IF(ISBLANK(C4956),"AmountIncludingTax缺失",IF(ABS(B4956-C4956)&lt;0.005,"一致","不一致"))</x:f>
        <x:v>AmountIncludingTax缺失</x:v>
      </x:c>
      <x:c r="F4956" s="19" t="str">
        <x:v>approved</x:v>
      </x:c>
      <x:c r="G4956" s="19" t="str">
        <x:v>Repairer Invoiced Processed</x:v>
      </x:c>
      <x:c r="H4956" s="19" t="str">
        <x:v>Pre Delivery</x:v>
      </x:c>
      <x:c r="I4956" s="37" t="n">
        <x:v>46057</x:v>
      </x:c>
      <x:c r="J4956" s="37" t="n">
        <x:v>46057</x:v>
      </x:c>
      <x:c r="K4956" s="19" t="str">
        <x:v>Green RV - Slacks Creek</x:v>
      </x:c>
      <x:c r="L4956" s="19" t="str">
        <x:v>Z005</x:v>
      </x:c>
      <x:c r="M4956" s="19" t="str">
        <x:v>Pre Delivery Warranty Claims</x:v>
      </x:c>
      <x:c r="N4956" s="37" t="n">
        <x:v>45992</x:v>
      </x:c>
      <x:c r="O4956" s="37"/>
      <x:c r="P4956" s="34" t="n">
        <x:v>0</x:v>
      </x:c>
      <x:c r="Q4956" s="37" t="n">
        <x:v>46057.124872685185</x:v>
      </x:c>
    </x:row>
    <x:row r="4957">
      <x:c r="A4957" s="22" t="n">
        <x:v>28504</x:v>
      </x:c>
      <x:c r="B4957" s="28" t="n">
        <x:v>135</x:v>
      </x:c>
      <x:c r="C4957" s="28"/>
      <x:c r="D4957" s="31" t="str">
        <x:f>IF(OR(ISBLANK(B4957),ISBLANK(C4957),B4957=0),"",(C4957-B4957)/B4957)</x:f>
      </x:c>
      <x:c r="E4957" s="22" t="str">
        <x:f>IF(ISBLANK(C4957),"AmountIncludingTax缺失",IF(ABS(B4957-C4957)&lt;0.005,"一致","不一致"))</x:f>
        <x:v>AmountIncludingTax缺失</x:v>
      </x:c>
      <x:c r="F4957" s="19" t="str">
        <x:v>approved</x:v>
      </x:c>
      <x:c r="G4957" s="19" t="str">
        <x:v>Repair in Progress</x:v>
      </x:c>
      <x:c r="H4957" s="19" t="str">
        <x:v>In Field</x:v>
      </x:c>
      <x:c r="I4957" s="37" t="n">
        <x:v>46135</x:v>
      </x:c>
      <x:c r="J4957" s="37" t="n">
        <x:v>46135</x:v>
      </x:c>
      <x:c r="K4957" s="19" t="str">
        <x:v>Regent RV - Frankston</x:v>
      </x:c>
      <x:c r="L4957" s="19" t="str">
        <x:v>Z006</x:v>
      </x:c>
      <x:c r="M4957" s="19" t="str">
        <x:v>In Field Warranty Claims</x:v>
      </x:c>
      <x:c r="N4957" s="37" t="n">
        <x:v>45992</x:v>
      </x:c>
      <x:c r="O4957" s="37"/>
      <x:c r="P4957" s="34" t="n">
        <x:v>0</x:v>
      </x:c>
      <x:c r="Q4957" s="37" t="n">
        <x:v>46134.94993055556</x:v>
      </x:c>
    </x:row>
    <x:row r="4958">
      <x:c r="A4958" s="22" t="n">
        <x:v>28500</x:v>
      </x:c>
      <x:c r="B4958" s="28" t="n">
        <x:v>418.19</x:v>
      </x:c>
      <x:c r="C4958" s="28"/>
      <x:c r="D4958" s="31" t="str">
        <x:f>IF(OR(ISBLANK(B4958),ISBLANK(C4958),B4958=0),"",(C4958-B4958)/B4958)</x:f>
      </x:c>
      <x:c r="E4958" s="22" t="str">
        <x:f>IF(ISBLANK(C4958),"AmountIncludingTax缺失",IF(ABS(B4958-C4958)&lt;0.005,"一致","不一致"))</x:f>
        <x:v>AmountIncludingTax缺失</x:v>
      </x:c>
      <x:c r="F4958" s="19" t="str">
        <x:v>approved</x:v>
      </x:c>
      <x:c r="G4958" s="19" t="str">
        <x:v>Repairer Invoiced Processed</x:v>
      </x:c>
      <x:c r="H4958" s="19" t="str">
        <x:v>In Field</x:v>
      </x:c>
      <x:c r="I4958" s="37" t="n">
        <x:v>46028</x:v>
      </x:c>
      <x:c r="J4958" s="37" t="n">
        <x:v>46028</x:v>
      </x:c>
      <x:c r="K4958" s="19" t="str">
        <x:v>Green RV - Forest Glen</x:v>
      </x:c>
      <x:c r="L4958" s="19" t="str">
        <x:v>Z006</x:v>
      </x:c>
      <x:c r="M4958" s="19" t="str">
        <x:v>In Field Warranty Claims</x:v>
      </x:c>
      <x:c r="N4958" s="37" t="n">
        <x:v>45992</x:v>
      </x:c>
      <x:c r="O4958" s="37"/>
      <x:c r="P4958" s="34" t="n">
        <x:v>0</x:v>
      </x:c>
      <x:c r="Q4958" s="37" t="n">
        <x:v>46028.196226851855</x:v>
      </x:c>
    </x:row>
    <x:row r="4959">
      <x:c r="A4959" s="22" t="n">
        <x:v>28499</x:v>
      </x:c>
      <x:c r="B4959" s="28" t="n">
        <x:v>2242.95</x:v>
      </x:c>
      <x:c r="C4959" s="28"/>
      <x:c r="D4959" s="31" t="str">
        <x:f>IF(OR(ISBLANK(B4959),ISBLANK(C4959),B4959=0),"",(C4959-B4959)/B4959)</x:f>
      </x:c>
      <x:c r="E4959" s="22" t="str">
        <x:f>IF(ISBLANK(C4959),"AmountIncludingTax缺失",IF(ABS(B4959-C4959)&lt;0.005,"一致","不一致"))</x:f>
        <x:v>AmountIncludingTax缺失</x:v>
      </x:c>
      <x:c r="F4959" s="19" t="str">
        <x:v>approved</x:v>
      </x:c>
      <x:c r="G4959" s="19" t="str">
        <x:v>Repairer Invoiced Processed</x:v>
      </x:c>
      <x:c r="H4959" s="19" t="str">
        <x:v>In Field</x:v>
      </x:c>
      <x:c r="I4959" s="37" t="n">
        <x:v>46098</x:v>
      </x:c>
      <x:c r="J4959" s="37" t="n">
        <x:v>46098</x:v>
      </x:c>
      <x:c r="K4959" s="19" t="str">
        <x:v>Newcastle RV Super Centre - Beresfield</x:v>
      </x:c>
      <x:c r="L4959" s="19" t="str">
        <x:v>Z006</x:v>
      </x:c>
      <x:c r="M4959" s="19" t="str">
        <x:v>In Field Warranty Claims</x:v>
      </x:c>
      <x:c r="N4959" s="37" t="n">
        <x:v>45992</x:v>
      </x:c>
      <x:c r="O4959" s="37"/>
      <x:c r="P4959" s="34" t="n">
        <x:v>0</x:v>
      </x:c>
      <x:c r="Q4959" s="37" t="n">
        <x:v>46098.16630787037</x:v>
      </x:c>
    </x:row>
    <x:row r="4960">
      <x:c r="A4960" s="22" t="n">
        <x:v>28496</x:v>
      </x:c>
      <x:c r="B4960" s="28" t="n">
        <x:v>270</x:v>
      </x:c>
      <x:c r="C4960" s="28"/>
      <x:c r="D4960" s="31" t="str">
        <x:f>IF(OR(ISBLANK(B4960),ISBLANK(C4960),B4960=0),"",(C4960-B4960)/B4960)</x:f>
      </x:c>
      <x:c r="E4960" s="22" t="str">
        <x:f>IF(ISBLANK(C4960),"AmountIncludingTax缺失",IF(ABS(B4960-C4960)&lt;0.005,"一致","不一致"))</x:f>
        <x:v>AmountIncludingTax缺失</x:v>
      </x:c>
      <x:c r="F4960" s="19" t="str">
        <x:v>approved</x:v>
      </x:c>
      <x:c r="G4960" s="19" t="str">
        <x:v>Repair in Progress</x:v>
      </x:c>
      <x:c r="H4960" s="19" t="str">
        <x:v>In Field</x:v>
      </x:c>
      <x:c r="I4960" s="37" t="n">
        <x:v>46084</x:v>
      </x:c>
      <x:c r="J4960" s="37" t="n">
        <x:v>46084</x:v>
      </x:c>
      <x:c r="K4960" s="19" t="str">
        <x:v>Auswide Caravans - South Nowra</x:v>
      </x:c>
      <x:c r="L4960" s="19" t="str">
        <x:v>Z006</x:v>
      </x:c>
      <x:c r="M4960" s="19" t="str">
        <x:v>In Field Warranty Claims</x:v>
      </x:c>
      <x:c r="N4960" s="37" t="n">
        <x:v>45992</x:v>
      </x:c>
      <x:c r="O4960" s="37"/>
      <x:c r="P4960" s="34" t="n">
        <x:v>0</x:v>
      </x:c>
      <x:c r="Q4960" s="37" t="n">
        <x:v>46084.46643518518</x:v>
      </x:c>
    </x:row>
    <x:row r="4961">
      <x:c r="A4961" s="22" t="n">
        <x:v>28495</x:v>
      </x:c>
      <x:c r="B4961" s="28" t="n">
        <x:v>330</x:v>
      </x:c>
      <x:c r="C4961" s="28"/>
      <x:c r="D4961" s="31" t="str">
        <x:f>IF(OR(ISBLANK(B4961),ISBLANK(C4961),B4961=0),"",(C4961-B4961)/B4961)</x:f>
      </x:c>
      <x:c r="E4961" s="22" t="str">
        <x:f>IF(ISBLANK(C4961),"AmountIncludingTax缺失",IF(ABS(B4961-C4961)&lt;0.005,"一致","不一致"))</x:f>
        <x:v>AmountIncludingTax缺失</x:v>
      </x:c>
      <x:c r="F4961" s="19" t="str">
        <x:v>approved</x:v>
      </x:c>
      <x:c r="G4961" s="19" t="str">
        <x:v>Repairer Invoiced Processed</x:v>
      </x:c>
      <x:c r="H4961" s="19" t="str">
        <x:v>In Field</x:v>
      </x:c>
      <x:c r="I4961" s="37" t="n">
        <x:v>46057</x:v>
      </x:c>
      <x:c r="J4961" s="37" t="n">
        <x:v>46057</x:v>
      </x:c>
      <x:c r="K4961" s="19" t="str">
        <x:v>Regent RV - Perth</x:v>
      </x:c>
      <x:c r="L4961" s="19" t="str">
        <x:v>Z006</x:v>
      </x:c>
      <x:c r="M4961" s="19" t="str">
        <x:v>In Field Warranty Claims</x:v>
      </x:c>
      <x:c r="N4961" s="37" t="n">
        <x:v>45992</x:v>
      </x:c>
      <x:c r="O4961" s="37"/>
      <x:c r="P4961" s="34" t="n">
        <x:v>0</x:v>
      </x:c>
      <x:c r="Q4961" s="37" t="n">
        <x:v>46056.94138888889</x:v>
      </x:c>
    </x:row>
    <x:row r="4962">
      <x:c r="A4962" s="22" t="n">
        <x:v>28494</x:v>
      </x:c>
      <x:c r="B4962" s="28" t="n">
        <x:v>50</x:v>
      </x:c>
      <x:c r="C4962" s="28"/>
      <x:c r="D4962" s="31" t="str">
        <x:f>IF(OR(ISBLANK(B4962),ISBLANK(C4962),B4962=0),"",(C4962-B4962)/B4962)</x:f>
      </x:c>
      <x:c r="E4962" s="22" t="str">
        <x:f>IF(ISBLANK(C4962),"AmountIncludingTax缺失",IF(ABS(B4962-C4962)&lt;0.005,"一致","不一致"))</x:f>
        <x:v>AmountIncludingTax缺失</x:v>
      </x:c>
      <x:c r="F4962" s="19" t="str">
        <x:v>approved</x:v>
      </x:c>
      <x:c r="G4962" s="19" t="str">
        <x:v>Repair in Progress</x:v>
      </x:c>
      <x:c r="H4962" s="19" t="str">
        <x:v>Pre Delivery</x:v>
      </x:c>
      <x:c r="I4962" s="37" t="n">
        <x:v>46056</x:v>
      </x:c>
      <x:c r="J4962" s="37" t="n">
        <x:v>46056</x:v>
      </x:c>
      <x:c r="K4962" s="19" t="str">
        <x:v>Regent RV - Perth</x:v>
      </x:c>
      <x:c r="L4962" s="19" t="str">
        <x:v>Z005</x:v>
      </x:c>
      <x:c r="M4962" s="19" t="str">
        <x:v>Pre Delivery Warranty Claims</x:v>
      </x:c>
      <x:c r="N4962" s="37" t="n">
        <x:v>45992</x:v>
      </x:c>
      <x:c r="O4962" s="37"/>
      <x:c r="P4962" s="34" t="n">
        <x:v>0</x:v>
      </x:c>
      <x:c r="Q4962" s="37" t="n">
        <x:v>46056.27673611111</x:v>
      </x:c>
    </x:row>
    <x:row r="4963">
      <x:c r="A4963" s="22" t="n">
        <x:v>28493</x:v>
      </x:c>
      <x:c r="B4963" s="28" t="n">
        <x:v>220</x:v>
      </x:c>
      <x:c r="C4963" s="28"/>
      <x:c r="D4963" s="31" t="str">
        <x:f>IF(OR(ISBLANK(B4963),ISBLANK(C4963),B4963=0),"",(C4963-B4963)/B4963)</x:f>
      </x:c>
      <x:c r="E4963" s="22" t="str">
        <x:f>IF(ISBLANK(C4963),"AmountIncludingTax缺失",IF(ABS(B4963-C4963)&lt;0.005,"一致","不一致"))</x:f>
        <x:v>AmountIncludingTax缺失</x:v>
      </x:c>
      <x:c r="F4963" s="19" t="str">
        <x:v>approved</x:v>
      </x:c>
      <x:c r="G4963" s="19" t="str">
        <x:v>Repair in Progress</x:v>
      </x:c>
      <x:c r="H4963" s="19" t="str">
        <x:v>Pre Delivery</x:v>
      </x:c>
      <x:c r="I4963" s="37" t="n">
        <x:v>46051</x:v>
      </x:c>
      <x:c r="J4963" s="37" t="n">
        <x:v>46051</x:v>
      </x:c>
      <x:c r="K4963" s="19" t="str">
        <x:v>Regent RV - Frankston</x:v>
      </x:c>
      <x:c r="L4963" s="19" t="str">
        <x:v>Z005</x:v>
      </x:c>
      <x:c r="M4963" s="19" t="str">
        <x:v>Pre Delivery Warranty Claims</x:v>
      </x:c>
      <x:c r="N4963" s="37" t="n">
        <x:v>45992</x:v>
      </x:c>
      <x:c r="O4963" s="37"/>
      <x:c r="P4963" s="34" t="n">
        <x:v>0</x:v>
      </x:c>
      <x:c r="Q4963" s="37" t="n">
        <x:v>46050.91226851852</x:v>
      </x:c>
    </x:row>
    <x:row r="4964">
      <x:c r="A4964" s="22" t="n">
        <x:v>28492</x:v>
      </x:c>
      <x:c r="B4964" s="28" t="n">
        <x:v>2790.9</x:v>
      </x:c>
      <x:c r="C4964" s="28"/>
      <x:c r="D4964" s="31" t="str">
        <x:f>IF(OR(ISBLANK(B4964),ISBLANK(C4964),B4964=0),"",(C4964-B4964)/B4964)</x:f>
      </x:c>
      <x:c r="E4964" s="22" t="str">
        <x:f>IF(ISBLANK(C4964),"AmountIncludingTax缺失",IF(ABS(B4964-C4964)&lt;0.005,"一致","不一致"))</x:f>
        <x:v>AmountIncludingTax缺失</x:v>
      </x:c>
      <x:c r="F4964" s="19" t="str">
        <x:v>approved_closed</x:v>
      </x:c>
      <x:c r="G4964" s="19" t="str">
        <x:v>Approved Claims Closed (Closed)</x:v>
      </x:c>
      <x:c r="H4964" s="19" t="str">
        <x:v>In Field</x:v>
      </x:c>
      <x:c r="I4964" s="37" t="n">
        <x:v>46052</x:v>
      </x:c>
      <x:c r="J4964" s="37" t="n">
        <x:v>46052</x:v>
      </x:c>
      <x:c r="K4964" s="19" t="str">
        <x:v>Dario Caravans -St.Marys</x:v>
      </x:c>
      <x:c r="L4964" s="19" t="str">
        <x:v>Z006</x:v>
      </x:c>
      <x:c r="M4964" s="19" t="str">
        <x:v>In Field Warranty Claims</x:v>
      </x:c>
      <x:c r="N4964" s="37" t="n">
        <x:v>45992</x:v>
      </x:c>
      <x:c r="O4964" s="37" t="n">
        <x:v>46196</x:v>
      </x:c>
      <x:c r="P4964" s="34" t="n">
        <x:v>3069.99</x:v>
      </x:c>
      <x:c r="Q4964" s="37" t="n">
        <x:v>46051.86342592593</x:v>
      </x:c>
    </x:row>
    <x:row r="4965">
      <x:c r="A4965" s="22" t="n">
        <x:v>28490</x:v>
      </x:c>
      <x:c r="B4965" s="28" t="n">
        <x:v>136.37</x:v>
      </x:c>
      <x:c r="C4965" s="28" t="n">
        <x:v>217.77</x:v>
      </x:c>
      <x:c r="D4965" s="31" t="n">
        <x:f>IF(OR(ISBLANK(B4965),ISBLANK(C4965),B4965=0),"",(C4965-B4965)/B4965)</x:f>
        <x:v>0.596905477744372</x:v>
      </x:c>
      <x:c r="E4965" s="22" t="str">
        <x:f>IF(ISBLANK(C4965),"AmountIncludingTax缺失",IF(ABS(B4965-C4965)&lt;0.005,"一致","不一致"))</x:f>
        <x:v>不一致</x:v>
      </x:c>
      <x:c r="F4965" s="19" t="str">
        <x:v>approved</x:v>
      </x:c>
      <x:c r="G4965" s="19" t="str">
        <x:v>Repairer Invoiced Processed</x:v>
      </x:c>
      <x:c r="H4965" s="19" t="str">
        <x:v>Pre Delivery</x:v>
      </x:c>
      <x:c r="I4965" s="37" t="n">
        <x:v>46050</x:v>
      </x:c>
      <x:c r="J4965" s="37" t="n">
        <x:v>46050</x:v>
      </x:c>
      <x:c r="K4965" s="19" t="str">
        <x:v>Green RV - Slacks Creek</x:v>
      </x:c>
      <x:c r="L4965" s="19" t="str">
        <x:v>Z005</x:v>
      </x:c>
      <x:c r="M4965" s="19" t="str">
        <x:v>Pre Delivery Warranty Claims</x:v>
      </x:c>
      <x:c r="N4965" s="37" t="n">
        <x:v>45992</x:v>
      </x:c>
      <x:c r="O4965" s="37"/>
      <x:c r="P4965" s="34" t="n">
        <x:v>217.77</x:v>
      </x:c>
      <x:c r="Q4965" s="37" t="n">
        <x:v>46050.13505787037</x:v>
      </x:c>
    </x:row>
    <x:row r="4966">
      <x:c r="A4966" s="22" t="n">
        <x:v>28488</x:v>
      </x:c>
      <x:c r="B4966" s="28" t="n">
        <x:v>990</x:v>
      </x:c>
      <x:c r="C4966" s="28"/>
      <x:c r="D4966" s="31" t="str">
        <x:f>IF(OR(ISBLANK(B4966),ISBLANK(C4966),B4966=0),"",(C4966-B4966)/B4966)</x:f>
      </x:c>
      <x:c r="E4966" s="22" t="str">
        <x:f>IF(ISBLANK(C4966),"AmountIncludingTax缺失",IF(ABS(B4966-C4966)&lt;0.005,"一致","不一致"))</x:f>
        <x:v>AmountIncludingTax缺失</x:v>
      </x:c>
      <x:c r="F4966" s="19" t="str">
        <x:v>approved</x:v>
      </x:c>
      <x:c r="G4966" s="19" t="str">
        <x:v>Repair in Progress</x:v>
      </x:c>
      <x:c r="H4966" s="19" t="str">
        <x:v>In Field</x:v>
      </x:c>
      <x:c r="I4966" s="37" t="n">
        <x:v>46077</x:v>
      </x:c>
      <x:c r="J4966" s="37" t="n">
        <x:v>46076</x:v>
      </x:c>
      <x:c r="K4966" s="19" t="str">
        <x:v>Regent RV - Frankston</x:v>
      </x:c>
      <x:c r="L4966" s="19" t="str">
        <x:v>Z006</x:v>
      </x:c>
      <x:c r="M4966" s="19" t="str">
        <x:v>In Field Warranty Claims</x:v>
      </x:c>
      <x:c r="N4966" s="37" t="n">
        <x:v>45991</x:v>
      </x:c>
      <x:c r="O4966" s="37"/>
      <x:c r="P4966" s="34" t="n">
        <x:v>0</x:v>
      </x:c>
      <x:c r="Q4966" s="37" t="n">
        <x:v>46076.998703703706</x:v>
      </x:c>
    </x:row>
    <x:row r="4967">
      <x:c r="A4967" s="22" t="n">
        <x:v>28486</x:v>
      </x:c>
      <x:c r="B4967" s="28" t="n">
        <x:v>259.1</x:v>
      </x:c>
      <x:c r="C4967" s="28" t="n">
        <x:v>364.78</x:v>
      </x:c>
      <x:c r="D4967" s="31" t="n">
        <x:f>IF(OR(ISBLANK(B4967),ISBLANK(C4967),B4967=0),"",(C4967-B4967)/B4967)</x:f>
        <x:v>0.407873407950598</x:v>
      </x:c>
      <x:c r="E4967" s="22" t="str">
        <x:f>IF(ISBLANK(C4967),"AmountIncludingTax缺失",IF(ABS(B4967-C4967)&lt;0.005,"一致","不一致"))</x:f>
        <x:v>不一致</x:v>
      </x:c>
      <x:c r="F4967" s="19" t="str">
        <x:v>approved</x:v>
      </x:c>
      <x:c r="G4967" s="19" t="str">
        <x:v>Repairer Invoiced Processed</x:v>
      </x:c>
      <x:c r="H4967" s="19" t="str">
        <x:v>Pre Delivery</x:v>
      </x:c>
      <x:c r="I4967" s="37" t="n">
        <x:v>46057</x:v>
      </x:c>
      <x:c r="J4967" s="37" t="n">
        <x:v>46057</x:v>
      </x:c>
      <x:c r="K4967" s="19" t="str">
        <x:v>Green RV - Slacks Creek</x:v>
      </x:c>
      <x:c r="L4967" s="19" t="str">
        <x:v>Z005</x:v>
      </x:c>
      <x:c r="M4967" s="19" t="str">
        <x:v>Pre Delivery Warranty Claims</x:v>
      </x:c>
      <x:c r="N4967" s="37" t="n">
        <x:v>45991</x:v>
      </x:c>
      <x:c r="O4967" s="37"/>
      <x:c r="P4967" s="34" t="n">
        <x:v>364.78</x:v>
      </x:c>
      <x:c r="Q4967" s="37" t="n">
        <x:v>46057.33766203704</x:v>
      </x:c>
    </x:row>
    <x:row r="4968">
      <x:c r="A4968" s="22" t="n">
        <x:v>28484</x:v>
      </x:c>
      <x:c r="B4968" s="28" t="n">
        <x:v>276.36</x:v>
      </x:c>
      <x:c r="C4968" s="28"/>
      <x:c r="D4968" s="31" t="str">
        <x:f>IF(OR(ISBLANK(B4968),ISBLANK(C4968),B4968=0),"",(C4968-B4968)/B4968)</x:f>
      </x:c>
      <x:c r="E4968" s="22" t="str">
        <x:f>IF(ISBLANK(C4968),"AmountIncludingTax缺失",IF(ABS(B4968-C4968)&lt;0.005,"一致","不一致"))</x:f>
        <x:v>AmountIncludingTax缺失</x:v>
      </x:c>
      <x:c r="F4968" s="19" t="str">
        <x:v>approved</x:v>
      </x:c>
      <x:c r="G4968" s="19" t="str">
        <x:v>Repairer Invoiced Processed</x:v>
      </x:c>
      <x:c r="H4968" s="19" t="str">
        <x:v>In Field</x:v>
      </x:c>
      <x:c r="I4968" s="37" t="n">
        <x:v>46063</x:v>
      </x:c>
      <x:c r="J4968" s="37" t="n">
        <x:v>46063</x:v>
      </x:c>
      <x:c r="K4968" s="19" t="str">
        <x:v>Auswide Caravans - South Nowra</x:v>
      </x:c>
      <x:c r="L4968" s="19" t="str">
        <x:v>Z006</x:v>
      </x:c>
      <x:c r="M4968" s="19" t="str">
        <x:v>In Field Warranty Claims</x:v>
      </x:c>
      <x:c r="N4968" s="37" t="n">
        <x:v>45991</x:v>
      </x:c>
      <x:c r="O4968" s="37"/>
      <x:c r="P4968" s="34" t="n">
        <x:v>0</x:v>
      </x:c>
      <x:c r="Q4968" s="37" t="n">
        <x:v>46062.95211805555</x:v>
      </x:c>
    </x:row>
    <x:row r="4969">
      <x:c r="A4969" s="22" t="n">
        <x:v>28482</x:v>
      </x:c>
      <x:c r="B4969" s="28" t="n">
        <x:v>715</x:v>
      </x:c>
      <x:c r="C4969" s="28"/>
      <x:c r="D4969" s="31" t="str">
        <x:f>IF(OR(ISBLANK(B4969),ISBLANK(C4969),B4969=0),"",(C4969-B4969)/B4969)</x:f>
      </x:c>
      <x:c r="E4969" s="22" t="str">
        <x:f>IF(ISBLANK(C4969),"AmountIncludingTax缺失",IF(ABS(B4969-C4969)&lt;0.005,"一致","不一致"))</x:f>
        <x:v>AmountIncludingTax缺失</x:v>
      </x:c>
      <x:c r="F4969" s="19" t="str">
        <x:v>approved</x:v>
      </x:c>
      <x:c r="G4969" s="19" t="str">
        <x:v>Repair in Progress</x:v>
      </x:c>
      <x:c r="H4969" s="19" t="str">
        <x:v>In Field</x:v>
      </x:c>
      <x:c r="I4969" s="37" t="n">
        <x:v>46076</x:v>
      </x:c>
      <x:c r="J4969" s="37" t="n">
        <x:v>46076</x:v>
      </x:c>
      <x:c r="K4969" s="19" t="str">
        <x:v>Regent RV - Frankston</x:v>
      </x:c>
      <x:c r="L4969" s="19" t="str">
        <x:v>Z006</x:v>
      </x:c>
      <x:c r="M4969" s="19" t="str">
        <x:v>In Field Warranty Claims</x:v>
      </x:c>
      <x:c r="N4969" s="37" t="n">
        <x:v>45991</x:v>
      </x:c>
      <x:c r="O4969" s="37"/>
      <x:c r="P4969" s="34" t="n">
        <x:v>0</x:v>
      </x:c>
      <x:c r="Q4969" s="37" t="n">
        <x:v>46076.02761574074</x:v>
      </x:c>
    </x:row>
    <x:row r="4970">
      <x:c r="A4970" s="22" t="n">
        <x:v>28474</x:v>
      </x:c>
      <x:c r="B4970" s="28" t="n">
        <x:v>1155</x:v>
      </x:c>
      <x:c r="C4970" s="28"/>
      <x:c r="D4970" s="31" t="str">
        <x:f>IF(OR(ISBLANK(B4970),ISBLANK(C4970),B4970=0),"",(C4970-B4970)/B4970)</x:f>
      </x:c>
      <x:c r="E4970" s="22" t="str">
        <x:f>IF(ISBLANK(C4970),"AmountIncludingTax缺失",IF(ABS(B4970-C4970)&lt;0.005,"一致","不一致"))</x:f>
        <x:v>AmountIncludingTax缺失</x:v>
      </x:c>
      <x:c r="F4970" s="19" t="str">
        <x:v>approved</x:v>
      </x:c>
      <x:c r="G4970" s="19" t="str">
        <x:v>Repair in Progress</x:v>
      </x:c>
      <x:c r="H4970" s="19" t="str">
        <x:v>In Field</x:v>
      </x:c>
      <x:c r="I4970" s="37" t="n">
        <x:v>46083</x:v>
      </x:c>
      <x:c r="J4970" s="37" t="n">
        <x:v>46083</x:v>
      </x:c>
      <x:c r="K4970" s="19" t="str">
        <x:v>Regent RV - Perth</x:v>
      </x:c>
      <x:c r="L4970" s="19" t="str">
        <x:v>Z006</x:v>
      </x:c>
      <x:c r="M4970" s="19" t="str">
        <x:v>In Field Warranty Claims</x:v>
      </x:c>
      <x:c r="N4970" s="37" t="n">
        <x:v>45989</x:v>
      </x:c>
      <x:c r="O4970" s="37"/>
      <x:c r="P4970" s="34" t="n">
        <x:v>0</x:v>
      </x:c>
      <x:c r="Q4970" s="37" t="n">
        <x:v>46083.115428240744</x:v>
      </x:c>
    </x:row>
    <x:row r="4971">
      <x:c r="A4971" s="22" t="n">
        <x:v>28472</x:v>
      </x:c>
      <x:c r="B4971" s="28" t="n">
        <x:v>3760</x:v>
      </x:c>
      <x:c r="C4971" s="28"/>
      <x:c r="D4971" s="31" t="str">
        <x:f>IF(OR(ISBLANK(B4971),ISBLANK(C4971),B4971=0),"",(C4971-B4971)/B4971)</x:f>
      </x:c>
      <x:c r="E4971" s="22" t="str">
        <x:f>IF(ISBLANK(C4971),"AmountIncludingTax缺失",IF(ABS(B4971-C4971)&lt;0.005,"一致","不一致"))</x:f>
        <x:v>AmountIncludingTax缺失</x:v>
      </x:c>
      <x:c r="F4971" s="19" t="str">
        <x:v>approved</x:v>
      </x:c>
      <x:c r="G4971" s="19" t="str">
        <x:v>Repair in Progress</x:v>
      </x:c>
      <x:c r="H4971" s="19" t="str">
        <x:v>In Field</x:v>
      </x:c>
      <x:c r="I4971" s="37" t="n">
        <x:v>46055</x:v>
      </x:c>
      <x:c r="J4971" s="37" t="n">
        <x:v>46055</x:v>
      </x:c>
      <x:c r="K4971" s="19" t="str">
        <x:v>Regent RV - Perth</x:v>
      </x:c>
      <x:c r="L4971" s="19" t="str">
        <x:v>Z006</x:v>
      </x:c>
      <x:c r="M4971" s="19" t="str">
        <x:v>In Field Warranty Claims</x:v>
      </x:c>
      <x:c r="N4971" s="37" t="n">
        <x:v>45989</x:v>
      </x:c>
      <x:c r="O4971" s="37"/>
      <x:c r="P4971" s="34" t="n">
        <x:v>4136</x:v>
      </x:c>
      <x:c r="Q4971" s="37" t="n">
        <x:v>46055.24145833333</x:v>
      </x:c>
    </x:row>
    <x:row r="4972">
      <x:c r="A4972" s="22" t="n">
        <x:v>28468</x:v>
      </x:c>
      <x:c r="B4972" s="28" t="n">
        <x:v>165</x:v>
      </x:c>
      <x:c r="C4972" s="28"/>
      <x:c r="D4972" s="31" t="str">
        <x:f>IF(OR(ISBLANK(B4972),ISBLANK(C4972),B4972=0),"",(C4972-B4972)/B4972)</x:f>
      </x:c>
      <x:c r="E4972" s="22" t="str">
        <x:f>IF(ISBLANK(C4972),"AmountIncludingTax缺失",IF(ABS(B4972-C4972)&lt;0.005,"一致","不一致"))</x:f>
        <x:v>AmountIncludingTax缺失</x:v>
      </x:c>
      <x:c r="F4972" s="19" t="str">
        <x:v>approved</x:v>
      </x:c>
      <x:c r="G4972" s="19" t="str">
        <x:v>Repair in Progress</x:v>
      </x:c>
      <x:c r="H4972" s="19" t="str">
        <x:v>In Field</x:v>
      </x:c>
      <x:c r="I4972" s="37" t="n">
        <x:v>46104</x:v>
      </x:c>
      <x:c r="J4972" s="37" t="n">
        <x:v>46104</x:v>
      </x:c>
      <x:c r="K4972" s="19" t="str">
        <x:v>Regent RV - Perth</x:v>
      </x:c>
      <x:c r="L4972" s="19" t="str">
        <x:v>Z006</x:v>
      </x:c>
      <x:c r="M4972" s="19" t="str">
        <x:v>In Field Warranty Claims</x:v>
      </x:c>
      <x:c r="N4972" s="37" t="n">
        <x:v>45989</x:v>
      </x:c>
      <x:c r="O4972" s="37" t="n">
        <x:v>46071</x:v>
      </x:c>
      <x:c r="P4972" s="34" t="n">
        <x:v>0</x:v>
      </x:c>
      <x:c r="Q4972" s="37" t="n">
        <x:v>46104.1469212963</x:v>
      </x:c>
    </x:row>
    <x:row r="4973">
      <x:c r="A4973" s="22" t="n">
        <x:v>28465</x:v>
      </x:c>
      <x:c r="B4973" s="28" t="n">
        <x:v>165</x:v>
      </x:c>
      <x:c r="C4973" s="28"/>
      <x:c r="D4973" s="31" t="str">
        <x:f>IF(OR(ISBLANK(B4973),ISBLANK(C4973),B4973=0),"",(C4973-B4973)/B4973)</x:f>
      </x:c>
      <x:c r="E4973" s="22" t="str">
        <x:f>IF(ISBLANK(C4973),"AmountIncludingTax缺失",IF(ABS(B4973-C4973)&lt;0.005,"一致","不一致"))</x:f>
        <x:v>AmountIncludingTax缺失</x:v>
      </x:c>
      <x:c r="F4973" s="19" t="str">
        <x:v>approved</x:v>
      </x:c>
      <x:c r="G4973" s="19" t="str">
        <x:v>Repair in Progress</x:v>
      </x:c>
      <x:c r="H4973" s="19" t="str">
        <x:v>Pre Delivery</x:v>
      </x:c>
      <x:c r="I4973" s="37" t="n">
        <x:v>46058</x:v>
      </x:c>
      <x:c r="J4973" s="37" t="n">
        <x:v>46058</x:v>
      </x:c>
      <x:c r="K4973" s="19" t="str">
        <x:v>Regent RV - Perth</x:v>
      </x:c>
      <x:c r="L4973" s="19" t="str">
        <x:v>Z005</x:v>
      </x:c>
      <x:c r="M4973" s="19" t="str">
        <x:v>Pre Delivery Warranty Claims</x:v>
      </x:c>
      <x:c r="N4973" s="37" t="n">
        <x:v>45989</x:v>
      </x:c>
      <x:c r="O4973" s="37"/>
      <x:c r="P4973" s="34" t="n">
        <x:v>0</x:v>
      </x:c>
      <x:c r="Q4973" s="37" t="n">
        <x:v>46057.99662037037</x:v>
      </x:c>
    </x:row>
    <x:row r="4974">
      <x:c r="A4974" s="22" t="n">
        <x:v>28464</x:v>
      </x:c>
      <x:c r="B4974" s="28" t="n">
        <x:v>2152.5</x:v>
      </x:c>
      <x:c r="C4974" s="28"/>
      <x:c r="D4974" s="31" t="str">
        <x:f>IF(OR(ISBLANK(B4974),ISBLANK(C4974),B4974=0),"",(C4974-B4974)/B4974)</x:f>
      </x:c>
      <x:c r="E4974" s="22" t="str">
        <x:f>IF(ISBLANK(C4974),"AmountIncludingTax缺失",IF(ABS(B4974-C4974)&lt;0.005,"一致","不一致"))</x:f>
        <x:v>AmountIncludingTax缺失</x:v>
      </x:c>
      <x:c r="F4974" s="19" t="str">
        <x:v>approved</x:v>
      </x:c>
      <x:c r="G4974" s="19" t="str">
        <x:v>Repairer Invoiced Processed</x:v>
      </x:c>
      <x:c r="H4974" s="19" t="str">
        <x:v>In Field</x:v>
      </x:c>
      <x:c r="I4974" s="37" t="n">
        <x:v>46078</x:v>
      </x:c>
      <x:c r="J4974" s="37" t="n">
        <x:v>46078</x:v>
      </x:c>
      <x:c r="K4974" s="19" t="str">
        <x:v>Green RV - Forest Glen</x:v>
      </x:c>
      <x:c r="L4974" s="19" t="str">
        <x:v>Z006</x:v>
      </x:c>
      <x:c r="M4974" s="19" t="str">
        <x:v>In Field Warranty Claims</x:v>
      </x:c>
      <x:c r="N4974" s="37" t="n">
        <x:v>45989</x:v>
      </x:c>
      <x:c r="O4974" s="37"/>
      <x:c r="P4974" s="34" t="n">
        <x:v>0</x:v>
      </x:c>
      <x:c r="Q4974" s="37" t="n">
        <x:v>46077.96758101852</x:v>
      </x:c>
    </x:row>
    <x:row r="4975">
      <x:c r="A4975" s="22" t="n">
        <x:v>28462</x:v>
      </x:c>
      <x:c r="B4975" s="28" t="n">
        <x:v>68.18</x:v>
      </x:c>
      <x:c r="C4975" s="28"/>
      <x:c r="D4975" s="31" t="str">
        <x:f>IF(OR(ISBLANK(B4975),ISBLANK(C4975),B4975=0),"",(C4975-B4975)/B4975)</x:f>
      </x:c>
      <x:c r="E4975" s="22" t="str">
        <x:f>IF(ISBLANK(C4975),"AmountIncludingTax缺失",IF(ABS(B4975-C4975)&lt;0.005,"一致","不一致"))</x:f>
        <x:v>AmountIncludingTax缺失</x:v>
      </x:c>
      <x:c r="F4975" s="19" t="str">
        <x:v>approved</x:v>
      </x:c>
      <x:c r="G4975" s="19" t="str">
        <x:v>Repair in Progress</x:v>
      </x:c>
      <x:c r="H4975" s="19" t="str">
        <x:v>Pre Delivery</x:v>
      </x:c>
      <x:c r="I4975" s="37" t="n">
        <x:v>46056</x:v>
      </x:c>
      <x:c r="J4975" s="37" t="n">
        <x:v>46056</x:v>
      </x:c>
      <x:c r="K4975" s="19" t="str">
        <x:v>Regent RV - Perth</x:v>
      </x:c>
      <x:c r="L4975" s="19" t="str">
        <x:v>Z005</x:v>
      </x:c>
      <x:c r="M4975" s="19" t="str">
        <x:v>Pre Delivery Warranty Claims</x:v>
      </x:c>
      <x:c r="N4975" s="37" t="n">
        <x:v>45989</x:v>
      </x:c>
      <x:c r="O4975" s="37"/>
      <x:c r="P4975" s="34" t="n">
        <x:v>0</x:v>
      </x:c>
      <x:c r="Q4975" s="37" t="n">
        <x:v>46056.28125</x:v>
      </x:c>
    </x:row>
    <x:row r="4976">
      <x:c r="A4976" s="22" t="n">
        <x:v>28461</x:v>
      </x:c>
      <x:c r="B4976" s="28" t="n">
        <x:v>207.05</x:v>
      </x:c>
      <x:c r="C4976" s="28"/>
      <x:c r="D4976" s="31" t="str">
        <x:f>IF(OR(ISBLANK(B4976),ISBLANK(C4976),B4976=0),"",(C4976-B4976)/B4976)</x:f>
      </x:c>
      <x:c r="E4976" s="22" t="str">
        <x:f>IF(ISBLANK(C4976),"AmountIncludingTax缺失",IF(ABS(B4976-C4976)&lt;0.005,"一致","不一致"))</x:f>
        <x:v>AmountIncludingTax缺失</x:v>
      </x:c>
      <x:c r="F4976" s="19" t="str">
        <x:v>approved</x:v>
      </x:c>
      <x:c r="G4976" s="19" t="str">
        <x:v>Repairer Invoiced Processed</x:v>
      </x:c>
      <x:c r="H4976" s="19" t="str">
        <x:v>In Field</x:v>
      </x:c>
      <x:c r="I4976" s="37" t="n">
        <x:v>46075</x:v>
      </x:c>
      <x:c r="J4976" s="37" t="n">
        <x:v>46075</x:v>
      </x:c>
      <x:c r="K4976" s="19" t="str">
        <x:v>Green RV - Forest Glen</x:v>
      </x:c>
      <x:c r="L4976" s="19" t="str">
        <x:v>Z006</x:v>
      </x:c>
      <x:c r="M4976" s="19" t="str">
        <x:v>In Field Warranty Claims</x:v>
      </x:c>
      <x:c r="N4976" s="37" t="n">
        <x:v>45989</x:v>
      </x:c>
      <x:c r="O4976" s="37"/>
      <x:c r="P4976" s="34" t="n">
        <x:v>0</x:v>
      </x:c>
      <x:c r="Q4976" s="37" t="n">
        <x:v>46075.14939814815</x:v>
      </x:c>
    </x:row>
    <x:row r="4977">
      <x:c r="A4977" s="22" t="n">
        <x:v>28450</x:v>
      </x:c>
      <x:c r="B4977" s="28" t="n">
        <x:v>200</x:v>
      </x:c>
      <x:c r="C4977" s="28"/>
      <x:c r="D4977" s="31" t="str">
        <x:f>IF(OR(ISBLANK(B4977),ISBLANK(C4977),B4977=0),"",(C4977-B4977)/B4977)</x:f>
      </x:c>
      <x:c r="E4977" s="22" t="str">
        <x:f>IF(ISBLANK(C4977),"AmountIncludingTax缺失",IF(ABS(B4977-C4977)&lt;0.005,"一致","不一致"))</x:f>
        <x:v>AmountIncludingTax缺失</x:v>
      </x:c>
      <x:c r="F4977" s="19" t="str">
        <x:v>approved</x:v>
      </x:c>
      <x:c r="G4977" s="19" t="str">
        <x:v>Repair in Progress</x:v>
      </x:c>
      <x:c r="H4977" s="19" t="str">
        <x:v>Pre Delivery</x:v>
      </x:c>
      <x:c r="I4977" s="37" t="n">
        <x:v>46072</x:v>
      </x:c>
      <x:c r="J4977" s="37" t="n">
        <x:v>46072</x:v>
      </x:c>
      <x:c r="K4977" s="19" t="str">
        <x:v>Regent RV - Perth</x:v>
      </x:c>
      <x:c r="L4977" s="19" t="str">
        <x:v>Z005</x:v>
      </x:c>
      <x:c r="M4977" s="19" t="str">
        <x:v>Pre Delivery Warranty Claims</x:v>
      </x:c>
      <x:c r="N4977" s="37" t="n">
        <x:v>45989</x:v>
      </x:c>
      <x:c r="O4977" s="37"/>
      <x:c r="P4977" s="34" t="n">
        <x:v>0</x:v>
      </x:c>
      <x:c r="Q4977" s="37" t="n">
        <x:v>46072.04488425926</x:v>
      </x:c>
    </x:row>
    <x:row r="4978">
      <x:c r="A4978" s="22" t="n">
        <x:v>28449</x:v>
      </x:c>
      <x:c r="B4978" s="28" t="n">
        <x:v>564.7</x:v>
      </x:c>
      <x:c r="C4978" s="28" t="n">
        <x:v>621.17</x:v>
      </x:c>
      <x:c r="D4978" s="31" t="n">
        <x:f>IF(OR(ISBLANK(B4978),ISBLANK(C4978),B4978=0),"",(C4978-B4978)/B4978)</x:f>
        <x:v>0.09999999999999984</x:v>
      </x:c>
      <x:c r="E4978" s="22" t="str">
        <x:f>IF(ISBLANK(C4978),"AmountIncludingTax缺失",IF(ABS(B4978-C4978)&lt;0.005,"一致","不一致"))</x:f>
        <x:v>不一致</x:v>
      </x:c>
      <x:c r="F4978" s="19" t="str">
        <x:v>approved</x:v>
      </x:c>
      <x:c r="G4978" s="19" t="str">
        <x:v>Repairer Invoiced Processed</x:v>
      </x:c>
      <x:c r="H4978" s="19" t="str">
        <x:v>In Field</x:v>
      </x:c>
      <x:c r="I4978" s="37" t="n">
        <x:v>46044</x:v>
      </x:c>
      <x:c r="J4978" s="37" t="n">
        <x:v>46044</x:v>
      </x:c>
      <x:c r="K4978" s="19" t="str">
        <x:v>Green RV - Forest Glen</x:v>
      </x:c>
      <x:c r="L4978" s="19" t="str">
        <x:v>Z006</x:v>
      </x:c>
      <x:c r="M4978" s="19" t="str">
        <x:v>In Field Warranty Claims</x:v>
      </x:c>
      <x:c r="N4978" s="37" t="n">
        <x:v>45989</x:v>
      </x:c>
      <x:c r="O4978" s="37"/>
      <x:c r="P4978" s="34" t="n">
        <x:v>621.17</x:v>
      </x:c>
      <x:c r="Q4978" s="37" t="n">
        <x:v>46044.32771990741</x:v>
      </x:c>
    </x:row>
    <x:row r="4979">
      <x:c r="A4979" s="22" t="n">
        <x:v>28448</x:v>
      </x:c>
      <x:c r="B4979" s="28" t="n">
        <x:v>893.2</x:v>
      </x:c>
      <x:c r="C4979" s="28"/>
      <x:c r="D4979" s="31" t="str">
        <x:f>IF(OR(ISBLANK(B4979),ISBLANK(C4979),B4979=0),"",(C4979-B4979)/B4979)</x:f>
      </x:c>
      <x:c r="E4979" s="22" t="str">
        <x:f>IF(ISBLANK(C4979),"AmountIncludingTax缺失",IF(ABS(B4979-C4979)&lt;0.005,"一致","不一致"))</x:f>
        <x:v>AmountIncludingTax缺失</x:v>
      </x:c>
      <x:c r="F4979" s="19" t="str">
        <x:v>approved</x:v>
      </x:c>
      <x:c r="G4979" s="19" t="str">
        <x:v>Repair in Progress</x:v>
      </x:c>
      <x:c r="H4979" s="19" t="str">
        <x:v>In Field</x:v>
      </x:c>
      <x:c r="I4979" s="37" t="n">
        <x:v>46091</x:v>
      </x:c>
      <x:c r="J4979" s="37" t="n">
        <x:v>46055</x:v>
      </x:c>
      <x:c r="K4979" s="19" t="str">
        <x:v>Green RV - Slacks Creek</x:v>
      </x:c>
      <x:c r="L4979" s="19" t="str">
        <x:v>Z006</x:v>
      </x:c>
      <x:c r="M4979" s="19" t="str">
        <x:v>In Field Warranty Claims</x:v>
      </x:c>
      <x:c r="N4979" s="37" t="n">
        <x:v>45989</x:v>
      </x:c>
      <x:c r="O4979" s="37"/>
      <x:c r="P4979" s="34" t="n">
        <x:v>0</x:v>
      </x:c>
      <x:c r="Q4979" s="37" t="n">
        <x:v>46091.09900462963</x:v>
      </x:c>
    </x:row>
    <x:row r="4980">
      <x:c r="A4980" s="22" t="n">
        <x:v>28447</x:v>
      </x:c>
      <x:c r="B4980" s="28" t="n">
        <x:v>82.5</x:v>
      </x:c>
      <x:c r="C4980" s="28"/>
      <x:c r="D4980" s="31" t="str">
        <x:f>IF(OR(ISBLANK(B4980),ISBLANK(C4980),B4980=0),"",(C4980-B4980)/B4980)</x:f>
      </x:c>
      <x:c r="E4980" s="22" t="str">
        <x:f>IF(ISBLANK(C4980),"AmountIncludingTax缺失",IF(ABS(B4980-C4980)&lt;0.005,"一致","不一致"))</x:f>
        <x:v>AmountIncludingTax缺失</x:v>
      </x:c>
      <x:c r="F4980" s="19" t="str">
        <x:v>approved</x:v>
      </x:c>
      <x:c r="G4980" s="19" t="str">
        <x:v>Repair in Progress</x:v>
      </x:c>
      <x:c r="H4980" s="19" t="str">
        <x:v>Pre Delivery</x:v>
      </x:c>
      <x:c r="I4980" s="37" t="n">
        <x:v>46066</x:v>
      </x:c>
      <x:c r="J4980" s="37" t="n">
        <x:v>46066</x:v>
      </x:c>
      <x:c r="K4980" s="19" t="str">
        <x:v>Regent RV - Perth</x:v>
      </x:c>
      <x:c r="L4980" s="19" t="str">
        <x:v>Z005</x:v>
      </x:c>
      <x:c r="M4980" s="19" t="str">
        <x:v>Pre Delivery Warranty Claims</x:v>
      </x:c>
      <x:c r="N4980" s="37" t="n">
        <x:v>45989</x:v>
      </x:c>
      <x:c r="O4980" s="37"/>
      <x:c r="P4980" s="34" t="n">
        <x:v>0</x:v>
      </x:c>
      <x:c r="Q4980" s="37" t="n">
        <x:v>46066.118946759256</x:v>
      </x:c>
    </x:row>
    <x:row r="4981">
      <x:c r="A4981" s="22" t="n">
        <x:v>28446</x:v>
      </x:c>
      <x:c r="B4981" s="28" t="n">
        <x:v>3151.25</x:v>
      </x:c>
      <x:c r="C4981" s="28"/>
      <x:c r="D4981" s="31" t="str">
        <x:f>IF(OR(ISBLANK(B4981),ISBLANK(C4981),B4981=0),"",(C4981-B4981)/B4981)</x:f>
      </x:c>
      <x:c r="E4981" s="22" t="str">
        <x:f>IF(ISBLANK(C4981),"AmountIncludingTax缺失",IF(ABS(B4981-C4981)&lt;0.005,"一致","不一致"))</x:f>
        <x:v>AmountIncludingTax缺失</x:v>
      </x:c>
      <x:c r="F4981" s="19" t="str">
        <x:v>approved</x:v>
      </x:c>
      <x:c r="G4981" s="19" t="str">
        <x:v>Repairer Invoiced Processed</x:v>
      </x:c>
      <x:c r="H4981" s="19" t="str">
        <x:v>In Field</x:v>
      </x:c>
      <x:c r="I4981" s="37" t="n">
        <x:v>46096</x:v>
      </x:c>
      <x:c r="J4981" s="37" t="n">
        <x:v>46094</x:v>
      </x:c>
      <x:c r="K4981" s="19" t="str">
        <x:v>Green RV - Forest Glen</x:v>
      </x:c>
      <x:c r="L4981" s="19" t="str">
        <x:v>Z006</x:v>
      </x:c>
      <x:c r="M4981" s="19" t="str">
        <x:v>In Field Warranty Claims</x:v>
      </x:c>
      <x:c r="N4981" s="37" t="n">
        <x:v>45989</x:v>
      </x:c>
      <x:c r="O4981" s="37"/>
      <x:c r="P4981" s="34" t="n">
        <x:v>0</x:v>
      </x:c>
      <x:c r="Q4981" s="37" t="n">
        <x:v>46096.16900462963</x:v>
      </x:c>
    </x:row>
    <x:row r="4982">
      <x:c r="A4982" s="22" t="n">
        <x:v>28444</x:v>
      </x:c>
      <x:c r="B4982" s="28" t="n">
        <x:v>68.18</x:v>
      </x:c>
      <x:c r="C4982" s="28"/>
      <x:c r="D4982" s="31" t="str">
        <x:f>IF(OR(ISBLANK(B4982),ISBLANK(C4982),B4982=0),"",(C4982-B4982)/B4982)</x:f>
      </x:c>
      <x:c r="E4982" s="22" t="str">
        <x:f>IF(ISBLANK(C4982),"AmountIncludingTax缺失",IF(ABS(B4982-C4982)&lt;0.005,"一致","不一致"))</x:f>
        <x:v>AmountIncludingTax缺失</x:v>
      </x:c>
      <x:c r="F4982" s="19" t="str">
        <x:v>approved</x:v>
      </x:c>
      <x:c r="G4982" s="19" t="str">
        <x:v>Repair in Progress</x:v>
      </x:c>
      <x:c r="H4982" s="19" t="str">
        <x:v>Pre Delivery</x:v>
      </x:c>
      <x:c r="I4982" s="37" t="n">
        <x:v>46056</x:v>
      </x:c>
      <x:c r="J4982" s="37" t="n">
        <x:v>46056</x:v>
      </x:c>
      <x:c r="K4982" s="19" t="str">
        <x:v>NEWCASTLE CARAVANS &amp; RVS</x:v>
      </x:c>
      <x:c r="L4982" s="19" t="str">
        <x:v>Z005</x:v>
      </x:c>
      <x:c r="M4982" s="19" t="str">
        <x:v>Pre Delivery Warranty Claims</x:v>
      </x:c>
      <x:c r="N4982" s="37" t="n">
        <x:v>45989</x:v>
      </x:c>
      <x:c r="O4982" s="37"/>
      <x:c r="P4982" s="34" t="n">
        <x:v>0</x:v>
      </x:c>
      <x:c r="Q4982" s="37" t="n">
        <x:v>46056.281805555554</x:v>
      </x:c>
    </x:row>
    <x:row r="4983">
      <x:c r="A4983" s="22" t="n">
        <x:v>28439</x:v>
      </x:c>
      <x:c r="B4983" s="28" t="n">
        <x:v>137.5</x:v>
      </x:c>
      <x:c r="C4983" s="28"/>
      <x:c r="D4983" s="31" t="str">
        <x:f>IF(OR(ISBLANK(B4983),ISBLANK(C4983),B4983=0),"",(C4983-B4983)/B4983)</x:f>
      </x:c>
      <x:c r="E4983" s="22" t="str">
        <x:f>IF(ISBLANK(C4983),"AmountIncludingTax缺失",IF(ABS(B4983-C4983)&lt;0.005,"一致","不一致"))</x:f>
        <x:v>AmountIncludingTax缺失</x:v>
      </x:c>
      <x:c r="F4983" s="19" t="str">
        <x:v>approved</x:v>
      </x:c>
      <x:c r="G4983" s="19" t="str">
        <x:v>Repair in Progress</x:v>
      </x:c>
      <x:c r="H4983" s="19" t="str">
        <x:v>Pre Delivery</x:v>
      </x:c>
      <x:c r="I4983" s="37" t="n">
        <x:v>46057</x:v>
      </x:c>
      <x:c r="J4983" s="37" t="n">
        <x:v>46057</x:v>
      </x:c>
      <x:c r="K4983" s="19" t="str">
        <x:v>Regent RV - Perth</x:v>
      </x:c>
      <x:c r="L4983" s="19" t="str">
        <x:v>Z005</x:v>
      </x:c>
      <x:c r="M4983" s="19" t="str">
        <x:v>Pre Delivery Warranty Claims</x:v>
      </x:c>
      <x:c r="N4983" s="37" t="n">
        <x:v>45989</x:v>
      </x:c>
      <x:c r="O4983" s="37"/>
      <x:c r="P4983" s="34" t="n">
        <x:v>0</x:v>
      </x:c>
      <x:c r="Q4983" s="37" t="n">
        <x:v>46057.20313657408</x:v>
      </x:c>
    </x:row>
    <x:row r="4984">
      <x:c r="A4984" s="22" t="n">
        <x:v>28438</x:v>
      </x:c>
      <x:c r="B4984" s="28" t="n">
        <x:v>3135.47</x:v>
      </x:c>
      <x:c r="C4984" s="28"/>
      <x:c r="D4984" s="31" t="str">
        <x:f>IF(OR(ISBLANK(B4984),ISBLANK(C4984),B4984=0),"",(C4984-B4984)/B4984)</x:f>
      </x:c>
      <x:c r="E4984" s="22" t="str">
        <x:f>IF(ISBLANK(C4984),"AmountIncludingTax缺失",IF(ABS(B4984-C4984)&lt;0.005,"一致","不一致"))</x:f>
        <x:v>AmountIncludingTax缺失</x:v>
      </x:c>
      <x:c r="F4984" s="19" t="str">
        <x:v>approved</x:v>
      </x:c>
      <x:c r="G4984" s="19" t="str">
        <x:v>Repairer Invoiced Processed</x:v>
      </x:c>
      <x:c r="H4984" s="19" t="str">
        <x:v>In Field</x:v>
      </x:c>
      <x:c r="I4984" s="37" t="n">
        <x:v>46057</x:v>
      </x:c>
      <x:c r="J4984" s="37" t="n">
        <x:v>46057</x:v>
      </x:c>
      <x:c r="K4984" s="19" t="str">
        <x:v>Green RV - Forest Glen</x:v>
      </x:c>
      <x:c r="L4984" s="19" t="str">
        <x:v>Z006</x:v>
      </x:c>
      <x:c r="M4984" s="19" t="str">
        <x:v>In Field Warranty Claims</x:v>
      </x:c>
      <x:c r="N4984" s="37" t="n">
        <x:v>45989</x:v>
      </x:c>
      <x:c r="O4984" s="37"/>
      <x:c r="P4984" s="34" t="n">
        <x:v>0</x:v>
      </x:c>
      <x:c r="Q4984" s="37" t="n">
        <x:v>46057.33949074074</x:v>
      </x:c>
    </x:row>
    <x:row r="4985">
      <x:c r="A4985" s="22" t="n">
        <x:v>28437</x:v>
      </x:c>
      <x:c r="B4985" s="28" t="n">
        <x:v>1012.43</x:v>
      </x:c>
      <x:c r="C4985" s="28"/>
      <x:c r="D4985" s="31" t="str">
        <x:f>IF(OR(ISBLANK(B4985),ISBLANK(C4985),B4985=0),"",(C4985-B4985)/B4985)</x:f>
      </x:c>
      <x:c r="E4985" s="22" t="str">
        <x:f>IF(ISBLANK(C4985),"AmountIncludingTax缺失",IF(ABS(B4985-C4985)&lt;0.005,"一致","不一致"))</x:f>
        <x:v>AmountIncludingTax缺失</x:v>
      </x:c>
      <x:c r="F4985" s="19" t="str">
        <x:v>approved</x:v>
      </x:c>
      <x:c r="G4985" s="19" t="str">
        <x:v>Repairer Invoiced Processed</x:v>
      </x:c>
      <x:c r="H4985" s="19" t="str">
        <x:v>In Field</x:v>
      </x:c>
      <x:c r="I4985" s="37" t="n">
        <x:v>46038</x:v>
      </x:c>
      <x:c r="J4985" s="37" t="n">
        <x:v>46038</x:v>
      </x:c>
      <x:c r="K4985" s="19" t="str">
        <x:v>Green RV - Slacks Creek</x:v>
      </x:c>
      <x:c r="L4985" s="19" t="str">
        <x:v>Z006</x:v>
      </x:c>
      <x:c r="M4985" s="19" t="str">
        <x:v>In Field Warranty Claims</x:v>
      </x:c>
      <x:c r="N4985" s="37" t="n">
        <x:v>45989</x:v>
      </x:c>
      <x:c r="O4985" s="37"/>
      <x:c r="P4985" s="34" t="n">
        <x:v>1113.67</x:v>
      </x:c>
      <x:c r="Q4985" s="37" t="n">
        <x:v>46038.228483796294</x:v>
      </x:c>
    </x:row>
    <x:row r="4986">
      <x:c r="A4986" s="22" t="n">
        <x:v>28436</x:v>
      </x:c>
      <x:c r="B4986" s="28" t="n">
        <x:v>313.75</x:v>
      </x:c>
      <x:c r="C4986" s="28"/>
      <x:c r="D4986" s="31" t="str">
        <x:f>IF(OR(ISBLANK(B4986),ISBLANK(C4986),B4986=0),"",(C4986-B4986)/B4986)</x:f>
      </x:c>
      <x:c r="E4986" s="22" t="str">
        <x:f>IF(ISBLANK(C4986),"AmountIncludingTax缺失",IF(ABS(B4986-C4986)&lt;0.005,"一致","不一致"))</x:f>
        <x:v>AmountIncludingTax缺失</x:v>
      </x:c>
      <x:c r="F4986" s="19" t="str">
        <x:v>approved</x:v>
      </x:c>
      <x:c r="G4986" s="19" t="str">
        <x:v>Repairer Invoiced Processed</x:v>
      </x:c>
      <x:c r="H4986" s="19" t="str">
        <x:v>In Field</x:v>
      </x:c>
      <x:c r="I4986" s="37" t="n">
        <x:v>46064</x:v>
      </x:c>
      <x:c r="J4986" s="37" t="n">
        <x:v>46064</x:v>
      </x:c>
      <x:c r="K4986" s="19" t="str">
        <x:v>Regent RV - Frankston</x:v>
      </x:c>
      <x:c r="L4986" s="19" t="str">
        <x:v>Z006</x:v>
      </x:c>
      <x:c r="M4986" s="19" t="str">
        <x:v>In Field Warranty Claims</x:v>
      </x:c>
      <x:c r="N4986" s="37" t="n">
        <x:v>45989</x:v>
      </x:c>
      <x:c r="O4986" s="37"/>
      <x:c r="P4986" s="34" t="n">
        <x:v>0</x:v>
      </x:c>
      <x:c r="Q4986" s="37" t="n">
        <x:v>46063.974652777775</x:v>
      </x:c>
    </x:row>
    <x:row r="4987">
      <x:c r="A4987" s="22" t="n">
        <x:v>28434</x:v>
      </x:c>
      <x:c r="B4987" s="28" t="n">
        <x:v>33</x:v>
      </x:c>
      <x:c r="C4987" s="28"/>
      <x:c r="D4987" s="31" t="str">
        <x:f>IF(OR(ISBLANK(B4987),ISBLANK(C4987),B4987=0),"",(C4987-B4987)/B4987)</x:f>
      </x:c>
      <x:c r="E4987" s="22" t="str">
        <x:f>IF(ISBLANK(C4987),"AmountIncludingTax缺失",IF(ABS(B4987-C4987)&lt;0.005,"一致","不一致"))</x:f>
        <x:v>AmountIncludingTax缺失</x:v>
      </x:c>
      <x:c r="F4987" s="19" t="str">
        <x:v>approved</x:v>
      </x:c>
      <x:c r="G4987" s="19" t="str">
        <x:v>Repair in Progress</x:v>
      </x:c>
      <x:c r="H4987" s="19" t="str">
        <x:v>Pre Delivery</x:v>
      </x:c>
      <x:c r="I4987" s="37" t="n">
        <x:v>46045</x:v>
      </x:c>
      <x:c r="J4987" s="37" t="n">
        <x:v>46044</x:v>
      </x:c>
      <x:c r="K4987" s="19" t="str">
        <x:v>Destiny RV - South Australia</x:v>
      </x:c>
      <x:c r="L4987" s="19" t="str">
        <x:v>Z005</x:v>
      </x:c>
      <x:c r="M4987" s="19" t="str">
        <x:v>Pre Delivery Warranty Claims</x:v>
      </x:c>
      <x:c r="N4987" s="37" t="n">
        <x:v>45989</x:v>
      </x:c>
      <x:c r="O4987" s="37"/>
      <x:c r="P4987" s="34" t="n">
        <x:v>0</x:v>
      </x:c>
      <x:c r="Q4987" s="37" t="n">
        <x:v>46044.56255787037</x:v>
      </x:c>
    </x:row>
    <x:row r="4988">
      <x:c r="A4988" s="22" t="n">
        <x:v>28433</x:v>
      </x:c>
      <x:c r="B4988" s="28" t="n">
        <x:v>467.5</x:v>
      </x:c>
      <x:c r="C4988" s="28"/>
      <x:c r="D4988" s="31" t="str">
        <x:f>IF(OR(ISBLANK(B4988),ISBLANK(C4988),B4988=0),"",(C4988-B4988)/B4988)</x:f>
      </x:c>
      <x:c r="E4988" s="22" t="str">
        <x:f>IF(ISBLANK(C4988),"AmountIncludingTax缺失",IF(ABS(B4988-C4988)&lt;0.005,"一致","不一致"))</x:f>
        <x:v>AmountIncludingTax缺失</x:v>
      </x:c>
      <x:c r="F4988" s="19" t="str">
        <x:v>approved</x:v>
      </x:c>
      <x:c r="G4988" s="19" t="str">
        <x:v>Repair in Progress</x:v>
      </x:c>
      <x:c r="H4988" s="19" t="str">
        <x:v>Pre Delivery</x:v>
      </x:c>
      <x:c r="I4988" s="37" t="n">
        <x:v>46066</x:v>
      </x:c>
      <x:c r="J4988" s="37" t="n">
        <x:v>46066</x:v>
      </x:c>
      <x:c r="K4988" s="19" t="str">
        <x:v>Regent RV - Perth</x:v>
      </x:c>
      <x:c r="L4988" s="19" t="str">
        <x:v>Z005</x:v>
      </x:c>
      <x:c r="M4988" s="19" t="str">
        <x:v>Pre Delivery Warranty Claims</x:v>
      </x:c>
      <x:c r="N4988" s="37" t="n">
        <x:v>45989</x:v>
      </x:c>
      <x:c r="O4988" s="37"/>
      <x:c r="P4988" s="34" t="n">
        <x:v>0</x:v>
      </x:c>
      <x:c r="Q4988" s="37" t="n">
        <x:v>46066.130590277775</x:v>
      </x:c>
    </x:row>
    <x:row r="4989">
      <x:c r="A4989" s="22" t="n">
        <x:v>28432</x:v>
      </x:c>
      <x:c r="B4989" s="28" t="n">
        <x:v>990.12</x:v>
      </x:c>
      <x:c r="C4989" s="28"/>
      <x:c r="D4989" s="31" t="str">
        <x:f>IF(OR(ISBLANK(B4989),ISBLANK(C4989),B4989=0),"",(C4989-B4989)/B4989)</x:f>
      </x:c>
      <x:c r="E4989" s="22" t="str">
        <x:f>IF(ISBLANK(C4989),"AmountIncludingTax缺失",IF(ABS(B4989-C4989)&lt;0.005,"一致","不一致"))</x:f>
        <x:v>AmountIncludingTax缺失</x:v>
      </x:c>
      <x:c r="F4989" s="19" t="str">
        <x:v>approved</x:v>
      </x:c>
      <x:c r="G4989" s="19" t="str">
        <x:v>Repairer Invoiced Processed</x:v>
      </x:c>
      <x:c r="H4989" s="19" t="str">
        <x:v>In Field</x:v>
      </x:c>
      <x:c r="I4989" s="37" t="n">
        <x:v>46042</x:v>
      </x:c>
      <x:c r="J4989" s="37" t="n">
        <x:v>46042</x:v>
      </x:c>
      <x:c r="K4989" s="19" t="str">
        <x:v>Dario Caravans - Pooraka</x:v>
      </x:c>
      <x:c r="L4989" s="19" t="str">
        <x:v>Z006</x:v>
      </x:c>
      <x:c r="M4989" s="19" t="str">
        <x:v>In Field Warranty Claims</x:v>
      </x:c>
      <x:c r="N4989" s="37" t="n">
        <x:v>45989</x:v>
      </x:c>
      <x:c r="O4989" s="37"/>
      <x:c r="P4989" s="34" t="n">
        <x:v>0</x:v>
      </x:c>
      <x:c r="Q4989" s="37" t="n">
        <x:v>46042.10480324074</x:v>
      </x:c>
    </x:row>
    <x:row r="4990">
      <x:c r="A4990" s="22" t="n">
        <x:v>28431</x:v>
      </x:c>
      <x:c r="B4990" s="28" t="n">
        <x:v>165.6</x:v>
      </x:c>
      <x:c r="C4990" s="28"/>
      <x:c r="D4990" s="31" t="str">
        <x:f>IF(OR(ISBLANK(B4990),ISBLANK(C4990),B4990=0),"",(C4990-B4990)/B4990)</x:f>
      </x:c>
      <x:c r="E4990" s="22" t="str">
        <x:f>IF(ISBLANK(C4990),"AmountIncludingTax缺失",IF(ABS(B4990-C4990)&lt;0.005,"一致","不一致"))</x:f>
        <x:v>AmountIncludingTax缺失</x:v>
      </x:c>
      <x:c r="F4990" s="19" t="str">
        <x:v>approved</x:v>
      </x:c>
      <x:c r="G4990" s="19" t="str">
        <x:v>Repairer Invoiced Processed</x:v>
      </x:c>
      <x:c r="H4990" s="19" t="str">
        <x:v>In Field</x:v>
      </x:c>
      <x:c r="I4990" s="37" t="n">
        <x:v>46077</x:v>
      </x:c>
      <x:c r="J4990" s="37" t="n">
        <x:v>46031</x:v>
      </x:c>
      <x:c r="K4990" s="19" t="str">
        <x:v>Lesiure Lion-New Castle</x:v>
      </x:c>
      <x:c r="L4990" s="19" t="str">
        <x:v>Z006</x:v>
      </x:c>
      <x:c r="M4990" s="19" t="str">
        <x:v>In Field Warranty Claims</x:v>
      </x:c>
      <x:c r="N4990" s="37" t="n">
        <x:v>45989</x:v>
      </x:c>
      <x:c r="O4990" s="37"/>
      <x:c r="P4990" s="34" t="n">
        <x:v>0</x:v>
      </x:c>
      <x:c r="Q4990" s="37" t="n">
        <x:v>46076.934594907405</x:v>
      </x:c>
    </x:row>
    <x:row r="4991">
      <x:c r="A4991" s="22" t="n">
        <x:v>28428</x:v>
      </x:c>
      <x:c r="B4991" s="28" t="n">
        <x:v>268.91</x:v>
      </x:c>
      <x:c r="C4991" s="28" t="n">
        <x:v>295.8</x:v>
      </x:c>
      <x:c r="D4991" s="31" t="n">
        <x:f>IF(OR(ISBLANK(B4991),ISBLANK(C4991),B4991=0),"",(C4991-B4991)/B4991)</x:f>
        <x:v>0.0999962812837008</x:v>
      </x:c>
      <x:c r="E4991" s="22" t="str">
        <x:f>IF(ISBLANK(C4991),"AmountIncludingTax缺失",IF(ABS(B4991-C4991)&lt;0.005,"一致","不一致"))</x:f>
        <x:v>不一致</x:v>
      </x:c>
      <x:c r="F4991" s="19" t="str">
        <x:v>approved</x:v>
      </x:c>
      <x:c r="G4991" s="19" t="str">
        <x:v>Repairer Invoiced Processed</x:v>
      </x:c>
      <x:c r="H4991" s="19" t="str">
        <x:v>In Field</x:v>
      </x:c>
      <x:c r="I4991" s="37" t="n">
        <x:v>46099</x:v>
      </x:c>
      <x:c r="J4991" s="37" t="n">
        <x:v>46099</x:v>
      </x:c>
      <x:c r="K4991" s="19" t="str">
        <x:v>The Caravan Hub - Townsville</x:v>
      </x:c>
      <x:c r="L4991" s="19" t="str">
        <x:v>Z006</x:v>
      </x:c>
      <x:c r="M4991" s="19" t="str">
        <x:v>In Field Warranty Claims</x:v>
      </x:c>
      <x:c r="N4991" s="37" t="n">
        <x:v>45989</x:v>
      </x:c>
      <x:c r="O4991" s="37"/>
      <x:c r="P4991" s="34" t="n">
        <x:v>295.8</x:v>
      </x:c>
      <x:c r="Q4991" s="37" t="n">
        <x:v>46099.002604166664</x:v>
      </x:c>
    </x:row>
    <x:row r="4992">
      <x:c r="A4992" s="22" t="n">
        <x:v>28427</x:v>
      </x:c>
      <x:c r="B4992" s="28" t="n">
        <x:v>990.75</x:v>
      </x:c>
      <x:c r="C4992" s="28"/>
      <x:c r="D4992" s="31" t="str">
        <x:f>IF(OR(ISBLANK(B4992),ISBLANK(C4992),B4992=0),"",(C4992-B4992)/B4992)</x:f>
      </x:c>
      <x:c r="E4992" s="22" t="str">
        <x:f>IF(ISBLANK(C4992),"AmountIncludingTax缺失",IF(ABS(B4992-C4992)&lt;0.005,"一致","不一致"))</x:f>
        <x:v>AmountIncludingTax缺失</x:v>
      </x:c>
      <x:c r="F4992" s="19" t="str">
        <x:v>approved</x:v>
      </x:c>
      <x:c r="G4992" s="19" t="str">
        <x:v>Repairer Invoiced Processed</x:v>
      </x:c>
      <x:c r="H4992" s="19" t="str">
        <x:v>In Field</x:v>
      </x:c>
      <x:c r="I4992" s="37" t="n">
        <x:v>46093</x:v>
      </x:c>
      <x:c r="J4992" s="37" t="n">
        <x:v>46052</x:v>
      </x:c>
      <x:c r="K4992" s="19" t="str">
        <x:v>Auswide Caravans - South Nowra</x:v>
      </x:c>
      <x:c r="L4992" s="19" t="str">
        <x:v>Z006</x:v>
      </x:c>
      <x:c r="M4992" s="19" t="str">
        <x:v>In Field Warranty Claims</x:v>
      </x:c>
      <x:c r="N4992" s="37" t="n">
        <x:v>45989</x:v>
      </x:c>
      <x:c r="O4992" s="37"/>
      <x:c r="P4992" s="34" t="n">
        <x:v>0</x:v>
      </x:c>
      <x:c r="Q4992" s="37" t="n">
        <x:v>46093.0672337963</x:v>
      </x:c>
    </x:row>
    <x:row r="4993">
      <x:c r="A4993" s="22" t="n">
        <x:v>28425</x:v>
      </x:c>
      <x:c r="B4993" s="28" t="n">
        <x:v>119.55</x:v>
      </x:c>
      <x:c r="C4993" s="28"/>
      <x:c r="D4993" s="31" t="str">
        <x:f>IF(OR(ISBLANK(B4993),ISBLANK(C4993),B4993=0),"",(C4993-B4993)/B4993)</x:f>
      </x:c>
      <x:c r="E4993" s="22" t="str">
        <x:f>IF(ISBLANK(C4993),"AmountIncludingTax缺失",IF(ABS(B4993-C4993)&lt;0.005,"一致","不一致"))</x:f>
        <x:v>AmountIncludingTax缺失</x:v>
      </x:c>
      <x:c r="F4993" s="19" t="str">
        <x:v>approved</x:v>
      </x:c>
      <x:c r="G4993" s="19" t="str">
        <x:v>Repairer Invoiced Processed</x:v>
      </x:c>
      <x:c r="H4993" s="19" t="str">
        <x:v>In Field</x:v>
      </x:c>
      <x:c r="I4993" s="37" t="n">
        <x:v>46031</x:v>
      </x:c>
      <x:c r="J4993" s="37" t="n">
        <x:v>46031</x:v>
      </x:c>
      <x:c r="K4993" s="19" t="str">
        <x:v>Dario Caravans - Pooraka</x:v>
      </x:c>
      <x:c r="L4993" s="19" t="str">
        <x:v>Z006</x:v>
      </x:c>
      <x:c r="M4993" s="19" t="str">
        <x:v>In Field Warranty Claims</x:v>
      </x:c>
      <x:c r="N4993" s="37" t="n">
        <x:v>45989</x:v>
      </x:c>
      <x:c r="O4993" s="37"/>
      <x:c r="P4993" s="34" t="n">
        <x:v>0</x:v>
      </x:c>
      <x:c r="Q4993" s="37" t="n">
        <x:v>46030.87917824074</x:v>
      </x:c>
    </x:row>
    <x:row r="4994">
      <x:c r="A4994" s="22" t="n">
        <x:v>28422</x:v>
      </x:c>
      <x:c r="B4994" s="28" t="n">
        <x:v>75</x:v>
      </x:c>
      <x:c r="C4994" s="28"/>
      <x:c r="D4994" s="31" t="str">
        <x:f>IF(OR(ISBLANK(B4994),ISBLANK(C4994),B4994=0),"",(C4994-B4994)/B4994)</x:f>
      </x:c>
      <x:c r="E4994" s="22" t="str">
        <x:f>IF(ISBLANK(C4994),"AmountIncludingTax缺失",IF(ABS(B4994-C4994)&lt;0.005,"一致","不一致"))</x:f>
        <x:v>AmountIncludingTax缺失</x:v>
      </x:c>
      <x:c r="F4994" s="19" t="str">
        <x:v>approved</x:v>
      </x:c>
      <x:c r="G4994" s="19" t="str">
        <x:v>Repair in Progress</x:v>
      </x:c>
      <x:c r="H4994" s="19" t="str">
        <x:v>Pre Delivery</x:v>
      </x:c>
      <x:c r="I4994" s="37" t="n">
        <x:v>46057</x:v>
      </x:c>
      <x:c r="J4994" s="37" t="n">
        <x:v>46057</x:v>
      </x:c>
      <x:c r="K4994" s="19" t="str">
        <x:v>Regent RV - Perth</x:v>
      </x:c>
      <x:c r="L4994" s="19" t="str">
        <x:v>Z005</x:v>
      </x:c>
      <x:c r="M4994" s="19" t="str">
        <x:v>Pre Delivery Warranty Claims</x:v>
      </x:c>
      <x:c r="N4994" s="37" t="n">
        <x:v>45989</x:v>
      </x:c>
      <x:c r="O4994" s="37"/>
      <x:c r="P4994" s="34" t="n">
        <x:v>0</x:v>
      </x:c>
      <x:c r="Q4994" s="37" t="n">
        <x:v>46057.292916666665</x:v>
      </x:c>
    </x:row>
    <x:row r="4995">
      <x:c r="A4995" s="22" t="n">
        <x:v>28410</x:v>
      </x:c>
      <x:c r="B4995" s="28" t="n">
        <x:v>110</x:v>
      </x:c>
      <x:c r="C4995" s="28"/>
      <x:c r="D4995" s="31" t="str">
        <x:f>IF(OR(ISBLANK(B4995),ISBLANK(C4995),B4995=0),"",(C4995-B4995)/B4995)</x:f>
      </x:c>
      <x:c r="E4995" s="22" t="str">
        <x:f>IF(ISBLANK(C4995),"AmountIncludingTax缺失",IF(ABS(B4995-C4995)&lt;0.005,"一致","不一致"))</x:f>
        <x:v>AmountIncludingTax缺失</x:v>
      </x:c>
      <x:c r="F4995" s="19" t="str">
        <x:v>approved</x:v>
      </x:c>
      <x:c r="G4995" s="19" t="str">
        <x:v>Repair in Progress</x:v>
      </x:c>
      <x:c r="H4995" s="19" t="str">
        <x:v>Pre Delivery</x:v>
      </x:c>
      <x:c r="I4995" s="37" t="n">
        <x:v>46050</x:v>
      </x:c>
      <x:c r="J4995" s="37" t="n">
        <x:v>46050</x:v>
      </x:c>
      <x:c r="K4995" s="19" t="str">
        <x:v>Regent RV - Frankston</x:v>
      </x:c>
      <x:c r="L4995" s="19" t="str">
        <x:v>Z005</x:v>
      </x:c>
      <x:c r="M4995" s="19" t="str">
        <x:v>Pre Delivery Warranty Claims</x:v>
      </x:c>
      <x:c r="N4995" s="37" t="n">
        <x:v>45988</x:v>
      </x:c>
      <x:c r="O4995" s="37"/>
      <x:c r="P4995" s="34" t="n">
        <x:v>0</x:v>
      </x:c>
      <x:c r="Q4995" s="37" t="n">
        <x:v>46050.21020833333</x:v>
      </x:c>
    </x:row>
    <x:row r="4996">
      <x:c r="A4996" s="22" t="n">
        <x:v>28409</x:v>
      </x:c>
      <x:c r="B4996" s="28" t="n">
        <x:v>337.92</x:v>
      </x:c>
      <x:c r="C4996" s="28" t="n">
        <x:v>371.71</x:v>
      </x:c>
      <x:c r="D4996" s="31" t="n">
        <x:f>IF(OR(ISBLANK(B4996),ISBLANK(C4996),B4996=0),"",(C4996-B4996)/B4996)</x:f>
        <x:v>0.09999408143939383</x:v>
      </x:c>
      <x:c r="E4996" s="22" t="str">
        <x:f>IF(ISBLANK(C4996),"AmountIncludingTax缺失",IF(ABS(B4996-C4996)&lt;0.005,"一致","不一致"))</x:f>
        <x:v>不一致</x:v>
      </x:c>
      <x:c r="F4996" s="19" t="str">
        <x:v>approved</x:v>
      </x:c>
      <x:c r="G4996" s="19" t="str">
        <x:v>Repairer Invoiced Processed</x:v>
      </x:c>
      <x:c r="H4996" s="19" t="str">
        <x:v>Pre Delivery</x:v>
      </x:c>
      <x:c r="I4996" s="37" t="n">
        <x:v>46045</x:v>
      </x:c>
      <x:c r="J4996" s="37" t="n">
        <x:v>46044</x:v>
      </x:c>
      <x:c r="K4996" s="19" t="str">
        <x:v>Green RV - Forest Glen</x:v>
      </x:c>
      <x:c r="L4996" s="19" t="str">
        <x:v>Z005</x:v>
      </x:c>
      <x:c r="M4996" s="19" t="str">
        <x:v>Pre Delivery Warranty Claims</x:v>
      </x:c>
      <x:c r="N4996" s="37" t="n">
        <x:v>45988</x:v>
      </x:c>
      <x:c r="O4996" s="37"/>
      <x:c r="P4996" s="34" t="n">
        <x:v>371.71</x:v>
      </x:c>
      <x:c r="Q4996" s="37" t="n">
        <x:v>46044.55950231481</x:v>
      </x:c>
    </x:row>
    <x:row r="4997">
      <x:c r="A4997" s="22" t="n">
        <x:v>28407</x:v>
      </x:c>
      <x:c r="B4997" s="28" t="n">
        <x:v>560</x:v>
      </x:c>
      <x:c r="C4997" s="28" t="n">
        <x:v>616</x:v>
      </x:c>
      <x:c r="D4997" s="31" t="n">
        <x:f>IF(OR(ISBLANK(B4997),ISBLANK(C4997),B4997=0),"",(C4997-B4997)/B4997)</x:f>
        <x:v>0.1</x:v>
      </x:c>
      <x:c r="E4997" s="22" t="str">
        <x:f>IF(ISBLANK(C4997),"AmountIncludingTax缺失",IF(ABS(B4997-C4997)&lt;0.005,"一致","不一致"))</x:f>
        <x:v>不一致</x:v>
      </x:c>
      <x:c r="F4997" s="19" t="str">
        <x:v>approved</x:v>
      </x:c>
      <x:c r="G4997" s="19" t="str">
        <x:v>Repairer Invoiced Processed</x:v>
      </x:c>
      <x:c r="H4997" s="19" t="str">
        <x:v>In Field</x:v>
      </x:c>
      <x:c r="I4997" s="37" t="n">
        <x:v>46069</x:v>
      </x:c>
      <x:c r="J4997" s="37" t="n">
        <x:v>46069</x:v>
      </x:c>
      <x:c r="K4997" s="19" t="str">
        <x:v>Green RV - Forest Glen</x:v>
      </x:c>
      <x:c r="L4997" s="19" t="str">
        <x:v>Z006</x:v>
      </x:c>
      <x:c r="M4997" s="19" t="str">
        <x:v>In Field Warranty Claims</x:v>
      </x:c>
      <x:c r="N4997" s="37" t="n">
        <x:v>45988</x:v>
      </x:c>
      <x:c r="O4997" s="37"/>
      <x:c r="P4997" s="34" t="n">
        <x:v>616</x:v>
      </x:c>
      <x:c r="Q4997" s="37" t="n">
        <x:v>46069.10550925926</x:v>
      </x:c>
    </x:row>
    <x:row r="4998">
      <x:c r="A4998" s="22" t="n">
        <x:v>28404</x:v>
      </x:c>
      <x:c r="B4998" s="28" t="n">
        <x:v>405</x:v>
      </x:c>
      <x:c r="C4998" s="28"/>
      <x:c r="D4998" s="31" t="str">
        <x:f>IF(OR(ISBLANK(B4998),ISBLANK(C4998),B4998=0),"",(C4998-B4998)/B4998)</x:f>
      </x:c>
      <x:c r="E4998" s="22" t="str">
        <x:f>IF(ISBLANK(C4998),"AmountIncludingTax缺失",IF(ABS(B4998-C4998)&lt;0.005,"一致","不一致"))</x:f>
        <x:v>AmountIncludingTax缺失</x:v>
      </x:c>
      <x:c r="F4998" s="19" t="str">
        <x:v>approved</x:v>
      </x:c>
      <x:c r="G4998" s="19" t="str">
        <x:v>Repair in Progress</x:v>
      </x:c>
      <x:c r="H4998" s="19" t="str">
        <x:v>In Field</x:v>
      </x:c>
      <x:c r="I4998" s="37" t="n">
        <x:v>46076</x:v>
      </x:c>
      <x:c r="J4998" s="37" t="n">
        <x:v>46076</x:v>
      </x:c>
      <x:c r="K4998" s="19" t="str">
        <x:v>Green RV - Forest Glen</x:v>
      </x:c>
      <x:c r="L4998" s="19" t="str">
        <x:v>Z006</x:v>
      </x:c>
      <x:c r="M4998" s="19" t="str">
        <x:v>In Field Warranty Claims</x:v>
      </x:c>
      <x:c r="N4998" s="37" t="n">
        <x:v>45988</x:v>
      </x:c>
      <x:c r="O4998" s="37"/>
      <x:c r="P4998" s="34" t="n">
        <x:v>0</x:v>
      </x:c>
      <x:c r="Q4998" s="37" t="n">
        <x:v>46076.215532407405</x:v>
      </x:c>
    </x:row>
    <x:row r="4999">
      <x:c r="A4999" s="22" t="n">
        <x:v>28403</x:v>
      </x:c>
      <x:c r="B4999" s="28" t="n">
        <x:v>165</x:v>
      </x:c>
      <x:c r="C4999" s="28"/>
      <x:c r="D4999" s="31" t="str">
        <x:f>IF(OR(ISBLANK(B4999),ISBLANK(C4999),B4999=0),"",(C4999-B4999)/B4999)</x:f>
      </x:c>
      <x:c r="E4999" s="22" t="str">
        <x:f>IF(ISBLANK(C4999),"AmountIncludingTax缺失",IF(ABS(B4999-C4999)&lt;0.005,"一致","不一致"))</x:f>
        <x:v>AmountIncludingTax缺失</x:v>
      </x:c>
      <x:c r="F4999" s="19" t="str">
        <x:v>approved</x:v>
      </x:c>
      <x:c r="G4999" s="19" t="str">
        <x:v>Repair in Progress</x:v>
      </x:c>
      <x:c r="H4999" s="19" t="str">
        <x:v>In Field</x:v>
      </x:c>
      <x:c r="I4999" s="37" t="n">
        <x:v>46056</x:v>
      </x:c>
      <x:c r="J4999" s="37" t="n">
        <x:v>46056</x:v>
      </x:c>
      <x:c r="K4999" s="19" t="str">
        <x:v>Regent RV - Perth</x:v>
      </x:c>
      <x:c r="L4999" s="19" t="str">
        <x:v>Z006</x:v>
      </x:c>
      <x:c r="M4999" s="19" t="str">
        <x:v>In Field Warranty Claims</x:v>
      </x:c>
      <x:c r="N4999" s="37" t="n">
        <x:v>45988</x:v>
      </x:c>
      <x:c r="O4999" s="37"/>
      <x:c r="P4999" s="34" t="n">
        <x:v>0</x:v>
      </x:c>
      <x:c r="Q4999" s="37" t="n">
        <x:v>46055.9365625</x:v>
      </x:c>
    </x:row>
    <x:row r="5000">
      <x:c r="A5000" s="22" t="n">
        <x:v>28402</x:v>
      </x:c>
      <x:c r="B5000" s="28" t="n">
        <x:v>110</x:v>
      </x:c>
      <x:c r="C5000" s="28"/>
      <x:c r="D5000" s="31" t="str">
        <x:f>IF(OR(ISBLANK(B5000),ISBLANK(C5000),B5000=0),"",(C5000-B5000)/B5000)</x:f>
      </x:c>
      <x:c r="E5000" s="22" t="str">
        <x:f>IF(ISBLANK(C5000),"AmountIncludingTax缺失",IF(ABS(B5000-C5000)&lt;0.005,"一致","不一致"))</x:f>
        <x:v>AmountIncludingTax缺失</x:v>
      </x:c>
      <x:c r="F5000" s="19" t="str">
        <x:v>approved</x:v>
      </x:c>
      <x:c r="G5000" s="19" t="str">
        <x:v>Repair in Progress</x:v>
      </x:c>
      <x:c r="H5000" s="19" t="str">
        <x:v>In Field</x:v>
      </x:c>
      <x:c r="I5000" s="37" t="n">
        <x:v>46135</x:v>
      </x:c>
      <x:c r="J5000" s="37" t="n">
        <x:v>46135</x:v>
      </x:c>
      <x:c r="K5000" s="19" t="str">
        <x:v>Regent RV - Perth</x:v>
      </x:c>
      <x:c r="L5000" s="19" t="str">
        <x:v>Z006</x:v>
      </x:c>
      <x:c r="M5000" s="19" t="str">
        <x:v>In Field Warranty Claims</x:v>
      </x:c>
      <x:c r="N5000" s="37" t="n">
        <x:v>45988</x:v>
      </x:c>
      <x:c r="O5000" s="37"/>
      <x:c r="P5000" s="34" t="n">
        <x:v>0</x:v>
      </x:c>
      <x:c r="Q5000" s="37" t="n">
        <x:v>46135.21192129629</x:v>
      </x:c>
    </x:row>
    <x:row r="5001">
      <x:c r="A5001" s="22" t="n">
        <x:v>28400</x:v>
      </x:c>
      <x:c r="B5001" s="28" t="n">
        <x:v>256.25</x:v>
      </x:c>
      <x:c r="C5001" s="28"/>
      <x:c r="D5001" s="31" t="str">
        <x:f>IF(OR(ISBLANK(B5001),ISBLANK(C5001),B5001=0),"",(C5001-B5001)/B5001)</x:f>
      </x:c>
      <x:c r="E5001" s="22" t="str">
        <x:f>IF(ISBLANK(C5001),"AmountIncludingTax缺失",IF(ABS(B5001-C5001)&lt;0.005,"一致","不一致"))</x:f>
        <x:v>AmountIncludingTax缺失</x:v>
      </x:c>
      <x:c r="F5001" s="19" t="str">
        <x:v>approved</x:v>
      </x:c>
      <x:c r="G5001" s="19" t="str">
        <x:v>Repairer Invoiced Processed</x:v>
      </x:c>
      <x:c r="H5001" s="19" t="str">
        <x:v>In Field</x:v>
      </x:c>
      <x:c r="I5001" s="37" t="n">
        <x:v>46093</x:v>
      </x:c>
      <x:c r="J5001" s="37" t="n">
        <x:v>46093</x:v>
      </x:c>
      <x:c r="K5001" s="19" t="str">
        <x:v>Dario Caravans - Pooraka</x:v>
      </x:c>
      <x:c r="L5001" s="19" t="str">
        <x:v>Z006</x:v>
      </x:c>
      <x:c r="M5001" s="19" t="str">
        <x:v>In Field Warranty Claims</x:v>
      </x:c>
      <x:c r="N5001" s="37" t="n">
        <x:v>45989</x:v>
      </x:c>
      <x:c r="O5001" s="37"/>
      <x:c r="P5001" s="34" t="n">
        <x:v>0</x:v>
      </x:c>
      <x:c r="Q5001" s="37" t="n">
        <x:v>46093.25895833333</x:v>
      </x:c>
    </x:row>
    <x:row r="5002">
      <x:c r="A5002" s="22" t="n">
        <x:v>28399</x:v>
      </x:c>
      <x:c r="B5002" s="28" t="n">
        <x:v>705.38</x:v>
      </x:c>
      <x:c r="C5002" s="28" t="n">
        <x:v>775.92</x:v>
      </x:c>
      <x:c r="D5002" s="31" t="n">
        <x:f>IF(OR(ISBLANK(B5002),ISBLANK(C5002),B5002=0),"",(C5002-B5002)/B5002)</x:f>
        <x:v>0.10000283535115818</x:v>
      </x:c>
      <x:c r="E5002" s="22" t="str">
        <x:f>IF(ISBLANK(C5002),"AmountIncludingTax缺失",IF(ABS(B5002-C5002)&lt;0.005,"一致","不一致"))</x:f>
        <x:v>不一致</x:v>
      </x:c>
      <x:c r="F5002" s="19" t="str">
        <x:v>approved</x:v>
      </x:c>
      <x:c r="G5002" s="19" t="str">
        <x:v>Repairer Invoiced Processed</x:v>
      </x:c>
      <x:c r="H5002" s="19" t="str">
        <x:v>Pre Delivery</x:v>
      </x:c>
      <x:c r="I5002" s="37" t="n">
        <x:v>46045</x:v>
      </x:c>
      <x:c r="J5002" s="37" t="n">
        <x:v>46044</x:v>
      </x:c>
      <x:c r="K5002" s="19" t="str">
        <x:v>Lesiure Lion-New Castle</x:v>
      </x:c>
      <x:c r="L5002" s="19" t="str">
        <x:v>Z005</x:v>
      </x:c>
      <x:c r="M5002" s="19" t="str">
        <x:v>Pre Delivery Warranty Claims</x:v>
      </x:c>
      <x:c r="N5002" s="37" t="n">
        <x:v>45989</x:v>
      </x:c>
      <x:c r="O5002" s="37"/>
      <x:c r="P5002" s="34" t="n">
        <x:v>775.92</x:v>
      </x:c>
      <x:c r="Q5002" s="37" t="n">
        <x:v>46044.55877314815</x:v>
      </x:c>
    </x:row>
    <x:row r="5003">
      <x:c r="A5003" s="22" t="n">
        <x:v>28396</x:v>
      </x:c>
      <x:c r="B5003" s="28" t="n">
        <x:v>763.73</x:v>
      </x:c>
      <x:c r="C5003" s="28" t="n">
        <x:v>840.1</x:v>
      </x:c>
      <x:c r="D5003" s="31" t="n">
        <x:f>IF(OR(ISBLANK(B5003),ISBLANK(C5003),B5003=0),"",(C5003-B5003)/B5003)</x:f>
        <x:v>0.09999607191023006</x:v>
      </x:c>
      <x:c r="E5003" s="22" t="str">
        <x:f>IF(ISBLANK(C5003),"AmountIncludingTax缺失",IF(ABS(B5003-C5003)&lt;0.005,"一致","不一致"))</x:f>
        <x:v>不一致</x:v>
      </x:c>
      <x:c r="F5003" s="19" t="str">
        <x:v>approved</x:v>
      </x:c>
      <x:c r="G5003" s="19" t="str">
        <x:v>Repairer Invoiced Processed</x:v>
      </x:c>
      <x:c r="H5003" s="19" t="str">
        <x:v>In Field</x:v>
      </x:c>
      <x:c r="I5003" s="37" t="n">
        <x:v>46120</x:v>
      </x:c>
      <x:c r="J5003" s="37" t="n">
        <x:v>46120</x:v>
      </x:c>
      <x:c r="K5003" s="19" t="str">
        <x:v>Regent RV Pty Ltd</x:v>
      </x:c>
      <x:c r="L5003" s="19" t="str">
        <x:v>Z006</x:v>
      </x:c>
      <x:c r="M5003" s="19" t="str">
        <x:v>In Field Warranty Claims</x:v>
      </x:c>
      <x:c r="N5003" s="37" t="n">
        <x:v>45988</x:v>
      </x:c>
      <x:c r="O5003" s="37"/>
      <x:c r="P5003" s="34" t="n">
        <x:v>840.1</x:v>
      </x:c>
      <x:c r="Q5003" s="37" t="n">
        <x:v>46120.12150462963</x:v>
      </x:c>
    </x:row>
    <x:row r="5004">
      <x:c r="A5004" s="22" t="n">
        <x:v>28394</x:v>
      </x:c>
      <x:c r="B5004" s="28" t="n">
        <x:v>67.5</x:v>
      </x:c>
      <x:c r="C5004" s="28"/>
      <x:c r="D5004" s="31" t="str">
        <x:f>IF(OR(ISBLANK(B5004),ISBLANK(C5004),B5004=0),"",(C5004-B5004)/B5004)</x:f>
      </x:c>
      <x:c r="E5004" s="22" t="str">
        <x:f>IF(ISBLANK(C5004),"AmountIncludingTax缺失",IF(ABS(B5004-C5004)&lt;0.005,"一致","不一致"))</x:f>
        <x:v>AmountIncludingTax缺失</x:v>
      </x:c>
      <x:c r="F5004" s="19" t="str">
        <x:v>approved</x:v>
      </x:c>
      <x:c r="G5004" s="19" t="str">
        <x:v>Repairer Invoiced Processed</x:v>
      </x:c>
      <x:c r="H5004" s="19" t="str">
        <x:v>In Field</x:v>
      </x:c>
      <x:c r="I5004" s="37" t="n">
        <x:v>46075</x:v>
      </x:c>
      <x:c r="J5004" s="37" t="n">
        <x:v>46075</x:v>
      </x:c>
      <x:c r="K5004" s="19" t="str">
        <x:v>Green RV - Forest Glen</x:v>
      </x:c>
      <x:c r="L5004" s="19" t="str">
        <x:v>Z006</x:v>
      </x:c>
      <x:c r="M5004" s="19" t="str">
        <x:v>In Field Warranty Claims</x:v>
      </x:c>
      <x:c r="N5004" s="37" t="n">
        <x:v>45988</x:v>
      </x:c>
      <x:c r="O5004" s="37"/>
      <x:c r="P5004" s="34" t="n">
        <x:v>0</x:v>
      </x:c>
      <x:c r="Q5004" s="37" t="n">
        <x:v>46075.14885416667</x:v>
      </x:c>
    </x:row>
    <x:row r="5005">
      <x:c r="A5005" s="22" t="n">
        <x:v>28393</x:v>
      </x:c>
      <x:c r="B5005" s="28" t="n">
        <x:v>165</x:v>
      </x:c>
      <x:c r="C5005" s="28"/>
      <x:c r="D5005" s="31" t="str">
        <x:f>IF(OR(ISBLANK(B5005),ISBLANK(C5005),B5005=0),"",(C5005-B5005)/B5005)</x:f>
      </x:c>
      <x:c r="E5005" s="22" t="str">
        <x:f>IF(ISBLANK(C5005),"AmountIncludingTax缺失",IF(ABS(B5005-C5005)&lt;0.005,"一致","不一致"))</x:f>
        <x:v>AmountIncludingTax缺失</x:v>
      </x:c>
      <x:c r="F5005" s="19" t="str">
        <x:v>approved</x:v>
      </x:c>
      <x:c r="G5005" s="19" t="str">
        <x:v>Repair in Progress</x:v>
      </x:c>
      <x:c r="H5005" s="19" t="str">
        <x:v>In Field</x:v>
      </x:c>
      <x:c r="I5005" s="37" t="n">
        <x:v>46056</x:v>
      </x:c>
      <x:c r="J5005" s="37" t="n">
        <x:v>46052</x:v>
      </x:c>
      <x:c r="K5005" s="19" t="str">
        <x:v>Regent RV - Perth</x:v>
      </x:c>
      <x:c r="L5005" s="19" t="str">
        <x:v>Z006</x:v>
      </x:c>
      <x:c r="M5005" s="19" t="str">
        <x:v>In Field Warranty Claims</x:v>
      </x:c>
      <x:c r="N5005" s="37" t="n">
        <x:v>45988</x:v>
      </x:c>
      <x:c r="O5005" s="37"/>
      <x:c r="P5005" s="34" t="n">
        <x:v>0</x:v>
      </x:c>
      <x:c r="Q5005" s="37" t="n">
        <x:v>46055.937210648146</x:v>
      </x:c>
    </x:row>
    <x:row r="5006">
      <x:c r="A5006" s="22" t="n">
        <x:v>28392</x:v>
      </x:c>
      <x:c r="B5006" s="28" t="n">
        <x:v>280</x:v>
      </x:c>
      <x:c r="C5006" s="28"/>
      <x:c r="D5006" s="31" t="str">
        <x:f>IF(OR(ISBLANK(B5006),ISBLANK(C5006),B5006=0),"",(C5006-B5006)/B5006)</x:f>
      </x:c>
      <x:c r="E5006" s="22" t="str">
        <x:f>IF(ISBLANK(C5006),"AmountIncludingTax缺失",IF(ABS(B5006-C5006)&lt;0.005,"一致","不一致"))</x:f>
        <x:v>AmountIncludingTax缺失</x:v>
      </x:c>
      <x:c r="F5006" s="19" t="str">
        <x:v>approved</x:v>
      </x:c>
      <x:c r="G5006" s="19" t="str">
        <x:v>Repair in Progress</x:v>
      </x:c>
      <x:c r="H5006" s="19" t="str">
        <x:v>In Field</x:v>
      </x:c>
      <x:c r="I5006" s="37" t="n">
        <x:v>46094</x:v>
      </x:c>
      <x:c r="J5006" s="37" t="n">
        <x:v>46094</x:v>
      </x:c>
      <x:c r="K5006" s="19" t="str">
        <x:v>Green RV - Forest Glen</x:v>
      </x:c>
      <x:c r="L5006" s="19" t="str">
        <x:v>Z006</x:v>
      </x:c>
      <x:c r="M5006" s="19" t="str">
        <x:v>In Field Warranty Claims</x:v>
      </x:c>
      <x:c r="N5006" s="37" t="n">
        <x:v>45988</x:v>
      </x:c>
      <x:c r="O5006" s="37"/>
      <x:c r="P5006" s="34" t="n">
        <x:v>0</x:v>
      </x:c>
      <x:c r="Q5006" s="37" t="n">
        <x:v>46093.927407407406</x:v>
      </x:c>
    </x:row>
    <x:row r="5007">
      <x:c r="A5007" s="22" t="n">
        <x:v>28391</x:v>
      </x:c>
      <x:c r="B5007" s="28" t="n">
        <x:v>860</x:v>
      </x:c>
      <x:c r="C5007" s="28"/>
      <x:c r="D5007" s="31" t="str">
        <x:f>IF(OR(ISBLANK(B5007),ISBLANK(C5007),B5007=0),"",(C5007-B5007)/B5007)</x:f>
      </x:c>
      <x:c r="E5007" s="22" t="str">
        <x:f>IF(ISBLANK(C5007),"AmountIncludingTax缺失",IF(ABS(B5007-C5007)&lt;0.005,"一致","不一致"))</x:f>
        <x:v>AmountIncludingTax缺失</x:v>
      </x:c>
      <x:c r="F5007" s="19" t="str">
        <x:v>approved</x:v>
      </x:c>
      <x:c r="G5007" s="19" t="str">
        <x:v>Repair in Progress</x:v>
      </x:c>
      <x:c r="H5007" s="19" t="str">
        <x:v>In Field</x:v>
      </x:c>
      <x:c r="I5007" s="37" t="n">
        <x:v>46112</x:v>
      </x:c>
      <x:c r="J5007" s="37" t="n">
        <x:v>46112</x:v>
      </x:c>
      <x:c r="K5007" s="19" t="str">
        <x:v>Auswide Caravans - South Nowra</x:v>
      </x:c>
      <x:c r="L5007" s="19" t="str">
        <x:v>Z006</x:v>
      </x:c>
      <x:c r="M5007" s="19" t="str">
        <x:v>In Field Warranty Claims</x:v>
      </x:c>
      <x:c r="N5007" s="37" t="n">
        <x:v>45988</x:v>
      </x:c>
      <x:c r="O5007" s="37"/>
      <x:c r="P5007" s="34" t="n">
        <x:v>0</x:v>
      </x:c>
      <x:c r="Q5007" s="37" t="n">
        <x:v>46111.88945601852</x:v>
      </x:c>
    </x:row>
    <x:row r="5008">
      <x:c r="A5008" s="22" t="n">
        <x:v>28389</x:v>
      </x:c>
      <x:c r="B5008" s="28" t="n">
        <x:v>184.1</x:v>
      </x:c>
      <x:c r="C5008" s="28"/>
      <x:c r="D5008" s="31" t="str">
        <x:f>IF(OR(ISBLANK(B5008),ISBLANK(C5008),B5008=0),"",(C5008-B5008)/B5008)</x:f>
      </x:c>
      <x:c r="E5008" s="22" t="str">
        <x:f>IF(ISBLANK(C5008),"AmountIncludingTax缺失",IF(ABS(B5008-C5008)&lt;0.005,"一致","不一致"))</x:f>
        <x:v>AmountIncludingTax缺失</x:v>
      </x:c>
      <x:c r="F5008" s="19" t="str">
        <x:v>approved</x:v>
      </x:c>
      <x:c r="G5008" s="19" t="str">
        <x:v>Repair in Progress</x:v>
      </x:c>
      <x:c r="H5008" s="19" t="str">
        <x:v>Pre Delivery</x:v>
      </x:c>
      <x:c r="I5008" s="37" t="n">
        <x:v>46065</x:v>
      </x:c>
      <x:c r="J5008" s="37" t="n">
        <x:v>46065</x:v>
      </x:c>
      <x:c r="K5008" s="19" t="str">
        <x:v>Green RV - Forest Glen</x:v>
      </x:c>
      <x:c r="L5008" s="19" t="str">
        <x:v>Z005</x:v>
      </x:c>
      <x:c r="M5008" s="19" t="str">
        <x:v>Pre Delivery Warranty Claims</x:v>
      </x:c>
      <x:c r="N5008" s="37" t="n">
        <x:v>45988</x:v>
      </x:c>
      <x:c r="O5008" s="37"/>
      <x:c r="P5008" s="34" t="n">
        <x:v>0</x:v>
      </x:c>
      <x:c r="Q5008" s="37" t="n">
        <x:v>46064.9194212963</x:v>
      </x:c>
    </x:row>
    <x:row r="5009">
      <x:c r="A5009" s="22" t="n">
        <x:v>28386</x:v>
      </x:c>
      <x:c r="B5009" s="28" t="n">
        <x:v>931.25</x:v>
      </x:c>
      <x:c r="C5009" s="28"/>
      <x:c r="D5009" s="31" t="str">
        <x:f>IF(OR(ISBLANK(B5009),ISBLANK(C5009),B5009=0),"",(C5009-B5009)/B5009)</x:f>
      </x:c>
      <x:c r="E5009" s="22" t="str">
        <x:f>IF(ISBLANK(C5009),"AmountIncludingTax缺失",IF(ABS(B5009-C5009)&lt;0.005,"一致","不一致"))</x:f>
        <x:v>AmountIncludingTax缺失</x:v>
      </x:c>
      <x:c r="F5009" s="19" t="str">
        <x:v>approved</x:v>
      </x:c>
      <x:c r="G5009" s="19" t="str">
        <x:v>Repair in Progress</x:v>
      </x:c>
      <x:c r="H5009" s="19" t="str">
        <x:v>In Field</x:v>
      </x:c>
      <x:c r="I5009" s="37" t="n">
        <x:v>46063</x:v>
      </x:c>
      <x:c r="J5009" s="37" t="n">
        <x:v>46063</x:v>
      </x:c>
      <x:c r="K5009" s="19" t="str">
        <x:v>Green RV - Slacks Creek</x:v>
      </x:c>
      <x:c r="L5009" s="19" t="str">
        <x:v>Z006</x:v>
      </x:c>
      <x:c r="M5009" s="19" t="str">
        <x:v>In Field Warranty Claims</x:v>
      </x:c>
      <x:c r="N5009" s="37" t="n">
        <x:v>45988</x:v>
      </x:c>
      <x:c r="O5009" s="37"/>
      <x:c r="P5009" s="34" t="n">
        <x:v>0</x:v>
      </x:c>
      <x:c r="Q5009" s="37" t="n">
        <x:v>46063.230625</x:v>
      </x:c>
    </x:row>
    <x:row r="5010">
      <x:c r="A5010" s="22" t="n">
        <x:v>28385</x:v>
      </x:c>
      <x:c r="B5010" s="28" t="n">
        <x:v>280</x:v>
      </x:c>
      <x:c r="C5010" s="28" t="n">
        <x:v>253.51</x:v>
      </x:c>
      <x:c r="D5010" s="31" t="n">
        <x:f>IF(OR(ISBLANK(B5010),ISBLANK(C5010),B5010=0),"",(C5010-B5010)/B5010)</x:f>
        <x:v>-0.09460714285714289</x:v>
      </x:c>
      <x:c r="E5010" s="22" t="str">
        <x:f>IF(ISBLANK(C5010),"AmountIncludingTax缺失",IF(ABS(B5010-C5010)&lt;0.005,"一致","不一致"))</x:f>
        <x:v>不一致</x:v>
      </x:c>
      <x:c r="F5010" s="19" t="str">
        <x:v>approved</x:v>
      </x:c>
      <x:c r="G5010" s="19" t="str">
        <x:v>Repairer Invoiced Processed</x:v>
      </x:c>
      <x:c r="H5010" s="19" t="str">
        <x:v>In Field</x:v>
      </x:c>
      <x:c r="I5010" s="37" t="n">
        <x:v>46157</x:v>
      </x:c>
      <x:c r="J5010" s="37" t="n">
        <x:v>46157</x:v>
      </x:c>
      <x:c r="K5010" s="19" t="str">
        <x:v>Vanari Caravans - Marden Point</x:v>
      </x:c>
      <x:c r="L5010" s="19" t="str">
        <x:v>Z006</x:v>
      </x:c>
      <x:c r="M5010" s="19" t="str">
        <x:v>In Field Warranty Claims</x:v>
      </x:c>
      <x:c r="N5010" s="37" t="n">
        <x:v>45988</x:v>
      </x:c>
      <x:c r="O5010" s="37" t="n">
        <x:v>46107</x:v>
      </x:c>
      <x:c r="P5010" s="34" t="n">
        <x:v>253.51</x:v>
      </x:c>
      <x:c r="Q5010" s="37" t="n">
        <x:v>46157.15116898148</x:v>
      </x:c>
    </x:row>
    <x:row r="5011">
      <x:c r="A5011" s="22" t="n">
        <x:v>28384</x:v>
      </x:c>
      <x:c r="B5011" s="28" t="n">
        <x:v>951.25</x:v>
      </x:c>
      <x:c r="C5011" s="28"/>
      <x:c r="D5011" s="31" t="str">
        <x:f>IF(OR(ISBLANK(B5011),ISBLANK(C5011),B5011=0),"",(C5011-B5011)/B5011)</x:f>
      </x:c>
      <x:c r="E5011" s="22" t="str">
        <x:f>IF(ISBLANK(C5011),"AmountIncludingTax缺失",IF(ABS(B5011-C5011)&lt;0.005,"一致","不一致"))</x:f>
        <x:v>AmountIncludingTax缺失</x:v>
      </x:c>
      <x:c r="F5011" s="19" t="str">
        <x:v>approved</x:v>
      </x:c>
      <x:c r="G5011" s="19" t="str">
        <x:v>Repair in Progress</x:v>
      </x:c>
      <x:c r="H5011" s="19" t="str">
        <x:v>In Field</x:v>
      </x:c>
      <x:c r="I5011" s="37" t="n">
        <x:v>46086</x:v>
      </x:c>
      <x:c r="J5011" s="37" t="n">
        <x:v>46086</x:v>
      </x:c>
      <x:c r="K5011" s="19" t="str">
        <x:v>Dario Caravans -St.Marys</x:v>
      </x:c>
      <x:c r="L5011" s="19" t="str">
        <x:v>Z006</x:v>
      </x:c>
      <x:c r="M5011" s="19" t="str">
        <x:v>In Field Warranty Claims</x:v>
      </x:c>
      <x:c r="N5011" s="37" t="n">
        <x:v>45988</x:v>
      </x:c>
      <x:c r="O5011" s="37"/>
      <x:c r="P5011" s="34" t="n">
        <x:v>0</x:v>
      </x:c>
      <x:c r="Q5011" s="37" t="n">
        <x:v>46085.87527777778</x:v>
      </x:c>
    </x:row>
    <x:row r="5012">
      <x:c r="A5012" s="22" t="n">
        <x:v>28380</x:v>
      </x:c>
      <x:c r="B5012" s="28" t="n">
        <x:v>1032.5</x:v>
      </x:c>
      <x:c r="C5012" s="28"/>
      <x:c r="D5012" s="31" t="str">
        <x:f>IF(OR(ISBLANK(B5012),ISBLANK(C5012),B5012=0),"",(C5012-B5012)/B5012)</x:f>
      </x:c>
      <x:c r="E5012" s="22" t="str">
        <x:f>IF(ISBLANK(C5012),"AmountIncludingTax缺失",IF(ABS(B5012-C5012)&lt;0.005,"一致","不一致"))</x:f>
        <x:v>AmountIncludingTax缺失</x:v>
      </x:c>
      <x:c r="F5012" s="19" t="str">
        <x:v>approved</x:v>
      </x:c>
      <x:c r="G5012" s="19" t="str">
        <x:v>Repairer Invoiced Processed</x:v>
      </x:c>
      <x:c r="H5012" s="19" t="str">
        <x:v>Pre Delivery</x:v>
      </x:c>
      <x:c r="I5012" s="37" t="n">
        <x:v>46064</x:v>
      </x:c>
      <x:c r="J5012" s="37" t="n">
        <x:v>46064</x:v>
      </x:c>
      <x:c r="K5012" s="19" t="str">
        <x:v>Green RV - Forest Glen</x:v>
      </x:c>
      <x:c r="L5012" s="19" t="str">
        <x:v>Z005</x:v>
      </x:c>
      <x:c r="M5012" s="19" t="str">
        <x:v>Pre Delivery Warranty Claims</x:v>
      </x:c>
      <x:c r="N5012" s="37" t="n">
        <x:v>45988</x:v>
      </x:c>
      <x:c r="O5012" s="37"/>
      <x:c r="P5012" s="34" t="n">
        <x:v>0</x:v>
      </x:c>
      <x:c r="Q5012" s="37" t="n">
        <x:v>46063.87159722222</x:v>
      </x:c>
    </x:row>
    <x:row r="5013">
      <x:c r="A5013" s="22" t="n">
        <x:v>28379</x:v>
      </x:c>
      <x:c r="B5013" s="28" t="n">
        <x:v>524.43</x:v>
      </x:c>
      <x:c r="C5013" s="28"/>
      <x:c r="D5013" s="31" t="str">
        <x:f>IF(OR(ISBLANK(B5013),ISBLANK(C5013),B5013=0),"",(C5013-B5013)/B5013)</x:f>
      </x:c>
      <x:c r="E5013" s="22" t="str">
        <x:f>IF(ISBLANK(C5013),"AmountIncludingTax缺失",IF(ABS(B5013-C5013)&lt;0.005,"一致","不一致"))</x:f>
        <x:v>AmountIncludingTax缺失</x:v>
      </x:c>
      <x:c r="F5013" s="19" t="str">
        <x:v>approved</x:v>
      </x:c>
      <x:c r="G5013" s="19" t="str">
        <x:v>Repairer Invoiced Processed</x:v>
      </x:c>
      <x:c r="H5013" s="19" t="str">
        <x:v>In Field</x:v>
      </x:c>
      <x:c r="I5013" s="37" t="n">
        <x:v>46057</x:v>
      </x:c>
      <x:c r="J5013" s="37" t="n">
        <x:v>46057</x:v>
      </x:c>
      <x:c r="K5013" s="19" t="str">
        <x:v>Green RV - Slacks Creek</x:v>
      </x:c>
      <x:c r="L5013" s="19" t="str">
        <x:v>Z006</x:v>
      </x:c>
      <x:c r="M5013" s="19" t="str">
        <x:v>In Field Warranty Claims</x:v>
      </x:c>
      <x:c r="N5013" s="37" t="n">
        <x:v>45988</x:v>
      </x:c>
      <x:c r="O5013" s="37"/>
      <x:c r="P5013" s="34" t="n">
        <x:v>0</x:v>
      </x:c>
      <x:c r="Q5013" s="37" t="n">
        <x:v>46057.0628125</x:v>
      </x:c>
    </x:row>
    <x:row r="5014">
      <x:c r="A5014" s="22" t="n">
        <x:v>28376</x:v>
      </x:c>
      <x:c r="B5014" s="28" t="n">
        <x:v>225</x:v>
      </x:c>
      <x:c r="C5014" s="28" t="n">
        <x:v>203.72</x:v>
      </x:c>
      <x:c r="D5014" s="31" t="n">
        <x:f>IF(OR(ISBLANK(B5014),ISBLANK(C5014),B5014=0),"",(C5014-B5014)/B5014)</x:f>
        <x:v>-0.09457777777777779</x:v>
      </x:c>
      <x:c r="E5014" s="22" t="str">
        <x:f>IF(ISBLANK(C5014),"AmountIncludingTax缺失",IF(ABS(B5014-C5014)&lt;0.005,"一致","不一致"))</x:f>
        <x:v>不一致</x:v>
      </x:c>
      <x:c r="F5014" s="19" t="str">
        <x:v>approved</x:v>
      </x:c>
      <x:c r="G5014" s="19" t="str">
        <x:v>Repairer Invoiced Processed</x:v>
      </x:c>
      <x:c r="H5014" s="19" t="str">
        <x:v>In Field</x:v>
      </x:c>
      <x:c r="I5014" s="37" t="n">
        <x:v>46086</x:v>
      </x:c>
      <x:c r="J5014" s="37" t="n">
        <x:v>46086</x:v>
      </x:c>
      <x:c r="K5014" s="19" t="str">
        <x:v>Vanari Caravans - Marden Point</x:v>
      </x:c>
      <x:c r="L5014" s="19" t="str">
        <x:v>Z006</x:v>
      </x:c>
      <x:c r="M5014" s="19" t="str">
        <x:v>In Field Warranty Claims</x:v>
      </x:c>
      <x:c r="N5014" s="37" t="n">
        <x:v>45988</x:v>
      </x:c>
      <x:c r="O5014" s="37"/>
      <x:c r="P5014" s="34" t="n">
        <x:v>203.72</x:v>
      </x:c>
      <x:c r="Q5014" s="37" t="n">
        <x:v>46085.87862268519</x:v>
      </x:c>
    </x:row>
    <x:row r="5015">
      <x:c r="A5015" s="22" t="n">
        <x:v>28375</x:v>
      </x:c>
      <x:c r="B5015" s="28" t="n">
        <x:v>337.5</x:v>
      </x:c>
      <x:c r="C5015" s="28"/>
      <x:c r="D5015" s="31" t="str">
        <x:f>IF(OR(ISBLANK(B5015),ISBLANK(C5015),B5015=0),"",(C5015-B5015)/B5015)</x:f>
      </x:c>
      <x:c r="E5015" s="22" t="str">
        <x:f>IF(ISBLANK(C5015),"AmountIncludingTax缺失",IF(ABS(B5015-C5015)&lt;0.005,"一致","不一致"))</x:f>
        <x:v>AmountIncludingTax缺失</x:v>
      </x:c>
      <x:c r="F5015" s="19" t="str">
        <x:v>approved</x:v>
      </x:c>
      <x:c r="G5015" s="19" t="str">
        <x:v>Repair in Progress</x:v>
      </x:c>
      <x:c r="H5015" s="19" t="str">
        <x:v>In Field</x:v>
      </x:c>
      <x:c r="I5015" s="37" t="n">
        <x:v>46063</x:v>
      </x:c>
      <x:c r="J5015" s="37" t="n">
        <x:v>46063</x:v>
      </x:c>
      <x:c r="K5015" s="19" t="str">
        <x:v>Great Ocean Road RV &amp; Caravans - Warrnambool</x:v>
      </x:c>
      <x:c r="L5015" s="19" t="str">
        <x:v>Z006</x:v>
      </x:c>
      <x:c r="M5015" s="19" t="str">
        <x:v>In Field Warranty Claims</x:v>
      </x:c>
      <x:c r="N5015" s="37" t="n">
        <x:v>45988</x:v>
      </x:c>
      <x:c r="O5015" s="37"/>
      <x:c r="P5015" s="34" t="n">
        <x:v>0</x:v>
      </x:c>
      <x:c r="Q5015" s="37" t="n">
        <x:v>46063.12287037037</x:v>
      </x:c>
    </x:row>
    <x:row r="5016">
      <x:c r="A5016" s="22" t="n">
        <x:v>28374</x:v>
      </x:c>
      <x:c r="B5016" s="28" t="n">
        <x:v>350.02</x:v>
      </x:c>
      <x:c r="C5016" s="28" t="n">
        <x:v>385.02</x:v>
      </x:c>
      <x:c r="D5016" s="31" t="n">
        <x:f>IF(OR(ISBLANK(B5016),ISBLANK(C5016),B5016=0),"",(C5016-B5016)/B5016)</x:f>
        <x:v>0.09999428604079767</x:v>
      </x:c>
      <x:c r="E5016" s="22" t="str">
        <x:f>IF(ISBLANK(C5016),"AmountIncludingTax缺失",IF(ABS(B5016-C5016)&lt;0.005,"一致","不一致"))</x:f>
        <x:v>不一致</x:v>
      </x:c>
      <x:c r="F5016" s="19" t="str">
        <x:v>approved</x:v>
      </x:c>
      <x:c r="G5016" s="19" t="str">
        <x:v>Repairer Invoiced Processed</x:v>
      </x:c>
      <x:c r="H5016" s="19" t="str">
        <x:v>Pre Delivery</x:v>
      </x:c>
      <x:c r="I5016" s="37" t="n">
        <x:v>46034</x:v>
      </x:c>
      <x:c r="J5016" s="37" t="n">
        <x:v>46034</x:v>
      </x:c>
      <x:c r="K5016" s="19" t="str">
        <x:v>Green RV - Forest Glen</x:v>
      </x:c>
      <x:c r="L5016" s="19" t="str">
        <x:v>Z005</x:v>
      </x:c>
      <x:c r="M5016" s="19" t="str">
        <x:v>Pre Delivery Warranty Claims</x:v>
      </x:c>
      <x:c r="N5016" s="37" t="n">
        <x:v>45988</x:v>
      </x:c>
      <x:c r="O5016" s="37"/>
      <x:c r="P5016" s="34" t="n">
        <x:v>385.02</x:v>
      </x:c>
      <x:c r="Q5016" s="37" t="n">
        <x:v>46034.26802083333</x:v>
      </x:c>
    </x:row>
    <x:row r="5017">
      <x:c r="A5017" s="22" t="n">
        <x:v>28372</x:v>
      </x:c>
      <x:c r="B5017" s="28" t="n">
        <x:v>482.5</x:v>
      </x:c>
      <x:c r="C5017" s="28"/>
      <x:c r="D5017" s="31" t="str">
        <x:f>IF(OR(ISBLANK(B5017),ISBLANK(C5017),B5017=0),"",(C5017-B5017)/B5017)</x:f>
      </x:c>
      <x:c r="E5017" s="22" t="str">
        <x:f>IF(ISBLANK(C5017),"AmountIncludingTax缺失",IF(ABS(B5017-C5017)&lt;0.005,"一致","不一致"))</x:f>
        <x:v>AmountIncludingTax缺失</x:v>
      </x:c>
      <x:c r="F5017" s="19" t="str">
        <x:v>approved</x:v>
      </x:c>
      <x:c r="G5017" s="19" t="str">
        <x:v>Repairer Invoiced Processed</x:v>
      </x:c>
      <x:c r="H5017" s="19" t="str">
        <x:v>In Field</x:v>
      </x:c>
      <x:c r="I5017" s="37" t="n">
        <x:v>46063</x:v>
      </x:c>
      <x:c r="J5017" s="37" t="n">
        <x:v>46063</x:v>
      </x:c>
      <x:c r="K5017" s="19" t="str">
        <x:v>Green RV - Slacks Creek</x:v>
      </x:c>
      <x:c r="L5017" s="19" t="str">
        <x:v>Z006</x:v>
      </x:c>
      <x:c r="M5017" s="19" t="str">
        <x:v>In Field Warranty Claims</x:v>
      </x:c>
      <x:c r="N5017" s="37" t="n">
        <x:v>45988</x:v>
      </x:c>
      <x:c r="O5017" s="37"/>
      <x:c r="P5017" s="34" t="n">
        <x:v>0</x:v>
      </x:c>
      <x:c r="Q5017" s="37" t="n">
        <x:v>46063.22974537037</x:v>
      </x:c>
    </x:row>
    <x:row r="5018">
      <x:c r="A5018" s="22" t="n">
        <x:v>28371</x:v>
      </x:c>
      <x:c r="B5018" s="28" t="n">
        <x:v>70</x:v>
      </x:c>
      <x:c r="C5018" s="28"/>
      <x:c r="D5018" s="31" t="str">
        <x:f>IF(OR(ISBLANK(B5018),ISBLANK(C5018),B5018=0),"",(C5018-B5018)/B5018)</x:f>
      </x:c>
      <x:c r="E5018" s="22" t="str">
        <x:f>IF(ISBLANK(C5018),"AmountIncludingTax缺失",IF(ABS(B5018-C5018)&lt;0.005,"一致","不一致"))</x:f>
        <x:v>AmountIncludingTax缺失</x:v>
      </x:c>
      <x:c r="F5018" s="19" t="str">
        <x:v>approved</x:v>
      </x:c>
      <x:c r="G5018" s="19" t="str">
        <x:v>Repair in Progress</x:v>
      </x:c>
      <x:c r="H5018" s="19" t="str">
        <x:v>In Field</x:v>
      </x:c>
      <x:c r="I5018" s="37" t="n">
        <x:v>46065</x:v>
      </x:c>
      <x:c r="J5018" s="37" t="n">
        <x:v>46065</x:v>
      </x:c>
      <x:c r="K5018" s="19" t="str">
        <x:v>Regent RV - Frankston</x:v>
      </x:c>
      <x:c r="L5018" s="19" t="str">
        <x:v>Z006</x:v>
      </x:c>
      <x:c r="M5018" s="19" t="str">
        <x:v>In Field Warranty Claims</x:v>
      </x:c>
      <x:c r="N5018" s="37" t="n">
        <x:v>45988</x:v>
      </x:c>
      <x:c r="O5018" s="37"/>
      <x:c r="P5018" s="34" t="n">
        <x:v>0</x:v>
      </x:c>
      <x:c r="Q5018" s="37" t="n">
        <x:v>46064.98006944444</x:v>
      </x:c>
    </x:row>
    <x:row r="5019">
      <x:c r="A5019" s="22" t="n">
        <x:v>28368</x:v>
      </x:c>
      <x:c r="B5019" s="28" t="n">
        <x:v>550</x:v>
      </x:c>
      <x:c r="C5019" s="28"/>
      <x:c r="D5019" s="31" t="str">
        <x:f>IF(OR(ISBLANK(B5019),ISBLANK(C5019),B5019=0),"",(C5019-B5019)/B5019)</x:f>
      </x:c>
      <x:c r="E5019" s="22" t="str">
        <x:f>IF(ISBLANK(C5019),"AmountIncludingTax缺失",IF(ABS(B5019-C5019)&lt;0.005,"一致","不一致"))</x:f>
        <x:v>AmountIncludingTax缺失</x:v>
      </x:c>
      <x:c r="F5019" s="19" t="str">
        <x:v>approved</x:v>
      </x:c>
      <x:c r="G5019" s="19" t="str">
        <x:v>Repair in Progress</x:v>
      </x:c>
      <x:c r="H5019" s="19" t="str">
        <x:v>Pre Delivery</x:v>
      </x:c>
      <x:c r="I5019" s="37" t="n">
        <x:v>46066</x:v>
      </x:c>
      <x:c r="J5019" s="37" t="n">
        <x:v>46066</x:v>
      </x:c>
      <x:c r="K5019" s="19" t="str">
        <x:v>Great Ocean Road RV &amp; Caravans - Warrnambool</x:v>
      </x:c>
      <x:c r="L5019" s="19" t="str">
        <x:v>Z005</x:v>
      </x:c>
      <x:c r="M5019" s="19" t="str">
        <x:v>Pre Delivery Warranty Claims</x:v>
      </x:c>
      <x:c r="N5019" s="37" t="n">
        <x:v>45988</x:v>
      </x:c>
      <x:c r="O5019" s="37"/>
      <x:c r="P5019" s="34" t="n">
        <x:v>0</x:v>
      </x:c>
      <x:c r="Q5019" s="37" t="n">
        <x:v>46066.122395833336</x:v>
      </x:c>
    </x:row>
    <x:row r="5020">
      <x:c r="A5020" s="22" t="n">
        <x:v>28367</x:v>
      </x:c>
      <x:c r="B5020" s="28" t="n">
        <x:v>850</x:v>
      </x:c>
      <x:c r="C5020" s="28"/>
      <x:c r="D5020" s="31" t="str">
        <x:f>IF(OR(ISBLANK(B5020),ISBLANK(C5020),B5020=0),"",(C5020-B5020)/B5020)</x:f>
      </x:c>
      <x:c r="E5020" s="22" t="str">
        <x:f>IF(ISBLANK(C5020),"AmountIncludingTax缺失",IF(ABS(B5020-C5020)&lt;0.005,"一致","不一致"))</x:f>
        <x:v>AmountIncludingTax缺失</x:v>
      </x:c>
      <x:c r="F5020" s="19" t="str">
        <x:v>approved</x:v>
      </x:c>
      <x:c r="G5020" s="19" t="str">
        <x:v>Repairer Invoiced Processed</x:v>
      </x:c>
      <x:c r="H5020" s="19" t="str">
        <x:v>Pre Delivery</x:v>
      </x:c>
      <x:c r="I5020" s="37" t="n">
        <x:v>46058</x:v>
      </x:c>
      <x:c r="J5020" s="37" t="n">
        <x:v>46058</x:v>
      </x:c>
      <x:c r="K5020" s="19" t="str">
        <x:v>Great Ocean Road RV &amp; Caravans - Warrnambool</x:v>
      </x:c>
      <x:c r="L5020" s="19" t="str">
        <x:v>Z005</x:v>
      </x:c>
      <x:c r="M5020" s="19" t="str">
        <x:v>Pre Delivery Warranty Claims</x:v>
      </x:c>
      <x:c r="N5020" s="37" t="n">
        <x:v>45988</x:v>
      </x:c>
      <x:c r="O5020" s="37"/>
      <x:c r="P5020" s="34" t="n">
        <x:v>0</x:v>
      </x:c>
      <x:c r="Q5020" s="37" t="n">
        <x:v>46057.99387731482</x:v>
      </x:c>
    </x:row>
    <x:row r="5021">
      <x:c r="A5021" s="22" t="n">
        <x:v>28366</x:v>
      </x:c>
      <x:c r="B5021" s="28" t="n">
        <x:v>1140</x:v>
      </x:c>
      <x:c r="C5021" s="28"/>
      <x:c r="D5021" s="31" t="str">
        <x:f>IF(OR(ISBLANK(B5021),ISBLANK(C5021),B5021=0),"",(C5021-B5021)/B5021)</x:f>
      </x:c>
      <x:c r="E5021" s="22" t="str">
        <x:f>IF(ISBLANK(C5021),"AmountIncludingTax缺失",IF(ABS(B5021-C5021)&lt;0.005,"一致","不一致"))</x:f>
        <x:v>AmountIncludingTax缺失</x:v>
      </x:c>
      <x:c r="F5021" s="19" t="str">
        <x:v>approved</x:v>
      </x:c>
      <x:c r="G5021" s="19" t="str">
        <x:v>Repairer Invoiced Processed</x:v>
      </x:c>
      <x:c r="H5021" s="19" t="str">
        <x:v>In Field</x:v>
      </x:c>
      <x:c r="I5021" s="37" t="n">
        <x:v>46156</x:v>
      </x:c>
      <x:c r="J5021" s="37" t="n">
        <x:v>46070</x:v>
      </x:c>
      <x:c r="K5021" s="19" t="str">
        <x:v>Green RV - Forest Glen</x:v>
      </x:c>
      <x:c r="L5021" s="19" t="str">
        <x:v>Z006</x:v>
      </x:c>
      <x:c r="M5021" s="19" t="str">
        <x:v>In Field Warranty Claims</x:v>
      </x:c>
      <x:c r="N5021" s="37" t="n">
        <x:v>45988</x:v>
      </x:c>
      <x:c r="O5021" s="37"/>
      <x:c r="P5021" s="34" t="n">
        <x:v>0</x:v>
      </x:c>
      <x:c r="Q5021" s="37" t="n">
        <x:v>46156.18518518518</x:v>
      </x:c>
    </x:row>
    <x:row r="5022">
      <x:c r="A5022" s="22" t="n">
        <x:v>28365</x:v>
      </x:c>
      <x:c r="B5022" s="28" t="n">
        <x:v>1140.73</x:v>
      </x:c>
      <x:c r="C5022" s="28"/>
      <x:c r="D5022" s="31" t="str">
        <x:f>IF(OR(ISBLANK(B5022),ISBLANK(C5022),B5022=0),"",(C5022-B5022)/B5022)</x:f>
      </x:c>
      <x:c r="E5022" s="22" t="str">
        <x:f>IF(ISBLANK(C5022),"AmountIncludingTax缺失",IF(ABS(B5022-C5022)&lt;0.005,"一致","不一致"))</x:f>
        <x:v>AmountIncludingTax缺失</x:v>
      </x:c>
      <x:c r="F5022" s="19" t="str">
        <x:v>approved</x:v>
      </x:c>
      <x:c r="G5022" s="19" t="str">
        <x:v>Repairer Invoiced Processed</x:v>
      </x:c>
      <x:c r="H5022" s="19" t="str">
        <x:v>In Field</x:v>
      </x:c>
      <x:c r="I5022" s="37" t="n">
        <x:v>46120</x:v>
      </x:c>
      <x:c r="J5022" s="37" t="n">
        <x:v>46120</x:v>
      </x:c>
      <x:c r="K5022" s="19" t="str">
        <x:v>Green RV - Forest Glen</x:v>
      </x:c>
      <x:c r="L5022" s="19" t="str">
        <x:v>Z006</x:v>
      </x:c>
      <x:c r="M5022" s="19" t="str">
        <x:v>In Field Warranty Claims</x:v>
      </x:c>
      <x:c r="N5022" s="37" t="n">
        <x:v>45987</x:v>
      </x:c>
      <x:c r="O5022" s="37"/>
      <x:c r="P5022" s="34" t="n">
        <x:v>1254.8</x:v>
      </x:c>
      <x:c r="Q5022" s="37" t="n">
        <x:v>46120.07361111111</x:v>
      </x:c>
    </x:row>
    <x:row r="5023">
      <x:c r="A5023" s="22" t="n">
        <x:v>28364</x:v>
      </x:c>
      <x:c r="B5023" s="28" t="n">
        <x:v>342.5</x:v>
      </x:c>
      <x:c r="C5023" s="28"/>
      <x:c r="D5023" s="31" t="str">
        <x:f>IF(OR(ISBLANK(B5023),ISBLANK(C5023),B5023=0),"",(C5023-B5023)/B5023)</x:f>
      </x:c>
      <x:c r="E5023" s="22" t="str">
        <x:f>IF(ISBLANK(C5023),"AmountIncludingTax缺失",IF(ABS(B5023-C5023)&lt;0.005,"一致","不一致"))</x:f>
        <x:v>AmountIncludingTax缺失</x:v>
      </x:c>
      <x:c r="F5023" s="19" t="str">
        <x:v>approved</x:v>
      </x:c>
      <x:c r="G5023" s="19" t="str">
        <x:v>Repair in Progress</x:v>
      </x:c>
      <x:c r="H5023" s="19" t="str">
        <x:v>In Field</x:v>
      </x:c>
      <x:c r="I5023" s="37" t="n">
        <x:v>46075</x:v>
      </x:c>
      <x:c r="J5023" s="37" t="n">
        <x:v>46075</x:v>
      </x:c>
      <x:c r="K5023" s="19" t="str">
        <x:v>Not Assigned</x:v>
      </x:c>
      <x:c r="L5023" s="19" t="str">
        <x:v>Z006</x:v>
      </x:c>
      <x:c r="M5023" s="19" t="str">
        <x:v>In Field Warranty Claims</x:v>
      </x:c>
      <x:c r="N5023" s="37" t="n">
        <x:v>45987</x:v>
      </x:c>
      <x:c r="O5023" s="37"/>
      <x:c r="P5023" s="34" t="n">
        <x:v>0</x:v>
      </x:c>
      <x:c r="Q5023" s="37" t="n">
        <x:v>46075.14869212963</x:v>
      </x:c>
    </x:row>
    <x:row r="5024">
      <x:c r="A5024" s="22" t="n">
        <x:v>28362</x:v>
      </x:c>
      <x:c r="B5024" s="28" t="n">
        <x:v>321.93</x:v>
      </x:c>
      <x:c r="C5024" s="28"/>
      <x:c r="D5024" s="31" t="str">
        <x:f>IF(OR(ISBLANK(B5024),ISBLANK(C5024),B5024=0),"",(C5024-B5024)/B5024)</x:f>
      </x:c>
      <x:c r="E5024" s="22" t="str">
        <x:f>IF(ISBLANK(C5024),"AmountIncludingTax缺失",IF(ABS(B5024-C5024)&lt;0.005,"一致","不一致"))</x:f>
        <x:v>AmountIncludingTax缺失</x:v>
      </x:c>
      <x:c r="F5024" s="19" t="str">
        <x:v>approved</x:v>
      </x:c>
      <x:c r="G5024" s="19" t="str">
        <x:v>Repair in Progress</x:v>
      </x:c>
      <x:c r="H5024" s="19" t="str">
        <x:v>In Field</x:v>
      </x:c>
      <x:c r="I5024" s="37" t="n">
        <x:v>46075</x:v>
      </x:c>
      <x:c r="J5024" s="37" t="n">
        <x:v>46075</x:v>
      </x:c>
      <x:c r="K5024" s="19" t="str">
        <x:v>Green RV - Forest Glen</x:v>
      </x:c>
      <x:c r="L5024" s="19" t="str">
        <x:v>Z006</x:v>
      </x:c>
      <x:c r="M5024" s="19" t="str">
        <x:v>In Field Warranty Claims</x:v>
      </x:c>
      <x:c r="N5024" s="37" t="n">
        <x:v>45987</x:v>
      </x:c>
      <x:c r="O5024" s="37"/>
      <x:c r="P5024" s="34" t="n">
        <x:v>0</x:v>
      </x:c>
      <x:c r="Q5024" s="37" t="n">
        <x:v>46075.14832175926</x:v>
      </x:c>
    </x:row>
    <x:row r="5025">
      <x:c r="A5025" s="22" t="n">
        <x:v>28361</x:v>
      </x:c>
      <x:c r="B5025" s="28" t="n">
        <x:v>1032.5</x:v>
      </x:c>
      <x:c r="C5025" s="28"/>
      <x:c r="D5025" s="31" t="str">
        <x:f>IF(OR(ISBLANK(B5025),ISBLANK(C5025),B5025=0),"",(C5025-B5025)/B5025)</x:f>
      </x:c>
      <x:c r="E5025" s="22" t="str">
        <x:f>IF(ISBLANK(C5025),"AmountIncludingTax缺失",IF(ABS(B5025-C5025)&lt;0.005,"一致","不一致"))</x:f>
        <x:v>AmountIncludingTax缺失</x:v>
      </x:c>
      <x:c r="F5025" s="19" t="str">
        <x:v>approved</x:v>
      </x:c>
      <x:c r="G5025" s="19" t="str">
        <x:v>Repair in Progress</x:v>
      </x:c>
      <x:c r="H5025" s="19" t="str">
        <x:v>In Field</x:v>
      </x:c>
      <x:c r="I5025" s="37" t="n">
        <x:v>46070</x:v>
      </x:c>
      <x:c r="J5025" s="37" t="n">
        <x:v>46070</x:v>
      </x:c>
      <x:c r="K5025" s="19" t="str">
        <x:v>Green RV - Forest Glen</x:v>
      </x:c>
      <x:c r="L5025" s="19" t="str">
        <x:v>Z006</x:v>
      </x:c>
      <x:c r="M5025" s="19" t="str">
        <x:v>In Field Warranty Claims</x:v>
      </x:c>
      <x:c r="N5025" s="37" t="n">
        <x:v>45987</x:v>
      </x:c>
      <x:c r="O5025" s="37"/>
      <x:c r="P5025" s="34" t="n">
        <x:v>0</x:v>
      </x:c>
      <x:c r="Q5025" s="37" t="n">
        <x:v>46070.035416666666</x:v>
      </x:c>
    </x:row>
    <x:row r="5026">
      <x:c r="A5026" s="22" t="n">
        <x:v>28360</x:v>
      </x:c>
      <x:c r="B5026" s="28" t="n">
        <x:v>356.6</x:v>
      </x:c>
      <x:c r="C5026" s="28" t="n">
        <x:v>392.26</x:v>
      </x:c>
      <x:c r="D5026" s="31" t="n">
        <x:f>IF(OR(ISBLANK(B5026),ISBLANK(C5026),B5026=0),"",(C5026-B5026)/B5026)</x:f>
        <x:v>0.09999999999999991</x:v>
      </x:c>
      <x:c r="E5026" s="22" t="str">
        <x:f>IF(ISBLANK(C5026),"AmountIncludingTax缺失",IF(ABS(B5026-C5026)&lt;0.005,"一致","不一致"))</x:f>
        <x:v>不一致</x:v>
      </x:c>
      <x:c r="F5026" s="19" t="str">
        <x:v>approved</x:v>
      </x:c>
      <x:c r="G5026" s="19" t="str">
        <x:v>Repairer Invoiced Processed</x:v>
      </x:c>
      <x:c r="H5026" s="19" t="str">
        <x:v>In Field</x:v>
      </x:c>
      <x:c r="I5026" s="37" t="n">
        <x:v>46056</x:v>
      </x:c>
      <x:c r="J5026" s="37" t="n">
        <x:v>46056</x:v>
      </x:c>
      <x:c r="K5026" s="19" t="str">
        <x:v>Dario Caravans -St.Marys</x:v>
      </x:c>
      <x:c r="L5026" s="19" t="str">
        <x:v>Z006</x:v>
      </x:c>
      <x:c r="M5026" s="19" t="str">
        <x:v>In Field Warranty Claims</x:v>
      </x:c>
      <x:c r="N5026" s="37" t="n">
        <x:v>45988</x:v>
      </x:c>
      <x:c r="O5026" s="37"/>
      <x:c r="P5026" s="34" t="n">
        <x:v>392.26</x:v>
      </x:c>
      <x:c r="Q5026" s="37" t="n">
        <x:v>46056.28664351852</x:v>
      </x:c>
    </x:row>
    <x:row r="5027">
      <x:c r="A5027" s="22" t="n">
        <x:v>28358</x:v>
      </x:c>
      <x:c r="B5027" s="28" t="n">
        <x:v>600</x:v>
      </x:c>
      <x:c r="C5027" s="28"/>
      <x:c r="D5027" s="31" t="str">
        <x:f>IF(OR(ISBLANK(B5027),ISBLANK(C5027),B5027=0),"",(C5027-B5027)/B5027)</x:f>
      </x:c>
      <x:c r="E5027" s="22" t="str">
        <x:f>IF(ISBLANK(C5027),"AmountIncludingTax缺失",IF(ABS(B5027-C5027)&lt;0.005,"一致","不一致"))</x:f>
        <x:v>AmountIncludingTax缺失</x:v>
      </x:c>
      <x:c r="F5027" s="19" t="str">
        <x:v>approved</x:v>
      </x:c>
      <x:c r="G5027" s="19" t="str">
        <x:v>Repairer Invoiced Processed</x:v>
      </x:c>
      <x:c r="H5027" s="19" t="str">
        <x:v>Pre Delivery</x:v>
      </x:c>
      <x:c r="I5027" s="37" t="n">
        <x:v>46072</x:v>
      </x:c>
      <x:c r="J5027" s="37" t="n">
        <x:v>46072</x:v>
      </x:c>
      <x:c r="K5027" s="19" t="str">
        <x:v>Great Ocean Road RV &amp; Caravans - Warrnambool</x:v>
      </x:c>
      <x:c r="L5027" s="19" t="str">
        <x:v>Z005</x:v>
      </x:c>
      <x:c r="M5027" s="19" t="str">
        <x:v>Pre Delivery Warranty Claims</x:v>
      </x:c>
      <x:c r="N5027" s="37" t="n">
        <x:v>45988</x:v>
      </x:c>
      <x:c r="O5027" s="37"/>
      <x:c r="P5027" s="34" t="n">
        <x:v>0</x:v>
      </x:c>
      <x:c r="Q5027" s="37" t="n">
        <x:v>46072.04871527778</x:v>
      </x:c>
    </x:row>
    <x:row r="5028">
      <x:c r="A5028" s="22" t="n">
        <x:v>28356</x:v>
      </x:c>
      <x:c r="B5028" s="28" t="n">
        <x:v>746.38</x:v>
      </x:c>
      <x:c r="C5028" s="28"/>
      <x:c r="D5028" s="31" t="str">
        <x:f>IF(OR(ISBLANK(B5028),ISBLANK(C5028),B5028=0),"",(C5028-B5028)/B5028)</x:f>
      </x:c>
      <x:c r="E5028" s="22" t="str">
        <x:f>IF(ISBLANK(C5028),"AmountIncludingTax缺失",IF(ABS(B5028-C5028)&lt;0.005,"一致","不一致"))</x:f>
        <x:v>AmountIncludingTax缺失</x:v>
      </x:c>
      <x:c r="F5028" s="19" t="str">
        <x:v>approved</x:v>
      </x:c>
      <x:c r="G5028" s="19" t="str">
        <x:v>Repairer Invoiced Processed</x:v>
      </x:c>
      <x:c r="H5028" s="19" t="str">
        <x:v>In Field</x:v>
      </x:c>
      <x:c r="I5028" s="37" t="n">
        <x:v>46079</x:v>
      </x:c>
      <x:c r="J5028" s="37" t="n">
        <x:v>46079</x:v>
      </x:c>
      <x:c r="K5028" s="19" t="str">
        <x:v>Green RV - Forest Glen</x:v>
      </x:c>
      <x:c r="L5028" s="19" t="str">
        <x:v>Z006</x:v>
      </x:c>
      <x:c r="M5028" s="19" t="str">
        <x:v>In Field Warranty Claims</x:v>
      </x:c>
      <x:c r="N5028" s="37" t="n">
        <x:v>45987</x:v>
      </x:c>
      <x:c r="O5028" s="37"/>
      <x:c r="P5028" s="34" t="n">
        <x:v>0</x:v>
      </x:c>
      <x:c r="Q5028" s="37" t="n">
        <x:v>46079.17597222222</x:v>
      </x:c>
    </x:row>
    <x:row r="5029">
      <x:c r="A5029" s="22" t="n">
        <x:v>28355</x:v>
      </x:c>
      <x:c r="B5029" s="28" t="n">
        <x:v>181.82</x:v>
      </x:c>
      <x:c r="C5029" s="28" t="n">
        <x:v>200</x:v>
      </x:c>
      <x:c r="D5029" s="31" t="n">
        <x:f>IF(OR(ISBLANK(B5029),ISBLANK(C5029),B5029=0),"",(C5029-B5029)/B5029)</x:f>
        <x:v>0.09998900010999894</x:v>
      </x:c>
      <x:c r="E5029" s="22" t="str">
        <x:f>IF(ISBLANK(C5029),"AmountIncludingTax缺失",IF(ABS(B5029-C5029)&lt;0.005,"一致","不一致"))</x:f>
        <x:v>不一致</x:v>
      </x:c>
      <x:c r="F5029" s="19" t="str">
        <x:v>approved</x:v>
      </x:c>
      <x:c r="G5029" s="19" t="str">
        <x:v>Repairer Invoiced Processed</x:v>
      </x:c>
      <x:c r="H5029" s="19" t="str">
        <x:v>In Field</x:v>
      </x:c>
      <x:c r="I5029" s="37" t="n">
        <x:v>46157</x:v>
      </x:c>
      <x:c r="J5029" s="37" t="n">
        <x:v>46157</x:v>
      </x:c>
      <x:c r="K5029" s="19" t="str">
        <x:v>Leisure Lion Pty Ltd - Toowoomba</x:v>
      </x:c>
      <x:c r="L5029" s="19" t="str">
        <x:v>Z006</x:v>
      </x:c>
      <x:c r="M5029" s="19" t="str">
        <x:v>In Field Warranty Claims</x:v>
      </x:c>
      <x:c r="N5029" s="37" t="n">
        <x:v>45987</x:v>
      </x:c>
      <x:c r="O5029" s="37"/>
      <x:c r="P5029" s="34" t="n">
        <x:v>200</x:v>
      </x:c>
      <x:c r="Q5029" s="37" t="n">
        <x:v>46157.25109953704</x:v>
      </x:c>
    </x:row>
    <x:row r="5030">
      <x:c r="A5030" s="22" t="n">
        <x:v>28353</x:v>
      </x:c>
      <x:c r="B5030" s="28" t="n">
        <x:v>117.55</x:v>
      </x:c>
      <x:c r="C5030" s="28" t="n">
        <x:v>129.31</x:v>
      </x:c>
      <x:c r="D5030" s="31" t="n">
        <x:f>IF(OR(ISBLANK(B5030),ISBLANK(C5030),B5030=0),"",(C5030-B5030)/B5030)</x:f>
        <x:v>0.10004253509145049</x:v>
      </x:c>
      <x:c r="E5030" s="22" t="str">
        <x:f>IF(ISBLANK(C5030),"AmountIncludingTax缺失",IF(ABS(B5030-C5030)&lt;0.005,"一致","不一致"))</x:f>
        <x:v>不一致</x:v>
      </x:c>
      <x:c r="F5030" s="19" t="str">
        <x:v>approved</x:v>
      </x:c>
      <x:c r="G5030" s="19" t="str">
        <x:v>Repairer Invoiced Processed</x:v>
      </x:c>
      <x:c r="H5030" s="19" t="str">
        <x:v>In Field</x:v>
      </x:c>
      <x:c r="I5030" s="37" t="n">
        <x:v>46037</x:v>
      </x:c>
      <x:c r="J5030" s="37" t="n">
        <x:v>46037</x:v>
      </x:c>
      <x:c r="K5030" s="19" t="str">
        <x:v>Green RV - Forest Glen</x:v>
      </x:c>
      <x:c r="L5030" s="19" t="str">
        <x:v>Z006</x:v>
      </x:c>
      <x:c r="M5030" s="19" t="str">
        <x:v>In Field Warranty Claims</x:v>
      </x:c>
      <x:c r="N5030" s="37" t="n">
        <x:v>45987</x:v>
      </x:c>
      <x:c r="O5030" s="37"/>
      <x:c r="P5030" s="34" t="n">
        <x:v>129.31</x:v>
      </x:c>
      <x:c r="Q5030" s="37" t="n">
        <x:v>46036.96008101852</x:v>
      </x:c>
    </x:row>
    <x:row r="5031">
      <x:c r="A5031" s="22" t="n">
        <x:v>28352</x:v>
      </x:c>
      <x:c r="B5031" s="28" t="n">
        <x:v>45.46</x:v>
      </x:c>
      <x:c r="C5031" s="28"/>
      <x:c r="D5031" s="31" t="str">
        <x:f>IF(OR(ISBLANK(B5031),ISBLANK(C5031),B5031=0),"",(C5031-B5031)/B5031)</x:f>
      </x:c>
      <x:c r="E5031" s="22" t="str">
        <x:f>IF(ISBLANK(C5031),"AmountIncludingTax缺失",IF(ABS(B5031-C5031)&lt;0.005,"一致","不一致"))</x:f>
        <x:v>AmountIncludingTax缺失</x:v>
      </x:c>
      <x:c r="F5031" s="19" t="str">
        <x:v>approved</x:v>
      </x:c>
      <x:c r="G5031" s="19" t="str">
        <x:v>Repair in Progress</x:v>
      </x:c>
      <x:c r="H5031" s="19" t="str">
        <x:v>Pre Delivery</x:v>
      </x:c>
      <x:c r="I5031" s="37" t="n">
        <x:v>46045</x:v>
      </x:c>
      <x:c r="J5031" s="37" t="n">
        <x:v>46044</x:v>
      </x:c>
      <x:c r="K5031" s="19" t="str">
        <x:v>Regent RV - Perth</x:v>
      </x:c>
      <x:c r="L5031" s="19" t="str">
        <x:v>Z005</x:v>
      </x:c>
      <x:c r="M5031" s="19" t="str">
        <x:v>Pre Delivery Warranty Claims</x:v>
      </x:c>
      <x:c r="N5031" s="37" t="n">
        <x:v>45987</x:v>
      </x:c>
      <x:c r="O5031" s="37"/>
      <x:c r="P5031" s="34" t="n">
        <x:v>0</x:v>
      </x:c>
      <x:c r="Q5031" s="37" t="n">
        <x:v>46044.55815972222</x:v>
      </x:c>
    </x:row>
    <x:row r="5032">
      <x:c r="A5032" s="22" t="n">
        <x:v>28350</x:v>
      </x:c>
      <x:c r="B5032" s="28" t="n">
        <x:v>67.5</x:v>
      </x:c>
      <x:c r="C5032" s="28"/>
      <x:c r="D5032" s="31" t="str">
        <x:f>IF(OR(ISBLANK(B5032),ISBLANK(C5032),B5032=0),"",(C5032-B5032)/B5032)</x:f>
      </x:c>
      <x:c r="E5032" s="22" t="str">
        <x:f>IF(ISBLANK(C5032),"AmountIncludingTax缺失",IF(ABS(B5032-C5032)&lt;0.005,"一致","不一致"))</x:f>
        <x:v>AmountIncludingTax缺失</x:v>
      </x:c>
      <x:c r="F5032" s="19" t="str">
        <x:v>approved</x:v>
      </x:c>
      <x:c r="G5032" s="19" t="str">
        <x:v>Repairer Invoiced Processed</x:v>
      </x:c>
      <x:c r="H5032" s="19" t="str">
        <x:v>In Field</x:v>
      </x:c>
      <x:c r="I5032" s="37" t="n">
        <x:v>46075</x:v>
      </x:c>
      <x:c r="J5032" s="37" t="n">
        <x:v>46075</x:v>
      </x:c>
      <x:c r="K5032" s="19" t="str">
        <x:v>Green RV - Forest Glen</x:v>
      </x:c>
      <x:c r="L5032" s="19" t="str">
        <x:v>Z006</x:v>
      </x:c>
      <x:c r="M5032" s="19" t="str">
        <x:v>In Field Warranty Claims</x:v>
      </x:c>
      <x:c r="N5032" s="37" t="n">
        <x:v>45987</x:v>
      </x:c>
      <x:c r="O5032" s="37"/>
      <x:c r="P5032" s="34" t="n">
        <x:v>0</x:v>
      </x:c>
      <x:c r="Q5032" s="37" t="n">
        <x:v>46075.148125</x:v>
      </x:c>
    </x:row>
    <x:row r="5033">
      <x:c r="A5033" s="22" t="n">
        <x:v>28349</x:v>
      </x:c>
      <x:c r="B5033" s="28" t="n">
        <x:v>112.46</x:v>
      </x:c>
      <x:c r="C5033" s="28"/>
      <x:c r="D5033" s="31" t="str">
        <x:f>IF(OR(ISBLANK(B5033),ISBLANK(C5033),B5033=0),"",(C5033-B5033)/B5033)</x:f>
      </x:c>
      <x:c r="E5033" s="22" t="str">
        <x:f>IF(ISBLANK(C5033),"AmountIncludingTax缺失",IF(ABS(B5033-C5033)&lt;0.005,"一致","不一致"))</x:f>
        <x:v>AmountIncludingTax缺失</x:v>
      </x:c>
      <x:c r="F5033" s="19" t="str">
        <x:v>approved</x:v>
      </x:c>
      <x:c r="G5033" s="19" t="str">
        <x:v>Repairer Invoiced Processed</x:v>
      </x:c>
      <x:c r="H5033" s="19" t="str">
        <x:v>In Field</x:v>
      </x:c>
      <x:c r="I5033" s="37" t="n">
        <x:v>46184</x:v>
      </x:c>
      <x:c r="J5033" s="37" t="n">
        <x:v>46184</x:v>
      </x:c>
      <x:c r="K5033" s="19" t="str">
        <x:v>Vanari Caravans - Marden Point</x:v>
      </x:c>
      <x:c r="L5033" s="19" t="str">
        <x:v>Z006</x:v>
      </x:c>
      <x:c r="M5033" s="19" t="str">
        <x:v>In Field Warranty Claims</x:v>
      </x:c>
      <x:c r="N5033" s="37" t="n">
        <x:v>45987</x:v>
      </x:c>
      <x:c r="O5033" s="37"/>
      <x:c r="P5033" s="34" t="n">
        <x:v>0</x:v>
      </x:c>
      <x:c r="Q5033" s="37" t="n">
        <x:v>46183.92319444445</x:v>
      </x:c>
    </x:row>
    <x:row r="5034">
      <x:c r="A5034" s="22" t="n">
        <x:v>28348</x:v>
      </x:c>
      <x:c r="B5034" s="28" t="n">
        <x:v>207.5</x:v>
      </x:c>
      <x:c r="C5034" s="28"/>
      <x:c r="D5034" s="31" t="str">
        <x:f>IF(OR(ISBLANK(B5034),ISBLANK(C5034),B5034=0),"",(C5034-B5034)/B5034)</x:f>
      </x:c>
      <x:c r="E5034" s="22" t="str">
        <x:f>IF(ISBLANK(C5034),"AmountIncludingTax缺失",IF(ABS(B5034-C5034)&lt;0.005,"一致","不一致"))</x:f>
        <x:v>AmountIncludingTax缺失</x:v>
      </x:c>
      <x:c r="F5034" s="19" t="str">
        <x:v>approved</x:v>
      </x:c>
      <x:c r="G5034" s="19" t="str">
        <x:v>Repair in Progress</x:v>
      </x:c>
      <x:c r="H5034" s="19" t="str">
        <x:v>Pre Delivery</x:v>
      </x:c>
      <x:c r="I5034" s="37" t="n">
        <x:v>46065</x:v>
      </x:c>
      <x:c r="J5034" s="37" t="n">
        <x:v>46065</x:v>
      </x:c>
      <x:c r="K5034" s="19" t="str">
        <x:v>Green RV - Forest Glen</x:v>
      </x:c>
      <x:c r="L5034" s="19" t="str">
        <x:v>Z005</x:v>
      </x:c>
      <x:c r="M5034" s="19" t="str">
        <x:v>Pre Delivery Warranty Claims</x:v>
      </x:c>
      <x:c r="N5034" s="37" t="n">
        <x:v>45987</x:v>
      </x:c>
      <x:c r="O5034" s="37"/>
      <x:c r="P5034" s="34" t="n">
        <x:v>0</x:v>
      </x:c>
      <x:c r="Q5034" s="37" t="n">
        <x:v>46064.91931712963</x:v>
      </x:c>
    </x:row>
    <x:row r="5035">
      <x:c r="A5035" s="22" t="n">
        <x:v>28345</x:v>
      </x:c>
      <x:c r="B5035" s="28" t="n">
        <x:v>1793</x:v>
      </x:c>
      <x:c r="C5035" s="28"/>
      <x:c r="D5035" s="31" t="str">
        <x:f>IF(OR(ISBLANK(B5035),ISBLANK(C5035),B5035=0),"",(C5035-B5035)/B5035)</x:f>
      </x:c>
      <x:c r="E5035" s="22" t="str">
        <x:f>IF(ISBLANK(C5035),"AmountIncludingTax缺失",IF(ABS(B5035-C5035)&lt;0.005,"一致","不一致"))</x:f>
        <x:v>AmountIncludingTax缺失</x:v>
      </x:c>
      <x:c r="F5035" s="19" t="str">
        <x:v>approved</x:v>
      </x:c>
      <x:c r="G5035" s="19" t="str">
        <x:v>Repair in Progress</x:v>
      </x:c>
      <x:c r="H5035" s="19" t="str">
        <x:v>In Field</x:v>
      </x:c>
      <x:c r="I5035" s="37" t="n">
        <x:v>46097</x:v>
      </x:c>
      <x:c r="J5035" s="37" t="n">
        <x:v>46097</x:v>
      </x:c>
      <x:c r="K5035" s="19" t="str">
        <x:v>Green RV - Forest Glen</x:v>
      </x:c>
      <x:c r="L5035" s="19" t="str">
        <x:v>Z006</x:v>
      </x:c>
      <x:c r="M5035" s="19" t="str">
        <x:v>In Field Warranty Claims</x:v>
      </x:c>
      <x:c r="N5035" s="37" t="n">
        <x:v>45987</x:v>
      </x:c>
      <x:c r="O5035" s="37"/>
      <x:c r="P5035" s="34" t="n">
        <x:v>0</x:v>
      </x:c>
      <x:c r="Q5035" s="37" t="n">
        <x:v>46096.9630787037</x:v>
      </x:c>
    </x:row>
    <x:row r="5036">
      <x:c r="A5036" s="22" t="n">
        <x:v>28343</x:v>
      </x:c>
      <x:c r="B5036" s="28" t="n">
        <x:v>6397.39</x:v>
      </x:c>
      <x:c r="C5036" s="28"/>
      <x:c r="D5036" s="31" t="str">
        <x:f>IF(OR(ISBLANK(B5036),ISBLANK(C5036),B5036=0),"",(C5036-B5036)/B5036)</x:f>
      </x:c>
      <x:c r="E5036" s="22" t="str">
        <x:f>IF(ISBLANK(C5036),"AmountIncludingTax缺失",IF(ABS(B5036-C5036)&lt;0.005,"一致","不一致"))</x:f>
        <x:v>AmountIncludingTax缺失</x:v>
      </x:c>
      <x:c r="F5036" s="19" t="str">
        <x:v>approved</x:v>
      </x:c>
      <x:c r="G5036" s="19" t="str">
        <x:v>Repair in Progress</x:v>
      </x:c>
      <x:c r="H5036" s="19" t="str">
        <x:v>In Field</x:v>
      </x:c>
      <x:c r="I5036" s="37" t="n">
        <x:v>46132</x:v>
      </x:c>
      <x:c r="J5036" s="37" t="n">
        <x:v>46132</x:v>
      </x:c>
      <x:c r="K5036" s="19" t="str">
        <x:v>Green RV - Forest Glen</x:v>
      </x:c>
      <x:c r="L5036" s="19" t="str">
        <x:v>Z006</x:v>
      </x:c>
      <x:c r="M5036" s="19" t="str">
        <x:v>In Field Warranty Claims</x:v>
      </x:c>
      <x:c r="N5036" s="37" t="n">
        <x:v>45987</x:v>
      </x:c>
      <x:c r="O5036" s="37"/>
      <x:c r="P5036" s="34" t="n">
        <x:v>7037.13</x:v>
      </x:c>
      <x:c r="Q5036" s="37" t="n">
        <x:v>46132.159108796295</x:v>
      </x:c>
    </x:row>
    <x:row r="5037">
      <x:c r="A5037" s="22" t="n">
        <x:v>28341</x:v>
      </x:c>
      <x:c r="B5037" s="28" t="n">
        <x:v>527.5</x:v>
      </x:c>
      <x:c r="C5037" s="28"/>
      <x:c r="D5037" s="31" t="str">
        <x:f>IF(OR(ISBLANK(B5037),ISBLANK(C5037),B5037=0),"",(C5037-B5037)/B5037)</x:f>
      </x:c>
      <x:c r="E5037" s="22" t="str">
        <x:f>IF(ISBLANK(C5037),"AmountIncludingTax缺失",IF(ABS(B5037-C5037)&lt;0.005,"一致","不一致"))</x:f>
        <x:v>AmountIncludingTax缺失</x:v>
      </x:c>
      <x:c r="F5037" s="19" t="str">
        <x:v>approved</x:v>
      </x:c>
      <x:c r="G5037" s="19" t="str">
        <x:v>Repair in Progress</x:v>
      </x:c>
      <x:c r="H5037" s="19" t="str">
        <x:v>In Field</x:v>
      </x:c>
      <x:c r="I5037" s="37" t="n">
        <x:v>46057</x:v>
      </x:c>
      <x:c r="J5037" s="37" t="n">
        <x:v>46057</x:v>
      </x:c>
      <x:c r="K5037" s="19" t="str">
        <x:v>The Caravan Hub - Townsville</x:v>
      </x:c>
      <x:c r="L5037" s="19" t="str">
        <x:v>Z006</x:v>
      </x:c>
      <x:c r="M5037" s="19" t="str">
        <x:v>In Field Warranty Claims</x:v>
      </x:c>
      <x:c r="N5037" s="37" t="n">
        <x:v>45987</x:v>
      </x:c>
      <x:c r="O5037" s="37"/>
      <x:c r="P5037" s="34" t="n">
        <x:v>0</x:v>
      </x:c>
      <x:c r="Q5037" s="37" t="n">
        <x:v>46057.18309027778</x:v>
      </x:c>
    </x:row>
    <x:row r="5038">
      <x:c r="A5038" s="22" t="n">
        <x:v>28338</x:v>
      </x:c>
      <x:c r="B5038" s="28" t="n">
        <x:v>1072.5</x:v>
      </x:c>
      <x:c r="C5038" s="28"/>
      <x:c r="D5038" s="31" t="str">
        <x:f>IF(OR(ISBLANK(B5038),ISBLANK(C5038),B5038=0),"",(C5038-B5038)/B5038)</x:f>
      </x:c>
      <x:c r="E5038" s="22" t="str">
        <x:f>IF(ISBLANK(C5038),"AmountIncludingTax缺失",IF(ABS(B5038-C5038)&lt;0.005,"一致","不一致"))</x:f>
        <x:v>AmountIncludingTax缺失</x:v>
      </x:c>
      <x:c r="F5038" s="19" t="str">
        <x:v>approved</x:v>
      </x:c>
      <x:c r="G5038" s="19" t="str">
        <x:v>Repairer Invoiced Processed</x:v>
      </x:c>
      <x:c r="H5038" s="19" t="str">
        <x:v>In Field</x:v>
      </x:c>
      <x:c r="I5038" s="37" t="n">
        <x:v>46086</x:v>
      </x:c>
      <x:c r="J5038" s="37" t="n">
        <x:v>46086</x:v>
      </x:c>
      <x:c r="K5038" s="19" t="str">
        <x:v>Green RV - Slacks Creek</x:v>
      </x:c>
      <x:c r="L5038" s="19" t="str">
        <x:v>Z006</x:v>
      </x:c>
      <x:c r="M5038" s="19" t="str">
        <x:v>In Field Warranty Claims</x:v>
      </x:c>
      <x:c r="N5038" s="37" t="n">
        <x:v>45987</x:v>
      </x:c>
      <x:c r="O5038" s="37"/>
      <x:c r="P5038" s="34" t="n">
        <x:v>0</x:v>
      </x:c>
      <x:c r="Q5038" s="37" t="n">
        <x:v>46086.156180555554</x:v>
      </x:c>
    </x:row>
    <x:row r="5039">
      <x:c r="A5039" s="22" t="n">
        <x:v>28337</x:v>
      </x:c>
      <x:c r="B5039" s="28" t="n">
        <x:v>352.5</x:v>
      </x:c>
      <x:c r="C5039" s="28"/>
      <x:c r="D5039" s="31" t="str">
        <x:f>IF(OR(ISBLANK(B5039),ISBLANK(C5039),B5039=0),"",(C5039-B5039)/B5039)</x:f>
      </x:c>
      <x:c r="E5039" s="22" t="str">
        <x:f>IF(ISBLANK(C5039),"AmountIncludingTax缺失",IF(ABS(B5039-C5039)&lt;0.005,"一致","不一致"))</x:f>
        <x:v>AmountIncludingTax缺失</x:v>
      </x:c>
      <x:c r="F5039" s="19" t="str">
        <x:v>approved</x:v>
      </x:c>
      <x:c r="G5039" s="19" t="str">
        <x:v>Repair in Progress</x:v>
      </x:c>
      <x:c r="H5039" s="19" t="str">
        <x:v>In Field</x:v>
      </x:c>
      <x:c r="I5039" s="37" t="n">
        <x:v>46064</x:v>
      </x:c>
      <x:c r="J5039" s="37" t="n">
        <x:v>46064</x:v>
      </x:c>
      <x:c r="K5039" s="19" t="str">
        <x:v>Green RV - Forest Glen</x:v>
      </x:c>
      <x:c r="L5039" s="19" t="str">
        <x:v>Z006</x:v>
      </x:c>
      <x:c r="M5039" s="19" t="str">
        <x:v>In Field Warranty Claims</x:v>
      </x:c>
      <x:c r="N5039" s="37" t="n">
        <x:v>45987</x:v>
      </x:c>
      <x:c r="O5039" s="37"/>
      <x:c r="P5039" s="34" t="n">
        <x:v>0</x:v>
      </x:c>
      <x:c r="Q5039" s="37" t="n">
        <x:v>46064.03665509259</x:v>
      </x:c>
    </x:row>
    <x:row r="5040">
      <x:c r="A5040" s="22" t="n">
        <x:v>28336</x:v>
      </x:c>
      <x:c r="B5040" s="28" t="n">
        <x:v>630</x:v>
      </x:c>
      <x:c r="C5040" s="28" t="n">
        <x:v>693</x:v>
      </x:c>
      <x:c r="D5040" s="31" t="n">
        <x:f>IF(OR(ISBLANK(B5040),ISBLANK(C5040),B5040=0),"",(C5040-B5040)/B5040)</x:f>
        <x:v>0.1</x:v>
      </x:c>
      <x:c r="E5040" s="22" t="str">
        <x:f>IF(ISBLANK(C5040),"AmountIncludingTax缺失",IF(ABS(B5040-C5040)&lt;0.005,"一致","不一致"))</x:f>
        <x:v>不一致</x:v>
      </x:c>
      <x:c r="F5040" s="19" t="str">
        <x:v>approved</x:v>
      </x:c>
      <x:c r="G5040" s="19" t="str">
        <x:v>Repairer Invoiced Processed</x:v>
      </x:c>
      <x:c r="H5040" s="19" t="str">
        <x:v>In Field</x:v>
      </x:c>
      <x:c r="I5040" s="37" t="n">
        <x:v>46176</x:v>
      </x:c>
      <x:c r="J5040" s="37" t="n">
        <x:v>46176</x:v>
      </x:c>
      <x:c r="K5040" s="19" t="str">
        <x:v>Regent RV - Toowoomba</x:v>
      </x:c>
      <x:c r="L5040" s="19" t="str">
        <x:v>Z006</x:v>
      </x:c>
      <x:c r="M5040" s="19" t="str">
        <x:v>In Field Warranty Claims</x:v>
      </x:c>
      <x:c r="N5040" s="37" t="n">
        <x:v>45987</x:v>
      </x:c>
      <x:c r="O5040" s="37" t="n">
        <x:v>46100</x:v>
      </x:c>
      <x:c r="P5040" s="34" t="n">
        <x:v>693</x:v>
      </x:c>
      <x:c r="Q5040" s="37" t="n">
        <x:v>46175.92630787037</x:v>
      </x:c>
    </x:row>
    <x:row r="5041">
      <x:c r="A5041" s="22" t="n">
        <x:v>28332</x:v>
      </x:c>
      <x:c r="B5041" s="28" t="n">
        <x:v>320.41</x:v>
      </x:c>
      <x:c r="C5041" s="28" t="n">
        <x:v>352.45</x:v>
      </x:c>
      <x:c r="D5041" s="31" t="n">
        <x:f>IF(OR(ISBLANK(B5041),ISBLANK(C5041),B5041=0),"",(C5041-B5041)/B5041)</x:f>
        <x:v>0.09999687899878269</x:v>
      </x:c>
      <x:c r="E5041" s="22" t="str">
        <x:f>IF(ISBLANK(C5041),"AmountIncludingTax缺失",IF(ABS(B5041-C5041)&lt;0.005,"一致","不一致"))</x:f>
        <x:v>不一致</x:v>
      </x:c>
      <x:c r="F5041" s="19" t="str">
        <x:v>approved</x:v>
      </x:c>
      <x:c r="G5041" s="19" t="str">
        <x:v>Repair in Progress</x:v>
      </x:c>
      <x:c r="H5041" s="19" t="str">
        <x:v>Pre Delivery</x:v>
      </x:c>
      <x:c r="I5041" s="37" t="n">
        <x:v>46045</x:v>
      </x:c>
      <x:c r="J5041" s="37" t="n">
        <x:v>46044</x:v>
      </x:c>
      <x:c r="K5041" s="19" t="str">
        <x:v>Lesiure Lion-New Castle</x:v>
      </x:c>
      <x:c r="L5041" s="19" t="str">
        <x:v>Z005</x:v>
      </x:c>
      <x:c r="M5041" s="19" t="str">
        <x:v>Pre Delivery Warranty Claims</x:v>
      </x:c>
      <x:c r="N5041" s="37" t="n">
        <x:v>45987</x:v>
      </x:c>
      <x:c r="O5041" s="37"/>
      <x:c r="P5041" s="34" t="n">
        <x:v>352.45</x:v>
      </x:c>
      <x:c r="Q5041" s="37" t="n">
        <x:v>46044.55777777778</x:v>
      </x:c>
    </x:row>
    <x:row r="5042">
      <x:c r="A5042" s="22" t="n">
        <x:v>28331</x:v>
      </x:c>
      <x:c r="B5042" s="28" t="n">
        <x:v>705.8</x:v>
      </x:c>
      <x:c r="C5042" s="28"/>
      <x:c r="D5042" s="31" t="str">
        <x:f>IF(OR(ISBLANK(B5042),ISBLANK(C5042),B5042=0),"",(C5042-B5042)/B5042)</x:f>
      </x:c>
      <x:c r="E5042" s="22" t="str">
        <x:f>IF(ISBLANK(C5042),"AmountIncludingTax缺失",IF(ABS(B5042-C5042)&lt;0.005,"一致","不一致"))</x:f>
        <x:v>AmountIncludingTax缺失</x:v>
      </x:c>
      <x:c r="F5042" s="19" t="str">
        <x:v>approved</x:v>
      </x:c>
      <x:c r="G5042" s="19" t="str">
        <x:v>Repair in Progress</x:v>
      </x:c>
      <x:c r="H5042" s="19" t="str">
        <x:v>In Field</x:v>
      </x:c>
      <x:c r="I5042" s="37" t="n">
        <x:v>46134</x:v>
      </x:c>
      <x:c r="J5042" s="37" t="n">
        <x:v>46134</x:v>
      </x:c>
      <x:c r="K5042" s="19" t="str">
        <x:v>Newcastle RV Super Centre - Beresfield</x:v>
      </x:c>
      <x:c r="L5042" s="19" t="str">
        <x:v>Z006</x:v>
      </x:c>
      <x:c r="M5042" s="19" t="str">
        <x:v>In Field Warranty Claims</x:v>
      </x:c>
      <x:c r="N5042" s="37" t="n">
        <x:v>45987</x:v>
      </x:c>
      <x:c r="O5042" s="37" t="n">
        <x:v>46100</x:v>
      </x:c>
      <x:c r="P5042" s="34" t="n">
        <x:v>0</x:v>
      </x:c>
      <x:c r="Q5042" s="37" t="n">
        <x:v>46134.05259259259</x:v>
      </x:c>
    </x:row>
    <x:row r="5043">
      <x:c r="A5043" s="22" t="n">
        <x:v>28330</x:v>
      </x:c>
      <x:c r="B5043" s="28" t="n">
        <x:v>1023.75</x:v>
      </x:c>
      <x:c r="C5043" s="28"/>
      <x:c r="D5043" s="31" t="str">
        <x:f>IF(OR(ISBLANK(B5043),ISBLANK(C5043),B5043=0),"",(C5043-B5043)/B5043)</x:f>
      </x:c>
      <x:c r="E5043" s="22" t="str">
        <x:f>IF(ISBLANK(C5043),"AmountIncludingTax缺失",IF(ABS(B5043-C5043)&lt;0.005,"一致","不一致"))</x:f>
        <x:v>AmountIncludingTax缺失</x:v>
      </x:c>
      <x:c r="F5043" s="19" t="str">
        <x:v>approved</x:v>
      </x:c>
      <x:c r="G5043" s="19" t="str">
        <x:v>Repair in Progress</x:v>
      </x:c>
      <x:c r="H5043" s="19" t="str">
        <x:v>In Field</x:v>
      </x:c>
      <x:c r="I5043" s="37" t="n">
        <x:v>46076</x:v>
      </x:c>
      <x:c r="J5043" s="37" t="n">
        <x:v>46076</x:v>
      </x:c>
      <x:c r="K5043" s="19" t="str">
        <x:v>Newcastle RV Super Centre - Beresfield</x:v>
      </x:c>
      <x:c r="L5043" s="19" t="str">
        <x:v>Z006</x:v>
      </x:c>
      <x:c r="M5043" s="19" t="str">
        <x:v>In Field Warranty Claims</x:v>
      </x:c>
      <x:c r="N5043" s="37" t="n">
        <x:v>45987</x:v>
      </x:c>
      <x:c r="O5043" s="37"/>
      <x:c r="P5043" s="34" t="n">
        <x:v>0</x:v>
      </x:c>
      <x:c r="Q5043" s="37" t="n">
        <x:v>46076.21917824074</x:v>
      </x:c>
    </x:row>
    <x:row r="5044">
      <x:c r="A5044" s="22" t="n">
        <x:v>28328</x:v>
      </x:c>
      <x:c r="B5044" s="28" t="n">
        <x:v>410.45</x:v>
      </x:c>
      <x:c r="C5044" s="28"/>
      <x:c r="D5044" s="31" t="str">
        <x:f>IF(OR(ISBLANK(B5044),ISBLANK(C5044),B5044=0),"",(C5044-B5044)/B5044)</x:f>
      </x:c>
      <x:c r="E5044" s="22" t="str">
        <x:f>IF(ISBLANK(C5044),"AmountIncludingTax缺失",IF(ABS(B5044-C5044)&lt;0.005,"一致","不一致"))</x:f>
        <x:v>AmountIncludingTax缺失</x:v>
      </x:c>
      <x:c r="F5044" s="19" t="str">
        <x:v>approved</x:v>
      </x:c>
      <x:c r="G5044" s="19" t="str">
        <x:v>Partially Picked</x:v>
      </x:c>
      <x:c r="H5044" s="19" t="str">
        <x:v>In Field</x:v>
      </x:c>
      <x:c r="I5044" s="37" t="n">
        <x:v>46154</x:v>
      </x:c>
      <x:c r="J5044" s="37" t="n">
        <x:v>46154</x:v>
      </x:c>
      <x:c r="K5044" s="19" t="str">
        <x:v>Dario Caravans -St.Marys</x:v>
      </x:c>
      <x:c r="L5044" s="19" t="str">
        <x:v>Z006</x:v>
      </x:c>
      <x:c r="M5044" s="19" t="str">
        <x:v>In Field Warranty Claims</x:v>
      </x:c>
      <x:c r="N5044" s="37" t="n">
        <x:v>45987</x:v>
      </x:c>
      <x:c r="O5044" s="37"/>
      <x:c r="P5044" s="34" t="n">
        <x:v>0</x:v>
      </x:c>
      <x:c r="Q5044" s="37" t="n">
        <x:v>46154.25974537037</x:v>
      </x:c>
    </x:row>
    <x:row r="5045">
      <x:c r="A5045" s="22" t="n">
        <x:v>28327</x:v>
      </x:c>
      <x:c r="B5045" s="28" t="n">
        <x:v>140</x:v>
      </x:c>
      <x:c r="C5045" s="28"/>
      <x:c r="D5045" s="31" t="str">
        <x:f>IF(OR(ISBLANK(B5045),ISBLANK(C5045),B5045=0),"",(C5045-B5045)/B5045)</x:f>
      </x:c>
      <x:c r="E5045" s="22" t="str">
        <x:f>IF(ISBLANK(C5045),"AmountIncludingTax缺失",IF(ABS(B5045-C5045)&lt;0.005,"一致","不一致"))</x:f>
        <x:v>AmountIncludingTax缺失</x:v>
      </x:c>
      <x:c r="F5045" s="19" t="str">
        <x:v>approved</x:v>
      </x:c>
      <x:c r="G5045" s="19" t="str">
        <x:v>Repair in Progress</x:v>
      </x:c>
      <x:c r="H5045" s="19" t="str">
        <x:v>In Field</x:v>
      </x:c>
      <x:c r="I5045" s="37" t="n">
        <x:v>46051</x:v>
      </x:c>
      <x:c r="J5045" s="37" t="n">
        <x:v>46051</x:v>
      </x:c>
      <x:c r="K5045" s="19" t="str">
        <x:v>Snowy River Frankston</x:v>
      </x:c>
      <x:c r="L5045" s="19" t="str">
        <x:v>Z006</x:v>
      </x:c>
      <x:c r="M5045" s="19" t="str">
        <x:v>In Field Warranty Claims</x:v>
      </x:c>
      <x:c r="N5045" s="37" t="n">
        <x:v>45987</x:v>
      </x:c>
      <x:c r="O5045" s="37"/>
      <x:c r="P5045" s="34" t="n">
        <x:v>0</x:v>
      </x:c>
      <x:c r="Q5045" s="37" t="n">
        <x:v>46051.18746527778</x:v>
      </x:c>
    </x:row>
    <x:row r="5046">
      <x:c r="A5046" s="22" t="n">
        <x:v>28326</x:v>
      </x:c>
      <x:c r="B5046" s="28" t="n">
        <x:v>150</x:v>
      </x:c>
      <x:c r="C5046" s="28"/>
      <x:c r="D5046" s="31" t="str">
        <x:f>IF(OR(ISBLANK(B5046),ISBLANK(C5046),B5046=0),"",(C5046-B5046)/B5046)</x:f>
      </x:c>
      <x:c r="E5046" s="22" t="str">
        <x:f>IF(ISBLANK(C5046),"AmountIncludingTax缺失",IF(ABS(B5046-C5046)&lt;0.005,"一致","不一致"))</x:f>
        <x:v>AmountIncludingTax缺失</x:v>
      </x:c>
      <x:c r="F5046" s="19" t="str">
        <x:v>approved</x:v>
      </x:c>
      <x:c r="G5046" s="19" t="str">
        <x:v>Repair in Progress</x:v>
      </x:c>
      <x:c r="H5046" s="19" t="str">
        <x:v>Pre Delivery</x:v>
      </x:c>
      <x:c r="I5046" s="37" t="n">
        <x:v>46045</x:v>
      </x:c>
      <x:c r="J5046" s="37" t="n">
        <x:v>46044</x:v>
      </x:c>
      <x:c r="K5046" s="19" t="str">
        <x:v>Regent RV - Perth</x:v>
      </x:c>
      <x:c r="L5046" s="19" t="str">
        <x:v>Z005</x:v>
      </x:c>
      <x:c r="M5046" s="19" t="str">
        <x:v>Pre Delivery Warranty Claims</x:v>
      </x:c>
      <x:c r="N5046" s="37" t="n">
        <x:v>45987</x:v>
      </x:c>
      <x:c r="O5046" s="37"/>
      <x:c r="P5046" s="34" t="n">
        <x:v>0</x:v>
      </x:c>
      <x:c r="Q5046" s="37" t="n">
        <x:v>46044.55537037037</x:v>
      </x:c>
    </x:row>
    <x:row r="5047">
      <x:c r="A5047" s="22" t="n">
        <x:v>28324</x:v>
      </x:c>
      <x:c r="B5047" s="28" t="n">
        <x:v>100</x:v>
      </x:c>
      <x:c r="C5047" s="28"/>
      <x:c r="D5047" s="31" t="str">
        <x:f>IF(OR(ISBLANK(B5047),ISBLANK(C5047),B5047=0),"",(C5047-B5047)/B5047)</x:f>
      </x:c>
      <x:c r="E5047" s="22" t="str">
        <x:f>IF(ISBLANK(C5047),"AmountIncludingTax缺失",IF(ABS(B5047-C5047)&lt;0.005,"一致","不一致"))</x:f>
        <x:v>AmountIncludingTax缺失</x:v>
      </x:c>
      <x:c r="F5047" s="19" t="str">
        <x:v>approved</x:v>
      </x:c>
      <x:c r="G5047" s="19" t="str">
        <x:v>Repair in Progress</x:v>
      </x:c>
      <x:c r="H5047" s="19" t="str">
        <x:v>Pre Delivery</x:v>
      </x:c>
      <x:c r="I5047" s="37" t="n">
        <x:v>46045</x:v>
      </x:c>
      <x:c r="J5047" s="37" t="n">
        <x:v>46044</x:v>
      </x:c>
      <x:c r="K5047" s="19" t="str">
        <x:v>Regent RV - Perth</x:v>
      </x:c>
      <x:c r="L5047" s="19" t="str">
        <x:v>Z005</x:v>
      </x:c>
      <x:c r="M5047" s="19" t="str">
        <x:v>Pre Delivery Warranty Claims</x:v>
      </x:c>
      <x:c r="N5047" s="37" t="n">
        <x:v>45987</x:v>
      </x:c>
      <x:c r="O5047" s="37"/>
      <x:c r="P5047" s="34" t="n">
        <x:v>0</x:v>
      </x:c>
      <x:c r="Q5047" s="37" t="n">
        <x:v>46044.55421296296</x:v>
      </x:c>
    </x:row>
    <x:row r="5048">
      <x:c r="A5048" s="22" t="n">
        <x:v>28323</x:v>
      </x:c>
      <x:c r="B5048" s="28" t="n">
        <x:v>386.25</x:v>
      </x:c>
      <x:c r="C5048" s="28" t="n">
        <x:v>349.71</x:v>
      </x:c>
      <x:c r="D5048" s="31" t="n">
        <x:f>IF(OR(ISBLANK(B5048),ISBLANK(C5048),B5048=0),"",(C5048-B5048)/B5048)</x:f>
        <x:v>-0.09460194174757287</x:v>
      </x:c>
      <x:c r="E5048" s="22" t="str">
        <x:f>IF(ISBLANK(C5048),"AmountIncludingTax缺失",IF(ABS(B5048-C5048)&lt;0.005,"一致","不一致"))</x:f>
        <x:v>不一致</x:v>
      </x:c>
      <x:c r="F5048" s="19" t="str">
        <x:v>approved</x:v>
      </x:c>
      <x:c r="G5048" s="19" t="str">
        <x:v>Repairer Invoiced Processed</x:v>
      </x:c>
      <x:c r="H5048" s="19" t="str">
        <x:v>In Field</x:v>
      </x:c>
      <x:c r="I5048" s="37" t="n">
        <x:v>46162</x:v>
      </x:c>
      <x:c r="J5048" s="37" t="n">
        <x:v>46086</x:v>
      </x:c>
      <x:c r="K5048" s="19" t="str">
        <x:v>Vanari Caravans - Marden Point</x:v>
      </x:c>
      <x:c r="L5048" s="19" t="str">
        <x:v>Z006</x:v>
      </x:c>
      <x:c r="M5048" s="19" t="str">
        <x:v>In Field Warranty Claims</x:v>
      </x:c>
      <x:c r="N5048" s="37" t="n">
        <x:v>45987</x:v>
      </x:c>
      <x:c r="O5048" s="37"/>
      <x:c r="P5048" s="34" t="n">
        <x:v>349.71</x:v>
      </x:c>
      <x:c r="Q5048" s="37" t="n">
        <x:v>46161.99228009259</x:v>
      </x:c>
    </x:row>
    <x:row r="5049">
      <x:c r="A5049" s="22" t="n">
        <x:v>28321</x:v>
      </x:c>
      <x:c r="B5049" s="28" t="n">
        <x:v>184.09</x:v>
      </x:c>
      <x:c r="C5049" s="28" t="n">
        <x:v>202.5</x:v>
      </x:c>
      <x:c r="D5049" s="31" t="n">
        <x:f>IF(OR(ISBLANK(B5049),ISBLANK(C5049),B5049=0),"",(C5049-B5049)/B5049)</x:f>
        <x:v>0.10000543212559072</x:v>
      </x:c>
      <x:c r="E5049" s="22" t="str">
        <x:f>IF(ISBLANK(C5049),"AmountIncludingTax缺失",IF(ABS(B5049-C5049)&lt;0.005,"一致","不一致"))</x:f>
        <x:v>不一致</x:v>
      </x:c>
      <x:c r="F5049" s="19" t="str">
        <x:v>approved</x:v>
      </x:c>
      <x:c r="G5049" s="19" t="str">
        <x:v>Repairer Invoiced Processed</x:v>
      </x:c>
      <x:c r="H5049" s="19" t="str">
        <x:v>In Field</x:v>
      </x:c>
      <x:c r="I5049" s="37" t="n">
        <x:v>46057</x:v>
      </x:c>
      <x:c r="J5049" s="37" t="n">
        <x:v>46057</x:v>
      </x:c>
      <x:c r="K5049" s="19" t="str">
        <x:v>Regent RV - Toowoomba</x:v>
      </x:c>
      <x:c r="L5049" s="19" t="str">
        <x:v>Z006</x:v>
      </x:c>
      <x:c r="M5049" s="19" t="str">
        <x:v>In Field Warranty Claims</x:v>
      </x:c>
      <x:c r="N5049" s="37" t="n">
        <x:v>45986</x:v>
      </x:c>
      <x:c r="O5049" s="37"/>
      <x:c r="P5049" s="34" t="n">
        <x:v>202.5</x:v>
      </x:c>
      <x:c r="Q5049" s="37" t="n">
        <x:v>46056.95224537037</x:v>
      </x:c>
    </x:row>
    <x:row r="5050">
      <x:c r="A5050" s="22" t="n">
        <x:v>28319</x:v>
      </x:c>
      <x:c r="B5050" s="28" t="n">
        <x:v>109</x:v>
      </x:c>
      <x:c r="C5050" s="28" t="n">
        <x:v>119.9</x:v>
      </x:c>
      <x:c r="D5050" s="31" t="n">
        <x:f>IF(OR(ISBLANK(B5050),ISBLANK(C5050),B5050=0),"",(C5050-B5050)/B5050)</x:f>
        <x:v>0.10000000000000005</x:v>
      </x:c>
      <x:c r="E5050" s="22" t="str">
        <x:f>IF(ISBLANK(C5050),"AmountIncludingTax缺失",IF(ABS(B5050-C5050)&lt;0.005,"一致","不一致"))</x:f>
        <x:v>不一致</x:v>
      </x:c>
      <x:c r="F5050" s="19" t="str">
        <x:v>approved</x:v>
      </x:c>
      <x:c r="G5050" s="19" t="str">
        <x:v>Repairer Invoiced Processed</x:v>
      </x:c>
      <x:c r="H5050" s="19" t="str">
        <x:v>In Field</x:v>
      </x:c>
      <x:c r="I5050" s="37" t="n">
        <x:v>46108</x:v>
      </x:c>
      <x:c r="J5050" s="37" t="n">
        <x:v>46108</x:v>
      </x:c>
      <x:c r="K5050" s="19" t="str">
        <x:v>Green RV - Forest Glen</x:v>
      </x:c>
      <x:c r="L5050" s="19" t="str">
        <x:v>Z006</x:v>
      </x:c>
      <x:c r="M5050" s="19" t="str">
        <x:v>In Field Warranty Claims</x:v>
      </x:c>
      <x:c r="N5050" s="37" t="n">
        <x:v>45987</x:v>
      </x:c>
      <x:c r="O5050" s="37"/>
      <x:c r="P5050" s="34" t="n">
        <x:v>119.9</x:v>
      </x:c>
      <x:c r="Q5050" s="37" t="n">
        <x:v>46107.90288194444</x:v>
      </x:c>
    </x:row>
    <x:row r="5051">
      <x:c r="A5051" s="22" t="n">
        <x:v>28318</x:v>
      </x:c>
      <x:c r="B5051" s="28" t="n">
        <x:v>850</x:v>
      </x:c>
      <x:c r="C5051" s="28"/>
      <x:c r="D5051" s="31" t="str">
        <x:f>IF(OR(ISBLANK(B5051),ISBLANK(C5051),B5051=0),"",(C5051-B5051)/B5051)</x:f>
      </x:c>
      <x:c r="E5051" s="22" t="str">
        <x:f>IF(ISBLANK(C5051),"AmountIncludingTax缺失",IF(ABS(B5051-C5051)&lt;0.005,"一致","不一致"))</x:f>
        <x:v>AmountIncludingTax缺失</x:v>
      </x:c>
      <x:c r="F5051" s="19" t="str">
        <x:v>approved</x:v>
      </x:c>
      <x:c r="G5051" s="19" t="str">
        <x:v>Repairer Invoiced Received</x:v>
      </x:c>
      <x:c r="H5051" s="19" t="str">
        <x:v>Pre Delivery</x:v>
      </x:c>
      <x:c r="I5051" s="37" t="n">
        <x:v>46092</x:v>
      </x:c>
      <x:c r="J5051" s="37" t="n">
        <x:v>46065</x:v>
      </x:c>
      <x:c r="K5051" s="19" t="str">
        <x:v>Great Ocean Road RV &amp; Caravans - Warrnambool</x:v>
      </x:c>
      <x:c r="L5051" s="19" t="str">
        <x:v>Z005</x:v>
      </x:c>
      <x:c r="M5051" s="19" t="str">
        <x:v>Pre Delivery Warranty Claims</x:v>
      </x:c>
      <x:c r="N5051" s="37" t="n">
        <x:v>45987</x:v>
      </x:c>
      <x:c r="O5051" s="37"/>
      <x:c r="P5051" s="34" t="n">
        <x:v>0</x:v>
      </x:c>
      <x:c r="Q5051" s="37" t="n">
        <x:v>46092.01534722222</x:v>
      </x:c>
    </x:row>
    <x:row r="5052">
      <x:c r="A5052" s="22" t="n">
        <x:v>28314</x:v>
      </x:c>
      <x:c r="B5052" s="28" t="n">
        <x:v>65</x:v>
      </x:c>
      <x:c r="C5052" s="28"/>
      <x:c r="D5052" s="31" t="str">
        <x:f>IF(OR(ISBLANK(B5052),ISBLANK(C5052),B5052=0),"",(C5052-B5052)/B5052)</x:f>
      </x:c>
      <x:c r="E5052" s="22" t="str">
        <x:f>IF(ISBLANK(C5052),"AmountIncludingTax缺失",IF(ABS(B5052-C5052)&lt;0.005,"一致","不一致"))</x:f>
        <x:v>AmountIncludingTax缺失</x:v>
      </x:c>
      <x:c r="F5052" s="19" t="str">
        <x:v>approved</x:v>
      </x:c>
      <x:c r="G5052" s="19" t="str">
        <x:v>Repair in Progress</x:v>
      </x:c>
      <x:c r="H5052" s="19" t="str">
        <x:v>Pre Delivery</x:v>
      </x:c>
      <x:c r="I5052" s="37" t="n">
        <x:v>46101</x:v>
      </x:c>
      <x:c r="J5052" s="37" t="n">
        <x:v>46101</x:v>
      </x:c>
      <x:c r="K5052" s="19" t="str">
        <x:v>Regent RV Pty Ltd</x:v>
      </x:c>
      <x:c r="L5052" s="19" t="str">
        <x:v>Z005</x:v>
      </x:c>
      <x:c r="M5052" s="19" t="str">
        <x:v>Pre Delivery Warranty Claims</x:v>
      </x:c>
      <x:c r="N5052" s="37" t="n">
        <x:v>45986</x:v>
      </x:c>
      <x:c r="O5052" s="37"/>
      <x:c r="P5052" s="34" t="n">
        <x:v>0</x:v>
      </x:c>
      <x:c r="Q5052" s="37" t="n">
        <x:v>46101.182916666665</x:v>
      </x:c>
    </x:row>
    <x:row r="5053">
      <x:c r="A5053" s="22" t="n">
        <x:v>28311</x:v>
      </x:c>
      <x:c r="B5053" s="28" t="n">
        <x:v>300</x:v>
      </x:c>
      <x:c r="C5053" s="28"/>
      <x:c r="D5053" s="31" t="str">
        <x:f>IF(OR(ISBLANK(B5053),ISBLANK(C5053),B5053=0),"",(C5053-B5053)/B5053)</x:f>
      </x:c>
      <x:c r="E5053" s="22" t="str">
        <x:f>IF(ISBLANK(C5053),"AmountIncludingTax缺失",IF(ABS(B5053-C5053)&lt;0.005,"一致","不一致"))</x:f>
        <x:v>AmountIncludingTax缺失</x:v>
      </x:c>
      <x:c r="F5053" s="19" t="str">
        <x:v>approved</x:v>
      </x:c>
      <x:c r="G5053" s="19" t="str">
        <x:v>Repairer Invoiced Received</x:v>
      </x:c>
      <x:c r="H5053" s="19" t="str">
        <x:v>Pre Delivery</x:v>
      </x:c>
      <x:c r="I5053" s="37" t="n">
        <x:v>46045</x:v>
      </x:c>
      <x:c r="J5053" s="37" t="n">
        <x:v>46044</x:v>
      </x:c>
      <x:c r="K5053" s="19" t="str">
        <x:v>Great Ocean Road RV &amp; Caravans - Warrnambool</x:v>
      </x:c>
      <x:c r="L5053" s="19" t="str">
        <x:v>Z005</x:v>
      </x:c>
      <x:c r="M5053" s="19" t="str">
        <x:v>Pre Delivery Warranty Claims</x:v>
      </x:c>
      <x:c r="N5053" s="37" t="n">
        <x:v>45986</x:v>
      </x:c>
      <x:c r="O5053" s="37"/>
      <x:c r="P5053" s="34" t="n">
        <x:v>0</x:v>
      </x:c>
      <x:c r="Q5053" s="37" t="n">
        <x:v>46044.5534375</x:v>
      </x:c>
    </x:row>
    <x:row r="5054">
      <x:c r="A5054" s="22" t="n">
        <x:v>28303</x:v>
      </x:c>
      <x:c r="B5054" s="28" t="n">
        <x:v>135</x:v>
      </x:c>
      <x:c r="C5054" s="28"/>
      <x:c r="D5054" s="31" t="str">
        <x:f>IF(OR(ISBLANK(B5054),ISBLANK(C5054),B5054=0),"",(C5054-B5054)/B5054)</x:f>
      </x:c>
      <x:c r="E5054" s="22" t="str">
        <x:f>IF(ISBLANK(C5054),"AmountIncludingTax缺失",IF(ABS(B5054-C5054)&lt;0.005,"一致","不一致"))</x:f>
        <x:v>AmountIncludingTax缺失</x:v>
      </x:c>
      <x:c r="F5054" s="19" t="str">
        <x:v>approved</x:v>
      </x:c>
      <x:c r="G5054" s="19" t="str">
        <x:v>Repair in Progress</x:v>
      </x:c>
      <x:c r="H5054" s="19" t="str">
        <x:v>In Field</x:v>
      </x:c>
      <x:c r="I5054" s="37" t="n">
        <x:v>46104</x:v>
      </x:c>
      <x:c r="J5054" s="37" t="n">
        <x:v>46104</x:v>
      </x:c>
      <x:c r="K5054" s="19" t="str">
        <x:v>ABCO Caravans - Boambee Valley</x:v>
      </x:c>
      <x:c r="L5054" s="19" t="str">
        <x:v>Z006</x:v>
      </x:c>
      <x:c r="M5054" s="19" t="str">
        <x:v>In Field Warranty Claims</x:v>
      </x:c>
      <x:c r="N5054" s="37" t="n">
        <x:v>45986</x:v>
      </x:c>
      <x:c r="O5054" s="37"/>
      <x:c r="P5054" s="34" t="n">
        <x:v>0</x:v>
      </x:c>
      <x:c r="Q5054" s="37" t="n">
        <x:v>46103.92938657408</x:v>
      </x:c>
    </x:row>
    <x:row r="5055">
      <x:c r="A5055" s="22" t="n">
        <x:v>28302</x:v>
      </x:c>
      <x:c r="B5055" s="28" t="n">
        <x:v>183.55</x:v>
      </x:c>
      <x:c r="C5055" s="28" t="n">
        <x:v>201.91</x:v>
      </x:c>
      <x:c r="D5055" s="31" t="n">
        <x:f>IF(OR(ISBLANK(B5055),ISBLANK(C5055),B5055=0),"",(C5055-B5055)/B5055)</x:f>
        <x:v>0.10002724053391437</x:v>
      </x:c>
      <x:c r="E5055" s="22" t="str">
        <x:f>IF(ISBLANK(C5055),"AmountIncludingTax缺失",IF(ABS(B5055-C5055)&lt;0.005,"一致","不一致"))</x:f>
        <x:v>不一致</x:v>
      </x:c>
      <x:c r="F5055" s="19" t="str">
        <x:v>approved</x:v>
      </x:c>
      <x:c r="G5055" s="19" t="str">
        <x:v>Repairer Invoiced Processed</x:v>
      </x:c>
      <x:c r="H5055" s="19" t="str">
        <x:v>In Field</x:v>
      </x:c>
      <x:c r="I5055" s="37" t="n">
        <x:v>46125</x:v>
      </x:c>
      <x:c r="J5055" s="37" t="n">
        <x:v>46125</x:v>
      </x:c>
      <x:c r="K5055" s="19" t="str">
        <x:v>Green RV - Forest Glen</x:v>
      </x:c>
      <x:c r="L5055" s="19" t="str">
        <x:v>Z006</x:v>
      </x:c>
      <x:c r="M5055" s="19" t="str">
        <x:v>In Field Warranty Claims</x:v>
      </x:c>
      <x:c r="N5055" s="37" t="n">
        <x:v>45986</x:v>
      </x:c>
      <x:c r="O5055" s="37"/>
      <x:c r="P5055" s="34" t="n">
        <x:v>201.91</x:v>
      </x:c>
      <x:c r="Q5055" s="37" t="n">
        <x:v>46125.51930555556</x:v>
      </x:c>
    </x:row>
    <x:row r="5056">
      <x:c r="A5056" s="22" t="n">
        <x:v>28299</x:v>
      </x:c>
      <x:c r="B5056" s="28" t="n">
        <x:v>462.35</x:v>
      </x:c>
      <x:c r="C5056" s="28"/>
      <x:c r="D5056" s="31" t="str">
        <x:f>IF(OR(ISBLANK(B5056),ISBLANK(C5056),B5056=0),"",(C5056-B5056)/B5056)</x:f>
      </x:c>
      <x:c r="E5056" s="22" t="str">
        <x:f>IF(ISBLANK(C5056),"AmountIncludingTax缺失",IF(ABS(B5056-C5056)&lt;0.005,"一致","不一致"))</x:f>
        <x:v>AmountIncludingTax缺失</x:v>
      </x:c>
      <x:c r="F5056" s="19" t="str">
        <x:v>approved</x:v>
      </x:c>
      <x:c r="G5056" s="19" t="str">
        <x:v>Repairer Invoiced Processed</x:v>
      </x:c>
      <x:c r="H5056" s="19" t="str">
        <x:v>In Field</x:v>
      </x:c>
      <x:c r="I5056" s="37" t="n">
        <x:v>46121</x:v>
      </x:c>
      <x:c r="J5056" s="37" t="n">
        <x:v>46121</x:v>
      </x:c>
      <x:c r="K5056" s="19" t="str">
        <x:v>Lesiure Lion-New Castle</x:v>
      </x:c>
      <x:c r="L5056" s="19" t="str">
        <x:v>Z006</x:v>
      </x:c>
      <x:c r="M5056" s="19" t="str">
        <x:v>In Field Warranty Claims</x:v>
      </x:c>
      <x:c r="N5056" s="37" t="n">
        <x:v>45986</x:v>
      </x:c>
      <x:c r="O5056" s="37"/>
      <x:c r="P5056" s="34" t="n">
        <x:v>0</x:v>
      </x:c>
      <x:c r="Q5056" s="37" t="n">
        <x:v>46121.07585648148</x:v>
      </x:c>
    </x:row>
    <x:row r="5057">
      <x:c r="A5057" s="22" t="n">
        <x:v>28298</x:v>
      </x:c>
      <x:c r="B5057" s="28" t="n">
        <x:v>850.01</x:v>
      </x:c>
      <x:c r="C5057" s="28"/>
      <x:c r="D5057" s="31" t="str">
        <x:f>IF(OR(ISBLANK(B5057),ISBLANK(C5057),B5057=0),"",(C5057-B5057)/B5057)</x:f>
      </x:c>
      <x:c r="E5057" s="22" t="str">
        <x:f>IF(ISBLANK(C5057),"AmountIncludingTax缺失",IF(ABS(B5057-C5057)&lt;0.005,"一致","不一致"))</x:f>
        <x:v>AmountIncludingTax缺失</x:v>
      </x:c>
      <x:c r="F5057" s="19" t="str">
        <x:v>approved</x:v>
      </x:c>
      <x:c r="G5057" s="19" t="str">
        <x:v>Repairer Invoiced Processed</x:v>
      </x:c>
      <x:c r="H5057" s="19" t="str">
        <x:v>In Field</x:v>
      </x:c>
      <x:c r="I5057" s="37" t="n">
        <x:v>46107</x:v>
      </x:c>
      <x:c r="J5057" s="37" t="n">
        <x:v>46107</x:v>
      </x:c>
      <x:c r="K5057" s="19" t="str">
        <x:v>Dario Caravans -St.Marys</x:v>
      </x:c>
      <x:c r="L5057" s="19" t="str">
        <x:v>Z006</x:v>
      </x:c>
      <x:c r="M5057" s="19" t="str">
        <x:v>In Field Warranty Claims</x:v>
      </x:c>
      <x:c r="N5057" s="37" t="n">
        <x:v>45986</x:v>
      </x:c>
      <x:c r="O5057" s="37"/>
      <x:c r="P5057" s="34" t="n">
        <x:v>0</x:v>
      </x:c>
      <x:c r="Q5057" s="37" t="n">
        <x:v>46106.93318287037</x:v>
      </x:c>
    </x:row>
    <x:row r="5058">
      <x:c r="A5058" s="22" t="n">
        <x:v>28297</x:v>
      </x:c>
      <x:c r="B5058" s="28" t="n">
        <x:v>487.5</x:v>
      </x:c>
      <x:c r="C5058" s="28" t="n">
        <x:v>441.38</x:v>
      </x:c>
      <x:c r="D5058" s="31" t="n">
        <x:f>IF(OR(ISBLANK(B5058),ISBLANK(C5058),B5058=0),"",(C5058-B5058)/B5058)</x:f>
        <x:v>-0.09460512820512822</x:v>
      </x:c>
      <x:c r="E5058" s="22" t="str">
        <x:f>IF(ISBLANK(C5058),"AmountIncludingTax缺失",IF(ABS(B5058-C5058)&lt;0.005,"一致","不一致"))</x:f>
        <x:v>不一致</x:v>
      </x:c>
      <x:c r="F5058" s="19" t="str">
        <x:v>approved</x:v>
      </x:c>
      <x:c r="G5058" s="19" t="str">
        <x:v>Repairer Invoiced Processed</x:v>
      </x:c>
      <x:c r="H5058" s="19" t="str">
        <x:v>In Field</x:v>
      </x:c>
      <x:c r="I5058" s="37" t="n">
        <x:v>46100</x:v>
      </x:c>
      <x:c r="J5058" s="37" t="n">
        <x:v>46100</x:v>
      </x:c>
      <x:c r="K5058" s="19" t="str">
        <x:v>Vanari Caravans - Marden Point</x:v>
      </x:c>
      <x:c r="L5058" s="19" t="str">
        <x:v>Z006</x:v>
      </x:c>
      <x:c r="M5058" s="19" t="str">
        <x:v>In Field Warranty Claims</x:v>
      </x:c>
      <x:c r="N5058" s="37" t="n">
        <x:v>45986</x:v>
      </x:c>
      <x:c r="O5058" s="37"/>
      <x:c r="P5058" s="34" t="n">
        <x:v>441.38</x:v>
      </x:c>
      <x:c r="Q5058" s="37" t="n">
        <x:v>46099.978541666664</x:v>
      </x:c>
    </x:row>
    <x:row r="5059">
      <x:c r="A5059" s="22" t="n">
        <x:v>28295</x:v>
      </x:c>
      <x:c r="B5059" s="28" t="n">
        <x:v>479.56</x:v>
      </x:c>
      <x:c r="C5059" s="28"/>
      <x:c r="D5059" s="31" t="str">
        <x:f>IF(OR(ISBLANK(B5059),ISBLANK(C5059),B5059=0),"",(C5059-B5059)/B5059)</x:f>
      </x:c>
      <x:c r="E5059" s="22" t="str">
        <x:f>IF(ISBLANK(C5059),"AmountIncludingTax缺失",IF(ABS(B5059-C5059)&lt;0.005,"一致","不一致"))</x:f>
        <x:v>AmountIncludingTax缺失</x:v>
      </x:c>
      <x:c r="F5059" s="19" t="str">
        <x:v>approved</x:v>
      </x:c>
      <x:c r="G5059" s="19" t="str">
        <x:v>Repairer Invoiced Processed</x:v>
      </x:c>
      <x:c r="H5059" s="19" t="str">
        <x:v>In Field</x:v>
      </x:c>
      <x:c r="I5059" s="37" t="n">
        <x:v>46146</x:v>
      </x:c>
      <x:c r="J5059" s="37" t="n">
        <x:v>46057</x:v>
      </x:c>
      <x:c r="K5059" s="19" t="str">
        <x:v>Regent RV - Toowoomba</x:v>
      </x:c>
      <x:c r="L5059" s="19" t="str">
        <x:v>Z006</x:v>
      </x:c>
      <x:c r="M5059" s="19" t="str">
        <x:v>In Field Warranty Claims</x:v>
      </x:c>
      <x:c r="N5059" s="37" t="n">
        <x:v>45986</x:v>
      </x:c>
      <x:c r="O5059" s="37"/>
      <x:c r="P5059" s="34" t="n">
        <x:v>0</x:v>
      </x:c>
      <x:c r="Q5059" s="37" t="n">
        <x:v>46146.1675</x:v>
      </x:c>
    </x:row>
    <x:row r="5060">
      <x:c r="A5060" s="22" t="n">
        <x:v>28293</x:v>
      </x:c>
      <x:c r="B5060" s="28" t="n">
        <x:v>172.73</x:v>
      </x:c>
      <x:c r="C5060" s="28" t="n">
        <x:v>190</x:v>
      </x:c>
      <x:c r="D5060" s="31" t="n">
        <x:f>IF(OR(ISBLANK(B5060),ISBLANK(C5060),B5060=0),"",(C5060-B5060)/B5060)</x:f>
        <x:v>0.09998263185318133</x:v>
      </x:c>
      <x:c r="E5060" s="22" t="str">
        <x:f>IF(ISBLANK(C5060),"AmountIncludingTax缺失",IF(ABS(B5060-C5060)&lt;0.005,"一致","不一致"))</x:f>
        <x:v>不一致</x:v>
      </x:c>
      <x:c r="F5060" s="19" t="str">
        <x:v>approved</x:v>
      </x:c>
      <x:c r="G5060" s="19" t="str">
        <x:v>Repairer Invoiced Processed</x:v>
      </x:c>
      <x:c r="H5060" s="19" t="str">
        <x:v>In Field</x:v>
      </x:c>
      <x:c r="I5060" s="37" t="n">
        <x:v>46062</x:v>
      </x:c>
      <x:c r="J5060" s="37" t="n">
        <x:v>46062</x:v>
      </x:c>
      <x:c r="K5060" s="19" t="str">
        <x:v>Regent RV - Toowoomba</x:v>
      </x:c>
      <x:c r="L5060" s="19" t="str">
        <x:v>Z006</x:v>
      </x:c>
      <x:c r="M5060" s="19" t="str">
        <x:v>In Field Warranty Claims</x:v>
      </x:c>
      <x:c r="N5060" s="37" t="n">
        <x:v>45986</x:v>
      </x:c>
      <x:c r="O5060" s="37"/>
      <x:c r="P5060" s="34" t="n">
        <x:v>190</x:v>
      </x:c>
      <x:c r="Q5060" s="37" t="n">
        <x:v>46062.17837962963</x:v>
      </x:c>
    </x:row>
    <x:row r="5061">
      <x:c r="A5061" s="22" t="n">
        <x:v>28292</x:v>
      </x:c>
      <x:c r="B5061" s="28" t="n">
        <x:v>632.96</x:v>
      </x:c>
      <x:c r="C5061" s="28"/>
      <x:c r="D5061" s="31" t="str">
        <x:f>IF(OR(ISBLANK(B5061),ISBLANK(C5061),B5061=0),"",(C5061-B5061)/B5061)</x:f>
      </x:c>
      <x:c r="E5061" s="22" t="str">
        <x:f>IF(ISBLANK(C5061),"AmountIncludingTax缺失",IF(ABS(B5061-C5061)&lt;0.005,"一致","不一致"))</x:f>
        <x:v>AmountIncludingTax缺失</x:v>
      </x:c>
      <x:c r="F5061" s="19" t="str">
        <x:v>approved</x:v>
      </x:c>
      <x:c r="G5061" s="19" t="str">
        <x:v>Repair in Progress</x:v>
      </x:c>
      <x:c r="H5061" s="19" t="str">
        <x:v>In Field</x:v>
      </x:c>
      <x:c r="I5061" s="37" t="n">
        <x:v>46104</x:v>
      </x:c>
      <x:c r="J5061" s="37" t="n">
        <x:v>46104</x:v>
      </x:c>
      <x:c r="K5061" s="19" t="str">
        <x:v>Regent RV - Toowoomba</x:v>
      </x:c>
      <x:c r="L5061" s="19" t="str">
        <x:v>Z006</x:v>
      </x:c>
      <x:c r="M5061" s="19" t="str">
        <x:v>In Field Warranty Claims</x:v>
      </x:c>
      <x:c r="N5061" s="37" t="n">
        <x:v>45986</x:v>
      </x:c>
      <x:c r="O5061" s="37"/>
      <x:c r="P5061" s="34" t="n">
        <x:v>0</x:v>
      </x:c>
      <x:c r="Q5061" s="37" t="n">
        <x:v>46104.18571759259</x:v>
      </x:c>
    </x:row>
    <x:row r="5062">
      <x:c r="A5062" s="22" t="n">
        <x:v>28291</x:v>
      </x:c>
      <x:c r="B5062" s="28" t="n">
        <x:v>997.25</x:v>
      </x:c>
      <x:c r="C5062" s="28" t="n">
        <x:v>902.91</x:v>
      </x:c>
      <x:c r="D5062" s="31" t="n">
        <x:f>IF(OR(ISBLANK(B5062),ISBLANK(C5062),B5062=0),"",(C5062-B5062)/B5062)</x:f>
        <x:v>-0.09460015041363753</x:v>
      </x:c>
      <x:c r="E5062" s="22" t="str">
        <x:f>IF(ISBLANK(C5062),"AmountIncludingTax缺失",IF(ABS(B5062-C5062)&lt;0.005,"一致","不一致"))</x:f>
        <x:v>不一致</x:v>
      </x:c>
      <x:c r="F5062" s="19" t="str">
        <x:v>approved</x:v>
      </x:c>
      <x:c r="G5062" s="19" t="str">
        <x:v>Repairer Invoiced Processed</x:v>
      </x:c>
      <x:c r="H5062" s="19" t="str">
        <x:v>In Field</x:v>
      </x:c>
      <x:c r="I5062" s="37" t="n">
        <x:v>46203</x:v>
      </x:c>
      <x:c r="J5062" s="37" t="n">
        <x:v>46203</x:v>
      </x:c>
      <x:c r="K5062" s="19" t="str">
        <x:v>Vanari Caravans - Marden Point</x:v>
      </x:c>
      <x:c r="L5062" s="19" t="str">
        <x:v>Z006</x:v>
      </x:c>
      <x:c r="M5062" s="19" t="str">
        <x:v>In Field Warranty Claims</x:v>
      </x:c>
      <x:c r="N5062" s="37" t="n">
        <x:v>45986</x:v>
      </x:c>
      <x:c r="O5062" s="37" t="n">
        <x:v>46112</x:v>
      </x:c>
      <x:c r="P5062" s="34" t="n">
        <x:v>902.91</x:v>
      </x:c>
      <x:c r="Q5062" s="37" t="n">
        <x:v>46202.984444444446</x:v>
      </x:c>
    </x:row>
    <x:row r="5063">
      <x:c r="A5063" s="22" t="n">
        <x:v>28288</x:v>
      </x:c>
      <x:c r="B5063" s="28" t="n">
        <x:v>155.25</x:v>
      </x:c>
      <x:c r="C5063" s="28" t="n">
        <x:v>154.62</x:v>
      </x:c>
      <x:c r="D5063" s="31" t="n">
        <x:f>IF(OR(ISBLANK(B5063),ISBLANK(C5063),B5063=0),"",(C5063-B5063)/B5063)</x:f>
        <x:v>-0.004057971014492724</x:v>
      </x:c>
      <x:c r="E5063" s="22" t="str">
        <x:f>IF(ISBLANK(C5063),"AmountIncludingTax缺失",IF(ABS(B5063-C5063)&lt;0.005,"一致","不一致"))</x:f>
        <x:v>不一致</x:v>
      </x:c>
      <x:c r="F5063" s="19" t="str">
        <x:v>approved</x:v>
      </x:c>
      <x:c r="G5063" s="19" t="str">
        <x:v>Repair in Progress</x:v>
      </x:c>
      <x:c r="H5063" s="19" t="str">
        <x:v>In Field</x:v>
      </x:c>
      <x:c r="I5063" s="37" t="n">
        <x:v>46119</x:v>
      </x:c>
      <x:c r="J5063" s="37" t="n">
        <x:v>46114</x:v>
      </x:c>
      <x:c r="K5063" s="19" t="str">
        <x:v>CMG Campers - Christchurch</x:v>
      </x:c>
      <x:c r="L5063" s="19" t="str">
        <x:v>Z006</x:v>
      </x:c>
      <x:c r="M5063" s="19" t="str">
        <x:v>In Field Warranty Claims</x:v>
      </x:c>
      <x:c r="N5063" s="37" t="n">
        <x:v>45987</x:v>
      </x:c>
      <x:c r="O5063" s="37"/>
      <x:c r="P5063" s="34" t="n">
        <x:v>154.62</x:v>
      </x:c>
      <x:c r="Q5063" s="37" t="n">
        <x:v>46119.01960648148</x:v>
      </x:c>
    </x:row>
    <x:row r="5064">
      <x:c r="A5064" s="22" t="n">
        <x:v>28280</x:v>
      </x:c>
      <x:c r="B5064" s="28" t="n">
        <x:v>324.95</x:v>
      </x:c>
      <x:c r="C5064" s="28" t="n">
        <x:v>357.45</x:v>
      </x:c>
      <x:c r="D5064" s="31" t="n">
        <x:f>IF(OR(ISBLANK(B5064),ISBLANK(C5064),B5064=0),"",(C5064-B5064)/B5064)</x:f>
        <x:v>0.10001538698261271</x:v>
      </x:c>
      <x:c r="E5064" s="22" t="str">
        <x:f>IF(ISBLANK(C5064),"AmountIncludingTax缺失",IF(ABS(B5064-C5064)&lt;0.005,"一致","不一致"))</x:f>
        <x:v>不一致</x:v>
      </x:c>
      <x:c r="F5064" s="19" t="str">
        <x:v>approved</x:v>
      </x:c>
      <x:c r="G5064" s="19" t="str">
        <x:v>Repairer Invoiced Processed</x:v>
      </x:c>
      <x:c r="H5064" s="19" t="str">
        <x:v>Pre Delivery</x:v>
      </x:c>
      <x:c r="I5064" s="37" t="n">
        <x:v>46045</x:v>
      </x:c>
      <x:c r="J5064" s="37" t="n">
        <x:v>46044</x:v>
      </x:c>
      <x:c r="K5064" s="19" t="str">
        <x:v>Lesiure Lion-New Castle</x:v>
      </x:c>
      <x:c r="L5064" s="19" t="str">
        <x:v>Z005</x:v>
      </x:c>
      <x:c r="M5064" s="19" t="str">
        <x:v>Pre Delivery Warranty Claims</x:v>
      </x:c>
      <x:c r="N5064" s="37" t="n">
        <x:v>45986</x:v>
      </x:c>
      <x:c r="O5064" s="37"/>
      <x:c r="P5064" s="34" t="n">
        <x:v>357.45</x:v>
      </x:c>
      <x:c r="Q5064" s="37" t="n">
        <x:v>46044.5528587963</x:v>
      </x:c>
    </x:row>
    <x:row r="5065">
      <x:c r="A5065" s="22" t="n">
        <x:v>28279</x:v>
      </x:c>
      <x:c r="B5065" s="28" t="n">
        <x:v>110</x:v>
      </x:c>
      <x:c r="C5065" s="28"/>
      <x:c r="D5065" s="31" t="str">
        <x:f>IF(OR(ISBLANK(B5065),ISBLANK(C5065),B5065=0),"",(C5065-B5065)/B5065)</x:f>
      </x:c>
      <x:c r="E5065" s="22" t="str">
        <x:f>IF(ISBLANK(C5065),"AmountIncludingTax缺失",IF(ABS(B5065-C5065)&lt;0.005,"一致","不一致"))</x:f>
        <x:v>AmountIncludingTax缺失</x:v>
      </x:c>
      <x:c r="F5065" s="19" t="str">
        <x:v>approved</x:v>
      </x:c>
      <x:c r="G5065" s="19" t="str">
        <x:v>Repair in Progress</x:v>
      </x:c>
      <x:c r="H5065" s="19" t="str">
        <x:v>In Field</x:v>
      </x:c>
      <x:c r="I5065" s="37" t="n">
        <x:v>46057</x:v>
      </x:c>
      <x:c r="J5065" s="37" t="n">
        <x:v>46056</x:v>
      </x:c>
      <x:c r="K5065" s="19" t="str">
        <x:v>Lesiure Lion-New Castle</x:v>
      </x:c>
      <x:c r="L5065" s="19" t="str">
        <x:v>Z006</x:v>
      </x:c>
      <x:c r="M5065" s="19" t="str">
        <x:v>In Field Warranty Claims</x:v>
      </x:c>
      <x:c r="N5065" s="37" t="n">
        <x:v>45986</x:v>
      </x:c>
      <x:c r="O5065" s="37"/>
      <x:c r="P5065" s="34" t="n">
        <x:v>0</x:v>
      </x:c>
      <x:c r="Q5065" s="37" t="n">
        <x:v>46056.97069444445</x:v>
      </x:c>
    </x:row>
    <x:row r="5066">
      <x:c r="A5066" s="22" t="n">
        <x:v>28274</x:v>
      </x:c>
      <x:c r="B5066" s="28" t="n">
        <x:v>1127.5</x:v>
      </x:c>
      <x:c r="C5066" s="28"/>
      <x:c r="D5066" s="31" t="str">
        <x:f>IF(OR(ISBLANK(B5066),ISBLANK(C5066),B5066=0),"",(C5066-B5066)/B5066)</x:f>
      </x:c>
      <x:c r="E5066" s="22" t="str">
        <x:f>IF(ISBLANK(C5066),"AmountIncludingTax缺失",IF(ABS(B5066-C5066)&lt;0.005,"一致","不一致"))</x:f>
        <x:v>AmountIncludingTax缺失</x:v>
      </x:c>
      <x:c r="F5066" s="19" t="str">
        <x:v>approved</x:v>
      </x:c>
      <x:c r="G5066" s="19" t="str">
        <x:v>Repair in Progress</x:v>
      </x:c>
      <x:c r="H5066" s="19" t="str">
        <x:v>Pre Delivery</x:v>
      </x:c>
      <x:c r="I5066" s="37" t="n">
        <x:v>46058</x:v>
      </x:c>
      <x:c r="J5066" s="37" t="n">
        <x:v>46058</x:v>
      </x:c>
      <x:c r="K5066" s="19" t="str">
        <x:v>The Caravan Hub - Townsville</x:v>
      </x:c>
      <x:c r="L5066" s="19" t="str">
        <x:v>Z005</x:v>
      </x:c>
      <x:c r="M5066" s="19" t="str">
        <x:v>Pre Delivery Warranty Claims</x:v>
      </x:c>
      <x:c r="N5066" s="37" t="n">
        <x:v>45986</x:v>
      </x:c>
      <x:c r="O5066" s="37"/>
      <x:c r="P5066" s="34" t="n">
        <x:v>0</x:v>
      </x:c>
      <x:c r="Q5066" s="37" t="n">
        <x:v>46058.14771990741</x:v>
      </x:c>
    </x:row>
    <x:row r="5067">
      <x:c r="A5067" s="22" t="n">
        <x:v>28273</x:v>
      </x:c>
      <x:c r="B5067" s="28" t="n">
        <x:v>660.58</x:v>
      </x:c>
      <x:c r="C5067" s="28" t="n">
        <x:v>598.09</x:v>
      </x:c>
      <x:c r="D5067" s="31" t="n">
        <x:f>IF(OR(ISBLANK(B5067),ISBLANK(C5067),B5067=0),"",(C5067-B5067)/B5067)</x:f>
        <x:v>-0.09459868600320931</x:v>
      </x:c>
      <x:c r="E5067" s="22" t="str">
        <x:f>IF(ISBLANK(C5067),"AmountIncludingTax缺失",IF(ABS(B5067-C5067)&lt;0.005,"一致","不一致"))</x:f>
        <x:v>不一致</x:v>
      </x:c>
      <x:c r="F5067" s="19" t="str">
        <x:v>approved</x:v>
      </x:c>
      <x:c r="G5067" s="19" t="str">
        <x:v>Repairer Invoiced Processed</x:v>
      </x:c>
      <x:c r="H5067" s="19" t="str">
        <x:v>In Field</x:v>
      </x:c>
      <x:c r="I5067" s="37" t="n">
        <x:v>46071</x:v>
      </x:c>
      <x:c r="J5067" s="37" t="n">
        <x:v>46071</x:v>
      </x:c>
      <x:c r="K5067" s="19" t="str">
        <x:v>Vanari Caravans - Marden Point</x:v>
      </x:c>
      <x:c r="L5067" s="19" t="str">
        <x:v>Z006</x:v>
      </x:c>
      <x:c r="M5067" s="19" t="str">
        <x:v>In Field Warranty Claims</x:v>
      </x:c>
      <x:c r="N5067" s="37" t="n">
        <x:v>45986</x:v>
      </x:c>
      <x:c r="O5067" s="37"/>
      <x:c r="P5067" s="34" t="n">
        <x:v>598.09</x:v>
      </x:c>
      <x:c r="Q5067" s="37" t="n">
        <x:v>46071.17644675926</x:v>
      </x:c>
    </x:row>
    <x:row r="5068">
      <x:c r="A5068" s="22" t="n">
        <x:v>28271</x:v>
      </x:c>
      <x:c r="B5068" s="28" t="n">
        <x:v>630.18</x:v>
      </x:c>
      <x:c r="C5068" s="28" t="n">
        <x:v>693.2</x:v>
      </x:c>
      <x:c r="D5068" s="31" t="n">
        <x:f>IF(OR(ISBLANK(B5068),ISBLANK(C5068),B5068=0),"",(C5068-B5068)/B5068)</x:f>
        <x:v>0.10000317369640437</x:v>
      </x:c>
      <x:c r="E5068" s="22" t="str">
        <x:f>IF(ISBLANK(C5068),"AmountIncludingTax缺失",IF(ABS(B5068-C5068)&lt;0.005,"一致","不一致"))</x:f>
        <x:v>不一致</x:v>
      </x:c>
      <x:c r="F5068" s="19" t="str">
        <x:v>approved</x:v>
      </x:c>
      <x:c r="G5068" s="19" t="str">
        <x:v>Repairer Invoiced Processed</x:v>
      </x:c>
      <x:c r="H5068" s="19" t="str">
        <x:v>In Field</x:v>
      </x:c>
      <x:c r="I5068" s="37" t="n">
        <x:v>46120</x:v>
      </x:c>
      <x:c r="J5068" s="37" t="n">
        <x:v>46120</x:v>
      </x:c>
      <x:c r="K5068" s="19" t="str">
        <x:v>Lesiure Lion-New Castle</x:v>
      </x:c>
      <x:c r="L5068" s="19" t="str">
        <x:v>Z006</x:v>
      </x:c>
      <x:c r="M5068" s="19" t="str">
        <x:v>In Field Warranty Claims</x:v>
      </x:c>
      <x:c r="N5068" s="37" t="n">
        <x:v>45986</x:v>
      </x:c>
      <x:c r="O5068" s="37"/>
      <x:c r="P5068" s="34" t="n">
        <x:v>693.2</x:v>
      </x:c>
      <x:c r="Q5068" s="37" t="n">
        <x:v>46120.157118055555</x:v>
      </x:c>
    </x:row>
    <x:row r="5069">
      <x:c r="A5069" s="22" t="n">
        <x:v>28269</x:v>
      </x:c>
      <x:c r="B5069" s="28" t="n">
        <x:v>1193.75</x:v>
      </x:c>
      <x:c r="C5069" s="28"/>
      <x:c r="D5069" s="31" t="str">
        <x:f>IF(OR(ISBLANK(B5069),ISBLANK(C5069),B5069=0),"",(C5069-B5069)/B5069)</x:f>
      </x:c>
      <x:c r="E5069" s="22" t="str">
        <x:f>IF(ISBLANK(C5069),"AmountIncludingTax缺失",IF(ABS(B5069-C5069)&lt;0.005,"一致","不一致"))</x:f>
        <x:v>AmountIncludingTax缺失</x:v>
      </x:c>
      <x:c r="F5069" s="19" t="str">
        <x:v>approved</x:v>
      </x:c>
      <x:c r="G5069" s="19" t="str">
        <x:v>Repair in Progress</x:v>
      </x:c>
      <x:c r="H5069" s="19" t="str">
        <x:v>In Field</x:v>
      </x:c>
      <x:c r="I5069" s="37" t="n">
        <x:v>46098</x:v>
      </x:c>
      <x:c r="J5069" s="37" t="n">
        <x:v>46098</x:v>
      </x:c>
      <x:c r="K5069" s="19" t="str">
        <x:v>Leisure Lion Pty Ltd - Toowoomba</x:v>
      </x:c>
      <x:c r="L5069" s="19" t="str">
        <x:v>Z006</x:v>
      </x:c>
      <x:c r="M5069" s="19" t="str">
        <x:v>In Field Warranty Claims</x:v>
      </x:c>
      <x:c r="N5069" s="37" t="n">
        <x:v>45986</x:v>
      </x:c>
      <x:c r="O5069" s="37"/>
      <x:c r="P5069" s="34" t="n">
        <x:v>0</x:v>
      </x:c>
      <x:c r="Q5069" s="37" t="n">
        <x:v>46097.846400462964</x:v>
      </x:c>
    </x:row>
    <x:row r="5070">
      <x:c r="A5070" s="22" t="n">
        <x:v>28267</x:v>
      </x:c>
      <x:c r="B5070" s="28" t="n">
        <x:v>761.14</x:v>
      </x:c>
      <x:c r="C5070" s="28" t="n">
        <x:v>837.25</x:v>
      </x:c>
      <x:c r="D5070" s="31" t="n">
        <x:f>IF(OR(ISBLANK(B5070),ISBLANK(C5070),B5070=0),"",(C5070-B5070)/B5070)</x:f>
        <x:v>0.09999474472501775</x:v>
      </x:c>
      <x:c r="E5070" s="22" t="str">
        <x:f>IF(ISBLANK(C5070),"AmountIncludingTax缺失",IF(ABS(B5070-C5070)&lt;0.005,"一致","不一致"))</x:f>
        <x:v>不一致</x:v>
      </x:c>
      <x:c r="F5070" s="19" t="str">
        <x:v>approved</x:v>
      </x:c>
      <x:c r="G5070" s="19" t="str">
        <x:v>Repairer Invoiced Processed</x:v>
      </x:c>
      <x:c r="H5070" s="19" t="str">
        <x:v>In Field</x:v>
      </x:c>
      <x:c r="I5070" s="37" t="n">
        <x:v>46188</x:v>
      </x:c>
      <x:c r="J5070" s="37" t="n">
        <x:v>46188</x:v>
      </x:c>
      <x:c r="K5070" s="19" t="str">
        <x:v>Newcastle RV Super Centre - Beresfield</x:v>
      </x:c>
      <x:c r="L5070" s="19" t="str">
        <x:v>Z006</x:v>
      </x:c>
      <x:c r="M5070" s="19" t="str">
        <x:v>In Field Warranty Claims</x:v>
      </x:c>
      <x:c r="N5070" s="37" t="n">
        <x:v>45986</x:v>
      </x:c>
      <x:c r="O5070" s="37"/>
      <x:c r="P5070" s="34" t="n">
        <x:v>837.25</x:v>
      </x:c>
      <x:c r="Q5070" s="37" t="n">
        <x:v>46188.167280092595</x:v>
      </x:c>
    </x:row>
    <x:row r="5071">
      <x:c r="A5071" s="22" t="n">
        <x:v>28264</x:v>
      </x:c>
      <x:c r="B5071" s="28" t="n">
        <x:v>641.25</x:v>
      </x:c>
      <x:c r="C5071" s="28"/>
      <x:c r="D5071" s="31" t="str">
        <x:f>IF(OR(ISBLANK(B5071),ISBLANK(C5071),B5071=0),"",(C5071-B5071)/B5071)</x:f>
      </x:c>
      <x:c r="E5071" s="22" t="str">
        <x:f>IF(ISBLANK(C5071),"AmountIncludingTax缺失",IF(ABS(B5071-C5071)&lt;0.005,"一致","不一致"))</x:f>
        <x:v>AmountIncludingTax缺失</x:v>
      </x:c>
      <x:c r="F5071" s="19" t="str">
        <x:v>approved</x:v>
      </x:c>
      <x:c r="G5071" s="19" t="str">
        <x:v>Repairer Invoiced Processed</x:v>
      </x:c>
      <x:c r="H5071" s="19" t="str">
        <x:v>In Field</x:v>
      </x:c>
      <x:c r="I5071" s="37" t="n">
        <x:v>46153</x:v>
      </x:c>
      <x:c r="J5071" s="37" t="n">
        <x:v>46153</x:v>
      </x:c>
      <x:c r="K5071" s="19" t="str">
        <x:v>Leisure Lion Pty Ltd - Toowoomba</x:v>
      </x:c>
      <x:c r="L5071" s="19" t="str">
        <x:v>Z006</x:v>
      </x:c>
      <x:c r="M5071" s="19" t="str">
        <x:v>In Field Warranty Claims</x:v>
      </x:c>
      <x:c r="N5071" s="37" t="n">
        <x:v>45986</x:v>
      </x:c>
      <x:c r="O5071" s="37"/>
      <x:c r="P5071" s="34" t="n">
        <x:v>0</x:v>
      </x:c>
      <x:c r="Q5071" s="37" t="n">
        <x:v>46153.1271412037</x:v>
      </x:c>
    </x:row>
    <x:row r="5072">
      <x:c r="A5072" s="22" t="n">
        <x:v>28263</x:v>
      </x:c>
      <x:c r="B5072" s="28" t="n">
        <x:v>812.48</x:v>
      </x:c>
      <x:c r="C5072" s="28" t="n">
        <x:v>893.73</x:v>
      </x:c>
      <x:c r="D5072" s="31" t="n">
        <x:f>IF(OR(ISBLANK(B5072),ISBLANK(C5072),B5072=0),"",(C5072-B5072)/B5072)</x:f>
        <x:v>0.10000246159905474</x:v>
      </x:c>
      <x:c r="E5072" s="22" t="str">
        <x:f>IF(ISBLANK(C5072),"AmountIncludingTax缺失",IF(ABS(B5072-C5072)&lt;0.005,"一致","不一致"))</x:f>
        <x:v>不一致</x:v>
      </x:c>
      <x:c r="F5072" s="19" t="str">
        <x:v>approved</x:v>
      </x:c>
      <x:c r="G5072" s="19" t="str">
        <x:v>Repairer Invoiced Received</x:v>
      </x:c>
      <x:c r="H5072" s="19" t="str">
        <x:v>In Field</x:v>
      </x:c>
      <x:c r="I5072" s="37" t="n">
        <x:v>46086</x:v>
      </x:c>
      <x:c r="J5072" s="37" t="n">
        <x:v>46085</x:v>
      </x:c>
      <x:c r="K5072" s="19" t="str">
        <x:v>Newcastle RV Super Centre - Beresfield</x:v>
      </x:c>
      <x:c r="L5072" s="19" t="str">
        <x:v>Z006</x:v>
      </x:c>
      <x:c r="M5072" s="19" t="str">
        <x:v>In Field Warranty Claims</x:v>
      </x:c>
      <x:c r="N5072" s="37" t="n">
        <x:v>45986</x:v>
      </x:c>
      <x:c r="O5072" s="37"/>
      <x:c r="P5072" s="34" t="n">
        <x:v>893.73</x:v>
      </x:c>
      <x:c r="Q5072" s="37" t="n">
        <x:v>46085.938125</x:v>
      </x:c>
    </x:row>
    <x:row r="5073">
      <x:c r="A5073" s="22" t="n">
        <x:v>28262</x:v>
      </x:c>
      <x:c r="B5073" s="28" t="n">
        <x:v>92.58</x:v>
      </x:c>
      <x:c r="C5073" s="28"/>
      <x:c r="D5073" s="31" t="str">
        <x:f>IF(OR(ISBLANK(B5073),ISBLANK(C5073),B5073=0),"",(C5073-B5073)/B5073)</x:f>
      </x:c>
      <x:c r="E5073" s="22" t="str">
        <x:f>IF(ISBLANK(C5073),"AmountIncludingTax缺失",IF(ABS(B5073-C5073)&lt;0.005,"一致","不一致"))</x:f>
        <x:v>AmountIncludingTax缺失</x:v>
      </x:c>
      <x:c r="F5073" s="19" t="str">
        <x:v>approved</x:v>
      </x:c>
      <x:c r="G5073" s="19" t="str">
        <x:v>Repair in Progress</x:v>
      </x:c>
      <x:c r="H5073" s="19" t="str">
        <x:v>Pre Delivery</x:v>
      </x:c>
      <x:c r="I5073" s="37" t="n">
        <x:v>46045</x:v>
      </x:c>
      <x:c r="J5073" s="37" t="n">
        <x:v>46044</x:v>
      </x:c>
      <x:c r="K5073" s="19" t="str">
        <x:v>Auswide Caravans - South Nowra</x:v>
      </x:c>
      <x:c r="L5073" s="19" t="str">
        <x:v>Z005</x:v>
      </x:c>
      <x:c r="M5073" s="19" t="str">
        <x:v>Pre Delivery Warranty Claims</x:v>
      </x:c>
      <x:c r="N5073" s="37" t="n">
        <x:v>45986</x:v>
      </x:c>
      <x:c r="O5073" s="37"/>
      <x:c r="P5073" s="34" t="n">
        <x:v>0</x:v>
      </x:c>
      <x:c r="Q5073" s="37" t="n">
        <x:v>46044.55238425926</x:v>
      </x:c>
    </x:row>
    <x:row r="5074">
      <x:c r="A5074" s="22" t="n">
        <x:v>28261</x:v>
      </x:c>
      <x:c r="B5074" s="28" t="n">
        <x:v>323.93</x:v>
      </x:c>
      <x:c r="C5074" s="28" t="n">
        <x:v>356.32</x:v>
      </x:c>
      <x:c r="D5074" s="31" t="n">
        <x:f>IF(OR(ISBLANK(B5074),ISBLANK(C5074),B5074=0),"",(C5074-B5074)/B5074)</x:f>
        <x:v>0.09999073873985116</x:v>
      </x:c>
      <x:c r="E5074" s="22" t="str">
        <x:f>IF(ISBLANK(C5074),"AmountIncludingTax缺失",IF(ABS(B5074-C5074)&lt;0.005,"一致","不一致"))</x:f>
        <x:v>不一致</x:v>
      </x:c>
      <x:c r="F5074" s="19" t="str">
        <x:v>approved</x:v>
      </x:c>
      <x:c r="G5074" s="19" t="str">
        <x:v>Repairer Invoiced Processed</x:v>
      </x:c>
      <x:c r="H5074" s="19" t="str">
        <x:v>In Field</x:v>
      </x:c>
      <x:c r="I5074" s="37" t="n">
        <x:v>46056</x:v>
      </x:c>
      <x:c r="J5074" s="37" t="n">
        <x:v>46056</x:v>
      </x:c>
      <x:c r="K5074" s="19" t="str">
        <x:v>Regent RV - Perth</x:v>
      </x:c>
      <x:c r="L5074" s="19" t="str">
        <x:v>Z006</x:v>
      </x:c>
      <x:c r="M5074" s="19" t="str">
        <x:v>In Field Warranty Claims</x:v>
      </x:c>
      <x:c r="N5074" s="37" t="n">
        <x:v>45986</x:v>
      </x:c>
      <x:c r="O5074" s="37"/>
      <x:c r="P5074" s="34" t="n">
        <x:v>356.32</x:v>
      </x:c>
      <x:c r="Q5074" s="37" t="n">
        <x:v>46055.938113425924</x:v>
      </x:c>
    </x:row>
    <x:row r="5075">
      <x:c r="A5075" s="22" t="n">
        <x:v>28250</x:v>
      </x:c>
      <x:c r="B5075" s="28" t="n">
        <x:v>905.34</x:v>
      </x:c>
      <x:c r="C5075" s="28"/>
      <x:c r="D5075" s="31" t="str">
        <x:f>IF(OR(ISBLANK(B5075),ISBLANK(C5075),B5075=0),"",(C5075-B5075)/B5075)</x:f>
      </x:c>
      <x:c r="E5075" s="22" t="str">
        <x:f>IF(ISBLANK(C5075),"AmountIncludingTax缺失",IF(ABS(B5075-C5075)&lt;0.005,"一致","不一致"))</x:f>
        <x:v>AmountIncludingTax缺失</x:v>
      </x:c>
      <x:c r="F5075" s="19" t="str">
        <x:v>approved</x:v>
      </x:c>
      <x:c r="G5075" s="19" t="str">
        <x:v>Repair in Progress</x:v>
      </x:c>
      <x:c r="H5075" s="19" t="str">
        <x:v>In Field</x:v>
      </x:c>
      <x:c r="I5075" s="37" t="n">
        <x:v>46136</x:v>
      </x:c>
      <x:c r="J5075" s="37" t="n">
        <x:v>46056</x:v>
      </x:c>
      <x:c r="K5075" s="19" t="str">
        <x:v>Regent RV Pty Ltd</x:v>
      </x:c>
      <x:c r="L5075" s="19" t="str">
        <x:v>Z006</x:v>
      </x:c>
      <x:c r="M5075" s="19" t="str">
        <x:v>In Field Warranty Claims</x:v>
      </x:c>
      <x:c r="N5075" s="37" t="n">
        <x:v>45986</x:v>
      </x:c>
      <x:c r="O5075" s="37"/>
      <x:c r="P5075" s="34" t="n">
        <x:v>0</x:v>
      </x:c>
      <x:c r="Q5075" s="37" t="n">
        <x:v>46135.979166666664</x:v>
      </x:c>
    </x:row>
    <x:row r="5076">
      <x:c r="A5076" s="22" t="n">
        <x:v>28249</x:v>
      </x:c>
      <x:c r="B5076" s="28" t="n">
        <x:v>197.99</x:v>
      </x:c>
      <x:c r="C5076" s="28"/>
      <x:c r="D5076" s="31" t="str">
        <x:f>IF(OR(ISBLANK(B5076),ISBLANK(C5076),B5076=0),"",(C5076-B5076)/B5076)</x:f>
      </x:c>
      <x:c r="E5076" s="22" t="str">
        <x:f>IF(ISBLANK(C5076),"AmountIncludingTax缺失",IF(ABS(B5076-C5076)&lt;0.005,"一致","不一致"))</x:f>
        <x:v>AmountIncludingTax缺失</x:v>
      </x:c>
      <x:c r="F5076" s="19" t="str">
        <x:v>approved</x:v>
      </x:c>
      <x:c r="G5076" s="19" t="str">
        <x:v>Repairer Invoiced Processed</x:v>
      </x:c>
      <x:c r="H5076" s="19" t="str">
        <x:v>In Field</x:v>
      </x:c>
      <x:c r="I5076" s="37" t="n">
        <x:v>46079</x:v>
      </x:c>
      <x:c r="J5076" s="37" t="n">
        <x:v>46079</x:v>
      </x:c>
      <x:c r="K5076" s="19" t="str">
        <x:v>Regent RV - Perth</x:v>
      </x:c>
      <x:c r="L5076" s="19" t="str">
        <x:v>Z006</x:v>
      </x:c>
      <x:c r="M5076" s="19" t="str">
        <x:v>In Field Warranty Claims</x:v>
      </x:c>
      <x:c r="N5076" s="37" t="n">
        <x:v>45986</x:v>
      </x:c>
      <x:c r="O5076" s="37"/>
      <x:c r="P5076" s="34" t="n">
        <x:v>0</x:v>
      </x:c>
      <x:c r="Q5076" s="37" t="n">
        <x:v>46079.142858796295</x:v>
      </x:c>
    </x:row>
    <x:row r="5077">
      <x:c r="A5077" s="22" t="n">
        <x:v>28247</x:v>
      </x:c>
      <x:c r="B5077" s="28" t="n">
        <x:v>69.09</x:v>
      </x:c>
      <x:c r="C5077" s="28"/>
      <x:c r="D5077" s="31" t="str">
        <x:f>IF(OR(ISBLANK(B5077),ISBLANK(C5077),B5077=0),"",(C5077-B5077)/B5077)</x:f>
      </x:c>
      <x:c r="E5077" s="22" t="str">
        <x:f>IF(ISBLANK(C5077),"AmountIncludingTax缺失",IF(ABS(B5077-C5077)&lt;0.005,"一致","不一致"))</x:f>
        <x:v>AmountIncludingTax缺失</x:v>
      </x:c>
      <x:c r="F5077" s="19" t="str">
        <x:v>approved</x:v>
      </x:c>
      <x:c r="G5077" s="19" t="str">
        <x:v>Repair in Progress</x:v>
      </x:c>
      <x:c r="H5077" s="19" t="str">
        <x:v>Pre Delivery</x:v>
      </x:c>
      <x:c r="I5077" s="37" t="n">
        <x:v>46097</x:v>
      </x:c>
      <x:c r="J5077" s="37" t="n">
        <x:v>46056</x:v>
      </x:c>
      <x:c r="K5077" s="19" t="str">
        <x:v>Auswide Caravans - South Nowra</x:v>
      </x:c>
      <x:c r="L5077" s="19" t="str">
        <x:v>Z005</x:v>
      </x:c>
      <x:c r="M5077" s="19" t="str">
        <x:v>Pre Delivery Warranty Claims</x:v>
      </x:c>
      <x:c r="N5077" s="37" t="n">
        <x:v>45986</x:v>
      </x:c>
      <x:c r="O5077" s="37"/>
      <x:c r="P5077" s="34" t="n">
        <x:v>0</x:v>
      </x:c>
      <x:c r="Q5077" s="37" t="n">
        <x:v>46097.15299768518</x:v>
      </x:c>
    </x:row>
    <x:row r="5078">
      <x:c r="A5078" s="22" t="n">
        <x:v>28244</x:v>
      </x:c>
      <x:c r="B5078" s="28" t="n">
        <x:v>910</x:v>
      </x:c>
      <x:c r="C5078" s="28"/>
      <x:c r="D5078" s="31" t="str">
        <x:f>IF(OR(ISBLANK(B5078),ISBLANK(C5078),B5078=0),"",(C5078-B5078)/B5078)</x:f>
      </x:c>
      <x:c r="E5078" s="22" t="str">
        <x:f>IF(ISBLANK(C5078),"AmountIncludingTax缺失",IF(ABS(B5078-C5078)&lt;0.005,"一致","不一致"))</x:f>
        <x:v>AmountIncludingTax缺失</x:v>
      </x:c>
      <x:c r="F5078" s="19" t="str">
        <x:v>approved</x:v>
      </x:c>
      <x:c r="G5078" s="19" t="str">
        <x:v>Repair in Progress</x:v>
      </x:c>
      <x:c r="H5078" s="19" t="str">
        <x:v>Pre Delivery</x:v>
      </x:c>
      <x:c r="I5078" s="37" t="n">
        <x:v>46073</x:v>
      </x:c>
      <x:c r="J5078" s="37" t="n">
        <x:v>46073</x:v>
      </x:c>
      <x:c r="K5078" s="19" t="str">
        <x:v>Regent RV - Frankston</x:v>
      </x:c>
      <x:c r="L5078" s="19" t="str">
        <x:v>Z005</x:v>
      </x:c>
      <x:c r="M5078" s="19" t="str">
        <x:v>Pre Delivery Warranty Claims</x:v>
      </x:c>
      <x:c r="N5078" s="37" t="n">
        <x:v>45985</x:v>
      </x:c>
      <x:c r="O5078" s="37"/>
      <x:c r="P5078" s="34" t="n">
        <x:v>0</x:v>
      </x:c>
      <x:c r="Q5078" s="37" t="n">
        <x:v>46073.1609837963</x:v>
      </x:c>
    </x:row>
    <x:row r="5079">
      <x:c r="A5079" s="22" t="n">
        <x:v>28236</x:v>
      </x:c>
      <x:c r="B5079" s="28" t="n">
        <x:v>1832.5</x:v>
      </x:c>
      <x:c r="C5079" s="28"/>
      <x:c r="D5079" s="31" t="str">
        <x:f>IF(OR(ISBLANK(B5079),ISBLANK(C5079),B5079=0),"",(C5079-B5079)/B5079)</x:f>
      </x:c>
      <x:c r="E5079" s="22" t="str">
        <x:f>IF(ISBLANK(C5079),"AmountIncludingTax缺失",IF(ABS(B5079-C5079)&lt;0.005,"一致","不一致"))</x:f>
        <x:v>AmountIncludingTax缺失</x:v>
      </x:c>
      <x:c r="F5079" s="19" t="str">
        <x:v>approved</x:v>
      </x:c>
      <x:c r="G5079" s="19" t="str">
        <x:v>Repairer Invoiced Processed</x:v>
      </x:c>
      <x:c r="H5079" s="19" t="str">
        <x:v>In Field</x:v>
      </x:c>
      <x:c r="I5079" s="37" t="n">
        <x:v>46202</x:v>
      </x:c>
      <x:c r="J5079" s="37" t="n">
        <x:v>46202</x:v>
      </x:c>
      <x:c r="K5079" s="19" t="str">
        <x:v>Newcastle RV Super Centre - Beresfield</x:v>
      </x:c>
      <x:c r="L5079" s="19" t="str">
        <x:v>Z006</x:v>
      </x:c>
      <x:c r="M5079" s="19" t="str">
        <x:v>In Field Warranty Claims</x:v>
      </x:c>
      <x:c r="N5079" s="37" t="n">
        <x:v>45985</x:v>
      </x:c>
      <x:c r="O5079" s="37"/>
      <x:c r="P5079" s="34" t="n">
        <x:v>2015.75</x:v>
      </x:c>
      <x:c r="Q5079" s="37" t="n">
        <x:v>46202.0987962963</x:v>
      </x:c>
    </x:row>
    <x:row r="5080">
      <x:c r="A5080" s="22" t="n">
        <x:v>28232</x:v>
      </x:c>
      <x:c r="B5080" s="28" t="n">
        <x:v>1347.18</x:v>
      </x:c>
      <x:c r="C5080" s="28"/>
      <x:c r="D5080" s="31" t="str">
        <x:f>IF(OR(ISBLANK(B5080),ISBLANK(C5080),B5080=0),"",(C5080-B5080)/B5080)</x:f>
      </x:c>
      <x:c r="E5080" s="22" t="str">
        <x:f>IF(ISBLANK(C5080),"AmountIncludingTax缺失",IF(ABS(B5080-C5080)&lt;0.005,"一致","不一致"))</x:f>
        <x:v>AmountIncludingTax缺失</x:v>
      </x:c>
      <x:c r="F5080" s="19" t="str">
        <x:v>approved</x:v>
      </x:c>
      <x:c r="G5080" s="19" t="str">
        <x:v>Repairer Invoiced Processed</x:v>
      </x:c>
      <x:c r="H5080" s="19" t="str">
        <x:v>In Field</x:v>
      </x:c>
      <x:c r="I5080" s="37" t="n">
        <x:v>46189</x:v>
      </x:c>
      <x:c r="J5080" s="37" t="n">
        <x:v>46189</x:v>
      </x:c>
      <x:c r="K5080" s="19" t="str">
        <x:v>ABCO Caravans - Boambee Valley</x:v>
      </x:c>
      <x:c r="L5080" s="19" t="str">
        <x:v>Z006</x:v>
      </x:c>
      <x:c r="M5080" s="19" t="str">
        <x:v>In Field Warranty Claims</x:v>
      </x:c>
      <x:c r="N5080" s="37" t="n">
        <x:v>45985</x:v>
      </x:c>
      <x:c r="O5080" s="37"/>
      <x:c r="P5080" s="34" t="n">
        <x:v>1481.9</x:v>
      </x:c>
      <x:c r="Q5080" s="37" t="n">
        <x:v>46189.2137037037</x:v>
      </x:c>
    </x:row>
    <x:row r="5081">
      <x:c r="A5081" s="22" t="n">
        <x:v>28231</x:v>
      </x:c>
      <x:c r="B5081" s="28" t="n">
        <x:v>269.5</x:v>
      </x:c>
      <x:c r="C5081" s="28" t="n">
        <x:v>296.45</x:v>
      </x:c>
      <x:c r="D5081" s="31" t="n">
        <x:f>IF(OR(ISBLANK(B5081),ISBLANK(C5081),B5081=0),"",(C5081-B5081)/B5081)</x:f>
        <x:v>0.09999999999999996</x:v>
      </x:c>
      <x:c r="E5081" s="22" t="str">
        <x:f>IF(ISBLANK(C5081),"AmountIncludingTax缺失",IF(ABS(B5081-C5081)&lt;0.005,"一致","不一致"))</x:f>
        <x:v>不一致</x:v>
      </x:c>
      <x:c r="F5081" s="19" t="str">
        <x:v>approved</x:v>
      </x:c>
      <x:c r="G5081" s="19" t="str">
        <x:v>Repairer Invoiced Processed</x:v>
      </x:c>
      <x:c r="H5081" s="19" t="str">
        <x:v>In Field</x:v>
      </x:c>
      <x:c r="I5081" s="37" t="n">
        <x:v>46059</x:v>
      </x:c>
      <x:c r="J5081" s="37" t="n">
        <x:v>46059</x:v>
      </x:c>
      <x:c r="K5081" s="19" t="str">
        <x:v>Newcastle RV Super Centre - Beresfield</x:v>
      </x:c>
      <x:c r="L5081" s="19" t="str">
        <x:v>Z006</x:v>
      </x:c>
      <x:c r="M5081" s="19" t="str">
        <x:v>In Field Warranty Claims</x:v>
      </x:c>
      <x:c r="N5081" s="37" t="n">
        <x:v>45985</x:v>
      </x:c>
      <x:c r="O5081" s="37"/>
      <x:c r="P5081" s="34" t="n">
        <x:v>296.45</x:v>
      </x:c>
      <x:c r="Q5081" s="37" t="n">
        <x:v>46058.97980324074</x:v>
      </x:c>
    </x:row>
    <x:row r="5082">
      <x:c r="A5082" s="22" t="n">
        <x:v>28227</x:v>
      </x:c>
      <x:c r="B5082" s="28" t="n">
        <x:v>276.36</x:v>
      </x:c>
      <x:c r="C5082" s="28"/>
      <x:c r="D5082" s="31" t="str">
        <x:f>IF(OR(ISBLANK(B5082),ISBLANK(C5082),B5082=0),"",(C5082-B5082)/B5082)</x:f>
      </x:c>
      <x:c r="E5082" s="22" t="str">
        <x:f>IF(ISBLANK(C5082),"AmountIncludingTax缺失",IF(ABS(B5082-C5082)&lt;0.005,"一致","不一致"))</x:f>
        <x:v>AmountIncludingTax缺失</x:v>
      </x:c>
      <x:c r="F5082" s="19" t="str">
        <x:v>approved</x:v>
      </x:c>
      <x:c r="G5082" s="19" t="str">
        <x:v>Repairer Invoiced Processed</x:v>
      </x:c>
      <x:c r="H5082" s="19" t="str">
        <x:v>In Field</x:v>
      </x:c>
      <x:c r="I5082" s="37" t="n">
        <x:v>46070</x:v>
      </x:c>
      <x:c r="J5082" s="37" t="n">
        <x:v>46070</x:v>
      </x:c>
      <x:c r="K5082" s="19" t="str">
        <x:v>Newcastle RV Super Centre - Beresfield</x:v>
      </x:c>
      <x:c r="L5082" s="19" t="str">
        <x:v>Z006</x:v>
      </x:c>
      <x:c r="M5082" s="19" t="str">
        <x:v>In Field Warranty Claims</x:v>
      </x:c>
      <x:c r="N5082" s="37" t="n">
        <x:v>45985</x:v>
      </x:c>
      <x:c r="O5082" s="37"/>
      <x:c r="P5082" s="34" t="n">
        <x:v>0</x:v>
      </x:c>
      <x:c r="Q5082" s="37" t="n">
        <x:v>46070.12048611111</x:v>
      </x:c>
    </x:row>
    <x:row r="5083">
      <x:c r="A5083" s="22" t="n">
        <x:v>28222</x:v>
      </x:c>
      <x:c r="B5083" s="28" t="n">
        <x:v>529.23</x:v>
      </x:c>
      <x:c r="C5083" s="28"/>
      <x:c r="D5083" s="31" t="str">
        <x:f>IF(OR(ISBLANK(B5083),ISBLANK(C5083),B5083=0),"",(C5083-B5083)/B5083)</x:f>
      </x:c>
      <x:c r="E5083" s="22" t="str">
        <x:f>IF(ISBLANK(C5083),"AmountIncludingTax缺失",IF(ABS(B5083-C5083)&lt;0.005,"一致","不一致"))</x:f>
        <x:v>AmountIncludingTax缺失</x:v>
      </x:c>
      <x:c r="F5083" s="19" t="str">
        <x:v>approved</x:v>
      </x:c>
      <x:c r="G5083" s="19" t="str">
        <x:v>Repair in Progress</x:v>
      </x:c>
      <x:c r="H5083" s="19" t="str">
        <x:v>In Field</x:v>
      </x:c>
      <x:c r="I5083" s="37" t="n">
        <x:v>46045</x:v>
      </x:c>
      <x:c r="J5083" s="37" t="n">
        <x:v>46044</x:v>
      </x:c>
      <x:c r="K5083" s="19" t="str">
        <x:v>Auswide Caravans - South Nowra</x:v>
      </x:c>
      <x:c r="L5083" s="19" t="str">
        <x:v>Z006</x:v>
      </x:c>
      <x:c r="M5083" s="19" t="str">
        <x:v>In Field Warranty Claims</x:v>
      </x:c>
      <x:c r="N5083" s="37" t="n">
        <x:v>45985</x:v>
      </x:c>
      <x:c r="O5083" s="37"/>
      <x:c r="P5083" s="34" t="n">
        <x:v>0</x:v>
      </x:c>
      <x:c r="Q5083" s="37" t="n">
        <x:v>46044.54435185185</x:v>
      </x:c>
    </x:row>
    <x:row r="5084">
      <x:c r="A5084" s="22" t="n">
        <x:v>28216</x:v>
      </x:c>
      <x:c r="B5084" s="28" t="n">
        <x:v>93.64</x:v>
      </x:c>
      <x:c r="C5084" s="28"/>
      <x:c r="D5084" s="31" t="str">
        <x:f>IF(OR(ISBLANK(B5084),ISBLANK(C5084),B5084=0),"",(C5084-B5084)/B5084)</x:f>
      </x:c>
      <x:c r="E5084" s="22" t="str">
        <x:f>IF(ISBLANK(C5084),"AmountIncludingTax缺失",IF(ABS(B5084-C5084)&lt;0.005,"一致","不一致"))</x:f>
        <x:v>AmountIncludingTax缺失</x:v>
      </x:c>
      <x:c r="F5084" s="19" t="str">
        <x:v>approved</x:v>
      </x:c>
      <x:c r="G5084" s="19" t="str">
        <x:v>Repair in Progress</x:v>
      </x:c>
      <x:c r="H5084" s="19" t="str">
        <x:v>In Field</x:v>
      </x:c>
      <x:c r="I5084" s="37" t="n">
        <x:v>46100</x:v>
      </x:c>
      <x:c r="J5084" s="37" t="n">
        <x:v>46100</x:v>
      </x:c>
      <x:c r="K5084" s="19" t="str">
        <x:v>Dario Caravans - Pooraka</x:v>
      </x:c>
      <x:c r="L5084" s="19" t="str">
        <x:v>Z006</x:v>
      </x:c>
      <x:c r="M5084" s="19" t="str">
        <x:v>In Field Warranty Claims</x:v>
      </x:c>
      <x:c r="N5084" s="37" t="n">
        <x:v>45984</x:v>
      </x:c>
      <x:c r="O5084" s="37"/>
      <x:c r="P5084" s="34" t="n">
        <x:v>0</x:v>
      </x:c>
      <x:c r="Q5084" s="37" t="n">
        <x:v>46100.40993055556</x:v>
      </x:c>
    </x:row>
    <x:row r="5085">
      <x:c r="A5085" s="22" t="n">
        <x:v>28215</x:v>
      </x:c>
      <x:c r="B5085" s="28" t="n">
        <x:v>140</x:v>
      </x:c>
      <x:c r="C5085" s="28"/>
      <x:c r="D5085" s="31" t="str">
        <x:f>IF(OR(ISBLANK(B5085),ISBLANK(C5085),B5085=0),"",(C5085-B5085)/B5085)</x:f>
      </x:c>
      <x:c r="E5085" s="22" t="str">
        <x:f>IF(ISBLANK(C5085),"AmountIncludingTax缺失",IF(ABS(B5085-C5085)&lt;0.005,"一致","不一致"))</x:f>
        <x:v>AmountIncludingTax缺失</x:v>
      </x:c>
      <x:c r="F5085" s="19" t="str">
        <x:v>approved</x:v>
      </x:c>
      <x:c r="G5085" s="19" t="str">
        <x:v>Repair in Progress</x:v>
      </x:c>
      <x:c r="H5085" s="19" t="str">
        <x:v>Pre Delivery</x:v>
      </x:c>
      <x:c r="I5085" s="37" t="n">
        <x:v>46051</x:v>
      </x:c>
      <x:c r="J5085" s="37" t="n">
        <x:v>46051</x:v>
      </x:c>
      <x:c r="K5085" s="19" t="str">
        <x:v>Regent RV - Frankston</x:v>
      </x:c>
      <x:c r="L5085" s="19" t="str">
        <x:v>Z005</x:v>
      </x:c>
      <x:c r="M5085" s="19" t="str">
        <x:v>Pre Delivery Warranty Claims</x:v>
      </x:c>
      <x:c r="N5085" s="37" t="n">
        <x:v>45984</x:v>
      </x:c>
      <x:c r="O5085" s="37"/>
      <x:c r="P5085" s="34" t="n">
        <x:v>0</x:v>
      </x:c>
      <x:c r="Q5085" s="37" t="n">
        <x:v>46050.89409722222</x:v>
      </x:c>
    </x:row>
    <x:row r="5086">
      <x:c r="A5086" s="22" t="n">
        <x:v>28214</x:v>
      </x:c>
      <x:c r="B5086" s="28" t="n">
        <x:v>1207.04</x:v>
      </x:c>
      <x:c r="C5086" s="28"/>
      <x:c r="D5086" s="31" t="str">
        <x:f>IF(OR(ISBLANK(B5086),ISBLANK(C5086),B5086=0),"",(C5086-B5086)/B5086)</x:f>
      </x:c>
      <x:c r="E5086" s="22" t="str">
        <x:f>IF(ISBLANK(C5086),"AmountIncludingTax缺失",IF(ABS(B5086-C5086)&lt;0.005,"一致","不一致"))</x:f>
        <x:v>AmountIncludingTax缺失</x:v>
      </x:c>
      <x:c r="F5086" s="19" t="str">
        <x:v>approved</x:v>
      </x:c>
      <x:c r="G5086" s="19" t="str">
        <x:v>Repair in Progress</x:v>
      </x:c>
      <x:c r="H5086" s="19" t="str">
        <x:v>In Field</x:v>
      </x:c>
      <x:c r="I5086" s="37" t="n">
        <x:v>46087</x:v>
      </x:c>
      <x:c r="J5086" s="37" t="n">
        <x:v>46087</x:v>
      </x:c>
      <x:c r="K5086" s="19" t="str">
        <x:v>Vanari Caravans - Marden Point</x:v>
      </x:c>
      <x:c r="L5086" s="19" t="str">
        <x:v>Z006</x:v>
      </x:c>
      <x:c r="M5086" s="19" t="str">
        <x:v>In Field Warranty Claims</x:v>
      </x:c>
      <x:c r="N5086" s="37" t="n">
        <x:v>45984</x:v>
      </x:c>
      <x:c r="O5086" s="37"/>
      <x:c r="P5086" s="34" t="n">
        <x:v>1092.85</x:v>
      </x:c>
      <x:c r="Q5086" s="37" t="n">
        <x:v>46087.46958333333</x:v>
      </x:c>
    </x:row>
    <x:row r="5087">
      <x:c r="A5087" s="22" t="n">
        <x:v>28213</x:v>
      </x:c>
      <x:c r="B5087" s="28" t="n">
        <x:v>692.16</x:v>
      </x:c>
      <x:c r="C5087" s="28"/>
      <x:c r="D5087" s="31" t="str">
        <x:f>IF(OR(ISBLANK(B5087),ISBLANK(C5087),B5087=0),"",(C5087-B5087)/B5087)</x:f>
      </x:c>
      <x:c r="E5087" s="22" t="str">
        <x:f>IF(ISBLANK(C5087),"AmountIncludingTax缺失",IF(ABS(B5087-C5087)&lt;0.005,"一致","不一致"))</x:f>
        <x:v>AmountIncludingTax缺失</x:v>
      </x:c>
      <x:c r="F5087" s="19" t="str">
        <x:v>approved</x:v>
      </x:c>
      <x:c r="G5087" s="19" t="str">
        <x:v>Repair in Progress</x:v>
      </x:c>
      <x:c r="H5087" s="19" t="str">
        <x:v>In Field</x:v>
      </x:c>
      <x:c r="I5087" s="37" t="n">
        <x:v>46051</x:v>
      </x:c>
      <x:c r="J5087" s="37" t="n">
        <x:v>46050</x:v>
      </x:c>
      <x:c r="K5087" s="19" t="str">
        <x:v>Auswide Caravans - South Nowra</x:v>
      </x:c>
      <x:c r="L5087" s="19" t="str">
        <x:v>Z006</x:v>
      </x:c>
      <x:c r="M5087" s="19" t="str">
        <x:v>In Field Warranty Claims</x:v>
      </x:c>
      <x:c r="N5087" s="37" t="n">
        <x:v>45984</x:v>
      </x:c>
      <x:c r="O5087" s="37"/>
      <x:c r="P5087" s="34" t="n">
        <x:v>0</x:v>
      </x:c>
      <x:c r="Q5087" s="37" t="n">
        <x:v>46050.93157407407</x:v>
      </x:c>
    </x:row>
    <x:row r="5088">
      <x:c r="A5088" s="22" t="n">
        <x:v>28212</x:v>
      </x:c>
      <x:c r="B5088" s="28" t="n">
        <x:v>135</x:v>
      </x:c>
      <x:c r="C5088" s="28"/>
      <x:c r="D5088" s="31" t="str">
        <x:f>IF(OR(ISBLANK(B5088),ISBLANK(C5088),B5088=0),"",(C5088-B5088)/B5088)</x:f>
      </x:c>
      <x:c r="E5088" s="22" t="str">
        <x:f>IF(ISBLANK(C5088),"AmountIncludingTax缺失",IF(ABS(B5088-C5088)&lt;0.005,"一致","不一致"))</x:f>
        <x:v>AmountIncludingTax缺失</x:v>
      </x:c>
      <x:c r="F5088" s="19" t="str">
        <x:v>approved</x:v>
      </x:c>
      <x:c r="G5088" s="19" t="str">
        <x:v>Repair in Progress</x:v>
      </x:c>
      <x:c r="H5088" s="19" t="str">
        <x:v>In Field</x:v>
      </x:c>
      <x:c r="I5088" s="37" t="n">
        <x:v>46055</x:v>
      </x:c>
      <x:c r="J5088" s="37" t="n">
        <x:v>46055</x:v>
      </x:c>
      <x:c r="K5088" s="19" t="str">
        <x:v>Regent RV - Frankston</x:v>
      </x:c>
      <x:c r="L5088" s="19" t="str">
        <x:v>Z006</x:v>
      </x:c>
      <x:c r="M5088" s="19" t="str">
        <x:v>In Field Warranty Claims</x:v>
      </x:c>
      <x:c r="N5088" s="37" t="n">
        <x:v>45983</x:v>
      </x:c>
      <x:c r="O5088" s="37"/>
      <x:c r="P5088" s="34" t="n">
        <x:v>0</x:v>
      </x:c>
      <x:c r="Q5088" s="37" t="n">
        <x:v>46054.900775462964</x:v>
      </x:c>
    </x:row>
    <x:row r="5089">
      <x:c r="A5089" s="22" t="n">
        <x:v>28211</x:v>
      </x:c>
      <x:c r="B5089" s="28" t="n">
        <x:v>635.49</x:v>
      </x:c>
      <x:c r="C5089" s="28" t="n">
        <x:v>575.37</x:v>
      </x:c>
      <x:c r="D5089" s="31" t="n">
        <x:f>IF(OR(ISBLANK(B5089),ISBLANK(C5089),B5089=0),"",(C5089-B5089)/B5089)</x:f>
        <x:v>-0.09460416371618752</x:v>
      </x:c>
      <x:c r="E5089" s="22" t="str">
        <x:f>IF(ISBLANK(C5089),"AmountIncludingTax缺失",IF(ABS(B5089-C5089)&lt;0.005,"一致","不一致"))</x:f>
        <x:v>不一致</x:v>
      </x:c>
      <x:c r="F5089" s="19" t="str">
        <x:v>approved</x:v>
      </x:c>
      <x:c r="G5089" s="19" t="str">
        <x:v>Repairer Invoiced Processed</x:v>
      </x:c>
      <x:c r="H5089" s="19" t="str">
        <x:v>In Field</x:v>
      </x:c>
      <x:c r="I5089" s="37" t="n">
        <x:v>46086</x:v>
      </x:c>
      <x:c r="J5089" s="37" t="n">
        <x:v>46086</x:v>
      </x:c>
      <x:c r="K5089" s="19" t="str">
        <x:v>Vanari Caravans - Christchurch</x:v>
      </x:c>
      <x:c r="L5089" s="19" t="str">
        <x:v>Z006</x:v>
      </x:c>
      <x:c r="M5089" s="19" t="str">
        <x:v>In Field Warranty Claims</x:v>
      </x:c>
      <x:c r="N5089" s="37" t="n">
        <x:v>45983</x:v>
      </x:c>
      <x:c r="O5089" s="37"/>
      <x:c r="P5089" s="34" t="n">
        <x:v>575.37</x:v>
      </x:c>
      <x:c r="Q5089" s="37" t="n">
        <x:v>46086.01636574074</x:v>
      </x:c>
    </x:row>
    <x:row r="5090">
      <x:c r="A5090" s="22" t="n">
        <x:v>28208</x:v>
      </x:c>
      <x:c r="B5090" s="28" t="n">
        <x:v>942</x:v>
      </x:c>
      <x:c r="C5090" s="28"/>
      <x:c r="D5090" s="31" t="str">
        <x:f>IF(OR(ISBLANK(B5090),ISBLANK(C5090),B5090=0),"",(C5090-B5090)/B5090)</x:f>
      </x:c>
      <x:c r="E5090" s="22" t="str">
        <x:f>IF(ISBLANK(C5090),"AmountIncludingTax缺失",IF(ABS(B5090-C5090)&lt;0.005,"一致","不一致"))</x:f>
        <x:v>AmountIncludingTax缺失</x:v>
      </x:c>
      <x:c r="F5090" s="19" t="str">
        <x:v>approved</x:v>
      </x:c>
      <x:c r="G5090" s="19" t="str">
        <x:v>Repairer Invoiced Processed</x:v>
      </x:c>
      <x:c r="H5090" s="19" t="str">
        <x:v>In Field</x:v>
      </x:c>
      <x:c r="I5090" s="37" t="n">
        <x:v>46077</x:v>
      </x:c>
      <x:c r="J5090" s="37" t="n">
        <x:v>46050</x:v>
      </x:c>
      <x:c r="K5090" s="19" t="str">
        <x:v>Auswide Caravans - South Nowra</x:v>
      </x:c>
      <x:c r="L5090" s="19" t="str">
        <x:v>Z006</x:v>
      </x:c>
      <x:c r="M5090" s="19" t="str">
        <x:v>In Field Warranty Claims</x:v>
      </x:c>
      <x:c r="N5090" s="37" t="n">
        <x:v>45984</x:v>
      </x:c>
      <x:c r="O5090" s="37"/>
      <x:c r="P5090" s="34" t="n">
        <x:v>0</x:v>
      </x:c>
      <x:c r="Q5090" s="37" t="n">
        <x:v>46077.000914351855</x:v>
      </x:c>
    </x:row>
    <x:row r="5091">
      <x:c r="A5091" s="22" t="n">
        <x:v>28204</x:v>
      </x:c>
      <x:c r="B5091" s="28" t="n">
        <x:v>220</x:v>
      </x:c>
      <x:c r="C5091" s="28"/>
      <x:c r="D5091" s="31" t="str">
        <x:f>IF(OR(ISBLANK(B5091),ISBLANK(C5091),B5091=0),"",(C5091-B5091)/B5091)</x:f>
      </x:c>
      <x:c r="E5091" s="22" t="str">
        <x:f>IF(ISBLANK(C5091),"AmountIncludingTax缺失",IF(ABS(B5091-C5091)&lt;0.005,"一致","不一致"))</x:f>
        <x:v>AmountIncludingTax缺失</x:v>
      </x:c>
      <x:c r="F5091" s="19" t="str">
        <x:v>approved</x:v>
      </x:c>
      <x:c r="G5091" s="19" t="str">
        <x:v>Repair in Progress</x:v>
      </x:c>
      <x:c r="H5091" s="19" t="str">
        <x:v>In Field</x:v>
      </x:c>
      <x:c r="I5091" s="37" t="n">
        <x:v>46050</x:v>
      </x:c>
      <x:c r="J5091" s="37" t="n">
        <x:v>46050</x:v>
      </x:c>
      <x:c r="K5091" s="19" t="str">
        <x:v>The Caravan Hub - Townsville</x:v>
      </x:c>
      <x:c r="L5091" s="19" t="str">
        <x:v>Z006</x:v>
      </x:c>
      <x:c r="M5091" s="19" t="str">
        <x:v>In Field Warranty Claims</x:v>
      </x:c>
      <x:c r="N5091" s="37" t="n">
        <x:v>45984</x:v>
      </x:c>
      <x:c r="O5091" s="37"/>
      <x:c r="P5091" s="34" t="n">
        <x:v>0</x:v>
      </x:c>
      <x:c r="Q5091" s="37" t="n">
        <x:v>46050.27681712963</x:v>
      </x:c>
    </x:row>
    <x:row r="5092">
      <x:c r="A5092" s="22" t="n">
        <x:v>28201</x:v>
      </x:c>
      <x:c r="B5092" s="28" t="n">
        <x:v>184.09</x:v>
      </x:c>
      <x:c r="C5092" s="28" t="n">
        <x:v>202.5</x:v>
      </x:c>
      <x:c r="D5092" s="31" t="n">
        <x:f>IF(OR(ISBLANK(B5092),ISBLANK(C5092),B5092=0),"",(C5092-B5092)/B5092)</x:f>
        <x:v>0.10000543212559072</x:v>
      </x:c>
      <x:c r="E5092" s="22" t="str">
        <x:f>IF(ISBLANK(C5092),"AmountIncludingTax缺失",IF(ABS(B5092-C5092)&lt;0.005,"一致","不一致"))</x:f>
        <x:v>不一致</x:v>
      </x:c>
      <x:c r="F5092" s="19" t="str">
        <x:v>approved</x:v>
      </x:c>
      <x:c r="G5092" s="19" t="str">
        <x:v>Repairer Invoiced Processed</x:v>
      </x:c>
      <x:c r="H5092" s="19" t="str">
        <x:v>In Field</x:v>
      </x:c>
      <x:c r="I5092" s="37" t="n">
        <x:v>46037</x:v>
      </x:c>
      <x:c r="J5092" s="37" t="n">
        <x:v>46037</x:v>
      </x:c>
      <x:c r="K5092" s="19" t="str">
        <x:v>Green RV - Forest Glen</x:v>
      </x:c>
      <x:c r="L5092" s="19" t="str">
        <x:v>Z006</x:v>
      </x:c>
      <x:c r="M5092" s="19" t="str">
        <x:v>In Field Warranty Claims</x:v>
      </x:c>
      <x:c r="N5092" s="37" t="n">
        <x:v>45982</x:v>
      </x:c>
      <x:c r="O5092" s="37"/>
      <x:c r="P5092" s="34" t="n">
        <x:v>202.5</x:v>
      </x:c>
      <x:c r="Q5092" s="37" t="n">
        <x:v>46036.899560185186</x:v>
      </x:c>
    </x:row>
    <x:row r="5093">
      <x:c r="A5093" s="22" t="n">
        <x:v>28200</x:v>
      </x:c>
      <x:c r="B5093" s="28" t="n">
        <x:v>918</x:v>
      </x:c>
      <x:c r="C5093" s="28"/>
      <x:c r="D5093" s="31" t="str">
        <x:f>IF(OR(ISBLANK(B5093),ISBLANK(C5093),B5093=0),"",(C5093-B5093)/B5093)</x:f>
      </x:c>
      <x:c r="E5093" s="22" t="str">
        <x:f>IF(ISBLANK(C5093),"AmountIncludingTax缺失",IF(ABS(B5093-C5093)&lt;0.005,"一致","不一致"))</x:f>
        <x:v>AmountIncludingTax缺失</x:v>
      </x:c>
      <x:c r="F5093" s="19" t="str">
        <x:v>approved</x:v>
      </x:c>
      <x:c r="G5093" s="19" t="str">
        <x:v>Repair in Progress</x:v>
      </x:c>
      <x:c r="H5093" s="19" t="str">
        <x:v>In Field</x:v>
      </x:c>
      <x:c r="I5093" s="37" t="n">
        <x:v>46065</x:v>
      </x:c>
      <x:c r="J5093" s="37" t="n">
        <x:v>46065</x:v>
      </x:c>
      <x:c r="K5093" s="19" t="str">
        <x:v>Green RV - Slacks Creek</x:v>
      </x:c>
      <x:c r="L5093" s="19" t="str">
        <x:v>Z006</x:v>
      </x:c>
      <x:c r="M5093" s="19" t="str">
        <x:v>In Field Warranty Claims</x:v>
      </x:c>
      <x:c r="N5093" s="37" t="n">
        <x:v>45983</x:v>
      </x:c>
      <x:c r="O5093" s="37"/>
      <x:c r="P5093" s="34" t="n">
        <x:v>0</x:v>
      </x:c>
      <x:c r="Q5093" s="37" t="n">
        <x:v>46065.196226851855</x:v>
      </x:c>
    </x:row>
    <x:row r="5094">
      <x:c r="A5094" s="22" t="n">
        <x:v>28199</x:v>
      </x:c>
      <x:c r="B5094" s="28" t="n">
        <x:v>167.5</x:v>
      </x:c>
      <x:c r="C5094" s="28" t="n">
        <x:v>151.65</x:v>
      </x:c>
      <x:c r="D5094" s="31" t="n">
        <x:f>IF(OR(ISBLANK(B5094),ISBLANK(C5094),B5094=0),"",(C5094-B5094)/B5094)</x:f>
        <x:v>-0.09462686567164176</x:v>
      </x:c>
      <x:c r="E5094" s="22" t="str">
        <x:f>IF(ISBLANK(C5094),"AmountIncludingTax缺失",IF(ABS(B5094-C5094)&lt;0.005,"一致","不一致"))</x:f>
        <x:v>不一致</x:v>
      </x:c>
      <x:c r="F5094" s="19" t="str">
        <x:v>approved</x:v>
      </x:c>
      <x:c r="G5094" s="19" t="str">
        <x:v>Repairer Invoiced Processed</x:v>
      </x:c>
      <x:c r="H5094" s="19" t="str">
        <x:v>In Field</x:v>
      </x:c>
      <x:c r="I5094" s="37" t="n">
        <x:v>46058</x:v>
      </x:c>
      <x:c r="J5094" s="37" t="n">
        <x:v>46058</x:v>
      </x:c>
      <x:c r="K5094" s="19" t="str">
        <x:v>Vanari Caravans - Marden Point</x:v>
      </x:c>
      <x:c r="L5094" s="19" t="str">
        <x:v>Z006</x:v>
      </x:c>
      <x:c r="M5094" s="19" t="str">
        <x:v>In Field Warranty Claims</x:v>
      </x:c>
      <x:c r="N5094" s="37" t="n">
        <x:v>45982</x:v>
      </x:c>
      <x:c r="O5094" s="37" t="n">
        <x:v>46003</x:v>
      </x:c>
      <x:c r="P5094" s="34" t="n">
        <x:v>151.65</x:v>
      </x:c>
      <x:c r="Q5094" s="37" t="n">
        <x:v>46057.85474537037</x:v>
      </x:c>
    </x:row>
    <x:row r="5095">
      <x:c r="A5095" s="22" t="n">
        <x:v>28197</x:v>
      </x:c>
      <x:c r="B5095" s="28" t="n">
        <x:v>888.48</x:v>
      </x:c>
      <x:c r="C5095" s="28" t="n">
        <x:v>977.33</x:v>
      </x:c>
      <x:c r="D5095" s="31" t="n">
        <x:f>IF(OR(ISBLANK(B5095),ISBLANK(C5095),B5095=0),"",(C5095-B5095)/B5095)</x:f>
        <x:v>0.10000225103547634</x:v>
      </x:c>
      <x:c r="E5095" s="22" t="str">
        <x:f>IF(ISBLANK(C5095),"AmountIncludingTax缺失",IF(ABS(B5095-C5095)&lt;0.005,"一致","不一致"))</x:f>
        <x:v>不一致</x:v>
      </x:c>
      <x:c r="F5095" s="19" t="str">
        <x:v>approved</x:v>
      </x:c>
      <x:c r="G5095" s="19" t="str">
        <x:v>Repairer Invoiced Processed</x:v>
      </x:c>
      <x:c r="H5095" s="19" t="str">
        <x:v>Pre Delivery</x:v>
      </x:c>
      <x:c r="I5095" s="37" t="n">
        <x:v>46063</x:v>
      </x:c>
      <x:c r="J5095" s="37" t="n">
        <x:v>46063</x:v>
      </x:c>
      <x:c r="K5095" s="19" t="str">
        <x:v>Green RV - Forest Glen</x:v>
      </x:c>
      <x:c r="L5095" s="19" t="str">
        <x:v>Z005</x:v>
      </x:c>
      <x:c r="M5095" s="19" t="str">
        <x:v>Pre Delivery Warranty Claims</x:v>
      </x:c>
      <x:c r="N5095" s="37" t="n">
        <x:v>45982</x:v>
      </x:c>
      <x:c r="O5095" s="37"/>
      <x:c r="P5095" s="34" t="n">
        <x:v>977.33</x:v>
      </x:c>
      <x:c r="Q5095" s="37" t="n">
        <x:v>46063.20287037037</x:v>
      </x:c>
    </x:row>
    <x:row r="5096">
      <x:c r="A5096" s="22" t="n">
        <x:v>28195</x:v>
      </x:c>
      <x:c r="B5096" s="28" t="n">
        <x:v>2744.19</x:v>
      </x:c>
      <x:c r="C5096" s="28"/>
      <x:c r="D5096" s="31" t="str">
        <x:f>IF(OR(ISBLANK(B5096),ISBLANK(C5096),B5096=0),"",(C5096-B5096)/B5096)</x:f>
      </x:c>
      <x:c r="E5096" s="22" t="str">
        <x:f>IF(ISBLANK(C5096),"AmountIncludingTax缺失",IF(ABS(B5096-C5096)&lt;0.005,"一致","不一致"))</x:f>
        <x:v>AmountIncludingTax缺失</x:v>
      </x:c>
      <x:c r="F5096" s="19" t="str">
        <x:v>approved</x:v>
      </x:c>
      <x:c r="G5096" s="19" t="str">
        <x:v>Repairer Invoiced Processed</x:v>
      </x:c>
      <x:c r="H5096" s="19" t="str">
        <x:v>In Field</x:v>
      </x:c>
      <x:c r="I5096" s="37" t="n">
        <x:v>46055</x:v>
      </x:c>
      <x:c r="J5096" s="37" t="n">
        <x:v>46055</x:v>
      </x:c>
      <x:c r="K5096" s="19" t="str">
        <x:v>Green RV - Forest Glen</x:v>
      </x:c>
      <x:c r="L5096" s="19" t="str">
        <x:v>Z006</x:v>
      </x:c>
      <x:c r="M5096" s="19" t="str">
        <x:v>In Field Warranty Claims</x:v>
      </x:c>
      <x:c r="N5096" s="37" t="n">
        <x:v>45982</x:v>
      </x:c>
      <x:c r="O5096" s="37"/>
      <x:c r="P5096" s="34" t="n">
        <x:v>3018.61</x:v>
      </x:c>
      <x:c r="Q5096" s="37" t="n">
        <x:v>46054.97728009259</x:v>
      </x:c>
    </x:row>
    <x:row r="5097">
      <x:c r="A5097" s="22" t="n">
        <x:v>28191</x:v>
      </x:c>
      <x:c r="B5097" s="28" t="n">
        <x:v>1136.38</x:v>
      </x:c>
      <x:c r="C5097" s="28"/>
      <x:c r="D5097" s="31" t="str">
        <x:f>IF(OR(ISBLANK(B5097),ISBLANK(C5097),B5097=0),"",(C5097-B5097)/B5097)</x:f>
      </x:c>
      <x:c r="E5097" s="22" t="str">
        <x:f>IF(ISBLANK(C5097),"AmountIncludingTax缺失",IF(ABS(B5097-C5097)&lt;0.005,"一致","不一致"))</x:f>
        <x:v>AmountIncludingTax缺失</x:v>
      </x:c>
      <x:c r="F5097" s="19" t="str">
        <x:v>approved</x:v>
      </x:c>
      <x:c r="G5097" s="19" t="str">
        <x:v>Repairer Invoiced Processed</x:v>
      </x:c>
      <x:c r="H5097" s="19" t="str">
        <x:v>In Field</x:v>
      </x:c>
      <x:c r="I5097" s="37" t="n">
        <x:v>46050</x:v>
      </x:c>
      <x:c r="J5097" s="37" t="n">
        <x:v>46050</x:v>
      </x:c>
      <x:c r="K5097" s="19" t="str">
        <x:v>Green RV - Forest Glen</x:v>
      </x:c>
      <x:c r="L5097" s="19" t="str">
        <x:v>Z006</x:v>
      </x:c>
      <x:c r="M5097" s="19" t="str">
        <x:v>In Field Warranty Claims</x:v>
      </x:c>
      <x:c r="N5097" s="37" t="n">
        <x:v>45982</x:v>
      </x:c>
      <x:c r="O5097" s="37"/>
      <x:c r="P5097" s="34" t="n">
        <x:v>1250.02</x:v>
      </x:c>
      <x:c r="Q5097" s="37" t="n">
        <x:v>46050.286203703705</x:v>
      </x:c>
    </x:row>
    <x:row r="5098">
      <x:c r="A5098" s="22" t="n">
        <x:v>28188</x:v>
      </x:c>
      <x:c r="B5098" s="28" t="n">
        <x:v>206.5</x:v>
      </x:c>
      <x:c r="C5098" s="28" t="n">
        <x:v>227.15</x:v>
      </x:c>
      <x:c r="D5098" s="31" t="n">
        <x:f>IF(OR(ISBLANK(B5098),ISBLANK(C5098),B5098=0),"",(C5098-B5098)/B5098)</x:f>
        <x:v>0.10000000000000003</x:v>
      </x:c>
      <x:c r="E5098" s="22" t="str">
        <x:f>IF(ISBLANK(C5098),"AmountIncludingTax缺失",IF(ABS(B5098-C5098)&lt;0.005,"一致","不一致"))</x:f>
        <x:v>不一致</x:v>
      </x:c>
      <x:c r="F5098" s="19" t="str">
        <x:v>approved</x:v>
      </x:c>
      <x:c r="G5098" s="19" t="str">
        <x:v>Repairer Invoiced Processed</x:v>
      </x:c>
      <x:c r="H5098" s="19" t="str">
        <x:v>In Field</x:v>
      </x:c>
      <x:c r="I5098" s="37" t="n">
        <x:v>46045</x:v>
      </x:c>
      <x:c r="J5098" s="37" t="n">
        <x:v>46044</x:v>
      </x:c>
      <x:c r="K5098" s="19" t="str">
        <x:v>Green RV - Forest Glen</x:v>
      </x:c>
      <x:c r="L5098" s="19" t="str">
        <x:v>Z006</x:v>
      </x:c>
      <x:c r="M5098" s="19" t="str">
        <x:v>In Field Warranty Claims</x:v>
      </x:c>
      <x:c r="N5098" s="37" t="n">
        <x:v>45982</x:v>
      </x:c>
      <x:c r="O5098" s="37"/>
      <x:c r="P5098" s="34" t="n">
        <x:v>227.15</x:v>
      </x:c>
      <x:c r="Q5098" s="37" t="n">
        <x:v>46044.54244212963</x:v>
      </x:c>
    </x:row>
    <x:row r="5099">
      <x:c r="A5099" s="22" t="n">
        <x:v>28187</x:v>
      </x:c>
      <x:c r="B5099" s="28" t="n">
        <x:v>141.1</x:v>
      </x:c>
      <x:c r="C5099" s="28" t="n">
        <x:v>155.21</x:v>
      </x:c>
      <x:c r="D5099" s="31" t="n">
        <x:f>IF(OR(ISBLANK(B5099),ISBLANK(C5099),B5099=0),"",(C5099-B5099)/B5099)</x:f>
        <x:v>0.1000000000000001</x:v>
      </x:c>
      <x:c r="E5099" s="22" t="str">
        <x:f>IF(ISBLANK(C5099),"AmountIncludingTax缺失",IF(ABS(B5099-C5099)&lt;0.005,"一致","不一致"))</x:f>
        <x:v>不一致</x:v>
      </x:c>
      <x:c r="F5099" s="19" t="str">
        <x:v>approved</x:v>
      </x:c>
      <x:c r="G5099" s="19" t="str">
        <x:v>Repairer Invoiced Processed</x:v>
      </x:c>
      <x:c r="H5099" s="19" t="str">
        <x:v>In Field</x:v>
      </x:c>
      <x:c r="I5099" s="37" t="n">
        <x:v>46037</x:v>
      </x:c>
      <x:c r="J5099" s="37" t="n">
        <x:v>46037</x:v>
      </x:c>
      <x:c r="K5099" s="19" t="str">
        <x:v>Green RV - Forest Glen</x:v>
      </x:c>
      <x:c r="L5099" s="19" t="str">
        <x:v>Z006</x:v>
      </x:c>
      <x:c r="M5099" s="19" t="str">
        <x:v>In Field Warranty Claims</x:v>
      </x:c>
      <x:c r="N5099" s="37" t="n">
        <x:v>45982</x:v>
      </x:c>
      <x:c r="O5099" s="37"/>
      <x:c r="P5099" s="34" t="n">
        <x:v>155.21</x:v>
      </x:c>
      <x:c r="Q5099" s="37" t="n">
        <x:v>46036.94792824074</x:v>
      </x:c>
    </x:row>
    <x:row r="5100">
      <x:c r="A5100" s="22" t="n">
        <x:v>28186</x:v>
      </x:c>
      <x:c r="B5100" s="28" t="n">
        <x:v>105.91</x:v>
      </x:c>
      <x:c r="C5100" s="28"/>
      <x:c r="D5100" s="31" t="str">
        <x:f>IF(OR(ISBLANK(B5100),ISBLANK(C5100),B5100=0),"",(C5100-B5100)/B5100)</x:f>
      </x:c>
      <x:c r="E5100" s="22" t="str">
        <x:f>IF(ISBLANK(C5100),"AmountIncludingTax缺失",IF(ABS(B5100-C5100)&lt;0.005,"一致","不一致"))</x:f>
        <x:v>AmountIncludingTax缺失</x:v>
      </x:c>
      <x:c r="F5100" s="19" t="str">
        <x:v>approved</x:v>
      </x:c>
      <x:c r="G5100" s="19" t="str">
        <x:v>Repair in Progress</x:v>
      </x:c>
      <x:c r="H5100" s="19" t="str">
        <x:v>Pre Delivery</x:v>
      </x:c>
      <x:c r="I5100" s="37" t="n">
        <x:v>46072</x:v>
      </x:c>
      <x:c r="J5100" s="37" t="n">
        <x:v>46072</x:v>
      </x:c>
      <x:c r="K5100" s="19" t="str">
        <x:v>Dario Caravans -St.Marys</x:v>
      </x:c>
      <x:c r="L5100" s="19" t="str">
        <x:v>Z005</x:v>
      </x:c>
      <x:c r="M5100" s="19" t="str">
        <x:v>Pre Delivery Warranty Claims</x:v>
      </x:c>
      <x:c r="N5100" s="37" t="n">
        <x:v>45981</x:v>
      </x:c>
      <x:c r="O5100" s="37"/>
      <x:c r="P5100" s="34" t="n">
        <x:v>0</x:v>
      </x:c>
      <x:c r="Q5100" s="37" t="n">
        <x:v>46072.0549537037</x:v>
      </x:c>
    </x:row>
    <x:row r="5101">
      <x:c r="A5101" s="22" t="n">
        <x:v>28185</x:v>
      </x:c>
      <x:c r="B5101" s="28" t="n">
        <x:v>2078.78</x:v>
      </x:c>
      <x:c r="C5101" s="28"/>
      <x:c r="D5101" s="31" t="str">
        <x:f>IF(OR(ISBLANK(B5101),ISBLANK(C5101),B5101=0),"",(C5101-B5101)/B5101)</x:f>
      </x:c>
      <x:c r="E5101" s="22" t="str">
        <x:f>IF(ISBLANK(C5101),"AmountIncludingTax缺失",IF(ABS(B5101-C5101)&lt;0.005,"一致","不一致"))</x:f>
        <x:v>AmountIncludingTax缺失</x:v>
      </x:c>
      <x:c r="F5101" s="19" t="str">
        <x:v>approved</x:v>
      </x:c>
      <x:c r="G5101" s="19" t="str">
        <x:v>Repairer Invoiced Processed</x:v>
      </x:c>
      <x:c r="H5101" s="19" t="str">
        <x:v>In Field</x:v>
      </x:c>
      <x:c r="I5101" s="37" t="n">
        <x:v>46042</x:v>
      </x:c>
      <x:c r="J5101" s="37" t="n">
        <x:v>46042</x:v>
      </x:c>
      <x:c r="K5101" s="19" t="str">
        <x:v>Green RV - Slacks Creek</x:v>
      </x:c>
      <x:c r="L5101" s="19" t="str">
        <x:v>Z006</x:v>
      </x:c>
      <x:c r="M5101" s="19" t="str">
        <x:v>In Field Warranty Claims</x:v>
      </x:c>
      <x:c r="N5101" s="37" t="n">
        <x:v>45981</x:v>
      </x:c>
      <x:c r="O5101" s="37"/>
      <x:c r="P5101" s="34" t="n">
        <x:v>2286.66</x:v>
      </x:c>
      <x:c r="Q5101" s="37" t="n">
        <x:v>46042.22091435185</x:v>
      </x:c>
    </x:row>
    <x:row r="5102">
      <x:c r="A5102" s="22" t="n">
        <x:v>28184</x:v>
      </x:c>
      <x:c r="B5102" s="28" t="n">
        <x:v>290</x:v>
      </x:c>
      <x:c r="C5102" s="28" t="n">
        <x:v>319</x:v>
      </x:c>
      <x:c r="D5102" s="31" t="n">
        <x:f>IF(OR(ISBLANK(B5102),ISBLANK(C5102),B5102=0),"",(C5102-B5102)/B5102)</x:f>
        <x:v>0.1</x:v>
      </x:c>
      <x:c r="E5102" s="22" t="str">
        <x:f>IF(ISBLANK(C5102),"AmountIncludingTax缺失",IF(ABS(B5102-C5102)&lt;0.005,"一致","不一致"))</x:f>
        <x:v>不一致</x:v>
      </x:c>
      <x:c r="F5102" s="19" t="str">
        <x:v>approved</x:v>
      </x:c>
      <x:c r="G5102" s="19" t="str">
        <x:v>Repairer Invoiced Processed</x:v>
      </x:c>
      <x:c r="H5102" s="19" t="str">
        <x:v>In Field</x:v>
      </x:c>
      <x:c r="I5102" s="37" t="n">
        <x:v>46043</x:v>
      </x:c>
      <x:c r="J5102" s="37" t="n">
        <x:v>46043</x:v>
      </x:c>
      <x:c r="K5102" s="19" t="str">
        <x:v>Green RV - Forest Glen</x:v>
      </x:c>
      <x:c r="L5102" s="19" t="str">
        <x:v>Z006</x:v>
      </x:c>
      <x:c r="M5102" s="19" t="str">
        <x:v>In Field Warranty Claims</x:v>
      </x:c>
      <x:c r="N5102" s="37" t="n">
        <x:v>45981</x:v>
      </x:c>
      <x:c r="O5102" s="37"/>
      <x:c r="P5102" s="34" t="n">
        <x:v>319</x:v>
      </x:c>
      <x:c r="Q5102" s="37" t="n">
        <x:v>46043.18751157408</x:v>
      </x:c>
    </x:row>
    <x:row r="5103">
      <x:c r="A5103" s="22" t="n">
        <x:v>28183</x:v>
      </x:c>
      <x:c r="B5103" s="28" t="n">
        <x:v>1377.94</x:v>
      </x:c>
      <x:c r="C5103" s="28"/>
      <x:c r="D5103" s="31" t="str">
        <x:f>IF(OR(ISBLANK(B5103),ISBLANK(C5103),B5103=0),"",(C5103-B5103)/B5103)</x:f>
      </x:c>
      <x:c r="E5103" s="22" t="str">
        <x:f>IF(ISBLANK(C5103),"AmountIncludingTax缺失",IF(ABS(B5103-C5103)&lt;0.005,"一致","不一致"))</x:f>
        <x:v>AmountIncludingTax缺失</x:v>
      </x:c>
      <x:c r="F5103" s="19" t="str">
        <x:v>approved</x:v>
      </x:c>
      <x:c r="G5103" s="19" t="str">
        <x:v>Repairer Invoiced Processed</x:v>
      </x:c>
      <x:c r="H5103" s="19" t="str">
        <x:v>In Field</x:v>
      </x:c>
      <x:c r="I5103" s="37" t="n">
        <x:v>46042</x:v>
      </x:c>
      <x:c r="J5103" s="37" t="n">
        <x:v>46042</x:v>
      </x:c>
      <x:c r="K5103" s="19" t="str">
        <x:v>Green RV - Forest Glen</x:v>
      </x:c>
      <x:c r="L5103" s="19" t="str">
        <x:v>Z006</x:v>
      </x:c>
      <x:c r="M5103" s="19" t="str">
        <x:v>In Field Warranty Claims</x:v>
      </x:c>
      <x:c r="N5103" s="37" t="n">
        <x:v>45981</x:v>
      </x:c>
      <x:c r="O5103" s="37"/>
      <x:c r="P5103" s="34" t="n">
        <x:v>2331.84</x:v>
      </x:c>
      <x:c r="Q5103" s="37" t="n">
        <x:v>46042.185694444444</x:v>
      </x:c>
    </x:row>
    <x:row r="5104">
      <x:c r="A5104" s="22" t="n">
        <x:v>28182</x:v>
      </x:c>
      <x:c r="B5104" s="28" t="n">
        <x:v>432.42</x:v>
      </x:c>
      <x:c r="C5104" s="28" t="n">
        <x:v>475.66</x:v>
      </x:c>
      <x:c r="D5104" s="31" t="n">
        <x:f>IF(OR(ISBLANK(B5104),ISBLANK(C5104),B5104=0),"",(C5104-B5104)/B5104)</x:f>
        <x:v>0.09999537486702745</x:v>
      </x:c>
      <x:c r="E5104" s="22" t="str">
        <x:f>IF(ISBLANK(C5104),"AmountIncludingTax缺失",IF(ABS(B5104-C5104)&lt;0.005,"一致","不一致"))</x:f>
        <x:v>不一致</x:v>
      </x:c>
      <x:c r="F5104" s="19" t="str">
        <x:v>approved</x:v>
      </x:c>
      <x:c r="G5104" s="19" t="str">
        <x:v>Repair in Progress</x:v>
      </x:c>
      <x:c r="H5104" s="19" t="str">
        <x:v>In Field</x:v>
      </x:c>
      <x:c r="I5104" s="37" t="n">
        <x:v>46038</x:v>
      </x:c>
      <x:c r="J5104" s="37" t="n">
        <x:v>46038</x:v>
      </x:c>
      <x:c r="K5104" s="19" t="str">
        <x:v>Green RV - Slacks Creek</x:v>
      </x:c>
      <x:c r="L5104" s="19" t="str">
        <x:v>Z006</x:v>
      </x:c>
      <x:c r="M5104" s="19" t="str">
        <x:v>In Field Warranty Claims</x:v>
      </x:c>
      <x:c r="N5104" s="37" t="n">
        <x:v>45981</x:v>
      </x:c>
      <x:c r="O5104" s="37"/>
      <x:c r="P5104" s="34" t="n">
        <x:v>475.66</x:v>
      </x:c>
      <x:c r="Q5104" s="37" t="n">
        <x:v>46037.98780092593</x:v>
      </x:c>
    </x:row>
    <x:row r="5105">
      <x:c r="A5105" s="22" t="n">
        <x:v>28181</x:v>
      </x:c>
      <x:c r="B5105" s="28" t="n">
        <x:v>375</x:v>
      </x:c>
      <x:c r="C5105" s="28" t="n">
        <x:v>412.5</x:v>
      </x:c>
      <x:c r="D5105" s="31" t="n">
        <x:f>IF(OR(ISBLANK(B5105),ISBLANK(C5105),B5105=0),"",(C5105-B5105)/B5105)</x:f>
        <x:v>0.1</x:v>
      </x:c>
      <x:c r="E5105" s="22" t="str">
        <x:f>IF(ISBLANK(C5105),"AmountIncludingTax缺失",IF(ABS(B5105-C5105)&lt;0.005,"一致","不一致"))</x:f>
        <x:v>不一致</x:v>
      </x:c>
      <x:c r="F5105" s="19" t="str">
        <x:v>approved</x:v>
      </x:c>
      <x:c r="G5105" s="19" t="str">
        <x:v>Repairer Invoiced Processed</x:v>
      </x:c>
      <x:c r="H5105" s="19" t="str">
        <x:v>In Field</x:v>
      </x:c>
      <x:c r="I5105" s="37" t="n">
        <x:v>46099</x:v>
      </x:c>
      <x:c r="J5105" s="37" t="n">
        <x:v>46099</x:v>
      </x:c>
      <x:c r="K5105" s="19" t="str">
        <x:v>Green RV - Forest Glen</x:v>
      </x:c>
      <x:c r="L5105" s="19" t="str">
        <x:v>Z006</x:v>
      </x:c>
      <x:c r="M5105" s="19" t="str">
        <x:v>In Field Warranty Claims</x:v>
      </x:c>
      <x:c r="N5105" s="37" t="n">
        <x:v>45981</x:v>
      </x:c>
      <x:c r="O5105" s="37"/>
      <x:c r="P5105" s="34" t="n">
        <x:v>412.5</x:v>
      </x:c>
      <x:c r="Q5105" s="37" t="n">
        <x:v>46099.113333333335</x:v>
      </x:c>
    </x:row>
    <x:row r="5106">
      <x:c r="A5106" s="22" t="n">
        <x:v>28180</x:v>
      </x:c>
      <x:c r="B5106" s="28" t="n">
        <x:v>75.81</x:v>
      </x:c>
      <x:c r="C5106" s="28"/>
      <x:c r="D5106" s="31" t="str">
        <x:f>IF(OR(ISBLANK(B5106),ISBLANK(C5106),B5106=0),"",(C5106-B5106)/B5106)</x:f>
      </x:c>
      <x:c r="E5106" s="22" t="str">
        <x:f>IF(ISBLANK(C5106),"AmountIncludingTax缺失",IF(ABS(B5106-C5106)&lt;0.005,"一致","不一致"))</x:f>
        <x:v>AmountIncludingTax缺失</x:v>
      </x:c>
      <x:c r="F5106" s="19" t="str">
        <x:v>approved</x:v>
      </x:c>
      <x:c r="G5106" s="19" t="str">
        <x:v>Sales Order Approved</x:v>
      </x:c>
      <x:c r="H5106" s="19" t="str">
        <x:v>Pre Delivery</x:v>
      </x:c>
      <x:c r="I5106" s="37" t="n">
        <x:v>46097</x:v>
      </x:c>
      <x:c r="J5106" s="37" t="n">
        <x:v>46097</x:v>
      </x:c>
      <x:c r="K5106" s="19" t="str">
        <x:v>Snowy River Launceston</x:v>
      </x:c>
      <x:c r="L5106" s="19" t="str">
        <x:v>Z005</x:v>
      </x:c>
      <x:c r="M5106" s="19" t="str">
        <x:v>Pre Delivery Warranty Claims</x:v>
      </x:c>
      <x:c r="N5106" s="37" t="n">
        <x:v>45982</x:v>
      </x:c>
      <x:c r="O5106" s="37"/>
      <x:c r="P5106" s="34" t="n">
        <x:v>0</x:v>
      </x:c>
      <x:c r="Q5106" s="37" t="n">
        <x:v>46097.21888888889</x:v>
      </x:c>
    </x:row>
    <x:row r="5107">
      <x:c r="A5107" s="22" t="n">
        <x:v>28179</x:v>
      </x:c>
      <x:c r="B5107" s="28" t="n">
        <x:v>278.42</x:v>
      </x:c>
      <x:c r="C5107" s="28" t="n">
        <x:v>306.26</x:v>
      </x:c>
      <x:c r="D5107" s="31" t="n">
        <x:f>IF(OR(ISBLANK(B5107),ISBLANK(C5107),B5107=0),"",(C5107-B5107)/B5107)</x:f>
        <x:v>0.0999928166080022</x:v>
      </x:c>
      <x:c r="E5107" s="22" t="str">
        <x:f>IF(ISBLANK(C5107),"AmountIncludingTax缺失",IF(ABS(B5107-C5107)&lt;0.005,"一致","不一致"))</x:f>
        <x:v>不一致</x:v>
      </x:c>
      <x:c r="F5107" s="19" t="str">
        <x:v>approved</x:v>
      </x:c>
      <x:c r="G5107" s="19" t="str">
        <x:v>Repairer Invoiced Processed</x:v>
      </x:c>
      <x:c r="H5107" s="19" t="str">
        <x:v>In Field</x:v>
      </x:c>
      <x:c r="I5107" s="37" t="n">
        <x:v>46058</x:v>
      </x:c>
      <x:c r="J5107" s="37" t="n">
        <x:v>46058</x:v>
      </x:c>
      <x:c r="K5107" s="19" t="str">
        <x:v>Green RV - Forest Glen</x:v>
      </x:c>
      <x:c r="L5107" s="19" t="str">
        <x:v>Z006</x:v>
      </x:c>
      <x:c r="M5107" s="19" t="str">
        <x:v>In Field Warranty Claims</x:v>
      </x:c>
      <x:c r="N5107" s="37" t="n">
        <x:v>45982</x:v>
      </x:c>
      <x:c r="O5107" s="37"/>
      <x:c r="P5107" s="34" t="n">
        <x:v>306.26</x:v>
      </x:c>
      <x:c r="Q5107" s="37" t="n">
        <x:v>46058.03083333333</x:v>
      </x:c>
    </x:row>
    <x:row r="5108">
      <x:c r="A5108" s="22" t="n">
        <x:v>28178</x:v>
      </x:c>
      <x:c r="B5108" s="28" t="n">
        <x:v>418.19</x:v>
      </x:c>
      <x:c r="C5108" s="28" t="n">
        <x:v>460.01</x:v>
      </x:c>
      <x:c r="D5108" s="31" t="n">
        <x:f>IF(OR(ISBLANK(B5108),ISBLANK(C5108),B5108=0),"",(C5108-B5108)/B5108)</x:f>
        <x:v>0.10000239125756234</x:v>
      </x:c>
      <x:c r="E5108" s="22" t="str">
        <x:f>IF(ISBLANK(C5108),"AmountIncludingTax缺失",IF(ABS(B5108-C5108)&lt;0.005,"一致","不一致"))</x:f>
        <x:v>不一致</x:v>
      </x:c>
      <x:c r="F5108" s="19" t="str">
        <x:v>approved</x:v>
      </x:c>
      <x:c r="G5108" s="19" t="str">
        <x:v>Repairer Invoiced Processed</x:v>
      </x:c>
      <x:c r="H5108" s="19" t="str">
        <x:v>Pre Delivery</x:v>
      </x:c>
      <x:c r="I5108" s="37" t="n">
        <x:v>46063</x:v>
      </x:c>
      <x:c r="J5108" s="37" t="n">
        <x:v>46063</x:v>
      </x:c>
      <x:c r="K5108" s="19" t="str">
        <x:v>Green RV - Forest Glen</x:v>
      </x:c>
      <x:c r="L5108" s="19" t="str">
        <x:v>Z005</x:v>
      </x:c>
      <x:c r="M5108" s="19" t="str">
        <x:v>Pre Delivery Warranty Claims</x:v>
      </x:c>
      <x:c r="N5108" s="37" t="n">
        <x:v>45982</x:v>
      </x:c>
      <x:c r="O5108" s="37"/>
      <x:c r="P5108" s="34" t="n">
        <x:v>460.01</x:v>
      </x:c>
      <x:c r="Q5108" s="37" t="n">
        <x:v>46063.2000462963</x:v>
      </x:c>
    </x:row>
    <x:row r="5109">
      <x:c r="A5109" s="22" t="n">
        <x:v>28177</x:v>
      </x:c>
      <x:c r="B5109" s="28" t="n">
        <x:v>379.74</x:v>
      </x:c>
      <x:c r="C5109" s="28" t="n">
        <x:v>417.71</x:v>
      </x:c>
      <x:c r="D5109" s="31" t="n">
        <x:f>IF(OR(ISBLANK(B5109),ISBLANK(C5109),B5109=0),"",(C5109-B5109)/B5109)</x:f>
        <x:v>0.09998946647706318</x:v>
      </x:c>
      <x:c r="E5109" s="22" t="str">
        <x:f>IF(ISBLANK(C5109),"AmountIncludingTax缺失",IF(ABS(B5109-C5109)&lt;0.005,"一致","不一致"))</x:f>
        <x:v>不一致</x:v>
      </x:c>
      <x:c r="F5109" s="19" t="str">
        <x:v>approved</x:v>
      </x:c>
      <x:c r="G5109" s="19" t="str">
        <x:v>Repairer Invoiced Processed</x:v>
      </x:c>
      <x:c r="H5109" s="19" t="str">
        <x:v>In Field</x:v>
      </x:c>
      <x:c r="I5109" s="37" t="n">
        <x:v>46037</x:v>
      </x:c>
      <x:c r="J5109" s="37" t="n">
        <x:v>46037</x:v>
      </x:c>
      <x:c r="K5109" s="19" t="str">
        <x:v>Green RV - Forest Glen</x:v>
      </x:c>
      <x:c r="L5109" s="19" t="str">
        <x:v>Z006</x:v>
      </x:c>
      <x:c r="M5109" s="19" t="str">
        <x:v>In Field Warranty Claims</x:v>
      </x:c>
      <x:c r="N5109" s="37" t="n">
        <x:v>45982</x:v>
      </x:c>
      <x:c r="O5109" s="37"/>
      <x:c r="P5109" s="34" t="n">
        <x:v>417.71</x:v>
      </x:c>
      <x:c r="Q5109" s="37" t="n">
        <x:v>46036.956608796296</x:v>
      </x:c>
    </x:row>
    <x:row r="5110">
      <x:c r="A5110" s="22" t="n">
        <x:v>28176</x:v>
      </x:c>
      <x:c r="B5110" s="28" t="n">
        <x:v>204.09</x:v>
      </x:c>
      <x:c r="C5110" s="28"/>
      <x:c r="D5110" s="31" t="str">
        <x:f>IF(OR(ISBLANK(B5110),ISBLANK(C5110),B5110=0),"",(C5110-B5110)/B5110)</x:f>
      </x:c>
      <x:c r="E5110" s="22" t="str">
        <x:f>IF(ISBLANK(C5110),"AmountIncludingTax缺失",IF(ABS(B5110-C5110)&lt;0.005,"一致","不一致"))</x:f>
        <x:v>AmountIncludingTax缺失</x:v>
      </x:c>
      <x:c r="F5110" s="19" t="str">
        <x:v>approved</x:v>
      </x:c>
      <x:c r="G5110" s="19" t="str">
        <x:v>Repair in Progress</x:v>
      </x:c>
      <x:c r="H5110" s="19" t="str">
        <x:v>In Field</x:v>
      </x:c>
      <x:c r="I5110" s="37" t="n">
        <x:v>46084</x:v>
      </x:c>
      <x:c r="J5110" s="37" t="n">
        <x:v>46084</x:v>
      </x:c>
      <x:c r="K5110" s="19" t="str">
        <x:v>Green RV - Forest Glen</x:v>
      </x:c>
      <x:c r="L5110" s="19" t="str">
        <x:v>Z006</x:v>
      </x:c>
      <x:c r="M5110" s="19" t="str">
        <x:v>In Field Warranty Claims</x:v>
      </x:c>
      <x:c r="N5110" s="37" t="n">
        <x:v>45982</x:v>
      </x:c>
      <x:c r="O5110" s="37"/>
      <x:c r="P5110" s="34" t="n">
        <x:v>0</x:v>
      </x:c>
      <x:c r="Q5110" s="37" t="n">
        <x:v>46083.93902777778</x:v>
      </x:c>
    </x:row>
    <x:row r="5111">
      <x:c r="A5111" s="22" t="n">
        <x:v>28174</x:v>
      </x:c>
      <x:c r="B5111" s="28" t="n">
        <x:v>387.51</x:v>
      </x:c>
      <x:c r="C5111" s="28" t="n">
        <x:v>426.26</x:v>
      </x:c>
      <x:c r="D5111" s="31" t="n">
        <x:f>IF(OR(ISBLANK(B5111),ISBLANK(C5111),B5111=0),"",(C5111-B5111)/B5111)</x:f>
        <x:v>0.0999974194214343</x:v>
      </x:c>
      <x:c r="E5111" s="22" t="str">
        <x:f>IF(ISBLANK(C5111),"AmountIncludingTax缺失",IF(ABS(B5111-C5111)&lt;0.005,"一致","不一致"))</x:f>
        <x:v>不一致</x:v>
      </x:c>
      <x:c r="F5111" s="19" t="str">
        <x:v>approved</x:v>
      </x:c>
      <x:c r="G5111" s="19" t="str">
        <x:v>Repairer Invoiced Processed</x:v>
      </x:c>
      <x:c r="H5111" s="19" t="str">
        <x:v>In Field</x:v>
      </x:c>
      <x:c r="I5111" s="37" t="n">
        <x:v>46037</x:v>
      </x:c>
      <x:c r="J5111" s="37" t="n">
        <x:v>46037</x:v>
      </x:c>
      <x:c r="K5111" s="19" t="str">
        <x:v>Regent RV - Toowoomba</x:v>
      </x:c>
      <x:c r="L5111" s="19" t="str">
        <x:v>Z006</x:v>
      </x:c>
      <x:c r="M5111" s="19" t="str">
        <x:v>In Field Warranty Claims</x:v>
      </x:c>
      <x:c r="N5111" s="37" t="n">
        <x:v>45982</x:v>
      </x:c>
      <x:c r="O5111" s="37"/>
      <x:c r="P5111" s="34" t="n">
        <x:v>426.26</x:v>
      </x:c>
      <x:c r="Q5111" s="37" t="n">
        <x:v>46036.96439814815</x:v>
      </x:c>
    </x:row>
    <x:row r="5112">
      <x:c r="A5112" s="22" t="n">
        <x:v>28173</x:v>
      </x:c>
      <x:c r="B5112" s="28" t="n">
        <x:v>580</x:v>
      </x:c>
      <x:c r="C5112" s="28"/>
      <x:c r="D5112" s="31" t="str">
        <x:f>IF(OR(ISBLANK(B5112),ISBLANK(C5112),B5112=0),"",(C5112-B5112)/B5112)</x:f>
      </x:c>
      <x:c r="E5112" s="22" t="str">
        <x:f>IF(ISBLANK(C5112),"AmountIncludingTax缺失",IF(ABS(B5112-C5112)&lt;0.005,"一致","不一致"))</x:f>
        <x:v>AmountIncludingTax缺失</x:v>
      </x:c>
      <x:c r="F5112" s="19" t="str">
        <x:v>approved</x:v>
      </x:c>
      <x:c r="G5112" s="19" t="str">
        <x:v>Repairer Invoiced Processed</x:v>
      </x:c>
      <x:c r="H5112" s="19" t="str">
        <x:v>In Field</x:v>
      </x:c>
      <x:c r="I5112" s="37" t="n">
        <x:v>46070</x:v>
      </x:c>
      <x:c r="J5112" s="37" t="n">
        <x:v>46070</x:v>
      </x:c>
      <x:c r="K5112" s="19" t="str">
        <x:v>Green RV - Forest Glen</x:v>
      </x:c>
      <x:c r="L5112" s="19" t="str">
        <x:v>Z006</x:v>
      </x:c>
      <x:c r="M5112" s="19" t="str">
        <x:v>In Field Warranty Claims</x:v>
      </x:c>
      <x:c r="N5112" s="37" t="n">
        <x:v>45982</x:v>
      </x:c>
      <x:c r="O5112" s="37"/>
      <x:c r="P5112" s="34" t="n">
        <x:v>0</x:v>
      </x:c>
      <x:c r="Q5112" s="37" t="n">
        <x:v>46069.899143518516</x:v>
      </x:c>
    </x:row>
    <x:row r="5113">
      <x:c r="A5113" s="22" t="n">
        <x:v>28172</x:v>
      </x:c>
      <x:c r="B5113" s="28" t="n">
        <x:v>2115.31</x:v>
      </x:c>
      <x:c r="C5113" s="28"/>
      <x:c r="D5113" s="31" t="str">
        <x:f>IF(OR(ISBLANK(B5113),ISBLANK(C5113),B5113=0),"",(C5113-B5113)/B5113)</x:f>
      </x:c>
      <x:c r="E5113" s="22" t="str">
        <x:f>IF(ISBLANK(C5113),"AmountIncludingTax缺失",IF(ABS(B5113-C5113)&lt;0.005,"一致","不一致"))</x:f>
        <x:v>AmountIncludingTax缺失</x:v>
      </x:c>
      <x:c r="F5113" s="19" t="str">
        <x:v>approved</x:v>
      </x:c>
      <x:c r="G5113" s="19" t="str">
        <x:v>Repairer Invoiced Processed</x:v>
      </x:c>
      <x:c r="H5113" s="19" t="str">
        <x:v>In Field</x:v>
      </x:c>
      <x:c r="I5113" s="37" t="n">
        <x:v>46064</x:v>
      </x:c>
      <x:c r="J5113" s="37" t="n">
        <x:v>46064</x:v>
      </x:c>
      <x:c r="K5113" s="19" t="str">
        <x:v>Green RV - Forest Glen</x:v>
      </x:c>
      <x:c r="L5113" s="19" t="str">
        <x:v>Z006</x:v>
      </x:c>
      <x:c r="M5113" s="19" t="str">
        <x:v>In Field Warranty Claims</x:v>
      </x:c>
      <x:c r="N5113" s="37" t="n">
        <x:v>45981</x:v>
      </x:c>
      <x:c r="O5113" s="37"/>
      <x:c r="P5113" s="34" t="n">
        <x:v>2326.84</x:v>
      </x:c>
      <x:c r="Q5113" s="37" t="n">
        <x:v>46064.20869212963</x:v>
      </x:c>
    </x:row>
    <x:row r="5114">
      <x:c r="A5114" s="22" t="n">
        <x:v>28171</x:v>
      </x:c>
      <x:c r="B5114" s="28" t="n">
        <x:v>183.86</x:v>
      </x:c>
      <x:c r="C5114" s="28"/>
      <x:c r="D5114" s="31" t="str">
        <x:f>IF(OR(ISBLANK(B5114),ISBLANK(C5114),B5114=0),"",(C5114-B5114)/B5114)</x:f>
      </x:c>
      <x:c r="E5114" s="22" t="str">
        <x:f>IF(ISBLANK(C5114),"AmountIncludingTax缺失",IF(ABS(B5114-C5114)&lt;0.005,"一致","不一致"))</x:f>
        <x:v>AmountIncludingTax缺失</x:v>
      </x:c>
      <x:c r="F5114" s="19" t="str">
        <x:v>approved</x:v>
      </x:c>
      <x:c r="G5114" s="19" t="str">
        <x:v>Repairer Invoiced Processed</x:v>
      </x:c>
      <x:c r="H5114" s="19" t="str">
        <x:v>Pre Delivery</x:v>
      </x:c>
      <x:c r="I5114" s="37" t="n">
        <x:v>46045</x:v>
      </x:c>
      <x:c r="J5114" s="37" t="n">
        <x:v>46044</x:v>
      </x:c>
      <x:c r="K5114" s="19" t="str">
        <x:v>Dario Caravans -St.Marys</x:v>
      </x:c>
      <x:c r="L5114" s="19" t="str">
        <x:v>Z005</x:v>
      </x:c>
      <x:c r="M5114" s="19" t="str">
        <x:v>Pre Delivery Warranty Claims</x:v>
      </x:c>
      <x:c r="N5114" s="37" t="n">
        <x:v>45981</x:v>
      </x:c>
      <x:c r="O5114" s="37"/>
      <x:c r="P5114" s="34" t="n">
        <x:v>0</x:v>
      </x:c>
      <x:c r="Q5114" s="37" t="n">
        <x:v>46044.54172453703</x:v>
      </x:c>
    </x:row>
    <x:row r="5115">
      <x:c r="A5115" s="22" t="n">
        <x:v>28170</x:v>
      </x:c>
      <x:c r="B5115" s="28" t="n">
        <x:v>357.09</x:v>
      </x:c>
      <x:c r="C5115" s="28" t="n">
        <x:v>392.8</x:v>
      </x:c>
      <x:c r="D5115" s="31" t="n">
        <x:f>IF(OR(ISBLANK(B5115),ISBLANK(C5115),B5115=0),"",(C5115-B5115)/B5115)</x:f>
        <x:v>0.10000280041446145</x:v>
      </x:c>
      <x:c r="E5115" s="22" t="str">
        <x:f>IF(ISBLANK(C5115),"AmountIncludingTax缺失",IF(ABS(B5115-C5115)&lt;0.005,"一致","不一致"))</x:f>
        <x:v>不一致</x:v>
      </x:c>
      <x:c r="F5115" s="19" t="str">
        <x:v>approved</x:v>
      </x:c>
      <x:c r="G5115" s="19" t="str">
        <x:v>Repairer Invoiced Processed</x:v>
      </x:c>
      <x:c r="H5115" s="19" t="str">
        <x:v>In Field</x:v>
      </x:c>
      <x:c r="I5115" s="37" t="n">
        <x:v>46082</x:v>
      </x:c>
      <x:c r="J5115" s="37" t="n">
        <x:v>46082</x:v>
      </x:c>
      <x:c r="K5115" s="19" t="str">
        <x:v>Regent RV - Townsville</x:v>
      </x:c>
      <x:c r="L5115" s="19" t="str">
        <x:v>Z006</x:v>
      </x:c>
      <x:c r="M5115" s="19" t="str">
        <x:v>In Field Warranty Claims</x:v>
      </x:c>
      <x:c r="N5115" s="37" t="n">
        <x:v>45981</x:v>
      </x:c>
      <x:c r="O5115" s="37"/>
      <x:c r="P5115" s="34" t="n">
        <x:v>392.8</x:v>
      </x:c>
      <x:c r="Q5115" s="37" t="n">
        <x:v>46082.221967592595</x:v>
      </x:c>
    </x:row>
    <x:row r="5116">
      <x:c r="A5116" s="22" t="n">
        <x:v>28167</x:v>
      </x:c>
      <x:c r="B5116" s="28" t="n">
        <x:v>630</x:v>
      </x:c>
      <x:c r="C5116" s="28"/>
      <x:c r="D5116" s="31" t="str">
        <x:f>IF(OR(ISBLANK(B5116),ISBLANK(C5116),B5116=0),"",(C5116-B5116)/B5116)</x:f>
      </x:c>
      <x:c r="E5116" s="22" t="str">
        <x:f>IF(ISBLANK(C5116),"AmountIncludingTax缺失",IF(ABS(B5116-C5116)&lt;0.005,"一致","不一致"))</x:f>
        <x:v>AmountIncludingTax缺失</x:v>
      </x:c>
      <x:c r="F5116" s="19" t="str">
        <x:v>approved</x:v>
      </x:c>
      <x:c r="G5116" s="19" t="str">
        <x:v>Repair in Progress</x:v>
      </x:c>
      <x:c r="H5116" s="19" t="str">
        <x:v>In Field</x:v>
      </x:c>
      <x:c r="I5116" s="37" t="n">
        <x:v>46024</x:v>
      </x:c>
      <x:c r="J5116" s="37" t="n">
        <x:v>46024</x:v>
      </x:c>
      <x:c r="K5116" s="19" t="str">
        <x:v>Regent RV - Frankston</x:v>
      </x:c>
      <x:c r="L5116" s="19" t="str">
        <x:v>Z006</x:v>
      </x:c>
      <x:c r="M5116" s="19" t="str">
        <x:v>In Field Warranty Claims</x:v>
      </x:c>
      <x:c r="N5116" s="37" t="n">
        <x:v>45981</x:v>
      </x:c>
      <x:c r="O5116" s="37"/>
      <x:c r="P5116" s="34" t="n">
        <x:v>0</x:v>
      </x:c>
      <x:c r="Q5116" s="37" t="n">
        <x:v>46023.91368055555</x:v>
      </x:c>
    </x:row>
    <x:row r="5117">
      <x:c r="A5117" s="22" t="n">
        <x:v>28163</x:v>
      </x:c>
      <x:c r="B5117" s="28" t="n">
        <x:v>130.18</x:v>
      </x:c>
      <x:c r="C5117" s="28" t="n">
        <x:v>143.2</x:v>
      </x:c>
      <x:c r="D5117" s="31" t="n">
        <x:f>IF(OR(ISBLANK(B5117),ISBLANK(C5117),B5117=0),"",(C5117-B5117)/B5117)</x:f>
        <x:v>0.10001536334306331</x:v>
      </x:c>
      <x:c r="E5117" s="22" t="str">
        <x:f>IF(ISBLANK(C5117),"AmountIncludingTax缺失",IF(ABS(B5117-C5117)&lt;0.005,"一致","不一致"))</x:f>
        <x:v>不一致</x:v>
      </x:c>
      <x:c r="F5117" s="19" t="str">
        <x:v>approved</x:v>
      </x:c>
      <x:c r="G5117" s="19" t="str">
        <x:v>Repairer Invoiced Processed</x:v>
      </x:c>
      <x:c r="H5117" s="19" t="str">
        <x:v>In Field</x:v>
      </x:c>
      <x:c r="I5117" s="37" t="n">
        <x:v>46037</x:v>
      </x:c>
      <x:c r="J5117" s="37" t="n">
        <x:v>46037</x:v>
      </x:c>
      <x:c r="K5117" s="19" t="str">
        <x:v>Green RV - Forest Glen</x:v>
      </x:c>
      <x:c r="L5117" s="19" t="str">
        <x:v>Z006</x:v>
      </x:c>
      <x:c r="M5117" s="19" t="str">
        <x:v>In Field Warranty Claims</x:v>
      </x:c>
      <x:c r="N5117" s="37" t="n">
        <x:v>45981</x:v>
      </x:c>
      <x:c r="O5117" s="37"/>
      <x:c r="P5117" s="34" t="n">
        <x:v>143.2</x:v>
      </x:c>
      <x:c r="Q5117" s="37" t="n">
        <x:v>46036.96579861111</x:v>
      </x:c>
    </x:row>
    <x:row r="5118">
      <x:c r="A5118" s="22" t="n">
        <x:v>28150</x:v>
      </x:c>
      <x:c r="B5118" s="28" t="n">
        <x:v>2013.13</x:v>
      </x:c>
      <x:c r="C5118" s="28"/>
      <x:c r="D5118" s="31" t="str">
        <x:f>IF(OR(ISBLANK(B5118),ISBLANK(C5118),B5118=0),"",(C5118-B5118)/B5118)</x:f>
      </x:c>
      <x:c r="E5118" s="22" t="str">
        <x:f>IF(ISBLANK(C5118),"AmountIncludingTax缺失",IF(ABS(B5118-C5118)&lt;0.005,"一致","不一致"))</x:f>
        <x:v>AmountIncludingTax缺失</x:v>
      </x:c>
      <x:c r="F5118" s="19" t="str">
        <x:v>approved</x:v>
      </x:c>
      <x:c r="G5118" s="19" t="str">
        <x:v>Repairer Invoiced Processed</x:v>
      </x:c>
      <x:c r="H5118" s="19" t="str">
        <x:v>Pre Delivery</x:v>
      </x:c>
      <x:c r="I5118" s="37" t="n">
        <x:v>46043</x:v>
      </x:c>
      <x:c r="J5118" s="37" t="n">
        <x:v>46043</x:v>
      </x:c>
      <x:c r="K5118" s="19" t="str">
        <x:v>The Caravan Hub - Townsville</x:v>
      </x:c>
      <x:c r="L5118" s="19" t="str">
        <x:v>Z005</x:v>
      </x:c>
      <x:c r="M5118" s="19" t="str">
        <x:v>Pre Delivery Warranty Claims</x:v>
      </x:c>
      <x:c r="N5118" s="37" t="n">
        <x:v>45981</x:v>
      </x:c>
      <x:c r="O5118" s="37"/>
      <x:c r="P5118" s="34" t="n">
        <x:v>0</x:v>
      </x:c>
      <x:c r="Q5118" s="37" t="n">
        <x:v>46043.2891087963</x:v>
      </x:c>
    </x:row>
    <x:row r="5119">
      <x:c r="A5119" s="22" t="n">
        <x:v>28148</x:v>
      </x:c>
      <x:c r="B5119" s="28" t="n">
        <x:v>325.46</x:v>
      </x:c>
      <x:c r="C5119" s="28" t="n">
        <x:v>358.01</x:v>
      </x:c>
      <x:c r="D5119" s="31" t="n">
        <x:f>IF(OR(ISBLANK(B5119),ISBLANK(C5119),B5119=0),"",(C5119-B5119)/B5119)</x:f>
        <x:v>0.1000122902968107</x:v>
      </x:c>
      <x:c r="E5119" s="22" t="str">
        <x:f>IF(ISBLANK(C5119),"AmountIncludingTax缺失",IF(ABS(B5119-C5119)&lt;0.005,"一致","不一致"))</x:f>
        <x:v>不一致</x:v>
      </x:c>
      <x:c r="F5119" s="19" t="str">
        <x:v>approved</x:v>
      </x:c>
      <x:c r="G5119" s="19" t="str">
        <x:v>Repairer Invoiced Processed</x:v>
      </x:c>
      <x:c r="H5119" s="19" t="str">
        <x:v>In Field</x:v>
      </x:c>
      <x:c r="I5119" s="37" t="n">
        <x:v>46038</x:v>
      </x:c>
      <x:c r="J5119" s="37" t="n">
        <x:v>46038</x:v>
      </x:c>
      <x:c r="K5119" s="19" t="str">
        <x:v>Green RV - Forest Glen</x:v>
      </x:c>
      <x:c r="L5119" s="19" t="str">
        <x:v>Z006</x:v>
      </x:c>
      <x:c r="M5119" s="19" t="str">
        <x:v>In Field Warranty Claims</x:v>
      </x:c>
      <x:c r="N5119" s="37" t="n">
        <x:v>45981</x:v>
      </x:c>
      <x:c r="O5119" s="37"/>
      <x:c r="P5119" s="34" t="n">
        <x:v>358.01</x:v>
      </x:c>
      <x:c r="Q5119" s="37" t="n">
        <x:v>46037.98627314815</x:v>
      </x:c>
    </x:row>
    <x:row r="5120">
      <x:c r="A5120" s="22" t="n">
        <x:v>28147</x:v>
      </x:c>
      <x:c r="B5120" s="28" t="n">
        <x:v>4543.18</x:v>
      </x:c>
      <x:c r="C5120" s="28"/>
      <x:c r="D5120" s="31" t="str">
        <x:f>IF(OR(ISBLANK(B5120),ISBLANK(C5120),B5120=0),"",(C5120-B5120)/B5120)</x:f>
      </x:c>
      <x:c r="E5120" s="22" t="str">
        <x:f>IF(ISBLANK(C5120),"AmountIncludingTax缺失",IF(ABS(B5120-C5120)&lt;0.005,"一致","不一致"))</x:f>
        <x:v>AmountIncludingTax缺失</x:v>
      </x:c>
      <x:c r="F5120" s="19" t="str">
        <x:v>approved</x:v>
      </x:c>
      <x:c r="G5120" s="19" t="str">
        <x:v>Repairer Invoiced Processed</x:v>
      </x:c>
      <x:c r="H5120" s="19" t="str">
        <x:v>In Field</x:v>
      </x:c>
      <x:c r="I5120" s="37" t="n">
        <x:v>46106</x:v>
      </x:c>
      <x:c r="J5120" s="37" t="n">
        <x:v>46106</x:v>
      </x:c>
      <x:c r="K5120" s="19" t="str">
        <x:v>Green RV - Forest Glen</x:v>
      </x:c>
      <x:c r="L5120" s="19" t="str">
        <x:v>Z006</x:v>
      </x:c>
      <x:c r="M5120" s="19" t="str">
        <x:v>In Field Warranty Claims</x:v>
      </x:c>
      <x:c r="N5120" s="37" t="n">
        <x:v>45981</x:v>
      </x:c>
      <x:c r="O5120" s="37"/>
      <x:c r="P5120" s="34" t="n">
        <x:v>4997.5</x:v>
      </x:c>
      <x:c r="Q5120" s="37" t="n">
        <x:v>46106.056597222225</x:v>
      </x:c>
    </x:row>
    <x:row r="5121">
      <x:c r="A5121" s="22" t="n">
        <x:v>28142</x:v>
      </x:c>
      <x:c r="B5121" s="28" t="n">
        <x:v>911.5</x:v>
      </x:c>
      <x:c r="C5121" s="28" t="n">
        <x:v>825.27</x:v>
      </x:c>
      <x:c r="D5121" s="31" t="n">
        <x:f>IF(OR(ISBLANK(B5121),ISBLANK(C5121),B5121=0),"",(C5121-B5121)/B5121)</x:f>
        <x:v>-0.09460230389467912</x:v>
      </x:c>
      <x:c r="E5121" s="22" t="str">
        <x:f>IF(ISBLANK(C5121),"AmountIncludingTax缺失",IF(ABS(B5121-C5121)&lt;0.005,"一致","不一致"))</x:f>
        <x:v>不一致</x:v>
      </x:c>
      <x:c r="F5121" s="19" t="str">
        <x:v>approved</x:v>
      </x:c>
      <x:c r="G5121" s="19" t="str">
        <x:v>Repairer Invoiced Processed</x:v>
      </x:c>
      <x:c r="H5121" s="19" t="str">
        <x:v>In Field</x:v>
      </x:c>
      <x:c r="I5121" s="37" t="n">
        <x:v>46161</x:v>
      </x:c>
      <x:c r="J5121" s="37" t="n">
        <x:v>46085</x:v>
      </x:c>
      <x:c r="K5121" s="19" t="str">
        <x:v>Vanari Caravans - Marden Point</x:v>
      </x:c>
      <x:c r="L5121" s="19" t="str">
        <x:v>Z006</x:v>
      </x:c>
      <x:c r="M5121" s="19" t="str">
        <x:v>In Field Warranty Claims</x:v>
      </x:c>
      <x:c r="N5121" s="37" t="n">
        <x:v>45981</x:v>
      </x:c>
      <x:c r="O5121" s="37"/>
      <x:c r="P5121" s="34" t="n">
        <x:v>825.27</x:v>
      </x:c>
      <x:c r="Q5121" s="37" t="n">
        <x:v>46161.26787037037</x:v>
      </x:c>
    </x:row>
    <x:row r="5122">
      <x:c r="A5122" s="22" t="n">
        <x:v>28139</x:v>
      </x:c>
      <x:c r="B5122" s="28" t="n">
        <x:v>623</x:v>
      </x:c>
      <x:c r="C5122" s="28"/>
      <x:c r="D5122" s="31" t="str">
        <x:f>IF(OR(ISBLANK(B5122),ISBLANK(C5122),B5122=0),"",(C5122-B5122)/B5122)</x:f>
      </x:c>
      <x:c r="E5122" s="22" t="str">
        <x:f>IF(ISBLANK(C5122),"AmountIncludingTax缺失",IF(ABS(B5122-C5122)&lt;0.005,"一致","不一致"))</x:f>
        <x:v>AmountIncludingTax缺失</x:v>
      </x:c>
      <x:c r="F5122" s="19" t="str">
        <x:v>approved</x:v>
      </x:c>
      <x:c r="G5122" s="19" t="str">
        <x:v>Repair in Progress</x:v>
      </x:c>
      <x:c r="H5122" s="19" t="str">
        <x:v>Pre Delivery</x:v>
      </x:c>
      <x:c r="I5122" s="37" t="n">
        <x:v>46051</x:v>
      </x:c>
      <x:c r="J5122" s="37" t="n">
        <x:v>46051</x:v>
      </x:c>
      <x:c r="K5122" s="19" t="str">
        <x:v>Regent RV - Frankston</x:v>
      </x:c>
      <x:c r="L5122" s="19" t="str">
        <x:v>Z005</x:v>
      </x:c>
      <x:c r="M5122" s="19" t="str">
        <x:v>Pre Delivery Warranty Claims</x:v>
      </x:c>
      <x:c r="N5122" s="37" t="n">
        <x:v>45981</x:v>
      </x:c>
      <x:c r="O5122" s="37"/>
      <x:c r="P5122" s="34" t="n">
        <x:v>0</x:v>
      </x:c>
      <x:c r="Q5122" s="37" t="n">
        <x:v>46050.89925925926</x:v>
      </x:c>
    </x:row>
    <x:row r="5123">
      <x:c r="A5123" s="22" t="n">
        <x:v>28138</x:v>
      </x:c>
      <x:c r="B5123" s="28" t="n">
        <x:v>1673</x:v>
      </x:c>
      <x:c r="C5123" s="28"/>
      <x:c r="D5123" s="31" t="str">
        <x:f>IF(OR(ISBLANK(B5123),ISBLANK(C5123),B5123=0),"",(C5123-B5123)/B5123)</x:f>
      </x:c>
      <x:c r="E5123" s="22" t="str">
        <x:f>IF(ISBLANK(C5123),"AmountIncludingTax缺失",IF(ABS(B5123-C5123)&lt;0.005,"一致","不一致"))</x:f>
        <x:v>AmountIncludingTax缺失</x:v>
      </x:c>
      <x:c r="F5123" s="19" t="str">
        <x:v>approved</x:v>
      </x:c>
      <x:c r="G5123" s="19" t="str">
        <x:v>Repair in Progress</x:v>
      </x:c>
      <x:c r="H5123" s="19" t="str">
        <x:v>Pre Delivery</x:v>
      </x:c>
      <x:c r="I5123" s="37" t="n">
        <x:v>46064</x:v>
      </x:c>
      <x:c r="J5123" s="37" t="n">
        <x:v>46057</x:v>
      </x:c>
      <x:c r="K5123" s="19" t="str">
        <x:v>Regent RV - Frankston</x:v>
      </x:c>
      <x:c r="L5123" s="19" t="str">
        <x:v>Z005</x:v>
      </x:c>
      <x:c r="M5123" s="19" t="str">
        <x:v>Pre Delivery Warranty Claims</x:v>
      </x:c>
      <x:c r="N5123" s="37" t="n">
        <x:v>45981</x:v>
      </x:c>
      <x:c r="O5123" s="37"/>
      <x:c r="P5123" s="34" t="n">
        <x:v>0</x:v>
      </x:c>
      <x:c r="Q5123" s="37" t="n">
        <x:v>46063.872407407405</x:v>
      </x:c>
    </x:row>
    <x:row r="5124">
      <x:c r="A5124" s="22" t="n">
        <x:v>28136</x:v>
      </x:c>
      <x:c r="B5124" s="28" t="n">
        <x:v>457.95</x:v>
      </x:c>
      <x:c r="C5124" s="28" t="n">
        <x:v>503.75</x:v>
      </x:c>
      <x:c r="D5124" s="31" t="n">
        <x:f>IF(OR(ISBLANK(B5124),ISBLANK(C5124),B5124=0),"",(C5124-B5124)/B5124)</x:f>
        <x:v>0.1000109182225134</x:v>
      </x:c>
      <x:c r="E5124" s="22" t="str">
        <x:f>IF(ISBLANK(C5124),"AmountIncludingTax缺失",IF(ABS(B5124-C5124)&lt;0.005,"一致","不一致"))</x:f>
        <x:v>不一致</x:v>
      </x:c>
      <x:c r="F5124" s="19" t="str">
        <x:v>approved</x:v>
      </x:c>
      <x:c r="G5124" s="19" t="str">
        <x:v>Repairer Invoiced Processed</x:v>
      </x:c>
      <x:c r="H5124" s="19" t="str">
        <x:v>Pre Delivery</x:v>
      </x:c>
      <x:c r="I5124" s="37" t="n">
        <x:v>46038</x:v>
      </x:c>
      <x:c r="J5124" s="37" t="n">
        <x:v>46038</x:v>
      </x:c>
      <x:c r="K5124" s="19" t="str">
        <x:v>Regent RV Pty Ltd</x:v>
      </x:c>
      <x:c r="L5124" s="19" t="str">
        <x:v>Z005</x:v>
      </x:c>
      <x:c r="M5124" s="19" t="str">
        <x:v>Pre Delivery Warranty Claims</x:v>
      </x:c>
      <x:c r="N5124" s="37" t="n">
        <x:v>45981</x:v>
      </x:c>
      <x:c r="O5124" s="37"/>
      <x:c r="P5124" s="34" t="n">
        <x:v>503.75</x:v>
      </x:c>
      <x:c r="Q5124" s="37" t="n">
        <x:v>46037.984456018516</x:v>
      </x:c>
    </x:row>
    <x:row r="5125">
      <x:c r="A5125" s="22" t="n">
        <x:v>28134</x:v>
      </x:c>
      <x:c r="B5125" s="28" t="n">
        <x:v>122.74</x:v>
      </x:c>
      <x:c r="C5125" s="28"/>
      <x:c r="D5125" s="31" t="str">
        <x:f>IF(OR(ISBLANK(B5125),ISBLANK(C5125),B5125=0),"",(C5125-B5125)/B5125)</x:f>
      </x:c>
      <x:c r="E5125" s="22" t="str">
        <x:f>IF(ISBLANK(C5125),"AmountIncludingTax缺失",IF(ABS(B5125-C5125)&lt;0.005,"一致","不一致"))</x:f>
        <x:v>AmountIncludingTax缺失</x:v>
      </x:c>
      <x:c r="F5125" s="19" t="str">
        <x:v>approved</x:v>
      </x:c>
      <x:c r="G5125" s="19" t="str">
        <x:v>Repairer Invoiced Processed</x:v>
      </x:c>
      <x:c r="H5125" s="19" t="str">
        <x:v>In Field</x:v>
      </x:c>
      <x:c r="I5125" s="37" t="n">
        <x:v>46037</x:v>
      </x:c>
      <x:c r="J5125" s="37" t="n">
        <x:v>46037</x:v>
      </x:c>
      <x:c r="K5125" s="19" t="str">
        <x:v>Regent RV - Toowoomba</x:v>
      </x:c>
      <x:c r="L5125" s="19" t="str">
        <x:v>Z006</x:v>
      </x:c>
      <x:c r="M5125" s="19" t="str">
        <x:v>In Field Warranty Claims</x:v>
      </x:c>
      <x:c r="N5125" s="37" t="n">
        <x:v>45981</x:v>
      </x:c>
      <x:c r="O5125" s="37"/>
      <x:c r="P5125" s="34" t="n">
        <x:v>0</x:v>
      </x:c>
      <x:c r="Q5125" s="37" t="n">
        <x:v>46036.96934027778</x:v>
      </x:c>
    </x:row>
    <x:row r="5126">
      <x:c r="A5126" s="22" t="n">
        <x:v>28133</x:v>
      </x:c>
      <x:c r="B5126" s="28" t="n">
        <x:v>540</x:v>
      </x:c>
      <x:c r="C5126" s="28"/>
      <x:c r="D5126" s="31" t="str">
        <x:f>IF(OR(ISBLANK(B5126),ISBLANK(C5126),B5126=0),"",(C5126-B5126)/B5126)</x:f>
      </x:c>
      <x:c r="E5126" s="22" t="str">
        <x:f>IF(ISBLANK(C5126),"AmountIncludingTax缺失",IF(ABS(B5126-C5126)&lt;0.005,"一致","不一致"))</x:f>
        <x:v>AmountIncludingTax缺失</x:v>
      </x:c>
      <x:c r="F5126" s="19" t="str">
        <x:v>approved</x:v>
      </x:c>
      <x:c r="G5126" s="19" t="str">
        <x:v>Repairer Invoiced Processed</x:v>
      </x:c>
      <x:c r="H5126" s="19" t="str">
        <x:v>In Field</x:v>
      </x:c>
      <x:c r="I5126" s="37" t="n">
        <x:v>46034</x:v>
      </x:c>
      <x:c r="J5126" s="37" t="n">
        <x:v>46034</x:v>
      </x:c>
      <x:c r="K5126" s="19" t="str">
        <x:v>Green RV - Forest Glen</x:v>
      </x:c>
      <x:c r="L5126" s="19" t="str">
        <x:v>Z006</x:v>
      </x:c>
      <x:c r="M5126" s="19" t="str">
        <x:v>In Field Warranty Claims</x:v>
      </x:c>
      <x:c r="N5126" s="37" t="n">
        <x:v>45981</x:v>
      </x:c>
      <x:c r="O5126" s="37"/>
      <x:c r="P5126" s="34" t="n">
        <x:v>0</x:v>
      </x:c>
      <x:c r="Q5126" s="37" t="n">
        <x:v>46034.17365740741</x:v>
      </x:c>
    </x:row>
    <x:row r="5127">
      <x:c r="A5127" s="22" t="n">
        <x:v>28131</x:v>
      </x:c>
      <x:c r="B5127" s="28" t="n">
        <x:v>836.01</x:v>
      </x:c>
      <x:c r="C5127" s="28" t="n">
        <x:v>919.61</x:v>
      </x:c>
      <x:c r="D5127" s="31" t="n">
        <x:f>IF(OR(ISBLANK(B5127),ISBLANK(C5127),B5127=0),"",(C5127-B5127)/B5127)</x:f>
        <x:v>0.09999880384205934</x:v>
      </x:c>
      <x:c r="E5127" s="22" t="str">
        <x:f>IF(ISBLANK(C5127),"AmountIncludingTax缺失",IF(ABS(B5127-C5127)&lt;0.005,"一致","不一致"))</x:f>
        <x:v>不一致</x:v>
      </x:c>
      <x:c r="F5127" s="19" t="str">
        <x:v>approved</x:v>
      </x:c>
      <x:c r="G5127" s="19" t="str">
        <x:v>Repairer Invoiced Processed</x:v>
      </x:c>
      <x:c r="H5127" s="19" t="str">
        <x:v>In Field</x:v>
      </x:c>
      <x:c r="I5127" s="37" t="n">
        <x:v>46044</x:v>
      </x:c>
      <x:c r="J5127" s="37" t="n">
        <x:v>46044</x:v>
      </x:c>
      <x:c r="K5127" s="19" t="str">
        <x:v>Auswide Caravans - South Nowra</x:v>
      </x:c>
      <x:c r="L5127" s="19" t="str">
        <x:v>Z006</x:v>
      </x:c>
      <x:c r="M5127" s="19" t="str">
        <x:v>In Field Warranty Claims</x:v>
      </x:c>
      <x:c r="N5127" s="37" t="n">
        <x:v>45980</x:v>
      </x:c>
      <x:c r="O5127" s="37"/>
      <x:c r="P5127" s="34" t="n">
        <x:v>919.61</x:v>
      </x:c>
      <x:c r="Q5127" s="37" t="n">
        <x:v>46044.54008101852</x:v>
      </x:c>
    </x:row>
    <x:row r="5128">
      <x:c r="A5128" s="22" t="n">
        <x:v>28125</x:v>
      </x:c>
      <x:c r="B5128" s="28" t="n">
        <x:v>1683.32</x:v>
      </x:c>
      <x:c r="C5128" s="28"/>
      <x:c r="D5128" s="31" t="str">
        <x:f>IF(OR(ISBLANK(B5128),ISBLANK(C5128),B5128=0),"",(C5128-B5128)/B5128)</x:f>
      </x:c>
      <x:c r="E5128" s="22" t="str">
        <x:f>IF(ISBLANK(C5128),"AmountIncludingTax缺失",IF(ABS(B5128-C5128)&lt;0.005,"一致","不一致"))</x:f>
        <x:v>AmountIncludingTax缺失</x:v>
      </x:c>
      <x:c r="F5128" s="19" t="str">
        <x:v>approved</x:v>
      </x:c>
      <x:c r="G5128" s="19" t="str">
        <x:v>Repairer Invoiced Processed</x:v>
      </x:c>
      <x:c r="H5128" s="19" t="str">
        <x:v>Pre Delivery</x:v>
      </x:c>
      <x:c r="I5128" s="37" t="n">
        <x:v>46072</x:v>
      </x:c>
      <x:c r="J5128" s="37" t="n">
        <x:v>46072</x:v>
      </x:c>
      <x:c r="K5128" s="19" t="str">
        <x:v>Vanari Caravans - Marden Point</x:v>
      </x:c>
      <x:c r="L5128" s="19" t="str">
        <x:v>Z005</x:v>
      </x:c>
      <x:c r="M5128" s="19" t="str">
        <x:v>Pre Delivery Warranty Claims</x:v>
      </x:c>
      <x:c r="N5128" s="37" t="n">
        <x:v>45980</x:v>
      </x:c>
      <x:c r="O5128" s="37"/>
      <x:c r="P5128" s="34" t="n">
        <x:v>1524.08</x:v>
      </x:c>
      <x:c r="Q5128" s="37" t="n">
        <x:v>46072.04430555556</x:v>
      </x:c>
    </x:row>
    <x:row r="5129">
      <x:c r="A5129" s="22" t="n">
        <x:v>28124</x:v>
      </x:c>
      <x:c r="B5129" s="28" t="n">
        <x:v>247.5</x:v>
      </x:c>
      <x:c r="C5129" s="28"/>
      <x:c r="D5129" s="31" t="str">
        <x:f>IF(OR(ISBLANK(B5129),ISBLANK(C5129),B5129=0),"",(C5129-B5129)/B5129)</x:f>
      </x:c>
      <x:c r="E5129" s="22" t="str">
        <x:f>IF(ISBLANK(C5129),"AmountIncludingTax缺失",IF(ABS(B5129-C5129)&lt;0.005,"一致","不一致"))</x:f>
        <x:v>AmountIncludingTax缺失</x:v>
      </x:c>
      <x:c r="F5129" s="19" t="str">
        <x:v>approved</x:v>
      </x:c>
      <x:c r="G5129" s="19" t="str">
        <x:v>Repair in Progress</x:v>
      </x:c>
      <x:c r="H5129" s="19" t="str">
        <x:v>In Field</x:v>
      </x:c>
      <x:c r="I5129" s="37" t="n">
        <x:v>46076</x:v>
      </x:c>
      <x:c r="J5129" s="37" t="n">
        <x:v>46076</x:v>
      </x:c>
      <x:c r="K5129" s="19" t="str">
        <x:v>Regent RV - Frankston</x:v>
      </x:c>
      <x:c r="L5129" s="19" t="str">
        <x:v>Z006</x:v>
      </x:c>
      <x:c r="M5129" s="19" t="str">
        <x:v>In Field Warranty Claims</x:v>
      </x:c>
      <x:c r="N5129" s="37" t="n">
        <x:v>45980</x:v>
      </x:c>
      <x:c r="O5129" s="37"/>
      <x:c r="P5129" s="34" t="n">
        <x:v>0</x:v>
      </x:c>
      <x:c r="Q5129" s="37" t="n">
        <x:v>46076.102488425924</x:v>
      </x:c>
    </x:row>
    <x:row r="5130">
      <x:c r="A5130" s="22" t="n">
        <x:v>28122</x:v>
      </x:c>
      <x:c r="B5130" s="28" t="n">
        <x:v>220</x:v>
      </x:c>
      <x:c r="C5130" s="28"/>
      <x:c r="D5130" s="31" t="str">
        <x:f>IF(OR(ISBLANK(B5130),ISBLANK(C5130),B5130=0),"",(C5130-B5130)/B5130)</x:f>
      </x:c>
      <x:c r="E5130" s="22" t="str">
        <x:f>IF(ISBLANK(C5130),"AmountIncludingTax缺失",IF(ABS(B5130-C5130)&lt;0.005,"一致","不一致"))</x:f>
        <x:v>AmountIncludingTax缺失</x:v>
      </x:c>
      <x:c r="F5130" s="19" t="str">
        <x:v>approved</x:v>
      </x:c>
      <x:c r="G5130" s="19" t="str">
        <x:v>Repair in Progress</x:v>
      </x:c>
      <x:c r="H5130" s="19" t="str">
        <x:v>In Field</x:v>
      </x:c>
      <x:c r="I5130" s="37" t="n">
        <x:v>46073</x:v>
      </x:c>
      <x:c r="J5130" s="37" t="n">
        <x:v>46073</x:v>
      </x:c>
      <x:c r="K5130" s="19" t="str">
        <x:v>Regent RV - Frankston</x:v>
      </x:c>
      <x:c r="L5130" s="19" t="str">
        <x:v>Z006</x:v>
      </x:c>
      <x:c r="M5130" s="19" t="str">
        <x:v>In Field Warranty Claims</x:v>
      </x:c>
      <x:c r="N5130" s="37" t="n">
        <x:v>45980</x:v>
      </x:c>
      <x:c r="O5130" s="37"/>
      <x:c r="P5130" s="34" t="n">
        <x:v>0</x:v>
      </x:c>
      <x:c r="Q5130" s="37" t="n">
        <x:v>46073.16069444444</x:v>
      </x:c>
    </x:row>
    <x:row r="5131">
      <x:c r="A5131" s="22" t="n">
        <x:v>28121</x:v>
      </x:c>
      <x:c r="B5131" s="28" t="n">
        <x:v>395.25</x:v>
      </x:c>
      <x:c r="C5131" s="28" t="n">
        <x:v>434.78</x:v>
      </x:c>
      <x:c r="D5131" s="31" t="n">
        <x:f>IF(OR(ISBLANK(B5131),ISBLANK(C5131),B5131=0),"",(C5131-B5131)/B5131)</x:f>
        <x:v>0.1000126502213788</x:v>
      </x:c>
      <x:c r="E5131" s="22" t="str">
        <x:f>IF(ISBLANK(C5131),"AmountIncludingTax缺失",IF(ABS(B5131-C5131)&lt;0.005,"一致","不一致"))</x:f>
        <x:v>不一致</x:v>
      </x:c>
      <x:c r="F5131" s="19" t="str">
        <x:v>approved</x:v>
      </x:c>
      <x:c r="G5131" s="19" t="str">
        <x:v>Repairer Invoiced Processed</x:v>
      </x:c>
      <x:c r="H5131" s="19" t="str">
        <x:v>Pre Delivery</x:v>
      </x:c>
      <x:c r="I5131" s="37" t="n">
        <x:v>46044</x:v>
      </x:c>
      <x:c r="J5131" s="37" t="n">
        <x:v>46044</x:v>
      </x:c>
      <x:c r="K5131" s="19" t="str">
        <x:v>Lesiure Lion-New Castle</x:v>
      </x:c>
      <x:c r="L5131" s="19" t="str">
        <x:v>Z005</x:v>
      </x:c>
      <x:c r="M5131" s="19" t="str">
        <x:v>Pre Delivery Warranty Claims</x:v>
      </x:c>
      <x:c r="N5131" s="37" t="n">
        <x:v>45980</x:v>
      </x:c>
      <x:c r="O5131" s="37"/>
      <x:c r="P5131" s="34" t="n">
        <x:v>434.78</x:v>
      </x:c>
      <x:c r="Q5131" s="37" t="n">
        <x:v>46044.53802083333</x:v>
      </x:c>
    </x:row>
    <x:row r="5132">
      <x:c r="A5132" s="22" t="n">
        <x:v>28120</x:v>
      </x:c>
      <x:c r="B5132" s="28" t="n">
        <x:v>264.78</x:v>
      </x:c>
      <x:c r="C5132" s="28" t="n">
        <x:v>291.26</x:v>
      </x:c>
      <x:c r="D5132" s="31" t="n">
        <x:f>IF(OR(ISBLANK(B5132),ISBLANK(C5132),B5132=0),"",(C5132-B5132)/B5132)</x:f>
        <x:v>0.10000755344059227</x:v>
      </x:c>
      <x:c r="E5132" s="22" t="str">
        <x:f>IF(ISBLANK(C5132),"AmountIncludingTax缺失",IF(ABS(B5132-C5132)&lt;0.005,"一致","不一致"))</x:f>
        <x:v>不一致</x:v>
      </x:c>
      <x:c r="F5132" s="19" t="str">
        <x:v>approved</x:v>
      </x:c>
      <x:c r="G5132" s="19" t="str">
        <x:v>Repairer Invoiced Processed</x:v>
      </x:c>
      <x:c r="H5132" s="19" t="str">
        <x:v>In Field</x:v>
      </x:c>
      <x:c r="I5132" s="37" t="n">
        <x:v>46035</x:v>
      </x:c>
      <x:c r="J5132" s="37" t="n">
        <x:v>46035</x:v>
      </x:c>
      <x:c r="K5132" s="19" t="str">
        <x:v>Regent RV - Toowoomba</x:v>
      </x:c>
      <x:c r="L5132" s="19" t="str">
        <x:v>Z006</x:v>
      </x:c>
      <x:c r="M5132" s="19" t="str">
        <x:v>In Field Warranty Claims</x:v>
      </x:c>
      <x:c r="N5132" s="37" t="n">
        <x:v>45980</x:v>
      </x:c>
      <x:c r="O5132" s="37"/>
      <x:c r="P5132" s="34" t="n">
        <x:v>291.26</x:v>
      </x:c>
      <x:c r="Q5132" s="37" t="n">
        <x:v>46035.11133101852</x:v>
      </x:c>
    </x:row>
    <x:row r="5133">
      <x:c r="A5133" s="22" t="n">
        <x:v>28119</x:v>
      </x:c>
      <x:c r="B5133" s="28" t="n">
        <x:v>720.63</x:v>
      </x:c>
      <x:c r="C5133" s="28" t="n">
        <x:v>652.46</x:v>
      </x:c>
      <x:c r="D5133" s="31" t="n">
        <x:f>IF(OR(ISBLANK(B5133),ISBLANK(C5133),B5133=0),"",(C5133-B5133)/B5133)</x:f>
        <x:v>-0.09459778249587161</x:v>
      </x:c>
      <x:c r="E5133" s="22" t="str">
        <x:f>IF(ISBLANK(C5133),"AmountIncludingTax缺失",IF(ABS(B5133-C5133)&lt;0.005,"一致","不一致"))</x:f>
        <x:v>不一致</x:v>
      </x:c>
      <x:c r="F5133" s="19" t="str">
        <x:v>approved</x:v>
      </x:c>
      <x:c r="G5133" s="19" t="str">
        <x:v>Repairer Invoiced Processed</x:v>
      </x:c>
      <x:c r="H5133" s="19" t="str">
        <x:v>Pre Delivery</x:v>
      </x:c>
      <x:c r="I5133" s="37" t="n">
        <x:v>46072</x:v>
      </x:c>
      <x:c r="J5133" s="37" t="n">
        <x:v>46072</x:v>
      </x:c>
      <x:c r="K5133" s="19" t="str">
        <x:v>Vanari Caravans - Marden Point</x:v>
      </x:c>
      <x:c r="L5133" s="19" t="str">
        <x:v>Z005</x:v>
      </x:c>
      <x:c r="M5133" s="19" t="str">
        <x:v>Pre Delivery Warranty Claims</x:v>
      </x:c>
      <x:c r="N5133" s="37" t="n">
        <x:v>45980</x:v>
      </x:c>
      <x:c r="O5133" s="37"/>
      <x:c r="P5133" s="34" t="n">
        <x:v>652.46</x:v>
      </x:c>
      <x:c r="Q5133" s="37" t="n">
        <x:v>46071.97414351852</x:v>
      </x:c>
    </x:row>
    <x:row r="5134">
      <x:c r="A5134" s="22" t="n">
        <x:v>28112</x:v>
      </x:c>
      <x:c r="B5134" s="28" t="n">
        <x:v>226</x:v>
      </x:c>
      <x:c r="C5134" s="28" t="n">
        <x:v>248.6</x:v>
      </x:c>
      <x:c r="D5134" s="31" t="n">
        <x:f>IF(OR(ISBLANK(B5134),ISBLANK(C5134),B5134=0),"",(C5134-B5134)/B5134)</x:f>
        <x:v>0.09999999999999998</x:v>
      </x:c>
      <x:c r="E5134" s="22" t="str">
        <x:f>IF(ISBLANK(C5134),"AmountIncludingTax缺失",IF(ABS(B5134-C5134)&lt;0.005,"一致","不一致"))</x:f>
        <x:v>不一致</x:v>
      </x:c>
      <x:c r="F5134" s="19" t="str">
        <x:v>approved</x:v>
      </x:c>
      <x:c r="G5134" s="19" t="str">
        <x:v>Repair in Progress</x:v>
      </x:c>
      <x:c r="H5134" s="19" t="str">
        <x:v>In Field</x:v>
      </x:c>
      <x:c r="I5134" s="37" t="n">
        <x:v>46137</x:v>
      </x:c>
      <x:c r="J5134" s="37" t="n">
        <x:v>46137</x:v>
      </x:c>
      <x:c r="K5134" s="19" t="str">
        <x:v>Green RV - Forest Glen</x:v>
      </x:c>
      <x:c r="L5134" s="19" t="str">
        <x:v>Z006</x:v>
      </x:c>
      <x:c r="M5134" s="19" t="str">
        <x:v>In Field Warranty Claims</x:v>
      </x:c>
      <x:c r="N5134" s="37" t="n">
        <x:v>45980</x:v>
      </x:c>
      <x:c r="O5134" s="37"/>
      <x:c r="P5134" s="34" t="n">
        <x:v>248.6</x:v>
      </x:c>
      <x:c r="Q5134" s="37" t="n">
        <x:v>46137.51880787037</x:v>
      </x:c>
    </x:row>
    <x:row r="5135">
      <x:c r="A5135" s="22" t="n">
        <x:v>28109</x:v>
      </x:c>
      <x:c r="B5135" s="28" t="n">
        <x:v>810</x:v>
      </x:c>
      <x:c r="C5135" s="28"/>
      <x:c r="D5135" s="31" t="str">
        <x:f>IF(OR(ISBLANK(B5135),ISBLANK(C5135),B5135=0),"",(C5135-B5135)/B5135)</x:f>
      </x:c>
      <x:c r="E5135" s="22" t="str">
        <x:f>IF(ISBLANK(C5135),"AmountIncludingTax缺失",IF(ABS(B5135-C5135)&lt;0.005,"一致","不一致"))</x:f>
        <x:v>AmountIncludingTax缺失</x:v>
      </x:c>
      <x:c r="F5135" s="19" t="str">
        <x:v>approved</x:v>
      </x:c>
      <x:c r="G5135" s="19" t="str">
        <x:v>Repair in Progress</x:v>
      </x:c>
      <x:c r="H5135" s="19" t="str">
        <x:v>In Field</x:v>
      </x:c>
      <x:c r="I5135" s="37" t="n">
        <x:v>46149</x:v>
      </x:c>
      <x:c r="J5135" s="37" t="n">
        <x:v>46149</x:v>
      </x:c>
      <x:c r="K5135" s="19" t="str">
        <x:v>Green RV - Forest Glen</x:v>
      </x:c>
      <x:c r="L5135" s="19" t="str">
        <x:v>Z006</x:v>
      </x:c>
      <x:c r="M5135" s="19" t="str">
        <x:v>In Field Warranty Claims</x:v>
      </x:c>
      <x:c r="N5135" s="37" t="n">
        <x:v>45980</x:v>
      </x:c>
      <x:c r="O5135" s="37"/>
      <x:c r="P5135" s="34" t="n">
        <x:v>0</x:v>
      </x:c>
      <x:c r="Q5135" s="37" t="n">
        <x:v>46148.95034722222</x:v>
      </x:c>
    </x:row>
    <x:row r="5136">
      <x:c r="A5136" s="22" t="n">
        <x:v>28107</x:v>
      </x:c>
      <x:c r="B5136" s="28" t="n">
        <x:v>115.91</x:v>
      </x:c>
      <x:c r="C5136" s="28" t="n">
        <x:v>127.5</x:v>
      </x:c>
      <x:c r="D5136" s="31" t="n">
        <x:f>IF(OR(ISBLANK(B5136),ISBLANK(C5136),B5136=0),"",(C5136-B5136)/B5136)</x:f>
        <x:v>0.09999137261668539</x:v>
      </x:c>
      <x:c r="E5136" s="22" t="str">
        <x:f>IF(ISBLANK(C5136),"AmountIncludingTax缺失",IF(ABS(B5136-C5136)&lt;0.005,"一致","不一致"))</x:f>
        <x:v>不一致</x:v>
      </x:c>
      <x:c r="F5136" s="19" t="str">
        <x:v>approved</x:v>
      </x:c>
      <x:c r="G5136" s="19" t="str">
        <x:v>Repairer Invoiced Processed</x:v>
      </x:c>
      <x:c r="H5136" s="19" t="str">
        <x:v>In Field</x:v>
      </x:c>
      <x:c r="I5136" s="37" t="n">
        <x:v>46038</x:v>
      </x:c>
      <x:c r="J5136" s="37" t="n">
        <x:v>46038</x:v>
      </x:c>
      <x:c r="K5136" s="19" t="str">
        <x:v>Regent RV - Toowoomba</x:v>
      </x:c>
      <x:c r="L5136" s="19" t="str">
        <x:v>Z006</x:v>
      </x:c>
      <x:c r="M5136" s="19" t="str">
        <x:v>In Field Warranty Claims</x:v>
      </x:c>
      <x:c r="N5136" s="37" t="n">
        <x:v>45980</x:v>
      </x:c>
      <x:c r="O5136" s="37"/>
      <x:c r="P5136" s="34" t="n">
        <x:v>127.5</x:v>
      </x:c>
      <x:c r="Q5136" s="37" t="n">
        <x:v>46037.86864583333</x:v>
      </x:c>
    </x:row>
    <x:row r="5137">
      <x:c r="A5137" s="22" t="n">
        <x:v>28106</x:v>
      </x:c>
      <x:c r="B5137" s="28" t="n">
        <x:v>560</x:v>
      </x:c>
      <x:c r="C5137" s="28"/>
      <x:c r="D5137" s="31" t="str">
        <x:f>IF(OR(ISBLANK(B5137),ISBLANK(C5137),B5137=0),"",(C5137-B5137)/B5137)</x:f>
      </x:c>
      <x:c r="E5137" s="22" t="str">
        <x:f>IF(ISBLANK(C5137),"AmountIncludingTax缺失",IF(ABS(B5137-C5137)&lt;0.005,"一致","不一致"))</x:f>
        <x:v>AmountIncludingTax缺失</x:v>
      </x:c>
      <x:c r="F5137" s="19" t="str">
        <x:v>approved</x:v>
      </x:c>
      <x:c r="G5137" s="19" t="str">
        <x:v>Repair in Progress</x:v>
      </x:c>
      <x:c r="H5137" s="19" t="str">
        <x:v>In Field</x:v>
      </x:c>
      <x:c r="I5137" s="37" t="n">
        <x:v>46043</x:v>
      </x:c>
      <x:c r="J5137" s="37" t="n">
        <x:v>46043</x:v>
      </x:c>
      <x:c r="K5137" s="19" t="str">
        <x:v>Springvale Caravan Centre - Keysborough</x:v>
      </x:c>
      <x:c r="L5137" s="19" t="str">
        <x:v>Z006</x:v>
      </x:c>
      <x:c r="M5137" s="19" t="str">
        <x:v>In Field Warranty Claims</x:v>
      </x:c>
      <x:c r="N5137" s="37" t="n">
        <x:v>45980</x:v>
      </x:c>
      <x:c r="O5137" s="37"/>
      <x:c r="P5137" s="34" t="n">
        <x:v>0</x:v>
      </x:c>
      <x:c r="Q5137" s="37" t="n">
        <x:v>46043.307175925926</x:v>
      </x:c>
    </x:row>
    <x:row r="5138">
      <x:c r="A5138" s="22" t="n">
        <x:v>28103</x:v>
      </x:c>
      <x:c r="B5138" s="28" t="n">
        <x:v>244.42</x:v>
      </x:c>
      <x:c r="C5138" s="28" t="n">
        <x:v>268.86</x:v>
      </x:c>
      <x:c r="D5138" s="31" t="n">
        <x:f>IF(OR(ISBLANK(B5138),ISBLANK(C5138),B5138=0),"",(C5138-B5138)/B5138)</x:f>
        <x:v>0.09999181736355466</x:v>
      </x:c>
      <x:c r="E5138" s="22" t="str">
        <x:f>IF(ISBLANK(C5138),"AmountIncludingTax缺失",IF(ABS(B5138-C5138)&lt;0.005,"一致","不一致"))</x:f>
        <x:v>不一致</x:v>
      </x:c>
      <x:c r="F5138" s="19" t="str">
        <x:v>approved</x:v>
      </x:c>
      <x:c r="G5138" s="19" t="str">
        <x:v>Repairer Invoiced Processed</x:v>
      </x:c>
      <x:c r="H5138" s="19" t="str">
        <x:v>In Field</x:v>
      </x:c>
      <x:c r="I5138" s="37" t="n">
        <x:v>46028</x:v>
      </x:c>
      <x:c r="J5138" s="37" t="n">
        <x:v>46028</x:v>
      </x:c>
      <x:c r="K5138" s="19" t="str">
        <x:v>Regent RV Pty Ltd</x:v>
      </x:c>
      <x:c r="L5138" s="19" t="str">
        <x:v>Z006</x:v>
      </x:c>
      <x:c r="M5138" s="19" t="str">
        <x:v>In Field Warranty Claims</x:v>
      </x:c>
      <x:c r="N5138" s="37" t="n">
        <x:v>45980</x:v>
      </x:c>
      <x:c r="O5138" s="37"/>
      <x:c r="P5138" s="34" t="n">
        <x:v>268.86</x:v>
      </x:c>
      <x:c r="Q5138" s="37" t="n">
        <x:v>46028.06390046296</x:v>
      </x:c>
    </x:row>
    <x:row r="5139">
      <x:c r="A5139" s="22" t="n">
        <x:v>28102</x:v>
      </x:c>
      <x:c r="B5139" s="28" t="n">
        <x:v>602.29</x:v>
      </x:c>
      <x:c r="C5139" s="28"/>
      <x:c r="D5139" s="31" t="str">
        <x:f>IF(OR(ISBLANK(B5139),ISBLANK(C5139),B5139=0),"",(C5139-B5139)/B5139)</x:f>
      </x:c>
      <x:c r="E5139" s="22" t="str">
        <x:f>IF(ISBLANK(C5139),"AmountIncludingTax缺失",IF(ABS(B5139-C5139)&lt;0.005,"一致","不一致"))</x:f>
        <x:v>AmountIncludingTax缺失</x:v>
      </x:c>
      <x:c r="F5139" s="19" t="str">
        <x:v>approved</x:v>
      </x:c>
      <x:c r="G5139" s="19" t="str">
        <x:v>Repair in Progress</x:v>
      </x:c>
      <x:c r="H5139" s="19" t="str">
        <x:v>In Field</x:v>
      </x:c>
      <x:c r="I5139" s="37" t="n">
        <x:v>46038</x:v>
      </x:c>
      <x:c r="J5139" s="37" t="n">
        <x:v>46038</x:v>
      </x:c>
      <x:c r="K5139" s="19" t="str">
        <x:v>Leisure Lion Pty Ltd - Toowoomba</x:v>
      </x:c>
      <x:c r="L5139" s="19" t="str">
        <x:v>Z006</x:v>
      </x:c>
      <x:c r="M5139" s="19" t="str">
        <x:v>In Field Warranty Claims</x:v>
      </x:c>
      <x:c r="N5139" s="37" t="n">
        <x:v>45980</x:v>
      </x:c>
      <x:c r="O5139" s="37"/>
      <x:c r="P5139" s="34" t="n">
        <x:v>0</x:v>
      </x:c>
      <x:c r="Q5139" s="37" t="n">
        <x:v>46037.86655092592</x:v>
      </x:c>
    </x:row>
    <x:row r="5140">
      <x:c r="A5140" s="22" t="n">
        <x:v>28101</x:v>
      </x:c>
      <x:c r="B5140" s="28" t="n">
        <x:v>825</x:v>
      </x:c>
      <x:c r="C5140" s="28"/>
      <x:c r="D5140" s="31" t="str">
        <x:f>IF(OR(ISBLANK(B5140),ISBLANK(C5140),B5140=0),"",(C5140-B5140)/B5140)</x:f>
      </x:c>
      <x:c r="E5140" s="22" t="str">
        <x:f>IF(ISBLANK(C5140),"AmountIncludingTax缺失",IF(ABS(B5140-C5140)&lt;0.005,"一致","不一致"))</x:f>
        <x:v>AmountIncludingTax缺失</x:v>
      </x:c>
      <x:c r="F5140" s="19" t="str">
        <x:v>approved</x:v>
      </x:c>
      <x:c r="G5140" s="19" t="str">
        <x:v>Repair in Progress</x:v>
      </x:c>
      <x:c r="H5140" s="19" t="str">
        <x:v>Pre Delivery</x:v>
      </x:c>
      <x:c r="I5140" s="37" t="n">
        <x:v>46076</x:v>
      </x:c>
      <x:c r="J5140" s="37" t="n">
        <x:v>46073</x:v>
      </x:c>
      <x:c r="K5140" s="19" t="str">
        <x:v>Regent RV - Frankston</x:v>
      </x:c>
      <x:c r="L5140" s="19" t="str">
        <x:v>Z005</x:v>
      </x:c>
      <x:c r="M5140" s="19" t="str">
        <x:v>Pre Delivery Warranty Claims</x:v>
      </x:c>
      <x:c r="N5140" s="37" t="n">
        <x:v>45980</x:v>
      </x:c>
      <x:c r="O5140" s="37"/>
      <x:c r="P5140" s="34" t="n">
        <x:v>0</x:v>
      </x:c>
      <x:c r="Q5140" s="37" t="n">
        <x:v>46076.14608796296</x:v>
      </x:c>
    </x:row>
    <x:row r="5141">
      <x:c r="A5141" s="22" t="n">
        <x:v>28100</x:v>
      </x:c>
      <x:c r="B5141" s="28" t="n">
        <x:v>560</x:v>
      </x:c>
      <x:c r="C5141" s="28"/>
      <x:c r="D5141" s="31" t="str">
        <x:f>IF(OR(ISBLANK(B5141),ISBLANK(C5141),B5141=0),"",(C5141-B5141)/B5141)</x:f>
      </x:c>
      <x:c r="E5141" s="22" t="str">
        <x:f>IF(ISBLANK(C5141),"AmountIncludingTax缺失",IF(ABS(B5141-C5141)&lt;0.005,"一致","不一致"))</x:f>
        <x:v>AmountIncludingTax缺失</x:v>
      </x:c>
      <x:c r="F5141" s="19" t="str">
        <x:v>approved</x:v>
      </x:c>
      <x:c r="G5141" s="19" t="str">
        <x:v>Repair in Progress</x:v>
      </x:c>
      <x:c r="H5141" s="19" t="str">
        <x:v>Pre Delivery</x:v>
      </x:c>
      <x:c r="I5141" s="37" t="n">
        <x:v>46044</x:v>
      </x:c>
      <x:c r="J5141" s="37" t="n">
        <x:v>46044</x:v>
      </x:c>
      <x:c r="K5141" s="19" t="str">
        <x:v>Regent RV - Frankston</x:v>
      </x:c>
      <x:c r="L5141" s="19" t="str">
        <x:v>Z005</x:v>
      </x:c>
      <x:c r="M5141" s="19" t="str">
        <x:v>Pre Delivery Warranty Claims</x:v>
      </x:c>
      <x:c r="N5141" s="37" t="n">
        <x:v>45980</x:v>
      </x:c>
      <x:c r="O5141" s="37"/>
      <x:c r="P5141" s="34" t="n">
        <x:v>0</x:v>
      </x:c>
      <x:c r="Q5141" s="37" t="n">
        <x:v>46044.53712962963</x:v>
      </x:c>
    </x:row>
    <x:row r="5142">
      <x:c r="A5142" s="22" t="n">
        <x:v>28099</x:v>
      </x:c>
      <x:c r="B5142" s="28" t="n">
        <x:v>138.18</x:v>
      </x:c>
      <x:c r="C5142" s="28"/>
      <x:c r="D5142" s="31" t="str">
        <x:f>IF(OR(ISBLANK(B5142),ISBLANK(C5142),B5142=0),"",(C5142-B5142)/B5142)</x:f>
      </x:c>
      <x:c r="E5142" s="22" t="str">
        <x:f>IF(ISBLANK(C5142),"AmountIncludingTax缺失",IF(ABS(B5142-C5142)&lt;0.005,"一致","不一致"))</x:f>
        <x:v>AmountIncludingTax缺失</x:v>
      </x:c>
      <x:c r="F5142" s="19" t="str">
        <x:v>approved</x:v>
      </x:c>
      <x:c r="G5142" s="19" t="str">
        <x:v>Repairer Invoiced Processed</x:v>
      </x:c>
      <x:c r="H5142" s="19" t="str">
        <x:v>In Field</x:v>
      </x:c>
      <x:c r="I5142" s="37" t="n">
        <x:v>46063</x:v>
      </x:c>
      <x:c r="J5142" s="37" t="n">
        <x:v>46063</x:v>
      </x:c>
      <x:c r="K5142" s="19" t="str">
        <x:v>Auswide Caravans - South Nowra</x:v>
      </x:c>
      <x:c r="L5142" s="19" t="str">
        <x:v>Z006</x:v>
      </x:c>
      <x:c r="M5142" s="19" t="str">
        <x:v>In Field Warranty Claims</x:v>
      </x:c>
      <x:c r="N5142" s="37" t="n">
        <x:v>45980</x:v>
      </x:c>
      <x:c r="O5142" s="37"/>
      <x:c r="P5142" s="34" t="n">
        <x:v>0</x:v>
      </x:c>
      <x:c r="Q5142" s="37" t="n">
        <x:v>46062.94881944444</x:v>
      </x:c>
    </x:row>
    <x:row r="5143">
      <x:c r="A5143" s="22" t="n">
        <x:v>28094</x:v>
      </x:c>
      <x:c r="B5143" s="28" t="n">
        <x:v>203</x:v>
      </x:c>
      <x:c r="C5143" s="28"/>
      <x:c r="D5143" s="31" t="str">
        <x:f>IF(OR(ISBLANK(B5143),ISBLANK(C5143),B5143=0),"",(C5143-B5143)/B5143)</x:f>
      </x:c>
      <x:c r="E5143" s="22" t="str">
        <x:f>IF(ISBLANK(C5143),"AmountIncludingTax缺失",IF(ABS(B5143-C5143)&lt;0.005,"一致","不一致"))</x:f>
        <x:v>AmountIncludingTax缺失</x:v>
      </x:c>
      <x:c r="F5143" s="19" t="str">
        <x:v>approved</x:v>
      </x:c>
      <x:c r="G5143" s="19" t="str">
        <x:v>Repair in Progress</x:v>
      </x:c>
      <x:c r="H5143" s="19" t="str">
        <x:v>Pre Delivery</x:v>
      </x:c>
      <x:c r="I5143" s="37" t="n">
        <x:v>46038</x:v>
      </x:c>
      <x:c r="J5143" s="37" t="n">
        <x:v>46038</x:v>
      </x:c>
      <x:c r="K5143" s="19" t="str">
        <x:v>Regent RV - Frankston</x:v>
      </x:c>
      <x:c r="L5143" s="19" t="str">
        <x:v>Z005</x:v>
      </x:c>
      <x:c r="M5143" s="19" t="str">
        <x:v>Pre Delivery Warranty Claims</x:v>
      </x:c>
      <x:c r="N5143" s="37" t="n">
        <x:v>45980</x:v>
      </x:c>
      <x:c r="O5143" s="37"/>
      <x:c r="P5143" s="34" t="n">
        <x:v>0</x:v>
      </x:c>
      <x:c r="Q5143" s="37" t="n">
        <x:v>46038.258726851855</x:v>
      </x:c>
    </x:row>
    <x:row r="5144">
      <x:c r="A5144" s="22" t="n">
        <x:v>28093</x:v>
      </x:c>
      <x:c r="B5144" s="28" t="n">
        <x:v>325</x:v>
      </x:c>
      <x:c r="C5144" s="28"/>
      <x:c r="D5144" s="31" t="str">
        <x:f>IF(OR(ISBLANK(B5144),ISBLANK(C5144),B5144=0),"",(C5144-B5144)/B5144)</x:f>
      </x:c>
      <x:c r="E5144" s="22" t="str">
        <x:f>IF(ISBLANK(C5144),"AmountIncludingTax缺失",IF(ABS(B5144-C5144)&lt;0.005,"一致","不一致"))</x:f>
        <x:v>AmountIncludingTax缺失</x:v>
      </x:c>
      <x:c r="F5144" s="19" t="str">
        <x:v>approved</x:v>
      </x:c>
      <x:c r="G5144" s="19" t="str">
        <x:v>Repair in Progress</x:v>
      </x:c>
      <x:c r="H5144" s="19" t="str">
        <x:v>In Field</x:v>
      </x:c>
      <x:c r="I5144" s="37" t="n">
        <x:v>46050</x:v>
      </x:c>
      <x:c r="J5144" s="37" t="n">
        <x:v>46050</x:v>
      </x:c>
      <x:c r="K5144" s="19" t="str">
        <x:v>Dario Caravans -St.Marys</x:v>
      </x:c>
      <x:c r="L5144" s="19" t="str">
        <x:v>Z006</x:v>
      </x:c>
      <x:c r="M5144" s="19" t="str">
        <x:v>In Field Warranty Claims</x:v>
      </x:c>
      <x:c r="N5144" s="37" t="n">
        <x:v>45980</x:v>
      </x:c>
      <x:c r="O5144" s="37"/>
      <x:c r="P5144" s="34" t="n">
        <x:v>0</x:v>
      </x:c>
      <x:c r="Q5144" s="37" t="n">
        <x:v>46050.275775462964</x:v>
      </x:c>
    </x:row>
    <x:row r="5145">
      <x:c r="A5145" s="22" t="n">
        <x:v>28088</x:v>
      </x:c>
      <x:c r="B5145" s="28" t="n">
        <x:v>295.46</x:v>
      </x:c>
      <x:c r="C5145" s="28" t="n">
        <x:v>325.01</x:v>
      </x:c>
      <x:c r="D5145" s="31" t="n">
        <x:f>IF(OR(ISBLANK(B5145),ISBLANK(C5145),B5145=0),"",(C5145-B5145)/B5145)</x:f>
        <x:v>0.10001353821160229</x:v>
      </x:c>
      <x:c r="E5145" s="22" t="str">
        <x:f>IF(ISBLANK(C5145),"AmountIncludingTax缺失",IF(ABS(B5145-C5145)&lt;0.005,"一致","不一致"))</x:f>
        <x:v>不一致</x:v>
      </x:c>
      <x:c r="F5145" s="19" t="str">
        <x:v>approved</x:v>
      </x:c>
      <x:c r="G5145" s="19" t="str">
        <x:v>Repairer Invoiced Processed</x:v>
      </x:c>
      <x:c r="H5145" s="19" t="str">
        <x:v>In Field</x:v>
      </x:c>
      <x:c r="I5145" s="37" t="n">
        <x:v>46028</x:v>
      </x:c>
      <x:c r="J5145" s="37" t="n">
        <x:v>46027</x:v>
      </x:c>
      <x:c r="K5145" s="19" t="str">
        <x:v>Leisure Lion Pty Ltd - Toowoomba</x:v>
      </x:c>
      <x:c r="L5145" s="19" t="str">
        <x:v>Z006</x:v>
      </x:c>
      <x:c r="M5145" s="19" t="str">
        <x:v>In Field Warranty Claims</x:v>
      </x:c>
      <x:c r="N5145" s="37" t="n">
        <x:v>45980</x:v>
      </x:c>
      <x:c r="O5145" s="37"/>
      <x:c r="P5145" s="34" t="n">
        <x:v>325.01</x:v>
      </x:c>
      <x:c r="Q5145" s="37" t="n">
        <x:v>46027.93063657408</x:v>
      </x:c>
    </x:row>
    <x:row r="5146">
      <x:c r="A5146" s="22" t="n">
        <x:v>28087</x:v>
      </x:c>
      <x:c r="B5146" s="28" t="n">
        <x:v>295</x:v>
      </x:c>
      <x:c r="C5146" s="28"/>
      <x:c r="D5146" s="31" t="str">
        <x:f>IF(OR(ISBLANK(B5146),ISBLANK(C5146),B5146=0),"",(C5146-B5146)/B5146)</x:f>
      </x:c>
      <x:c r="E5146" s="22" t="str">
        <x:f>IF(ISBLANK(C5146),"AmountIncludingTax缺失",IF(ABS(B5146-C5146)&lt;0.005,"一致","不一致"))</x:f>
        <x:v>AmountIncludingTax缺失</x:v>
      </x:c>
      <x:c r="F5146" s="19" t="str">
        <x:v>approved</x:v>
      </x:c>
      <x:c r="G5146" s="19" t="str">
        <x:v>Repair in Progress</x:v>
      </x:c>
      <x:c r="H5146" s="19" t="str">
        <x:v>In Field</x:v>
      </x:c>
      <x:c r="I5146" s="37" t="n">
        <x:v>46028</x:v>
      </x:c>
      <x:c r="J5146" s="37" t="n">
        <x:v>46028</x:v>
      </x:c>
      <x:c r="K5146" s="19" t="str">
        <x:v>Regent RV - Frankston</x:v>
      </x:c>
      <x:c r="L5146" s="19" t="str">
        <x:v>Z006</x:v>
      </x:c>
      <x:c r="M5146" s="19" t="str">
        <x:v>In Field Warranty Claims</x:v>
      </x:c>
      <x:c r="N5146" s="37" t="n">
        <x:v>45980</x:v>
      </x:c>
      <x:c r="O5146" s="37"/>
      <x:c r="P5146" s="34" t="n">
        <x:v>0</x:v>
      </x:c>
      <x:c r="Q5146" s="37" t="n">
        <x:v>46028.196805555555</x:v>
      </x:c>
    </x:row>
    <x:row r="5147">
      <x:c r="A5147" s="22" t="n">
        <x:v>28085</x:v>
      </x:c>
      <x:c r="B5147" s="28" t="n">
        <x:v>151.36</x:v>
      </x:c>
      <x:c r="C5147" s="28" t="n">
        <x:v>166.5</x:v>
      </x:c>
      <x:c r="D5147" s="31" t="n">
        <x:f>IF(OR(ISBLANK(B5147),ISBLANK(C5147),B5147=0),"",(C5147-B5147)/B5147)</x:f>
        <x:v>0.10002642706131068</x:v>
      </x:c>
      <x:c r="E5147" s="22" t="str">
        <x:f>IF(ISBLANK(C5147),"AmountIncludingTax缺失",IF(ABS(B5147-C5147)&lt;0.005,"一致","不一致"))</x:f>
        <x:v>不一致</x:v>
      </x:c>
      <x:c r="F5147" s="19" t="str">
        <x:v>approved</x:v>
      </x:c>
      <x:c r="G5147" s="19" t="str">
        <x:v>Repairer Invoiced Processed</x:v>
      </x:c>
      <x:c r="H5147" s="19" t="str">
        <x:v>In Field</x:v>
      </x:c>
      <x:c r="I5147" s="37" t="n">
        <x:v>46028</x:v>
      </x:c>
      <x:c r="J5147" s="37" t="n">
        <x:v>46028</x:v>
      </x:c>
      <x:c r="K5147" s="19" t="str">
        <x:v>Dario Caravans - Pooraka</x:v>
      </x:c>
      <x:c r="L5147" s="19" t="str">
        <x:v>Z006</x:v>
      </x:c>
      <x:c r="M5147" s="19" t="str">
        <x:v>In Field Warranty Claims</x:v>
      </x:c>
      <x:c r="N5147" s="37" t="n">
        <x:v>45979</x:v>
      </x:c>
      <x:c r="O5147" s="37"/>
      <x:c r="P5147" s="34" t="n">
        <x:v>166.5</x:v>
      </x:c>
      <x:c r="Q5147" s="37" t="n">
        <x:v>46028.197743055556</x:v>
      </x:c>
    </x:row>
    <x:row r="5148">
      <x:c r="A5148" s="22" t="n">
        <x:v>28083</x:v>
      </x:c>
      <x:c r="B5148" s="28" t="n">
        <x:v>810</x:v>
      </x:c>
      <x:c r="C5148" s="28"/>
      <x:c r="D5148" s="31" t="str">
        <x:f>IF(OR(ISBLANK(B5148),ISBLANK(C5148),B5148=0),"",(C5148-B5148)/B5148)</x:f>
      </x:c>
      <x:c r="E5148" s="22" t="str">
        <x:f>IF(ISBLANK(C5148),"AmountIncludingTax缺失",IF(ABS(B5148-C5148)&lt;0.005,"一致","不一致"))</x:f>
        <x:v>AmountIncludingTax缺失</x:v>
      </x:c>
      <x:c r="F5148" s="19" t="str">
        <x:v>approved</x:v>
      </x:c>
      <x:c r="G5148" s="19" t="str">
        <x:v>Repair in Progress</x:v>
      </x:c>
      <x:c r="H5148" s="19" t="str">
        <x:v>In Field</x:v>
      </x:c>
      <x:c r="I5148" s="37" t="n">
        <x:v>46044</x:v>
      </x:c>
      <x:c r="J5148" s="37" t="n">
        <x:v>46035</x:v>
      </x:c>
      <x:c r="K5148" s="19" t="str">
        <x:v>Regent RV - Frankston</x:v>
      </x:c>
      <x:c r="L5148" s="19" t="str">
        <x:v>Z006</x:v>
      </x:c>
      <x:c r="M5148" s="19" t="str">
        <x:v>In Field Warranty Claims</x:v>
      </x:c>
      <x:c r="N5148" s="37" t="n">
        <x:v>45979</x:v>
      </x:c>
      <x:c r="O5148" s="37"/>
      <x:c r="P5148" s="34" t="n">
        <x:v>0</x:v>
      </x:c>
      <x:c r="Q5148" s="37" t="n">
        <x:v>46043.92755787037</x:v>
      </x:c>
    </x:row>
    <x:row r="5149">
      <x:c r="A5149" s="22" t="n">
        <x:v>28081</x:v>
      </x:c>
      <x:c r="B5149" s="28" t="n">
        <x:v>67.5</x:v>
      </x:c>
      <x:c r="C5149" s="28"/>
      <x:c r="D5149" s="31" t="str">
        <x:f>IF(OR(ISBLANK(B5149),ISBLANK(C5149),B5149=0),"",(C5149-B5149)/B5149)</x:f>
      </x:c>
      <x:c r="E5149" s="22" t="str">
        <x:f>IF(ISBLANK(C5149),"AmountIncludingTax缺失",IF(ABS(B5149-C5149)&lt;0.005,"一致","不一致"))</x:f>
        <x:v>AmountIncludingTax缺失</x:v>
      </x:c>
      <x:c r="F5149" s="19" t="str">
        <x:v>approved</x:v>
      </x:c>
      <x:c r="G5149" s="19" t="str">
        <x:v>Repair in Progress</x:v>
      </x:c>
      <x:c r="H5149" s="19" t="str">
        <x:v>In Field</x:v>
      </x:c>
      <x:c r="I5149" s="37" t="n">
        <x:v>46076</x:v>
      </x:c>
      <x:c r="J5149" s="37" t="n">
        <x:v>46073</x:v>
      </x:c>
      <x:c r="K5149" s="19" t="str">
        <x:v>Regent RV - Frankston</x:v>
      </x:c>
      <x:c r="L5149" s="19" t="str">
        <x:v>Z006</x:v>
      </x:c>
      <x:c r="M5149" s="19" t="str">
        <x:v>In Field Warranty Claims</x:v>
      </x:c>
      <x:c r="N5149" s="37" t="n">
        <x:v>45979</x:v>
      </x:c>
      <x:c r="O5149" s="37"/>
      <x:c r="P5149" s="34" t="n">
        <x:v>0</x:v>
      </x:c>
      <x:c r="Q5149" s="37" t="n">
        <x:v>46075.98509259259</x:v>
      </x:c>
    </x:row>
    <x:row r="5150">
      <x:c r="A5150" s="22" t="n">
        <x:v>28079</x:v>
      </x:c>
      <x:c r="B5150" s="28" t="n">
        <x:v>791.2</x:v>
      </x:c>
      <x:c r="C5150" s="28"/>
      <x:c r="D5150" s="31" t="str">
        <x:f>IF(OR(ISBLANK(B5150),ISBLANK(C5150),B5150=0),"",(C5150-B5150)/B5150)</x:f>
      </x:c>
      <x:c r="E5150" s="22" t="str">
        <x:f>IF(ISBLANK(C5150),"AmountIncludingTax缺失",IF(ABS(B5150-C5150)&lt;0.005,"一致","不一致"))</x:f>
        <x:v>AmountIncludingTax缺失</x:v>
      </x:c>
      <x:c r="F5150" s="19" t="str">
        <x:v>approved</x:v>
      </x:c>
      <x:c r="G5150" s="19" t="str">
        <x:v>Repairer Invoiced Processed</x:v>
      </x:c>
      <x:c r="H5150" s="19" t="str">
        <x:v>Pre Delivery</x:v>
      </x:c>
      <x:c r="I5150" s="37" t="n">
        <x:v>46069</x:v>
      </x:c>
      <x:c r="J5150" s="37" t="n">
        <x:v>46069</x:v>
      </x:c>
      <x:c r="K5150" s="19" t="str">
        <x:v>The Caravan Hub - Townsville</x:v>
      </x:c>
      <x:c r="L5150" s="19" t="str">
        <x:v>Z005</x:v>
      </x:c>
      <x:c r="M5150" s="19" t="str">
        <x:v>Pre Delivery Warranty Claims</x:v>
      </x:c>
      <x:c r="N5150" s="37" t="n">
        <x:v>45979</x:v>
      </x:c>
      <x:c r="O5150" s="37"/>
      <x:c r="P5150" s="34" t="n">
        <x:v>0</x:v>
      </x:c>
      <x:c r="Q5150" s="37" t="n">
        <x:v>46068.985300925924</x:v>
      </x:c>
    </x:row>
    <x:row r="5151">
      <x:c r="A5151" s="22" t="n">
        <x:v>28078</x:v>
      </x:c>
      <x:c r="B5151" s="28" t="n">
        <x:v>539.58</x:v>
      </x:c>
      <x:c r="C5151" s="28"/>
      <x:c r="D5151" s="31" t="str">
        <x:f>IF(OR(ISBLANK(B5151),ISBLANK(C5151),B5151=0),"",(C5151-B5151)/B5151)</x:f>
      </x:c>
      <x:c r="E5151" s="22" t="str">
        <x:f>IF(ISBLANK(C5151),"AmountIncludingTax缺失",IF(ABS(B5151-C5151)&lt;0.005,"一致","不一致"))</x:f>
        <x:v>AmountIncludingTax缺失</x:v>
      </x:c>
      <x:c r="F5151" s="19" t="str">
        <x:v>approved</x:v>
      </x:c>
      <x:c r="G5151" s="19" t="str">
        <x:v>Sales Order Approved</x:v>
      </x:c>
      <x:c r="H5151" s="19" t="str">
        <x:v>Pre Delivery</x:v>
      </x:c>
      <x:c r="I5151" s="37" t="n">
        <x:v>46176</x:v>
      </x:c>
      <x:c r="J5151" s="37" t="n">
        <x:v>46057</x:v>
      </x:c>
      <x:c r="K5151" s="19" t="str">
        <x:v>The Caravan Hub - Townsville</x:v>
      </x:c>
      <x:c r="L5151" s="19" t="str">
        <x:v>Z005</x:v>
      </x:c>
      <x:c r="M5151" s="19" t="str">
        <x:v>Pre Delivery Warranty Claims</x:v>
      </x:c>
      <x:c r="N5151" s="37" t="n">
        <x:v>45979</x:v>
      </x:c>
      <x:c r="O5151" s="37"/>
      <x:c r="P5151" s="34" t="n">
        <x:v>0</x:v>
      </x:c>
      <x:c r="Q5151" s="37" t="n">
        <x:v>46175.951261574075</x:v>
      </x:c>
    </x:row>
    <x:row r="5152">
      <x:c r="A5152" s="22" t="n">
        <x:v>28069</x:v>
      </x:c>
      <x:c r="B5152" s="28" t="n">
        <x:v>227.27</x:v>
      </x:c>
      <x:c r="C5152" s="28" t="n">
        <x:v>250</x:v>
      </x:c>
      <x:c r="D5152" s="31" t="n">
        <x:f>IF(OR(ISBLANK(B5152),ISBLANK(C5152),B5152=0),"",(C5152-B5152)/B5152)</x:f>
        <x:v>0.10001320015840186</x:v>
      </x:c>
      <x:c r="E5152" s="22" t="str">
        <x:f>IF(ISBLANK(C5152),"AmountIncludingTax缺失",IF(ABS(B5152-C5152)&lt;0.005,"一致","不一致"))</x:f>
        <x:v>不一致</x:v>
      </x:c>
      <x:c r="F5152" s="19" t="str">
        <x:v>approved</x:v>
      </x:c>
      <x:c r="G5152" s="19" t="str">
        <x:v>Repairer Invoiced Processed</x:v>
      </x:c>
      <x:c r="H5152" s="19" t="str">
        <x:v>In Field</x:v>
      </x:c>
      <x:c r="I5152" s="37" t="n">
        <x:v>46139</x:v>
      </x:c>
      <x:c r="J5152" s="37" t="n">
        <x:v>46139</x:v>
      </x:c>
      <x:c r="K5152" s="19" t="str">
        <x:v>Snowy River Frankston</x:v>
      </x:c>
      <x:c r="L5152" s="19" t="str">
        <x:v>Z006</x:v>
      </x:c>
      <x:c r="M5152" s="19" t="str">
        <x:v>In Field Warranty Claims</x:v>
      </x:c>
      <x:c r="N5152" s="37" t="n">
        <x:v>45979</x:v>
      </x:c>
      <x:c r="O5152" s="37" t="n">
        <x:v>46101</x:v>
      </x:c>
      <x:c r="P5152" s="34" t="n">
        <x:v>250</x:v>
      </x:c>
      <x:c r="Q5152" s="37" t="n">
        <x:v>46139.17821759259</x:v>
      </x:c>
    </x:row>
    <x:row r="5153">
      <x:c r="A5153" s="22" t="n">
        <x:v>28065</x:v>
      </x:c>
      <x:c r="B5153" s="28" t="n">
        <x:v>10723</x:v>
      </x:c>
      <x:c r="C5153" s="28"/>
      <x:c r="D5153" s="31" t="str">
        <x:f>IF(OR(ISBLANK(B5153),ISBLANK(C5153),B5153=0),"",(C5153-B5153)/B5153)</x:f>
      </x:c>
      <x:c r="E5153" s="22" t="str">
        <x:f>IF(ISBLANK(C5153),"AmountIncludingTax缺失",IF(ABS(B5153-C5153)&lt;0.005,"一致","不一致"))</x:f>
        <x:v>AmountIncludingTax缺失</x:v>
      </x:c>
      <x:c r="F5153" s="19" t="str">
        <x:v>approved</x:v>
      </x:c>
      <x:c r="G5153" s="19" t="str">
        <x:v>Repair in Progress</x:v>
      </x:c>
      <x:c r="H5153" s="19" t="str">
        <x:v>In Field</x:v>
      </x:c>
      <x:c r="I5153" s="37" t="n">
        <x:v>46160</x:v>
      </x:c>
      <x:c r="J5153" s="37" t="n">
        <x:v>46160</x:v>
      </x:c>
      <x:c r="K5153" s="19" t="str">
        <x:v>Regent RV - Perth</x:v>
      </x:c>
      <x:c r="L5153" s="19" t="str">
        <x:v>Z006</x:v>
      </x:c>
      <x:c r="M5153" s="19" t="str">
        <x:v>In Field Warranty Claims</x:v>
      </x:c>
      <x:c r="N5153" s="37" t="n">
        <x:v>45979</x:v>
      </x:c>
      <x:c r="O5153" s="37"/>
      <x:c r="P5153" s="34" t="n">
        <x:v>11795.3</x:v>
      </x:c>
      <x:c r="Q5153" s="37" t="n">
        <x:v>46160.245474537034</x:v>
      </x:c>
    </x:row>
    <x:row r="5154">
      <x:c r="A5154" s="22" t="n">
        <x:v>28063</x:v>
      </x:c>
      <x:c r="B5154" s="28" t="n">
        <x:v>54.5</x:v>
      </x:c>
      <x:c r="C5154" s="28" t="n">
        <x:v>59.95</x:v>
      </x:c>
      <x:c r="D5154" s="31" t="n">
        <x:f>IF(OR(ISBLANK(B5154),ISBLANK(C5154),B5154=0),"",(C5154-B5154)/B5154)</x:f>
        <x:v>0.10000000000000005</x:v>
      </x:c>
      <x:c r="E5154" s="22" t="str">
        <x:f>IF(ISBLANK(C5154),"AmountIncludingTax缺失",IF(ABS(B5154-C5154)&lt;0.005,"一致","不一致"))</x:f>
        <x:v>不一致</x:v>
      </x:c>
      <x:c r="F5154" s="19" t="str">
        <x:v>approved</x:v>
      </x:c>
      <x:c r="G5154" s="19" t="str">
        <x:v>Repairer Invoiced Processed</x:v>
      </x:c>
      <x:c r="H5154" s="19" t="str">
        <x:v>In Field</x:v>
      </x:c>
      <x:c r="I5154" s="37" t="n">
        <x:v>46037</x:v>
      </x:c>
      <x:c r="J5154" s="37" t="n">
        <x:v>46036</x:v>
      </x:c>
      <x:c r="K5154" s="19" t="str">
        <x:v>Regent RV Pty Ltd</x:v>
      </x:c>
      <x:c r="L5154" s="19" t="str">
        <x:v>Z006</x:v>
      </x:c>
      <x:c r="M5154" s="19" t="str">
        <x:v>In Field Warranty Claims</x:v>
      </x:c>
      <x:c r="N5154" s="37" t="n">
        <x:v>45979</x:v>
      </x:c>
      <x:c r="O5154" s="37"/>
      <x:c r="P5154" s="34" t="n">
        <x:v>59.95</x:v>
      </x:c>
      <x:c r="Q5154" s="37" t="n">
        <x:v>46036.99424768519</x:v>
      </x:c>
    </x:row>
    <x:row r="5155">
      <x:c r="A5155" s="22" t="n">
        <x:v>28061</x:v>
      </x:c>
      <x:c r="B5155" s="28" t="n">
        <x:v>480</x:v>
      </x:c>
      <x:c r="C5155" s="28" t="n">
        <x:v>528</x:v>
      </x:c>
      <x:c r="D5155" s="31" t="n">
        <x:f>IF(OR(ISBLANK(B5155),ISBLANK(C5155),B5155=0),"",(C5155-B5155)/B5155)</x:f>
        <x:v>0.1</x:v>
      </x:c>
      <x:c r="E5155" s="22" t="str">
        <x:f>IF(ISBLANK(C5155),"AmountIncludingTax缺失",IF(ABS(B5155-C5155)&lt;0.005,"一致","不一致"))</x:f>
        <x:v>不一致</x:v>
      </x:c>
      <x:c r="F5155" s="19" t="str">
        <x:v>approved</x:v>
      </x:c>
      <x:c r="G5155" s="19" t="str">
        <x:v>Repairer Invoiced Processed</x:v>
      </x:c>
      <x:c r="H5155" s="19" t="str">
        <x:v>In Field</x:v>
      </x:c>
      <x:c r="I5155" s="37" t="n">
        <x:v>46042</x:v>
      </x:c>
      <x:c r="J5155" s="37" t="n">
        <x:v>46042</x:v>
      </x:c>
      <x:c r="K5155" s="19" t="str">
        <x:v>Regent RV - Frankston</x:v>
      </x:c>
      <x:c r="L5155" s="19" t="str">
        <x:v>Z006</x:v>
      </x:c>
      <x:c r="M5155" s="19" t="str">
        <x:v>In Field Warranty Claims</x:v>
      </x:c>
      <x:c r="N5155" s="37" t="n">
        <x:v>45979</x:v>
      </x:c>
      <x:c r="O5155" s="37"/>
      <x:c r="P5155" s="34" t="n">
        <x:v>528</x:v>
      </x:c>
      <x:c r="Q5155" s="37" t="n">
        <x:v>46041.97957175926</x:v>
      </x:c>
    </x:row>
    <x:row r="5156">
      <x:c r="A5156" s="22" t="n">
        <x:v>28059</x:v>
      </x:c>
      <x:c r="B5156" s="28" t="n">
        <x:v>110</x:v>
      </x:c>
      <x:c r="C5156" s="28"/>
      <x:c r="D5156" s="31" t="str">
        <x:f>IF(OR(ISBLANK(B5156),ISBLANK(C5156),B5156=0),"",(C5156-B5156)/B5156)</x:f>
      </x:c>
      <x:c r="E5156" s="22" t="str">
        <x:f>IF(ISBLANK(C5156),"AmountIncludingTax缺失",IF(ABS(B5156-C5156)&lt;0.005,"一致","不一致"))</x:f>
        <x:v>AmountIncludingTax缺失</x:v>
      </x:c>
      <x:c r="F5156" s="19" t="str">
        <x:v>approved</x:v>
      </x:c>
      <x:c r="G5156" s="19" t="str">
        <x:v>Repair in Progress</x:v>
      </x:c>
      <x:c r="H5156" s="19" t="str">
        <x:v>In Field</x:v>
      </x:c>
      <x:c r="I5156" s="37" t="n">
        <x:v>46076</x:v>
      </x:c>
      <x:c r="J5156" s="37" t="n">
        <x:v>46076</x:v>
      </x:c>
      <x:c r="K5156" s="19" t="str">
        <x:v>Regent RV - Frankston</x:v>
      </x:c>
      <x:c r="L5156" s="19" t="str">
        <x:v>Z006</x:v>
      </x:c>
      <x:c r="M5156" s="19" t="str">
        <x:v>In Field Warranty Claims</x:v>
      </x:c>
      <x:c r="N5156" s="37" t="n">
        <x:v>45979</x:v>
      </x:c>
      <x:c r="O5156" s="37"/>
      <x:c r="P5156" s="34" t="n">
        <x:v>0</x:v>
      </x:c>
      <x:c r="Q5156" s="37" t="n">
        <x:v>46076.089791666665</x:v>
      </x:c>
    </x:row>
    <x:row r="5157">
      <x:c r="A5157" s="22" t="n">
        <x:v>28054</x:v>
      </x:c>
      <x:c r="B5157" s="28" t="n">
        <x:v>125</x:v>
      </x:c>
      <x:c r="C5157" s="28"/>
      <x:c r="D5157" s="31" t="str">
        <x:f>IF(OR(ISBLANK(B5157),ISBLANK(C5157),B5157=0),"",(C5157-B5157)/B5157)</x:f>
      </x:c>
      <x:c r="E5157" s="22" t="str">
        <x:f>IF(ISBLANK(C5157),"AmountIncludingTax缺失",IF(ABS(B5157-C5157)&lt;0.005,"一致","不一致"))</x:f>
        <x:v>AmountIncludingTax缺失</x:v>
      </x:c>
      <x:c r="F5157" s="19" t="str">
        <x:v>approved</x:v>
      </x:c>
      <x:c r="G5157" s="19" t="str">
        <x:v>Repairer Invoiced Processed</x:v>
      </x:c>
      <x:c r="H5157" s="19" t="str">
        <x:v>In Field</x:v>
      </x:c>
      <x:c r="I5157" s="37" t="n">
        <x:v>46055</x:v>
      </x:c>
      <x:c r="J5157" s="37" t="n">
        <x:v>46055</x:v>
      </x:c>
      <x:c r="K5157" s="19" t="str">
        <x:v>Regent RV - Perth</x:v>
      </x:c>
      <x:c r="L5157" s="19" t="str">
        <x:v>Z006</x:v>
      </x:c>
      <x:c r="M5157" s="19" t="str">
        <x:v>In Field Warranty Claims</x:v>
      </x:c>
      <x:c r="N5157" s="37" t="n">
        <x:v>45979</x:v>
      </x:c>
      <x:c r="O5157" s="37"/>
      <x:c r="P5157" s="34" t="n">
        <x:v>0</x:v>
      </x:c>
      <x:c r="Q5157" s="37" t="n">
        <x:v>46054.938622685186</x:v>
      </x:c>
    </x:row>
    <x:row r="5158">
      <x:c r="A5158" s="22" t="n">
        <x:v>28053</x:v>
      </x:c>
      <x:c r="B5158" s="28" t="n">
        <x:v>300</x:v>
      </x:c>
      <x:c r="C5158" s="28" t="n">
        <x:v>330</x:v>
      </x:c>
      <x:c r="D5158" s="31" t="n">
        <x:f>IF(OR(ISBLANK(B5158),ISBLANK(C5158),B5158=0),"",(C5158-B5158)/B5158)</x:f>
        <x:v>0.1</x:v>
      </x:c>
      <x:c r="E5158" s="22" t="str">
        <x:f>IF(ISBLANK(C5158),"AmountIncludingTax缺失",IF(ABS(B5158-C5158)&lt;0.005,"一致","不一致"))</x:f>
        <x:v>不一致</x:v>
      </x:c>
      <x:c r="F5158" s="19" t="str">
        <x:v>approved</x:v>
      </x:c>
      <x:c r="G5158" s="19" t="str">
        <x:v>Repairer Invoiced Processed</x:v>
      </x:c>
      <x:c r="H5158" s="19" t="str">
        <x:v>In Field</x:v>
      </x:c>
      <x:c r="I5158" s="37" t="n">
        <x:v>46106</x:v>
      </x:c>
      <x:c r="J5158" s="37" t="n">
        <x:v>46106</x:v>
      </x:c>
      <x:c r="K5158" s="19" t="str">
        <x:v>Regent RV - Frankston</x:v>
      </x:c>
      <x:c r="L5158" s="19" t="str">
        <x:v>Z006</x:v>
      </x:c>
      <x:c r="M5158" s="19" t="str">
        <x:v>In Field Warranty Claims</x:v>
      </x:c>
      <x:c r="N5158" s="37" t="n">
        <x:v>45978</x:v>
      </x:c>
      <x:c r="O5158" s="37"/>
      <x:c r="P5158" s="34" t="n">
        <x:v>330</x:v>
      </x:c>
      <x:c r="Q5158" s="37" t="n">
        <x:v>46105.95302083333</x:v>
      </x:c>
    </x:row>
    <x:row r="5159">
      <x:c r="A5159" s="22" t="n">
        <x:v>28052</x:v>
      </x:c>
      <x:c r="B5159" s="28" t="n">
        <x:v>720</x:v>
      </x:c>
      <x:c r="C5159" s="28"/>
      <x:c r="D5159" s="31" t="str">
        <x:f>IF(OR(ISBLANK(B5159),ISBLANK(C5159),B5159=0),"",(C5159-B5159)/B5159)</x:f>
      </x:c>
      <x:c r="E5159" s="22" t="str">
        <x:f>IF(ISBLANK(C5159),"AmountIncludingTax缺失",IF(ABS(B5159-C5159)&lt;0.005,"一致","不一致"))</x:f>
        <x:v>AmountIncludingTax缺失</x:v>
      </x:c>
      <x:c r="F5159" s="19" t="str">
        <x:v>approved</x:v>
      </x:c>
      <x:c r="G5159" s="19" t="str">
        <x:v>Repairer Invoiced Processed</x:v>
      </x:c>
      <x:c r="H5159" s="19" t="str">
        <x:v>In Field</x:v>
      </x:c>
      <x:c r="I5159" s="37" t="n">
        <x:v>46162</x:v>
      </x:c>
      <x:c r="J5159" s="37" t="n">
        <x:v>46163</x:v>
      </x:c>
      <x:c r="K5159" s="19" t="str">
        <x:v>Newcastle RV Super Centre - Beresfield</x:v>
      </x:c>
      <x:c r="L5159" s="19" t="str">
        <x:v>Z006</x:v>
      </x:c>
      <x:c r="M5159" s="19" t="str">
        <x:v>In Field Warranty Claims</x:v>
      </x:c>
      <x:c r="N5159" s="37" t="n">
        <x:v>45978</x:v>
      </x:c>
      <x:c r="O5159" s="37"/>
      <x:c r="P5159" s="34" t="n">
        <x:v>0</x:v>
      </x:c>
      <x:c r="Q5159" s="37" t="n">
        <x:v>46162.202523148146</x:v>
      </x:c>
    </x:row>
    <x:row r="5160">
      <x:c r="A5160" s="22" t="n">
        <x:v>28049</x:v>
      </x:c>
      <x:c r="B5160" s="28" t="n">
        <x:v>50</x:v>
      </x:c>
      <x:c r="C5160" s="28"/>
      <x:c r="D5160" s="31" t="str">
        <x:f>IF(OR(ISBLANK(B5160),ISBLANK(C5160),B5160=0),"",(C5160-B5160)/B5160)</x:f>
      </x:c>
      <x:c r="E5160" s="22" t="str">
        <x:f>IF(ISBLANK(C5160),"AmountIncludingTax缺失",IF(ABS(B5160-C5160)&lt;0.005,"一致","不一致"))</x:f>
        <x:v>AmountIncludingTax缺失</x:v>
      </x:c>
      <x:c r="F5160" s="19" t="str">
        <x:v>approved</x:v>
      </x:c>
      <x:c r="G5160" s="19" t="str">
        <x:v>Repair in Progress</x:v>
      </x:c>
      <x:c r="H5160" s="19" t="str">
        <x:v>In Field</x:v>
      </x:c>
      <x:c r="I5160" s="37" t="n">
        <x:v>46057</x:v>
      </x:c>
      <x:c r="J5160" s="37" t="n">
        <x:v>46056</x:v>
      </x:c>
      <x:c r="K5160" s="19" t="str">
        <x:v>Regent RV - Perth</x:v>
      </x:c>
      <x:c r="L5160" s="19" t="str">
        <x:v>Z006</x:v>
      </x:c>
      <x:c r="M5160" s="19" t="str">
        <x:v>In Field Warranty Claims</x:v>
      </x:c>
      <x:c r="N5160" s="37" t="n">
        <x:v>45979</x:v>
      </x:c>
      <x:c r="O5160" s="37"/>
      <x:c r="P5160" s="34" t="n">
        <x:v>0</x:v>
      </x:c>
      <x:c r="Q5160" s="37" t="n">
        <x:v>46057.185520833336</x:v>
      </x:c>
    </x:row>
    <x:row r="5161">
      <x:c r="A5161" s="22" t="n">
        <x:v>28047</x:v>
      </x:c>
      <x:c r="B5161" s="28" t="n">
        <x:v>716.1</x:v>
      </x:c>
      <x:c r="C5161" s="28" t="n">
        <x:v>787.71</x:v>
      </x:c>
      <x:c r="D5161" s="31" t="n">
        <x:f>IF(OR(ISBLANK(B5161),ISBLANK(C5161),B5161=0),"",(C5161-B5161)/B5161)</x:f>
        <x:v>0.10000000000000002</x:v>
      </x:c>
      <x:c r="E5161" s="22" t="str">
        <x:f>IF(ISBLANK(C5161),"AmountIncludingTax缺失",IF(ABS(B5161-C5161)&lt;0.005,"一致","不一致"))</x:f>
        <x:v>不一致</x:v>
      </x:c>
      <x:c r="F5161" s="19" t="str">
        <x:v>approved</x:v>
      </x:c>
      <x:c r="G5161" s="19" t="str">
        <x:v>Repairer Invoiced Received</x:v>
      </x:c>
      <x:c r="H5161" s="19" t="str">
        <x:v>In Field</x:v>
      </x:c>
      <x:c r="I5161" s="37" t="n">
        <x:v>46069</x:v>
      </x:c>
      <x:c r="J5161" s="37" t="n">
        <x:v>46069</x:v>
      </x:c>
      <x:c r="K5161" s="19" t="str">
        <x:v>Newcastle RV Super Centre - Beresfield</x:v>
      </x:c>
      <x:c r="L5161" s="19" t="str">
        <x:v>Z006</x:v>
      </x:c>
      <x:c r="M5161" s="19" t="str">
        <x:v>In Field Warranty Claims</x:v>
      </x:c>
      <x:c r="N5161" s="37" t="n">
        <x:v>45979</x:v>
      </x:c>
      <x:c r="O5161" s="37"/>
      <x:c r="P5161" s="34" t="n">
        <x:v>787.71</x:v>
      </x:c>
      <x:c r="Q5161" s="37" t="n">
        <x:v>46069.20489583333</x:v>
      </x:c>
    </x:row>
    <x:row r="5162">
      <x:c r="A5162" s="22" t="n">
        <x:v>28045</x:v>
      </x:c>
      <x:c r="B5162" s="28" t="n">
        <x:v>1178.94</x:v>
      </x:c>
      <x:c r="C5162" s="28"/>
      <x:c r="D5162" s="31" t="str">
        <x:f>IF(OR(ISBLANK(B5162),ISBLANK(C5162),B5162=0),"",(C5162-B5162)/B5162)</x:f>
      </x:c>
      <x:c r="E5162" s="22" t="str">
        <x:f>IF(ISBLANK(C5162),"AmountIncludingTax缺失",IF(ABS(B5162-C5162)&lt;0.005,"一致","不一致"))</x:f>
        <x:v>AmountIncludingTax缺失</x:v>
      </x:c>
      <x:c r="F5162" s="19" t="str">
        <x:v>approved</x:v>
      </x:c>
      <x:c r="G5162" s="19" t="str">
        <x:v>Repair in Progress</x:v>
      </x:c>
      <x:c r="H5162" s="19" t="str">
        <x:v>Pre Delivery</x:v>
      </x:c>
      <x:c r="I5162" s="37" t="n">
        <x:v>46029</x:v>
      </x:c>
      <x:c r="J5162" s="37" t="n">
        <x:v>46029</x:v>
      </x:c>
      <x:c r="K5162" s="19" t="str">
        <x:v>Lesiure Lion-New Castle</x:v>
      </x:c>
      <x:c r="L5162" s="19" t="str">
        <x:v>Z005</x:v>
      </x:c>
      <x:c r="M5162" s="19" t="str">
        <x:v>Pre Delivery Warranty Claims</x:v>
      </x:c>
      <x:c r="N5162" s="37" t="n">
        <x:v>45978</x:v>
      </x:c>
      <x:c r="O5162" s="37"/>
      <x:c r="P5162" s="34" t="n">
        <x:v>1296.83</x:v>
      </x:c>
      <x:c r="Q5162" s="37" t="n">
        <x:v>46028.95905092593</x:v>
      </x:c>
    </x:row>
    <x:row r="5163">
      <x:c r="A5163" s="22" t="n">
        <x:v>28044</x:v>
      </x:c>
      <x:c r="B5163" s="28" t="n">
        <x:v>135</x:v>
      </x:c>
      <x:c r="C5163" s="28"/>
      <x:c r="D5163" s="31" t="str">
        <x:f>IF(OR(ISBLANK(B5163),ISBLANK(C5163),B5163=0),"",(C5163-B5163)/B5163)</x:f>
      </x:c>
      <x:c r="E5163" s="22" t="str">
        <x:f>IF(ISBLANK(C5163),"AmountIncludingTax缺失",IF(ABS(B5163-C5163)&lt;0.005,"一致","不一致"))</x:f>
        <x:v>AmountIncludingTax缺失</x:v>
      </x:c>
      <x:c r="F5163" s="19" t="str">
        <x:v>approved</x:v>
      </x:c>
      <x:c r="G5163" s="19" t="str">
        <x:v>Repair in Progress</x:v>
      </x:c>
      <x:c r="H5163" s="19" t="str">
        <x:v>In Field</x:v>
      </x:c>
      <x:c r="I5163" s="37" t="n">
        <x:v>46052</x:v>
      </x:c>
      <x:c r="J5163" s="37" t="n">
        <x:v>46052</x:v>
      </x:c>
      <x:c r="K5163" s="19" t="str">
        <x:v>Regent RV - Frankston</x:v>
      </x:c>
      <x:c r="L5163" s="19" t="str">
        <x:v>Z006</x:v>
      </x:c>
      <x:c r="M5163" s="19" t="str">
        <x:v>In Field Warranty Claims</x:v>
      </x:c>
      <x:c r="N5163" s="37" t="n">
        <x:v>45978</x:v>
      </x:c>
      <x:c r="O5163" s="37"/>
      <x:c r="P5163" s="34" t="n">
        <x:v>0</x:v>
      </x:c>
      <x:c r="Q5163" s="37" t="n">
        <x:v>46052.193078703705</x:v>
      </x:c>
    </x:row>
    <x:row r="5164">
      <x:c r="A5164" s="22" t="n">
        <x:v>28042</x:v>
      </x:c>
      <x:c r="B5164" s="28" t="n">
        <x:v>130</x:v>
      </x:c>
      <x:c r="C5164" s="28"/>
      <x:c r="D5164" s="31" t="str">
        <x:f>IF(OR(ISBLANK(B5164),ISBLANK(C5164),B5164=0),"",(C5164-B5164)/B5164)</x:f>
      </x:c>
      <x:c r="E5164" s="22" t="str">
        <x:f>IF(ISBLANK(C5164),"AmountIncludingTax缺失",IF(ABS(B5164-C5164)&lt;0.005,"一致","不一致"))</x:f>
        <x:v>AmountIncludingTax缺失</x:v>
      </x:c>
      <x:c r="F5164" s="19" t="str">
        <x:v>approved</x:v>
      </x:c>
      <x:c r="G5164" s="19" t="str">
        <x:v>Repair in Progress</x:v>
      </x:c>
      <x:c r="H5164" s="19" t="str">
        <x:v>In Field</x:v>
      </x:c>
      <x:c r="I5164" s="37" t="n">
        <x:v>46024</x:v>
      </x:c>
      <x:c r="J5164" s="37" t="n">
        <x:v>46024</x:v>
      </x:c>
      <x:c r="K5164" s="19" t="str">
        <x:v>Green RV - Forest Glen</x:v>
      </x:c>
      <x:c r="L5164" s="19" t="str">
        <x:v>Z006</x:v>
      </x:c>
      <x:c r="M5164" s="19" t="str">
        <x:v>In Field Warranty Claims</x:v>
      </x:c>
      <x:c r="N5164" s="37" t="n">
        <x:v>45978</x:v>
      </x:c>
      <x:c r="O5164" s="37"/>
      <x:c r="P5164" s="34" t="n">
        <x:v>0</x:v>
      </x:c>
      <x:c r="Q5164" s="37" t="n">
        <x:v>46024.23386574074</x:v>
      </x:c>
    </x:row>
    <x:row r="5165">
      <x:c r="A5165" s="22" t="n">
        <x:v>28041</x:v>
      </x:c>
      <x:c r="B5165" s="28" t="n">
        <x:v>38.75</x:v>
      </x:c>
      <x:c r="C5165" s="28"/>
      <x:c r="D5165" s="31" t="str">
        <x:f>IF(OR(ISBLANK(B5165),ISBLANK(C5165),B5165=0),"",(C5165-B5165)/B5165)</x:f>
      </x:c>
      <x:c r="E5165" s="22" t="str">
        <x:f>IF(ISBLANK(C5165),"AmountIncludingTax缺失",IF(ABS(B5165-C5165)&lt;0.005,"一致","不一致"))</x:f>
        <x:v>AmountIncludingTax缺失</x:v>
      </x:c>
      <x:c r="F5165" s="19" t="str">
        <x:v>approved</x:v>
      </x:c>
      <x:c r="G5165" s="19" t="str">
        <x:v>Repair in Progress</x:v>
      </x:c>
      <x:c r="H5165" s="19" t="str">
        <x:v>Pre Delivery</x:v>
      </x:c>
      <x:c r="I5165" s="37" t="n">
        <x:v>46099</x:v>
      </x:c>
      <x:c r="J5165" s="37" t="n">
        <x:v>46099</x:v>
      </x:c>
      <x:c r="K5165" s="19" t="str">
        <x:v>Dario Caravans -St.Marys</x:v>
      </x:c>
      <x:c r="L5165" s="19" t="str">
        <x:v>Z005</x:v>
      </x:c>
      <x:c r="M5165" s="19" t="str">
        <x:v>Pre Delivery Warranty Claims</x:v>
      </x:c>
      <x:c r="N5165" s="37" t="n">
        <x:v>45978</x:v>
      </x:c>
      <x:c r="O5165" s="37"/>
      <x:c r="P5165" s="34" t="n">
        <x:v>0</x:v>
      </x:c>
      <x:c r="Q5165" s="37" t="n">
        <x:v>46098.96084490741</x:v>
      </x:c>
    </x:row>
    <x:row r="5166">
      <x:c r="A5166" s="22" t="n">
        <x:v>28038</x:v>
      </x:c>
      <x:c r="B5166" s="28" t="n">
        <x:v>250</x:v>
      </x:c>
      <x:c r="C5166" s="28" t="n">
        <x:v>275</x:v>
      </x:c>
      <x:c r="D5166" s="31" t="n">
        <x:f>IF(OR(ISBLANK(B5166),ISBLANK(C5166),B5166=0),"",(C5166-B5166)/B5166)</x:f>
        <x:v>0.1</x:v>
      </x:c>
      <x:c r="E5166" s="22" t="str">
        <x:f>IF(ISBLANK(C5166),"AmountIncludingTax缺失",IF(ABS(B5166-C5166)&lt;0.005,"一致","不一致"))</x:f>
        <x:v>不一致</x:v>
      </x:c>
      <x:c r="F5166" s="19" t="str">
        <x:v>approved</x:v>
      </x:c>
      <x:c r="G5166" s="19" t="str">
        <x:v>Repairer Invoiced Processed</x:v>
      </x:c>
      <x:c r="H5166" s="19" t="str">
        <x:v>In Field</x:v>
      </x:c>
      <x:c r="I5166" s="37" t="n">
        <x:v>46044</x:v>
      </x:c>
      <x:c r="J5166" s="37" t="n">
        <x:v>46044</x:v>
      </x:c>
      <x:c r="K5166" s="19" t="str">
        <x:v>Green RV - Forest Glen</x:v>
      </x:c>
      <x:c r="L5166" s="19" t="str">
        <x:v>Z006</x:v>
      </x:c>
      <x:c r="M5166" s="19" t="str">
        <x:v>In Field Warranty Claims</x:v>
      </x:c>
      <x:c r="N5166" s="37" t="n">
        <x:v>45978</x:v>
      </x:c>
      <x:c r="O5166" s="37"/>
      <x:c r="P5166" s="34" t="n">
        <x:v>275</x:v>
      </x:c>
      <x:c r="Q5166" s="37" t="n">
        <x:v>46044.532002314816</x:v>
      </x:c>
    </x:row>
    <x:row r="5167">
      <x:c r="A5167" s="22" t="n">
        <x:v>28036</x:v>
      </x:c>
      <x:c r="B5167" s="28" t="n">
        <x:v>657.73</x:v>
      </x:c>
      <x:c r="C5167" s="28"/>
      <x:c r="D5167" s="31" t="str">
        <x:f>IF(OR(ISBLANK(B5167),ISBLANK(C5167),B5167=0),"",(C5167-B5167)/B5167)</x:f>
      </x:c>
      <x:c r="E5167" s="22" t="str">
        <x:f>IF(ISBLANK(C5167),"AmountIncludingTax缺失",IF(ABS(B5167-C5167)&lt;0.005,"一致","不一致"))</x:f>
        <x:v>AmountIncludingTax缺失</x:v>
      </x:c>
      <x:c r="F5167" s="19" t="str">
        <x:v>approved</x:v>
      </x:c>
      <x:c r="G5167" s="19" t="str">
        <x:v>Repairer Invoiced Processed</x:v>
      </x:c>
      <x:c r="H5167" s="19" t="str">
        <x:v>In Field</x:v>
      </x:c>
      <x:c r="I5167" s="37" t="n">
        <x:v>46029</x:v>
      </x:c>
      <x:c r="J5167" s="37" t="n">
        <x:v>46029</x:v>
      </x:c>
      <x:c r="K5167" s="19" t="str">
        <x:v>Regent RV Pty Ltd</x:v>
      </x:c>
      <x:c r="L5167" s="19" t="str">
        <x:v>Z006</x:v>
      </x:c>
      <x:c r="M5167" s="19" t="str">
        <x:v>In Field Warranty Claims</x:v>
      </x:c>
      <x:c r="N5167" s="37" t="n">
        <x:v>45978</x:v>
      </x:c>
      <x:c r="O5167" s="37"/>
      <x:c r="P5167" s="34" t="n">
        <x:v>0</x:v>
      </x:c>
      <x:c r="Q5167" s="37" t="n">
        <x:v>46028.95512731482</x:v>
      </x:c>
    </x:row>
    <x:row r="5168">
      <x:c r="A5168" s="22" t="n">
        <x:v>28035</x:v>
      </x:c>
      <x:c r="B5168" s="28" t="n">
        <x:v>695</x:v>
      </x:c>
      <x:c r="C5168" s="28"/>
      <x:c r="D5168" s="31" t="str">
        <x:f>IF(OR(ISBLANK(B5168),ISBLANK(C5168),B5168=0),"",(C5168-B5168)/B5168)</x:f>
      </x:c>
      <x:c r="E5168" s="22" t="str">
        <x:f>IF(ISBLANK(C5168),"AmountIncludingTax缺失",IF(ABS(B5168-C5168)&lt;0.005,"一致","不一致"))</x:f>
        <x:v>AmountIncludingTax缺失</x:v>
      </x:c>
      <x:c r="F5168" s="19" t="str">
        <x:v>approved</x:v>
      </x:c>
      <x:c r="G5168" s="19" t="str">
        <x:v>Repairer Invoiced Processed</x:v>
      </x:c>
      <x:c r="H5168" s="19" t="str">
        <x:v>Pre Delivery</x:v>
      </x:c>
      <x:c r="I5168" s="37" t="n">
        <x:v>46087</x:v>
      </x:c>
      <x:c r="J5168" s="37" t="n">
        <x:v>46087</x:v>
      </x:c>
      <x:c r="K5168" s="19" t="str">
        <x:v>Green RV - Forest Glen</x:v>
      </x:c>
      <x:c r="L5168" s="19" t="str">
        <x:v>Z005</x:v>
      </x:c>
      <x:c r="M5168" s="19" t="str">
        <x:v>Pre Delivery Warranty Claims</x:v>
      </x:c>
      <x:c r="N5168" s="37" t="n">
        <x:v>45978</x:v>
      </x:c>
      <x:c r="O5168" s="37"/>
      <x:c r="P5168" s="34" t="n">
        <x:v>0</x:v>
      </x:c>
      <x:c r="Q5168" s="37" t="n">
        <x:v>46087.14462962963</x:v>
      </x:c>
    </x:row>
    <x:row r="5169">
      <x:c r="A5169" s="22" t="n">
        <x:v>28032</x:v>
      </x:c>
      <x:c r="B5169" s="28" t="n">
        <x:v>155</x:v>
      </x:c>
      <x:c r="C5169" s="28" t="n">
        <x:v>170.5</x:v>
      </x:c>
      <x:c r="D5169" s="31" t="n">
        <x:f>IF(OR(ISBLANK(B5169),ISBLANK(C5169),B5169=0),"",(C5169-B5169)/B5169)</x:f>
        <x:v>0.1</x:v>
      </x:c>
      <x:c r="E5169" s="22" t="str">
        <x:f>IF(ISBLANK(C5169),"AmountIncludingTax缺失",IF(ABS(B5169-C5169)&lt;0.005,"一致","不一致"))</x:f>
        <x:v>不一致</x:v>
      </x:c>
      <x:c r="F5169" s="19" t="str">
        <x:v>approved</x:v>
      </x:c>
      <x:c r="G5169" s="19" t="str">
        <x:v>Repairer Invoiced Processed</x:v>
      </x:c>
      <x:c r="H5169" s="19" t="str">
        <x:v>In Field</x:v>
      </x:c>
      <x:c r="I5169" s="37" t="n">
        <x:v>46029</x:v>
      </x:c>
      <x:c r="J5169" s="37" t="n">
        <x:v>46029</x:v>
      </x:c>
      <x:c r="K5169" s="19" t="str">
        <x:v>Lesiure Lion-New Castle</x:v>
      </x:c>
      <x:c r="L5169" s="19" t="str">
        <x:v>Z006</x:v>
      </x:c>
      <x:c r="M5169" s="19" t="str">
        <x:v>In Field Warranty Claims</x:v>
      </x:c>
      <x:c r="N5169" s="37" t="n">
        <x:v>45978</x:v>
      </x:c>
      <x:c r="O5169" s="37"/>
      <x:c r="P5169" s="34" t="n">
        <x:v>170.5</x:v>
      </x:c>
      <x:c r="Q5169" s="37" t="n">
        <x:v>46028.947222222225</x:v>
      </x:c>
    </x:row>
    <x:row r="5170">
      <x:c r="A5170" s="22" t="n">
        <x:v>28030</x:v>
      </x:c>
      <x:c r="B5170" s="28" t="n">
        <x:v>483.63</x:v>
      </x:c>
      <x:c r="C5170" s="28"/>
      <x:c r="D5170" s="31" t="str">
        <x:f>IF(OR(ISBLANK(B5170),ISBLANK(C5170),B5170=0),"",(C5170-B5170)/B5170)</x:f>
      </x:c>
      <x:c r="E5170" s="22" t="str">
        <x:f>IF(ISBLANK(C5170),"AmountIncludingTax缺失",IF(ABS(B5170-C5170)&lt;0.005,"一致","不一致"))</x:f>
        <x:v>AmountIncludingTax缺失</x:v>
      </x:c>
      <x:c r="F5170" s="19" t="str">
        <x:v>approved</x:v>
      </x:c>
      <x:c r="G5170" s="19" t="str">
        <x:v>Repair in Progress</x:v>
      </x:c>
      <x:c r="H5170" s="19" t="str">
        <x:v>In Field</x:v>
      </x:c>
      <x:c r="I5170" s="37" t="n">
        <x:v>46091</x:v>
      </x:c>
      <x:c r="J5170" s="37" t="n">
        <x:v>46057</x:v>
      </x:c>
      <x:c r="K5170" s="19" t="str">
        <x:v>Auswide Caravans - South Nowra</x:v>
      </x:c>
      <x:c r="L5170" s="19" t="str">
        <x:v>Z006</x:v>
      </x:c>
      <x:c r="M5170" s="19" t="str">
        <x:v>In Field Warranty Claims</x:v>
      </x:c>
      <x:c r="N5170" s="37" t="n">
        <x:v>45978</x:v>
      </x:c>
      <x:c r="O5170" s="37"/>
      <x:c r="P5170" s="34" t="n">
        <x:v>0</x:v>
      </x:c>
      <x:c r="Q5170" s="37" t="n">
        <x:v>46091.008425925924</x:v>
      </x:c>
    </x:row>
    <x:row r="5171">
      <x:c r="A5171" s="22" t="n">
        <x:v>28028</x:v>
      </x:c>
      <x:c r="B5171" s="28" t="n">
        <x:v>135</x:v>
      </x:c>
      <x:c r="C5171" s="28" t="n">
        <x:v>148.5</x:v>
      </x:c>
      <x:c r="D5171" s="31" t="n">
        <x:f>IF(OR(ISBLANK(B5171),ISBLANK(C5171),B5171=0),"",(C5171-B5171)/B5171)</x:f>
        <x:v>0.1</x:v>
      </x:c>
      <x:c r="E5171" s="22" t="str">
        <x:f>IF(ISBLANK(C5171),"AmountIncludingTax缺失",IF(ABS(B5171-C5171)&lt;0.005,"一致","不一致"))</x:f>
        <x:v>不一致</x:v>
      </x:c>
      <x:c r="F5171" s="19" t="str">
        <x:v>approved</x:v>
      </x:c>
      <x:c r="G5171" s="19" t="str">
        <x:v>Repair in Progress</x:v>
      </x:c>
      <x:c r="H5171" s="19" t="str">
        <x:v>In Field</x:v>
      </x:c>
      <x:c r="I5171" s="37" t="n">
        <x:v>46140</x:v>
      </x:c>
      <x:c r="J5171" s="37" t="n">
        <x:v>46140</x:v>
      </x:c>
      <x:c r="K5171" s="19" t="str">
        <x:v>Dario Caravans -St.Marys</x:v>
      </x:c>
      <x:c r="L5171" s="19" t="str">
        <x:v>Z006</x:v>
      </x:c>
      <x:c r="M5171" s="19" t="str">
        <x:v>In Field Warranty Claims</x:v>
      </x:c>
      <x:c r="N5171" s="37" t="n">
        <x:v>45978</x:v>
      </x:c>
      <x:c r="O5171" s="37" t="n">
        <x:v>46084</x:v>
      </x:c>
      <x:c r="P5171" s="34" t="n">
        <x:v>148.5</x:v>
      </x:c>
      <x:c r="Q5171" s="37" t="n">
        <x:v>46140.21042824074</x:v>
      </x:c>
    </x:row>
    <x:row r="5172">
      <x:c r="A5172" s="22" t="n">
        <x:v>28025</x:v>
      </x:c>
      <x:c r="B5172" s="28" t="n">
        <x:v>545.45</x:v>
      </x:c>
      <x:c r="C5172" s="28"/>
      <x:c r="D5172" s="31" t="str">
        <x:f>IF(OR(ISBLANK(B5172),ISBLANK(C5172),B5172=0),"",(C5172-B5172)/B5172)</x:f>
      </x:c>
      <x:c r="E5172" s="22" t="str">
        <x:f>IF(ISBLANK(C5172),"AmountIncludingTax缺失",IF(ABS(B5172-C5172)&lt;0.005,"一致","不一致"))</x:f>
        <x:v>AmountIncludingTax缺失</x:v>
      </x:c>
      <x:c r="F5172" s="19" t="str">
        <x:v>approved</x:v>
      </x:c>
      <x:c r="G5172" s="19" t="str">
        <x:v>Repairer Invoiced Processed</x:v>
      </x:c>
      <x:c r="H5172" s="19" t="str">
        <x:v>In Field</x:v>
      </x:c>
      <x:c r="I5172" s="37" t="n">
        <x:v>46104</x:v>
      </x:c>
      <x:c r="J5172" s="37" t="n">
        <x:v>46056</x:v>
      </x:c>
      <x:c r="K5172" s="19" t="str">
        <x:v>Springvale Caravan Centre - Keysborough</x:v>
      </x:c>
      <x:c r="L5172" s="19" t="str">
        <x:v>Z006</x:v>
      </x:c>
      <x:c r="M5172" s="19" t="str">
        <x:v>In Field Warranty Claims</x:v>
      </x:c>
      <x:c r="N5172" s="37" t="n">
        <x:v>45978</x:v>
      </x:c>
      <x:c r="O5172" s="37"/>
      <x:c r="P5172" s="34" t="n">
        <x:v>0</x:v>
      </x:c>
      <x:c r="Q5172" s="37" t="n">
        <x:v>46104.18556712963</x:v>
      </x:c>
    </x:row>
    <x:row r="5173">
      <x:c r="A5173" s="22" t="n">
        <x:v>28023</x:v>
      </x:c>
      <x:c r="B5173" s="28" t="n">
        <x:v>175.09</x:v>
      </x:c>
      <x:c r="C5173" s="28" t="n">
        <x:v>192.6</x:v>
      </x:c>
      <x:c r="D5173" s="31" t="n">
        <x:f>IF(OR(ISBLANK(B5173),ISBLANK(C5173),B5173=0),"",(C5173-B5173)/B5173)</x:f>
        <x:v>0.10000571134844931</x:v>
      </x:c>
      <x:c r="E5173" s="22" t="str">
        <x:f>IF(ISBLANK(C5173),"AmountIncludingTax缺失",IF(ABS(B5173-C5173)&lt;0.005,"一致","不一致"))</x:f>
        <x:v>不一致</x:v>
      </x:c>
      <x:c r="F5173" s="19" t="str">
        <x:v>approved</x:v>
      </x:c>
      <x:c r="G5173" s="19" t="str">
        <x:v>Repairer Invoiced Processed</x:v>
      </x:c>
      <x:c r="H5173" s="19" t="str">
        <x:v>In Field</x:v>
      </x:c>
      <x:c r="I5173" s="37" t="n">
        <x:v>46037</x:v>
      </x:c>
      <x:c r="J5173" s="37" t="n">
        <x:v>46037</x:v>
      </x:c>
      <x:c r="K5173" s="19" t="str">
        <x:v>Green RV - Forest Glen</x:v>
      </x:c>
      <x:c r="L5173" s="19" t="str">
        <x:v>Z006</x:v>
      </x:c>
      <x:c r="M5173" s="19" t="str">
        <x:v>In Field Warranty Claims</x:v>
      </x:c>
      <x:c r="N5173" s="37" t="n">
        <x:v>45978</x:v>
      </x:c>
      <x:c r="O5173" s="37"/>
      <x:c r="P5173" s="34" t="n">
        <x:v>192.6</x:v>
      </x:c>
      <x:c r="Q5173" s="37" t="n">
        <x:v>46036.951261574075</x:v>
      </x:c>
    </x:row>
    <x:row r="5174">
      <x:c r="A5174" s="22" t="n">
        <x:v>28022</x:v>
      </x:c>
      <x:c r="B5174" s="28" t="n">
        <x:v>722.74</x:v>
      </x:c>
      <x:c r="C5174" s="28" t="n">
        <x:v>795.01</x:v>
      </x:c>
      <x:c r="D5174" s="31" t="n">
        <x:f>IF(OR(ISBLANK(B5174),ISBLANK(C5174),B5174=0),"",(C5174-B5174)/B5174)</x:f>
        <x:v>0.09999446550626778</x:v>
      </x:c>
      <x:c r="E5174" s="22" t="str">
        <x:f>IF(ISBLANK(C5174),"AmountIncludingTax缺失",IF(ABS(B5174-C5174)&lt;0.005,"一致","不一致"))</x:f>
        <x:v>不一致</x:v>
      </x:c>
      <x:c r="F5174" s="19" t="str">
        <x:v>approved</x:v>
      </x:c>
      <x:c r="G5174" s="19" t="str">
        <x:v>Repairer Invoiced Processed</x:v>
      </x:c>
      <x:c r="H5174" s="19" t="str">
        <x:v>In Field</x:v>
      </x:c>
      <x:c r="I5174" s="37" t="n">
        <x:v>46037</x:v>
      </x:c>
      <x:c r="J5174" s="37" t="n">
        <x:v>46037</x:v>
      </x:c>
      <x:c r="K5174" s="19" t="str">
        <x:v>Green RV - Forest Glen</x:v>
      </x:c>
      <x:c r="L5174" s="19" t="str">
        <x:v>Z006</x:v>
      </x:c>
      <x:c r="M5174" s="19" t="str">
        <x:v>In Field Warranty Claims</x:v>
      </x:c>
      <x:c r="N5174" s="37" t="n">
        <x:v>45978</x:v>
      </x:c>
      <x:c r="O5174" s="37"/>
      <x:c r="P5174" s="34" t="n">
        <x:v>795.01</x:v>
      </x:c>
      <x:c r="Q5174" s="37" t="n">
        <x:v>46036.950011574074</x:v>
      </x:c>
    </x:row>
    <x:row r="5175">
      <x:c r="A5175" s="22" t="n">
        <x:v>28021</x:v>
      </x:c>
      <x:c r="B5175" s="28" t="n">
        <x:v>195.45</x:v>
      </x:c>
      <x:c r="C5175" s="28" t="n">
        <x:v>215</x:v>
      </x:c>
      <x:c r="D5175" s="31" t="n">
        <x:f>IF(OR(ISBLANK(B5175),ISBLANK(C5175),B5175=0),"",(C5175-B5175)/B5175)</x:f>
        <x:v>0.1000255819902789</x:v>
      </x:c>
      <x:c r="E5175" s="22" t="str">
        <x:f>IF(ISBLANK(C5175),"AmountIncludingTax缺失",IF(ABS(B5175-C5175)&lt;0.005,"一致","不一致"))</x:f>
        <x:v>不一致</x:v>
      </x:c>
      <x:c r="F5175" s="19" t="str">
        <x:v>approved</x:v>
      </x:c>
      <x:c r="G5175" s="19" t="str">
        <x:v>Repairer Invoiced Processed</x:v>
      </x:c>
      <x:c r="H5175" s="19" t="str">
        <x:v>In Field</x:v>
      </x:c>
      <x:c r="I5175" s="37" t="n">
        <x:v>46120</x:v>
      </x:c>
      <x:c r="J5175" s="37" t="n">
        <x:v>46120</x:v>
      </x:c>
      <x:c r="K5175" s="19" t="str">
        <x:v>Regent RV - Perth</x:v>
      </x:c>
      <x:c r="L5175" s="19" t="str">
        <x:v>Z006</x:v>
      </x:c>
      <x:c r="M5175" s="19" t="str">
        <x:v>In Field Warranty Claims</x:v>
      </x:c>
      <x:c r="N5175" s="37" t="n">
        <x:v>45978</x:v>
      </x:c>
      <x:c r="O5175" s="37"/>
      <x:c r="P5175" s="34" t="n">
        <x:v>215</x:v>
      </x:c>
      <x:c r="Q5175" s="37" t="n">
        <x:v>46120.26261574074</x:v>
      </x:c>
    </x:row>
    <x:row r="5176">
      <x:c r="A5176" s="22" t="n">
        <x:v>28008</x:v>
      </x:c>
      <x:c r="B5176" s="28" t="n">
        <x:v>438.75</x:v>
      </x:c>
      <x:c r="C5176" s="28"/>
      <x:c r="D5176" s="31" t="str">
        <x:f>IF(OR(ISBLANK(B5176),ISBLANK(C5176),B5176=0),"",(C5176-B5176)/B5176)</x:f>
      </x:c>
      <x:c r="E5176" s="22" t="str">
        <x:f>IF(ISBLANK(C5176),"AmountIncludingTax缺失",IF(ABS(B5176-C5176)&lt;0.005,"一致","不一致"))</x:f>
        <x:v>AmountIncludingTax缺失</x:v>
      </x:c>
      <x:c r="F5176" s="19" t="str">
        <x:v>approved</x:v>
      </x:c>
      <x:c r="G5176" s="19" t="str">
        <x:v>Repairer Invoiced Processed</x:v>
      </x:c>
      <x:c r="H5176" s="19" t="str">
        <x:v>In Field</x:v>
      </x:c>
      <x:c r="I5176" s="37" t="n">
        <x:v>46063</x:v>
      </x:c>
      <x:c r="J5176" s="37" t="n">
        <x:v>46063</x:v>
      </x:c>
      <x:c r="K5176" s="19" t="str">
        <x:v>Green RV - Forest Glen</x:v>
      </x:c>
      <x:c r="L5176" s="19" t="str">
        <x:v>Z006</x:v>
      </x:c>
      <x:c r="M5176" s="19" t="str">
        <x:v>In Field Warranty Claims</x:v>
      </x:c>
      <x:c r="N5176" s="37" t="n">
        <x:v>45978</x:v>
      </x:c>
      <x:c r="O5176" s="37"/>
      <x:c r="P5176" s="34" t="n">
        <x:v>0</x:v>
      </x:c>
      <x:c r="Q5176" s="37" t="n">
        <x:v>46063.14833333333</x:v>
      </x:c>
    </x:row>
    <x:row r="5177">
      <x:c r="A5177" s="22" t="n">
        <x:v>28002</x:v>
      </x:c>
      <x:c r="B5177" s="28" t="n">
        <x:v>2340.94</x:v>
      </x:c>
      <x:c r="C5177" s="28"/>
      <x:c r="D5177" s="31" t="str">
        <x:f>IF(OR(ISBLANK(B5177),ISBLANK(C5177),B5177=0),"",(C5177-B5177)/B5177)</x:f>
      </x:c>
      <x:c r="E5177" s="22" t="str">
        <x:f>IF(ISBLANK(C5177),"AmountIncludingTax缺失",IF(ABS(B5177-C5177)&lt;0.005,"一致","不一致"))</x:f>
        <x:v>AmountIncludingTax缺失</x:v>
      </x:c>
      <x:c r="F5177" s="19" t="str">
        <x:v>approved</x:v>
      </x:c>
      <x:c r="G5177" s="19" t="str">
        <x:v>Repair in Progress</x:v>
      </x:c>
      <x:c r="H5177" s="19" t="str">
        <x:v>In Field</x:v>
      </x:c>
      <x:c r="I5177" s="37" t="n">
        <x:v>46051</x:v>
      </x:c>
      <x:c r="J5177" s="37" t="n">
        <x:v>46051</x:v>
      </x:c>
      <x:c r="K5177" s="19" t="str">
        <x:v>Regent RV - Perth</x:v>
      </x:c>
      <x:c r="L5177" s="19" t="str">
        <x:v>Z006</x:v>
      </x:c>
      <x:c r="M5177" s="19" t="str">
        <x:v>In Field Warranty Claims</x:v>
      </x:c>
      <x:c r="N5177" s="37" t="n">
        <x:v>45977</x:v>
      </x:c>
      <x:c r="O5177" s="37"/>
      <x:c r="P5177" s="34" t="n">
        <x:v>0</x:v>
      </x:c>
      <x:c r="Q5177" s="37" t="n">
        <x:v>46051.24829861111</x:v>
      </x:c>
    </x:row>
    <x:row r="5178">
      <x:c r="A5178" s="22" t="n">
        <x:v>28000</x:v>
      </x:c>
      <x:c r="B5178" s="28" t="n">
        <x:v>607.5</x:v>
      </x:c>
      <x:c r="C5178" s="28"/>
      <x:c r="D5178" s="31" t="str">
        <x:f>IF(OR(ISBLANK(B5178),ISBLANK(C5178),B5178=0),"",(C5178-B5178)/B5178)</x:f>
      </x:c>
      <x:c r="E5178" s="22" t="str">
        <x:f>IF(ISBLANK(C5178),"AmountIncludingTax缺失",IF(ABS(B5178-C5178)&lt;0.005,"一致","不一致"))</x:f>
        <x:v>AmountIncludingTax缺失</x:v>
      </x:c>
      <x:c r="F5178" s="19" t="str">
        <x:v>approved</x:v>
      </x:c>
      <x:c r="G5178" s="19" t="str">
        <x:v>Repairer Invoiced Processed</x:v>
      </x:c>
      <x:c r="H5178" s="19" t="str">
        <x:v>In Field</x:v>
      </x:c>
      <x:c r="I5178" s="37" t="n">
        <x:v>46100</x:v>
      </x:c>
      <x:c r="J5178" s="37" t="n">
        <x:v>46100</x:v>
      </x:c>
      <x:c r="K5178" s="19" t="str">
        <x:v>Green RV - Forest Glen</x:v>
      </x:c>
      <x:c r="L5178" s="19" t="str">
        <x:v>Z006</x:v>
      </x:c>
      <x:c r="M5178" s="19" t="str">
        <x:v>In Field Warranty Claims</x:v>
      </x:c>
      <x:c r="N5178" s="37" t="n">
        <x:v>45978</x:v>
      </x:c>
      <x:c r="O5178" s="37"/>
      <x:c r="P5178" s="34" t="n">
        <x:v>0</x:v>
      </x:c>
      <x:c r="Q5178" s="37" t="n">
        <x:v>46100.451377314814</x:v>
      </x:c>
    </x:row>
    <x:row r="5179">
      <x:c r="A5179" s="22" t="n">
        <x:v>27997</x:v>
      </x:c>
      <x:c r="B5179" s="28" t="n">
        <x:v>1183.86</x:v>
      </x:c>
      <x:c r="C5179" s="28"/>
      <x:c r="D5179" s="31" t="str">
        <x:f>IF(OR(ISBLANK(B5179),ISBLANK(C5179),B5179=0),"",(C5179-B5179)/B5179)</x:f>
      </x:c>
      <x:c r="E5179" s="22" t="str">
        <x:f>IF(ISBLANK(C5179),"AmountIncludingTax缺失",IF(ABS(B5179-C5179)&lt;0.005,"一致","不一致"))</x:f>
        <x:v>AmountIncludingTax缺失</x:v>
      </x:c>
      <x:c r="F5179" s="19" t="str">
        <x:v>approved</x:v>
      </x:c>
      <x:c r="G5179" s="19" t="str">
        <x:v>Repairer Invoiced Processed</x:v>
      </x:c>
      <x:c r="H5179" s="19" t="str">
        <x:v>In Field</x:v>
      </x:c>
      <x:c r="I5179" s="37" t="n">
        <x:v>46139</x:v>
      </x:c>
      <x:c r="J5179" s="37" t="n">
        <x:v>46057</x:v>
      </x:c>
      <x:c r="K5179" s="19" t="str">
        <x:v>The Caravan Hub - Townsville</x:v>
      </x:c>
      <x:c r="L5179" s="19" t="str">
        <x:v>Z006</x:v>
      </x:c>
      <x:c r="M5179" s="19" t="str">
        <x:v>In Field Warranty Claims</x:v>
      </x:c>
      <x:c r="N5179" s="37" t="n">
        <x:v>45978</x:v>
      </x:c>
      <x:c r="O5179" s="37"/>
      <x:c r="P5179" s="34" t="n">
        <x:v>0</x:v>
      </x:c>
      <x:c r="Q5179" s="37" t="n">
        <x:v>46139.49356481482</x:v>
      </x:c>
    </x:row>
    <x:row r="5180">
      <x:c r="A5180" s="22" t="n">
        <x:v>27996</x:v>
      </x:c>
      <x:c r="B5180" s="28" t="n">
        <x:v>854.55</x:v>
      </x:c>
      <x:c r="C5180" s="28" t="n">
        <x:v>940.01</x:v>
      </x:c>
      <x:c r="D5180" s="31" t="n">
        <x:f>IF(OR(ISBLANK(B5180),ISBLANK(C5180),B5180=0),"",(C5180-B5180)/B5180)</x:f>
        <x:v>0.10000585103270732</x:v>
      </x:c>
      <x:c r="E5180" s="22" t="str">
        <x:f>IF(ISBLANK(C5180),"AmountIncludingTax缺失",IF(ABS(B5180-C5180)&lt;0.005,"一致","不一致"))</x:f>
        <x:v>不一致</x:v>
      </x:c>
      <x:c r="F5180" s="19" t="str">
        <x:v>approved</x:v>
      </x:c>
      <x:c r="G5180" s="19" t="str">
        <x:v>Repairer Invoiced Processed</x:v>
      </x:c>
      <x:c r="H5180" s="19" t="str">
        <x:v>In Field</x:v>
      </x:c>
      <x:c r="I5180" s="37" t="n">
        <x:v>46024</x:v>
      </x:c>
      <x:c r="J5180" s="37" t="n">
        <x:v>46024</x:v>
      </x:c>
      <x:c r="K5180" s="19" t="str">
        <x:v>Leisure Lion Pty Ltd - Toowoomba</x:v>
      </x:c>
      <x:c r="L5180" s="19" t="str">
        <x:v>Z006</x:v>
      </x:c>
      <x:c r="M5180" s="19" t="str">
        <x:v>In Field Warranty Claims</x:v>
      </x:c>
      <x:c r="N5180" s="37" t="n">
        <x:v>45977</x:v>
      </x:c>
      <x:c r="O5180" s="37"/>
      <x:c r="P5180" s="34" t="n">
        <x:v>940.01</x:v>
      </x:c>
      <x:c r="Q5180" s="37" t="n">
        <x:v>46024.234930555554</x:v>
      </x:c>
    </x:row>
    <x:row r="5181">
      <x:c r="A5181" s="22" t="n">
        <x:v>27992</x:v>
      </x:c>
      <x:c r="B5181" s="28" t="n">
        <x:v>1306.86</x:v>
      </x:c>
      <x:c r="C5181" s="28"/>
      <x:c r="D5181" s="31" t="str">
        <x:f>IF(OR(ISBLANK(B5181),ISBLANK(C5181),B5181=0),"",(C5181-B5181)/B5181)</x:f>
      </x:c>
      <x:c r="E5181" s="22" t="str">
        <x:f>IF(ISBLANK(C5181),"AmountIncludingTax缺失",IF(ABS(B5181-C5181)&lt;0.005,"一致","不一致"))</x:f>
        <x:v>AmountIncludingTax缺失</x:v>
      </x:c>
      <x:c r="F5181" s="19" t="str">
        <x:v>approved</x:v>
      </x:c>
      <x:c r="G5181" s="19" t="str">
        <x:v>Partially Picked</x:v>
      </x:c>
      <x:c r="H5181" s="19" t="str">
        <x:v>In Field</x:v>
      </x:c>
      <x:c r="I5181" s="37" t="n">
        <x:v>46101</x:v>
      </x:c>
      <x:c r="J5181" s="37" t="n">
        <x:v>46101</x:v>
      </x:c>
      <x:c r="K5181" s="19" t="str">
        <x:v>The Caravan Hub - Townsville</x:v>
      </x:c>
      <x:c r="L5181" s="19" t="str">
        <x:v>Z006</x:v>
      </x:c>
      <x:c r="M5181" s="19" t="str">
        <x:v>In Field Warranty Claims</x:v>
      </x:c>
      <x:c r="N5181" s="37" t="n">
        <x:v>45977</x:v>
      </x:c>
      <x:c r="O5181" s="37"/>
      <x:c r="P5181" s="34" t="n">
        <x:v>0</x:v>
      </x:c>
      <x:c r="Q5181" s="37" t="n">
        <x:v>46101.16506944445</x:v>
      </x:c>
    </x:row>
    <x:row r="5182">
      <x:c r="A5182" s="22" t="n">
        <x:v>27991</x:v>
      </x:c>
      <x:c r="B5182" s="28" t="n">
        <x:v>550</x:v>
      </x:c>
      <x:c r="C5182" s="28"/>
      <x:c r="D5182" s="31" t="str">
        <x:f>IF(OR(ISBLANK(B5182),ISBLANK(C5182),B5182=0),"",(C5182-B5182)/B5182)</x:f>
      </x:c>
      <x:c r="E5182" s="22" t="str">
        <x:f>IF(ISBLANK(C5182),"AmountIncludingTax缺失",IF(ABS(B5182-C5182)&lt;0.005,"一致","不一致"))</x:f>
        <x:v>AmountIncludingTax缺失</x:v>
      </x:c>
      <x:c r="F5182" s="19" t="str">
        <x:v>approved</x:v>
      </x:c>
      <x:c r="G5182" s="19" t="str">
        <x:v>Repair in Progress</x:v>
      </x:c>
      <x:c r="H5182" s="19" t="str">
        <x:v>In Field</x:v>
      </x:c>
      <x:c r="I5182" s="37" t="n">
        <x:v>46057</x:v>
      </x:c>
      <x:c r="J5182" s="37" t="n">
        <x:v>46057</x:v>
      </x:c>
      <x:c r="K5182" s="19" t="str">
        <x:v>Regent RV - Perth</x:v>
      </x:c>
      <x:c r="L5182" s="19" t="str">
        <x:v>Z006</x:v>
      </x:c>
      <x:c r="M5182" s="19" t="str">
        <x:v>In Field Warranty Claims</x:v>
      </x:c>
      <x:c r="N5182" s="37" t="n">
        <x:v>45977</x:v>
      </x:c>
      <x:c r="O5182" s="37"/>
      <x:c r="P5182" s="34" t="n">
        <x:v>0</x:v>
      </x:c>
      <x:c r="Q5182" s="37" t="n">
        <x:v>46057.073379629626</x:v>
      </x:c>
    </x:row>
    <x:row r="5183">
      <x:c r="A5183" s="22" t="n">
        <x:v>27976</x:v>
      </x:c>
      <x:c r="B5183" s="28" t="n">
        <x:v>67.5</x:v>
      </x:c>
      <x:c r="C5183" s="28" t="n">
        <x:v>74.25</x:v>
      </x:c>
      <x:c r="D5183" s="31" t="n">
        <x:f>IF(OR(ISBLANK(B5183),ISBLANK(C5183),B5183=0),"",(C5183-B5183)/B5183)</x:f>
        <x:v>0.1</x:v>
      </x:c>
      <x:c r="E5183" s="22" t="str">
        <x:f>IF(ISBLANK(C5183),"AmountIncludingTax缺失",IF(ABS(B5183-C5183)&lt;0.005,"一致","不一致"))</x:f>
        <x:v>不一致</x:v>
      </x:c>
      <x:c r="F5183" s="19" t="str">
        <x:v>approved</x:v>
      </x:c>
      <x:c r="G5183" s="19" t="str">
        <x:v>Repair in Progress</x:v>
      </x:c>
      <x:c r="H5183" s="19" t="str">
        <x:v>In Field</x:v>
      </x:c>
      <x:c r="I5183" s="37" t="n">
        <x:v>46100</x:v>
      </x:c>
      <x:c r="J5183" s="37" t="n">
        <x:v>46100</x:v>
      </x:c>
      <x:c r="K5183" s="19" t="str">
        <x:v>ABCO Caravans - Boambee Valley</x:v>
      </x:c>
      <x:c r="L5183" s="19" t="str">
        <x:v>Z006</x:v>
      </x:c>
      <x:c r="M5183" s="19" t="str">
        <x:v>In Field Warranty Claims</x:v>
      </x:c>
      <x:c r="N5183" s="37" t="n">
        <x:v>45976</x:v>
      </x:c>
      <x:c r="O5183" s="37"/>
      <x:c r="P5183" s="34" t="n">
        <x:v>74.25</x:v>
      </x:c>
      <x:c r="Q5183" s="37" t="n">
        <x:v>46100.13851851852</x:v>
      </x:c>
    </x:row>
    <x:row r="5184">
      <x:c r="A5184" s="22" t="n">
        <x:v>27974</x:v>
      </x:c>
      <x:c r="B5184" s="28" t="n">
        <x:v>165</x:v>
      </x:c>
      <x:c r="C5184" s="28"/>
      <x:c r="D5184" s="31" t="str">
        <x:f>IF(OR(ISBLANK(B5184),ISBLANK(C5184),B5184=0),"",(C5184-B5184)/B5184)</x:f>
      </x:c>
      <x:c r="E5184" s="22" t="str">
        <x:f>IF(ISBLANK(C5184),"AmountIncludingTax缺失",IF(ABS(B5184-C5184)&lt;0.005,"一致","不一致"))</x:f>
        <x:v>AmountIncludingTax缺失</x:v>
      </x:c>
      <x:c r="F5184" s="19" t="str">
        <x:v>approved</x:v>
      </x:c>
      <x:c r="G5184" s="19" t="str">
        <x:v>Repair in Progress</x:v>
      </x:c>
      <x:c r="H5184" s="19" t="str">
        <x:v>In Field</x:v>
      </x:c>
      <x:c r="I5184" s="37" t="n">
        <x:v>46114</x:v>
      </x:c>
      <x:c r="J5184" s="37" t="n">
        <x:v>46114</x:v>
      </x:c>
      <x:c r="K5184" s="19" t="str">
        <x:v>Regent RV - Perth</x:v>
      </x:c>
      <x:c r="L5184" s="19" t="str">
        <x:v>Z006</x:v>
      </x:c>
      <x:c r="M5184" s="19" t="str">
        <x:v>In Field Warranty Claims</x:v>
      </x:c>
      <x:c r="N5184" s="37" t="n">
        <x:v>45975</x:v>
      </x:c>
      <x:c r="O5184" s="37"/>
      <x:c r="P5184" s="34" t="n">
        <x:v>0</x:v>
      </x:c>
      <x:c r="Q5184" s="37" t="n">
        <x:v>46113.91068287037</x:v>
      </x:c>
    </x:row>
    <x:row r="5185">
      <x:c r="A5185" s="22" t="n">
        <x:v>27973</x:v>
      </x:c>
      <x:c r="B5185" s="28" t="n">
        <x:v>1147.5</x:v>
      </x:c>
      <x:c r="C5185" s="28"/>
      <x:c r="D5185" s="31" t="str">
        <x:f>IF(OR(ISBLANK(B5185),ISBLANK(C5185),B5185=0),"",(C5185-B5185)/B5185)</x:f>
      </x:c>
      <x:c r="E5185" s="22" t="str">
        <x:f>IF(ISBLANK(C5185),"AmountIncludingTax缺失",IF(ABS(B5185-C5185)&lt;0.005,"一致","不一致"))</x:f>
        <x:v>AmountIncludingTax缺失</x:v>
      </x:c>
      <x:c r="F5185" s="19" t="str">
        <x:v>approved</x:v>
      </x:c>
      <x:c r="G5185" s="19" t="str">
        <x:v>Repair in Progress</x:v>
      </x:c>
      <x:c r="H5185" s="19" t="str">
        <x:v>In Field</x:v>
      </x:c>
      <x:c r="I5185" s="37" t="n">
        <x:v>46107</x:v>
      </x:c>
      <x:c r="J5185" s="37" t="n">
        <x:v>46107</x:v>
      </x:c>
      <x:c r="K5185" s="19" t="str">
        <x:v>Regent RV - Perth</x:v>
      </x:c>
      <x:c r="L5185" s="19" t="str">
        <x:v>Z006</x:v>
      </x:c>
      <x:c r="M5185" s="19" t="str">
        <x:v>In Field Warranty Claims</x:v>
      </x:c>
      <x:c r="N5185" s="37" t="n">
        <x:v>45975</x:v>
      </x:c>
      <x:c r="O5185" s="37"/>
      <x:c r="P5185" s="34" t="n">
        <x:v>0</x:v>
      </x:c>
      <x:c r="Q5185" s="37" t="n">
        <x:v>46106.980717592596</x:v>
      </x:c>
    </x:row>
    <x:row r="5186">
      <x:c r="A5186" s="22" t="n">
        <x:v>27972</x:v>
      </x:c>
      <x:c r="B5186" s="28" t="n">
        <x:v>80</x:v>
      </x:c>
      <x:c r="C5186" s="28" t="n">
        <x:v>88</x:v>
      </x:c>
      <x:c r="D5186" s="31" t="n">
        <x:f>IF(OR(ISBLANK(B5186),ISBLANK(C5186),B5186=0),"",(C5186-B5186)/B5186)</x:f>
        <x:v>0.1</x:v>
      </x:c>
      <x:c r="E5186" s="22" t="str">
        <x:f>IF(ISBLANK(C5186),"AmountIncludingTax缺失",IF(ABS(B5186-C5186)&lt;0.005,"一致","不一致"))</x:f>
        <x:v>不一致</x:v>
      </x:c>
      <x:c r="F5186" s="19" t="str">
        <x:v>approved</x:v>
      </x:c>
      <x:c r="G5186" s="19" t="str">
        <x:v>Repairer Invoiced Processed</x:v>
      </x:c>
      <x:c r="H5186" s="19" t="str">
        <x:v>Pre Delivery</x:v>
      </x:c>
      <x:c r="I5186" s="37" t="n">
        <x:v>46099</x:v>
      </x:c>
      <x:c r="J5186" s="37" t="n">
        <x:v>46099</x:v>
      </x:c>
      <x:c r="K5186" s="19" t="str">
        <x:v>Caravans WA</x:v>
      </x:c>
      <x:c r="L5186" s="19" t="str">
        <x:v>Z005</x:v>
      </x:c>
      <x:c r="M5186" s="19" t="str">
        <x:v>Pre Delivery Warranty Claims</x:v>
      </x:c>
      <x:c r="N5186" s="37" t="n">
        <x:v>45975</x:v>
      </x:c>
      <x:c r="O5186" s="37"/>
      <x:c r="P5186" s="34" t="n">
        <x:v>88</x:v>
      </x:c>
      <x:c r="Q5186" s="37" t="n">
        <x:v>46098.91153935185</x:v>
      </x:c>
    </x:row>
    <x:row r="5187">
      <x:c r="A5187" s="22" t="n">
        <x:v>27963</x:v>
      </x:c>
      <x:c r="B5187" s="28" t="n">
        <x:v>327.5</x:v>
      </x:c>
      <x:c r="C5187" s="28"/>
      <x:c r="D5187" s="31" t="str">
        <x:f>IF(OR(ISBLANK(B5187),ISBLANK(C5187),B5187=0),"",(C5187-B5187)/B5187)</x:f>
      </x:c>
      <x:c r="E5187" s="22" t="str">
        <x:f>IF(ISBLANK(C5187),"AmountIncludingTax缺失",IF(ABS(B5187-C5187)&lt;0.005,"一致","不一致"))</x:f>
        <x:v>AmountIncludingTax缺失</x:v>
      </x:c>
      <x:c r="F5187" s="19" t="str">
        <x:v>approved</x:v>
      </x:c>
      <x:c r="G5187" s="19" t="str">
        <x:v>Repairer Invoiced Processed</x:v>
      </x:c>
      <x:c r="H5187" s="19" t="str">
        <x:v>In Field</x:v>
      </x:c>
      <x:c r="I5187" s="37" t="n">
        <x:v>46154</x:v>
      </x:c>
      <x:c r="J5187" s="37" t="n">
        <x:v>46154</x:v>
      </x:c>
      <x:c r="K5187" s="19" t="str">
        <x:v>Regent RV - Perth</x:v>
      </x:c>
      <x:c r="L5187" s="19" t="str">
        <x:v>Z006</x:v>
      </x:c>
      <x:c r="M5187" s="19" t="str">
        <x:v>In Field Warranty Claims</x:v>
      </x:c>
      <x:c r="N5187" s="37" t="n">
        <x:v>45976</x:v>
      </x:c>
      <x:c r="O5187" s="37"/>
      <x:c r="P5187" s="34" t="n">
        <x:v>0</x:v>
      </x:c>
      <x:c r="Q5187" s="37" t="n">
        <x:v>46154.030752314815</x:v>
      </x:c>
    </x:row>
    <x:row r="5188">
      <x:c r="A5188" s="22" t="n">
        <x:v>27961</x:v>
      </x:c>
      <x:c r="B5188" s="28" t="n">
        <x:v>151.36</x:v>
      </x:c>
      <x:c r="C5188" s="28"/>
      <x:c r="D5188" s="31" t="str">
        <x:f>IF(OR(ISBLANK(B5188),ISBLANK(C5188),B5188=0),"",(C5188-B5188)/B5188)</x:f>
      </x:c>
      <x:c r="E5188" s="22" t="str">
        <x:f>IF(ISBLANK(C5188),"AmountIncludingTax缺失",IF(ABS(B5188-C5188)&lt;0.005,"一致","不一致"))</x:f>
        <x:v>AmountIncludingTax缺失</x:v>
      </x:c>
      <x:c r="F5188" s="19" t="str">
        <x:v>approved</x:v>
      </x:c>
      <x:c r="G5188" s="19" t="str">
        <x:v>Repair in Progress</x:v>
      </x:c>
      <x:c r="H5188" s="19" t="str">
        <x:v>In Field</x:v>
      </x:c>
      <x:c r="I5188" s="37" t="n">
        <x:v>46050</x:v>
      </x:c>
      <x:c r="J5188" s="37" t="n">
        <x:v>46050</x:v>
      </x:c>
      <x:c r="K5188" s="19" t="str">
        <x:v>Dario Caravans - Pooraka</x:v>
      </x:c>
      <x:c r="L5188" s="19" t="str">
        <x:v>Z006</x:v>
      </x:c>
      <x:c r="M5188" s="19" t="str">
        <x:v>In Field Warranty Claims</x:v>
      </x:c>
      <x:c r="N5188" s="37" t="n">
        <x:v>45975</x:v>
      </x:c>
      <x:c r="O5188" s="37"/>
      <x:c r="P5188" s="34" t="n">
        <x:v>0</x:v>
      </x:c>
      <x:c r="Q5188" s="37" t="n">
        <x:v>46050.27512731482</x:v>
      </x:c>
    </x:row>
    <x:row r="5189">
      <x:c r="A5189" s="22" t="n">
        <x:v>27960</x:v>
      </x:c>
      <x:c r="B5189" s="28" t="n">
        <x:v>440</x:v>
      </x:c>
      <x:c r="C5189" s="28"/>
      <x:c r="D5189" s="31" t="str">
        <x:f>IF(OR(ISBLANK(B5189),ISBLANK(C5189),B5189=0),"",(C5189-B5189)/B5189)</x:f>
      </x:c>
      <x:c r="E5189" s="22" t="str">
        <x:f>IF(ISBLANK(C5189),"AmountIncludingTax缺失",IF(ABS(B5189-C5189)&lt;0.005,"一致","不一致"))</x:f>
        <x:v>AmountIncludingTax缺失</x:v>
      </x:c>
      <x:c r="F5189" s="19" t="str">
        <x:v>approved</x:v>
      </x:c>
      <x:c r="G5189" s="19" t="str">
        <x:v>Repair in Progress</x:v>
      </x:c>
      <x:c r="H5189" s="19" t="str">
        <x:v>In Field</x:v>
      </x:c>
      <x:c r="I5189" s="37" t="n">
        <x:v>46057</x:v>
      </x:c>
      <x:c r="J5189" s="37" t="n">
        <x:v>46057</x:v>
      </x:c>
      <x:c r="K5189" s="19" t="str">
        <x:v>Regent RV - Perth</x:v>
      </x:c>
      <x:c r="L5189" s="19" t="str">
        <x:v>Z006</x:v>
      </x:c>
      <x:c r="M5189" s="19" t="str">
        <x:v>In Field Warranty Claims</x:v>
      </x:c>
      <x:c r="N5189" s="37" t="n">
        <x:v>45975</x:v>
      </x:c>
      <x:c r="O5189" s="37"/>
      <x:c r="P5189" s="34" t="n">
        <x:v>0</x:v>
      </x:c>
      <x:c r="Q5189" s="37" t="n">
        <x:v>46057.108449074076</x:v>
      </x:c>
    </x:row>
    <x:row r="5190">
      <x:c r="A5190" s="22" t="n">
        <x:v>27959</x:v>
      </x:c>
      <x:c r="B5190" s="28" t="n">
        <x:v>38.75</x:v>
      </x:c>
      <x:c r="C5190" s="28"/>
      <x:c r="D5190" s="31" t="str">
        <x:f>IF(OR(ISBLANK(B5190),ISBLANK(C5190),B5190=0),"",(C5190-B5190)/B5190)</x:f>
      </x:c>
      <x:c r="E5190" s="22" t="str">
        <x:f>IF(ISBLANK(C5190),"AmountIncludingTax缺失",IF(ABS(B5190-C5190)&lt;0.005,"一致","不一致"))</x:f>
        <x:v>AmountIncludingTax缺失</x:v>
      </x:c>
      <x:c r="F5190" s="19" t="str">
        <x:v>approved</x:v>
      </x:c>
      <x:c r="G5190" s="19" t="str">
        <x:v>Repairer Invoiced Processed</x:v>
      </x:c>
      <x:c r="H5190" s="19" t="str">
        <x:v>Pre Delivery</x:v>
      </x:c>
      <x:c r="I5190" s="37" t="n">
        <x:v>46099</x:v>
      </x:c>
      <x:c r="J5190" s="37" t="n">
        <x:v>46099</x:v>
      </x:c>
      <x:c r="K5190" s="19" t="str">
        <x:v>Green RV - Forest Glen</x:v>
      </x:c>
      <x:c r="L5190" s="19" t="str">
        <x:v>Z005</x:v>
      </x:c>
      <x:c r="M5190" s="19" t="str">
        <x:v>Pre Delivery Warranty Claims</x:v>
      </x:c>
      <x:c r="N5190" s="37" t="n">
        <x:v>45975</x:v>
      </x:c>
      <x:c r="O5190" s="37"/>
      <x:c r="P5190" s="34" t="n">
        <x:v>0</x:v>
      </x:c>
      <x:c r="Q5190" s="37" t="n">
        <x:v>46098.90572916667</x:v>
      </x:c>
    </x:row>
    <x:row r="5191">
      <x:c r="A5191" s="22" t="n">
        <x:v>27958</x:v>
      </x:c>
      <x:c r="B5191" s="28" t="n">
        <x:v>411.36</x:v>
      </x:c>
      <x:c r="C5191" s="28"/>
      <x:c r="D5191" s="31" t="str">
        <x:f>IF(OR(ISBLANK(B5191),ISBLANK(C5191),B5191=0),"",(C5191-B5191)/B5191)</x:f>
      </x:c>
      <x:c r="E5191" s="22" t="str">
        <x:f>IF(ISBLANK(C5191),"AmountIncludingTax缺失",IF(ABS(B5191-C5191)&lt;0.005,"一致","不一致"))</x:f>
        <x:v>AmountIncludingTax缺失</x:v>
      </x:c>
      <x:c r="F5191" s="19" t="str">
        <x:v>approved</x:v>
      </x:c>
      <x:c r="G5191" s="19" t="str">
        <x:v>Repair in Progress</x:v>
      </x:c>
      <x:c r="H5191" s="19" t="str">
        <x:v>In Field</x:v>
      </x:c>
      <x:c r="I5191" s="37" t="n">
        <x:v>46024</x:v>
      </x:c>
      <x:c r="J5191" s="37" t="n">
        <x:v>46024</x:v>
      </x:c>
      <x:c r="K5191" s="19" t="str">
        <x:v>Dario Caravans -St.Marys</x:v>
      </x:c>
      <x:c r="L5191" s="19" t="str">
        <x:v>Z006</x:v>
      </x:c>
      <x:c r="M5191" s="19" t="str">
        <x:v>In Field Warranty Claims</x:v>
      </x:c>
      <x:c r="N5191" s="37" t="n">
        <x:v>45975</x:v>
      </x:c>
      <x:c r="O5191" s="37"/>
      <x:c r="P5191" s="34" t="n">
        <x:v>0</x:v>
      </x:c>
      <x:c r="Q5191" s="37" t="n">
        <x:v>46023.992789351854</x:v>
      </x:c>
    </x:row>
    <x:row r="5192">
      <x:c r="A5192" s="22" t="n">
        <x:v>27956</x:v>
      </x:c>
      <x:c r="B5192" s="28" t="n">
        <x:v>487.5</x:v>
      </x:c>
      <x:c r="C5192" s="28" t="n">
        <x:v>441.38</x:v>
      </x:c>
      <x:c r="D5192" s="31" t="n">
        <x:f>IF(OR(ISBLANK(B5192),ISBLANK(C5192),B5192=0),"",(C5192-B5192)/B5192)</x:f>
        <x:v>-0.09460512820512822</x:v>
      </x:c>
      <x:c r="E5192" s="22" t="str">
        <x:f>IF(ISBLANK(C5192),"AmountIncludingTax缺失",IF(ABS(B5192-C5192)&lt;0.005,"一致","不一致"))</x:f>
        <x:v>不一致</x:v>
      </x:c>
      <x:c r="F5192" s="19" t="str">
        <x:v>approved</x:v>
      </x:c>
      <x:c r="G5192" s="19" t="str">
        <x:v>Repairer Invoiced Received</x:v>
      </x:c>
      <x:c r="H5192" s="19" t="str">
        <x:v>Pre Delivery</x:v>
      </x:c>
      <x:c r="I5192" s="37" t="n">
        <x:v>46097</x:v>
      </x:c>
      <x:c r="J5192" s="37" t="n">
        <x:v>46097</x:v>
      </x:c>
      <x:c r="K5192" s="19" t="str">
        <x:v>Vanari Caravans - Marden Point</x:v>
      </x:c>
      <x:c r="L5192" s="19" t="str">
        <x:v>Z005</x:v>
      </x:c>
      <x:c r="M5192" s="19" t="str">
        <x:v>Pre Delivery Warranty Claims</x:v>
      </x:c>
      <x:c r="N5192" s="37" t="n">
        <x:v>45975</x:v>
      </x:c>
      <x:c r="O5192" s="37"/>
      <x:c r="P5192" s="34" t="n">
        <x:v>441.38</x:v>
      </x:c>
      <x:c r="Q5192" s="37" t="n">
        <x:v>46096.909953703704</x:v>
      </x:c>
    </x:row>
    <x:row r="5193">
      <x:c r="A5193" s="22" t="n">
        <x:v>27955</x:v>
      </x:c>
      <x:c r="B5193" s="28" t="n">
        <x:v>204.82</x:v>
      </x:c>
      <x:c r="C5193" s="28" t="n">
        <x:v>214.2</x:v>
      </x:c>
      <x:c r="D5193" s="31" t="n">
        <x:f>IF(OR(ISBLANK(B5193),ISBLANK(C5193),B5193=0),"",(C5193-B5193)/B5193)</x:f>
        <x:v>0.04579630895420367</x:v>
      </x:c>
      <x:c r="E5193" s="22" t="str">
        <x:f>IF(ISBLANK(C5193),"AmountIncludingTax缺失",IF(ABS(B5193-C5193)&lt;0.005,"一致","不一致"))</x:f>
        <x:v>不一致</x:v>
      </x:c>
      <x:c r="F5193" s="19" t="str">
        <x:v>approved</x:v>
      </x:c>
      <x:c r="G5193" s="19" t="str">
        <x:v>Repair in Progress</x:v>
      </x:c>
      <x:c r="H5193" s="19" t="str">
        <x:v>In Field</x:v>
      </x:c>
      <x:c r="I5193" s="37" t="n">
        <x:v>46038</x:v>
      </x:c>
      <x:c r="J5193" s="37" t="n">
        <x:v>46038</x:v>
      </x:c>
      <x:c r="K5193" s="19" t="str">
        <x:v>Green RV - Forest Glen</x:v>
      </x:c>
      <x:c r="L5193" s="19" t="str">
        <x:v>Z006</x:v>
      </x:c>
      <x:c r="M5193" s="19" t="str">
        <x:v>In Field Warranty Claims</x:v>
      </x:c>
      <x:c r="N5193" s="37" t="n">
        <x:v>45975</x:v>
      </x:c>
      <x:c r="O5193" s="37"/>
      <x:c r="P5193" s="34" t="n">
        <x:v>214.2</x:v>
      </x:c>
      <x:c r="Q5193" s="37" t="n">
        <x:v>46037.98158564815</x:v>
      </x:c>
    </x:row>
    <x:row r="5194">
      <x:c r="A5194" s="22" t="n">
        <x:v>27953</x:v>
      </x:c>
      <x:c r="B5194" s="28" t="n">
        <x:v>957.5</x:v>
      </x:c>
      <x:c r="C5194" s="28"/>
      <x:c r="D5194" s="31" t="str">
        <x:f>IF(OR(ISBLANK(B5194),ISBLANK(C5194),B5194=0),"",(C5194-B5194)/B5194)</x:f>
      </x:c>
      <x:c r="E5194" s="22" t="str">
        <x:f>IF(ISBLANK(C5194),"AmountIncludingTax缺失",IF(ABS(B5194-C5194)&lt;0.005,"一致","不一致"))</x:f>
        <x:v>AmountIncludingTax缺失</x:v>
      </x:c>
      <x:c r="F5194" s="19" t="str">
        <x:v>approved</x:v>
      </x:c>
      <x:c r="G5194" s="19" t="str">
        <x:v>Partially Picked</x:v>
      </x:c>
      <x:c r="H5194" s="19" t="str">
        <x:v>Pre Delivery</x:v>
      </x:c>
      <x:c r="I5194" s="37" t="n">
        <x:v>46077</x:v>
      </x:c>
      <x:c r="J5194" s="37" t="n">
        <x:v>46077</x:v>
      </x:c>
      <x:c r="K5194" s="19" t="str">
        <x:v>Green RV - Forest Glen</x:v>
      </x:c>
      <x:c r="L5194" s="19" t="str">
        <x:v>Z005</x:v>
      </x:c>
      <x:c r="M5194" s="19" t="str">
        <x:v>Pre Delivery Warranty Claims</x:v>
      </x:c>
      <x:c r="N5194" s="37" t="n">
        <x:v>45975</x:v>
      </x:c>
      <x:c r="O5194" s="37"/>
      <x:c r="P5194" s="34" t="n">
        <x:v>0</x:v>
      </x:c>
      <x:c r="Q5194" s="37" t="n">
        <x:v>46077.02710648148</x:v>
      </x:c>
    </x:row>
    <x:row r="5195">
      <x:c r="A5195" s="22" t="n">
        <x:v>27952</x:v>
      </x:c>
      <x:c r="B5195" s="28" t="n">
        <x:v>204.82</x:v>
      </x:c>
      <x:c r="C5195" s="28" t="n">
        <x:v>225.3</x:v>
      </x:c>
      <x:c r="D5195" s="31" t="n">
        <x:f>IF(OR(ISBLANK(B5195),ISBLANK(C5195),B5195=0),"",(C5195-B5195)/B5195)</x:f>
        <x:v>0.09999023532858128</x:v>
      </x:c>
      <x:c r="E5195" s="22" t="str">
        <x:f>IF(ISBLANK(C5195),"AmountIncludingTax缺失",IF(ABS(B5195-C5195)&lt;0.005,"一致","不一致"))</x:f>
        <x:v>不一致</x:v>
      </x:c>
      <x:c r="F5195" s="19" t="str">
        <x:v>approved</x:v>
      </x:c>
      <x:c r="G5195" s="19" t="str">
        <x:v>Repairer Invoiced Processed</x:v>
      </x:c>
      <x:c r="H5195" s="19" t="str">
        <x:v>In Field</x:v>
      </x:c>
      <x:c r="I5195" s="37" t="n">
        <x:v>46037</x:v>
      </x:c>
      <x:c r="J5195" s="37" t="n">
        <x:v>46037</x:v>
      </x:c>
      <x:c r="K5195" s="19" t="str">
        <x:v>Green RV - Forest Glen</x:v>
      </x:c>
      <x:c r="L5195" s="19" t="str">
        <x:v>Z006</x:v>
      </x:c>
      <x:c r="M5195" s="19" t="str">
        <x:v>In Field Warranty Claims</x:v>
      </x:c>
      <x:c r="N5195" s="37" t="n">
        <x:v>45975</x:v>
      </x:c>
      <x:c r="O5195" s="37"/>
      <x:c r="P5195" s="34" t="n">
        <x:v>225.3</x:v>
      </x:c>
      <x:c r="Q5195" s="37" t="n">
        <x:v>46036.94813657407</x:v>
      </x:c>
    </x:row>
    <x:row r="5196">
      <x:c r="A5196" s="22" t="n">
        <x:v>27948</x:v>
      </x:c>
      <x:c r="B5196" s="28" t="n">
        <x:v>87.5</x:v>
      </x:c>
      <x:c r="C5196" s="28"/>
      <x:c r="D5196" s="31" t="str">
        <x:f>IF(OR(ISBLANK(B5196),ISBLANK(C5196),B5196=0),"",(C5196-B5196)/B5196)</x:f>
      </x:c>
      <x:c r="E5196" s="22" t="str">
        <x:f>IF(ISBLANK(C5196),"AmountIncludingTax缺失",IF(ABS(B5196-C5196)&lt;0.005,"一致","不一致"))</x:f>
        <x:v>AmountIncludingTax缺失</x:v>
      </x:c>
      <x:c r="F5196" s="19" t="str">
        <x:v>approved</x:v>
      </x:c>
      <x:c r="G5196" s="19" t="str">
        <x:v>Repairer Invoiced Processed</x:v>
      </x:c>
      <x:c r="H5196" s="19" t="str">
        <x:v>Pre Delivery</x:v>
      </x:c>
      <x:c r="I5196" s="37" t="n">
        <x:v>46086</x:v>
      </x:c>
      <x:c r="J5196" s="37" t="n">
        <x:v>46086</x:v>
      </x:c>
      <x:c r="K5196" s="19" t="str">
        <x:v>Green RV - Forest Glen</x:v>
      </x:c>
      <x:c r="L5196" s="19" t="str">
        <x:v>Z005</x:v>
      </x:c>
      <x:c r="M5196" s="19" t="str">
        <x:v>Pre Delivery Warranty Claims</x:v>
      </x:c>
      <x:c r="N5196" s="37" t="n">
        <x:v>45975</x:v>
      </x:c>
      <x:c r="O5196" s="37"/>
      <x:c r="P5196" s="34" t="n">
        <x:v>0</x:v>
      </x:c>
      <x:c r="Q5196" s="37" t="n">
        <x:v>46086.22930555556</x:v>
      </x:c>
    </x:row>
    <x:row r="5197">
      <x:c r="A5197" s="22" t="n">
        <x:v>27946</x:v>
      </x:c>
      <x:c r="B5197" s="28" t="n">
        <x:v>673.88</x:v>
      </x:c>
      <x:c r="C5197" s="28" t="n">
        <x:v>741.27</x:v>
      </x:c>
      <x:c r="D5197" s="31" t="n">
        <x:f>IF(OR(ISBLANK(B5197),ISBLANK(C5197),B5197=0),"",(C5197-B5197)/B5197)</x:f>
        <x:v>0.10000296788745769</x:v>
      </x:c>
      <x:c r="E5197" s="22" t="str">
        <x:f>IF(ISBLANK(C5197),"AmountIncludingTax缺失",IF(ABS(B5197-C5197)&lt;0.005,"一致","不一致"))</x:f>
        <x:v>不一致</x:v>
      </x:c>
      <x:c r="F5197" s="19" t="str">
        <x:v>approved</x:v>
      </x:c>
      <x:c r="G5197" s="19" t="str">
        <x:v>Repairer Invoiced Processed</x:v>
      </x:c>
      <x:c r="H5197" s="19" t="str">
        <x:v>Pre Delivery</x:v>
      </x:c>
      <x:c r="I5197" s="37" t="n">
        <x:v>46101</x:v>
      </x:c>
      <x:c r="J5197" s="37" t="n">
        <x:v>46101</x:v>
      </x:c>
      <x:c r="K5197" s="19" t="str">
        <x:v>Green RV - Forest Glen</x:v>
      </x:c>
      <x:c r="L5197" s="19" t="str">
        <x:v>Z005</x:v>
      </x:c>
      <x:c r="M5197" s="19" t="str">
        <x:v>Pre Delivery Warranty Claims</x:v>
      </x:c>
      <x:c r="N5197" s="37" t="n">
        <x:v>45975</x:v>
      </x:c>
      <x:c r="O5197" s="37"/>
      <x:c r="P5197" s="34" t="n">
        <x:v>741.27</x:v>
      </x:c>
      <x:c r="Q5197" s="37" t="n">
        <x:v>46101.513240740744</x:v>
      </x:c>
    </x:row>
    <x:row r="5198">
      <x:c r="A5198" s="22" t="n">
        <x:v>27943</x:v>
      </x:c>
      <x:c r="B5198" s="28" t="n">
        <x:v>618.47</x:v>
      </x:c>
      <x:c r="C5198" s="28" t="n">
        <x:v>680.32</x:v>
      </x:c>
      <x:c r="D5198" s="31" t="n">
        <x:f>IF(OR(ISBLANK(B5198),ISBLANK(C5198),B5198=0),"",(C5198-B5198)/B5198)</x:f>
        <x:v>0.10000485067990367</x:v>
      </x:c>
      <x:c r="E5198" s="22" t="str">
        <x:f>IF(ISBLANK(C5198),"AmountIncludingTax缺失",IF(ABS(B5198-C5198)&lt;0.005,"一致","不一致"))</x:f>
        <x:v>不一致</x:v>
      </x:c>
      <x:c r="F5198" s="19" t="str">
        <x:v>approved</x:v>
      </x:c>
      <x:c r="G5198" s="19" t="str">
        <x:v>Repairer Invoiced Processed</x:v>
      </x:c>
      <x:c r="H5198" s="19" t="str">
        <x:v>In Field</x:v>
      </x:c>
      <x:c r="I5198" s="37" t="n">
        <x:v>46037</x:v>
      </x:c>
      <x:c r="J5198" s="37" t="n">
        <x:v>46037</x:v>
      </x:c>
      <x:c r="K5198" s="19" t="str">
        <x:v>Green RV - Forest Glen</x:v>
      </x:c>
      <x:c r="L5198" s="19" t="str">
        <x:v>Z006</x:v>
      </x:c>
      <x:c r="M5198" s="19" t="str">
        <x:v>In Field Warranty Claims</x:v>
      </x:c>
      <x:c r="N5198" s="37" t="n">
        <x:v>45975</x:v>
      </x:c>
      <x:c r="O5198" s="37"/>
      <x:c r="P5198" s="34" t="n">
        <x:v>680.32</x:v>
      </x:c>
      <x:c r="Q5198" s="37" t="n">
        <x:v>46036.940150462964</x:v>
      </x:c>
    </x:row>
    <x:row r="5199">
      <x:c r="A5199" s="22" t="n">
        <x:v>27942</x:v>
      </x:c>
      <x:c r="B5199" s="28" t="n">
        <x:v>38.75</x:v>
      </x:c>
      <x:c r="C5199" s="28"/>
      <x:c r="D5199" s="31" t="str">
        <x:f>IF(OR(ISBLANK(B5199),ISBLANK(C5199),B5199=0),"",(C5199-B5199)/B5199)</x:f>
      </x:c>
      <x:c r="E5199" s="22" t="str">
        <x:f>IF(ISBLANK(C5199),"AmountIncludingTax缺失",IF(ABS(B5199-C5199)&lt;0.005,"一致","不一致"))</x:f>
        <x:v>AmountIncludingTax缺失</x:v>
      </x:c>
      <x:c r="F5199" s="19" t="str">
        <x:v>approved</x:v>
      </x:c>
      <x:c r="G5199" s="19" t="str">
        <x:v>Sales Order Approved</x:v>
      </x:c>
      <x:c r="H5199" s="19" t="str">
        <x:v>Pre Delivery</x:v>
      </x:c>
      <x:c r="I5199" s="37" t="n">
        <x:v>46099</x:v>
      </x:c>
      <x:c r="J5199" s="37" t="n">
        <x:v>46099</x:v>
      </x:c>
      <x:c r="K5199" s="19" t="str">
        <x:v>Green RV - Forest Glen</x:v>
      </x:c>
      <x:c r="L5199" s="19" t="str">
        <x:v>Z005</x:v>
      </x:c>
      <x:c r="M5199" s="19" t="str">
        <x:v>Pre Delivery Warranty Claims</x:v>
      </x:c>
      <x:c r="N5199" s="37" t="n">
        <x:v>45975</x:v>
      </x:c>
      <x:c r="O5199" s="37"/>
      <x:c r="P5199" s="34" t="n">
        <x:v>0</x:v>
      </x:c>
      <x:c r="Q5199" s="37" t="n">
        <x:v>46098.89916666667</x:v>
      </x:c>
    </x:row>
    <x:row r="5200">
      <x:c r="A5200" s="22" t="n">
        <x:v>27941</x:v>
      </x:c>
      <x:c r="B5200" s="28" t="n">
        <x:v>357.33</x:v>
      </x:c>
      <x:c r="C5200" s="28" t="n">
        <x:v>300.75</x:v>
      </x:c>
      <x:c r="D5200" s="31" t="n">
        <x:f>IF(OR(ISBLANK(B5200),ISBLANK(C5200),B5200=0),"",(C5200-B5200)/B5200)</x:f>
        <x:v>-0.15834102930064642</x:v>
      </x:c>
      <x:c r="E5200" s="22" t="str">
        <x:f>IF(ISBLANK(C5200),"AmountIncludingTax缺失",IF(ABS(B5200-C5200)&lt;0.005,"一致","不一致"))</x:f>
        <x:v>不一致</x:v>
      </x:c>
      <x:c r="F5200" s="19" t="str">
        <x:v>approved</x:v>
      </x:c>
      <x:c r="G5200" s="19" t="str">
        <x:v>Repairer Invoiced Processed</x:v>
      </x:c>
      <x:c r="H5200" s="19" t="str">
        <x:v>In Field</x:v>
      </x:c>
      <x:c r="I5200" s="37" t="n">
        <x:v>46037</x:v>
      </x:c>
      <x:c r="J5200" s="37" t="n">
        <x:v>46037</x:v>
      </x:c>
      <x:c r="K5200" s="19" t="str">
        <x:v>Green RV - Forest Glen</x:v>
      </x:c>
      <x:c r="L5200" s="19" t="str">
        <x:v>Z006</x:v>
      </x:c>
      <x:c r="M5200" s="19" t="str">
        <x:v>In Field Warranty Claims</x:v>
      </x:c>
      <x:c r="N5200" s="37" t="n">
        <x:v>45975</x:v>
      </x:c>
      <x:c r="O5200" s="37"/>
      <x:c r="P5200" s="34" t="n">
        <x:v>300.75</x:v>
      </x:c>
      <x:c r="Q5200" s="37" t="n">
        <x:v>46036.937743055554</x:v>
      </x:c>
    </x:row>
    <x:row r="5201">
      <x:c r="A5201" s="22" t="n">
        <x:v>27930</x:v>
      </x:c>
      <x:c r="B5201" s="28" t="n">
        <x:v>296.46</x:v>
      </x:c>
      <x:c r="C5201" s="28" t="n">
        <x:v>326.11</x:v>
      </x:c>
      <x:c r="D5201" s="31" t="n">
        <x:f>IF(OR(ISBLANK(B5201),ISBLANK(C5201),B5201=0),"",(C5201-B5201)/B5201)</x:f>
        <x:v>0.1000134925453688</x:v>
      </x:c>
      <x:c r="E5201" s="22" t="str">
        <x:f>IF(ISBLANK(C5201),"AmountIncludingTax缺失",IF(ABS(B5201-C5201)&lt;0.005,"一致","不一致"))</x:f>
        <x:v>不一致</x:v>
      </x:c>
      <x:c r="F5201" s="19" t="str">
        <x:v>approved</x:v>
      </x:c>
      <x:c r="G5201" s="19" t="str">
        <x:v>Repairer Invoiced Processed</x:v>
      </x:c>
      <x:c r="H5201" s="19" t="str">
        <x:v>In Field</x:v>
      </x:c>
      <x:c r="I5201" s="37" t="n">
        <x:v>46038</x:v>
      </x:c>
      <x:c r="J5201" s="37" t="n">
        <x:v>46038</x:v>
      </x:c>
      <x:c r="K5201" s="19" t="str">
        <x:v>Green RV - Forest Glen</x:v>
      </x:c>
      <x:c r="L5201" s="19" t="str">
        <x:v>Z006</x:v>
      </x:c>
      <x:c r="M5201" s="19" t="str">
        <x:v>In Field Warranty Claims</x:v>
      </x:c>
      <x:c r="N5201" s="37" t="n">
        <x:v>45975</x:v>
      </x:c>
      <x:c r="O5201" s="37"/>
      <x:c r="P5201" s="34" t="n">
        <x:v>326.11</x:v>
      </x:c>
      <x:c r="Q5201" s="37" t="n">
        <x:v>46037.962800925925</x:v>
      </x:c>
    </x:row>
    <x:row r="5202">
      <x:c r="A5202" s="22" t="n">
        <x:v>27929</x:v>
      </x:c>
      <x:c r="B5202" s="28" t="n">
        <x:v>427.01</x:v>
      </x:c>
      <x:c r="C5202" s="28" t="n">
        <x:v>469.71</x:v>
      </x:c>
      <x:c r="D5202" s="31" t="n">
        <x:f>IF(OR(ISBLANK(B5202),ISBLANK(C5202),B5202=0),"",(C5202-B5202)/B5202)</x:f>
        <x:v>0.0999976581344699</x:v>
      </x:c>
      <x:c r="E5202" s="22" t="str">
        <x:f>IF(ISBLANK(C5202),"AmountIncludingTax缺失",IF(ABS(B5202-C5202)&lt;0.005,"一致","不一致"))</x:f>
        <x:v>不一致</x:v>
      </x:c>
      <x:c r="F5202" s="19" t="str">
        <x:v>approved</x:v>
      </x:c>
      <x:c r="G5202" s="19" t="str">
        <x:v>Repairer Invoiced Processed</x:v>
      </x:c>
      <x:c r="H5202" s="19" t="str">
        <x:v>In Field</x:v>
      </x:c>
      <x:c r="I5202" s="37" t="n">
        <x:v>46031</x:v>
      </x:c>
      <x:c r="J5202" s="37" t="n">
        <x:v>46031</x:v>
      </x:c>
      <x:c r="K5202" s="19" t="str">
        <x:v>QCCC - Gympie</x:v>
      </x:c>
      <x:c r="L5202" s="19" t="str">
        <x:v>Z006</x:v>
      </x:c>
      <x:c r="M5202" s="19" t="str">
        <x:v>In Field Warranty Claims</x:v>
      </x:c>
      <x:c r="N5202" s="37" t="n">
        <x:v>45975</x:v>
      </x:c>
      <x:c r="O5202" s="37"/>
      <x:c r="P5202" s="34" t="n">
        <x:v>469.71</x:v>
      </x:c>
      <x:c r="Q5202" s="37" t="n">
        <x:v>46030.87957175926</x:v>
      </x:c>
    </x:row>
    <x:row r="5203">
      <x:c r="A5203" s="22" t="n">
        <x:v>27927</x:v>
      </x:c>
      <x:c r="B5203" s="28" t="n">
        <x:v>183.78</x:v>
      </x:c>
      <x:c r="C5203" s="28"/>
      <x:c r="D5203" s="31" t="str">
        <x:f>IF(OR(ISBLANK(B5203),ISBLANK(C5203),B5203=0),"",(C5203-B5203)/B5203)</x:f>
      </x:c>
      <x:c r="E5203" s="22" t="str">
        <x:f>IF(ISBLANK(C5203),"AmountIncludingTax缺失",IF(ABS(B5203-C5203)&lt;0.005,"一致","不一致"))</x:f>
        <x:v>AmountIncludingTax缺失</x:v>
      </x:c>
      <x:c r="F5203" s="19" t="str">
        <x:v>approved</x:v>
      </x:c>
      <x:c r="G5203" s="19" t="str">
        <x:v>Repair in Progress</x:v>
      </x:c>
      <x:c r="H5203" s="19" t="str">
        <x:v>In Field</x:v>
      </x:c>
      <x:c r="I5203" s="37" t="n">
        <x:v>46031</x:v>
      </x:c>
      <x:c r="J5203" s="37" t="n">
        <x:v>46031</x:v>
      </x:c>
      <x:c r="K5203" s="19" t="str">
        <x:v>Auswide Caravans - South Nowra</x:v>
      </x:c>
      <x:c r="L5203" s="19" t="str">
        <x:v>Z006</x:v>
      </x:c>
      <x:c r="M5203" s="19" t="str">
        <x:v>In Field Warranty Claims</x:v>
      </x:c>
      <x:c r="N5203" s="37" t="n">
        <x:v>45975</x:v>
      </x:c>
      <x:c r="O5203" s="37"/>
      <x:c r="P5203" s="34" t="n">
        <x:v>0</x:v>
      </x:c>
      <x:c r="Q5203" s="37" t="n">
        <x:v>46030.881574074076</x:v>
      </x:c>
    </x:row>
    <x:row r="5204">
      <x:c r="A5204" s="22" t="n">
        <x:v>27926</x:v>
      </x:c>
      <x:c r="B5204" s="28" t="n">
        <x:v>923.04</x:v>
      </x:c>
      <x:c r="C5204" s="28"/>
      <x:c r="D5204" s="31" t="str">
        <x:f>IF(OR(ISBLANK(B5204),ISBLANK(C5204),B5204=0),"",(C5204-B5204)/B5204)</x:f>
      </x:c>
      <x:c r="E5204" s="22" t="str">
        <x:f>IF(ISBLANK(C5204),"AmountIncludingTax缺失",IF(ABS(B5204-C5204)&lt;0.005,"一致","不一致"))</x:f>
        <x:v>AmountIncludingTax缺失</x:v>
      </x:c>
      <x:c r="F5204" s="19" t="str">
        <x:v>approved</x:v>
      </x:c>
      <x:c r="G5204" s="19" t="str">
        <x:v>Repair in Progress</x:v>
      </x:c>
      <x:c r="H5204" s="19" t="str">
        <x:v>In Field</x:v>
      </x:c>
      <x:c r="I5204" s="37" t="n">
        <x:v>46056</x:v>
      </x:c>
      <x:c r="J5204" s="37" t="n">
        <x:v>46055</x:v>
      </x:c>
      <x:c r="K5204" s="19" t="str">
        <x:v>Auswide Caravans - South Nowra</x:v>
      </x:c>
      <x:c r="L5204" s="19" t="str">
        <x:v>Z006</x:v>
      </x:c>
      <x:c r="M5204" s="19" t="str">
        <x:v>In Field Warranty Claims</x:v>
      </x:c>
      <x:c r="N5204" s="37" t="n">
        <x:v>45975</x:v>
      </x:c>
      <x:c r="O5204" s="37"/>
      <x:c r="P5204" s="34" t="n">
        <x:v>0</x:v>
      </x:c>
      <x:c r="Q5204" s="37" t="n">
        <x:v>46055.94305555556</x:v>
      </x:c>
    </x:row>
    <x:row r="5205">
      <x:c r="A5205" s="22" t="n">
        <x:v>27925</x:v>
      </x:c>
      <x:c r="B5205" s="28" t="n">
        <x:v>306.83</x:v>
      </x:c>
      <x:c r="C5205" s="28"/>
      <x:c r="D5205" s="31" t="str">
        <x:f>IF(OR(ISBLANK(B5205),ISBLANK(C5205),B5205=0),"",(C5205-B5205)/B5205)</x:f>
      </x:c>
      <x:c r="E5205" s="22" t="str">
        <x:f>IF(ISBLANK(C5205),"AmountIncludingTax缺失",IF(ABS(B5205-C5205)&lt;0.005,"一致","不一致"))</x:f>
        <x:v>AmountIncludingTax缺失</x:v>
      </x:c>
      <x:c r="F5205" s="19" t="str">
        <x:v>approved</x:v>
      </x:c>
      <x:c r="G5205" s="19" t="str">
        <x:v>Repairer Invoiced Processed</x:v>
      </x:c>
      <x:c r="H5205" s="19" t="str">
        <x:v>In Field</x:v>
      </x:c>
      <x:c r="I5205" s="37" t="n">
        <x:v>46057</x:v>
      </x:c>
      <x:c r="J5205" s="37" t="n">
        <x:v>46057</x:v>
      </x:c>
      <x:c r="K5205" s="19" t="str">
        <x:v>Green RV - Forest Glen</x:v>
      </x:c>
      <x:c r="L5205" s="19" t="str">
        <x:v>Z006</x:v>
      </x:c>
      <x:c r="M5205" s="19" t="str">
        <x:v>In Field Warranty Claims</x:v>
      </x:c>
      <x:c r="N5205" s="37" t="n">
        <x:v>45975</x:v>
      </x:c>
      <x:c r="O5205" s="37"/>
      <x:c r="P5205" s="34" t="n">
        <x:v>0</x:v>
      </x:c>
      <x:c r="Q5205" s="37" t="n">
        <x:v>46056.95704861111</x:v>
      </x:c>
    </x:row>
    <x:row r="5206">
      <x:c r="A5206" s="22" t="n">
        <x:v>27922</x:v>
      </x:c>
      <x:c r="B5206" s="28" t="n">
        <x:v>976.48</x:v>
      </x:c>
      <x:c r="C5206" s="28"/>
      <x:c r="D5206" s="31" t="str">
        <x:f>IF(OR(ISBLANK(B5206),ISBLANK(C5206),B5206=0),"",(C5206-B5206)/B5206)</x:f>
      </x:c>
      <x:c r="E5206" s="22" t="str">
        <x:f>IF(ISBLANK(C5206),"AmountIncludingTax缺失",IF(ABS(B5206-C5206)&lt;0.005,"一致","不一致"))</x:f>
        <x:v>AmountIncludingTax缺失</x:v>
      </x:c>
      <x:c r="F5206" s="19" t="str">
        <x:v>approved</x:v>
      </x:c>
      <x:c r="G5206" s="19" t="str">
        <x:v>Repairer Invoiced Processed</x:v>
      </x:c>
      <x:c r="H5206" s="19" t="str">
        <x:v>In Field</x:v>
      </x:c>
      <x:c r="I5206" s="37" t="n">
        <x:v>46167</x:v>
      </x:c>
      <x:c r="J5206" s="37" t="n">
        <x:v>46167</x:v>
      </x:c>
      <x:c r="K5206" s="19" t="str">
        <x:v>Auswide Caravans - South Nowra</x:v>
      </x:c>
      <x:c r="L5206" s="19" t="str">
        <x:v>Z006</x:v>
      </x:c>
      <x:c r="M5206" s="19" t="str">
        <x:v>In Field Warranty Claims</x:v>
      </x:c>
      <x:c r="N5206" s="37" t="n">
        <x:v>45975</x:v>
      </x:c>
      <x:c r="O5206" s="37"/>
      <x:c r="P5206" s="34" t="n">
        <x:v>1074.13</x:v>
      </x:c>
      <x:c r="Q5206" s="37" t="n">
        <x:v>46167.16616898148</x:v>
      </x:c>
    </x:row>
    <x:row r="5207">
      <x:c r="A5207" s="22" t="n">
        <x:v>27921</x:v>
      </x:c>
      <x:c r="B5207" s="28" t="n">
        <x:v>130</x:v>
      </x:c>
      <x:c r="C5207" s="28"/>
      <x:c r="D5207" s="31" t="str">
        <x:f>IF(OR(ISBLANK(B5207),ISBLANK(C5207),B5207=0),"",(C5207-B5207)/B5207)</x:f>
      </x:c>
      <x:c r="E5207" s="22" t="str">
        <x:f>IF(ISBLANK(C5207),"AmountIncludingTax缺失",IF(ABS(B5207-C5207)&lt;0.005,"一致","不一致"))</x:f>
        <x:v>AmountIncludingTax缺失</x:v>
      </x:c>
      <x:c r="F5207" s="19" t="str">
        <x:v>approved</x:v>
      </x:c>
      <x:c r="G5207" s="19" t="str">
        <x:v>Repair in Progress</x:v>
      </x:c>
      <x:c r="H5207" s="19" t="str">
        <x:v>In Field</x:v>
      </x:c>
      <x:c r="I5207" s="37" t="n">
        <x:v>46056</x:v>
      </x:c>
      <x:c r="J5207" s="37" t="n">
        <x:v>46056</x:v>
      </x:c>
      <x:c r="K5207" s="19" t="str">
        <x:v>Bendigo Caravan Group - Bendigo</x:v>
      </x:c>
      <x:c r="L5207" s="19" t="str">
        <x:v>Z006</x:v>
      </x:c>
      <x:c r="M5207" s="19" t="str">
        <x:v>In Field Warranty Claims</x:v>
      </x:c>
      <x:c r="N5207" s="37" t="n">
        <x:v>45974</x:v>
      </x:c>
      <x:c r="O5207" s="37"/>
      <x:c r="P5207" s="34" t="n">
        <x:v>0</x:v>
      </x:c>
      <x:c r="Q5207" s="37" t="n">
        <x:v>46056.28496527778</x:v>
      </x:c>
    </x:row>
    <x:row r="5208">
      <x:c r="A5208" s="22" t="n">
        <x:v>27909</x:v>
      </x:c>
      <x:c r="B5208" s="28" t="n">
        <x:v>138.18</x:v>
      </x:c>
      <x:c r="C5208" s="28"/>
      <x:c r="D5208" s="31" t="str">
        <x:f>IF(OR(ISBLANK(B5208),ISBLANK(C5208),B5208=0),"",(C5208-B5208)/B5208)</x:f>
      </x:c>
      <x:c r="E5208" s="22" t="str">
        <x:f>IF(ISBLANK(C5208),"AmountIncludingTax缺失",IF(ABS(B5208-C5208)&lt;0.005,"一致","不一致"))</x:f>
        <x:v>AmountIncludingTax缺失</x:v>
      </x:c>
      <x:c r="F5208" s="19" t="str">
        <x:v>approved</x:v>
      </x:c>
      <x:c r="G5208" s="19" t="str">
        <x:v>Repairer Invoiced Processed</x:v>
      </x:c>
      <x:c r="H5208" s="19" t="str">
        <x:v>Pre Delivery</x:v>
      </x:c>
      <x:c r="I5208" s="37" t="n">
        <x:v>46028</x:v>
      </x:c>
      <x:c r="J5208" s="37" t="n">
        <x:v>46028</x:v>
      </x:c>
      <x:c r="K5208" s="19" t="str">
        <x:v>Auswide Caravans - South Nowra</x:v>
      </x:c>
      <x:c r="L5208" s="19" t="str">
        <x:v>Z005</x:v>
      </x:c>
      <x:c r="M5208" s="19" t="str">
        <x:v>Pre Delivery Warranty Claims</x:v>
      </x:c>
      <x:c r="N5208" s="37" t="n">
        <x:v>45975</x:v>
      </x:c>
      <x:c r="O5208" s="37"/>
      <x:c r="P5208" s="34" t="n">
        <x:v>0</x:v>
      </x:c>
      <x:c r="Q5208" s="37" t="n">
        <x:v>46028.21024305555</x:v>
      </x:c>
    </x:row>
    <x:row r="5209">
      <x:c r="A5209" s="22" t="n">
        <x:v>27908</x:v>
      </x:c>
      <x:c r="B5209" s="28" t="n">
        <x:v>1900.3</x:v>
      </x:c>
      <x:c r="C5209" s="28"/>
      <x:c r="D5209" s="31" t="str">
        <x:f>IF(OR(ISBLANK(B5209),ISBLANK(C5209),B5209=0),"",(C5209-B5209)/B5209)</x:f>
      </x:c>
      <x:c r="E5209" s="22" t="str">
        <x:f>IF(ISBLANK(C5209),"AmountIncludingTax缺失",IF(ABS(B5209-C5209)&lt;0.005,"一致","不一致"))</x:f>
        <x:v>AmountIncludingTax缺失</x:v>
      </x:c>
      <x:c r="F5209" s="19" t="str">
        <x:v>approved</x:v>
      </x:c>
      <x:c r="G5209" s="19" t="str">
        <x:v>Repairer Invoiced Processed</x:v>
      </x:c>
      <x:c r="H5209" s="19" t="str">
        <x:v>In Field</x:v>
      </x:c>
      <x:c r="I5209" s="37" t="n">
        <x:v>46035</x:v>
      </x:c>
      <x:c r="J5209" s="37" t="n">
        <x:v>46035</x:v>
      </x:c>
      <x:c r="K5209" s="19" t="str">
        <x:v>Green RV - Forest Glen</x:v>
      </x:c>
      <x:c r="L5209" s="19" t="str">
        <x:v>Z006</x:v>
      </x:c>
      <x:c r="M5209" s="19" t="str">
        <x:v>In Field Warranty Claims</x:v>
      </x:c>
      <x:c r="N5209" s="37" t="n">
        <x:v>45975</x:v>
      </x:c>
      <x:c r="O5209" s="37"/>
      <x:c r="P5209" s="34" t="n">
        <x:v>2090.33</x:v>
      </x:c>
      <x:c r="Q5209" s="37" t="n">
        <x:v>46035.217824074076</x:v>
      </x:c>
    </x:row>
    <x:row r="5210">
      <x:c r="A5210" s="22" t="n">
        <x:v>27907</x:v>
      </x:c>
      <x:c r="B5210" s="28" t="n">
        <x:v>1215</x:v>
      </x:c>
      <x:c r="C5210" s="28"/>
      <x:c r="D5210" s="31" t="str">
        <x:f>IF(OR(ISBLANK(B5210),ISBLANK(C5210),B5210=0),"",(C5210-B5210)/B5210)</x:f>
      </x:c>
      <x:c r="E5210" s="22" t="str">
        <x:f>IF(ISBLANK(C5210),"AmountIncludingTax缺失",IF(ABS(B5210-C5210)&lt;0.005,"一致","不一致"))</x:f>
        <x:v>AmountIncludingTax缺失</x:v>
      </x:c>
      <x:c r="F5210" s="19" t="str">
        <x:v>approved</x:v>
      </x:c>
      <x:c r="G5210" s="19" t="str">
        <x:v>Partially Picked</x:v>
      </x:c>
      <x:c r="H5210" s="19" t="str">
        <x:v>In Field</x:v>
      </x:c>
      <x:c r="I5210" s="37" t="n">
        <x:v>46101</x:v>
      </x:c>
      <x:c r="J5210" s="37" t="n">
        <x:v>46101</x:v>
      </x:c>
      <x:c r="K5210" s="19" t="str">
        <x:v>Green RV - Forest Glen</x:v>
      </x:c>
      <x:c r="L5210" s="19" t="str">
        <x:v>Z006</x:v>
      </x:c>
      <x:c r="M5210" s="19" t="str">
        <x:v>In Field Warranty Claims</x:v>
      </x:c>
      <x:c r="N5210" s="37" t="n">
        <x:v>45975</x:v>
      </x:c>
      <x:c r="O5210" s="37"/>
      <x:c r="P5210" s="34" t="n">
        <x:v>0</x:v>
      </x:c>
      <x:c r="Q5210" s="37" t="n">
        <x:v>46100.91370370371</x:v>
      </x:c>
    </x:row>
    <x:row r="5211">
      <x:c r="A5211" s="22" t="n">
        <x:v>27906</x:v>
      </x:c>
      <x:c r="B5211" s="28" t="n">
        <x:v>449.08</x:v>
      </x:c>
      <x:c r="C5211" s="28"/>
      <x:c r="D5211" s="31" t="str">
        <x:f>IF(OR(ISBLANK(B5211),ISBLANK(C5211),B5211=0),"",(C5211-B5211)/B5211)</x:f>
      </x:c>
      <x:c r="E5211" s="22" t="str">
        <x:f>IF(ISBLANK(C5211),"AmountIncludingTax缺失",IF(ABS(B5211-C5211)&lt;0.005,"一致","不一致"))</x:f>
        <x:v>AmountIncludingTax缺失</x:v>
      </x:c>
      <x:c r="F5211" s="19" t="str">
        <x:v>approved</x:v>
      </x:c>
      <x:c r="G5211" s="19" t="str">
        <x:v>Sales Order Approved</x:v>
      </x:c>
      <x:c r="H5211" s="19" t="str">
        <x:v>Pre Delivery</x:v>
      </x:c>
      <x:c r="I5211" s="37" t="n">
        <x:v>46099</x:v>
      </x:c>
      <x:c r="J5211" s="37" t="n">
        <x:v>46099</x:v>
      </x:c>
      <x:c r="K5211" s="19" t="str">
        <x:v>Auswide Caravans - South Nowra</x:v>
      </x:c>
      <x:c r="L5211" s="19" t="str">
        <x:v>Z005</x:v>
      </x:c>
      <x:c r="M5211" s="19" t="str">
        <x:v>Pre Delivery Warranty Claims</x:v>
      </x:c>
      <x:c r="N5211" s="37" t="n">
        <x:v>45975</x:v>
      </x:c>
      <x:c r="O5211" s="37"/>
      <x:c r="P5211" s="34" t="n">
        <x:v>0</x:v>
      </x:c>
      <x:c r="Q5211" s="37" t="n">
        <x:v>46098.888391203705</x:v>
      </x:c>
    </x:row>
    <x:row r="5212">
      <x:c r="A5212" s="22" t="n">
        <x:v>27897</x:v>
      </x:c>
      <x:c r="B5212" s="28" t="n">
        <x:v>726.93</x:v>
      </x:c>
      <x:c r="C5212" s="28" t="n">
        <x:v>799.62</x:v>
      </x:c>
      <x:c r="D5212" s="31" t="n">
        <x:f>IF(OR(ISBLANK(B5212),ISBLANK(C5212),B5212=0),"",(C5212-B5212)/B5212)</x:f>
        <x:v>0.09999587305517733</x:v>
      </x:c>
      <x:c r="E5212" s="22" t="str">
        <x:f>IF(ISBLANK(C5212),"AmountIncludingTax缺失",IF(ABS(B5212-C5212)&lt;0.005,"一致","不一致"))</x:f>
        <x:v>不一致</x:v>
      </x:c>
      <x:c r="F5212" s="19" t="str">
        <x:v>approved</x:v>
      </x:c>
      <x:c r="G5212" s="19" t="str">
        <x:v>Repairer Invoiced Processed</x:v>
      </x:c>
      <x:c r="H5212" s="19" t="str">
        <x:v>In Field</x:v>
      </x:c>
      <x:c r="I5212" s="37" t="n">
        <x:v>46085</x:v>
      </x:c>
      <x:c r="J5212" s="37" t="n">
        <x:v>46055</x:v>
      </x:c>
      <x:c r="K5212" s="19" t="str">
        <x:v>Regent RV - Toowoomba</x:v>
      </x:c>
      <x:c r="L5212" s="19" t="str">
        <x:v>Z006</x:v>
      </x:c>
      <x:c r="M5212" s="19" t="str">
        <x:v>In Field Warranty Claims</x:v>
      </x:c>
      <x:c r="N5212" s="37" t="n">
        <x:v>45974</x:v>
      </x:c>
      <x:c r="O5212" s="37"/>
      <x:c r="P5212" s="34" t="n">
        <x:v>799.62</x:v>
      </x:c>
      <x:c r="Q5212" s="37" t="n">
        <x:v>46085.097349537034</x:v>
      </x:c>
    </x:row>
    <x:row r="5213">
      <x:c r="A5213" s="22" t="n">
        <x:v>27894</x:v>
      </x:c>
      <x:c r="B5213" s="28" t="n">
        <x:v>634.47</x:v>
      </x:c>
      <x:c r="C5213" s="28" t="n">
        <x:v>697.92</x:v>
      </x:c>
      <x:c r="D5213" s="31" t="n">
        <x:f>IF(OR(ISBLANK(B5213),ISBLANK(C5213),B5213=0),"",(C5213-B5213)/B5213)</x:f>
        <x:v>0.10000472835595052</x:v>
      </x:c>
      <x:c r="E5213" s="22" t="str">
        <x:f>IF(ISBLANK(C5213),"AmountIncludingTax缺失",IF(ABS(B5213-C5213)&lt;0.005,"一致","不一致"))</x:f>
        <x:v>不一致</x:v>
      </x:c>
      <x:c r="F5213" s="19" t="str">
        <x:v>approved</x:v>
      </x:c>
      <x:c r="G5213" s="19" t="str">
        <x:v>Repairer Invoiced Processed</x:v>
      </x:c>
      <x:c r="H5213" s="19" t="str">
        <x:v>In Field</x:v>
      </x:c>
      <x:c r="I5213" s="37" t="n">
        <x:v>46035</x:v>
      </x:c>
      <x:c r="J5213" s="37" t="n">
        <x:v>46035</x:v>
      </x:c>
      <x:c r="K5213" s="19" t="str">
        <x:v>Green RV - Forest Glen</x:v>
      </x:c>
      <x:c r="L5213" s="19" t="str">
        <x:v>Z006</x:v>
      </x:c>
      <x:c r="M5213" s="19" t="str">
        <x:v>In Field Warranty Claims</x:v>
      </x:c>
      <x:c r="N5213" s="37" t="n">
        <x:v>45974</x:v>
      </x:c>
      <x:c r="O5213" s="37"/>
      <x:c r="P5213" s="34" t="n">
        <x:v>697.92</x:v>
      </x:c>
      <x:c r="Q5213" s="37" t="n">
        <x:v>46035.08189814815</x:v>
      </x:c>
    </x:row>
    <x:row r="5214">
      <x:c r="A5214" s="22" t="n">
        <x:v>27892</x:v>
      </x:c>
      <x:c r="B5214" s="28" t="n">
        <x:v>779.38</x:v>
      </x:c>
      <x:c r="C5214" s="28" t="n">
        <x:v>857.32</x:v>
      </x:c>
      <x:c r="D5214" s="31" t="n">
        <x:f>IF(OR(ISBLANK(B5214),ISBLANK(C5214),B5214=0),"",(C5214-B5214)/B5214)</x:f>
        <x:v>0.10000256614231832</x:v>
      </x:c>
      <x:c r="E5214" s="22" t="str">
        <x:f>IF(ISBLANK(C5214),"AmountIncludingTax缺失",IF(ABS(B5214-C5214)&lt;0.005,"一致","不一致"))</x:f>
        <x:v>不一致</x:v>
      </x:c>
      <x:c r="F5214" s="19" t="str">
        <x:v>approved</x:v>
      </x:c>
      <x:c r="G5214" s="19" t="str">
        <x:v>Repairer Invoiced Processed</x:v>
      </x:c>
      <x:c r="H5214" s="19" t="str">
        <x:v>In Field</x:v>
      </x:c>
      <x:c r="I5214" s="37" t="n">
        <x:v>46035</x:v>
      </x:c>
      <x:c r="J5214" s="37" t="n">
        <x:v>46035</x:v>
      </x:c>
      <x:c r="K5214" s="19" t="str">
        <x:v>Green RV - Forest Glen</x:v>
      </x:c>
      <x:c r="L5214" s="19" t="str">
        <x:v>Z006</x:v>
      </x:c>
      <x:c r="M5214" s="19" t="str">
        <x:v>In Field Warranty Claims</x:v>
      </x:c>
      <x:c r="N5214" s="37" t="n">
        <x:v>45974</x:v>
      </x:c>
      <x:c r="O5214" s="37"/>
      <x:c r="P5214" s="34" t="n">
        <x:v>857.32</x:v>
      </x:c>
      <x:c r="Q5214" s="37" t="n">
        <x:v>46035.08063657407</x:v>
      </x:c>
    </x:row>
    <x:row r="5215">
      <x:c r="A5215" s="22" t="n">
        <x:v>27889</x:v>
      </x:c>
      <x:c r="B5215" s="28" t="n">
        <x:v>1917.25</x:v>
      </x:c>
      <x:c r="C5215" s="28"/>
      <x:c r="D5215" s="31" t="str">
        <x:f>IF(OR(ISBLANK(B5215),ISBLANK(C5215),B5215=0),"",(C5215-B5215)/B5215)</x:f>
      </x:c>
      <x:c r="E5215" s="22" t="str">
        <x:f>IF(ISBLANK(C5215),"AmountIncludingTax缺失",IF(ABS(B5215-C5215)&lt;0.005,"一致","不一致"))</x:f>
        <x:v>AmountIncludingTax缺失</x:v>
      </x:c>
      <x:c r="F5215" s="19" t="str">
        <x:v>approved</x:v>
      </x:c>
      <x:c r="G5215" s="19" t="str">
        <x:v>Repairer Invoiced Processed</x:v>
      </x:c>
      <x:c r="H5215" s="19" t="str">
        <x:v>In Field</x:v>
      </x:c>
      <x:c r="I5215" s="37" t="n">
        <x:v>46024</x:v>
      </x:c>
      <x:c r="J5215" s="37" t="n">
        <x:v>46024</x:v>
      </x:c>
      <x:c r="K5215" s="19" t="str">
        <x:v>Vanari Caravans - Marden Point</x:v>
      </x:c>
      <x:c r="L5215" s="19" t="str">
        <x:v>Z006</x:v>
      </x:c>
      <x:c r="M5215" s="19" t="str">
        <x:v>In Field Warranty Claims</x:v>
      </x:c>
      <x:c r="N5215" s="37" t="n">
        <x:v>45974</x:v>
      </x:c>
      <x:c r="O5215" s="37"/>
      <x:c r="P5215" s="34" t="n">
        <x:v>1735.88</x:v>
      </x:c>
      <x:c r="Q5215" s="37" t="n">
        <x:v>46024.283125</x:v>
      </x:c>
    </x:row>
    <x:row r="5216">
      <x:c r="A5216" s="22" t="n">
        <x:v>27888</x:v>
      </x:c>
      <x:c r="B5216" s="28" t="n">
        <x:v>493.51</x:v>
      </x:c>
      <x:c r="C5216" s="28" t="n">
        <x:v>542.86</x:v>
      </x:c>
      <x:c r="D5216" s="31" t="n">
        <x:f>IF(OR(ISBLANK(B5216),ISBLANK(C5216),B5216=0),"",(C5216-B5216)/B5216)</x:f>
        <x:v>0.09999797369860798</x:v>
      </x:c>
      <x:c r="E5216" s="22" t="str">
        <x:f>IF(ISBLANK(C5216),"AmountIncludingTax缺失",IF(ABS(B5216-C5216)&lt;0.005,"一致","不一致"))</x:f>
        <x:v>不一致</x:v>
      </x:c>
      <x:c r="F5216" s="19" t="str">
        <x:v>approved</x:v>
      </x:c>
      <x:c r="G5216" s="19" t="str">
        <x:v>Repairer Invoiced Processed</x:v>
      </x:c>
      <x:c r="H5216" s="19" t="str">
        <x:v>In Field</x:v>
      </x:c>
      <x:c r="I5216" s="37" t="n">
        <x:v>46028</x:v>
      </x:c>
      <x:c r="J5216" s="37" t="n">
        <x:v>46028</x:v>
      </x:c>
      <x:c r="K5216" s="19" t="str">
        <x:v>Lesiure Lion-New Castle</x:v>
      </x:c>
      <x:c r="L5216" s="19" t="str">
        <x:v>Z006</x:v>
      </x:c>
      <x:c r="M5216" s="19" t="str">
        <x:v>In Field Warranty Claims</x:v>
      </x:c>
      <x:c r="N5216" s="37" t="n">
        <x:v>45974</x:v>
      </x:c>
      <x:c r="O5216" s="37"/>
      <x:c r="P5216" s="34" t="n">
        <x:v>542.86</x:v>
      </x:c>
      <x:c r="Q5216" s="37" t="n">
        <x:v>46028.07094907408</x:v>
      </x:c>
    </x:row>
    <x:row r="5217">
      <x:c r="A5217" s="22" t="n">
        <x:v>27887</x:v>
      </x:c>
      <x:c r="B5217" s="28" t="n">
        <x:v>682.5</x:v>
      </x:c>
      <x:c r="C5217" s="28" t="n">
        <x:v>617.94</x:v>
      </x:c>
      <x:c r="D5217" s="31" t="n">
        <x:f>IF(OR(ISBLANK(B5217),ISBLANK(C5217),B5217=0),"",(C5217-B5217)/B5217)</x:f>
        <x:v>-0.09459340659340651</x:v>
      </x:c>
      <x:c r="E5217" s="22" t="str">
        <x:f>IF(ISBLANK(C5217),"AmountIncludingTax缺失",IF(ABS(B5217-C5217)&lt;0.005,"一致","不一致"))</x:f>
        <x:v>不一致</x:v>
      </x:c>
      <x:c r="F5217" s="19" t="str">
        <x:v>approved</x:v>
      </x:c>
      <x:c r="G5217" s="19" t="str">
        <x:v>Repairer Invoiced Processed</x:v>
      </x:c>
      <x:c r="H5217" s="19" t="str">
        <x:v>In Field</x:v>
      </x:c>
      <x:c r="I5217" s="37" t="n">
        <x:v>46024</x:v>
      </x:c>
      <x:c r="J5217" s="37" t="n">
        <x:v>46024</x:v>
      </x:c>
      <x:c r="K5217" s="19" t="str">
        <x:v>Vanari Caravans - Marden Point</x:v>
      </x:c>
      <x:c r="L5217" s="19" t="str">
        <x:v>Z006</x:v>
      </x:c>
      <x:c r="M5217" s="19" t="str">
        <x:v>In Field Warranty Claims</x:v>
      </x:c>
      <x:c r="N5217" s="37" t="n">
        <x:v>45974</x:v>
      </x:c>
      <x:c r="O5217" s="37"/>
      <x:c r="P5217" s="34" t="n">
        <x:v>617.94</x:v>
      </x:c>
      <x:c r="Q5217" s="37" t="n">
        <x:v>46023.968564814815</x:v>
      </x:c>
    </x:row>
    <x:row r="5218">
      <x:c r="A5218" s="22" t="n">
        <x:v>27884</x:v>
      </x:c>
      <x:c r="B5218" s="28" t="n">
        <x:v>417.09</x:v>
      </x:c>
      <x:c r="C5218" s="28" t="n">
        <x:v>458.8</x:v>
      </x:c>
      <x:c r="D5218" s="31" t="n">
        <x:f>IF(OR(ISBLANK(B5218),ISBLANK(C5218),B5218=0),"",(C5218-B5218)/B5218)</x:f>
        <x:v>0.10000239756407499</x:v>
      </x:c>
      <x:c r="E5218" s="22" t="str">
        <x:f>IF(ISBLANK(C5218),"AmountIncludingTax缺失",IF(ABS(B5218-C5218)&lt;0.005,"一致","不一致"))</x:f>
        <x:v>不一致</x:v>
      </x:c>
      <x:c r="F5218" s="19" t="str">
        <x:v>approved</x:v>
      </x:c>
      <x:c r="G5218" s="19" t="str">
        <x:v>Repairer Invoiced Processed</x:v>
      </x:c>
      <x:c r="H5218" s="19" t="str">
        <x:v>In Field</x:v>
      </x:c>
      <x:c r="I5218" s="37" t="n">
        <x:v>46057</x:v>
      </x:c>
      <x:c r="J5218" s="37" t="n">
        <x:v>46057</x:v>
      </x:c>
      <x:c r="K5218" s="19" t="str">
        <x:v>QCCC - Gympie</x:v>
      </x:c>
      <x:c r="L5218" s="19" t="str">
        <x:v>Z006</x:v>
      </x:c>
      <x:c r="M5218" s="19" t="str">
        <x:v>In Field Warranty Claims</x:v>
      </x:c>
      <x:c r="N5218" s="37" t="n">
        <x:v>45974</x:v>
      </x:c>
      <x:c r="O5218" s="37"/>
      <x:c r="P5218" s="34" t="n">
        <x:v>458.8</x:v>
      </x:c>
      <x:c r="Q5218" s="37" t="n">
        <x:v>46057.34265046296</x:v>
      </x:c>
    </x:row>
    <x:row r="5219">
      <x:c r="A5219" s="22" t="n">
        <x:v>27883</x:v>
      </x:c>
      <x:c r="B5219" s="28" t="n">
        <x:v>244.55</x:v>
      </x:c>
      <x:c r="C5219" s="28" t="n">
        <x:v>269.01</x:v>
      </x:c>
      <x:c r="D5219" s="31" t="n">
        <x:f>IF(OR(ISBLANK(B5219),ISBLANK(C5219),B5219=0),"",(C5219-B5219)/B5219)</x:f>
        <x:v>0.10002044571662227</x:v>
      </x:c>
      <x:c r="E5219" s="22" t="str">
        <x:f>IF(ISBLANK(C5219),"AmountIncludingTax缺失",IF(ABS(B5219-C5219)&lt;0.005,"一致","不一致"))</x:f>
        <x:v>不一致</x:v>
      </x:c>
      <x:c r="F5219" s="19" t="str">
        <x:v>approved</x:v>
      </x:c>
      <x:c r="G5219" s="19" t="str">
        <x:v>Repairer Invoiced Processed</x:v>
      </x:c>
      <x:c r="H5219" s="19" t="str">
        <x:v>In Field</x:v>
      </x:c>
      <x:c r="I5219" s="37" t="n">
        <x:v>46076</x:v>
      </x:c>
      <x:c r="J5219" s="37" t="n">
        <x:v>46076</x:v>
      </x:c>
      <x:c r="K5219" s="19" t="str">
        <x:v>Green RV - Forest Glen</x:v>
      </x:c>
      <x:c r="L5219" s="19" t="str">
        <x:v>Z006</x:v>
      </x:c>
      <x:c r="M5219" s="19" t="str">
        <x:v>In Field Warranty Claims</x:v>
      </x:c>
      <x:c r="N5219" s="37" t="n">
        <x:v>45974</x:v>
      </x:c>
      <x:c r="O5219" s="37"/>
      <x:c r="P5219" s="34" t="n">
        <x:v>269.01</x:v>
      </x:c>
      <x:c r="Q5219" s="37" t="n">
        <x:v>46075.906747685185</x:v>
      </x:c>
    </x:row>
    <x:row r="5220">
      <x:c r="A5220" s="22" t="n">
        <x:v>27882</x:v>
      </x:c>
      <x:c r="B5220" s="28" t="n">
        <x:v>1734.16</x:v>
      </x:c>
      <x:c r="C5220" s="28"/>
      <x:c r="D5220" s="31" t="str">
        <x:f>IF(OR(ISBLANK(B5220),ISBLANK(C5220),B5220=0),"",(C5220-B5220)/B5220)</x:f>
      </x:c>
      <x:c r="E5220" s="22" t="str">
        <x:f>IF(ISBLANK(C5220),"AmountIncludingTax缺失",IF(ABS(B5220-C5220)&lt;0.005,"一致","不一致"))</x:f>
        <x:v>AmountIncludingTax缺失</x:v>
      </x:c>
      <x:c r="F5220" s="19" t="str">
        <x:v>approved</x:v>
      </x:c>
      <x:c r="G5220" s="19" t="str">
        <x:v>Repairer Invoiced Processed</x:v>
      </x:c>
      <x:c r="H5220" s="19" t="str">
        <x:v>Pre Delivery</x:v>
      </x:c>
      <x:c r="I5220" s="37" t="n">
        <x:v>46042</x:v>
      </x:c>
      <x:c r="J5220" s="37" t="n">
        <x:v>46042</x:v>
      </x:c>
      <x:c r="K5220" s="19" t="str">
        <x:v>Green RV - Forest Glen</x:v>
      </x:c>
      <x:c r="L5220" s="19" t="str">
        <x:v>Z005</x:v>
      </x:c>
      <x:c r="M5220" s="19" t="str">
        <x:v>Pre Delivery Warranty Claims</x:v>
      </x:c>
      <x:c r="N5220" s="37" t="n">
        <x:v>45974</x:v>
      </x:c>
      <x:c r="O5220" s="37"/>
      <x:c r="P5220" s="34" t="n">
        <x:v>1907.58</x:v>
      </x:c>
      <x:c r="Q5220" s="37" t="n">
        <x:v>46042.189791666664</x:v>
      </x:c>
    </x:row>
    <x:row r="5221">
      <x:c r="A5221" s="22" t="n">
        <x:v>27881</x:v>
      </x:c>
      <x:c r="B5221" s="28" t="n">
        <x:v>197.74</x:v>
      </x:c>
      <x:c r="C5221" s="28"/>
      <x:c r="D5221" s="31" t="str">
        <x:f>IF(OR(ISBLANK(B5221),ISBLANK(C5221),B5221=0),"",(C5221-B5221)/B5221)</x:f>
      </x:c>
      <x:c r="E5221" s="22" t="str">
        <x:f>IF(ISBLANK(C5221),"AmountIncludingTax缺失",IF(ABS(B5221-C5221)&lt;0.005,"一致","不一致"))</x:f>
        <x:v>AmountIncludingTax缺失</x:v>
      </x:c>
      <x:c r="F5221" s="19" t="str">
        <x:v>approved</x:v>
      </x:c>
      <x:c r="G5221" s="19" t="str">
        <x:v>Repairer Invoiced Processed</x:v>
      </x:c>
      <x:c r="H5221" s="19" t="str">
        <x:v>Pre Delivery</x:v>
      </x:c>
      <x:c r="I5221" s="37" t="n">
        <x:v>46024</x:v>
      </x:c>
      <x:c r="J5221" s="37" t="n">
        <x:v>46024</x:v>
      </x:c>
      <x:c r="K5221" s="19" t="str">
        <x:v>Regent RV Pty Ltd</x:v>
      </x:c>
      <x:c r="L5221" s="19" t="str">
        <x:v>Z005</x:v>
      </x:c>
      <x:c r="M5221" s="19" t="str">
        <x:v>Pre Delivery Warranty Claims</x:v>
      </x:c>
      <x:c r="N5221" s="37" t="n">
        <x:v>45973</x:v>
      </x:c>
      <x:c r="O5221" s="37"/>
      <x:c r="P5221" s="34" t="n">
        <x:v>0</x:v>
      </x:c>
      <x:c r="Q5221" s="37" t="n">
        <x:v>46023.97725694445</x:v>
      </x:c>
    </x:row>
    <x:row r="5222">
      <x:c r="A5222" s="22" t="n">
        <x:v>27878</x:v>
      </x:c>
      <x:c r="B5222" s="28" t="n">
        <x:v>810</x:v>
      </x:c>
      <x:c r="C5222" s="28"/>
      <x:c r="D5222" s="31" t="str">
        <x:f>IF(OR(ISBLANK(B5222),ISBLANK(C5222),B5222=0),"",(C5222-B5222)/B5222)</x:f>
      </x:c>
      <x:c r="E5222" s="22" t="str">
        <x:f>IF(ISBLANK(C5222),"AmountIncludingTax缺失",IF(ABS(B5222-C5222)&lt;0.005,"一致","不一致"))</x:f>
        <x:v>AmountIncludingTax缺失</x:v>
      </x:c>
      <x:c r="F5222" s="19" t="str">
        <x:v>approved</x:v>
      </x:c>
      <x:c r="G5222" s="19" t="str">
        <x:v>Repair in Progress</x:v>
      </x:c>
      <x:c r="H5222" s="19" t="str">
        <x:v>In Field</x:v>
      </x:c>
      <x:c r="I5222" s="37" t="n">
        <x:v>46077</x:v>
      </x:c>
      <x:c r="J5222" s="37" t="n">
        <x:v>46077</x:v>
      </x:c>
      <x:c r="K5222" s="19" t="str">
        <x:v>Springvale Caravan Centre - Keysborough</x:v>
      </x:c>
      <x:c r="L5222" s="19" t="str">
        <x:v>Z006</x:v>
      </x:c>
      <x:c r="M5222" s="19" t="str">
        <x:v>In Field Warranty Claims</x:v>
      </x:c>
      <x:c r="N5222" s="37" t="n">
        <x:v>45974</x:v>
      </x:c>
      <x:c r="O5222" s="37"/>
      <x:c r="P5222" s="34" t="n">
        <x:v>0</x:v>
      </x:c>
      <x:c r="Q5222" s="37" t="n">
        <x:v>46077.08238425926</x:v>
      </x:c>
    </x:row>
    <x:row r="5223">
      <x:c r="A5223" s="22" t="n">
        <x:v>27877</x:v>
      </x:c>
      <x:c r="B5223" s="28" t="n">
        <x:v>250</x:v>
      </x:c>
      <x:c r="C5223" s="28" t="n">
        <x:v>275</x:v>
      </x:c>
      <x:c r="D5223" s="31" t="n">
        <x:f>IF(OR(ISBLANK(B5223),ISBLANK(C5223),B5223=0),"",(C5223-B5223)/B5223)</x:f>
        <x:v>0.1</x:v>
      </x:c>
      <x:c r="E5223" s="22" t="str">
        <x:f>IF(ISBLANK(C5223),"AmountIncludingTax缺失",IF(ABS(B5223-C5223)&lt;0.005,"一致","不一致"))</x:f>
        <x:v>不一致</x:v>
      </x:c>
      <x:c r="F5223" s="19" t="str">
        <x:v>approved</x:v>
      </x:c>
      <x:c r="G5223" s="19" t="str">
        <x:v>Repairer Invoiced Processed</x:v>
      </x:c>
      <x:c r="H5223" s="19" t="str">
        <x:v>Pre Delivery</x:v>
      </x:c>
      <x:c r="I5223" s="37" t="n">
        <x:v>46049</x:v>
      </x:c>
      <x:c r="J5223" s="37" t="n">
        <x:v>46049</x:v>
      </x:c>
      <x:c r="K5223" s="19" t="str">
        <x:v>Green RV - Slacks Creek</x:v>
      </x:c>
      <x:c r="L5223" s="19" t="str">
        <x:v>Z005</x:v>
      </x:c>
      <x:c r="M5223" s="19" t="str">
        <x:v>Pre Delivery Warranty Claims</x:v>
      </x:c>
      <x:c r="N5223" s="37" t="n">
        <x:v>45974</x:v>
      </x:c>
      <x:c r="O5223" s="37"/>
      <x:c r="P5223" s="34" t="n">
        <x:v>275</x:v>
      </x:c>
      <x:c r="Q5223" s="37" t="n">
        <x:v>46049.23520833333</x:v>
      </x:c>
    </x:row>
    <x:row r="5224">
      <x:c r="A5224" s="22" t="n">
        <x:v>27876</x:v>
      </x:c>
      <x:c r="B5224" s="28" t="n">
        <x:v>235</x:v>
      </x:c>
      <x:c r="C5224" s="28" t="n">
        <x:v>212.77</x:v>
      </x:c>
      <x:c r="D5224" s="31" t="n">
        <x:f>IF(OR(ISBLANK(B5224),ISBLANK(C5224),B5224=0),"",(C5224-B5224)/B5224)</x:f>
        <x:v>-0.09459574468085102</x:v>
      </x:c>
      <x:c r="E5224" s="22" t="str">
        <x:f>IF(ISBLANK(C5224),"AmountIncludingTax缺失",IF(ABS(B5224-C5224)&lt;0.005,"一致","不一致"))</x:f>
        <x:v>不一致</x:v>
      </x:c>
      <x:c r="F5224" s="19" t="str">
        <x:v>approved</x:v>
      </x:c>
      <x:c r="G5224" s="19" t="str">
        <x:v>Repairer Invoiced Processed</x:v>
      </x:c>
      <x:c r="H5224" s="19" t="str">
        <x:v>In Field</x:v>
      </x:c>
      <x:c r="I5224" s="37" t="n">
        <x:v>46024</x:v>
      </x:c>
      <x:c r="J5224" s="37" t="n">
        <x:v>46024</x:v>
      </x:c>
      <x:c r="K5224" s="19" t="str">
        <x:v>Vanari Caravans - Marden Point</x:v>
      </x:c>
      <x:c r="L5224" s="19" t="str">
        <x:v>Z006</x:v>
      </x:c>
      <x:c r="M5224" s="19" t="str">
        <x:v>In Field Warranty Claims</x:v>
      </x:c>
      <x:c r="N5224" s="37" t="n">
        <x:v>45974</x:v>
      </x:c>
      <x:c r="O5224" s="37"/>
      <x:c r="P5224" s="34" t="n">
        <x:v>212.77</x:v>
      </x:c>
      <x:c r="Q5224" s="37" t="n">
        <x:v>46023.96913194445</x:v>
      </x:c>
    </x:row>
    <x:row r="5225">
      <x:c r="A5225" s="22" t="n">
        <x:v>27875</x:v>
      </x:c>
      <x:c r="B5225" s="28" t="n">
        <x:v>2204.21</x:v>
      </x:c>
      <x:c r="C5225" s="28" t="n">
        <x:v>442.3</x:v>
      </x:c>
      <x:c r="D5225" s="31" t="n">
        <x:f>IF(OR(ISBLANK(B5225),ISBLANK(C5225),B5225=0),"",(C5225-B5225)/B5225)</x:f>
        <x:v>-0.7993385385240064</x:v>
      </x:c>
      <x:c r="E5225" s="22" t="str">
        <x:f>IF(ISBLANK(C5225),"AmountIncludingTax缺失",IF(ABS(B5225-C5225)&lt;0.005,"一致","不一致"))</x:f>
        <x:v>不一致</x:v>
      </x:c>
      <x:c r="F5225" s="19" t="str">
        <x:v>approved</x:v>
      </x:c>
      <x:c r="G5225" s="19" t="str">
        <x:v>Repairer Invoiced Processed</x:v>
      </x:c>
      <x:c r="H5225" s="19" t="str">
        <x:v>In Field</x:v>
      </x:c>
      <x:c r="I5225" s="37" t="n">
        <x:v>46055</x:v>
      </x:c>
      <x:c r="J5225" s="37" t="n">
        <x:v>46031</x:v>
      </x:c>
      <x:c r="K5225" s="19" t="str">
        <x:v>Green RV - Forest Glen</x:v>
      </x:c>
      <x:c r="L5225" s="19" t="str">
        <x:v>Z006</x:v>
      </x:c>
      <x:c r="M5225" s="19" t="str">
        <x:v>In Field Warranty Claims</x:v>
      </x:c>
      <x:c r="N5225" s="37" t="n">
        <x:v>45974</x:v>
      </x:c>
      <x:c r="O5225" s="37" t="n">
        <x:v>46055</x:v>
      </x:c>
      <x:c r="P5225" s="34" t="n">
        <x:v>442.3</x:v>
      </x:c>
      <x:c r="Q5225" s="37" t="n">
        <x:v>46054.94721064815</x:v>
      </x:c>
    </x:row>
    <x:row r="5226">
      <x:c r="A5226" s="22" t="n">
        <x:v>27874</x:v>
      </x:c>
      <x:c r="B5226" s="28" t="n">
        <x:v>389.25</x:v>
      </x:c>
      <x:c r="C5226" s="28"/>
      <x:c r="D5226" s="31" t="str">
        <x:f>IF(OR(ISBLANK(B5226),ISBLANK(C5226),B5226=0),"",(C5226-B5226)/B5226)</x:f>
      </x:c>
      <x:c r="E5226" s="22" t="str">
        <x:f>IF(ISBLANK(C5226),"AmountIncludingTax缺失",IF(ABS(B5226-C5226)&lt;0.005,"一致","不一致"))</x:f>
        <x:v>AmountIncludingTax缺失</x:v>
      </x:c>
      <x:c r="F5226" s="19" t="str">
        <x:v>approved</x:v>
      </x:c>
      <x:c r="G5226" s="19" t="str">
        <x:v>Repairer Invoiced Processed</x:v>
      </x:c>
      <x:c r="H5226" s="19" t="str">
        <x:v>In Field</x:v>
      </x:c>
      <x:c r="I5226" s="37" t="n">
        <x:v>46084</x:v>
      </x:c>
      <x:c r="J5226" s="37" t="n">
        <x:v>46084</x:v>
      </x:c>
      <x:c r="K5226" s="19" t="str">
        <x:v>Green RV - Forest Glen</x:v>
      </x:c>
      <x:c r="L5226" s="19" t="str">
        <x:v>Z006</x:v>
      </x:c>
      <x:c r="M5226" s="19" t="str">
        <x:v>In Field Warranty Claims</x:v>
      </x:c>
      <x:c r="N5226" s="37" t="n">
        <x:v>45974</x:v>
      </x:c>
      <x:c r="O5226" s="37"/>
      <x:c r="P5226" s="34" t="n">
        <x:v>0</x:v>
      </x:c>
      <x:c r="Q5226" s="37" t="n">
        <x:v>46083.896099537036</x:v>
      </x:c>
    </x:row>
    <x:row r="5227">
      <x:c r="A5227" s="22" t="n">
        <x:v>27872</x:v>
      </x:c>
      <x:c r="B5227" s="28" t="n">
        <x:v>227.5</x:v>
      </x:c>
      <x:c r="C5227" s="28"/>
      <x:c r="D5227" s="31" t="str">
        <x:f>IF(OR(ISBLANK(B5227),ISBLANK(C5227),B5227=0),"",(C5227-B5227)/B5227)</x:f>
      </x:c>
      <x:c r="E5227" s="22" t="str">
        <x:f>IF(ISBLANK(C5227),"AmountIncludingTax缺失",IF(ABS(B5227-C5227)&lt;0.005,"一致","不一致"))</x:f>
        <x:v>AmountIncludingTax缺失</x:v>
      </x:c>
      <x:c r="F5227" s="19" t="str">
        <x:v>approved</x:v>
      </x:c>
      <x:c r="G5227" s="19" t="str">
        <x:v>Repair in Progress</x:v>
      </x:c>
      <x:c r="H5227" s="19" t="str">
        <x:v>In Field</x:v>
      </x:c>
      <x:c r="I5227" s="37" t="n">
        <x:v>46052</x:v>
      </x:c>
      <x:c r="J5227" s="37" t="n">
        <x:v>46052</x:v>
      </x:c>
      <x:c r="K5227" s="19" t="str">
        <x:v>The Caravan Hub - Townsville</x:v>
      </x:c>
      <x:c r="L5227" s="19" t="str">
        <x:v>Z006</x:v>
      </x:c>
      <x:c r="M5227" s="19" t="str">
        <x:v>In Field Warranty Claims</x:v>
      </x:c>
      <x:c r="N5227" s="37" t="n">
        <x:v>45973</x:v>
      </x:c>
      <x:c r="O5227" s="37"/>
      <x:c r="P5227" s="34" t="n">
        <x:v>0</x:v>
      </x:c>
      <x:c r="Q5227" s="37" t="n">
        <x:v>46051.951469907406</x:v>
      </x:c>
    </x:row>
    <x:row r="5228">
      <x:c r="A5228" s="22" t="n">
        <x:v>27871</x:v>
      </x:c>
      <x:c r="B5228" s="28" t="n">
        <x:v>334.53</x:v>
      </x:c>
      <x:c r="C5228" s="28" t="n">
        <x:v>302.88</x:v>
      </x:c>
      <x:c r="D5228" s="31" t="n">
        <x:f>IF(OR(ISBLANK(B5228),ISBLANK(C5228),B5228=0),"",(C5228-B5228)/B5228)</x:f>
        <x:v>-0.09461034884763693</x:v>
      </x:c>
      <x:c r="E5228" s="22" t="str">
        <x:f>IF(ISBLANK(C5228),"AmountIncludingTax缺失",IF(ABS(B5228-C5228)&lt;0.005,"一致","不一致"))</x:f>
        <x:v>不一致</x:v>
      </x:c>
      <x:c r="F5228" s="19" t="str">
        <x:v>approved</x:v>
      </x:c>
      <x:c r="G5228" s="19" t="str">
        <x:v>Repairer Invoiced Processed</x:v>
      </x:c>
      <x:c r="H5228" s="19" t="str">
        <x:v>In Field</x:v>
      </x:c>
      <x:c r="I5228" s="37" t="n">
        <x:v>46056</x:v>
      </x:c>
      <x:c r="J5228" s="37" t="n">
        <x:v>46056</x:v>
      </x:c>
      <x:c r="K5228" s="19" t="str">
        <x:v>Vanari Caravans - Marden Point</x:v>
      </x:c>
      <x:c r="L5228" s="19" t="str">
        <x:v>Z006</x:v>
      </x:c>
      <x:c r="M5228" s="19" t="str">
        <x:v>In Field Warranty Claims</x:v>
      </x:c>
      <x:c r="N5228" s="37" t="n">
        <x:v>45973</x:v>
      </x:c>
      <x:c r="O5228" s="37"/>
      <x:c r="P5228" s="34" t="n">
        <x:v>302.88</x:v>
      </x:c>
      <x:c r="Q5228" s="37" t="n">
        <x:v>46056.163460648146</x:v>
      </x:c>
    </x:row>
    <x:row r="5229">
      <x:c r="A5229" s="22" t="n">
        <x:v>27865</x:v>
      </x:c>
      <x:c r="B5229" s="28" t="n">
        <x:v>826.09</x:v>
      </x:c>
      <x:c r="C5229" s="28" t="n">
        <x:v>908.7</x:v>
      </x:c>
      <x:c r="D5229" s="31" t="n">
        <x:f>IF(OR(ISBLANK(B5229),ISBLANK(C5229),B5229=0),"",(C5229-B5229)/B5229)</x:f>
        <x:v>0.10000121052185598</x:v>
      </x:c>
      <x:c r="E5229" s="22" t="str">
        <x:f>IF(ISBLANK(C5229),"AmountIncludingTax缺失",IF(ABS(B5229-C5229)&lt;0.005,"一致","不一致"))</x:f>
        <x:v>不一致</x:v>
      </x:c>
      <x:c r="F5229" s="19" t="str">
        <x:v>approved</x:v>
      </x:c>
      <x:c r="G5229" s="19" t="str">
        <x:v>Repair in Progress</x:v>
      </x:c>
      <x:c r="H5229" s="19" t="str">
        <x:v>In Field</x:v>
      </x:c>
      <x:c r="I5229" s="37" t="n">
        <x:v>46055</x:v>
      </x:c>
      <x:c r="J5229" s="37" t="n">
        <x:v>46055</x:v>
      </x:c>
      <x:c r="K5229" s="19" t="str">
        <x:v>Green RV - Forest Glen</x:v>
      </x:c>
      <x:c r="L5229" s="19" t="str">
        <x:v>Z006</x:v>
      </x:c>
      <x:c r="M5229" s="19" t="str">
        <x:v>In Field Warranty Claims</x:v>
      </x:c>
      <x:c r="N5229" s="37" t="n">
        <x:v>45973</x:v>
      </x:c>
      <x:c r="O5229" s="37"/>
      <x:c r="P5229" s="34" t="n">
        <x:v>908.7</x:v>
      </x:c>
      <x:c r="Q5229" s="37" t="n">
        <x:v>46054.97002314815</x:v>
      </x:c>
    </x:row>
    <x:row r="5230">
      <x:c r="A5230" s="22" t="n">
        <x:v>27864</x:v>
      </x:c>
      <x:c r="B5230" s="28" t="n">
        <x:v>220</x:v>
      </x:c>
      <x:c r="C5230" s="28"/>
      <x:c r="D5230" s="31" t="str">
        <x:f>IF(OR(ISBLANK(B5230),ISBLANK(C5230),B5230=0),"",(C5230-B5230)/B5230)</x:f>
      </x:c>
      <x:c r="E5230" s="22" t="str">
        <x:f>IF(ISBLANK(C5230),"AmountIncludingTax缺失",IF(ABS(B5230-C5230)&lt;0.005,"一致","不一致"))</x:f>
        <x:v>AmountIncludingTax缺失</x:v>
      </x:c>
      <x:c r="F5230" s="19" t="str">
        <x:v>approved</x:v>
      </x:c>
      <x:c r="G5230" s="19" t="str">
        <x:v>Repair in Progress</x:v>
      </x:c>
      <x:c r="H5230" s="19" t="str">
        <x:v>In Field</x:v>
      </x:c>
      <x:c r="I5230" s="37" t="n">
        <x:v>46024</x:v>
      </x:c>
      <x:c r="J5230" s="37" t="n">
        <x:v>46024</x:v>
      </x:c>
      <x:c r="K5230" s="19" t="str">
        <x:v>Regent RV - Perth</x:v>
      </x:c>
      <x:c r="L5230" s="19" t="str">
        <x:v>Z006</x:v>
      </x:c>
      <x:c r="M5230" s="19" t="str">
        <x:v>In Field Warranty Claims</x:v>
      </x:c>
      <x:c r="N5230" s="37" t="n">
        <x:v>45973</x:v>
      </x:c>
      <x:c r="O5230" s="37"/>
      <x:c r="P5230" s="34" t="n">
        <x:v>0</x:v>
      </x:c>
      <x:c r="Q5230" s="37" t="n">
        <x:v>46023.984305555554</x:v>
      </x:c>
    </x:row>
    <x:row r="5231">
      <x:c r="A5231" s="22" t="n">
        <x:v>27863</x:v>
      </x:c>
      <x:c r="B5231" s="28" t="n">
        <x:v>613.57</x:v>
      </x:c>
      <x:c r="C5231" s="28" t="n">
        <x:v>674.93</x:v>
      </x:c>
      <x:c r="D5231" s="31" t="n">
        <x:f>IF(OR(ISBLANK(B5231),ISBLANK(C5231),B5231=0),"",(C5231-B5231)/B5231)</x:f>
        <x:v>0.10000488941767019</x:v>
      </x:c>
      <x:c r="E5231" s="22" t="str">
        <x:f>IF(ISBLANK(C5231),"AmountIncludingTax缺失",IF(ABS(B5231-C5231)&lt;0.005,"一致","不一致"))</x:f>
        <x:v>不一致</x:v>
      </x:c>
      <x:c r="F5231" s="19" t="str">
        <x:v>approved</x:v>
      </x:c>
      <x:c r="G5231" s="19" t="str">
        <x:v>Repairer Invoiced Processed</x:v>
      </x:c>
      <x:c r="H5231" s="19" t="str">
        <x:v>Pre Delivery</x:v>
      </x:c>
      <x:c r="I5231" s="37" t="n">
        <x:v>46059</x:v>
      </x:c>
      <x:c r="J5231" s="37" t="n">
        <x:v>46059</x:v>
      </x:c>
      <x:c r="K5231" s="19" t="str">
        <x:v>The Caravan Hub - Townsville</x:v>
      </x:c>
      <x:c r="L5231" s="19" t="str">
        <x:v>Z005</x:v>
      </x:c>
      <x:c r="M5231" s="19" t="str">
        <x:v>Pre Delivery Warranty Claims</x:v>
      </x:c>
      <x:c r="N5231" s="37" t="n">
        <x:v>45973</x:v>
      </x:c>
      <x:c r="O5231" s="37"/>
      <x:c r="P5231" s="34" t="n">
        <x:v>674.93</x:v>
      </x:c>
      <x:c r="Q5231" s="37" t="n">
        <x:v>46059.006157407406</x:v>
      </x:c>
    </x:row>
    <x:row r="5232">
      <x:c r="A5232" s="22" t="n">
        <x:v>27858</x:v>
      </x:c>
      <x:c r="B5232" s="28" t="n">
        <x:v>1250</x:v>
      </x:c>
      <x:c r="C5232" s="28"/>
      <x:c r="D5232" s="31" t="str">
        <x:f>IF(OR(ISBLANK(B5232),ISBLANK(C5232),B5232=0),"",(C5232-B5232)/B5232)</x:f>
      </x:c>
      <x:c r="E5232" s="22" t="str">
        <x:f>IF(ISBLANK(C5232),"AmountIncludingTax缺失",IF(ABS(B5232-C5232)&lt;0.005,"一致","不一致"))</x:f>
        <x:v>AmountIncludingTax缺失</x:v>
      </x:c>
      <x:c r="F5232" s="19" t="str">
        <x:v>approved</x:v>
      </x:c>
      <x:c r="G5232" s="19" t="str">
        <x:v>Repairer Invoiced Processed</x:v>
      </x:c>
      <x:c r="H5232" s="19" t="str">
        <x:v>In Field</x:v>
      </x:c>
      <x:c r="I5232" s="37" t="n">
        <x:v>46044</x:v>
      </x:c>
      <x:c r="J5232" s="37" t="n">
        <x:v>46044</x:v>
      </x:c>
      <x:c r="K5232" s="19" t="str">
        <x:v>Dario Caravans - Pooraka</x:v>
      </x:c>
      <x:c r="L5232" s="19" t="str">
        <x:v>Z006</x:v>
      </x:c>
      <x:c r="M5232" s="19" t="str">
        <x:v>In Field Warranty Claims</x:v>
      </x:c>
      <x:c r="N5232" s="37" t="n">
        <x:v>45973</x:v>
      </x:c>
      <x:c r="O5232" s="37"/>
      <x:c r="P5232" s="34" t="n">
        <x:v>1375</x:v>
      </x:c>
      <x:c r="Q5232" s="37" t="n">
        <x:v>46044.17849537037</x:v>
      </x:c>
    </x:row>
    <x:row r="5233">
      <x:c r="A5233" s="22" t="n">
        <x:v>27857</x:v>
      </x:c>
      <x:c r="B5233" s="28" t="n">
        <x:v>253.97</x:v>
      </x:c>
      <x:c r="C5233" s="28" t="n">
        <x:v>279.37</x:v>
      </x:c>
      <x:c r="D5233" s="31" t="n">
        <x:f>IF(OR(ISBLANK(B5233),ISBLANK(C5233),B5233=0),"",(C5233-B5233)/B5233)</x:f>
        <x:v>0.10001181241878965</x:v>
      </x:c>
      <x:c r="E5233" s="22" t="str">
        <x:f>IF(ISBLANK(C5233),"AmountIncludingTax缺失",IF(ABS(B5233-C5233)&lt;0.005,"一致","不一致"))</x:f>
        <x:v>不一致</x:v>
      </x:c>
      <x:c r="F5233" s="19" t="str">
        <x:v>approved</x:v>
      </x:c>
      <x:c r="G5233" s="19" t="str">
        <x:v>Repairer Invoiced Processed</x:v>
      </x:c>
      <x:c r="H5233" s="19" t="str">
        <x:v>In Field</x:v>
      </x:c>
      <x:c r="I5233" s="37" t="n">
        <x:v>46024</x:v>
      </x:c>
      <x:c r="J5233" s="37" t="n">
        <x:v>46024</x:v>
      </x:c>
      <x:c r="K5233" s="19" t="str">
        <x:v>Leisure Lion Pty Ltd - Toowoomba</x:v>
      </x:c>
      <x:c r="L5233" s="19" t="str">
        <x:v>Z006</x:v>
      </x:c>
      <x:c r="M5233" s="19" t="str">
        <x:v>In Field Warranty Claims</x:v>
      </x:c>
      <x:c r="N5233" s="37" t="n">
        <x:v>45973</x:v>
      </x:c>
      <x:c r="O5233" s="37"/>
      <x:c r="P5233" s="34" t="n">
        <x:v>279.37</x:v>
      </x:c>
      <x:c r="Q5233" s="37" t="n">
        <x:v>46023.98478009259</x:v>
      </x:c>
    </x:row>
    <x:row r="5234">
      <x:c r="A5234" s="22" t="n">
        <x:v>27855</x:v>
      </x:c>
      <x:c r="B5234" s="28" t="n">
        <x:v>2094</x:v>
      </x:c>
      <x:c r="C5234" s="28"/>
      <x:c r="D5234" s="31" t="str">
        <x:f>IF(OR(ISBLANK(B5234),ISBLANK(C5234),B5234=0),"",(C5234-B5234)/B5234)</x:f>
      </x:c>
      <x:c r="E5234" s="22" t="str">
        <x:f>IF(ISBLANK(C5234),"AmountIncludingTax缺失",IF(ABS(B5234-C5234)&lt;0.005,"一致","不一致"))</x:f>
        <x:v>AmountIncludingTax缺失</x:v>
      </x:c>
      <x:c r="F5234" s="19" t="str">
        <x:v>approved</x:v>
      </x:c>
      <x:c r="G5234" s="19" t="str">
        <x:v>Repairer Invoiced Processed</x:v>
      </x:c>
      <x:c r="H5234" s="19" t="str">
        <x:v>In Field</x:v>
      </x:c>
      <x:c r="I5234" s="37" t="n">
        <x:v>46024</x:v>
      </x:c>
      <x:c r="J5234" s="37" t="n">
        <x:v>46024</x:v>
      </x:c>
      <x:c r="K5234" s="19" t="str">
        <x:v>Vanari Caravans - Marden Point</x:v>
      </x:c>
      <x:c r="L5234" s="19" t="str">
        <x:v>Z006</x:v>
      </x:c>
      <x:c r="M5234" s="19" t="str">
        <x:v>In Field Warranty Claims</x:v>
      </x:c>
      <x:c r="N5234" s="37" t="n">
        <x:v>45973</x:v>
      </x:c>
      <x:c r="O5234" s="37"/>
      <x:c r="P5234" s="34" t="n">
        <x:v>1895.91</x:v>
      </x:c>
      <x:c r="Q5234" s="37" t="n">
        <x:v>46024.28238425926</x:v>
      </x:c>
    </x:row>
    <x:row r="5235">
      <x:c r="A5235" s="22" t="n">
        <x:v>27853</x:v>
      </x:c>
      <x:c r="B5235" s="28" t="n">
        <x:v>67.5</x:v>
      </x:c>
      <x:c r="C5235" s="28"/>
      <x:c r="D5235" s="31" t="str">
        <x:f>IF(OR(ISBLANK(B5235),ISBLANK(C5235),B5235=0),"",(C5235-B5235)/B5235)</x:f>
      </x:c>
      <x:c r="E5235" s="22" t="str">
        <x:f>IF(ISBLANK(C5235),"AmountIncludingTax缺失",IF(ABS(B5235-C5235)&lt;0.005,"一致","不一致"))</x:f>
        <x:v>AmountIncludingTax缺失</x:v>
      </x:c>
      <x:c r="F5235" s="19" t="str">
        <x:v>approved</x:v>
      </x:c>
      <x:c r="G5235" s="19" t="str">
        <x:v>Repair in Progress</x:v>
      </x:c>
      <x:c r="H5235" s="19" t="str">
        <x:v>Pre Delivery</x:v>
      </x:c>
      <x:c r="I5235" s="37" t="n">
        <x:v>46086</x:v>
      </x:c>
      <x:c r="J5235" s="37" t="n">
        <x:v>46086</x:v>
      </x:c>
      <x:c r="K5235" s="19" t="str">
        <x:v>Snowy River Launceston</x:v>
      </x:c>
      <x:c r="L5235" s="19" t="str">
        <x:v>Z005</x:v>
      </x:c>
      <x:c r="M5235" s="19" t="str">
        <x:v>Pre Delivery Warranty Claims</x:v>
      </x:c>
      <x:c r="N5235" s="37" t="n">
        <x:v>45973</x:v>
      </x:c>
      <x:c r="O5235" s="37"/>
      <x:c r="P5235" s="34" t="n">
        <x:v>0</x:v>
      </x:c>
      <x:c r="Q5235" s="37" t="n">
        <x:v>46086.15383101852</x:v>
      </x:c>
    </x:row>
    <x:row r="5236">
      <x:c r="A5236" s="22" t="n">
        <x:v>27849</x:v>
      </x:c>
      <x:c r="B5236" s="28" t="n">
        <x:v>273.75</x:v>
      </x:c>
      <x:c r="C5236" s="28"/>
      <x:c r="D5236" s="31" t="str">
        <x:f>IF(OR(ISBLANK(B5236),ISBLANK(C5236),B5236=0),"",(C5236-B5236)/B5236)</x:f>
      </x:c>
      <x:c r="E5236" s="22" t="str">
        <x:f>IF(ISBLANK(C5236),"AmountIncludingTax缺失",IF(ABS(B5236-C5236)&lt;0.005,"一致","不一致"))</x:f>
        <x:v>AmountIncludingTax缺失</x:v>
      </x:c>
      <x:c r="F5236" s="19" t="str">
        <x:v>approved</x:v>
      </x:c>
      <x:c r="G5236" s="19" t="str">
        <x:v>Repair in Progress</x:v>
      </x:c>
      <x:c r="H5236" s="19" t="str">
        <x:v>In Field</x:v>
      </x:c>
      <x:c r="I5236" s="37" t="n">
        <x:v>46057</x:v>
      </x:c>
      <x:c r="J5236" s="37" t="n">
        <x:v>46057</x:v>
      </x:c>
      <x:c r="K5236" s="19" t="str">
        <x:v>The Caravan Hub - Townsville</x:v>
      </x:c>
      <x:c r="L5236" s="19" t="str">
        <x:v>Z006</x:v>
      </x:c>
      <x:c r="M5236" s="19" t="str">
        <x:v>In Field Warranty Claims</x:v>
      </x:c>
      <x:c r="N5236" s="37" t="n">
        <x:v>45973</x:v>
      </x:c>
      <x:c r="O5236" s="37"/>
      <x:c r="P5236" s="34" t="n">
        <x:v>0</x:v>
      </x:c>
      <x:c r="Q5236" s="37" t="n">
        <x:v>46057.12611111111</x:v>
      </x:c>
    </x:row>
    <x:row r="5237">
      <x:c r="A5237" s="22" t="n">
        <x:v>27846</x:v>
      </x:c>
      <x:c r="B5237" s="28" t="n">
        <x:v>375</x:v>
      </x:c>
      <x:c r="C5237" s="28"/>
      <x:c r="D5237" s="31" t="str">
        <x:f>IF(OR(ISBLANK(B5237),ISBLANK(C5237),B5237=0),"",(C5237-B5237)/B5237)</x:f>
      </x:c>
      <x:c r="E5237" s="22" t="str">
        <x:f>IF(ISBLANK(C5237),"AmountIncludingTax缺失",IF(ABS(B5237-C5237)&lt;0.005,"一致","不一致"))</x:f>
        <x:v>AmountIncludingTax缺失</x:v>
      </x:c>
      <x:c r="F5237" s="19" t="str">
        <x:v>approved</x:v>
      </x:c>
      <x:c r="G5237" s="19" t="str">
        <x:v>Repairer Invoiced Processed</x:v>
      </x:c>
      <x:c r="H5237" s="19" t="str">
        <x:v>In Field</x:v>
      </x:c>
      <x:c r="I5237" s="37" t="n">
        <x:v>46198</x:v>
      </x:c>
      <x:c r="J5237" s="37" t="n">
        <x:v>46198</x:v>
      </x:c>
      <x:c r="K5237" s="19" t="str">
        <x:v>Leisure Lion Pty Ltd - Morisset</x:v>
      </x:c>
      <x:c r="L5237" s="19" t="str">
        <x:v>Z006</x:v>
      </x:c>
      <x:c r="M5237" s="19" t="str">
        <x:v>In Field Warranty Claims</x:v>
      </x:c>
      <x:c r="N5237" s="37" t="n">
        <x:v>45973</x:v>
      </x:c>
      <x:c r="O5237" s="37"/>
      <x:c r="P5237" s="34" t="n">
        <x:v>0</x:v>
      </x:c>
      <x:c r="Q5237" s="37" t="n">
        <x:v>46198.24986111111</x:v>
      </x:c>
    </x:row>
    <x:row r="5238">
      <x:c r="A5238" s="22" t="n">
        <x:v>27845</x:v>
      </x:c>
      <x:c r="B5238" s="28" t="n">
        <x:v>455</x:v>
      </x:c>
      <x:c r="C5238" s="28"/>
      <x:c r="D5238" s="31" t="str">
        <x:f>IF(OR(ISBLANK(B5238),ISBLANK(C5238),B5238=0),"",(C5238-B5238)/B5238)</x:f>
      </x:c>
      <x:c r="E5238" s="22" t="str">
        <x:f>IF(ISBLANK(C5238),"AmountIncludingTax缺失",IF(ABS(B5238-C5238)&lt;0.005,"一致","不一致"))</x:f>
        <x:v>AmountIncludingTax缺失</x:v>
      </x:c>
      <x:c r="F5238" s="19" t="str">
        <x:v>approved</x:v>
      </x:c>
      <x:c r="G5238" s="19" t="str">
        <x:v>Repairer Invoiced Processed</x:v>
      </x:c>
      <x:c r="H5238" s="19" t="str">
        <x:v>Pre Delivery</x:v>
      </x:c>
      <x:c r="I5238" s="37" t="n">
        <x:v>46058</x:v>
      </x:c>
      <x:c r="J5238" s="37" t="n">
        <x:v>46058</x:v>
      </x:c>
      <x:c r="K5238" s="19" t="str">
        <x:v>The Caravan Hub - Townsville</x:v>
      </x:c>
      <x:c r="L5238" s="19" t="str">
        <x:v>Z005</x:v>
      </x:c>
      <x:c r="M5238" s="19" t="str">
        <x:v>Pre Delivery Warranty Claims</x:v>
      </x:c>
      <x:c r="N5238" s="37" t="n">
        <x:v>45973</x:v>
      </x:c>
      <x:c r="O5238" s="37"/>
      <x:c r="P5238" s="34" t="n">
        <x:v>0</x:v>
      </x:c>
      <x:c r="Q5238" s="37" t="n">
        <x:v>46058.14612268518</x:v>
      </x:c>
    </x:row>
    <x:row r="5239">
      <x:c r="A5239" s="22" t="n">
        <x:v>27841</x:v>
      </x:c>
      <x:c r="B5239" s="28" t="n">
        <x:v>505</x:v>
      </x:c>
      <x:c r="C5239" s="28" t="n">
        <x:v>555.5</x:v>
      </x:c>
      <x:c r="D5239" s="31" t="n">
        <x:f>IF(OR(ISBLANK(B5239),ISBLANK(C5239),B5239=0),"",(C5239-B5239)/B5239)</x:f>
        <x:v>0.1</x:v>
      </x:c>
      <x:c r="E5239" s="22" t="str">
        <x:f>IF(ISBLANK(C5239),"AmountIncludingTax缺失",IF(ABS(B5239-C5239)&lt;0.005,"一致","不一致"))</x:f>
        <x:v>不一致</x:v>
      </x:c>
      <x:c r="F5239" s="19" t="str">
        <x:v>approved</x:v>
      </x:c>
      <x:c r="G5239" s="19" t="str">
        <x:v>Repairer Invoiced Received</x:v>
      </x:c>
      <x:c r="H5239" s="19" t="str">
        <x:v>In Field</x:v>
      </x:c>
      <x:c r="I5239" s="37" t="n">
        <x:v>46055</x:v>
      </x:c>
      <x:c r="J5239" s="37" t="n">
        <x:v>46055</x:v>
      </x:c>
      <x:c r="K5239" s="19" t="str">
        <x:v>Regent RV Pty Ltd</x:v>
      </x:c>
      <x:c r="L5239" s="19" t="str">
        <x:v>Z006</x:v>
      </x:c>
      <x:c r="M5239" s="19" t="str">
        <x:v>In Field Warranty Claims</x:v>
      </x:c>
      <x:c r="N5239" s="37" t="n">
        <x:v>45973</x:v>
      </x:c>
      <x:c r="O5239" s="37"/>
      <x:c r="P5239" s="34" t="n">
        <x:v>555.5</x:v>
      </x:c>
      <x:c r="Q5239" s="37" t="n">
        <x:v>46055.119421296295</x:v>
      </x:c>
    </x:row>
    <x:row r="5240">
      <x:c r="A5240" s="22" t="n">
        <x:v>27839</x:v>
      </x:c>
      <x:c r="B5240" s="28" t="n">
        <x:v>563.75</x:v>
      </x:c>
      <x:c r="C5240" s="28"/>
      <x:c r="D5240" s="31" t="str">
        <x:f>IF(OR(ISBLANK(B5240),ISBLANK(C5240),B5240=0),"",(C5240-B5240)/B5240)</x:f>
      </x:c>
      <x:c r="E5240" s="22" t="str">
        <x:f>IF(ISBLANK(C5240),"AmountIncludingTax缺失",IF(ABS(B5240-C5240)&lt;0.005,"一致","不一致"))</x:f>
        <x:v>AmountIncludingTax缺失</x:v>
      </x:c>
      <x:c r="F5240" s="19" t="str">
        <x:v>approved</x:v>
      </x:c>
      <x:c r="G5240" s="19" t="str">
        <x:v>Repair in Progress</x:v>
      </x:c>
      <x:c r="H5240" s="19" t="str">
        <x:v>In Field</x:v>
      </x:c>
      <x:c r="I5240" s="37" t="n">
        <x:v>46156</x:v>
      </x:c>
      <x:c r="J5240" s="37" t="n">
        <x:v>46156</x:v>
      </x:c>
      <x:c r="K5240" s="19" t="str">
        <x:v>Green RV - Forest Glen</x:v>
      </x:c>
      <x:c r="L5240" s="19" t="str">
        <x:v>Z006</x:v>
      </x:c>
      <x:c r="M5240" s="19" t="str">
        <x:v>In Field Warranty Claims</x:v>
      </x:c>
      <x:c r="N5240" s="37" t="n">
        <x:v>45973</x:v>
      </x:c>
      <x:c r="O5240" s="37"/>
      <x:c r="P5240" s="34" t="n">
        <x:v>0</x:v>
      </x:c>
      <x:c r="Q5240" s="37" t="n">
        <x:v>46156.15137731482</x:v>
      </x:c>
    </x:row>
    <x:row r="5241">
      <x:c r="A5241" s="22" t="n">
        <x:v>27837</x:v>
      </x:c>
      <x:c r="B5241" s="28" t="n">
        <x:v>590</x:v>
      </x:c>
      <x:c r="C5241" s="28"/>
      <x:c r="D5241" s="31" t="str">
        <x:f>IF(OR(ISBLANK(B5241),ISBLANK(C5241),B5241=0),"",(C5241-B5241)/B5241)</x:f>
      </x:c>
      <x:c r="E5241" s="22" t="str">
        <x:f>IF(ISBLANK(C5241),"AmountIncludingTax缺失",IF(ABS(B5241-C5241)&lt;0.005,"一致","不一致"))</x:f>
        <x:v>AmountIncludingTax缺失</x:v>
      </x:c>
      <x:c r="F5241" s="19" t="str">
        <x:v>approved</x:v>
      </x:c>
      <x:c r="G5241" s="19" t="str">
        <x:v>Repairer Invoiced Processed</x:v>
      </x:c>
      <x:c r="H5241" s="19" t="str">
        <x:v>In Field</x:v>
      </x:c>
      <x:c r="I5241" s="37" t="n">
        <x:v>46073</x:v>
      </x:c>
      <x:c r="J5241" s="37" t="n">
        <x:v>46073</x:v>
      </x:c>
      <x:c r="K5241" s="19" t="str">
        <x:v>The Caravan Hub - Townsville</x:v>
      </x:c>
      <x:c r="L5241" s="19" t="str">
        <x:v>Z006</x:v>
      </x:c>
      <x:c r="M5241" s="19" t="str">
        <x:v>In Field Warranty Claims</x:v>
      </x:c>
      <x:c r="N5241" s="37" t="n">
        <x:v>45973</x:v>
      </x:c>
      <x:c r="O5241" s="37"/>
      <x:c r="P5241" s="34" t="n">
        <x:v>0</x:v>
      </x:c>
      <x:c r="Q5241" s="37" t="n">
        <x:v>46073.025034722225</x:v>
      </x:c>
    </x:row>
    <x:row r="5242">
      <x:c r="A5242" s="22" t="n">
        <x:v>27836</x:v>
      </x:c>
      <x:c r="B5242" s="28" t="n">
        <x:v>492.5</x:v>
      </x:c>
      <x:c r="C5242" s="28"/>
      <x:c r="D5242" s="31" t="str">
        <x:f>IF(OR(ISBLANK(B5242),ISBLANK(C5242),B5242=0),"",(C5242-B5242)/B5242)</x:f>
      </x:c>
      <x:c r="E5242" s="22" t="str">
        <x:f>IF(ISBLANK(C5242),"AmountIncludingTax缺失",IF(ABS(B5242-C5242)&lt;0.005,"一致","不一致"))</x:f>
        <x:v>AmountIncludingTax缺失</x:v>
      </x:c>
      <x:c r="F5242" s="19" t="str">
        <x:v>approved</x:v>
      </x:c>
      <x:c r="G5242" s="19" t="str">
        <x:v>Repair in Progress</x:v>
      </x:c>
      <x:c r="H5242" s="19" t="str">
        <x:v>In Field</x:v>
      </x:c>
      <x:c r="I5242" s="37" t="n">
        <x:v>46084</x:v>
      </x:c>
      <x:c r="J5242" s="37" t="n">
        <x:v>46084</x:v>
      </x:c>
      <x:c r="K5242" s="19" t="str">
        <x:v>Green RV - Forest Glen</x:v>
      </x:c>
      <x:c r="L5242" s="19" t="str">
        <x:v>Z006</x:v>
      </x:c>
      <x:c r="M5242" s="19" t="str">
        <x:v>In Field Warranty Claims</x:v>
      </x:c>
      <x:c r="N5242" s="37" t="n">
        <x:v>45973</x:v>
      </x:c>
      <x:c r="O5242" s="37"/>
      <x:c r="P5242" s="34" t="n">
        <x:v>0</x:v>
      </x:c>
      <x:c r="Q5242" s="37" t="n">
        <x:v>46084.143900462965</x:v>
      </x:c>
    </x:row>
    <x:row r="5243">
      <x:c r="A5243" s="22" t="n">
        <x:v>27835</x:v>
      </x:c>
      <x:c r="B5243" s="28" t="n">
        <x:v>155</x:v>
      </x:c>
      <x:c r="C5243" s="28" t="n">
        <x:v>170.5</x:v>
      </x:c>
      <x:c r="D5243" s="31" t="n">
        <x:f>IF(OR(ISBLANK(B5243),ISBLANK(C5243),B5243=0),"",(C5243-B5243)/B5243)</x:f>
        <x:v>0.1</x:v>
      </x:c>
      <x:c r="E5243" s="22" t="str">
        <x:f>IF(ISBLANK(C5243),"AmountIncludingTax缺失",IF(ABS(B5243-C5243)&lt;0.005,"一致","不一致"))</x:f>
        <x:v>不一致</x:v>
      </x:c>
      <x:c r="F5243" s="19" t="str">
        <x:v>approved</x:v>
      </x:c>
      <x:c r="G5243" s="19" t="str">
        <x:v>Repairer Invoiced Processed</x:v>
      </x:c>
      <x:c r="H5243" s="19" t="str">
        <x:v>In Field</x:v>
      </x:c>
      <x:c r="I5243" s="37" t="n">
        <x:v>46057</x:v>
      </x:c>
      <x:c r="J5243" s="37" t="n">
        <x:v>46057</x:v>
      </x:c>
      <x:c r="K5243" s="19" t="str">
        <x:v>The Caravan Hub - Townsville</x:v>
      </x:c>
      <x:c r="L5243" s="19" t="str">
        <x:v>Z006</x:v>
      </x:c>
      <x:c r="M5243" s="19" t="str">
        <x:v>In Field Warranty Claims</x:v>
      </x:c>
      <x:c r="N5243" s="37" t="n">
        <x:v>45973</x:v>
      </x:c>
      <x:c r="O5243" s="37"/>
      <x:c r="P5243" s="34" t="n">
        <x:v>170.5</x:v>
      </x:c>
      <x:c r="Q5243" s="37" t="n">
        <x:v>46057.09658564815</x:v>
      </x:c>
    </x:row>
    <x:row r="5244">
      <x:c r="A5244" s="22" t="n">
        <x:v>27833</x:v>
      </x:c>
      <x:c r="B5244" s="28" t="n">
        <x:v>256.83</x:v>
      </x:c>
      <x:c r="C5244" s="28" t="n">
        <x:v>282.51</x:v>
      </x:c>
      <x:c r="D5244" s="31" t="n">
        <x:f>IF(OR(ISBLANK(B5244),ISBLANK(C5244),B5244=0),"",(C5244-B5244)/B5244)</x:f>
        <x:v>0.09998831912159797</x:v>
      </x:c>
      <x:c r="E5244" s="22" t="str">
        <x:f>IF(ISBLANK(C5244),"AmountIncludingTax缺失",IF(ABS(B5244-C5244)&lt;0.005,"一致","不一致"))</x:f>
        <x:v>不一致</x:v>
      </x:c>
      <x:c r="F5244" s="19" t="str">
        <x:v>approved</x:v>
      </x:c>
      <x:c r="G5244" s="19" t="str">
        <x:v>Repairer Invoiced Processed</x:v>
      </x:c>
      <x:c r="H5244" s="19" t="str">
        <x:v>In Field</x:v>
      </x:c>
      <x:c r="I5244" s="37" t="n">
        <x:v>46038</x:v>
      </x:c>
      <x:c r="J5244" s="37" t="n">
        <x:v>46038</x:v>
      </x:c>
      <x:c r="K5244" s="19" t="str">
        <x:v>Green RV - Forest Glen</x:v>
      </x:c>
      <x:c r="L5244" s="19" t="str">
        <x:v>Z006</x:v>
      </x:c>
      <x:c r="M5244" s="19" t="str">
        <x:v>In Field Warranty Claims</x:v>
      </x:c>
      <x:c r="N5244" s="37" t="n">
        <x:v>45973</x:v>
      </x:c>
      <x:c r="O5244" s="37"/>
      <x:c r="P5244" s="34" t="n">
        <x:v>282.51</x:v>
      </x:c>
      <x:c r="Q5244" s="37" t="n">
        <x:v>46037.858136574076</x:v>
      </x:c>
    </x:row>
    <x:row r="5245">
      <x:c r="A5245" s="22" t="n">
        <x:v>27832</x:v>
      </x:c>
      <x:c r="B5245" s="28" t="n">
        <x:v>380.91</x:v>
      </x:c>
      <x:c r="C5245" s="28" t="n">
        <x:v>419</x:v>
      </x:c>
      <x:c r="D5245" s="31" t="n">
        <x:f>IF(OR(ISBLANK(B5245),ISBLANK(C5245),B5245=0),"",(C5245-B5245)/B5245)</x:f>
        <x:v>0.09999737470793618</x:v>
      </x:c>
      <x:c r="E5245" s="22" t="str">
        <x:f>IF(ISBLANK(C5245),"AmountIncludingTax缺失",IF(ABS(B5245-C5245)&lt;0.005,"一致","不一致"))</x:f>
        <x:v>不一致</x:v>
      </x:c>
      <x:c r="F5245" s="19" t="str">
        <x:v>approved</x:v>
      </x:c>
      <x:c r="G5245" s="19" t="str">
        <x:v>Repair in Progress</x:v>
      </x:c>
      <x:c r="H5245" s="19" t="str">
        <x:v>Pre Delivery</x:v>
      </x:c>
      <x:c r="I5245" s="37" t="n">
        <x:v>46113</x:v>
      </x:c>
      <x:c r="J5245" s="37" t="n">
        <x:v>46113</x:v>
      </x:c>
      <x:c r="K5245" s="19" t="str">
        <x:v>Auswide Caravans - South Nowra</x:v>
      </x:c>
      <x:c r="L5245" s="19" t="str">
        <x:v>Z005</x:v>
      </x:c>
      <x:c r="M5245" s="19" t="str">
        <x:v>Pre Delivery Warranty Claims</x:v>
      </x:c>
      <x:c r="N5245" s="37" t="n">
        <x:v>45973</x:v>
      </x:c>
      <x:c r="O5245" s="37"/>
      <x:c r="P5245" s="34" t="n">
        <x:v>419</x:v>
      </x:c>
      <x:c r="Q5245" s="37" t="n">
        <x:v>46112.954722222225</x:v>
      </x:c>
    </x:row>
    <x:row r="5246">
      <x:c r="A5246" s="22" t="n">
        <x:v>27831</x:v>
      </x:c>
      <x:c r="B5246" s="28" t="n">
        <x:v>400</x:v>
      </x:c>
      <x:c r="C5246" s="28"/>
      <x:c r="D5246" s="31" t="str">
        <x:f>IF(OR(ISBLANK(B5246),ISBLANK(C5246),B5246=0),"",(C5246-B5246)/B5246)</x:f>
      </x:c>
      <x:c r="E5246" s="22" t="str">
        <x:f>IF(ISBLANK(C5246),"AmountIncludingTax缺失",IF(ABS(B5246-C5246)&lt;0.005,"一致","不一致"))</x:f>
        <x:v>AmountIncludingTax缺失</x:v>
      </x:c>
      <x:c r="F5246" s="19" t="str">
        <x:v>approved</x:v>
      </x:c>
      <x:c r="G5246" s="19" t="str">
        <x:v>Repair in Progress</x:v>
      </x:c>
      <x:c r="H5246" s="19" t="str">
        <x:v>Pre Delivery</x:v>
      </x:c>
      <x:c r="I5246" s="37" t="n">
        <x:v>46056</x:v>
      </x:c>
      <x:c r="J5246" s="37" t="n">
        <x:v>46056</x:v>
      </x:c>
      <x:c r="K5246" s="19" t="str">
        <x:v>Regent RV - Perth</x:v>
      </x:c>
      <x:c r="L5246" s="19" t="str">
        <x:v>Z005</x:v>
      </x:c>
      <x:c r="M5246" s="19" t="str">
        <x:v>Pre Delivery Warranty Claims</x:v>
      </x:c>
      <x:c r="N5246" s="37" t="n">
        <x:v>45973</x:v>
      </x:c>
      <x:c r="O5246" s="37"/>
      <x:c r="P5246" s="34" t="n">
        <x:v>0</x:v>
      </x:c>
      <x:c r="Q5246" s="37" t="n">
        <x:v>46056.253125</x:v>
      </x:c>
    </x:row>
    <x:row r="5247">
      <x:c r="A5247" s="22" t="n">
        <x:v>27830</x:v>
      </x:c>
      <x:c r="B5247" s="28" t="n">
        <x:v>101.25</x:v>
      </x:c>
      <x:c r="C5247" s="28"/>
      <x:c r="D5247" s="31" t="str">
        <x:f>IF(OR(ISBLANK(B5247),ISBLANK(C5247),B5247=0),"",(C5247-B5247)/B5247)</x:f>
      </x:c>
      <x:c r="E5247" s="22" t="str">
        <x:f>IF(ISBLANK(C5247),"AmountIncludingTax缺失",IF(ABS(B5247-C5247)&lt;0.005,"一致","不一致"))</x:f>
        <x:v>AmountIncludingTax缺失</x:v>
      </x:c>
      <x:c r="F5247" s="19" t="str">
        <x:v>approved</x:v>
      </x:c>
      <x:c r="G5247" s="19" t="str">
        <x:v>Repairer Invoiced Processed</x:v>
      </x:c>
      <x:c r="H5247" s="19" t="str">
        <x:v>In Field</x:v>
      </x:c>
      <x:c r="I5247" s="37" t="n">
        <x:v>46084</x:v>
      </x:c>
      <x:c r="J5247" s="37" t="n">
        <x:v>46084</x:v>
      </x:c>
      <x:c r="K5247" s="19" t="str">
        <x:v>Green RV - Forest Glen</x:v>
      </x:c>
      <x:c r="L5247" s="19" t="str">
        <x:v>Z006</x:v>
      </x:c>
      <x:c r="M5247" s="19" t="str">
        <x:v>In Field Warranty Claims</x:v>
      </x:c>
      <x:c r="N5247" s="37" t="n">
        <x:v>45973</x:v>
      </x:c>
      <x:c r="O5247" s="37"/>
      <x:c r="P5247" s="34" t="n">
        <x:v>0</x:v>
      </x:c>
      <x:c r="Q5247" s="37" t="n">
        <x:v>46084.13663194444</x:v>
      </x:c>
    </x:row>
    <x:row r="5248">
      <x:c r="A5248" s="22" t="n">
        <x:v>27827</x:v>
      </x:c>
      <x:c r="B5248" s="28" t="n">
        <x:v>425</x:v>
      </x:c>
      <x:c r="C5248" s="28" t="n">
        <x:v>467.5</x:v>
      </x:c>
      <x:c r="D5248" s="31" t="n">
        <x:f>IF(OR(ISBLANK(B5248),ISBLANK(C5248),B5248=0),"",(C5248-B5248)/B5248)</x:f>
        <x:v>0.1</x:v>
      </x:c>
      <x:c r="E5248" s="22" t="str">
        <x:f>IF(ISBLANK(C5248),"AmountIncludingTax缺失",IF(ABS(B5248-C5248)&lt;0.005,"一致","不一致"))</x:f>
        <x:v>不一致</x:v>
      </x:c>
      <x:c r="F5248" s="19" t="str">
        <x:v>approved</x:v>
      </x:c>
      <x:c r="G5248" s="19" t="str">
        <x:v>Repair in Progress</x:v>
      </x:c>
      <x:c r="H5248" s="19" t="str">
        <x:v>Pre Delivery</x:v>
      </x:c>
      <x:c r="I5248" s="37" t="n">
        <x:v>46175</x:v>
      </x:c>
      <x:c r="J5248" s="37" t="n">
        <x:v>46175</x:v>
      </x:c>
      <x:c r="K5248" s="19" t="str">
        <x:v>Auswide Caravans - South Nowra</x:v>
      </x:c>
      <x:c r="L5248" s="19" t="str">
        <x:v>Z005</x:v>
      </x:c>
      <x:c r="M5248" s="19" t="str">
        <x:v>Pre Delivery Warranty Claims</x:v>
      </x:c>
      <x:c r="N5248" s="37" t="n">
        <x:v>45973</x:v>
      </x:c>
      <x:c r="O5248" s="37"/>
      <x:c r="P5248" s="34" t="n">
        <x:v>467.5</x:v>
      </x:c>
      <x:c r="Q5248" s="37" t="n">
        <x:v>46175.03921296296</x:v>
      </x:c>
    </x:row>
    <x:row r="5249">
      <x:c r="A5249" s="22" t="n">
        <x:v>27825</x:v>
      </x:c>
      <x:c r="B5249" s="28" t="n">
        <x:v>347.5</x:v>
      </x:c>
      <x:c r="C5249" s="28"/>
      <x:c r="D5249" s="31" t="str">
        <x:f>IF(OR(ISBLANK(B5249),ISBLANK(C5249),B5249=0),"",(C5249-B5249)/B5249)</x:f>
      </x:c>
      <x:c r="E5249" s="22" t="str">
        <x:f>IF(ISBLANK(C5249),"AmountIncludingTax缺失",IF(ABS(B5249-C5249)&lt;0.005,"一致","不一致"))</x:f>
        <x:v>AmountIncludingTax缺失</x:v>
      </x:c>
      <x:c r="F5249" s="19" t="str">
        <x:v>approved</x:v>
      </x:c>
      <x:c r="G5249" s="19" t="str">
        <x:v>Repairer Invoiced Processed</x:v>
      </x:c>
      <x:c r="H5249" s="19" t="str">
        <x:v>In Field</x:v>
      </x:c>
      <x:c r="I5249" s="37" t="n">
        <x:v>46063</x:v>
      </x:c>
      <x:c r="J5249" s="37" t="n">
        <x:v>46063</x:v>
      </x:c>
      <x:c r="K5249" s="19" t="str">
        <x:v>Green RV - Forest Glen</x:v>
      </x:c>
      <x:c r="L5249" s="19" t="str">
        <x:v>Z006</x:v>
      </x:c>
      <x:c r="M5249" s="19" t="str">
        <x:v>In Field Warranty Claims</x:v>
      </x:c>
      <x:c r="N5249" s="37" t="n">
        <x:v>45973</x:v>
      </x:c>
      <x:c r="O5249" s="37"/>
      <x:c r="P5249" s="34" t="n">
        <x:v>0</x:v>
      </x:c>
      <x:c r="Q5249" s="37" t="n">
        <x:v>46063.10884259259</x:v>
      </x:c>
    </x:row>
    <x:row r="5250">
      <x:c r="A5250" s="22" t="n">
        <x:v>27823</x:v>
      </x:c>
      <x:c r="B5250" s="28" t="n">
        <x:v>854.38</x:v>
      </x:c>
      <x:c r="C5250" s="28" t="n">
        <x:v>939.82</x:v>
      </x:c>
      <x:c r="D5250" s="31" t="n">
        <x:f>IF(OR(ISBLANK(B5250),ISBLANK(C5250),B5250=0),"",(C5250-B5250)/B5250)</x:f>
        <x:v>0.10000234087876596</x:v>
      </x:c>
      <x:c r="E5250" s="22" t="str">
        <x:f>IF(ISBLANK(C5250),"AmountIncludingTax缺失",IF(ABS(B5250-C5250)&lt;0.005,"一致","不一致"))</x:f>
        <x:v>不一致</x:v>
      </x:c>
      <x:c r="F5250" s="19" t="str">
        <x:v>approved</x:v>
      </x:c>
      <x:c r="G5250" s="19" t="str">
        <x:v>Repairer Invoiced Processed</x:v>
      </x:c>
      <x:c r="H5250" s="19" t="str">
        <x:v>In Field</x:v>
      </x:c>
      <x:c r="I5250" s="37" t="n">
        <x:v>46024</x:v>
      </x:c>
      <x:c r="J5250" s="37" t="n">
        <x:v>46024</x:v>
      </x:c>
      <x:c r="K5250" s="19" t="str">
        <x:v>Green RV - Forest Glen</x:v>
      </x:c>
      <x:c r="L5250" s="19" t="str">
        <x:v>Z006</x:v>
      </x:c>
      <x:c r="M5250" s="19" t="str">
        <x:v>In Field Warranty Claims</x:v>
      </x:c>
      <x:c r="N5250" s="37" t="n">
        <x:v>45973</x:v>
      </x:c>
      <x:c r="O5250" s="37"/>
      <x:c r="P5250" s="34" t="n">
        <x:v>939.82</x:v>
      </x:c>
      <x:c r="Q5250" s="37" t="n">
        <x:v>46024.21021990741</x:v>
      </x:c>
    </x:row>
    <x:row r="5251">
      <x:c r="A5251" s="22" t="n">
        <x:v>27820</x:v>
      </x:c>
      <x:c r="B5251" s="28" t="n">
        <x:v>400</x:v>
      </x:c>
      <x:c r="C5251" s="28" t="n">
        <x:v>440</x:v>
      </x:c>
      <x:c r="D5251" s="31" t="n">
        <x:f>IF(OR(ISBLANK(B5251),ISBLANK(C5251),B5251=0),"",(C5251-B5251)/B5251)</x:f>
        <x:v>0.1</x:v>
      </x:c>
      <x:c r="E5251" s="22" t="str">
        <x:f>IF(ISBLANK(C5251),"AmountIncludingTax缺失",IF(ABS(B5251-C5251)&lt;0.005,"一致","不一致"))</x:f>
        <x:v>不一致</x:v>
      </x:c>
      <x:c r="F5251" s="19" t="str">
        <x:v>approved</x:v>
      </x:c>
      <x:c r="G5251" s="19" t="str">
        <x:v>Repairer Invoiced Processed</x:v>
      </x:c>
      <x:c r="H5251" s="19" t="str">
        <x:v>In Field</x:v>
      </x:c>
      <x:c r="I5251" s="37" t="n">
        <x:v>46024</x:v>
      </x:c>
      <x:c r="J5251" s="37" t="n">
        <x:v>46024</x:v>
      </x:c>
      <x:c r="K5251" s="19" t="str">
        <x:v>Green RV - Forest Glen</x:v>
      </x:c>
      <x:c r="L5251" s="19" t="str">
        <x:v>Z006</x:v>
      </x:c>
      <x:c r="M5251" s="19" t="str">
        <x:v>In Field Warranty Claims</x:v>
      </x:c>
      <x:c r="N5251" s="37" t="n">
        <x:v>45973</x:v>
      </x:c>
      <x:c r="O5251" s="37"/>
      <x:c r="P5251" s="34" t="n">
        <x:v>440</x:v>
      </x:c>
      <x:c r="Q5251" s="37" t="n">
        <x:v>46024.239699074074</x:v>
      </x:c>
    </x:row>
    <x:row r="5252">
      <x:c r="A5252" s="22" t="n">
        <x:v>27817</x:v>
      </x:c>
      <x:c r="B5252" s="28" t="n">
        <x:v>140</x:v>
      </x:c>
      <x:c r="C5252" s="28" t="n">
        <x:v>126.76</x:v>
      </x:c>
      <x:c r="D5252" s="31" t="n">
        <x:f>IF(OR(ISBLANK(B5252),ISBLANK(C5252),B5252=0),"",(C5252-B5252)/B5252)</x:f>
        <x:v>-0.09457142857142853</x:v>
      </x:c>
      <x:c r="E5252" s="22" t="str">
        <x:f>IF(ISBLANK(C5252),"AmountIncludingTax缺失",IF(ABS(B5252-C5252)&lt;0.005,"一致","不一致"))</x:f>
        <x:v>不一致</x:v>
      </x:c>
      <x:c r="F5252" s="19" t="str">
        <x:v>approved</x:v>
      </x:c>
      <x:c r="G5252" s="19" t="str">
        <x:v>Repairer Invoiced Processed</x:v>
      </x:c>
      <x:c r="H5252" s="19" t="str">
        <x:v>In Field</x:v>
      </x:c>
      <x:c r="I5252" s="37" t="n">
        <x:v>46155</x:v>
      </x:c>
      <x:c r="J5252" s="37" t="n">
        <x:v>46155</x:v>
      </x:c>
      <x:c r="K5252" s="19" t="str">
        <x:v>Vanari Caravans - Marden Point</x:v>
      </x:c>
      <x:c r="L5252" s="19" t="str">
        <x:v>Z006</x:v>
      </x:c>
      <x:c r="M5252" s="19" t="str">
        <x:v>In Field Warranty Claims</x:v>
      </x:c>
      <x:c r="N5252" s="37" t="n">
        <x:v>45973</x:v>
      </x:c>
      <x:c r="O5252" s="37"/>
      <x:c r="P5252" s="34" t="n">
        <x:v>126.76</x:v>
      </x:c>
      <x:c r="Q5252" s="37" t="n">
        <x:v>46154.95334490741</x:v>
      </x:c>
    </x:row>
    <x:row r="5253">
      <x:c r="A5253" s="22" t="n">
        <x:v>27808</x:v>
      </x:c>
      <x:c r="B5253" s="28" t="n">
        <x:v>458.91</x:v>
      </x:c>
      <x:c r="C5253" s="28" t="n">
        <x:v>504.8</x:v>
      </x:c>
      <x:c r="D5253" s="31" t="n">
        <x:f>IF(OR(ISBLANK(B5253),ISBLANK(C5253),B5253=0),"",(C5253-B5253)/B5253)</x:f>
        <x:v>0.09999782092349259</x:v>
      </x:c>
      <x:c r="E5253" s="22" t="str">
        <x:f>IF(ISBLANK(C5253),"AmountIncludingTax缺失",IF(ABS(B5253-C5253)&lt;0.005,"一致","不一致"))</x:f>
        <x:v>不一致</x:v>
      </x:c>
      <x:c r="F5253" s="19" t="str">
        <x:v>approved</x:v>
      </x:c>
      <x:c r="G5253" s="19" t="str">
        <x:v>Repairer Invoiced Processed</x:v>
      </x:c>
      <x:c r="H5253" s="19" t="str">
        <x:v>In Field</x:v>
      </x:c>
      <x:c r="I5253" s="37" t="n">
        <x:v>46024</x:v>
      </x:c>
      <x:c r="J5253" s="37" t="n">
        <x:v>46024</x:v>
      </x:c>
      <x:c r="K5253" s="19" t="str">
        <x:v>Regent RV - Perth</x:v>
      </x:c>
      <x:c r="L5253" s="19" t="str">
        <x:v>Z006</x:v>
      </x:c>
      <x:c r="M5253" s="19" t="str">
        <x:v>In Field Warranty Claims</x:v>
      </x:c>
      <x:c r="N5253" s="37" t="n">
        <x:v>45973</x:v>
      </x:c>
      <x:c r="O5253" s="37"/>
      <x:c r="P5253" s="34" t="n">
        <x:v>504.8</x:v>
      </x:c>
      <x:c r="Q5253" s="37" t="n">
        <x:v>46024.24240740741</x:v>
      </x:c>
    </x:row>
    <x:row r="5254">
      <x:c r="A5254" s="22" t="n">
        <x:v>27804</x:v>
      </x:c>
      <x:c r="B5254" s="28" t="n">
        <x:v>593</x:v>
      </x:c>
      <x:c r="C5254" s="28" t="n">
        <x:v>536.9</x:v>
      </x:c>
      <x:c r="D5254" s="31" t="n">
        <x:f>IF(OR(ISBLANK(B5254),ISBLANK(C5254),B5254=0),"",(C5254-B5254)/B5254)</x:f>
        <x:v>-0.09460370994940982</x:v>
      </x:c>
      <x:c r="E5254" s="22" t="str">
        <x:f>IF(ISBLANK(C5254),"AmountIncludingTax缺失",IF(ABS(B5254-C5254)&lt;0.005,"一致","不一致"))</x:f>
        <x:v>不一致</x:v>
      </x:c>
      <x:c r="F5254" s="19" t="str">
        <x:v>approved</x:v>
      </x:c>
      <x:c r="G5254" s="19" t="str">
        <x:v>Repairer Invoiced Processed</x:v>
      </x:c>
      <x:c r="H5254" s="19" t="str">
        <x:v>In Field</x:v>
      </x:c>
      <x:c r="I5254" s="37" t="n">
        <x:v>46024</x:v>
      </x:c>
      <x:c r="J5254" s="37" t="n">
        <x:v>46024</x:v>
      </x:c>
      <x:c r="K5254" s="19" t="str">
        <x:v>Vanari Caravans - Marden Point</x:v>
      </x:c>
      <x:c r="L5254" s="19" t="str">
        <x:v>Z006</x:v>
      </x:c>
      <x:c r="M5254" s="19" t="str">
        <x:v>In Field Warranty Claims</x:v>
      </x:c>
      <x:c r="N5254" s="37" t="n">
        <x:v>45972</x:v>
      </x:c>
      <x:c r="O5254" s="37"/>
      <x:c r="P5254" s="34" t="n">
        <x:v>536.9</x:v>
      </x:c>
      <x:c r="Q5254" s="37" t="n">
        <x:v>46023.96942129629</x:v>
      </x:c>
    </x:row>
    <x:row r="5255">
      <x:c r="A5255" s="22" t="n">
        <x:v>27803</x:v>
      </x:c>
      <x:c r="B5255" s="28" t="n">
        <x:v>621.15</x:v>
      </x:c>
      <x:c r="C5255" s="28" t="n">
        <x:v>683.27</x:v>
      </x:c>
      <x:c r="D5255" s="31" t="n">
        <x:f>IF(OR(ISBLANK(B5255),ISBLANK(C5255),B5255=0),"",(C5255-B5255)/B5255)</x:f>
        <x:v>0.10000804958544636</x:v>
      </x:c>
      <x:c r="E5255" s="22" t="str">
        <x:f>IF(ISBLANK(C5255),"AmountIncludingTax缺失",IF(ABS(B5255-C5255)&lt;0.005,"一致","不一致"))</x:f>
        <x:v>不一致</x:v>
      </x:c>
      <x:c r="F5255" s="19" t="str">
        <x:v>approved</x:v>
      </x:c>
      <x:c r="G5255" s="19" t="str">
        <x:v>Repairer Invoiced Processed</x:v>
      </x:c>
      <x:c r="H5255" s="19" t="str">
        <x:v>In Field</x:v>
      </x:c>
      <x:c r="I5255" s="37" t="n">
        <x:v>46031</x:v>
      </x:c>
      <x:c r="J5255" s="37" t="n">
        <x:v>46031</x:v>
      </x:c>
      <x:c r="K5255" s="19" t="str">
        <x:v>Green RV - Forest Glen</x:v>
      </x:c>
      <x:c r="L5255" s="19" t="str">
        <x:v>Z006</x:v>
      </x:c>
      <x:c r="M5255" s="19" t="str">
        <x:v>In Field Warranty Claims</x:v>
      </x:c>
      <x:c r="N5255" s="37" t="n">
        <x:v>45972</x:v>
      </x:c>
      <x:c r="O5255" s="37"/>
      <x:c r="P5255" s="34" t="n">
        <x:v>683.27</x:v>
      </x:c>
      <x:c r="Q5255" s="37" t="n">
        <x:v>46030.89739583333</x:v>
      </x:c>
    </x:row>
    <x:row r="5256">
      <x:c r="A5256" s="22" t="n">
        <x:v>27800</x:v>
      </x:c>
      <x:c r="B5256" s="28" t="n">
        <x:v>745.92</x:v>
      </x:c>
      <x:c r="C5256" s="28" t="n">
        <x:v>820.51</x:v>
      </x:c>
      <x:c r="D5256" s="31" t="n">
        <x:f>IF(OR(ISBLANK(B5256),ISBLANK(C5256),B5256=0),"",(C5256-B5256)/B5256)</x:f>
        <x:v>0.09999731874731879</x:v>
      </x:c>
      <x:c r="E5256" s="22" t="str">
        <x:f>IF(ISBLANK(C5256),"AmountIncludingTax缺失",IF(ABS(B5256-C5256)&lt;0.005,"一致","不一致"))</x:f>
        <x:v>不一致</x:v>
      </x:c>
      <x:c r="F5256" s="19" t="str">
        <x:v>approved</x:v>
      </x:c>
      <x:c r="G5256" s="19" t="str">
        <x:v>Repairer Invoiced Processed</x:v>
      </x:c>
      <x:c r="H5256" s="19" t="str">
        <x:v>In Field</x:v>
      </x:c>
      <x:c r="I5256" s="37" t="n">
        <x:v>46024</x:v>
      </x:c>
      <x:c r="J5256" s="37" t="n">
        <x:v>46024</x:v>
      </x:c>
      <x:c r="K5256" s="19" t="str">
        <x:v>Green RV - Forest Glen</x:v>
      </x:c>
      <x:c r="L5256" s="19" t="str">
        <x:v>Z006</x:v>
      </x:c>
      <x:c r="M5256" s="19" t="str">
        <x:v>In Field Warranty Claims</x:v>
      </x:c>
      <x:c r="N5256" s="37" t="n">
        <x:v>45972</x:v>
      </x:c>
      <x:c r="O5256" s="37"/>
      <x:c r="P5256" s="34" t="n">
        <x:v>820.51</x:v>
      </x:c>
      <x:c r="Q5256" s="37" t="n">
        <x:v>46024.24649305556</x:v>
      </x:c>
    </x:row>
    <x:row r="5257">
      <x:c r="A5257" s="22" t="n">
        <x:v>27799</x:v>
      </x:c>
      <x:c r="B5257" s="28" t="n">
        <x:v>575</x:v>
      </x:c>
      <x:c r="C5257" s="28" t="n">
        <x:v>520.61</x:v>
      </x:c>
      <x:c r="D5257" s="31" t="n">
        <x:f>IF(OR(ISBLANK(B5257),ISBLANK(C5257),B5257=0),"",(C5257-B5257)/B5257)</x:f>
        <x:v>-0.09459130434782606</x:v>
      </x:c>
      <x:c r="E5257" s="22" t="str">
        <x:f>IF(ISBLANK(C5257),"AmountIncludingTax缺失",IF(ABS(B5257-C5257)&lt;0.005,"一致","不一致"))</x:f>
        <x:v>不一致</x:v>
      </x:c>
      <x:c r="F5257" s="19" t="str">
        <x:v>approved</x:v>
      </x:c>
      <x:c r="G5257" s="19" t="str">
        <x:v>Repairer Invoiced Processed</x:v>
      </x:c>
      <x:c r="H5257" s="19" t="str">
        <x:v>In Field</x:v>
      </x:c>
      <x:c r="I5257" s="37" t="n">
        <x:v>46157</x:v>
      </x:c>
      <x:c r="J5257" s="37" t="n">
        <x:v>46157</x:v>
      </x:c>
      <x:c r="K5257" s="19" t="str">
        <x:v>Vanari Caravans - Marden Point</x:v>
      </x:c>
      <x:c r="L5257" s="19" t="str">
        <x:v>Z006</x:v>
      </x:c>
      <x:c r="M5257" s="19" t="str">
        <x:v>In Field Warranty Claims</x:v>
      </x:c>
      <x:c r="N5257" s="37" t="n">
        <x:v>45972</x:v>
      </x:c>
      <x:c r="O5257" s="37" t="n">
        <x:v>46121</x:v>
      </x:c>
      <x:c r="P5257" s="34" t="n">
        <x:v>520.61</x:v>
      </x:c>
      <x:c r="Q5257" s="37" t="n">
        <x:v>46157.12582175926</x:v>
      </x:c>
    </x:row>
    <x:row r="5258">
      <x:c r="A5258" s="22" t="n">
        <x:v>27798</x:v>
      </x:c>
      <x:c r="B5258" s="28" t="n">
        <x:v>704.55</x:v>
      </x:c>
      <x:c r="C5258" s="28"/>
      <x:c r="D5258" s="31" t="str">
        <x:f>IF(OR(ISBLANK(B5258),ISBLANK(C5258),B5258=0),"",(C5258-B5258)/B5258)</x:f>
      </x:c>
      <x:c r="E5258" s="22" t="str">
        <x:f>IF(ISBLANK(C5258),"AmountIncludingTax缺失",IF(ABS(B5258-C5258)&lt;0.005,"一致","不一致"))</x:f>
        <x:v>AmountIncludingTax缺失</x:v>
      </x:c>
      <x:c r="F5258" s="19" t="str">
        <x:v>approved</x:v>
      </x:c>
      <x:c r="G5258" s="19" t="str">
        <x:v>Repairer Invoiced Processed</x:v>
      </x:c>
      <x:c r="H5258" s="19" t="str">
        <x:v>In Field</x:v>
      </x:c>
      <x:c r="I5258" s="37" t="n">
        <x:v>46206</x:v>
      </x:c>
      <x:c r="J5258" s="37" t="n">
        <x:v>46206</x:v>
      </x:c>
      <x:c r="K5258" s="19" t="str">
        <x:v>Sherrif Caravans &amp; Traliers - Prospect Vale</x:v>
      </x:c>
      <x:c r="L5258" s="19" t="str">
        <x:v>Z006</x:v>
      </x:c>
      <x:c r="M5258" s="19" t="str">
        <x:v>In Field Warranty Claims</x:v>
      </x:c>
      <x:c r="N5258" s="37" t="n">
        <x:v>45972</x:v>
      </x:c>
      <x:c r="O5258" s="37"/>
      <x:c r="P5258" s="34" t="n">
        <x:v>0</x:v>
      </x:c>
      <x:c r="Q5258" s="37" t="n">
        <x:v>46206.16758101852</x:v>
      </x:c>
    </x:row>
    <x:row r="5259">
      <x:c r="A5259" s="22" t="n">
        <x:v>27794</x:v>
      </x:c>
      <x:c r="B5259" s="28" t="n">
        <x:v>40.14</x:v>
      </x:c>
      <x:c r="C5259" s="28"/>
      <x:c r="D5259" s="31" t="str">
        <x:f>IF(OR(ISBLANK(B5259),ISBLANK(C5259),B5259=0),"",(C5259-B5259)/B5259)</x:f>
      </x:c>
      <x:c r="E5259" s="22" t="str">
        <x:f>IF(ISBLANK(C5259),"AmountIncludingTax缺失",IF(ABS(B5259-C5259)&lt;0.005,"一致","不一致"))</x:f>
        <x:v>AmountIncludingTax缺失</x:v>
      </x:c>
      <x:c r="F5259" s="19" t="str">
        <x:v>approved</x:v>
      </x:c>
      <x:c r="G5259" s="19" t="str">
        <x:v>Repairer Invoiced Processed</x:v>
      </x:c>
      <x:c r="H5259" s="19" t="str">
        <x:v>In Field</x:v>
      </x:c>
      <x:c r="I5259" s="37" t="n">
        <x:v>46184</x:v>
      </x:c>
      <x:c r="J5259" s="37" t="n">
        <x:v>46184</x:v>
      </x:c>
      <x:c r="K5259" s="19" t="str">
        <x:v>Vanari Caravans - Marden Point</x:v>
      </x:c>
      <x:c r="L5259" s="19" t="str">
        <x:v>Z006</x:v>
      </x:c>
      <x:c r="M5259" s="19" t="str">
        <x:v>In Field Warranty Claims</x:v>
      </x:c>
      <x:c r="N5259" s="37" t="n">
        <x:v>45972</x:v>
      </x:c>
      <x:c r="O5259" s="37" t="n">
        <x:v>46101</x:v>
      </x:c>
      <x:c r="P5259" s="34" t="n">
        <x:v>0</x:v>
      </x:c>
      <x:c r="Q5259" s="37" t="n">
        <x:v>46183.93309027778</x:v>
      </x:c>
    </x:row>
    <x:row r="5260">
      <x:c r="A5260" s="22" t="n">
        <x:v>27791</x:v>
      </x:c>
      <x:c r="B5260" s="28" t="n">
        <x:v>135</x:v>
      </x:c>
      <x:c r="C5260" s="28"/>
      <x:c r="D5260" s="31" t="str">
        <x:f>IF(OR(ISBLANK(B5260),ISBLANK(C5260),B5260=0),"",(C5260-B5260)/B5260)</x:f>
      </x:c>
      <x:c r="E5260" s="22" t="str">
        <x:f>IF(ISBLANK(C5260),"AmountIncludingTax缺失",IF(ABS(B5260-C5260)&lt;0.005,"一致","不一致"))</x:f>
        <x:v>AmountIncludingTax缺失</x:v>
      </x:c>
      <x:c r="F5260" s="19" t="str">
        <x:v>approved</x:v>
      </x:c>
      <x:c r="G5260" s="19" t="str">
        <x:v>Repairer Invoiced Processed</x:v>
      </x:c>
      <x:c r="H5260" s="19" t="str">
        <x:v>In Field</x:v>
      </x:c>
      <x:c r="I5260" s="37" t="n">
        <x:v>46063</x:v>
      </x:c>
      <x:c r="J5260" s="37" t="n">
        <x:v>46063</x:v>
      </x:c>
      <x:c r="K5260" s="19" t="str">
        <x:v>Green RV - Forest Glen</x:v>
      </x:c>
      <x:c r="L5260" s="19" t="str">
        <x:v>Z006</x:v>
      </x:c>
      <x:c r="M5260" s="19" t="str">
        <x:v>In Field Warranty Claims</x:v>
      </x:c>
      <x:c r="N5260" s="37" t="n">
        <x:v>45972</x:v>
      </x:c>
      <x:c r="O5260" s="37"/>
      <x:c r="P5260" s="34" t="n">
        <x:v>0</x:v>
      </x:c>
      <x:c r="Q5260" s="37" t="n">
        <x:v>46062.86246527778</x:v>
      </x:c>
    </x:row>
    <x:row r="5261">
      <x:c r="A5261" s="22" t="n">
        <x:v>27788</x:v>
      </x:c>
      <x:c r="B5261" s="28" t="n">
        <x:v>195</x:v>
      </x:c>
      <x:c r="C5261" s="28"/>
      <x:c r="D5261" s="31" t="str">
        <x:f>IF(OR(ISBLANK(B5261),ISBLANK(C5261),B5261=0),"",(C5261-B5261)/B5261)</x:f>
      </x:c>
      <x:c r="E5261" s="22" t="str">
        <x:f>IF(ISBLANK(C5261),"AmountIncludingTax缺失",IF(ABS(B5261-C5261)&lt;0.005,"一致","不一致"))</x:f>
        <x:v>AmountIncludingTax缺失</x:v>
      </x:c>
      <x:c r="F5261" s="19" t="str">
        <x:v>approved</x:v>
      </x:c>
      <x:c r="G5261" s="19" t="str">
        <x:v>Repair in Progress</x:v>
      </x:c>
      <x:c r="H5261" s="19" t="str">
        <x:v>In Field</x:v>
      </x:c>
      <x:c r="I5261" s="37" t="n">
        <x:v>46056</x:v>
      </x:c>
      <x:c r="J5261" s="37" t="n">
        <x:v>46056</x:v>
      </x:c>
      <x:c r="K5261" s="19" t="str">
        <x:v>Auswide Caravans - South Nowra</x:v>
      </x:c>
      <x:c r="L5261" s="19" t="str">
        <x:v>Z006</x:v>
      </x:c>
      <x:c r="M5261" s="19" t="str">
        <x:v>In Field Warranty Claims</x:v>
      </x:c>
      <x:c r="N5261" s="37" t="n">
        <x:v>45972</x:v>
      </x:c>
      <x:c r="O5261" s="37"/>
      <x:c r="P5261" s="34" t="n">
        <x:v>0</x:v>
      </x:c>
      <x:c r="Q5261" s="37" t="n">
        <x:v>46056.28270833333</x:v>
      </x:c>
    </x:row>
    <x:row r="5262">
      <x:c r="A5262" s="22" t="n">
        <x:v>27784</x:v>
      </x:c>
      <x:c r="B5262" s="28" t="n">
        <x:v>787.5</x:v>
      </x:c>
      <x:c r="C5262" s="28"/>
      <x:c r="D5262" s="31" t="str">
        <x:f>IF(OR(ISBLANK(B5262),ISBLANK(C5262),B5262=0),"",(C5262-B5262)/B5262)</x:f>
      </x:c>
      <x:c r="E5262" s="22" t="str">
        <x:f>IF(ISBLANK(C5262),"AmountIncludingTax缺失",IF(ABS(B5262-C5262)&lt;0.005,"一致","不一致"))</x:f>
        <x:v>AmountIncludingTax缺失</x:v>
      </x:c>
      <x:c r="F5262" s="19" t="str">
        <x:v>approved</x:v>
      </x:c>
      <x:c r="G5262" s="19" t="str">
        <x:v>Repair in Progress</x:v>
      </x:c>
      <x:c r="H5262" s="19" t="str">
        <x:v>In Field</x:v>
      </x:c>
      <x:c r="I5262" s="37" t="n">
        <x:v>46155</x:v>
      </x:c>
      <x:c r="J5262" s="37" t="n">
        <x:v>46155</x:v>
      </x:c>
      <x:c r="K5262" s="19" t="str">
        <x:v>Snowy River Launceston</x:v>
      </x:c>
      <x:c r="L5262" s="19" t="str">
        <x:v>Z006</x:v>
      </x:c>
      <x:c r="M5262" s="19" t="str">
        <x:v>In Field Warranty Claims</x:v>
      </x:c>
      <x:c r="N5262" s="37" t="n">
        <x:v>45972</x:v>
      </x:c>
      <x:c r="O5262" s="37"/>
      <x:c r="P5262" s="34" t="n">
        <x:v>0</x:v>
      </x:c>
      <x:c r="Q5262" s="37" t="n">
        <x:v>46154.95008101852</x:v>
      </x:c>
    </x:row>
    <x:row r="5263">
      <x:c r="A5263" s="22" t="n">
        <x:v>27779</x:v>
      </x:c>
      <x:c r="B5263" s="28" t="n">
        <x:v>92.05</x:v>
      </x:c>
      <x:c r="C5263" s="28" t="n">
        <x:v>201.62</x:v>
      </x:c>
      <x:c r="D5263" s="31" t="n">
        <x:f>IF(OR(ISBLANK(B5263),ISBLANK(C5263),B5263=0),"",(C5263-B5263)/B5263)</x:f>
        <x:v>1.1903313416621402</x:v>
      </x:c>
      <x:c r="E5263" s="22" t="str">
        <x:f>IF(ISBLANK(C5263),"AmountIncludingTax缺失",IF(ABS(B5263-C5263)&lt;0.005,"一致","不一致"))</x:f>
        <x:v>不一致</x:v>
      </x:c>
      <x:c r="F5263" s="19" t="str">
        <x:v>approved</x:v>
      </x:c>
      <x:c r="G5263" s="19" t="str">
        <x:v>Repairer Invoiced Processed</x:v>
      </x:c>
      <x:c r="H5263" s="19" t="str">
        <x:v>In Field</x:v>
      </x:c>
      <x:c r="I5263" s="37" t="n">
        <x:v>46079</x:v>
      </x:c>
      <x:c r="J5263" s="37" t="n">
        <x:v>46079</x:v>
      </x:c>
      <x:c r="K5263" s="19" t="str">
        <x:v>Green RV - Forest Glen</x:v>
      </x:c>
      <x:c r="L5263" s="19" t="str">
        <x:v>Z006</x:v>
      </x:c>
      <x:c r="M5263" s="19" t="str">
        <x:v>In Field Warranty Claims</x:v>
      </x:c>
      <x:c r="N5263" s="37" t="n">
        <x:v>45972</x:v>
      </x:c>
      <x:c r="O5263" s="37"/>
      <x:c r="P5263" s="34" t="n">
        <x:v>201.62</x:v>
      </x:c>
      <x:c r="Q5263" s="37" t="n">
        <x:v>46079.153715277775</x:v>
      </x:c>
    </x:row>
    <x:row r="5264">
      <x:c r="A5264" s="22" t="n">
        <x:v>27778</x:v>
      </x:c>
      <x:c r="B5264" s="28" t="n">
        <x:v>1214.1</x:v>
      </x:c>
      <x:c r="C5264" s="28"/>
      <x:c r="D5264" s="31" t="str">
        <x:f>IF(OR(ISBLANK(B5264),ISBLANK(C5264),B5264=0),"",(C5264-B5264)/B5264)</x:f>
      </x:c>
      <x:c r="E5264" s="22" t="str">
        <x:f>IF(ISBLANK(C5264),"AmountIncludingTax缺失",IF(ABS(B5264-C5264)&lt;0.005,"一致","不一致"))</x:f>
        <x:v>AmountIncludingTax缺失</x:v>
      </x:c>
      <x:c r="F5264" s="19" t="str">
        <x:v>approved</x:v>
      </x:c>
      <x:c r="G5264" s="19" t="str">
        <x:v>Repair in Progress</x:v>
      </x:c>
      <x:c r="H5264" s="19" t="str">
        <x:v>In Field</x:v>
      </x:c>
      <x:c r="I5264" s="37" t="n">
        <x:v>46043</x:v>
      </x:c>
      <x:c r="J5264" s="37" t="n">
        <x:v>46043</x:v>
      </x:c>
      <x:c r="K5264" s="19" t="str">
        <x:v>Sherrif Caravans &amp; Traliers - Prospect Vale</x:v>
      </x:c>
      <x:c r="L5264" s="19" t="str">
        <x:v>Z006</x:v>
      </x:c>
      <x:c r="M5264" s="19" t="str">
        <x:v>In Field Warranty Claims</x:v>
      </x:c>
      <x:c r="N5264" s="37" t="n">
        <x:v>45972</x:v>
      </x:c>
      <x:c r="O5264" s="37"/>
      <x:c r="P5264" s="34" t="n">
        <x:v>0</x:v>
      </x:c>
      <x:c r="Q5264" s="37" t="n">
        <x:v>46043.097766203704</x:v>
      </x:c>
    </x:row>
    <x:row r="5265">
      <x:c r="A5265" s="22" t="n">
        <x:v>27776</x:v>
      </x:c>
      <x:c r="B5265" s="28" t="n">
        <x:v>877.5</x:v>
      </x:c>
      <x:c r="C5265" s="28"/>
      <x:c r="D5265" s="31" t="str">
        <x:f>IF(OR(ISBLANK(B5265),ISBLANK(C5265),B5265=0),"",(C5265-B5265)/B5265)</x:f>
      </x:c>
      <x:c r="E5265" s="22" t="str">
        <x:f>IF(ISBLANK(C5265),"AmountIncludingTax缺失",IF(ABS(B5265-C5265)&lt;0.005,"一致","不一致"))</x:f>
        <x:v>AmountIncludingTax缺失</x:v>
      </x:c>
      <x:c r="F5265" s="19" t="str">
        <x:v>approved</x:v>
      </x:c>
      <x:c r="G5265" s="19" t="str">
        <x:v>Repair in Progress</x:v>
      </x:c>
      <x:c r="H5265" s="19" t="str">
        <x:v>In Field</x:v>
      </x:c>
      <x:c r="I5265" s="37" t="n">
        <x:v>46079</x:v>
      </x:c>
      <x:c r="J5265" s="37" t="n">
        <x:v>46079</x:v>
      </x:c>
      <x:c r="K5265" s="19" t="str">
        <x:v>Green RV - Forest Glen</x:v>
      </x:c>
      <x:c r="L5265" s="19" t="str">
        <x:v>Z006</x:v>
      </x:c>
      <x:c r="M5265" s="19" t="str">
        <x:v>In Field Warranty Claims</x:v>
      </x:c>
      <x:c r="N5265" s="37" t="n">
        <x:v>45972</x:v>
      </x:c>
      <x:c r="O5265" s="37"/>
      <x:c r="P5265" s="34" t="n">
        <x:v>0</x:v>
      </x:c>
      <x:c r="Q5265" s="37" t="n">
        <x:v>46079.176354166666</x:v>
      </x:c>
    </x:row>
    <x:row r="5266">
      <x:c r="A5266" s="22" t="n">
        <x:v>27773</x:v>
      </x:c>
      <x:c r="B5266" s="28" t="n">
        <x:v>61.37</x:v>
      </x:c>
      <x:c r="C5266" s="28"/>
      <x:c r="D5266" s="31" t="str">
        <x:f>IF(OR(ISBLANK(B5266),ISBLANK(C5266),B5266=0),"",(C5266-B5266)/B5266)</x:f>
      </x:c>
      <x:c r="E5266" s="22" t="str">
        <x:f>IF(ISBLANK(C5266),"AmountIncludingTax缺失",IF(ABS(B5266-C5266)&lt;0.005,"一致","不一致"))</x:f>
        <x:v>AmountIncludingTax缺失</x:v>
      </x:c>
      <x:c r="F5266" s="19" t="str">
        <x:v>approved</x:v>
      </x:c>
      <x:c r="G5266" s="19" t="str">
        <x:v>Repairer Invoiced Processed</x:v>
      </x:c>
      <x:c r="H5266" s="19" t="str">
        <x:v>In Field</x:v>
      </x:c>
      <x:c r="I5266" s="37" t="n">
        <x:v>46101</x:v>
      </x:c>
      <x:c r="J5266" s="37" t="n">
        <x:v>46101</x:v>
      </x:c>
      <x:c r="K5266" s="19" t="str">
        <x:v>Regent RV - Toowoomba</x:v>
      </x:c>
      <x:c r="L5266" s="19" t="str">
        <x:v>Z006</x:v>
      </x:c>
      <x:c r="M5266" s="19" t="str">
        <x:v>In Field Warranty Claims</x:v>
      </x:c>
      <x:c r="N5266" s="37" t="n">
        <x:v>45972</x:v>
      </x:c>
      <x:c r="O5266" s="37"/>
      <x:c r="P5266" s="34" t="n">
        <x:v>0</x:v>
      </x:c>
      <x:c r="Q5266" s="37" t="n">
        <x:v>46101.13890046296</x:v>
      </x:c>
    </x:row>
    <x:row r="5267">
      <x:c r="A5267" s="22" t="n">
        <x:v>27772</x:v>
      </x:c>
      <x:c r="B5267" s="28" t="n">
        <x:v>1135.21</x:v>
      </x:c>
      <x:c r="C5267" s="28"/>
      <x:c r="D5267" s="31" t="str">
        <x:f>IF(OR(ISBLANK(B5267),ISBLANK(C5267),B5267=0),"",(C5267-B5267)/B5267)</x:f>
      </x:c>
      <x:c r="E5267" s="22" t="str">
        <x:f>IF(ISBLANK(C5267),"AmountIncludingTax缺失",IF(ABS(B5267-C5267)&lt;0.005,"一致","不一致"))</x:f>
        <x:v>AmountIncludingTax缺失</x:v>
      </x:c>
      <x:c r="F5267" s="19" t="str">
        <x:v>approved</x:v>
      </x:c>
      <x:c r="G5267" s="19" t="str">
        <x:v>Repairer Invoiced Processed</x:v>
      </x:c>
      <x:c r="H5267" s="19" t="str">
        <x:v>In Field</x:v>
      </x:c>
      <x:c r="I5267" s="37" t="n">
        <x:v>46031</x:v>
      </x:c>
      <x:c r="J5267" s="37" t="n">
        <x:v>46031</x:v>
      </x:c>
      <x:c r="K5267" s="19" t="str">
        <x:v>Green RV - Forest Glen</x:v>
      </x:c>
      <x:c r="L5267" s="19" t="str">
        <x:v>Z006</x:v>
      </x:c>
      <x:c r="M5267" s="19" t="str">
        <x:v>In Field Warranty Claims</x:v>
      </x:c>
      <x:c r="N5267" s="37" t="n">
        <x:v>45972</x:v>
      </x:c>
      <x:c r="O5267" s="37"/>
      <x:c r="P5267" s="34" t="n">
        <x:v>1248.73</x:v>
      </x:c>
      <x:c r="Q5267" s="37" t="n">
        <x:v>46030.96635416667</x:v>
      </x:c>
    </x:row>
    <x:row r="5268">
      <x:c r="A5268" s="22" t="n">
        <x:v>27767</x:v>
      </x:c>
      <x:c r="B5268" s="28" t="n">
        <x:v>553.65</x:v>
      </x:c>
      <x:c r="C5268" s="28" t="n">
        <x:v>609.02</x:v>
      </x:c>
      <x:c r="D5268" s="31" t="n">
        <x:f>IF(OR(ISBLANK(B5268),ISBLANK(C5268),B5268=0),"",(C5268-B5268)/B5268)</x:f>
        <x:v>0.10000903097624854</x:v>
      </x:c>
      <x:c r="E5268" s="22" t="str">
        <x:f>IF(ISBLANK(C5268),"AmountIncludingTax缺失",IF(ABS(B5268-C5268)&lt;0.005,"一致","不一致"))</x:f>
        <x:v>不一致</x:v>
      </x:c>
      <x:c r="F5268" s="19" t="str">
        <x:v>approved</x:v>
      </x:c>
      <x:c r="G5268" s="19" t="str">
        <x:v>Repairer Invoiced Processed</x:v>
      </x:c>
      <x:c r="H5268" s="19" t="str">
        <x:v>In Field</x:v>
      </x:c>
      <x:c r="I5268" s="37" t="n">
        <x:v>46104</x:v>
      </x:c>
      <x:c r="J5268" s="37" t="n">
        <x:v>46104</x:v>
      </x:c>
      <x:c r="K5268" s="19" t="str">
        <x:v>Regent RV - Toowoomba</x:v>
      </x:c>
      <x:c r="L5268" s="19" t="str">
        <x:v>Z006</x:v>
      </x:c>
      <x:c r="M5268" s="19" t="str">
        <x:v>In Field Warranty Claims</x:v>
      </x:c>
      <x:c r="N5268" s="37" t="n">
        <x:v>45972</x:v>
      </x:c>
      <x:c r="O5268" s="37"/>
      <x:c r="P5268" s="34" t="n">
        <x:v>609.02</x:v>
      </x:c>
      <x:c r="Q5268" s="37" t="n">
        <x:v>46104.222233796296</x:v>
      </x:c>
    </x:row>
    <x:row r="5269">
      <x:c r="A5269" s="22" t="n">
        <x:v>27764</x:v>
      </x:c>
      <x:c r="B5269" s="28" t="n">
        <x:v>444.02</x:v>
      </x:c>
      <x:c r="C5269" s="28" t="n">
        <x:v>488.42</x:v>
      </x:c>
      <x:c r="D5269" s="31" t="n">
        <x:f>IF(OR(ISBLANK(B5269),ISBLANK(C5269),B5269=0),"",(C5269-B5269)/B5269)</x:f>
        <x:v>0.09999549569839204</x:v>
      </x:c>
      <x:c r="E5269" s="22" t="str">
        <x:f>IF(ISBLANK(C5269),"AmountIncludingTax缺失",IF(ABS(B5269-C5269)&lt;0.005,"一致","不一致"))</x:f>
        <x:v>不一致</x:v>
      </x:c>
      <x:c r="F5269" s="19" t="str">
        <x:v>approved</x:v>
      </x:c>
      <x:c r="G5269" s="19" t="str">
        <x:v>Repairer Invoiced Processed</x:v>
      </x:c>
      <x:c r="H5269" s="19" t="str">
        <x:v>In Field</x:v>
      </x:c>
      <x:c r="I5269" s="37" t="n">
        <x:v>46024</x:v>
      </x:c>
      <x:c r="J5269" s="37" t="n">
        <x:v>46024</x:v>
      </x:c>
      <x:c r="K5269" s="19" t="str">
        <x:v>Green RV - Forest Glen</x:v>
      </x:c>
      <x:c r="L5269" s="19" t="str">
        <x:v>Z006</x:v>
      </x:c>
      <x:c r="M5269" s="19" t="str">
        <x:v>In Field Warranty Claims</x:v>
      </x:c>
      <x:c r="N5269" s="37" t="n">
        <x:v>45972</x:v>
      </x:c>
      <x:c r="O5269" s="37"/>
      <x:c r="P5269" s="34" t="n">
        <x:v>488.42</x:v>
      </x:c>
      <x:c r="Q5269" s="37" t="n">
        <x:v>46024.22298611111</x:v>
      </x:c>
    </x:row>
    <x:row r="5270">
      <x:c r="A5270" s="22" t="n">
        <x:v>27762</x:v>
      </x:c>
      <x:c r="B5270" s="28" t="n">
        <x:v>957.5</x:v>
      </x:c>
      <x:c r="C5270" s="28"/>
      <x:c r="D5270" s="31" t="str">
        <x:f>IF(OR(ISBLANK(B5270),ISBLANK(C5270),B5270=0),"",(C5270-B5270)/B5270)</x:f>
      </x:c>
      <x:c r="E5270" s="22" t="str">
        <x:f>IF(ISBLANK(C5270),"AmountIncludingTax缺失",IF(ABS(B5270-C5270)&lt;0.005,"一致","不一致"))</x:f>
        <x:v>AmountIncludingTax缺失</x:v>
      </x:c>
      <x:c r="F5270" s="19" t="str">
        <x:v>approved</x:v>
      </x:c>
      <x:c r="G5270" s="19" t="str">
        <x:v>Repair in Progress</x:v>
      </x:c>
      <x:c r="H5270" s="19" t="str">
        <x:v>In Field</x:v>
      </x:c>
      <x:c r="I5270" s="37" t="n">
        <x:v>46072</x:v>
      </x:c>
      <x:c r="J5270" s="37" t="n">
        <x:v>46072</x:v>
      </x:c>
      <x:c r="K5270" s="19" t="str">
        <x:v>Green RV - Forest Glen</x:v>
      </x:c>
      <x:c r="L5270" s="19" t="str">
        <x:v>Z006</x:v>
      </x:c>
      <x:c r="M5270" s="19" t="str">
        <x:v>In Field Warranty Claims</x:v>
      </x:c>
      <x:c r="N5270" s="37" t="n">
        <x:v>45972</x:v>
      </x:c>
      <x:c r="O5270" s="37"/>
      <x:c r="P5270" s="34" t="n">
        <x:v>0</x:v>
      </x:c>
      <x:c r="Q5270" s="37" t="n">
        <x:v>46072.150555555556</x:v>
      </x:c>
    </x:row>
    <x:row r="5271">
      <x:c r="A5271" s="22" t="n">
        <x:v>27760</x:v>
      </x:c>
      <x:c r="B5271" s="28" t="n">
        <x:v>435</x:v>
      </x:c>
      <x:c r="C5271" s="28"/>
      <x:c r="D5271" s="31" t="str">
        <x:f>IF(OR(ISBLANK(B5271),ISBLANK(C5271),B5271=0),"",(C5271-B5271)/B5271)</x:f>
      </x:c>
      <x:c r="E5271" s="22" t="str">
        <x:f>IF(ISBLANK(C5271),"AmountIncludingTax缺失",IF(ABS(B5271-C5271)&lt;0.005,"一致","不一致"))</x:f>
        <x:v>AmountIncludingTax缺失</x:v>
      </x:c>
      <x:c r="F5271" s="19" t="str">
        <x:v>approved</x:v>
      </x:c>
      <x:c r="G5271" s="19" t="str">
        <x:v>Repairer Invoiced Processed</x:v>
      </x:c>
      <x:c r="H5271" s="19" t="str">
        <x:v>In Field</x:v>
      </x:c>
      <x:c r="I5271" s="37" t="n">
        <x:v>46057</x:v>
      </x:c>
      <x:c r="J5271" s="37" t="n">
        <x:v>46057</x:v>
      </x:c>
      <x:c r="K5271" s="19" t="str">
        <x:v>The Caravan Hub - Townsville</x:v>
      </x:c>
      <x:c r="L5271" s="19" t="str">
        <x:v>Z006</x:v>
      </x:c>
      <x:c r="M5271" s="19" t="str">
        <x:v>In Field Warranty Claims</x:v>
      </x:c>
      <x:c r="N5271" s="37" t="n">
        <x:v>45972</x:v>
      </x:c>
      <x:c r="O5271" s="37"/>
      <x:c r="P5271" s="34" t="n">
        <x:v>0</x:v>
      </x:c>
      <x:c r="Q5271" s="37" t="n">
        <x:v>46057.059525462966</x:v>
      </x:c>
    </x:row>
    <x:row r="5272">
      <x:c r="A5272" s="22" t="n">
        <x:v>27753</x:v>
      </x:c>
      <x:c r="B5272" s="28" t="n">
        <x:v>802.5</x:v>
      </x:c>
      <x:c r="C5272" s="28"/>
      <x:c r="D5272" s="31" t="str">
        <x:f>IF(OR(ISBLANK(B5272),ISBLANK(C5272),B5272=0),"",(C5272-B5272)/B5272)</x:f>
      </x:c>
      <x:c r="E5272" s="22" t="str">
        <x:f>IF(ISBLANK(C5272),"AmountIncludingTax缺失",IF(ABS(B5272-C5272)&lt;0.005,"一致","不一致"))</x:f>
        <x:v>AmountIncludingTax缺失</x:v>
      </x:c>
      <x:c r="F5272" s="19" t="str">
        <x:v>approved</x:v>
      </x:c>
      <x:c r="G5272" s="19" t="str">
        <x:v>Repair in Progress</x:v>
      </x:c>
      <x:c r="H5272" s="19" t="str">
        <x:v>In Field</x:v>
      </x:c>
      <x:c r="I5272" s="37" t="n">
        <x:v>46080</x:v>
      </x:c>
      <x:c r="J5272" s="37" t="n">
        <x:v>46080</x:v>
      </x:c>
      <x:c r="K5272" s="19" t="str">
        <x:v>Green RV - Forest Glen</x:v>
      </x:c>
      <x:c r="L5272" s="19" t="str">
        <x:v>Z006</x:v>
      </x:c>
      <x:c r="M5272" s="19" t="str">
        <x:v>In Field Warranty Claims</x:v>
      </x:c>
      <x:c r="N5272" s="37" t="n">
        <x:v>45972</x:v>
      </x:c>
      <x:c r="O5272" s="37"/>
      <x:c r="P5272" s="34" t="n">
        <x:v>0</x:v>
      </x:c>
      <x:c r="Q5272" s="37" t="n">
        <x:v>46080.05805555556</x:v>
      </x:c>
    </x:row>
    <x:row r="5273">
      <x:c r="A5273" s="22" t="n">
        <x:v>27752</x:v>
      </x:c>
      <x:c r="B5273" s="28" t="n">
        <x:v>557.55</x:v>
      </x:c>
      <x:c r="C5273" s="28"/>
      <x:c r="D5273" s="31" t="str">
        <x:f>IF(OR(ISBLANK(B5273),ISBLANK(C5273),B5273=0),"",(C5273-B5273)/B5273)</x:f>
      </x:c>
      <x:c r="E5273" s="22" t="str">
        <x:f>IF(ISBLANK(C5273),"AmountIncludingTax缺失",IF(ABS(B5273-C5273)&lt;0.005,"一致","不一致"))</x:f>
        <x:v>AmountIncludingTax缺失</x:v>
      </x:c>
      <x:c r="F5273" s="19" t="str">
        <x:v>approved</x:v>
      </x:c>
      <x:c r="G5273" s="19" t="str">
        <x:v>Repairer Invoiced Processed</x:v>
      </x:c>
      <x:c r="H5273" s="19" t="str">
        <x:v>In Field</x:v>
      </x:c>
      <x:c r="I5273" s="37" t="n">
        <x:v>46024</x:v>
      </x:c>
      <x:c r="J5273" s="37" t="n">
        <x:v>46024</x:v>
      </x:c>
      <x:c r="K5273" s="19" t="str">
        <x:v>Regent RV - Townsville</x:v>
      </x:c>
      <x:c r="L5273" s="19" t="str">
        <x:v>Z006</x:v>
      </x:c>
      <x:c r="M5273" s="19" t="str">
        <x:v>In Field Warranty Claims</x:v>
      </x:c>
      <x:c r="N5273" s="37" t="n">
        <x:v>45972</x:v>
      </x:c>
      <x:c r="O5273" s="37"/>
      <x:c r="P5273" s="34" t="n">
        <x:v>0</x:v>
      </x:c>
      <x:c r="Q5273" s="37" t="n">
        <x:v>46024.25231481482</x:v>
      </x:c>
    </x:row>
    <x:row r="5274">
      <x:c r="A5274" s="22" t="n">
        <x:v>27751</x:v>
      </x:c>
      <x:c r="B5274" s="28" t="n">
        <x:v>1391.6</x:v>
      </x:c>
      <x:c r="C5274" s="28"/>
      <x:c r="D5274" s="31" t="str">
        <x:f>IF(OR(ISBLANK(B5274),ISBLANK(C5274),B5274=0),"",(C5274-B5274)/B5274)</x:f>
      </x:c>
      <x:c r="E5274" s="22" t="str">
        <x:f>IF(ISBLANK(C5274),"AmountIncludingTax缺失",IF(ABS(B5274-C5274)&lt;0.005,"一致","不一致"))</x:f>
        <x:v>AmountIncludingTax缺失</x:v>
      </x:c>
      <x:c r="F5274" s="19" t="str">
        <x:v>approved</x:v>
      </x:c>
      <x:c r="G5274" s="19" t="str">
        <x:v>Repair in Progress</x:v>
      </x:c>
      <x:c r="H5274" s="19" t="str">
        <x:v>In Field</x:v>
      </x:c>
      <x:c r="I5274" s="37" t="n">
        <x:v>46077</x:v>
      </x:c>
      <x:c r="J5274" s="37" t="n">
        <x:v>46077</x:v>
      </x:c>
      <x:c r="K5274" s="19" t="str">
        <x:v>Green RV - Forest Glen</x:v>
      </x:c>
      <x:c r="L5274" s="19" t="str">
        <x:v>Z006</x:v>
      </x:c>
      <x:c r="M5274" s="19" t="str">
        <x:v>In Field Warranty Claims</x:v>
      </x:c>
      <x:c r="N5274" s="37" t="n">
        <x:v>45972</x:v>
      </x:c>
      <x:c r="O5274" s="37"/>
      <x:c r="P5274" s="34" t="n">
        <x:v>0</x:v>
      </x:c>
      <x:c r="Q5274" s="37" t="n">
        <x:v>46076.95167824074</x:v>
      </x:c>
    </x:row>
    <x:row r="5275">
      <x:c r="A5275" s="22" t="n">
        <x:v>27750</x:v>
      </x:c>
      <x:c r="B5275" s="28" t="n">
        <x:v>1687</x:v>
      </x:c>
      <x:c r="C5275" s="28"/>
      <x:c r="D5275" s="31" t="str">
        <x:f>IF(OR(ISBLANK(B5275),ISBLANK(C5275),B5275=0),"",(C5275-B5275)/B5275)</x:f>
      </x:c>
      <x:c r="E5275" s="22" t="str">
        <x:f>IF(ISBLANK(C5275),"AmountIncludingTax缺失",IF(ABS(B5275-C5275)&lt;0.005,"一致","不一致"))</x:f>
        <x:v>AmountIncludingTax缺失</x:v>
      </x:c>
      <x:c r="F5275" s="19" t="str">
        <x:v>approved</x:v>
      </x:c>
      <x:c r="G5275" s="19" t="str">
        <x:v>Repair in Progress</x:v>
      </x:c>
      <x:c r="H5275" s="19" t="str">
        <x:v>In Field</x:v>
      </x:c>
      <x:c r="I5275" s="37" t="n">
        <x:v>46057</x:v>
      </x:c>
      <x:c r="J5275" s="37" t="n">
        <x:v>46057</x:v>
      </x:c>
      <x:c r="K5275" s="19" t="str">
        <x:v>Green RV - Forest Glen</x:v>
      </x:c>
      <x:c r="L5275" s="19" t="str">
        <x:v>Z006</x:v>
      </x:c>
      <x:c r="M5275" s="19" t="str">
        <x:v>In Field Warranty Claims</x:v>
      </x:c>
      <x:c r="N5275" s="37" t="n">
        <x:v>45972</x:v>
      </x:c>
      <x:c r="O5275" s="37"/>
      <x:c r="P5275" s="34" t="n">
        <x:v>0</x:v>
      </x:c>
      <x:c r="Q5275" s="37" t="n">
        <x:v>46057.064618055556</x:v>
      </x:c>
    </x:row>
    <x:row r="5276">
      <x:c r="A5276" s="22" t="n">
        <x:v>27746</x:v>
      </x:c>
      <x:c r="B5276" s="28" t="n">
        <x:v>780</x:v>
      </x:c>
      <x:c r="C5276" s="28"/>
      <x:c r="D5276" s="31" t="str">
        <x:f>IF(OR(ISBLANK(B5276),ISBLANK(C5276),B5276=0),"",(C5276-B5276)/B5276)</x:f>
      </x:c>
      <x:c r="E5276" s="22" t="str">
        <x:f>IF(ISBLANK(C5276),"AmountIncludingTax缺失",IF(ABS(B5276-C5276)&lt;0.005,"一致","不一致"))</x:f>
        <x:v>AmountIncludingTax缺失</x:v>
      </x:c>
      <x:c r="F5276" s="19" t="str">
        <x:v>approved</x:v>
      </x:c>
      <x:c r="G5276" s="19" t="str">
        <x:v>Repair in Progress</x:v>
      </x:c>
      <x:c r="H5276" s="19" t="str">
        <x:v>In Field</x:v>
      </x:c>
      <x:c r="I5276" s="37" t="n">
        <x:v>46031</x:v>
      </x:c>
      <x:c r="J5276" s="37" t="n">
        <x:v>46031</x:v>
      </x:c>
      <x:c r="K5276" s="19" t="str">
        <x:v>Regent RV Pty Ltd</x:v>
      </x:c>
      <x:c r="L5276" s="19" t="str">
        <x:v>Z006</x:v>
      </x:c>
      <x:c r="M5276" s="19" t="str">
        <x:v>In Field Warranty Claims</x:v>
      </x:c>
      <x:c r="N5276" s="37" t="n">
        <x:v>45971</x:v>
      </x:c>
      <x:c r="O5276" s="37"/>
      <x:c r="P5276" s="34" t="n">
        <x:v>0</x:v>
      </x:c>
      <x:c r="Q5276" s="37" t="n">
        <x:v>46030.88224537037</x:v>
      </x:c>
    </x:row>
    <x:row r="5277">
      <x:c r="A5277" s="22" t="n">
        <x:v>27745</x:v>
      </x:c>
      <x:c r="B5277" s="28" t="n">
        <x:v>368.19</x:v>
      </x:c>
      <x:c r="C5277" s="28"/>
      <x:c r="D5277" s="31" t="str">
        <x:f>IF(OR(ISBLANK(B5277),ISBLANK(C5277),B5277=0),"",(C5277-B5277)/B5277)</x:f>
      </x:c>
      <x:c r="E5277" s="22" t="str">
        <x:f>IF(ISBLANK(C5277),"AmountIncludingTax缺失",IF(ABS(B5277-C5277)&lt;0.005,"一致","不一致"))</x:f>
        <x:v>AmountIncludingTax缺失</x:v>
      </x:c>
      <x:c r="F5277" s="19" t="str">
        <x:v>approved</x:v>
      </x:c>
      <x:c r="G5277" s="19" t="str">
        <x:v>Repairer Invoiced Received</x:v>
      </x:c>
      <x:c r="H5277" s="19" t="str">
        <x:v>In Field</x:v>
      </x:c>
      <x:c r="I5277" s="37" t="n">
        <x:v>46037</x:v>
      </x:c>
      <x:c r="J5277" s="37" t="n">
        <x:v>46037</x:v>
      </x:c>
      <x:c r="K5277" s="19" t="str">
        <x:v>Lesiure Lion-New Castle</x:v>
      </x:c>
      <x:c r="L5277" s="19" t="str">
        <x:v>Z006</x:v>
      </x:c>
      <x:c r="M5277" s="19" t="str">
        <x:v>In Field Warranty Claims</x:v>
      </x:c>
      <x:c r="N5277" s="37" t="n">
        <x:v>45971</x:v>
      </x:c>
      <x:c r="O5277" s="37"/>
      <x:c r="P5277" s="34" t="n">
        <x:v>0</x:v>
      </x:c>
      <x:c r="Q5277" s="37" t="n">
        <x:v>46037.18368055556</x:v>
      </x:c>
    </x:row>
    <x:row r="5278">
      <x:c r="A5278" s="22" t="n">
        <x:v>27744</x:v>
      </x:c>
      <x:c r="B5278" s="28" t="n">
        <x:v>195</x:v>
      </x:c>
      <x:c r="C5278" s="28" t="n">
        <x:v>176.55</x:v>
      </x:c>
      <x:c r="D5278" s="31" t="n">
        <x:f>IF(OR(ISBLANK(B5278),ISBLANK(C5278),B5278=0),"",(C5278-B5278)/B5278)</x:f>
        <x:v>-0.09461538461538456</x:v>
      </x:c>
      <x:c r="E5278" s="22" t="str">
        <x:f>IF(ISBLANK(C5278),"AmountIncludingTax缺失",IF(ABS(B5278-C5278)&lt;0.005,"一致","不一致"))</x:f>
        <x:v>不一致</x:v>
      </x:c>
      <x:c r="F5278" s="19" t="str">
        <x:v>approved</x:v>
      </x:c>
      <x:c r="G5278" s="19" t="str">
        <x:v>Repairer Invoiced Processed</x:v>
      </x:c>
      <x:c r="H5278" s="19" t="str">
        <x:v>In Field</x:v>
      </x:c>
      <x:c r="I5278" s="37" t="n">
        <x:v>46100</x:v>
      </x:c>
      <x:c r="J5278" s="37" t="n">
        <x:v>46100</x:v>
      </x:c>
      <x:c r="K5278" s="19" t="str">
        <x:v>Vanari Caravans - Marden Point</x:v>
      </x:c>
      <x:c r="L5278" s="19" t="str">
        <x:v>Z006</x:v>
      </x:c>
      <x:c r="M5278" s="19" t="str">
        <x:v>In Field Warranty Claims</x:v>
      </x:c>
      <x:c r="N5278" s="37" t="n">
        <x:v>45971</x:v>
      </x:c>
      <x:c r="O5278" s="37"/>
      <x:c r="P5278" s="34" t="n">
        <x:v>176.55</x:v>
      </x:c>
      <x:c r="Q5278" s="37" t="n">
        <x:v>46099.91543981482</x:v>
      </x:c>
    </x:row>
    <x:row r="5279">
      <x:c r="A5279" s="22" t="n">
        <x:v>27742</x:v>
      </x:c>
      <x:c r="B5279" s="28" t="n">
        <x:v>230.46</x:v>
      </x:c>
      <x:c r="C5279" s="28"/>
      <x:c r="D5279" s="31" t="str">
        <x:f>IF(OR(ISBLANK(B5279),ISBLANK(C5279),B5279=0),"",(C5279-B5279)/B5279)</x:f>
      </x:c>
      <x:c r="E5279" s="22" t="str">
        <x:f>IF(ISBLANK(C5279),"AmountIncludingTax缺失",IF(ABS(B5279-C5279)&lt;0.005,"一致","不一致"))</x:f>
        <x:v>AmountIncludingTax缺失</x:v>
      </x:c>
      <x:c r="F5279" s="19" t="str">
        <x:v>approved</x:v>
      </x:c>
      <x:c r="G5279" s="19" t="str">
        <x:v>Repairer Invoiced Processed</x:v>
      </x:c>
      <x:c r="H5279" s="19" t="str">
        <x:v>In Field</x:v>
      </x:c>
      <x:c r="I5279" s="37" t="n">
        <x:v>46070</x:v>
      </x:c>
      <x:c r="J5279" s="37" t="n">
        <x:v>46070</x:v>
      </x:c>
      <x:c r="K5279" s="19" t="str">
        <x:v>Newcastle RV Super Centre - Beresfield</x:v>
      </x:c>
      <x:c r="L5279" s="19" t="str">
        <x:v>Z006</x:v>
      </x:c>
      <x:c r="M5279" s="19" t="str">
        <x:v>In Field Warranty Claims</x:v>
      </x:c>
      <x:c r="N5279" s="37" t="n">
        <x:v>45971</x:v>
      </x:c>
      <x:c r="O5279" s="37"/>
      <x:c r="P5279" s="34" t="n">
        <x:v>0</x:v>
      </x:c>
      <x:c r="Q5279" s="37" t="n">
        <x:v>46069.972037037034</x:v>
      </x:c>
    </x:row>
    <x:row r="5280">
      <x:c r="A5280" s="22" t="n">
        <x:v>27739</x:v>
      </x:c>
      <x:c r="B5280" s="28" t="n">
        <x:v>1848.05</x:v>
      </x:c>
      <x:c r="C5280" s="28"/>
      <x:c r="D5280" s="31" t="str">
        <x:f>IF(OR(ISBLANK(B5280),ISBLANK(C5280),B5280=0),"",(C5280-B5280)/B5280)</x:f>
      </x:c>
      <x:c r="E5280" s="22" t="str">
        <x:f>IF(ISBLANK(C5280),"AmountIncludingTax缺失",IF(ABS(B5280-C5280)&lt;0.005,"一致","不一致"))</x:f>
        <x:v>AmountIncludingTax缺失</x:v>
      </x:c>
      <x:c r="F5280" s="19" t="str">
        <x:v>approved</x:v>
      </x:c>
      <x:c r="G5280" s="19" t="str">
        <x:v>Repair in Progress</x:v>
      </x:c>
      <x:c r="H5280" s="19" t="str">
        <x:v>In Field</x:v>
      </x:c>
      <x:c r="I5280" s="37" t="n">
        <x:v>46065</x:v>
      </x:c>
      <x:c r="J5280" s="37" t="n">
        <x:v>46065</x:v>
      </x:c>
      <x:c r="K5280" s="19" t="str">
        <x:v>Green RV - Forest Glen</x:v>
      </x:c>
      <x:c r="L5280" s="19" t="str">
        <x:v>Z006</x:v>
      </x:c>
      <x:c r="M5280" s="19" t="str">
        <x:v>In Field Warranty Claims</x:v>
      </x:c>
      <x:c r="N5280" s="37" t="n">
        <x:v>45972</x:v>
      </x:c>
      <x:c r="O5280" s="37"/>
      <x:c r="P5280" s="34" t="n">
        <x:v>0</x:v>
      </x:c>
      <x:c r="Q5280" s="37" t="n">
        <x:v>46065.23510416667</x:v>
      </x:c>
    </x:row>
    <x:row r="5281">
      <x:c r="A5281" s="22" t="n">
        <x:v>27737</x:v>
      </x:c>
      <x:c r="B5281" s="28" t="n">
        <x:v>260.95</x:v>
      </x:c>
      <x:c r="C5281" s="28" t="n">
        <x:v>287.05</x:v>
      </x:c>
      <x:c r="D5281" s="31" t="n">
        <x:f>IF(OR(ISBLANK(B5281),ISBLANK(C5281),B5281=0),"",(C5281-B5281)/B5281)</x:f>
        <x:v>0.10001916075876614</x:v>
      </x:c>
      <x:c r="E5281" s="22" t="str">
        <x:f>IF(ISBLANK(C5281),"AmountIncludingTax缺失",IF(ABS(B5281-C5281)&lt;0.005,"一致","不一致"))</x:f>
        <x:v>不一致</x:v>
      </x:c>
      <x:c r="F5281" s="19" t="str">
        <x:v>approved</x:v>
      </x:c>
      <x:c r="G5281" s="19" t="str">
        <x:v>Repairer Invoiced Processed</x:v>
      </x:c>
      <x:c r="H5281" s="19" t="str">
        <x:v>In Field</x:v>
      </x:c>
      <x:c r="I5281" s="37" t="n">
        <x:v>46024</x:v>
      </x:c>
      <x:c r="J5281" s="37" t="n">
        <x:v>46024</x:v>
      </x:c>
      <x:c r="K5281" s="19" t="str">
        <x:v>Regent RV - Townsville</x:v>
      </x:c>
      <x:c r="L5281" s="19" t="str">
        <x:v>Z006</x:v>
      </x:c>
      <x:c r="M5281" s="19" t="str">
        <x:v>In Field Warranty Claims</x:v>
      </x:c>
      <x:c r="N5281" s="37" t="n">
        <x:v>45971</x:v>
      </x:c>
      <x:c r="O5281" s="37"/>
      <x:c r="P5281" s="34" t="n">
        <x:v>287.05</x:v>
      </x:c>
      <x:c r="Q5281" s="37" t="n">
        <x:v>46024.25335648148</x:v>
      </x:c>
    </x:row>
    <x:row r="5282">
      <x:c r="A5282" s="22" t="n">
        <x:v>27734</x:v>
      </x:c>
      <x:c r="B5282" s="28" t="n">
        <x:v>3087.25</x:v>
      </x:c>
      <x:c r="C5282" s="28"/>
      <x:c r="D5282" s="31" t="str">
        <x:f>IF(OR(ISBLANK(B5282),ISBLANK(C5282),B5282=0),"",(C5282-B5282)/B5282)</x:f>
      </x:c>
      <x:c r="E5282" s="22" t="str">
        <x:f>IF(ISBLANK(C5282),"AmountIncludingTax缺失",IF(ABS(B5282-C5282)&lt;0.005,"一致","不一致"))</x:f>
        <x:v>AmountIncludingTax缺失</x:v>
      </x:c>
      <x:c r="F5282" s="19" t="str">
        <x:v>approved</x:v>
      </x:c>
      <x:c r="G5282" s="19" t="str">
        <x:v>Repair in Progress</x:v>
      </x:c>
      <x:c r="H5282" s="19" t="str">
        <x:v>In Field</x:v>
      </x:c>
      <x:c r="I5282" s="37" t="n">
        <x:v>46106</x:v>
      </x:c>
      <x:c r="J5282" s="37" t="n">
        <x:v>46106</x:v>
      </x:c>
      <x:c r="K5282" s="19" t="str">
        <x:v>Green RV - Forest Glen</x:v>
      </x:c>
      <x:c r="L5282" s="19" t="str">
        <x:v>Z006</x:v>
      </x:c>
      <x:c r="M5282" s="19" t="str">
        <x:v>In Field Warranty Claims</x:v>
      </x:c>
      <x:c r="N5282" s="37" t="n">
        <x:v>45971</x:v>
      </x:c>
      <x:c r="O5282" s="37"/>
      <x:c r="P5282" s="34" t="n">
        <x:v>0</x:v>
      </x:c>
      <x:c r="Q5282" s="37" t="n">
        <x:v>46106.05740740741</x:v>
      </x:c>
    </x:row>
    <x:row r="5283">
      <x:c r="A5283" s="22" t="n">
        <x:v>27733</x:v>
      </x:c>
      <x:c r="B5283" s="28" t="n">
        <x:v>367.7</x:v>
      </x:c>
      <x:c r="C5283" s="28" t="n">
        <x:v>404.47</x:v>
      </x:c>
      <x:c r="D5283" s="31" t="n">
        <x:f>IF(OR(ISBLANK(B5283),ISBLANK(C5283),B5283=0),"",(C5283-B5283)/B5283)</x:f>
        <x:v>0.1000000000000001</x:v>
      </x:c>
      <x:c r="E5283" s="22" t="str">
        <x:f>IF(ISBLANK(C5283),"AmountIncludingTax缺失",IF(ABS(B5283-C5283)&lt;0.005,"一致","不一致"))</x:f>
        <x:v>不一致</x:v>
      </x:c>
      <x:c r="F5283" s="19" t="str">
        <x:v>approved</x:v>
      </x:c>
      <x:c r="G5283" s="19" t="str">
        <x:v>Repairer Invoiced Processed</x:v>
      </x:c>
      <x:c r="H5283" s="19" t="str">
        <x:v>In Field</x:v>
      </x:c>
      <x:c r="I5283" s="37" t="n">
        <x:v>46044</x:v>
      </x:c>
      <x:c r="J5283" s="37" t="n">
        <x:v>46044</x:v>
      </x:c>
      <x:c r="K5283" s="19" t="str">
        <x:v>Green RV - Forest Glen</x:v>
      </x:c>
      <x:c r="L5283" s="19" t="str">
        <x:v>Z006</x:v>
      </x:c>
      <x:c r="M5283" s="19" t="str">
        <x:v>In Field Warranty Claims</x:v>
      </x:c>
      <x:c r="N5283" s="37" t="n">
        <x:v>45971</x:v>
      </x:c>
      <x:c r="O5283" s="37"/>
      <x:c r="P5283" s="34" t="n">
        <x:v>404.47</x:v>
      </x:c>
      <x:c r="Q5283" s="37" t="n">
        <x:v>46044.52756944444</x:v>
      </x:c>
    </x:row>
    <x:row r="5284">
      <x:c r="A5284" s="22" t="n">
        <x:v>27726</x:v>
      </x:c>
      <x:c r="B5284" s="28" t="n">
        <x:v>130</x:v>
      </x:c>
      <x:c r="C5284" s="28"/>
      <x:c r="D5284" s="31" t="str">
        <x:f>IF(OR(ISBLANK(B5284),ISBLANK(C5284),B5284=0),"",(C5284-B5284)/B5284)</x:f>
      </x:c>
      <x:c r="E5284" s="22" t="str">
        <x:f>IF(ISBLANK(C5284),"AmountIncludingTax缺失",IF(ABS(B5284-C5284)&lt;0.005,"一致","不一致"))</x:f>
        <x:v>AmountIncludingTax缺失</x:v>
      </x:c>
      <x:c r="F5284" s="19" t="str">
        <x:v>approved</x:v>
      </x:c>
      <x:c r="G5284" s="19" t="str">
        <x:v>Repair in Progress</x:v>
      </x:c>
      <x:c r="H5284" s="19" t="str">
        <x:v>In Field</x:v>
      </x:c>
      <x:c r="I5284" s="37" t="n">
        <x:v>46099</x:v>
      </x:c>
      <x:c r="J5284" s="37" t="n">
        <x:v>46099</x:v>
      </x:c>
      <x:c r="K5284" s="19" t="str">
        <x:v>Sherrif Caravans &amp; Traliers - Prospect Vale</x:v>
      </x:c>
      <x:c r="L5284" s="19" t="str">
        <x:v>Z006</x:v>
      </x:c>
      <x:c r="M5284" s="19" t="str">
        <x:v>In Field Warranty Claims</x:v>
      </x:c>
      <x:c r="N5284" s="37" t="n">
        <x:v>45971</x:v>
      </x:c>
      <x:c r="O5284" s="37"/>
      <x:c r="P5284" s="34" t="n">
        <x:v>0</x:v>
      </x:c>
      <x:c r="Q5284" s="37" t="n">
        <x:v>46099.46252314815</x:v>
      </x:c>
    </x:row>
    <x:row r="5285">
      <x:c r="A5285" s="22" t="n">
        <x:v>27719</x:v>
      </x:c>
      <x:c r="B5285" s="28" t="n">
        <x:v>838.2</x:v>
      </x:c>
      <x:c r="C5285" s="28" t="n">
        <x:v>758.91</x:v>
      </x:c>
      <x:c r="D5285" s="31" t="n">
        <x:f>IF(OR(ISBLANK(B5285),ISBLANK(C5285),B5285=0),"",(C5285-B5285)/B5285)</x:f>
        <x:v>-0.09459556191839665</x:v>
      </x:c>
      <x:c r="E5285" s="22" t="str">
        <x:f>IF(ISBLANK(C5285),"AmountIncludingTax缺失",IF(ABS(B5285-C5285)&lt;0.005,"一致","不一致"))</x:f>
        <x:v>不一致</x:v>
      </x:c>
      <x:c r="F5285" s="19" t="str">
        <x:v>approved</x:v>
      </x:c>
      <x:c r="G5285" s="19" t="str">
        <x:v>Repairer Invoiced Processed</x:v>
      </x:c>
      <x:c r="H5285" s="19" t="str">
        <x:v>In Field</x:v>
      </x:c>
      <x:c r="I5285" s="37" t="n">
        <x:v>46099</x:v>
      </x:c>
      <x:c r="J5285" s="37" t="n">
        <x:v>46098</x:v>
      </x:c>
      <x:c r="K5285" s="19" t="str">
        <x:v>CMG Campers - Christchurch</x:v>
      </x:c>
      <x:c r="L5285" s="19" t="str">
        <x:v>Z006</x:v>
      </x:c>
      <x:c r="M5285" s="19" t="str">
        <x:v>In Field Warranty Claims</x:v>
      </x:c>
      <x:c r="N5285" s="37" t="n">
        <x:v>45971</x:v>
      </x:c>
      <x:c r="O5285" s="37"/>
      <x:c r="P5285" s="34" t="n">
        <x:v>758.91</x:v>
      </x:c>
      <x:c r="Q5285" s="37" t="n">
        <x:v>46099.02967592593</x:v>
      </x:c>
    </x:row>
    <x:row r="5286">
      <x:c r="A5286" s="22" t="n">
        <x:v>27718</x:v>
      </x:c>
      <x:c r="B5286" s="28" t="n">
        <x:v>799.09</x:v>
      </x:c>
      <x:c r="C5286" s="28" t="n">
        <x:v>879</x:v>
      </x:c>
      <x:c r="D5286" s="31" t="n">
        <x:f>IF(OR(ISBLANK(B5286),ISBLANK(C5286),B5286=0),"",(C5286-B5286)/B5286)</x:f>
        <x:v>0.10000125142349418</x:v>
      </x:c>
      <x:c r="E5286" s="22" t="str">
        <x:f>IF(ISBLANK(C5286),"AmountIncludingTax缺失",IF(ABS(B5286-C5286)&lt;0.005,"一致","不一致"))</x:f>
        <x:v>不一致</x:v>
      </x:c>
      <x:c r="F5286" s="19" t="str">
        <x:v>approved</x:v>
      </x:c>
      <x:c r="G5286" s="19" t="str">
        <x:v>Repairer Invoiced Processed</x:v>
      </x:c>
      <x:c r="H5286" s="19" t="str">
        <x:v>In Field</x:v>
      </x:c>
      <x:c r="I5286" s="37" t="n">
        <x:v>46176</x:v>
      </x:c>
      <x:c r="J5286" s="37" t="n">
        <x:v>46176</x:v>
      </x:c>
      <x:c r="K5286" s="19" t="str">
        <x:v>Regent RV - Perth</x:v>
      </x:c>
      <x:c r="L5286" s="19" t="str">
        <x:v>Z006</x:v>
      </x:c>
      <x:c r="M5286" s="19" t="str">
        <x:v>In Field Warranty Claims</x:v>
      </x:c>
      <x:c r="N5286" s="37" t="n">
        <x:v>45971</x:v>
      </x:c>
      <x:c r="O5286" s="37" t="n">
        <x:v>46153</x:v>
      </x:c>
      <x:c r="P5286" s="34" t="n">
        <x:v>879</x:v>
      </x:c>
      <x:c r="Q5286" s="37" t="n">
        <x:v>46176.172476851854</x:v>
      </x:c>
    </x:row>
    <x:row r="5287">
      <x:c r="A5287" s="22" t="n">
        <x:v>27717</x:v>
      </x:c>
      <x:c r="B5287" s="28" t="n">
        <x:v>295.46</x:v>
      </x:c>
      <x:c r="C5287" s="28"/>
      <x:c r="D5287" s="31" t="str">
        <x:f>IF(OR(ISBLANK(B5287),ISBLANK(C5287),B5287=0),"",(C5287-B5287)/B5287)</x:f>
      </x:c>
      <x:c r="E5287" s="22" t="str">
        <x:f>IF(ISBLANK(C5287),"AmountIncludingTax缺失",IF(ABS(B5287-C5287)&lt;0.005,"一致","不一致"))</x:f>
        <x:v>AmountIncludingTax缺失</x:v>
      </x:c>
      <x:c r="F5287" s="19" t="str">
        <x:v>approved</x:v>
      </x:c>
      <x:c r="G5287" s="19" t="str">
        <x:v>Repairer Invoiced Processed</x:v>
      </x:c>
      <x:c r="H5287" s="19" t="str">
        <x:v>In Field</x:v>
      </x:c>
      <x:c r="I5287" s="37" t="n">
        <x:v>46029</x:v>
      </x:c>
      <x:c r="J5287" s="37" t="n">
        <x:v>46024</x:v>
      </x:c>
      <x:c r="K5287" s="19" t="str">
        <x:v>Leisure Lion Pty Ltd - Toowoomba</x:v>
      </x:c>
      <x:c r="L5287" s="19" t="str">
        <x:v>Z006</x:v>
      </x:c>
      <x:c r="M5287" s="19" t="str">
        <x:v>In Field Warranty Claims</x:v>
      </x:c>
      <x:c r="N5287" s="37" t="n">
        <x:v>45971</x:v>
      </x:c>
      <x:c r="O5287" s="37"/>
      <x:c r="P5287" s="34" t="n">
        <x:v>0</x:v>
      </x:c>
      <x:c r="Q5287" s="37" t="n">
        <x:v>46029.12125</x:v>
      </x:c>
    </x:row>
    <x:row r="5288">
      <x:c r="A5288" s="22" t="n">
        <x:v>27714</x:v>
      </x:c>
      <x:c r="B5288" s="28" t="n">
        <x:v>1059.52</x:v>
      </x:c>
      <x:c r="C5288" s="28"/>
      <x:c r="D5288" s="31" t="str">
        <x:f>IF(OR(ISBLANK(B5288),ISBLANK(C5288),B5288=0),"",(C5288-B5288)/B5288)</x:f>
      </x:c>
      <x:c r="E5288" s="22" t="str">
        <x:f>IF(ISBLANK(C5288),"AmountIncludingTax缺失",IF(ABS(B5288-C5288)&lt;0.005,"一致","不一致"))</x:f>
        <x:v>AmountIncludingTax缺失</x:v>
      </x:c>
      <x:c r="F5288" s="19" t="str">
        <x:v>approved</x:v>
      </x:c>
      <x:c r="G5288" s="19" t="str">
        <x:v>Repairer Invoiced Processed</x:v>
      </x:c>
      <x:c r="H5288" s="19" t="str">
        <x:v>In Field</x:v>
      </x:c>
      <x:c r="I5288" s="37" t="n">
        <x:v>46024</x:v>
      </x:c>
      <x:c r="J5288" s="37" t="n">
        <x:v>46024</x:v>
      </x:c>
      <x:c r="K5288" s="19" t="str">
        <x:v>Lesiure Lion-New Castle</x:v>
      </x:c>
      <x:c r="L5288" s="19" t="str">
        <x:v>Z006</x:v>
      </x:c>
      <x:c r="M5288" s="19" t="str">
        <x:v>In Field Warranty Claims</x:v>
      </x:c>
      <x:c r="N5288" s="37" t="n">
        <x:v>45971</x:v>
      </x:c>
      <x:c r="O5288" s="37"/>
      <x:c r="P5288" s="34" t="n">
        <x:v>0</x:v>
      </x:c>
      <x:c r="Q5288" s="37" t="n">
        <x:v>46024.281689814816</x:v>
      </x:c>
    </x:row>
    <x:row r="5289">
      <x:c r="A5289" s="22" t="n">
        <x:v>27711</x:v>
      </x:c>
      <x:c r="B5289" s="28" t="n">
        <x:v>295.45</x:v>
      </x:c>
      <x:c r="C5289" s="28"/>
      <x:c r="D5289" s="31" t="str">
        <x:f>IF(OR(ISBLANK(B5289),ISBLANK(C5289),B5289=0),"",(C5289-B5289)/B5289)</x:f>
      </x:c>
      <x:c r="E5289" s="22" t="str">
        <x:f>IF(ISBLANK(C5289),"AmountIncludingTax缺失",IF(ABS(B5289-C5289)&lt;0.005,"一致","不一致"))</x:f>
        <x:v>AmountIncludingTax缺失</x:v>
      </x:c>
      <x:c r="F5289" s="19" t="str">
        <x:v>approved</x:v>
      </x:c>
      <x:c r="G5289" s="19" t="str">
        <x:v>Repairer Invoiced Processed</x:v>
      </x:c>
      <x:c r="H5289" s="19" t="str">
        <x:v>In Field</x:v>
      </x:c>
      <x:c r="I5289" s="37" t="n">
        <x:v>46098</x:v>
      </x:c>
      <x:c r="J5289" s="37" t="n">
        <x:v>46098</x:v>
      </x:c>
      <x:c r="K5289" s="19" t="str">
        <x:v>The Caravan Hub - Townsville</x:v>
      </x:c>
      <x:c r="L5289" s="19" t="str">
        <x:v>Z006</x:v>
      </x:c>
      <x:c r="M5289" s="19" t="str">
        <x:v>In Field Warranty Claims</x:v>
      </x:c>
      <x:c r="N5289" s="37" t="n">
        <x:v>45970</x:v>
      </x:c>
      <x:c r="O5289" s="37" t="n">
        <x:v>46057</x:v>
      </x:c>
      <x:c r="P5289" s="34" t="n">
        <x:v>0</x:v>
      </x:c>
      <x:c r="Q5289" s="37" t="n">
        <x:v>46097.953738425924</x:v>
      </x:c>
    </x:row>
    <x:row r="5290">
      <x:c r="A5290" s="22" t="n">
        <x:v>27708</x:v>
      </x:c>
      <x:c r="B5290" s="28" t="n">
        <x:v>11.05</x:v>
      </x:c>
      <x:c r="C5290" s="28"/>
      <x:c r="D5290" s="31" t="str">
        <x:f>IF(OR(ISBLANK(B5290),ISBLANK(C5290),B5290=0),"",(C5290-B5290)/B5290)</x:f>
      </x:c>
      <x:c r="E5290" s="22" t="str">
        <x:f>IF(ISBLANK(C5290),"AmountIncludingTax缺失",IF(ABS(B5290-C5290)&lt;0.005,"一致","不一致"))</x:f>
        <x:v>AmountIncludingTax缺失</x:v>
      </x:c>
      <x:c r="F5290" s="19" t="str">
        <x:v>approved</x:v>
      </x:c>
      <x:c r="G5290" s="19" t="str">
        <x:v>Repair in Progress</x:v>
      </x:c>
      <x:c r="H5290" s="19" t="str">
        <x:v>Pre Delivery</x:v>
      </x:c>
      <x:c r="I5290" s="37" t="n">
        <x:v>46056</x:v>
      </x:c>
      <x:c r="J5290" s="37" t="n">
        <x:v>46056</x:v>
      </x:c>
      <x:c r="K5290" s="19" t="str">
        <x:v>Auswide Caravans - South Nowra</x:v>
      </x:c>
      <x:c r="L5290" s="19" t="str">
        <x:v>Z005</x:v>
      </x:c>
      <x:c r="M5290" s="19" t="str">
        <x:v>Pre Delivery Warranty Claims</x:v>
      </x:c>
      <x:c r="N5290" s="37" t="n">
        <x:v>45971</x:v>
      </x:c>
      <x:c r="O5290" s="37"/>
      <x:c r="P5290" s="34" t="n">
        <x:v>0</x:v>
      </x:c>
      <x:c r="Q5290" s="37" t="n">
        <x:v>46056.27912037037</x:v>
      </x:c>
    </x:row>
    <x:row r="5291">
      <x:c r="A5291" s="22" t="n">
        <x:v>27706</x:v>
      </x:c>
      <x:c r="B5291" s="28" t="n">
        <x:v>910</x:v>
      </x:c>
      <x:c r="C5291" s="28"/>
      <x:c r="D5291" s="31" t="str">
        <x:f>IF(OR(ISBLANK(B5291),ISBLANK(C5291),B5291=0),"",(C5291-B5291)/B5291)</x:f>
      </x:c>
      <x:c r="E5291" s="22" t="str">
        <x:f>IF(ISBLANK(C5291),"AmountIncludingTax缺失",IF(ABS(B5291-C5291)&lt;0.005,"一致","不一致"))</x:f>
        <x:v>AmountIncludingTax缺失</x:v>
      </x:c>
      <x:c r="F5291" s="19" t="str">
        <x:v>approved</x:v>
      </x:c>
      <x:c r="G5291" s="19" t="str">
        <x:v>Repair in Progress</x:v>
      </x:c>
      <x:c r="H5291" s="19" t="str">
        <x:v>In Field</x:v>
      </x:c>
      <x:c r="I5291" s="37" t="n">
        <x:v>46092</x:v>
      </x:c>
      <x:c r="J5291" s="37" t="n">
        <x:v>46092</x:v>
      </x:c>
      <x:c r="K5291" s="19" t="str">
        <x:v>Bendigo Caravan Group - Bendigo</x:v>
      </x:c>
      <x:c r="L5291" s="19" t="str">
        <x:v>Z006</x:v>
      </x:c>
      <x:c r="M5291" s="19" t="str">
        <x:v>In Field Warranty Claims</x:v>
      </x:c>
      <x:c r="N5291" s="37" t="n">
        <x:v>45970</x:v>
      </x:c>
      <x:c r="O5291" s="37"/>
      <x:c r="P5291" s="34" t="n">
        <x:v>0</x:v>
      </x:c>
      <x:c r="Q5291" s="37" t="n">
        <x:v>46092.14548611111</x:v>
      </x:c>
    </x:row>
    <x:row r="5292">
      <x:c r="A5292" s="22" t="n">
        <x:v>27703</x:v>
      </x:c>
      <x:c r="B5292" s="28" t="n">
        <x:v>1230</x:v>
      </x:c>
      <x:c r="C5292" s="28"/>
      <x:c r="D5292" s="31" t="str">
        <x:f>IF(OR(ISBLANK(B5292),ISBLANK(C5292),B5292=0),"",(C5292-B5292)/B5292)</x:f>
      </x:c>
      <x:c r="E5292" s="22" t="str">
        <x:f>IF(ISBLANK(C5292),"AmountIncludingTax缺失",IF(ABS(B5292-C5292)&lt;0.005,"一致","不一致"))</x:f>
        <x:v>AmountIncludingTax缺失</x:v>
      </x:c>
      <x:c r="F5292" s="19" t="str">
        <x:v>approved</x:v>
      </x:c>
      <x:c r="G5292" s="19" t="str">
        <x:v>Repairer Invoiced Processed</x:v>
      </x:c>
      <x:c r="H5292" s="19" t="str">
        <x:v>In Field</x:v>
      </x:c>
      <x:c r="I5292" s="37" t="n">
        <x:v>46035</x:v>
      </x:c>
      <x:c r="J5292" s="37" t="n">
        <x:v>46035</x:v>
      </x:c>
      <x:c r="K5292" s="19" t="str">
        <x:v>Regent RV - Frankston</x:v>
      </x:c>
      <x:c r="L5292" s="19" t="str">
        <x:v>Z006</x:v>
      </x:c>
      <x:c r="M5292" s="19" t="str">
        <x:v>In Field Warranty Claims</x:v>
      </x:c>
      <x:c r="N5292" s="37" t="n">
        <x:v>45970</x:v>
      </x:c>
      <x:c r="O5292" s="37"/>
      <x:c r="P5292" s="34" t="n">
        <x:v>1353</x:v>
      </x:c>
      <x:c r="Q5292" s="37" t="n">
        <x:v>46035.11184027778</x:v>
      </x:c>
    </x:row>
    <x:row r="5293">
      <x:c r="A5293" s="22" t="n">
        <x:v>27702</x:v>
      </x:c>
      <x:c r="B5293" s="28" t="n">
        <x:v>2671.25</x:v>
      </x:c>
      <x:c r="C5293" s="28"/>
      <x:c r="D5293" s="31" t="str">
        <x:f>IF(OR(ISBLANK(B5293),ISBLANK(C5293),B5293=0),"",(C5293-B5293)/B5293)</x:f>
      </x:c>
      <x:c r="E5293" s="22" t="str">
        <x:f>IF(ISBLANK(C5293),"AmountIncludingTax缺失",IF(ABS(B5293-C5293)&lt;0.005,"一致","不一致"))</x:f>
        <x:v>AmountIncludingTax缺失</x:v>
      </x:c>
      <x:c r="F5293" s="19" t="str">
        <x:v>approved</x:v>
      </x:c>
      <x:c r="G5293" s="19" t="str">
        <x:v>Repair in Progress</x:v>
      </x:c>
      <x:c r="H5293" s="19" t="str">
        <x:v>In Field</x:v>
      </x:c>
      <x:c r="I5293" s="37" t="n">
        <x:v>46147</x:v>
      </x:c>
      <x:c r="J5293" s="37" t="n">
        <x:v>46147</x:v>
      </x:c>
      <x:c r="K5293" s="19" t="str">
        <x:v>Regent RV - Perth</x:v>
      </x:c>
      <x:c r="L5293" s="19" t="str">
        <x:v>Z006</x:v>
      </x:c>
      <x:c r="M5293" s="19" t="str">
        <x:v>In Field Warranty Claims</x:v>
      </x:c>
      <x:c r="N5293" s="37" t="n">
        <x:v>45969</x:v>
      </x:c>
      <x:c r="O5293" s="37"/>
      <x:c r="P5293" s="34" t="n">
        <x:v>0</x:v>
      </x:c>
      <x:c r="Q5293" s="37" t="n">
        <x:v>46147.18653935185</x:v>
      </x:c>
    </x:row>
    <x:row r="5294">
      <x:c r="A5294" s="22" t="n">
        <x:v>27700</x:v>
      </x:c>
      <x:c r="B5294" s="28" t="n">
        <x:v>552.5</x:v>
      </x:c>
      <x:c r="C5294" s="28"/>
      <x:c r="D5294" s="31" t="str">
        <x:f>IF(OR(ISBLANK(B5294),ISBLANK(C5294),B5294=0),"",(C5294-B5294)/B5294)</x:f>
      </x:c>
      <x:c r="E5294" s="22" t="str">
        <x:f>IF(ISBLANK(C5294),"AmountIncludingTax缺失",IF(ABS(B5294-C5294)&lt;0.005,"一致","不一致"))</x:f>
        <x:v>AmountIncludingTax缺失</x:v>
      </x:c>
      <x:c r="F5294" s="19" t="str">
        <x:v>approved</x:v>
      </x:c>
      <x:c r="G5294" s="19" t="str">
        <x:v>Repair in Progress</x:v>
      </x:c>
      <x:c r="H5294" s="19" t="str">
        <x:v>In Field</x:v>
      </x:c>
      <x:c r="I5294" s="37" t="n">
        <x:v>46052</x:v>
      </x:c>
      <x:c r="J5294" s="37" t="n">
        <x:v>46052</x:v>
      </x:c>
      <x:c r="K5294" s="19" t="str">
        <x:v>Regent RV - Frankston</x:v>
      </x:c>
      <x:c r="L5294" s="19" t="str">
        <x:v>Z006</x:v>
      </x:c>
      <x:c r="M5294" s="19" t="str">
        <x:v>In Field Warranty Claims</x:v>
      </x:c>
      <x:c r="N5294" s="37" t="n">
        <x:v>45970</x:v>
      </x:c>
      <x:c r="O5294" s="37"/>
      <x:c r="P5294" s="34" t="n">
        <x:v>0</x:v>
      </x:c>
      <x:c r="Q5294" s="37" t="n">
        <x:v>46052.184270833335</x:v>
      </x:c>
    </x:row>
    <x:row r="5295">
      <x:c r="A5295" s="22" t="n">
        <x:v>27699</x:v>
      </x:c>
      <x:c r="B5295" s="28" t="n">
        <x:v>323.38</x:v>
      </x:c>
      <x:c r="C5295" s="28"/>
      <x:c r="D5295" s="31" t="str">
        <x:f>IF(OR(ISBLANK(B5295),ISBLANK(C5295),B5295=0),"",(C5295-B5295)/B5295)</x:f>
      </x:c>
      <x:c r="E5295" s="22" t="str">
        <x:f>IF(ISBLANK(C5295),"AmountIncludingTax缺失",IF(ABS(B5295-C5295)&lt;0.005,"一致","不一致"))</x:f>
        <x:v>AmountIncludingTax缺失</x:v>
      </x:c>
      <x:c r="F5295" s="19" t="str">
        <x:v>approved</x:v>
      </x:c>
      <x:c r="G5295" s="19" t="str">
        <x:v>Repair in Progress</x:v>
      </x:c>
      <x:c r="H5295" s="19" t="str">
        <x:v>In Field</x:v>
      </x:c>
      <x:c r="I5295" s="37" t="n">
        <x:v>46164</x:v>
      </x:c>
      <x:c r="J5295" s="37" t="n">
        <x:v>46164</x:v>
      </x:c>
      <x:c r="K5295" s="19" t="str">
        <x:v>CMG Campers - Christchurch</x:v>
      </x:c>
      <x:c r="L5295" s="19" t="str">
        <x:v>Z006</x:v>
      </x:c>
      <x:c r="M5295" s="19" t="str">
        <x:v>In Field Warranty Claims</x:v>
      </x:c>
      <x:c r="N5295" s="37" t="n">
        <x:v>45970</x:v>
      </x:c>
      <x:c r="O5295" s="37"/>
      <x:c r="P5295" s="34" t="n">
        <x:v>0</x:v>
      </x:c>
      <x:c r="Q5295" s="37" t="n">
        <x:v>46164.2028125</x:v>
      </x:c>
    </x:row>
    <x:row r="5296">
      <x:c r="A5296" s="22" t="n">
        <x:v>27690</x:v>
      </x:c>
      <x:c r="B5296" s="28" t="n">
        <x:v>228.68</x:v>
      </x:c>
      <x:c r="C5296" s="28"/>
      <x:c r="D5296" s="31" t="str">
        <x:f>IF(OR(ISBLANK(B5296),ISBLANK(C5296),B5296=0),"",(C5296-B5296)/B5296)</x:f>
      </x:c>
      <x:c r="E5296" s="22" t="str">
        <x:f>IF(ISBLANK(C5296),"AmountIncludingTax缺失",IF(ABS(B5296-C5296)&lt;0.005,"一致","不一致"))</x:f>
        <x:v>AmountIncludingTax缺失</x:v>
      </x:c>
      <x:c r="F5296" s="19" t="str">
        <x:v>approved</x:v>
      </x:c>
      <x:c r="G5296" s="19" t="str">
        <x:v>Repair in Progress</x:v>
      </x:c>
      <x:c r="H5296" s="19" t="str">
        <x:v>In Field</x:v>
      </x:c>
      <x:c r="I5296" s="37" t="n">
        <x:v>46161</x:v>
      </x:c>
      <x:c r="J5296" s="37" t="n">
        <x:v>46161</x:v>
      </x:c>
      <x:c r="K5296" s="19" t="str">
        <x:v>Regent RV - Perth</x:v>
      </x:c>
      <x:c r="L5296" s="19" t="str">
        <x:v>Z006</x:v>
      </x:c>
      <x:c r="M5296" s="19" t="str">
        <x:v>In Field Warranty Claims</x:v>
      </x:c>
      <x:c r="N5296" s="37" t="n">
        <x:v>45969</x:v>
      </x:c>
      <x:c r="O5296" s="37"/>
      <x:c r="P5296" s="34" t="n">
        <x:v>0</x:v>
      </x:c>
      <x:c r="Q5296" s="37" t="n">
        <x:v>46161.15671296296</x:v>
      </x:c>
    </x:row>
    <x:row r="5297">
      <x:c r="A5297" s="22" t="n">
        <x:v>27683</x:v>
      </x:c>
      <x:c r="B5297" s="28" t="n">
        <x:v>869.24</x:v>
      </x:c>
      <x:c r="C5297" s="28" t="n">
        <x:v>956.16</x:v>
      </x:c>
      <x:c r="D5297" s="31" t="n">
        <x:f>IF(OR(ISBLANK(B5297),ISBLANK(C5297),B5297=0),"",(C5297-B5297)/B5297)</x:f>
        <x:v>0.09999539827895629</x:v>
      </x:c>
      <x:c r="E5297" s="22" t="str">
        <x:f>IF(ISBLANK(C5297),"AmountIncludingTax缺失",IF(ABS(B5297-C5297)&lt;0.005,"一致","不一致"))</x:f>
        <x:v>不一致</x:v>
      </x:c>
      <x:c r="F5297" s="19" t="str">
        <x:v>approved</x:v>
      </x:c>
      <x:c r="G5297" s="19" t="str">
        <x:v>Repairer Invoiced Processed</x:v>
      </x:c>
      <x:c r="H5297" s="19" t="str">
        <x:v>In Field</x:v>
      </x:c>
      <x:c r="I5297" s="37" t="n">
        <x:v>46042</x:v>
      </x:c>
      <x:c r="J5297" s="37" t="n">
        <x:v>46042</x:v>
      </x:c>
      <x:c r="K5297" s="19" t="str">
        <x:v>Green RV - Forest Glen</x:v>
      </x:c>
      <x:c r="L5297" s="19" t="str">
        <x:v>Z006</x:v>
      </x:c>
      <x:c r="M5297" s="19" t="str">
        <x:v>In Field Warranty Claims</x:v>
      </x:c>
      <x:c r="N5297" s="37" t="n">
        <x:v>45968</x:v>
      </x:c>
      <x:c r="O5297" s="37"/>
      <x:c r="P5297" s="34" t="n">
        <x:v>956.16</x:v>
      </x:c>
      <x:c r="Q5297" s="37" t="n">
        <x:v>46041.96508101852</x:v>
      </x:c>
    </x:row>
    <x:row r="5298">
      <x:c r="A5298" s="22" t="n">
        <x:v>27681</x:v>
      </x:c>
      <x:c r="B5298" s="28" t="n">
        <x:v>181.82</x:v>
      </x:c>
      <x:c r="C5298" s="28"/>
      <x:c r="D5298" s="31" t="str">
        <x:f>IF(OR(ISBLANK(B5298),ISBLANK(C5298),B5298=0),"",(C5298-B5298)/B5298)</x:f>
      </x:c>
      <x:c r="E5298" s="22" t="str">
        <x:f>IF(ISBLANK(C5298),"AmountIncludingTax缺失",IF(ABS(B5298-C5298)&lt;0.005,"一致","不一致"))</x:f>
        <x:v>AmountIncludingTax缺失</x:v>
      </x:c>
      <x:c r="F5298" s="19" t="str">
        <x:v>approved</x:v>
      </x:c>
      <x:c r="G5298" s="19" t="str">
        <x:v>Repair in Progress</x:v>
      </x:c>
      <x:c r="H5298" s="19" t="str">
        <x:v>In Field</x:v>
      </x:c>
      <x:c r="I5298" s="37" t="n">
        <x:v>46024</x:v>
      </x:c>
      <x:c r="J5298" s="37" t="n">
        <x:v>46024</x:v>
      </x:c>
      <x:c r="K5298" s="19" t="str">
        <x:v>Regent RV - Perth</x:v>
      </x:c>
      <x:c r="L5298" s="19" t="str">
        <x:v>Z006</x:v>
      </x:c>
      <x:c r="M5298" s="19" t="str">
        <x:v>In Field Warranty Claims</x:v>
      </x:c>
      <x:c r="N5298" s="37" t="n">
        <x:v>45968</x:v>
      </x:c>
      <x:c r="O5298" s="37"/>
      <x:c r="P5298" s="34" t="n">
        <x:v>0</x:v>
      </x:c>
      <x:c r="Q5298" s="37" t="n">
        <x:v>46023.99628472222</x:v>
      </x:c>
    </x:row>
    <x:row r="5299">
      <x:c r="A5299" s="22" t="n">
        <x:v>27653</x:v>
      </x:c>
      <x:c r="B5299" s="28" t="n">
        <x:v>701.1</x:v>
      </x:c>
      <x:c r="C5299" s="28" t="n">
        <x:v>771.21</x:v>
      </x:c>
      <x:c r="D5299" s="31" t="n">
        <x:f>IF(OR(ISBLANK(B5299),ISBLANK(C5299),B5299=0),"",(C5299-B5299)/B5299)</x:f>
        <x:v>0.10000000000000002</x:v>
      </x:c>
      <x:c r="E5299" s="22" t="str">
        <x:f>IF(ISBLANK(C5299),"AmountIncludingTax缺失",IF(ABS(B5299-C5299)&lt;0.005,"一致","不一致"))</x:f>
        <x:v>不一致</x:v>
      </x:c>
      <x:c r="F5299" s="19" t="str">
        <x:v>approved</x:v>
      </x:c>
      <x:c r="G5299" s="19" t="str">
        <x:v>Repairer Invoiced Processed</x:v>
      </x:c>
      <x:c r="H5299" s="19" t="str">
        <x:v>In Field</x:v>
      </x:c>
      <x:c r="I5299" s="37" t="n">
        <x:v>46024</x:v>
      </x:c>
      <x:c r="J5299" s="37" t="n">
        <x:v>46024</x:v>
      </x:c>
      <x:c r="K5299" s="19" t="str">
        <x:v>Green RV - Forest Glen</x:v>
      </x:c>
      <x:c r="L5299" s="19" t="str">
        <x:v>Z006</x:v>
      </x:c>
      <x:c r="M5299" s="19" t="str">
        <x:v>In Field Warranty Claims</x:v>
      </x:c>
      <x:c r="N5299" s="37" t="n">
        <x:v>45968</x:v>
      </x:c>
      <x:c r="O5299" s="37"/>
      <x:c r="P5299" s="34" t="n">
        <x:v>771.21</x:v>
      </x:c>
      <x:c r="Q5299" s="37" t="n">
        <x:v>46023.98193287037</x:v>
      </x:c>
    </x:row>
    <x:row r="5300">
      <x:c r="A5300" s="22" t="n">
        <x:v>27646</x:v>
      </x:c>
      <x:c r="B5300" s="28" t="n">
        <x:v>371.25</x:v>
      </x:c>
      <x:c r="C5300" s="28"/>
      <x:c r="D5300" s="31" t="str">
        <x:f>IF(OR(ISBLANK(B5300),ISBLANK(C5300),B5300=0),"",(C5300-B5300)/B5300)</x:f>
      </x:c>
      <x:c r="E5300" s="22" t="str">
        <x:f>IF(ISBLANK(C5300),"AmountIncludingTax缺失",IF(ABS(B5300-C5300)&lt;0.005,"一致","不一致"))</x:f>
        <x:v>AmountIncludingTax缺失</x:v>
      </x:c>
      <x:c r="F5300" s="19" t="str">
        <x:v>approved</x:v>
      </x:c>
      <x:c r="G5300" s="19" t="str">
        <x:v>Repair in Progress</x:v>
      </x:c>
      <x:c r="H5300" s="19" t="str">
        <x:v>In Field</x:v>
      </x:c>
      <x:c r="I5300" s="37" t="n">
        <x:v>46100</x:v>
      </x:c>
      <x:c r="J5300" s="37" t="n">
        <x:v>46100</x:v>
      </x:c>
      <x:c r="K5300" s="19" t="str">
        <x:v>Green RV - Forest Glen</x:v>
      </x:c>
      <x:c r="L5300" s="19" t="str">
        <x:v>Z006</x:v>
      </x:c>
      <x:c r="M5300" s="19" t="str">
        <x:v>In Field Warranty Claims</x:v>
      </x:c>
      <x:c r="N5300" s="37" t="n">
        <x:v>45968</x:v>
      </x:c>
      <x:c r="O5300" s="37"/>
      <x:c r="P5300" s="34" t="n">
        <x:v>0</x:v>
      </x:c>
      <x:c r="Q5300" s="37" t="n">
        <x:v>46100.44934027778</x:v>
      </x:c>
    </x:row>
    <x:row r="5301">
      <x:c r="A5301" s="22" t="n">
        <x:v>27645</x:v>
      </x:c>
      <x:c r="B5301" s="28" t="n">
        <x:v>190.5</x:v>
      </x:c>
      <x:c r="C5301" s="28"/>
      <x:c r="D5301" s="31" t="str">
        <x:f>IF(OR(ISBLANK(B5301),ISBLANK(C5301),B5301=0),"",(C5301-B5301)/B5301)</x:f>
      </x:c>
      <x:c r="E5301" s="22" t="str">
        <x:f>IF(ISBLANK(C5301),"AmountIncludingTax缺失",IF(ABS(B5301-C5301)&lt;0.005,"一致","不一致"))</x:f>
        <x:v>AmountIncludingTax缺失</x:v>
      </x:c>
      <x:c r="F5301" s="19" t="str">
        <x:v>approved</x:v>
      </x:c>
      <x:c r="G5301" s="19" t="str">
        <x:v>Repair in Progress</x:v>
      </x:c>
      <x:c r="H5301" s="19" t="str">
        <x:v>In Field</x:v>
      </x:c>
      <x:c r="I5301" s="37" t="n">
        <x:v>46136</x:v>
      </x:c>
      <x:c r="J5301" s="37" t="n">
        <x:v>46136</x:v>
      </x:c>
      <x:c r="K5301" s="19" t="str">
        <x:v>Newcastle RV Super Centre - Beresfield</x:v>
      </x:c>
      <x:c r="L5301" s="19" t="str">
        <x:v>Z006</x:v>
      </x:c>
      <x:c r="M5301" s="19" t="str">
        <x:v>In Field Warranty Claims</x:v>
      </x:c>
      <x:c r="N5301" s="37" t="n">
        <x:v>45968</x:v>
      </x:c>
      <x:c r="O5301" s="37"/>
      <x:c r="P5301" s="34" t="n">
        <x:v>0</x:v>
      </x:c>
      <x:c r="Q5301" s="37" t="n">
        <x:v>46136.18902777778</x:v>
      </x:c>
    </x:row>
    <x:row r="5302">
      <x:c r="A5302" s="22" t="n">
        <x:v>27641</x:v>
      </x:c>
      <x:c r="B5302" s="28" t="n">
        <x:v>181.5</x:v>
      </x:c>
      <x:c r="C5302" s="28"/>
      <x:c r="D5302" s="31" t="str">
        <x:f>IF(OR(ISBLANK(B5302),ISBLANK(C5302),B5302=0),"",(C5302-B5302)/B5302)</x:f>
      </x:c>
      <x:c r="E5302" s="22" t="str">
        <x:f>IF(ISBLANK(C5302),"AmountIncludingTax缺失",IF(ABS(B5302-C5302)&lt;0.005,"一致","不一致"))</x:f>
        <x:v>AmountIncludingTax缺失</x:v>
      </x:c>
      <x:c r="F5302" s="19" t="str">
        <x:v>approved</x:v>
      </x:c>
      <x:c r="G5302" s="19" t="str">
        <x:v>Repair in Progress</x:v>
      </x:c>
      <x:c r="H5302" s="19" t="str">
        <x:v>In Field</x:v>
      </x:c>
      <x:c r="I5302" s="37" t="n">
        <x:v>46052</x:v>
      </x:c>
      <x:c r="J5302" s="37" t="n">
        <x:v>46052</x:v>
      </x:c>
      <x:c r="K5302" s="19" t="str">
        <x:v>Snowy River Frankston</x:v>
      </x:c>
      <x:c r="L5302" s="19" t="str">
        <x:v>Z006</x:v>
      </x:c>
      <x:c r="M5302" s="19" t="str">
        <x:v>In Field Warranty Claims</x:v>
      </x:c>
      <x:c r="N5302" s="37" t="n">
        <x:v>45968</x:v>
      </x:c>
      <x:c r="O5302" s="37"/>
      <x:c r="P5302" s="34" t="n">
        <x:v>0</x:v>
      </x:c>
      <x:c r="Q5302" s="37" t="n">
        <x:v>46052.02887731481</x:v>
      </x:c>
    </x:row>
    <x:row r="5303">
      <x:c r="A5303" s="22" t="n">
        <x:v>27639</x:v>
      </x:c>
      <x:c r="B5303" s="28" t="n">
        <x:v>371.25</x:v>
      </x:c>
      <x:c r="C5303" s="28"/>
      <x:c r="D5303" s="31" t="str">
        <x:f>IF(OR(ISBLANK(B5303),ISBLANK(C5303),B5303=0),"",(C5303-B5303)/B5303)</x:f>
      </x:c>
      <x:c r="E5303" s="22" t="str">
        <x:f>IF(ISBLANK(C5303),"AmountIncludingTax缺失",IF(ABS(B5303-C5303)&lt;0.005,"一致","不一致"))</x:f>
        <x:v>AmountIncludingTax缺失</x:v>
      </x:c>
      <x:c r="F5303" s="19" t="str">
        <x:v>approved</x:v>
      </x:c>
      <x:c r="G5303" s="19" t="str">
        <x:v>Repair in Progress</x:v>
      </x:c>
      <x:c r="H5303" s="19" t="str">
        <x:v>In Field</x:v>
      </x:c>
      <x:c r="I5303" s="37" t="n">
        <x:v>46126</x:v>
      </x:c>
      <x:c r="J5303" s="37" t="n">
        <x:v>46126</x:v>
      </x:c>
      <x:c r="K5303" s="19" t="str">
        <x:v>Sherrif Caravans &amp; Traliers - Prospect Vale</x:v>
      </x:c>
      <x:c r="L5303" s="19" t="str">
        <x:v>Z006</x:v>
      </x:c>
      <x:c r="M5303" s="19" t="str">
        <x:v>In Field Warranty Claims</x:v>
      </x:c>
      <x:c r="N5303" s="37" t="n">
        <x:v>45968</x:v>
      </x:c>
      <x:c r="O5303" s="37"/>
      <x:c r="P5303" s="34" t="n">
        <x:v>0</x:v>
      </x:c>
      <x:c r="Q5303" s="37" t="n">
        <x:v>46125.92109953704</x:v>
      </x:c>
    </x:row>
    <x:row r="5304">
      <x:c r="A5304" s="22" t="n">
        <x:v>27636</x:v>
      </x:c>
      <x:c r="B5304" s="28" t="n">
        <x:v>540</x:v>
      </x:c>
      <x:c r="C5304" s="28"/>
      <x:c r="D5304" s="31" t="str">
        <x:f>IF(OR(ISBLANK(B5304),ISBLANK(C5304),B5304=0),"",(C5304-B5304)/B5304)</x:f>
      </x:c>
      <x:c r="E5304" s="22" t="str">
        <x:f>IF(ISBLANK(C5304),"AmountIncludingTax缺失",IF(ABS(B5304-C5304)&lt;0.005,"一致","不一致"))</x:f>
        <x:v>AmountIncludingTax缺失</x:v>
      </x:c>
      <x:c r="F5304" s="19" t="str">
        <x:v>approved</x:v>
      </x:c>
      <x:c r="G5304" s="19" t="str">
        <x:v>Repairer Invoiced Processed</x:v>
      </x:c>
      <x:c r="H5304" s="19" t="str">
        <x:v>In Field</x:v>
      </x:c>
      <x:c r="I5304" s="37" t="n">
        <x:v>46079</x:v>
      </x:c>
      <x:c r="J5304" s="37" t="n">
        <x:v>46079</x:v>
      </x:c>
      <x:c r="K5304" s="19" t="str">
        <x:v>Green RV - Forest Glen</x:v>
      </x:c>
      <x:c r="L5304" s="19" t="str">
        <x:v>Z006</x:v>
      </x:c>
      <x:c r="M5304" s="19" t="str">
        <x:v>In Field Warranty Claims</x:v>
      </x:c>
      <x:c r="N5304" s="37" t="n">
        <x:v>45968</x:v>
      </x:c>
      <x:c r="O5304" s="37"/>
      <x:c r="P5304" s="34" t="n">
        <x:v>0</x:v>
      </x:c>
      <x:c r="Q5304" s="37" t="n">
        <x:v>46079.14805555555</x:v>
      </x:c>
    </x:row>
    <x:row r="5305">
      <x:c r="A5305" s="22" t="n">
        <x:v>27633</x:v>
      </x:c>
      <x:c r="B5305" s="28" t="n">
        <x:v>293.64</x:v>
      </x:c>
      <x:c r="C5305" s="28"/>
      <x:c r="D5305" s="31" t="str">
        <x:f>IF(OR(ISBLANK(B5305),ISBLANK(C5305),B5305=0),"",(C5305-B5305)/B5305)</x:f>
      </x:c>
      <x:c r="E5305" s="22" t="str">
        <x:f>IF(ISBLANK(C5305),"AmountIncludingTax缺失",IF(ABS(B5305-C5305)&lt;0.005,"一致","不一致"))</x:f>
        <x:v>AmountIncludingTax缺失</x:v>
      </x:c>
      <x:c r="F5305" s="19" t="str">
        <x:v>approved</x:v>
      </x:c>
      <x:c r="G5305" s="19" t="str">
        <x:v>Repair in Progress</x:v>
      </x:c>
      <x:c r="H5305" s="19" t="str">
        <x:v>Pre Delivery</x:v>
      </x:c>
      <x:c r="I5305" s="37" t="n">
        <x:v>46044</x:v>
      </x:c>
      <x:c r="J5305" s="37" t="n">
        <x:v>46044</x:v>
      </x:c>
      <x:c r="K5305" s="19" t="str">
        <x:v>Regent RV - Frankston</x:v>
      </x:c>
      <x:c r="L5305" s="19" t="str">
        <x:v>Z005</x:v>
      </x:c>
      <x:c r="M5305" s="19" t="str">
        <x:v>Pre Delivery Warranty Claims</x:v>
      </x:c>
      <x:c r="N5305" s="37" t="n">
        <x:v>45968</x:v>
      </x:c>
      <x:c r="O5305" s="37"/>
      <x:c r="P5305" s="34" t="n">
        <x:v>0</x:v>
      </x:c>
      <x:c r="Q5305" s="37" t="n">
        <x:v>46044.52699074074</x:v>
      </x:c>
    </x:row>
    <x:row r="5306">
      <x:c r="A5306" s="22" t="n">
        <x:v>27632</x:v>
      </x:c>
      <x:c r="B5306" s="28" t="n">
        <x:v>295.46</x:v>
      </x:c>
      <x:c r="C5306" s="28"/>
      <x:c r="D5306" s="31" t="str">
        <x:f>IF(OR(ISBLANK(B5306),ISBLANK(C5306),B5306=0),"",(C5306-B5306)/B5306)</x:f>
      </x:c>
      <x:c r="E5306" s="22" t="str">
        <x:f>IF(ISBLANK(C5306),"AmountIncludingTax缺失",IF(ABS(B5306-C5306)&lt;0.005,"一致","不一致"))</x:f>
        <x:v>AmountIncludingTax缺失</x:v>
      </x:c>
      <x:c r="F5306" s="19" t="str">
        <x:v>approved</x:v>
      </x:c>
      <x:c r="G5306" s="19" t="str">
        <x:v>Repairer Invoiced Processed</x:v>
      </x:c>
      <x:c r="H5306" s="19" t="str">
        <x:v>In Field</x:v>
      </x:c>
      <x:c r="I5306" s="37" t="n">
        <x:v>46024</x:v>
      </x:c>
      <x:c r="J5306" s="37" t="n">
        <x:v>46024</x:v>
      </x:c>
      <x:c r="K5306" s="19" t="str">
        <x:v>Regent RV Pty Ltd</x:v>
      </x:c>
      <x:c r="L5306" s="19" t="str">
        <x:v>Z006</x:v>
      </x:c>
      <x:c r="M5306" s="19" t="str">
        <x:v>In Field Warranty Claims</x:v>
      </x:c>
      <x:c r="N5306" s="37" t="n">
        <x:v>45968</x:v>
      </x:c>
      <x:c r="O5306" s="37"/>
      <x:c r="P5306" s="34" t="n">
        <x:v>0</x:v>
      </x:c>
      <x:c r="Q5306" s="37" t="n">
        <x:v>46024.25884259259</x:v>
      </x:c>
    </x:row>
    <x:row r="5307">
      <x:c r="A5307" s="22" t="n">
        <x:v>27626</x:v>
      </x:c>
      <x:c r="B5307" s="28" t="n">
        <x:v>192.35</x:v>
      </x:c>
      <x:c r="C5307" s="28" t="n">
        <x:v>211.59</x:v>
      </x:c>
      <x:c r="D5307" s="31" t="n">
        <x:f>IF(OR(ISBLANK(B5307),ISBLANK(C5307),B5307=0),"",(C5307-B5307)/B5307)</x:f>
        <x:v>0.10002599428125818</x:v>
      </x:c>
      <x:c r="E5307" s="22" t="str">
        <x:f>IF(ISBLANK(C5307),"AmountIncludingTax缺失",IF(ABS(B5307-C5307)&lt;0.005,"一致","不一致"))</x:f>
        <x:v>不一致</x:v>
      </x:c>
      <x:c r="F5307" s="19" t="str">
        <x:v>approved</x:v>
      </x:c>
      <x:c r="G5307" s="19" t="str">
        <x:v>Repairer Invoiced Processed</x:v>
      </x:c>
      <x:c r="H5307" s="19" t="str">
        <x:v>In Field</x:v>
      </x:c>
      <x:c r="I5307" s="37" t="n">
        <x:v>46030</x:v>
      </x:c>
      <x:c r="J5307" s="37" t="n">
        <x:v>46030</x:v>
      </x:c>
      <x:c r="K5307" s="19" t="str">
        <x:v>Regent RV Pty Ltd</x:v>
      </x:c>
      <x:c r="L5307" s="19" t="str">
        <x:v>Z006</x:v>
      </x:c>
      <x:c r="M5307" s="19" t="str">
        <x:v>In Field Warranty Claims</x:v>
      </x:c>
      <x:c r="N5307" s="37" t="n">
        <x:v>45967</x:v>
      </x:c>
      <x:c r="O5307" s="37"/>
      <x:c r="P5307" s="34" t="n">
        <x:v>211.59</x:v>
      </x:c>
      <x:c r="Q5307" s="37" t="n">
        <x:v>46030.00226851852</x:v>
      </x:c>
    </x:row>
    <x:row r="5308">
      <x:c r="A5308" s="22" t="n">
        <x:v>27609</x:v>
      </x:c>
      <x:c r="B5308" s="28" t="n">
        <x:v>725.02</x:v>
      </x:c>
      <x:c r="C5308" s="28"/>
      <x:c r="D5308" s="31" t="str">
        <x:f>IF(OR(ISBLANK(B5308),ISBLANK(C5308),B5308=0),"",(C5308-B5308)/B5308)</x:f>
      </x:c>
      <x:c r="E5308" s="22" t="str">
        <x:f>IF(ISBLANK(C5308),"AmountIncludingTax缺失",IF(ABS(B5308-C5308)&lt;0.005,"一致","不一致"))</x:f>
        <x:v>AmountIncludingTax缺失</x:v>
      </x:c>
      <x:c r="F5308" s="19" t="str">
        <x:v>approved</x:v>
      </x:c>
      <x:c r="G5308" s="19" t="str">
        <x:v>Repair in Progress</x:v>
      </x:c>
      <x:c r="H5308" s="19" t="str">
        <x:v>In Field</x:v>
      </x:c>
      <x:c r="I5308" s="37" t="n">
        <x:v>46051</x:v>
      </x:c>
      <x:c r="J5308" s="37" t="n">
        <x:v>46051</x:v>
      </x:c>
      <x:c r="K5308" s="19" t="str">
        <x:v>Green RV - Forest Glen</x:v>
      </x:c>
      <x:c r="L5308" s="19" t="str">
        <x:v>Z006</x:v>
      </x:c>
      <x:c r="M5308" s="19" t="str">
        <x:v>In Field Warranty Claims</x:v>
      </x:c>
      <x:c r="N5308" s="37" t="n">
        <x:v>45967</x:v>
      </x:c>
      <x:c r="O5308" s="37"/>
      <x:c r="P5308" s="34" t="n">
        <x:v>0</x:v>
      </x:c>
      <x:c r="Q5308" s="37" t="n">
        <x:v>46051.28548611111</x:v>
      </x:c>
    </x:row>
    <x:row r="5309">
      <x:c r="A5309" s="22" t="n">
        <x:v>27607</x:v>
      </x:c>
      <x:c r="B5309" s="28" t="n">
        <x:v>105</x:v>
      </x:c>
      <x:c r="C5309" s="28"/>
      <x:c r="D5309" s="31" t="str">
        <x:f>IF(OR(ISBLANK(B5309),ISBLANK(C5309),B5309=0),"",(C5309-B5309)/B5309)</x:f>
      </x:c>
      <x:c r="E5309" s="22" t="str">
        <x:f>IF(ISBLANK(C5309),"AmountIncludingTax缺失",IF(ABS(B5309-C5309)&lt;0.005,"一致","不一致"))</x:f>
        <x:v>AmountIncludingTax缺失</x:v>
      </x:c>
      <x:c r="F5309" s="19" t="str">
        <x:v>approved</x:v>
      </x:c>
      <x:c r="G5309" s="19" t="str">
        <x:v>Repair in Progress</x:v>
      </x:c>
      <x:c r="H5309" s="19" t="str">
        <x:v>Pre Delivery</x:v>
      </x:c>
      <x:c r="I5309" s="37" t="n">
        <x:v>46031</x:v>
      </x:c>
      <x:c r="J5309" s="37" t="n">
        <x:v>46031</x:v>
      </x:c>
      <x:c r="K5309" s="19" t="str">
        <x:v>Regent RV - Frankston</x:v>
      </x:c>
      <x:c r="L5309" s="19" t="str">
        <x:v>Z005</x:v>
      </x:c>
      <x:c r="M5309" s="19" t="str">
        <x:v>Pre Delivery Warranty Claims</x:v>
      </x:c>
      <x:c r="N5309" s="37" t="n">
        <x:v>45967</x:v>
      </x:c>
      <x:c r="O5309" s="37"/>
      <x:c r="P5309" s="34" t="n">
        <x:v>0</x:v>
      </x:c>
      <x:c r="Q5309" s="37" t="n">
        <x:v>46030.88394675926</x:v>
      </x:c>
    </x:row>
    <x:row r="5310">
      <x:c r="A5310" s="22" t="n">
        <x:v>27606</x:v>
      </x:c>
      <x:c r="B5310" s="28" t="n">
        <x:v>1256.25</x:v>
      </x:c>
      <x:c r="C5310" s="28"/>
      <x:c r="D5310" s="31" t="str">
        <x:f>IF(OR(ISBLANK(B5310),ISBLANK(C5310),B5310=0),"",(C5310-B5310)/B5310)</x:f>
      </x:c>
      <x:c r="E5310" s="22" t="str">
        <x:f>IF(ISBLANK(C5310),"AmountIncludingTax缺失",IF(ABS(B5310-C5310)&lt;0.005,"一致","不一致"))</x:f>
        <x:v>AmountIncludingTax缺失</x:v>
      </x:c>
      <x:c r="F5310" s="19" t="str">
        <x:v>approved</x:v>
      </x:c>
      <x:c r="G5310" s="19" t="str">
        <x:v>Repair in Progress</x:v>
      </x:c>
      <x:c r="H5310" s="19" t="str">
        <x:v>In Field</x:v>
      </x:c>
      <x:c r="I5310" s="37" t="n">
        <x:v>46164</x:v>
      </x:c>
      <x:c r="J5310" s="37" t="n">
        <x:v>46164</x:v>
      </x:c>
      <x:c r="K5310" s="19" t="str">
        <x:v>The Caravan Hub - Townsville</x:v>
      </x:c>
      <x:c r="L5310" s="19" t="str">
        <x:v>Z006</x:v>
      </x:c>
      <x:c r="M5310" s="19" t="str">
        <x:v>In Field Warranty Claims</x:v>
      </x:c>
      <x:c r="N5310" s="37" t="n">
        <x:v>45967</x:v>
      </x:c>
      <x:c r="O5310" s="37"/>
      <x:c r="P5310" s="34" t="n">
        <x:v>0</x:v>
      </x:c>
      <x:c r="Q5310" s="37" t="n">
        <x:v>46164.14210648148</x:v>
      </x:c>
    </x:row>
    <x:row r="5311">
      <x:c r="A5311" s="22" t="n">
        <x:v>27605</x:v>
      </x:c>
      <x:c r="B5311" s="28" t="n">
        <x:v>479.17</x:v>
      </x:c>
      <x:c r="C5311" s="28" t="n">
        <x:v>527.09</x:v>
      </x:c>
      <x:c r="D5311" s="31" t="n">
        <x:f>IF(OR(ISBLANK(B5311),ISBLANK(C5311),B5311=0),"",(C5311-B5311)/B5311)</x:f>
        <x:v>0.10000626082601168</x:v>
      </x:c>
      <x:c r="E5311" s="22" t="str">
        <x:f>IF(ISBLANK(C5311),"AmountIncludingTax缺失",IF(ABS(B5311-C5311)&lt;0.005,"一致","不一致"))</x:f>
        <x:v>不一致</x:v>
      </x:c>
      <x:c r="F5311" s="19" t="str">
        <x:v>approved</x:v>
      </x:c>
      <x:c r="G5311" s="19" t="str">
        <x:v>Repairer Invoiced Processed</x:v>
      </x:c>
      <x:c r="H5311" s="19" t="str">
        <x:v>In Field</x:v>
      </x:c>
      <x:c r="I5311" s="37" t="n">
        <x:v>46024</x:v>
      </x:c>
      <x:c r="J5311" s="37" t="n">
        <x:v>46024</x:v>
      </x:c>
      <x:c r="K5311" s="19" t="str">
        <x:v>Leisure Lion Pty Ltd - Toowoomba</x:v>
      </x:c>
      <x:c r="L5311" s="19" t="str">
        <x:v>Z006</x:v>
      </x:c>
      <x:c r="M5311" s="19" t="str">
        <x:v>In Field Warranty Claims</x:v>
      </x:c>
      <x:c r="N5311" s="37" t="n">
        <x:v>45967</x:v>
      </x:c>
      <x:c r="O5311" s="37"/>
      <x:c r="P5311" s="34" t="n">
        <x:v>527.09</x:v>
      </x:c>
      <x:c r="Q5311" s="37" t="n">
        <x:v>46023.987708333334</x:v>
      </x:c>
    </x:row>
    <x:row r="5312">
      <x:c r="A5312" s="22" t="n">
        <x:v>27602</x:v>
      </x:c>
      <x:c r="B5312" s="28" t="n">
        <x:v>2076.25</x:v>
      </x:c>
      <x:c r="C5312" s="28"/>
      <x:c r="D5312" s="31" t="str">
        <x:f>IF(OR(ISBLANK(B5312),ISBLANK(C5312),B5312=0),"",(C5312-B5312)/B5312)</x:f>
      </x:c>
      <x:c r="E5312" s="22" t="str">
        <x:f>IF(ISBLANK(C5312),"AmountIncludingTax缺失",IF(ABS(B5312-C5312)&lt;0.005,"一致","不一致"))</x:f>
        <x:v>AmountIncludingTax缺失</x:v>
      </x:c>
      <x:c r="F5312" s="19" t="str">
        <x:v>approved</x:v>
      </x:c>
      <x:c r="G5312" s="19" t="str">
        <x:v>Repairer Invoiced Processed</x:v>
      </x:c>
      <x:c r="H5312" s="19" t="str">
        <x:v>In Field</x:v>
      </x:c>
      <x:c r="I5312" s="37" t="n">
        <x:v>46115</x:v>
      </x:c>
      <x:c r="J5312" s="37" t="n">
        <x:v>46115</x:v>
      </x:c>
      <x:c r="K5312" s="19" t="str">
        <x:v>The Caravan Hub - Townsville</x:v>
      </x:c>
      <x:c r="L5312" s="19" t="str">
        <x:v>Z006</x:v>
      </x:c>
      <x:c r="M5312" s="19" t="str">
        <x:v>In Field Warranty Claims</x:v>
      </x:c>
      <x:c r="N5312" s="37" t="n">
        <x:v>45967</x:v>
      </x:c>
      <x:c r="O5312" s="37"/>
      <x:c r="P5312" s="34" t="n">
        <x:v>0</x:v>
      </x:c>
      <x:c r="Q5312" s="37" t="n">
        <x:v>46115.052407407406</x:v>
      </x:c>
    </x:row>
    <x:row r="5313">
      <x:c r="A5313" s="22" t="n">
        <x:v>27598</x:v>
      </x:c>
      <x:c r="B5313" s="28" t="n">
        <x:v>602.29</x:v>
      </x:c>
      <x:c r="C5313" s="28"/>
      <x:c r="D5313" s="31" t="str">
        <x:f>IF(OR(ISBLANK(B5313),ISBLANK(C5313),B5313=0),"",(C5313-B5313)/B5313)</x:f>
      </x:c>
      <x:c r="E5313" s="22" t="str">
        <x:f>IF(ISBLANK(C5313),"AmountIncludingTax缺失",IF(ABS(B5313-C5313)&lt;0.005,"一致","不一致"))</x:f>
        <x:v>AmountIncludingTax缺失</x:v>
      </x:c>
      <x:c r="F5313" s="19" t="str">
        <x:v>approved</x:v>
      </x:c>
      <x:c r="G5313" s="19" t="str">
        <x:v>Repairer Invoiced Received</x:v>
      </x:c>
      <x:c r="H5313" s="19" t="str">
        <x:v>Pre Delivery</x:v>
      </x:c>
      <x:c r="I5313" s="37" t="n">
        <x:v>46031</x:v>
      </x:c>
      <x:c r="J5313" s="37" t="n">
        <x:v>46031</x:v>
      </x:c>
      <x:c r="K5313" s="19" t="str">
        <x:v>Green RV - Slacks Creek</x:v>
      </x:c>
      <x:c r="L5313" s="19" t="str">
        <x:v>Z005</x:v>
      </x:c>
      <x:c r="M5313" s="19" t="str">
        <x:v>Pre Delivery Warranty Claims</x:v>
      </x:c>
      <x:c r="N5313" s="37" t="n">
        <x:v>45967</x:v>
      </x:c>
      <x:c r="O5313" s="37"/>
      <x:c r="P5313" s="34" t="n">
        <x:v>0</x:v>
      </x:c>
      <x:c r="Q5313" s="37" t="n">
        <x:v>46030.89983796296</x:v>
      </x:c>
    </x:row>
    <x:row r="5314">
      <x:c r="A5314" s="22" t="n">
        <x:v>27596</x:v>
      </x:c>
      <x:c r="B5314" s="28" t="n">
        <x:v>418.19</x:v>
      </x:c>
      <x:c r="C5314" s="28" t="n">
        <x:v>460.01</x:v>
      </x:c>
      <x:c r="D5314" s="31" t="n">
        <x:f>IF(OR(ISBLANK(B5314),ISBLANK(C5314),B5314=0),"",(C5314-B5314)/B5314)</x:f>
        <x:v>0.10000239125756234</x:v>
      </x:c>
      <x:c r="E5314" s="22" t="str">
        <x:f>IF(ISBLANK(C5314),"AmountIncludingTax缺失",IF(ABS(B5314-C5314)&lt;0.005,"一致","不一致"))</x:f>
        <x:v>不一致</x:v>
      </x:c>
      <x:c r="F5314" s="19" t="str">
        <x:v>approved</x:v>
      </x:c>
      <x:c r="G5314" s="19" t="str">
        <x:v>Repair in Progress</x:v>
      </x:c>
      <x:c r="H5314" s="19" t="str">
        <x:v>In Field</x:v>
      </x:c>
      <x:c r="I5314" s="37" t="n">
        <x:v>46024</x:v>
      </x:c>
      <x:c r="J5314" s="37" t="n">
        <x:v>46024</x:v>
      </x:c>
      <x:c r="K5314" s="19" t="str">
        <x:v>Leisure Lion Pty Ltd - Toowoomba</x:v>
      </x:c>
      <x:c r="L5314" s="19" t="str">
        <x:v>Z006</x:v>
      </x:c>
      <x:c r="M5314" s="19" t="str">
        <x:v>In Field Warranty Claims</x:v>
      </x:c>
      <x:c r="N5314" s="37" t="n">
        <x:v>45967</x:v>
      </x:c>
      <x:c r="O5314" s="37"/>
      <x:c r="P5314" s="34" t="n">
        <x:v>460.01</x:v>
      </x:c>
      <x:c r="Q5314" s="37" t="n">
        <x:v>46023.98836805556</x:v>
      </x:c>
    </x:row>
    <x:row r="5315">
      <x:c r="A5315" s="22" t="n">
        <x:v>27591</x:v>
      </x:c>
      <x:c r="B5315" s="28" t="n">
        <x:v>600.01</x:v>
      </x:c>
      <x:c r="C5315" s="28" t="n">
        <x:v>660.01</x:v>
      </x:c>
      <x:c r="D5315" s="31" t="n">
        <x:f>IF(OR(ISBLANK(B5315),ISBLANK(C5315),B5315=0),"",(C5315-B5315)/B5315)</x:f>
        <x:v>0.09999833336111065</x:v>
      </x:c>
      <x:c r="E5315" s="22" t="str">
        <x:f>IF(ISBLANK(C5315),"AmountIncludingTax缺失",IF(ABS(B5315-C5315)&lt;0.005,"一致","不一致"))</x:f>
        <x:v>不一致</x:v>
      </x:c>
      <x:c r="F5315" s="19" t="str">
        <x:v>approved</x:v>
      </x:c>
      <x:c r="G5315" s="19" t="str">
        <x:v>Repairer Invoiced Processed</x:v>
      </x:c>
      <x:c r="H5315" s="19" t="str">
        <x:v>In Field</x:v>
      </x:c>
      <x:c r="I5315" s="37" t="n">
        <x:v>46050</x:v>
      </x:c>
      <x:c r="J5315" s="37" t="n">
        <x:v>46050</x:v>
      </x:c>
      <x:c r="K5315" s="19" t="str">
        <x:v>Green RV - Forest Glen</x:v>
      </x:c>
      <x:c r="L5315" s="19" t="str">
        <x:v>Z006</x:v>
      </x:c>
      <x:c r="M5315" s="19" t="str">
        <x:v>In Field Warranty Claims</x:v>
      </x:c>
      <x:c r="N5315" s="37" t="n">
        <x:v>45966</x:v>
      </x:c>
      <x:c r="O5315" s="37"/>
      <x:c r="P5315" s="34" t="n">
        <x:v>660.01</x:v>
      </x:c>
      <x:c r="Q5315" s="37" t="n">
        <x:v>46050.243113425924</x:v>
      </x:c>
    </x:row>
    <x:row r="5316">
      <x:c r="A5316" s="22" t="n">
        <x:v>27590</x:v>
      </x:c>
      <x:c r="B5316" s="28" t="n">
        <x:v>541.05</x:v>
      </x:c>
      <x:c r="C5316" s="28" t="n">
        <x:v>595.16</x:v>
      </x:c>
      <x:c r="D5316" s="31" t="n">
        <x:f>IF(OR(ISBLANK(B5316),ISBLANK(C5316),B5316=0),"",(C5316-B5316)/B5316)</x:f>
        <x:v>0.10000924129008414</x:v>
      </x:c>
      <x:c r="E5316" s="22" t="str">
        <x:f>IF(ISBLANK(C5316),"AmountIncludingTax缺失",IF(ABS(B5316-C5316)&lt;0.005,"一致","不一致"))</x:f>
        <x:v>不一致</x:v>
      </x:c>
      <x:c r="F5316" s="19" t="str">
        <x:v>approved</x:v>
      </x:c>
      <x:c r="G5316" s="19" t="str">
        <x:v>Repairer Invoiced Processed</x:v>
      </x:c>
      <x:c r="H5316" s="19" t="str">
        <x:v>In Field</x:v>
      </x:c>
      <x:c r="I5316" s="37" t="n">
        <x:v>46119</x:v>
      </x:c>
      <x:c r="J5316" s="37" t="n">
        <x:v>46119</x:v>
      </x:c>
      <x:c r="K5316" s="19" t="str">
        <x:v>Dario Caravans - Pooraka</x:v>
      </x:c>
      <x:c r="L5316" s="19" t="str">
        <x:v>Z006</x:v>
      </x:c>
      <x:c r="M5316" s="19" t="str">
        <x:v>In Field Warranty Claims</x:v>
      </x:c>
      <x:c r="N5316" s="37" t="n">
        <x:v>45967</x:v>
      </x:c>
      <x:c r="O5316" s="37"/>
      <x:c r="P5316" s="34" t="n">
        <x:v>595.16</x:v>
      </x:c>
      <x:c r="Q5316" s="37" t="n">
        <x:v>46119.053252314814</x:v>
      </x:c>
    </x:row>
    <x:row r="5317">
      <x:c r="A5317" s="22" t="n">
        <x:v>27586</x:v>
      </x:c>
      <x:c r="B5317" s="28" t="n">
        <x:v>1303</x:v>
      </x:c>
      <x:c r="C5317" s="28"/>
      <x:c r="D5317" s="31" t="str">
        <x:f>IF(OR(ISBLANK(B5317),ISBLANK(C5317),B5317=0),"",(C5317-B5317)/B5317)</x:f>
      </x:c>
      <x:c r="E5317" s="22" t="str">
        <x:f>IF(ISBLANK(C5317),"AmountIncludingTax缺失",IF(ABS(B5317-C5317)&lt;0.005,"一致","不一致"))</x:f>
        <x:v>AmountIncludingTax缺失</x:v>
      </x:c>
      <x:c r="F5317" s="19" t="str">
        <x:v>approved</x:v>
      </x:c>
      <x:c r="G5317" s="19" t="str">
        <x:v>Repairer Invoiced Processed</x:v>
      </x:c>
      <x:c r="H5317" s="19" t="str">
        <x:v>In Field</x:v>
      </x:c>
      <x:c r="I5317" s="37" t="n">
        <x:v>46044</x:v>
      </x:c>
      <x:c r="J5317" s="37" t="n">
        <x:v>46044</x:v>
      </x:c>
      <x:c r="K5317" s="19" t="str">
        <x:v>Vanari Caravans - Marden Point</x:v>
      </x:c>
      <x:c r="L5317" s="19" t="str">
        <x:v>Z006</x:v>
      </x:c>
      <x:c r="M5317" s="19" t="str">
        <x:v>In Field Warranty Claims</x:v>
      </x:c>
      <x:c r="N5317" s="37" t="n">
        <x:v>45966</x:v>
      </x:c>
      <x:c r="O5317" s="37"/>
      <x:c r="P5317" s="34" t="n">
        <x:v>0</x:v>
      </x:c>
      <x:c r="Q5317" s="37" t="n">
        <x:v>46044.18787037037</x:v>
      </x:c>
    </x:row>
    <x:row r="5318">
      <x:c r="A5318" s="22" t="n">
        <x:v>27583</x:v>
      </x:c>
      <x:c r="B5318" s="28" t="n">
        <x:v>100</x:v>
      </x:c>
      <x:c r="C5318" s="28"/>
      <x:c r="D5318" s="31" t="str">
        <x:f>IF(OR(ISBLANK(B5318),ISBLANK(C5318),B5318=0),"",(C5318-B5318)/B5318)</x:f>
      </x:c>
      <x:c r="E5318" s="22" t="str">
        <x:f>IF(ISBLANK(C5318),"AmountIncludingTax缺失",IF(ABS(B5318-C5318)&lt;0.005,"一致","不一致"))</x:f>
        <x:v>AmountIncludingTax缺失</x:v>
      </x:c>
      <x:c r="F5318" s="19" t="str">
        <x:v>approved</x:v>
      </x:c>
      <x:c r="G5318" s="19" t="str">
        <x:v>Repair in Progress</x:v>
      </x:c>
      <x:c r="H5318" s="19" t="str">
        <x:v>Pre Delivery</x:v>
      </x:c>
      <x:c r="I5318" s="37" t="n">
        <x:v>46044</x:v>
      </x:c>
      <x:c r="J5318" s="37" t="n">
        <x:v>46044</x:v>
      </x:c>
      <x:c r="K5318" s="19" t="str">
        <x:v>Regent RV - Perth</x:v>
      </x:c>
      <x:c r="L5318" s="19" t="str">
        <x:v>Z005</x:v>
      </x:c>
      <x:c r="M5318" s="19" t="str">
        <x:v>Pre Delivery Warranty Claims</x:v>
      </x:c>
      <x:c r="N5318" s="37" t="n">
        <x:v>45966</x:v>
      </x:c>
      <x:c r="O5318" s="37"/>
      <x:c r="P5318" s="34" t="n">
        <x:v>0</x:v>
      </x:c>
      <x:c r="Q5318" s="37" t="n">
        <x:v>46044.52564814815</x:v>
      </x:c>
    </x:row>
    <x:row r="5319">
      <x:c r="A5319" s="22" t="n">
        <x:v>27579</x:v>
      </x:c>
      <x:c r="B5319" s="28" t="n">
        <x:v>425</x:v>
      </x:c>
      <x:c r="C5319" s="28"/>
      <x:c r="D5319" s="31" t="str">
        <x:f>IF(OR(ISBLANK(B5319),ISBLANK(C5319),B5319=0),"",(C5319-B5319)/B5319)</x:f>
      </x:c>
      <x:c r="E5319" s="22" t="str">
        <x:f>IF(ISBLANK(C5319),"AmountIncludingTax缺失",IF(ABS(B5319-C5319)&lt;0.005,"一致","不一致"))</x:f>
        <x:v>AmountIncludingTax缺失</x:v>
      </x:c>
      <x:c r="F5319" s="19" t="str">
        <x:v>approved</x:v>
      </x:c>
      <x:c r="G5319" s="19" t="str">
        <x:v>Repairer Invoiced Processed</x:v>
      </x:c>
      <x:c r="H5319" s="19" t="str">
        <x:v>Pre Delivery</x:v>
      </x:c>
      <x:c r="I5319" s="37" t="n">
        <x:v>46065</x:v>
      </x:c>
      <x:c r="J5319" s="37" t="n">
        <x:v>46065</x:v>
      </x:c>
      <x:c r="K5319" s="19" t="str">
        <x:v>Green RV - Forest Glen</x:v>
      </x:c>
      <x:c r="L5319" s="19" t="str">
        <x:v>Z005</x:v>
      </x:c>
      <x:c r="M5319" s="19" t="str">
        <x:v>Pre Delivery Warranty Claims</x:v>
      </x:c>
      <x:c r="N5319" s="37" t="n">
        <x:v>45966</x:v>
      </x:c>
      <x:c r="O5319" s="37"/>
      <x:c r="P5319" s="34" t="n">
        <x:v>0</x:v>
      </x:c>
      <x:c r="Q5319" s="37" t="n">
        <x:v>46064.917916666665</x:v>
      </x:c>
    </x:row>
    <x:row r="5320">
      <x:c r="A5320" s="22" t="n">
        <x:v>27578</x:v>
      </x:c>
      <x:c r="B5320" s="28" t="n">
        <x:v>600</x:v>
      </x:c>
      <x:c r="C5320" s="28"/>
      <x:c r="D5320" s="31" t="str">
        <x:f>IF(OR(ISBLANK(B5320),ISBLANK(C5320),B5320=0),"",(C5320-B5320)/B5320)</x:f>
      </x:c>
      <x:c r="E5320" s="22" t="str">
        <x:f>IF(ISBLANK(C5320),"AmountIncludingTax缺失",IF(ABS(B5320-C5320)&lt;0.005,"一致","不一致"))</x:f>
        <x:v>AmountIncludingTax缺失</x:v>
      </x:c>
      <x:c r="F5320" s="19" t="str">
        <x:v>approved</x:v>
      </x:c>
      <x:c r="G5320" s="19" t="str">
        <x:v>Repair in Progress</x:v>
      </x:c>
      <x:c r="H5320" s="19" t="str">
        <x:v>In Field</x:v>
      </x:c>
      <x:c r="I5320" s="37" t="n">
        <x:v>46101</x:v>
      </x:c>
      <x:c r="J5320" s="37" t="n">
        <x:v>46101</x:v>
      </x:c>
      <x:c r="K5320" s="19" t="str">
        <x:v>Regent RV - Frankston</x:v>
      </x:c>
      <x:c r="L5320" s="19" t="str">
        <x:v>Z006</x:v>
      </x:c>
      <x:c r="M5320" s="19" t="str">
        <x:v>In Field Warranty Claims</x:v>
      </x:c>
      <x:c r="N5320" s="37" t="n">
        <x:v>45966</x:v>
      </x:c>
      <x:c r="O5320" s="37" t="n">
        <x:v>46101</x:v>
      </x:c>
      <x:c r="P5320" s="34" t="n">
        <x:v>0</x:v>
      </x:c>
      <x:c r="Q5320" s="37" t="n">
        <x:v>46100.991875</x:v>
      </x:c>
    </x:row>
    <x:row r="5321">
      <x:c r="A5321" s="22" t="n">
        <x:v>27571</x:v>
      </x:c>
      <x:c r="B5321" s="28" t="n">
        <x:v>476.36</x:v>
      </x:c>
      <x:c r="C5321" s="28"/>
      <x:c r="D5321" s="31" t="str">
        <x:f>IF(OR(ISBLANK(B5321),ISBLANK(C5321),B5321=0),"",(C5321-B5321)/B5321)</x:f>
      </x:c>
      <x:c r="E5321" s="22" t="str">
        <x:f>IF(ISBLANK(C5321),"AmountIncludingTax缺失",IF(ABS(B5321-C5321)&lt;0.005,"一致","不一致"))</x:f>
        <x:v>AmountIncludingTax缺失</x:v>
      </x:c>
      <x:c r="F5321" s="19" t="str">
        <x:v>approved</x:v>
      </x:c>
      <x:c r="G5321" s="19" t="str">
        <x:v>Repair in Progress</x:v>
      </x:c>
      <x:c r="H5321" s="19" t="str">
        <x:v>In Field</x:v>
      </x:c>
      <x:c r="I5321" s="37" t="n">
        <x:v>46057</x:v>
      </x:c>
      <x:c r="J5321" s="37" t="n">
        <x:v>46057</x:v>
      </x:c>
      <x:c r="K5321" s="19" t="str">
        <x:v>Great Ocean Road RV &amp; Caravans - Warrnambool</x:v>
      </x:c>
      <x:c r="L5321" s="19" t="str">
        <x:v>Z006</x:v>
      </x:c>
      <x:c r="M5321" s="19" t="str">
        <x:v>In Field Warranty Claims</x:v>
      </x:c>
      <x:c r="N5321" s="37" t="n">
        <x:v>45966</x:v>
      </x:c>
      <x:c r="O5321" s="37"/>
      <x:c r="P5321" s="34" t="n">
        <x:v>0</x:v>
      </x:c>
      <x:c r="Q5321" s="37" t="n">
        <x:v>46057.16025462963</x:v>
      </x:c>
    </x:row>
    <x:row r="5322">
      <x:c r="A5322" s="22" t="n">
        <x:v>27560</x:v>
      </x:c>
      <x:c r="B5322" s="28" t="n">
        <x:v>483.24</x:v>
      </x:c>
      <x:c r="C5322" s="28" t="n">
        <x:v>531.56</x:v>
      </x:c>
      <x:c r="D5322" s="31" t="n">
        <x:f>IF(OR(ISBLANK(B5322),ISBLANK(C5322),B5322=0),"",(C5322-B5322)/B5322)</x:f>
        <x:v>0.09999172253952474</x:v>
      </x:c>
      <x:c r="E5322" s="22" t="str">
        <x:f>IF(ISBLANK(C5322),"AmountIncludingTax缺失",IF(ABS(B5322-C5322)&lt;0.005,"一致","不一致"))</x:f>
        <x:v>不一致</x:v>
      </x:c>
      <x:c r="F5322" s="19" t="str">
        <x:v>approved</x:v>
      </x:c>
      <x:c r="G5322" s="19" t="str">
        <x:v>Repairer Invoiced Processed</x:v>
      </x:c>
      <x:c r="H5322" s="19" t="str">
        <x:v>Pre Delivery</x:v>
      </x:c>
      <x:c r="I5322" s="37" t="n">
        <x:v>46079</x:v>
      </x:c>
      <x:c r="J5322" s="37" t="n">
        <x:v>46079</x:v>
      </x:c>
      <x:c r="K5322" s="19" t="str">
        <x:v>Green RV - Slacks Creek</x:v>
      </x:c>
      <x:c r="L5322" s="19" t="str">
        <x:v>Z005</x:v>
      </x:c>
      <x:c r="M5322" s="19" t="str">
        <x:v>Pre Delivery Warranty Claims</x:v>
      </x:c>
      <x:c r="N5322" s="37" t="n">
        <x:v>45966</x:v>
      </x:c>
      <x:c r="O5322" s="37"/>
      <x:c r="P5322" s="34" t="n">
        <x:v>531.56</x:v>
      </x:c>
      <x:c r="Q5322" s="37" t="n">
        <x:v>46079.12106481481</x:v>
      </x:c>
    </x:row>
    <x:row r="5323">
      <x:c r="A5323" s="22" t="n">
        <x:v>27557</x:v>
      </x:c>
      <x:c r="B5323" s="28" t="n">
        <x:v>850</x:v>
      </x:c>
      <x:c r="C5323" s="28"/>
      <x:c r="D5323" s="31" t="str">
        <x:f>IF(OR(ISBLANK(B5323),ISBLANK(C5323),B5323=0),"",(C5323-B5323)/B5323)</x:f>
      </x:c>
      <x:c r="E5323" s="22" t="str">
        <x:f>IF(ISBLANK(C5323),"AmountIncludingTax缺失",IF(ABS(B5323-C5323)&lt;0.005,"一致","不一致"))</x:f>
        <x:v>AmountIncludingTax缺失</x:v>
      </x:c>
      <x:c r="F5323" s="19" t="str">
        <x:v>approved</x:v>
      </x:c>
      <x:c r="G5323" s="19" t="str">
        <x:v>Repairer Invoiced Processed</x:v>
      </x:c>
      <x:c r="H5323" s="19" t="str">
        <x:v>In Field</x:v>
      </x:c>
      <x:c r="I5323" s="37" t="n">
        <x:v>46085</x:v>
      </x:c>
      <x:c r="J5323" s="37" t="n">
        <x:v>46050</x:v>
      </x:c>
      <x:c r="K5323" s="19" t="str">
        <x:v>Green RV - Forest Glen</x:v>
      </x:c>
      <x:c r="L5323" s="19" t="str">
        <x:v>Z006</x:v>
      </x:c>
      <x:c r="M5323" s="19" t="str">
        <x:v>In Field Warranty Claims</x:v>
      </x:c>
      <x:c r="N5323" s="37" t="n">
        <x:v>45966</x:v>
      </x:c>
      <x:c r="O5323" s="37"/>
      <x:c r="P5323" s="34" t="n">
        <x:v>0</x:v>
      </x:c>
      <x:c r="Q5323" s="37" t="n">
        <x:v>46085.224710648145</x:v>
      </x:c>
    </x:row>
    <x:row r="5324">
      <x:c r="A5324" s="22" t="n">
        <x:v>27555</x:v>
      </x:c>
      <x:c r="B5324" s="28" t="n">
        <x:v>756.45</x:v>
      </x:c>
      <x:c r="C5324" s="28" t="n">
        <x:v>832.1</x:v>
      </x:c>
      <x:c r="D5324" s="31" t="n">
        <x:f>IF(OR(ISBLANK(B5324),ISBLANK(C5324),B5324=0),"",(C5324-B5324)/B5324)</x:f>
        <x:v>0.10000660982219575</x:v>
      </x:c>
      <x:c r="E5324" s="22" t="str">
        <x:f>IF(ISBLANK(C5324),"AmountIncludingTax缺失",IF(ABS(B5324-C5324)&lt;0.005,"一致","不一致"))</x:f>
        <x:v>不一致</x:v>
      </x:c>
      <x:c r="F5324" s="19" t="str">
        <x:v>approved</x:v>
      </x:c>
      <x:c r="G5324" s="19" t="str">
        <x:v>Repair in Progress</x:v>
      </x:c>
      <x:c r="H5324" s="19" t="str">
        <x:v>In Field</x:v>
      </x:c>
      <x:c r="I5324" s="37" t="n">
        <x:v>46105</x:v>
      </x:c>
      <x:c r="J5324" s="37" t="n">
        <x:v>46105</x:v>
      </x:c>
      <x:c r="K5324" s="19" t="str">
        <x:v>Green RV - Forest Glen</x:v>
      </x:c>
      <x:c r="L5324" s="19" t="str">
        <x:v>Z006</x:v>
      </x:c>
      <x:c r="M5324" s="19" t="str">
        <x:v>In Field Warranty Claims</x:v>
      </x:c>
      <x:c r="N5324" s="37" t="n">
        <x:v>45966</x:v>
      </x:c>
      <x:c r="O5324" s="37" t="n">
        <x:v>45992</x:v>
      </x:c>
      <x:c r="P5324" s="34" t="n">
        <x:v>832.1</x:v>
      </x:c>
      <x:c r="Q5324" s="37" t="n">
        <x:v>46105.170902777776</x:v>
      </x:c>
    </x:row>
    <x:row r="5325">
      <x:c r="A5325" s="22" t="n">
        <x:v>27554</x:v>
      </x:c>
      <x:c r="B5325" s="28" t="n">
        <x:v>415</x:v>
      </x:c>
      <x:c r="C5325" s="28"/>
      <x:c r="D5325" s="31" t="str">
        <x:f>IF(OR(ISBLANK(B5325),ISBLANK(C5325),B5325=0),"",(C5325-B5325)/B5325)</x:f>
      </x:c>
      <x:c r="E5325" s="22" t="str">
        <x:f>IF(ISBLANK(C5325),"AmountIncludingTax缺失",IF(ABS(B5325-C5325)&lt;0.005,"一致","不一致"))</x:f>
        <x:v>AmountIncludingTax缺失</x:v>
      </x:c>
      <x:c r="F5325" s="19" t="str">
        <x:v>approved</x:v>
      </x:c>
      <x:c r="G5325" s="19" t="str">
        <x:v>Repairer Invoiced Processed</x:v>
      </x:c>
      <x:c r="H5325" s="19" t="str">
        <x:v>In Field</x:v>
      </x:c>
      <x:c r="I5325" s="37" t="n">
        <x:v>46065</x:v>
      </x:c>
      <x:c r="J5325" s="37" t="n">
        <x:v>46065</x:v>
      </x:c>
      <x:c r="K5325" s="19" t="str">
        <x:v>Green RV - Slacks Creek</x:v>
      </x:c>
      <x:c r="L5325" s="19" t="str">
        <x:v>Z006</x:v>
      </x:c>
      <x:c r="M5325" s="19" t="str">
        <x:v>In Field Warranty Claims</x:v>
      </x:c>
      <x:c r="N5325" s="37" t="n">
        <x:v>45966</x:v>
      </x:c>
      <x:c r="O5325" s="37"/>
      <x:c r="P5325" s="34" t="n">
        <x:v>0</x:v>
      </x:c>
      <x:c r="Q5325" s="37" t="n">
        <x:v>46065.22069444445</x:v>
      </x:c>
    </x:row>
    <x:row r="5326">
      <x:c r="A5326" s="22" t="n">
        <x:v>27553</x:v>
      </x:c>
      <x:c r="B5326" s="28" t="n">
        <x:v>234.1</x:v>
      </x:c>
      <x:c r="C5326" s="28"/>
      <x:c r="D5326" s="31" t="str">
        <x:f>IF(OR(ISBLANK(B5326),ISBLANK(C5326),B5326=0),"",(C5326-B5326)/B5326)</x:f>
      </x:c>
      <x:c r="E5326" s="22" t="str">
        <x:f>IF(ISBLANK(C5326),"AmountIncludingTax缺失",IF(ABS(B5326-C5326)&lt;0.005,"一致","不一致"))</x:f>
        <x:v>AmountIncludingTax缺失</x:v>
      </x:c>
      <x:c r="F5326" s="19" t="str">
        <x:v>approved</x:v>
      </x:c>
      <x:c r="G5326" s="19" t="str">
        <x:v>Repair in Progress</x:v>
      </x:c>
      <x:c r="H5326" s="19" t="str">
        <x:v>In Field</x:v>
      </x:c>
      <x:c r="I5326" s="37" t="n">
        <x:v>46024</x:v>
      </x:c>
      <x:c r="J5326" s="37" t="n">
        <x:v>46024</x:v>
      </x:c>
      <x:c r="K5326" s="19" t="str">
        <x:v>Regent RV - Toowoomba</x:v>
      </x:c>
      <x:c r="L5326" s="19" t="str">
        <x:v>Z006</x:v>
      </x:c>
      <x:c r="M5326" s="19" t="str">
        <x:v>In Field Warranty Claims</x:v>
      </x:c>
      <x:c r="N5326" s="37" t="n">
        <x:v>45966</x:v>
      </x:c>
      <x:c r="O5326" s="37"/>
      <x:c r="P5326" s="34" t="n">
        <x:v>0</x:v>
      </x:c>
      <x:c r="Q5326" s="37" t="n">
        <x:v>46023.981087962966</x:v>
      </x:c>
    </x:row>
    <x:row r="5327">
      <x:c r="A5327" s="22" t="n">
        <x:v>27547</x:v>
      </x:c>
      <x:c r="B5327" s="28" t="n">
        <x:v>500</x:v>
      </x:c>
      <x:c r="C5327" s="28"/>
      <x:c r="D5327" s="31" t="str">
        <x:f>IF(OR(ISBLANK(B5327),ISBLANK(C5327),B5327=0),"",(C5327-B5327)/B5327)</x:f>
      </x:c>
      <x:c r="E5327" s="22" t="str">
        <x:f>IF(ISBLANK(C5327),"AmountIncludingTax缺失",IF(ABS(B5327-C5327)&lt;0.005,"一致","不一致"))</x:f>
        <x:v>AmountIncludingTax缺失</x:v>
      </x:c>
      <x:c r="F5327" s="19" t="str">
        <x:v>approved</x:v>
      </x:c>
      <x:c r="G5327" s="19" t="str">
        <x:v>Repair in Progress</x:v>
      </x:c>
      <x:c r="H5327" s="19" t="str">
        <x:v>Pre Delivery</x:v>
      </x:c>
      <x:c r="I5327" s="37" t="n">
        <x:v>46037</x:v>
      </x:c>
      <x:c r="J5327" s="37" t="n">
        <x:v>46037</x:v>
      </x:c>
      <x:c r="K5327" s="19" t="str">
        <x:v>Regent RV - Perth</x:v>
      </x:c>
      <x:c r="L5327" s="19" t="str">
        <x:v>Z005</x:v>
      </x:c>
      <x:c r="M5327" s="19" t="str">
        <x:v>Pre Delivery Warranty Claims</x:v>
      </x:c>
      <x:c r="N5327" s="37" t="n">
        <x:v>45966</x:v>
      </x:c>
      <x:c r="O5327" s="37"/>
      <x:c r="P5327" s="34" t="n">
        <x:v>0</x:v>
      </x:c>
      <x:c r="Q5327" s="37" t="n">
        <x:v>46037.222650462965</x:v>
      </x:c>
    </x:row>
    <x:row r="5328">
      <x:c r="A5328" s="22" t="n">
        <x:v>27546</x:v>
      </x:c>
      <x:c r="B5328" s="28" t="n">
        <x:v>1879.15</x:v>
      </x:c>
      <x:c r="C5328" s="28"/>
      <x:c r="D5328" s="31" t="str">
        <x:f>IF(OR(ISBLANK(B5328),ISBLANK(C5328),B5328=0),"",(C5328-B5328)/B5328)</x:f>
      </x:c>
      <x:c r="E5328" s="22" t="str">
        <x:f>IF(ISBLANK(C5328),"AmountIncludingTax缺失",IF(ABS(B5328-C5328)&lt;0.005,"一致","不一致"))</x:f>
        <x:v>AmountIncludingTax缺失</x:v>
      </x:c>
      <x:c r="F5328" s="19" t="str">
        <x:v>approved</x:v>
      </x:c>
      <x:c r="G5328" s="19" t="str">
        <x:v>Repair in Progress</x:v>
      </x:c>
      <x:c r="H5328" s="19" t="str">
        <x:v>In Field</x:v>
      </x:c>
      <x:c r="I5328" s="37" t="n">
        <x:v>46177</x:v>
      </x:c>
      <x:c r="J5328" s="37" t="n">
        <x:v>46177</x:v>
      </x:c>
      <x:c r="K5328" s="19" t="str">
        <x:v>Auswide Caravans - South Nowra</x:v>
      </x:c>
      <x:c r="L5328" s="19" t="str">
        <x:v>Z006</x:v>
      </x:c>
      <x:c r="M5328" s="19" t="str">
        <x:v>In Field Warranty Claims</x:v>
      </x:c>
      <x:c r="N5328" s="37" t="n">
        <x:v>45966</x:v>
      </x:c>
      <x:c r="O5328" s="37"/>
      <x:c r="P5328" s="34" t="n">
        <x:v>2067.07</x:v>
      </x:c>
      <x:c r="Q5328" s="37" t="n">
        <x:v>46177.05168981481</x:v>
      </x:c>
    </x:row>
    <x:row r="5329">
      <x:c r="A5329" s="22" t="n">
        <x:v>27543</x:v>
      </x:c>
      <x:c r="B5329" s="28" t="n">
        <x:v>585</x:v>
      </x:c>
      <x:c r="C5329" s="28"/>
      <x:c r="D5329" s="31" t="str">
        <x:f>IF(OR(ISBLANK(B5329),ISBLANK(C5329),B5329=0),"",(C5329-B5329)/B5329)</x:f>
      </x:c>
      <x:c r="E5329" s="22" t="str">
        <x:f>IF(ISBLANK(C5329),"AmountIncludingTax缺失",IF(ABS(B5329-C5329)&lt;0.005,"一致","不一致"))</x:f>
        <x:v>AmountIncludingTax缺失</x:v>
      </x:c>
      <x:c r="F5329" s="19" t="str">
        <x:v>approved</x:v>
      </x:c>
      <x:c r="G5329" s="19" t="str">
        <x:v>Repair in Progress</x:v>
      </x:c>
      <x:c r="H5329" s="19" t="str">
        <x:v>Pre Delivery</x:v>
      </x:c>
      <x:c r="I5329" s="37" t="n">
        <x:v>46086</x:v>
      </x:c>
      <x:c r="J5329" s="37" t="n">
        <x:v>46086</x:v>
      </x:c>
      <x:c r="K5329" s="19" t="str">
        <x:v>Snowy River Launceston</x:v>
      </x:c>
      <x:c r="L5329" s="19" t="str">
        <x:v>Z005</x:v>
      </x:c>
      <x:c r="M5329" s="19" t="str">
        <x:v>Pre Delivery Warranty Claims</x:v>
      </x:c>
      <x:c r="N5329" s="37" t="n">
        <x:v>45966</x:v>
      </x:c>
      <x:c r="O5329" s="37"/>
      <x:c r="P5329" s="34" t="n">
        <x:v>0</x:v>
      </x:c>
      <x:c r="Q5329" s="37" t="n">
        <x:v>46086.14633101852</x:v>
      </x:c>
    </x:row>
    <x:row r="5330">
      <x:c r="A5330" s="22" t="n">
        <x:v>27540</x:v>
      </x:c>
      <x:c r="B5330" s="28" t="n">
        <x:v>254.54</x:v>
      </x:c>
      <x:c r="C5330" s="28" t="n">
        <x:v>287.86</x:v>
      </x:c>
      <x:c r="D5330" s="31" t="n">
        <x:f>IF(OR(ISBLANK(B5330),ISBLANK(C5330),B5330=0),"",(C5330-B5330)/B5330)</x:f>
        <x:v>0.1309028050601085</x:v>
      </x:c>
      <x:c r="E5330" s="22" t="str">
        <x:f>IF(ISBLANK(C5330),"AmountIncludingTax缺失",IF(ABS(B5330-C5330)&lt;0.005,"一致","不一致"))</x:f>
        <x:v>不一致</x:v>
      </x:c>
      <x:c r="F5330" s="19" t="str">
        <x:v>approved</x:v>
      </x:c>
      <x:c r="G5330" s="19" t="str">
        <x:v>Repair in Progress</x:v>
      </x:c>
      <x:c r="H5330" s="19" t="str">
        <x:v>Pre Delivery</x:v>
      </x:c>
      <x:c r="I5330" s="37" t="n">
        <x:v>46045</x:v>
      </x:c>
      <x:c r="J5330" s="37" t="n">
        <x:v>46044</x:v>
      </x:c>
      <x:c r="K5330" s="19" t="str">
        <x:v>Regent RV - Frankston</x:v>
      </x:c>
      <x:c r="L5330" s="19" t="str">
        <x:v>Z005</x:v>
      </x:c>
      <x:c r="M5330" s="19" t="str">
        <x:v>Pre Delivery Warranty Claims</x:v>
      </x:c>
      <x:c r="N5330" s="37" t="n">
        <x:v>45966</x:v>
      </x:c>
      <x:c r="O5330" s="37"/>
      <x:c r="P5330" s="34" t="n">
        <x:v>287.86</x:v>
      </x:c>
      <x:c r="Q5330" s="37" t="n">
        <x:v>46044.550416666665</x:v>
      </x:c>
    </x:row>
    <x:row r="5331">
      <x:c r="A5331" s="22" t="n">
        <x:v>27539</x:v>
      </x:c>
      <x:c r="B5331" s="28" t="n">
        <x:v>236.25</x:v>
      </x:c>
      <x:c r="C5331" s="28"/>
      <x:c r="D5331" s="31" t="str">
        <x:f>IF(OR(ISBLANK(B5331),ISBLANK(C5331),B5331=0),"",(C5331-B5331)/B5331)</x:f>
      </x:c>
      <x:c r="E5331" s="22" t="str">
        <x:f>IF(ISBLANK(C5331),"AmountIncludingTax缺失",IF(ABS(B5331-C5331)&lt;0.005,"一致","不一致"))</x:f>
        <x:v>AmountIncludingTax缺失</x:v>
      </x:c>
      <x:c r="F5331" s="19" t="str">
        <x:v>approved</x:v>
      </x:c>
      <x:c r="G5331" s="19" t="str">
        <x:v>Repairer Invoiced Processed</x:v>
      </x:c>
      <x:c r="H5331" s="19" t="str">
        <x:v>In Field</x:v>
      </x:c>
      <x:c r="I5331" s="37" t="n">
        <x:v>46062</x:v>
      </x:c>
      <x:c r="J5331" s="37" t="n">
        <x:v>46062</x:v>
      </x:c>
      <x:c r="K5331" s="19" t="str">
        <x:v>Green RV - Forest Glen</x:v>
      </x:c>
      <x:c r="L5331" s="19" t="str">
        <x:v>Z006</x:v>
      </x:c>
      <x:c r="M5331" s="19" t="str">
        <x:v>In Field Warranty Claims</x:v>
      </x:c>
      <x:c r="N5331" s="37" t="n">
        <x:v>45966</x:v>
      </x:c>
      <x:c r="O5331" s="37"/>
      <x:c r="P5331" s="34" t="n">
        <x:v>0</x:v>
      </x:c>
      <x:c r="Q5331" s="37" t="n">
        <x:v>46061.92605324074</x:v>
      </x:c>
    </x:row>
    <x:row r="5332">
      <x:c r="A5332" s="22" t="n">
        <x:v>27536</x:v>
      </x:c>
      <x:c r="B5332" s="28" t="n">
        <x:v>302.5</x:v>
      </x:c>
      <x:c r="C5332" s="28"/>
      <x:c r="D5332" s="31" t="str">
        <x:f>IF(OR(ISBLANK(B5332),ISBLANK(C5332),B5332=0),"",(C5332-B5332)/B5332)</x:f>
      </x:c>
      <x:c r="E5332" s="22" t="str">
        <x:f>IF(ISBLANK(C5332),"AmountIncludingTax缺失",IF(ABS(B5332-C5332)&lt;0.005,"一致","不一致"))</x:f>
        <x:v>AmountIncludingTax缺失</x:v>
      </x:c>
      <x:c r="F5332" s="19" t="str">
        <x:v>approved</x:v>
      </x:c>
      <x:c r="G5332" s="19" t="str">
        <x:v>Repair in Progress</x:v>
      </x:c>
      <x:c r="H5332" s="19" t="str">
        <x:v>In Field</x:v>
      </x:c>
      <x:c r="I5332" s="37" t="n">
        <x:v>46042</x:v>
      </x:c>
      <x:c r="J5332" s="37" t="n">
        <x:v>46042</x:v>
      </x:c>
      <x:c r="K5332" s="19" t="str">
        <x:v>Regent RV - Perth</x:v>
      </x:c>
      <x:c r="L5332" s="19" t="str">
        <x:v>Z006</x:v>
      </x:c>
      <x:c r="M5332" s="19" t="str">
        <x:v>In Field Warranty Claims</x:v>
      </x:c>
      <x:c r="N5332" s="37" t="n">
        <x:v>45966</x:v>
      </x:c>
      <x:c r="O5332" s="37"/>
      <x:c r="P5332" s="34" t="n">
        <x:v>0</x:v>
      </x:c>
      <x:c r="Q5332" s="37" t="n">
        <x:v>46041.96097222222</x:v>
      </x:c>
    </x:row>
    <x:row r="5333">
      <x:c r="A5333" s="22" t="n">
        <x:v>27534</x:v>
      </x:c>
      <x:c r="B5333" s="28" t="n">
        <x:v>835.17</x:v>
      </x:c>
      <x:c r="C5333" s="28" t="n">
        <x:v>918.69</x:v>
      </x:c>
      <x:c r="D5333" s="31" t="n">
        <x:f>IF(OR(ISBLANK(B5333),ISBLANK(C5333),B5333=0),"",(C5333-B5333)/B5333)</x:f>
        <x:v>0.10000359208304908</x:v>
      </x:c>
      <x:c r="E5333" s="22" t="str">
        <x:f>IF(ISBLANK(C5333),"AmountIncludingTax缺失",IF(ABS(B5333-C5333)&lt;0.005,"一致","不一致"))</x:f>
        <x:v>不一致</x:v>
      </x:c>
      <x:c r="F5333" s="19" t="str">
        <x:v>approved</x:v>
      </x:c>
      <x:c r="G5333" s="19" t="str">
        <x:v>Repair in Progress</x:v>
      </x:c>
      <x:c r="H5333" s="19" t="str">
        <x:v>In Field</x:v>
      </x:c>
      <x:c r="I5333" s="37" t="n">
        <x:v>46024</x:v>
      </x:c>
      <x:c r="J5333" s="37" t="n">
        <x:v>46024</x:v>
      </x:c>
      <x:c r="K5333" s="19" t="str">
        <x:v>Regent RV - Toowoomba</x:v>
      </x:c>
      <x:c r="L5333" s="19" t="str">
        <x:v>Z006</x:v>
      </x:c>
      <x:c r="M5333" s="19" t="str">
        <x:v>In Field Warranty Claims</x:v>
      </x:c>
      <x:c r="N5333" s="37" t="n">
        <x:v>45966</x:v>
      </x:c>
      <x:c r="O5333" s="37"/>
      <x:c r="P5333" s="34" t="n">
        <x:v>918.69</x:v>
      </x:c>
      <x:c r="Q5333" s="37" t="n">
        <x:v>46023.98706018519</x:v>
      </x:c>
    </x:row>
    <x:row r="5334">
      <x:c r="A5334" s="22" t="n">
        <x:v>27531</x:v>
      </x:c>
      <x:c r="B5334" s="28" t="n">
        <x:v>491.25</x:v>
      </x:c>
      <x:c r="C5334" s="28"/>
      <x:c r="D5334" s="31" t="str">
        <x:f>IF(OR(ISBLANK(B5334),ISBLANK(C5334),B5334=0),"",(C5334-B5334)/B5334)</x:f>
      </x:c>
      <x:c r="E5334" s="22" t="str">
        <x:f>IF(ISBLANK(C5334),"AmountIncludingTax缺失",IF(ABS(B5334-C5334)&lt;0.005,"一致","不一致"))</x:f>
        <x:v>AmountIncludingTax缺失</x:v>
      </x:c>
      <x:c r="F5334" s="19" t="str">
        <x:v>approved</x:v>
      </x:c>
      <x:c r="G5334" s="19" t="str">
        <x:v>Repair in Progress</x:v>
      </x:c>
      <x:c r="H5334" s="19" t="str">
        <x:v>In Field</x:v>
      </x:c>
      <x:c r="I5334" s="37" t="n">
        <x:v>46057</x:v>
      </x:c>
      <x:c r="J5334" s="37" t="n">
        <x:v>46057</x:v>
      </x:c>
      <x:c r="K5334" s="19" t="str">
        <x:v>Regent RV - Toowoomba</x:v>
      </x:c>
      <x:c r="L5334" s="19" t="str">
        <x:v>Z006</x:v>
      </x:c>
      <x:c r="M5334" s="19" t="str">
        <x:v>In Field Warranty Claims</x:v>
      </x:c>
      <x:c r="N5334" s="37" t="n">
        <x:v>45965</x:v>
      </x:c>
      <x:c r="O5334" s="37"/>
      <x:c r="P5334" s="34" t="n">
        <x:v>0</x:v>
      </x:c>
      <x:c r="Q5334" s="37" t="n">
        <x:v>46057.2290625</x:v>
      </x:c>
    </x:row>
    <x:row r="5335">
      <x:c r="A5335" s="22" t="n">
        <x:v>27513</x:v>
      </x:c>
      <x:c r="B5335" s="28" t="n">
        <x:v>131.01</x:v>
      </x:c>
      <x:c r="C5335" s="28"/>
      <x:c r="D5335" s="31" t="str">
        <x:f>IF(OR(ISBLANK(B5335),ISBLANK(C5335),B5335=0),"",(C5335-B5335)/B5335)</x:f>
      </x:c>
      <x:c r="E5335" s="22" t="str">
        <x:f>IF(ISBLANK(C5335),"AmountIncludingTax缺失",IF(ABS(B5335-C5335)&lt;0.005,"一致","不一致"))</x:f>
        <x:v>AmountIncludingTax缺失</x:v>
      </x:c>
      <x:c r="F5335" s="19" t="str">
        <x:v>approved</x:v>
      </x:c>
      <x:c r="G5335" s="19" t="str">
        <x:v>Repairer Invoiced Processed</x:v>
      </x:c>
      <x:c r="H5335" s="19" t="str">
        <x:v>In Field</x:v>
      </x:c>
      <x:c r="I5335" s="37" t="n">
        <x:v>46056</x:v>
      </x:c>
      <x:c r="J5335" s="37" t="n">
        <x:v>46056</x:v>
      </x:c>
      <x:c r="K5335" s="19" t="str">
        <x:v>QCCC - Gympie</x:v>
      </x:c>
      <x:c r="L5335" s="19" t="str">
        <x:v>Z006</x:v>
      </x:c>
      <x:c r="M5335" s="19" t="str">
        <x:v>In Field Warranty Claims</x:v>
      </x:c>
      <x:c r="N5335" s="37" t="n">
        <x:v>45965</x:v>
      </x:c>
      <x:c r="O5335" s="37"/>
      <x:c r="P5335" s="34" t="n">
        <x:v>0</x:v>
      </x:c>
      <x:c r="Q5335" s="37" t="n">
        <x:v>46056.28313657407</x:v>
      </x:c>
    </x:row>
    <x:row r="5336">
      <x:c r="A5336" s="22" t="n">
        <x:v>27506</x:v>
      </x:c>
      <x:c r="B5336" s="28" t="n">
        <x:v>490</x:v>
      </x:c>
      <x:c r="C5336" s="28"/>
      <x:c r="D5336" s="31" t="str">
        <x:f>IF(OR(ISBLANK(B5336),ISBLANK(C5336),B5336=0),"",(C5336-B5336)/B5336)</x:f>
      </x:c>
      <x:c r="E5336" s="22" t="str">
        <x:f>IF(ISBLANK(C5336),"AmountIncludingTax缺失",IF(ABS(B5336-C5336)&lt;0.005,"一致","不一致"))</x:f>
        <x:v>AmountIncludingTax缺失</x:v>
      </x:c>
      <x:c r="F5336" s="19" t="str">
        <x:v>approved</x:v>
      </x:c>
      <x:c r="G5336" s="19" t="str">
        <x:v>Repair in Progress</x:v>
      </x:c>
      <x:c r="H5336" s="19" t="str">
        <x:v>In Field</x:v>
      </x:c>
      <x:c r="I5336" s="37" t="n">
        <x:v>46038</x:v>
      </x:c>
      <x:c r="J5336" s="37" t="n">
        <x:v>46037</x:v>
      </x:c>
      <x:c r="K5336" s="19" t="str">
        <x:v>Regent RV - Frankston</x:v>
      </x:c>
      <x:c r="L5336" s="19" t="str">
        <x:v>Z006</x:v>
      </x:c>
      <x:c r="M5336" s="19" t="str">
        <x:v>In Field Warranty Claims</x:v>
      </x:c>
      <x:c r="N5336" s="37" t="n">
        <x:v>45965</x:v>
      </x:c>
      <x:c r="O5336" s="37"/>
      <x:c r="P5336" s="34" t="n">
        <x:v>0</x:v>
      </x:c>
      <x:c r="Q5336" s="37" t="n">
        <x:v>46038.13949074074</x:v>
      </x:c>
    </x:row>
    <x:row r="5337">
      <x:c r="A5337" s="22" t="n">
        <x:v>27500</x:v>
      </x:c>
      <x:c r="B5337" s="28" t="n">
        <x:v>577.5</x:v>
      </x:c>
      <x:c r="C5337" s="28"/>
      <x:c r="D5337" s="31" t="str">
        <x:f>IF(OR(ISBLANK(B5337),ISBLANK(C5337),B5337=0),"",(C5337-B5337)/B5337)</x:f>
      </x:c>
      <x:c r="E5337" s="22" t="str">
        <x:f>IF(ISBLANK(C5337),"AmountIncludingTax缺失",IF(ABS(B5337-C5337)&lt;0.005,"一致","不一致"))</x:f>
        <x:v>AmountIncludingTax缺失</x:v>
      </x:c>
      <x:c r="F5337" s="19" t="str">
        <x:v>approved</x:v>
      </x:c>
      <x:c r="G5337" s="19" t="str">
        <x:v>Repair in Progress</x:v>
      </x:c>
      <x:c r="H5337" s="19" t="str">
        <x:v>In Field</x:v>
      </x:c>
      <x:c r="I5337" s="37" t="n">
        <x:v>46076</x:v>
      </x:c>
      <x:c r="J5337" s="37" t="n">
        <x:v>46076</x:v>
      </x:c>
      <x:c r="K5337" s="19" t="str">
        <x:v>Regent RV - Frankston</x:v>
      </x:c>
      <x:c r="L5337" s="19" t="str">
        <x:v>Z006</x:v>
      </x:c>
      <x:c r="M5337" s="19" t="str">
        <x:v>In Field Warranty Claims</x:v>
      </x:c>
      <x:c r="N5337" s="37" t="n">
        <x:v>45965</x:v>
      </x:c>
      <x:c r="O5337" s="37"/>
      <x:c r="P5337" s="34" t="n">
        <x:v>0</x:v>
      </x:c>
      <x:c r="Q5337" s="37" t="n">
        <x:v>46076.146886574075</x:v>
      </x:c>
    </x:row>
    <x:row r="5338">
      <x:c r="A5338" s="22" t="n">
        <x:v>27491</x:v>
      </x:c>
      <x:c r="B5338" s="28" t="n">
        <x:v>1425.11</x:v>
      </x:c>
      <x:c r="C5338" s="28"/>
      <x:c r="D5338" s="31" t="str">
        <x:f>IF(OR(ISBLANK(B5338),ISBLANK(C5338),B5338=0),"",(C5338-B5338)/B5338)</x:f>
      </x:c>
      <x:c r="E5338" s="22" t="str">
        <x:f>IF(ISBLANK(C5338),"AmountIncludingTax缺失",IF(ABS(B5338-C5338)&lt;0.005,"一致","不一致"))</x:f>
        <x:v>AmountIncludingTax缺失</x:v>
      </x:c>
      <x:c r="F5338" s="19" t="str">
        <x:v>approved</x:v>
      </x:c>
      <x:c r="G5338" s="19" t="str">
        <x:v>Repairer Invoiced Processed</x:v>
      </x:c>
      <x:c r="H5338" s="19" t="str">
        <x:v>In Field</x:v>
      </x:c>
      <x:c r="I5338" s="37" t="n">
        <x:v>46043</x:v>
      </x:c>
      <x:c r="J5338" s="37" t="n">
        <x:v>46043</x:v>
      </x:c>
      <x:c r="K5338" s="19" t="str">
        <x:v>Green RV - Forest Glen</x:v>
      </x:c>
      <x:c r="L5338" s="19" t="str">
        <x:v>Z006</x:v>
      </x:c>
      <x:c r="M5338" s="19" t="str">
        <x:v>In Field Warranty Claims</x:v>
      </x:c>
      <x:c r="N5338" s="37" t="n">
        <x:v>45965</x:v>
      </x:c>
      <x:c r="O5338" s="37"/>
      <x:c r="P5338" s="34" t="n">
        <x:v>1567.62</x:v>
      </x:c>
      <x:c r="Q5338" s="37" t="n">
        <x:v>46043.324421296296</x:v>
      </x:c>
    </x:row>
    <x:row r="5339">
      <x:c r="A5339" s="22" t="n">
        <x:v>27487</x:v>
      </x:c>
      <x:c r="B5339" s="28" t="n">
        <x:v>573.75</x:v>
      </x:c>
      <x:c r="C5339" s="28"/>
      <x:c r="D5339" s="31" t="str">
        <x:f>IF(OR(ISBLANK(B5339),ISBLANK(C5339),B5339=0),"",(C5339-B5339)/B5339)</x:f>
      </x:c>
      <x:c r="E5339" s="22" t="str">
        <x:f>IF(ISBLANK(C5339),"AmountIncludingTax缺失",IF(ABS(B5339-C5339)&lt;0.005,"一致","不一致"))</x:f>
        <x:v>AmountIncludingTax缺失</x:v>
      </x:c>
      <x:c r="F5339" s="19" t="str">
        <x:v>approved</x:v>
      </x:c>
      <x:c r="G5339" s="19" t="str">
        <x:v>Repairer Invoiced Processed</x:v>
      </x:c>
      <x:c r="H5339" s="19" t="str">
        <x:v>In Field</x:v>
      </x:c>
      <x:c r="I5339" s="37" t="n">
        <x:v>46084</x:v>
      </x:c>
      <x:c r="J5339" s="37" t="n">
        <x:v>46084</x:v>
      </x:c>
      <x:c r="K5339" s="19" t="str">
        <x:v>Green RV - Forest Glen</x:v>
      </x:c>
      <x:c r="L5339" s="19" t="str">
        <x:v>Z006</x:v>
      </x:c>
      <x:c r="M5339" s="19" t="str">
        <x:v>In Field Warranty Claims</x:v>
      </x:c>
      <x:c r="N5339" s="37" t="n">
        <x:v>45965</x:v>
      </x:c>
      <x:c r="O5339" s="37"/>
      <x:c r="P5339" s="34" t="n">
        <x:v>0</x:v>
      </x:c>
      <x:c r="Q5339" s="37" t="n">
        <x:v>46083.90356481481</x:v>
      </x:c>
    </x:row>
    <x:row r="5340">
      <x:c r="A5340" s="22" t="n">
        <x:v>27485</x:v>
      </x:c>
      <x:c r="B5340" s="28" t="n">
        <x:v>383.82</x:v>
      </x:c>
      <x:c r="C5340" s="28" t="n">
        <x:v>422.2</x:v>
      </x:c>
      <x:c r="D5340" s="31" t="n">
        <x:f>IF(OR(ISBLANK(B5340),ISBLANK(C5340),B5340=0),"",(C5340-B5340)/B5340)</x:f>
        <x:v>0.09999478922411546</x:v>
      </x:c>
      <x:c r="E5340" s="22" t="str">
        <x:f>IF(ISBLANK(C5340),"AmountIncludingTax缺失",IF(ABS(B5340-C5340)&lt;0.005,"一致","不一致"))</x:f>
        <x:v>不一致</x:v>
      </x:c>
      <x:c r="F5340" s="19" t="str">
        <x:v>approved</x:v>
      </x:c>
      <x:c r="G5340" s="19" t="str">
        <x:v>Repairer Invoiced Processed</x:v>
      </x:c>
      <x:c r="H5340" s="19" t="str">
        <x:v>In Field</x:v>
      </x:c>
      <x:c r="I5340" s="37" t="n">
        <x:v>46024</x:v>
      </x:c>
      <x:c r="J5340" s="37" t="n">
        <x:v>46024</x:v>
      </x:c>
      <x:c r="K5340" s="19" t="str">
        <x:v>Green RV - Forest Glen</x:v>
      </x:c>
      <x:c r="L5340" s="19" t="str">
        <x:v>Z006</x:v>
      </x:c>
      <x:c r="M5340" s="19" t="str">
        <x:v>In Field Warranty Claims</x:v>
      </x:c>
      <x:c r="N5340" s="37" t="n">
        <x:v>45965</x:v>
      </x:c>
      <x:c r="O5340" s="37"/>
      <x:c r="P5340" s="34" t="n">
        <x:v>422.2</x:v>
      </x:c>
      <x:c r="Q5340" s="37" t="n">
        <x:v>46024.222233796296</x:v>
      </x:c>
    </x:row>
    <x:row r="5341">
      <x:c r="A5341" s="22" t="n">
        <x:v>27483</x:v>
      </x:c>
      <x:c r="B5341" s="28" t="n">
        <x:v>451.83</x:v>
      </x:c>
      <x:c r="C5341" s="28" t="n">
        <x:v>497.01</x:v>
      </x:c>
      <x:c r="D5341" s="31" t="n">
        <x:f>IF(OR(ISBLANK(B5341),ISBLANK(C5341),B5341=0),"",(C5341-B5341)/B5341)</x:f>
        <x:v>0.09999336033463915</x:v>
      </x:c>
      <x:c r="E5341" s="22" t="str">
        <x:f>IF(ISBLANK(C5341),"AmountIncludingTax缺失",IF(ABS(B5341-C5341)&lt;0.005,"一致","不一致"))</x:f>
        <x:v>不一致</x:v>
      </x:c>
      <x:c r="F5341" s="19" t="str">
        <x:v>approved</x:v>
      </x:c>
      <x:c r="G5341" s="19" t="str">
        <x:v>Repair in Progress</x:v>
      </x:c>
      <x:c r="H5341" s="19" t="str">
        <x:v>In Field</x:v>
      </x:c>
      <x:c r="I5341" s="37" t="n">
        <x:v>46056</x:v>
      </x:c>
      <x:c r="J5341" s="37" t="n">
        <x:v>46056</x:v>
      </x:c>
      <x:c r="K5341" s="19" t="str">
        <x:v>QCCC - Gympie</x:v>
      </x:c>
      <x:c r="L5341" s="19" t="str">
        <x:v>Z006</x:v>
      </x:c>
      <x:c r="M5341" s="19" t="str">
        <x:v>In Field Warranty Claims</x:v>
      </x:c>
      <x:c r="N5341" s="37" t="n">
        <x:v>45965</x:v>
      </x:c>
      <x:c r="O5341" s="37"/>
      <x:c r="P5341" s="34" t="n">
        <x:v>497.01</x:v>
      </x:c>
      <x:c r="Q5341" s="37" t="n">
        <x:v>46055.88114583334</x:v>
      </x:c>
    </x:row>
    <x:row r="5342">
      <x:c r="A5342" s="22" t="n">
        <x:v>27479</x:v>
      </x:c>
      <x:c r="B5342" s="28" t="n">
        <x:v>925.45</x:v>
      </x:c>
      <x:c r="C5342" s="28"/>
      <x:c r="D5342" s="31" t="str">
        <x:f>IF(OR(ISBLANK(B5342),ISBLANK(C5342),B5342=0),"",(C5342-B5342)/B5342)</x:f>
      </x:c>
      <x:c r="E5342" s="22" t="str">
        <x:f>IF(ISBLANK(C5342),"AmountIncludingTax缺失",IF(ABS(B5342-C5342)&lt;0.005,"一致","不一致"))</x:f>
        <x:v>AmountIncludingTax缺失</x:v>
      </x:c>
      <x:c r="F5342" s="19" t="str">
        <x:v>approved</x:v>
      </x:c>
      <x:c r="G5342" s="19" t="str">
        <x:v>Repairer Invoiced Processed</x:v>
      </x:c>
      <x:c r="H5342" s="19" t="str">
        <x:v>In Field</x:v>
      </x:c>
      <x:c r="I5342" s="37" t="n">
        <x:v>46065</x:v>
      </x:c>
      <x:c r="J5342" s="37" t="n">
        <x:v>46065</x:v>
      </x:c>
      <x:c r="K5342" s="19" t="str">
        <x:v>Dario Caravans -St.Marys</x:v>
      </x:c>
      <x:c r="L5342" s="19" t="str">
        <x:v>Z006</x:v>
      </x:c>
      <x:c r="M5342" s="19" t="str">
        <x:v>In Field Warranty Claims</x:v>
      </x:c>
      <x:c r="N5342" s="37" t="n">
        <x:v>45965</x:v>
      </x:c>
      <x:c r="O5342" s="37"/>
      <x:c r="P5342" s="34" t="n">
        <x:v>1018</x:v>
      </x:c>
      <x:c r="Q5342" s="37" t="n">
        <x:v>46064.88414351852</x:v>
      </x:c>
    </x:row>
    <x:row r="5343">
      <x:c r="A5343" s="22" t="n">
        <x:v>27476</x:v>
      </x:c>
      <x:c r="B5343" s="28" t="n">
        <x:v>989.93</x:v>
      </x:c>
      <x:c r="C5343" s="28"/>
      <x:c r="D5343" s="31" t="str">
        <x:f>IF(OR(ISBLANK(B5343),ISBLANK(C5343),B5343=0),"",(C5343-B5343)/B5343)</x:f>
      </x:c>
      <x:c r="E5343" s="22" t="str">
        <x:f>IF(ISBLANK(C5343),"AmountIncludingTax缺失",IF(ABS(B5343-C5343)&lt;0.005,"一致","不一致"))</x:f>
        <x:v>AmountIncludingTax缺失</x:v>
      </x:c>
      <x:c r="F5343" s="19" t="str">
        <x:v>approved</x:v>
      </x:c>
      <x:c r="G5343" s="19" t="str">
        <x:v>Repairer Invoiced Processed</x:v>
      </x:c>
      <x:c r="H5343" s="19" t="str">
        <x:v>In Field</x:v>
      </x:c>
      <x:c r="I5343" s="37" t="n">
        <x:v>46031</x:v>
      </x:c>
      <x:c r="J5343" s="37" t="n">
        <x:v>46031</x:v>
      </x:c>
      <x:c r="K5343" s="19" t="str">
        <x:v>Green RV - Forest Glen</x:v>
      </x:c>
      <x:c r="L5343" s="19" t="str">
        <x:v>Z006</x:v>
      </x:c>
      <x:c r="M5343" s="19" t="str">
        <x:v>In Field Warranty Claims</x:v>
      </x:c>
      <x:c r="N5343" s="37" t="n">
        <x:v>45965</x:v>
      </x:c>
      <x:c r="O5343" s="37"/>
      <x:c r="P5343" s="34" t="n">
        <x:v>1088.92</x:v>
      </x:c>
      <x:c r="Q5343" s="37" t="n">
        <x:v>46030.96730324074</x:v>
      </x:c>
    </x:row>
    <x:row r="5344">
      <x:c r="A5344" s="22" t="n">
        <x:v>27475</x:v>
      </x:c>
      <x:c r="B5344" s="28" t="n">
        <x:v>695.52</x:v>
      </x:c>
      <x:c r="C5344" s="28" t="n">
        <x:v>765.07</x:v>
      </x:c>
      <x:c r="D5344" s="31" t="n">
        <x:f>IF(OR(ISBLANK(B5344),ISBLANK(C5344),B5344=0),"",(C5344-B5344)/B5344)</x:f>
        <x:v>0.0999971244536463</x:v>
      </x:c>
      <x:c r="E5344" s="22" t="str">
        <x:f>IF(ISBLANK(C5344),"AmountIncludingTax缺失",IF(ABS(B5344-C5344)&lt;0.005,"一致","不一致"))</x:f>
        <x:v>不一致</x:v>
      </x:c>
      <x:c r="F5344" s="19" t="str">
        <x:v>approved</x:v>
      </x:c>
      <x:c r="G5344" s="19" t="str">
        <x:v>Repair in Progress</x:v>
      </x:c>
      <x:c r="H5344" s="19" t="str">
        <x:v>In Field</x:v>
      </x:c>
      <x:c r="I5344" s="37" t="n">
        <x:v>46062</x:v>
      </x:c>
      <x:c r="J5344" s="37" t="n">
        <x:v>46062</x:v>
      </x:c>
      <x:c r="K5344" s="19" t="str">
        <x:v>Green RV - Forest Glen</x:v>
      </x:c>
      <x:c r="L5344" s="19" t="str">
        <x:v>Z006</x:v>
      </x:c>
      <x:c r="M5344" s="19" t="str">
        <x:v>In Field Warranty Claims</x:v>
      </x:c>
      <x:c r="N5344" s="37" t="n">
        <x:v>45965</x:v>
      </x:c>
      <x:c r="O5344" s="37"/>
      <x:c r="P5344" s="34" t="n">
        <x:v>765.07</x:v>
      </x:c>
      <x:c r="Q5344" s="37" t="n">
        <x:v>46061.99037037037</x:v>
      </x:c>
    </x:row>
    <x:row r="5345">
      <x:c r="A5345" s="22" t="n">
        <x:v>27474</x:v>
      </x:c>
      <x:c r="B5345" s="28" t="n">
        <x:v>204.82</x:v>
      </x:c>
      <x:c r="C5345" s="28" t="n">
        <x:v>252.7</x:v>
      </x:c>
      <x:c r="D5345" s="31" t="n">
        <x:f>IF(OR(ISBLANK(B5345),ISBLANK(C5345),B5345=0),"",(C5345-B5345)/B5345)</x:f>
        <x:v>0.23376623376623376</x:v>
      </x:c>
      <x:c r="E5345" s="22" t="str">
        <x:f>IF(ISBLANK(C5345),"AmountIncludingTax缺失",IF(ABS(B5345-C5345)&lt;0.005,"一致","不一致"))</x:f>
        <x:v>不一致</x:v>
      </x:c>
      <x:c r="F5345" s="19" t="str">
        <x:v>approved</x:v>
      </x:c>
      <x:c r="G5345" s="19" t="str">
        <x:v>Repairer Invoiced Processed</x:v>
      </x:c>
      <x:c r="H5345" s="19" t="str">
        <x:v>In Field</x:v>
      </x:c>
      <x:c r="I5345" s="37" t="n">
        <x:v>46038</x:v>
      </x:c>
      <x:c r="J5345" s="37" t="n">
        <x:v>46031</x:v>
      </x:c>
      <x:c r="K5345" s="19" t="str">
        <x:v>Green RV - Forest Glen</x:v>
      </x:c>
      <x:c r="L5345" s="19" t="str">
        <x:v>Z006</x:v>
      </x:c>
      <x:c r="M5345" s="19" t="str">
        <x:v>In Field Warranty Claims</x:v>
      </x:c>
      <x:c r="N5345" s="37" t="n">
        <x:v>45965</x:v>
      </x:c>
      <x:c r="O5345" s="37"/>
      <x:c r="P5345" s="34" t="n">
        <x:v>252.7</x:v>
      </x:c>
      <x:c r="Q5345" s="37" t="n">
        <x:v>46037.85537037037</x:v>
      </x:c>
    </x:row>
    <x:row r="5346">
      <x:c r="A5346" s="22" t="n">
        <x:v>27473</x:v>
      </x:c>
      <x:c r="B5346" s="28" t="n">
        <x:v>108.75</x:v>
      </x:c>
      <x:c r="C5346" s="28"/>
      <x:c r="D5346" s="31" t="str">
        <x:f>IF(OR(ISBLANK(B5346),ISBLANK(C5346),B5346=0),"",(C5346-B5346)/B5346)</x:f>
      </x:c>
      <x:c r="E5346" s="22" t="str">
        <x:f>IF(ISBLANK(C5346),"AmountIncludingTax缺失",IF(ABS(B5346-C5346)&lt;0.005,"一致","不一致"))</x:f>
        <x:v>AmountIncludingTax缺失</x:v>
      </x:c>
      <x:c r="F5346" s="19" t="str">
        <x:v>approved</x:v>
      </x:c>
      <x:c r="G5346" s="19" t="str">
        <x:v>Repairer Invoiced Processed</x:v>
      </x:c>
      <x:c r="H5346" s="19" t="str">
        <x:v>In Field</x:v>
      </x:c>
      <x:c r="I5346" s="37" t="n">
        <x:v>46057</x:v>
      </x:c>
      <x:c r="J5346" s="37" t="n">
        <x:v>46057</x:v>
      </x:c>
      <x:c r="K5346" s="19" t="str">
        <x:v>Regent RV - Townsville</x:v>
      </x:c>
      <x:c r="L5346" s="19" t="str">
        <x:v>Z006</x:v>
      </x:c>
      <x:c r="M5346" s="19" t="str">
        <x:v>In Field Warranty Claims</x:v>
      </x:c>
      <x:c r="N5346" s="37" t="n">
        <x:v>45965</x:v>
      </x:c>
      <x:c r="O5346" s="37"/>
      <x:c r="P5346" s="34" t="n">
        <x:v>0</x:v>
      </x:c>
      <x:c r="Q5346" s="37" t="n">
        <x:v>46057.02564814815</x:v>
      </x:c>
    </x:row>
    <x:row r="5347">
      <x:c r="A5347" s="22" t="n">
        <x:v>27472</x:v>
      </x:c>
      <x:c r="B5347" s="28" t="n">
        <x:v>1187.5</x:v>
      </x:c>
      <x:c r="C5347" s="28"/>
      <x:c r="D5347" s="31" t="str">
        <x:f>IF(OR(ISBLANK(B5347),ISBLANK(C5347),B5347=0),"",(C5347-B5347)/B5347)</x:f>
      </x:c>
      <x:c r="E5347" s="22" t="str">
        <x:f>IF(ISBLANK(C5347),"AmountIncludingTax缺失",IF(ABS(B5347-C5347)&lt;0.005,"一致","不一致"))</x:f>
        <x:v>AmountIncludingTax缺失</x:v>
      </x:c>
      <x:c r="F5347" s="19" t="str">
        <x:v>approved</x:v>
      </x:c>
      <x:c r="G5347" s="19" t="str">
        <x:v>Repairer Invoiced Processed</x:v>
      </x:c>
      <x:c r="H5347" s="19" t="str">
        <x:v>In Field</x:v>
      </x:c>
      <x:c r="I5347" s="37" t="n">
        <x:v>46099</x:v>
      </x:c>
      <x:c r="J5347" s="37" t="n">
        <x:v>46099</x:v>
      </x:c>
      <x:c r="K5347" s="19" t="str">
        <x:v>Lesiure Lion-New Castle</x:v>
      </x:c>
      <x:c r="L5347" s="19" t="str">
        <x:v>Z006</x:v>
      </x:c>
      <x:c r="M5347" s="19" t="str">
        <x:v>In Field Warranty Claims</x:v>
      </x:c>
      <x:c r="N5347" s="37" t="n">
        <x:v>45965</x:v>
      </x:c>
      <x:c r="O5347" s="37"/>
      <x:c r="P5347" s="34" t="n">
        <x:v>0</x:v>
      </x:c>
      <x:c r="Q5347" s="37" t="n">
        <x:v>46099.10554398148</x:v>
      </x:c>
    </x:row>
    <x:row r="5348">
      <x:c r="A5348" s="22" t="n">
        <x:v>27469</x:v>
      </x:c>
      <x:c r="B5348" s="28" t="n">
        <x:v>724.05</x:v>
      </x:c>
      <x:c r="C5348" s="28"/>
      <x:c r="D5348" s="31" t="str">
        <x:f>IF(OR(ISBLANK(B5348),ISBLANK(C5348),B5348=0),"",(C5348-B5348)/B5348)</x:f>
      </x:c>
      <x:c r="E5348" s="22" t="str">
        <x:f>IF(ISBLANK(C5348),"AmountIncludingTax缺失",IF(ABS(B5348-C5348)&lt;0.005,"一致","不一致"))</x:f>
        <x:v>AmountIncludingTax缺失</x:v>
      </x:c>
      <x:c r="F5348" s="19" t="str">
        <x:v>approved</x:v>
      </x:c>
      <x:c r="G5348" s="19" t="str">
        <x:v>Repair in Progress</x:v>
      </x:c>
      <x:c r="H5348" s="19" t="str">
        <x:v>In Field</x:v>
      </x:c>
      <x:c r="I5348" s="37" t="n">
        <x:v>46055</x:v>
      </x:c>
      <x:c r="J5348" s="37" t="n">
        <x:v>46055</x:v>
      </x:c>
      <x:c r="K5348" s="19" t="str">
        <x:v>Green RV - Forest Glen</x:v>
      </x:c>
      <x:c r="L5348" s="19" t="str">
        <x:v>Z006</x:v>
      </x:c>
      <x:c r="M5348" s="19" t="str">
        <x:v>In Field Warranty Claims</x:v>
      </x:c>
      <x:c r="N5348" s="37" t="n">
        <x:v>45965</x:v>
      </x:c>
      <x:c r="O5348" s="37"/>
      <x:c r="P5348" s="34" t="n">
        <x:v>0</x:v>
      </x:c>
      <x:c r="Q5348" s="37" t="n">
        <x:v>46055.2355787037</x:v>
      </x:c>
    </x:row>
    <x:row r="5349">
      <x:c r="A5349" s="22" t="n">
        <x:v>27467</x:v>
      </x:c>
      <x:c r="B5349" s="28" t="n">
        <x:v>531.75</x:v>
      </x:c>
      <x:c r="C5349" s="28" t="n">
        <x:v>584.93</x:v>
      </x:c>
      <x:c r="D5349" s="31" t="n">
        <x:f>IF(OR(ISBLANK(B5349),ISBLANK(C5349),B5349=0),"",(C5349-B5349)/B5349)</x:f>
        <x:v>0.10000940291490353</x:v>
      </x:c>
      <x:c r="E5349" s="22" t="str">
        <x:f>IF(ISBLANK(C5349),"AmountIncludingTax缺失",IF(ABS(B5349-C5349)&lt;0.005,"一致","不一致"))</x:f>
        <x:v>不一致</x:v>
      </x:c>
      <x:c r="F5349" s="19" t="str">
        <x:v>approved</x:v>
      </x:c>
      <x:c r="G5349" s="19" t="str">
        <x:v>Repairer Invoiced Processed</x:v>
      </x:c>
      <x:c r="H5349" s="19" t="str">
        <x:v>In Field</x:v>
      </x:c>
      <x:c r="I5349" s="37" t="n">
        <x:v>46024</x:v>
      </x:c>
      <x:c r="J5349" s="37" t="n">
        <x:v>46024</x:v>
      </x:c>
      <x:c r="K5349" s="19" t="str">
        <x:v>Green RV - Forest Glen</x:v>
      </x:c>
      <x:c r="L5349" s="19" t="str">
        <x:v>Z006</x:v>
      </x:c>
      <x:c r="M5349" s="19" t="str">
        <x:v>In Field Warranty Claims</x:v>
      </x:c>
      <x:c r="N5349" s="37" t="n">
        <x:v>45965</x:v>
      </x:c>
      <x:c r="O5349" s="37"/>
      <x:c r="P5349" s="34" t="n">
        <x:v>584.93</x:v>
      </x:c>
      <x:c r="Q5349" s="37" t="n">
        <x:v>46024.22153935185</x:v>
      </x:c>
    </x:row>
    <x:row r="5350">
      <x:c r="A5350" s="22" t="n">
        <x:v>27466</x:v>
      </x:c>
      <x:c r="B5350" s="28" t="n">
        <x:v>177.27</x:v>
      </x:c>
      <x:c r="C5350" s="28"/>
      <x:c r="D5350" s="31" t="str">
        <x:f>IF(OR(ISBLANK(B5350),ISBLANK(C5350),B5350=0),"",(C5350-B5350)/B5350)</x:f>
      </x:c>
      <x:c r="E5350" s="22" t="str">
        <x:f>IF(ISBLANK(C5350),"AmountIncludingTax缺失",IF(ABS(B5350-C5350)&lt;0.005,"一致","不一致"))</x:f>
        <x:v>AmountIncludingTax缺失</x:v>
      </x:c>
      <x:c r="F5350" s="19" t="str">
        <x:v>approved</x:v>
      </x:c>
      <x:c r="G5350" s="19" t="str">
        <x:v>Repairer Invoiced Processed</x:v>
      </x:c>
      <x:c r="H5350" s="19" t="str">
        <x:v>In Field</x:v>
      </x:c>
      <x:c r="I5350" s="37" t="n">
        <x:v>46035</x:v>
      </x:c>
      <x:c r="J5350" s="37" t="n">
        <x:v>46035</x:v>
      </x:c>
      <x:c r="K5350" s="19" t="str">
        <x:v>Auswide Caravans - South Nowra</x:v>
      </x:c>
      <x:c r="L5350" s="19" t="str">
        <x:v>Z006</x:v>
      </x:c>
      <x:c r="M5350" s="19" t="str">
        <x:v>In Field Warranty Claims</x:v>
      </x:c>
      <x:c r="N5350" s="37" t="n">
        <x:v>45965</x:v>
      </x:c>
      <x:c r="O5350" s="37" t="n">
        <x:v>46031</x:v>
      </x:c>
      <x:c r="P5350" s="34" t="n">
        <x:v>0</x:v>
      </x:c>
      <x:c r="Q5350" s="37" t="n">
        <x:v>46035.077199074076</x:v>
      </x:c>
    </x:row>
    <x:row r="5351">
      <x:c r="A5351" s="22" t="n">
        <x:v>27461</x:v>
      </x:c>
      <x:c r="B5351" s="28" t="n">
        <x:v>735</x:v>
      </x:c>
      <x:c r="C5351" s="28"/>
      <x:c r="D5351" s="31" t="str">
        <x:f>IF(OR(ISBLANK(B5351),ISBLANK(C5351),B5351=0),"",(C5351-B5351)/B5351)</x:f>
      </x:c>
      <x:c r="E5351" s="22" t="str">
        <x:f>IF(ISBLANK(C5351),"AmountIncludingTax缺失",IF(ABS(B5351-C5351)&lt;0.005,"一致","不一致"))</x:f>
        <x:v>AmountIncludingTax缺失</x:v>
      </x:c>
      <x:c r="F5351" s="19" t="str">
        <x:v>approved</x:v>
      </x:c>
      <x:c r="G5351" s="19" t="str">
        <x:v>Repairer Invoiced Processed</x:v>
      </x:c>
      <x:c r="H5351" s="19" t="str">
        <x:v>In Field</x:v>
      </x:c>
      <x:c r="I5351" s="37" t="n">
        <x:v>46099</x:v>
      </x:c>
      <x:c r="J5351" s="37" t="n">
        <x:v>46099</x:v>
      </x:c>
      <x:c r="K5351" s="19" t="str">
        <x:v>Regent RV - Toowoomba</x:v>
      </x:c>
      <x:c r="L5351" s="19" t="str">
        <x:v>Z006</x:v>
      </x:c>
      <x:c r="M5351" s="19" t="str">
        <x:v>In Field Warranty Claims</x:v>
      </x:c>
      <x:c r="N5351" s="37" t="n">
        <x:v>45965</x:v>
      </x:c>
      <x:c r="O5351" s="37"/>
      <x:c r="P5351" s="34" t="n">
        <x:v>0</x:v>
      </x:c>
      <x:c r="Q5351" s="37" t="n">
        <x:v>46098.941342592596</x:v>
      </x:c>
    </x:row>
    <x:row r="5352">
      <x:c r="A5352" s="22" t="n">
        <x:v>27457</x:v>
      </x:c>
      <x:c r="B5352" s="28" t="n">
        <x:v>540</x:v>
      </x:c>
      <x:c r="C5352" s="28"/>
      <x:c r="D5352" s="31" t="str">
        <x:f>IF(OR(ISBLANK(B5352),ISBLANK(C5352),B5352=0),"",(C5352-B5352)/B5352)</x:f>
      </x:c>
      <x:c r="E5352" s="22" t="str">
        <x:f>IF(ISBLANK(C5352),"AmountIncludingTax缺失",IF(ABS(B5352-C5352)&lt;0.005,"一致","不一致"))</x:f>
        <x:v>AmountIncludingTax缺失</x:v>
      </x:c>
      <x:c r="F5352" s="19" t="str">
        <x:v>approved</x:v>
      </x:c>
      <x:c r="G5352" s="19" t="str">
        <x:v>Repair in Progress</x:v>
      </x:c>
      <x:c r="H5352" s="19" t="str">
        <x:v>In Field</x:v>
      </x:c>
      <x:c r="I5352" s="37" t="n">
        <x:v>46092</x:v>
      </x:c>
      <x:c r="J5352" s="37" t="n">
        <x:v>46092</x:v>
      </x:c>
      <x:c r="K5352" s="19" t="str">
        <x:v>Green RV - Forest Glen</x:v>
      </x:c>
      <x:c r="L5352" s="19" t="str">
        <x:v>Z006</x:v>
      </x:c>
      <x:c r="M5352" s="19" t="str">
        <x:v>In Field Warranty Claims</x:v>
      </x:c>
      <x:c r="N5352" s="37" t="n">
        <x:v>45965</x:v>
      </x:c>
      <x:c r="O5352" s="37" t="n">
        <x:v>46086</x:v>
      </x:c>
      <x:c r="P5352" s="34" t="n">
        <x:v>0</x:v>
      </x:c>
      <x:c r="Q5352" s="37" t="n">
        <x:v>46092.14962962963</x:v>
      </x:c>
    </x:row>
    <x:row r="5353">
      <x:c r="A5353" s="22" t="n">
        <x:v>27452</x:v>
      </x:c>
      <x:c r="B5353" s="28" t="n">
        <x:v>449.09</x:v>
      </x:c>
      <x:c r="C5353" s="28"/>
      <x:c r="D5353" s="31" t="str">
        <x:f>IF(OR(ISBLANK(B5353),ISBLANK(C5353),B5353=0),"",(C5353-B5353)/B5353)</x:f>
      </x:c>
      <x:c r="E5353" s="22" t="str">
        <x:f>IF(ISBLANK(C5353),"AmountIncludingTax缺失",IF(ABS(B5353-C5353)&lt;0.005,"一致","不一致"))</x:f>
        <x:v>AmountIncludingTax缺失</x:v>
      </x:c>
      <x:c r="F5353" s="19" t="str">
        <x:v>approved</x:v>
      </x:c>
      <x:c r="G5353" s="19" t="str">
        <x:v>Repair in Progress</x:v>
      </x:c>
      <x:c r="H5353" s="19" t="str">
        <x:v>In Field</x:v>
      </x:c>
      <x:c r="I5353" s="37" t="n">
        <x:v>46034</x:v>
      </x:c>
      <x:c r="J5353" s="37" t="n">
        <x:v>46034</x:v>
      </x:c>
      <x:c r="K5353" s="19" t="str">
        <x:v>Auswide Caravans - South Nowra</x:v>
      </x:c>
      <x:c r="L5353" s="19" t="str">
        <x:v>Z006</x:v>
      </x:c>
      <x:c r="M5353" s="19" t="str">
        <x:v>In Field Warranty Claims</x:v>
      </x:c>
      <x:c r="N5353" s="37" t="n">
        <x:v>45965</x:v>
      </x:c>
      <x:c r="O5353" s="37"/>
      <x:c r="P5353" s="34" t="n">
        <x:v>0</x:v>
      </x:c>
      <x:c r="Q5353" s="37" t="n">
        <x:v>46033.87386574074</x:v>
      </x:c>
    </x:row>
    <x:row r="5354">
      <x:c r="A5354" s="22" t="n">
        <x:v>27439</x:v>
      </x:c>
      <x:c r="B5354" s="28" t="n">
        <x:v>447.5</x:v>
      </x:c>
      <x:c r="C5354" s="28"/>
      <x:c r="D5354" s="31" t="str">
        <x:f>IF(OR(ISBLANK(B5354),ISBLANK(C5354),B5354=0),"",(C5354-B5354)/B5354)</x:f>
      </x:c>
      <x:c r="E5354" s="22" t="str">
        <x:f>IF(ISBLANK(C5354),"AmountIncludingTax缺失",IF(ABS(B5354-C5354)&lt;0.005,"一致","不一致"))</x:f>
        <x:v>AmountIncludingTax缺失</x:v>
      </x:c>
      <x:c r="F5354" s="19" t="str">
        <x:v>approved</x:v>
      </x:c>
      <x:c r="G5354" s="19" t="str">
        <x:v>Repairer Invoiced Processed</x:v>
      </x:c>
      <x:c r="H5354" s="19" t="str">
        <x:v>In Field</x:v>
      </x:c>
      <x:c r="I5354" s="37" t="n">
        <x:v>46057</x:v>
      </x:c>
      <x:c r="J5354" s="37" t="n">
        <x:v>46057</x:v>
      </x:c>
      <x:c r="K5354" s="19" t="str">
        <x:v>Regent RV - Townsville</x:v>
      </x:c>
      <x:c r="L5354" s="19" t="str">
        <x:v>Z006</x:v>
      </x:c>
      <x:c r="M5354" s="19" t="str">
        <x:v>In Field Warranty Claims</x:v>
      </x:c>
      <x:c r="N5354" s="37" t="n">
        <x:v>45964</x:v>
      </x:c>
      <x:c r="O5354" s="37"/>
      <x:c r="P5354" s="34" t="n">
        <x:v>0</x:v>
      </x:c>
      <x:c r="Q5354" s="37" t="n">
        <x:v>46057.02248842592</x:v>
      </x:c>
    </x:row>
    <x:row r="5355">
      <x:c r="A5355" s="22" t="n">
        <x:v>27436</x:v>
      </x:c>
      <x:c r="B5355" s="28" t="n">
        <x:v>558.18</x:v>
      </x:c>
      <x:c r="C5355" s="28"/>
      <x:c r="D5355" s="31" t="str">
        <x:f>IF(OR(ISBLANK(B5355),ISBLANK(C5355),B5355=0),"",(C5355-B5355)/B5355)</x:f>
      </x:c>
      <x:c r="E5355" s="22" t="str">
        <x:f>IF(ISBLANK(C5355),"AmountIncludingTax缺失",IF(ABS(B5355-C5355)&lt;0.005,"一致","不一致"))</x:f>
        <x:v>AmountIncludingTax缺失</x:v>
      </x:c>
      <x:c r="F5355" s="19" t="str">
        <x:v>approved</x:v>
      </x:c>
      <x:c r="G5355" s="19" t="str">
        <x:v>Repairer Invoiced Processed</x:v>
      </x:c>
      <x:c r="H5355" s="19" t="str">
        <x:v>In Field</x:v>
      </x:c>
      <x:c r="I5355" s="37" t="n">
        <x:v>46106</x:v>
      </x:c>
      <x:c r="J5355" s="37" t="n">
        <x:v>46106</x:v>
      </x:c>
      <x:c r="K5355" s="19" t="str">
        <x:v>Green RV - Forest Glen</x:v>
      </x:c>
      <x:c r="L5355" s="19" t="str">
        <x:v>Z006</x:v>
      </x:c>
      <x:c r="M5355" s="19" t="str">
        <x:v>In Field Warranty Claims</x:v>
      </x:c>
      <x:c r="N5355" s="37" t="n">
        <x:v>45964</x:v>
      </x:c>
      <x:c r="O5355" s="37"/>
      <x:c r="P5355" s="34" t="n">
        <x:v>0</x:v>
      </x:c>
      <x:c r="Q5355" s="37" t="n">
        <x:v>46106.07145833333</x:v>
      </x:c>
    </x:row>
    <x:row r="5356">
      <x:c r="A5356" s="22" t="n">
        <x:v>27435</x:v>
      </x:c>
      <x:c r="B5356" s="28" t="n">
        <x:v>280</x:v>
      </x:c>
      <x:c r="C5356" s="28" t="n">
        <x:v>308</x:v>
      </x:c>
      <x:c r="D5356" s="31" t="n">
        <x:f>IF(OR(ISBLANK(B5356),ISBLANK(C5356),B5356=0),"",(C5356-B5356)/B5356)</x:f>
        <x:v>0.1</x:v>
      </x:c>
      <x:c r="E5356" s="22" t="str">
        <x:f>IF(ISBLANK(C5356),"AmountIncludingTax缺失",IF(ABS(B5356-C5356)&lt;0.005,"一致","不一致"))</x:f>
        <x:v>不一致</x:v>
      </x:c>
      <x:c r="F5356" s="19" t="str">
        <x:v>approved</x:v>
      </x:c>
      <x:c r="G5356" s="19" t="str">
        <x:v>Repairer Invoiced Processed</x:v>
      </x:c>
      <x:c r="H5356" s="19" t="str">
        <x:v>In Field</x:v>
      </x:c>
      <x:c r="I5356" s="37" t="n">
        <x:v>46024</x:v>
      </x:c>
      <x:c r="J5356" s="37" t="n">
        <x:v>46024</x:v>
      </x:c>
      <x:c r="K5356" s="19" t="str">
        <x:v>Regent RV - Perth</x:v>
      </x:c>
      <x:c r="L5356" s="19" t="str">
        <x:v>Z006</x:v>
      </x:c>
      <x:c r="M5356" s="19" t="str">
        <x:v>In Field Warranty Claims</x:v>
      </x:c>
      <x:c r="N5356" s="37" t="n">
        <x:v>45964</x:v>
      </x:c>
      <x:c r="O5356" s="37"/>
      <x:c r="P5356" s="34" t="n">
        <x:v>308</x:v>
      </x:c>
      <x:c r="Q5356" s="37" t="n">
        <x:v>46024.209375</x:v>
      </x:c>
    </x:row>
    <x:row r="5357">
      <x:c r="A5357" s="22" t="n">
        <x:v>27433</x:v>
      </x:c>
      <x:c r="B5357" s="28" t="n">
        <x:v>782.5</x:v>
      </x:c>
      <x:c r="C5357" s="28"/>
      <x:c r="D5357" s="31" t="str">
        <x:f>IF(OR(ISBLANK(B5357),ISBLANK(C5357),B5357=0),"",(C5357-B5357)/B5357)</x:f>
      </x:c>
      <x:c r="E5357" s="22" t="str">
        <x:f>IF(ISBLANK(C5357),"AmountIncludingTax缺失",IF(ABS(B5357-C5357)&lt;0.005,"一致","不一致"))</x:f>
        <x:v>AmountIncludingTax缺失</x:v>
      </x:c>
      <x:c r="F5357" s="19" t="str">
        <x:v>approved</x:v>
      </x:c>
      <x:c r="G5357" s="19" t="str">
        <x:v>Repair in Progress</x:v>
      </x:c>
      <x:c r="H5357" s="19" t="str">
        <x:v>In Field</x:v>
      </x:c>
      <x:c r="I5357" s="37" t="n">
        <x:v>46084</x:v>
      </x:c>
      <x:c r="J5357" s="37" t="n">
        <x:v>46084</x:v>
      </x:c>
      <x:c r="K5357" s="19" t="str">
        <x:v>Regent RV - Toowoomba</x:v>
      </x:c>
      <x:c r="L5357" s="19" t="str">
        <x:v>Z006</x:v>
      </x:c>
      <x:c r="M5357" s="19" t="str">
        <x:v>In Field Warranty Claims</x:v>
      </x:c>
      <x:c r="N5357" s="37" t="n">
        <x:v>45964</x:v>
      </x:c>
      <x:c r="O5357" s="37"/>
      <x:c r="P5357" s="34" t="n">
        <x:v>0</x:v>
      </x:c>
      <x:c r="Q5357" s="37" t="n">
        <x:v>46083.890868055554</x:v>
      </x:c>
    </x:row>
    <x:row r="5358">
      <x:c r="A5358" s="22" t="n">
        <x:v>27431</x:v>
      </x:c>
      <x:c r="B5358" s="28" t="n">
        <x:v>813.33</x:v>
      </x:c>
      <x:c r="C5358" s="28" t="n">
        <x:v>894.66</x:v>
      </x:c>
      <x:c r="D5358" s="31" t="n">
        <x:f>IF(OR(ISBLANK(B5358),ISBLANK(C5358),B5358=0),"",(C5358-B5358)/B5358)</x:f>
        <x:v>0.09999631146029278</x:v>
      </x:c>
      <x:c r="E5358" s="22" t="str">
        <x:f>IF(ISBLANK(C5358),"AmountIncludingTax缺失",IF(ABS(B5358-C5358)&lt;0.005,"一致","不一致"))</x:f>
        <x:v>不一致</x:v>
      </x:c>
      <x:c r="F5358" s="19" t="str">
        <x:v>approved</x:v>
      </x:c>
      <x:c r="G5358" s="19" t="str">
        <x:v>Repairer Invoiced Processed</x:v>
      </x:c>
      <x:c r="H5358" s="19" t="str">
        <x:v>In Field</x:v>
      </x:c>
      <x:c r="I5358" s="37" t="n">
        <x:v>46024</x:v>
      </x:c>
      <x:c r="J5358" s="37" t="n">
        <x:v>46024</x:v>
      </x:c>
      <x:c r="K5358" s="19" t="str">
        <x:v>Green RV - Forest Glen</x:v>
      </x:c>
      <x:c r="L5358" s="19" t="str">
        <x:v>Z006</x:v>
      </x:c>
      <x:c r="M5358" s="19" t="str">
        <x:v>In Field Warranty Claims</x:v>
      </x:c>
      <x:c r="N5358" s="37" t="n">
        <x:v>45964</x:v>
      </x:c>
      <x:c r="O5358" s="37"/>
      <x:c r="P5358" s="34" t="n">
        <x:v>894.66</x:v>
      </x:c>
      <x:c r="Q5358" s="37" t="n">
        <x:v>46024.21244212963</x:v>
      </x:c>
    </x:row>
    <x:row r="5359">
      <x:c r="A5359" s="22" t="n">
        <x:v>27419</x:v>
      </x:c>
      <x:c r="B5359" s="28" t="n">
        <x:v>610.75</x:v>
      </x:c>
      <x:c r="C5359" s="28" t="n">
        <x:v>671.83</x:v>
      </x:c>
      <x:c r="D5359" s="31" t="n">
        <x:f>IF(OR(ISBLANK(B5359),ISBLANK(C5359),B5359=0),"",(C5359-B5359)/B5359)</x:f>
        <x:v>0.10000818665575119</x:v>
      </x:c>
      <x:c r="E5359" s="22" t="str">
        <x:f>IF(ISBLANK(C5359),"AmountIncludingTax缺失",IF(ABS(B5359-C5359)&lt;0.005,"一致","不一致"))</x:f>
        <x:v>不一致</x:v>
      </x:c>
      <x:c r="F5359" s="19" t="str">
        <x:v>approved</x:v>
      </x:c>
      <x:c r="G5359" s="19" t="str">
        <x:v>Repair in Progress</x:v>
      </x:c>
      <x:c r="H5359" s="19" t="str">
        <x:v>Pre Delivery</x:v>
      </x:c>
      <x:c r="I5359" s="37" t="n">
        <x:v>46099</x:v>
      </x:c>
      <x:c r="J5359" s="37" t="n">
        <x:v>46072</x:v>
      </x:c>
      <x:c r="K5359" s="19" t="str">
        <x:v>Auswide Caravans - South Nowra</x:v>
      </x:c>
      <x:c r="L5359" s="19" t="str">
        <x:v>Z005</x:v>
      </x:c>
      <x:c r="M5359" s="19" t="str">
        <x:v>Pre Delivery Warranty Claims</x:v>
      </x:c>
      <x:c r="N5359" s="37" t="n">
        <x:v>45964</x:v>
      </x:c>
      <x:c r="O5359" s="37"/>
      <x:c r="P5359" s="34" t="n">
        <x:v>671.83</x:v>
      </x:c>
      <x:c r="Q5359" s="37" t="n">
        <x:v>46098.95990740741</x:v>
      </x:c>
    </x:row>
    <x:row r="5360">
      <x:c r="A5360" s="22" t="n">
        <x:v>27408</x:v>
      </x:c>
      <x:c r="B5360" s="28" t="n">
        <x:v>2430</x:v>
      </x:c>
      <x:c r="C5360" s="28"/>
      <x:c r="D5360" s="31" t="str">
        <x:f>IF(OR(ISBLANK(B5360),ISBLANK(C5360),B5360=0),"",(C5360-B5360)/B5360)</x:f>
      </x:c>
      <x:c r="E5360" s="22" t="str">
        <x:f>IF(ISBLANK(C5360),"AmountIncludingTax缺失",IF(ABS(B5360-C5360)&lt;0.005,"一致","不一致"))</x:f>
        <x:v>AmountIncludingTax缺失</x:v>
      </x:c>
      <x:c r="F5360" s="19" t="str">
        <x:v>approved</x:v>
      </x:c>
      <x:c r="G5360" s="19" t="str">
        <x:v>Repairer Invoiced Processed</x:v>
      </x:c>
      <x:c r="H5360" s="19" t="str">
        <x:v>In Field</x:v>
      </x:c>
      <x:c r="I5360" s="37" t="n">
        <x:v>46094</x:v>
      </x:c>
      <x:c r="J5360" s="37" t="n">
        <x:v>46094</x:v>
      </x:c>
      <x:c r="K5360" s="19" t="str">
        <x:v>Green RV - Forest Glen</x:v>
      </x:c>
      <x:c r="L5360" s="19" t="str">
        <x:v>Z006</x:v>
      </x:c>
      <x:c r="M5360" s="19" t="str">
        <x:v>In Field Warranty Claims</x:v>
      </x:c>
      <x:c r="N5360" s="37" t="n">
        <x:v>45964</x:v>
      </x:c>
      <x:c r="O5360" s="37"/>
      <x:c r="P5360" s="34" t="n">
        <x:v>0</x:v>
      </x:c>
      <x:c r="Q5360" s="37" t="n">
        <x:v>46093.951631944445</x:v>
      </x:c>
    </x:row>
    <x:row r="5361">
      <x:c r="A5361" s="22" t="n">
        <x:v>27397</x:v>
      </x:c>
      <x:c r="B5361" s="28" t="n">
        <x:v>375</x:v>
      </x:c>
      <x:c r="C5361" s="28"/>
      <x:c r="D5361" s="31" t="str">
        <x:f>IF(OR(ISBLANK(B5361),ISBLANK(C5361),B5361=0),"",(C5361-B5361)/B5361)</x:f>
      </x:c>
      <x:c r="E5361" s="22" t="str">
        <x:f>IF(ISBLANK(C5361),"AmountIncludingTax缺失",IF(ABS(B5361-C5361)&lt;0.005,"一致","不一致"))</x:f>
        <x:v>AmountIncludingTax缺失</x:v>
      </x:c>
      <x:c r="F5361" s="19" t="str">
        <x:v>approved</x:v>
      </x:c>
      <x:c r="G5361" s="19" t="str">
        <x:v>Repairer Invoiced Processed</x:v>
      </x:c>
      <x:c r="H5361" s="19" t="str">
        <x:v>In Field</x:v>
      </x:c>
      <x:c r="I5361" s="37" t="n">
        <x:v>46147</x:v>
      </x:c>
      <x:c r="J5361" s="37" t="n">
        <x:v>46147</x:v>
      </x:c>
      <x:c r="K5361" s="19" t="str">
        <x:v>Bendigo Caravan Group - Bendigo</x:v>
      </x:c>
      <x:c r="L5361" s="19" t="str">
        <x:v>Z006</x:v>
      </x:c>
      <x:c r="M5361" s="19" t="str">
        <x:v>In Field Warranty Claims</x:v>
      </x:c>
      <x:c r="N5361" s="37" t="n">
        <x:v>45963</x:v>
      </x:c>
      <x:c r="O5361" s="37"/>
      <x:c r="P5361" s="34" t="n">
        <x:v>0</x:v>
      </x:c>
      <x:c r="Q5361" s="37" t="n">
        <x:v>46147.25158564815</x:v>
      </x:c>
    </x:row>
    <x:row r="5362">
      <x:c r="A5362" s="22" t="n">
        <x:v>27394</x:v>
      </x:c>
      <x:c r="B5362" s="28" t="n">
        <x:v>202.5</x:v>
      </x:c>
      <x:c r="C5362" s="28"/>
      <x:c r="D5362" s="31" t="str">
        <x:f>IF(OR(ISBLANK(B5362),ISBLANK(C5362),B5362=0),"",(C5362-B5362)/B5362)</x:f>
      </x:c>
      <x:c r="E5362" s="22" t="str">
        <x:f>IF(ISBLANK(C5362),"AmountIncludingTax缺失",IF(ABS(B5362-C5362)&lt;0.005,"一致","不一致"))</x:f>
        <x:v>AmountIncludingTax缺失</x:v>
      </x:c>
      <x:c r="F5362" s="19" t="str">
        <x:v>approved</x:v>
      </x:c>
      <x:c r="G5362" s="19" t="str">
        <x:v>Repairer Invoiced Processed</x:v>
      </x:c>
      <x:c r="H5362" s="19" t="str">
        <x:v>In Field</x:v>
      </x:c>
      <x:c r="I5362" s="37" t="n">
        <x:v>46154</x:v>
      </x:c>
      <x:c r="J5362" s="37" t="n">
        <x:v>46154</x:v>
      </x:c>
      <x:c r="K5362" s="19" t="str">
        <x:v>Regent RV - Frankston</x:v>
      </x:c>
      <x:c r="L5362" s="19" t="str">
        <x:v>Z006</x:v>
      </x:c>
      <x:c r="M5362" s="19" t="str">
        <x:v>In Field Warranty Claims</x:v>
      </x:c>
      <x:c r="N5362" s="37" t="n">
        <x:v>45962</x:v>
      </x:c>
      <x:c r="O5362" s="37" t="n">
        <x:v>46099</x:v>
      </x:c>
      <x:c r="P5362" s="34" t="n">
        <x:v>0</x:v>
      </x:c>
      <x:c r="Q5362" s="37" t="n">
        <x:v>46154.1430787037</x:v>
      </x:c>
    </x:row>
    <x:row r="5363">
      <x:c r="A5363" s="22" t="n">
        <x:v>27392</x:v>
      </x:c>
      <x:c r="B5363" s="28" t="n">
        <x:v>767</x:v>
      </x:c>
      <x:c r="C5363" s="28"/>
      <x:c r="D5363" s="31" t="str">
        <x:f>IF(OR(ISBLANK(B5363),ISBLANK(C5363),B5363=0),"",(C5363-B5363)/B5363)</x:f>
      </x:c>
      <x:c r="E5363" s="22" t="str">
        <x:f>IF(ISBLANK(C5363),"AmountIncludingTax缺失",IF(ABS(B5363-C5363)&lt;0.005,"一致","不一致"))</x:f>
        <x:v>AmountIncludingTax缺失</x:v>
      </x:c>
      <x:c r="F5363" s="19" t="str">
        <x:v>approved</x:v>
      </x:c>
      <x:c r="G5363" s="19" t="str">
        <x:v>Repairer Invoiced Processed</x:v>
      </x:c>
      <x:c r="H5363" s="19" t="str">
        <x:v>Pre Delivery</x:v>
      </x:c>
      <x:c r="I5363" s="37" t="n">
        <x:v>46045</x:v>
      </x:c>
      <x:c r="J5363" s="37" t="n">
        <x:v>46045</x:v>
      </x:c>
      <x:c r="K5363" s="19" t="str">
        <x:v>Great Ocean Road RV &amp; Caravans - Warrnambool</x:v>
      </x:c>
      <x:c r="L5363" s="19" t="str">
        <x:v>Z005</x:v>
      </x:c>
      <x:c r="M5363" s="19" t="str">
        <x:v>Pre Delivery Warranty Claims</x:v>
      </x:c>
      <x:c r="N5363" s="37" t="n">
        <x:v>45961</x:v>
      </x:c>
      <x:c r="O5363" s="37"/>
      <x:c r="P5363" s="34" t="n">
        <x:v>0</x:v>
      </x:c>
      <x:c r="Q5363" s="37" t="n">
        <x:v>46045.119363425925</x:v>
      </x:c>
    </x:row>
    <x:row r="5364">
      <x:c r="A5364" s="22" t="n">
        <x:v>27391</x:v>
      </x:c>
      <x:c r="B5364" s="28" t="n">
        <x:v>300</x:v>
      </x:c>
      <x:c r="C5364" s="28"/>
      <x:c r="D5364" s="31" t="str">
        <x:f>IF(OR(ISBLANK(B5364),ISBLANK(C5364),B5364=0),"",(C5364-B5364)/B5364)</x:f>
      </x:c>
      <x:c r="E5364" s="22" t="str">
        <x:f>IF(ISBLANK(C5364),"AmountIncludingTax缺失",IF(ABS(B5364-C5364)&lt;0.005,"一致","不一致"))</x:f>
        <x:v>AmountIncludingTax缺失</x:v>
      </x:c>
      <x:c r="F5364" s="19" t="str">
        <x:v>approved</x:v>
      </x:c>
      <x:c r="G5364" s="19" t="str">
        <x:v>Repair in Progress</x:v>
      </x:c>
      <x:c r="H5364" s="19" t="str">
        <x:v>Pre Delivery</x:v>
      </x:c>
      <x:c r="I5364" s="37" t="n">
        <x:v>46113</x:v>
      </x:c>
      <x:c r="J5364" s="37" t="n">
        <x:v>46044</x:v>
      </x:c>
      <x:c r="K5364" s="19" t="str">
        <x:v>Great Ocean Road RV &amp; Caravans - Warrnambool</x:v>
      </x:c>
      <x:c r="L5364" s="19" t="str">
        <x:v>Z005</x:v>
      </x:c>
      <x:c r="M5364" s="19" t="str">
        <x:v>Pre Delivery Warranty Claims</x:v>
      </x:c>
      <x:c r="N5364" s="37" t="n">
        <x:v>45961</x:v>
      </x:c>
      <x:c r="O5364" s="37"/>
      <x:c r="P5364" s="34" t="n">
        <x:v>0</x:v>
      </x:c>
      <x:c r="Q5364" s="37" t="n">
        <x:v>46112.90828703704</x:v>
      </x:c>
    </x:row>
    <x:row r="5365">
      <x:c r="A5365" s="22" t="n">
        <x:v>27384</x:v>
      </x:c>
      <x:c r="B5365" s="28" t="n">
        <x:v>291.53</x:v>
      </x:c>
      <x:c r="C5365" s="28" t="n">
        <x:v>320.68</x:v>
      </x:c>
      <x:c r="D5365" s="31" t="n">
        <x:f>IF(OR(ISBLANK(B5365),ISBLANK(C5365),B5365=0),"",(C5365-B5365)/B5365)</x:f>
        <x:v>0.0999897094638632</x:v>
      </x:c>
      <x:c r="E5365" s="22" t="str">
        <x:f>IF(ISBLANK(C5365),"AmountIncludingTax缺失",IF(ABS(B5365-C5365)&lt;0.005,"一致","不一致"))</x:f>
        <x:v>不一致</x:v>
      </x:c>
      <x:c r="F5365" s="19" t="str">
        <x:v>approved</x:v>
      </x:c>
      <x:c r="G5365" s="19" t="str">
        <x:v>Repair in Progress</x:v>
      </x:c>
      <x:c r="H5365" s="19" t="str">
        <x:v>In Field</x:v>
      </x:c>
      <x:c r="I5365" s="37" t="n">
        <x:v>46104</x:v>
      </x:c>
      <x:c r="J5365" s="37" t="n">
        <x:v>46104</x:v>
      </x:c>
      <x:c r="K5365" s="19" t="str">
        <x:v>Regent RV - Perth</x:v>
      </x:c>
      <x:c r="L5365" s="19" t="str">
        <x:v>Z006</x:v>
      </x:c>
      <x:c r="M5365" s="19" t="str">
        <x:v>In Field Warranty Claims</x:v>
      </x:c>
      <x:c r="N5365" s="37" t="n">
        <x:v>45962</x:v>
      </x:c>
      <x:c r="O5365" s="37"/>
      <x:c r="P5365" s="34" t="n">
        <x:v>320.68</x:v>
      </x:c>
      <x:c r="Q5365" s="37" t="n">
        <x:v>46104.16297453704</x:v>
      </x:c>
    </x:row>
    <x:row r="5366">
      <x:c r="A5366" s="22" t="n">
        <x:v>27381</x:v>
      </x:c>
      <x:c r="B5366" s="28" t="n">
        <x:v>295.47</x:v>
      </x:c>
      <x:c r="C5366" s="28" t="n">
        <x:v>325.02</x:v>
      </x:c>
      <x:c r="D5366" s="31" t="n">
        <x:f>IF(OR(ISBLANK(B5366),ISBLANK(C5366),B5366=0),"",(C5366-B5366)/B5366)</x:f>
        <x:v>0.10001015331505721</x:v>
      </x:c>
      <x:c r="E5366" s="22" t="str">
        <x:f>IF(ISBLANK(C5366),"AmountIncludingTax缺失",IF(ABS(B5366-C5366)&lt;0.005,"一致","不一致"))</x:f>
        <x:v>不一致</x:v>
      </x:c>
      <x:c r="F5366" s="19" t="str">
        <x:v>approved</x:v>
      </x:c>
      <x:c r="G5366" s="19" t="str">
        <x:v>Repairer Invoiced Processed</x:v>
      </x:c>
      <x:c r="H5366" s="19" t="str">
        <x:v>Pre Delivery</x:v>
      </x:c>
      <x:c r="I5366" s="37" t="n">
        <x:v>46038</x:v>
      </x:c>
      <x:c r="J5366" s="37" t="n">
        <x:v>46038</x:v>
      </x:c>
      <x:c r="K5366" s="19" t="str">
        <x:v>Regent RV Pty Ltd</x:v>
      </x:c>
      <x:c r="L5366" s="19" t="str">
        <x:v>Z005</x:v>
      </x:c>
      <x:c r="M5366" s="19" t="str">
        <x:v>Pre Delivery Warranty Claims</x:v>
      </x:c>
      <x:c r="N5366" s="37" t="n">
        <x:v>45961</x:v>
      </x:c>
      <x:c r="O5366" s="37"/>
      <x:c r="P5366" s="34" t="n">
        <x:v>325.02</x:v>
      </x:c>
      <x:c r="Q5366" s="37" t="n">
        <x:v>46038.021944444445</x:v>
      </x:c>
    </x:row>
    <x:row r="5367">
      <x:c r="A5367" s="22" t="n">
        <x:v>27379</x:v>
      </x:c>
      <x:c r="B5367" s="28" t="n">
        <x:v>100</x:v>
      </x:c>
      <x:c r="C5367" s="28" t="n">
        <x:v>110</x:v>
      </x:c>
      <x:c r="D5367" s="31" t="n">
        <x:f>IF(OR(ISBLANK(B5367),ISBLANK(C5367),B5367=0),"",(C5367-B5367)/B5367)</x:f>
        <x:v>0.1</x:v>
      </x:c>
      <x:c r="E5367" s="22" t="str">
        <x:f>IF(ISBLANK(C5367),"AmountIncludingTax缺失",IF(ABS(B5367-C5367)&lt;0.005,"一致","不一致"))</x:f>
        <x:v>不一致</x:v>
      </x:c>
      <x:c r="F5367" s="19" t="str">
        <x:v>approved</x:v>
      </x:c>
      <x:c r="G5367" s="19" t="str">
        <x:v>Repair in Progress</x:v>
      </x:c>
      <x:c r="H5367" s="19" t="str">
        <x:v>Pre Delivery</x:v>
      </x:c>
      <x:c r="I5367" s="37" t="n">
        <x:v>46030</x:v>
      </x:c>
      <x:c r="J5367" s="37" t="n">
        <x:v>46030</x:v>
      </x:c>
      <x:c r="K5367" s="19" t="str">
        <x:v>Regent RV - Perth</x:v>
      </x:c>
      <x:c r="L5367" s="19" t="str">
        <x:v>Z005</x:v>
      </x:c>
      <x:c r="M5367" s="19" t="str">
        <x:v>Pre Delivery Warranty Claims</x:v>
      </x:c>
      <x:c r="N5367" s="37" t="n">
        <x:v>45961</x:v>
      </x:c>
      <x:c r="O5367" s="37"/>
      <x:c r="P5367" s="34" t="n">
        <x:v>110</x:v>
      </x:c>
      <x:c r="Q5367" s="37" t="n">
        <x:v>46030.22623842592</x:v>
      </x:c>
    </x:row>
    <x:row r="5368">
      <x:c r="A5368" s="22" t="n">
        <x:v>27377</x:v>
      </x:c>
      <x:c r="B5368" s="28" t="n">
        <x:v>1352.7</x:v>
      </x:c>
      <x:c r="C5368" s="28"/>
      <x:c r="D5368" s="31" t="str">
        <x:f>IF(OR(ISBLANK(B5368),ISBLANK(C5368),B5368=0),"",(C5368-B5368)/B5368)</x:f>
      </x:c>
      <x:c r="E5368" s="22" t="str">
        <x:f>IF(ISBLANK(C5368),"AmountIncludingTax缺失",IF(ABS(B5368-C5368)&lt;0.005,"一致","不一致"))</x:f>
        <x:v>AmountIncludingTax缺失</x:v>
      </x:c>
      <x:c r="F5368" s="19" t="str">
        <x:v>approved</x:v>
      </x:c>
      <x:c r="G5368" s="19" t="str">
        <x:v>Repairer Invoiced Processed</x:v>
      </x:c>
      <x:c r="H5368" s="19" t="str">
        <x:v>In Field</x:v>
      </x:c>
      <x:c r="I5368" s="37" t="n">
        <x:v>46031</x:v>
      </x:c>
      <x:c r="J5368" s="37" t="n">
        <x:v>46030</x:v>
      </x:c>
      <x:c r="K5368" s="19" t="str">
        <x:v>Regent RV Pty Ltd</x:v>
      </x:c>
      <x:c r="L5368" s="19" t="str">
        <x:v>Z006</x:v>
      </x:c>
      <x:c r="M5368" s="19" t="str">
        <x:v>In Field Warranty Claims</x:v>
      </x:c>
      <x:c r="N5368" s="37" t="n">
        <x:v>45961</x:v>
      </x:c>
      <x:c r="O5368" s="37"/>
      <x:c r="P5368" s="34" t="n">
        <x:v>0</x:v>
      </x:c>
      <x:c r="Q5368" s="37" t="n">
        <x:v>46031.02357638889</x:v>
      </x:c>
    </x:row>
    <x:row r="5369">
      <x:c r="A5369" s="22" t="n">
        <x:v>27374</x:v>
      </x:c>
      <x:c r="B5369" s="28" t="n">
        <x:v>168.75</x:v>
      </x:c>
      <x:c r="C5369" s="28"/>
      <x:c r="D5369" s="31" t="str">
        <x:f>IF(OR(ISBLANK(B5369),ISBLANK(C5369),B5369=0),"",(C5369-B5369)/B5369)</x:f>
      </x:c>
      <x:c r="E5369" s="22" t="str">
        <x:f>IF(ISBLANK(C5369),"AmountIncludingTax缺失",IF(ABS(B5369-C5369)&lt;0.005,"一致","不一致"))</x:f>
        <x:v>AmountIncludingTax缺失</x:v>
      </x:c>
      <x:c r="F5369" s="19" t="str">
        <x:v>approved</x:v>
      </x:c>
      <x:c r="G5369" s="19" t="str">
        <x:v>Repair in Progress</x:v>
      </x:c>
      <x:c r="H5369" s="19" t="str">
        <x:v>In Field</x:v>
      </x:c>
      <x:c r="I5369" s="37" t="n">
        <x:v>46199</x:v>
      </x:c>
      <x:c r="J5369" s="37" t="n">
        <x:v>46199</x:v>
      </x:c>
      <x:c r="K5369" s="19" t="str">
        <x:v>QCCC - Gympie</x:v>
      </x:c>
      <x:c r="L5369" s="19" t="str">
        <x:v>Z006</x:v>
      </x:c>
      <x:c r="M5369" s="19" t="str">
        <x:v>In Field Warranty Claims</x:v>
      </x:c>
      <x:c r="N5369" s="37" t="n">
        <x:v>45961</x:v>
      </x:c>
      <x:c r="O5369" s="37" t="n">
        <x:v>46156</x:v>
      </x:c>
      <x:c r="P5369" s="34" t="n">
        <x:v>0</x:v>
      </x:c>
      <x:c r="Q5369" s="37" t="n">
        <x:v>46199.03111111111</x:v>
      </x:c>
    </x:row>
    <x:row r="5370">
      <x:c r="A5370" s="22" t="n">
        <x:v>27372</x:v>
      </x:c>
      <x:c r="B5370" s="28" t="n">
        <x:v>138.2</x:v>
      </x:c>
      <x:c r="C5370" s="28"/>
      <x:c r="D5370" s="31" t="str">
        <x:f>IF(OR(ISBLANK(B5370),ISBLANK(C5370),B5370=0),"",(C5370-B5370)/B5370)</x:f>
      </x:c>
      <x:c r="E5370" s="22" t="str">
        <x:f>IF(ISBLANK(C5370),"AmountIncludingTax缺失",IF(ABS(B5370-C5370)&lt;0.005,"一致","不一致"))</x:f>
        <x:v>AmountIncludingTax缺失</x:v>
      </x:c>
      <x:c r="F5370" s="19" t="str">
        <x:v>approved</x:v>
      </x:c>
      <x:c r="G5370" s="19" t="str">
        <x:v>Repairer Invoiced Processed</x:v>
      </x:c>
      <x:c r="H5370" s="19" t="str">
        <x:v>In Field</x:v>
      </x:c>
      <x:c r="I5370" s="37" t="n">
        <x:v>46073</x:v>
      </x:c>
      <x:c r="J5370" s="37" t="n">
        <x:v>46057</x:v>
      </x:c>
      <x:c r="K5370" s="19" t="str">
        <x:v>Auswide Caravans - South Nowra</x:v>
      </x:c>
      <x:c r="L5370" s="19" t="str">
        <x:v>Z006</x:v>
      </x:c>
      <x:c r="M5370" s="19" t="str">
        <x:v>In Field Warranty Claims</x:v>
      </x:c>
      <x:c r="N5370" s="37" t="n">
        <x:v>45961</x:v>
      </x:c>
      <x:c r="O5370" s="37"/>
      <x:c r="P5370" s="34" t="n">
        <x:v>0</x:v>
      </x:c>
      <x:c r="Q5370" s="37" t="n">
        <x:v>46073.01238425926</x:v>
      </x:c>
    </x:row>
    <x:row r="5371">
      <x:c r="A5371" s="22" t="n">
        <x:v>27368</x:v>
      </x:c>
      <x:c r="B5371" s="28" t="n">
        <x:v>127.14</x:v>
      </x:c>
      <x:c r="C5371" s="28" t="n">
        <x:v>139.85</x:v>
      </x:c>
      <x:c r="D5371" s="31" t="n">
        <x:f>IF(OR(ISBLANK(B5371),ISBLANK(C5371),B5371=0),"",(C5371-B5371)/B5371)</x:f>
        <x:v>0.09996853861884532</x:v>
      </x:c>
      <x:c r="E5371" s="22" t="str">
        <x:f>IF(ISBLANK(C5371),"AmountIncludingTax缺失",IF(ABS(B5371-C5371)&lt;0.005,"一致","不一致"))</x:f>
        <x:v>不一致</x:v>
      </x:c>
      <x:c r="F5371" s="19" t="str">
        <x:v>approved</x:v>
      </x:c>
      <x:c r="G5371" s="19" t="str">
        <x:v>Repairer Invoiced Processed</x:v>
      </x:c>
      <x:c r="H5371" s="19" t="str">
        <x:v>In Field</x:v>
      </x:c>
      <x:c r="I5371" s="37" t="n">
        <x:v>46031</x:v>
      </x:c>
      <x:c r="J5371" s="37" t="n">
        <x:v>46031</x:v>
      </x:c>
      <x:c r="K5371" s="19" t="str">
        <x:v>Auswide Caravans - South Nowra</x:v>
      </x:c>
      <x:c r="L5371" s="19" t="str">
        <x:v>Z006</x:v>
      </x:c>
      <x:c r="M5371" s="19" t="str">
        <x:v>In Field Warranty Claims</x:v>
      </x:c>
      <x:c r="N5371" s="37" t="n">
        <x:v>45961</x:v>
      </x:c>
      <x:c r="O5371" s="37"/>
      <x:c r="P5371" s="34" t="n">
        <x:v>139.85</x:v>
      </x:c>
      <x:c r="Q5371" s="37" t="n">
        <x:v>46030.90027777778</x:v>
      </x:c>
    </x:row>
    <x:row r="5372">
      <x:c r="A5372" s="22" t="n">
        <x:v>27365</x:v>
      </x:c>
      <x:c r="B5372" s="28" t="n">
        <x:v>375</x:v>
      </x:c>
      <x:c r="C5372" s="28" t="n">
        <x:v>412.5</x:v>
      </x:c>
      <x:c r="D5372" s="31" t="n">
        <x:f>IF(OR(ISBLANK(B5372),ISBLANK(C5372),B5372=0),"",(C5372-B5372)/B5372)</x:f>
        <x:v>0.1</x:v>
      </x:c>
      <x:c r="E5372" s="22" t="str">
        <x:f>IF(ISBLANK(C5372),"AmountIncludingTax缺失",IF(ABS(B5372-C5372)&lt;0.005,"一致","不一致"))</x:f>
        <x:v>不一致</x:v>
      </x:c>
      <x:c r="F5372" s="19" t="str">
        <x:v>approved</x:v>
      </x:c>
      <x:c r="G5372" s="19" t="str">
        <x:v>Repair in Progress</x:v>
      </x:c>
      <x:c r="H5372" s="19" t="str">
        <x:v>Pre Delivery</x:v>
      </x:c>
      <x:c r="I5372" s="37" t="n">
        <x:v>46044</x:v>
      </x:c>
      <x:c r="J5372" s="37" t="n">
        <x:v>46044</x:v>
      </x:c>
      <x:c r="K5372" s="19" t="str">
        <x:v>Regent RV - Frankston</x:v>
      </x:c>
      <x:c r="L5372" s="19" t="str">
        <x:v>Z005</x:v>
      </x:c>
      <x:c r="M5372" s="19" t="str">
        <x:v>Pre Delivery Warranty Claims</x:v>
      </x:c>
      <x:c r="N5372" s="37" t="n">
        <x:v>45961</x:v>
      </x:c>
      <x:c r="O5372" s="37"/>
      <x:c r="P5372" s="34" t="n">
        <x:v>412.5</x:v>
      </x:c>
      <x:c r="Q5372" s="37" t="n">
        <x:v>46044.52153935185</x:v>
      </x:c>
    </x:row>
    <x:row r="5373">
      <x:c r="A5373" s="22" t="n">
        <x:v>27364</x:v>
      </x:c>
      <x:c r="B5373" s="28" t="n">
        <x:v>600</x:v>
      </x:c>
      <x:c r="C5373" s="28"/>
      <x:c r="D5373" s="31" t="str">
        <x:f>IF(OR(ISBLANK(B5373),ISBLANK(C5373),B5373=0),"",(C5373-B5373)/B5373)</x:f>
      </x:c>
      <x:c r="E5373" s="22" t="str">
        <x:f>IF(ISBLANK(C5373),"AmountIncludingTax缺失",IF(ABS(B5373-C5373)&lt;0.005,"一致","不一致"))</x:f>
        <x:v>AmountIncludingTax缺失</x:v>
      </x:c>
      <x:c r="F5373" s="19" t="str">
        <x:v>approved</x:v>
      </x:c>
      <x:c r="G5373" s="19" t="str">
        <x:v>Repair in Progress</x:v>
      </x:c>
      <x:c r="H5373" s="19" t="str">
        <x:v>In Field</x:v>
      </x:c>
      <x:c r="I5373" s="37" t="n">
        <x:v>46093</x:v>
      </x:c>
      <x:c r="J5373" s="37" t="n">
        <x:v>46052</x:v>
      </x:c>
      <x:c r="K5373" s="19" t="str">
        <x:v>Regent RV - Perth</x:v>
      </x:c>
      <x:c r="L5373" s="19" t="str">
        <x:v>Z006</x:v>
      </x:c>
      <x:c r="M5373" s="19" t="str">
        <x:v>In Field Warranty Claims</x:v>
      </x:c>
      <x:c r="N5373" s="37" t="n">
        <x:v>45961</x:v>
      </x:c>
      <x:c r="O5373" s="37"/>
      <x:c r="P5373" s="34" t="n">
        <x:v>0</x:v>
      </x:c>
      <x:c r="Q5373" s="37" t="n">
        <x:v>46092.913981481484</x:v>
      </x:c>
    </x:row>
    <x:row r="5374">
      <x:c r="A5374" s="22" t="n">
        <x:v>27349</x:v>
      </x:c>
      <x:c r="B5374" s="28" t="n">
        <x:v>500.41</x:v>
      </x:c>
      <x:c r="C5374" s="28"/>
      <x:c r="D5374" s="31" t="str">
        <x:f>IF(OR(ISBLANK(B5374),ISBLANK(C5374),B5374=0),"",(C5374-B5374)/B5374)</x:f>
      </x:c>
      <x:c r="E5374" s="22" t="str">
        <x:f>IF(ISBLANK(C5374),"AmountIncludingTax缺失",IF(ABS(B5374-C5374)&lt;0.005,"一致","不一致"))</x:f>
        <x:v>AmountIncludingTax缺失</x:v>
      </x:c>
      <x:c r="F5374" s="19" t="str">
        <x:v>approved</x:v>
      </x:c>
      <x:c r="G5374" s="19" t="str">
        <x:v>Repairer Invoiced Processed</x:v>
      </x:c>
      <x:c r="H5374" s="19" t="str">
        <x:v>In Field</x:v>
      </x:c>
      <x:c r="I5374" s="37" t="n">
        <x:v>46035</x:v>
      </x:c>
      <x:c r="J5374" s="37" t="n">
        <x:v>46035</x:v>
      </x:c>
      <x:c r="K5374" s="19" t="str">
        <x:v>Green RV - Forest Glen</x:v>
      </x:c>
      <x:c r="L5374" s="19" t="str">
        <x:v>Z006</x:v>
      </x:c>
      <x:c r="M5374" s="19" t="str">
        <x:v>In Field Warranty Claims</x:v>
      </x:c>
      <x:c r="N5374" s="37" t="n">
        <x:v>45961</x:v>
      </x:c>
      <x:c r="O5374" s="37"/>
      <x:c r="P5374" s="34" t="n">
        <x:v>0</x:v>
      </x:c>
      <x:c r="Q5374" s="37" t="n">
        <x:v>46035.07429398148</x:v>
      </x:c>
    </x:row>
    <x:row r="5375">
      <x:c r="A5375" s="22" t="n">
        <x:v>27335</x:v>
      </x:c>
      <x:c r="B5375" s="28" t="n">
        <x:v>2873.69</x:v>
      </x:c>
      <x:c r="C5375" s="28"/>
      <x:c r="D5375" s="31" t="str">
        <x:f>IF(OR(ISBLANK(B5375),ISBLANK(C5375),B5375=0),"",(C5375-B5375)/B5375)</x:f>
      </x:c>
      <x:c r="E5375" s="22" t="str">
        <x:f>IF(ISBLANK(C5375),"AmountIncludingTax缺失",IF(ABS(B5375-C5375)&lt;0.005,"一致","不一致"))</x:f>
        <x:v>AmountIncludingTax缺失</x:v>
      </x:c>
      <x:c r="F5375" s="19" t="str">
        <x:v>approved</x:v>
      </x:c>
      <x:c r="G5375" s="19" t="str">
        <x:v>Repairer Invoiced Processed</x:v>
      </x:c>
      <x:c r="H5375" s="19" t="str">
        <x:v>In Field</x:v>
      </x:c>
      <x:c r="I5375" s="37" t="n">
        <x:v>46154</x:v>
      </x:c>
      <x:c r="J5375" s="37" t="n">
        <x:v>46154</x:v>
      </x:c>
      <x:c r="K5375" s="19" t="str">
        <x:v>Vanari Caravans - Marden Point</x:v>
      </x:c>
      <x:c r="L5375" s="19" t="str">
        <x:v>Z006</x:v>
      </x:c>
      <x:c r="M5375" s="19" t="str">
        <x:v>In Field Warranty Claims</x:v>
      </x:c>
      <x:c r="N5375" s="37" t="n">
        <x:v>45960</x:v>
      </x:c>
      <x:c r="O5375" s="37"/>
      <x:c r="P5375" s="34" t="n">
        <x:v>2601.84</x:v>
      </x:c>
      <x:c r="Q5375" s="37" t="n">
        <x:v>46154.243113425924</x:v>
      </x:c>
    </x:row>
    <x:row r="5376">
      <x:c r="A5376" s="22" t="n">
        <x:v>27329</x:v>
      </x:c>
      <x:c r="B5376" s="28" t="n">
        <x:v>218.18</x:v>
      </x:c>
      <x:c r="C5376" s="28" t="n">
        <x:v>240</x:v>
      </x:c>
      <x:c r="D5376" s="31" t="n">
        <x:f>IF(OR(ISBLANK(B5376),ISBLANK(C5376),B5376=0),"",(C5376-B5376)/B5376)</x:f>
        <x:v>0.10000916674305615</x:v>
      </x:c>
      <x:c r="E5376" s="22" t="str">
        <x:f>IF(ISBLANK(C5376),"AmountIncludingTax缺失",IF(ABS(B5376-C5376)&lt;0.005,"一致","不一致"))</x:f>
        <x:v>不一致</x:v>
      </x:c>
      <x:c r="F5376" s="19" t="str">
        <x:v>approved</x:v>
      </x:c>
      <x:c r="G5376" s="19" t="str">
        <x:v>Repairer Invoiced Processed</x:v>
      </x:c>
      <x:c r="H5376" s="19" t="str">
        <x:v>In Field</x:v>
      </x:c>
      <x:c r="I5376" s="37" t="n">
        <x:v>46049</x:v>
      </x:c>
      <x:c r="J5376" s="37" t="n">
        <x:v>46049</x:v>
      </x:c>
      <x:c r="K5376" s="19" t="str">
        <x:v>Regent RV Pty Ltd</x:v>
      </x:c>
      <x:c r="L5376" s="19" t="str">
        <x:v>Z006</x:v>
      </x:c>
      <x:c r="M5376" s="19" t="str">
        <x:v>In Field Warranty Claims</x:v>
      </x:c>
      <x:c r="N5376" s="37" t="n">
        <x:v>45960</x:v>
      </x:c>
      <x:c r="O5376" s="37"/>
      <x:c r="P5376" s="34" t="n">
        <x:v>240</x:v>
      </x:c>
      <x:c r="Q5376" s="37" t="n">
        <x:v>46049.11215277778</x:v>
      </x:c>
    </x:row>
    <x:row r="5377">
      <x:c r="A5377" s="22" t="n">
        <x:v>27328</x:v>
      </x:c>
      <x:c r="B5377" s="28" t="n">
        <x:v>912.5</x:v>
      </x:c>
      <x:c r="C5377" s="28"/>
      <x:c r="D5377" s="31" t="str">
        <x:f>IF(OR(ISBLANK(B5377),ISBLANK(C5377),B5377=0),"",(C5377-B5377)/B5377)</x:f>
      </x:c>
      <x:c r="E5377" s="22" t="str">
        <x:f>IF(ISBLANK(C5377),"AmountIncludingTax缺失",IF(ABS(B5377-C5377)&lt;0.005,"一致","不一致"))</x:f>
        <x:v>AmountIncludingTax缺失</x:v>
      </x:c>
      <x:c r="F5377" s="19" t="str">
        <x:v>approved</x:v>
      </x:c>
      <x:c r="G5377" s="19" t="str">
        <x:v>Repairer Invoiced Processed</x:v>
      </x:c>
      <x:c r="H5377" s="19" t="str">
        <x:v>Pre Delivery</x:v>
      </x:c>
      <x:c r="I5377" s="37" t="n">
        <x:v>46107</x:v>
      </x:c>
      <x:c r="J5377" s="37" t="n">
        <x:v>46107</x:v>
      </x:c>
      <x:c r="K5377" s="19" t="str">
        <x:v>Dario Caravans -St.Marys</x:v>
      </x:c>
      <x:c r="L5377" s="19" t="str">
        <x:v>Z005</x:v>
      </x:c>
      <x:c r="M5377" s="19" t="str">
        <x:v>Pre Delivery Warranty Claims</x:v>
      </x:c>
      <x:c r="N5377" s="37" t="n">
        <x:v>45960</x:v>
      </x:c>
      <x:c r="O5377" s="37" t="n">
        <x:v>46101</x:v>
      </x:c>
      <x:c r="P5377" s="34" t="n">
        <x:v>0</x:v>
      </x:c>
      <x:c r="Q5377" s="37" t="n">
        <x:v>46106.955613425926</x:v>
      </x:c>
    </x:row>
    <x:row r="5378">
      <x:c r="A5378" s="22" t="n">
        <x:v>27323</x:v>
      </x:c>
      <x:c r="B5378" s="28" t="n">
        <x:v>346.36</x:v>
      </x:c>
      <x:c r="C5378" s="28"/>
      <x:c r="D5378" s="31" t="str">
        <x:f>IF(OR(ISBLANK(B5378),ISBLANK(C5378),B5378=0),"",(C5378-B5378)/B5378)</x:f>
      </x:c>
      <x:c r="E5378" s="22" t="str">
        <x:f>IF(ISBLANK(C5378),"AmountIncludingTax缺失",IF(ABS(B5378-C5378)&lt;0.005,"一致","不一致"))</x:f>
        <x:v>AmountIncludingTax缺失</x:v>
      </x:c>
      <x:c r="F5378" s="19" t="str">
        <x:v>approved</x:v>
      </x:c>
      <x:c r="G5378" s="19" t="str">
        <x:v>Repairer Invoiced Processed</x:v>
      </x:c>
      <x:c r="H5378" s="19" t="str">
        <x:v>In Field</x:v>
      </x:c>
      <x:c r="I5378" s="37" t="n">
        <x:v>46140</x:v>
      </x:c>
      <x:c r="J5378" s="37" t="n">
        <x:v>46140</x:v>
      </x:c>
      <x:c r="K5378" s="19" t="str">
        <x:v>Dario Caravans -St.Marys</x:v>
      </x:c>
      <x:c r="L5378" s="19" t="str">
        <x:v>Z006</x:v>
      </x:c>
      <x:c r="M5378" s="19" t="str">
        <x:v>In Field Warranty Claims</x:v>
      </x:c>
      <x:c r="N5378" s="37" t="n">
        <x:v>45960</x:v>
      </x:c>
      <x:c r="O5378" s="37"/>
      <x:c r="P5378" s="34" t="n">
        <x:v>0</x:v>
      </x:c>
      <x:c r="Q5378" s="37" t="n">
        <x:v>46140.17053240741</x:v>
      </x:c>
    </x:row>
    <x:row r="5379">
      <x:c r="A5379" s="22" t="n">
        <x:v>27322</x:v>
      </x:c>
      <x:c r="B5379" s="28" t="n">
        <x:v>1041.05</x:v>
      </x:c>
      <x:c r="C5379" s="28"/>
      <x:c r="D5379" s="31" t="str">
        <x:f>IF(OR(ISBLANK(B5379),ISBLANK(C5379),B5379=0),"",(C5379-B5379)/B5379)</x:f>
      </x:c>
      <x:c r="E5379" s="22" t="str">
        <x:f>IF(ISBLANK(C5379),"AmountIncludingTax缺失",IF(ABS(B5379-C5379)&lt;0.005,"一致","不一致"))</x:f>
        <x:v>AmountIncludingTax缺失</x:v>
      </x:c>
      <x:c r="F5379" s="19" t="str">
        <x:v>approved</x:v>
      </x:c>
      <x:c r="G5379" s="19" t="str">
        <x:v>Repair in Progress</x:v>
      </x:c>
      <x:c r="H5379" s="19" t="str">
        <x:v>In Field</x:v>
      </x:c>
      <x:c r="I5379" s="37" t="n">
        <x:v>46097</x:v>
      </x:c>
      <x:c r="J5379" s="37" t="n">
        <x:v>46097</x:v>
      </x:c>
      <x:c r="K5379" s="19" t="str">
        <x:v>The Caravan Hub - Townsville</x:v>
      </x:c>
      <x:c r="L5379" s="19" t="str">
        <x:v>Z006</x:v>
      </x:c>
      <x:c r="M5379" s="19" t="str">
        <x:v>In Field Warranty Claims</x:v>
      </x:c>
      <x:c r="N5379" s="37" t="n">
        <x:v>45960</x:v>
      </x:c>
      <x:c r="O5379" s="37"/>
      <x:c r="P5379" s="34" t="n">
        <x:v>0</x:v>
      </x:c>
      <x:c r="Q5379" s="37" t="n">
        <x:v>46097.125752314816</x:v>
      </x:c>
    </x:row>
    <x:row r="5380">
      <x:c r="A5380" s="22" t="n">
        <x:v>27321</x:v>
      </x:c>
      <x:c r="B5380" s="28" t="n">
        <x:v>1968.19</x:v>
      </x:c>
      <x:c r="C5380" s="28"/>
      <x:c r="D5380" s="31" t="str">
        <x:f>IF(OR(ISBLANK(B5380),ISBLANK(C5380),B5380=0),"",(C5380-B5380)/B5380)</x:f>
      </x:c>
      <x:c r="E5380" s="22" t="str">
        <x:f>IF(ISBLANK(C5380),"AmountIncludingTax缺失",IF(ABS(B5380-C5380)&lt;0.005,"一致","不一致"))</x:f>
        <x:v>AmountIncludingTax缺失</x:v>
      </x:c>
      <x:c r="F5380" s="19" t="str">
        <x:v>approved</x:v>
      </x:c>
      <x:c r="G5380" s="19" t="str">
        <x:v>Repairer Invoiced Processed</x:v>
      </x:c>
      <x:c r="H5380" s="19" t="str">
        <x:v>In Field</x:v>
      </x:c>
      <x:c r="I5380" s="37" t="n">
        <x:v>46035</x:v>
      </x:c>
      <x:c r="J5380" s="37" t="n">
        <x:v>46035</x:v>
      </x:c>
      <x:c r="K5380" s="19" t="str">
        <x:v>Green RV - Forest Glen</x:v>
      </x:c>
      <x:c r="L5380" s="19" t="str">
        <x:v>Z006</x:v>
      </x:c>
      <x:c r="M5380" s="19" t="str">
        <x:v>In Field Warranty Claims</x:v>
      </x:c>
      <x:c r="N5380" s="37" t="n">
        <x:v>45960</x:v>
      </x:c>
      <x:c r="O5380" s="37"/>
      <x:c r="P5380" s="34" t="n">
        <x:v>2165.01</x:v>
      </x:c>
      <x:c r="Q5380" s="37" t="n">
        <x:v>46035.225636574076</x:v>
      </x:c>
    </x:row>
    <x:row r="5381">
      <x:c r="A5381" s="22" t="n">
        <x:v>27313</x:v>
      </x:c>
      <x:c r="B5381" s="28" t="n">
        <x:v>826.2</x:v>
      </x:c>
      <x:c r="C5381" s="28"/>
      <x:c r="D5381" s="31" t="str">
        <x:f>IF(OR(ISBLANK(B5381),ISBLANK(C5381),B5381=0),"",(C5381-B5381)/B5381)</x:f>
      </x:c>
      <x:c r="E5381" s="22" t="str">
        <x:f>IF(ISBLANK(C5381),"AmountIncludingTax缺失",IF(ABS(B5381-C5381)&lt;0.005,"一致","不一致"))</x:f>
        <x:v>AmountIncludingTax缺失</x:v>
      </x:c>
      <x:c r="F5381" s="19" t="str">
        <x:v>approved</x:v>
      </x:c>
      <x:c r="G5381" s="19" t="str">
        <x:v>Repairer Invoiced Processed</x:v>
      </x:c>
      <x:c r="H5381" s="19" t="str">
        <x:v>In Field</x:v>
      </x:c>
      <x:c r="I5381" s="37" t="n">
        <x:v>46069</x:v>
      </x:c>
      <x:c r="J5381" s="37" t="n">
        <x:v>46069</x:v>
      </x:c>
      <x:c r="K5381" s="19" t="str">
        <x:v>Green RV - Forest Glen</x:v>
      </x:c>
      <x:c r="L5381" s="19" t="str">
        <x:v>Z006</x:v>
      </x:c>
      <x:c r="M5381" s="19" t="str">
        <x:v>In Field Warranty Claims</x:v>
      </x:c>
      <x:c r="N5381" s="37" t="n">
        <x:v>45960</x:v>
      </x:c>
      <x:c r="O5381" s="37"/>
      <x:c r="P5381" s="34" t="n">
        <x:v>0</x:v>
      </x:c>
      <x:c r="Q5381" s="37" t="n">
        <x:v>46068.973125</x:v>
      </x:c>
    </x:row>
    <x:row r="5382">
      <x:c r="A5382" s="22" t="n">
        <x:v>27309</x:v>
      </x:c>
      <x:c r="B5382" s="28" t="n">
        <x:v>460.8</x:v>
      </x:c>
      <x:c r="C5382" s="28" t="n">
        <x:v>506.88</x:v>
      </x:c>
      <x:c r="D5382" s="31" t="n">
        <x:f>IF(OR(ISBLANK(B5382),ISBLANK(C5382),B5382=0),"",(C5382-B5382)/B5382)</x:f>
        <x:v>0.09999999999999996</x:v>
      </x:c>
      <x:c r="E5382" s="22" t="str">
        <x:f>IF(ISBLANK(C5382),"AmountIncludingTax缺失",IF(ABS(B5382-C5382)&lt;0.005,"一致","不一致"))</x:f>
        <x:v>不一致</x:v>
      </x:c>
      <x:c r="F5382" s="19" t="str">
        <x:v>approved</x:v>
      </x:c>
      <x:c r="G5382" s="19" t="str">
        <x:v>Repairer Invoiced Processed</x:v>
      </x:c>
      <x:c r="H5382" s="19" t="str">
        <x:v>In Field</x:v>
      </x:c>
      <x:c r="I5382" s="37" t="n">
        <x:v>46024</x:v>
      </x:c>
      <x:c r="J5382" s="37" t="n">
        <x:v>46024</x:v>
      </x:c>
      <x:c r="K5382" s="19" t="str">
        <x:v>Regent RV - Toowoomba</x:v>
      </x:c>
      <x:c r="L5382" s="19" t="str">
        <x:v>Z006</x:v>
      </x:c>
      <x:c r="M5382" s="19" t="str">
        <x:v>In Field Warranty Claims</x:v>
      </x:c>
      <x:c r="N5382" s="37" t="n">
        <x:v>45960</x:v>
      </x:c>
      <x:c r="O5382" s="37" t="n">
        <x:v>46134</x:v>
      </x:c>
      <x:c r="P5382" s="34" t="n">
        <x:v>506.88</x:v>
      </x:c>
      <x:c r="Q5382" s="37" t="n">
        <x:v>46024.25983796296</x:v>
      </x:c>
    </x:row>
    <x:row r="5383">
      <x:c r="A5383" s="22" t="n">
        <x:v>27308</x:v>
      </x:c>
      <x:c r="B5383" s="28" t="n">
        <x:v>917.25</x:v>
      </x:c>
      <x:c r="C5383" s="28"/>
      <x:c r="D5383" s="31" t="str">
        <x:f>IF(OR(ISBLANK(B5383),ISBLANK(C5383),B5383=0),"",(C5383-B5383)/B5383)</x:f>
      </x:c>
      <x:c r="E5383" s="22" t="str">
        <x:f>IF(ISBLANK(C5383),"AmountIncludingTax缺失",IF(ABS(B5383-C5383)&lt;0.005,"一致","不一致"))</x:f>
        <x:v>AmountIncludingTax缺失</x:v>
      </x:c>
      <x:c r="F5383" s="19" t="str">
        <x:v>approved</x:v>
      </x:c>
      <x:c r="G5383" s="19" t="str">
        <x:v>Repairer Invoiced Processed</x:v>
      </x:c>
      <x:c r="H5383" s="19" t="str">
        <x:v>In Field</x:v>
      </x:c>
      <x:c r="I5383" s="37" t="n">
        <x:v>46057</x:v>
      </x:c>
      <x:c r="J5383" s="37" t="n">
        <x:v>46057</x:v>
      </x:c>
      <x:c r="K5383" s="19" t="str">
        <x:v>Green RV - Forest Glen</x:v>
      </x:c>
      <x:c r="L5383" s="19" t="str">
        <x:v>Z006</x:v>
      </x:c>
      <x:c r="M5383" s="19" t="str">
        <x:v>In Field Warranty Claims</x:v>
      </x:c>
      <x:c r="N5383" s="37" t="n">
        <x:v>45960</x:v>
      </x:c>
      <x:c r="O5383" s="37"/>
      <x:c r="P5383" s="34" t="n">
        <x:v>1008.98</x:v>
      </x:c>
      <x:c r="Q5383" s="37" t="n">
        <x:v>46057.102372685185</x:v>
      </x:c>
    </x:row>
    <x:row r="5384">
      <x:c r="A5384" s="22" t="n">
        <x:v>27306</x:v>
      </x:c>
      <x:c r="B5384" s="28" t="n">
        <x:v>209.92</x:v>
      </x:c>
      <x:c r="C5384" s="28" t="n">
        <x:v>230.91</x:v>
      </x:c>
      <x:c r="D5384" s="31" t="n">
        <x:f>IF(OR(ISBLANK(B5384),ISBLANK(C5384),B5384=0),"",(C5384-B5384)/B5384)</x:f>
        <x:v>0.09999047256097567</x:v>
      </x:c>
      <x:c r="E5384" s="22" t="str">
        <x:f>IF(ISBLANK(C5384),"AmountIncludingTax缺失",IF(ABS(B5384-C5384)&lt;0.005,"一致","不一致"))</x:f>
        <x:v>不一致</x:v>
      </x:c>
      <x:c r="F5384" s="19" t="str">
        <x:v>approved</x:v>
      </x:c>
      <x:c r="G5384" s="19" t="str">
        <x:v>Repairer Invoiced Processed</x:v>
      </x:c>
      <x:c r="H5384" s="19" t="str">
        <x:v>In Field</x:v>
      </x:c>
      <x:c r="I5384" s="37" t="n">
        <x:v>46028</x:v>
      </x:c>
      <x:c r="J5384" s="37" t="n">
        <x:v>46027</x:v>
      </x:c>
      <x:c r="K5384" s="19" t="str">
        <x:v>Green RV - Slacks Creek</x:v>
      </x:c>
      <x:c r="L5384" s="19" t="str">
        <x:v>Z006</x:v>
      </x:c>
      <x:c r="M5384" s="19" t="str">
        <x:v>In Field Warranty Claims</x:v>
      </x:c>
      <x:c r="N5384" s="37" t="n">
        <x:v>45960</x:v>
      </x:c>
      <x:c r="O5384" s="37"/>
      <x:c r="P5384" s="34" t="n">
        <x:v>230.91</x:v>
      </x:c>
      <x:c r="Q5384" s="37" t="n">
        <x:v>46027.55700231482</x:v>
      </x:c>
    </x:row>
    <x:row r="5385">
      <x:c r="A5385" s="22" t="n">
        <x:v>27305</x:v>
      </x:c>
      <x:c r="B5385" s="28" t="n">
        <x:v>717.5</x:v>
      </x:c>
      <x:c r="C5385" s="28"/>
      <x:c r="D5385" s="31" t="str">
        <x:f>IF(OR(ISBLANK(B5385),ISBLANK(C5385),B5385=0),"",(C5385-B5385)/B5385)</x:f>
      </x:c>
      <x:c r="E5385" s="22" t="str">
        <x:f>IF(ISBLANK(C5385),"AmountIncludingTax缺失",IF(ABS(B5385-C5385)&lt;0.005,"一致","不一致"))</x:f>
        <x:v>AmountIncludingTax缺失</x:v>
      </x:c>
      <x:c r="F5385" s="19" t="str">
        <x:v>approved</x:v>
      </x:c>
      <x:c r="G5385" s="19" t="str">
        <x:v>Repair in Progress</x:v>
      </x:c>
      <x:c r="H5385" s="19" t="str">
        <x:v>Pre Delivery</x:v>
      </x:c>
      <x:c r="I5385" s="37" t="n">
        <x:v>46091</x:v>
      </x:c>
      <x:c r="J5385" s="37" t="n">
        <x:v>46114</x:v>
      </x:c>
      <x:c r="K5385" s="19" t="str">
        <x:v>Dario Caravans -St.Marys</x:v>
      </x:c>
      <x:c r="L5385" s="19" t="str">
        <x:v>Z005</x:v>
      </x:c>
      <x:c r="M5385" s="19" t="str">
        <x:v>Pre Delivery Warranty Claims</x:v>
      </x:c>
      <x:c r="N5385" s="37" t="n">
        <x:v>45960</x:v>
      </x:c>
      <x:c r="O5385" s="37"/>
      <x:c r="P5385" s="34" t="n">
        <x:v>0</x:v>
      </x:c>
      <x:c r="Q5385" s="37" t="n">
        <x:v>46091.22179398148</x:v>
      </x:c>
    </x:row>
    <x:row r="5386">
      <x:c r="A5386" s="22" t="n">
        <x:v>27302</x:v>
      </x:c>
      <x:c r="B5386" s="28" t="n">
        <x:v>732.83</x:v>
      </x:c>
      <x:c r="C5386" s="28" t="n">
        <x:v>806.11</x:v>
      </x:c>
      <x:c r="D5386" s="31" t="n">
        <x:f>IF(OR(ISBLANK(B5386),ISBLANK(C5386),B5386=0),"",(C5386-B5386)/B5386)</x:f>
        <x:v>0.09999590628112928</x:v>
      </x:c>
      <x:c r="E5386" s="22" t="str">
        <x:f>IF(ISBLANK(C5386),"AmountIncludingTax缺失",IF(ABS(B5386-C5386)&lt;0.005,"一致","不一致"))</x:f>
        <x:v>不一致</x:v>
      </x:c>
      <x:c r="F5386" s="19" t="str">
        <x:v>approved</x:v>
      </x:c>
      <x:c r="G5386" s="19" t="str">
        <x:v>Repairer Invoiced Processed</x:v>
      </x:c>
      <x:c r="H5386" s="19" t="str">
        <x:v>Pre Delivery</x:v>
      </x:c>
      <x:c r="I5386" s="37" t="n">
        <x:v>46062</x:v>
      </x:c>
      <x:c r="J5386" s="37" t="n">
        <x:v>46062</x:v>
      </x:c>
      <x:c r="K5386" s="19" t="str">
        <x:v>Green RV - Forest Glen</x:v>
      </x:c>
      <x:c r="L5386" s="19" t="str">
        <x:v>Z005</x:v>
      </x:c>
      <x:c r="M5386" s="19" t="str">
        <x:v>Pre Delivery Warranty Claims</x:v>
      </x:c>
      <x:c r="N5386" s="37" t="n">
        <x:v>45960</x:v>
      </x:c>
      <x:c r="O5386" s="37"/>
      <x:c r="P5386" s="34" t="n">
        <x:v>806.11</x:v>
      </x:c>
      <x:c r="Q5386" s="37" t="n">
        <x:v>46061.98905092593</x:v>
      </x:c>
    </x:row>
    <x:row r="5387">
      <x:c r="A5387" s="22" t="n">
        <x:v>27300</x:v>
      </x:c>
      <x:c r="B5387" s="28" t="n">
        <x:v>1261.16</x:v>
      </x:c>
      <x:c r="C5387" s="28"/>
      <x:c r="D5387" s="31" t="str">
        <x:f>IF(OR(ISBLANK(B5387),ISBLANK(C5387),B5387=0),"",(C5387-B5387)/B5387)</x:f>
      </x:c>
      <x:c r="E5387" s="22" t="str">
        <x:f>IF(ISBLANK(C5387),"AmountIncludingTax缺失",IF(ABS(B5387-C5387)&lt;0.005,"一致","不一致"))</x:f>
        <x:v>AmountIncludingTax缺失</x:v>
      </x:c>
      <x:c r="F5387" s="19" t="str">
        <x:v>approved</x:v>
      </x:c>
      <x:c r="G5387" s="19" t="str">
        <x:v>Repairer Invoiced Processed</x:v>
      </x:c>
      <x:c r="H5387" s="19" t="str">
        <x:v>In Field</x:v>
      </x:c>
      <x:c r="I5387" s="37" t="n">
        <x:v>46035</x:v>
      </x:c>
      <x:c r="J5387" s="37" t="n">
        <x:v>46035</x:v>
      </x:c>
      <x:c r="K5387" s="19" t="str">
        <x:v>Green RV - Forest Glen</x:v>
      </x:c>
      <x:c r="L5387" s="19" t="str">
        <x:v>Z006</x:v>
      </x:c>
      <x:c r="M5387" s="19" t="str">
        <x:v>In Field Warranty Claims</x:v>
      </x:c>
      <x:c r="N5387" s="37" t="n">
        <x:v>45960</x:v>
      </x:c>
      <x:c r="O5387" s="37"/>
      <x:c r="P5387" s="34" t="n">
        <x:v>1387.28</x:v>
      </x:c>
      <x:c r="Q5387" s="37" t="n">
        <x:v>46035.20230324074</x:v>
      </x:c>
    </x:row>
    <x:row r="5388">
      <x:c r="A5388" s="22" t="n">
        <x:v>27299</x:v>
      </x:c>
      <x:c r="B5388" s="28" t="n">
        <x:v>1595.51</x:v>
      </x:c>
      <x:c r="C5388" s="28"/>
      <x:c r="D5388" s="31" t="str">
        <x:f>IF(OR(ISBLANK(B5388),ISBLANK(C5388),B5388=0),"",(C5388-B5388)/B5388)</x:f>
      </x:c>
      <x:c r="E5388" s="22" t="str">
        <x:f>IF(ISBLANK(C5388),"AmountIncludingTax缺失",IF(ABS(B5388-C5388)&lt;0.005,"一致","不一致"))</x:f>
        <x:v>AmountIncludingTax缺失</x:v>
      </x:c>
      <x:c r="F5388" s="19" t="str">
        <x:v>approved</x:v>
      </x:c>
      <x:c r="G5388" s="19" t="str">
        <x:v>Repair in Progress</x:v>
      </x:c>
      <x:c r="H5388" s="19" t="str">
        <x:v>In Field</x:v>
      </x:c>
      <x:c r="I5388" s="37" t="n">
        <x:v>46063</x:v>
      </x:c>
      <x:c r="J5388" s="37" t="n">
        <x:v>46063</x:v>
      </x:c>
      <x:c r="K5388" s="19" t="str">
        <x:v>Green RV - Forest Glen</x:v>
      </x:c>
      <x:c r="L5388" s="19" t="str">
        <x:v>Z006</x:v>
      </x:c>
      <x:c r="M5388" s="19" t="str">
        <x:v>In Field Warranty Claims</x:v>
      </x:c>
      <x:c r="N5388" s="37" t="n">
        <x:v>45960</x:v>
      </x:c>
      <x:c r="O5388" s="37"/>
      <x:c r="P5388" s="34" t="n">
        <x:v>0</x:v>
      </x:c>
      <x:c r="Q5388" s="37" t="n">
        <x:v>46062.95228009259</x:v>
      </x:c>
    </x:row>
    <x:row r="5389">
      <x:c r="A5389" s="22" t="n">
        <x:v>27292</x:v>
      </x:c>
      <x:c r="B5389" s="28" t="n">
        <x:v>2596.7</x:v>
      </x:c>
      <x:c r="C5389" s="28"/>
      <x:c r="D5389" s="31" t="str">
        <x:f>IF(OR(ISBLANK(B5389),ISBLANK(C5389),B5389=0),"",(C5389-B5389)/B5389)</x:f>
      </x:c>
      <x:c r="E5389" s="22" t="str">
        <x:f>IF(ISBLANK(C5389),"AmountIncludingTax缺失",IF(ABS(B5389-C5389)&lt;0.005,"一致","不一致"))</x:f>
        <x:v>AmountIncludingTax缺失</x:v>
      </x:c>
      <x:c r="F5389" s="19" t="str">
        <x:v>approved</x:v>
      </x:c>
      <x:c r="G5389" s="19" t="str">
        <x:v>Repairer Invoiced Processed</x:v>
      </x:c>
      <x:c r="H5389" s="19" t="str">
        <x:v>In Field</x:v>
      </x:c>
      <x:c r="I5389" s="37" t="n">
        <x:v>46106</x:v>
      </x:c>
      <x:c r="J5389" s="37" t="n">
        <x:v>46106</x:v>
      </x:c>
      <x:c r="K5389" s="19" t="str">
        <x:v>Green RV - Forest Glen</x:v>
      </x:c>
      <x:c r="L5389" s="19" t="str">
        <x:v>Z006</x:v>
      </x:c>
      <x:c r="M5389" s="19" t="str">
        <x:v>In Field Warranty Claims</x:v>
      </x:c>
      <x:c r="N5389" s="37" t="n">
        <x:v>45960</x:v>
      </x:c>
      <x:c r="O5389" s="37"/>
      <x:c r="P5389" s="34" t="n">
        <x:v>0</x:v>
      </x:c>
      <x:c r="Q5389" s="37" t="n">
        <x:v>46106.05795138889</x:v>
      </x:c>
    </x:row>
    <x:row r="5390">
      <x:c r="A5390" s="22" t="n">
        <x:v>27291</x:v>
      </x:c>
      <x:c r="B5390" s="28" t="n">
        <x:v>335.41</x:v>
      </x:c>
      <x:c r="C5390" s="28" t="n">
        <x:v>368.95</x:v>
      </x:c>
      <x:c r="D5390" s="31" t="n">
        <x:f>IF(OR(ISBLANK(B5390),ISBLANK(C5390),B5390=0),"",(C5390-B5390)/B5390)</x:f>
        <x:v>0.0999970185742821</x:v>
      </x:c>
      <x:c r="E5390" s="22" t="str">
        <x:f>IF(ISBLANK(C5390),"AmountIncludingTax缺失",IF(ABS(B5390-C5390)&lt;0.005,"一致","不一致"))</x:f>
        <x:v>不一致</x:v>
      </x:c>
      <x:c r="F5390" s="19" t="str">
        <x:v>approved</x:v>
      </x:c>
      <x:c r="G5390" s="19" t="str">
        <x:v>Repairer Invoiced Processed</x:v>
      </x:c>
      <x:c r="H5390" s="19" t="str">
        <x:v>Pre Delivery</x:v>
      </x:c>
      <x:c r="I5390" s="37" t="n">
        <x:v>46106</x:v>
      </x:c>
      <x:c r="J5390" s="37" t="n">
        <x:v>46105</x:v>
      </x:c>
      <x:c r="K5390" s="19" t="str">
        <x:v>The Caravan Hub - Townsville</x:v>
      </x:c>
      <x:c r="L5390" s="19" t="str">
        <x:v>Z005</x:v>
      </x:c>
      <x:c r="M5390" s="19" t="str">
        <x:v>Pre Delivery Warranty Claims</x:v>
      </x:c>
      <x:c r="N5390" s="37" t="n">
        <x:v>45960</x:v>
      </x:c>
      <x:c r="O5390" s="37"/>
      <x:c r="P5390" s="34" t="n">
        <x:v>368.95</x:v>
      </x:c>
      <x:c r="Q5390" s="37" t="n">
        <x:v>46106.20915509259</x:v>
      </x:c>
    </x:row>
    <x:row r="5391">
      <x:c r="A5391" s="22" t="n">
        <x:v>27287</x:v>
      </x:c>
      <x:c r="B5391" s="28" t="n">
        <x:v>1345</x:v>
      </x:c>
      <x:c r="C5391" s="28"/>
      <x:c r="D5391" s="31" t="str">
        <x:f>IF(OR(ISBLANK(B5391),ISBLANK(C5391),B5391=0),"",(C5391-B5391)/B5391)</x:f>
      </x:c>
      <x:c r="E5391" s="22" t="str">
        <x:f>IF(ISBLANK(C5391),"AmountIncludingTax缺失",IF(ABS(B5391-C5391)&lt;0.005,"一致","不一致"))</x:f>
        <x:v>AmountIncludingTax缺失</x:v>
      </x:c>
      <x:c r="F5391" s="19" t="str">
        <x:v>approved</x:v>
      </x:c>
      <x:c r="G5391" s="19" t="str">
        <x:v>Repair in Progress</x:v>
      </x:c>
      <x:c r="H5391" s="19" t="str">
        <x:v>In Field</x:v>
      </x:c>
      <x:c r="I5391" s="37" t="n">
        <x:v>46035</x:v>
      </x:c>
      <x:c r="J5391" s="37" t="n">
        <x:v>46035</x:v>
      </x:c>
      <x:c r="K5391" s="19" t="str">
        <x:v>The Caravan Hub - Townsville</x:v>
      </x:c>
      <x:c r="L5391" s="19" t="str">
        <x:v>Z006</x:v>
      </x:c>
      <x:c r="M5391" s="19" t="str">
        <x:v>In Field Warranty Claims</x:v>
      </x:c>
      <x:c r="N5391" s="37" t="n">
        <x:v>45960</x:v>
      </x:c>
      <x:c r="O5391" s="37"/>
      <x:c r="P5391" s="34" t="n">
        <x:v>0</x:v>
      </x:c>
      <x:c r="Q5391" s="37" t="n">
        <x:v>46035.21125</x:v>
      </x:c>
    </x:row>
    <x:row r="5392">
      <x:c r="A5392" s="22" t="n">
        <x:v>27272</x:v>
      </x:c>
      <x:c r="B5392" s="28" t="n">
        <x:v>813.64</x:v>
      </x:c>
      <x:c r="C5392" s="28"/>
      <x:c r="D5392" s="31" t="str">
        <x:f>IF(OR(ISBLANK(B5392),ISBLANK(C5392),B5392=0),"",(C5392-B5392)/B5392)</x:f>
      </x:c>
      <x:c r="E5392" s="22" t="str">
        <x:f>IF(ISBLANK(C5392),"AmountIncludingTax缺失",IF(ABS(B5392-C5392)&lt;0.005,"一致","不一致"))</x:f>
        <x:v>AmountIncludingTax缺失</x:v>
      </x:c>
      <x:c r="F5392" s="19" t="str">
        <x:v>approved</x:v>
      </x:c>
      <x:c r="G5392" s="19" t="str">
        <x:v>Repairer Invoiced Processed</x:v>
      </x:c>
      <x:c r="H5392" s="19" t="str">
        <x:v>In Field</x:v>
      </x:c>
      <x:c r="I5392" s="37" t="n">
        <x:v>46101</x:v>
      </x:c>
      <x:c r="J5392" s="37" t="n">
        <x:v>46101</x:v>
      </x:c>
      <x:c r="K5392" s="19" t="str">
        <x:v>Regent RV - Traralgon</x:v>
      </x:c>
      <x:c r="L5392" s="19" t="str">
        <x:v>Z006</x:v>
      </x:c>
      <x:c r="M5392" s="19" t="str">
        <x:v>In Field Warranty Claims</x:v>
      </x:c>
      <x:c r="N5392" s="37" t="n">
        <x:v>45959</x:v>
      </x:c>
      <x:c r="O5392" s="37"/>
      <x:c r="P5392" s="34" t="n">
        <x:v>0</x:v>
      </x:c>
      <x:c r="Q5392" s="37" t="n">
        <x:v>46101.166875</x:v>
      </x:c>
    </x:row>
    <x:row r="5393">
      <x:c r="A5393" s="22" t="n">
        <x:v>27258</x:v>
      </x:c>
      <x:c r="B5393" s="28" t="n">
        <x:v>202.5</x:v>
      </x:c>
      <x:c r="C5393" s="28"/>
      <x:c r="D5393" s="31" t="str">
        <x:f>IF(OR(ISBLANK(B5393),ISBLANK(C5393),B5393=0),"",(C5393-B5393)/B5393)</x:f>
      </x:c>
      <x:c r="E5393" s="22" t="str">
        <x:f>IF(ISBLANK(C5393),"AmountIncludingTax缺失",IF(ABS(B5393-C5393)&lt;0.005,"一致","不一致"))</x:f>
        <x:v>AmountIncludingTax缺失</x:v>
      </x:c>
      <x:c r="F5393" s="19" t="str">
        <x:v>approved</x:v>
      </x:c>
      <x:c r="G5393" s="19" t="str">
        <x:v>Repair in Progress</x:v>
      </x:c>
      <x:c r="H5393" s="19" t="str">
        <x:v>In Field</x:v>
      </x:c>
      <x:c r="I5393" s="37" t="n">
        <x:v>46085</x:v>
      </x:c>
      <x:c r="J5393" s="37" t="n">
        <x:v>46085</x:v>
      </x:c>
      <x:c r="K5393" s="19" t="str">
        <x:v>Regent RV - Perth</x:v>
      </x:c>
      <x:c r="L5393" s="19" t="str">
        <x:v>Z006</x:v>
      </x:c>
      <x:c r="M5393" s="19" t="str">
        <x:v>In Field Warranty Claims</x:v>
      </x:c>
      <x:c r="N5393" s="37" t="n">
        <x:v>45959</x:v>
      </x:c>
      <x:c r="O5393" s="37"/>
      <x:c r="P5393" s="34" t="n">
        <x:v>0</x:v>
      </x:c>
      <x:c r="Q5393" s="37" t="n">
        <x:v>46084.87125</x:v>
      </x:c>
    </x:row>
    <x:row r="5394">
      <x:c r="A5394" s="22" t="n">
        <x:v>27257</x:v>
      </x:c>
      <x:c r="B5394" s="28" t="n">
        <x:v>3918.72</x:v>
      </x:c>
      <x:c r="C5394" s="28"/>
      <x:c r="D5394" s="31" t="str">
        <x:f>IF(OR(ISBLANK(B5394),ISBLANK(C5394),B5394=0),"",(C5394-B5394)/B5394)</x:f>
      </x:c>
      <x:c r="E5394" s="22" t="str">
        <x:f>IF(ISBLANK(C5394),"AmountIncludingTax缺失",IF(ABS(B5394-C5394)&lt;0.005,"一致","不一致"))</x:f>
        <x:v>AmountIncludingTax缺失</x:v>
      </x:c>
      <x:c r="F5394" s="19" t="str">
        <x:v>approved</x:v>
      </x:c>
      <x:c r="G5394" s="19" t="str">
        <x:v>Repairer Invoiced Processed</x:v>
      </x:c>
      <x:c r="H5394" s="19" t="str">
        <x:v>In Field</x:v>
      </x:c>
      <x:c r="I5394" s="37" t="n">
        <x:v>46154</x:v>
      </x:c>
      <x:c r="J5394" s="37" t="n">
        <x:v>46154</x:v>
      </x:c>
      <x:c r="K5394" s="19" t="str">
        <x:v>Vanari Caravans - Marden Point</x:v>
      </x:c>
      <x:c r="L5394" s="19" t="str">
        <x:v>Z006</x:v>
      </x:c>
      <x:c r="M5394" s="19" t="str">
        <x:v>In Field Warranty Claims</x:v>
      </x:c>
      <x:c r="N5394" s="37" t="n">
        <x:v>45959</x:v>
      </x:c>
      <x:c r="O5394" s="37"/>
      <x:c r="P5394" s="34" t="n">
        <x:v>0</x:v>
      </x:c>
      <x:c r="Q5394" s="37" t="n">
        <x:v>46154.32572916667</x:v>
      </x:c>
    </x:row>
    <x:row r="5395">
      <x:c r="A5395" s="22" t="n">
        <x:v>27252</x:v>
      </x:c>
      <x:c r="B5395" s="28" t="n">
        <x:v>150.01</x:v>
      </x:c>
      <x:c r="C5395" s="28"/>
      <x:c r="D5395" s="31" t="str">
        <x:f>IF(OR(ISBLANK(B5395),ISBLANK(C5395),B5395=0),"",(C5395-B5395)/B5395)</x:f>
      </x:c>
      <x:c r="E5395" s="22" t="str">
        <x:f>IF(ISBLANK(C5395),"AmountIncludingTax缺失",IF(ABS(B5395-C5395)&lt;0.005,"一致","不一致"))</x:f>
        <x:v>AmountIncludingTax缺失</x:v>
      </x:c>
      <x:c r="F5395" s="19" t="str">
        <x:v>approved</x:v>
      </x:c>
      <x:c r="G5395" s="19" t="str">
        <x:v>Repairer Invoiced Processed</x:v>
      </x:c>
      <x:c r="H5395" s="19" t="str">
        <x:v>In Field</x:v>
      </x:c>
      <x:c r="I5395" s="37" t="n">
        <x:v>46199</x:v>
      </x:c>
      <x:c r="J5395" s="37" t="n">
        <x:v>46070</x:v>
      </x:c>
      <x:c r="K5395" s="19" t="str">
        <x:v>Regent RV - Townsville</x:v>
      </x:c>
      <x:c r="L5395" s="19" t="str">
        <x:v>Z006</x:v>
      </x:c>
      <x:c r="M5395" s="19" t="str">
        <x:v>In Field Warranty Claims</x:v>
      </x:c>
      <x:c r="N5395" s="37" t="n">
        <x:v>45959</x:v>
      </x:c>
      <x:c r="O5395" s="37"/>
      <x:c r="P5395" s="34" t="n">
        <x:v>0</x:v>
      </x:c>
      <x:c r="Q5395" s="37" t="n">
        <x:v>46199.05289351852</x:v>
      </x:c>
    </x:row>
    <x:row r="5396">
      <x:c r="A5396" s="22" t="n">
        <x:v>27246</x:v>
      </x:c>
      <x:c r="B5396" s="28" t="n">
        <x:v>489.56</x:v>
      </x:c>
      <x:c r="C5396" s="28"/>
      <x:c r="D5396" s="31" t="str">
        <x:f>IF(OR(ISBLANK(B5396),ISBLANK(C5396),B5396=0),"",(C5396-B5396)/B5396)</x:f>
      </x:c>
      <x:c r="E5396" s="22" t="str">
        <x:f>IF(ISBLANK(C5396),"AmountIncludingTax缺失",IF(ABS(B5396-C5396)&lt;0.005,"一致","不一致"))</x:f>
        <x:v>AmountIncludingTax缺失</x:v>
      </x:c>
      <x:c r="F5396" s="19" t="str">
        <x:v>approved</x:v>
      </x:c>
      <x:c r="G5396" s="19" t="str">
        <x:v>Repairer Invoiced Processed</x:v>
      </x:c>
      <x:c r="H5396" s="19" t="str">
        <x:v>In Field</x:v>
      </x:c>
      <x:c r="I5396" s="37" t="n">
        <x:v>46024</x:v>
      </x:c>
      <x:c r="J5396" s="37" t="n">
        <x:v>46024</x:v>
      </x:c>
      <x:c r="K5396" s="19" t="str">
        <x:v>Leisure Lion Pty Ltd - Toowoomba</x:v>
      </x:c>
      <x:c r="L5396" s="19" t="str">
        <x:v>Z006</x:v>
      </x:c>
      <x:c r="M5396" s="19" t="str">
        <x:v>In Field Warranty Claims</x:v>
      </x:c>
      <x:c r="N5396" s="37" t="n">
        <x:v>45959</x:v>
      </x:c>
      <x:c r="O5396" s="37"/>
      <x:c r="P5396" s="34" t="n">
        <x:v>0</x:v>
      </x:c>
      <x:c r="Q5396" s="37" t="n">
        <x:v>46023.98001157407</x:v>
      </x:c>
    </x:row>
    <x:row r="5397">
      <x:c r="A5397" s="22" t="n">
        <x:v>27243</x:v>
      </x:c>
      <x:c r="B5397" s="28" t="n">
        <x:v>350</x:v>
      </x:c>
      <x:c r="C5397" s="28"/>
      <x:c r="D5397" s="31" t="str">
        <x:f>IF(OR(ISBLANK(B5397),ISBLANK(C5397),B5397=0),"",(C5397-B5397)/B5397)</x:f>
      </x:c>
      <x:c r="E5397" s="22" t="str">
        <x:f>IF(ISBLANK(C5397),"AmountIncludingTax缺失",IF(ABS(B5397-C5397)&lt;0.005,"一致","不一致"))</x:f>
        <x:v>AmountIncludingTax缺失</x:v>
      </x:c>
      <x:c r="F5397" s="19" t="str">
        <x:v>approved</x:v>
      </x:c>
      <x:c r="G5397" s="19" t="str">
        <x:v>Repair in Progress</x:v>
      </x:c>
      <x:c r="H5397" s="19" t="str">
        <x:v>Pre Delivery</x:v>
      </x:c>
      <x:c r="I5397" s="37" t="n">
        <x:v>46035</x:v>
      </x:c>
      <x:c r="J5397" s="37" t="n">
        <x:v>46035</x:v>
      </x:c>
      <x:c r="K5397" s="19" t="str">
        <x:v>Regent RV - Perth</x:v>
      </x:c>
      <x:c r="L5397" s="19" t="str">
        <x:v>Z005</x:v>
      </x:c>
      <x:c r="M5397" s="19" t="str">
        <x:v>Pre Delivery Warranty Claims</x:v>
      </x:c>
      <x:c r="N5397" s="37" t="n">
        <x:v>45959</x:v>
      </x:c>
      <x:c r="O5397" s="37"/>
      <x:c r="P5397" s="34" t="n">
        <x:v>0</x:v>
      </x:c>
      <x:c r="Q5397" s="37" t="n">
        <x:v>46035.07136574074</x:v>
      </x:c>
    </x:row>
    <x:row r="5398">
      <x:c r="A5398" s="22" t="n">
        <x:v>27242</x:v>
      </x:c>
      <x:c r="B5398" s="28" t="n">
        <x:v>310</x:v>
      </x:c>
      <x:c r="C5398" s="28" t="n">
        <x:v>341</x:v>
      </x:c>
      <x:c r="D5398" s="31" t="n">
        <x:f>IF(OR(ISBLANK(B5398),ISBLANK(C5398),B5398=0),"",(C5398-B5398)/B5398)</x:f>
        <x:v>0.1</x:v>
      </x:c>
      <x:c r="E5398" s="22" t="str">
        <x:f>IF(ISBLANK(C5398),"AmountIncludingTax缺失",IF(ABS(B5398-C5398)&lt;0.005,"一致","不一致"))</x:f>
        <x:v>不一致</x:v>
      </x:c>
      <x:c r="F5398" s="19" t="str">
        <x:v>approved</x:v>
      </x:c>
      <x:c r="G5398" s="19" t="str">
        <x:v>Repairer Invoiced Processed</x:v>
      </x:c>
      <x:c r="H5398" s="19" t="str">
        <x:v>In Field</x:v>
      </x:c>
      <x:c r="I5398" s="37" t="n">
        <x:v>46142</x:v>
      </x:c>
      <x:c r="J5398" s="37" t="n">
        <x:v>46142</x:v>
      </x:c>
      <x:c r="K5398" s="19" t="str">
        <x:v>Regent RV - Perth</x:v>
      </x:c>
      <x:c r="L5398" s="19" t="str">
        <x:v>Z006</x:v>
      </x:c>
      <x:c r="M5398" s="19" t="str">
        <x:v>In Field Warranty Claims</x:v>
      </x:c>
      <x:c r="N5398" s="37" t="n">
        <x:v>45959</x:v>
      </x:c>
      <x:c r="O5398" s="37"/>
      <x:c r="P5398" s="34" t="n">
        <x:v>341</x:v>
      </x:c>
      <x:c r="Q5398" s="37" t="n">
        <x:v>46142.15262731481</x:v>
      </x:c>
    </x:row>
    <x:row r="5399">
      <x:c r="A5399" s="22" t="n">
        <x:v>27239</x:v>
      </x:c>
      <x:c r="B5399" s="28" t="n">
        <x:v>536.39</x:v>
      </x:c>
      <x:c r="C5399" s="28" t="n">
        <x:v>590.03</x:v>
      </x:c>
      <x:c r="D5399" s="31" t="n">
        <x:f>IF(OR(ISBLANK(B5399),ISBLANK(C5399),B5399=0),"",(C5399-B5399)/B5399)</x:f>
        <x:v>0.10000186431514381</x:v>
      </x:c>
      <x:c r="E5399" s="22" t="str">
        <x:f>IF(ISBLANK(C5399),"AmountIncludingTax缺失",IF(ABS(B5399-C5399)&lt;0.005,"一致","不一致"))</x:f>
        <x:v>不一致</x:v>
      </x:c>
      <x:c r="F5399" s="19" t="str">
        <x:v>approved</x:v>
      </x:c>
      <x:c r="G5399" s="19" t="str">
        <x:v>Repair in Progress</x:v>
      </x:c>
      <x:c r="H5399" s="19" t="str">
        <x:v>In Field</x:v>
      </x:c>
      <x:c r="I5399" s="37" t="n">
        <x:v>46099</x:v>
      </x:c>
      <x:c r="J5399" s="37" t="n">
        <x:v>46099</x:v>
      </x:c>
      <x:c r="K5399" s="19" t="str">
        <x:v>Leisure Lion Pty Ltd - Toowoomba</x:v>
      </x:c>
      <x:c r="L5399" s="19" t="str">
        <x:v>Z006</x:v>
      </x:c>
      <x:c r="M5399" s="19" t="str">
        <x:v>In Field Warranty Claims</x:v>
      </x:c>
      <x:c r="N5399" s="37" t="n">
        <x:v>45959</x:v>
      </x:c>
      <x:c r="O5399" s="37"/>
      <x:c r="P5399" s="34" t="n">
        <x:v>590.03</x:v>
      </x:c>
      <x:c r="Q5399" s="37" t="n">
        <x:v>46098.97489583334</x:v>
      </x:c>
    </x:row>
    <x:row r="5400">
      <x:c r="A5400" s="22" t="n">
        <x:v>27231</x:v>
      </x:c>
      <x:c r="B5400" s="28" t="n">
        <x:v>504.09</x:v>
      </x:c>
      <x:c r="C5400" s="28" t="n">
        <x:v>554.5</x:v>
      </x:c>
      <x:c r="D5400" s="31" t="n">
        <x:f>IF(OR(ISBLANK(B5400),ISBLANK(C5400),B5400=0),"",(C5400-B5400)/B5400)</x:f>
        <x:v>0.10000198377273906</x:v>
      </x:c>
      <x:c r="E5400" s="22" t="str">
        <x:f>IF(ISBLANK(C5400),"AmountIncludingTax缺失",IF(ABS(B5400-C5400)&lt;0.005,"一致","不一致"))</x:f>
        <x:v>不一致</x:v>
      </x:c>
      <x:c r="F5400" s="19" t="str">
        <x:v>approved</x:v>
      </x:c>
      <x:c r="G5400" s="19" t="str">
        <x:v>Repairer Invoiced Processed</x:v>
      </x:c>
      <x:c r="H5400" s="19" t="str">
        <x:v>In Field</x:v>
      </x:c>
      <x:c r="I5400" s="37" t="n">
        <x:v>46030</x:v>
      </x:c>
      <x:c r="J5400" s="37" t="n">
        <x:v>46030</x:v>
      </x:c>
      <x:c r="K5400" s="19" t="str">
        <x:v>Green RV - Forest Glen</x:v>
      </x:c>
      <x:c r="L5400" s="19" t="str">
        <x:v>Z006</x:v>
      </x:c>
      <x:c r="M5400" s="19" t="str">
        <x:v>In Field Warranty Claims</x:v>
      </x:c>
      <x:c r="N5400" s="37" t="n">
        <x:v>45959</x:v>
      </x:c>
      <x:c r="O5400" s="37"/>
      <x:c r="P5400" s="34" t="n">
        <x:v>554.5</x:v>
      </x:c>
      <x:c r="Q5400" s="37" t="n">
        <x:v>46030.197604166664</x:v>
      </x:c>
    </x:row>
    <x:row r="5401">
      <x:c r="A5401" s="22" t="n">
        <x:v>27230</x:v>
      </x:c>
      <x:c r="B5401" s="28" t="n">
        <x:v>232.49</x:v>
      </x:c>
      <x:c r="C5401" s="28" t="n">
        <x:v>255.74</x:v>
      </x:c>
      <x:c r="D5401" s="31" t="n">
        <x:f>IF(OR(ISBLANK(B5401),ISBLANK(C5401),B5401=0),"",(C5401-B5401)/B5401)</x:f>
        <x:v>0.10000430126026925</x:v>
      </x:c>
      <x:c r="E5401" s="22" t="str">
        <x:f>IF(ISBLANK(C5401),"AmountIncludingTax缺失",IF(ABS(B5401-C5401)&lt;0.005,"一致","不一致"))</x:f>
        <x:v>不一致</x:v>
      </x:c>
      <x:c r="F5401" s="19" t="str">
        <x:v>approved</x:v>
      </x:c>
      <x:c r="G5401" s="19" t="str">
        <x:v>Repairer Invoiced Processed</x:v>
      </x:c>
      <x:c r="H5401" s="19" t="str">
        <x:v>In Field</x:v>
      </x:c>
      <x:c r="I5401" s="37" t="n">
        <x:v>46143</x:v>
      </x:c>
      <x:c r="J5401" s="37" t="n">
        <x:v>46143</x:v>
      </x:c>
      <x:c r="K5401" s="19" t="str">
        <x:v>Regent RV - Toowoomba</x:v>
      </x:c>
      <x:c r="L5401" s="19" t="str">
        <x:v>Z006</x:v>
      </x:c>
      <x:c r="M5401" s="19" t="str">
        <x:v>In Field Warranty Claims</x:v>
      </x:c>
      <x:c r="N5401" s="37" t="n">
        <x:v>45959</x:v>
      </x:c>
      <x:c r="O5401" s="37"/>
      <x:c r="P5401" s="34" t="n">
        <x:v>255.74</x:v>
      </x:c>
      <x:c r="Q5401" s="37" t="n">
        <x:v>46143.16232638889</x:v>
      </x:c>
    </x:row>
    <x:row r="5402">
      <x:c r="A5402" s="22" t="n">
        <x:v>27228</x:v>
      </x:c>
      <x:c r="B5402" s="28" t="n">
        <x:v>100</x:v>
      </x:c>
      <x:c r="C5402" s="28" t="n">
        <x:v>110</x:v>
      </x:c>
      <x:c r="D5402" s="31" t="n">
        <x:f>IF(OR(ISBLANK(B5402),ISBLANK(C5402),B5402=0),"",(C5402-B5402)/B5402)</x:f>
        <x:v>0.1</x:v>
      </x:c>
      <x:c r="E5402" s="22" t="str">
        <x:f>IF(ISBLANK(C5402),"AmountIncludingTax缺失",IF(ABS(B5402-C5402)&lt;0.005,"一致","不一致"))</x:f>
        <x:v>不一致</x:v>
      </x:c>
      <x:c r="F5402" s="19" t="str">
        <x:v>approved</x:v>
      </x:c>
      <x:c r="G5402" s="19" t="str">
        <x:v>Repair in Progress</x:v>
      </x:c>
      <x:c r="H5402" s="19" t="str">
        <x:v>In Field</x:v>
      </x:c>
      <x:c r="I5402" s="37" t="n">
        <x:v>46030</x:v>
      </x:c>
      <x:c r="J5402" s="37" t="n">
        <x:v>46030</x:v>
      </x:c>
      <x:c r="K5402" s="19" t="str">
        <x:v>Regent RV - Perth</x:v>
      </x:c>
      <x:c r="L5402" s="19" t="str">
        <x:v>Z006</x:v>
      </x:c>
      <x:c r="M5402" s="19" t="str">
        <x:v>In Field Warranty Claims</x:v>
      </x:c>
      <x:c r="N5402" s="37" t="n">
        <x:v>45959</x:v>
      </x:c>
      <x:c r="O5402" s="37"/>
      <x:c r="P5402" s="34" t="n">
        <x:v>110</x:v>
      </x:c>
      <x:c r="Q5402" s="37" t="n">
        <x:v>46030.22309027778</x:v>
      </x:c>
    </x:row>
    <x:row r="5403">
      <x:c r="A5403" s="22" t="n">
        <x:v>27222</x:v>
      </x:c>
      <x:c r="B5403" s="28" t="n">
        <x:v>440.91</x:v>
      </x:c>
      <x:c r="C5403" s="28"/>
      <x:c r="D5403" s="31" t="str">
        <x:f>IF(OR(ISBLANK(B5403),ISBLANK(C5403),B5403=0),"",(C5403-B5403)/B5403)</x:f>
      </x:c>
      <x:c r="E5403" s="22" t="str">
        <x:f>IF(ISBLANK(C5403),"AmountIncludingTax缺失",IF(ABS(B5403-C5403)&lt;0.005,"一致","不一致"))</x:f>
        <x:v>AmountIncludingTax缺失</x:v>
      </x:c>
      <x:c r="F5403" s="19" t="str">
        <x:v>approved</x:v>
      </x:c>
      <x:c r="G5403" s="19" t="str">
        <x:v>Repairer Invoiced Processed</x:v>
      </x:c>
      <x:c r="H5403" s="19" t="str">
        <x:v>In Field</x:v>
      </x:c>
      <x:c r="I5403" s="37" t="n">
        <x:v>46071</x:v>
      </x:c>
      <x:c r="J5403" s="37" t="n">
        <x:v>46071</x:v>
      </x:c>
      <x:c r="K5403" s="19" t="str">
        <x:v>Regent RV - Perth</x:v>
      </x:c>
      <x:c r="L5403" s="19" t="str">
        <x:v>Z006</x:v>
      </x:c>
      <x:c r="M5403" s="19" t="str">
        <x:v>In Field Warranty Claims</x:v>
      </x:c>
      <x:c r="N5403" s="37" t="n">
        <x:v>45959</x:v>
      </x:c>
      <x:c r="O5403" s="37"/>
      <x:c r="P5403" s="34" t="n">
        <x:v>0</x:v>
      </x:c>
      <x:c r="Q5403" s="37" t="n">
        <x:v>46070.88832175926</x:v>
      </x:c>
    </x:row>
    <x:row r="5404">
      <x:c r="A5404" s="22" t="n">
        <x:v>27221</x:v>
      </x:c>
      <x:c r="B5404" s="28" t="n">
        <x:v>182.73</x:v>
      </x:c>
      <x:c r="C5404" s="28"/>
      <x:c r="D5404" s="31" t="str">
        <x:f>IF(OR(ISBLANK(B5404),ISBLANK(C5404),B5404=0),"",(C5404-B5404)/B5404)</x:f>
      </x:c>
      <x:c r="E5404" s="22" t="str">
        <x:f>IF(ISBLANK(C5404),"AmountIncludingTax缺失",IF(ABS(B5404-C5404)&lt;0.005,"一致","不一致"))</x:f>
        <x:v>AmountIncludingTax缺失</x:v>
      </x:c>
      <x:c r="F5404" s="19" t="str">
        <x:v>approved</x:v>
      </x:c>
      <x:c r="G5404" s="19" t="str">
        <x:v>Repairer Invoiced Processed</x:v>
      </x:c>
      <x:c r="H5404" s="19" t="str">
        <x:v>In Field</x:v>
      </x:c>
      <x:c r="I5404" s="37" t="n">
        <x:v>46100</x:v>
      </x:c>
      <x:c r="J5404" s="37" t="n">
        <x:v>46100</x:v>
      </x:c>
      <x:c r="K5404" s="19" t="str">
        <x:v>Leisure Lion Pty Ltd - Toowoomba</x:v>
      </x:c>
      <x:c r="L5404" s="19" t="str">
        <x:v>Z006</x:v>
      </x:c>
      <x:c r="M5404" s="19" t="str">
        <x:v>In Field Warranty Claims</x:v>
      </x:c>
      <x:c r="N5404" s="37" t="n">
        <x:v>45959</x:v>
      </x:c>
      <x:c r="O5404" s="37"/>
      <x:c r="P5404" s="34" t="n">
        <x:v>0</x:v>
      </x:c>
      <x:c r="Q5404" s="37" t="n">
        <x:v>46100.13208333333</x:v>
      </x:c>
    </x:row>
    <x:row r="5405">
      <x:c r="A5405" s="22" t="n">
        <x:v>27216</x:v>
      </x:c>
      <x:c r="B5405" s="28" t="n">
        <x:v>257.5</x:v>
      </x:c>
      <x:c r="C5405" s="28" t="n">
        <x:v>283.25</x:v>
      </x:c>
      <x:c r="D5405" s="31" t="n">
        <x:f>IF(OR(ISBLANK(B5405),ISBLANK(C5405),B5405=0),"",(C5405-B5405)/B5405)</x:f>
        <x:v>0.1</x:v>
      </x:c>
      <x:c r="E5405" s="22" t="str">
        <x:f>IF(ISBLANK(C5405),"AmountIncludingTax缺失",IF(ABS(B5405-C5405)&lt;0.005,"一致","不一致"))</x:f>
        <x:v>不一致</x:v>
      </x:c>
      <x:c r="F5405" s="19" t="str">
        <x:v>approved</x:v>
      </x:c>
      <x:c r="G5405" s="19" t="str">
        <x:v>Repairer Invoiced Processed</x:v>
      </x:c>
      <x:c r="H5405" s="19" t="str">
        <x:v>In Field</x:v>
      </x:c>
      <x:c r="I5405" s="37" t="n">
        <x:v>46057</x:v>
      </x:c>
      <x:c r="J5405" s="37" t="n">
        <x:v>46057</x:v>
      </x:c>
      <x:c r="K5405" s="19" t="str">
        <x:v>The Caravan Hub - Townsville</x:v>
      </x:c>
      <x:c r="L5405" s="19" t="str">
        <x:v>Z006</x:v>
      </x:c>
      <x:c r="M5405" s="19" t="str">
        <x:v>In Field Warranty Claims</x:v>
      </x:c>
      <x:c r="N5405" s="37" t="n">
        <x:v>45959</x:v>
      </x:c>
      <x:c r="O5405" s="37"/>
      <x:c r="P5405" s="34" t="n">
        <x:v>283.25</x:v>
      </x:c>
      <x:c r="Q5405" s="37" t="n">
        <x:v>46057.32623842593</x:v>
      </x:c>
    </x:row>
    <x:row r="5406">
      <x:c r="A5406" s="22" t="n">
        <x:v>27205</x:v>
      </x:c>
      <x:c r="B5406" s="28" t="n">
        <x:v>1053</x:v>
      </x:c>
      <x:c r="C5406" s="28"/>
      <x:c r="D5406" s="31" t="str">
        <x:f>IF(OR(ISBLANK(B5406),ISBLANK(C5406),B5406=0),"",(C5406-B5406)/B5406)</x:f>
      </x:c>
      <x:c r="E5406" s="22" t="str">
        <x:f>IF(ISBLANK(C5406),"AmountIncludingTax缺失",IF(ABS(B5406-C5406)&lt;0.005,"一致","不一致"))</x:f>
        <x:v>AmountIncludingTax缺失</x:v>
      </x:c>
      <x:c r="F5406" s="19" t="str">
        <x:v>approved</x:v>
      </x:c>
      <x:c r="G5406" s="19" t="str">
        <x:v>Repairer Invoiced Processed</x:v>
      </x:c>
      <x:c r="H5406" s="19" t="str">
        <x:v>In Field</x:v>
      </x:c>
      <x:c r="I5406" s="37" t="n">
        <x:v>46136</x:v>
      </x:c>
      <x:c r="J5406" s="37" t="n">
        <x:v>46136</x:v>
      </x:c>
      <x:c r="K5406" s="19" t="str">
        <x:v>Auswide Caravans - South Nowra</x:v>
      </x:c>
      <x:c r="L5406" s="19" t="str">
        <x:v>Z006</x:v>
      </x:c>
      <x:c r="M5406" s="19" t="str">
        <x:v>In Field Warranty Claims</x:v>
      </x:c>
      <x:c r="N5406" s="37" t="n">
        <x:v>45958</x:v>
      </x:c>
      <x:c r="O5406" s="37"/>
      <x:c r="P5406" s="34" t="n">
        <x:v>1158.3</x:v>
      </x:c>
      <x:c r="Q5406" s="37" t="n">
        <x:v>46136.06655092593</x:v>
      </x:c>
    </x:row>
    <x:row r="5407">
      <x:c r="A5407" s="22" t="n">
        <x:v>27202</x:v>
      </x:c>
      <x:c r="B5407" s="28" t="n">
        <x:v>440</x:v>
      </x:c>
      <x:c r="C5407" s="28"/>
      <x:c r="D5407" s="31" t="str">
        <x:f>IF(OR(ISBLANK(B5407),ISBLANK(C5407),B5407=0),"",(C5407-B5407)/B5407)</x:f>
      </x:c>
      <x:c r="E5407" s="22" t="str">
        <x:f>IF(ISBLANK(C5407),"AmountIncludingTax缺失",IF(ABS(B5407-C5407)&lt;0.005,"一致","不一致"))</x:f>
        <x:v>AmountIncludingTax缺失</x:v>
      </x:c>
      <x:c r="F5407" s="19" t="str">
        <x:v>approved</x:v>
      </x:c>
      <x:c r="G5407" s="19" t="str">
        <x:v>Repair in Progress</x:v>
      </x:c>
      <x:c r="H5407" s="19" t="str">
        <x:v>In Field</x:v>
      </x:c>
      <x:c r="I5407" s="37" t="n">
        <x:v>46076</x:v>
      </x:c>
      <x:c r="J5407" s="37" t="n">
        <x:v>46076</x:v>
      </x:c>
      <x:c r="K5407" s="19" t="str">
        <x:v>Regent RV - Frankston</x:v>
      </x:c>
      <x:c r="L5407" s="19" t="str">
        <x:v>Z006</x:v>
      </x:c>
      <x:c r="M5407" s="19" t="str">
        <x:v>In Field Warranty Claims</x:v>
      </x:c>
      <x:c r="N5407" s="37" t="n">
        <x:v>45958</x:v>
      </x:c>
      <x:c r="O5407" s="37"/>
      <x:c r="P5407" s="34" t="n">
        <x:v>0</x:v>
      </x:c>
      <x:c r="Q5407" s="37" t="n">
        <x:v>46076.09422453704</x:v>
      </x:c>
    </x:row>
    <x:row r="5408">
      <x:c r="A5408" s="22" t="n">
        <x:v>27200</x:v>
      </x:c>
      <x:c r="B5408" s="28" t="n">
        <x:v>455</x:v>
      </x:c>
      <x:c r="C5408" s="28"/>
      <x:c r="D5408" s="31" t="str">
        <x:f>IF(OR(ISBLANK(B5408),ISBLANK(C5408),B5408=0),"",(C5408-B5408)/B5408)</x:f>
      </x:c>
      <x:c r="E5408" s="22" t="str">
        <x:f>IF(ISBLANK(C5408),"AmountIncludingTax缺失",IF(ABS(B5408-C5408)&lt;0.005,"一致","不一致"))</x:f>
        <x:v>AmountIncludingTax缺失</x:v>
      </x:c>
      <x:c r="F5408" s="19" t="str">
        <x:v>approved</x:v>
      </x:c>
      <x:c r="G5408" s="19" t="str">
        <x:v>Repairer Invoiced Processed</x:v>
      </x:c>
      <x:c r="H5408" s="19" t="str">
        <x:v>In Field</x:v>
      </x:c>
      <x:c r="I5408" s="37" t="n">
        <x:v>46072</x:v>
      </x:c>
      <x:c r="J5408" s="37" t="n">
        <x:v>46072</x:v>
      </x:c>
      <x:c r="K5408" s="19" t="str">
        <x:v>Regent RV Pty Ltd</x:v>
      </x:c>
      <x:c r="L5408" s="19" t="str">
        <x:v>Z006</x:v>
      </x:c>
      <x:c r="M5408" s="19" t="str">
        <x:v>In Field Warranty Claims</x:v>
      </x:c>
      <x:c r="N5408" s="37" t="n">
        <x:v>45958</x:v>
      </x:c>
      <x:c r="O5408" s="37"/>
      <x:c r="P5408" s="34" t="n">
        <x:v>0</x:v>
      </x:c>
      <x:c r="Q5408" s="37" t="n">
        <x:v>46072.06394675926</x:v>
      </x:c>
    </x:row>
    <x:row r="5409">
      <x:c r="A5409" s="22" t="n">
        <x:v>27198</x:v>
      </x:c>
      <x:c r="B5409" s="28" t="n">
        <x:v>382.5</x:v>
      </x:c>
      <x:c r="C5409" s="28"/>
      <x:c r="D5409" s="31" t="str">
        <x:f>IF(OR(ISBLANK(B5409),ISBLANK(C5409),B5409=0),"",(C5409-B5409)/B5409)</x:f>
      </x:c>
      <x:c r="E5409" s="22" t="str">
        <x:f>IF(ISBLANK(C5409),"AmountIncludingTax缺失",IF(ABS(B5409-C5409)&lt;0.005,"一致","不一致"))</x:f>
        <x:v>AmountIncludingTax缺失</x:v>
      </x:c>
      <x:c r="F5409" s="19" t="str">
        <x:v>approved</x:v>
      </x:c>
      <x:c r="G5409" s="19" t="str">
        <x:v>Repairer Invoiced Processed</x:v>
      </x:c>
      <x:c r="H5409" s="19" t="str">
        <x:v>In Field</x:v>
      </x:c>
      <x:c r="I5409" s="37" t="n">
        <x:v>46057</x:v>
      </x:c>
      <x:c r="J5409" s="37" t="n">
        <x:v>46057</x:v>
      </x:c>
      <x:c r="K5409" s="19" t="str">
        <x:v>Leisure Lion Pty Ltd - Toowoomba</x:v>
      </x:c>
      <x:c r="L5409" s="19" t="str">
        <x:v>Z006</x:v>
      </x:c>
      <x:c r="M5409" s="19" t="str">
        <x:v>In Field Warranty Claims</x:v>
      </x:c>
      <x:c r="N5409" s="37" t="n">
        <x:v>45958</x:v>
      </x:c>
      <x:c r="O5409" s="37"/>
      <x:c r="P5409" s="34" t="n">
        <x:v>0</x:v>
      </x:c>
      <x:c r="Q5409" s="37" t="n">
        <x:v>46056.9425462963</x:v>
      </x:c>
    </x:row>
    <x:row r="5410">
      <x:c r="A5410" s="22" t="n">
        <x:v>27197</x:v>
      </x:c>
      <x:c r="B5410" s="28" t="n">
        <x:v>60</x:v>
      </x:c>
      <x:c r="C5410" s="28"/>
      <x:c r="D5410" s="31" t="str">
        <x:f>IF(OR(ISBLANK(B5410),ISBLANK(C5410),B5410=0),"",(C5410-B5410)/B5410)</x:f>
      </x:c>
      <x:c r="E5410" s="22" t="str">
        <x:f>IF(ISBLANK(C5410),"AmountIncludingTax缺失",IF(ABS(B5410-C5410)&lt;0.005,"一致","不一致"))</x:f>
        <x:v>AmountIncludingTax缺失</x:v>
      </x:c>
      <x:c r="F5410" s="19" t="str">
        <x:v>approved</x:v>
      </x:c>
      <x:c r="G5410" s="19" t="str">
        <x:v>Repairer Invoiced Processed</x:v>
      </x:c>
      <x:c r="H5410" s="19" t="str">
        <x:v>Pre Delivery</x:v>
      </x:c>
      <x:c r="I5410" s="37" t="n">
        <x:v>46028</x:v>
      </x:c>
      <x:c r="J5410" s="37" t="n">
        <x:v>46028</x:v>
      </x:c>
      <x:c r="K5410" s="19" t="str">
        <x:v>Newcastle RV Super Centre - Beresfield</x:v>
      </x:c>
      <x:c r="L5410" s="19" t="str">
        <x:v>Z005</x:v>
      </x:c>
      <x:c r="M5410" s="19" t="str">
        <x:v>Pre Delivery Warranty Claims</x:v>
      </x:c>
      <x:c r="N5410" s="37" t="n">
        <x:v>45958</x:v>
      </x:c>
      <x:c r="O5410" s="37"/>
      <x:c r="P5410" s="34" t="n">
        <x:v>0</x:v>
      </x:c>
      <x:c r="Q5410" s="37" t="n">
        <x:v>46028.198113425926</x:v>
      </x:c>
    </x:row>
    <x:row r="5411">
      <x:c r="A5411" s="22" t="n">
        <x:v>27193</x:v>
      </x:c>
      <x:c r="B5411" s="28" t="n">
        <x:v>397.51</x:v>
      </x:c>
      <x:c r="C5411" s="28"/>
      <x:c r="D5411" s="31" t="str">
        <x:f>IF(OR(ISBLANK(B5411),ISBLANK(C5411),B5411=0),"",(C5411-B5411)/B5411)</x:f>
      </x:c>
      <x:c r="E5411" s="22" t="str">
        <x:f>IF(ISBLANK(C5411),"AmountIncludingTax缺失",IF(ABS(B5411-C5411)&lt;0.005,"一致","不一致"))</x:f>
        <x:v>AmountIncludingTax缺失</x:v>
      </x:c>
      <x:c r="F5411" s="19" t="str">
        <x:v>approved</x:v>
      </x:c>
      <x:c r="G5411" s="19" t="str">
        <x:v>Repairer Invoiced Processed</x:v>
      </x:c>
      <x:c r="H5411" s="19" t="str">
        <x:v>In Field</x:v>
      </x:c>
      <x:c r="I5411" s="37" t="n">
        <x:v>46062</x:v>
      </x:c>
      <x:c r="J5411" s="37" t="n">
        <x:v>46062</x:v>
      </x:c>
      <x:c r="K5411" s="19" t="str">
        <x:v>Regent RV - Toowoomba</x:v>
      </x:c>
      <x:c r="L5411" s="19" t="str">
        <x:v>Z006</x:v>
      </x:c>
      <x:c r="M5411" s="19" t="str">
        <x:v>In Field Warranty Claims</x:v>
      </x:c>
      <x:c r="N5411" s="37" t="n">
        <x:v>45958</x:v>
      </x:c>
      <x:c r="O5411" s="37"/>
      <x:c r="P5411" s="34" t="n">
        <x:v>0</x:v>
      </x:c>
      <x:c r="Q5411" s="37" t="n">
        <x:v>46062.22625</x:v>
      </x:c>
    </x:row>
    <x:row r="5412">
      <x:c r="A5412" s="22" t="n">
        <x:v>27188</x:v>
      </x:c>
      <x:c r="B5412" s="28" t="n">
        <x:v>475</x:v>
      </x:c>
      <x:c r="C5412" s="28"/>
      <x:c r="D5412" s="31" t="str">
        <x:f>IF(OR(ISBLANK(B5412),ISBLANK(C5412),B5412=0),"",(C5412-B5412)/B5412)</x:f>
      </x:c>
      <x:c r="E5412" s="22" t="str">
        <x:f>IF(ISBLANK(C5412),"AmountIncludingTax缺失",IF(ABS(B5412-C5412)&lt;0.005,"一致","不一致"))</x:f>
        <x:v>AmountIncludingTax缺失</x:v>
      </x:c>
      <x:c r="F5412" s="19" t="str">
        <x:v>approved_closed</x:v>
      </x:c>
      <x:c r="G5412" s="19" t="str">
        <x:v>Approved Claims Closed (Closed)</x:v>
      </x:c>
      <x:c r="H5412" s="19" t="str">
        <x:v>In Field</x:v>
      </x:c>
      <x:c r="I5412" s="37" t="n">
        <x:v>46049</x:v>
      </x:c>
      <x:c r="J5412" s="37" t="n">
        <x:v>46044</x:v>
      </x:c>
      <x:c r="K5412" s="19" t="str">
        <x:v>Regent RV - Perth</x:v>
      </x:c>
      <x:c r="L5412" s="19" t="str">
        <x:v>Z006</x:v>
      </x:c>
      <x:c r="M5412" s="19" t="str">
        <x:v>In Field Warranty Claims</x:v>
      </x:c>
      <x:c r="N5412" s="37" t="n">
        <x:v>45958</x:v>
      </x:c>
      <x:c r="O5412" s="37" t="n">
        <x:v>46176</x:v>
      </x:c>
      <x:c r="P5412" s="34" t="n">
        <x:v>0</x:v>
      </x:c>
      <x:c r="Q5412" s="37" t="n">
        <x:v>46049.09695601852</x:v>
      </x:c>
    </x:row>
    <x:row r="5413">
      <x:c r="A5413" s="22" t="n">
        <x:v>27187</x:v>
      </x:c>
      <x:c r="B5413" s="28" t="n">
        <x:v>7420</x:v>
      </x:c>
      <x:c r="C5413" s="28"/>
      <x:c r="D5413" s="31" t="str">
        <x:f>IF(OR(ISBLANK(B5413),ISBLANK(C5413),B5413=0),"",(C5413-B5413)/B5413)</x:f>
      </x:c>
      <x:c r="E5413" s="22" t="str">
        <x:f>IF(ISBLANK(C5413),"AmountIncludingTax缺失",IF(ABS(B5413-C5413)&lt;0.005,"一致","不一致"))</x:f>
        <x:v>AmountIncludingTax缺失</x:v>
      </x:c>
      <x:c r="F5413" s="19" t="str">
        <x:v>approved</x:v>
      </x:c>
      <x:c r="G5413" s="19" t="str">
        <x:v>Repairer Invoiced Processed</x:v>
      </x:c>
      <x:c r="H5413" s="19" t="str">
        <x:v>In Field</x:v>
      </x:c>
      <x:c r="I5413" s="37" t="n">
        <x:v>46205</x:v>
      </x:c>
      <x:c r="J5413" s="37" t="n">
        <x:v>46149</x:v>
      </x:c>
      <x:c r="K5413" s="19" t="str">
        <x:v>QCCC - Gympie</x:v>
      </x:c>
      <x:c r="L5413" s="19" t="str">
        <x:v>Z006</x:v>
      </x:c>
      <x:c r="M5413" s="19" t="str">
        <x:v>In Field Warranty Claims</x:v>
      </x:c>
      <x:c r="N5413" s="37" t="n">
        <x:v>45958</x:v>
      </x:c>
      <x:c r="O5413" s="37"/>
      <x:c r="P5413" s="34" t="n">
        <x:v>8162</x:v>
      </x:c>
      <x:c r="Q5413" s="37" t="n">
        <x:v>46205.2768287037</x:v>
      </x:c>
    </x:row>
    <x:row r="5414">
      <x:c r="A5414" s="22" t="n">
        <x:v>27186</x:v>
      </x:c>
      <x:c r="B5414" s="28" t="n">
        <x:v>155</x:v>
      </x:c>
      <x:c r="C5414" s="28"/>
      <x:c r="D5414" s="31" t="str">
        <x:f>IF(OR(ISBLANK(B5414),ISBLANK(C5414),B5414=0),"",(C5414-B5414)/B5414)</x:f>
      </x:c>
      <x:c r="E5414" s="22" t="str">
        <x:f>IF(ISBLANK(C5414),"AmountIncludingTax缺失",IF(ABS(B5414-C5414)&lt;0.005,"一致","不一致"))</x:f>
        <x:v>AmountIncludingTax缺失</x:v>
      </x:c>
      <x:c r="F5414" s="19" t="str">
        <x:v>approved</x:v>
      </x:c>
      <x:c r="G5414" s="19" t="str">
        <x:v>Repair in Progress</x:v>
      </x:c>
      <x:c r="H5414" s="19" t="str">
        <x:v>In Field</x:v>
      </x:c>
      <x:c r="I5414" s="37" t="n">
        <x:v>46071</x:v>
      </x:c>
      <x:c r="J5414" s="37" t="n">
        <x:v>46071</x:v>
      </x:c>
      <x:c r="K5414" s="19" t="str">
        <x:v>The Caravan Hub - Townsville</x:v>
      </x:c>
      <x:c r="L5414" s="19" t="str">
        <x:v>Z006</x:v>
      </x:c>
      <x:c r="M5414" s="19" t="str">
        <x:v>In Field Warranty Claims</x:v>
      </x:c>
      <x:c r="N5414" s="37" t="n">
        <x:v>45958</x:v>
      </x:c>
      <x:c r="O5414" s="37"/>
      <x:c r="P5414" s="34" t="n">
        <x:v>0</x:v>
      </x:c>
      <x:c r="Q5414" s="37" t="n">
        <x:v>46071.01736111111</x:v>
      </x:c>
    </x:row>
    <x:row r="5415">
      <x:c r="A5415" s="22" t="n">
        <x:v>27181</x:v>
      </x:c>
      <x:c r="B5415" s="28" t="n">
        <x:v>270</x:v>
      </x:c>
      <x:c r="C5415" s="28" t="n">
        <x:v>297</x:v>
      </x:c>
      <x:c r="D5415" s="31" t="n">
        <x:f>IF(OR(ISBLANK(B5415),ISBLANK(C5415),B5415=0),"",(C5415-B5415)/B5415)</x:f>
        <x:v>0.1</x:v>
      </x:c>
      <x:c r="E5415" s="22" t="str">
        <x:f>IF(ISBLANK(C5415),"AmountIncludingTax缺失",IF(ABS(B5415-C5415)&lt;0.005,"一致","不一致"))</x:f>
        <x:v>不一致</x:v>
      </x:c>
      <x:c r="F5415" s="19" t="str">
        <x:v>approved</x:v>
      </x:c>
      <x:c r="G5415" s="19" t="str">
        <x:v>Repair in Progress</x:v>
      </x:c>
      <x:c r="H5415" s="19" t="str">
        <x:v>In Field</x:v>
      </x:c>
      <x:c r="I5415" s="37" t="n">
        <x:v>46149</x:v>
      </x:c>
      <x:c r="J5415" s="37" t="n">
        <x:v>46149</x:v>
      </x:c>
      <x:c r="K5415" s="19" t="str">
        <x:v>ABCO Caravans - Boambee Valley</x:v>
      </x:c>
      <x:c r="L5415" s="19" t="str">
        <x:v>Z006</x:v>
      </x:c>
      <x:c r="M5415" s="19" t="str">
        <x:v>In Field Warranty Claims</x:v>
      </x:c>
      <x:c r="N5415" s="37" t="n">
        <x:v>45958</x:v>
      </x:c>
      <x:c r="O5415" s="37"/>
      <x:c r="P5415" s="34" t="n">
        <x:v>297</x:v>
      </x:c>
      <x:c r="Q5415" s="37" t="n">
        <x:v>46149.14635416667</x:v>
      </x:c>
    </x:row>
    <x:row r="5416">
      <x:c r="A5416" s="22" t="n">
        <x:v>27180</x:v>
      </x:c>
      <x:c r="B5416" s="28" t="n">
        <x:v>742.5</x:v>
      </x:c>
      <x:c r="C5416" s="28" t="n">
        <x:v>816.75</x:v>
      </x:c>
      <x:c r="D5416" s="31" t="n">
        <x:f>IF(OR(ISBLANK(B5416),ISBLANK(C5416),B5416=0),"",(C5416-B5416)/B5416)</x:f>
        <x:v>0.1</x:v>
      </x:c>
      <x:c r="E5416" s="22" t="str">
        <x:f>IF(ISBLANK(C5416),"AmountIncludingTax缺失",IF(ABS(B5416-C5416)&lt;0.005,"一致","不一致"))</x:f>
        <x:v>不一致</x:v>
      </x:c>
      <x:c r="F5416" s="19" t="str">
        <x:v>approved</x:v>
      </x:c>
      <x:c r="G5416" s="19" t="str">
        <x:v>Repairer Invoiced Processed</x:v>
      </x:c>
      <x:c r="H5416" s="19" t="str">
        <x:v>In Field</x:v>
      </x:c>
      <x:c r="I5416" s="37" t="n">
        <x:v>46080</x:v>
      </x:c>
      <x:c r="J5416" s="37" t="n">
        <x:v>46080</x:v>
      </x:c>
      <x:c r="K5416" s="19" t="str">
        <x:v>Green RV - Forest Glen</x:v>
      </x:c>
      <x:c r="L5416" s="19" t="str">
        <x:v>Z006</x:v>
      </x:c>
      <x:c r="M5416" s="19" t="str">
        <x:v>In Field Warranty Claims</x:v>
      </x:c>
      <x:c r="N5416" s="37" t="n">
        <x:v>45958</x:v>
      </x:c>
      <x:c r="O5416" s="37"/>
      <x:c r="P5416" s="34" t="n">
        <x:v>816.75</x:v>
      </x:c>
      <x:c r="Q5416" s="37" t="n">
        <x:v>46079.87787037037</x:v>
      </x:c>
    </x:row>
    <x:row r="5417">
      <x:c r="A5417" s="22" t="n">
        <x:v>27179</x:v>
      </x:c>
      <x:c r="B5417" s="28" t="n">
        <x:v>290</x:v>
      </x:c>
      <x:c r="C5417" s="28" t="n">
        <x:v>319</x:v>
      </x:c>
      <x:c r="D5417" s="31" t="n">
        <x:f>IF(OR(ISBLANK(B5417),ISBLANK(C5417),B5417=0),"",(C5417-B5417)/B5417)</x:f>
        <x:v>0.1</x:v>
      </x:c>
      <x:c r="E5417" s="22" t="str">
        <x:f>IF(ISBLANK(C5417),"AmountIncludingTax缺失",IF(ABS(B5417-C5417)&lt;0.005,"一致","不一致"))</x:f>
        <x:v>不一致</x:v>
      </x:c>
      <x:c r="F5417" s="19" t="str">
        <x:v>approved</x:v>
      </x:c>
      <x:c r="G5417" s="19" t="str">
        <x:v>Repairer Invoiced Processed</x:v>
      </x:c>
      <x:c r="H5417" s="19" t="str">
        <x:v>In Field</x:v>
      </x:c>
      <x:c r="I5417" s="37" t="n">
        <x:v>46157</x:v>
      </x:c>
      <x:c r="J5417" s="37" t="n">
        <x:v>46157</x:v>
      </x:c>
      <x:c r="K5417" s="19" t="str">
        <x:v>The Caravan Hub - Townsville</x:v>
      </x:c>
      <x:c r="L5417" s="19" t="str">
        <x:v>Z006</x:v>
      </x:c>
      <x:c r="M5417" s="19" t="str">
        <x:v>In Field Warranty Claims</x:v>
      </x:c>
      <x:c r="N5417" s="37" t="n">
        <x:v>45958</x:v>
      </x:c>
      <x:c r="O5417" s="37"/>
      <x:c r="P5417" s="34" t="n">
        <x:v>319</x:v>
      </x:c>
      <x:c r="Q5417" s="37" t="n">
        <x:v>46157.11943287037</x:v>
      </x:c>
    </x:row>
    <x:row r="5418">
      <x:c r="A5418" s="22" t="n">
        <x:v>27164</x:v>
      </x:c>
      <x:c r="B5418" s="28" t="n">
        <x:v>2537.5</x:v>
      </x:c>
      <x:c r="C5418" s="28"/>
      <x:c r="D5418" s="31" t="str">
        <x:f>IF(OR(ISBLANK(B5418),ISBLANK(C5418),B5418=0),"",(C5418-B5418)/B5418)</x:f>
      </x:c>
      <x:c r="E5418" s="22" t="str">
        <x:f>IF(ISBLANK(C5418),"AmountIncludingTax缺失",IF(ABS(B5418-C5418)&lt;0.005,"一致","不一致"))</x:f>
        <x:v>AmountIncludingTax缺失</x:v>
      </x:c>
      <x:c r="F5418" s="19" t="str">
        <x:v>approved</x:v>
      </x:c>
      <x:c r="G5418" s="19" t="str">
        <x:v>Repairer Invoiced Processed</x:v>
      </x:c>
      <x:c r="H5418" s="19" t="str">
        <x:v>In Field</x:v>
      </x:c>
      <x:c r="I5418" s="37" t="n">
        <x:v>46079</x:v>
      </x:c>
      <x:c r="J5418" s="37" t="n">
        <x:v>46079</x:v>
      </x:c>
      <x:c r="K5418" s="19" t="str">
        <x:v>Regent RV - Townsville</x:v>
      </x:c>
      <x:c r="L5418" s="19" t="str">
        <x:v>Z006</x:v>
      </x:c>
      <x:c r="M5418" s="19" t="str">
        <x:v>In Field Warranty Claims</x:v>
      </x:c>
      <x:c r="N5418" s="37" t="n">
        <x:v>45958</x:v>
      </x:c>
      <x:c r="O5418" s="37"/>
      <x:c r="P5418" s="34" t="n">
        <x:v>2791.25</x:v>
      </x:c>
      <x:c r="Q5418" s="37" t="n">
        <x:v>46079.25246527778</x:v>
      </x:c>
    </x:row>
    <x:row r="5419">
      <x:c r="A5419" s="22" t="n">
        <x:v>27158</x:v>
      </x:c>
      <x:c r="B5419" s="28" t="n">
        <x:v>2716.4</x:v>
      </x:c>
      <x:c r="C5419" s="28"/>
      <x:c r="D5419" s="31" t="str">
        <x:f>IF(OR(ISBLANK(B5419),ISBLANK(C5419),B5419=0),"",(C5419-B5419)/B5419)</x:f>
      </x:c>
      <x:c r="E5419" s="22" t="str">
        <x:f>IF(ISBLANK(C5419),"AmountIncludingTax缺失",IF(ABS(B5419-C5419)&lt;0.005,"一致","不一致"))</x:f>
        <x:v>AmountIncludingTax缺失</x:v>
      </x:c>
      <x:c r="F5419" s="19" t="str">
        <x:v>approved</x:v>
      </x:c>
      <x:c r="G5419" s="19" t="str">
        <x:v>Repairer Invoiced Processed</x:v>
      </x:c>
      <x:c r="H5419" s="19" t="str">
        <x:v>In Field</x:v>
      </x:c>
      <x:c r="I5419" s="37" t="n">
        <x:v>46030</x:v>
      </x:c>
      <x:c r="J5419" s="37" t="n">
        <x:v>46030</x:v>
      </x:c>
      <x:c r="K5419" s="19" t="str">
        <x:v>Auswide Caravans - South Nowra</x:v>
      </x:c>
      <x:c r="L5419" s="19" t="str">
        <x:v>Z006</x:v>
      </x:c>
      <x:c r="M5419" s="19" t="str">
        <x:v>In Field Warranty Claims</x:v>
      </x:c>
      <x:c r="N5419" s="37" t="n">
        <x:v>45958</x:v>
      </x:c>
      <x:c r="O5419" s="37"/>
      <x:c r="P5419" s="34" t="n">
        <x:v>2988.04</x:v>
      </x:c>
      <x:c r="Q5419" s="37" t="n">
        <x:v>46030.22361111111</x:v>
      </x:c>
    </x:row>
    <x:row r="5420">
      <x:c r="A5420" s="22" t="n">
        <x:v>27157</x:v>
      </x:c>
      <x:c r="B5420" s="28" t="n">
        <x:v>1166.52</x:v>
      </x:c>
      <x:c r="C5420" s="28"/>
      <x:c r="D5420" s="31" t="str">
        <x:f>IF(OR(ISBLANK(B5420),ISBLANK(C5420),B5420=0),"",(C5420-B5420)/B5420)</x:f>
      </x:c>
      <x:c r="E5420" s="22" t="str">
        <x:f>IF(ISBLANK(C5420),"AmountIncludingTax缺失",IF(ABS(B5420-C5420)&lt;0.005,"一致","不一致"))</x:f>
        <x:v>AmountIncludingTax缺失</x:v>
      </x:c>
      <x:c r="F5420" s="19" t="str">
        <x:v>approved</x:v>
      </x:c>
      <x:c r="G5420" s="19" t="str">
        <x:v>Repairer Invoiced Processed</x:v>
      </x:c>
      <x:c r="H5420" s="19" t="str">
        <x:v>In Field</x:v>
      </x:c>
      <x:c r="I5420" s="37" t="n">
        <x:v>46024</x:v>
      </x:c>
      <x:c r="J5420" s="37" t="n">
        <x:v>46024</x:v>
      </x:c>
      <x:c r="K5420" s="19" t="str">
        <x:v>Regent RV - Toowoomba</x:v>
      </x:c>
      <x:c r="L5420" s="19" t="str">
        <x:v>Z006</x:v>
      </x:c>
      <x:c r="M5420" s="19" t="str">
        <x:v>In Field Warranty Claims</x:v>
      </x:c>
      <x:c r="N5420" s="37" t="n">
        <x:v>45958</x:v>
      </x:c>
      <x:c r="O5420" s="37"/>
      <x:c r="P5420" s="34" t="n">
        <x:v>1283.17</x:v>
      </x:c>
      <x:c r="Q5420" s="37" t="n">
        <x:v>46024.16584490741</x:v>
      </x:c>
    </x:row>
    <x:row r="5421">
      <x:c r="A5421" s="22" t="n">
        <x:v>27155</x:v>
      </x:c>
      <x:c r="B5421" s="28" t="n">
        <x:v>757.73</x:v>
      </x:c>
      <x:c r="C5421" s="28" t="n">
        <x:v>833.5</x:v>
      </x:c>
      <x:c r="D5421" s="31" t="n">
        <x:f>IF(OR(ISBLANK(B5421),ISBLANK(C5421),B5421=0),"",(C5421-B5421)/B5421)</x:f>
        <x:v>0.09999604080609185</x:v>
      </x:c>
      <x:c r="E5421" s="22" t="str">
        <x:f>IF(ISBLANK(C5421),"AmountIncludingTax缺失",IF(ABS(B5421-C5421)&lt;0.005,"一致","不一致"))</x:f>
        <x:v>不一致</x:v>
      </x:c>
      <x:c r="F5421" s="19" t="str">
        <x:v>approved</x:v>
      </x:c>
      <x:c r="G5421" s="19" t="str">
        <x:v>Repairer Invoiced Received</x:v>
      </x:c>
      <x:c r="H5421" s="19" t="str">
        <x:v>In Field</x:v>
      </x:c>
      <x:c r="I5421" s="37" t="n">
        <x:v>46065</x:v>
      </x:c>
      <x:c r="J5421" s="37" t="n">
        <x:v>46065</x:v>
      </x:c>
      <x:c r="K5421" s="19" t="str">
        <x:v>Lesiure Lion-New Castle</x:v>
      </x:c>
      <x:c r="L5421" s="19" t="str">
        <x:v>Z006</x:v>
      </x:c>
      <x:c r="M5421" s="19" t="str">
        <x:v>In Field Warranty Claims</x:v>
      </x:c>
      <x:c r="N5421" s="37" t="n">
        <x:v>45958</x:v>
      </x:c>
      <x:c r="O5421" s="37"/>
      <x:c r="P5421" s="34" t="n">
        <x:v>833.5</x:v>
      </x:c>
      <x:c r="Q5421" s="37" t="n">
        <x:v>46064.940625</x:v>
      </x:c>
    </x:row>
    <x:row r="5422">
      <x:c r="A5422" s="22" t="n">
        <x:v>27144</x:v>
      </x:c>
      <x:c r="B5422" s="28" t="n">
        <x:v>2742.53</x:v>
      </x:c>
      <x:c r="C5422" s="28"/>
      <x:c r="D5422" s="31" t="str">
        <x:f>IF(OR(ISBLANK(B5422),ISBLANK(C5422),B5422=0),"",(C5422-B5422)/B5422)</x:f>
      </x:c>
      <x:c r="E5422" s="22" t="str">
        <x:f>IF(ISBLANK(C5422),"AmountIncludingTax缺失",IF(ABS(B5422-C5422)&lt;0.005,"一致","不一致"))</x:f>
        <x:v>AmountIncludingTax缺失</x:v>
      </x:c>
      <x:c r="F5422" s="19" t="str">
        <x:v>approved</x:v>
      </x:c>
      <x:c r="G5422" s="19" t="str">
        <x:v>Repairer Invoiced Processed</x:v>
      </x:c>
      <x:c r="H5422" s="19" t="str">
        <x:v>In Field</x:v>
      </x:c>
      <x:c r="I5422" s="37" t="n">
        <x:v>46146</x:v>
      </x:c>
      <x:c r="J5422" s="37" t="n">
        <x:v>46146</x:v>
      </x:c>
      <x:c r="K5422" s="19" t="str">
        <x:v>Not Assigned</x:v>
      </x:c>
      <x:c r="L5422" s="19" t="str">
        <x:v>Z006</x:v>
      </x:c>
      <x:c r="M5422" s="19" t="str">
        <x:v>In Field Warranty Claims</x:v>
      </x:c>
      <x:c r="N5422" s="37" t="n">
        <x:v>45957</x:v>
      </x:c>
      <x:c r="O5422" s="37"/>
      <x:c r="P5422" s="34" t="n">
        <x:v>3016.78</x:v>
      </x:c>
      <x:c r="Q5422" s="37" t="n">
        <x:v>46146.00340277778</x:v>
      </x:c>
    </x:row>
    <x:row r="5423">
      <x:c r="A5423" s="22" t="n">
        <x:v>27138</x:v>
      </x:c>
      <x:c r="B5423" s="28" t="n">
        <x:v>356.25</x:v>
      </x:c>
      <x:c r="C5423" s="28"/>
      <x:c r="D5423" s="31" t="str">
        <x:f>IF(OR(ISBLANK(B5423),ISBLANK(C5423),B5423=0),"",(C5423-B5423)/B5423)</x:f>
      </x:c>
      <x:c r="E5423" s="22" t="str">
        <x:f>IF(ISBLANK(C5423),"AmountIncludingTax缺失",IF(ABS(B5423-C5423)&lt;0.005,"一致","不一致"))</x:f>
        <x:v>AmountIncludingTax缺失</x:v>
      </x:c>
      <x:c r="F5423" s="19" t="str">
        <x:v>approved</x:v>
      </x:c>
      <x:c r="G5423" s="19" t="str">
        <x:v>Repair in Progress</x:v>
      </x:c>
      <x:c r="H5423" s="19" t="str">
        <x:v>In Field</x:v>
      </x:c>
      <x:c r="I5423" s="37" t="n">
        <x:v>46071</x:v>
      </x:c>
      <x:c r="J5423" s="37" t="n">
        <x:v>46071</x:v>
      </x:c>
      <x:c r="K5423" s="19" t="str">
        <x:v>The Caravan Hub - Townsville</x:v>
      </x:c>
      <x:c r="L5423" s="19" t="str">
        <x:v>Z006</x:v>
      </x:c>
      <x:c r="M5423" s="19" t="str">
        <x:v>In Field Warranty Claims</x:v>
      </x:c>
      <x:c r="N5423" s="37" t="n">
        <x:v>45957</x:v>
      </x:c>
      <x:c r="O5423" s="37"/>
      <x:c r="P5423" s="34" t="n">
        <x:v>0</x:v>
      </x:c>
      <x:c r="Q5423" s="37" t="n">
        <x:v>46071.001064814816</x:v>
      </x:c>
    </x:row>
    <x:row r="5424">
      <x:c r="A5424" s="22" t="n">
        <x:v>27134</x:v>
      </x:c>
      <x:c r="B5424" s="28" t="n">
        <x:v>127.26</x:v>
      </x:c>
      <x:c r="C5424" s="28" t="n">
        <x:v>139.99</x:v>
      </x:c>
      <x:c r="D5424" s="31" t="n">
        <x:f>IF(OR(ISBLANK(B5424),ISBLANK(C5424),B5424=0),"",(C5424-B5424)/B5424)</x:f>
        <x:v>0.10003143171460006</x:v>
      </x:c>
      <x:c r="E5424" s="22" t="str">
        <x:f>IF(ISBLANK(C5424),"AmountIncludingTax缺失",IF(ABS(B5424-C5424)&lt;0.005,"一致","不一致"))</x:f>
        <x:v>不一致</x:v>
      </x:c>
      <x:c r="F5424" s="19" t="str">
        <x:v>approved</x:v>
      </x:c>
      <x:c r="G5424" s="19" t="str">
        <x:v>Repairer Invoiced Processed</x:v>
      </x:c>
      <x:c r="H5424" s="19" t="str">
        <x:v>In Field</x:v>
      </x:c>
      <x:c r="I5424" s="37" t="n">
        <x:v>46037</x:v>
      </x:c>
      <x:c r="J5424" s="37" t="n">
        <x:v>46037</x:v>
      </x:c>
      <x:c r="K5424" s="19" t="str">
        <x:v>Sherrif Caravans &amp; Traliers - Prospect Vale</x:v>
      </x:c>
      <x:c r="L5424" s="19" t="str">
        <x:v>Z006</x:v>
      </x:c>
      <x:c r="M5424" s="19" t="str">
        <x:v>In Field Warranty Claims</x:v>
      </x:c>
      <x:c r="N5424" s="37" t="n">
        <x:v>45957</x:v>
      </x:c>
      <x:c r="O5424" s="37"/>
      <x:c r="P5424" s="34" t="n">
        <x:v>139.99</x:v>
      </x:c>
      <x:c r="Q5424" s="37" t="n">
        <x:v>46036.99390046296</x:v>
      </x:c>
    </x:row>
    <x:row r="5425">
      <x:c r="A5425" s="22" t="n">
        <x:v>27132</x:v>
      </x:c>
      <x:c r="B5425" s="28" t="n">
        <x:v>1200.61</x:v>
      </x:c>
      <x:c r="C5425" s="28"/>
      <x:c r="D5425" s="31" t="str">
        <x:f>IF(OR(ISBLANK(B5425),ISBLANK(C5425),B5425=0),"",(C5425-B5425)/B5425)</x:f>
      </x:c>
      <x:c r="E5425" s="22" t="str">
        <x:f>IF(ISBLANK(C5425),"AmountIncludingTax缺失",IF(ABS(B5425-C5425)&lt;0.005,"一致","不一致"))</x:f>
        <x:v>AmountIncludingTax缺失</x:v>
      </x:c>
      <x:c r="F5425" s="19" t="str">
        <x:v>approved</x:v>
      </x:c>
      <x:c r="G5425" s="19" t="str">
        <x:v>Repair in Progress</x:v>
      </x:c>
      <x:c r="H5425" s="19" t="str">
        <x:v>Pre Delivery</x:v>
      </x:c>
      <x:c r="I5425" s="37" t="n">
        <x:v>46035</x:v>
      </x:c>
      <x:c r="J5425" s="37" t="n">
        <x:v>46035</x:v>
      </x:c>
      <x:c r="K5425" s="19" t="str">
        <x:v>QCCC - Gympie</x:v>
      </x:c>
      <x:c r="L5425" s="19" t="str">
        <x:v>Z005</x:v>
      </x:c>
      <x:c r="M5425" s="19" t="str">
        <x:v>Pre Delivery Warranty Claims</x:v>
      </x:c>
      <x:c r="N5425" s="37" t="n">
        <x:v>45957</x:v>
      </x:c>
      <x:c r="O5425" s="37"/>
      <x:c r="P5425" s="34" t="n">
        <x:v>1320.67</x:v>
      </x:c>
      <x:c r="Q5425" s="37" t="n">
        <x:v>46035.20174768518</x:v>
      </x:c>
    </x:row>
    <x:row r="5426">
      <x:c r="A5426" s="22" t="n">
        <x:v>27129</x:v>
      </x:c>
      <x:c r="B5426" s="28" t="n">
        <x:v>367.5</x:v>
      </x:c>
      <x:c r="C5426" s="28"/>
      <x:c r="D5426" s="31" t="str">
        <x:f>IF(OR(ISBLANK(B5426),ISBLANK(C5426),B5426=0),"",(C5426-B5426)/B5426)</x:f>
      </x:c>
      <x:c r="E5426" s="22" t="str">
        <x:f>IF(ISBLANK(C5426),"AmountIncludingTax缺失",IF(ABS(B5426-C5426)&lt;0.005,"一致","不一致"))</x:f>
        <x:v>AmountIncludingTax缺失</x:v>
      </x:c>
      <x:c r="F5426" s="19" t="str">
        <x:v>approved</x:v>
      </x:c>
      <x:c r="G5426" s="19" t="str">
        <x:v>Repair in Progress</x:v>
      </x:c>
      <x:c r="H5426" s="19" t="str">
        <x:v>In Field</x:v>
      </x:c>
      <x:c r="I5426" s="37" t="n">
        <x:v>46092</x:v>
      </x:c>
      <x:c r="J5426" s="37" t="n">
        <x:v>46092</x:v>
      </x:c>
      <x:c r="K5426" s="19" t="str">
        <x:v>Regent RV - Townsville</x:v>
      </x:c>
      <x:c r="L5426" s="19" t="str">
        <x:v>Z006</x:v>
      </x:c>
      <x:c r="M5426" s="19" t="str">
        <x:v>In Field Warranty Claims</x:v>
      </x:c>
      <x:c r="N5426" s="37" t="n">
        <x:v>45957</x:v>
      </x:c>
      <x:c r="O5426" s="37"/>
      <x:c r="P5426" s="34" t="n">
        <x:v>0</x:v>
      </x:c>
      <x:c r="Q5426" s="37" t="n">
        <x:v>46091.9894212963</x:v>
      </x:c>
    </x:row>
    <x:row r="5427">
      <x:c r="A5427" s="22" t="n">
        <x:v>27127</x:v>
      </x:c>
      <x:c r="B5427" s="28" t="n">
        <x:v>501.7</x:v>
      </x:c>
      <x:c r="C5427" s="28"/>
      <x:c r="D5427" s="31" t="str">
        <x:f>IF(OR(ISBLANK(B5427),ISBLANK(C5427),B5427=0),"",(C5427-B5427)/B5427)</x:f>
      </x:c>
      <x:c r="E5427" s="22" t="str">
        <x:f>IF(ISBLANK(C5427),"AmountIncludingTax缺失",IF(ABS(B5427-C5427)&lt;0.005,"一致","不一致"))</x:f>
        <x:v>AmountIncludingTax缺失</x:v>
      </x:c>
      <x:c r="F5427" s="19" t="str">
        <x:v>approved</x:v>
      </x:c>
      <x:c r="G5427" s="19" t="str">
        <x:v>Repairer Invoiced Processed</x:v>
      </x:c>
      <x:c r="H5427" s="19" t="str">
        <x:v>In Field</x:v>
      </x:c>
      <x:c r="I5427" s="37" t="n">
        <x:v>46188</x:v>
      </x:c>
      <x:c r="J5427" s="37" t="n">
        <x:v>46076</x:v>
      </x:c>
      <x:c r="K5427" s="19" t="str">
        <x:v>Regent RV - Townsville</x:v>
      </x:c>
      <x:c r="L5427" s="19" t="str">
        <x:v>Z006</x:v>
      </x:c>
      <x:c r="M5427" s="19" t="str">
        <x:v>In Field Warranty Claims</x:v>
      </x:c>
      <x:c r="N5427" s="37" t="n">
        <x:v>45957</x:v>
      </x:c>
      <x:c r="O5427" s="37"/>
      <x:c r="P5427" s="34" t="n">
        <x:v>0</x:v>
      </x:c>
      <x:c r="Q5427" s="37" t="n">
        <x:v>46188.209710648145</x:v>
      </x:c>
    </x:row>
    <x:row r="5428">
      <x:c r="A5428" s="22" t="n">
        <x:v>27117</x:v>
      </x:c>
      <x:c r="B5428" s="28" t="n">
        <x:v>195</x:v>
      </x:c>
      <x:c r="C5428" s="28"/>
      <x:c r="D5428" s="31" t="str">
        <x:f>IF(OR(ISBLANK(B5428),ISBLANK(C5428),B5428=0),"",(C5428-B5428)/B5428)</x:f>
      </x:c>
      <x:c r="E5428" s="22" t="str">
        <x:f>IF(ISBLANK(C5428),"AmountIncludingTax缺失",IF(ABS(B5428-C5428)&lt;0.005,"一致","不一致"))</x:f>
        <x:v>AmountIncludingTax缺失</x:v>
      </x:c>
      <x:c r="F5428" s="19" t="str">
        <x:v>approved</x:v>
      </x:c>
      <x:c r="G5428" s="19" t="str">
        <x:v>Repair in Progress</x:v>
      </x:c>
      <x:c r="H5428" s="19" t="str">
        <x:v>In Field</x:v>
      </x:c>
      <x:c r="I5428" s="37" t="n">
        <x:v>46035</x:v>
      </x:c>
      <x:c r="J5428" s="37" t="n">
        <x:v>46035</x:v>
      </x:c>
      <x:c r="K5428" s="19" t="str">
        <x:v>Regent RV - Frankston</x:v>
      </x:c>
      <x:c r="L5428" s="19" t="str">
        <x:v>Z006</x:v>
      </x:c>
      <x:c r="M5428" s="19" t="str">
        <x:v>In Field Warranty Claims</x:v>
      </x:c>
      <x:c r="N5428" s="37" t="n">
        <x:v>45957</x:v>
      </x:c>
      <x:c r="O5428" s="37"/>
      <x:c r="P5428" s="34" t="n">
        <x:v>0</x:v>
      </x:c>
      <x:c r="Q5428" s="37" t="n">
        <x:v>46035.0609375</x:v>
      </x:c>
    </x:row>
    <x:row r="5429">
      <x:c r="A5429" s="22" t="n">
        <x:v>27115</x:v>
      </x:c>
      <x:c r="B5429" s="28" t="n">
        <x:v>67.5</x:v>
      </x:c>
      <x:c r="C5429" s="28"/>
      <x:c r="D5429" s="31" t="str">
        <x:f>IF(OR(ISBLANK(B5429),ISBLANK(C5429),B5429=0),"",(C5429-B5429)/B5429)</x:f>
      </x:c>
      <x:c r="E5429" s="22" t="str">
        <x:f>IF(ISBLANK(C5429),"AmountIncludingTax缺失",IF(ABS(B5429-C5429)&lt;0.005,"一致","不一致"))</x:f>
        <x:v>AmountIncludingTax缺失</x:v>
      </x:c>
      <x:c r="F5429" s="19" t="str">
        <x:v>approved</x:v>
      </x:c>
      <x:c r="G5429" s="19" t="str">
        <x:v>Repair in Progress</x:v>
      </x:c>
      <x:c r="H5429" s="19" t="str">
        <x:v>In Field</x:v>
      </x:c>
      <x:c r="I5429" s="37" t="n">
        <x:v>46121</x:v>
      </x:c>
      <x:c r="J5429" s="37" t="n">
        <x:v>46121</x:v>
      </x:c>
      <x:c r="K5429" s="19" t="str">
        <x:v>Lesiure Lion-New Castle</x:v>
      </x:c>
      <x:c r="L5429" s="19" t="str">
        <x:v>Z006</x:v>
      </x:c>
      <x:c r="M5429" s="19" t="str">
        <x:v>In Field Warranty Claims</x:v>
      </x:c>
      <x:c r="N5429" s="37" t="n">
        <x:v>45957</x:v>
      </x:c>
      <x:c r="O5429" s="37"/>
      <x:c r="P5429" s="34" t="n">
        <x:v>0</x:v>
      </x:c>
      <x:c r="Q5429" s="37" t="n">
        <x:v>46121.17711805556</x:v>
      </x:c>
    </x:row>
    <x:row r="5430">
      <x:c r="A5430" s="22" t="n">
        <x:v>27110</x:v>
      </x:c>
      <x:c r="B5430" s="28" t="n">
        <x:v>1410.08</x:v>
      </x:c>
      <x:c r="C5430" s="28"/>
      <x:c r="D5430" s="31" t="str">
        <x:f>IF(OR(ISBLANK(B5430),ISBLANK(C5430),B5430=0),"",(C5430-B5430)/B5430)</x:f>
      </x:c>
      <x:c r="E5430" s="22" t="str">
        <x:f>IF(ISBLANK(C5430),"AmountIncludingTax缺失",IF(ABS(B5430-C5430)&lt;0.005,"一致","不一致"))</x:f>
        <x:v>AmountIncludingTax缺失</x:v>
      </x:c>
      <x:c r="F5430" s="19" t="str">
        <x:v>approved</x:v>
      </x:c>
      <x:c r="G5430" s="19" t="str">
        <x:v>Repairer Invoiced Processed</x:v>
      </x:c>
      <x:c r="H5430" s="19" t="str">
        <x:v>In Field</x:v>
      </x:c>
      <x:c r="I5430" s="37" t="n">
        <x:v>46199</x:v>
      </x:c>
      <x:c r="J5430" s="37" t="n">
        <x:v>46199</x:v>
      </x:c>
      <x:c r="K5430" s="19" t="str">
        <x:v>Leisure Lion Pty Ltd - Toowoomba</x:v>
      </x:c>
      <x:c r="L5430" s="19" t="str">
        <x:v>Z006</x:v>
      </x:c>
      <x:c r="M5430" s="19" t="str">
        <x:v>In Field Warranty Claims</x:v>
      </x:c>
      <x:c r="N5430" s="37" t="n">
        <x:v>45957</x:v>
      </x:c>
      <x:c r="O5430" s="37"/>
      <x:c r="P5430" s="34" t="n">
        <x:v>0</x:v>
      </x:c>
      <x:c r="Q5430" s="37" t="n">
        <x:v>46198.97423611111</x:v>
      </x:c>
    </x:row>
    <x:row r="5431">
      <x:c r="A5431" s="22" t="n">
        <x:v>27109</x:v>
      </x:c>
      <x:c r="B5431" s="28" t="n">
        <x:v>80</x:v>
      </x:c>
      <x:c r="C5431" s="28"/>
      <x:c r="D5431" s="31" t="str">
        <x:f>IF(OR(ISBLANK(B5431),ISBLANK(C5431),B5431=0),"",(C5431-B5431)/B5431)</x:f>
      </x:c>
      <x:c r="E5431" s="22" t="str">
        <x:f>IF(ISBLANK(C5431),"AmountIncludingTax缺失",IF(ABS(B5431-C5431)&lt;0.005,"一致","不一致"))</x:f>
        <x:v>AmountIncludingTax缺失</x:v>
      </x:c>
      <x:c r="F5431" s="19" t="str">
        <x:v>approved</x:v>
      </x:c>
      <x:c r="G5431" s="19" t="str">
        <x:v>Repairer Invoiced Processed</x:v>
      </x:c>
      <x:c r="H5431" s="19" t="str">
        <x:v>In Field</x:v>
      </x:c>
      <x:c r="I5431" s="37" t="n">
        <x:v>46078</x:v>
      </x:c>
      <x:c r="J5431" s="37" t="n">
        <x:v>46078</x:v>
      </x:c>
      <x:c r="K5431" s="19" t="str">
        <x:v>Destiny RV - South Australia</x:v>
      </x:c>
      <x:c r="L5431" s="19" t="str">
        <x:v>Z006</x:v>
      </x:c>
      <x:c r="M5431" s="19" t="str">
        <x:v>In Field Warranty Claims</x:v>
      </x:c>
      <x:c r="N5431" s="37" t="n">
        <x:v>45957</x:v>
      </x:c>
      <x:c r="O5431" s="37"/>
      <x:c r="P5431" s="34" t="n">
        <x:v>0</x:v>
      </x:c>
      <x:c r="Q5431" s="37" t="n">
        <x:v>46078.102997685186</x:v>
      </x:c>
    </x:row>
    <x:row r="5432">
      <x:c r="A5432" s="22" t="n">
        <x:v>27106</x:v>
      </x:c>
      <x:c r="B5432" s="28" t="n">
        <x:v>810</x:v>
      </x:c>
      <x:c r="C5432" s="28"/>
      <x:c r="D5432" s="31" t="str">
        <x:f>IF(OR(ISBLANK(B5432),ISBLANK(C5432),B5432=0),"",(C5432-B5432)/B5432)</x:f>
      </x:c>
      <x:c r="E5432" s="22" t="str">
        <x:f>IF(ISBLANK(C5432),"AmountIncludingTax缺失",IF(ABS(B5432-C5432)&lt;0.005,"一致","不一致"))</x:f>
        <x:v>AmountIncludingTax缺失</x:v>
      </x:c>
      <x:c r="F5432" s="19" t="str">
        <x:v>approved</x:v>
      </x:c>
      <x:c r="G5432" s="19" t="str">
        <x:v>Repair in Progress</x:v>
      </x:c>
      <x:c r="H5432" s="19" t="str">
        <x:v>In Field</x:v>
      </x:c>
      <x:c r="I5432" s="37" t="n">
        <x:v>46143</x:v>
      </x:c>
      <x:c r="J5432" s="37" t="n">
        <x:v>46143</x:v>
      </x:c>
      <x:c r="K5432" s="19" t="str">
        <x:v>Regent RV - Frankston</x:v>
      </x:c>
      <x:c r="L5432" s="19" t="str">
        <x:v>Z006</x:v>
      </x:c>
      <x:c r="M5432" s="19" t="str">
        <x:v>In Field Warranty Claims</x:v>
      </x:c>
      <x:c r="N5432" s="37" t="n">
        <x:v>45956</x:v>
      </x:c>
      <x:c r="O5432" s="37"/>
      <x:c r="P5432" s="34" t="n">
        <x:v>0</x:v>
      </x:c>
      <x:c r="Q5432" s="37" t="n">
        <x:v>46142.99586805556</x:v>
      </x:c>
    </x:row>
    <x:row r="5433">
      <x:c r="A5433" s="22" t="n">
        <x:v>27103</x:v>
      </x:c>
      <x:c r="B5433" s="28" t="n">
        <x:v>310</x:v>
      </x:c>
      <x:c r="C5433" s="28" t="n">
        <x:v>341</x:v>
      </x:c>
      <x:c r="D5433" s="31" t="n">
        <x:f>IF(OR(ISBLANK(B5433),ISBLANK(C5433),B5433=0),"",(C5433-B5433)/B5433)</x:f>
        <x:v>0.1</x:v>
      </x:c>
      <x:c r="E5433" s="22" t="str">
        <x:f>IF(ISBLANK(C5433),"AmountIncludingTax缺失",IF(ABS(B5433-C5433)&lt;0.005,"一致","不一致"))</x:f>
        <x:v>不一致</x:v>
      </x:c>
      <x:c r="F5433" s="19" t="str">
        <x:v>approved</x:v>
      </x:c>
      <x:c r="G5433" s="19" t="str">
        <x:v>Repair in Progress</x:v>
      </x:c>
      <x:c r="H5433" s="19" t="str">
        <x:v>In Field</x:v>
      </x:c>
      <x:c r="I5433" s="37" t="n">
        <x:v>46121</x:v>
      </x:c>
      <x:c r="J5433" s="37" t="n">
        <x:v>46120</x:v>
      </x:c>
      <x:c r="K5433" s="19" t="str">
        <x:v>Green RV - Forest Glen</x:v>
      </x:c>
      <x:c r="L5433" s="19" t="str">
        <x:v>Z006</x:v>
      </x:c>
      <x:c r="M5433" s="19" t="str">
        <x:v>In Field Warranty Claims</x:v>
      </x:c>
      <x:c r="N5433" s="37" t="n">
        <x:v>45956</x:v>
      </x:c>
      <x:c r="O5433" s="37"/>
      <x:c r="P5433" s="34" t="n">
        <x:v>341</x:v>
      </x:c>
      <x:c r="Q5433" s="37" t="n">
        <x:v>46120.59890046297</x:v>
      </x:c>
    </x:row>
    <x:row r="5434">
      <x:c r="A5434" s="22" t="n">
        <x:v>27102</x:v>
      </x:c>
      <x:c r="B5434" s="28" t="n">
        <x:v>675</x:v>
      </x:c>
      <x:c r="C5434" s="28"/>
      <x:c r="D5434" s="31" t="str">
        <x:f>IF(OR(ISBLANK(B5434),ISBLANK(C5434),B5434=0),"",(C5434-B5434)/B5434)</x:f>
      </x:c>
      <x:c r="E5434" s="22" t="str">
        <x:f>IF(ISBLANK(C5434),"AmountIncludingTax缺失",IF(ABS(B5434-C5434)&lt;0.005,"一致","不一致"))</x:f>
        <x:v>AmountIncludingTax缺失</x:v>
      </x:c>
      <x:c r="F5434" s="19" t="str">
        <x:v>approved</x:v>
      </x:c>
      <x:c r="G5434" s="19" t="str">
        <x:v>Repairer Invoiced Processed</x:v>
      </x:c>
      <x:c r="H5434" s="19" t="str">
        <x:v>In Field</x:v>
      </x:c>
      <x:c r="I5434" s="37" t="n">
        <x:v>46086</x:v>
      </x:c>
      <x:c r="J5434" s="37" t="n">
        <x:v>46086</x:v>
      </x:c>
      <x:c r="K5434" s="19" t="str">
        <x:v>ABCO Caravans - Boambee Valley</x:v>
      </x:c>
      <x:c r="L5434" s="19" t="str">
        <x:v>Z006</x:v>
      </x:c>
      <x:c r="M5434" s="19" t="str">
        <x:v>In Field Warranty Claims</x:v>
      </x:c>
      <x:c r="N5434" s="37" t="n">
        <x:v>45956</x:v>
      </x:c>
      <x:c r="O5434" s="37"/>
      <x:c r="P5434" s="34" t="n">
        <x:v>0</x:v>
      </x:c>
      <x:c r="Q5434" s="37" t="n">
        <x:v>46086.4359375</x:v>
      </x:c>
    </x:row>
    <x:row r="5435">
      <x:c r="A5435" s="22" t="n">
        <x:v>27101</x:v>
      </x:c>
      <x:c r="B5435" s="28" t="n">
        <x:v>540.93</x:v>
      </x:c>
      <x:c r="C5435" s="28"/>
      <x:c r="D5435" s="31" t="str">
        <x:f>IF(OR(ISBLANK(B5435),ISBLANK(C5435),B5435=0),"",(C5435-B5435)/B5435)</x:f>
      </x:c>
      <x:c r="E5435" s="22" t="str">
        <x:f>IF(ISBLANK(C5435),"AmountIncludingTax缺失",IF(ABS(B5435-C5435)&lt;0.005,"一致","不一致"))</x:f>
        <x:v>AmountIncludingTax缺失</x:v>
      </x:c>
      <x:c r="F5435" s="19" t="str">
        <x:v>approved</x:v>
      </x:c>
      <x:c r="G5435" s="19" t="str">
        <x:v>Repairer Invoiced Processed</x:v>
      </x:c>
      <x:c r="H5435" s="19" t="str">
        <x:v>In Field</x:v>
      </x:c>
      <x:c r="I5435" s="37" t="n">
        <x:v>46055</x:v>
      </x:c>
      <x:c r="J5435" s="37" t="n">
        <x:v>46055</x:v>
      </x:c>
      <x:c r="K5435" s="19" t="str">
        <x:v>Green RV - Forest Glen</x:v>
      </x:c>
      <x:c r="L5435" s="19" t="str">
        <x:v>Z006</x:v>
      </x:c>
      <x:c r="M5435" s="19" t="str">
        <x:v>In Field Warranty Claims</x:v>
      </x:c>
      <x:c r="N5435" s="37" t="n">
        <x:v>45956</x:v>
      </x:c>
      <x:c r="O5435" s="37"/>
      <x:c r="P5435" s="34" t="n">
        <x:v>0</x:v>
      </x:c>
      <x:c r="Q5435" s="37" t="n">
        <x:v>46055.10565972222</x:v>
      </x:c>
    </x:row>
    <x:row r="5436">
      <x:c r="A5436" s="22" t="n">
        <x:v>27099</x:v>
      </x:c>
      <x:c r="B5436" s="28" t="n">
        <x:v>429.56</x:v>
      </x:c>
      <x:c r="C5436" s="28"/>
      <x:c r="D5436" s="31" t="str">
        <x:f>IF(OR(ISBLANK(B5436),ISBLANK(C5436),B5436=0),"",(C5436-B5436)/B5436)</x:f>
      </x:c>
      <x:c r="E5436" s="22" t="str">
        <x:f>IF(ISBLANK(C5436),"AmountIncludingTax缺失",IF(ABS(B5436-C5436)&lt;0.005,"一致","不一致"))</x:f>
        <x:v>AmountIncludingTax缺失</x:v>
      </x:c>
      <x:c r="F5436" s="19" t="str">
        <x:v>approved</x:v>
      </x:c>
      <x:c r="G5436" s="19" t="str">
        <x:v>Repair in Progress</x:v>
      </x:c>
      <x:c r="H5436" s="19" t="str">
        <x:v>In Field</x:v>
      </x:c>
      <x:c r="I5436" s="37" t="n">
        <x:v>46062</x:v>
      </x:c>
      <x:c r="J5436" s="37" t="n">
        <x:v>46062</x:v>
      </x:c>
      <x:c r="K5436" s="19" t="str">
        <x:v>Regent RV - Toowoomba</x:v>
      </x:c>
      <x:c r="L5436" s="19" t="str">
        <x:v>Z006</x:v>
      </x:c>
      <x:c r="M5436" s="19" t="str">
        <x:v>In Field Warranty Claims</x:v>
      </x:c>
      <x:c r="N5436" s="37" t="n">
        <x:v>45957</x:v>
      </x:c>
      <x:c r="O5436" s="37"/>
      <x:c r="P5436" s="34" t="n">
        <x:v>0</x:v>
      </x:c>
      <x:c r="Q5436" s="37" t="n">
        <x:v>46061.86295138889</x:v>
      </x:c>
    </x:row>
    <x:row r="5437">
      <x:c r="A5437" s="22" t="n">
        <x:v>27098</x:v>
      </x:c>
      <x:c r="B5437" s="28" t="n">
        <x:v>135</x:v>
      </x:c>
      <x:c r="C5437" s="28"/>
      <x:c r="D5437" s="31" t="str">
        <x:f>IF(OR(ISBLANK(B5437),ISBLANK(C5437),B5437=0),"",(C5437-B5437)/B5437)</x:f>
      </x:c>
      <x:c r="E5437" s="22" t="str">
        <x:f>IF(ISBLANK(C5437),"AmountIncludingTax缺失",IF(ABS(B5437-C5437)&lt;0.005,"一致","不一致"))</x:f>
        <x:v>AmountIncludingTax缺失</x:v>
      </x:c>
      <x:c r="F5437" s="19" t="str">
        <x:v>approved</x:v>
      </x:c>
      <x:c r="G5437" s="19" t="str">
        <x:v>Repair in Progress</x:v>
      </x:c>
      <x:c r="H5437" s="19" t="str">
        <x:v>In Field</x:v>
      </x:c>
      <x:c r="I5437" s="37" t="n">
        <x:v>46052</x:v>
      </x:c>
      <x:c r="J5437" s="37" t="n">
        <x:v>46052</x:v>
      </x:c>
      <x:c r="K5437" s="19" t="str">
        <x:v>Leisure Lion Pty Ltd - Toowoomba</x:v>
      </x:c>
      <x:c r="L5437" s="19" t="str">
        <x:v>Z006</x:v>
      </x:c>
      <x:c r="M5437" s="19" t="str">
        <x:v>In Field Warranty Claims</x:v>
      </x:c>
      <x:c r="N5437" s="37" t="n">
        <x:v>45957</x:v>
      </x:c>
      <x:c r="O5437" s="37"/>
      <x:c r="P5437" s="34" t="n">
        <x:v>0</x:v>
      </x:c>
      <x:c r="Q5437" s="37" t="n">
        <x:v>46051.87195601852</x:v>
      </x:c>
    </x:row>
    <x:row r="5438">
      <x:c r="A5438" s="22" t="n">
        <x:v>27096</x:v>
      </x:c>
      <x:c r="B5438" s="28" t="n">
        <x:v>948.86</x:v>
      </x:c>
      <x:c r="C5438" s="28"/>
      <x:c r="D5438" s="31" t="str">
        <x:f>IF(OR(ISBLANK(B5438),ISBLANK(C5438),B5438=0),"",(C5438-B5438)/B5438)</x:f>
      </x:c>
      <x:c r="E5438" s="22" t="str">
        <x:f>IF(ISBLANK(C5438),"AmountIncludingTax缺失",IF(ABS(B5438-C5438)&lt;0.005,"一致","不一致"))</x:f>
        <x:v>AmountIncludingTax缺失</x:v>
      </x:c>
      <x:c r="F5438" s="19" t="str">
        <x:v>approved</x:v>
      </x:c>
      <x:c r="G5438" s="19" t="str">
        <x:v>Repairer Invoiced Processed</x:v>
      </x:c>
      <x:c r="H5438" s="19" t="str">
        <x:v>In Field</x:v>
      </x:c>
      <x:c r="I5438" s="37" t="n">
        <x:v>46164</x:v>
      </x:c>
      <x:c r="J5438" s="37" t="n">
        <x:v>46164</x:v>
      </x:c>
      <x:c r="K5438" s="19" t="str">
        <x:v>Regent RV - Townsville</x:v>
      </x:c>
      <x:c r="L5438" s="19" t="str">
        <x:v>Z006</x:v>
      </x:c>
      <x:c r="M5438" s="19" t="str">
        <x:v>In Field Warranty Claims</x:v>
      </x:c>
      <x:c r="N5438" s="37" t="n">
        <x:v>45957</x:v>
      </x:c>
      <x:c r="O5438" s="37" t="n">
        <x:v>45993</x:v>
      </x:c>
      <x:c r="P5438" s="34" t="n">
        <x:v>1043.75</x:v>
      </x:c>
      <x:c r="Q5438" s="37" t="n">
        <x:v>46163.96686342593</x:v>
      </x:c>
    </x:row>
    <x:row r="5439">
      <x:c r="A5439" s="22" t="n">
        <x:v>27094</x:v>
      </x:c>
      <x:c r="B5439" s="28" t="n">
        <x:v>67.5</x:v>
      </x:c>
      <x:c r="C5439" s="28" t="n">
        <x:v>74.25</x:v>
      </x:c>
      <x:c r="D5439" s="31" t="n">
        <x:f>IF(OR(ISBLANK(B5439),ISBLANK(C5439),B5439=0),"",(C5439-B5439)/B5439)</x:f>
        <x:v>0.1</x:v>
      </x:c>
      <x:c r="E5439" s="22" t="str">
        <x:f>IF(ISBLANK(C5439),"AmountIncludingTax缺失",IF(ABS(B5439-C5439)&lt;0.005,"一致","不一致"))</x:f>
        <x:v>不一致</x:v>
      </x:c>
      <x:c r="F5439" s="19" t="str">
        <x:v>approved</x:v>
      </x:c>
      <x:c r="G5439" s="19" t="str">
        <x:v>Repair in Progress</x:v>
      </x:c>
      <x:c r="H5439" s="19" t="str">
        <x:v>In Field</x:v>
      </x:c>
      <x:c r="I5439" s="37" t="n">
        <x:v>46164</x:v>
      </x:c>
      <x:c r="J5439" s="37" t="n">
        <x:v>46164</x:v>
      </x:c>
      <x:c r="K5439" s="19" t="str">
        <x:v>Lesiure Lion-New Castle</x:v>
      </x:c>
      <x:c r="L5439" s="19" t="str">
        <x:v>Z006</x:v>
      </x:c>
      <x:c r="M5439" s="19" t="str">
        <x:v>In Field Warranty Claims</x:v>
      </x:c>
      <x:c r="N5439" s="37" t="n">
        <x:v>45956</x:v>
      </x:c>
      <x:c r="O5439" s="37"/>
      <x:c r="P5439" s="34" t="n">
        <x:v>74.25</x:v>
      </x:c>
      <x:c r="Q5439" s="37" t="n">
        <x:v>46163.99506944444</x:v>
      </x:c>
    </x:row>
    <x:row r="5440">
      <x:c r="A5440" s="22" t="n">
        <x:v>27093</x:v>
      </x:c>
      <x:c r="B5440" s="28" t="n">
        <x:v>636.81</x:v>
      </x:c>
      <x:c r="C5440" s="28"/>
      <x:c r="D5440" s="31" t="str">
        <x:f>IF(OR(ISBLANK(B5440),ISBLANK(C5440),B5440=0),"",(C5440-B5440)/B5440)</x:f>
      </x:c>
      <x:c r="E5440" s="22" t="str">
        <x:f>IF(ISBLANK(C5440),"AmountIncludingTax缺失",IF(ABS(B5440-C5440)&lt;0.005,"一致","不一致"))</x:f>
        <x:v>AmountIncludingTax缺失</x:v>
      </x:c>
      <x:c r="F5440" s="19" t="str">
        <x:v>approved</x:v>
      </x:c>
      <x:c r="G5440" s="19" t="str">
        <x:v>Repairer Invoiced Received</x:v>
      </x:c>
      <x:c r="H5440" s="19" t="str">
        <x:v>Pre Delivery</x:v>
      </x:c>
      <x:c r="I5440" s="37" t="n">
        <x:v>46056</x:v>
      </x:c>
      <x:c r="J5440" s="37" t="n">
        <x:v>46056</x:v>
      </x:c>
      <x:c r="K5440" s="19" t="str">
        <x:v>Newcastle RV Super Centre - Beresfield</x:v>
      </x:c>
      <x:c r="L5440" s="19" t="str">
        <x:v>Z005</x:v>
      </x:c>
      <x:c r="M5440" s="19" t="str">
        <x:v>Pre Delivery Warranty Claims</x:v>
      </x:c>
      <x:c r="N5440" s="37" t="n">
        <x:v>45956</x:v>
      </x:c>
      <x:c r="O5440" s="37"/>
      <x:c r="P5440" s="34" t="n">
        <x:v>0</x:v>
      </x:c>
      <x:c r="Q5440" s="37" t="n">
        <x:v>46056.28571759259</x:v>
      </x:c>
    </x:row>
    <x:row r="5441">
      <x:c r="A5441" s="22" t="n">
        <x:v>27090</x:v>
      </x:c>
      <x:c r="B5441" s="28" t="n">
        <x:v>1152.32</x:v>
      </x:c>
      <x:c r="C5441" s="28"/>
      <x:c r="D5441" s="31" t="str">
        <x:f>IF(OR(ISBLANK(B5441),ISBLANK(C5441),B5441=0),"",(C5441-B5441)/B5441)</x:f>
      </x:c>
      <x:c r="E5441" s="22" t="str">
        <x:f>IF(ISBLANK(C5441),"AmountIncludingTax缺失",IF(ABS(B5441-C5441)&lt;0.005,"一致","不一致"))</x:f>
        <x:v>AmountIncludingTax缺失</x:v>
      </x:c>
      <x:c r="F5441" s="19" t="str">
        <x:v>approved</x:v>
      </x:c>
      <x:c r="G5441" s="19" t="str">
        <x:v>Repairer Invoiced Processed</x:v>
      </x:c>
      <x:c r="H5441" s="19" t="str">
        <x:v>In Field</x:v>
      </x:c>
      <x:c r="I5441" s="37" t="n">
        <x:v>46147</x:v>
      </x:c>
      <x:c r="J5441" s="37" t="n">
        <x:v>46147</x:v>
      </x:c>
      <x:c r="K5441" s="19" t="str">
        <x:v>Regent RV - Perth</x:v>
      </x:c>
      <x:c r="L5441" s="19" t="str">
        <x:v>Z006</x:v>
      </x:c>
      <x:c r="M5441" s="19" t="str">
        <x:v>In Field Warranty Claims</x:v>
      </x:c>
      <x:c r="N5441" s="37" t="n">
        <x:v>45956</x:v>
      </x:c>
      <x:c r="O5441" s="37"/>
      <x:c r="P5441" s="34" t="n">
        <x:v>1267.55</x:v>
      </x:c>
      <x:c r="Q5441" s="37" t="n">
        <x:v>46147.18206018519</x:v>
      </x:c>
    </x:row>
    <x:row r="5442">
      <x:c r="A5442" s="22" t="n">
        <x:v>27087</x:v>
      </x:c>
      <x:c r="B5442" s="28" t="n">
        <x:v>528.61</x:v>
      </x:c>
      <x:c r="C5442" s="28" t="n">
        <x:v>581.47</x:v>
      </x:c>
      <x:c r="D5442" s="31" t="n">
        <x:f>IF(OR(ISBLANK(B5442),ISBLANK(C5442),B5442=0),"",(C5442-B5442)/B5442)</x:f>
        <x:v>0.09999810824615503</x:v>
      </x:c>
      <x:c r="E5442" s="22" t="str">
        <x:f>IF(ISBLANK(C5442),"AmountIncludingTax缺失",IF(ABS(B5442-C5442)&lt;0.005,"一致","不一致"))</x:f>
        <x:v>不一致</x:v>
      </x:c>
      <x:c r="F5442" s="19" t="str">
        <x:v>approved</x:v>
      </x:c>
      <x:c r="G5442" s="19" t="str">
        <x:v>Repair in Progress</x:v>
      </x:c>
      <x:c r="H5442" s="19" t="str">
        <x:v>In Field</x:v>
      </x:c>
      <x:c r="I5442" s="37" t="n">
        <x:v>46038</x:v>
      </x:c>
      <x:c r="J5442" s="37" t="n">
        <x:v>46038</x:v>
      </x:c>
      <x:c r="K5442" s="19" t="str">
        <x:v>Regent RV - Toowoomba</x:v>
      </x:c>
      <x:c r="L5442" s="19" t="str">
        <x:v>Z006</x:v>
      </x:c>
      <x:c r="M5442" s="19" t="str">
        <x:v>In Field Warranty Claims</x:v>
      </x:c>
      <x:c r="N5442" s="37" t="n">
        <x:v>45954</x:v>
      </x:c>
      <x:c r="O5442" s="37"/>
      <x:c r="P5442" s="34" t="n">
        <x:v>581.47</x:v>
      </x:c>
      <x:c r="Q5442" s="37" t="n">
        <x:v>46038.22489583334</x:v>
      </x:c>
    </x:row>
    <x:row r="5443">
      <x:c r="A5443" s="22" t="n">
        <x:v>27086</x:v>
      </x:c>
      <x:c r="B5443" s="28" t="n">
        <x:v>122.73</x:v>
      </x:c>
      <x:c r="C5443" s="28"/>
      <x:c r="D5443" s="31" t="str">
        <x:f>IF(OR(ISBLANK(B5443),ISBLANK(C5443),B5443=0),"",(C5443-B5443)/B5443)</x:f>
      </x:c>
      <x:c r="E5443" s="22" t="str">
        <x:f>IF(ISBLANK(C5443),"AmountIncludingTax缺失",IF(ABS(B5443-C5443)&lt;0.005,"一致","不一致"))</x:f>
        <x:v>AmountIncludingTax缺失</x:v>
      </x:c>
      <x:c r="F5443" s="19" t="str">
        <x:v>approved</x:v>
      </x:c>
      <x:c r="G5443" s="19" t="str">
        <x:v>Repair in Progress</x:v>
      </x:c>
      <x:c r="H5443" s="19" t="str">
        <x:v>Pre Delivery</x:v>
      </x:c>
      <x:c r="I5443" s="37" t="n">
        <x:v>46091</x:v>
      </x:c>
      <x:c r="J5443" s="37" t="n">
        <x:v>46091</x:v>
      </x:c>
      <x:c r="K5443" s="19" t="str">
        <x:v>Green RV - Slacks Creek</x:v>
      </x:c>
      <x:c r="L5443" s="19" t="str">
        <x:v>Z005</x:v>
      </x:c>
      <x:c r="M5443" s="19" t="str">
        <x:v>Pre Delivery Warranty Claims</x:v>
      </x:c>
      <x:c r="N5443" s="37" t="n">
        <x:v>45954</x:v>
      </x:c>
      <x:c r="O5443" s="37"/>
      <x:c r="P5443" s="34" t="n">
        <x:v>0</x:v>
      </x:c>
      <x:c r="Q5443" s="37" t="n">
        <x:v>46091.14125</x:v>
      </x:c>
    </x:row>
    <x:row r="5444">
      <x:c r="A5444" s="22" t="n">
        <x:v>27083</x:v>
      </x:c>
      <x:c r="B5444" s="28" t="n">
        <x:v>4737.56</x:v>
      </x:c>
      <x:c r="C5444" s="28"/>
      <x:c r="D5444" s="31" t="str">
        <x:f>IF(OR(ISBLANK(B5444),ISBLANK(C5444),B5444=0),"",(C5444-B5444)/B5444)</x:f>
      </x:c>
      <x:c r="E5444" s="22" t="str">
        <x:f>IF(ISBLANK(C5444),"AmountIncludingTax缺失",IF(ABS(B5444-C5444)&lt;0.005,"一致","不一致"))</x:f>
        <x:v>AmountIncludingTax缺失</x:v>
      </x:c>
      <x:c r="F5444" s="19" t="str">
        <x:v>approved</x:v>
      </x:c>
      <x:c r="G5444" s="19" t="str">
        <x:v>Repairer Invoiced Processed</x:v>
      </x:c>
      <x:c r="H5444" s="19" t="str">
        <x:v>In Field</x:v>
      </x:c>
      <x:c r="I5444" s="37" t="n">
        <x:v>46031</x:v>
      </x:c>
      <x:c r="J5444" s="37" t="n">
        <x:v>46031</x:v>
      </x:c>
      <x:c r="K5444" s="19" t="str">
        <x:v>Regent RV Pty Ltd</x:v>
      </x:c>
      <x:c r="L5444" s="19" t="str">
        <x:v>Z006</x:v>
      </x:c>
      <x:c r="M5444" s="19" t="str">
        <x:v>In Field Warranty Claims</x:v>
      </x:c>
      <x:c r="N5444" s="37" t="n">
        <x:v>45954</x:v>
      </x:c>
      <x:c r="O5444" s="37"/>
      <x:c r="P5444" s="34" t="n">
        <x:v>5211.32</x:v>
      </x:c>
      <x:c r="Q5444" s="37" t="n">
        <x:v>46031.19405092593</x:v>
      </x:c>
    </x:row>
    <x:row r="5445">
      <x:c r="A5445" s="22" t="n">
        <x:v>27082</x:v>
      </x:c>
      <x:c r="B5445" s="28" t="n">
        <x:v>411.36</x:v>
      </x:c>
      <x:c r="C5445" s="28"/>
      <x:c r="D5445" s="31" t="str">
        <x:f>IF(OR(ISBLANK(B5445),ISBLANK(C5445),B5445=0),"",(C5445-B5445)/B5445)</x:f>
      </x:c>
      <x:c r="E5445" s="22" t="str">
        <x:f>IF(ISBLANK(C5445),"AmountIncludingTax缺失",IF(ABS(B5445-C5445)&lt;0.005,"一致","不一致"))</x:f>
        <x:v>AmountIncludingTax缺失</x:v>
      </x:c>
      <x:c r="F5445" s="19" t="str">
        <x:v>approved</x:v>
      </x:c>
      <x:c r="G5445" s="19" t="str">
        <x:v>Repairer Invoiced Processed</x:v>
      </x:c>
      <x:c r="H5445" s="19" t="str">
        <x:v>In Field</x:v>
      </x:c>
      <x:c r="I5445" s="37" t="n">
        <x:v>46210</x:v>
      </x:c>
      <x:c r="J5445" s="37" t="n">
        <x:v>46210</x:v>
      </x:c>
      <x:c r="K5445" s="19" t="str">
        <x:v>Dario Caravans -St.Marys</x:v>
      </x:c>
      <x:c r="L5445" s="19" t="str">
        <x:v>Z006</x:v>
      </x:c>
      <x:c r="M5445" s="19" t="str">
        <x:v>In Field Warranty Claims</x:v>
      </x:c>
      <x:c r="N5445" s="37" t="n">
        <x:v>45954</x:v>
      </x:c>
      <x:c r="O5445" s="37"/>
      <x:c r="P5445" s="34" t="n">
        <x:v>0</x:v>
      </x:c>
      <x:c r="Q5445" s="37" t="n">
        <x:v>46210.12163194444</x:v>
      </x:c>
    </x:row>
    <x:row r="5446">
      <x:c r="A5446" s="22" t="n">
        <x:v>27072</x:v>
      </x:c>
      <x:c r="B5446" s="28" t="n">
        <x:v>896.38</x:v>
      </x:c>
      <x:c r="C5446" s="28"/>
      <x:c r="D5446" s="31" t="str">
        <x:f>IF(OR(ISBLANK(B5446),ISBLANK(C5446),B5446=0),"",(C5446-B5446)/B5446)</x:f>
      </x:c>
      <x:c r="E5446" s="22" t="str">
        <x:f>IF(ISBLANK(C5446),"AmountIncludingTax缺失",IF(ABS(B5446-C5446)&lt;0.005,"一致","不一致"))</x:f>
        <x:v>AmountIncludingTax缺失</x:v>
      </x:c>
      <x:c r="F5446" s="19" t="str">
        <x:v>approved</x:v>
      </x:c>
      <x:c r="G5446" s="19" t="str">
        <x:v>Repairer Invoiced Processed</x:v>
      </x:c>
      <x:c r="H5446" s="19" t="str">
        <x:v>In Field</x:v>
      </x:c>
      <x:c r="I5446" s="37" t="n">
        <x:v>46113</x:v>
      </x:c>
      <x:c r="J5446" s="37" t="n">
        <x:v>46113</x:v>
      </x:c>
      <x:c r="K5446" s="19" t="str">
        <x:v>Leisure Lion Pty Ltd - Toowoomba</x:v>
      </x:c>
      <x:c r="L5446" s="19" t="str">
        <x:v>Z006</x:v>
      </x:c>
      <x:c r="M5446" s="19" t="str">
        <x:v>In Field Warranty Claims</x:v>
      </x:c>
      <x:c r="N5446" s="37" t="n">
        <x:v>45954</x:v>
      </x:c>
      <x:c r="O5446" s="37" t="n">
        <x:v>46065</x:v>
      </x:c>
      <x:c r="P5446" s="34" t="n">
        <x:v>0</x:v>
      </x:c>
      <x:c r="Q5446" s="37" t="n">
        <x:v>46112.89611111111</x:v>
      </x:c>
    </x:row>
    <x:row r="5447">
      <x:c r="A5447" s="22" t="n">
        <x:v>27060</x:v>
      </x:c>
      <x:c r="B5447" s="28" t="n">
        <x:v>67</x:v>
      </x:c>
      <x:c r="C5447" s="28"/>
      <x:c r="D5447" s="31" t="str">
        <x:f>IF(OR(ISBLANK(B5447),ISBLANK(C5447),B5447=0),"",(C5447-B5447)/B5447)</x:f>
      </x:c>
      <x:c r="E5447" s="22" t="str">
        <x:f>IF(ISBLANK(C5447),"AmountIncludingTax缺失",IF(ABS(B5447-C5447)&lt;0.005,"一致","不一致"))</x:f>
        <x:v>AmountIncludingTax缺失</x:v>
      </x:c>
      <x:c r="F5447" s="19" t="str">
        <x:v>approved</x:v>
      </x:c>
      <x:c r="G5447" s="19" t="str">
        <x:v>Repairer Invoiced Received</x:v>
      </x:c>
      <x:c r="H5447" s="19" t="str">
        <x:v>Pre Delivery</x:v>
      </x:c>
      <x:c r="I5447" s="37" t="n">
        <x:v>46056</x:v>
      </x:c>
      <x:c r="J5447" s="37" t="n">
        <x:v>46056</x:v>
      </x:c>
      <x:c r="K5447" s="19" t="str">
        <x:v>Great Ocean Road RV &amp; Caravans - Warrnambool</x:v>
      </x:c>
      <x:c r="L5447" s="19" t="str">
        <x:v>Z005</x:v>
      </x:c>
      <x:c r="M5447" s="19" t="str">
        <x:v>Pre Delivery Warranty Claims</x:v>
      </x:c>
      <x:c r="N5447" s="37" t="n">
        <x:v>45954</x:v>
      </x:c>
      <x:c r="O5447" s="37"/>
      <x:c r="P5447" s="34" t="n">
        <x:v>0</x:v>
      </x:c>
      <x:c r="Q5447" s="37" t="n">
        <x:v>46056.27912037037</x:v>
      </x:c>
    </x:row>
    <x:row r="5448">
      <x:c r="A5448" s="22" t="n">
        <x:v>27059</x:v>
      </x:c>
      <x:c r="B5448" s="28" t="n">
        <x:v>242.73</x:v>
      </x:c>
      <x:c r="C5448" s="28" t="n">
        <x:v>267</x:v>
      </x:c>
      <x:c r="D5448" s="31" t="n">
        <x:f>IF(OR(ISBLANK(B5448),ISBLANK(C5448),B5448=0),"",(C5448-B5448)/B5448)</x:f>
        <x:v>0.09998764058830804</x:v>
      </x:c>
      <x:c r="E5448" s="22" t="str">
        <x:f>IF(ISBLANK(C5448),"AmountIncludingTax缺失",IF(ABS(B5448-C5448)&lt;0.005,"一致","不一致"))</x:f>
        <x:v>不一致</x:v>
      </x:c>
      <x:c r="F5448" s="19" t="str">
        <x:v>approved</x:v>
      </x:c>
      <x:c r="G5448" s="19" t="str">
        <x:v>Repairer Invoiced Processed</x:v>
      </x:c>
      <x:c r="H5448" s="19" t="str">
        <x:v>In Field</x:v>
      </x:c>
      <x:c r="I5448" s="37" t="n">
        <x:v>46120</x:v>
      </x:c>
      <x:c r="J5448" s="37" t="n">
        <x:v>46120</x:v>
      </x:c>
      <x:c r="K5448" s="19" t="str">
        <x:v>Auswide Caravans - South Nowra</x:v>
      </x:c>
      <x:c r="L5448" s="19" t="str">
        <x:v>Z006</x:v>
      </x:c>
      <x:c r="M5448" s="19" t="str">
        <x:v>In Field Warranty Claims</x:v>
      </x:c>
      <x:c r="N5448" s="37" t="n">
        <x:v>45954</x:v>
      </x:c>
      <x:c r="O5448" s="37"/>
      <x:c r="P5448" s="34" t="n">
        <x:v>267</x:v>
      </x:c>
      <x:c r="Q5448" s="37" t="n">
        <x:v>46120.27013888889</x:v>
      </x:c>
    </x:row>
    <x:row r="5449">
      <x:c r="A5449" s="22" t="n">
        <x:v>27050</x:v>
      </x:c>
      <x:c r="B5449" s="28" t="n">
        <x:v>410.91</x:v>
      </x:c>
      <x:c r="C5449" s="28" t="n">
        <x:v>452</x:v>
      </x:c>
      <x:c r="D5449" s="31" t="n">
        <x:f>IF(OR(ISBLANK(B5449),ISBLANK(C5449),B5449=0),"",(C5449-B5449)/B5449)</x:f>
        <x:v>0.09999756637706547</x:v>
      </x:c>
      <x:c r="E5449" s="22" t="str">
        <x:f>IF(ISBLANK(C5449),"AmountIncludingTax缺失",IF(ABS(B5449-C5449)&lt;0.005,"一致","不一致"))</x:f>
        <x:v>不一致</x:v>
      </x:c>
      <x:c r="F5449" s="19" t="str">
        <x:v>approved</x:v>
      </x:c>
      <x:c r="G5449" s="19" t="str">
        <x:v>Repairer Invoiced Processed</x:v>
      </x:c>
      <x:c r="H5449" s="19" t="str">
        <x:v>In Field</x:v>
      </x:c>
      <x:c r="I5449" s="37" t="n">
        <x:v>46056</x:v>
      </x:c>
      <x:c r="J5449" s="37" t="n">
        <x:v>46056</x:v>
      </x:c>
      <x:c r="K5449" s="19" t="str">
        <x:v>Green RV - Forest Glen</x:v>
      </x:c>
      <x:c r="L5449" s="19" t="str">
        <x:v>Z006</x:v>
      </x:c>
      <x:c r="M5449" s="19" t="str">
        <x:v>In Field Warranty Claims</x:v>
      </x:c>
      <x:c r="N5449" s="37" t="n">
        <x:v>45954</x:v>
      </x:c>
      <x:c r="O5449" s="37"/>
      <x:c r="P5449" s="34" t="n">
        <x:v>452</x:v>
      </x:c>
      <x:c r="Q5449" s="37" t="n">
        <x:v>46055.99721064815</x:v>
      </x:c>
    </x:row>
    <x:row r="5450">
      <x:c r="A5450" s="22" t="n">
        <x:v>27046</x:v>
      </x:c>
      <x:c r="B5450" s="28" t="n">
        <x:v>2422.47</x:v>
      </x:c>
      <x:c r="C5450" s="28"/>
      <x:c r="D5450" s="31" t="str">
        <x:f>IF(OR(ISBLANK(B5450),ISBLANK(C5450),B5450=0),"",(C5450-B5450)/B5450)</x:f>
      </x:c>
      <x:c r="E5450" s="22" t="str">
        <x:f>IF(ISBLANK(C5450),"AmountIncludingTax缺失",IF(ABS(B5450-C5450)&lt;0.005,"一致","不一致"))</x:f>
        <x:v>AmountIncludingTax缺失</x:v>
      </x:c>
      <x:c r="F5450" s="19" t="str">
        <x:v>approved</x:v>
      </x:c>
      <x:c r="G5450" s="19" t="str">
        <x:v>Repairer Invoiced Processed</x:v>
      </x:c>
      <x:c r="H5450" s="19" t="str">
        <x:v>In Field</x:v>
      </x:c>
      <x:c r="I5450" s="37" t="n">
        <x:v>46059</x:v>
      </x:c>
      <x:c r="J5450" s="37" t="n">
        <x:v>46059</x:v>
      </x:c>
      <x:c r="K5450" s="19" t="str">
        <x:v>Green RV - Forest Glen</x:v>
      </x:c>
      <x:c r="L5450" s="19" t="str">
        <x:v>Z006</x:v>
      </x:c>
      <x:c r="M5450" s="19" t="str">
        <x:v>In Field Warranty Claims</x:v>
      </x:c>
      <x:c r="N5450" s="37" t="n">
        <x:v>45954</x:v>
      </x:c>
      <x:c r="O5450" s="37"/>
      <x:c r="P5450" s="34" t="n">
        <x:v>2664.72</x:v>
      </x:c>
      <x:c r="Q5450" s="37" t="n">
        <x:v>46059.11177083333</x:v>
      </x:c>
    </x:row>
    <x:row r="5451">
      <x:c r="A5451" s="22" t="n">
        <x:v>27044</x:v>
      </x:c>
      <x:c r="B5451" s="28" t="n">
        <x:v>1090.5</x:v>
      </x:c>
      <x:c r="C5451" s="28"/>
      <x:c r="D5451" s="31" t="str">
        <x:f>IF(OR(ISBLANK(B5451),ISBLANK(C5451),B5451=0),"",(C5451-B5451)/B5451)</x:f>
      </x:c>
      <x:c r="E5451" s="22" t="str">
        <x:f>IF(ISBLANK(C5451),"AmountIncludingTax缺失",IF(ABS(B5451-C5451)&lt;0.005,"一致","不一致"))</x:f>
        <x:v>AmountIncludingTax缺失</x:v>
      </x:c>
      <x:c r="F5451" s="19" t="str">
        <x:v>approved</x:v>
      </x:c>
      <x:c r="G5451" s="19" t="str">
        <x:v>Repair in Progress</x:v>
      </x:c>
      <x:c r="H5451" s="19" t="str">
        <x:v>In Field</x:v>
      </x:c>
      <x:c r="I5451" s="37" t="n">
        <x:v>46073</x:v>
      </x:c>
      <x:c r="J5451" s="37" t="n">
        <x:v>46073</x:v>
      </x:c>
      <x:c r="K5451" s="19" t="str">
        <x:v>Green RV - Forest Glen</x:v>
      </x:c>
      <x:c r="L5451" s="19" t="str">
        <x:v>Z006</x:v>
      </x:c>
      <x:c r="M5451" s="19" t="str">
        <x:v>In Field Warranty Claims</x:v>
      </x:c>
      <x:c r="N5451" s="37" t="n">
        <x:v>45954</x:v>
      </x:c>
      <x:c r="O5451" s="37"/>
      <x:c r="P5451" s="34" t="n">
        <x:v>0</x:v>
      </x:c>
      <x:c r="Q5451" s="37" t="n">
        <x:v>46073.15775462963</x:v>
      </x:c>
    </x:row>
    <x:row r="5452">
      <x:c r="A5452" s="22" t="n">
        <x:v>27043</x:v>
      </x:c>
      <x:c r="B5452" s="28" t="n">
        <x:v>3903.18</x:v>
      </x:c>
      <x:c r="C5452" s="28"/>
      <x:c r="D5452" s="31" t="str">
        <x:f>IF(OR(ISBLANK(B5452),ISBLANK(C5452),B5452=0),"",(C5452-B5452)/B5452)</x:f>
      </x:c>
      <x:c r="E5452" s="22" t="str">
        <x:f>IF(ISBLANK(C5452),"AmountIncludingTax缺失",IF(ABS(B5452-C5452)&lt;0.005,"一致","不一致"))</x:f>
        <x:v>AmountIncludingTax缺失</x:v>
      </x:c>
      <x:c r="F5452" s="19" t="str">
        <x:v>approved</x:v>
      </x:c>
      <x:c r="G5452" s="19" t="str">
        <x:v>Repair in Progress</x:v>
      </x:c>
      <x:c r="H5452" s="19" t="str">
        <x:v>In Field</x:v>
      </x:c>
      <x:c r="I5452" s="37" t="n">
        <x:v>46119</x:v>
      </x:c>
      <x:c r="J5452" s="37" t="n">
        <x:v>46119</x:v>
      </x:c>
      <x:c r="K5452" s="19" t="str">
        <x:v>The Caravan Hub - Townsville</x:v>
      </x:c>
      <x:c r="L5452" s="19" t="str">
        <x:v>Z006</x:v>
      </x:c>
      <x:c r="M5452" s="19" t="str">
        <x:v>In Field Warranty Claims</x:v>
      </x:c>
      <x:c r="N5452" s="37" t="n">
        <x:v>45953</x:v>
      </x:c>
      <x:c r="O5452" s="37"/>
      <x:c r="P5452" s="34" t="n">
        <x:v>4293.5</x:v>
      </x:c>
      <x:c r="Q5452" s="37" t="n">
        <x:v>46119.058842592596</x:v>
      </x:c>
    </x:row>
    <x:row r="5453">
      <x:c r="A5453" s="22" t="n">
        <x:v>27042</x:v>
      </x:c>
      <x:c r="B5453" s="28" t="n">
        <x:v>175</x:v>
      </x:c>
      <x:c r="C5453" s="28" t="n">
        <x:v>192.5</x:v>
      </x:c>
      <x:c r="D5453" s="31" t="n">
        <x:f>IF(OR(ISBLANK(B5453),ISBLANK(C5453),B5453=0),"",(C5453-B5453)/B5453)</x:f>
        <x:v>0.1</x:v>
      </x:c>
      <x:c r="E5453" s="22" t="str">
        <x:f>IF(ISBLANK(C5453),"AmountIncludingTax缺失",IF(ABS(B5453-C5453)&lt;0.005,"一致","不一致"))</x:f>
        <x:v>不一致</x:v>
      </x:c>
      <x:c r="F5453" s="19" t="str">
        <x:v>approved</x:v>
      </x:c>
      <x:c r="G5453" s="19" t="str">
        <x:v>Repairer Invoiced Processed</x:v>
      </x:c>
      <x:c r="H5453" s="19" t="str">
        <x:v>Pre Delivery</x:v>
      </x:c>
      <x:c r="I5453" s="37" t="n">
        <x:v>46050</x:v>
      </x:c>
      <x:c r="J5453" s="37" t="n">
        <x:v>46050</x:v>
      </x:c>
      <x:c r="K5453" s="19" t="str">
        <x:v>The Caravan Hub - Townsville</x:v>
      </x:c>
      <x:c r="L5453" s="19" t="str">
        <x:v>Z005</x:v>
      </x:c>
      <x:c r="M5453" s="19" t="str">
        <x:v>Pre Delivery Warranty Claims</x:v>
      </x:c>
      <x:c r="N5453" s="37" t="n">
        <x:v>45953</x:v>
      </x:c>
      <x:c r="O5453" s="37"/>
      <x:c r="P5453" s="34" t="n">
        <x:v>192.5</x:v>
      </x:c>
      <x:c r="Q5453" s="37" t="n">
        <x:v>46050.035416666666</x:v>
      </x:c>
    </x:row>
    <x:row r="5454">
      <x:c r="A5454" s="22" t="n">
        <x:v>27039</x:v>
      </x:c>
      <x:c r="B5454" s="28" t="n">
        <x:v>225</x:v>
      </x:c>
      <x:c r="C5454" s="28"/>
      <x:c r="D5454" s="31" t="str">
        <x:f>IF(OR(ISBLANK(B5454),ISBLANK(C5454),B5454=0),"",(C5454-B5454)/B5454)</x:f>
      </x:c>
      <x:c r="E5454" s="22" t="str">
        <x:f>IF(ISBLANK(C5454),"AmountIncludingTax缺失",IF(ABS(B5454-C5454)&lt;0.005,"一致","不一致"))</x:f>
        <x:v>AmountIncludingTax缺失</x:v>
      </x:c>
      <x:c r="F5454" s="19" t="str">
        <x:v>approved</x:v>
      </x:c>
      <x:c r="G5454" s="19" t="str">
        <x:v>Repair in Progress</x:v>
      </x:c>
      <x:c r="H5454" s="19" t="str">
        <x:v>Pre Delivery</x:v>
      </x:c>
      <x:c r="I5454" s="37" t="n">
        <x:v>46057</x:v>
      </x:c>
      <x:c r="J5454" s="37" t="n">
        <x:v>46056</x:v>
      </x:c>
      <x:c r="K5454" s="19" t="str">
        <x:v>Regent RV - Perth</x:v>
      </x:c>
      <x:c r="L5454" s="19" t="str">
        <x:v>Z005</x:v>
      </x:c>
      <x:c r="M5454" s="19" t="str">
        <x:v>Pre Delivery Warranty Claims</x:v>
      </x:c>
      <x:c r="N5454" s="37" t="n">
        <x:v>45953</x:v>
      </x:c>
      <x:c r="O5454" s="37"/>
      <x:c r="P5454" s="34" t="n">
        <x:v>0</x:v>
      </x:c>
      <x:c r="Q5454" s="37" t="n">
        <x:v>46056.97021990741</x:v>
      </x:c>
    </x:row>
    <x:row r="5455">
      <x:c r="A5455" s="22" t="n">
        <x:v>27038</x:v>
      </x:c>
      <x:c r="B5455" s="28" t="n">
        <x:v>540</x:v>
      </x:c>
      <x:c r="C5455" s="28"/>
      <x:c r="D5455" s="31" t="str">
        <x:f>IF(OR(ISBLANK(B5455),ISBLANK(C5455),B5455=0),"",(C5455-B5455)/B5455)</x:f>
      </x:c>
      <x:c r="E5455" s="22" t="str">
        <x:f>IF(ISBLANK(C5455),"AmountIncludingTax缺失",IF(ABS(B5455-C5455)&lt;0.005,"一致","不一致"))</x:f>
        <x:v>AmountIncludingTax缺失</x:v>
      </x:c>
      <x:c r="F5455" s="19" t="str">
        <x:v>approved</x:v>
      </x:c>
      <x:c r="G5455" s="19" t="str">
        <x:v>Repairer Invoiced Processed</x:v>
      </x:c>
      <x:c r="H5455" s="19" t="str">
        <x:v>In Field</x:v>
      </x:c>
      <x:c r="I5455" s="37" t="n">
        <x:v>46092</x:v>
      </x:c>
      <x:c r="J5455" s="37" t="n">
        <x:v>46092</x:v>
      </x:c>
      <x:c r="K5455" s="19" t="str">
        <x:v>Green RV - Forest Glen</x:v>
      </x:c>
      <x:c r="L5455" s="19" t="str">
        <x:v>Z006</x:v>
      </x:c>
      <x:c r="M5455" s="19" t="str">
        <x:v>In Field Warranty Claims</x:v>
      </x:c>
      <x:c r="N5455" s="37" t="n">
        <x:v>45953</x:v>
      </x:c>
      <x:c r="O5455" s="37"/>
      <x:c r="P5455" s="34" t="n">
        <x:v>0</x:v>
      </x:c>
      <x:c r="Q5455" s="37" t="n">
        <x:v>46092.090104166666</x:v>
      </x:c>
    </x:row>
    <x:row r="5456">
      <x:c r="A5456" s="22" t="n">
        <x:v>27035</x:v>
      </x:c>
      <x:c r="B5456" s="28" t="n">
        <x:v>446.6</x:v>
      </x:c>
      <x:c r="C5456" s="28" t="n">
        <x:v>491.25</x:v>
      </x:c>
      <x:c r="D5456" s="31" t="n">
        <x:f>IF(OR(ISBLANK(B5456),ISBLANK(C5456),B5456=0),"",(C5456-B5456)/B5456)</x:f>
        <x:v>0.0999776085982982</x:v>
      </x:c>
      <x:c r="E5456" s="22" t="str">
        <x:f>IF(ISBLANK(C5456),"AmountIncludingTax缺失",IF(ABS(B5456-C5456)&lt;0.005,"一致","不一致"))</x:f>
        <x:v>不一致</x:v>
      </x:c>
      <x:c r="F5456" s="19" t="str">
        <x:v>approved</x:v>
      </x:c>
      <x:c r="G5456" s="19" t="str">
        <x:v>Repairer Invoiced Processed</x:v>
      </x:c>
      <x:c r="H5456" s="19" t="str">
        <x:v>In Field</x:v>
      </x:c>
      <x:c r="I5456" s="37" t="n">
        <x:v>46099</x:v>
      </x:c>
      <x:c r="J5456" s="37" t="n">
        <x:v>46099</x:v>
      </x:c>
      <x:c r="K5456" s="19" t="str">
        <x:v>Regent RV - Toowoomba</x:v>
      </x:c>
      <x:c r="L5456" s="19" t="str">
        <x:v>Z006</x:v>
      </x:c>
      <x:c r="M5456" s="19" t="str">
        <x:v>In Field Warranty Claims</x:v>
      </x:c>
      <x:c r="N5456" s="37" t="n">
        <x:v>45953</x:v>
      </x:c>
      <x:c r="O5456" s="37"/>
      <x:c r="P5456" s="34" t="n">
        <x:v>491.25</x:v>
      </x:c>
      <x:c r="Q5456" s="37" t="n">
        <x:v>46099.482881944445</x:v>
      </x:c>
    </x:row>
    <x:row r="5457">
      <x:c r="A5457" s="22" t="n">
        <x:v>27030</x:v>
      </x:c>
      <x:c r="B5457" s="28" t="n">
        <x:v>256.25</x:v>
      </x:c>
      <x:c r="C5457" s="28"/>
      <x:c r="D5457" s="31" t="str">
        <x:f>IF(OR(ISBLANK(B5457),ISBLANK(C5457),B5457=0),"",(C5457-B5457)/B5457)</x:f>
      </x:c>
      <x:c r="E5457" s="22" t="str">
        <x:f>IF(ISBLANK(C5457),"AmountIncludingTax缺失",IF(ABS(B5457-C5457)&lt;0.005,"一致","不一致"))</x:f>
        <x:v>AmountIncludingTax缺失</x:v>
      </x:c>
      <x:c r="F5457" s="19" t="str">
        <x:v>approved</x:v>
      </x:c>
      <x:c r="G5457" s="19" t="str">
        <x:v>Repair in Progress</x:v>
      </x:c>
      <x:c r="H5457" s="19" t="str">
        <x:v>In Field</x:v>
      </x:c>
      <x:c r="I5457" s="37" t="n">
        <x:v>46080</x:v>
      </x:c>
      <x:c r="J5457" s="37" t="n">
        <x:v>46080</x:v>
      </x:c>
      <x:c r="K5457" s="19" t="str">
        <x:v>Green RV - Forest Glen</x:v>
      </x:c>
      <x:c r="L5457" s="19" t="str">
        <x:v>Z006</x:v>
      </x:c>
      <x:c r="M5457" s="19" t="str">
        <x:v>In Field Warranty Claims</x:v>
      </x:c>
      <x:c r="N5457" s="37" t="n">
        <x:v>45953</x:v>
      </x:c>
      <x:c r="O5457" s="37"/>
      <x:c r="P5457" s="34" t="n">
        <x:v>0</x:v>
      </x:c>
      <x:c r="Q5457" s="37" t="n">
        <x:v>46080.06369212963</x:v>
      </x:c>
    </x:row>
    <x:row r="5458">
      <x:c r="A5458" s="22" t="n">
        <x:v>27028</x:v>
      </x:c>
      <x:c r="B5458" s="28" t="n">
        <x:v>962.5</x:v>
      </x:c>
      <x:c r="C5458" s="28"/>
      <x:c r="D5458" s="31" t="str">
        <x:f>IF(OR(ISBLANK(B5458),ISBLANK(C5458),B5458=0),"",(C5458-B5458)/B5458)</x:f>
      </x:c>
      <x:c r="E5458" s="22" t="str">
        <x:f>IF(ISBLANK(C5458),"AmountIncludingTax缺失",IF(ABS(B5458-C5458)&lt;0.005,"一致","不一致"))</x:f>
        <x:v>AmountIncludingTax缺失</x:v>
      </x:c>
      <x:c r="F5458" s="19" t="str">
        <x:v>approved</x:v>
      </x:c>
      <x:c r="G5458" s="19" t="str">
        <x:v>Repairer Invoiced Processed</x:v>
      </x:c>
      <x:c r="H5458" s="19" t="str">
        <x:v>Pre Delivery</x:v>
      </x:c>
      <x:c r="I5458" s="37" t="n">
        <x:v>46057</x:v>
      </x:c>
      <x:c r="J5458" s="37" t="n">
        <x:v>46057</x:v>
      </x:c>
      <x:c r="K5458" s="19" t="str">
        <x:v>The Caravan Hub - Townsville</x:v>
      </x:c>
      <x:c r="L5458" s="19" t="str">
        <x:v>Z005</x:v>
      </x:c>
      <x:c r="M5458" s="19" t="str">
        <x:v>Pre Delivery Warranty Claims</x:v>
      </x:c>
      <x:c r="N5458" s="37" t="n">
        <x:v>45953</x:v>
      </x:c>
      <x:c r="O5458" s="37"/>
      <x:c r="P5458" s="34" t="n">
        <x:v>0</x:v>
      </x:c>
      <x:c r="Q5458" s="37" t="n">
        <x:v>46057.107141203705</x:v>
      </x:c>
    </x:row>
    <x:row r="5459">
      <x:c r="A5459" s="22" t="n">
        <x:v>27025</x:v>
      </x:c>
      <x:c r="B5459" s="28" t="n">
        <x:v>603.75</x:v>
      </x:c>
      <x:c r="C5459" s="28"/>
      <x:c r="D5459" s="31" t="str">
        <x:f>IF(OR(ISBLANK(B5459),ISBLANK(C5459),B5459=0),"",(C5459-B5459)/B5459)</x:f>
      </x:c>
      <x:c r="E5459" s="22" t="str">
        <x:f>IF(ISBLANK(C5459),"AmountIncludingTax缺失",IF(ABS(B5459-C5459)&lt;0.005,"一致","不一致"))</x:f>
        <x:v>AmountIncludingTax缺失</x:v>
      </x:c>
      <x:c r="F5459" s="19" t="str">
        <x:v>approved</x:v>
      </x:c>
      <x:c r="G5459" s="19" t="str">
        <x:v>Repair in Progress</x:v>
      </x:c>
      <x:c r="H5459" s="19" t="str">
        <x:v>In Field</x:v>
      </x:c>
      <x:c r="I5459" s="37" t="n">
        <x:v>46139</x:v>
      </x:c>
      <x:c r="J5459" s="37" t="n">
        <x:v>46139</x:v>
      </x:c>
      <x:c r="K5459" s="19" t="str">
        <x:v>The Caravan Hub - Townsville</x:v>
      </x:c>
      <x:c r="L5459" s="19" t="str">
        <x:v>Z006</x:v>
      </x:c>
      <x:c r="M5459" s="19" t="str">
        <x:v>In Field Warranty Claims</x:v>
      </x:c>
      <x:c r="N5459" s="37" t="n">
        <x:v>45953</x:v>
      </x:c>
      <x:c r="O5459" s="37"/>
      <x:c r="P5459" s="34" t="n">
        <x:v>0</x:v>
      </x:c>
      <x:c r="Q5459" s="37" t="n">
        <x:v>46139.1180787037</x:v>
      </x:c>
    </x:row>
    <x:row r="5460">
      <x:c r="A5460" s="22" t="n">
        <x:v>27018</x:v>
      </x:c>
      <x:c r="B5460" s="28" t="n">
        <x:v>480</x:v>
      </x:c>
      <x:c r="C5460" s="28"/>
      <x:c r="D5460" s="31" t="str">
        <x:f>IF(OR(ISBLANK(B5460),ISBLANK(C5460),B5460=0),"",(C5460-B5460)/B5460)</x:f>
      </x:c>
      <x:c r="E5460" s="22" t="str">
        <x:f>IF(ISBLANK(C5460),"AmountIncludingTax缺失",IF(ABS(B5460-C5460)&lt;0.005,"一致","不一致"))</x:f>
        <x:v>AmountIncludingTax缺失</x:v>
      </x:c>
      <x:c r="F5460" s="19" t="str">
        <x:v>approved</x:v>
      </x:c>
      <x:c r="G5460" s="19" t="str">
        <x:v>Repair in Progress</x:v>
      </x:c>
      <x:c r="H5460" s="19" t="str">
        <x:v>In Field</x:v>
      </x:c>
      <x:c r="I5460" s="37" t="n">
        <x:v>46052</x:v>
      </x:c>
      <x:c r="J5460" s="37" t="n">
        <x:v>46052</x:v>
      </x:c>
      <x:c r="K5460" s="19" t="str">
        <x:v>Green RV - Forest Glen</x:v>
      </x:c>
      <x:c r="L5460" s="19" t="str">
        <x:v>Z006</x:v>
      </x:c>
      <x:c r="M5460" s="19" t="str">
        <x:v>In Field Warranty Claims</x:v>
      </x:c>
      <x:c r="N5460" s="37" t="n">
        <x:v>45953</x:v>
      </x:c>
      <x:c r="O5460" s="37"/>
      <x:c r="P5460" s="34" t="n">
        <x:v>0</x:v>
      </x:c>
      <x:c r="Q5460" s="37" t="n">
        <x:v>46051.917962962965</x:v>
      </x:c>
    </x:row>
    <x:row r="5461">
      <x:c r="A5461" s="22" t="n">
        <x:v>27017</x:v>
      </x:c>
      <x:c r="B5461" s="28" t="n">
        <x:v>135</x:v>
      </x:c>
      <x:c r="C5461" s="28"/>
      <x:c r="D5461" s="31" t="str">
        <x:f>IF(OR(ISBLANK(B5461),ISBLANK(C5461),B5461=0),"",(C5461-B5461)/B5461)</x:f>
      </x:c>
      <x:c r="E5461" s="22" t="str">
        <x:f>IF(ISBLANK(C5461),"AmountIncludingTax缺失",IF(ABS(B5461-C5461)&lt;0.005,"一致","不一致"))</x:f>
        <x:v>AmountIncludingTax缺失</x:v>
      </x:c>
      <x:c r="F5461" s="19" t="str">
        <x:v>approved</x:v>
      </x:c>
      <x:c r="G5461" s="19" t="str">
        <x:v>Repair in Progress</x:v>
      </x:c>
      <x:c r="H5461" s="19" t="str">
        <x:v>Pre Delivery</x:v>
      </x:c>
      <x:c r="I5461" s="37" t="n">
        <x:v>46055</x:v>
      </x:c>
      <x:c r="J5461" s="37" t="n">
        <x:v>46055</x:v>
      </x:c>
      <x:c r="K5461" s="19" t="str">
        <x:v>Regent RV - Frankston</x:v>
      </x:c>
      <x:c r="L5461" s="19" t="str">
        <x:v>Z005</x:v>
      </x:c>
      <x:c r="M5461" s="19" t="str">
        <x:v>Pre Delivery Warranty Claims</x:v>
      </x:c>
      <x:c r="N5461" s="37" t="n">
        <x:v>45953</x:v>
      </x:c>
      <x:c r="O5461" s="37"/>
      <x:c r="P5461" s="34" t="n">
        <x:v>0</x:v>
      </x:c>
      <x:c r="Q5461" s="37" t="n">
        <x:v>46054.91443287037</x:v>
      </x:c>
    </x:row>
    <x:row r="5462">
      <x:c r="A5462" s="22" t="n">
        <x:v>27014</x:v>
      </x:c>
      <x:c r="B5462" s="28" t="n">
        <x:v>135</x:v>
      </x:c>
      <x:c r="C5462" s="28"/>
      <x:c r="D5462" s="31" t="str">
        <x:f>IF(OR(ISBLANK(B5462),ISBLANK(C5462),B5462=0),"",(C5462-B5462)/B5462)</x:f>
      </x:c>
      <x:c r="E5462" s="22" t="str">
        <x:f>IF(ISBLANK(C5462),"AmountIncludingTax缺失",IF(ABS(B5462-C5462)&lt;0.005,"一致","不一致"))</x:f>
        <x:v>AmountIncludingTax缺失</x:v>
      </x:c>
      <x:c r="F5462" s="19" t="str">
        <x:v>approved</x:v>
      </x:c>
      <x:c r="G5462" s="19" t="str">
        <x:v>Repairer Invoiced Processed</x:v>
      </x:c>
      <x:c r="H5462" s="19" t="str">
        <x:v>In Field</x:v>
      </x:c>
      <x:c r="I5462" s="37" t="n">
        <x:v>46080</x:v>
      </x:c>
      <x:c r="J5462" s="37" t="n">
        <x:v>46080</x:v>
      </x:c>
      <x:c r="K5462" s="19" t="str">
        <x:v>Green RV - Forest Glen</x:v>
      </x:c>
      <x:c r="L5462" s="19" t="str">
        <x:v>Z006</x:v>
      </x:c>
      <x:c r="M5462" s="19" t="str">
        <x:v>In Field Warranty Claims</x:v>
      </x:c>
      <x:c r="N5462" s="37" t="n">
        <x:v>45953</x:v>
      </x:c>
      <x:c r="O5462" s="37"/>
      <x:c r="P5462" s="34" t="n">
        <x:v>0</x:v>
      </x:c>
      <x:c r="Q5462" s="37" t="n">
        <x:v>46080.05434027778</x:v>
      </x:c>
    </x:row>
    <x:row r="5463">
      <x:c r="A5463" s="22" t="n">
        <x:v>27012</x:v>
      </x:c>
      <x:c r="B5463" s="28" t="n">
        <x:v>1792.27</x:v>
      </x:c>
      <x:c r="C5463" s="28"/>
      <x:c r="D5463" s="31" t="str">
        <x:f>IF(OR(ISBLANK(B5463),ISBLANK(C5463),B5463=0),"",(C5463-B5463)/B5463)</x:f>
      </x:c>
      <x:c r="E5463" s="22" t="str">
        <x:f>IF(ISBLANK(C5463),"AmountIncludingTax缺失",IF(ABS(B5463-C5463)&lt;0.005,"一致","不一致"))</x:f>
        <x:v>AmountIncludingTax缺失</x:v>
      </x:c>
      <x:c r="F5463" s="19" t="str">
        <x:v>approved</x:v>
      </x:c>
      <x:c r="G5463" s="19" t="str">
        <x:v>Repairer Invoiced Processed</x:v>
      </x:c>
      <x:c r="H5463" s="19" t="str">
        <x:v>In Field</x:v>
      </x:c>
      <x:c r="I5463" s="37" t="n">
        <x:v>46052</x:v>
      </x:c>
      <x:c r="J5463" s="37" t="n">
        <x:v>46052</x:v>
      </x:c>
      <x:c r="K5463" s="19" t="str">
        <x:v>Green RV - Forest Glen</x:v>
      </x:c>
      <x:c r="L5463" s="19" t="str">
        <x:v>Z006</x:v>
      </x:c>
      <x:c r="M5463" s="19" t="str">
        <x:v>In Field Warranty Claims</x:v>
      </x:c>
      <x:c r="N5463" s="37" t="n">
        <x:v>45953</x:v>
      </x:c>
      <x:c r="O5463" s="37"/>
      <x:c r="P5463" s="34" t="n">
        <x:v>1971.5</x:v>
      </x:c>
      <x:c r="Q5463" s="37" t="n">
        <x:v>46052.29966435185</x:v>
      </x:c>
    </x:row>
    <x:row r="5464">
      <x:c r="A5464" s="22" t="n">
        <x:v>27008</x:v>
      </x:c>
      <x:c r="B5464" s="28" t="n">
        <x:v>1025.39</x:v>
      </x:c>
      <x:c r="C5464" s="28"/>
      <x:c r="D5464" s="31" t="str">
        <x:f>IF(OR(ISBLANK(B5464),ISBLANK(C5464),B5464=0),"",(C5464-B5464)/B5464)</x:f>
      </x:c>
      <x:c r="E5464" s="22" t="str">
        <x:f>IF(ISBLANK(C5464),"AmountIncludingTax缺失",IF(ABS(B5464-C5464)&lt;0.005,"一致","不一致"))</x:f>
        <x:v>AmountIncludingTax缺失</x:v>
      </x:c>
      <x:c r="F5464" s="19" t="str">
        <x:v>approved</x:v>
      </x:c>
      <x:c r="G5464" s="19" t="str">
        <x:v>Repairer Invoiced Processed</x:v>
      </x:c>
      <x:c r="H5464" s="19" t="str">
        <x:v>In Field</x:v>
      </x:c>
      <x:c r="I5464" s="37" t="n">
        <x:v>46042</x:v>
      </x:c>
      <x:c r="J5464" s="37" t="n">
        <x:v>46042</x:v>
      </x:c>
      <x:c r="K5464" s="19" t="str">
        <x:v>Green RV - Forest Glen</x:v>
      </x:c>
      <x:c r="L5464" s="19" t="str">
        <x:v>Z006</x:v>
      </x:c>
      <x:c r="M5464" s="19" t="str">
        <x:v>In Field Warranty Claims</x:v>
      </x:c>
      <x:c r="N5464" s="37" t="n">
        <x:v>45953</x:v>
      </x:c>
      <x:c r="O5464" s="37"/>
      <x:c r="P5464" s="34" t="n">
        <x:v>1127.93</x:v>
      </x:c>
      <x:c r="Q5464" s="37" t="n">
        <x:v>46042.18525462963</x:v>
      </x:c>
    </x:row>
    <x:row r="5465">
      <x:c r="A5465" s="22" t="n">
        <x:v>27005</x:v>
      </x:c>
      <x:c r="B5465" s="28" t="n">
        <x:v>31.82</x:v>
      </x:c>
      <x:c r="C5465" s="28" t="n">
        <x:v>35</x:v>
      </x:c>
      <x:c r="D5465" s="31" t="n">
        <x:f>IF(OR(ISBLANK(B5465),ISBLANK(C5465),B5465=0),"",(C5465-B5465)/B5465)</x:f>
        <x:v>0.09993714644877434</x:v>
      </x:c>
      <x:c r="E5465" s="22" t="str">
        <x:f>IF(ISBLANK(C5465),"AmountIncludingTax缺失",IF(ABS(B5465-C5465)&lt;0.005,"一致","不一致"))</x:f>
        <x:v>不一致</x:v>
      </x:c>
      <x:c r="F5465" s="19" t="str">
        <x:v>approved</x:v>
      </x:c>
      <x:c r="G5465" s="19" t="str">
        <x:v>Repairer Invoiced Processed</x:v>
      </x:c>
      <x:c r="H5465" s="19" t="str">
        <x:v>In Field</x:v>
      </x:c>
      <x:c r="I5465" s="37" t="n">
        <x:v>46030</x:v>
      </x:c>
      <x:c r="J5465" s="37" t="n">
        <x:v>46030</x:v>
      </x:c>
      <x:c r="K5465" s="19" t="str">
        <x:v>Regent RV - Townsville</x:v>
      </x:c>
      <x:c r="L5465" s="19" t="str">
        <x:v>Z006</x:v>
      </x:c>
      <x:c r="M5465" s="19" t="str">
        <x:v>In Field Warranty Claims</x:v>
      </x:c>
      <x:c r="N5465" s="37" t="n">
        <x:v>45953</x:v>
      </x:c>
      <x:c r="O5465" s="37"/>
      <x:c r="P5465" s="34" t="n">
        <x:v>35</x:v>
      </x:c>
      <x:c r="Q5465" s="37" t="n">
        <x:v>46030.00366898148</x:v>
      </x:c>
    </x:row>
    <x:row r="5466">
      <x:c r="A5466" s="22" t="n">
        <x:v>27001</x:v>
      </x:c>
      <x:c r="B5466" s="28" t="n">
        <x:v>178.27</x:v>
      </x:c>
      <x:c r="C5466" s="28" t="n">
        <x:v>196.1</x:v>
      </x:c>
      <x:c r="D5466" s="31" t="n">
        <x:f>IF(OR(ISBLANK(B5466),ISBLANK(C5466),B5466=0),"",(C5466-B5466)/B5466)</x:f>
        <x:v>0.10001682840634982</x:v>
      </x:c>
      <x:c r="E5466" s="22" t="str">
        <x:f>IF(ISBLANK(C5466),"AmountIncludingTax缺失",IF(ABS(B5466-C5466)&lt;0.005,"一致","不一致"))</x:f>
        <x:v>不一致</x:v>
      </x:c>
      <x:c r="F5466" s="19" t="str">
        <x:v>approved</x:v>
      </x:c>
      <x:c r="G5466" s="19" t="str">
        <x:v>Repairer Invoiced Received</x:v>
      </x:c>
      <x:c r="H5466" s="19" t="str">
        <x:v>In Field</x:v>
      </x:c>
      <x:c r="I5466" s="37" t="n">
        <x:v>46056</x:v>
      </x:c>
      <x:c r="J5466" s="37" t="n">
        <x:v>46056</x:v>
      </x:c>
      <x:c r="K5466" s="19" t="str">
        <x:v>Regent RV - Frankston</x:v>
      </x:c>
      <x:c r="L5466" s="19" t="str">
        <x:v>Z006</x:v>
      </x:c>
      <x:c r="M5466" s="19" t="str">
        <x:v>In Field Warranty Claims</x:v>
      </x:c>
      <x:c r="N5466" s="37" t="n">
        <x:v>45953</x:v>
      </x:c>
      <x:c r="O5466" s="37"/>
      <x:c r="P5466" s="34" t="n">
        <x:v>196.1</x:v>
      </x:c>
      <x:c r="Q5466" s="37" t="n">
        <x:v>46056.042175925926</x:v>
      </x:c>
    </x:row>
    <x:row r="5467">
      <x:c r="A5467" s="22" t="n">
        <x:v>26998</x:v>
      </x:c>
      <x:c r="B5467" s="28" t="n">
        <x:v>470</x:v>
      </x:c>
      <x:c r="C5467" s="28" t="n">
        <x:v>517</x:v>
      </x:c>
      <x:c r="D5467" s="31" t="n">
        <x:f>IF(OR(ISBLANK(B5467),ISBLANK(C5467),B5467=0),"",(C5467-B5467)/B5467)</x:f>
        <x:v>0.1</x:v>
      </x:c>
      <x:c r="E5467" s="22" t="str">
        <x:f>IF(ISBLANK(C5467),"AmountIncludingTax缺失",IF(ABS(B5467-C5467)&lt;0.005,"一致","不一致"))</x:f>
        <x:v>不一致</x:v>
      </x:c>
      <x:c r="F5467" s="19" t="str">
        <x:v>approved</x:v>
      </x:c>
      <x:c r="G5467" s="19" t="str">
        <x:v>Repairer Invoiced Processed</x:v>
      </x:c>
      <x:c r="H5467" s="19" t="str">
        <x:v>In Field</x:v>
      </x:c>
      <x:c r="I5467" s="37" t="n">
        <x:v>46030</x:v>
      </x:c>
      <x:c r="J5467" s="37" t="n">
        <x:v>46030</x:v>
      </x:c>
      <x:c r="K5467" s="19" t="str">
        <x:v>Regent RV - Townsville</x:v>
      </x:c>
      <x:c r="L5467" s="19" t="str">
        <x:v>Z006</x:v>
      </x:c>
      <x:c r="M5467" s="19" t="str">
        <x:v>In Field Warranty Claims</x:v>
      </x:c>
      <x:c r="N5467" s="37" t="n">
        <x:v>45952</x:v>
      </x:c>
      <x:c r="O5467" s="37"/>
      <x:c r="P5467" s="34" t="n">
        <x:v>517</x:v>
      </x:c>
      <x:c r="Q5467" s="37" t="n">
        <x:v>46030.00481481481</x:v>
      </x:c>
    </x:row>
    <x:row r="5468">
      <x:c r="A5468" s="22" t="n">
        <x:v>26981</x:v>
      </x:c>
      <x:c r="B5468" s="28" t="n">
        <x:v>252.5</x:v>
      </x:c>
      <x:c r="C5468" s="28"/>
      <x:c r="D5468" s="31" t="str">
        <x:f>IF(OR(ISBLANK(B5468),ISBLANK(C5468),B5468=0),"",(C5468-B5468)/B5468)</x:f>
      </x:c>
      <x:c r="E5468" s="22" t="str">
        <x:f>IF(ISBLANK(C5468),"AmountIncludingTax缺失",IF(ABS(B5468-C5468)&lt;0.005,"一致","不一致"))</x:f>
        <x:v>AmountIncludingTax缺失</x:v>
      </x:c>
      <x:c r="F5468" s="19" t="str">
        <x:v>approved</x:v>
      </x:c>
      <x:c r="G5468" s="19" t="str">
        <x:v>Repairer Invoiced Processed</x:v>
      </x:c>
      <x:c r="H5468" s="19" t="str">
        <x:v>In Field</x:v>
      </x:c>
      <x:c r="I5468" s="37" t="n">
        <x:v>46086</x:v>
      </x:c>
      <x:c r="J5468" s="37" t="n">
        <x:v>46086</x:v>
      </x:c>
      <x:c r="K5468" s="19" t="str">
        <x:v>The Caravan Hub - Townsville</x:v>
      </x:c>
      <x:c r="L5468" s="19" t="str">
        <x:v>Z006</x:v>
      </x:c>
      <x:c r="M5468" s="19" t="str">
        <x:v>In Field Warranty Claims</x:v>
      </x:c>
      <x:c r="N5468" s="37" t="n">
        <x:v>45952</x:v>
      </x:c>
      <x:c r="O5468" s="37"/>
      <x:c r="P5468" s="34" t="n">
        <x:v>0</x:v>
      </x:c>
      <x:c r="Q5468" s="37" t="n">
        <x:v>46085.95203703704</x:v>
      </x:c>
    </x:row>
    <x:row r="5469">
      <x:c r="A5469" s="22" t="n">
        <x:v>26980</x:v>
      </x:c>
      <x:c r="B5469" s="28" t="n">
        <x:v>776.25</x:v>
      </x:c>
      <x:c r="C5469" s="28"/>
      <x:c r="D5469" s="31" t="str">
        <x:f>IF(OR(ISBLANK(B5469),ISBLANK(C5469),B5469=0),"",(C5469-B5469)/B5469)</x:f>
      </x:c>
      <x:c r="E5469" s="22" t="str">
        <x:f>IF(ISBLANK(C5469),"AmountIncludingTax缺失",IF(ABS(B5469-C5469)&lt;0.005,"一致","不一致"))</x:f>
        <x:v>AmountIncludingTax缺失</x:v>
      </x:c>
      <x:c r="F5469" s="19" t="str">
        <x:v>approved</x:v>
      </x:c>
      <x:c r="G5469" s="19" t="str">
        <x:v>Sales Order Approved</x:v>
      </x:c>
      <x:c r="H5469" s="19" t="str">
        <x:v>In Field</x:v>
      </x:c>
      <x:c r="I5469" s="37" t="n">
        <x:v>46198</x:v>
      </x:c>
      <x:c r="J5469" s="37" t="n">
        <x:v>46198</x:v>
      </x:c>
      <x:c r="K5469" s="19" t="str">
        <x:v>Leisure Lion Pty Ltd - Toowoomba</x:v>
      </x:c>
      <x:c r="L5469" s="19" t="str">
        <x:v>Z006</x:v>
      </x:c>
      <x:c r="M5469" s="19" t="str">
        <x:v>In Field Warranty Claims</x:v>
      </x:c>
      <x:c r="N5469" s="37" t="n">
        <x:v>45952</x:v>
      </x:c>
      <x:c r="O5469" s="37"/>
      <x:c r="P5469" s="34" t="n">
        <x:v>0</x:v>
      </x:c>
      <x:c r="Q5469" s="37" t="n">
        <x:v>46197.946701388886</x:v>
      </x:c>
    </x:row>
    <x:row r="5470">
      <x:c r="A5470" s="22" t="n">
        <x:v>26976</x:v>
      </x:c>
      <x:c r="B5470" s="28" t="n">
        <x:v>2648.91</x:v>
      </x:c>
      <x:c r="C5470" s="28"/>
      <x:c r="D5470" s="31" t="str">
        <x:f>IF(OR(ISBLANK(B5470),ISBLANK(C5470),B5470=0),"",(C5470-B5470)/B5470)</x:f>
      </x:c>
      <x:c r="E5470" s="22" t="str">
        <x:f>IF(ISBLANK(C5470),"AmountIncludingTax缺失",IF(ABS(B5470-C5470)&lt;0.005,"一致","不一致"))</x:f>
        <x:v>AmountIncludingTax缺失</x:v>
      </x:c>
      <x:c r="F5470" s="19" t="str">
        <x:v>approved</x:v>
      </x:c>
      <x:c r="G5470" s="19" t="str">
        <x:v>Repairer Invoiced Processed</x:v>
      </x:c>
      <x:c r="H5470" s="19" t="str">
        <x:v>In Field</x:v>
      </x:c>
      <x:c r="I5470" s="37" t="n">
        <x:v>46043</x:v>
      </x:c>
      <x:c r="J5470" s="37" t="n">
        <x:v>46043</x:v>
      </x:c>
      <x:c r="K5470" s="19" t="str">
        <x:v>The Caravan Hub - Townsville</x:v>
      </x:c>
      <x:c r="L5470" s="19" t="str">
        <x:v>Z006</x:v>
      </x:c>
      <x:c r="M5470" s="19" t="str">
        <x:v>In Field Warranty Claims</x:v>
      </x:c>
      <x:c r="N5470" s="37" t="n">
        <x:v>45952</x:v>
      </x:c>
      <x:c r="O5470" s="37"/>
      <x:c r="P5470" s="34" t="n">
        <x:v>0</x:v>
      </x:c>
      <x:c r="Q5470" s="37" t="n">
        <x:v>46043.288622685184</x:v>
      </x:c>
    </x:row>
    <x:row r="5471">
      <x:c r="A5471" s="22" t="n">
        <x:v>26971</x:v>
      </x:c>
      <x:c r="B5471" s="28" t="n">
        <x:v>66</x:v>
      </x:c>
      <x:c r="C5471" s="28"/>
      <x:c r="D5471" s="31" t="str">
        <x:f>IF(OR(ISBLANK(B5471),ISBLANK(C5471),B5471=0),"",(C5471-B5471)/B5471)</x:f>
      </x:c>
      <x:c r="E5471" s="22" t="str">
        <x:f>IF(ISBLANK(C5471),"AmountIncludingTax缺失",IF(ABS(B5471-C5471)&lt;0.005,"一致","不一致"))</x:f>
        <x:v>AmountIncludingTax缺失</x:v>
      </x:c>
      <x:c r="F5471" s="19" t="str">
        <x:v>approved</x:v>
      </x:c>
      <x:c r="G5471" s="19" t="str">
        <x:v>Repairer Invoiced Processed</x:v>
      </x:c>
      <x:c r="H5471" s="19" t="str">
        <x:v>In Field</x:v>
      </x:c>
      <x:c r="I5471" s="37" t="n">
        <x:v>46155</x:v>
      </x:c>
      <x:c r="J5471" s="37" t="n">
        <x:v>46155</x:v>
      </x:c>
      <x:c r="K5471" s="19" t="str">
        <x:v>Newcastle RV Super Centre - Beresfield</x:v>
      </x:c>
      <x:c r="L5471" s="19" t="str">
        <x:v>Z006</x:v>
      </x:c>
      <x:c r="M5471" s="19" t="str">
        <x:v>In Field Warranty Claims</x:v>
      </x:c>
      <x:c r="N5471" s="37" t="n">
        <x:v>45952</x:v>
      </x:c>
      <x:c r="O5471" s="37" t="n">
        <x:v>46101</x:v>
      </x:c>
      <x:c r="P5471" s="34" t="n">
        <x:v>0</x:v>
      </x:c>
      <x:c r="Q5471" s="37" t="n">
        <x:v>46155.268912037034</x:v>
      </x:c>
    </x:row>
    <x:row r="5472">
      <x:c r="A5472" s="22" t="n">
        <x:v>26966</x:v>
      </x:c>
      <x:c r="B5472" s="28" t="n">
        <x:v>272.73</x:v>
      </x:c>
      <x:c r="C5472" s="28" t="n">
        <x:v>300</x:v>
      </x:c>
      <x:c r="D5472" s="31" t="n">
        <x:f>IF(OR(ISBLANK(B5472),ISBLANK(C5472),B5472=0),"",(C5472-B5472)/B5472)</x:f>
        <x:v>0.09998900010999882</x:v>
      </x:c>
      <x:c r="E5472" s="22" t="str">
        <x:f>IF(ISBLANK(C5472),"AmountIncludingTax缺失",IF(ABS(B5472-C5472)&lt;0.005,"一致","不一致"))</x:f>
        <x:v>不一致</x:v>
      </x:c>
      <x:c r="F5472" s="19" t="str">
        <x:v>approved</x:v>
      </x:c>
      <x:c r="G5472" s="19" t="str">
        <x:v>Repairer Invoiced Processed</x:v>
      </x:c>
      <x:c r="H5472" s="19" t="str">
        <x:v>In Field</x:v>
      </x:c>
      <x:c r="I5472" s="37" t="n">
        <x:v>46107</x:v>
      </x:c>
      <x:c r="J5472" s="37" t="n">
        <x:v>46107</x:v>
      </x:c>
      <x:c r="K5472" s="19" t="str">
        <x:v>Newcastle RV Super Centre - Beresfield</x:v>
      </x:c>
      <x:c r="L5472" s="19" t="str">
        <x:v>Z006</x:v>
      </x:c>
      <x:c r="M5472" s="19" t="str">
        <x:v>In Field Warranty Claims</x:v>
      </x:c>
      <x:c r="N5472" s="37" t="n">
        <x:v>45952</x:v>
      </x:c>
      <x:c r="O5472" s="37"/>
      <x:c r="P5472" s="34" t="n">
        <x:v>300</x:v>
      </x:c>
      <x:c r="Q5472" s="37" t="n">
        <x:v>46106.883310185185</x:v>
      </x:c>
    </x:row>
    <x:row r="5473">
      <x:c r="A5473" s="22" t="n">
        <x:v>26965</x:v>
      </x:c>
      <x:c r="B5473" s="28" t="n">
        <x:v>97.5</x:v>
      </x:c>
      <x:c r="C5473" s="28"/>
      <x:c r="D5473" s="31" t="str">
        <x:f>IF(OR(ISBLANK(B5473),ISBLANK(C5473),B5473=0),"",(C5473-B5473)/B5473)</x:f>
      </x:c>
      <x:c r="E5473" s="22" t="str">
        <x:f>IF(ISBLANK(C5473),"AmountIncludingTax缺失",IF(ABS(B5473-C5473)&lt;0.005,"一致","不一致"))</x:f>
        <x:v>AmountIncludingTax缺失</x:v>
      </x:c>
      <x:c r="F5473" s="19" t="str">
        <x:v>approved</x:v>
      </x:c>
      <x:c r="G5473" s="19" t="str">
        <x:v>Repairer Invoiced Processed</x:v>
      </x:c>
      <x:c r="H5473" s="19" t="str">
        <x:v>In Field</x:v>
      </x:c>
      <x:c r="I5473" s="37" t="n">
        <x:v>46196</x:v>
      </x:c>
      <x:c r="J5473" s="37" t="n">
        <x:v>46196</x:v>
      </x:c>
      <x:c r="K5473" s="19" t="str">
        <x:v>Newcastle RV Super Centre - Beresfield</x:v>
      </x:c>
      <x:c r="L5473" s="19" t="str">
        <x:v>Z006</x:v>
      </x:c>
      <x:c r="M5473" s="19" t="str">
        <x:v>In Field Warranty Claims</x:v>
      </x:c>
      <x:c r="N5473" s="37" t="n">
        <x:v>45952</x:v>
      </x:c>
      <x:c r="O5473" s="37" t="n">
        <x:v>46101</x:v>
      </x:c>
      <x:c r="P5473" s="34" t="n">
        <x:v>0</x:v>
      </x:c>
      <x:c r="Q5473" s="37" t="n">
        <x:v>46196.0212962963</x:v>
      </x:c>
    </x:row>
    <x:row r="5474">
      <x:c r="A5474" s="22" t="n">
        <x:v>26961</x:v>
      </x:c>
      <x:c r="B5474" s="28" t="n">
        <x:v>580</x:v>
      </x:c>
      <x:c r="C5474" s="28"/>
      <x:c r="D5474" s="31" t="str">
        <x:f>IF(OR(ISBLANK(B5474),ISBLANK(C5474),B5474=0),"",(C5474-B5474)/B5474)</x:f>
      </x:c>
      <x:c r="E5474" s="22" t="str">
        <x:f>IF(ISBLANK(C5474),"AmountIncludingTax缺失",IF(ABS(B5474-C5474)&lt;0.005,"一致","不一致"))</x:f>
        <x:v>AmountIncludingTax缺失</x:v>
      </x:c>
      <x:c r="F5474" s="19" t="str">
        <x:v>approved</x:v>
      </x:c>
      <x:c r="G5474" s="19" t="str">
        <x:v>Repairer Invoiced Received</x:v>
      </x:c>
      <x:c r="H5474" s="19" t="str">
        <x:v>Pre Delivery</x:v>
      </x:c>
      <x:c r="I5474" s="37" t="n">
        <x:v>46092</x:v>
      </x:c>
      <x:c r="J5474" s="37" t="n">
        <x:v>46085</x:v>
      </x:c>
      <x:c r="K5474" s="19" t="str">
        <x:v>Snowy River Wangaratta</x:v>
      </x:c>
      <x:c r="L5474" s="19" t="str">
        <x:v>Z005</x:v>
      </x:c>
      <x:c r="M5474" s="19" t="str">
        <x:v>Pre Delivery Warranty Claims</x:v>
      </x:c>
      <x:c r="N5474" s="37" t="n">
        <x:v>45952</x:v>
      </x:c>
      <x:c r="O5474" s="37"/>
      <x:c r="P5474" s="34" t="n">
        <x:v>0</x:v>
      </x:c>
      <x:c r="Q5474" s="37" t="n">
        <x:v>46092.235185185185</x:v>
      </x:c>
    </x:row>
    <x:row r="5475">
      <x:c r="A5475" s="22" t="n">
        <x:v>26957</x:v>
      </x:c>
      <x:c r="B5475" s="28" t="n">
        <x:v>483.63</x:v>
      </x:c>
      <x:c r="C5475" s="28" t="n">
        <x:v>531.99</x:v>
      </x:c>
      <x:c r="D5475" s="31" t="n">
        <x:f>IF(OR(ISBLANK(B5475),ISBLANK(C5475),B5475=0),"",(C5475-B5475)/B5475)</x:f>
        <x:v>0.09999379691086163</x:v>
      </x:c>
      <x:c r="E5475" s="22" t="str">
        <x:f>IF(ISBLANK(C5475),"AmountIncludingTax缺失",IF(ABS(B5475-C5475)&lt;0.005,"一致","不一致"))</x:f>
        <x:v>不一致</x:v>
      </x:c>
      <x:c r="F5475" s="19" t="str">
        <x:v>approved</x:v>
      </x:c>
      <x:c r="G5475" s="19" t="str">
        <x:v>Repair in Progress</x:v>
      </x:c>
      <x:c r="H5475" s="19" t="str">
        <x:v>Pre Delivery</x:v>
      </x:c>
      <x:c r="I5475" s="37" t="n">
        <x:v>46038</x:v>
      </x:c>
      <x:c r="J5475" s="37" t="n">
        <x:v>46036</x:v>
      </x:c>
      <x:c r="K5475" s="19" t="str">
        <x:v>Auswide Caravans - South Nowra</x:v>
      </x:c>
      <x:c r="L5475" s="19" t="str">
        <x:v>Z005</x:v>
      </x:c>
      <x:c r="M5475" s="19" t="str">
        <x:v>Pre Delivery Warranty Claims</x:v>
      </x:c>
      <x:c r="N5475" s="37" t="n">
        <x:v>45952</x:v>
      </x:c>
      <x:c r="O5475" s="37"/>
      <x:c r="P5475" s="34" t="n">
        <x:v>531.99</x:v>
      </x:c>
      <x:c r="Q5475" s="37" t="n">
        <x:v>46037.95768518518</x:v>
      </x:c>
    </x:row>
    <x:row r="5476">
      <x:c r="A5476" s="22" t="n">
        <x:v>26956</x:v>
      </x:c>
      <x:c r="B5476" s="28" t="n">
        <x:v>482.5</x:v>
      </x:c>
      <x:c r="C5476" s="28"/>
      <x:c r="D5476" s="31" t="str">
        <x:f>IF(OR(ISBLANK(B5476),ISBLANK(C5476),B5476=0),"",(C5476-B5476)/B5476)</x:f>
      </x:c>
      <x:c r="E5476" s="22" t="str">
        <x:f>IF(ISBLANK(C5476),"AmountIncludingTax缺失",IF(ABS(B5476-C5476)&lt;0.005,"一致","不一致"))</x:f>
        <x:v>AmountIncludingTax缺失</x:v>
      </x:c>
      <x:c r="F5476" s="19" t="str">
        <x:v>approved</x:v>
      </x:c>
      <x:c r="G5476" s="19" t="str">
        <x:v>Repairer Invoiced Processed</x:v>
      </x:c>
      <x:c r="H5476" s="19" t="str">
        <x:v>Pre Delivery</x:v>
      </x:c>
      <x:c r="I5476" s="37" t="n">
        <x:v>46108</x:v>
      </x:c>
      <x:c r="J5476" s="37" t="n">
        <x:v>46108</x:v>
      </x:c>
      <x:c r="K5476" s="19" t="str">
        <x:v>Snowy River Wangaratta</x:v>
      </x:c>
      <x:c r="L5476" s="19" t="str">
        <x:v>Z005</x:v>
      </x:c>
      <x:c r="M5476" s="19" t="str">
        <x:v>Pre Delivery Warranty Claims</x:v>
      </x:c>
      <x:c r="N5476" s="37" t="n">
        <x:v>45952</x:v>
      </x:c>
      <x:c r="O5476" s="37"/>
      <x:c r="P5476" s="34" t="n">
        <x:v>0</x:v>
      </x:c>
      <x:c r="Q5476" s="37" t="n">
        <x:v>46108.22796296296</x:v>
      </x:c>
    </x:row>
    <x:row r="5477">
      <x:c r="A5477" s="22" t="n">
        <x:v>26953</x:v>
      </x:c>
      <x:c r="B5477" s="28" t="n">
        <x:v>135</x:v>
      </x:c>
      <x:c r="C5477" s="28"/>
      <x:c r="D5477" s="31" t="str">
        <x:f>IF(OR(ISBLANK(B5477),ISBLANK(C5477),B5477=0),"",(C5477-B5477)/B5477)</x:f>
      </x:c>
      <x:c r="E5477" s="22" t="str">
        <x:f>IF(ISBLANK(C5477),"AmountIncludingTax缺失",IF(ABS(B5477-C5477)&lt;0.005,"一致","不一致"))</x:f>
        <x:v>AmountIncludingTax缺失</x:v>
      </x:c>
      <x:c r="F5477" s="19" t="str">
        <x:v>approved</x:v>
      </x:c>
      <x:c r="G5477" s="19" t="str">
        <x:v>Repairer Invoiced Processed</x:v>
      </x:c>
      <x:c r="H5477" s="19" t="str">
        <x:v>Pre Delivery</x:v>
      </x:c>
      <x:c r="I5477" s="37" t="n">
        <x:v>46093</x:v>
      </x:c>
      <x:c r="J5477" s="37" t="n">
        <x:v>46085</x:v>
      </x:c>
      <x:c r="K5477" s="19" t="str">
        <x:v>Snowy River Wangaratta</x:v>
      </x:c>
      <x:c r="L5477" s="19" t="str">
        <x:v>Z005</x:v>
      </x:c>
      <x:c r="M5477" s="19" t="str">
        <x:v>Pre Delivery Warranty Claims</x:v>
      </x:c>
      <x:c r="N5477" s="37" t="n">
        <x:v>45952</x:v>
      </x:c>
      <x:c r="O5477" s="37"/>
      <x:c r="P5477" s="34" t="n">
        <x:v>0</x:v>
      </x:c>
      <x:c r="Q5477" s="37" t="n">
        <x:v>46093.01503472222</x:v>
      </x:c>
    </x:row>
    <x:row r="5478">
      <x:c r="A5478" s="22" t="n">
        <x:v>26952</x:v>
      </x:c>
      <x:c r="B5478" s="28" t="n">
        <x:v>1643.09</x:v>
      </x:c>
      <x:c r="C5478" s="28"/>
      <x:c r="D5478" s="31" t="str">
        <x:f>IF(OR(ISBLANK(B5478),ISBLANK(C5478),B5478=0),"",(C5478-B5478)/B5478)</x:f>
      </x:c>
      <x:c r="E5478" s="22" t="str">
        <x:f>IF(ISBLANK(C5478),"AmountIncludingTax缺失",IF(ABS(B5478-C5478)&lt;0.005,"一致","不一致"))</x:f>
        <x:v>AmountIncludingTax缺失</x:v>
      </x:c>
      <x:c r="F5478" s="19" t="str">
        <x:v>approved</x:v>
      </x:c>
      <x:c r="G5478" s="19" t="str">
        <x:v>Repairer Invoiced Processed</x:v>
      </x:c>
      <x:c r="H5478" s="19" t="str">
        <x:v>In Field</x:v>
      </x:c>
      <x:c r="I5478" s="37" t="n">
        <x:v>46035</x:v>
      </x:c>
      <x:c r="J5478" s="37" t="n">
        <x:v>46035</x:v>
      </x:c>
      <x:c r="K5478" s="19" t="str">
        <x:v>Green RV - Forest Glen</x:v>
      </x:c>
      <x:c r="L5478" s="19" t="str">
        <x:v>Z006</x:v>
      </x:c>
      <x:c r="M5478" s="19" t="str">
        <x:v>In Field Warranty Claims</x:v>
      </x:c>
      <x:c r="N5478" s="37" t="n">
        <x:v>45951</x:v>
      </x:c>
      <x:c r="O5478" s="37"/>
      <x:c r="P5478" s="34" t="n">
        <x:v>1807.4</x:v>
      </x:c>
      <x:c r="Q5478" s="37" t="n">
        <x:v>46035.22898148148</x:v>
      </x:c>
    </x:row>
    <x:row r="5479">
      <x:c r="A5479" s="22" t="n">
        <x:v>26951</x:v>
      </x:c>
      <x:c r="B5479" s="28" t="n">
        <x:v>462.1</x:v>
      </x:c>
      <x:c r="C5479" s="28"/>
      <x:c r="D5479" s="31" t="str">
        <x:f>IF(OR(ISBLANK(B5479),ISBLANK(C5479),B5479=0),"",(C5479-B5479)/B5479)</x:f>
      </x:c>
      <x:c r="E5479" s="22" t="str">
        <x:f>IF(ISBLANK(C5479),"AmountIncludingTax缺失",IF(ABS(B5479-C5479)&lt;0.005,"一致","不一致"))</x:f>
        <x:v>AmountIncludingTax缺失</x:v>
      </x:c>
      <x:c r="F5479" s="19" t="str">
        <x:v>approved</x:v>
      </x:c>
      <x:c r="G5479" s="19" t="str">
        <x:v>Repairer Invoiced Processed</x:v>
      </x:c>
      <x:c r="H5479" s="19" t="str">
        <x:v>In Field</x:v>
      </x:c>
      <x:c r="I5479" s="37" t="n">
        <x:v>46101</x:v>
      </x:c>
      <x:c r="J5479" s="37" t="n">
        <x:v>46058</x:v>
      </x:c>
      <x:c r="K5479" s="19" t="str">
        <x:v>Leisure Lion Pty Ltd - Toowoomba</x:v>
      </x:c>
      <x:c r="L5479" s="19" t="str">
        <x:v>Z006</x:v>
      </x:c>
      <x:c r="M5479" s="19" t="str">
        <x:v>In Field Warranty Claims</x:v>
      </x:c>
      <x:c r="N5479" s="37" t="n">
        <x:v>45951</x:v>
      </x:c>
      <x:c r="O5479" s="37"/>
      <x:c r="P5479" s="34" t="n">
        <x:v>0</x:v>
      </x:c>
      <x:c r="Q5479" s="37" t="n">
        <x:v>46100.950219907405</x:v>
      </x:c>
    </x:row>
    <x:row r="5480">
      <x:c r="A5480" s="22" t="n">
        <x:v>26950</x:v>
      </x:c>
      <x:c r="B5480" s="28" t="n">
        <x:v>472.5</x:v>
      </x:c>
      <x:c r="C5480" s="28"/>
      <x:c r="D5480" s="31" t="str">
        <x:f>IF(OR(ISBLANK(B5480),ISBLANK(C5480),B5480=0),"",(C5480-B5480)/B5480)</x:f>
      </x:c>
      <x:c r="E5480" s="22" t="str">
        <x:f>IF(ISBLANK(C5480),"AmountIncludingTax缺失",IF(ABS(B5480-C5480)&lt;0.005,"一致","不一致"))</x:f>
        <x:v>AmountIncludingTax缺失</x:v>
      </x:c>
      <x:c r="F5480" s="19" t="str">
        <x:v>approved</x:v>
      </x:c>
      <x:c r="G5480" s="19" t="str">
        <x:v>Repairer Invoiced Processed</x:v>
      </x:c>
      <x:c r="H5480" s="19" t="str">
        <x:v>Pre Delivery</x:v>
      </x:c>
      <x:c r="I5480" s="37" t="n">
        <x:v>46105</x:v>
      </x:c>
      <x:c r="J5480" s="37" t="n">
        <x:v>46105</x:v>
      </x:c>
      <x:c r="K5480" s="19" t="str">
        <x:v>Snowy River Wangaratta</x:v>
      </x:c>
      <x:c r="L5480" s="19" t="str">
        <x:v>Z005</x:v>
      </x:c>
      <x:c r="M5480" s="19" t="str">
        <x:v>Pre Delivery Warranty Claims</x:v>
      </x:c>
      <x:c r="N5480" s="37" t="n">
        <x:v>45952</x:v>
      </x:c>
      <x:c r="O5480" s="37" t="n">
        <x:v>46101</x:v>
      </x:c>
      <x:c r="P5480" s="34" t="n">
        <x:v>0</x:v>
      </x:c>
      <x:c r="Q5480" s="37" t="n">
        <x:v>46105.21824074074</x:v>
      </x:c>
    </x:row>
    <x:row r="5481">
      <x:c r="A5481" s="22" t="n">
        <x:v>26949</x:v>
      </x:c>
      <x:c r="B5481" s="28" t="n">
        <x:v>202.5</x:v>
      </x:c>
      <x:c r="C5481" s="28"/>
      <x:c r="D5481" s="31" t="str">
        <x:f>IF(OR(ISBLANK(B5481),ISBLANK(C5481),B5481=0),"",(C5481-B5481)/B5481)</x:f>
      </x:c>
      <x:c r="E5481" s="22" t="str">
        <x:f>IF(ISBLANK(C5481),"AmountIncludingTax缺失",IF(ABS(B5481-C5481)&lt;0.005,"一致","不一致"))</x:f>
        <x:v>AmountIncludingTax缺失</x:v>
      </x:c>
      <x:c r="F5481" s="19" t="str">
        <x:v>approved</x:v>
      </x:c>
      <x:c r="G5481" s="19" t="str">
        <x:v>Repair in Progress</x:v>
      </x:c>
      <x:c r="H5481" s="19" t="str">
        <x:v>In Field</x:v>
      </x:c>
      <x:c r="I5481" s="37" t="n">
        <x:v>46125</x:v>
      </x:c>
      <x:c r="J5481" s="37" t="n">
        <x:v>46125</x:v>
      </x:c>
      <x:c r="K5481" s="19" t="str">
        <x:v>Green RV - Forest Glen</x:v>
      </x:c>
      <x:c r="L5481" s="19" t="str">
        <x:v>Z006</x:v>
      </x:c>
      <x:c r="M5481" s="19" t="str">
        <x:v>In Field Warranty Claims</x:v>
      </x:c>
      <x:c r="N5481" s="37" t="n">
        <x:v>45952</x:v>
      </x:c>
      <x:c r="O5481" s="37"/>
      <x:c r="P5481" s="34" t="n">
        <x:v>0</x:v>
      </x:c>
      <x:c r="Q5481" s="37" t="n">
        <x:v>46125.18347222222</x:v>
      </x:c>
    </x:row>
    <x:row r="5482">
      <x:c r="A5482" s="22" t="n">
        <x:v>26948</x:v>
      </x:c>
      <x:c r="B5482" s="28" t="n">
        <x:v>77.5</x:v>
      </x:c>
      <x:c r="C5482" s="28"/>
      <x:c r="D5482" s="31" t="str">
        <x:f>IF(OR(ISBLANK(B5482),ISBLANK(C5482),B5482=0),"",(C5482-B5482)/B5482)</x:f>
      </x:c>
      <x:c r="E5482" s="22" t="str">
        <x:f>IF(ISBLANK(C5482),"AmountIncludingTax缺失",IF(ABS(B5482-C5482)&lt;0.005,"一致","不一致"))</x:f>
        <x:v>AmountIncludingTax缺失</x:v>
      </x:c>
      <x:c r="F5482" s="19" t="str">
        <x:v>approved</x:v>
      </x:c>
      <x:c r="G5482" s="19" t="str">
        <x:v>Repairer Invoiced Processed</x:v>
      </x:c>
      <x:c r="H5482" s="19" t="str">
        <x:v>Pre Delivery</x:v>
      </x:c>
      <x:c r="I5482" s="37" t="n">
        <x:v>46122</x:v>
      </x:c>
      <x:c r="J5482" s="37" t="n">
        <x:v>46121</x:v>
      </x:c>
      <x:c r="K5482" s="19" t="str">
        <x:v>Snowy River Wangaratta</x:v>
      </x:c>
      <x:c r="L5482" s="19" t="str">
        <x:v>Z005</x:v>
      </x:c>
      <x:c r="M5482" s="19" t="str">
        <x:v>Pre Delivery Warranty Claims</x:v>
      </x:c>
      <x:c r="N5482" s="37" t="n">
        <x:v>45951</x:v>
      </x:c>
      <x:c r="O5482" s="37" t="n">
        <x:v>46101</x:v>
      </x:c>
      <x:c r="P5482" s="34" t="n">
        <x:v>0</x:v>
      </x:c>
      <x:c r="Q5482" s="37" t="n">
        <x:v>46121.944502314815</x:v>
      </x:c>
    </x:row>
    <x:row r="5483">
      <x:c r="A5483" s="22" t="n">
        <x:v>26947</x:v>
      </x:c>
      <x:c r="B5483" s="28" t="n">
        <x:v>77.5</x:v>
      </x:c>
      <x:c r="C5483" s="28"/>
      <x:c r="D5483" s="31" t="str">
        <x:f>IF(OR(ISBLANK(B5483),ISBLANK(C5483),B5483=0),"",(C5483-B5483)/B5483)</x:f>
      </x:c>
      <x:c r="E5483" s="22" t="str">
        <x:f>IF(ISBLANK(C5483),"AmountIncludingTax缺失",IF(ABS(B5483-C5483)&lt;0.005,"一致","不一致"))</x:f>
        <x:v>AmountIncludingTax缺失</x:v>
      </x:c>
      <x:c r="F5483" s="19" t="str">
        <x:v>approved</x:v>
      </x:c>
      <x:c r="G5483" s="19" t="str">
        <x:v>Sales Order Approved</x:v>
      </x:c>
      <x:c r="H5483" s="19" t="str">
        <x:v>Pre Delivery</x:v>
      </x:c>
      <x:c r="I5483" s="37" t="n">
        <x:v>46122</x:v>
      </x:c>
      <x:c r="J5483" s="37" t="n">
        <x:v>46122</x:v>
      </x:c>
      <x:c r="K5483" s="19" t="str">
        <x:v>Snowy River Wangaratta</x:v>
      </x:c>
      <x:c r="L5483" s="19" t="str">
        <x:v>Z005</x:v>
      </x:c>
      <x:c r="M5483" s="19" t="str">
        <x:v>Pre Delivery Warranty Claims</x:v>
      </x:c>
      <x:c r="N5483" s="37" t="n">
        <x:v>45951</x:v>
      </x:c>
      <x:c r="O5483" s="37" t="n">
        <x:v>46101</x:v>
      </x:c>
      <x:c r="P5483" s="34" t="n">
        <x:v>0</x:v>
      </x:c>
      <x:c r="Q5483" s="37" t="n">
        <x:v>46121.955729166664</x:v>
      </x:c>
    </x:row>
    <x:row r="5484">
      <x:c r="A5484" s="22" t="n">
        <x:v>26946</x:v>
      </x:c>
      <x:c r="B5484" s="28" t="n">
        <x:v>482.5</x:v>
      </x:c>
      <x:c r="C5484" s="28"/>
      <x:c r="D5484" s="31" t="str">
        <x:f>IF(OR(ISBLANK(B5484),ISBLANK(C5484),B5484=0),"",(C5484-B5484)/B5484)</x:f>
      </x:c>
      <x:c r="E5484" s="22" t="str">
        <x:f>IF(ISBLANK(C5484),"AmountIncludingTax缺失",IF(ABS(B5484-C5484)&lt;0.005,"一致","不一致"))</x:f>
        <x:v>AmountIncludingTax缺失</x:v>
      </x:c>
      <x:c r="F5484" s="19" t="str">
        <x:v>approved</x:v>
      </x:c>
      <x:c r="G5484" s="19" t="str">
        <x:v>Repairer Invoiced Processed</x:v>
      </x:c>
      <x:c r="H5484" s="19" t="str">
        <x:v>Pre Delivery</x:v>
      </x:c>
      <x:c r="I5484" s="37" t="n">
        <x:v>46122</x:v>
      </x:c>
      <x:c r="J5484" s="37" t="n">
        <x:v>46122</x:v>
      </x:c>
      <x:c r="K5484" s="19" t="str">
        <x:v>Snowy River Wangaratta</x:v>
      </x:c>
      <x:c r="L5484" s="19" t="str">
        <x:v>Z005</x:v>
      </x:c>
      <x:c r="M5484" s="19" t="str">
        <x:v>Pre Delivery Warranty Claims</x:v>
      </x:c>
      <x:c r="N5484" s="37" t="n">
        <x:v>45951</x:v>
      </x:c>
      <x:c r="O5484" s="37" t="n">
        <x:v>46101</x:v>
      </x:c>
      <x:c r="P5484" s="34" t="n">
        <x:v>0</x:v>
      </x:c>
      <x:c r="Q5484" s="37" t="n">
        <x:v>46121.93158564815</x:v>
      </x:c>
    </x:row>
    <x:row r="5485">
      <x:c r="A5485" s="22" t="n">
        <x:v>26945</x:v>
      </x:c>
      <x:c r="B5485" s="28" t="n">
        <x:v>482.5</x:v>
      </x:c>
      <x:c r="C5485" s="28"/>
      <x:c r="D5485" s="31" t="str">
        <x:f>IF(OR(ISBLANK(B5485),ISBLANK(C5485),B5485=0),"",(C5485-B5485)/B5485)</x:f>
      </x:c>
      <x:c r="E5485" s="22" t="str">
        <x:f>IF(ISBLANK(C5485),"AmountIncludingTax缺失",IF(ABS(B5485-C5485)&lt;0.005,"一致","不一致"))</x:f>
        <x:v>AmountIncludingTax缺失</x:v>
      </x:c>
      <x:c r="F5485" s="19" t="str">
        <x:v>approved</x:v>
      </x:c>
      <x:c r="G5485" s="19" t="str">
        <x:v>Sales Order Approved</x:v>
      </x:c>
      <x:c r="H5485" s="19" t="str">
        <x:v>Pre Delivery</x:v>
      </x:c>
      <x:c r="I5485" s="37" t="n">
        <x:v>46122</x:v>
      </x:c>
      <x:c r="J5485" s="37" t="n">
        <x:v>46122</x:v>
      </x:c>
      <x:c r="K5485" s="19" t="str">
        <x:v>Snowy River Wangaratta</x:v>
      </x:c>
      <x:c r="L5485" s="19" t="str">
        <x:v>Z005</x:v>
      </x:c>
      <x:c r="M5485" s="19" t="str">
        <x:v>Pre Delivery Warranty Claims</x:v>
      </x:c>
      <x:c r="N5485" s="37" t="n">
        <x:v>45951</x:v>
      </x:c>
      <x:c r="O5485" s="37" t="n">
        <x:v>46101</x:v>
      </x:c>
      <x:c r="P5485" s="34" t="n">
        <x:v>0</x:v>
      </x:c>
      <x:c r="Q5485" s="37" t="n">
        <x:v>46121.92434027778</x:v>
      </x:c>
    </x:row>
    <x:row r="5486">
      <x:c r="A5486" s="22" t="n">
        <x:v>26944</x:v>
      </x:c>
      <x:c r="B5486" s="28" t="n">
        <x:v>1302.5</x:v>
      </x:c>
      <x:c r="C5486" s="28"/>
      <x:c r="D5486" s="31" t="str">
        <x:f>IF(OR(ISBLANK(B5486),ISBLANK(C5486),B5486=0),"",(C5486-B5486)/B5486)</x:f>
      </x:c>
      <x:c r="E5486" s="22" t="str">
        <x:f>IF(ISBLANK(C5486),"AmountIncludingTax缺失",IF(ABS(B5486-C5486)&lt;0.005,"一致","不一致"))</x:f>
        <x:v>AmountIncludingTax缺失</x:v>
      </x:c>
      <x:c r="F5486" s="19" t="str">
        <x:v>approved</x:v>
      </x:c>
      <x:c r="G5486" s="19" t="str">
        <x:v>Sales Order Approved</x:v>
      </x:c>
      <x:c r="H5486" s="19" t="str">
        <x:v>Pre Delivery</x:v>
      </x:c>
      <x:c r="I5486" s="37" t="n">
        <x:v>46072</x:v>
      </x:c>
      <x:c r="J5486" s="37" t="n">
        <x:v>46072</x:v>
      </x:c>
      <x:c r="K5486" s="19" t="str">
        <x:v>The Caravan Hub - Townsville</x:v>
      </x:c>
      <x:c r="L5486" s="19" t="str">
        <x:v>Z005</x:v>
      </x:c>
      <x:c r="M5486" s="19" t="str">
        <x:v>Pre Delivery Warranty Claims</x:v>
      </x:c>
      <x:c r="N5486" s="37" t="n">
        <x:v>45951</x:v>
      </x:c>
      <x:c r="O5486" s="37"/>
      <x:c r="P5486" s="34" t="n">
        <x:v>0</x:v>
      </x:c>
      <x:c r="Q5486" s="37" t="n">
        <x:v>46071.90809027778</x:v>
      </x:c>
    </x:row>
    <x:row r="5487">
      <x:c r="A5487" s="22" t="n">
        <x:v>26937</x:v>
      </x:c>
      <x:c r="B5487" s="28" t="n">
        <x:v>472.5</x:v>
      </x:c>
      <x:c r="C5487" s="28"/>
      <x:c r="D5487" s="31" t="str">
        <x:f>IF(OR(ISBLANK(B5487),ISBLANK(C5487),B5487=0),"",(C5487-B5487)/B5487)</x:f>
      </x:c>
      <x:c r="E5487" s="22" t="str">
        <x:f>IF(ISBLANK(C5487),"AmountIncludingTax缺失",IF(ABS(B5487-C5487)&lt;0.005,"一致","不一致"))</x:f>
        <x:v>AmountIncludingTax缺失</x:v>
      </x:c>
      <x:c r="F5487" s="19" t="str">
        <x:v>approved</x:v>
      </x:c>
      <x:c r="G5487" s="19" t="str">
        <x:v>Repairer Invoiced Processed</x:v>
      </x:c>
      <x:c r="H5487" s="19" t="str">
        <x:v>Pre Delivery</x:v>
      </x:c>
      <x:c r="I5487" s="37" t="n">
        <x:v>46105</x:v>
      </x:c>
      <x:c r="J5487" s="37" t="n">
        <x:v>46105</x:v>
      </x:c>
      <x:c r="K5487" s="19" t="str">
        <x:v>Snowy River Wangaratta</x:v>
      </x:c>
      <x:c r="L5487" s="19" t="str">
        <x:v>Z005</x:v>
      </x:c>
      <x:c r="M5487" s="19" t="str">
        <x:v>Pre Delivery Warranty Claims</x:v>
      </x:c>
      <x:c r="N5487" s="37" t="n">
        <x:v>45951</x:v>
      </x:c>
      <x:c r="O5487" s="37" t="n">
        <x:v>46101</x:v>
      </x:c>
      <x:c r="P5487" s="34" t="n">
        <x:v>0</x:v>
      </x:c>
      <x:c r="Q5487" s="37" t="n">
        <x:v>46105.25393518519</x:v>
      </x:c>
    </x:row>
    <x:row r="5488">
      <x:c r="A5488" s="22" t="n">
        <x:v>26933</x:v>
      </x:c>
      <x:c r="B5488" s="28" t="n">
        <x:v>472.5</x:v>
      </x:c>
      <x:c r="C5488" s="28"/>
      <x:c r="D5488" s="31" t="str">
        <x:f>IF(OR(ISBLANK(B5488),ISBLANK(C5488),B5488=0),"",(C5488-B5488)/B5488)</x:f>
      </x:c>
      <x:c r="E5488" s="22" t="str">
        <x:f>IF(ISBLANK(C5488),"AmountIncludingTax缺失",IF(ABS(B5488-C5488)&lt;0.005,"一致","不一致"))</x:f>
        <x:v>AmountIncludingTax缺失</x:v>
      </x:c>
      <x:c r="F5488" s="19" t="str">
        <x:v>approved</x:v>
      </x:c>
      <x:c r="G5488" s="19" t="str">
        <x:v>Repairer Invoiced Processed</x:v>
      </x:c>
      <x:c r="H5488" s="19" t="str">
        <x:v>Pre Delivery</x:v>
      </x:c>
      <x:c r="I5488" s="37" t="n">
        <x:v>46105</x:v>
      </x:c>
      <x:c r="J5488" s="37" t="n">
        <x:v>46105</x:v>
      </x:c>
      <x:c r="K5488" s="19" t="str">
        <x:v>Snowy River Wangaratta</x:v>
      </x:c>
      <x:c r="L5488" s="19" t="str">
        <x:v>Z005</x:v>
      </x:c>
      <x:c r="M5488" s="19" t="str">
        <x:v>Pre Delivery Warranty Claims</x:v>
      </x:c>
      <x:c r="N5488" s="37" t="n">
        <x:v>45951</x:v>
      </x:c>
      <x:c r="O5488" s="37" t="n">
        <x:v>46101</x:v>
      </x:c>
      <x:c r="P5488" s="34" t="n">
        <x:v>0</x:v>
      </x:c>
      <x:c r="Q5488" s="37" t="n">
        <x:v>46105.267800925925</x:v>
      </x:c>
    </x:row>
    <x:row r="5489">
      <x:c r="A5489" s="22" t="n">
        <x:v>26931</x:v>
      </x:c>
      <x:c r="B5489" s="28" t="n">
        <x:v>472.5</x:v>
      </x:c>
      <x:c r="C5489" s="28"/>
      <x:c r="D5489" s="31" t="str">
        <x:f>IF(OR(ISBLANK(B5489),ISBLANK(C5489),B5489=0),"",(C5489-B5489)/B5489)</x:f>
      </x:c>
      <x:c r="E5489" s="22" t="str">
        <x:f>IF(ISBLANK(C5489),"AmountIncludingTax缺失",IF(ABS(B5489-C5489)&lt;0.005,"一致","不一致"))</x:f>
        <x:v>AmountIncludingTax缺失</x:v>
      </x:c>
      <x:c r="F5489" s="19" t="str">
        <x:v>approved</x:v>
      </x:c>
      <x:c r="G5489" s="19" t="str">
        <x:v>Repairer Invoiced Processed</x:v>
      </x:c>
      <x:c r="H5489" s="19" t="str">
        <x:v>Pre Delivery</x:v>
      </x:c>
      <x:c r="I5489" s="37" t="n">
        <x:v>46105</x:v>
      </x:c>
      <x:c r="J5489" s="37" t="n">
        <x:v>46105</x:v>
      </x:c>
      <x:c r="K5489" s="19" t="str">
        <x:v>Snowy River Wangaratta</x:v>
      </x:c>
      <x:c r="L5489" s="19" t="str">
        <x:v>Z005</x:v>
      </x:c>
      <x:c r="M5489" s="19" t="str">
        <x:v>Pre Delivery Warranty Claims</x:v>
      </x:c>
      <x:c r="N5489" s="37" t="n">
        <x:v>45951</x:v>
      </x:c>
      <x:c r="O5489" s="37" t="n">
        <x:v>46101</x:v>
      </x:c>
      <x:c r="P5489" s="34" t="n">
        <x:v>0</x:v>
      </x:c>
      <x:c r="Q5489" s="37" t="n">
        <x:v>46105.23423611111</x:v>
      </x:c>
    </x:row>
    <x:row r="5490">
      <x:c r="A5490" s="22" t="n">
        <x:v>26916</x:v>
      </x:c>
      <x:c r="B5490" s="28" t="n">
        <x:v>241.25</x:v>
      </x:c>
      <x:c r="C5490" s="28" t="n">
        <x:v>265.38</x:v>
      </x:c>
      <x:c r="D5490" s="31" t="n">
        <x:f>IF(OR(ISBLANK(B5490),ISBLANK(C5490),B5490=0),"",(C5490-B5490)/B5490)</x:f>
        <x:v>0.10002072538860102</x:v>
      </x:c>
      <x:c r="E5490" s="22" t="str">
        <x:f>IF(ISBLANK(C5490),"AmountIncludingTax缺失",IF(ABS(B5490-C5490)&lt;0.005,"一致","不一致"))</x:f>
        <x:v>不一致</x:v>
      </x:c>
      <x:c r="F5490" s="19" t="str">
        <x:v>approved</x:v>
      </x:c>
      <x:c r="G5490" s="19" t="str">
        <x:v>Repairer Invoiced Processed</x:v>
      </x:c>
      <x:c r="H5490" s="19" t="str">
        <x:v>Pre Delivery</x:v>
      </x:c>
      <x:c r="I5490" s="37" t="n">
        <x:v>46104</x:v>
      </x:c>
      <x:c r="J5490" s="37" t="n">
        <x:v>46104</x:v>
      </x:c>
      <x:c r="K5490" s="19" t="str">
        <x:v>Snowy River Wangaratta</x:v>
      </x:c>
      <x:c r="L5490" s="19" t="str">
        <x:v>Z005</x:v>
      </x:c>
      <x:c r="M5490" s="19" t="str">
        <x:v>Pre Delivery Warranty Claims</x:v>
      </x:c>
      <x:c r="N5490" s="37" t="n">
        <x:v>45951</x:v>
      </x:c>
      <x:c r="O5490" s="37"/>
      <x:c r="P5490" s="34" t="n">
        <x:v>265.38</x:v>
      </x:c>
      <x:c r="Q5490" s="37" t="n">
        <x:v>46103.92962962963</x:v>
      </x:c>
    </x:row>
    <x:row r="5491">
      <x:c r="A5491" s="22" t="n">
        <x:v>26914</x:v>
      </x:c>
      <x:c r="B5491" s="28" t="n">
        <x:v>250</x:v>
      </x:c>
      <x:c r="C5491" s="28"/>
      <x:c r="D5491" s="31" t="str">
        <x:f>IF(OR(ISBLANK(B5491),ISBLANK(C5491),B5491=0),"",(C5491-B5491)/B5491)</x:f>
      </x:c>
      <x:c r="E5491" s="22" t="str">
        <x:f>IF(ISBLANK(C5491),"AmountIncludingTax缺失",IF(ABS(B5491-C5491)&lt;0.005,"一致","不一致"))</x:f>
        <x:v>AmountIncludingTax缺失</x:v>
      </x:c>
      <x:c r="F5491" s="19" t="str">
        <x:v>approved</x:v>
      </x:c>
      <x:c r="G5491" s="19" t="str">
        <x:v>Repair in Progress</x:v>
      </x:c>
      <x:c r="H5491" s="19" t="str">
        <x:v>In Field</x:v>
      </x:c>
      <x:c r="I5491" s="37" t="n">
        <x:v>46024</x:v>
      </x:c>
      <x:c r="J5491" s="37" t="n">
        <x:v>46024</x:v>
      </x:c>
      <x:c r="K5491" s="19" t="str">
        <x:v>Regent RV - Perth</x:v>
      </x:c>
      <x:c r="L5491" s="19" t="str">
        <x:v>Z006</x:v>
      </x:c>
      <x:c r="M5491" s="19" t="str">
        <x:v>In Field Warranty Claims</x:v>
      </x:c>
      <x:c r="N5491" s="37" t="n">
        <x:v>45951</x:v>
      </x:c>
      <x:c r="O5491" s="37"/>
      <x:c r="P5491" s="34" t="n">
        <x:v>0</x:v>
      </x:c>
      <x:c r="Q5491" s="37" t="n">
        <x:v>46023.972395833334</x:v>
      </x:c>
    </x:row>
    <x:row r="5492">
      <x:c r="A5492" s="22" t="n">
        <x:v>26912</x:v>
      </x:c>
      <x:c r="B5492" s="28" t="n">
        <x:v>1224.09</x:v>
      </x:c>
      <x:c r="C5492" s="28"/>
      <x:c r="D5492" s="31" t="str">
        <x:f>IF(OR(ISBLANK(B5492),ISBLANK(C5492),B5492=0),"",(C5492-B5492)/B5492)</x:f>
      </x:c>
      <x:c r="E5492" s="22" t="str">
        <x:f>IF(ISBLANK(C5492),"AmountIncludingTax缺失",IF(ABS(B5492-C5492)&lt;0.005,"一致","不一致"))</x:f>
        <x:v>AmountIncludingTax缺失</x:v>
      </x:c>
      <x:c r="F5492" s="19" t="str">
        <x:v>approved</x:v>
      </x:c>
      <x:c r="G5492" s="19" t="str">
        <x:v>Partially Picked</x:v>
      </x:c>
      <x:c r="H5492" s="19" t="str">
        <x:v>In Field</x:v>
      </x:c>
      <x:c r="I5492" s="37" t="n">
        <x:v>46101</x:v>
      </x:c>
      <x:c r="J5492" s="37" t="n">
        <x:v>46101</x:v>
      </x:c>
      <x:c r="K5492" s="19" t="str">
        <x:v>Green RV - Forest Glen</x:v>
      </x:c>
      <x:c r="L5492" s="19" t="str">
        <x:v>Z006</x:v>
      </x:c>
      <x:c r="M5492" s="19" t="str">
        <x:v>In Field Warranty Claims</x:v>
      </x:c>
      <x:c r="N5492" s="37" t="n">
        <x:v>45951</x:v>
      </x:c>
      <x:c r="O5492" s="37"/>
      <x:c r="P5492" s="34" t="n">
        <x:v>0</x:v>
      </x:c>
      <x:c r="Q5492" s="37" t="n">
        <x:v>46101.519467592596</x:v>
      </x:c>
    </x:row>
    <x:row r="5493">
      <x:c r="A5493" s="22" t="n">
        <x:v>26911</x:v>
      </x:c>
      <x:c r="B5493" s="28" t="n">
        <x:v>1805</x:v>
      </x:c>
      <x:c r="C5493" s="28"/>
      <x:c r="D5493" s="31" t="str">
        <x:f>IF(OR(ISBLANK(B5493),ISBLANK(C5493),B5493=0),"",(C5493-B5493)/B5493)</x:f>
      </x:c>
      <x:c r="E5493" s="22" t="str">
        <x:f>IF(ISBLANK(C5493),"AmountIncludingTax缺失",IF(ABS(B5493-C5493)&lt;0.005,"一致","不一致"))</x:f>
        <x:v>AmountIncludingTax缺失</x:v>
      </x:c>
      <x:c r="F5493" s="19" t="str">
        <x:v>approved</x:v>
      </x:c>
      <x:c r="G5493" s="19" t="str">
        <x:v>Repair in Progress</x:v>
      </x:c>
      <x:c r="H5493" s="19" t="str">
        <x:v>In Field</x:v>
      </x:c>
      <x:c r="I5493" s="37" t="n">
        <x:v>46139</x:v>
      </x:c>
      <x:c r="J5493" s="37" t="n">
        <x:v>46139</x:v>
      </x:c>
      <x:c r="K5493" s="19" t="str">
        <x:v>The Caravan Hub - Townsville</x:v>
      </x:c>
      <x:c r="L5493" s="19" t="str">
        <x:v>Z006</x:v>
      </x:c>
      <x:c r="M5493" s="19" t="str">
        <x:v>In Field Warranty Claims</x:v>
      </x:c>
      <x:c r="N5493" s="37" t="n">
        <x:v>45951</x:v>
      </x:c>
      <x:c r="O5493" s="37"/>
      <x:c r="P5493" s="34" t="n">
        <x:v>0</x:v>
      </x:c>
      <x:c r="Q5493" s="37" t="n">
        <x:v>46139.49229166667</x:v>
      </x:c>
    </x:row>
    <x:row r="5494">
      <x:c r="A5494" s="22" t="n">
        <x:v>26906</x:v>
      </x:c>
      <x:c r="B5494" s="28" t="n">
        <x:v>720.53</x:v>
      </x:c>
      <x:c r="C5494" s="28"/>
      <x:c r="D5494" s="31" t="str">
        <x:f>IF(OR(ISBLANK(B5494),ISBLANK(C5494),B5494=0),"",(C5494-B5494)/B5494)</x:f>
      </x:c>
      <x:c r="E5494" s="22" t="str">
        <x:f>IF(ISBLANK(C5494),"AmountIncludingTax缺失",IF(ABS(B5494-C5494)&lt;0.005,"一致","不一致"))</x:f>
        <x:v>AmountIncludingTax缺失</x:v>
      </x:c>
      <x:c r="F5494" s="19" t="str">
        <x:v>approved</x:v>
      </x:c>
      <x:c r="G5494" s="19" t="str">
        <x:v>Repair in Progress</x:v>
      </x:c>
      <x:c r="H5494" s="19" t="str">
        <x:v>In Field</x:v>
      </x:c>
      <x:c r="I5494" s="37" t="n">
        <x:v>46070</x:v>
      </x:c>
      <x:c r="J5494" s="37" t="n">
        <x:v>46070</x:v>
      </x:c>
      <x:c r="K5494" s="19" t="str">
        <x:v>The Caravan Hub - Townsville</x:v>
      </x:c>
      <x:c r="L5494" s="19" t="str">
        <x:v>Z006</x:v>
      </x:c>
      <x:c r="M5494" s="19" t="str">
        <x:v>In Field Warranty Claims</x:v>
      </x:c>
      <x:c r="N5494" s="37" t="n">
        <x:v>45951</x:v>
      </x:c>
      <x:c r="O5494" s="37"/>
      <x:c r="P5494" s="34" t="n">
        <x:v>0</x:v>
      </x:c>
      <x:c r="Q5494" s="37" t="n">
        <x:v>46070.22350694444</x:v>
      </x:c>
    </x:row>
    <x:row r="5495">
      <x:c r="A5495" s="22" t="n">
        <x:v>26905</x:v>
      </x:c>
      <x:c r="B5495" s="28" t="n">
        <x:v>310</x:v>
      </x:c>
      <x:c r="C5495" s="28" t="n">
        <x:v>341</x:v>
      </x:c>
      <x:c r="D5495" s="31" t="n">
        <x:f>IF(OR(ISBLANK(B5495),ISBLANK(C5495),B5495=0),"",(C5495-B5495)/B5495)</x:f>
        <x:v>0.1</x:v>
      </x:c>
      <x:c r="E5495" s="22" t="str">
        <x:f>IF(ISBLANK(C5495),"AmountIncludingTax缺失",IF(ABS(B5495-C5495)&lt;0.005,"一致","不一致"))</x:f>
        <x:v>不一致</x:v>
      </x:c>
      <x:c r="F5495" s="19" t="str">
        <x:v>approved</x:v>
      </x:c>
      <x:c r="G5495" s="19" t="str">
        <x:v>Repairer Invoiced Processed</x:v>
      </x:c>
      <x:c r="H5495" s="19" t="str">
        <x:v>In Field</x:v>
      </x:c>
      <x:c r="I5495" s="37" t="n">
        <x:v>46064</x:v>
      </x:c>
      <x:c r="J5495" s="37" t="n">
        <x:v>46064</x:v>
      </x:c>
      <x:c r="K5495" s="19" t="str">
        <x:v>The Caravan Hub - Townsville</x:v>
      </x:c>
      <x:c r="L5495" s="19" t="str">
        <x:v>Z006</x:v>
      </x:c>
      <x:c r="M5495" s="19" t="str">
        <x:v>In Field Warranty Claims</x:v>
      </x:c>
      <x:c r="N5495" s="37" t="n">
        <x:v>45951</x:v>
      </x:c>
      <x:c r="O5495" s="37"/>
      <x:c r="P5495" s="34" t="n">
        <x:v>341</x:v>
      </x:c>
      <x:c r="Q5495" s="37" t="n">
        <x:v>46064.07869212963</x:v>
      </x:c>
    </x:row>
    <x:row r="5496">
      <x:c r="A5496" s="22" t="n">
        <x:v>26903</x:v>
      </x:c>
      <x:c r="B5496" s="28" t="n">
        <x:v>227.5</x:v>
      </x:c>
      <x:c r="C5496" s="28"/>
      <x:c r="D5496" s="31" t="str">
        <x:f>IF(OR(ISBLANK(B5496),ISBLANK(C5496),B5496=0),"",(C5496-B5496)/B5496)</x:f>
      </x:c>
      <x:c r="E5496" s="22" t="str">
        <x:f>IF(ISBLANK(C5496),"AmountIncludingTax缺失",IF(ABS(B5496-C5496)&lt;0.005,"一致","不一致"))</x:f>
        <x:v>AmountIncludingTax缺失</x:v>
      </x:c>
      <x:c r="F5496" s="19" t="str">
        <x:v>approved</x:v>
      </x:c>
      <x:c r="G5496" s="19" t="str">
        <x:v>Repairer Invoiced Processed</x:v>
      </x:c>
      <x:c r="H5496" s="19" t="str">
        <x:v>In Field</x:v>
      </x:c>
      <x:c r="I5496" s="37" t="n">
        <x:v>46065</x:v>
      </x:c>
      <x:c r="J5496" s="37" t="n">
        <x:v>46065</x:v>
      </x:c>
      <x:c r="K5496" s="19" t="str">
        <x:v>The Caravan Hub - Townsville</x:v>
      </x:c>
      <x:c r="L5496" s="19" t="str">
        <x:v>Z006</x:v>
      </x:c>
      <x:c r="M5496" s="19" t="str">
        <x:v>In Field Warranty Claims</x:v>
      </x:c>
      <x:c r="N5496" s="37" t="n">
        <x:v>45951</x:v>
      </x:c>
      <x:c r="O5496" s="37"/>
      <x:c r="P5496" s="34" t="n">
        <x:v>0</x:v>
      </x:c>
      <x:c r="Q5496" s="37" t="n">
        <x:v>46064.888125</x:v>
      </x:c>
    </x:row>
    <x:row r="5497">
      <x:c r="A5497" s="22" t="n">
        <x:v>26899</x:v>
      </x:c>
      <x:c r="B5497" s="28" t="n">
        <x:v>101.25</x:v>
      </x:c>
      <x:c r="C5497" s="28"/>
      <x:c r="D5497" s="31" t="str">
        <x:f>IF(OR(ISBLANK(B5497),ISBLANK(C5497),B5497=0),"",(C5497-B5497)/B5497)</x:f>
      </x:c>
      <x:c r="E5497" s="22" t="str">
        <x:f>IF(ISBLANK(C5497),"AmountIncludingTax缺失",IF(ABS(B5497-C5497)&lt;0.005,"一致","不一致"))</x:f>
        <x:v>AmountIncludingTax缺失</x:v>
      </x:c>
      <x:c r="F5497" s="19" t="str">
        <x:v>approved</x:v>
      </x:c>
      <x:c r="G5497" s="19" t="str">
        <x:v>Repair in Progress</x:v>
      </x:c>
      <x:c r="H5497" s="19" t="str">
        <x:v>In Field</x:v>
      </x:c>
      <x:c r="I5497" s="37" t="n">
        <x:v>46167</x:v>
      </x:c>
      <x:c r="J5497" s="37" t="n">
        <x:v>46167</x:v>
      </x:c>
      <x:c r="K5497" s="19" t="str">
        <x:v>Dario Caravans -St.Marys</x:v>
      </x:c>
      <x:c r="L5497" s="19" t="str">
        <x:v>Z006</x:v>
      </x:c>
      <x:c r="M5497" s="19" t="str">
        <x:v>In Field Warranty Claims</x:v>
      </x:c>
      <x:c r="N5497" s="37" t="n">
        <x:v>45951</x:v>
      </x:c>
      <x:c r="O5497" s="37"/>
      <x:c r="P5497" s="34" t="n">
        <x:v>0</x:v>
      </x:c>
      <x:c r="Q5497" s="37" t="n">
        <x:v>46167.22273148148</x:v>
      </x:c>
    </x:row>
    <x:row r="5498">
      <x:c r="A5498" s="22" t="n">
        <x:v>26897</x:v>
      </x:c>
      <x:c r="B5498" s="28" t="n">
        <x:v>877.5</x:v>
      </x:c>
      <x:c r="C5498" s="28"/>
      <x:c r="D5498" s="31" t="str">
        <x:f>IF(OR(ISBLANK(B5498),ISBLANK(C5498),B5498=0),"",(C5498-B5498)/B5498)</x:f>
      </x:c>
      <x:c r="E5498" s="22" t="str">
        <x:f>IF(ISBLANK(C5498),"AmountIncludingTax缺失",IF(ABS(B5498-C5498)&lt;0.005,"一致","不一致"))</x:f>
        <x:v>AmountIncludingTax缺失</x:v>
      </x:c>
      <x:c r="F5498" s="19" t="str">
        <x:v>approved</x:v>
      </x:c>
      <x:c r="G5498" s="19" t="str">
        <x:v>Repairer Invoiced Processed</x:v>
      </x:c>
      <x:c r="H5498" s="19" t="str">
        <x:v>In Field</x:v>
      </x:c>
      <x:c r="I5498" s="37" t="n">
        <x:v>46128</x:v>
      </x:c>
      <x:c r="J5498" s="37" t="n">
        <x:v>46128</x:v>
      </x:c>
      <x:c r="K5498" s="19" t="str">
        <x:v>Great Ocean Road RV &amp; Caravans - Warrnambool</x:v>
      </x:c>
      <x:c r="L5498" s="19" t="str">
        <x:v>Z006</x:v>
      </x:c>
      <x:c r="M5498" s="19" t="str">
        <x:v>In Field Warranty Claims</x:v>
      </x:c>
      <x:c r="N5498" s="37" t="n">
        <x:v>45950</x:v>
      </x:c>
      <x:c r="O5498" s="37"/>
      <x:c r="P5498" s="34" t="n">
        <x:v>0</x:v>
      </x:c>
      <x:c r="Q5498" s="37" t="n">
        <x:v>46127.98556712963</x:v>
      </x:c>
    </x:row>
    <x:row r="5499">
      <x:c r="A5499" s="22" t="n">
        <x:v>26893</x:v>
      </x:c>
      <x:c r="B5499" s="28" t="n">
        <x:v>729.8</x:v>
      </x:c>
      <x:c r="C5499" s="28"/>
      <x:c r="D5499" s="31" t="str">
        <x:f>IF(OR(ISBLANK(B5499),ISBLANK(C5499),B5499=0),"",(C5499-B5499)/B5499)</x:f>
      </x:c>
      <x:c r="E5499" s="22" t="str">
        <x:f>IF(ISBLANK(C5499),"AmountIncludingTax缺失",IF(ABS(B5499-C5499)&lt;0.005,"一致","不一致"))</x:f>
        <x:v>AmountIncludingTax缺失</x:v>
      </x:c>
      <x:c r="F5499" s="19" t="str">
        <x:v>approved</x:v>
      </x:c>
      <x:c r="G5499" s="19" t="str">
        <x:v>Repairer Invoiced Processed</x:v>
      </x:c>
      <x:c r="H5499" s="19" t="str">
        <x:v>In Field</x:v>
      </x:c>
      <x:c r="I5499" s="37" t="n">
        <x:v>46078</x:v>
      </x:c>
      <x:c r="J5499" s="37" t="n">
        <x:v>46078</x:v>
      </x:c>
      <x:c r="K5499" s="19" t="str">
        <x:v>Green RV - Slacks Creek</x:v>
      </x:c>
      <x:c r="L5499" s="19" t="str">
        <x:v>Z006</x:v>
      </x:c>
      <x:c r="M5499" s="19" t="str">
        <x:v>In Field Warranty Claims</x:v>
      </x:c>
      <x:c r="N5499" s="37" t="n">
        <x:v>45950</x:v>
      </x:c>
      <x:c r="O5499" s="37"/>
      <x:c r="P5499" s="34" t="n">
        <x:v>0</x:v>
      </x:c>
      <x:c r="Q5499" s="37" t="n">
        <x:v>46077.963275462964</x:v>
      </x:c>
    </x:row>
    <x:row r="5500">
      <x:c r="A5500" s="22" t="n">
        <x:v>26877</x:v>
      </x:c>
      <x:c r="B5500" s="28" t="n">
        <x:v>1342.73</x:v>
      </x:c>
      <x:c r="C5500" s="28"/>
      <x:c r="D5500" s="31" t="str">
        <x:f>IF(OR(ISBLANK(B5500),ISBLANK(C5500),B5500=0),"",(C5500-B5500)/B5500)</x:f>
      </x:c>
      <x:c r="E5500" s="22" t="str">
        <x:f>IF(ISBLANK(C5500),"AmountIncludingTax缺失",IF(ABS(B5500-C5500)&lt;0.005,"一致","不一致"))</x:f>
        <x:v>AmountIncludingTax缺失</x:v>
      </x:c>
      <x:c r="F5500" s="19" t="str">
        <x:v>approved</x:v>
      </x:c>
      <x:c r="G5500" s="19" t="str">
        <x:v>Repairer Invoiced Processed</x:v>
      </x:c>
      <x:c r="H5500" s="19" t="str">
        <x:v>In Field</x:v>
      </x:c>
      <x:c r="I5500" s="37" t="n">
        <x:v>46183</x:v>
      </x:c>
      <x:c r="J5500" s="37" t="n">
        <x:v>46051</x:v>
      </x:c>
      <x:c r="K5500" s="19" t="str">
        <x:v>Green RV - Forest Glen</x:v>
      </x:c>
      <x:c r="L5500" s="19" t="str">
        <x:v>Z006</x:v>
      </x:c>
      <x:c r="M5500" s="19" t="str">
        <x:v>In Field Warranty Claims</x:v>
      </x:c>
      <x:c r="N5500" s="37" t="n">
        <x:v>45950</x:v>
      </x:c>
      <x:c r="O5500" s="37"/>
      <x:c r="P5500" s="34" t="n">
        <x:v>0</x:v>
      </x:c>
      <x:c r="Q5500" s="37" t="n">
        <x:v>46183.17039351852</x:v>
      </x:c>
    </x:row>
    <x:row r="5501">
      <x:c r="A5501" s="22" t="n">
        <x:v>26875</x:v>
      </x:c>
      <x:c r="B5501" s="28" t="n">
        <x:v>55</x:v>
      </x:c>
      <x:c r="C5501" s="28"/>
      <x:c r="D5501" s="31" t="str">
        <x:f>IF(OR(ISBLANK(B5501),ISBLANK(C5501),B5501=0),"",(C5501-B5501)/B5501)</x:f>
      </x:c>
      <x:c r="E5501" s="22" t="str">
        <x:f>IF(ISBLANK(C5501),"AmountIncludingTax缺失",IF(ABS(B5501-C5501)&lt;0.005,"一致","不一致"))</x:f>
        <x:v>AmountIncludingTax缺失</x:v>
      </x:c>
      <x:c r="F5501" s="19" t="str">
        <x:v>approved</x:v>
      </x:c>
      <x:c r="G5501" s="19" t="str">
        <x:v>Repair in Progress</x:v>
      </x:c>
      <x:c r="H5501" s="19" t="str">
        <x:v>Pre Delivery</x:v>
      </x:c>
      <x:c r="I5501" s="37" t="n">
        <x:v>46076</x:v>
      </x:c>
      <x:c r="J5501" s="37" t="n">
        <x:v>46076</x:v>
      </x:c>
      <x:c r="K5501" s="19" t="str">
        <x:v>Regent RV - Frankston</x:v>
      </x:c>
      <x:c r="L5501" s="19" t="str">
        <x:v>Z005</x:v>
      </x:c>
      <x:c r="M5501" s="19" t="str">
        <x:v>Pre Delivery Warranty Claims</x:v>
      </x:c>
      <x:c r="N5501" s="37" t="n">
        <x:v>45950</x:v>
      </x:c>
      <x:c r="O5501" s="37"/>
      <x:c r="P5501" s="34" t="n">
        <x:v>0</x:v>
      </x:c>
      <x:c r="Q5501" s="37" t="n">
        <x:v>46076.099016203705</x:v>
      </x:c>
    </x:row>
    <x:row r="5502">
      <x:c r="A5502" s="22" t="n">
        <x:v>26874</x:v>
      </x:c>
      <x:c r="B5502" s="28" t="n">
        <x:v>119.55</x:v>
      </x:c>
      <x:c r="C5502" s="28"/>
      <x:c r="D5502" s="31" t="str">
        <x:f>IF(OR(ISBLANK(B5502),ISBLANK(C5502),B5502=0),"",(C5502-B5502)/B5502)</x:f>
      </x:c>
      <x:c r="E5502" s="22" t="str">
        <x:f>IF(ISBLANK(C5502),"AmountIncludingTax缺失",IF(ABS(B5502-C5502)&lt;0.005,"一致","不一致"))</x:f>
        <x:v>AmountIncludingTax缺失</x:v>
      </x:c>
      <x:c r="F5502" s="19" t="str">
        <x:v>approved</x:v>
      </x:c>
      <x:c r="G5502" s="19" t="str">
        <x:v>Repairer Invoiced Processed</x:v>
      </x:c>
      <x:c r="H5502" s="19" t="str">
        <x:v>In Field</x:v>
      </x:c>
      <x:c r="I5502" s="37" t="n">
        <x:v>46178</x:v>
      </x:c>
      <x:c r="J5502" s="37" t="n">
        <x:v>46178</x:v>
      </x:c>
      <x:c r="K5502" s="19" t="str">
        <x:v>Dario Caravans -St.Marys</x:v>
      </x:c>
      <x:c r="L5502" s="19" t="str">
        <x:v>Z006</x:v>
      </x:c>
      <x:c r="M5502" s="19" t="str">
        <x:v>In Field Warranty Claims</x:v>
      </x:c>
      <x:c r="N5502" s="37" t="n">
        <x:v>45950</x:v>
      </x:c>
      <x:c r="O5502" s="37"/>
      <x:c r="P5502" s="34" t="n">
        <x:v>0</x:v>
      </x:c>
      <x:c r="Q5502" s="37" t="n">
        <x:v>46178.27476851852</x:v>
      </x:c>
    </x:row>
    <x:row r="5503">
      <x:c r="A5503" s="22" t="n">
        <x:v>26873</x:v>
      </x:c>
      <x:c r="B5503" s="28" t="n">
        <x:v>125</x:v>
      </x:c>
      <x:c r="C5503" s="28" t="n">
        <x:v>137.5</x:v>
      </x:c>
      <x:c r="D5503" s="31" t="n">
        <x:f>IF(OR(ISBLANK(B5503),ISBLANK(C5503),B5503=0),"",(C5503-B5503)/B5503)</x:f>
        <x:v>0.1</x:v>
      </x:c>
      <x:c r="E5503" s="22" t="str">
        <x:f>IF(ISBLANK(C5503),"AmountIncludingTax缺失",IF(ABS(B5503-C5503)&lt;0.005,"一致","不一致"))</x:f>
        <x:v>不一致</x:v>
      </x:c>
      <x:c r="F5503" s="19" t="str">
        <x:v>approved</x:v>
      </x:c>
      <x:c r="G5503" s="19" t="str">
        <x:v>Repair in Progress</x:v>
      </x:c>
      <x:c r="H5503" s="19" t="str">
        <x:v>Pre Delivery</x:v>
      </x:c>
      <x:c r="I5503" s="37" t="n">
        <x:v>46035</x:v>
      </x:c>
      <x:c r="J5503" s="37" t="n">
        <x:v>46035</x:v>
      </x:c>
      <x:c r="K5503" s="19" t="str">
        <x:v>Regent RV - Perth</x:v>
      </x:c>
      <x:c r="L5503" s="19" t="str">
        <x:v>Z005</x:v>
      </x:c>
      <x:c r="M5503" s="19" t="str">
        <x:v>Pre Delivery Warranty Claims</x:v>
      </x:c>
      <x:c r="N5503" s="37" t="n">
        <x:v>45950</x:v>
      </x:c>
      <x:c r="O5503" s="37"/>
      <x:c r="P5503" s="34" t="n">
        <x:v>137.5</x:v>
      </x:c>
      <x:c r="Q5503" s="37" t="n">
        <x:v>46034.98273148148</x:v>
      </x:c>
    </x:row>
    <x:row r="5504">
      <x:c r="A5504" s="22" t="n">
        <x:v>26871</x:v>
      </x:c>
      <x:c r="B5504" s="28" t="n">
        <x:v>6668.18</x:v>
      </x:c>
      <x:c r="C5504" s="28"/>
      <x:c r="D5504" s="31" t="str">
        <x:f>IF(OR(ISBLANK(B5504),ISBLANK(C5504),B5504=0),"",(C5504-B5504)/B5504)</x:f>
      </x:c>
      <x:c r="E5504" s="22" t="str">
        <x:f>IF(ISBLANK(C5504),"AmountIncludingTax缺失",IF(ABS(B5504-C5504)&lt;0.005,"一致","不一致"))</x:f>
        <x:v>AmountIncludingTax缺失</x:v>
      </x:c>
      <x:c r="F5504" s="19" t="str">
        <x:v>approved</x:v>
      </x:c>
      <x:c r="G5504" s="19" t="str">
        <x:v>Repair in Progress</x:v>
      </x:c>
      <x:c r="H5504" s="19" t="str">
        <x:v>In Field</x:v>
      </x:c>
      <x:c r="I5504" s="37" t="n">
        <x:v>46107</x:v>
      </x:c>
      <x:c r="J5504" s="37" t="n">
        <x:v>46107</x:v>
      </x:c>
      <x:c r="K5504" s="19" t="str">
        <x:v>Green RV - Forest Glen</x:v>
      </x:c>
      <x:c r="L5504" s="19" t="str">
        <x:v>Z006</x:v>
      </x:c>
      <x:c r="M5504" s="19" t="str">
        <x:v>In Field Warranty Claims</x:v>
      </x:c>
      <x:c r="N5504" s="37" t="n">
        <x:v>45950</x:v>
      </x:c>
      <x:c r="O5504" s="37"/>
      <x:c r="P5504" s="34" t="n">
        <x:v>7335</x:v>
      </x:c>
      <x:c r="Q5504" s="37" t="n">
        <x:v>46106.97773148148</x:v>
      </x:c>
    </x:row>
    <x:row r="5505">
      <x:c r="A5505" s="22" t="n">
        <x:v>26861</x:v>
      </x:c>
      <x:c r="B5505" s="28" t="n">
        <x:v>339.45</x:v>
      </x:c>
      <x:c r="C5505" s="28" t="n">
        <x:v>373.4</x:v>
      </x:c>
      <x:c r="D5505" s="31" t="n">
        <x:f>IF(OR(ISBLANK(B5505),ISBLANK(C5505),B5505=0),"",(C5505-B5505)/B5505)</x:f>
        <x:v>0.10001472970982468</x:v>
      </x:c>
      <x:c r="E5505" s="22" t="str">
        <x:f>IF(ISBLANK(C5505),"AmountIncludingTax缺失",IF(ABS(B5505-C5505)&lt;0.005,"一致","不一致"))</x:f>
        <x:v>不一致</x:v>
      </x:c>
      <x:c r="F5505" s="19" t="str">
        <x:v>approved</x:v>
      </x:c>
      <x:c r="G5505" s="19" t="str">
        <x:v>Repair in Progress</x:v>
      </x:c>
      <x:c r="H5505" s="19" t="str">
        <x:v>In Field</x:v>
      </x:c>
      <x:c r="I5505" s="37" t="n">
        <x:v>46041</x:v>
      </x:c>
      <x:c r="J5505" s="37" t="n">
        <x:v>46041</x:v>
      </x:c>
      <x:c r="K5505" s="19" t="str">
        <x:v>Regent RV Pty Ltd</x:v>
      </x:c>
      <x:c r="L5505" s="19" t="str">
        <x:v>Z006</x:v>
      </x:c>
      <x:c r="M5505" s="19" t="str">
        <x:v>In Field Warranty Claims</x:v>
      </x:c>
      <x:c r="N5505" s="37" t="n">
        <x:v>45950</x:v>
      </x:c>
      <x:c r="O5505" s="37"/>
      <x:c r="P5505" s="34" t="n">
        <x:v>373.4</x:v>
      </x:c>
      <x:c r="Q5505" s="37" t="n">
        <x:v>46041.01101851852</x:v>
      </x:c>
    </x:row>
    <x:row r="5506">
      <x:c r="A5506" s="22" t="n">
        <x:v>26860</x:v>
      </x:c>
      <x:c r="B5506" s="28" t="n">
        <x:v>150</x:v>
      </x:c>
      <x:c r="C5506" s="28"/>
      <x:c r="D5506" s="31" t="str">
        <x:f>IF(OR(ISBLANK(B5506),ISBLANK(C5506),B5506=0),"",(C5506-B5506)/B5506)</x:f>
      </x:c>
      <x:c r="E5506" s="22" t="str">
        <x:f>IF(ISBLANK(C5506),"AmountIncludingTax缺失",IF(ABS(B5506-C5506)&lt;0.005,"一致","不一致"))</x:f>
        <x:v>AmountIncludingTax缺失</x:v>
      </x:c>
      <x:c r="F5506" s="19" t="str">
        <x:v>approved</x:v>
      </x:c>
      <x:c r="G5506" s="19" t="str">
        <x:v>Repair in Progress</x:v>
      </x:c>
      <x:c r="H5506" s="19" t="str">
        <x:v>In Field</x:v>
      </x:c>
      <x:c r="I5506" s="37" t="n">
        <x:v>46038</x:v>
      </x:c>
      <x:c r="J5506" s="37" t="n">
        <x:v>46038</x:v>
      </x:c>
      <x:c r="K5506" s="19" t="str">
        <x:v>Regent RV - Perth</x:v>
      </x:c>
      <x:c r="L5506" s="19" t="str">
        <x:v>Z006</x:v>
      </x:c>
      <x:c r="M5506" s="19" t="str">
        <x:v>In Field Warranty Claims</x:v>
      </x:c>
      <x:c r="N5506" s="37" t="n">
        <x:v>45950</x:v>
      </x:c>
      <x:c r="O5506" s="37"/>
      <x:c r="P5506" s="34" t="n">
        <x:v>0</x:v>
      </x:c>
      <x:c r="Q5506" s="37" t="n">
        <x:v>46038.198171296295</x:v>
      </x:c>
    </x:row>
    <x:row r="5507">
      <x:c r="A5507" s="22" t="n">
        <x:v>26854</x:v>
      </x:c>
      <x:c r="B5507" s="28" t="n">
        <x:v>67.5</x:v>
      </x:c>
      <x:c r="C5507" s="28"/>
      <x:c r="D5507" s="31" t="str">
        <x:f>IF(OR(ISBLANK(B5507),ISBLANK(C5507),B5507=0),"",(C5507-B5507)/B5507)</x:f>
      </x:c>
      <x:c r="E5507" s="22" t="str">
        <x:f>IF(ISBLANK(C5507),"AmountIncludingTax缺失",IF(ABS(B5507-C5507)&lt;0.005,"一致","不一致"))</x:f>
        <x:v>AmountIncludingTax缺失</x:v>
      </x:c>
      <x:c r="F5507" s="19" t="str">
        <x:v>approved</x:v>
      </x:c>
      <x:c r="G5507" s="19" t="str">
        <x:v>Repair in Progress</x:v>
      </x:c>
      <x:c r="H5507" s="19" t="str">
        <x:v>Pre Delivery</x:v>
      </x:c>
      <x:c r="I5507" s="37" t="n">
        <x:v>46141</x:v>
      </x:c>
      <x:c r="J5507" s="37" t="n">
        <x:v>46141</x:v>
      </x:c>
      <x:c r="K5507" s="19" t="str">
        <x:v>Regent RV Pty Ltd</x:v>
      </x:c>
      <x:c r="L5507" s="19" t="str">
        <x:v>Z005</x:v>
      </x:c>
      <x:c r="M5507" s="19" t="str">
        <x:v>Pre Delivery Warranty Claims</x:v>
      </x:c>
      <x:c r="N5507" s="37" t="n">
        <x:v>45950</x:v>
      </x:c>
      <x:c r="O5507" s="37"/>
      <x:c r="P5507" s="34" t="n">
        <x:v>0</x:v>
      </x:c>
      <x:c r="Q5507" s="37" t="n">
        <x:v>46141.150671296295</x:v>
      </x:c>
    </x:row>
    <x:row r="5508">
      <x:c r="A5508" s="22" t="n">
        <x:v>26853</x:v>
      </x:c>
      <x:c r="B5508" s="28" t="n">
        <x:v>2409.29</x:v>
      </x:c>
      <x:c r="C5508" s="28"/>
      <x:c r="D5508" s="31" t="str">
        <x:f>IF(OR(ISBLANK(B5508),ISBLANK(C5508),B5508=0),"",(C5508-B5508)/B5508)</x:f>
      </x:c>
      <x:c r="E5508" s="22" t="str">
        <x:f>IF(ISBLANK(C5508),"AmountIncludingTax缺失",IF(ABS(B5508-C5508)&lt;0.005,"一致","不一致"))</x:f>
        <x:v>AmountIncludingTax缺失</x:v>
      </x:c>
      <x:c r="F5508" s="19" t="str">
        <x:v>approved</x:v>
      </x:c>
      <x:c r="G5508" s="19" t="str">
        <x:v>Repair in Progress</x:v>
      </x:c>
      <x:c r="H5508" s="19" t="str">
        <x:v>In Field</x:v>
      </x:c>
      <x:c r="I5508" s="37" t="n">
        <x:v>46128</x:v>
      </x:c>
      <x:c r="J5508" s="37" t="n">
        <x:v>46127</x:v>
      </x:c>
      <x:c r="K5508" s="19" t="str">
        <x:v>Regent RV - Toowoomba</x:v>
      </x:c>
      <x:c r="L5508" s="19" t="str">
        <x:v>Z006</x:v>
      </x:c>
      <x:c r="M5508" s="19" t="str">
        <x:v>In Field Warranty Claims</x:v>
      </x:c>
      <x:c r="N5508" s="37" t="n">
        <x:v>45950</x:v>
      </x:c>
      <x:c r="O5508" s="37"/>
      <x:c r="P5508" s="34" t="n">
        <x:v>0</x:v>
      </x:c>
      <x:c r="Q5508" s="37" t="n">
        <x:v>46127.97725694445</x:v>
      </x:c>
    </x:row>
    <x:row r="5509">
      <x:c r="A5509" s="22" t="n">
        <x:v>26852</x:v>
      </x:c>
      <x:c r="B5509" s="28" t="n">
        <x:v>1885</x:v>
      </x:c>
      <x:c r="C5509" s="28"/>
      <x:c r="D5509" s="31" t="str">
        <x:f>IF(OR(ISBLANK(B5509),ISBLANK(C5509),B5509=0),"",(C5509-B5509)/B5509)</x:f>
      </x:c>
      <x:c r="E5509" s="22" t="str">
        <x:f>IF(ISBLANK(C5509),"AmountIncludingTax缺失",IF(ABS(B5509-C5509)&lt;0.005,"一致","不一致"))</x:f>
        <x:v>AmountIncludingTax缺失</x:v>
      </x:c>
      <x:c r="F5509" s="19" t="str">
        <x:v>approved</x:v>
      </x:c>
      <x:c r="G5509" s="19" t="str">
        <x:v>Repairer Invoiced Processed</x:v>
      </x:c>
      <x:c r="H5509" s="19" t="str">
        <x:v>In Field</x:v>
      </x:c>
      <x:c r="I5509" s="37" t="n">
        <x:v>46035</x:v>
      </x:c>
      <x:c r="J5509" s="37" t="n">
        <x:v>46035</x:v>
      </x:c>
      <x:c r="K5509" s="19" t="str">
        <x:v>The Caravan Hub - Townsville</x:v>
      </x:c>
      <x:c r="L5509" s="19" t="str">
        <x:v>Z006</x:v>
      </x:c>
      <x:c r="M5509" s="19" t="str">
        <x:v>In Field Warranty Claims</x:v>
      </x:c>
      <x:c r="N5509" s="37" t="n">
        <x:v>45950</x:v>
      </x:c>
      <x:c r="O5509" s="37"/>
      <x:c r="P5509" s="34" t="n">
        <x:v>2073.5</x:v>
      </x:c>
      <x:c r="Q5509" s="37" t="n">
        <x:v>46035.22975694444</x:v>
      </x:c>
    </x:row>
    <x:row r="5510">
      <x:c r="A5510" s="22" t="n">
        <x:v>26851</x:v>
      </x:c>
      <x:c r="B5510" s="28" t="n">
        <x:v>30</x:v>
      </x:c>
      <x:c r="C5510" s="28"/>
      <x:c r="D5510" s="31" t="str">
        <x:f>IF(OR(ISBLANK(B5510),ISBLANK(C5510),B5510=0),"",(C5510-B5510)/B5510)</x:f>
      </x:c>
      <x:c r="E5510" s="22" t="str">
        <x:f>IF(ISBLANK(C5510),"AmountIncludingTax缺失",IF(ABS(B5510-C5510)&lt;0.005,"一致","不一致"))</x:f>
        <x:v>AmountIncludingTax缺失</x:v>
      </x:c>
      <x:c r="F5510" s="19" t="str">
        <x:v>approved</x:v>
      </x:c>
      <x:c r="G5510" s="19" t="str">
        <x:v>Repairer Invoiced Processed</x:v>
      </x:c>
      <x:c r="H5510" s="19" t="str">
        <x:v>Pre Delivery</x:v>
      </x:c>
      <x:c r="I5510" s="37" t="n">
        <x:v>46028</x:v>
      </x:c>
      <x:c r="J5510" s="37" t="n">
        <x:v>46028</x:v>
      </x:c>
      <x:c r="K5510" s="19" t="str">
        <x:v>Destiny RV - South Australia</x:v>
      </x:c>
      <x:c r="L5510" s="19" t="str">
        <x:v>Z005</x:v>
      </x:c>
      <x:c r="M5510" s="19" t="str">
        <x:v>Pre Delivery Warranty Claims</x:v>
      </x:c>
      <x:c r="N5510" s="37" t="n">
        <x:v>45950</x:v>
      </x:c>
      <x:c r="O5510" s="37"/>
      <x:c r="P5510" s="34" t="n">
        <x:v>0</x:v>
      </x:c>
      <x:c r="Q5510" s="37" t="n">
        <x:v>46028.205034722225</x:v>
      </x:c>
    </x:row>
    <x:row r="5511">
      <x:c r="A5511" s="22" t="n">
        <x:v>26849</x:v>
      </x:c>
      <x:c r="B5511" s="28" t="n">
        <x:v>313.01</x:v>
      </x:c>
      <x:c r="C5511" s="28" t="n">
        <x:v>344.31</x:v>
      </x:c>
      <x:c r="D5511" s="31" t="n">
        <x:f>IF(OR(ISBLANK(B5511),ISBLANK(C5511),B5511=0),"",(C5511-B5511)/B5511)</x:f>
        <x:v>0.09999680521389097</x:v>
      </x:c>
      <x:c r="E5511" s="22" t="str">
        <x:f>IF(ISBLANK(C5511),"AmountIncludingTax缺失",IF(ABS(B5511-C5511)&lt;0.005,"一致","不一致"))</x:f>
        <x:v>不一致</x:v>
      </x:c>
      <x:c r="F5511" s="19" t="str">
        <x:v>approved</x:v>
      </x:c>
      <x:c r="G5511" s="19" t="str">
        <x:v>Repair in Progress</x:v>
      </x:c>
      <x:c r="H5511" s="19" t="str">
        <x:v>Pre Delivery</x:v>
      </x:c>
      <x:c r="I5511" s="37" t="n">
        <x:v>46057</x:v>
      </x:c>
      <x:c r="J5511" s="37" t="n">
        <x:v>46057</x:v>
      </x:c>
      <x:c r="K5511" s="19" t="str">
        <x:v>Green RV - Forest Glen</x:v>
      </x:c>
      <x:c r="L5511" s="19" t="str">
        <x:v>Z005</x:v>
      </x:c>
      <x:c r="M5511" s="19" t="str">
        <x:v>Pre Delivery Warranty Claims</x:v>
      </x:c>
      <x:c r="N5511" s="37" t="n">
        <x:v>45950</x:v>
      </x:c>
      <x:c r="O5511" s="37"/>
      <x:c r="P5511" s="34" t="n">
        <x:v>344.31</x:v>
      </x:c>
      <x:c r="Q5511" s="37" t="n">
        <x:v>46056.933796296296</x:v>
      </x:c>
    </x:row>
    <x:row r="5512">
      <x:c r="A5512" s="22" t="n">
        <x:v>26840</x:v>
      </x:c>
      <x:c r="B5512" s="28" t="n">
        <x:v>220.47</x:v>
      </x:c>
      <x:c r="C5512" s="28" t="n">
        <x:v>242.52</x:v>
      </x:c>
      <x:c r="D5512" s="31" t="n">
        <x:f>IF(OR(ISBLANK(B5512),ISBLANK(C5512),B5512=0),"",(C5512-B5512)/B5512)</x:f>
        <x:v>0.10001360729350937</x:v>
      </x:c>
      <x:c r="E5512" s="22" t="str">
        <x:f>IF(ISBLANK(C5512),"AmountIncludingTax缺失",IF(ABS(B5512-C5512)&lt;0.005,"一致","不一致"))</x:f>
        <x:v>不一致</x:v>
      </x:c>
      <x:c r="F5512" s="19" t="str">
        <x:v>approved</x:v>
      </x:c>
      <x:c r="G5512" s="19" t="str">
        <x:v>Repairer Invoiced Processed</x:v>
      </x:c>
      <x:c r="H5512" s="19" t="str">
        <x:v>In Field</x:v>
      </x:c>
      <x:c r="I5512" s="37" t="n">
        <x:v>46083</x:v>
      </x:c>
      <x:c r="J5512" s="37" t="n">
        <x:v>46083</x:v>
      </x:c>
      <x:c r="K5512" s="19" t="str">
        <x:v>Regent RV - Toowoomba</x:v>
      </x:c>
      <x:c r="L5512" s="19" t="str">
        <x:v>Z006</x:v>
      </x:c>
      <x:c r="M5512" s="19" t="str">
        <x:v>In Field Warranty Claims</x:v>
      </x:c>
      <x:c r="N5512" s="37" t="n">
        <x:v>45950</x:v>
      </x:c>
      <x:c r="O5512" s="37"/>
      <x:c r="P5512" s="34" t="n">
        <x:v>242.52</x:v>
      </x:c>
      <x:c r="Q5512" s="37" t="n">
        <x:v>46083.18326388889</x:v>
      </x:c>
    </x:row>
    <x:row r="5513">
      <x:c r="A5513" s="22" t="n">
        <x:v>26832</x:v>
      </x:c>
      <x:c r="B5513" s="28" t="n">
        <x:v>108.75</x:v>
      </x:c>
      <x:c r="C5513" s="28"/>
      <x:c r="D5513" s="31" t="str">
        <x:f>IF(OR(ISBLANK(B5513),ISBLANK(C5513),B5513=0),"",(C5513-B5513)/B5513)</x:f>
      </x:c>
      <x:c r="E5513" s="22" t="str">
        <x:f>IF(ISBLANK(C5513),"AmountIncludingTax缺失",IF(ABS(B5513-C5513)&lt;0.005,"一致","不一致"))</x:f>
        <x:v>AmountIncludingTax缺失</x:v>
      </x:c>
      <x:c r="F5513" s="19" t="str">
        <x:v>approved</x:v>
      </x:c>
      <x:c r="G5513" s="19" t="str">
        <x:v>Repair in Progress</x:v>
      </x:c>
      <x:c r="H5513" s="19" t="str">
        <x:v>In Field</x:v>
      </x:c>
      <x:c r="I5513" s="37" t="n">
        <x:v>46071</x:v>
      </x:c>
      <x:c r="J5513" s="37" t="n">
        <x:v>46071</x:v>
      </x:c>
      <x:c r="K5513" s="19" t="str">
        <x:v>The Caravan Hub - Townsville</x:v>
      </x:c>
      <x:c r="L5513" s="19" t="str">
        <x:v>Z006</x:v>
      </x:c>
      <x:c r="M5513" s="19" t="str">
        <x:v>In Field Warranty Claims</x:v>
      </x:c>
      <x:c r="N5513" s="37" t="n">
        <x:v>45949</x:v>
      </x:c>
      <x:c r="O5513" s="37"/>
      <x:c r="P5513" s="34" t="n">
        <x:v>0</x:v>
      </x:c>
      <x:c r="Q5513" s="37" t="n">
        <x:v>46070.92690972222</x:v>
      </x:c>
    </x:row>
    <x:row r="5514">
      <x:c r="A5514" s="22" t="n">
        <x:v>26831</x:v>
      </x:c>
      <x:c r="B5514" s="28" t="n">
        <x:v>119.15</x:v>
      </x:c>
      <x:c r="C5514" s="28" t="n">
        <x:v>107.88</x:v>
      </x:c>
      <x:c r="D5514" s="31" t="n">
        <x:f>IF(OR(ISBLANK(B5514),ISBLANK(C5514),B5514=0),"",(C5514-B5514)/B5514)</x:f>
        <x:v>-0.09458665547629047</x:v>
      </x:c>
      <x:c r="E5514" s="22" t="str">
        <x:f>IF(ISBLANK(C5514),"AmountIncludingTax缺失",IF(ABS(B5514-C5514)&lt;0.005,"一致","不一致"))</x:f>
        <x:v>不一致</x:v>
      </x:c>
      <x:c r="F5514" s="19" t="str">
        <x:v>approved</x:v>
      </x:c>
      <x:c r="G5514" s="19" t="str">
        <x:v>Repairer Invoiced Processed</x:v>
      </x:c>
      <x:c r="H5514" s="19" t="str">
        <x:v>In Field</x:v>
      </x:c>
      <x:c r="I5514" s="37" t="n">
        <x:v>46157</x:v>
      </x:c>
      <x:c r="J5514" s="37" t="n">
        <x:v>46157</x:v>
      </x:c>
      <x:c r="K5514" s="19" t="str">
        <x:v>Vanari Caravans - Marden Point</x:v>
      </x:c>
      <x:c r="L5514" s="19" t="str">
        <x:v>Z006</x:v>
      </x:c>
      <x:c r="M5514" s="19" t="str">
        <x:v>In Field Warranty Claims</x:v>
      </x:c>
      <x:c r="N5514" s="37" t="n">
        <x:v>45949</x:v>
      </x:c>
      <x:c r="O5514" s="37" t="n">
        <x:v>46020</x:v>
      </x:c>
      <x:c r="P5514" s="34" t="n">
        <x:v>107.88</x:v>
      </x:c>
      <x:c r="Q5514" s="37" t="n">
        <x:v>46156.97</x:v>
      </x:c>
    </x:row>
    <x:row r="5515">
      <x:c r="A5515" s="22" t="n">
        <x:v>26818</x:v>
      </x:c>
      <x:c r="B5515" s="28" t="n">
        <x:v>155</x:v>
      </x:c>
      <x:c r="C5515" s="28"/>
      <x:c r="D5515" s="31" t="str">
        <x:f>IF(OR(ISBLANK(B5515),ISBLANK(C5515),B5515=0),"",(C5515-B5515)/B5515)</x:f>
      </x:c>
      <x:c r="E5515" s="22" t="str">
        <x:f>IF(ISBLANK(C5515),"AmountIncludingTax缺失",IF(ABS(B5515-C5515)&lt;0.005,"一致","不一致"))</x:f>
        <x:v>AmountIncludingTax缺失</x:v>
      </x:c>
      <x:c r="F5515" s="19" t="str">
        <x:v>approved</x:v>
      </x:c>
      <x:c r="G5515" s="19" t="str">
        <x:v>Repairer Invoiced Processed</x:v>
      </x:c>
      <x:c r="H5515" s="19" t="str">
        <x:v>In Field</x:v>
      </x:c>
      <x:c r="I5515" s="37" t="n">
        <x:v>46070</x:v>
      </x:c>
      <x:c r="J5515" s="37" t="n">
        <x:v>46070</x:v>
      </x:c>
      <x:c r="K5515" s="19" t="str">
        <x:v>The Caravan Hub - Townsville</x:v>
      </x:c>
      <x:c r="L5515" s="19" t="str">
        <x:v>Z006</x:v>
      </x:c>
      <x:c r="M5515" s="19" t="str">
        <x:v>In Field Warranty Claims</x:v>
      </x:c>
      <x:c r="N5515" s="37" t="n">
        <x:v>45949</x:v>
      </x:c>
      <x:c r="O5515" s="37"/>
      <x:c r="P5515" s="34" t="n">
        <x:v>0</x:v>
      </x:c>
      <x:c r="Q5515" s="37" t="n">
        <x:v>46070.21623842593</x:v>
      </x:c>
    </x:row>
    <x:row r="5516">
      <x:c r="A5516" s="22" t="n">
        <x:v>26817</x:v>
      </x:c>
      <x:c r="B5516" s="28" t="n">
        <x:v>707</x:v>
      </x:c>
      <x:c r="C5516" s="28"/>
      <x:c r="D5516" s="31" t="str">
        <x:f>IF(OR(ISBLANK(B5516),ISBLANK(C5516),B5516=0),"",(C5516-B5516)/B5516)</x:f>
      </x:c>
      <x:c r="E5516" s="22" t="str">
        <x:f>IF(ISBLANK(C5516),"AmountIncludingTax缺失",IF(ABS(B5516-C5516)&lt;0.005,"一致","不一致"))</x:f>
        <x:v>AmountIncludingTax缺失</x:v>
      </x:c>
      <x:c r="F5516" s="19" t="str">
        <x:v>approved</x:v>
      </x:c>
      <x:c r="G5516" s="19" t="str">
        <x:v>Repair in Progress</x:v>
      </x:c>
      <x:c r="H5516" s="19" t="str">
        <x:v>In Field</x:v>
      </x:c>
      <x:c r="I5516" s="37" t="n">
        <x:v>46072</x:v>
      </x:c>
      <x:c r="J5516" s="37" t="n">
        <x:v>46072</x:v>
      </x:c>
      <x:c r="K5516" s="19" t="str">
        <x:v>The Caravan Hub - Townsville</x:v>
      </x:c>
      <x:c r="L5516" s="19" t="str">
        <x:v>Z006</x:v>
      </x:c>
      <x:c r="M5516" s="19" t="str">
        <x:v>In Field Warranty Claims</x:v>
      </x:c>
      <x:c r="N5516" s="37" t="n">
        <x:v>45949</x:v>
      </x:c>
      <x:c r="O5516" s="37"/>
      <x:c r="P5516" s="34" t="n">
        <x:v>0</x:v>
      </x:c>
      <x:c r="Q5516" s="37" t="n">
        <x:v>46072.047488425924</x:v>
      </x:c>
    </x:row>
    <x:row r="5517">
      <x:c r="A5517" s="22" t="n">
        <x:v>26802</x:v>
      </x:c>
      <x:c r="B5517" s="28" t="n">
        <x:v>1012.5</x:v>
      </x:c>
      <x:c r="C5517" s="28"/>
      <x:c r="D5517" s="31" t="str">
        <x:f>IF(OR(ISBLANK(B5517),ISBLANK(C5517),B5517=0),"",(C5517-B5517)/B5517)</x:f>
      </x:c>
      <x:c r="E5517" s="22" t="str">
        <x:f>IF(ISBLANK(C5517),"AmountIncludingTax缺失",IF(ABS(B5517-C5517)&lt;0.005,"一致","不一致"))</x:f>
        <x:v>AmountIncludingTax缺失</x:v>
      </x:c>
      <x:c r="F5517" s="19" t="str">
        <x:v>approved</x:v>
      </x:c>
      <x:c r="G5517" s="19" t="str">
        <x:v>Repair in Progress</x:v>
      </x:c>
      <x:c r="H5517" s="19" t="str">
        <x:v>In Field</x:v>
      </x:c>
      <x:c r="I5517" s="37" t="n">
        <x:v>46114</x:v>
      </x:c>
      <x:c r="J5517" s="37" t="n">
        <x:v>46114</x:v>
      </x:c>
      <x:c r="K5517" s="19" t="str">
        <x:v>Regent RV - Perth</x:v>
      </x:c>
      <x:c r="L5517" s="19" t="str">
        <x:v>Z006</x:v>
      </x:c>
      <x:c r="M5517" s="19" t="str">
        <x:v>In Field Warranty Claims</x:v>
      </x:c>
      <x:c r="N5517" s="37" t="n">
        <x:v>45948</x:v>
      </x:c>
      <x:c r="O5517" s="37"/>
      <x:c r="P5517" s="34" t="n">
        <x:v>0</x:v>
      </x:c>
      <x:c r="Q5517" s="37" t="n">
        <x:v>46113.982511574075</x:v>
      </x:c>
    </x:row>
    <x:row r="5518">
      <x:c r="A5518" s="22" t="n">
        <x:v>26801</x:v>
      </x:c>
      <x:c r="B5518" s="28" t="n">
        <x:v>1500.45</x:v>
      </x:c>
      <x:c r="C5518" s="28"/>
      <x:c r="D5518" s="31" t="str">
        <x:f>IF(OR(ISBLANK(B5518),ISBLANK(C5518),B5518=0),"",(C5518-B5518)/B5518)</x:f>
      </x:c>
      <x:c r="E5518" s="22" t="str">
        <x:f>IF(ISBLANK(C5518),"AmountIncludingTax缺失",IF(ABS(B5518-C5518)&lt;0.005,"一致","不一致"))</x:f>
        <x:v>AmountIncludingTax缺失</x:v>
      </x:c>
      <x:c r="F5518" s="19" t="str">
        <x:v>approved</x:v>
      </x:c>
      <x:c r="G5518" s="19" t="str">
        <x:v>Partially Picked</x:v>
      </x:c>
      <x:c r="H5518" s="19" t="str">
        <x:v>In Field</x:v>
      </x:c>
      <x:c r="I5518" s="37" t="n">
        <x:v>46161</x:v>
      </x:c>
      <x:c r="J5518" s="37" t="n">
        <x:v>46161</x:v>
      </x:c>
      <x:c r="K5518" s="19" t="str">
        <x:v>Dario Caravans - Pooraka</x:v>
      </x:c>
      <x:c r="L5518" s="19" t="str">
        <x:v>Z006</x:v>
      </x:c>
      <x:c r="M5518" s="19" t="str">
        <x:v>In Field Warranty Claims</x:v>
      </x:c>
      <x:c r="N5518" s="37" t="n">
        <x:v>45948</x:v>
      </x:c>
      <x:c r="O5518" s="37" t="n">
        <x:v>46099</x:v>
      </x:c>
      <x:c r="P5518" s="34" t="n">
        <x:v>0</x:v>
      </x:c>
      <x:c r="Q5518" s="37" t="n">
        <x:v>46161.532997685186</x:v>
      </x:c>
    </x:row>
    <x:row r="5519">
      <x:c r="A5519" s="22" t="n">
        <x:v>26792</x:v>
      </x:c>
      <x:c r="B5519" s="28" t="n">
        <x:v>400</x:v>
      </x:c>
      <x:c r="C5519" s="28"/>
      <x:c r="D5519" s="31" t="str">
        <x:f>IF(OR(ISBLANK(B5519),ISBLANK(C5519),B5519=0),"",(C5519-B5519)/B5519)</x:f>
      </x:c>
      <x:c r="E5519" s="22" t="str">
        <x:f>IF(ISBLANK(C5519),"AmountIncludingTax缺失",IF(ABS(B5519-C5519)&lt;0.005,"一致","不一致"))</x:f>
        <x:v>AmountIncludingTax缺失</x:v>
      </x:c>
      <x:c r="F5519" s="19" t="str">
        <x:v>approved</x:v>
      </x:c>
      <x:c r="G5519" s="19" t="str">
        <x:v>Repair in Progress</x:v>
      </x:c>
      <x:c r="H5519" s="19" t="str">
        <x:v>Pre Delivery</x:v>
      </x:c>
      <x:c r="I5519" s="37" t="n">
        <x:v>46024</x:v>
      </x:c>
      <x:c r="J5519" s="37" t="n">
        <x:v>46024</x:v>
      </x:c>
      <x:c r="K5519" s="19" t="str">
        <x:v>Regent RV - Perth</x:v>
      </x:c>
      <x:c r="L5519" s="19" t="str">
        <x:v>Z005</x:v>
      </x:c>
      <x:c r="M5519" s="19" t="str">
        <x:v>Pre Delivery Warranty Claims</x:v>
      </x:c>
      <x:c r="N5519" s="37" t="n">
        <x:v>45947</x:v>
      </x:c>
      <x:c r="O5519" s="37"/>
      <x:c r="P5519" s="34" t="n">
        <x:v>0</x:v>
      </x:c>
      <x:c r="Q5519" s="37" t="n">
        <x:v>46024.25747685185</x:v>
      </x:c>
    </x:row>
    <x:row r="5520">
      <x:c r="A5520" s="22" t="n">
        <x:v>26791</x:v>
      </x:c>
      <x:c r="B5520" s="28" t="n">
        <x:v>450</x:v>
      </x:c>
      <x:c r="C5520" s="28"/>
      <x:c r="D5520" s="31" t="str">
        <x:f>IF(OR(ISBLANK(B5520),ISBLANK(C5520),B5520=0),"",(C5520-B5520)/B5520)</x:f>
      </x:c>
      <x:c r="E5520" s="22" t="str">
        <x:f>IF(ISBLANK(C5520),"AmountIncludingTax缺失",IF(ABS(B5520-C5520)&lt;0.005,"一致","不一致"))</x:f>
        <x:v>AmountIncludingTax缺失</x:v>
      </x:c>
      <x:c r="F5520" s="19" t="str">
        <x:v>approved</x:v>
      </x:c>
      <x:c r="G5520" s="19" t="str">
        <x:v>Repair in Progress</x:v>
      </x:c>
      <x:c r="H5520" s="19" t="str">
        <x:v>Pre Delivery</x:v>
      </x:c>
      <x:c r="I5520" s="37" t="n">
        <x:v>46024</x:v>
      </x:c>
      <x:c r="J5520" s="37" t="n">
        <x:v>46024</x:v>
      </x:c>
      <x:c r="K5520" s="19" t="str">
        <x:v>Regent RV - Perth</x:v>
      </x:c>
      <x:c r="L5520" s="19" t="str">
        <x:v>Z005</x:v>
      </x:c>
      <x:c r="M5520" s="19" t="str">
        <x:v>Pre Delivery Warranty Claims</x:v>
      </x:c>
      <x:c r="N5520" s="37" t="n">
        <x:v>45947</x:v>
      </x:c>
      <x:c r="O5520" s="37"/>
      <x:c r="P5520" s="34" t="n">
        <x:v>0</x:v>
      </x:c>
      <x:c r="Q5520" s="37" t="n">
        <x:v>46024.25819444445</x:v>
      </x:c>
    </x:row>
    <x:row r="5521">
      <x:c r="A5521" s="22" t="n">
        <x:v>26778</x:v>
      </x:c>
      <x:c r="B5521" s="28" t="n">
        <x:v>61.37</x:v>
      </x:c>
      <x:c r="C5521" s="28" t="n">
        <x:v>67.51</x:v>
      </x:c>
      <x:c r="D5521" s="31" t="n">
        <x:f>IF(OR(ISBLANK(B5521),ISBLANK(C5521),B5521=0),"",(C5521-B5521)/B5521)</x:f>
        <x:v>0.10004888381945588</x:v>
      </x:c>
      <x:c r="E5521" s="22" t="str">
        <x:f>IF(ISBLANK(C5521),"AmountIncludingTax缺失",IF(ABS(B5521-C5521)&lt;0.005,"一致","不一致"))</x:f>
        <x:v>不一致</x:v>
      </x:c>
      <x:c r="F5521" s="19" t="str">
        <x:v>approved</x:v>
      </x:c>
      <x:c r="G5521" s="19" t="str">
        <x:v>Repairer Invoiced Processed</x:v>
      </x:c>
      <x:c r="H5521" s="19" t="str">
        <x:v>In Field</x:v>
      </x:c>
      <x:c r="I5521" s="37" t="n">
        <x:v>46206</x:v>
      </x:c>
      <x:c r="J5521" s="37" t="n">
        <x:v>46206</x:v>
      </x:c>
      <x:c r="K5521" s="19" t="str">
        <x:v>Regent RV - Toowoomba</x:v>
      </x:c>
      <x:c r="L5521" s="19" t="str">
        <x:v>Z006</x:v>
      </x:c>
      <x:c r="M5521" s="19" t="str">
        <x:v>In Field Warranty Claims</x:v>
      </x:c>
      <x:c r="N5521" s="37" t="n">
        <x:v>45947</x:v>
      </x:c>
      <x:c r="O5521" s="37"/>
      <x:c r="P5521" s="34" t="n">
        <x:v>67.51</x:v>
      </x:c>
      <x:c r="Q5521" s="37" t="n">
        <x:v>46205.98899305556</x:v>
      </x:c>
    </x:row>
    <x:row r="5522">
      <x:c r="A5522" s="22" t="n">
        <x:v>26777</x:v>
      </x:c>
      <x:c r="B5522" s="28" t="n">
        <x:v>4900.46</x:v>
      </x:c>
      <x:c r="C5522" s="28"/>
      <x:c r="D5522" s="31" t="str">
        <x:f>IF(OR(ISBLANK(B5522),ISBLANK(C5522),B5522=0),"",(C5522-B5522)/B5522)</x:f>
      </x:c>
      <x:c r="E5522" s="22" t="str">
        <x:f>IF(ISBLANK(C5522),"AmountIncludingTax缺失",IF(ABS(B5522-C5522)&lt;0.005,"一致","不一致"))</x:f>
        <x:v>AmountIncludingTax缺失</x:v>
      </x:c>
      <x:c r="F5522" s="19" t="str">
        <x:v>approved</x:v>
      </x:c>
      <x:c r="G5522" s="19" t="str">
        <x:v>Repairer Invoiced Processed</x:v>
      </x:c>
      <x:c r="H5522" s="19" t="str">
        <x:v>In Field</x:v>
      </x:c>
      <x:c r="I5522" s="37" t="n">
        <x:v>46106</x:v>
      </x:c>
      <x:c r="J5522" s="37" t="n">
        <x:v>46106</x:v>
      </x:c>
      <x:c r="K5522" s="19" t="str">
        <x:v>Green RV - Forest Glen</x:v>
      </x:c>
      <x:c r="L5522" s="19" t="str">
        <x:v>Z006</x:v>
      </x:c>
      <x:c r="M5522" s="19" t="str">
        <x:v>In Field Warranty Claims</x:v>
      </x:c>
      <x:c r="N5522" s="37" t="n">
        <x:v>45947</x:v>
      </x:c>
      <x:c r="O5522" s="37"/>
      <x:c r="P5522" s="34" t="n">
        <x:v>5390.51</x:v>
      </x:c>
      <x:c r="Q5522" s="37" t="n">
        <x:v>46106.058483796296</x:v>
      </x:c>
    </x:row>
    <x:row r="5523">
      <x:c r="A5523" s="22" t="n">
        <x:v>26773</x:v>
      </x:c>
      <x:c r="B5523" s="28" t="n">
        <x:v>742.5</x:v>
      </x:c>
      <x:c r="C5523" s="28"/>
      <x:c r="D5523" s="31" t="str">
        <x:f>IF(OR(ISBLANK(B5523),ISBLANK(C5523),B5523=0),"",(C5523-B5523)/B5523)</x:f>
      </x:c>
      <x:c r="E5523" s="22" t="str">
        <x:f>IF(ISBLANK(C5523),"AmountIncludingTax缺失",IF(ABS(B5523-C5523)&lt;0.005,"一致","不一致"))</x:f>
        <x:v>AmountIncludingTax缺失</x:v>
      </x:c>
      <x:c r="F5523" s="19" t="str">
        <x:v>approved</x:v>
      </x:c>
      <x:c r="G5523" s="19" t="str">
        <x:v>Repair in Progress</x:v>
      </x:c>
      <x:c r="H5523" s="19" t="str">
        <x:v>In Field</x:v>
      </x:c>
      <x:c r="I5523" s="37" t="n">
        <x:v>46143</x:v>
      </x:c>
      <x:c r="J5523" s="37" t="n">
        <x:v>46143</x:v>
      </x:c>
      <x:c r="K5523" s="19" t="str">
        <x:v>Regent RV - Perth</x:v>
      </x:c>
      <x:c r="L5523" s="19" t="str">
        <x:v>Z006</x:v>
      </x:c>
      <x:c r="M5523" s="19" t="str">
        <x:v>In Field Warranty Claims</x:v>
      </x:c>
      <x:c r="N5523" s="37" t="n">
        <x:v>45947</x:v>
      </x:c>
      <x:c r="O5523" s="37" t="n">
        <x:v>46121</x:v>
      </x:c>
      <x:c r="P5523" s="34" t="n">
        <x:v>0</x:v>
      </x:c>
      <x:c r="Q5523" s="37" t="n">
        <x:v>46142.996412037035</x:v>
      </x:c>
    </x:row>
    <x:row r="5524">
      <x:c r="A5524" s="22" t="n">
        <x:v>26770</x:v>
      </x:c>
      <x:c r="B5524" s="28" t="n">
        <x:v>490.91</x:v>
      </x:c>
      <x:c r="C5524" s="28"/>
      <x:c r="D5524" s="31" t="str">
        <x:f>IF(OR(ISBLANK(B5524),ISBLANK(C5524),B5524=0),"",(C5524-B5524)/B5524)</x:f>
      </x:c>
      <x:c r="E5524" s="22" t="str">
        <x:f>IF(ISBLANK(C5524),"AmountIncludingTax缺失",IF(ABS(B5524-C5524)&lt;0.005,"一致","不一致"))</x:f>
        <x:v>AmountIncludingTax缺失</x:v>
      </x:c>
      <x:c r="F5524" s="19" t="str">
        <x:v>approved</x:v>
      </x:c>
      <x:c r="G5524" s="19" t="str">
        <x:v>Repair in Progress</x:v>
      </x:c>
      <x:c r="H5524" s="19" t="str">
        <x:v>In Field</x:v>
      </x:c>
      <x:c r="I5524" s="37" t="n">
        <x:v>46149</x:v>
      </x:c>
      <x:c r="J5524" s="37" t="n">
        <x:v>46149</x:v>
      </x:c>
      <x:c r="K5524" s="19" t="str">
        <x:v>The Caravan Hub - Townsville</x:v>
      </x:c>
      <x:c r="L5524" s="19" t="str">
        <x:v>Z006</x:v>
      </x:c>
      <x:c r="M5524" s="19" t="str">
        <x:v>In Field Warranty Claims</x:v>
      </x:c>
      <x:c r="N5524" s="37" t="n">
        <x:v>45948</x:v>
      </x:c>
      <x:c r="O5524" s="37" t="n">
        <x:v>46100</x:v>
      </x:c>
      <x:c r="P5524" s="34" t="n">
        <x:v>0</x:v>
      </x:c>
      <x:c r="Q5524" s="37" t="n">
        <x:v>46149.43965277778</x:v>
      </x:c>
    </x:row>
    <x:row r="5525">
      <x:c r="A5525" s="22" t="n">
        <x:v>26769</x:v>
      </x:c>
      <x:c r="B5525" s="28" t="n">
        <x:v>2120.5</x:v>
      </x:c>
      <x:c r="C5525" s="28"/>
      <x:c r="D5525" s="31" t="str">
        <x:f>IF(OR(ISBLANK(B5525),ISBLANK(C5525),B5525=0),"",(C5525-B5525)/B5525)</x:f>
      </x:c>
      <x:c r="E5525" s="22" t="str">
        <x:f>IF(ISBLANK(C5525),"AmountIncludingTax缺失",IF(ABS(B5525-C5525)&lt;0.005,"一致","不一致"))</x:f>
        <x:v>AmountIncludingTax缺失</x:v>
      </x:c>
      <x:c r="F5525" s="19" t="str">
        <x:v>approved</x:v>
      </x:c>
      <x:c r="G5525" s="19" t="str">
        <x:v>Repair in Progress</x:v>
      </x:c>
      <x:c r="H5525" s="19" t="str">
        <x:v>In Field</x:v>
      </x:c>
      <x:c r="I5525" s="37" t="n">
        <x:v>46147</x:v>
      </x:c>
      <x:c r="J5525" s="37" t="n">
        <x:v>46147</x:v>
      </x:c>
      <x:c r="K5525" s="19" t="str">
        <x:v>Vanari Caravans - Marden Point</x:v>
      </x:c>
      <x:c r="L5525" s="19" t="str">
        <x:v>Z006</x:v>
      </x:c>
      <x:c r="M5525" s="19" t="str">
        <x:v>In Field Warranty Claims</x:v>
      </x:c>
      <x:c r="N5525" s="37" t="n">
        <x:v>45947</x:v>
      </x:c>
      <x:c r="O5525" s="37"/>
      <x:c r="P5525" s="34" t="n">
        <x:v>1919.9</x:v>
      </x:c>
      <x:c r="Q5525" s="37" t="n">
        <x:v>46147.181493055556</x:v>
      </x:c>
    </x:row>
    <x:row r="5526">
      <x:c r="A5526" s="22" t="n">
        <x:v>26768</x:v>
      </x:c>
      <x:c r="B5526" s="28" t="n">
        <x:v>1046.25</x:v>
      </x:c>
      <x:c r="C5526" s="28"/>
      <x:c r="D5526" s="31" t="str">
        <x:f>IF(OR(ISBLANK(B5526),ISBLANK(C5526),B5526=0),"",(C5526-B5526)/B5526)</x:f>
      </x:c>
      <x:c r="E5526" s="22" t="str">
        <x:f>IF(ISBLANK(C5526),"AmountIncludingTax缺失",IF(ABS(B5526-C5526)&lt;0.005,"一致","不一致"))</x:f>
        <x:v>AmountIncludingTax缺失</x:v>
      </x:c>
      <x:c r="F5526" s="19" t="str">
        <x:v>approved</x:v>
      </x:c>
      <x:c r="G5526" s="19" t="str">
        <x:v>Repairer Invoiced Processed</x:v>
      </x:c>
      <x:c r="H5526" s="19" t="str">
        <x:v>In Field</x:v>
      </x:c>
      <x:c r="I5526" s="37" t="n">
        <x:v>46098</x:v>
      </x:c>
      <x:c r="J5526" s="37" t="n">
        <x:v>46098</x:v>
      </x:c>
      <x:c r="K5526" s="19" t="str">
        <x:v>Regent RV - Toowoomba</x:v>
      </x:c>
      <x:c r="L5526" s="19" t="str">
        <x:v>Z006</x:v>
      </x:c>
      <x:c r="M5526" s="19" t="str">
        <x:v>In Field Warranty Claims</x:v>
      </x:c>
      <x:c r="N5526" s="37" t="n">
        <x:v>45947</x:v>
      </x:c>
      <x:c r="O5526" s="37"/>
      <x:c r="P5526" s="34" t="n">
        <x:v>0</x:v>
      </x:c>
      <x:c r="Q5526" s="37" t="n">
        <x:v>46098.15988425926</x:v>
      </x:c>
    </x:row>
    <x:row r="5527">
      <x:c r="A5527" s="22" t="n">
        <x:v>26767</x:v>
      </x:c>
      <x:c r="B5527" s="28" t="n">
        <x:v>95</x:v>
      </x:c>
      <x:c r="C5527" s="28"/>
      <x:c r="D5527" s="31" t="str">
        <x:f>IF(OR(ISBLANK(B5527),ISBLANK(C5527),B5527=0),"",(C5527-B5527)/B5527)</x:f>
      </x:c>
      <x:c r="E5527" s="22" t="str">
        <x:f>IF(ISBLANK(C5527),"AmountIncludingTax缺失",IF(ABS(B5527-C5527)&lt;0.005,"一致","不一致"))</x:f>
        <x:v>AmountIncludingTax缺失</x:v>
      </x:c>
      <x:c r="F5527" s="19" t="str">
        <x:v>approved</x:v>
      </x:c>
      <x:c r="G5527" s="19" t="str">
        <x:v>Repair in Progress</x:v>
      </x:c>
      <x:c r="H5527" s="19" t="str">
        <x:v>Pre Delivery</x:v>
      </x:c>
      <x:c r="I5527" s="37" t="n">
        <x:v>46031</x:v>
      </x:c>
      <x:c r="J5527" s="37" t="n">
        <x:v>46030</x:v>
      </x:c>
      <x:c r="K5527" s="19" t="str">
        <x:v>Regent RV - Perth</x:v>
      </x:c>
      <x:c r="L5527" s="19" t="str">
        <x:v>Z005</x:v>
      </x:c>
      <x:c r="M5527" s="19" t="str">
        <x:v>Pre Delivery Warranty Claims</x:v>
      </x:c>
      <x:c r="N5527" s="37" t="n">
        <x:v>45947</x:v>
      </x:c>
      <x:c r="O5527" s="37"/>
      <x:c r="P5527" s="34" t="n">
        <x:v>0</x:v>
      </x:c>
      <x:c r="Q5527" s="37" t="n">
        <x:v>46030.88482638889</x:v>
      </x:c>
    </x:row>
    <x:row r="5528">
      <x:c r="A5528" s="22" t="n">
        <x:v>26758</x:v>
      </x:c>
      <x:c r="B5528" s="28" t="n">
        <x:v>1072.76</x:v>
      </x:c>
      <x:c r="C5528" s="28"/>
      <x:c r="D5528" s="31" t="str">
        <x:f>IF(OR(ISBLANK(B5528),ISBLANK(C5528),B5528=0),"",(C5528-B5528)/B5528)</x:f>
      </x:c>
      <x:c r="E5528" s="22" t="str">
        <x:f>IF(ISBLANK(C5528),"AmountIncludingTax缺失",IF(ABS(B5528-C5528)&lt;0.005,"一致","不一致"))</x:f>
        <x:v>AmountIncludingTax缺失</x:v>
      </x:c>
      <x:c r="F5528" s="19" t="str">
        <x:v>approved</x:v>
      </x:c>
      <x:c r="G5528" s="19" t="str">
        <x:v>Repairer Invoiced Processed</x:v>
      </x:c>
      <x:c r="H5528" s="19" t="str">
        <x:v>In Field</x:v>
      </x:c>
      <x:c r="I5528" s="37" t="n">
        <x:v>46197</x:v>
      </x:c>
      <x:c r="J5528" s="37" t="n">
        <x:v>46197</x:v>
      </x:c>
      <x:c r="K5528" s="19" t="str">
        <x:v>Regent RV - Toowoomba</x:v>
      </x:c>
      <x:c r="L5528" s="19" t="str">
        <x:v>Z006</x:v>
      </x:c>
      <x:c r="M5528" s="19" t="str">
        <x:v>In Field Warranty Claims</x:v>
      </x:c>
      <x:c r="N5528" s="37" t="n">
        <x:v>45947</x:v>
      </x:c>
      <x:c r="O5528" s="37"/>
      <x:c r="P5528" s="34" t="n">
        <x:v>1180.04</x:v>
      </x:c>
      <x:c r="Q5528" s="37" t="n">
        <x:v>46197.18828703704</x:v>
      </x:c>
    </x:row>
    <x:row r="5529">
      <x:c r="A5529" s="22" t="n">
        <x:v>26755</x:v>
      </x:c>
      <x:c r="B5529" s="28" t="n">
        <x:v>281.36</x:v>
      </x:c>
      <x:c r="C5529" s="28"/>
      <x:c r="D5529" s="31" t="str">
        <x:f>IF(OR(ISBLANK(B5529),ISBLANK(C5529),B5529=0),"",(C5529-B5529)/B5529)</x:f>
      </x:c>
      <x:c r="E5529" s="22" t="str">
        <x:f>IF(ISBLANK(C5529),"AmountIncludingTax缺失",IF(ABS(B5529-C5529)&lt;0.005,"一致","不一致"))</x:f>
        <x:v>AmountIncludingTax缺失</x:v>
      </x:c>
      <x:c r="F5529" s="19" t="str">
        <x:v>approved</x:v>
      </x:c>
      <x:c r="G5529" s="19" t="str">
        <x:v>Repairer Invoiced Processed</x:v>
      </x:c>
      <x:c r="H5529" s="19" t="str">
        <x:v>In Field</x:v>
      </x:c>
      <x:c r="I5529" s="37" t="n">
        <x:v>46185</x:v>
      </x:c>
      <x:c r="J5529" s="37" t="n">
        <x:v>46185</x:v>
      </x:c>
      <x:c r="K5529" s="19" t="str">
        <x:v>Dario Caravans -St.Marys</x:v>
      </x:c>
      <x:c r="L5529" s="19" t="str">
        <x:v>Z006</x:v>
      </x:c>
      <x:c r="M5529" s="19" t="str">
        <x:v>In Field Warranty Claims</x:v>
      </x:c>
      <x:c r="N5529" s="37" t="n">
        <x:v>45947</x:v>
      </x:c>
      <x:c r="O5529" s="37"/>
      <x:c r="P5529" s="34" t="n">
        <x:v>0</x:v>
      </x:c>
      <x:c r="Q5529" s="37" t="n">
        <x:v>46185.2677662037</x:v>
      </x:c>
    </x:row>
    <x:row r="5530">
      <x:c r="A5530" s="22" t="n">
        <x:v>26753</x:v>
      </x:c>
      <x:c r="B5530" s="28" t="n">
        <x:v>2907.73</x:v>
      </x:c>
      <x:c r="C5530" s="28"/>
      <x:c r="D5530" s="31" t="str">
        <x:f>IF(OR(ISBLANK(B5530),ISBLANK(C5530),B5530=0),"",(C5530-B5530)/B5530)</x:f>
      </x:c>
      <x:c r="E5530" s="22" t="str">
        <x:f>IF(ISBLANK(C5530),"AmountIncludingTax缺失",IF(ABS(B5530-C5530)&lt;0.005,"一致","不一致"))</x:f>
        <x:v>AmountIncludingTax缺失</x:v>
      </x:c>
      <x:c r="F5530" s="19" t="str">
        <x:v>approved</x:v>
      </x:c>
      <x:c r="G5530" s="19" t="str">
        <x:v>Repairer Invoiced Processed</x:v>
      </x:c>
      <x:c r="H5530" s="19" t="str">
        <x:v>In Field</x:v>
      </x:c>
      <x:c r="I5530" s="37" t="n">
        <x:v>46114</x:v>
      </x:c>
      <x:c r="J5530" s="37" t="n">
        <x:v>46035</x:v>
      </x:c>
      <x:c r="K5530" s="19" t="str">
        <x:v>Green RV - Forest Glen</x:v>
      </x:c>
      <x:c r="L5530" s="19" t="str">
        <x:v>Z006</x:v>
      </x:c>
      <x:c r="M5530" s="19" t="str">
        <x:v>In Field Warranty Claims</x:v>
      </x:c>
      <x:c r="N5530" s="37" t="n">
        <x:v>45947</x:v>
      </x:c>
      <x:c r="O5530" s="37"/>
      <x:c r="P5530" s="34" t="n">
        <x:v>3198.5</x:v>
      </x:c>
      <x:c r="Q5530" s="37" t="n">
        <x:v>46114.0090162037</x:v>
      </x:c>
    </x:row>
    <x:row r="5531">
      <x:c r="A5531" s="22" t="n">
        <x:v>26749</x:v>
      </x:c>
      <x:c r="B5531" s="28" t="n">
        <x:v>603.43</x:v>
      </x:c>
      <x:c r="C5531" s="28" t="n">
        <x:v>663.77</x:v>
      </x:c>
      <x:c r="D5531" s="31" t="n">
        <x:f>IF(OR(ISBLANK(B5531),ISBLANK(C5531),B5531=0),"",(C5531-B5531)/B5531)</x:f>
        <x:v>0.0999950284208608</x:v>
      </x:c>
      <x:c r="E5531" s="22" t="str">
        <x:f>IF(ISBLANK(C5531),"AmountIncludingTax缺失",IF(ABS(B5531-C5531)&lt;0.005,"一致","不一致"))</x:f>
        <x:v>不一致</x:v>
      </x:c>
      <x:c r="F5531" s="19" t="str">
        <x:v>approved</x:v>
      </x:c>
      <x:c r="G5531" s="19" t="str">
        <x:v>Repairer Invoiced Processed</x:v>
      </x:c>
      <x:c r="H5531" s="19" t="str">
        <x:v>In Field</x:v>
      </x:c>
      <x:c r="I5531" s="37" t="n">
        <x:v>46163</x:v>
      </x:c>
      <x:c r="J5531" s="37" t="n">
        <x:v>46163</x:v>
      </x:c>
      <x:c r="K5531" s="19" t="str">
        <x:v>Regent RV - Toowoomba</x:v>
      </x:c>
      <x:c r="L5531" s="19" t="str">
        <x:v>Z006</x:v>
      </x:c>
      <x:c r="M5531" s="19" t="str">
        <x:v>In Field Warranty Claims</x:v>
      </x:c>
      <x:c r="N5531" s="37" t="n">
        <x:v>45946</x:v>
      </x:c>
      <x:c r="O5531" s="37"/>
      <x:c r="P5531" s="34" t="n">
        <x:v>663.77</x:v>
      </x:c>
      <x:c r="Q5531" s="37" t="n">
        <x:v>46163.12432870371</x:v>
      </x:c>
    </x:row>
    <x:row r="5532">
      <x:c r="A5532" s="22" t="n">
        <x:v>26745</x:v>
      </x:c>
      <x:c r="B5532" s="28" t="n">
        <x:v>3694.55</x:v>
      </x:c>
      <x:c r="C5532" s="28"/>
      <x:c r="D5532" s="31" t="str">
        <x:f>IF(OR(ISBLANK(B5532),ISBLANK(C5532),B5532=0),"",(C5532-B5532)/B5532)</x:f>
      </x:c>
      <x:c r="E5532" s="22" t="str">
        <x:f>IF(ISBLANK(C5532),"AmountIncludingTax缺失",IF(ABS(B5532-C5532)&lt;0.005,"一致","不一致"))</x:f>
        <x:v>AmountIncludingTax缺失</x:v>
      </x:c>
      <x:c r="F5532" s="19" t="str">
        <x:v>approved</x:v>
      </x:c>
      <x:c r="G5532" s="19" t="str">
        <x:v>Repairer Invoiced Processed</x:v>
      </x:c>
      <x:c r="H5532" s="19" t="str">
        <x:v>In Field</x:v>
      </x:c>
      <x:c r="I5532" s="37" t="n">
        <x:v>46189</x:v>
      </x:c>
      <x:c r="J5532" s="37" t="n">
        <x:v>46189</x:v>
      </x:c>
      <x:c r="K5532" s="19" t="str">
        <x:v>Green RV - Forest Glen</x:v>
      </x:c>
      <x:c r="L5532" s="19" t="str">
        <x:v>Z006</x:v>
      </x:c>
      <x:c r="M5532" s="19" t="str">
        <x:v>In Field Warranty Claims</x:v>
      </x:c>
      <x:c r="N5532" s="37" t="n">
        <x:v>45946</x:v>
      </x:c>
      <x:c r="O5532" s="37" t="n">
        <x:v>46092</x:v>
      </x:c>
      <x:c r="P5532" s="34" t="n">
        <x:v>4064.01</x:v>
      </x:c>
      <x:c r="Q5532" s="37" t="n">
        <x:v>46189.023668981485</x:v>
      </x:c>
    </x:row>
    <x:row r="5533">
      <x:c r="A5533" s="22" t="n">
        <x:v>26742</x:v>
      </x:c>
      <x:c r="B5533" s="28" t="n">
        <x:v>100</x:v>
      </x:c>
      <x:c r="C5533" s="28"/>
      <x:c r="D5533" s="31" t="str">
        <x:f>IF(OR(ISBLANK(B5533),ISBLANK(C5533),B5533=0),"",(C5533-B5533)/B5533)</x:f>
      </x:c>
      <x:c r="E5533" s="22" t="str">
        <x:f>IF(ISBLANK(C5533),"AmountIncludingTax缺失",IF(ABS(B5533-C5533)&lt;0.005,"一致","不一致"))</x:f>
        <x:v>AmountIncludingTax缺失</x:v>
      </x:c>
      <x:c r="F5533" s="19" t="str">
        <x:v>approved</x:v>
      </x:c>
      <x:c r="G5533" s="19" t="str">
        <x:v>Repairer Invoiced Processed</x:v>
      </x:c>
      <x:c r="H5533" s="19" t="str">
        <x:v>In Field</x:v>
      </x:c>
      <x:c r="I5533" s="37" t="n">
        <x:v>46099</x:v>
      </x:c>
      <x:c r="J5533" s="37" t="n">
        <x:v>46099</x:v>
      </x:c>
      <x:c r="K5533" s="19" t="str">
        <x:v>Great Ocean Road RV &amp; Caravans - Warrnambool</x:v>
      </x:c>
      <x:c r="L5533" s="19" t="str">
        <x:v>Z006</x:v>
      </x:c>
      <x:c r="M5533" s="19" t="str">
        <x:v>In Field Warranty Claims</x:v>
      </x:c>
      <x:c r="N5533" s="37" t="n">
        <x:v>45946</x:v>
      </x:c>
      <x:c r="O5533" s="37"/>
      <x:c r="P5533" s="34" t="n">
        <x:v>0</x:v>
      </x:c>
      <x:c r="Q5533" s="37" t="n">
        <x:v>46098.90131944444</x:v>
      </x:c>
    </x:row>
    <x:row r="5534">
      <x:c r="A5534" s="22" t="n">
        <x:v>26732</x:v>
      </x:c>
      <x:c r="B5534" s="28" t="n">
        <x:v>3438.25</x:v>
      </x:c>
      <x:c r="C5534" s="28"/>
      <x:c r="D5534" s="31" t="str">
        <x:f>IF(OR(ISBLANK(B5534),ISBLANK(C5534),B5534=0),"",(C5534-B5534)/B5534)</x:f>
      </x:c>
      <x:c r="E5534" s="22" t="str">
        <x:f>IF(ISBLANK(C5534),"AmountIncludingTax缺失",IF(ABS(B5534-C5534)&lt;0.005,"一致","不一致"))</x:f>
        <x:v>AmountIncludingTax缺失</x:v>
      </x:c>
      <x:c r="F5534" s="19" t="str">
        <x:v>approved</x:v>
      </x:c>
      <x:c r="G5534" s="19" t="str">
        <x:v>Partially Picked</x:v>
      </x:c>
      <x:c r="H5534" s="19" t="str">
        <x:v>In Field</x:v>
      </x:c>
      <x:c r="I5534" s="37" t="n">
        <x:v>46190</x:v>
      </x:c>
      <x:c r="J5534" s="37" t="n">
        <x:v>46190</x:v>
      </x:c>
      <x:c r="K5534" s="19" t="str">
        <x:v>Regent RV - Perth</x:v>
      </x:c>
      <x:c r="L5534" s="19" t="str">
        <x:v>Z006</x:v>
      </x:c>
      <x:c r="M5534" s="19" t="str">
        <x:v>In Field Warranty Claims</x:v>
      </x:c>
      <x:c r="N5534" s="37" t="n">
        <x:v>45946</x:v>
      </x:c>
      <x:c r="O5534" s="37" t="n">
        <x:v>46099</x:v>
      </x:c>
      <x:c r="P5534" s="34" t="n">
        <x:v>0</x:v>
      </x:c>
      <x:c r="Q5534" s="37" t="n">
        <x:v>46190.20793981481</x:v>
      </x:c>
    </x:row>
    <x:row r="5535">
      <x:c r="A5535" s="22" t="n">
        <x:v>26714</x:v>
      </x:c>
      <x:c r="B5535" s="28" t="n">
        <x:v>263.64</x:v>
      </x:c>
      <x:c r="C5535" s="28" t="n">
        <x:v>290</x:v>
      </x:c>
      <x:c r="D5535" s="31" t="n">
        <x:f>IF(OR(ISBLANK(B5535),ISBLANK(C5535),B5535=0),"",(C5535-B5535)/B5535)</x:f>
        <x:v>0.09998482779547874</x:v>
      </x:c>
      <x:c r="E5535" s="22" t="str">
        <x:f>IF(ISBLANK(C5535),"AmountIncludingTax缺失",IF(ABS(B5535-C5535)&lt;0.005,"一致","不一致"))</x:f>
        <x:v>不一致</x:v>
      </x:c>
      <x:c r="F5535" s="19" t="str">
        <x:v>approved</x:v>
      </x:c>
      <x:c r="G5535" s="19" t="str">
        <x:v>Repairer Invoiced Processed</x:v>
      </x:c>
      <x:c r="H5535" s="19" t="str">
        <x:v>In Field</x:v>
      </x:c>
      <x:c r="I5535" s="37" t="n">
        <x:v>46198</x:v>
      </x:c>
      <x:c r="J5535" s="37" t="n">
        <x:v>46198</x:v>
      </x:c>
      <x:c r="K5535" s="19" t="str">
        <x:v>Leisure Lion Pty Ltd - Toowoomba</x:v>
      </x:c>
      <x:c r="L5535" s="19" t="str">
        <x:v>Z006</x:v>
      </x:c>
      <x:c r="M5535" s="19" t="str">
        <x:v>In Field Warranty Claims</x:v>
      </x:c>
      <x:c r="N5535" s="37" t="n">
        <x:v>45946</x:v>
      </x:c>
      <x:c r="O5535" s="37"/>
      <x:c r="P5535" s="34" t="n">
        <x:v>290</x:v>
      </x:c>
      <x:c r="Q5535" s="37" t="n">
        <x:v>46198.22206018519</x:v>
      </x:c>
    </x:row>
    <x:row r="5536">
      <x:c r="A5536" s="22" t="n">
        <x:v>26709</x:v>
      </x:c>
      <x:c r="B5536" s="28" t="n">
        <x:v>75</x:v>
      </x:c>
      <x:c r="C5536" s="28"/>
      <x:c r="D5536" s="31" t="str">
        <x:f>IF(OR(ISBLANK(B5536),ISBLANK(C5536),B5536=0),"",(C5536-B5536)/B5536)</x:f>
      </x:c>
      <x:c r="E5536" s="22" t="str">
        <x:f>IF(ISBLANK(C5536),"AmountIncludingTax缺失",IF(ABS(B5536-C5536)&lt;0.005,"一致","不一致"))</x:f>
        <x:v>AmountIncludingTax缺失</x:v>
      </x:c>
      <x:c r="F5536" s="19" t="str">
        <x:v>approved</x:v>
      </x:c>
      <x:c r="G5536" s="19" t="str">
        <x:v>Repair in Progress</x:v>
      </x:c>
      <x:c r="H5536" s="19" t="str">
        <x:v>Pre Delivery</x:v>
      </x:c>
      <x:c r="I5536" s="37" t="n">
        <x:v>46035</x:v>
      </x:c>
      <x:c r="J5536" s="37" t="n">
        <x:v>46035</x:v>
      </x:c>
      <x:c r="K5536" s="19" t="str">
        <x:v>Regent RV - Perth</x:v>
      </x:c>
      <x:c r="L5536" s="19" t="str">
        <x:v>Z005</x:v>
      </x:c>
      <x:c r="M5536" s="19" t="str">
        <x:v>Pre Delivery Warranty Claims</x:v>
      </x:c>
      <x:c r="N5536" s="37" t="n">
        <x:v>45946</x:v>
      </x:c>
      <x:c r="O5536" s="37"/>
      <x:c r="P5536" s="34" t="n">
        <x:v>0</x:v>
      </x:c>
      <x:c r="Q5536" s="37" t="n">
        <x:v>46034.934479166666</x:v>
      </x:c>
    </x:row>
    <x:row r="5537">
      <x:c r="A5537" s="22" t="n">
        <x:v>26704</x:v>
      </x:c>
      <x:c r="B5537" s="28" t="n">
        <x:v>708.75</x:v>
      </x:c>
      <x:c r="C5537" s="28"/>
      <x:c r="D5537" s="31" t="str">
        <x:f>IF(OR(ISBLANK(B5537),ISBLANK(C5537),B5537=0),"",(C5537-B5537)/B5537)</x:f>
      </x:c>
      <x:c r="E5537" s="22" t="str">
        <x:f>IF(ISBLANK(C5537),"AmountIncludingTax缺失",IF(ABS(B5537-C5537)&lt;0.005,"一致","不一致"))</x:f>
        <x:v>AmountIncludingTax缺失</x:v>
      </x:c>
      <x:c r="F5537" s="19" t="str">
        <x:v>approved</x:v>
      </x:c>
      <x:c r="G5537" s="19" t="str">
        <x:v>Repair in Progress</x:v>
      </x:c>
      <x:c r="H5537" s="19" t="str">
        <x:v>In Field</x:v>
      </x:c>
      <x:c r="I5537" s="37" t="n">
        <x:v>46079</x:v>
      </x:c>
      <x:c r="J5537" s="37" t="n">
        <x:v>46079</x:v>
      </x:c>
      <x:c r="K5537" s="19" t="str">
        <x:v>Green RV - Forest Glen</x:v>
      </x:c>
      <x:c r="L5537" s="19" t="str">
        <x:v>Z006</x:v>
      </x:c>
      <x:c r="M5537" s="19" t="str">
        <x:v>In Field Warranty Claims</x:v>
      </x:c>
      <x:c r="N5537" s="37" t="n">
        <x:v>45946</x:v>
      </x:c>
      <x:c r="O5537" s="37"/>
      <x:c r="P5537" s="34" t="n">
        <x:v>0</x:v>
      </x:c>
      <x:c r="Q5537" s="37" t="n">
        <x:v>46079.10949074074</x:v>
      </x:c>
    </x:row>
    <x:row r="5538">
      <x:c r="A5538" s="22" t="n">
        <x:v>26701</x:v>
      </x:c>
      <x:c r="B5538" s="28" t="n">
        <x:v>560</x:v>
      </x:c>
      <x:c r="C5538" s="28"/>
      <x:c r="D5538" s="31" t="str">
        <x:f>IF(OR(ISBLANK(B5538),ISBLANK(C5538),B5538=0),"",(C5538-B5538)/B5538)</x:f>
      </x:c>
      <x:c r="E5538" s="22" t="str">
        <x:f>IF(ISBLANK(C5538),"AmountIncludingTax缺失",IF(ABS(B5538-C5538)&lt;0.005,"一致","不一致"))</x:f>
        <x:v>AmountIncludingTax缺失</x:v>
      </x:c>
      <x:c r="F5538" s="19" t="str">
        <x:v>approved</x:v>
      </x:c>
      <x:c r="G5538" s="19" t="str">
        <x:v>Repairer Invoiced Processed</x:v>
      </x:c>
      <x:c r="H5538" s="19" t="str">
        <x:v>In Field</x:v>
      </x:c>
      <x:c r="I5538" s="37" t="n">
        <x:v>46057</x:v>
      </x:c>
      <x:c r="J5538" s="37" t="n">
        <x:v>46057</x:v>
      </x:c>
      <x:c r="K5538" s="19" t="str">
        <x:v>Green RV - Forest Glen</x:v>
      </x:c>
      <x:c r="L5538" s="19" t="str">
        <x:v>Z006</x:v>
      </x:c>
      <x:c r="M5538" s="19" t="str">
        <x:v>In Field Warranty Claims</x:v>
      </x:c>
      <x:c r="N5538" s="37" t="n">
        <x:v>45946</x:v>
      </x:c>
      <x:c r="O5538" s="37"/>
      <x:c r="P5538" s="34" t="n">
        <x:v>0</x:v>
      </x:c>
      <x:c r="Q5538" s="37" t="n">
        <x:v>46057.06239583333</x:v>
      </x:c>
    </x:row>
    <x:row r="5539">
      <x:c r="A5539" s="22" t="n">
        <x:v>26690</x:v>
      </x:c>
      <x:c r="B5539" s="28" t="n">
        <x:v>1020.84</x:v>
      </x:c>
      <x:c r="C5539" s="28"/>
      <x:c r="D5539" s="31" t="str">
        <x:f>IF(OR(ISBLANK(B5539),ISBLANK(C5539),B5539=0),"",(C5539-B5539)/B5539)</x:f>
      </x:c>
      <x:c r="E5539" s="22" t="str">
        <x:f>IF(ISBLANK(C5539),"AmountIncludingTax缺失",IF(ABS(B5539-C5539)&lt;0.005,"一致","不一致"))</x:f>
        <x:v>AmountIncludingTax缺失</x:v>
      </x:c>
      <x:c r="F5539" s="19" t="str">
        <x:v>approved</x:v>
      </x:c>
      <x:c r="G5539" s="19" t="str">
        <x:v>Repair in Progress</x:v>
      </x:c>
      <x:c r="H5539" s="19" t="str">
        <x:v>Pre Delivery</x:v>
      </x:c>
      <x:c r="I5539" s="37" t="n">
        <x:v>46035</x:v>
      </x:c>
      <x:c r="J5539" s="37" t="n">
        <x:v>46035</x:v>
      </x:c>
      <x:c r="K5539" s="19" t="str">
        <x:v>The Caravan Hub - Townsville</x:v>
      </x:c>
      <x:c r="L5539" s="19" t="str">
        <x:v>Z005</x:v>
      </x:c>
      <x:c r="M5539" s="19" t="str">
        <x:v>Pre Delivery Warranty Claims</x:v>
      </x:c>
      <x:c r="N5539" s="37" t="n">
        <x:v>45946</x:v>
      </x:c>
      <x:c r="O5539" s="37"/>
      <x:c r="P5539" s="34" t="n">
        <x:v>0</x:v>
      </x:c>
      <x:c r="Q5539" s="37" t="n">
        <x:v>46035.20082175926</x:v>
      </x:c>
    </x:row>
    <x:row r="5540">
      <x:c r="A5540" s="22" t="n">
        <x:v>26689</x:v>
      </x:c>
      <x:c r="B5540" s="28" t="n">
        <x:v>979.93</x:v>
      </x:c>
      <x:c r="C5540" s="28"/>
      <x:c r="D5540" s="31" t="str">
        <x:f>IF(OR(ISBLANK(B5540),ISBLANK(C5540),B5540=0),"",(C5540-B5540)/B5540)</x:f>
      </x:c>
      <x:c r="E5540" s="22" t="str">
        <x:f>IF(ISBLANK(C5540),"AmountIncludingTax缺失",IF(ABS(B5540-C5540)&lt;0.005,"一致","不一致"))</x:f>
        <x:v>AmountIncludingTax缺失</x:v>
      </x:c>
      <x:c r="F5540" s="19" t="str">
        <x:v>approved</x:v>
      </x:c>
      <x:c r="G5540" s="19" t="str">
        <x:v>Repair in Progress</x:v>
      </x:c>
      <x:c r="H5540" s="19" t="str">
        <x:v>Pre Delivery</x:v>
      </x:c>
      <x:c r="I5540" s="37" t="n">
        <x:v>46050</x:v>
      </x:c>
      <x:c r="J5540" s="37" t="n">
        <x:v>46050</x:v>
      </x:c>
      <x:c r="K5540" s="19" t="str">
        <x:v>The Caravan Hub - Townsville</x:v>
      </x:c>
      <x:c r="L5540" s="19" t="str">
        <x:v>Z005</x:v>
      </x:c>
      <x:c r="M5540" s="19" t="str">
        <x:v>Pre Delivery Warranty Claims</x:v>
      </x:c>
      <x:c r="N5540" s="37" t="n">
        <x:v>45946</x:v>
      </x:c>
      <x:c r="O5540" s="37"/>
      <x:c r="P5540" s="34" t="n">
        <x:v>0</x:v>
      </x:c>
      <x:c r="Q5540" s="37" t="n">
        <x:v>46050.28827546296</x:v>
      </x:c>
    </x:row>
    <x:row r="5541">
      <x:c r="A5541" s="22" t="n">
        <x:v>26667</x:v>
      </x:c>
      <x:c r="B5541" s="28" t="n">
        <x:v>574.43</x:v>
      </x:c>
      <x:c r="C5541" s="28"/>
      <x:c r="D5541" s="31" t="str">
        <x:f>IF(OR(ISBLANK(B5541),ISBLANK(C5541),B5541=0),"",(C5541-B5541)/B5541)</x:f>
      </x:c>
      <x:c r="E5541" s="22" t="str">
        <x:f>IF(ISBLANK(C5541),"AmountIncludingTax缺失",IF(ABS(B5541-C5541)&lt;0.005,"一致","不一致"))</x:f>
        <x:v>AmountIncludingTax缺失</x:v>
      </x:c>
      <x:c r="F5541" s="19" t="str">
        <x:v>approved</x:v>
      </x:c>
      <x:c r="G5541" s="19" t="str">
        <x:v>Repair in Progress</x:v>
      </x:c>
      <x:c r="H5541" s="19" t="str">
        <x:v>Pre Delivery</x:v>
      </x:c>
      <x:c r="I5541" s="37" t="n">
        <x:v>46072</x:v>
      </x:c>
      <x:c r="J5541" s="37" t="n">
        <x:v>46072</x:v>
      </x:c>
      <x:c r="K5541" s="19" t="str">
        <x:v>The Caravan Hub - Townsville</x:v>
      </x:c>
      <x:c r="L5541" s="19" t="str">
        <x:v>Z005</x:v>
      </x:c>
      <x:c r="M5541" s="19" t="str">
        <x:v>Pre Delivery Warranty Claims</x:v>
      </x:c>
      <x:c r="N5541" s="37" t="n">
        <x:v>45945</x:v>
      </x:c>
      <x:c r="O5541" s="37"/>
      <x:c r="P5541" s="34" t="n">
        <x:v>0</x:v>
      </x:c>
      <x:c r="Q5541" s="37" t="n">
        <x:v>46072.0578125</x:v>
      </x:c>
    </x:row>
    <x:row r="5542">
      <x:c r="A5542" s="22" t="n">
        <x:v>26656</x:v>
      </x:c>
      <x:c r="B5542" s="28" t="n">
        <x:v>1153.65</x:v>
      </x:c>
      <x:c r="C5542" s="28"/>
      <x:c r="D5542" s="31" t="str">
        <x:f>IF(OR(ISBLANK(B5542),ISBLANK(C5542),B5542=0),"",(C5542-B5542)/B5542)</x:f>
      </x:c>
      <x:c r="E5542" s="22" t="str">
        <x:f>IF(ISBLANK(C5542),"AmountIncludingTax缺失",IF(ABS(B5542-C5542)&lt;0.005,"一致","不一致"))</x:f>
        <x:v>AmountIncludingTax缺失</x:v>
      </x:c>
      <x:c r="F5542" s="19" t="str">
        <x:v>approved</x:v>
      </x:c>
      <x:c r="G5542" s="19" t="str">
        <x:v>Repairer Invoiced Processed</x:v>
      </x:c>
      <x:c r="H5542" s="19" t="str">
        <x:v>In Field</x:v>
      </x:c>
      <x:c r="I5542" s="37" t="n">
        <x:v>46035</x:v>
      </x:c>
      <x:c r="J5542" s="37" t="n">
        <x:v>46035</x:v>
      </x:c>
      <x:c r="K5542" s="19" t="str">
        <x:v>Green RV - Forest Glen</x:v>
      </x:c>
      <x:c r="L5542" s="19" t="str">
        <x:v>Z006</x:v>
      </x:c>
      <x:c r="M5542" s="19" t="str">
        <x:v>In Field Warranty Claims</x:v>
      </x:c>
      <x:c r="N5542" s="37" t="n">
        <x:v>45945</x:v>
      </x:c>
      <x:c r="O5542" s="37"/>
      <x:c r="P5542" s="34" t="n">
        <x:v>1269.02</x:v>
      </x:c>
      <x:c r="Q5542" s="37" t="n">
        <x:v>46035.20039351852</x:v>
      </x:c>
    </x:row>
    <x:row r="5543">
      <x:c r="A5543" s="22" t="n">
        <x:v>26655</x:v>
      </x:c>
      <x:c r="B5543" s="28" t="n">
        <x:v>5609.1</x:v>
      </x:c>
      <x:c r="C5543" s="28"/>
      <x:c r="D5543" s="31" t="str">
        <x:f>IF(OR(ISBLANK(B5543),ISBLANK(C5543),B5543=0),"",(C5543-B5543)/B5543)</x:f>
      </x:c>
      <x:c r="E5543" s="22" t="str">
        <x:f>IF(ISBLANK(C5543),"AmountIncludingTax缺失",IF(ABS(B5543-C5543)&lt;0.005,"一致","不一致"))</x:f>
        <x:v>AmountIncludingTax缺失</x:v>
      </x:c>
      <x:c r="F5543" s="19" t="str">
        <x:v>approved</x:v>
      </x:c>
      <x:c r="G5543" s="19" t="str">
        <x:v>Repair in Progress</x:v>
      </x:c>
      <x:c r="H5543" s="19" t="str">
        <x:v>In Field</x:v>
      </x:c>
      <x:c r="I5543" s="37" t="n">
        <x:v>46119</x:v>
      </x:c>
      <x:c r="J5543" s="37" t="n">
        <x:v>46119</x:v>
      </x:c>
      <x:c r="K5543" s="19" t="str">
        <x:v>Green RV - Forest Glen</x:v>
      </x:c>
      <x:c r="L5543" s="19" t="str">
        <x:v>Z006</x:v>
      </x:c>
      <x:c r="M5543" s="19" t="str">
        <x:v>In Field Warranty Claims</x:v>
      </x:c>
      <x:c r="N5543" s="37" t="n">
        <x:v>45945</x:v>
      </x:c>
      <x:c r="O5543" s="37" t="n">
        <x:v>46091</x:v>
      </x:c>
      <x:c r="P5543" s="34" t="n">
        <x:v>6170.01</x:v>
      </x:c>
      <x:c r="Q5543" s="37" t="n">
        <x:v>46119.05986111111</x:v>
      </x:c>
    </x:row>
    <x:row r="5544">
      <x:c r="A5544" s="22" t="n">
        <x:v>26650</x:v>
      </x:c>
      <x:c r="B5544" s="28" t="n">
        <x:v>2313.64</x:v>
      </x:c>
      <x:c r="C5544" s="28"/>
      <x:c r="D5544" s="31" t="str">
        <x:f>IF(OR(ISBLANK(B5544),ISBLANK(C5544),B5544=0),"",(C5544-B5544)/B5544)</x:f>
      </x:c>
      <x:c r="E5544" s="22" t="str">
        <x:f>IF(ISBLANK(C5544),"AmountIncludingTax缺失",IF(ABS(B5544-C5544)&lt;0.005,"一致","不一致"))</x:f>
        <x:v>AmountIncludingTax缺失</x:v>
      </x:c>
      <x:c r="F5544" s="19" t="str">
        <x:v>approved</x:v>
      </x:c>
      <x:c r="G5544" s="19" t="str">
        <x:v>Repairer Invoiced Processed</x:v>
      </x:c>
      <x:c r="H5544" s="19" t="str">
        <x:v>In Field</x:v>
      </x:c>
      <x:c r="I5544" s="37" t="n">
        <x:v>46035</x:v>
      </x:c>
      <x:c r="J5544" s="37" t="n">
        <x:v>46035</x:v>
      </x:c>
      <x:c r="K5544" s="19" t="str">
        <x:v>The Caravan Hub - Townsville</x:v>
      </x:c>
      <x:c r="L5544" s="19" t="str">
        <x:v>Z006</x:v>
      </x:c>
      <x:c r="M5544" s="19" t="str">
        <x:v>In Field Warranty Claims</x:v>
      </x:c>
      <x:c r="N5544" s="37" t="n">
        <x:v>45945</x:v>
      </x:c>
      <x:c r="O5544" s="37"/>
      <x:c r="P5544" s="34" t="n">
        <x:v>2545</x:v>
      </x:c>
      <x:c r="Q5544" s="37" t="n">
        <x:v>46035.23097222222</x:v>
      </x:c>
    </x:row>
    <x:row r="5545">
      <x:c r="A5545" s="22" t="n">
        <x:v>26646</x:v>
      </x:c>
      <x:c r="B5545" s="28" t="n">
        <x:v>459.93</x:v>
      </x:c>
      <x:c r="C5545" s="28" t="n">
        <x:v>505.92</x:v>
      </x:c>
      <x:c r="D5545" s="31" t="n">
        <x:f>IF(OR(ISBLANK(B5545),ISBLANK(C5545),B5545=0),"",(C5545-B5545)/B5545)</x:f>
        <x:v>0.09999347726827998</x:v>
      </x:c>
      <x:c r="E5545" s="22" t="str">
        <x:f>IF(ISBLANK(C5545),"AmountIncludingTax缺失",IF(ABS(B5545-C5545)&lt;0.005,"一致","不一致"))</x:f>
        <x:v>不一致</x:v>
      </x:c>
      <x:c r="F5545" s="19" t="str">
        <x:v>approved</x:v>
      </x:c>
      <x:c r="G5545" s="19" t="str">
        <x:v>Repairer Invoiced Processed</x:v>
      </x:c>
      <x:c r="H5545" s="19" t="str">
        <x:v>In Field</x:v>
      </x:c>
      <x:c r="I5545" s="37" t="n">
        <x:v>46052</x:v>
      </x:c>
      <x:c r="J5545" s="37" t="n">
        <x:v>46052</x:v>
      </x:c>
      <x:c r="K5545" s="19" t="str">
        <x:v>Green RV - Forest Glen</x:v>
      </x:c>
      <x:c r="L5545" s="19" t="str">
        <x:v>Z006</x:v>
      </x:c>
      <x:c r="M5545" s="19" t="str">
        <x:v>In Field Warranty Claims</x:v>
      </x:c>
      <x:c r="N5545" s="37" t="n">
        <x:v>45945</x:v>
      </x:c>
      <x:c r="O5545" s="37"/>
      <x:c r="P5545" s="34" t="n">
        <x:v>505.92</x:v>
      </x:c>
      <x:c r="Q5545" s="37" t="n">
        <x:v>46052.25611111111</x:v>
      </x:c>
    </x:row>
    <x:row r="5546">
      <x:c r="A5546" s="22" t="n">
        <x:v>26643</x:v>
      </x:c>
      <x:c r="B5546" s="28" t="n">
        <x:v>533</x:v>
      </x:c>
      <x:c r="C5546" s="28" t="n">
        <x:v>586.3</x:v>
      </x:c>
      <x:c r="D5546" s="31" t="n">
        <x:f>IF(OR(ISBLANK(B5546),ISBLANK(C5546),B5546=0),"",(C5546-B5546)/B5546)</x:f>
        <x:v>0.09999999999999991</x:v>
      </x:c>
      <x:c r="E5546" s="22" t="str">
        <x:f>IF(ISBLANK(C5546),"AmountIncludingTax缺失",IF(ABS(B5546-C5546)&lt;0.005,"一致","不一致"))</x:f>
        <x:v>不一致</x:v>
      </x:c>
      <x:c r="F5546" s="19" t="str">
        <x:v>approved</x:v>
      </x:c>
      <x:c r="G5546" s="19" t="str">
        <x:v>Repairer Invoiced Processed</x:v>
      </x:c>
      <x:c r="H5546" s="19" t="str">
        <x:v>Pre Delivery</x:v>
      </x:c>
      <x:c r="I5546" s="37" t="n">
        <x:v>46092</x:v>
      </x:c>
      <x:c r="J5546" s="37" t="n">
        <x:v>46092</x:v>
      </x:c>
      <x:c r="K5546" s="19" t="str">
        <x:v>Great Ocean Road RV &amp; Caravans - Warrnambool</x:v>
      </x:c>
      <x:c r="L5546" s="19" t="str">
        <x:v>Z005</x:v>
      </x:c>
      <x:c r="M5546" s="19" t="str">
        <x:v>Pre Delivery Warranty Claims</x:v>
      </x:c>
      <x:c r="N5546" s="37" t="n">
        <x:v>45945</x:v>
      </x:c>
      <x:c r="O5546" s="37"/>
      <x:c r="P5546" s="34" t="n">
        <x:v>586.3</x:v>
      </x:c>
      <x:c r="Q5546" s="37" t="n">
        <x:v>46091.89109953704</x:v>
      </x:c>
    </x:row>
    <x:row r="5547">
      <x:c r="A5547" s="22" t="n">
        <x:v>26638</x:v>
      </x:c>
      <x:c r="B5547" s="28" t="n">
        <x:v>2057.5</x:v>
      </x:c>
      <x:c r="C5547" s="28"/>
      <x:c r="D5547" s="31" t="str">
        <x:f>IF(OR(ISBLANK(B5547),ISBLANK(C5547),B5547=0),"",(C5547-B5547)/B5547)</x:f>
      </x:c>
      <x:c r="E5547" s="22" t="str">
        <x:f>IF(ISBLANK(C5547),"AmountIncludingTax缺失",IF(ABS(B5547-C5547)&lt;0.005,"一致","不一致"))</x:f>
        <x:v>AmountIncludingTax缺失</x:v>
      </x:c>
      <x:c r="F5547" s="19" t="str">
        <x:v>approved</x:v>
      </x:c>
      <x:c r="G5547" s="19" t="str">
        <x:v>Repairer Invoiced Processed</x:v>
      </x:c>
      <x:c r="H5547" s="19" t="str">
        <x:v>In Field</x:v>
      </x:c>
      <x:c r="I5547" s="37" t="n">
        <x:v>46169</x:v>
      </x:c>
      <x:c r="J5547" s="37" t="n">
        <x:v>46024</x:v>
      </x:c>
      <x:c r="K5547" s="19" t="str">
        <x:v>Regent RV Pty Ltd</x:v>
      </x:c>
      <x:c r="L5547" s="19" t="str">
        <x:v>Z006</x:v>
      </x:c>
      <x:c r="M5547" s="19" t="str">
        <x:v>In Field Warranty Claims</x:v>
      </x:c>
      <x:c r="N5547" s="37" t="n">
        <x:v>45945</x:v>
      </x:c>
      <x:c r="O5547" s="37"/>
      <x:c r="P5547" s="34" t="n">
        <x:v>0</x:v>
      </x:c>
      <x:c r="Q5547" s="37" t="n">
        <x:v>46169.28457175926</x:v>
      </x:c>
    </x:row>
    <x:row r="5548">
      <x:c r="A5548" s="22" t="n">
        <x:v>26635</x:v>
      </x:c>
      <x:c r="B5548" s="28" t="n">
        <x:v>411.36</x:v>
      </x:c>
      <x:c r="C5548" s="28"/>
      <x:c r="D5548" s="31" t="str">
        <x:f>IF(OR(ISBLANK(B5548),ISBLANK(C5548),B5548=0),"",(C5548-B5548)/B5548)</x:f>
      </x:c>
      <x:c r="E5548" s="22" t="str">
        <x:f>IF(ISBLANK(C5548),"AmountIncludingTax缺失",IF(ABS(B5548-C5548)&lt;0.005,"一致","不一致"))</x:f>
        <x:v>AmountIncludingTax缺失</x:v>
      </x:c>
      <x:c r="F5548" s="19" t="str">
        <x:v>approved</x:v>
      </x:c>
      <x:c r="G5548" s="19" t="str">
        <x:v>Repairer Invoiced Processed</x:v>
      </x:c>
      <x:c r="H5548" s="19" t="str">
        <x:v>In Field</x:v>
      </x:c>
      <x:c r="I5548" s="37" t="n">
        <x:v>46167</x:v>
      </x:c>
      <x:c r="J5548" s="37" t="n">
        <x:v>46167</x:v>
      </x:c>
      <x:c r="K5548" s="19" t="str">
        <x:v>Dario Caravans -St.Marys</x:v>
      </x:c>
      <x:c r="L5548" s="19" t="str">
        <x:v>Z006</x:v>
      </x:c>
      <x:c r="M5548" s="19" t="str">
        <x:v>In Field Warranty Claims</x:v>
      </x:c>
      <x:c r="N5548" s="37" t="n">
        <x:v>45945</x:v>
      </x:c>
      <x:c r="O5548" s="37"/>
      <x:c r="P5548" s="34" t="n">
        <x:v>0</x:v>
      </x:c>
      <x:c r="Q5548" s="37" t="n">
        <x:v>46167.18349537037</x:v>
      </x:c>
    </x:row>
    <x:row r="5549">
      <x:c r="A5549" s="22" t="n">
        <x:v>26632</x:v>
      </x:c>
      <x:c r="B5549" s="28" t="n">
        <x:v>600</x:v>
      </x:c>
      <x:c r="C5549" s="28"/>
      <x:c r="D5549" s="31" t="str">
        <x:f>IF(OR(ISBLANK(B5549),ISBLANK(C5549),B5549=0),"",(C5549-B5549)/B5549)</x:f>
      </x:c>
      <x:c r="E5549" s="22" t="str">
        <x:f>IF(ISBLANK(C5549),"AmountIncludingTax缺失",IF(ABS(B5549-C5549)&lt;0.005,"一致","不一致"))</x:f>
        <x:v>AmountIncludingTax缺失</x:v>
      </x:c>
      <x:c r="F5549" s="19" t="str">
        <x:v>approved</x:v>
      </x:c>
      <x:c r="G5549" s="19" t="str">
        <x:v>Repairer Invoiced Processed</x:v>
      </x:c>
      <x:c r="H5549" s="19" t="str">
        <x:v>In Field</x:v>
      </x:c>
      <x:c r="I5549" s="37" t="n">
        <x:v>46196</x:v>
      </x:c>
      <x:c r="J5549" s="37" t="n">
        <x:v>46196</x:v>
      </x:c>
      <x:c r="K5549" s="19" t="str">
        <x:v>Auswide Caravans - South Nowra</x:v>
      </x:c>
      <x:c r="L5549" s="19" t="str">
        <x:v>Z006</x:v>
      </x:c>
      <x:c r="M5549" s="19" t="str">
        <x:v>In Field Warranty Claims</x:v>
      </x:c>
      <x:c r="N5549" s="37" t="n">
        <x:v>45945</x:v>
      </x:c>
      <x:c r="O5549" s="37"/>
      <x:c r="P5549" s="34" t="n">
        <x:v>0</x:v>
      </x:c>
      <x:c r="Q5549" s="37" t="n">
        <x:v>46196.02753472222</x:v>
      </x:c>
    </x:row>
    <x:row r="5550">
      <x:c r="A5550" s="22" t="n">
        <x:v>26624</x:v>
      </x:c>
      <x:c r="B5550" s="28" t="n">
        <x:v>572.72</x:v>
      </x:c>
      <x:c r="C5550" s="28"/>
      <x:c r="D5550" s="31" t="str">
        <x:f>IF(OR(ISBLANK(B5550),ISBLANK(C5550),B5550=0),"",(C5550-B5550)/B5550)</x:f>
      </x:c>
      <x:c r="E5550" s="22" t="str">
        <x:f>IF(ISBLANK(C5550),"AmountIncludingTax缺失",IF(ABS(B5550-C5550)&lt;0.005,"一致","不一致"))</x:f>
        <x:v>AmountIncludingTax缺失</x:v>
      </x:c>
      <x:c r="F5550" s="19" t="str">
        <x:v>approved</x:v>
      </x:c>
      <x:c r="G5550" s="19" t="str">
        <x:v>Sales Order Approved</x:v>
      </x:c>
      <x:c r="H5550" s="19" t="str">
        <x:v>Pre Delivery</x:v>
      </x:c>
      <x:c r="I5550" s="37" t="n">
        <x:v>46099</x:v>
      </x:c>
      <x:c r="J5550" s="37" t="n">
        <x:v>46099</x:v>
      </x:c>
      <x:c r="K5550" s="19" t="str">
        <x:v>Snowy River Geelong</x:v>
      </x:c>
      <x:c r="L5550" s="19" t="str">
        <x:v>Z005</x:v>
      </x:c>
      <x:c r="M5550" s="19" t="str">
        <x:v>Pre Delivery Warranty Claims</x:v>
      </x:c>
      <x:c r="N5550" s="37" t="n">
        <x:v>45945</x:v>
      </x:c>
      <x:c r="O5550" s="37" t="n">
        <x:v>46093</x:v>
      </x:c>
      <x:c r="P5550" s="34" t="n">
        <x:v>0</x:v>
      </x:c>
      <x:c r="Q5550" s="37" t="n">
        <x:v>46099.191458333335</x:v>
      </x:c>
    </x:row>
    <x:row r="5551">
      <x:c r="A5551" s="22" t="n">
        <x:v>26619</x:v>
      </x:c>
      <x:c r="B5551" s="28" t="n">
        <x:v>281.36</x:v>
      </x:c>
      <x:c r="C5551" s="28"/>
      <x:c r="D5551" s="31" t="str">
        <x:f>IF(OR(ISBLANK(B5551),ISBLANK(C5551),B5551=0),"",(C5551-B5551)/B5551)</x:f>
      </x:c>
      <x:c r="E5551" s="22" t="str">
        <x:f>IF(ISBLANK(C5551),"AmountIncludingTax缺失",IF(ABS(B5551-C5551)&lt;0.005,"一致","不一致"))</x:f>
        <x:v>AmountIncludingTax缺失</x:v>
      </x:c>
      <x:c r="F5551" s="19" t="str">
        <x:v>approved</x:v>
      </x:c>
      <x:c r="G5551" s="19" t="str">
        <x:v>Repairer Invoiced Processed</x:v>
      </x:c>
      <x:c r="H5551" s="19" t="str">
        <x:v>In Field</x:v>
      </x:c>
      <x:c r="I5551" s="37" t="n">
        <x:v>46134</x:v>
      </x:c>
      <x:c r="J5551" s="37" t="n">
        <x:v>46134</x:v>
      </x:c>
      <x:c r="K5551" s="19" t="str">
        <x:v>Dario Caravans - Pooraka</x:v>
      </x:c>
      <x:c r="L5551" s="19" t="str">
        <x:v>Z006</x:v>
      </x:c>
      <x:c r="M5551" s="19" t="str">
        <x:v>In Field Warranty Claims</x:v>
      </x:c>
      <x:c r="N5551" s="37" t="n">
        <x:v>45944</x:v>
      </x:c>
      <x:c r="O5551" s="37"/>
      <x:c r="P5551" s="34" t="n">
        <x:v>0</x:v>
      </x:c>
      <x:c r="Q5551" s="37" t="n">
        <x:v>46134.22724537037</x:v>
      </x:c>
    </x:row>
    <x:row r="5552">
      <x:c r="A5552" s="22" t="n">
        <x:v>26617</x:v>
      </x:c>
      <x:c r="B5552" s="28" t="n">
        <x:v>553.03</x:v>
      </x:c>
      <x:c r="C5552" s="28"/>
      <x:c r="D5552" s="31" t="str">
        <x:f>IF(OR(ISBLANK(B5552),ISBLANK(C5552),B5552=0),"",(C5552-B5552)/B5552)</x:f>
      </x:c>
      <x:c r="E5552" s="22" t="str">
        <x:f>IF(ISBLANK(C5552),"AmountIncludingTax缺失",IF(ABS(B5552-C5552)&lt;0.005,"一致","不一致"))</x:f>
        <x:v>AmountIncludingTax缺失</x:v>
      </x:c>
      <x:c r="F5552" s="19" t="str">
        <x:v>approved</x:v>
      </x:c>
      <x:c r="G5552" s="19" t="str">
        <x:v>Repairer Invoiced Processed</x:v>
      </x:c>
      <x:c r="H5552" s="19" t="str">
        <x:v>In Field</x:v>
      </x:c>
      <x:c r="I5552" s="37" t="n">
        <x:v>46072</x:v>
      </x:c>
      <x:c r="J5552" s="37" t="n">
        <x:v>46064</x:v>
      </x:c>
      <x:c r="K5552" s="19" t="str">
        <x:v>The Caravan Hub - Townsville</x:v>
      </x:c>
      <x:c r="L5552" s="19" t="str">
        <x:v>Z006</x:v>
      </x:c>
      <x:c r="M5552" s="19" t="str">
        <x:v>In Field Warranty Claims</x:v>
      </x:c>
      <x:c r="N5552" s="37" t="n">
        <x:v>45944</x:v>
      </x:c>
      <x:c r="O5552" s="37"/>
      <x:c r="P5552" s="34" t="n">
        <x:v>0</x:v>
      </x:c>
      <x:c r="Q5552" s="37" t="n">
        <x:v>46072.22394675926</x:v>
      </x:c>
    </x:row>
    <x:row r="5553">
      <x:c r="A5553" s="22" t="n">
        <x:v>26611</x:v>
      </x:c>
      <x:c r="B5553" s="28" t="n">
        <x:v>2476.37</x:v>
      </x:c>
      <x:c r="C5553" s="28"/>
      <x:c r="D5553" s="31" t="str">
        <x:f>IF(OR(ISBLANK(B5553),ISBLANK(C5553),B5553=0),"",(C5553-B5553)/B5553)</x:f>
      </x:c>
      <x:c r="E5553" s="22" t="str">
        <x:f>IF(ISBLANK(C5553),"AmountIncludingTax缺失",IF(ABS(B5553-C5553)&lt;0.005,"一致","不一致"))</x:f>
        <x:v>AmountIncludingTax缺失</x:v>
      </x:c>
      <x:c r="F5553" s="19" t="str">
        <x:v>approved</x:v>
      </x:c>
      <x:c r="G5553" s="19" t="str">
        <x:v>Repairer Invoiced Received</x:v>
      </x:c>
      <x:c r="H5553" s="19" t="str">
        <x:v>In Field</x:v>
      </x:c>
      <x:c r="I5553" s="37" t="n">
        <x:v>46057</x:v>
      </x:c>
      <x:c r="J5553" s="37" t="n">
        <x:v>46057</x:v>
      </x:c>
      <x:c r="K5553" s="19" t="str">
        <x:v>Green RV - Forest Glen</x:v>
      </x:c>
      <x:c r="L5553" s="19" t="str">
        <x:v>Z006</x:v>
      </x:c>
      <x:c r="M5553" s="19" t="str">
        <x:v>In Field Warranty Claims</x:v>
      </x:c>
      <x:c r="N5553" s="37" t="n">
        <x:v>45944</x:v>
      </x:c>
      <x:c r="O5553" s="37"/>
      <x:c r="P5553" s="34" t="n">
        <x:v>0</x:v>
      </x:c>
      <x:c r="Q5553" s="37" t="n">
        <x:v>46057.09761574074</x:v>
      </x:c>
    </x:row>
    <x:row r="5554">
      <x:c r="A5554" s="22" t="n">
        <x:v>26606</x:v>
      </x:c>
      <x:c r="B5554" s="28" t="n">
        <x:v>708.75</x:v>
      </x:c>
      <x:c r="C5554" s="28"/>
      <x:c r="D5554" s="31" t="str">
        <x:f>IF(OR(ISBLANK(B5554),ISBLANK(C5554),B5554=0),"",(C5554-B5554)/B5554)</x:f>
      </x:c>
      <x:c r="E5554" s="22" t="str">
        <x:f>IF(ISBLANK(C5554),"AmountIncludingTax缺失",IF(ABS(B5554-C5554)&lt;0.005,"一致","不一致"))</x:f>
        <x:v>AmountIncludingTax缺失</x:v>
      </x:c>
      <x:c r="F5554" s="19" t="str">
        <x:v>approved</x:v>
      </x:c>
      <x:c r="G5554" s="19" t="str">
        <x:v>Repair in Progress</x:v>
      </x:c>
      <x:c r="H5554" s="19" t="str">
        <x:v>In Field</x:v>
      </x:c>
      <x:c r="I5554" s="37" t="n">
        <x:v>46057</x:v>
      </x:c>
      <x:c r="J5554" s="37" t="n">
        <x:v>46057</x:v>
      </x:c>
      <x:c r="K5554" s="19" t="str">
        <x:v>The Caravan Hub - Townsville</x:v>
      </x:c>
      <x:c r="L5554" s="19" t="str">
        <x:v>Z006</x:v>
      </x:c>
      <x:c r="M5554" s="19" t="str">
        <x:v>In Field Warranty Claims</x:v>
      </x:c>
      <x:c r="N5554" s="37" t="n">
        <x:v>45944</x:v>
      </x:c>
      <x:c r="O5554" s="37"/>
      <x:c r="P5554" s="34" t="n">
        <x:v>0</x:v>
      </x:c>
      <x:c r="Q5554" s="37" t="n">
        <x:v>46057.107766203706</x:v>
      </x:c>
    </x:row>
    <x:row r="5555">
      <x:c r="A5555" s="22" t="n">
        <x:v>26599</x:v>
      </x:c>
      <x:c r="B5555" s="28" t="n">
        <x:v>1046.25</x:v>
      </x:c>
      <x:c r="C5555" s="28"/>
      <x:c r="D5555" s="31" t="str">
        <x:f>IF(OR(ISBLANK(B5555),ISBLANK(C5555),B5555=0),"",(C5555-B5555)/B5555)</x:f>
      </x:c>
      <x:c r="E5555" s="22" t="str">
        <x:f>IF(ISBLANK(C5555),"AmountIncludingTax缺失",IF(ABS(B5555-C5555)&lt;0.005,"一致","不一致"))</x:f>
        <x:v>AmountIncludingTax缺失</x:v>
      </x:c>
      <x:c r="F5555" s="19" t="str">
        <x:v>approved</x:v>
      </x:c>
      <x:c r="G5555" s="19" t="str">
        <x:v>Repairer Invoiced Processed</x:v>
      </x:c>
      <x:c r="H5555" s="19" t="str">
        <x:v>In Field</x:v>
      </x:c>
      <x:c r="I5555" s="37" t="n">
        <x:v>46133</x:v>
      </x:c>
      <x:c r="J5555" s="37" t="n">
        <x:v>46133</x:v>
      </x:c>
      <x:c r="K5555" s="19" t="str">
        <x:v>Sherrif Caravans &amp; Traliers - Prospect Vale</x:v>
      </x:c>
      <x:c r="L5555" s="19" t="str">
        <x:v>Z006</x:v>
      </x:c>
      <x:c r="M5555" s="19" t="str">
        <x:v>In Field Warranty Claims</x:v>
      </x:c>
      <x:c r="N5555" s="37" t="n">
        <x:v>45944</x:v>
      </x:c>
      <x:c r="O5555" s="37"/>
      <x:c r="P5555" s="34" t="n">
        <x:v>0</x:v>
      </x:c>
      <x:c r="Q5555" s="37" t="n">
        <x:v>46132.98704861111</x:v>
      </x:c>
    </x:row>
    <x:row r="5556">
      <x:c r="A5556" s="22" t="n">
        <x:v>26598</x:v>
      </x:c>
      <x:c r="B5556" s="28" t="n">
        <x:v>280.8</x:v>
      </x:c>
      <x:c r="C5556" s="28"/>
      <x:c r="D5556" s="31" t="str">
        <x:f>IF(OR(ISBLANK(B5556),ISBLANK(C5556),B5556=0),"",(C5556-B5556)/B5556)</x:f>
      </x:c>
      <x:c r="E5556" s="22" t="str">
        <x:f>IF(ISBLANK(C5556),"AmountIncludingTax缺失",IF(ABS(B5556-C5556)&lt;0.005,"一致","不一致"))</x:f>
        <x:v>AmountIncludingTax缺失</x:v>
      </x:c>
      <x:c r="F5556" s="19" t="str">
        <x:v>approved</x:v>
      </x:c>
      <x:c r="G5556" s="19" t="str">
        <x:v>Partially Picked</x:v>
      </x:c>
      <x:c r="H5556" s="19" t="str">
        <x:v>In Field</x:v>
      </x:c>
      <x:c r="I5556" s="37" t="n">
        <x:v>46176</x:v>
      </x:c>
      <x:c r="J5556" s="37" t="n">
        <x:v>46176</x:v>
      </x:c>
      <x:c r="K5556" s="19" t="str">
        <x:v>Regent RV - Perth</x:v>
      </x:c>
      <x:c r="L5556" s="19" t="str">
        <x:v>Z006</x:v>
      </x:c>
      <x:c r="M5556" s="19" t="str">
        <x:v>In Field Warranty Claims</x:v>
      </x:c>
      <x:c r="N5556" s="37" t="n">
        <x:v>45944</x:v>
      </x:c>
      <x:c r="O5556" s="37"/>
      <x:c r="P5556" s="34" t="n">
        <x:v>0</x:v>
      </x:c>
      <x:c r="Q5556" s="37" t="n">
        <x:v>46175.99643518519</x:v>
      </x:c>
    </x:row>
    <x:row r="5557">
      <x:c r="A5557" s="22" t="n">
        <x:v>26594</x:v>
      </x:c>
      <x:c r="B5557" s="28" t="n">
        <x:v>531.84</x:v>
      </x:c>
      <x:c r="C5557" s="28"/>
      <x:c r="D5557" s="31" t="str">
        <x:f>IF(OR(ISBLANK(B5557),ISBLANK(C5557),B5557=0),"",(C5557-B5557)/B5557)</x:f>
      </x:c>
      <x:c r="E5557" s="22" t="str">
        <x:f>IF(ISBLANK(C5557),"AmountIncludingTax缺失",IF(ABS(B5557-C5557)&lt;0.005,"一致","不一致"))</x:f>
        <x:v>AmountIncludingTax缺失</x:v>
      </x:c>
      <x:c r="F5557" s="19" t="str">
        <x:v>approved</x:v>
      </x:c>
      <x:c r="G5557" s="19" t="str">
        <x:v>Repair in Progress</x:v>
      </x:c>
      <x:c r="H5557" s="19" t="str">
        <x:v>In Field</x:v>
      </x:c>
      <x:c r="I5557" s="37" t="n">
        <x:v>46106</x:v>
      </x:c>
      <x:c r="J5557" s="37" t="n">
        <x:v>46106</x:v>
      </x:c>
      <x:c r="K5557" s="19" t="str">
        <x:v>Regent RV Pty Ltd</x:v>
      </x:c>
      <x:c r="L5557" s="19" t="str">
        <x:v>Z006</x:v>
      </x:c>
      <x:c r="M5557" s="19" t="str">
        <x:v>In Field Warranty Claims</x:v>
      </x:c>
      <x:c r="N5557" s="37" t="n">
        <x:v>45944</x:v>
      </x:c>
      <x:c r="O5557" s="37"/>
      <x:c r="P5557" s="34" t="n">
        <x:v>0</x:v>
      </x:c>
      <x:c r="Q5557" s="37" t="n">
        <x:v>46106.15241898148</x:v>
      </x:c>
    </x:row>
    <x:row r="5558">
      <x:c r="A5558" s="22" t="n">
        <x:v>26580</x:v>
      </x:c>
      <x:c r="B5558" s="28" t="n">
        <x:v>1772.75</x:v>
      </x:c>
      <x:c r="C5558" s="28"/>
      <x:c r="D5558" s="31" t="str">
        <x:f>IF(OR(ISBLANK(B5558),ISBLANK(C5558),B5558=0),"",(C5558-B5558)/B5558)</x:f>
      </x:c>
      <x:c r="E5558" s="22" t="str">
        <x:f>IF(ISBLANK(C5558),"AmountIncludingTax缺失",IF(ABS(B5558-C5558)&lt;0.005,"一致","不一致"))</x:f>
        <x:v>AmountIncludingTax缺失</x:v>
      </x:c>
      <x:c r="F5558" s="19" t="str">
        <x:v>approved</x:v>
      </x:c>
      <x:c r="G5558" s="19" t="str">
        <x:v>Repairer Invoiced Processed</x:v>
      </x:c>
      <x:c r="H5558" s="19" t="str">
        <x:v>In Field</x:v>
      </x:c>
      <x:c r="I5558" s="37" t="n">
        <x:v>46108</x:v>
      </x:c>
      <x:c r="J5558" s="37" t="n">
        <x:v>46108</x:v>
      </x:c>
      <x:c r="K5558" s="19" t="str">
        <x:v>Green RV - Forest Glen</x:v>
      </x:c>
      <x:c r="L5558" s="19" t="str">
        <x:v>Z006</x:v>
      </x:c>
      <x:c r="M5558" s="19" t="str">
        <x:v>In Field Warranty Claims</x:v>
      </x:c>
      <x:c r="N5558" s="37" t="n">
        <x:v>45943</x:v>
      </x:c>
      <x:c r="O5558" s="37"/>
      <x:c r="P5558" s="34" t="n">
        <x:v>1950.03</x:v>
      </x:c>
      <x:c r="Q5558" s="37" t="n">
        <x:v>46108.11702546296</x:v>
      </x:c>
    </x:row>
    <x:row r="5559">
      <x:c r="A5559" s="22" t="n">
        <x:v>26566</x:v>
      </x:c>
      <x:c r="B5559" s="28" t="n">
        <x:v>1376.25</x:v>
      </x:c>
      <x:c r="C5559" s="28"/>
      <x:c r="D5559" s="31" t="str">
        <x:f>IF(OR(ISBLANK(B5559),ISBLANK(C5559),B5559=0),"",(C5559-B5559)/B5559)</x:f>
      </x:c>
      <x:c r="E5559" s="22" t="str">
        <x:f>IF(ISBLANK(C5559),"AmountIncludingTax缺失",IF(ABS(B5559-C5559)&lt;0.005,"一致","不一致"))</x:f>
        <x:v>AmountIncludingTax缺失</x:v>
      </x:c>
      <x:c r="F5559" s="19" t="str">
        <x:v>approved</x:v>
      </x:c>
      <x:c r="G5559" s="19" t="str">
        <x:v>Repair in Progress</x:v>
      </x:c>
      <x:c r="H5559" s="19" t="str">
        <x:v>In Field</x:v>
      </x:c>
      <x:c r="I5559" s="37" t="n">
        <x:v>46142</x:v>
      </x:c>
      <x:c r="J5559" s="37" t="n">
        <x:v>46140</x:v>
      </x:c>
      <x:c r="K5559" s="19" t="str">
        <x:v>Regent RV - Perth</x:v>
      </x:c>
      <x:c r="L5559" s="19" t="str">
        <x:v>Z006</x:v>
      </x:c>
      <x:c r="M5559" s="19" t="str">
        <x:v>In Field Warranty Claims</x:v>
      </x:c>
      <x:c r="N5559" s="37" t="n">
        <x:v>45943</x:v>
      </x:c>
      <x:c r="O5559" s="37" t="n">
        <x:v>46020</x:v>
      </x:c>
      <x:c r="P5559" s="34" t="n">
        <x:v>0</x:v>
      </x:c>
      <x:c r="Q5559" s="37" t="n">
        <x:v>46141.92188657408</x:v>
      </x:c>
    </x:row>
    <x:row r="5560">
      <x:c r="A5560" s="22" t="n">
        <x:v>26558</x:v>
      </x:c>
      <x:c r="B5560" s="28" t="n">
        <x:v>5607.43</x:v>
      </x:c>
      <x:c r="C5560" s="28"/>
      <x:c r="D5560" s="31" t="str">
        <x:f>IF(OR(ISBLANK(B5560),ISBLANK(C5560),B5560=0),"",(C5560-B5560)/B5560)</x:f>
      </x:c>
      <x:c r="E5560" s="22" t="str">
        <x:f>IF(ISBLANK(C5560),"AmountIncludingTax缺失",IF(ABS(B5560-C5560)&lt;0.005,"一致","不一致"))</x:f>
        <x:v>AmountIncludingTax缺失</x:v>
      </x:c>
      <x:c r="F5560" s="19" t="str">
        <x:v>approved</x:v>
      </x:c>
      <x:c r="G5560" s="19" t="str">
        <x:v>Repairer Invoiced Processed</x:v>
      </x:c>
      <x:c r="H5560" s="19" t="str">
        <x:v>In Field</x:v>
      </x:c>
      <x:c r="I5560" s="37" t="n">
        <x:v>46119</x:v>
      </x:c>
      <x:c r="J5560" s="37" t="n">
        <x:v>46119</x:v>
      </x:c>
      <x:c r="K5560" s="19" t="str">
        <x:v>The Caravan Hub - Townsville</x:v>
      </x:c>
      <x:c r="L5560" s="19" t="str">
        <x:v>Z006</x:v>
      </x:c>
      <x:c r="M5560" s="19" t="str">
        <x:v>In Field Warranty Claims</x:v>
      </x:c>
      <x:c r="N5560" s="37" t="n">
        <x:v>45943</x:v>
      </x:c>
      <x:c r="O5560" s="37"/>
      <x:c r="P5560" s="34" t="n">
        <x:v>0</x:v>
      </x:c>
      <x:c r="Q5560" s="37" t="n">
        <x:v>46119.05950231481</x:v>
      </x:c>
    </x:row>
    <x:row r="5561">
      <x:c r="A5561" s="22" t="n">
        <x:v>26556</x:v>
      </x:c>
      <x:c r="B5561" s="28" t="n">
        <x:v>2990</x:v>
      </x:c>
      <x:c r="C5561" s="28"/>
      <x:c r="D5561" s="31" t="str">
        <x:f>IF(OR(ISBLANK(B5561),ISBLANK(C5561),B5561=0),"",(C5561-B5561)/B5561)</x:f>
      </x:c>
      <x:c r="E5561" s="22" t="str">
        <x:f>IF(ISBLANK(C5561),"AmountIncludingTax缺失",IF(ABS(B5561-C5561)&lt;0.005,"一致","不一致"))</x:f>
        <x:v>AmountIncludingTax缺失</x:v>
      </x:c>
      <x:c r="F5561" s="19" t="str">
        <x:v>approved</x:v>
      </x:c>
      <x:c r="G5561" s="19" t="str">
        <x:v>Repairer Invoiced Processed</x:v>
      </x:c>
      <x:c r="H5561" s="19" t="str">
        <x:v>In Field</x:v>
      </x:c>
      <x:c r="I5561" s="37" t="n">
        <x:v>46170</x:v>
      </x:c>
      <x:c r="J5561" s="37" t="n">
        <x:v>46170</x:v>
      </x:c>
      <x:c r="K5561" s="19" t="str">
        <x:v>Springvale Caravan Centre - Keysborough</x:v>
      </x:c>
      <x:c r="L5561" s="19" t="str">
        <x:v>Z006</x:v>
      </x:c>
      <x:c r="M5561" s="19" t="str">
        <x:v>In Field Warranty Claims</x:v>
      </x:c>
      <x:c r="N5561" s="37" t="n">
        <x:v>45943</x:v>
      </x:c>
      <x:c r="O5561" s="37"/>
      <x:c r="P5561" s="34" t="n">
        <x:v>0</x:v>
      </x:c>
      <x:c r="Q5561" s="37" t="n">
        <x:v>46170.24626157407</x:v>
      </x:c>
    </x:row>
    <x:row r="5562">
      <x:c r="A5562" s="22" t="n">
        <x:v>26552</x:v>
      </x:c>
      <x:c r="B5562" s="28" t="n">
        <x:v>163.64</x:v>
      </x:c>
      <x:c r="C5562" s="28" t="n">
        <x:v>180</x:v>
      </x:c>
      <x:c r="D5562" s="31" t="n">
        <x:f>IF(OR(ISBLANK(B5562),ISBLANK(C5562),B5562=0),"",(C5562-B5562)/B5562)</x:f>
        <x:v>0.09997555609875346</x:v>
      </x:c>
      <x:c r="E5562" s="22" t="str">
        <x:f>IF(ISBLANK(C5562),"AmountIncludingTax缺失",IF(ABS(B5562-C5562)&lt;0.005,"一致","不一致"))</x:f>
        <x:v>不一致</x:v>
      </x:c>
      <x:c r="F5562" s="19" t="str">
        <x:v>approved</x:v>
      </x:c>
      <x:c r="G5562" s="19" t="str">
        <x:v>Repairer Invoiced Processed</x:v>
      </x:c>
      <x:c r="H5562" s="19" t="str">
        <x:v>Pre Delivery</x:v>
      </x:c>
      <x:c r="I5562" s="37" t="n">
        <x:v>46038</x:v>
      </x:c>
      <x:c r="J5562" s="37" t="n">
        <x:v>46038</x:v>
      </x:c>
      <x:c r="K5562" s="19" t="str">
        <x:v>Green RV - Slacks Creek</x:v>
      </x:c>
      <x:c r="L5562" s="19" t="str">
        <x:v>Z005</x:v>
      </x:c>
      <x:c r="M5562" s="19" t="str">
        <x:v>Pre Delivery Warranty Claims</x:v>
      </x:c>
      <x:c r="N5562" s="37" t="n">
        <x:v>45943</x:v>
      </x:c>
      <x:c r="O5562" s="37"/>
      <x:c r="P5562" s="34" t="n">
        <x:v>180</x:v>
      </x:c>
      <x:c r="Q5562" s="37" t="n">
        <x:v>46038.024976851855</x:v>
      </x:c>
    </x:row>
    <x:row r="5563">
      <x:c r="A5563" s="22" t="n">
        <x:v>26540</x:v>
      </x:c>
      <x:c r="B5563" s="28" t="n">
        <x:v>742.5</x:v>
      </x:c>
      <x:c r="C5563" s="28"/>
      <x:c r="D5563" s="31" t="str">
        <x:f>IF(OR(ISBLANK(B5563),ISBLANK(C5563),B5563=0),"",(C5563-B5563)/B5563)</x:f>
      </x:c>
      <x:c r="E5563" s="22" t="str">
        <x:f>IF(ISBLANK(C5563),"AmountIncludingTax缺失",IF(ABS(B5563-C5563)&lt;0.005,"一致","不一致"))</x:f>
        <x:v>AmountIncludingTax缺失</x:v>
      </x:c>
      <x:c r="F5563" s="19" t="str">
        <x:v>approved</x:v>
      </x:c>
      <x:c r="G5563" s="19" t="str">
        <x:v>Repair in Progress</x:v>
      </x:c>
      <x:c r="H5563" s="19" t="str">
        <x:v>In Field</x:v>
      </x:c>
      <x:c r="I5563" s="37" t="n">
        <x:v>46119</x:v>
      </x:c>
      <x:c r="J5563" s="37" t="n">
        <x:v>46119</x:v>
      </x:c>
      <x:c r="K5563" s="19" t="str">
        <x:v>Auswide Caravans - South Nowra</x:v>
      </x:c>
      <x:c r="L5563" s="19" t="str">
        <x:v>Z006</x:v>
      </x:c>
      <x:c r="M5563" s="19" t="str">
        <x:v>In Field Warranty Claims</x:v>
      </x:c>
      <x:c r="N5563" s="37" t="n">
        <x:v>45943</x:v>
      </x:c>
      <x:c r="O5563" s="37"/>
      <x:c r="P5563" s="34" t="n">
        <x:v>0</x:v>
      </x:c>
      <x:c r="Q5563" s="37" t="n">
        <x:v>46119.21258101852</x:v>
      </x:c>
    </x:row>
    <x:row r="5564">
      <x:c r="A5564" s="22" t="n">
        <x:v>26539</x:v>
      </x:c>
      <x:c r="B5564" s="28" t="n">
        <x:v>1363.65</x:v>
      </x:c>
      <x:c r="C5564" s="28"/>
      <x:c r="D5564" s="31" t="str">
        <x:f>IF(OR(ISBLANK(B5564),ISBLANK(C5564),B5564=0),"",(C5564-B5564)/B5564)</x:f>
      </x:c>
      <x:c r="E5564" s="22" t="str">
        <x:f>IF(ISBLANK(C5564),"AmountIncludingTax缺失",IF(ABS(B5564-C5564)&lt;0.005,"一致","不一致"))</x:f>
        <x:v>AmountIncludingTax缺失</x:v>
      </x:c>
      <x:c r="F5564" s="19" t="str">
        <x:v>approved</x:v>
      </x:c>
      <x:c r="G5564" s="19" t="str">
        <x:v>Repairer Invoiced Processed</x:v>
      </x:c>
      <x:c r="H5564" s="19" t="str">
        <x:v>In Field</x:v>
      </x:c>
      <x:c r="I5564" s="37" t="n">
        <x:v>46049</x:v>
      </x:c>
      <x:c r="J5564" s="37" t="n">
        <x:v>46049</x:v>
      </x:c>
      <x:c r="K5564" s="19" t="str">
        <x:v>Regent RV - Perth</x:v>
      </x:c>
      <x:c r="L5564" s="19" t="str">
        <x:v>Z006</x:v>
      </x:c>
      <x:c r="M5564" s="19" t="str">
        <x:v>In Field Warranty Claims</x:v>
      </x:c>
      <x:c r="N5564" s="37" t="n">
        <x:v>45943</x:v>
      </x:c>
      <x:c r="O5564" s="37"/>
      <x:c r="P5564" s="34" t="n">
        <x:v>1500.02</x:v>
      </x:c>
      <x:c r="Q5564" s="37" t="n">
        <x:v>46048.8921412037</x:v>
      </x:c>
    </x:row>
    <x:row r="5565">
      <x:c r="A5565" s="22" t="n">
        <x:v>26525</x:v>
      </x:c>
      <x:c r="B5565" s="28" t="n">
        <x:v>183.78</x:v>
      </x:c>
      <x:c r="C5565" s="28"/>
      <x:c r="D5565" s="31" t="str">
        <x:f>IF(OR(ISBLANK(B5565),ISBLANK(C5565),B5565=0),"",(C5565-B5565)/B5565)</x:f>
      </x:c>
      <x:c r="E5565" s="22" t="str">
        <x:f>IF(ISBLANK(C5565),"AmountIncludingTax缺失",IF(ABS(B5565-C5565)&lt;0.005,"一致","不一致"))</x:f>
        <x:v>AmountIncludingTax缺失</x:v>
      </x:c>
      <x:c r="F5565" s="19" t="str">
        <x:v>approved</x:v>
      </x:c>
      <x:c r="G5565" s="19" t="str">
        <x:v>Repair in Progress</x:v>
      </x:c>
      <x:c r="H5565" s="19" t="str">
        <x:v>In Field</x:v>
      </x:c>
      <x:c r="I5565" s="37" t="n">
        <x:v>46086</x:v>
      </x:c>
      <x:c r="J5565" s="37" t="n">
        <x:v>46086</x:v>
      </x:c>
      <x:c r="K5565" s="19" t="str">
        <x:v>Auswide Caravans - South Nowra</x:v>
      </x:c>
      <x:c r="L5565" s="19" t="str">
        <x:v>Z006</x:v>
      </x:c>
      <x:c r="M5565" s="19" t="str">
        <x:v>In Field Warranty Claims</x:v>
      </x:c>
      <x:c r="N5565" s="37" t="n">
        <x:v>45943</x:v>
      </x:c>
      <x:c r="O5565" s="37"/>
      <x:c r="P5565" s="34" t="n">
        <x:v>0</x:v>
      </x:c>
      <x:c r="Q5565" s="37" t="n">
        <x:v>46085.92501157407</x:v>
      </x:c>
    </x:row>
    <x:row r="5566">
      <x:c r="A5566" s="22" t="n">
        <x:v>26513</x:v>
      </x:c>
      <x:c r="B5566" s="28" t="n">
        <x:v>275</x:v>
      </x:c>
      <x:c r="C5566" s="28"/>
      <x:c r="D5566" s="31" t="str">
        <x:f>IF(OR(ISBLANK(B5566),ISBLANK(C5566),B5566=0),"",(C5566-B5566)/B5566)</x:f>
      </x:c>
      <x:c r="E5566" s="22" t="str">
        <x:f>IF(ISBLANK(C5566),"AmountIncludingTax缺失",IF(ABS(B5566-C5566)&lt;0.005,"一致","不一致"))</x:f>
        <x:v>AmountIncludingTax缺失</x:v>
      </x:c>
      <x:c r="F5566" s="19" t="str">
        <x:v>approved</x:v>
      </x:c>
      <x:c r="G5566" s="19" t="str">
        <x:v>Repair in Progress</x:v>
      </x:c>
      <x:c r="H5566" s="19" t="str">
        <x:v>In Field</x:v>
      </x:c>
      <x:c r="I5566" s="37" t="n">
        <x:v>46056</x:v>
      </x:c>
      <x:c r="J5566" s="37" t="n">
        <x:v>46056</x:v>
      </x:c>
      <x:c r="K5566" s="19" t="str">
        <x:v>Regent RV - Perth</x:v>
      </x:c>
      <x:c r="L5566" s="19" t="str">
        <x:v>Z006</x:v>
      </x:c>
      <x:c r="M5566" s="19" t="str">
        <x:v>In Field Warranty Claims</x:v>
      </x:c>
      <x:c r="N5566" s="37" t="n">
        <x:v>45943</x:v>
      </x:c>
      <x:c r="O5566" s="37"/>
      <x:c r="P5566" s="34" t="n">
        <x:v>0</x:v>
      </x:c>
      <x:c r="Q5566" s="37" t="n">
        <x:v>46056.251597222225</x:v>
      </x:c>
    </x:row>
    <x:row r="5567">
      <x:c r="A5567" s="22" t="n">
        <x:v>26507</x:v>
      </x:c>
      <x:c r="B5567" s="28" t="n">
        <x:v>545.47</x:v>
      </x:c>
      <x:c r="C5567" s="28"/>
      <x:c r="D5567" s="31" t="str">
        <x:f>IF(OR(ISBLANK(B5567),ISBLANK(C5567),B5567=0),"",(C5567-B5567)/B5567)</x:f>
      </x:c>
      <x:c r="E5567" s="22" t="str">
        <x:f>IF(ISBLANK(C5567),"AmountIncludingTax缺失",IF(ABS(B5567-C5567)&lt;0.005,"一致","不一致"))</x:f>
        <x:v>AmountIncludingTax缺失</x:v>
      </x:c>
      <x:c r="F5567" s="19" t="str">
        <x:v>approved</x:v>
      </x:c>
      <x:c r="G5567" s="19" t="str">
        <x:v>Repair in Progress</x:v>
      </x:c>
      <x:c r="H5567" s="19" t="str">
        <x:v>In Field</x:v>
      </x:c>
      <x:c r="I5567" s="37" t="n">
        <x:v>46086</x:v>
      </x:c>
      <x:c r="J5567" s="37" t="n">
        <x:v>46086</x:v>
      </x:c>
      <x:c r="K5567" s="19" t="str">
        <x:v>Regent RV - Traralgon</x:v>
      </x:c>
      <x:c r="L5567" s="19" t="str">
        <x:v>Z006</x:v>
      </x:c>
      <x:c r="M5567" s="19" t="str">
        <x:v>In Field Warranty Claims</x:v>
      </x:c>
      <x:c r="N5567" s="37" t="n">
        <x:v>45941</x:v>
      </x:c>
      <x:c r="O5567" s="37"/>
      <x:c r="P5567" s="34" t="n">
        <x:v>0</x:v>
      </x:c>
      <x:c r="Q5567" s="37" t="n">
        <x:v>46086.020370370374</x:v>
      </x:c>
    </x:row>
    <x:row r="5568">
      <x:c r="A5568" s="22" t="n">
        <x:v>26488</x:v>
      </x:c>
      <x:c r="B5568" s="28" t="n">
        <x:v>4959.11</x:v>
      </x:c>
      <x:c r="C5568" s="28"/>
      <x:c r="D5568" s="31" t="str">
        <x:f>IF(OR(ISBLANK(B5568),ISBLANK(C5568),B5568=0),"",(C5568-B5568)/B5568)</x:f>
      </x:c>
      <x:c r="E5568" s="22" t="str">
        <x:f>IF(ISBLANK(C5568),"AmountIncludingTax缺失",IF(ABS(B5568-C5568)&lt;0.005,"一致","不一致"))</x:f>
        <x:v>AmountIncludingTax缺失</x:v>
      </x:c>
      <x:c r="F5568" s="19" t="str">
        <x:v>approved</x:v>
      </x:c>
      <x:c r="G5568" s="19" t="str">
        <x:v>Repairer Invoiced Processed</x:v>
      </x:c>
      <x:c r="H5568" s="19" t="str">
        <x:v>In Field</x:v>
      </x:c>
      <x:c r="I5568" s="37" t="n">
        <x:v>46108</x:v>
      </x:c>
      <x:c r="J5568" s="37" t="n">
        <x:v>46108</x:v>
      </x:c>
      <x:c r="K5568" s="19" t="str">
        <x:v>QCCC - Gympie</x:v>
      </x:c>
      <x:c r="L5568" s="19" t="str">
        <x:v>Z006</x:v>
      </x:c>
      <x:c r="M5568" s="19" t="str">
        <x:v>In Field Warranty Claims</x:v>
      </x:c>
      <x:c r="N5568" s="37" t="n">
        <x:v>45940</x:v>
      </x:c>
      <x:c r="O5568" s="37" t="n">
        <x:v>46065</x:v>
      </x:c>
      <x:c r="P5568" s="34" t="n">
        <x:v>5455.02</x:v>
      </x:c>
      <x:c r="Q5568" s="37" t="n">
        <x:v>46108.208090277774</x:v>
      </x:c>
    </x:row>
    <x:row r="5569">
      <x:c r="A5569" s="22" t="n">
        <x:v>26474</x:v>
      </x:c>
      <x:c r="B5569" s="28" t="n">
        <x:v>500</x:v>
      </x:c>
      <x:c r="C5569" s="28" t="n">
        <x:v>550</x:v>
      </x:c>
      <x:c r="D5569" s="31" t="n">
        <x:f>IF(OR(ISBLANK(B5569),ISBLANK(C5569),B5569=0),"",(C5569-B5569)/B5569)</x:f>
        <x:v>0.1</x:v>
      </x:c>
      <x:c r="E5569" s="22" t="str">
        <x:f>IF(ISBLANK(C5569),"AmountIncludingTax缺失",IF(ABS(B5569-C5569)&lt;0.005,"一致","不一致"))</x:f>
        <x:v>不一致</x:v>
      </x:c>
      <x:c r="F5569" s="19" t="str">
        <x:v>approved</x:v>
      </x:c>
      <x:c r="G5569" s="19" t="str">
        <x:v>Repair in Progress</x:v>
      </x:c>
      <x:c r="H5569" s="19" t="str">
        <x:v>In Field</x:v>
      </x:c>
      <x:c r="I5569" s="37" t="n">
        <x:v>46065</x:v>
      </x:c>
      <x:c r="J5569" s="37" t="n">
        <x:v>46065</x:v>
      </x:c>
      <x:c r="K5569" s="19" t="str">
        <x:v>Regent RV - Perth</x:v>
      </x:c>
      <x:c r="L5569" s="19" t="str">
        <x:v>Z006</x:v>
      </x:c>
      <x:c r="M5569" s="19" t="str">
        <x:v>In Field Warranty Claims</x:v>
      </x:c>
      <x:c r="N5569" s="37" t="n">
        <x:v>45940</x:v>
      </x:c>
      <x:c r="O5569" s="37"/>
      <x:c r="P5569" s="34" t="n">
        <x:v>550</x:v>
      </x:c>
      <x:c r="Q5569" s="37" t="n">
        <x:v>46065.07362268519</x:v>
      </x:c>
    </x:row>
    <x:row r="5570">
      <x:c r="A5570" s="22" t="n">
        <x:v>26472</x:v>
      </x:c>
      <x:c r="B5570" s="28" t="n">
        <x:v>130</x:v>
      </x:c>
      <x:c r="C5570" s="28"/>
      <x:c r="D5570" s="31" t="str">
        <x:f>IF(OR(ISBLANK(B5570),ISBLANK(C5570),B5570=0),"",(C5570-B5570)/B5570)</x:f>
      </x:c>
      <x:c r="E5570" s="22" t="str">
        <x:f>IF(ISBLANK(C5570),"AmountIncludingTax缺失",IF(ABS(B5570-C5570)&lt;0.005,"一致","不一致"))</x:f>
        <x:v>AmountIncludingTax缺失</x:v>
      </x:c>
      <x:c r="F5570" s="19" t="str">
        <x:v>approved</x:v>
      </x:c>
      <x:c r="G5570" s="19" t="str">
        <x:v>Repairer Invoiced Processed</x:v>
      </x:c>
      <x:c r="H5570" s="19" t="str">
        <x:v>In Field</x:v>
      </x:c>
      <x:c r="I5570" s="37" t="n">
        <x:v>46141</x:v>
      </x:c>
      <x:c r="J5570" s="37" t="n">
        <x:v>46141</x:v>
      </x:c>
      <x:c r="K5570" s="19" t="str">
        <x:v>Newcastle RV Super Centre - Beresfield</x:v>
      </x:c>
      <x:c r="L5570" s="19" t="str">
        <x:v>Z006</x:v>
      </x:c>
      <x:c r="M5570" s="19" t="str">
        <x:v>In Field Warranty Claims</x:v>
      </x:c>
      <x:c r="N5570" s="37" t="n">
        <x:v>45940</x:v>
      </x:c>
      <x:c r="O5570" s="37" t="n">
        <x:v>46101</x:v>
      </x:c>
      <x:c r="P5570" s="34" t="n">
        <x:v>0</x:v>
      </x:c>
      <x:c r="Q5570" s="37" t="n">
        <x:v>46141.14523148148</x:v>
      </x:c>
    </x:row>
    <x:row r="5571">
      <x:c r="A5571" s="22" t="n">
        <x:v>26470</x:v>
      </x:c>
      <x:c r="B5571" s="28" t="n">
        <x:v>362.5</x:v>
      </x:c>
      <x:c r="C5571" s="28"/>
      <x:c r="D5571" s="31" t="str">
        <x:f>IF(OR(ISBLANK(B5571),ISBLANK(C5571),B5571=0),"",(C5571-B5571)/B5571)</x:f>
      </x:c>
      <x:c r="E5571" s="22" t="str">
        <x:f>IF(ISBLANK(C5571),"AmountIncludingTax缺失",IF(ABS(B5571-C5571)&lt;0.005,"一致","不一致"))</x:f>
        <x:v>AmountIncludingTax缺失</x:v>
      </x:c>
      <x:c r="F5571" s="19" t="str">
        <x:v>approved</x:v>
      </x:c>
      <x:c r="G5571" s="19" t="str">
        <x:v>Repairer Invoiced Processed</x:v>
      </x:c>
      <x:c r="H5571" s="19" t="str">
        <x:v>In Field</x:v>
      </x:c>
      <x:c r="I5571" s="37" t="n">
        <x:v>46086</x:v>
      </x:c>
      <x:c r="J5571" s="37" t="n">
        <x:v>46086</x:v>
      </x:c>
      <x:c r="K5571" s="19" t="str">
        <x:v>Green RV - Forest Glen</x:v>
      </x:c>
      <x:c r="L5571" s="19" t="str">
        <x:v>Z006</x:v>
      </x:c>
      <x:c r="M5571" s="19" t="str">
        <x:v>In Field Warranty Claims</x:v>
      </x:c>
      <x:c r="N5571" s="37" t="n">
        <x:v>45940</x:v>
      </x:c>
      <x:c r="O5571" s="37"/>
      <x:c r="P5571" s="34" t="n">
        <x:v>0</x:v>
      </x:c>
      <x:c r="Q5571" s="37" t="n">
        <x:v>46086.103854166664</x:v>
      </x:c>
    </x:row>
    <x:row r="5572">
      <x:c r="A5572" s="22" t="n">
        <x:v>26468</x:v>
      </x:c>
      <x:c r="B5572" s="28" t="n">
        <x:v>735</x:v>
      </x:c>
      <x:c r="C5572" s="28"/>
      <x:c r="D5572" s="31" t="str">
        <x:f>IF(OR(ISBLANK(B5572),ISBLANK(C5572),B5572=0),"",(C5572-B5572)/B5572)</x:f>
      </x:c>
      <x:c r="E5572" s="22" t="str">
        <x:f>IF(ISBLANK(C5572),"AmountIncludingTax缺失",IF(ABS(B5572-C5572)&lt;0.005,"一致","不一致"))</x:f>
        <x:v>AmountIncludingTax缺失</x:v>
      </x:c>
      <x:c r="F5572" s="19" t="str">
        <x:v>approved</x:v>
      </x:c>
      <x:c r="G5572" s="19" t="str">
        <x:v>Repairer Invoiced Processed</x:v>
      </x:c>
      <x:c r="H5572" s="19" t="str">
        <x:v>In Field</x:v>
      </x:c>
      <x:c r="I5572" s="37" t="n">
        <x:v>46080</x:v>
      </x:c>
      <x:c r="J5572" s="37" t="n">
        <x:v>46080</x:v>
      </x:c>
      <x:c r="K5572" s="19" t="str">
        <x:v>Green RV - Forest Glen</x:v>
      </x:c>
      <x:c r="L5572" s="19" t="str">
        <x:v>Z006</x:v>
      </x:c>
      <x:c r="M5572" s="19" t="str">
        <x:v>In Field Warranty Claims</x:v>
      </x:c>
      <x:c r="N5572" s="37" t="n">
        <x:v>45940</x:v>
      </x:c>
      <x:c r="O5572" s="37"/>
      <x:c r="P5572" s="34" t="n">
        <x:v>0</x:v>
      </x:c>
      <x:c r="Q5572" s="37" t="n">
        <x:v>46079.97421296296</x:v>
      </x:c>
    </x:row>
    <x:row r="5573">
      <x:c r="A5573" s="22" t="n">
        <x:v>26467</x:v>
      </x:c>
      <x:c r="B5573" s="28" t="n">
        <x:v>210</x:v>
      </x:c>
      <x:c r="C5573" s="28"/>
      <x:c r="D5573" s="31" t="str">
        <x:f>IF(OR(ISBLANK(B5573),ISBLANK(C5573),B5573=0),"",(C5573-B5573)/B5573)</x:f>
      </x:c>
      <x:c r="E5573" s="22" t="str">
        <x:f>IF(ISBLANK(C5573),"AmountIncludingTax缺失",IF(ABS(B5573-C5573)&lt;0.005,"一致","不一致"))</x:f>
        <x:v>AmountIncludingTax缺失</x:v>
      </x:c>
      <x:c r="F5573" s="19" t="str">
        <x:v>approved</x:v>
      </x:c>
      <x:c r="G5573" s="19" t="str">
        <x:v>Repair in Progress</x:v>
      </x:c>
      <x:c r="H5573" s="19" t="str">
        <x:v>Pre Delivery</x:v>
      </x:c>
      <x:c r="I5573" s="37" t="n">
        <x:v>46097</x:v>
      </x:c>
      <x:c r="J5573" s="37" t="n">
        <x:v>46097</x:v>
      </x:c>
      <x:c r="K5573" s="19" t="str">
        <x:v>Vanari Caravans - Marden Point</x:v>
      </x:c>
      <x:c r="L5573" s="19" t="str">
        <x:v>Z005</x:v>
      </x:c>
      <x:c r="M5573" s="19" t="str">
        <x:v>Pre Delivery Warranty Claims</x:v>
      </x:c>
      <x:c r="N5573" s="37" t="n">
        <x:v>45940</x:v>
      </x:c>
      <x:c r="O5573" s="37"/>
      <x:c r="P5573" s="34" t="n">
        <x:v>0</x:v>
      </x:c>
      <x:c r="Q5573" s="37" t="n">
        <x:v>46096.89604166667</x:v>
      </x:c>
    </x:row>
    <x:row r="5574">
      <x:c r="A5574" s="22" t="n">
        <x:v>26460</x:v>
      </x:c>
      <x:c r="B5574" s="28" t="n">
        <x:v>1570.7</x:v>
      </x:c>
      <x:c r="C5574" s="28"/>
      <x:c r="D5574" s="31" t="str">
        <x:f>IF(OR(ISBLANK(B5574),ISBLANK(C5574),B5574=0),"",(C5574-B5574)/B5574)</x:f>
      </x:c>
      <x:c r="E5574" s="22" t="str">
        <x:f>IF(ISBLANK(C5574),"AmountIncludingTax缺失",IF(ABS(B5574-C5574)&lt;0.005,"一致","不一致"))</x:f>
        <x:v>AmountIncludingTax缺失</x:v>
      </x:c>
      <x:c r="F5574" s="19" t="str">
        <x:v>approved</x:v>
      </x:c>
      <x:c r="G5574" s="19" t="str">
        <x:v>Sales Order Approved</x:v>
      </x:c>
      <x:c r="H5574" s="19" t="str">
        <x:v>In Field</x:v>
      </x:c>
      <x:c r="I5574" s="37" t="n">
        <x:v>46205</x:v>
      </x:c>
      <x:c r="J5574" s="37" t="n">
        <x:v>46205</x:v>
      </x:c>
      <x:c r="K5574" s="19" t="str">
        <x:v>Leisure Lion Pty Ltd - Morisset</x:v>
      </x:c>
      <x:c r="L5574" s="19" t="str">
        <x:v>Z006</x:v>
      </x:c>
      <x:c r="M5574" s="19" t="str">
        <x:v>In Field Warranty Claims</x:v>
      </x:c>
      <x:c r="N5574" s="37" t="n">
        <x:v>45940</x:v>
      </x:c>
      <x:c r="O5574" s="37"/>
      <x:c r="P5574" s="34" t="n">
        <x:v>0</x:v>
      </x:c>
      <x:c r="Q5574" s="37" t="n">
        <x:v>46205.08793981482</x:v>
      </x:c>
    </x:row>
    <x:row r="5575">
      <x:c r="A5575" s="22" t="n">
        <x:v>26452</x:v>
      </x:c>
      <x:c r="B5575" s="28" t="n">
        <x:v>130</x:v>
      </x:c>
      <x:c r="C5575" s="28" t="n">
        <x:v>143</x:v>
      </x:c>
      <x:c r="D5575" s="31" t="n">
        <x:f>IF(OR(ISBLANK(B5575),ISBLANK(C5575),B5575=0),"",(C5575-B5575)/B5575)</x:f>
        <x:v>0.1</x:v>
      </x:c>
      <x:c r="E5575" s="22" t="str">
        <x:f>IF(ISBLANK(C5575),"AmountIncludingTax缺失",IF(ABS(B5575-C5575)&lt;0.005,"一致","不一致"))</x:f>
        <x:v>不一致</x:v>
      </x:c>
      <x:c r="F5575" s="19" t="str">
        <x:v>approved</x:v>
      </x:c>
      <x:c r="G5575" s="19" t="str">
        <x:v>Repairer Invoiced Processed</x:v>
      </x:c>
      <x:c r="H5575" s="19" t="str">
        <x:v>In Field</x:v>
      </x:c>
      <x:c r="I5575" s="37" t="n">
        <x:v>46153</x:v>
      </x:c>
      <x:c r="J5575" s="37" t="n">
        <x:v>46153</x:v>
      </x:c>
      <x:c r="K5575" s="19" t="str">
        <x:v>Newcastle RV Super Centre - Beresfield</x:v>
      </x:c>
      <x:c r="L5575" s="19" t="str">
        <x:v>Z006</x:v>
      </x:c>
      <x:c r="M5575" s="19" t="str">
        <x:v>In Field Warranty Claims</x:v>
      </x:c>
      <x:c r="N5575" s="37" t="n">
        <x:v>45940</x:v>
      </x:c>
      <x:c r="O5575" s="37" t="n">
        <x:v>46101</x:v>
      </x:c>
      <x:c r="P5575" s="34" t="n">
        <x:v>143</x:v>
      </x:c>
      <x:c r="Q5575" s="37" t="n">
        <x:v>46153.02244212963</x:v>
      </x:c>
    </x:row>
    <x:row r="5576">
      <x:c r="A5576" s="22" t="n">
        <x:v>26445</x:v>
      </x:c>
      <x:c r="B5576" s="28" t="n">
        <x:v>627.9</x:v>
      </x:c>
      <x:c r="C5576" s="28"/>
      <x:c r="D5576" s="31" t="str">
        <x:f>IF(OR(ISBLANK(B5576),ISBLANK(C5576),B5576=0),"",(C5576-B5576)/B5576)</x:f>
      </x:c>
      <x:c r="E5576" s="22" t="str">
        <x:f>IF(ISBLANK(C5576),"AmountIncludingTax缺失",IF(ABS(B5576-C5576)&lt;0.005,"一致","不一致"))</x:f>
        <x:v>AmountIncludingTax缺失</x:v>
      </x:c>
      <x:c r="F5576" s="19" t="str">
        <x:v>approved</x:v>
      </x:c>
      <x:c r="G5576" s="19" t="str">
        <x:v>Repairer Invoiced Processed</x:v>
      </x:c>
      <x:c r="H5576" s="19" t="str">
        <x:v>In Field</x:v>
      </x:c>
      <x:c r="I5576" s="37" t="n">
        <x:v>46143</x:v>
      </x:c>
      <x:c r="J5576" s="37" t="n">
        <x:v>46143</x:v>
      </x:c>
      <x:c r="K5576" s="19" t="str">
        <x:v>Newcastle RV Super Centre - Beresfield</x:v>
      </x:c>
      <x:c r="L5576" s="19" t="str">
        <x:v>Z006</x:v>
      </x:c>
      <x:c r="M5576" s="19" t="str">
        <x:v>In Field Warranty Claims</x:v>
      </x:c>
      <x:c r="N5576" s="37" t="n">
        <x:v>45940</x:v>
      </x:c>
      <x:c r="O5576" s="37" t="n">
        <x:v>46101</x:v>
      </x:c>
      <x:c r="P5576" s="34" t="n">
        <x:v>0</x:v>
      </x:c>
      <x:c r="Q5576" s="37" t="n">
        <x:v>46143.04346064815</x:v>
      </x:c>
    </x:row>
    <x:row r="5577">
      <x:c r="A5577" s="22" t="n">
        <x:v>26444</x:v>
      </x:c>
      <x:c r="B5577" s="28" t="n">
        <x:v>1200.23</x:v>
      </x:c>
      <x:c r="C5577" s="28"/>
      <x:c r="D5577" s="31" t="str">
        <x:f>IF(OR(ISBLANK(B5577),ISBLANK(C5577),B5577=0),"",(C5577-B5577)/B5577)</x:f>
      </x:c>
      <x:c r="E5577" s="22" t="str">
        <x:f>IF(ISBLANK(C5577),"AmountIncludingTax缺失",IF(ABS(B5577-C5577)&lt;0.005,"一致","不一致"))</x:f>
        <x:v>AmountIncludingTax缺失</x:v>
      </x:c>
      <x:c r="F5577" s="19" t="str">
        <x:v>approved</x:v>
      </x:c>
      <x:c r="G5577" s="19" t="str">
        <x:v>Repair in Progress</x:v>
      </x:c>
      <x:c r="H5577" s="19" t="str">
        <x:v>In Field</x:v>
      </x:c>
      <x:c r="I5577" s="37" t="n">
        <x:v>46093</x:v>
      </x:c>
      <x:c r="J5577" s="37" t="n">
        <x:v>46093</x:v>
      </x:c>
      <x:c r="K5577" s="19" t="str">
        <x:v>Auswide Caravans - South Nowra</x:v>
      </x:c>
      <x:c r="L5577" s="19" t="str">
        <x:v>Z006</x:v>
      </x:c>
      <x:c r="M5577" s="19" t="str">
        <x:v>In Field Warranty Claims</x:v>
      </x:c>
      <x:c r="N5577" s="37" t="n">
        <x:v>45940</x:v>
      </x:c>
      <x:c r="O5577" s="37"/>
      <x:c r="P5577" s="34" t="n">
        <x:v>0</x:v>
      </x:c>
      <x:c r="Q5577" s="37" t="n">
        <x:v>46093.44672453704</x:v>
      </x:c>
    </x:row>
    <x:row r="5578">
      <x:c r="A5578" s="22" t="n">
        <x:v>26436</x:v>
      </x:c>
      <x:c r="B5578" s="28" t="n">
        <x:v>532.27</x:v>
      </x:c>
      <x:c r="C5578" s="28" t="n">
        <x:v>585.5</x:v>
      </x:c>
      <x:c r="D5578" s="31" t="n">
        <x:f>IF(OR(ISBLANK(B5578),ISBLANK(C5578),B5578=0),"",(C5578-B5578)/B5578)</x:f>
        <x:v>0.10000563623724805</x:v>
      </x:c>
      <x:c r="E5578" s="22" t="str">
        <x:f>IF(ISBLANK(C5578),"AmountIncludingTax缺失",IF(ABS(B5578-C5578)&lt;0.005,"一致","不一致"))</x:f>
        <x:v>不一致</x:v>
      </x:c>
      <x:c r="F5578" s="19" t="str">
        <x:v>approved</x:v>
      </x:c>
      <x:c r="G5578" s="19" t="str">
        <x:v>Repairer Invoiced Processed</x:v>
      </x:c>
      <x:c r="H5578" s="19" t="str">
        <x:v>In Field</x:v>
      </x:c>
      <x:c r="I5578" s="37" t="n">
        <x:v>46097</x:v>
      </x:c>
      <x:c r="J5578" s="37" t="n">
        <x:v>46097</x:v>
      </x:c>
      <x:c r="K5578" s="19" t="str">
        <x:v>Regent RV Pty Ltd</x:v>
      </x:c>
      <x:c r="L5578" s="19" t="str">
        <x:v>Z006</x:v>
      </x:c>
      <x:c r="M5578" s="19" t="str">
        <x:v>In Field Warranty Claims</x:v>
      </x:c>
      <x:c r="N5578" s="37" t="n">
        <x:v>45940</x:v>
      </x:c>
      <x:c r="O5578" s="37" t="n">
        <x:v>45944</x:v>
      </x:c>
      <x:c r="P5578" s="34" t="n">
        <x:v>585.5</x:v>
      </x:c>
      <x:c r="Q5578" s="37" t="n">
        <x:v>46097.12380787037</x:v>
      </x:c>
    </x:row>
    <x:row r="5579">
      <x:c r="A5579" s="22" t="n">
        <x:v>26435</x:v>
      </x:c>
      <x:c r="B5579" s="28" t="n">
        <x:v>69.64</x:v>
      </x:c>
      <x:c r="C5579" s="28"/>
      <x:c r="D5579" s="31" t="str">
        <x:f>IF(OR(ISBLANK(B5579),ISBLANK(C5579),B5579=0),"",(C5579-B5579)/B5579)</x:f>
      </x:c>
      <x:c r="E5579" s="22" t="str">
        <x:f>IF(ISBLANK(C5579),"AmountIncludingTax缺失",IF(ABS(B5579-C5579)&lt;0.005,"一致","不一致"))</x:f>
        <x:v>AmountIncludingTax缺失</x:v>
      </x:c>
      <x:c r="F5579" s="19" t="str">
        <x:v>approved</x:v>
      </x:c>
      <x:c r="G5579" s="19" t="str">
        <x:v>Repairer Invoiced Processed</x:v>
      </x:c>
      <x:c r="H5579" s="19" t="str">
        <x:v>In Field</x:v>
      </x:c>
      <x:c r="I5579" s="37" t="n">
        <x:v>46209</x:v>
      </x:c>
      <x:c r="J5579" s="37" t="n">
        <x:v>46196</x:v>
      </x:c>
      <x:c r="K5579" s="19" t="str">
        <x:v>Newcastle RV Super Centre - Beresfield</x:v>
      </x:c>
      <x:c r="L5579" s="19" t="str">
        <x:v>Z006</x:v>
      </x:c>
      <x:c r="M5579" s="19" t="str">
        <x:v>In Field Warranty Claims</x:v>
      </x:c>
      <x:c r="N5579" s="37" t="n">
        <x:v>45940</x:v>
      </x:c>
      <x:c r="O5579" s="37" t="n">
        <x:v>46101</x:v>
      </x:c>
      <x:c r="P5579" s="34" t="n">
        <x:v>0</x:v>
      </x:c>
      <x:c r="Q5579" s="37" t="n">
        <x:v>46209.148043981484</x:v>
      </x:c>
    </x:row>
    <x:row r="5580">
      <x:c r="A5580" s="22" t="n">
        <x:v>26432</x:v>
      </x:c>
      <x:c r="B5580" s="28" t="n">
        <x:v>1022.75</x:v>
      </x:c>
      <x:c r="C5580" s="28"/>
      <x:c r="D5580" s="31" t="str">
        <x:f>IF(OR(ISBLANK(B5580),ISBLANK(C5580),B5580=0),"",(C5580-B5580)/B5580)</x:f>
      </x:c>
      <x:c r="E5580" s="22" t="str">
        <x:f>IF(ISBLANK(C5580),"AmountIncludingTax缺失",IF(ABS(B5580-C5580)&lt;0.005,"一致","不一致"))</x:f>
        <x:v>AmountIncludingTax缺失</x:v>
      </x:c>
      <x:c r="F5580" s="19" t="str">
        <x:v>approved</x:v>
      </x:c>
      <x:c r="G5580" s="19" t="str">
        <x:v>Repairer Invoiced Processed</x:v>
      </x:c>
      <x:c r="H5580" s="19" t="str">
        <x:v>Pre Delivery</x:v>
      </x:c>
      <x:c r="I5580" s="37" t="n">
        <x:v>46044</x:v>
      </x:c>
      <x:c r="J5580" s="37" t="n">
        <x:v>46044</x:v>
      </x:c>
      <x:c r="K5580" s="19" t="str">
        <x:v>Green RV - Slacks Creek</x:v>
      </x:c>
      <x:c r="L5580" s="19" t="str">
        <x:v>Z005</x:v>
      </x:c>
      <x:c r="M5580" s="19" t="str">
        <x:v>Pre Delivery Warranty Claims</x:v>
      </x:c>
      <x:c r="N5580" s="37" t="n">
        <x:v>45939</x:v>
      </x:c>
      <x:c r="O5580" s="37"/>
      <x:c r="P5580" s="34" t="n">
        <x:v>1125.03</x:v>
      </x:c>
      <x:c r="Q5580" s="37" t="n">
        <x:v>46043.91787037037</x:v>
      </x:c>
    </x:row>
    <x:row r="5581">
      <x:c r="A5581" s="22" t="n">
        <x:v>26431</x:v>
      </x:c>
      <x:c r="B5581" s="28" t="n">
        <x:v>319.41</x:v>
      </x:c>
      <x:c r="C5581" s="28" t="n">
        <x:v>351.35</x:v>
      </x:c>
      <x:c r="D5581" s="31" t="n">
        <x:f>IF(OR(ISBLANK(B5581),ISBLANK(C5581),B5581=0),"",(C5581-B5581)/B5581)</x:f>
        <x:v>0.09999686922763844</x:v>
      </x:c>
      <x:c r="E5581" s="22" t="str">
        <x:f>IF(ISBLANK(C5581),"AmountIncludingTax缺失",IF(ABS(B5581-C5581)&lt;0.005,"一致","不一致"))</x:f>
        <x:v>不一致</x:v>
      </x:c>
      <x:c r="F5581" s="19" t="str">
        <x:v>approved</x:v>
      </x:c>
      <x:c r="G5581" s="19" t="str">
        <x:v>Repairer Invoiced Processed</x:v>
      </x:c>
      <x:c r="H5581" s="19" t="str">
        <x:v>In Field</x:v>
      </x:c>
      <x:c r="I5581" s="37" t="n">
        <x:v>46146</x:v>
      </x:c>
      <x:c r="J5581" s="37" t="n">
        <x:v>46063</x:v>
      </x:c>
      <x:c r="K5581" s="19" t="str">
        <x:v>Regent RV - Townsville</x:v>
      </x:c>
      <x:c r="L5581" s="19" t="str">
        <x:v>Z006</x:v>
      </x:c>
      <x:c r="M5581" s="19" t="str">
        <x:v>In Field Warranty Claims</x:v>
      </x:c>
      <x:c r="N5581" s="37" t="n">
        <x:v>45939</x:v>
      </x:c>
      <x:c r="O5581" s="37"/>
      <x:c r="P5581" s="34" t="n">
        <x:v>351.35</x:v>
      </x:c>
      <x:c r="Q5581" s="37" t="n">
        <x:v>46146.14957175926</x:v>
      </x:c>
    </x:row>
    <x:row r="5582">
      <x:c r="A5582" s="22" t="n">
        <x:v>26430</x:v>
      </x:c>
      <x:c r="B5582" s="28" t="n">
        <x:v>2796.13</x:v>
      </x:c>
      <x:c r="C5582" s="28"/>
      <x:c r="D5582" s="31" t="str">
        <x:f>IF(OR(ISBLANK(B5582),ISBLANK(C5582),B5582=0),"",(C5582-B5582)/B5582)</x:f>
      </x:c>
      <x:c r="E5582" s="22" t="str">
        <x:f>IF(ISBLANK(C5582),"AmountIncludingTax缺失",IF(ABS(B5582-C5582)&lt;0.005,"一致","不一致"))</x:f>
        <x:v>AmountIncludingTax缺失</x:v>
      </x:c>
      <x:c r="F5582" s="19" t="str">
        <x:v>approved</x:v>
      </x:c>
      <x:c r="G5582" s="19" t="str">
        <x:v>Repairer Invoiced Received</x:v>
      </x:c>
      <x:c r="H5582" s="19" t="str">
        <x:v>Pre Delivery</x:v>
      </x:c>
      <x:c r="I5582" s="37" t="n">
        <x:v>46097</x:v>
      </x:c>
      <x:c r="J5582" s="37" t="n">
        <x:v>46097</x:v>
      </x:c>
      <x:c r="K5582" s="19" t="str">
        <x:v>Vanari Caravans - Marden Point</x:v>
      </x:c>
      <x:c r="L5582" s="19" t="str">
        <x:v>Z005</x:v>
      </x:c>
      <x:c r="M5582" s="19" t="str">
        <x:v>Pre Delivery Warranty Claims</x:v>
      </x:c>
      <x:c r="N5582" s="37" t="n">
        <x:v>45939</x:v>
      </x:c>
      <x:c r="O5582" s="37"/>
      <x:c r="P5582" s="34" t="n">
        <x:v>2531.62</x:v>
      </x:c>
      <x:c r="Q5582" s="37" t="n">
        <x:v>46097.17172453704</x:v>
      </x:c>
    </x:row>
    <x:row r="5583">
      <x:c r="A5583" s="22" t="n">
        <x:v>26424</x:v>
      </x:c>
      <x:c r="B5583" s="28" t="n">
        <x:v>1318.59</x:v>
      </x:c>
      <x:c r="C5583" s="28"/>
      <x:c r="D5583" s="31" t="str">
        <x:f>IF(OR(ISBLANK(B5583),ISBLANK(C5583),B5583=0),"",(C5583-B5583)/B5583)</x:f>
      </x:c>
      <x:c r="E5583" s="22" t="str">
        <x:f>IF(ISBLANK(C5583),"AmountIncludingTax缺失",IF(ABS(B5583-C5583)&lt;0.005,"一致","不一致"))</x:f>
        <x:v>AmountIncludingTax缺失</x:v>
      </x:c>
      <x:c r="F5583" s="19" t="str">
        <x:v>approved</x:v>
      </x:c>
      <x:c r="G5583" s="19" t="str">
        <x:v>Repairer Invoiced Processed</x:v>
      </x:c>
      <x:c r="H5583" s="19" t="str">
        <x:v>In Field</x:v>
      </x:c>
      <x:c r="I5583" s="37" t="n">
        <x:v>46035</x:v>
      </x:c>
      <x:c r="J5583" s="37" t="n">
        <x:v>46035</x:v>
      </x:c>
      <x:c r="K5583" s="19" t="str">
        <x:v>The Caravan Hub - Townsville</x:v>
      </x:c>
      <x:c r="L5583" s="19" t="str">
        <x:v>Z006</x:v>
      </x:c>
      <x:c r="M5583" s="19" t="str">
        <x:v>In Field Warranty Claims</x:v>
      </x:c>
      <x:c r="N5583" s="37" t="n">
        <x:v>45939</x:v>
      </x:c>
      <x:c r="O5583" s="37"/>
      <x:c r="P5583" s="34" t="n">
        <x:v>0</x:v>
      </x:c>
      <x:c r="Q5583" s="37" t="n">
        <x:v>46035.20756944444</x:v>
      </x:c>
    </x:row>
    <x:row r="5584">
      <x:c r="A5584" s="22" t="n">
        <x:v>26419</x:v>
      </x:c>
      <x:c r="B5584" s="28" t="n">
        <x:v>1868.33</x:v>
      </x:c>
      <x:c r="C5584" s="28"/>
      <x:c r="D5584" s="31" t="str">
        <x:f>IF(OR(ISBLANK(B5584),ISBLANK(C5584),B5584=0),"",(C5584-B5584)/B5584)</x:f>
      </x:c>
      <x:c r="E5584" s="22" t="str">
        <x:f>IF(ISBLANK(C5584),"AmountIncludingTax缺失",IF(ABS(B5584-C5584)&lt;0.005,"一致","不一致"))</x:f>
        <x:v>AmountIncludingTax缺失</x:v>
      </x:c>
      <x:c r="F5584" s="19" t="str">
        <x:v>approved</x:v>
      </x:c>
      <x:c r="G5584" s="19" t="str">
        <x:v>Repair in Progress</x:v>
      </x:c>
      <x:c r="H5584" s="19" t="str">
        <x:v>In Field</x:v>
      </x:c>
      <x:c r="I5584" s="37" t="n">
        <x:v>46065</x:v>
      </x:c>
      <x:c r="J5584" s="37" t="n">
        <x:v>46064</x:v>
      </x:c>
      <x:c r="K5584" s="19" t="str">
        <x:v>The Caravan Hub - Townsville</x:v>
      </x:c>
      <x:c r="L5584" s="19" t="str">
        <x:v>Z006</x:v>
      </x:c>
      <x:c r="M5584" s="19" t="str">
        <x:v>In Field Warranty Claims</x:v>
      </x:c>
      <x:c r="N5584" s="37" t="n">
        <x:v>45939</x:v>
      </x:c>
      <x:c r="O5584" s="37"/>
      <x:c r="P5584" s="34" t="n">
        <x:v>0</x:v>
      </x:c>
      <x:c r="Q5584" s="37" t="n">
        <x:v>46065.25454861111</x:v>
      </x:c>
    </x:row>
    <x:row r="5585">
      <x:c r="A5585" s="22" t="n">
        <x:v>26417</x:v>
      </x:c>
      <x:c r="B5585" s="28" t="n">
        <x:v>1650</x:v>
      </x:c>
      <x:c r="C5585" s="28"/>
      <x:c r="D5585" s="31" t="str">
        <x:f>IF(OR(ISBLANK(B5585),ISBLANK(C5585),B5585=0),"",(C5585-B5585)/B5585)</x:f>
      </x:c>
      <x:c r="E5585" s="22" t="str">
        <x:f>IF(ISBLANK(C5585),"AmountIncludingTax缺失",IF(ABS(B5585-C5585)&lt;0.005,"一致","不一致"))</x:f>
        <x:v>AmountIncludingTax缺失</x:v>
      </x:c>
      <x:c r="F5585" s="19" t="str">
        <x:v>approved</x:v>
      </x:c>
      <x:c r="G5585" s="19" t="str">
        <x:v>Repair in Progress</x:v>
      </x:c>
      <x:c r="H5585" s="19" t="str">
        <x:v>In Field</x:v>
      </x:c>
      <x:c r="I5585" s="37" t="n">
        <x:v>46042</x:v>
      </x:c>
      <x:c r="J5585" s="37" t="n">
        <x:v>46035</x:v>
      </x:c>
      <x:c r="K5585" s="19" t="str">
        <x:v>Regent RV - Perth</x:v>
      </x:c>
      <x:c r="L5585" s="19" t="str">
        <x:v>Z006</x:v>
      </x:c>
      <x:c r="M5585" s="19" t="str">
        <x:v>In Field Warranty Claims</x:v>
      </x:c>
      <x:c r="N5585" s="37" t="n">
        <x:v>45939</x:v>
      </x:c>
      <x:c r="O5585" s="37"/>
      <x:c r="P5585" s="34" t="n">
        <x:v>0</x:v>
      </x:c>
      <x:c r="Q5585" s="37" t="n">
        <x:v>46042.10681712963</x:v>
      </x:c>
    </x:row>
    <x:row r="5586">
      <x:c r="A5586" s="22" t="n">
        <x:v>26414</x:v>
      </x:c>
      <x:c r="B5586" s="28" t="n">
        <x:v>945</x:v>
      </x:c>
      <x:c r="C5586" s="28"/>
      <x:c r="D5586" s="31" t="str">
        <x:f>IF(OR(ISBLANK(B5586),ISBLANK(C5586),B5586=0),"",(C5586-B5586)/B5586)</x:f>
      </x:c>
      <x:c r="E5586" s="22" t="str">
        <x:f>IF(ISBLANK(C5586),"AmountIncludingTax缺失",IF(ABS(B5586-C5586)&lt;0.005,"一致","不一致"))</x:f>
        <x:v>AmountIncludingTax缺失</x:v>
      </x:c>
      <x:c r="F5586" s="19" t="str">
        <x:v>approved</x:v>
      </x:c>
      <x:c r="G5586" s="19" t="str">
        <x:v>Partially Picked</x:v>
      </x:c>
      <x:c r="H5586" s="19" t="str">
        <x:v>In Field</x:v>
      </x:c>
      <x:c r="I5586" s="37" t="n">
        <x:v>46101</x:v>
      </x:c>
      <x:c r="J5586" s="37" t="n">
        <x:v>46101</x:v>
      </x:c>
      <x:c r="K5586" s="19" t="str">
        <x:v>Green RV - Forest Glen</x:v>
      </x:c>
      <x:c r="L5586" s="19" t="str">
        <x:v>Z006</x:v>
      </x:c>
      <x:c r="M5586" s="19" t="str">
        <x:v>In Field Warranty Claims</x:v>
      </x:c>
      <x:c r="N5586" s="37" t="n">
        <x:v>45939</x:v>
      </x:c>
      <x:c r="O5586" s="37"/>
      <x:c r="P5586" s="34" t="n">
        <x:v>0</x:v>
      </x:c>
      <x:c r="Q5586" s="37" t="n">
        <x:v>46101.521944444445</x:v>
      </x:c>
    </x:row>
    <x:row r="5587">
      <x:c r="A5587" s="22" t="n">
        <x:v>26409</x:v>
      </x:c>
      <x:c r="B5587" s="28" t="n">
        <x:v>357.5</x:v>
      </x:c>
      <x:c r="C5587" s="28"/>
      <x:c r="D5587" s="31" t="str">
        <x:f>IF(OR(ISBLANK(B5587),ISBLANK(C5587),B5587=0),"",(C5587-B5587)/B5587)</x:f>
      </x:c>
      <x:c r="E5587" s="22" t="str">
        <x:f>IF(ISBLANK(C5587),"AmountIncludingTax缺失",IF(ABS(B5587-C5587)&lt;0.005,"一致","不一致"))</x:f>
        <x:v>AmountIncludingTax缺失</x:v>
      </x:c>
      <x:c r="F5587" s="19" t="str">
        <x:v>approved</x:v>
      </x:c>
      <x:c r="G5587" s="19" t="str">
        <x:v>Repair in Progress</x:v>
      </x:c>
      <x:c r="H5587" s="19" t="str">
        <x:v>In Field</x:v>
      </x:c>
      <x:c r="I5587" s="37" t="n">
        <x:v>46069</x:v>
      </x:c>
      <x:c r="J5587" s="37" t="n">
        <x:v>46069</x:v>
      </x:c>
      <x:c r="K5587" s="19" t="str">
        <x:v>Regent RV - Perth</x:v>
      </x:c>
      <x:c r="L5587" s="19" t="str">
        <x:v>Z006</x:v>
      </x:c>
      <x:c r="M5587" s="19" t="str">
        <x:v>In Field Warranty Claims</x:v>
      </x:c>
      <x:c r="N5587" s="37" t="n">
        <x:v>45939</x:v>
      </x:c>
      <x:c r="O5587" s="37"/>
      <x:c r="P5587" s="34" t="n">
        <x:v>0</x:v>
      </x:c>
      <x:c r="Q5587" s="37" t="n">
        <x:v>46069.00273148148</x:v>
      </x:c>
    </x:row>
    <x:row r="5588">
      <x:c r="A5588" s="22" t="n">
        <x:v>26402</x:v>
      </x:c>
      <x:c r="B5588" s="28" t="n">
        <x:v>312.84</x:v>
      </x:c>
      <x:c r="C5588" s="28"/>
      <x:c r="D5588" s="31" t="str">
        <x:f>IF(OR(ISBLANK(B5588),ISBLANK(C5588),B5588=0),"",(C5588-B5588)/B5588)</x:f>
      </x:c>
      <x:c r="E5588" s="22" t="str">
        <x:f>IF(ISBLANK(C5588),"AmountIncludingTax缺失",IF(ABS(B5588-C5588)&lt;0.005,"一致","不一致"))</x:f>
        <x:v>AmountIncludingTax缺失</x:v>
      </x:c>
      <x:c r="F5588" s="19" t="str">
        <x:v>approved</x:v>
      </x:c>
      <x:c r="G5588" s="19" t="str">
        <x:v>Repair in Progress</x:v>
      </x:c>
      <x:c r="H5588" s="19" t="str">
        <x:v>In Field</x:v>
      </x:c>
      <x:c r="I5588" s="37" t="n">
        <x:v>46153</x:v>
      </x:c>
      <x:c r="J5588" s="37" t="n">
        <x:v>46062</x:v>
      </x:c>
      <x:c r="K5588" s="19" t="str">
        <x:v>Green RV - Forest Glen</x:v>
      </x:c>
      <x:c r="L5588" s="19" t="str">
        <x:v>Z006</x:v>
      </x:c>
      <x:c r="M5588" s="19" t="str">
        <x:v>In Field Warranty Claims</x:v>
      </x:c>
      <x:c r="N5588" s="37" t="n">
        <x:v>45939</x:v>
      </x:c>
      <x:c r="O5588" s="37"/>
      <x:c r="P5588" s="34" t="n">
        <x:v>0</x:v>
      </x:c>
      <x:c r="Q5588" s="37" t="n">
        <x:v>46152.94869212963</x:v>
      </x:c>
    </x:row>
    <x:row r="5589">
      <x:c r="A5589" s="22" t="n">
        <x:v>26397</x:v>
      </x:c>
      <x:c r="B5589" s="28" t="n">
        <x:v>610</x:v>
      </x:c>
      <x:c r="C5589" s="28"/>
      <x:c r="D5589" s="31" t="str">
        <x:f>IF(OR(ISBLANK(B5589),ISBLANK(C5589),B5589=0),"",(C5589-B5589)/B5589)</x:f>
      </x:c>
      <x:c r="E5589" s="22" t="str">
        <x:f>IF(ISBLANK(C5589),"AmountIncludingTax缺失",IF(ABS(B5589-C5589)&lt;0.005,"一致","不一致"))</x:f>
        <x:v>AmountIncludingTax缺失</x:v>
      </x:c>
      <x:c r="F5589" s="19" t="str">
        <x:v>approved</x:v>
      </x:c>
      <x:c r="G5589" s="19" t="str">
        <x:v>Repairer Invoiced Processed</x:v>
      </x:c>
      <x:c r="H5589" s="19" t="str">
        <x:v>In Field</x:v>
      </x:c>
      <x:c r="I5589" s="37" t="n">
        <x:v>46101</x:v>
      </x:c>
      <x:c r="J5589" s="37" t="n">
        <x:v>46101</x:v>
      </x:c>
      <x:c r="K5589" s="19" t="str">
        <x:v>Auswide Caravans - South Nowra</x:v>
      </x:c>
      <x:c r="L5589" s="19" t="str">
        <x:v>Z006</x:v>
      </x:c>
      <x:c r="M5589" s="19" t="str">
        <x:v>In Field Warranty Claims</x:v>
      </x:c>
      <x:c r="N5589" s="37" t="n">
        <x:v>45939</x:v>
      </x:c>
      <x:c r="O5589" s="37"/>
      <x:c r="P5589" s="34" t="n">
        <x:v>0</x:v>
      </x:c>
      <x:c r="Q5589" s="37" t="n">
        <x:v>46101.53275462963</x:v>
      </x:c>
    </x:row>
    <x:row r="5590">
      <x:c r="A5590" s="22" t="n">
        <x:v>26396</x:v>
      </x:c>
      <x:c r="B5590" s="28" t="n">
        <x:v>375.38</x:v>
      </x:c>
      <x:c r="C5590" s="28" t="n">
        <x:v>412.92</x:v>
      </x:c>
      <x:c r="D5590" s="31" t="n">
        <x:f>IF(OR(ISBLANK(B5590),ISBLANK(C5590),B5590=0),"",(C5590-B5590)/B5590)</x:f>
        <x:v>0.1000053279343599</x:v>
      </x:c>
      <x:c r="E5590" s="22" t="str">
        <x:f>IF(ISBLANK(C5590),"AmountIncludingTax缺失",IF(ABS(B5590-C5590)&lt;0.005,"一致","不一致"))</x:f>
        <x:v>不一致</x:v>
      </x:c>
      <x:c r="F5590" s="19" t="str">
        <x:v>approved</x:v>
      </x:c>
      <x:c r="G5590" s="19" t="str">
        <x:v>Repairer Invoiced Processed</x:v>
      </x:c>
      <x:c r="H5590" s="19" t="str">
        <x:v>In Field</x:v>
      </x:c>
      <x:c r="I5590" s="37" t="n">
        <x:v>46057</x:v>
      </x:c>
      <x:c r="J5590" s="37" t="n">
        <x:v>46057</x:v>
      </x:c>
      <x:c r="K5590" s="19" t="str">
        <x:v>Regent RV Pty Ltd</x:v>
      </x:c>
      <x:c r="L5590" s="19" t="str">
        <x:v>Z006</x:v>
      </x:c>
      <x:c r="M5590" s="19" t="str">
        <x:v>In Field Warranty Claims</x:v>
      </x:c>
      <x:c r="N5590" s="37" t="n">
        <x:v>45939</x:v>
      </x:c>
      <x:c r="O5590" s="37"/>
      <x:c r="P5590" s="34" t="n">
        <x:v>412.92</x:v>
      </x:c>
      <x:c r="Q5590" s="37" t="n">
        <x:v>46057.0841087963</x:v>
      </x:c>
    </x:row>
    <x:row r="5591">
      <x:c r="A5591" s="22" t="n">
        <x:v>26375</x:v>
      </x:c>
      <x:c r="B5591" s="28" t="n">
        <x:v>68.18</x:v>
      </x:c>
      <x:c r="C5591" s="28" t="n">
        <x:v>75</x:v>
      </x:c>
      <x:c r="D5591" s="31" t="n">
        <x:f>IF(OR(ISBLANK(B5591),ISBLANK(C5591),B5591=0),"",(C5591-B5591)/B5591)</x:f>
        <x:v>0.10002933411557631</x:v>
      </x:c>
      <x:c r="E5591" s="22" t="str">
        <x:f>IF(ISBLANK(C5591),"AmountIncludingTax缺失",IF(ABS(B5591-C5591)&lt;0.005,"一致","不一致"))</x:f>
        <x:v>不一致</x:v>
      </x:c>
      <x:c r="F5591" s="19" t="str">
        <x:v>approved</x:v>
      </x:c>
      <x:c r="G5591" s="19" t="str">
        <x:v>Repair in Progress</x:v>
      </x:c>
      <x:c r="H5591" s="19" t="str">
        <x:v>In Field</x:v>
      </x:c>
      <x:c r="I5591" s="37" t="n">
        <x:v>46072</x:v>
      </x:c>
      <x:c r="J5591" s="37" t="n">
        <x:v>46072</x:v>
      </x:c>
      <x:c r="K5591" s="19" t="str">
        <x:v>NEWCASTLE CARAVANS &amp; RVS</x:v>
      </x:c>
      <x:c r="L5591" s="19" t="str">
        <x:v>Z006</x:v>
      </x:c>
      <x:c r="M5591" s="19" t="str">
        <x:v>In Field Warranty Claims</x:v>
      </x:c>
      <x:c r="N5591" s="37" t="n">
        <x:v>45939</x:v>
      </x:c>
      <x:c r="O5591" s="37" t="n">
        <x:v>45979</x:v>
      </x:c>
      <x:c r="P5591" s="34" t="n">
        <x:v>75</x:v>
      </x:c>
      <x:c r="Q5591" s="37" t="n">
        <x:v>46072.06820601852</x:v>
      </x:c>
    </x:row>
    <x:row r="5592">
      <x:c r="A5592" s="22" t="n">
        <x:v>26353</x:v>
      </x:c>
      <x:c r="B5592" s="28" t="n">
        <x:v>197.73</x:v>
      </x:c>
      <x:c r="C5592" s="28"/>
      <x:c r="D5592" s="31" t="str">
        <x:f>IF(OR(ISBLANK(B5592),ISBLANK(C5592),B5592=0),"",(C5592-B5592)/B5592)</x:f>
      </x:c>
      <x:c r="E5592" s="22" t="str">
        <x:f>IF(ISBLANK(C5592),"AmountIncludingTax缺失",IF(ABS(B5592-C5592)&lt;0.005,"一致","不一致"))</x:f>
        <x:v>AmountIncludingTax缺失</x:v>
      </x:c>
      <x:c r="F5592" s="19" t="str">
        <x:v>approved</x:v>
      </x:c>
      <x:c r="G5592" s="19" t="str">
        <x:v>Repairer Invoiced Received</x:v>
      </x:c>
      <x:c r="H5592" s="19" t="str">
        <x:v>In Field</x:v>
      </x:c>
      <x:c r="I5592" s="37" t="n">
        <x:v>46063</x:v>
      </x:c>
      <x:c r="J5592" s="37" t="n">
        <x:v>46063</x:v>
      </x:c>
      <x:c r="K5592" s="19" t="str">
        <x:v>The Caravan Hub - Townsville</x:v>
      </x:c>
      <x:c r="L5592" s="19" t="str">
        <x:v>Z006</x:v>
      </x:c>
      <x:c r="M5592" s="19" t="str">
        <x:v>In Field Warranty Claims</x:v>
      </x:c>
      <x:c r="N5592" s="37" t="n">
        <x:v>45938</x:v>
      </x:c>
      <x:c r="O5592" s="37"/>
      <x:c r="P5592" s="34" t="n">
        <x:v>0</x:v>
      </x:c>
      <x:c r="Q5592" s="37" t="n">
        <x:v>46063.14034722222</x:v>
      </x:c>
    </x:row>
    <x:row r="5593">
      <x:c r="A5593" s="22" t="n">
        <x:v>26352</x:v>
      </x:c>
      <x:c r="B5593" s="28" t="n">
        <x:v>533.64</x:v>
      </x:c>
      <x:c r="C5593" s="28" t="n">
        <x:v>587</x:v>
      </x:c>
      <x:c r="D5593" s="31" t="n">
        <x:f>IF(OR(ISBLANK(B5593),ISBLANK(C5593),B5593=0),"",(C5593-B5593)/B5593)</x:f>
        <x:v>0.09999250431002177</x:v>
      </x:c>
      <x:c r="E5593" s="22" t="str">
        <x:f>IF(ISBLANK(C5593),"AmountIncludingTax缺失",IF(ABS(B5593-C5593)&lt;0.005,"一致","不一致"))</x:f>
        <x:v>不一致</x:v>
      </x:c>
      <x:c r="F5593" s="19" t="str">
        <x:v>approved</x:v>
      </x:c>
      <x:c r="G5593" s="19" t="str">
        <x:v>Repairer Invoiced Processed</x:v>
      </x:c>
      <x:c r="H5593" s="19" t="str">
        <x:v>In Field</x:v>
      </x:c>
      <x:c r="I5593" s="37" t="n">
        <x:v>46197</x:v>
      </x:c>
      <x:c r="J5593" s="37" t="n">
        <x:v>46197</x:v>
      </x:c>
      <x:c r="K5593" s="19" t="str">
        <x:v>Regent RV - Frankston</x:v>
      </x:c>
      <x:c r="L5593" s="19" t="str">
        <x:v>Z006</x:v>
      </x:c>
      <x:c r="M5593" s="19" t="str">
        <x:v>In Field Warranty Claims</x:v>
      </x:c>
      <x:c r="N5593" s="37" t="n">
        <x:v>45938</x:v>
      </x:c>
      <x:c r="O5593" s="37"/>
      <x:c r="P5593" s="34" t="n">
        <x:v>587</x:v>
      </x:c>
      <x:c r="Q5593" s="37" t="n">
        <x:v>46197.23008101852</x:v>
      </x:c>
    </x:row>
    <x:row r="5594">
      <x:c r="A5594" s="22" t="n">
        <x:v>26351</x:v>
      </x:c>
      <x:c r="B5594" s="28" t="n">
        <x:v>918.29</x:v>
      </x:c>
      <x:c r="C5594" s="28"/>
      <x:c r="D5594" s="31" t="str">
        <x:f>IF(OR(ISBLANK(B5594),ISBLANK(C5594),B5594=0),"",(C5594-B5594)/B5594)</x:f>
      </x:c>
      <x:c r="E5594" s="22" t="str">
        <x:f>IF(ISBLANK(C5594),"AmountIncludingTax缺失",IF(ABS(B5594-C5594)&lt;0.005,"一致","不一致"))</x:f>
        <x:v>AmountIncludingTax缺失</x:v>
      </x:c>
      <x:c r="F5594" s="19" t="str">
        <x:v>approved</x:v>
      </x:c>
      <x:c r="G5594" s="19" t="str">
        <x:v>Repair in Progress</x:v>
      </x:c>
      <x:c r="H5594" s="19" t="str">
        <x:v>In Field</x:v>
      </x:c>
      <x:c r="I5594" s="37" t="n">
        <x:v>46059</x:v>
      </x:c>
      <x:c r="J5594" s="37" t="n">
        <x:v>46059</x:v>
      </x:c>
      <x:c r="K5594" s="19" t="str">
        <x:v>Green RV - Forest Glen</x:v>
      </x:c>
      <x:c r="L5594" s="19" t="str">
        <x:v>Z006</x:v>
      </x:c>
      <x:c r="M5594" s="19" t="str">
        <x:v>In Field Warranty Claims</x:v>
      </x:c>
      <x:c r="N5594" s="37" t="n">
        <x:v>45938</x:v>
      </x:c>
      <x:c r="O5594" s="37"/>
      <x:c r="P5594" s="34" t="n">
        <x:v>1010.12</x:v>
      </x:c>
      <x:c r="Q5594" s="37" t="n">
        <x:v>46059.14326388889</x:v>
      </x:c>
    </x:row>
    <x:row r="5595">
      <x:c r="A5595" s="22" t="n">
        <x:v>26349</x:v>
      </x:c>
      <x:c r="B5595" s="28" t="n">
        <x:v>659.43</x:v>
      </x:c>
      <x:c r="C5595" s="28"/>
      <x:c r="D5595" s="31" t="str">
        <x:f>IF(OR(ISBLANK(B5595),ISBLANK(C5595),B5595=0),"",(C5595-B5595)/B5595)</x:f>
      </x:c>
      <x:c r="E5595" s="22" t="str">
        <x:f>IF(ISBLANK(C5595),"AmountIncludingTax缺失",IF(ABS(B5595-C5595)&lt;0.005,"一致","不一致"))</x:f>
        <x:v>AmountIncludingTax缺失</x:v>
      </x:c>
      <x:c r="F5595" s="19" t="str">
        <x:v>approved</x:v>
      </x:c>
      <x:c r="G5595" s="19" t="str">
        <x:v>Repair in Progress</x:v>
      </x:c>
      <x:c r="H5595" s="19" t="str">
        <x:v>In Field</x:v>
      </x:c>
      <x:c r="I5595" s="37" t="n">
        <x:v>46058</x:v>
      </x:c>
      <x:c r="J5595" s="37" t="n">
        <x:v>46056</x:v>
      </x:c>
      <x:c r="K5595" s="19" t="str">
        <x:v>Green RV - Forest Glen</x:v>
      </x:c>
      <x:c r="L5595" s="19" t="str">
        <x:v>Z006</x:v>
      </x:c>
      <x:c r="M5595" s="19" t="str">
        <x:v>In Field Warranty Claims</x:v>
      </x:c>
      <x:c r="N5595" s="37" t="n">
        <x:v>45938</x:v>
      </x:c>
      <x:c r="O5595" s="37"/>
      <x:c r="P5595" s="34" t="n">
        <x:v>0</x:v>
      </x:c>
      <x:c r="Q5595" s="37" t="n">
        <x:v>46058.056446759256</x:v>
      </x:c>
    </x:row>
    <x:row r="5596">
      <x:c r="A5596" s="22" t="n">
        <x:v>26347</x:v>
      </x:c>
      <x:c r="B5596" s="28" t="n">
        <x:v>1581.82</x:v>
      </x:c>
      <x:c r="C5596" s="28"/>
      <x:c r="D5596" s="31" t="str">
        <x:f>IF(OR(ISBLANK(B5596),ISBLANK(C5596),B5596=0),"",(C5596-B5596)/B5596)</x:f>
      </x:c>
      <x:c r="E5596" s="22" t="str">
        <x:f>IF(ISBLANK(C5596),"AmountIncludingTax缺失",IF(ABS(B5596-C5596)&lt;0.005,"一致","不一致"))</x:f>
        <x:v>AmountIncludingTax缺失</x:v>
      </x:c>
      <x:c r="F5596" s="19" t="str">
        <x:v>approved</x:v>
      </x:c>
      <x:c r="G5596" s="19" t="str">
        <x:v>Repairer Invoiced Received</x:v>
      </x:c>
      <x:c r="H5596" s="19" t="str">
        <x:v>In Field</x:v>
      </x:c>
      <x:c r="I5596" s="37" t="n">
        <x:v>46064</x:v>
      </x:c>
      <x:c r="J5596" s="37" t="n">
        <x:v>46064</x:v>
      </x:c>
      <x:c r="K5596" s="19" t="str">
        <x:v>The Caravan Hub - Townsville</x:v>
      </x:c>
      <x:c r="L5596" s="19" t="str">
        <x:v>Z006</x:v>
      </x:c>
      <x:c r="M5596" s="19" t="str">
        <x:v>In Field Warranty Claims</x:v>
      </x:c>
      <x:c r="N5596" s="37" t="n">
        <x:v>45938</x:v>
      </x:c>
      <x:c r="O5596" s="37"/>
      <x:c r="P5596" s="34" t="n">
        <x:v>0</x:v>
      </x:c>
      <x:c r="Q5596" s="37" t="n">
        <x:v>46063.88474537037</x:v>
      </x:c>
    </x:row>
    <x:row r="5597">
      <x:c r="A5597" s="22" t="n">
        <x:v>26337</x:v>
      </x:c>
      <x:c r="B5597" s="28" t="n">
        <x:v>445</x:v>
      </x:c>
      <x:c r="C5597" s="28"/>
      <x:c r="D5597" s="31" t="str">
        <x:f>IF(OR(ISBLANK(B5597),ISBLANK(C5597),B5597=0),"",(C5597-B5597)/B5597)</x:f>
      </x:c>
      <x:c r="E5597" s="22" t="str">
        <x:f>IF(ISBLANK(C5597),"AmountIncludingTax缺失",IF(ABS(B5597-C5597)&lt;0.005,"一致","不一致"))</x:f>
        <x:v>AmountIncludingTax缺失</x:v>
      </x:c>
      <x:c r="F5597" s="19" t="str">
        <x:v>approved</x:v>
      </x:c>
      <x:c r="G5597" s="19" t="str">
        <x:v>Repairer Invoiced Processed</x:v>
      </x:c>
      <x:c r="H5597" s="19" t="str">
        <x:v>In Field</x:v>
      </x:c>
      <x:c r="I5597" s="37" t="n">
        <x:v>46058</x:v>
      </x:c>
      <x:c r="J5597" s="37" t="n">
        <x:v>46058</x:v>
      </x:c>
      <x:c r="K5597" s="19" t="str">
        <x:v>ABCO Caravans - Boambee Valley</x:v>
      </x:c>
      <x:c r="L5597" s="19" t="str">
        <x:v>Z006</x:v>
      </x:c>
      <x:c r="M5597" s="19" t="str">
        <x:v>In Field Warranty Claims</x:v>
      </x:c>
      <x:c r="N5597" s="37" t="n">
        <x:v>45938</x:v>
      </x:c>
      <x:c r="O5597" s="37"/>
      <x:c r="P5597" s="34" t="n">
        <x:v>0</x:v>
      </x:c>
      <x:c r="Q5597" s="37" t="n">
        <x:v>46058.143159722225</x:v>
      </x:c>
    </x:row>
    <x:row r="5598">
      <x:c r="A5598" s="22" t="n">
        <x:v>26334</x:v>
      </x:c>
      <x:c r="B5598" s="28" t="n">
        <x:v>520</x:v>
      </x:c>
      <x:c r="C5598" s="28" t="n">
        <x:v>572</x:v>
      </x:c>
      <x:c r="D5598" s="31" t="n">
        <x:f>IF(OR(ISBLANK(B5598),ISBLANK(C5598),B5598=0),"",(C5598-B5598)/B5598)</x:f>
        <x:v>0.1</x:v>
      </x:c>
      <x:c r="E5598" s="22" t="str">
        <x:f>IF(ISBLANK(C5598),"AmountIncludingTax缺失",IF(ABS(B5598-C5598)&lt;0.005,"一致","不一致"))</x:f>
        <x:v>不一致</x:v>
      </x:c>
      <x:c r="F5598" s="19"/>
      <x:c r="G5598" s="19" t="str">
        <x:v>Management Query</x:v>
      </x:c>
      <x:c r="H5598" s="19" t="str">
        <x:v>In Field</x:v>
      </x:c>
      <x:c r="I5598" s="37" t="n">
        <x:v>46128</x:v>
      </x:c>
      <x:c r="J5598" s="37" t="n">
        <x:v>46128</x:v>
      </x:c>
      <x:c r="K5598" s="19" t="str">
        <x:v>Regent RV - Traralgon</x:v>
      </x:c>
      <x:c r="L5598" s="19" t="str">
        <x:v>Z006</x:v>
      </x:c>
      <x:c r="M5598" s="19" t="str">
        <x:v>In Field Warranty Claims</x:v>
      </x:c>
      <x:c r="N5598" s="37" t="n">
        <x:v>45938</x:v>
      </x:c>
      <x:c r="O5598" s="37" t="n">
        <x:v>45979</x:v>
      </x:c>
      <x:c r="P5598" s="34" t="n">
        <x:v>572</x:v>
      </x:c>
      <x:c r="Q5598" s="37" t="n">
        <x:v>46127.96953703704</x:v>
      </x:c>
    </x:row>
    <x:row r="5599">
      <x:c r="A5599" s="22" t="n">
        <x:v>26328</x:v>
      </x:c>
      <x:c r="B5599" s="28" t="n">
        <x:v>802.5</x:v>
      </x:c>
      <x:c r="C5599" s="28"/>
      <x:c r="D5599" s="31" t="str">
        <x:f>IF(OR(ISBLANK(B5599),ISBLANK(C5599),B5599=0),"",(C5599-B5599)/B5599)</x:f>
      </x:c>
      <x:c r="E5599" s="22" t="str">
        <x:f>IF(ISBLANK(C5599),"AmountIncludingTax缺失",IF(ABS(B5599-C5599)&lt;0.005,"一致","不一致"))</x:f>
        <x:v>AmountIncludingTax缺失</x:v>
      </x:c>
      <x:c r="F5599" s="19" t="str">
        <x:v>approved</x:v>
      </x:c>
      <x:c r="G5599" s="19" t="str">
        <x:v>Repairer Invoiced Processed</x:v>
      </x:c>
      <x:c r="H5599" s="19" t="str">
        <x:v>In Field</x:v>
      </x:c>
      <x:c r="I5599" s="37" t="n">
        <x:v>46080</x:v>
      </x:c>
      <x:c r="J5599" s="37" t="n">
        <x:v>46080</x:v>
      </x:c>
      <x:c r="K5599" s="19" t="str">
        <x:v>Green RV - Forest Glen</x:v>
      </x:c>
      <x:c r="L5599" s="19" t="str">
        <x:v>Z006</x:v>
      </x:c>
      <x:c r="M5599" s="19" t="str">
        <x:v>In Field Warranty Claims</x:v>
      </x:c>
      <x:c r="N5599" s="37" t="n">
        <x:v>45938</x:v>
      </x:c>
      <x:c r="O5599" s="37"/>
      <x:c r="P5599" s="34" t="n">
        <x:v>0</x:v>
      </x:c>
      <x:c r="Q5599" s="37" t="n">
        <x:v>46080.069652777776</x:v>
      </x:c>
    </x:row>
    <x:row r="5600">
      <x:c r="A5600" s="22" t="n">
        <x:v>26317</x:v>
      </x:c>
      <x:c r="B5600" s="28" t="n">
        <x:v>778.92</x:v>
      </x:c>
      <x:c r="C5600" s="28"/>
      <x:c r="D5600" s="31" t="str">
        <x:f>IF(OR(ISBLANK(B5600),ISBLANK(C5600),B5600=0),"",(C5600-B5600)/B5600)</x:f>
      </x:c>
      <x:c r="E5600" s="22" t="str">
        <x:f>IF(ISBLANK(C5600),"AmountIncludingTax缺失",IF(ABS(B5600-C5600)&lt;0.005,"一致","不一致"))</x:f>
        <x:v>AmountIncludingTax缺失</x:v>
      </x:c>
      <x:c r="F5600" s="19" t="str">
        <x:v>approved</x:v>
      </x:c>
      <x:c r="G5600" s="19" t="str">
        <x:v>Repair in Progress</x:v>
      </x:c>
      <x:c r="H5600" s="19" t="str">
        <x:v>In Field</x:v>
      </x:c>
      <x:c r="I5600" s="37" t="n">
        <x:v>46128</x:v>
      </x:c>
      <x:c r="J5600" s="37" t="n">
        <x:v>46128</x:v>
      </x:c>
      <x:c r="K5600" s="19" t="str">
        <x:v>Regent RV - Toowoomba</x:v>
      </x:c>
      <x:c r="L5600" s="19" t="str">
        <x:v>Z006</x:v>
      </x:c>
      <x:c r="M5600" s="19" t="str">
        <x:v>In Field Warranty Claims</x:v>
      </x:c>
      <x:c r="N5600" s="37" t="n">
        <x:v>45938</x:v>
      </x:c>
      <x:c r="O5600" s="37"/>
      <x:c r="P5600" s="34" t="n">
        <x:v>0</x:v>
      </x:c>
      <x:c r="Q5600" s="37" t="n">
        <x:v>46128.125752314816</x:v>
      </x:c>
    </x:row>
    <x:row r="5601">
      <x:c r="A5601" s="22" t="n">
        <x:v>26315</x:v>
      </x:c>
      <x:c r="B5601" s="28" t="n">
        <x:v>460.14</x:v>
      </x:c>
      <x:c r="C5601" s="28"/>
      <x:c r="D5601" s="31" t="str">
        <x:f>IF(OR(ISBLANK(B5601),ISBLANK(C5601),B5601=0),"",(C5601-B5601)/B5601)</x:f>
      </x:c>
      <x:c r="E5601" s="22" t="str">
        <x:f>IF(ISBLANK(C5601),"AmountIncludingTax缺失",IF(ABS(B5601-C5601)&lt;0.005,"一致","不一致"))</x:f>
        <x:v>AmountIncludingTax缺失</x:v>
      </x:c>
      <x:c r="F5601" s="19" t="str">
        <x:v>approved</x:v>
      </x:c>
      <x:c r="G5601" s="19" t="str">
        <x:v>Repair in Progress</x:v>
      </x:c>
      <x:c r="H5601" s="19" t="str">
        <x:v>In Field</x:v>
      </x:c>
      <x:c r="I5601" s="37" t="n">
        <x:v>46038</x:v>
      </x:c>
      <x:c r="J5601" s="37" t="n">
        <x:v>46038</x:v>
      </x:c>
      <x:c r="K5601" s="19" t="str">
        <x:v>Auswide Caravans - South Nowra</x:v>
      </x:c>
      <x:c r="L5601" s="19" t="str">
        <x:v>Z006</x:v>
      </x:c>
      <x:c r="M5601" s="19" t="str">
        <x:v>In Field Warranty Claims</x:v>
      </x:c>
      <x:c r="N5601" s="37" t="n">
        <x:v>45938</x:v>
      </x:c>
      <x:c r="O5601" s="37"/>
      <x:c r="P5601" s="34" t="n">
        <x:v>0</x:v>
      </x:c>
      <x:c r="Q5601" s="37" t="n">
        <x:v>46038.06501157407</x:v>
      </x:c>
    </x:row>
    <x:row r="5602">
      <x:c r="A5602" s="22" t="n">
        <x:v>26300</x:v>
      </x:c>
      <x:c r="B5602" s="28" t="n">
        <x:v>125</x:v>
      </x:c>
      <x:c r="C5602" s="28"/>
      <x:c r="D5602" s="31" t="str">
        <x:f>IF(OR(ISBLANK(B5602),ISBLANK(C5602),B5602=0),"",(C5602-B5602)/B5602)</x:f>
      </x:c>
      <x:c r="E5602" s="22" t="str">
        <x:f>IF(ISBLANK(C5602),"AmountIncludingTax缺失",IF(ABS(B5602-C5602)&lt;0.005,"一致","不一致"))</x:f>
        <x:v>AmountIncludingTax缺失</x:v>
      </x:c>
      <x:c r="F5602" s="19" t="str">
        <x:v>approved</x:v>
      </x:c>
      <x:c r="G5602" s="19" t="str">
        <x:v>Repairer Invoiced Processed</x:v>
      </x:c>
      <x:c r="H5602" s="19" t="str">
        <x:v>Pre Delivery</x:v>
      </x:c>
      <x:c r="I5602" s="37" t="n">
        <x:v>46055</x:v>
      </x:c>
      <x:c r="J5602" s="37" t="n">
        <x:v>46055</x:v>
      </x:c>
      <x:c r="K5602" s="19" t="str">
        <x:v>Regent RV - Perth</x:v>
      </x:c>
      <x:c r="L5602" s="19" t="str">
        <x:v>Z005</x:v>
      </x:c>
      <x:c r="M5602" s="19" t="str">
        <x:v>Pre Delivery Warranty Claims</x:v>
      </x:c>
      <x:c r="N5602" s="37" t="n">
        <x:v>45938</x:v>
      </x:c>
      <x:c r="O5602" s="37"/>
      <x:c r="P5602" s="34" t="n">
        <x:v>0</x:v>
      </x:c>
      <x:c r="Q5602" s="37" t="n">
        <x:v>46054.9087037037</x:v>
      </x:c>
    </x:row>
    <x:row r="5603">
      <x:c r="A5603" s="22" t="n">
        <x:v>26299</x:v>
      </x:c>
      <x:c r="B5603" s="28" t="n">
        <x:v>748.19</x:v>
      </x:c>
      <x:c r="C5603" s="28"/>
      <x:c r="D5603" s="31" t="str">
        <x:f>IF(OR(ISBLANK(B5603),ISBLANK(C5603),B5603=0),"",(C5603-B5603)/B5603)</x:f>
      </x:c>
      <x:c r="E5603" s="22" t="str">
        <x:f>IF(ISBLANK(C5603),"AmountIncludingTax缺失",IF(ABS(B5603-C5603)&lt;0.005,"一致","不一致"))</x:f>
        <x:v>AmountIncludingTax缺失</x:v>
      </x:c>
      <x:c r="F5603" s="19" t="str">
        <x:v>approved</x:v>
      </x:c>
      <x:c r="G5603" s="19" t="str">
        <x:v>Repair in Progress</x:v>
      </x:c>
      <x:c r="H5603" s="19" t="str">
        <x:v>Pre Delivery</x:v>
      </x:c>
      <x:c r="I5603" s="37" t="n">
        <x:v>46091</x:v>
      </x:c>
      <x:c r="J5603" s="37" t="n">
        <x:v>46091</x:v>
      </x:c>
      <x:c r="K5603" s="19" t="str">
        <x:v>QCCC - Gympie</x:v>
      </x:c>
      <x:c r="L5603" s="19" t="str">
        <x:v>Z005</x:v>
      </x:c>
      <x:c r="M5603" s="19" t="str">
        <x:v>Pre Delivery Warranty Claims</x:v>
      </x:c>
      <x:c r="N5603" s="37" t="n">
        <x:v>45938</x:v>
      </x:c>
      <x:c r="O5603" s="37"/>
      <x:c r="P5603" s="34" t="n">
        <x:v>0</x:v>
      </x:c>
      <x:c r="Q5603" s="37" t="n">
        <x:v>46091.13636574074</x:v>
      </x:c>
    </x:row>
    <x:row r="5604">
      <x:c r="A5604" s="22" t="n">
        <x:v>26295</x:v>
      </x:c>
      <x:c r="B5604" s="28" t="n">
        <x:v>353.64</x:v>
      </x:c>
      <x:c r="C5604" s="28" t="n">
        <x:v>389</x:v>
      </x:c>
      <x:c r="D5604" s="31" t="n">
        <x:f>IF(OR(ISBLANK(B5604),ISBLANK(C5604),B5604=0),"",(C5604-B5604)/B5604)</x:f>
        <x:v>0.0999886890623233</x:v>
      </x:c>
      <x:c r="E5604" s="22" t="str">
        <x:f>IF(ISBLANK(C5604),"AmountIncludingTax缺失",IF(ABS(B5604-C5604)&lt;0.005,"一致","不一致"))</x:f>
        <x:v>不一致</x:v>
      </x:c>
      <x:c r="F5604" s="19" t="str">
        <x:v>approved</x:v>
      </x:c>
      <x:c r="G5604" s="19" t="str">
        <x:v>Repairer Invoiced Processed</x:v>
      </x:c>
      <x:c r="H5604" s="19" t="str">
        <x:v>In Field</x:v>
      </x:c>
      <x:c r="I5604" s="37" t="n">
        <x:v>46121</x:v>
      </x:c>
      <x:c r="J5604" s="37" t="n">
        <x:v>46121</x:v>
      </x:c>
      <x:c r="K5604" s="19" t="str">
        <x:v>Green RV - Forest Glen</x:v>
      </x:c>
      <x:c r="L5604" s="19" t="str">
        <x:v>Z006</x:v>
      </x:c>
      <x:c r="M5604" s="19" t="str">
        <x:v>In Field Warranty Claims</x:v>
      </x:c>
      <x:c r="N5604" s="37" t="n">
        <x:v>45937</x:v>
      </x:c>
      <x:c r="O5604" s="37" t="n">
        <x:v>46101</x:v>
      </x:c>
      <x:c r="P5604" s="34" t="n">
        <x:v>389</x:v>
      </x:c>
      <x:c r="Q5604" s="37" t="n">
        <x:v>46121.237546296295</x:v>
      </x:c>
    </x:row>
    <x:row r="5605">
      <x:c r="A5605" s="22" t="n">
        <x:v>26290</x:v>
      </x:c>
      <x:c r="B5605" s="28" t="n">
        <x:v>850</x:v>
      </x:c>
      <x:c r="C5605" s="28"/>
      <x:c r="D5605" s="31" t="str">
        <x:f>IF(OR(ISBLANK(B5605),ISBLANK(C5605),B5605=0),"",(C5605-B5605)/B5605)</x:f>
      </x:c>
      <x:c r="E5605" s="22" t="str">
        <x:f>IF(ISBLANK(C5605),"AmountIncludingTax缺失",IF(ABS(B5605-C5605)&lt;0.005,"一致","不一致"))</x:f>
        <x:v>AmountIncludingTax缺失</x:v>
      </x:c>
      <x:c r="F5605" s="19" t="str">
        <x:v>approved</x:v>
      </x:c>
      <x:c r="G5605" s="19" t="str">
        <x:v>Repairer Invoiced Processed</x:v>
      </x:c>
      <x:c r="H5605" s="19" t="str">
        <x:v>In Field</x:v>
      </x:c>
      <x:c r="I5605" s="37" t="n">
        <x:v>46057</x:v>
      </x:c>
      <x:c r="J5605" s="37" t="n">
        <x:v>46057</x:v>
      </x:c>
      <x:c r="K5605" s="19" t="str">
        <x:v>Green RV - Forest Glen</x:v>
      </x:c>
      <x:c r="L5605" s="19" t="str">
        <x:v>Z006</x:v>
      </x:c>
      <x:c r="M5605" s="19" t="str">
        <x:v>In Field Warranty Claims</x:v>
      </x:c>
      <x:c r="N5605" s="37" t="n">
        <x:v>45938</x:v>
      </x:c>
      <x:c r="O5605" s="37"/>
      <x:c r="P5605" s="34" t="n">
        <x:v>0</x:v>
      </x:c>
      <x:c r="Q5605" s="37" t="n">
        <x:v>46056.952372685184</x:v>
      </x:c>
    </x:row>
    <x:row r="5606">
      <x:c r="A5606" s="22" t="n">
        <x:v>26289</x:v>
      </x:c>
      <x:c r="B5606" s="28" t="n">
        <x:v>69.09</x:v>
      </x:c>
      <x:c r="C5606" s="28"/>
      <x:c r="D5606" s="31" t="str">
        <x:f>IF(OR(ISBLANK(B5606),ISBLANK(C5606),B5606=0),"",(C5606-B5606)/B5606)</x:f>
      </x:c>
      <x:c r="E5606" s="22" t="str">
        <x:f>IF(ISBLANK(C5606),"AmountIncludingTax缺失",IF(ABS(B5606-C5606)&lt;0.005,"一致","不一致"))</x:f>
        <x:v>AmountIncludingTax缺失</x:v>
      </x:c>
      <x:c r="F5606" s="19" t="str">
        <x:v>approved</x:v>
      </x:c>
      <x:c r="G5606" s="19" t="str">
        <x:v>Repairer Invoiced Processed</x:v>
      </x:c>
      <x:c r="H5606" s="19" t="str">
        <x:v>In Field</x:v>
      </x:c>
      <x:c r="I5606" s="37" t="n">
        <x:v>46037</x:v>
      </x:c>
      <x:c r="J5606" s="37" t="n">
        <x:v>46037</x:v>
      </x:c>
      <x:c r="K5606" s="19" t="str">
        <x:v>Auswide Caravans - South Nowra</x:v>
      </x:c>
      <x:c r="L5606" s="19" t="str">
        <x:v>Z006</x:v>
      </x:c>
      <x:c r="M5606" s="19" t="str">
        <x:v>In Field Warranty Claims</x:v>
      </x:c>
      <x:c r="N5606" s="37" t="n">
        <x:v>45938</x:v>
      </x:c>
      <x:c r="O5606" s="37"/>
      <x:c r="P5606" s="34" t="n">
        <x:v>0</x:v>
      </x:c>
      <x:c r="Q5606" s="37" t="n">
        <x:v>46036.99172453704</x:v>
      </x:c>
    </x:row>
    <x:row r="5607">
      <x:c r="A5607" s="22" t="n">
        <x:v>26285</x:v>
      </x:c>
      <x:c r="B5607" s="28" t="n">
        <x:v>1455</x:v>
      </x:c>
      <x:c r="C5607" s="28"/>
      <x:c r="D5607" s="31" t="str">
        <x:f>IF(OR(ISBLANK(B5607),ISBLANK(C5607),B5607=0),"",(C5607-B5607)/B5607)</x:f>
      </x:c>
      <x:c r="E5607" s="22" t="str">
        <x:f>IF(ISBLANK(C5607),"AmountIncludingTax缺失",IF(ABS(B5607-C5607)&lt;0.005,"一致","不一致"))</x:f>
        <x:v>AmountIncludingTax缺失</x:v>
      </x:c>
      <x:c r="F5607" s="19" t="str">
        <x:v>approved</x:v>
      </x:c>
      <x:c r="G5607" s="19" t="str">
        <x:v>Sales Order Approved</x:v>
      </x:c>
      <x:c r="H5607" s="19" t="str">
        <x:v>In Field</x:v>
      </x:c>
      <x:c r="I5607" s="37" t="n">
        <x:v>46210</x:v>
      </x:c>
      <x:c r="J5607" s="37" t="n">
        <x:v>46210</x:v>
      </x:c>
      <x:c r="K5607" s="19" t="str">
        <x:v>The Caravan Hub - Townsville</x:v>
      </x:c>
      <x:c r="L5607" s="19" t="str">
        <x:v>Z006</x:v>
      </x:c>
      <x:c r="M5607" s="19" t="str">
        <x:v>In Field Warranty Claims</x:v>
      </x:c>
      <x:c r="N5607" s="37" t="n">
        <x:v>45938</x:v>
      </x:c>
      <x:c r="O5607" s="37" t="n">
        <x:v>46052</x:v>
      </x:c>
      <x:c r="P5607" s="34" t="n">
        <x:v>0</x:v>
      </x:c>
      <x:c r="Q5607" s="37" t="n">
        <x:v>46210.23086805556</x:v>
      </x:c>
    </x:row>
    <x:row r="5608">
      <x:c r="A5608" s="22" t="n">
        <x:v>26270</x:v>
      </x:c>
      <x:c r="B5608" s="28" t="n">
        <x:v>340</x:v>
      </x:c>
      <x:c r="C5608" s="28" t="n">
        <x:v>374</x:v>
      </x:c>
      <x:c r="D5608" s="31" t="n">
        <x:f>IF(OR(ISBLANK(B5608),ISBLANK(C5608),B5608=0),"",(C5608-B5608)/B5608)</x:f>
        <x:v>0.1</x:v>
      </x:c>
      <x:c r="E5608" s="22" t="str">
        <x:f>IF(ISBLANK(C5608),"AmountIncludingTax缺失",IF(ABS(B5608-C5608)&lt;0.005,"一致","不一致"))</x:f>
        <x:v>不一致</x:v>
      </x:c>
      <x:c r="F5608" s="19" t="str">
        <x:v>approved</x:v>
      </x:c>
      <x:c r="G5608" s="19" t="str">
        <x:v>Repairer Invoiced Processed</x:v>
      </x:c>
      <x:c r="H5608" s="19" t="str">
        <x:v>In Field</x:v>
      </x:c>
      <x:c r="I5608" s="37" t="n">
        <x:v>46024</x:v>
      </x:c>
      <x:c r="J5608" s="37" t="n">
        <x:v>46024</x:v>
      </x:c>
      <x:c r="K5608" s="19" t="str">
        <x:v>Regent RV - Frankston</x:v>
      </x:c>
      <x:c r="L5608" s="19" t="str">
        <x:v>Z006</x:v>
      </x:c>
      <x:c r="M5608" s="19" t="str">
        <x:v>In Field Warranty Claims</x:v>
      </x:c>
      <x:c r="N5608" s="37" t="n">
        <x:v>45937</x:v>
      </x:c>
      <x:c r="O5608" s="37"/>
      <x:c r="P5608" s="34" t="n">
        <x:v>374</x:v>
      </x:c>
      <x:c r="Q5608" s="37" t="n">
        <x:v>46023.91280092593</x:v>
      </x:c>
    </x:row>
    <x:row r="5609">
      <x:c r="A5609" s="22" t="n">
        <x:v>26267</x:v>
      </x:c>
      <x:c r="B5609" s="28" t="n">
        <x:v>250.15</x:v>
      </x:c>
      <x:c r="C5609" s="28" t="n">
        <x:v>275.17</x:v>
      </x:c>
      <x:c r="D5609" s="31" t="n">
        <x:f>IF(OR(ISBLANK(B5609),ISBLANK(C5609),B5609=0),"",(C5609-B5609)/B5609)</x:f>
        <x:v>0.10001998800719572</x:v>
      </x:c>
      <x:c r="E5609" s="22" t="str">
        <x:f>IF(ISBLANK(C5609),"AmountIncludingTax缺失",IF(ABS(B5609-C5609)&lt;0.005,"一致","不一致"))</x:f>
        <x:v>不一致</x:v>
      </x:c>
      <x:c r="F5609" s="19" t="str">
        <x:v>approved</x:v>
      </x:c>
      <x:c r="G5609" s="19" t="str">
        <x:v>Repair in Progress</x:v>
      </x:c>
      <x:c r="H5609" s="19" t="str">
        <x:v>In Field</x:v>
      </x:c>
      <x:c r="I5609" s="37" t="n">
        <x:v>46143</x:v>
      </x:c>
      <x:c r="J5609" s="37" t="n">
        <x:v>46143</x:v>
      </x:c>
      <x:c r="K5609" s="19" t="str">
        <x:v>Regent RV - Townsville</x:v>
      </x:c>
      <x:c r="L5609" s="19" t="str">
        <x:v>Z006</x:v>
      </x:c>
      <x:c r="M5609" s="19" t="str">
        <x:v>In Field Warranty Claims</x:v>
      </x:c>
      <x:c r="N5609" s="37" t="n">
        <x:v>45937</x:v>
      </x:c>
      <x:c r="O5609" s="37"/>
      <x:c r="P5609" s="34" t="n">
        <x:v>275.17</x:v>
      </x:c>
      <x:c r="Q5609" s="37" t="n">
        <x:v>46142.929768518516</x:v>
      </x:c>
    </x:row>
    <x:row r="5610">
      <x:c r="A5610" s="22" t="n">
        <x:v>26265</x:v>
      </x:c>
      <x:c r="B5610" s="28" t="n">
        <x:v>856.48</x:v>
      </x:c>
      <x:c r="C5610" s="28" t="n">
        <x:v>942.13</x:v>
      </x:c>
      <x:c r="D5610" s="31" t="n">
        <x:f>IF(OR(ISBLANK(B5610),ISBLANK(C5610),B5610=0),"",(C5610-B5610)/B5610)</x:f>
        <x:v>0.10000233513917427</x:v>
      </x:c>
      <x:c r="E5610" s="22" t="str">
        <x:f>IF(ISBLANK(C5610),"AmountIncludingTax缺失",IF(ABS(B5610-C5610)&lt;0.005,"一致","不一致"))</x:f>
        <x:v>不一致</x:v>
      </x:c>
      <x:c r="F5610" s="19" t="str">
        <x:v>approved</x:v>
      </x:c>
      <x:c r="G5610" s="19" t="str">
        <x:v>Repairer Invoiced Processed</x:v>
      </x:c>
      <x:c r="H5610" s="19" t="str">
        <x:v>In Field</x:v>
      </x:c>
      <x:c r="I5610" s="37" t="n">
        <x:v>46086</x:v>
      </x:c>
      <x:c r="J5610" s="37" t="n">
        <x:v>46078</x:v>
      </x:c>
      <x:c r="K5610" s="19" t="str">
        <x:v>Regent RV - Townsville</x:v>
      </x:c>
      <x:c r="L5610" s="19" t="str">
        <x:v>Z006</x:v>
      </x:c>
      <x:c r="M5610" s="19" t="str">
        <x:v>In Field Warranty Claims</x:v>
      </x:c>
      <x:c r="N5610" s="37" t="n">
        <x:v>45937</x:v>
      </x:c>
      <x:c r="O5610" s="37"/>
      <x:c r="P5610" s="34" t="n">
        <x:v>942.13</x:v>
      </x:c>
      <x:c r="Q5610" s="37" t="n">
        <x:v>46085.894953703704</x:v>
      </x:c>
    </x:row>
    <x:row r="5611">
      <x:c r="A5611" s="22" t="n">
        <x:v>26258</x:v>
      </x:c>
      <x:c r="B5611" s="28" t="n">
        <x:v>675</x:v>
      </x:c>
      <x:c r="C5611" s="28"/>
      <x:c r="D5611" s="31" t="str">
        <x:f>IF(OR(ISBLANK(B5611),ISBLANK(C5611),B5611=0),"",(C5611-B5611)/B5611)</x:f>
      </x:c>
      <x:c r="E5611" s="22" t="str">
        <x:f>IF(ISBLANK(C5611),"AmountIncludingTax缺失",IF(ABS(B5611-C5611)&lt;0.005,"一致","不一致"))</x:f>
        <x:v>AmountIncludingTax缺失</x:v>
      </x:c>
      <x:c r="F5611" s="19" t="str">
        <x:v>approved</x:v>
      </x:c>
      <x:c r="G5611" s="19" t="str">
        <x:v>Repair in Progress</x:v>
      </x:c>
      <x:c r="H5611" s="19" t="str">
        <x:v>In Field</x:v>
      </x:c>
      <x:c r="I5611" s="37" t="n">
        <x:v>46113</x:v>
      </x:c>
      <x:c r="J5611" s="37" t="n">
        <x:v>46113</x:v>
      </x:c>
      <x:c r="K5611" s="19" t="str">
        <x:v>Regent RV - Perth</x:v>
      </x:c>
      <x:c r="L5611" s="19" t="str">
        <x:v>Z006</x:v>
      </x:c>
      <x:c r="M5611" s="19" t="str">
        <x:v>In Field Warranty Claims</x:v>
      </x:c>
      <x:c r="N5611" s="37" t="n">
        <x:v>45937</x:v>
      </x:c>
      <x:c r="O5611" s="37"/>
      <x:c r="P5611" s="34" t="n">
        <x:v>0</x:v>
      </x:c>
      <x:c r="Q5611" s="37" t="n">
        <x:v>46112.92537037037</x:v>
      </x:c>
    </x:row>
    <x:row r="5612">
      <x:c r="A5612" s="22" t="n">
        <x:v>26255</x:v>
      </x:c>
      <x:c r="B5612" s="28" t="n">
        <x:v>445</x:v>
      </x:c>
      <x:c r="C5612" s="28"/>
      <x:c r="D5612" s="31" t="str">
        <x:f>IF(OR(ISBLANK(B5612),ISBLANK(C5612),B5612=0),"",(C5612-B5612)/B5612)</x:f>
      </x:c>
      <x:c r="E5612" s="22" t="str">
        <x:f>IF(ISBLANK(C5612),"AmountIncludingTax缺失",IF(ABS(B5612-C5612)&lt;0.005,"一致","不一致"))</x:f>
        <x:v>AmountIncludingTax缺失</x:v>
      </x:c>
      <x:c r="F5612" s="19" t="str">
        <x:v>approved</x:v>
      </x:c>
      <x:c r="G5612" s="19" t="str">
        <x:v>Repair in Progress</x:v>
      </x:c>
      <x:c r="H5612" s="19" t="str">
        <x:v>In Field</x:v>
      </x:c>
      <x:c r="I5612" s="37" t="n">
        <x:v>46065</x:v>
      </x:c>
      <x:c r="J5612" s="37" t="n">
        <x:v>46065</x:v>
      </x:c>
      <x:c r="K5612" s="19" t="str">
        <x:v>Regent RV - Townsville</x:v>
      </x:c>
      <x:c r="L5612" s="19" t="str">
        <x:v>Z006</x:v>
      </x:c>
      <x:c r="M5612" s="19" t="str">
        <x:v>In Field Warranty Claims</x:v>
      </x:c>
      <x:c r="N5612" s="37" t="n">
        <x:v>45937</x:v>
      </x:c>
      <x:c r="O5612" s="37"/>
      <x:c r="P5612" s="34" t="n">
        <x:v>0</x:v>
      </x:c>
      <x:c r="Q5612" s="37" t="n">
        <x:v>46064.902141203704</x:v>
      </x:c>
    </x:row>
    <x:row r="5613">
      <x:c r="A5613" s="22" t="n">
        <x:v>26244</x:v>
      </x:c>
      <x:c r="B5613" s="28" t="n">
        <x:v>1665.64</x:v>
      </x:c>
      <x:c r="C5613" s="28"/>
      <x:c r="D5613" s="31" t="str">
        <x:f>IF(OR(ISBLANK(B5613),ISBLANK(C5613),B5613=0),"",(C5613-B5613)/B5613)</x:f>
      </x:c>
      <x:c r="E5613" s="22" t="str">
        <x:f>IF(ISBLANK(C5613),"AmountIncludingTax缺失",IF(ABS(B5613-C5613)&lt;0.005,"一致","不一致"))</x:f>
        <x:v>AmountIncludingTax缺失</x:v>
      </x:c>
      <x:c r="F5613" s="19" t="str">
        <x:v>approved</x:v>
      </x:c>
      <x:c r="G5613" s="19" t="str">
        <x:v>Repairer Invoiced Processed</x:v>
      </x:c>
      <x:c r="H5613" s="19" t="str">
        <x:v>In Field</x:v>
      </x:c>
      <x:c r="I5613" s="37" t="n">
        <x:v>46052</x:v>
      </x:c>
      <x:c r="J5613" s="37" t="n">
        <x:v>46052</x:v>
      </x:c>
      <x:c r="K5613" s="19" t="str">
        <x:v>The Caravan Hub - Townsville</x:v>
      </x:c>
      <x:c r="L5613" s="19" t="str">
        <x:v>Z006</x:v>
      </x:c>
      <x:c r="M5613" s="19" t="str">
        <x:v>In Field Warranty Claims</x:v>
      </x:c>
      <x:c r="N5613" s="37" t="n">
        <x:v>45937</x:v>
      </x:c>
      <x:c r="O5613" s="37"/>
      <x:c r="P5613" s="34" t="n">
        <x:v>0</x:v>
      </x:c>
      <x:c r="Q5613" s="37" t="n">
        <x:v>46052.13030092593</x:v>
      </x:c>
    </x:row>
    <x:row r="5614">
      <x:c r="A5614" s="22" t="n">
        <x:v>26241</x:v>
      </x:c>
      <x:c r="B5614" s="28" t="n">
        <x:v>906.82</x:v>
      </x:c>
      <x:c r="C5614" s="28" t="n">
        <x:v>997.5</x:v>
      </x:c>
      <x:c r="D5614" s="31" t="n">
        <x:f>IF(OR(ISBLANK(B5614),ISBLANK(C5614),B5614=0),"",(C5614-B5614)/B5614)</x:f>
        <x:v>0.09999779449063755</x:v>
      </x:c>
      <x:c r="E5614" s="22" t="str">
        <x:f>IF(ISBLANK(C5614),"AmountIncludingTax缺失",IF(ABS(B5614-C5614)&lt;0.005,"一致","不一致"))</x:f>
        <x:v>不一致</x:v>
      </x:c>
      <x:c r="F5614" s="19" t="str">
        <x:v>approved</x:v>
      </x:c>
      <x:c r="G5614" s="19" t="str">
        <x:v>Repairer Invoiced Processed</x:v>
      </x:c>
      <x:c r="H5614" s="19" t="str">
        <x:v>In Field</x:v>
      </x:c>
      <x:c r="I5614" s="37" t="n">
        <x:v>46141</x:v>
      </x:c>
      <x:c r="J5614" s="37" t="n">
        <x:v>46063</x:v>
      </x:c>
      <x:c r="K5614" s="19" t="str">
        <x:v>The Caravan Hub - Townsville</x:v>
      </x:c>
      <x:c r="L5614" s="19" t="str">
        <x:v>Z006</x:v>
      </x:c>
      <x:c r="M5614" s="19" t="str">
        <x:v>In Field Warranty Claims</x:v>
      </x:c>
      <x:c r="N5614" s="37" t="n">
        <x:v>45936</x:v>
      </x:c>
      <x:c r="O5614" s="37"/>
      <x:c r="P5614" s="34" t="n">
        <x:v>997.5</x:v>
      </x:c>
      <x:c r="Q5614" s="37" t="n">
        <x:v>46141.18969907407</x:v>
      </x:c>
    </x:row>
    <x:row r="5615">
      <x:c r="A5615" s="22" t="n">
        <x:v>26234</x:v>
      </x:c>
      <x:c r="B5615" s="28" t="n">
        <x:v>445.35</x:v>
      </x:c>
      <x:c r="C5615" s="28" t="n">
        <x:v>489.89</x:v>
      </x:c>
      <x:c r="D5615" s="31" t="n">
        <x:f>IF(OR(ISBLANK(B5615),ISBLANK(C5615),B5615=0),"",(C5615-B5615)/B5615)</x:f>
        <x:v>0.10001122712473327</x:v>
      </x:c>
      <x:c r="E5615" s="22" t="str">
        <x:f>IF(ISBLANK(C5615),"AmountIncludingTax缺失",IF(ABS(B5615-C5615)&lt;0.005,"一致","不一致"))</x:f>
        <x:v>不一致</x:v>
      </x:c>
      <x:c r="F5615" s="19" t="str">
        <x:v>approved</x:v>
      </x:c>
      <x:c r="G5615" s="19" t="str">
        <x:v>Repair in Progress</x:v>
      </x:c>
      <x:c r="H5615" s="19" t="str">
        <x:v>In Field</x:v>
      </x:c>
      <x:c r="I5615" s="37" t="n">
        <x:v>46071</x:v>
      </x:c>
      <x:c r="J5615" s="37" t="n">
        <x:v>46071</x:v>
      </x:c>
      <x:c r="K5615" s="19" t="str">
        <x:v>The Caravan Hub - Townsville</x:v>
      </x:c>
      <x:c r="L5615" s="19" t="str">
        <x:v>Z006</x:v>
      </x:c>
      <x:c r="M5615" s="19" t="str">
        <x:v>In Field Warranty Claims</x:v>
      </x:c>
      <x:c r="N5615" s="37" t="n">
        <x:v>45936</x:v>
      </x:c>
      <x:c r="O5615" s="37"/>
      <x:c r="P5615" s="34" t="n">
        <x:v>489.89</x:v>
      </x:c>
      <x:c r="Q5615" s="37" t="n">
        <x:v>46071.232719907406</x:v>
      </x:c>
    </x:row>
    <x:row r="5616">
      <x:c r="A5616" s="22" t="n">
        <x:v>26232</x:v>
      </x:c>
      <x:c r="B5616" s="28" t="n">
        <x:v>103.48</x:v>
      </x:c>
      <x:c r="C5616" s="28" t="n">
        <x:v>113.83</x:v>
      </x:c>
      <x:c r="D5616" s="31" t="n">
        <x:f>IF(OR(ISBLANK(B5616),ISBLANK(C5616),B5616=0),"",(C5616-B5616)/B5616)</x:f>
        <x:v>0.10001932740626202</x:v>
      </x:c>
      <x:c r="E5616" s="22" t="str">
        <x:f>IF(ISBLANK(C5616),"AmountIncludingTax缺失",IF(ABS(B5616-C5616)&lt;0.005,"一致","不一致"))</x:f>
        <x:v>不一致</x:v>
      </x:c>
      <x:c r="F5616" s="19" t="str">
        <x:v>approved</x:v>
      </x:c>
      <x:c r="G5616" s="19" t="str">
        <x:v>Repairer Invoiced Processed</x:v>
      </x:c>
      <x:c r="H5616" s="19" t="str">
        <x:v>In Field</x:v>
      </x:c>
      <x:c r="I5616" s="37" t="n">
        <x:v>46069</x:v>
      </x:c>
      <x:c r="J5616" s="37" t="n">
        <x:v>46069</x:v>
      </x:c>
      <x:c r="K5616" s="19" t="str">
        <x:v>The Caravan Hub - Townsville</x:v>
      </x:c>
      <x:c r="L5616" s="19" t="str">
        <x:v>Z006</x:v>
      </x:c>
      <x:c r="M5616" s="19" t="str">
        <x:v>In Field Warranty Claims</x:v>
      </x:c>
      <x:c r="N5616" s="37" t="n">
        <x:v>45936</x:v>
      </x:c>
      <x:c r="O5616" s="37"/>
      <x:c r="P5616" s="34" t="n">
        <x:v>113.83</x:v>
      </x:c>
      <x:c r="Q5616" s="37" t="n">
        <x:v>46069.204976851855</x:v>
      </x:c>
    </x:row>
    <x:row r="5617">
      <x:c r="A5617" s="22" t="n">
        <x:v>26225</x:v>
      </x:c>
      <x:c r="B5617" s="28" t="n">
        <x:v>105</x:v>
      </x:c>
      <x:c r="C5617" s="28" t="n">
        <x:v>115.5</x:v>
      </x:c>
      <x:c r="D5617" s="31" t="n">
        <x:f>IF(OR(ISBLANK(B5617),ISBLANK(C5617),B5617=0),"",(C5617-B5617)/B5617)</x:f>
        <x:v>0.1</x:v>
      </x:c>
      <x:c r="E5617" s="22" t="str">
        <x:f>IF(ISBLANK(C5617),"AmountIncludingTax缺失",IF(ABS(B5617-C5617)&lt;0.005,"一致","不一致"))</x:f>
        <x:v>不一致</x:v>
      </x:c>
      <x:c r="F5617" s="19" t="str">
        <x:v>approved</x:v>
      </x:c>
      <x:c r="G5617" s="19" t="str">
        <x:v>Repairer Invoiced Processed</x:v>
      </x:c>
      <x:c r="H5617" s="19" t="str">
        <x:v>In Field</x:v>
      </x:c>
      <x:c r="I5617" s="37" t="n">
        <x:v>46120</x:v>
      </x:c>
      <x:c r="J5617" s="37" t="n">
        <x:v>46120</x:v>
      </x:c>
      <x:c r="K5617" s="19" t="str">
        <x:v>Regent RV - Perth</x:v>
      </x:c>
      <x:c r="L5617" s="19" t="str">
        <x:v>Z006</x:v>
      </x:c>
      <x:c r="M5617" s="19" t="str">
        <x:v>In Field Warranty Claims</x:v>
      </x:c>
      <x:c r="N5617" s="37" t="n">
        <x:v>45936</x:v>
      </x:c>
      <x:c r="O5617" s="37"/>
      <x:c r="P5617" s="34" t="n">
        <x:v>115.5</x:v>
      </x:c>
      <x:c r="Q5617" s="37" t="n">
        <x:v>46120.24104166667</x:v>
      </x:c>
    </x:row>
    <x:row r="5618">
      <x:c r="A5618" s="22" t="n">
        <x:v>26224</x:v>
      </x:c>
      <x:c r="B5618" s="28" t="n">
        <x:v>231.82</x:v>
      </x:c>
      <x:c r="C5618" s="28"/>
      <x:c r="D5618" s="31" t="str">
        <x:f>IF(OR(ISBLANK(B5618),ISBLANK(C5618),B5618=0),"",(C5618-B5618)/B5618)</x:f>
      </x:c>
      <x:c r="E5618" s="22" t="str">
        <x:f>IF(ISBLANK(C5618),"AmountIncludingTax缺失",IF(ABS(B5618-C5618)&lt;0.005,"一致","不一致"))</x:f>
        <x:v>AmountIncludingTax缺失</x:v>
      </x:c>
      <x:c r="F5618" s="19" t="str">
        <x:v>approved</x:v>
      </x:c>
      <x:c r="G5618" s="19" t="str">
        <x:v>Repair in Progress</x:v>
      </x:c>
      <x:c r="H5618" s="19" t="str">
        <x:v>Pre Delivery</x:v>
      </x:c>
      <x:c r="I5618" s="37" t="n">
        <x:v>46058</x:v>
      </x:c>
      <x:c r="J5618" s="37" t="n">
        <x:v>46058</x:v>
      </x:c>
      <x:c r="K5618" s="19" t="str">
        <x:v>Regent RV - Frankston</x:v>
      </x:c>
      <x:c r="L5618" s="19" t="str">
        <x:v>Z005</x:v>
      </x:c>
      <x:c r="M5618" s="19" t="str">
        <x:v>Pre Delivery Warranty Claims</x:v>
      </x:c>
      <x:c r="N5618" s="37" t="n">
        <x:v>45936</x:v>
      </x:c>
      <x:c r="O5618" s="37"/>
      <x:c r="P5618" s="34" t="n">
        <x:v>0</x:v>
      </x:c>
      <x:c r="Q5618" s="37" t="n">
        <x:v>46058.28575231481</x:v>
      </x:c>
    </x:row>
    <x:row r="5619">
      <x:c r="A5619" s="22" t="n">
        <x:v>26221</x:v>
      </x:c>
      <x:c r="B5619" s="28" t="n">
        <x:v>600</x:v>
      </x:c>
      <x:c r="C5619" s="28"/>
      <x:c r="D5619" s="31" t="str">
        <x:f>IF(OR(ISBLANK(B5619),ISBLANK(C5619),B5619=0),"",(C5619-B5619)/B5619)</x:f>
      </x:c>
      <x:c r="E5619" s="22" t="str">
        <x:f>IF(ISBLANK(C5619),"AmountIncludingTax缺失",IF(ABS(B5619-C5619)&lt;0.005,"一致","不一致"))</x:f>
        <x:v>AmountIncludingTax缺失</x:v>
      </x:c>
      <x:c r="F5619" s="19" t="str">
        <x:v>approved</x:v>
      </x:c>
      <x:c r="G5619" s="19" t="str">
        <x:v>Partially Picked</x:v>
      </x:c>
      <x:c r="H5619" s="19" t="str">
        <x:v>In Field</x:v>
      </x:c>
      <x:c r="I5619" s="37" t="n">
        <x:v>46104</x:v>
      </x:c>
      <x:c r="J5619" s="37" t="n">
        <x:v>46104</x:v>
      </x:c>
      <x:c r="K5619" s="19" t="str">
        <x:v>Regent RV - Perth</x:v>
      </x:c>
      <x:c r="L5619" s="19" t="str">
        <x:v>Z006</x:v>
      </x:c>
      <x:c r="M5619" s="19" t="str">
        <x:v>In Field Warranty Claims</x:v>
      </x:c>
      <x:c r="N5619" s="37" t="n">
        <x:v>45936</x:v>
      </x:c>
      <x:c r="O5619" s="37"/>
      <x:c r="P5619" s="34" t="n">
        <x:v>0</x:v>
      </x:c>
      <x:c r="Q5619" s="37" t="n">
        <x:v>46104.1778125</x:v>
      </x:c>
    </x:row>
    <x:row r="5620">
      <x:c r="A5620" s="22" t="n">
        <x:v>26219</x:v>
      </x:c>
      <x:c r="B5620" s="28" t="n">
        <x:v>67.5</x:v>
      </x:c>
      <x:c r="C5620" s="28"/>
      <x:c r="D5620" s="31" t="str">
        <x:f>IF(OR(ISBLANK(B5620),ISBLANK(C5620),B5620=0),"",(C5620-B5620)/B5620)</x:f>
      </x:c>
      <x:c r="E5620" s="22" t="str">
        <x:f>IF(ISBLANK(C5620),"AmountIncludingTax缺失",IF(ABS(B5620-C5620)&lt;0.005,"一致","不一致"))</x:f>
        <x:v>AmountIncludingTax缺失</x:v>
      </x:c>
      <x:c r="F5620" s="19" t="str">
        <x:v>approved</x:v>
      </x:c>
      <x:c r="G5620" s="19" t="str">
        <x:v>Repair in Progress</x:v>
      </x:c>
      <x:c r="H5620" s="19" t="str">
        <x:v>Pre Delivery</x:v>
      </x:c>
      <x:c r="I5620" s="37" t="n">
        <x:v>46055</x:v>
      </x:c>
      <x:c r="J5620" s="37" t="n">
        <x:v>46055</x:v>
      </x:c>
      <x:c r="K5620" s="19" t="str">
        <x:v>Regent RV - Frankston</x:v>
      </x:c>
      <x:c r="L5620" s="19" t="str">
        <x:v>Z005</x:v>
      </x:c>
      <x:c r="M5620" s="19" t="str">
        <x:v>Pre Delivery Warranty Claims</x:v>
      </x:c>
      <x:c r="N5620" s="37" t="n">
        <x:v>45936</x:v>
      </x:c>
      <x:c r="O5620" s="37"/>
      <x:c r="P5620" s="34" t="n">
        <x:v>0</x:v>
      </x:c>
      <x:c r="Q5620" s="37" t="n">
        <x:v>46055.22876157407</x:v>
      </x:c>
    </x:row>
    <x:row r="5621">
      <x:c r="A5621" s="22" t="n">
        <x:v>26218</x:v>
      </x:c>
      <x:c r="B5621" s="28" t="n">
        <x:v>258</x:v>
      </x:c>
      <x:c r="C5621" s="28" t="n">
        <x:v>233.59</x:v>
      </x:c>
      <x:c r="D5621" s="31" t="n">
        <x:f>IF(OR(ISBLANK(B5621),ISBLANK(C5621),B5621=0),"",(C5621-B5621)/B5621)</x:f>
        <x:v>-0.09461240310077518</x:v>
      </x:c>
      <x:c r="E5621" s="22" t="str">
        <x:f>IF(ISBLANK(C5621),"AmountIncludingTax缺失",IF(ABS(B5621-C5621)&lt;0.005,"一致","不一致"))</x:f>
        <x:v>不一致</x:v>
      </x:c>
      <x:c r="F5621" s="19" t="str">
        <x:v>approved</x:v>
      </x:c>
      <x:c r="G5621" s="19" t="str">
        <x:v>Repairer Invoiced Processed</x:v>
      </x:c>
      <x:c r="H5621" s="19" t="str">
        <x:v>In Field</x:v>
      </x:c>
      <x:c r="I5621" s="37" t="n">
        <x:v>46142</x:v>
      </x:c>
      <x:c r="J5621" s="37" t="n">
        <x:v>46142</x:v>
      </x:c>
      <x:c r="K5621" s="19" t="str">
        <x:v>Vanari Caravans - Marden Point</x:v>
      </x:c>
      <x:c r="L5621" s="19" t="str">
        <x:v>Z006</x:v>
      </x:c>
      <x:c r="M5621" s="19" t="str">
        <x:v>In Field Warranty Claims</x:v>
      </x:c>
      <x:c r="N5621" s="37" t="n">
        <x:v>45936</x:v>
      </x:c>
      <x:c r="O5621" s="37"/>
      <x:c r="P5621" s="34" t="n">
        <x:v>233.59</x:v>
      </x:c>
      <x:c r="Q5621" s="37" t="n">
        <x:v>46141.99244212963</x:v>
      </x:c>
    </x:row>
    <x:row r="5622">
      <x:c r="A5622" s="22" t="n">
        <x:v>26208</x:v>
      </x:c>
      <x:c r="B5622" s="28" t="n">
        <x:v>150</x:v>
      </x:c>
      <x:c r="C5622" s="28" t="n">
        <x:v>165</x:v>
      </x:c>
      <x:c r="D5622" s="31" t="n">
        <x:f>IF(OR(ISBLANK(B5622),ISBLANK(C5622),B5622=0),"",(C5622-B5622)/B5622)</x:f>
        <x:v>0.1</x:v>
      </x:c>
      <x:c r="E5622" s="22" t="str">
        <x:f>IF(ISBLANK(C5622),"AmountIncludingTax缺失",IF(ABS(B5622-C5622)&lt;0.005,"一致","不一致"))</x:f>
        <x:v>不一致</x:v>
      </x:c>
      <x:c r="F5622" s="19" t="str">
        <x:v>approved</x:v>
      </x:c>
      <x:c r="G5622" s="19" t="str">
        <x:v>Repair in Progress</x:v>
      </x:c>
      <x:c r="H5622" s="19" t="str">
        <x:v>Pre Delivery</x:v>
      </x:c>
      <x:c r="I5622" s="37" t="n">
        <x:v>46038</x:v>
      </x:c>
      <x:c r="J5622" s="37" t="n">
        <x:v>46038</x:v>
      </x:c>
      <x:c r="K5622" s="19" t="str">
        <x:v>Regent RV - Perth</x:v>
      </x:c>
      <x:c r="L5622" s="19" t="str">
        <x:v>Z005</x:v>
      </x:c>
      <x:c r="M5622" s="19" t="str">
        <x:v>Pre Delivery Warranty Claims</x:v>
      </x:c>
      <x:c r="N5622" s="37" t="n">
        <x:v>45936</x:v>
      </x:c>
      <x:c r="O5622" s="37"/>
      <x:c r="P5622" s="34" t="n">
        <x:v>165</x:v>
      </x:c>
      <x:c r="Q5622" s="37" t="n">
        <x:v>46038.01353009259</x:v>
      </x:c>
    </x:row>
    <x:row r="5623">
      <x:c r="A5623" s="22" t="n">
        <x:v>26181</x:v>
      </x:c>
      <x:c r="B5623" s="28" t="n">
        <x:v>75</x:v>
      </x:c>
      <x:c r="C5623" s="28"/>
      <x:c r="D5623" s="31" t="str">
        <x:f>IF(OR(ISBLANK(B5623),ISBLANK(C5623),B5623=0),"",(C5623-B5623)/B5623)</x:f>
      </x:c>
      <x:c r="E5623" s="22" t="str">
        <x:f>IF(ISBLANK(C5623),"AmountIncludingTax缺失",IF(ABS(B5623-C5623)&lt;0.005,"一致","不一致"))</x:f>
        <x:v>AmountIncludingTax缺失</x:v>
      </x:c>
      <x:c r="F5623" s="19" t="str">
        <x:v>approved</x:v>
      </x:c>
      <x:c r="G5623" s="19" t="str">
        <x:v>Repair in Progress</x:v>
      </x:c>
      <x:c r="H5623" s="19" t="str">
        <x:v>Pre Delivery</x:v>
      </x:c>
      <x:c r="I5623" s="37" t="n">
        <x:v>46097</x:v>
      </x:c>
      <x:c r="J5623" s="37" t="n">
        <x:v>46097</x:v>
      </x:c>
      <x:c r="K5623" s="19" t="str">
        <x:v>Regent RV - Perth</x:v>
      </x:c>
      <x:c r="L5623" s="19" t="str">
        <x:v>Z005</x:v>
      </x:c>
      <x:c r="M5623" s="19" t="str">
        <x:v>Pre Delivery Warranty Claims</x:v>
      </x:c>
      <x:c r="N5623" s="37" t="n">
        <x:v>45933</x:v>
      </x:c>
      <x:c r="O5623" s="37"/>
      <x:c r="P5623" s="34" t="n">
        <x:v>0</x:v>
      </x:c>
      <x:c r="Q5623" s="37" t="n">
        <x:v>46096.88123842593</x:v>
      </x:c>
    </x:row>
    <x:row r="5624">
      <x:c r="A5624" s="22" t="n">
        <x:v>26179</x:v>
      </x:c>
      <x:c r="B5624" s="28" t="n">
        <x:v>250.03</x:v>
      </x:c>
      <x:c r="C5624" s="28"/>
      <x:c r="D5624" s="31" t="str">
        <x:f>IF(OR(ISBLANK(B5624),ISBLANK(C5624),B5624=0),"",(C5624-B5624)/B5624)</x:f>
      </x:c>
      <x:c r="E5624" s="22" t="str">
        <x:f>IF(ISBLANK(C5624),"AmountIncludingTax缺失",IF(ABS(B5624-C5624)&lt;0.005,"一致","不一致"))</x:f>
        <x:v>AmountIncludingTax缺失</x:v>
      </x:c>
      <x:c r="F5624" s="19" t="str">
        <x:v>approved</x:v>
      </x:c>
      <x:c r="G5624" s="19" t="str">
        <x:v>Repairer Invoiced Processed</x:v>
      </x:c>
      <x:c r="H5624" s="19" t="str">
        <x:v>In Field</x:v>
      </x:c>
      <x:c r="I5624" s="37" t="n">
        <x:v>46197</x:v>
      </x:c>
      <x:c r="J5624" s="37" t="n">
        <x:v>46197</x:v>
      </x:c>
      <x:c r="K5624" s="19" t="str">
        <x:v>Green RV - Forest Glen</x:v>
      </x:c>
      <x:c r="L5624" s="19" t="str">
        <x:v>Z006</x:v>
      </x:c>
      <x:c r="M5624" s="19" t="str">
        <x:v>In Field Warranty Claims</x:v>
      </x:c>
      <x:c r="N5624" s="37" t="n">
        <x:v>45933</x:v>
      </x:c>
      <x:c r="O5624" s="37"/>
      <x:c r="P5624" s="34" t="n">
        <x:v>0</x:v>
      </x:c>
      <x:c r="Q5624" s="37" t="n">
        <x:v>46197.14612268518</x:v>
      </x:c>
    </x:row>
    <x:row r="5625">
      <x:c r="A5625" s="22" t="n">
        <x:v>26173</x:v>
      </x:c>
      <x:c r="B5625" s="28" t="n">
        <x:v>421.1</x:v>
      </x:c>
      <x:c r="C5625" s="28" t="n">
        <x:v>463.21</x:v>
      </x:c>
      <x:c r="D5625" s="31" t="n">
        <x:f>IF(OR(ISBLANK(B5625),ISBLANK(C5625),B5625=0),"",(C5625-B5625)/B5625)</x:f>
        <x:v>0.0999999999999999</x:v>
      </x:c>
      <x:c r="E5625" s="22" t="str">
        <x:f>IF(ISBLANK(C5625),"AmountIncludingTax缺失",IF(ABS(B5625-C5625)&lt;0.005,"一致","不一致"))</x:f>
        <x:v>不一致</x:v>
      </x:c>
      <x:c r="F5625" s="19" t="str">
        <x:v>approved</x:v>
      </x:c>
      <x:c r="G5625" s="19" t="str">
        <x:v>Repairer Invoiced Processed</x:v>
      </x:c>
      <x:c r="H5625" s="19" t="str">
        <x:v>Pre Delivery</x:v>
      </x:c>
      <x:c r="I5625" s="37" t="n">
        <x:v>46038</x:v>
      </x:c>
      <x:c r="J5625" s="37" t="n">
        <x:v>46038</x:v>
      </x:c>
      <x:c r="K5625" s="19" t="str">
        <x:v>Green RV - Slacks Creek</x:v>
      </x:c>
      <x:c r="L5625" s="19" t="str">
        <x:v>Z005</x:v>
      </x:c>
      <x:c r="M5625" s="19" t="str">
        <x:v>Pre Delivery Warranty Claims</x:v>
      </x:c>
      <x:c r="N5625" s="37" t="n">
        <x:v>45933</x:v>
      </x:c>
      <x:c r="O5625" s="37"/>
      <x:c r="P5625" s="34" t="n">
        <x:v>463.21</x:v>
      </x:c>
      <x:c r="Q5625" s="37" t="n">
        <x:v>46038.01231481481</x:v>
      </x:c>
    </x:row>
    <x:row r="5626">
      <x:c r="A5626" s="22" t="n">
        <x:v>26156</x:v>
      </x:c>
      <x:c r="B5626" s="28" t="n">
        <x:v>1880.5</x:v>
      </x:c>
      <x:c r="C5626" s="28"/>
      <x:c r="D5626" s="31" t="str">
        <x:f>IF(OR(ISBLANK(B5626),ISBLANK(C5626),B5626=0),"",(C5626-B5626)/B5626)</x:f>
      </x:c>
      <x:c r="E5626" s="22" t="str">
        <x:f>IF(ISBLANK(C5626),"AmountIncludingTax缺失",IF(ABS(B5626-C5626)&lt;0.005,"一致","不一致"))</x:f>
        <x:v>AmountIncludingTax缺失</x:v>
      </x:c>
      <x:c r="F5626" s="19" t="str">
        <x:v>approved</x:v>
      </x:c>
      <x:c r="G5626" s="19" t="str">
        <x:v>Repairer Invoiced Processed</x:v>
      </x:c>
      <x:c r="H5626" s="19" t="str">
        <x:v>In Field</x:v>
      </x:c>
      <x:c r="I5626" s="37" t="n">
        <x:v>46142</x:v>
      </x:c>
      <x:c r="J5626" s="37" t="n">
        <x:v>46142</x:v>
      </x:c>
      <x:c r="K5626" s="19" t="str">
        <x:v>Newcastle RV Super Centre - Beresfield</x:v>
      </x:c>
      <x:c r="L5626" s="19" t="str">
        <x:v>Z006</x:v>
      </x:c>
      <x:c r="M5626" s="19" t="str">
        <x:v>In Field Warranty Claims</x:v>
      </x:c>
      <x:c r="N5626" s="37" t="n">
        <x:v>45933</x:v>
      </x:c>
      <x:c r="O5626" s="37" t="n">
        <x:v>46101</x:v>
      </x:c>
      <x:c r="P5626" s="34" t="n">
        <x:v>0</x:v>
      </x:c>
      <x:c r="Q5626" s="37" t="n">
        <x:v>46142.12636574074</x:v>
      </x:c>
    </x:row>
    <x:row r="5627">
      <x:c r="A5627" s="22" t="n">
        <x:v>26153</x:v>
      </x:c>
      <x:c r="B5627" s="28" t="n">
        <x:v>594.1</x:v>
      </x:c>
      <x:c r="C5627" s="28"/>
      <x:c r="D5627" s="31" t="str">
        <x:f>IF(OR(ISBLANK(B5627),ISBLANK(C5627),B5627=0),"",(C5627-B5627)/B5627)</x:f>
      </x:c>
      <x:c r="E5627" s="22" t="str">
        <x:f>IF(ISBLANK(C5627),"AmountIncludingTax缺失",IF(ABS(B5627-C5627)&lt;0.005,"一致","不一致"))</x:f>
        <x:v>AmountIncludingTax缺失</x:v>
      </x:c>
      <x:c r="F5627" s="19" t="str">
        <x:v>approved</x:v>
      </x:c>
      <x:c r="G5627" s="19" t="str">
        <x:v>Repairer Invoiced Processed</x:v>
      </x:c>
      <x:c r="H5627" s="19" t="str">
        <x:v>In Field</x:v>
      </x:c>
      <x:c r="I5627" s="37" t="n">
        <x:v>46161</x:v>
      </x:c>
      <x:c r="J5627" s="37" t="n">
        <x:v>46161</x:v>
      </x:c>
      <x:c r="K5627" s="19" t="str">
        <x:v>Regent RV Pty Ltd</x:v>
      </x:c>
      <x:c r="L5627" s="19" t="str">
        <x:v>Z006</x:v>
      </x:c>
      <x:c r="M5627" s="19" t="str">
        <x:v>In Field Warranty Claims</x:v>
      </x:c>
      <x:c r="N5627" s="37" t="n">
        <x:v>45932</x:v>
      </x:c>
      <x:c r="O5627" s="37" t="n">
        <x:v>46101</x:v>
      </x:c>
      <x:c r="P5627" s="34" t="n">
        <x:v>0</x:v>
      </x:c>
      <x:c r="Q5627" s="37" t="n">
        <x:v>46160.93814814815</x:v>
      </x:c>
    </x:row>
    <x:row r="5628">
      <x:c r="A5628" s="22" t="n">
        <x:v>26151</x:v>
      </x:c>
      <x:c r="B5628" s="28" t="n">
        <x:v>443.19</x:v>
      </x:c>
      <x:c r="C5628" s="28"/>
      <x:c r="D5628" s="31" t="str">
        <x:f>IF(OR(ISBLANK(B5628),ISBLANK(C5628),B5628=0),"",(C5628-B5628)/B5628)</x:f>
      </x:c>
      <x:c r="E5628" s="22" t="str">
        <x:f>IF(ISBLANK(C5628),"AmountIncludingTax缺失",IF(ABS(B5628-C5628)&lt;0.005,"一致","不一致"))</x:f>
        <x:v>AmountIncludingTax缺失</x:v>
      </x:c>
      <x:c r="F5628" s="19" t="str">
        <x:v>approved</x:v>
      </x:c>
      <x:c r="G5628" s="19" t="str">
        <x:v>Repairer Invoiced Received</x:v>
      </x:c>
      <x:c r="H5628" s="19" t="str">
        <x:v>In Field</x:v>
      </x:c>
      <x:c r="I5628" s="37" t="n">
        <x:v>46031</x:v>
      </x:c>
      <x:c r="J5628" s="37" t="n">
        <x:v>46031</x:v>
      </x:c>
      <x:c r="K5628" s="19" t="str">
        <x:v>Newcastle RV Super Centre - Beresfield</x:v>
      </x:c>
      <x:c r="L5628" s="19" t="str">
        <x:v>Z006</x:v>
      </x:c>
      <x:c r="M5628" s="19" t="str">
        <x:v>In Field Warranty Claims</x:v>
      </x:c>
      <x:c r="N5628" s="37" t="n">
        <x:v>45932</x:v>
      </x:c>
      <x:c r="O5628" s="37"/>
      <x:c r="P5628" s="34" t="n">
        <x:v>0</x:v>
      </x:c>
      <x:c r="Q5628" s="37" t="n">
        <x:v>46030.88612268519</x:v>
      </x:c>
    </x:row>
    <x:row r="5629">
      <x:c r="A5629" s="22" t="n">
        <x:v>26135</x:v>
      </x:c>
      <x:c r="B5629" s="28" t="n">
        <x:v>329.19</x:v>
      </x:c>
      <x:c r="C5629" s="28" t="n">
        <x:v>362.11</x:v>
      </x:c>
      <x:c r="D5629" s="31" t="n">
        <x:f>IF(OR(ISBLANK(B5629),ISBLANK(C5629),B5629=0),"",(C5629-B5629)/B5629)</x:f>
        <x:v>0.10000303775934875</x:v>
      </x:c>
      <x:c r="E5629" s="22" t="str">
        <x:f>IF(ISBLANK(C5629),"AmountIncludingTax缺失",IF(ABS(B5629-C5629)&lt;0.005,"一致","不一致"))</x:f>
        <x:v>不一致</x:v>
      </x:c>
      <x:c r="F5629" s="19" t="str">
        <x:v>approved</x:v>
      </x:c>
      <x:c r="G5629" s="19" t="str">
        <x:v>Repairer Invoiced Processed</x:v>
      </x:c>
      <x:c r="H5629" s="19" t="str">
        <x:v>Pre Delivery</x:v>
      </x:c>
      <x:c r="I5629" s="37" t="n">
        <x:v>46063</x:v>
      </x:c>
      <x:c r="J5629" s="37" t="n">
        <x:v>46063</x:v>
      </x:c>
      <x:c r="K5629" s="19" t="str">
        <x:v>Green RV - Slacks Creek</x:v>
      </x:c>
      <x:c r="L5629" s="19" t="str">
        <x:v>Z005</x:v>
      </x:c>
      <x:c r="M5629" s="19" t="str">
        <x:v>Pre Delivery Warranty Claims</x:v>
      </x:c>
      <x:c r="N5629" s="37" t="n">
        <x:v>45932</x:v>
      </x:c>
      <x:c r="O5629" s="37"/>
      <x:c r="P5629" s="34" t="n">
        <x:v>362.11</x:v>
      </x:c>
      <x:c r="Q5629" s="37" t="n">
        <x:v>46063.14162037037</x:v>
      </x:c>
    </x:row>
    <x:row r="5630">
      <x:c r="A5630" s="22" t="n">
        <x:v>26129</x:v>
      </x:c>
      <x:c r="B5630" s="28" t="n">
        <x:v>1321.32</x:v>
      </x:c>
      <x:c r="C5630" s="28"/>
      <x:c r="D5630" s="31" t="str">
        <x:f>IF(OR(ISBLANK(B5630),ISBLANK(C5630),B5630=0),"",(C5630-B5630)/B5630)</x:f>
      </x:c>
      <x:c r="E5630" s="22" t="str">
        <x:f>IF(ISBLANK(C5630),"AmountIncludingTax缺失",IF(ABS(B5630-C5630)&lt;0.005,"一致","不一致"))</x:f>
        <x:v>AmountIncludingTax缺失</x:v>
      </x:c>
      <x:c r="F5630" s="19" t="str">
        <x:v>approved</x:v>
      </x:c>
      <x:c r="G5630" s="19" t="str">
        <x:v>Repair in Progress</x:v>
      </x:c>
      <x:c r="H5630" s="19" t="str">
        <x:v>In Field</x:v>
      </x:c>
      <x:c r="I5630" s="37" t="n">
        <x:v>46134</x:v>
      </x:c>
      <x:c r="J5630" s="37" t="n">
        <x:v>46134</x:v>
      </x:c>
      <x:c r="K5630" s="19" t="str">
        <x:v>Vanari Caravans - Marden Point</x:v>
      </x:c>
      <x:c r="L5630" s="19" t="str">
        <x:v>Z006</x:v>
      </x:c>
      <x:c r="M5630" s="19" t="str">
        <x:v>In Field Warranty Claims</x:v>
      </x:c>
      <x:c r="N5630" s="37" t="n">
        <x:v>45932</x:v>
      </x:c>
      <x:c r="O5630" s="37" t="n">
        <x:v>46100</x:v>
      </x:c>
      <x:c r="P5630" s="34" t="n">
        <x:v>0</x:v>
      </x:c>
      <x:c r="Q5630" s="37" t="n">
        <x:v>46133.95012731481</x:v>
      </x:c>
    </x:row>
    <x:row r="5631">
      <x:c r="A5631" s="22" t="n">
        <x:v>26123</x:v>
      </x:c>
      <x:c r="B5631" s="28" t="n">
        <x:v>298.47</x:v>
      </x:c>
      <x:c r="C5631" s="28" t="n">
        <x:v>328.32</x:v>
      </x:c>
      <x:c r="D5631" s="31" t="n">
        <x:f>IF(OR(ISBLANK(B5631),ISBLANK(C5631),B5631=0),"",(C5631-B5631)/B5631)</x:f>
        <x:v>0.10001005126143318</x:v>
      </x:c>
      <x:c r="E5631" s="22" t="str">
        <x:f>IF(ISBLANK(C5631),"AmountIncludingTax缺失",IF(ABS(B5631-C5631)&lt;0.005,"一致","不一致"))</x:f>
        <x:v>不一致</x:v>
      </x:c>
      <x:c r="F5631" s="19" t="str">
        <x:v>approved</x:v>
      </x:c>
      <x:c r="G5631" s="19" t="str">
        <x:v>Repair in Progress</x:v>
      </x:c>
      <x:c r="H5631" s="19" t="str">
        <x:v>Pre Delivery</x:v>
      </x:c>
      <x:c r="I5631" s="37" t="n">
        <x:v>46038</x:v>
      </x:c>
      <x:c r="J5631" s="37" t="n">
        <x:v>46038</x:v>
      </x:c>
      <x:c r="K5631" s="19" t="str">
        <x:v>Auswide Caravans - South Nowra</x:v>
      </x:c>
      <x:c r="L5631" s="19" t="str">
        <x:v>Z005</x:v>
      </x:c>
      <x:c r="M5631" s="19" t="str">
        <x:v>Pre Delivery Warranty Claims</x:v>
      </x:c>
      <x:c r="N5631" s="37" t="n">
        <x:v>45931</x:v>
      </x:c>
      <x:c r="O5631" s="37"/>
      <x:c r="P5631" s="34" t="n">
        <x:v>328.32</x:v>
      </x:c>
      <x:c r="Q5631" s="37" t="n">
        <x:v>46038.019467592596</x:v>
      </x:c>
    </x:row>
    <x:row r="5632">
      <x:c r="A5632" s="22" t="n">
        <x:v>26121</x:v>
      </x:c>
      <x:c r="B5632" s="28" t="n">
        <x:v>139.09</x:v>
      </x:c>
      <x:c r="C5632" s="28"/>
      <x:c r="D5632" s="31" t="str">
        <x:f>IF(OR(ISBLANK(B5632),ISBLANK(C5632),B5632=0),"",(C5632-B5632)/B5632)</x:f>
      </x:c>
      <x:c r="E5632" s="22" t="str">
        <x:f>IF(ISBLANK(C5632),"AmountIncludingTax缺失",IF(ABS(B5632-C5632)&lt;0.005,"一致","不一致"))</x:f>
        <x:v>AmountIncludingTax缺失</x:v>
      </x:c>
      <x:c r="F5632" s="19" t="str">
        <x:v>approved</x:v>
      </x:c>
      <x:c r="G5632" s="19" t="str">
        <x:v>Repairer Invoiced Processed</x:v>
      </x:c>
      <x:c r="H5632" s="19" t="str">
        <x:v>In Field</x:v>
      </x:c>
      <x:c r="I5632" s="37" t="n">
        <x:v>46065</x:v>
      </x:c>
      <x:c r="J5632" s="37" t="n">
        <x:v>46065</x:v>
      </x:c>
      <x:c r="K5632" s="19" t="str">
        <x:v>Regent RV - Townsville</x:v>
      </x:c>
      <x:c r="L5632" s="19" t="str">
        <x:v>Z006</x:v>
      </x:c>
      <x:c r="M5632" s="19" t="str">
        <x:v>In Field Warranty Claims</x:v>
      </x:c>
      <x:c r="N5632" s="37" t="n">
        <x:v>45931</x:v>
      </x:c>
      <x:c r="O5632" s="37" t="n">
        <x:v>46063</x:v>
      </x:c>
      <x:c r="P5632" s="34" t="n">
        <x:v>0</x:v>
      </x:c>
      <x:c r="Q5632" s="37" t="n">
        <x:v>46064.98962962963</x:v>
      </x:c>
    </x:row>
    <x:row r="5633">
      <x:c r="A5633" s="22" t="n">
        <x:v>26105</x:v>
      </x:c>
      <x:c r="B5633" s="28" t="n">
        <x:v>219.65</x:v>
      </x:c>
      <x:c r="C5633" s="28" t="n">
        <x:v>241.62</x:v>
      </x:c>
      <x:c r="D5633" s="31" t="n">
        <x:f>IF(OR(ISBLANK(B5633),ISBLANK(C5633),B5633=0),"",(C5633-B5633)/B5633)</x:f>
        <x:v>0.10002276348736626</x:v>
      </x:c>
      <x:c r="E5633" s="22" t="str">
        <x:f>IF(ISBLANK(C5633),"AmountIncludingTax缺失",IF(ABS(B5633-C5633)&lt;0.005,"一致","不一致"))</x:f>
        <x:v>不一致</x:v>
      </x:c>
      <x:c r="F5633" s="19" t="str">
        <x:v>approved</x:v>
      </x:c>
      <x:c r="G5633" s="19" t="str">
        <x:v>Repair in Progress</x:v>
      </x:c>
      <x:c r="H5633" s="19" t="str">
        <x:v>In Field</x:v>
      </x:c>
      <x:c r="I5633" s="37" t="n">
        <x:v>46076</x:v>
      </x:c>
      <x:c r="J5633" s="37" t="n">
        <x:v>46073</x:v>
      </x:c>
      <x:c r="K5633" s="19" t="str">
        <x:v>Regent RV - Frankston</x:v>
      </x:c>
      <x:c r="L5633" s="19" t="str">
        <x:v>Z006</x:v>
      </x:c>
      <x:c r="M5633" s="19" t="str">
        <x:v>In Field Warranty Claims</x:v>
      </x:c>
      <x:c r="N5633" s="37" t="n">
        <x:v>45931</x:v>
      </x:c>
      <x:c r="O5633" s="37"/>
      <x:c r="P5633" s="34" t="n">
        <x:v>241.62</x:v>
      </x:c>
      <x:c r="Q5633" s="37" t="n">
        <x:v>46076.12006944444</x:v>
      </x:c>
    </x:row>
    <x:row r="5634">
      <x:c r="A5634" s="22" t="n">
        <x:v>26101</x:v>
      </x:c>
      <x:c r="B5634" s="28" t="n">
        <x:v>700</x:v>
      </x:c>
      <x:c r="C5634" s="28"/>
      <x:c r="D5634" s="31" t="str">
        <x:f>IF(OR(ISBLANK(B5634),ISBLANK(C5634),B5634=0),"",(C5634-B5634)/B5634)</x:f>
      </x:c>
      <x:c r="E5634" s="22" t="str">
        <x:f>IF(ISBLANK(C5634),"AmountIncludingTax缺失",IF(ABS(B5634-C5634)&lt;0.005,"一致","不一致"))</x:f>
        <x:v>AmountIncludingTax缺失</x:v>
      </x:c>
      <x:c r="F5634" s="19" t="str">
        <x:v>approved</x:v>
      </x:c>
      <x:c r="G5634" s="19" t="str">
        <x:v>Repair in Progress</x:v>
      </x:c>
      <x:c r="H5634" s="19" t="str">
        <x:v>In Field</x:v>
      </x:c>
      <x:c r="I5634" s="37" t="n">
        <x:v>46119</x:v>
      </x:c>
      <x:c r="J5634" s="37" t="n">
        <x:v>46119</x:v>
      </x:c>
      <x:c r="K5634" s="19" t="str">
        <x:v>ABCO Caravans - Boambee Valley</x:v>
      </x:c>
      <x:c r="L5634" s="19" t="str">
        <x:v>Z006</x:v>
      </x:c>
      <x:c r="M5634" s="19" t="str">
        <x:v>In Field Warranty Claims</x:v>
      </x:c>
      <x:c r="N5634" s="37" t="n">
        <x:v>45931</x:v>
      </x:c>
      <x:c r="O5634" s="37"/>
      <x:c r="P5634" s="34" t="n">
        <x:v>0</x:v>
      </x:c>
      <x:c r="Q5634" s="37" t="n">
        <x:v>46118.954675925925</x:v>
      </x:c>
    </x:row>
    <x:row r="5635">
      <x:c r="A5635" s="22" t="n">
        <x:v>26088</x:v>
      </x:c>
      <x:c r="B5635" s="28" t="n">
        <x:v>425</x:v>
      </x:c>
      <x:c r="C5635" s="28"/>
      <x:c r="D5635" s="31" t="str">
        <x:f>IF(OR(ISBLANK(B5635),ISBLANK(C5635),B5635=0),"",(C5635-B5635)/B5635)</x:f>
      </x:c>
      <x:c r="E5635" s="22" t="str">
        <x:f>IF(ISBLANK(C5635),"AmountIncludingTax缺失",IF(ABS(B5635-C5635)&lt;0.005,"一致","不一致"))</x:f>
        <x:v>AmountIncludingTax缺失</x:v>
      </x:c>
      <x:c r="F5635" s="19" t="str">
        <x:v>approved</x:v>
      </x:c>
      <x:c r="G5635" s="19" t="str">
        <x:v>Repairer Invoiced Processed</x:v>
      </x:c>
      <x:c r="H5635" s="19" t="str">
        <x:v>In Field</x:v>
      </x:c>
      <x:c r="I5635" s="37" t="n">
        <x:v>46114</x:v>
      </x:c>
      <x:c r="J5635" s="37" t="n">
        <x:v>46114</x:v>
      </x:c>
      <x:c r="K5635" s="19" t="str">
        <x:v>Dario Caravans -St.Marys</x:v>
      </x:c>
      <x:c r="L5635" s="19" t="str">
        <x:v>Z006</x:v>
      </x:c>
      <x:c r="M5635" s="19" t="str">
        <x:v>In Field Warranty Claims</x:v>
      </x:c>
      <x:c r="N5635" s="37" t="n">
        <x:v>45931</x:v>
      </x:c>
      <x:c r="O5635" s="37" t="n">
        <x:v>46101</x:v>
      </x:c>
      <x:c r="P5635" s="34" t="n">
        <x:v>0</x:v>
      </x:c>
      <x:c r="Q5635" s="37" t="n">
        <x:v>46114.16984953704</x:v>
      </x:c>
    </x:row>
    <x:row r="5636">
      <x:c r="A5636" s="22" t="n">
        <x:v>26059</x:v>
      </x:c>
      <x:c r="B5636" s="28" t="n">
        <x:v>200</x:v>
      </x:c>
      <x:c r="C5636" s="28" t="n">
        <x:v>220</x:v>
      </x:c>
      <x:c r="D5636" s="31" t="n">
        <x:f>IF(OR(ISBLANK(B5636),ISBLANK(C5636),B5636=0),"",(C5636-B5636)/B5636)</x:f>
        <x:v>0.1</x:v>
      </x:c>
      <x:c r="E5636" s="22" t="str">
        <x:f>IF(ISBLANK(C5636),"AmountIncludingTax缺失",IF(ABS(B5636-C5636)&lt;0.005,"一致","不一致"))</x:f>
        <x:v>不一致</x:v>
      </x:c>
      <x:c r="F5636" s="19"/>
      <x:c r="G5636" s="19" t="str">
        <x:v>Awaiting Parts</x:v>
      </x:c>
      <x:c r="H5636" s="19" t="str">
        <x:v>In Field</x:v>
      </x:c>
      <x:c r="I5636" s="37"/>
      <x:c r="J5636" s="37" t="n">
        <x:v>46212</x:v>
      </x:c>
      <x:c r="K5636" s="19" t="str">
        <x:v>Regent RV - Perth</x:v>
      </x:c>
      <x:c r="L5636" s="19" t="str">
        <x:v>Z006</x:v>
      </x:c>
      <x:c r="M5636" s="19" t="str">
        <x:v>In Field Warranty Claims</x:v>
      </x:c>
      <x:c r="N5636" s="37" t="n">
        <x:v>45931</x:v>
      </x:c>
      <x:c r="O5636" s="37"/>
      <x:c r="P5636" s="34" t="n">
        <x:v>220</x:v>
      </x:c>
      <x:c r="Q5636" s="37"/>
    </x:row>
    <x:row r="5637">
      <x:c r="A5637" s="22" t="n">
        <x:v>26056</x:v>
      </x:c>
      <x:c r="B5637" s="28" t="n">
        <x:v>713.63</x:v>
      </x:c>
      <x:c r="C5637" s="28"/>
      <x:c r="D5637" s="31" t="str">
        <x:f>IF(OR(ISBLANK(B5637),ISBLANK(C5637),B5637=0),"",(C5637-B5637)/B5637)</x:f>
      </x:c>
      <x:c r="E5637" s="22" t="str">
        <x:f>IF(ISBLANK(C5637),"AmountIncludingTax缺失",IF(ABS(B5637-C5637)&lt;0.005,"一致","不一致"))</x:f>
        <x:v>AmountIncludingTax缺失</x:v>
      </x:c>
      <x:c r="F5637" s="19" t="str">
        <x:v>approved</x:v>
      </x:c>
      <x:c r="G5637" s="19" t="str">
        <x:v>Repairer Invoiced Received</x:v>
      </x:c>
      <x:c r="H5637" s="19" t="str">
        <x:v>In Field</x:v>
      </x:c>
      <x:c r="I5637" s="37" t="n">
        <x:v>46041</x:v>
      </x:c>
      <x:c r="J5637" s="37" t="n">
        <x:v>46036</x:v>
      </x:c>
      <x:c r="K5637" s="19" t="str">
        <x:v>Newcastle RV Super Centre - Beresfield</x:v>
      </x:c>
      <x:c r="L5637" s="19" t="str">
        <x:v>Z006</x:v>
      </x:c>
      <x:c r="M5637" s="19" t="str">
        <x:v>In Field Warranty Claims</x:v>
      </x:c>
      <x:c r="N5637" s="37" t="n">
        <x:v>45931</x:v>
      </x:c>
      <x:c r="O5637" s="37"/>
      <x:c r="P5637" s="34" t="n">
        <x:v>0</x:v>
      </x:c>
      <x:c r="Q5637" s="37" t="n">
        <x:v>46040.873032407406</x:v>
      </x:c>
    </x:row>
    <x:row r="5638">
      <x:c r="A5638" s="22" t="n">
        <x:v>26037</x:v>
      </x:c>
      <x:c r="B5638" s="28" t="n">
        <x:v>218.32</x:v>
      </x:c>
      <x:c r="C5638" s="28"/>
      <x:c r="D5638" s="31" t="str">
        <x:f>IF(OR(ISBLANK(B5638),ISBLANK(C5638),B5638=0),"",(C5638-B5638)/B5638)</x:f>
      </x:c>
      <x:c r="E5638" s="22" t="str">
        <x:f>IF(ISBLANK(C5638),"AmountIncludingTax缺失",IF(ABS(B5638-C5638)&lt;0.005,"一致","不一致"))</x:f>
        <x:v>AmountIncludingTax缺失</x:v>
      </x:c>
      <x:c r="F5638" s="19" t="str">
        <x:v>approved</x:v>
      </x:c>
      <x:c r="G5638" s="19" t="str">
        <x:v>Repairer Invoiced Processed</x:v>
      </x:c>
      <x:c r="H5638" s="19" t="str">
        <x:v>In Field</x:v>
      </x:c>
      <x:c r="I5638" s="37" t="n">
        <x:v>46038</x:v>
      </x:c>
      <x:c r="J5638" s="37" t="n">
        <x:v>46038</x:v>
      </x:c>
      <x:c r="K5638" s="19" t="str">
        <x:v>Auswide Caravans - South Nowra</x:v>
      </x:c>
      <x:c r="L5638" s="19" t="str">
        <x:v>Z006</x:v>
      </x:c>
      <x:c r="M5638" s="19" t="str">
        <x:v>In Field Warranty Claims</x:v>
      </x:c>
      <x:c r="N5638" s="37" t="n">
        <x:v>45930</x:v>
      </x:c>
      <x:c r="O5638" s="37"/>
      <x:c r="P5638" s="34" t="n">
        <x:v>0</x:v>
      </x:c>
      <x:c r="Q5638" s="37" t="n">
        <x:v>46037.946064814816</x:v>
      </x:c>
    </x:row>
    <x:row r="5639">
      <x:c r="A5639" s="22" t="n">
        <x:v>26022</x:v>
      </x:c>
      <x:c r="B5639" s="28" t="n">
        <x:v>120</x:v>
      </x:c>
      <x:c r="C5639" s="28"/>
      <x:c r="D5639" s="31" t="str">
        <x:f>IF(OR(ISBLANK(B5639),ISBLANK(C5639),B5639=0),"",(C5639-B5639)/B5639)</x:f>
      </x:c>
      <x:c r="E5639" s="22" t="str">
        <x:f>IF(ISBLANK(C5639),"AmountIncludingTax缺失",IF(ABS(B5639-C5639)&lt;0.005,"一致","不一致"))</x:f>
        <x:v>AmountIncludingTax缺失</x:v>
      </x:c>
      <x:c r="F5639" s="19" t="str">
        <x:v>approved</x:v>
      </x:c>
      <x:c r="G5639" s="19" t="str">
        <x:v>Repair in Progress</x:v>
      </x:c>
      <x:c r="H5639" s="19" t="str">
        <x:v>Pre Delivery</x:v>
      </x:c>
      <x:c r="I5639" s="37" t="n">
        <x:v>46031</x:v>
      </x:c>
      <x:c r="J5639" s="37" t="n">
        <x:v>46029</x:v>
      </x:c>
      <x:c r="K5639" s="19" t="str">
        <x:v>Regent RV - Frankston</x:v>
      </x:c>
      <x:c r="L5639" s="19" t="str">
        <x:v>Z005</x:v>
      </x:c>
      <x:c r="M5639" s="19" t="str">
        <x:v>Pre Delivery Warranty Claims</x:v>
      </x:c>
      <x:c r="N5639" s="37" t="n">
        <x:v>45930</x:v>
      </x:c>
      <x:c r="O5639" s="37"/>
      <x:c r="P5639" s="34" t="n">
        <x:v>0</x:v>
      </x:c>
      <x:c r="Q5639" s="37" t="n">
        <x:v>46030.94388888889</x:v>
      </x:c>
    </x:row>
    <x:row r="5640">
      <x:c r="A5640" s="22" t="n">
        <x:v>26013</x:v>
      </x:c>
      <x:c r="B5640" s="28" t="n">
        <x:v>1454.55</x:v>
      </x:c>
      <x:c r="C5640" s="28"/>
      <x:c r="D5640" s="31" t="str">
        <x:f>IF(OR(ISBLANK(B5640),ISBLANK(C5640),B5640=0),"",(C5640-B5640)/B5640)</x:f>
      </x:c>
      <x:c r="E5640" s="22" t="str">
        <x:f>IF(ISBLANK(C5640),"AmountIncludingTax缺失",IF(ABS(B5640-C5640)&lt;0.005,"一致","不一致"))</x:f>
        <x:v>AmountIncludingTax缺失</x:v>
      </x:c>
      <x:c r="F5640" s="19" t="str">
        <x:v>approved</x:v>
      </x:c>
      <x:c r="G5640" s="19" t="str">
        <x:v>Repairer Invoiced Processed</x:v>
      </x:c>
      <x:c r="H5640" s="19" t="str">
        <x:v>In Field</x:v>
      </x:c>
      <x:c r="I5640" s="37" t="n">
        <x:v>46072</x:v>
      </x:c>
      <x:c r="J5640" s="37" t="n">
        <x:v>46072</x:v>
      </x:c>
      <x:c r="K5640" s="19" t="str">
        <x:v>The Caravan Hub - Townsville</x:v>
      </x:c>
      <x:c r="L5640" s="19" t="str">
        <x:v>Z006</x:v>
      </x:c>
      <x:c r="M5640" s="19" t="str">
        <x:v>In Field Warranty Claims</x:v>
      </x:c>
      <x:c r="N5640" s="37" t="n">
        <x:v>45930</x:v>
      </x:c>
      <x:c r="O5640" s="37"/>
      <x:c r="P5640" s="34" t="n">
        <x:v>1600.01</x:v>
      </x:c>
      <x:c r="Q5640" s="37" t="n">
        <x:v>46072.057916666665</x:v>
      </x:c>
    </x:row>
    <x:row r="5641">
      <x:c r="A5641" s="22" t="n">
        <x:v>26012</x:v>
      </x:c>
      <x:c r="B5641" s="28" t="n">
        <x:v>369</x:v>
      </x:c>
      <x:c r="C5641" s="28"/>
      <x:c r="D5641" s="31" t="str">
        <x:f>IF(OR(ISBLANK(B5641),ISBLANK(C5641),B5641=0),"",(C5641-B5641)/B5641)</x:f>
      </x:c>
      <x:c r="E5641" s="22" t="str">
        <x:f>IF(ISBLANK(C5641),"AmountIncludingTax缺失",IF(ABS(B5641-C5641)&lt;0.005,"一致","不一致"))</x:f>
        <x:v>AmountIncludingTax缺失</x:v>
      </x:c>
      <x:c r="F5641" s="19" t="str">
        <x:v>approved</x:v>
      </x:c>
      <x:c r="G5641" s="19" t="str">
        <x:v>Repair in Progress</x:v>
      </x:c>
      <x:c r="H5641" s="19" t="str">
        <x:v>Pre Delivery</x:v>
      </x:c>
      <x:c r="I5641" s="37" t="n">
        <x:v>46058</x:v>
      </x:c>
      <x:c r="J5641" s="37" t="n">
        <x:v>46058</x:v>
      </x:c>
      <x:c r="K5641" s="19" t="str">
        <x:v>Regent RV - Frankston</x:v>
      </x:c>
      <x:c r="L5641" s="19" t="str">
        <x:v>Z005</x:v>
      </x:c>
      <x:c r="M5641" s="19" t="str">
        <x:v>Pre Delivery Warranty Claims</x:v>
      </x:c>
      <x:c r="N5641" s="37" t="n">
        <x:v>45930</x:v>
      </x:c>
      <x:c r="O5641" s="37"/>
      <x:c r="P5641" s="34" t="n">
        <x:v>0</x:v>
      </x:c>
      <x:c r="Q5641" s="37" t="n">
        <x:v>46058.13861111111</x:v>
      </x:c>
    </x:row>
    <x:row r="5642">
      <x:c r="A5642" s="22" t="n">
        <x:v>26008</x:v>
      </x:c>
      <x:c r="B5642" s="28" t="n">
        <x:v>263.64</x:v>
      </x:c>
      <x:c r="C5642" s="28"/>
      <x:c r="D5642" s="31" t="str">
        <x:f>IF(OR(ISBLANK(B5642),ISBLANK(C5642),B5642=0),"",(C5642-B5642)/B5642)</x:f>
      </x:c>
      <x:c r="E5642" s="22" t="str">
        <x:f>IF(ISBLANK(C5642),"AmountIncludingTax缺失",IF(ABS(B5642-C5642)&lt;0.005,"一致","不一致"))</x:f>
        <x:v>AmountIncludingTax缺失</x:v>
      </x:c>
      <x:c r="F5642" s="19" t="str">
        <x:v>approved</x:v>
      </x:c>
      <x:c r="G5642" s="19" t="str">
        <x:v>Sales Order Approved</x:v>
      </x:c>
      <x:c r="H5642" s="19" t="str">
        <x:v>Pre Delivery</x:v>
      </x:c>
      <x:c r="I5642" s="37" t="n">
        <x:v>46183</x:v>
      </x:c>
      <x:c r="J5642" s="37" t="n">
        <x:v>46064</x:v>
      </x:c>
      <x:c r="K5642" s="19" t="str">
        <x:v>The Caravan Hub - Townsville</x:v>
      </x:c>
      <x:c r="L5642" s="19" t="str">
        <x:v>Z005</x:v>
      </x:c>
      <x:c r="M5642" s="19" t="str">
        <x:v>Pre Delivery Warranty Claims</x:v>
      </x:c>
      <x:c r="N5642" s="37" t="n">
        <x:v>45929</x:v>
      </x:c>
      <x:c r="O5642" s="37"/>
      <x:c r="P5642" s="34" t="n">
        <x:v>0</x:v>
      </x:c>
      <x:c r="Q5642" s="37" t="n">
        <x:v>46183.187430555554</x:v>
      </x:c>
    </x:row>
    <x:row r="5643">
      <x:c r="A5643" s="22" t="n">
        <x:v>26006</x:v>
      </x:c>
      <x:c r="B5643" s="28" t="n">
        <x:v>1052.5</x:v>
      </x:c>
      <x:c r="C5643" s="28"/>
      <x:c r="D5643" s="31" t="str">
        <x:f>IF(OR(ISBLANK(B5643),ISBLANK(C5643),B5643=0),"",(C5643-B5643)/B5643)</x:f>
      </x:c>
      <x:c r="E5643" s="22" t="str">
        <x:f>IF(ISBLANK(C5643),"AmountIncludingTax缺失",IF(ABS(B5643-C5643)&lt;0.005,"一致","不一致"))</x:f>
        <x:v>AmountIncludingTax缺失</x:v>
      </x:c>
      <x:c r="F5643" s="19" t="str">
        <x:v>approved</x:v>
      </x:c>
      <x:c r="G5643" s="19" t="str">
        <x:v>Repair in Progress</x:v>
      </x:c>
      <x:c r="H5643" s="19" t="str">
        <x:v>In Field</x:v>
      </x:c>
      <x:c r="I5643" s="37" t="n">
        <x:v>46142</x:v>
      </x:c>
      <x:c r="J5643" s="37" t="n">
        <x:v>46142</x:v>
      </x:c>
      <x:c r="K5643" s="19" t="str">
        <x:v>Regent RV - Perth</x:v>
      </x:c>
      <x:c r="L5643" s="19" t="str">
        <x:v>Z006</x:v>
      </x:c>
      <x:c r="M5643" s="19" t="str">
        <x:v>In Field Warranty Claims</x:v>
      </x:c>
      <x:c r="N5643" s="37" t="n">
        <x:v>45929</x:v>
      </x:c>
      <x:c r="O5643" s="37"/>
      <x:c r="P5643" s="34" t="n">
        <x:v>0</x:v>
      </x:c>
      <x:c r="Q5643" s="37" t="n">
        <x:v>46141.917962962965</x:v>
      </x:c>
    </x:row>
    <x:row r="5644">
      <x:c r="A5644" s="22" t="n">
        <x:v>26004</x:v>
      </x:c>
      <x:c r="B5644" s="28" t="n">
        <x:v>2415.01</x:v>
      </x:c>
      <x:c r="C5644" s="28"/>
      <x:c r="D5644" s="31" t="str">
        <x:f>IF(OR(ISBLANK(B5644),ISBLANK(C5644),B5644=0),"",(C5644-B5644)/B5644)</x:f>
      </x:c>
      <x:c r="E5644" s="22" t="str">
        <x:f>IF(ISBLANK(C5644),"AmountIncludingTax缺失",IF(ABS(B5644-C5644)&lt;0.005,"一致","不一致"))</x:f>
        <x:v>AmountIncludingTax缺失</x:v>
      </x:c>
      <x:c r="F5644" s="19" t="str">
        <x:v>approved</x:v>
      </x:c>
      <x:c r="G5644" s="19" t="str">
        <x:v>Repair in Progress</x:v>
      </x:c>
      <x:c r="H5644" s="19" t="str">
        <x:v>In Field</x:v>
      </x:c>
      <x:c r="I5644" s="37" t="n">
        <x:v>46182</x:v>
      </x:c>
      <x:c r="J5644" s="37" t="n">
        <x:v>46182</x:v>
      </x:c>
      <x:c r="K5644" s="19" t="str">
        <x:v>Green RV - Forest Glen</x:v>
      </x:c>
      <x:c r="L5644" s="19" t="str">
        <x:v>Z006</x:v>
      </x:c>
      <x:c r="M5644" s="19" t="str">
        <x:v>In Field Warranty Claims</x:v>
      </x:c>
      <x:c r="N5644" s="37" t="n">
        <x:v>45929</x:v>
      </x:c>
      <x:c r="O5644" s="37" t="n">
        <x:v>46045</x:v>
      </x:c>
      <x:c r="P5644" s="34" t="n">
        <x:v>2656.51</x:v>
      </x:c>
      <x:c r="Q5644" s="37" t="n">
        <x:v>46181.945601851854</x:v>
      </x:c>
    </x:row>
    <x:row r="5645">
      <x:c r="A5645" s="22" t="n">
        <x:v>26003</x:v>
      </x:c>
      <x:c r="B5645" s="28" t="n">
        <x:v>627.5</x:v>
      </x:c>
      <x:c r="C5645" s="28"/>
      <x:c r="D5645" s="31" t="str">
        <x:f>IF(OR(ISBLANK(B5645),ISBLANK(C5645),B5645=0),"",(C5645-B5645)/B5645)</x:f>
      </x:c>
      <x:c r="E5645" s="22" t="str">
        <x:f>IF(ISBLANK(C5645),"AmountIncludingTax缺失",IF(ABS(B5645-C5645)&lt;0.005,"一致","不一致"))</x:f>
        <x:v>AmountIncludingTax缺失</x:v>
      </x:c>
      <x:c r="F5645" s="19" t="str">
        <x:v>approved</x:v>
      </x:c>
      <x:c r="G5645" s="19" t="str">
        <x:v>Repair in Progress</x:v>
      </x:c>
      <x:c r="H5645" s="19" t="str">
        <x:v>In Field</x:v>
      </x:c>
      <x:c r="I5645" s="37" t="n">
        <x:v>46098</x:v>
      </x:c>
      <x:c r="J5645" s="37" t="n">
        <x:v>46098</x:v>
      </x:c>
      <x:c r="K5645" s="19" t="str">
        <x:v>Regent RV - Perth</x:v>
      </x:c>
      <x:c r="L5645" s="19" t="str">
        <x:v>Z006</x:v>
      </x:c>
      <x:c r="M5645" s="19" t="str">
        <x:v>In Field Warranty Claims</x:v>
      </x:c>
      <x:c r="N5645" s="37" t="n">
        <x:v>45929</x:v>
      </x:c>
      <x:c r="O5645" s="37"/>
      <x:c r="P5645" s="34" t="n">
        <x:v>0</x:v>
      </x:c>
      <x:c r="Q5645" s="37" t="n">
        <x:v>46098.12771990741</x:v>
      </x:c>
    </x:row>
    <x:row r="5646">
      <x:c r="A5646" s="22" t="n">
        <x:v>26002</x:v>
      </x:c>
      <x:c r="B5646" s="28" t="n">
        <x:v>204.55</x:v>
      </x:c>
      <x:c r="C5646" s="28" t="n">
        <x:v>225.01</x:v>
      </x:c>
      <x:c r="D5646" s="31" t="n">
        <x:f>IF(OR(ISBLANK(B5646),ISBLANK(C5646),B5646=0),"",(C5646-B5646)/B5646)</x:f>
        <x:v>0.10002444390124654</x:v>
      </x:c>
      <x:c r="E5646" s="22" t="str">
        <x:f>IF(ISBLANK(C5646),"AmountIncludingTax缺失",IF(ABS(B5646-C5646)&lt;0.005,"一致","不一致"))</x:f>
        <x:v>不一致</x:v>
      </x:c>
      <x:c r="F5646" s="19" t="str">
        <x:v>approved</x:v>
      </x:c>
      <x:c r="G5646" s="19" t="str">
        <x:v>Repairer Invoiced Processed</x:v>
      </x:c>
      <x:c r="H5646" s="19" t="str">
        <x:v>In Field</x:v>
      </x:c>
      <x:c r="I5646" s="37" t="n">
        <x:v>46044</x:v>
      </x:c>
      <x:c r="J5646" s="37" t="n">
        <x:v>46044</x:v>
      </x:c>
      <x:c r="K5646" s="19" t="str">
        <x:v>Vanari Caravans - Marden Point</x:v>
      </x:c>
      <x:c r="L5646" s="19" t="str">
        <x:v>Z006</x:v>
      </x:c>
      <x:c r="M5646" s="19" t="str">
        <x:v>In Field Warranty Claims</x:v>
      </x:c>
      <x:c r="N5646" s="37" t="n">
        <x:v>45929</x:v>
      </x:c>
      <x:c r="O5646" s="37" t="n">
        <x:v>46020</x:v>
      </x:c>
      <x:c r="P5646" s="34" t="n">
        <x:v>225.01</x:v>
      </x:c>
      <x:c r="Q5646" s="37" t="n">
        <x:v>46044.51079861111</x:v>
      </x:c>
    </x:row>
    <x:row r="5647">
      <x:c r="A5647" s="22" t="n">
        <x:v>26000</x:v>
      </x:c>
      <x:c r="B5647" s="28" t="n">
        <x:v>10331.33</x:v>
      </x:c>
      <x:c r="C5647" s="28"/>
      <x:c r="D5647" s="31" t="str">
        <x:f>IF(OR(ISBLANK(B5647),ISBLANK(C5647),B5647=0),"",(C5647-B5647)/B5647)</x:f>
      </x:c>
      <x:c r="E5647" s="22" t="str">
        <x:f>IF(ISBLANK(C5647),"AmountIncludingTax缺失",IF(ABS(B5647-C5647)&lt;0.005,"一致","不一致"))</x:f>
        <x:v>AmountIncludingTax缺失</x:v>
      </x:c>
      <x:c r="F5647" s="19" t="str">
        <x:v>approved</x:v>
      </x:c>
      <x:c r="G5647" s="19" t="str">
        <x:v>Repairer Invoiced Processed</x:v>
      </x:c>
      <x:c r="H5647" s="19" t="str">
        <x:v>In Field</x:v>
      </x:c>
      <x:c r="I5647" s="37" t="n">
        <x:v>46031</x:v>
      </x:c>
      <x:c r="J5647" s="37" t="n">
        <x:v>46031</x:v>
      </x:c>
      <x:c r="K5647" s="19" t="str">
        <x:v>Green RV - Forest Glen</x:v>
      </x:c>
      <x:c r="L5647" s="19" t="str">
        <x:v>Z006</x:v>
      </x:c>
      <x:c r="M5647" s="19" t="str">
        <x:v>In Field Warranty Claims</x:v>
      </x:c>
      <x:c r="N5647" s="37" t="n">
        <x:v>45930</x:v>
      </x:c>
      <x:c r="O5647" s="37"/>
      <x:c r="P5647" s="34" t="n">
        <x:v>11364.46</x:v>
      </x:c>
      <x:c r="Q5647" s="37" t="n">
        <x:v>46031.138020833336</x:v>
      </x:c>
    </x:row>
    <x:row r="5648">
      <x:c r="A5648" s="22" t="n">
        <x:v>25997</x:v>
      </x:c>
      <x:c r="B5648" s="28" t="n">
        <x:v>391.5</x:v>
      </x:c>
      <x:c r="C5648" s="28"/>
      <x:c r="D5648" s="31" t="str">
        <x:f>IF(OR(ISBLANK(B5648),ISBLANK(C5648),B5648=0),"",(C5648-B5648)/B5648)</x:f>
      </x:c>
      <x:c r="E5648" s="22" t="str">
        <x:f>IF(ISBLANK(C5648),"AmountIncludingTax缺失",IF(ABS(B5648-C5648)&lt;0.005,"一致","不一致"))</x:f>
        <x:v>AmountIncludingTax缺失</x:v>
      </x:c>
      <x:c r="F5648" s="19" t="str">
        <x:v>approved</x:v>
      </x:c>
      <x:c r="G5648" s="19" t="str">
        <x:v>Repairer Invoiced Processed</x:v>
      </x:c>
      <x:c r="H5648" s="19" t="str">
        <x:v>Pre Delivery</x:v>
      </x:c>
      <x:c r="I5648" s="37" t="n">
        <x:v>46072</x:v>
      </x:c>
      <x:c r="J5648" s="37" t="n">
        <x:v>46072</x:v>
      </x:c>
      <x:c r="K5648" s="19" t="str">
        <x:v>The Caravan Hub - Townsville</x:v>
      </x:c>
      <x:c r="L5648" s="19" t="str">
        <x:v>Z005</x:v>
      </x:c>
      <x:c r="M5648" s="19" t="str">
        <x:v>Pre Delivery Warranty Claims</x:v>
      </x:c>
      <x:c r="N5648" s="37" t="n">
        <x:v>45930</x:v>
      </x:c>
      <x:c r="O5648" s="37"/>
      <x:c r="P5648" s="34" t="n">
        <x:v>0</x:v>
      </x:c>
      <x:c r="Q5648" s="37" t="n">
        <x:v>46072.05170138889</x:v>
      </x:c>
    </x:row>
    <x:row r="5649">
      <x:c r="A5649" s="22" t="n">
        <x:v>25995</x:v>
      </x:c>
      <x:c r="B5649" s="28" t="n">
        <x:v>1260.37</x:v>
      </x:c>
      <x:c r="C5649" s="28"/>
      <x:c r="D5649" s="31" t="str">
        <x:f>IF(OR(ISBLANK(B5649),ISBLANK(C5649),B5649=0),"",(C5649-B5649)/B5649)</x:f>
      </x:c>
      <x:c r="E5649" s="22" t="str">
        <x:f>IF(ISBLANK(C5649),"AmountIncludingTax缺失",IF(ABS(B5649-C5649)&lt;0.005,"一致","不一致"))</x:f>
        <x:v>AmountIncludingTax缺失</x:v>
      </x:c>
      <x:c r="F5649" s="19" t="str">
        <x:v>approved</x:v>
      </x:c>
      <x:c r="G5649" s="19" t="str">
        <x:v>Repair in Progress</x:v>
      </x:c>
      <x:c r="H5649" s="19" t="str">
        <x:v>In Field</x:v>
      </x:c>
      <x:c r="I5649" s="37" t="n">
        <x:v>46024</x:v>
      </x:c>
      <x:c r="J5649" s="37" t="n">
        <x:v>46024</x:v>
      </x:c>
      <x:c r="K5649" s="19" t="str">
        <x:v>Newcastle RV Super Centre - Beresfield</x:v>
      </x:c>
      <x:c r="L5649" s="19" t="str">
        <x:v>Z006</x:v>
      </x:c>
      <x:c r="M5649" s="19" t="str">
        <x:v>In Field Warranty Claims</x:v>
      </x:c>
      <x:c r="N5649" s="37" t="n">
        <x:v>45929</x:v>
      </x:c>
      <x:c r="O5649" s="37"/>
      <x:c r="P5649" s="34" t="n">
        <x:v>1386.41</x:v>
      </x:c>
      <x:c r="Q5649" s="37" t="n">
        <x:v>46024.27686342593</x:v>
      </x:c>
    </x:row>
    <x:row r="5650">
      <x:c r="A5650" s="22" t="n">
        <x:v>25993</x:v>
      </x:c>
      <x:c r="B5650" s="28" t="n">
        <x:v>227.27</x:v>
      </x:c>
      <x:c r="C5650" s="28" t="n">
        <x:v>250</x:v>
      </x:c>
      <x:c r="D5650" s="31" t="n">
        <x:f>IF(OR(ISBLANK(B5650),ISBLANK(C5650),B5650=0),"",(C5650-B5650)/B5650)</x:f>
        <x:v>0.10001320015840186</x:v>
      </x:c>
      <x:c r="E5650" s="22" t="str">
        <x:f>IF(ISBLANK(C5650),"AmountIncludingTax缺失",IF(ABS(B5650-C5650)&lt;0.005,"一致","不一致"))</x:f>
        <x:v>不一致</x:v>
      </x:c>
      <x:c r="F5650" s="19" t="str">
        <x:v>approved</x:v>
      </x:c>
      <x:c r="G5650" s="19" t="str">
        <x:v>Repairer Invoiced Processed</x:v>
      </x:c>
      <x:c r="H5650" s="19" t="str">
        <x:v>In Field</x:v>
      </x:c>
      <x:c r="I5650" s="37" t="n">
        <x:v>46113</x:v>
      </x:c>
      <x:c r="J5650" s="37" t="n">
        <x:v>46113</x:v>
      </x:c>
      <x:c r="K5650" s="19" t="str">
        <x:v>Newcastle RV Super Centre - Beresfield</x:v>
      </x:c>
      <x:c r="L5650" s="19" t="str">
        <x:v>Z006</x:v>
      </x:c>
      <x:c r="M5650" s="19" t="str">
        <x:v>In Field Warranty Claims</x:v>
      </x:c>
      <x:c r="N5650" s="37" t="n">
        <x:v>45929</x:v>
      </x:c>
      <x:c r="O5650" s="37" t="n">
        <x:v>46020</x:v>
      </x:c>
      <x:c r="P5650" s="34" t="n">
        <x:v>250</x:v>
      </x:c>
      <x:c r="Q5650" s="37" t="n">
        <x:v>46113.02788194444</x:v>
      </x:c>
    </x:row>
    <x:row r="5651">
      <x:c r="A5651" s="22" t="n">
        <x:v>25992</x:v>
      </x:c>
      <x:c r="B5651" s="28" t="n">
        <x:v>199.55</x:v>
      </x:c>
      <x:c r="C5651" s="28"/>
      <x:c r="D5651" s="31" t="str">
        <x:f>IF(OR(ISBLANK(B5651),ISBLANK(C5651),B5651=0),"",(C5651-B5651)/B5651)</x:f>
      </x:c>
      <x:c r="E5651" s="22" t="str">
        <x:f>IF(ISBLANK(C5651),"AmountIncludingTax缺失",IF(ABS(B5651-C5651)&lt;0.005,"一致","不一致"))</x:f>
        <x:v>AmountIncludingTax缺失</x:v>
      </x:c>
      <x:c r="F5651" s="19" t="str">
        <x:v>approved</x:v>
      </x:c>
      <x:c r="G5651" s="19" t="str">
        <x:v>Repair in Progress</x:v>
      </x:c>
      <x:c r="H5651" s="19" t="str">
        <x:v>In Field</x:v>
      </x:c>
      <x:c r="I5651" s="37" t="n">
        <x:v>46112</x:v>
      </x:c>
      <x:c r="J5651" s="37" t="n">
        <x:v>46112</x:v>
      </x:c>
      <x:c r="K5651" s="19" t="str">
        <x:v>Dario Caravans -St.Marys</x:v>
      </x:c>
      <x:c r="L5651" s="19" t="str">
        <x:v>Z006</x:v>
      </x:c>
      <x:c r="M5651" s="19" t="str">
        <x:v>In Field Warranty Claims</x:v>
      </x:c>
      <x:c r="N5651" s="37" t="n">
        <x:v>45929</x:v>
      </x:c>
      <x:c r="O5651" s="37"/>
      <x:c r="P5651" s="34" t="n">
        <x:v>0</x:v>
      </x:c>
      <x:c r="Q5651" s="37" t="n">
        <x:v>46112.272152777776</x:v>
      </x:c>
    </x:row>
    <x:row r="5652">
      <x:c r="A5652" s="22" t="n">
        <x:v>25989</x:v>
      </x:c>
      <x:c r="B5652" s="28" t="n">
        <x:v>1142.5</x:v>
      </x:c>
      <x:c r="C5652" s="28"/>
      <x:c r="D5652" s="31" t="str">
        <x:f>IF(OR(ISBLANK(B5652),ISBLANK(C5652),B5652=0),"",(C5652-B5652)/B5652)</x:f>
      </x:c>
      <x:c r="E5652" s="22" t="str">
        <x:f>IF(ISBLANK(C5652),"AmountIncludingTax缺失",IF(ABS(B5652-C5652)&lt;0.005,"一致","不一致"))</x:f>
        <x:v>AmountIncludingTax缺失</x:v>
      </x:c>
      <x:c r="F5652" s="19" t="str">
        <x:v>approved</x:v>
      </x:c>
      <x:c r="G5652" s="19" t="str">
        <x:v>Repairer Invoiced Processed</x:v>
      </x:c>
      <x:c r="H5652" s="19" t="str">
        <x:v>In Field</x:v>
      </x:c>
      <x:c r="I5652" s="37" t="n">
        <x:v>45932</x:v>
      </x:c>
      <x:c r="J5652" s="37" t="n">
        <x:v>46038</x:v>
      </x:c>
      <x:c r="K5652" s="19" t="str">
        <x:v>Vanari Caravans - Marden Point</x:v>
      </x:c>
      <x:c r="L5652" s="19" t="str">
        <x:v>Z006</x:v>
      </x:c>
      <x:c r="M5652" s="19" t="str">
        <x:v>In Field Warranty Claims</x:v>
      </x:c>
      <x:c r="N5652" s="37" t="n">
        <x:v>45932</x:v>
      </x:c>
      <x:c r="O5652" s="37"/>
      <x:c r="P5652" s="34" t="n">
        <x:v>0</x:v>
      </x:c>
      <x:c r="Q5652" s="37" t="n">
        <x:v>45932.205104166664</x:v>
      </x:c>
    </x:row>
    <x:row r="5653">
      <x:c r="A5653" s="22" t="n">
        <x:v>25980</x:v>
      </x:c>
      <x:c r="B5653" s="28" t="n">
        <x:v>762.95</x:v>
      </x:c>
      <x:c r="C5653" s="28"/>
      <x:c r="D5653" s="31" t="str">
        <x:f>IF(OR(ISBLANK(B5653),ISBLANK(C5653),B5653=0),"",(C5653-B5653)/B5653)</x:f>
      </x:c>
      <x:c r="E5653" s="22" t="str">
        <x:f>IF(ISBLANK(C5653),"AmountIncludingTax缺失",IF(ABS(B5653-C5653)&lt;0.005,"一致","不一致"))</x:f>
        <x:v>AmountIncludingTax缺失</x:v>
      </x:c>
      <x:c r="F5653" s="19" t="str">
        <x:v>approved</x:v>
      </x:c>
      <x:c r="G5653" s="19" t="str">
        <x:v>Repairer Invoiced Processed</x:v>
      </x:c>
      <x:c r="H5653" s="19" t="str">
        <x:v>In Field</x:v>
      </x:c>
      <x:c r="I5653" s="37" t="n">
        <x:v>46024</x:v>
      </x:c>
      <x:c r="J5653" s="37" t="n">
        <x:v>46024</x:v>
      </x:c>
      <x:c r="K5653" s="19" t="str">
        <x:v>Dario Caravans - Pooraka</x:v>
      </x:c>
      <x:c r="L5653" s="19" t="str">
        <x:v>Z006</x:v>
      </x:c>
      <x:c r="M5653" s="19" t="str">
        <x:v>In Field Warranty Claims</x:v>
      </x:c>
      <x:c r="N5653" s="37" t="n">
        <x:v>45929</x:v>
      </x:c>
      <x:c r="O5653" s="37"/>
      <x:c r="P5653" s="34" t="n">
        <x:v>0</x:v>
      </x:c>
      <x:c r="Q5653" s="37" t="n">
        <x:v>46024.26126157407</x:v>
      </x:c>
    </x:row>
    <x:row r="5654">
      <x:c r="A5654" s="22" t="n">
        <x:v>25979</x:v>
      </x:c>
      <x:c r="B5654" s="28" t="n">
        <x:v>1291.82</x:v>
      </x:c>
      <x:c r="C5654" s="28"/>
      <x:c r="D5654" s="31" t="str">
        <x:f>IF(OR(ISBLANK(B5654),ISBLANK(C5654),B5654=0),"",(C5654-B5654)/B5654)</x:f>
      </x:c>
      <x:c r="E5654" s="22" t="str">
        <x:f>IF(ISBLANK(C5654),"AmountIncludingTax缺失",IF(ABS(B5654-C5654)&lt;0.005,"一致","不一致"))</x:f>
        <x:v>AmountIncludingTax缺失</x:v>
      </x:c>
      <x:c r="F5654" s="19" t="str">
        <x:v>approved</x:v>
      </x:c>
      <x:c r="G5654" s="19" t="str">
        <x:v>Repairer Invoiced Processed</x:v>
      </x:c>
      <x:c r="H5654" s="19" t="str">
        <x:v>In Field</x:v>
      </x:c>
      <x:c r="I5654" s="37" t="n">
        <x:v>46101</x:v>
      </x:c>
      <x:c r="J5654" s="37" t="n">
        <x:v>46101</x:v>
      </x:c>
      <x:c r="K5654" s="19" t="str">
        <x:v>Green RV - Slacks Creek</x:v>
      </x:c>
      <x:c r="L5654" s="19" t="str">
        <x:v>Z006</x:v>
      </x:c>
      <x:c r="M5654" s="19" t="str">
        <x:v>In Field Warranty Claims</x:v>
      </x:c>
      <x:c r="N5654" s="37" t="n">
        <x:v>45929</x:v>
      </x:c>
      <x:c r="O5654" s="37"/>
      <x:c r="P5654" s="34" t="n">
        <x:v>1421</x:v>
      </x:c>
      <x:c r="Q5654" s="37" t="n">
        <x:v>46101.49013888889</x:v>
      </x:c>
    </x:row>
    <x:row r="5655">
      <x:c r="A5655" s="22" t="n">
        <x:v>25967</x:v>
      </x:c>
      <x:c r="B5655" s="28" t="n">
        <x:v>235</x:v>
      </x:c>
      <x:c r="C5655" s="28" t="n">
        <x:v>212.77</x:v>
      </x:c>
      <x:c r="D5655" s="31" t="n">
        <x:f>IF(OR(ISBLANK(B5655),ISBLANK(C5655),B5655=0),"",(C5655-B5655)/B5655)</x:f>
        <x:v>-0.09459574468085102</x:v>
      </x:c>
      <x:c r="E5655" s="22" t="str">
        <x:f>IF(ISBLANK(C5655),"AmountIncludingTax缺失",IF(ABS(B5655-C5655)&lt;0.005,"一致","不一致"))</x:f>
        <x:v>不一致</x:v>
      </x:c>
      <x:c r="F5655" s="19" t="str">
        <x:v>approved</x:v>
      </x:c>
      <x:c r="G5655" s="19" t="str">
        <x:v>Repair in Progress</x:v>
      </x:c>
      <x:c r="H5655" s="19" t="str">
        <x:v>In Field</x:v>
      </x:c>
      <x:c r="I5655" s="37" t="n">
        <x:v>46155</x:v>
      </x:c>
      <x:c r="J5655" s="37" t="n">
        <x:v>46155</x:v>
      </x:c>
      <x:c r="K5655" s="19" t="str">
        <x:v>Vanari Caravans - Marden Point</x:v>
      </x:c>
      <x:c r="L5655" s="19" t="str">
        <x:v>Z006</x:v>
      </x:c>
      <x:c r="M5655" s="19" t="str">
        <x:v>In Field Warranty Claims</x:v>
      </x:c>
      <x:c r="N5655" s="37" t="n">
        <x:v>45929</x:v>
      </x:c>
      <x:c r="O5655" s="37" t="n">
        <x:v>46119</x:v>
      </x:c>
      <x:c r="P5655" s="34" t="n">
        <x:v>212.77</x:v>
      </x:c>
      <x:c r="Q5655" s="37" t="n">
        <x:v>46155.016180555554</x:v>
      </x:c>
    </x:row>
    <x:row r="5656">
      <x:c r="A5656" s="22" t="n">
        <x:v>25962</x:v>
      </x:c>
      <x:c r="B5656" s="28" t="n">
        <x:v>208.18</x:v>
      </x:c>
      <x:c r="C5656" s="28"/>
      <x:c r="D5656" s="31" t="str">
        <x:f>IF(OR(ISBLANK(B5656),ISBLANK(C5656),B5656=0),"",(C5656-B5656)/B5656)</x:f>
      </x:c>
      <x:c r="E5656" s="22" t="str">
        <x:f>IF(ISBLANK(C5656),"AmountIncludingTax缺失",IF(ABS(B5656-C5656)&lt;0.005,"一致","不一致"))</x:f>
        <x:v>AmountIncludingTax缺失</x:v>
      </x:c>
      <x:c r="F5656" s="19" t="str">
        <x:v>approved</x:v>
      </x:c>
      <x:c r="G5656" s="19" t="str">
        <x:v>Repairer Invoiced Received</x:v>
      </x:c>
      <x:c r="H5656" s="19" t="str">
        <x:v>In Field</x:v>
      </x:c>
      <x:c r="I5656" s="37" t="n">
        <x:v>46037</x:v>
      </x:c>
      <x:c r="J5656" s="37" t="n">
        <x:v>46037</x:v>
      </x:c>
      <x:c r="K5656" s="19" t="str">
        <x:v>Auswide Caravans - South Nowra</x:v>
      </x:c>
      <x:c r="L5656" s="19" t="str">
        <x:v>Z006</x:v>
      </x:c>
      <x:c r="M5656" s="19" t="str">
        <x:v>In Field Warranty Claims</x:v>
      </x:c>
      <x:c r="N5656" s="37" t="n">
        <x:v>45929</x:v>
      </x:c>
      <x:c r="O5656" s="37"/>
      <x:c r="P5656" s="34" t="n">
        <x:v>0</x:v>
      </x:c>
      <x:c r="Q5656" s="37" t="n">
        <x:v>46037.200578703705</x:v>
      </x:c>
    </x:row>
    <x:row r="5657">
      <x:c r="A5657" s="22" t="n">
        <x:v>25958</x:v>
      </x:c>
      <x:c r="B5657" s="28" t="n">
        <x:v>135</x:v>
      </x:c>
      <x:c r="C5657" s="28"/>
      <x:c r="D5657" s="31" t="str">
        <x:f>IF(OR(ISBLANK(B5657),ISBLANK(C5657),B5657=0),"",(C5657-B5657)/B5657)</x:f>
      </x:c>
      <x:c r="E5657" s="22" t="str">
        <x:f>IF(ISBLANK(C5657),"AmountIncludingTax缺失",IF(ABS(B5657-C5657)&lt;0.005,"一致","不一致"))</x:f>
        <x:v>AmountIncludingTax缺失</x:v>
      </x:c>
      <x:c r="F5657" s="19" t="str">
        <x:v>approved</x:v>
      </x:c>
      <x:c r="G5657" s="19" t="str">
        <x:v>Repair in Progress</x:v>
      </x:c>
      <x:c r="H5657" s="19" t="str">
        <x:v>In Field</x:v>
      </x:c>
      <x:c r="I5657" s="37" t="n">
        <x:v>46125</x:v>
      </x:c>
      <x:c r="J5657" s="37" t="n">
        <x:v>46125</x:v>
      </x:c>
      <x:c r="K5657" s="19" t="str">
        <x:v>Regent RV - Perth</x:v>
      </x:c>
      <x:c r="L5657" s="19" t="str">
        <x:v>Z006</x:v>
      </x:c>
      <x:c r="M5657" s="19" t="str">
        <x:v>In Field Warranty Claims</x:v>
      </x:c>
      <x:c r="N5657" s="37" t="n">
        <x:v>45929</x:v>
      </x:c>
      <x:c r="O5657" s="37"/>
      <x:c r="P5657" s="34" t="n">
        <x:v>0</x:v>
      </x:c>
      <x:c r="Q5657" s="37" t="n">
        <x:v>46125.170335648145</x:v>
      </x:c>
    </x:row>
    <x:row r="5658">
      <x:c r="A5658" s="22" t="n">
        <x:v>25953</x:v>
      </x:c>
      <x:c r="B5658" s="28" t="n">
        <x:v>240</x:v>
      </x:c>
      <x:c r="C5658" s="28" t="n">
        <x:v>264</x:v>
      </x:c>
      <x:c r="D5658" s="31" t="n">
        <x:f>IF(OR(ISBLANK(B5658),ISBLANK(C5658),B5658=0),"",(C5658-B5658)/B5658)</x:f>
        <x:v>0.1</x:v>
      </x:c>
      <x:c r="E5658" s="22" t="str">
        <x:f>IF(ISBLANK(C5658),"AmountIncludingTax缺失",IF(ABS(B5658-C5658)&lt;0.005,"一致","不一致"))</x:f>
        <x:v>不一致</x:v>
      </x:c>
      <x:c r="F5658" s="19" t="str">
        <x:v>approved</x:v>
      </x:c>
      <x:c r="G5658" s="19" t="str">
        <x:v>Repair in Progress</x:v>
      </x:c>
      <x:c r="H5658" s="19" t="str">
        <x:v>In Field</x:v>
      </x:c>
      <x:c r="I5658" s="37" t="n">
        <x:v>46125</x:v>
      </x:c>
      <x:c r="J5658" s="37" t="n">
        <x:v>46125</x:v>
      </x:c>
      <x:c r="K5658" s="19" t="str">
        <x:v>Leisure Lion Pty Ltd - Gympie</x:v>
      </x:c>
      <x:c r="L5658" s="19" t="str">
        <x:v>Z006</x:v>
      </x:c>
      <x:c r="M5658" s="19" t="str">
        <x:v>In Field Warranty Claims</x:v>
      </x:c>
      <x:c r="N5658" s="37" t="n">
        <x:v>45926</x:v>
      </x:c>
      <x:c r="O5658" s="37" t="n">
        <x:v>46112</x:v>
      </x:c>
      <x:c r="P5658" s="34" t="n">
        <x:v>264</x:v>
      </x:c>
      <x:c r="Q5658" s="37" t="n">
        <x:v>46125.4458912037</x:v>
      </x:c>
    </x:row>
    <x:row r="5659">
      <x:c r="A5659" s="22" t="n">
        <x:v>25948</x:v>
      </x:c>
      <x:c r="B5659" s="28" t="n">
        <x:v>138.18</x:v>
      </x:c>
      <x:c r="C5659" s="28"/>
      <x:c r="D5659" s="31" t="str">
        <x:f>IF(OR(ISBLANK(B5659),ISBLANK(C5659),B5659=0),"",(C5659-B5659)/B5659)</x:f>
      </x:c>
      <x:c r="E5659" s="22" t="str">
        <x:f>IF(ISBLANK(C5659),"AmountIncludingTax缺失",IF(ABS(B5659-C5659)&lt;0.005,"一致","不一致"))</x:f>
        <x:v>AmountIncludingTax缺失</x:v>
      </x:c>
      <x:c r="F5659" s="19" t="str">
        <x:v>approved</x:v>
      </x:c>
      <x:c r="G5659" s="19" t="str">
        <x:v>Repairer Invoiced Processed</x:v>
      </x:c>
      <x:c r="H5659" s="19" t="str">
        <x:v>In Field</x:v>
      </x:c>
      <x:c r="I5659" s="37" t="n">
        <x:v>46038</x:v>
      </x:c>
      <x:c r="J5659" s="37" t="n">
        <x:v>46038</x:v>
      </x:c>
      <x:c r="K5659" s="19" t="str">
        <x:v>Auswide Caravans - South Nowra</x:v>
      </x:c>
      <x:c r="L5659" s="19" t="str">
        <x:v>Z006</x:v>
      </x:c>
      <x:c r="M5659" s="19" t="str">
        <x:v>In Field Warranty Claims</x:v>
      </x:c>
      <x:c r="N5659" s="37" t="n">
        <x:v>45928</x:v>
      </x:c>
      <x:c r="O5659" s="37"/>
      <x:c r="P5659" s="34" t="n">
        <x:v>0</x:v>
      </x:c>
      <x:c r="Q5659" s="37" t="n">
        <x:v>46037.91491898148</x:v>
      </x:c>
    </x:row>
    <x:row r="5660">
      <x:c r="A5660" s="22" t="n">
        <x:v>25947</x:v>
      </x:c>
      <x:c r="B5660" s="28" t="n">
        <x:v>1973</x:v>
      </x:c>
      <x:c r="C5660" s="28"/>
      <x:c r="D5660" s="31" t="str">
        <x:f>IF(OR(ISBLANK(B5660),ISBLANK(C5660),B5660=0),"",(C5660-B5660)/B5660)</x:f>
      </x:c>
      <x:c r="E5660" s="22" t="str">
        <x:f>IF(ISBLANK(C5660),"AmountIncludingTax缺失",IF(ABS(B5660-C5660)&lt;0.005,"一致","不一致"))</x:f>
        <x:v>AmountIncludingTax缺失</x:v>
      </x:c>
      <x:c r="F5660" s="19" t="str">
        <x:v>approved</x:v>
      </x:c>
      <x:c r="G5660" s="19" t="str">
        <x:v>Repair in Progress</x:v>
      </x:c>
      <x:c r="H5660" s="19" t="str">
        <x:v>In Field</x:v>
      </x:c>
      <x:c r="I5660" s="37" t="n">
        <x:v>46135</x:v>
      </x:c>
      <x:c r="J5660" s="37" t="n">
        <x:v>46135</x:v>
      </x:c>
      <x:c r="K5660" s="19" t="str">
        <x:v>Regent RV - Perth</x:v>
      </x:c>
      <x:c r="L5660" s="19" t="str">
        <x:v>Z006</x:v>
      </x:c>
      <x:c r="M5660" s="19" t="str">
        <x:v>In Field Warranty Claims</x:v>
      </x:c>
      <x:c r="N5660" s="37" t="n">
        <x:v>45928</x:v>
      </x:c>
      <x:c r="O5660" s="37"/>
      <x:c r="P5660" s="34" t="n">
        <x:v>0</x:v>
      </x:c>
      <x:c r="Q5660" s="37" t="n">
        <x:v>46134.96024305555</x:v>
      </x:c>
    </x:row>
    <x:row r="5661">
      <x:c r="A5661" s="22" t="n">
        <x:v>25944</x:v>
      </x:c>
      <x:c r="B5661" s="28" t="n">
        <x:v>1231.83</x:v>
      </x:c>
      <x:c r="C5661" s="28"/>
      <x:c r="D5661" s="31" t="str">
        <x:f>IF(OR(ISBLANK(B5661),ISBLANK(C5661),B5661=0),"",(C5661-B5661)/B5661)</x:f>
      </x:c>
      <x:c r="E5661" s="22" t="str">
        <x:f>IF(ISBLANK(C5661),"AmountIncludingTax缺失",IF(ABS(B5661-C5661)&lt;0.005,"一致","不一致"))</x:f>
        <x:v>AmountIncludingTax缺失</x:v>
      </x:c>
      <x:c r="F5661" s="19" t="str">
        <x:v>approved</x:v>
      </x:c>
      <x:c r="G5661" s="19" t="str">
        <x:v>Repairer Invoiced Processed</x:v>
      </x:c>
      <x:c r="H5661" s="19" t="str">
        <x:v>In Field</x:v>
      </x:c>
      <x:c r="I5661" s="37" t="n">
        <x:v>46031</x:v>
      </x:c>
      <x:c r="J5661" s="37" t="n">
        <x:v>46031</x:v>
      </x:c>
      <x:c r="K5661" s="19" t="str">
        <x:v>Springvale Caravan Centre - Keysborough</x:v>
      </x:c>
      <x:c r="L5661" s="19" t="str">
        <x:v>Z006</x:v>
      </x:c>
      <x:c r="M5661" s="19" t="str">
        <x:v>In Field Warranty Claims</x:v>
      </x:c>
      <x:c r="N5661" s="37" t="n">
        <x:v>45926</x:v>
      </x:c>
      <x:c r="O5661" s="37"/>
      <x:c r="P5661" s="34" t="n">
        <x:v>1355.01</x:v>
      </x:c>
      <x:c r="Q5661" s="37" t="n">
        <x:v>46030.94587962963</x:v>
      </x:c>
    </x:row>
    <x:row r="5662">
      <x:c r="A5662" s="22" t="n">
        <x:v>25937</x:v>
      </x:c>
      <x:c r="B5662" s="28" t="n">
        <x:v>145</x:v>
      </x:c>
      <x:c r="C5662" s="28"/>
      <x:c r="D5662" s="31" t="str">
        <x:f>IF(OR(ISBLANK(B5662),ISBLANK(C5662),B5662=0),"",(C5662-B5662)/B5662)</x:f>
      </x:c>
      <x:c r="E5662" s="22" t="str">
        <x:f>IF(ISBLANK(C5662),"AmountIncludingTax缺失",IF(ABS(B5662-C5662)&lt;0.005,"一致","不一致"))</x:f>
        <x:v>AmountIncludingTax缺失</x:v>
      </x:c>
      <x:c r="F5662" s="19" t="str">
        <x:v>approved</x:v>
      </x:c>
      <x:c r="G5662" s="19" t="str">
        <x:v>Repairer Invoiced Processed</x:v>
      </x:c>
      <x:c r="H5662" s="19" t="str">
        <x:v>In Field</x:v>
      </x:c>
      <x:c r="I5662" s="37" t="n">
        <x:v>46087</x:v>
      </x:c>
      <x:c r="J5662" s="37" t="n">
        <x:v>46090</x:v>
      </x:c>
      <x:c r="K5662" s="19" t="str">
        <x:v>The Caravan Hub - Townsville</x:v>
      </x:c>
      <x:c r="L5662" s="19" t="str">
        <x:v>Z006</x:v>
      </x:c>
      <x:c r="M5662" s="19" t="str">
        <x:v>In Field Warranty Claims</x:v>
      </x:c>
      <x:c r="N5662" s="37" t="n">
        <x:v>45926</x:v>
      </x:c>
      <x:c r="O5662" s="37"/>
      <x:c r="P5662" s="34" t="n">
        <x:v>0</x:v>
      </x:c>
      <x:c r="Q5662" s="37" t="n">
        <x:v>46087.07907407408</x:v>
      </x:c>
    </x:row>
    <x:row r="5663">
      <x:c r="A5663" s="22" t="n">
        <x:v>25930</x:v>
      </x:c>
      <x:c r="B5663" s="28" t="n">
        <x:v>2881.15</x:v>
      </x:c>
      <x:c r="C5663" s="28"/>
      <x:c r="D5663" s="31" t="str">
        <x:f>IF(OR(ISBLANK(B5663),ISBLANK(C5663),B5663=0),"",(C5663-B5663)/B5663)</x:f>
      </x:c>
      <x:c r="E5663" s="22" t="str">
        <x:f>IF(ISBLANK(C5663),"AmountIncludingTax缺失",IF(ABS(B5663-C5663)&lt;0.005,"一致","不一致"))</x:f>
        <x:v>AmountIncludingTax缺失</x:v>
      </x:c>
      <x:c r="F5663" s="19" t="str">
        <x:v>approved</x:v>
      </x:c>
      <x:c r="G5663" s="19" t="str">
        <x:v>Repairer Invoiced Processed</x:v>
      </x:c>
      <x:c r="H5663" s="19" t="str">
        <x:v>In Field</x:v>
      </x:c>
      <x:c r="I5663" s="37" t="n">
        <x:v>46161</x:v>
      </x:c>
      <x:c r="J5663" s="37" t="n">
        <x:v>46146</x:v>
      </x:c>
      <x:c r="K5663" s="19" t="str">
        <x:v>The Caravan Hub - Townsville</x:v>
      </x:c>
      <x:c r="L5663" s="19" t="str">
        <x:v>Z006</x:v>
      </x:c>
      <x:c r="M5663" s="19" t="str">
        <x:v>In Field Warranty Claims</x:v>
      </x:c>
      <x:c r="N5663" s="37" t="n">
        <x:v>45925</x:v>
      </x:c>
      <x:c r="O5663" s="37" t="n">
        <x:v>46066</x:v>
      </x:c>
      <x:c r="P5663" s="34" t="n">
        <x:v>0</x:v>
      </x:c>
      <x:c r="Q5663" s="37" t="n">
        <x:v>46161.558125</x:v>
      </x:c>
    </x:row>
    <x:row r="5664">
      <x:c r="A5664" s="22" t="n">
        <x:v>25929</x:v>
      </x:c>
      <x:c r="B5664" s="28" t="n">
        <x:v>411.36</x:v>
      </x:c>
      <x:c r="C5664" s="28"/>
      <x:c r="D5664" s="31" t="str">
        <x:f>IF(OR(ISBLANK(B5664),ISBLANK(C5664),B5664=0),"",(C5664-B5664)/B5664)</x:f>
      </x:c>
      <x:c r="E5664" s="22" t="str">
        <x:f>IF(ISBLANK(C5664),"AmountIncludingTax缺失",IF(ABS(B5664-C5664)&lt;0.005,"一致","不一致"))</x:f>
        <x:v>AmountIncludingTax缺失</x:v>
      </x:c>
      <x:c r="F5664" s="19" t="str">
        <x:v>approved</x:v>
      </x:c>
      <x:c r="G5664" s="19" t="str">
        <x:v>Repairer Invoiced Processed</x:v>
      </x:c>
      <x:c r="H5664" s="19" t="str">
        <x:v>In Field</x:v>
      </x:c>
      <x:c r="I5664" s="37" t="n">
        <x:v>46101</x:v>
      </x:c>
      <x:c r="J5664" s="37" t="n">
        <x:v>46101</x:v>
      </x:c>
      <x:c r="K5664" s="19" t="str">
        <x:v>Regent RV - Traralgon</x:v>
      </x:c>
      <x:c r="L5664" s="19" t="str">
        <x:v>Z006</x:v>
      </x:c>
      <x:c r="M5664" s="19" t="str">
        <x:v>In Field Warranty Claims</x:v>
      </x:c>
      <x:c r="N5664" s="37" t="n">
        <x:v>45925</x:v>
      </x:c>
      <x:c r="O5664" s="37"/>
      <x:c r="P5664" s="34" t="n">
        <x:v>0</x:v>
      </x:c>
      <x:c r="Q5664" s="37" t="n">
        <x:v>46101.23417824074</x:v>
      </x:c>
    </x:row>
    <x:row r="5665">
      <x:c r="A5665" s="22" t="n">
        <x:v>25921</x:v>
      </x:c>
      <x:c r="B5665" s="28" t="n">
        <x:v>765</x:v>
      </x:c>
      <x:c r="C5665" s="28"/>
      <x:c r="D5665" s="31" t="str">
        <x:f>IF(OR(ISBLANK(B5665),ISBLANK(C5665),B5665=0),"",(C5665-B5665)/B5665)</x:f>
      </x:c>
      <x:c r="E5665" s="22" t="str">
        <x:f>IF(ISBLANK(C5665),"AmountIncludingTax缺失",IF(ABS(B5665-C5665)&lt;0.005,"一致","不一致"))</x:f>
        <x:v>AmountIncludingTax缺失</x:v>
      </x:c>
      <x:c r="F5665" s="19" t="str">
        <x:v>approved</x:v>
      </x:c>
      <x:c r="G5665" s="19" t="str">
        <x:v>Repair in Progress</x:v>
      </x:c>
      <x:c r="H5665" s="19" t="str">
        <x:v>In Field</x:v>
      </x:c>
      <x:c r="I5665" s="37" t="n">
        <x:v>46071</x:v>
      </x:c>
      <x:c r="J5665" s="37" t="n">
        <x:v>46071</x:v>
      </x:c>
      <x:c r="K5665" s="19" t="str">
        <x:v>The Caravan Hub - Townsville</x:v>
      </x:c>
      <x:c r="L5665" s="19" t="str">
        <x:v>Z006</x:v>
      </x:c>
      <x:c r="M5665" s="19" t="str">
        <x:v>In Field Warranty Claims</x:v>
      </x:c>
      <x:c r="N5665" s="37" t="n">
        <x:v>45925</x:v>
      </x:c>
      <x:c r="O5665" s="37"/>
      <x:c r="P5665" s="34" t="n">
        <x:v>0</x:v>
      </x:c>
      <x:c r="Q5665" s="37" t="n">
        <x:v>46070.94675925926</x:v>
      </x:c>
    </x:row>
    <x:row r="5666">
      <x:c r="A5666" s="22" t="n">
        <x:v>25917</x:v>
      </x:c>
      <x:c r="B5666" s="28" t="n">
        <x:v>640</x:v>
      </x:c>
      <x:c r="C5666" s="28"/>
      <x:c r="D5666" s="31" t="str">
        <x:f>IF(OR(ISBLANK(B5666),ISBLANK(C5666),B5666=0),"",(C5666-B5666)/B5666)</x:f>
      </x:c>
      <x:c r="E5666" s="22" t="str">
        <x:f>IF(ISBLANK(C5666),"AmountIncludingTax缺失",IF(ABS(B5666-C5666)&lt;0.005,"一致","不一致"))</x:f>
        <x:v>AmountIncludingTax缺失</x:v>
      </x:c>
      <x:c r="F5666" s="19" t="str">
        <x:v>approved</x:v>
      </x:c>
      <x:c r="G5666" s="19" t="str">
        <x:v>Sales Order Approved</x:v>
      </x:c>
      <x:c r="H5666" s="19" t="str">
        <x:v>In Field</x:v>
      </x:c>
      <x:c r="I5666" s="37" t="n">
        <x:v>46108</x:v>
      </x:c>
      <x:c r="J5666" s="37" t="n">
        <x:v>46065</x:v>
      </x:c>
      <x:c r="K5666" s="19" t="str">
        <x:v>The Caravan Hub - Townsville</x:v>
      </x:c>
      <x:c r="L5666" s="19" t="str">
        <x:v>Z006</x:v>
      </x:c>
      <x:c r="M5666" s="19" t="str">
        <x:v>In Field Warranty Claims</x:v>
      </x:c>
      <x:c r="N5666" s="37" t="n">
        <x:v>45926</x:v>
      </x:c>
      <x:c r="O5666" s="37"/>
      <x:c r="P5666" s="34" t="n">
        <x:v>0</x:v>
      </x:c>
      <x:c r="Q5666" s="37" t="n">
        <x:v>46107.89372685185</x:v>
      </x:c>
    </x:row>
    <x:row r="5667">
      <x:c r="A5667" s="22" t="n">
        <x:v>25893</x:v>
      </x:c>
      <x:c r="B5667" s="28" t="n">
        <x:v>300</x:v>
      </x:c>
      <x:c r="C5667" s="28"/>
      <x:c r="D5667" s="31" t="str">
        <x:f>IF(OR(ISBLANK(B5667),ISBLANK(C5667),B5667=0),"",(C5667-B5667)/B5667)</x:f>
      </x:c>
      <x:c r="E5667" s="22" t="str">
        <x:f>IF(ISBLANK(C5667),"AmountIncludingTax缺失",IF(ABS(B5667-C5667)&lt;0.005,"一致","不一致"))</x:f>
        <x:v>AmountIncludingTax缺失</x:v>
      </x:c>
      <x:c r="F5667" s="19" t="str">
        <x:v>approved</x:v>
      </x:c>
      <x:c r="G5667" s="19" t="str">
        <x:v>Repair in Progress</x:v>
      </x:c>
      <x:c r="H5667" s="19" t="str">
        <x:v>In Field</x:v>
      </x:c>
      <x:c r="I5667" s="37" t="n">
        <x:v>46101</x:v>
      </x:c>
      <x:c r="J5667" s="37" t="n">
        <x:v>46101</x:v>
      </x:c>
      <x:c r="K5667" s="19" t="str">
        <x:v>Regent RV - Perth</x:v>
      </x:c>
      <x:c r="L5667" s="19" t="str">
        <x:v>Z006</x:v>
      </x:c>
      <x:c r="M5667" s="19" t="str">
        <x:v>In Field Warranty Claims</x:v>
      </x:c>
      <x:c r="N5667" s="37" t="n">
        <x:v>45925</x:v>
      </x:c>
      <x:c r="O5667" s="37"/>
      <x:c r="P5667" s="34" t="n">
        <x:v>0</x:v>
      </x:c>
      <x:c r="Q5667" s="37" t="n">
        <x:v>46101.23405092592</x:v>
      </x:c>
    </x:row>
    <x:row r="5668">
      <x:c r="A5668" s="22" t="n">
        <x:v>25870</x:v>
      </x:c>
      <x:c r="B5668" s="28" t="n">
        <x:v>77.5</x:v>
      </x:c>
      <x:c r="C5668" s="28"/>
      <x:c r="D5668" s="31" t="str">
        <x:f>IF(OR(ISBLANK(B5668),ISBLANK(C5668),B5668=0),"",(C5668-B5668)/B5668)</x:f>
      </x:c>
      <x:c r="E5668" s="22" t="str">
        <x:f>IF(ISBLANK(C5668),"AmountIncludingTax缺失",IF(ABS(B5668-C5668)&lt;0.005,"一致","不一致"))</x:f>
        <x:v>AmountIncludingTax缺失</x:v>
      </x:c>
      <x:c r="F5668" s="19" t="str">
        <x:v>approved</x:v>
      </x:c>
      <x:c r="G5668" s="19" t="str">
        <x:v>Repair in Progress</x:v>
      </x:c>
      <x:c r="H5668" s="19" t="str">
        <x:v>In Field</x:v>
      </x:c>
      <x:c r="I5668" s="37" t="n">
        <x:v>46080</x:v>
      </x:c>
      <x:c r="J5668" s="37" t="n">
        <x:v>46080</x:v>
      </x:c>
      <x:c r="K5668" s="19" t="str">
        <x:v>Regent RV - Traralgon</x:v>
      </x:c>
      <x:c r="L5668" s="19" t="str">
        <x:v>Z006</x:v>
      </x:c>
      <x:c r="M5668" s="19" t="str">
        <x:v>In Field Warranty Claims</x:v>
      </x:c>
      <x:c r="N5668" s="37" t="n">
        <x:v>45925</x:v>
      </x:c>
      <x:c r="O5668" s="37"/>
      <x:c r="P5668" s="34" t="n">
        <x:v>0</x:v>
      </x:c>
      <x:c r="Q5668" s="37" t="n">
        <x:v>46079.92167824074</x:v>
      </x:c>
    </x:row>
    <x:row r="5669">
      <x:c r="A5669" s="22" t="n">
        <x:v>25866</x:v>
      </x:c>
      <x:c r="B5669" s="28" t="n">
        <x:v>280</x:v>
      </x:c>
      <x:c r="C5669" s="28"/>
      <x:c r="D5669" s="31" t="str">
        <x:f>IF(OR(ISBLANK(B5669),ISBLANK(C5669),B5669=0),"",(C5669-B5669)/B5669)</x:f>
      </x:c>
      <x:c r="E5669" s="22" t="str">
        <x:f>IF(ISBLANK(C5669),"AmountIncludingTax缺失",IF(ABS(B5669-C5669)&lt;0.005,"一致","不一致"))</x:f>
        <x:v>AmountIncludingTax缺失</x:v>
      </x:c>
      <x:c r="F5669" s="19" t="str">
        <x:v>approved</x:v>
      </x:c>
      <x:c r="G5669" s="19" t="str">
        <x:v>Repairer Invoiced Processed</x:v>
      </x:c>
      <x:c r="H5669" s="19" t="str">
        <x:v>Pre Delivery</x:v>
      </x:c>
      <x:c r="I5669" s="37" t="n">
        <x:v>46031</x:v>
      </x:c>
      <x:c r="J5669" s="37" t="n">
        <x:v>46031</x:v>
      </x:c>
      <x:c r="K5669" s="19" t="str">
        <x:v>Vanari Caravans - Marden Point</x:v>
      </x:c>
      <x:c r="L5669" s="19" t="str">
        <x:v>Z005</x:v>
      </x:c>
      <x:c r="M5669" s="19" t="str">
        <x:v>Pre Delivery Warranty Claims</x:v>
      </x:c>
      <x:c r="N5669" s="37" t="n">
        <x:v>45925</x:v>
      </x:c>
      <x:c r="O5669" s="37"/>
      <x:c r="P5669" s="34" t="n">
        <x:v>0</x:v>
      </x:c>
      <x:c r="Q5669" s="37" t="n">
        <x:v>46030.88767361111</x:v>
      </x:c>
    </x:row>
    <x:row r="5670">
      <x:c r="A5670" s="22" t="n">
        <x:v>25858</x:v>
      </x:c>
      <x:c r="B5670" s="28" t="n">
        <x:v>156.92</x:v>
      </x:c>
      <x:c r="C5670" s="28" t="n">
        <x:v>172.61</x:v>
      </x:c>
      <x:c r="D5670" s="31" t="n">
        <x:f>IF(OR(ISBLANK(B5670),ISBLANK(C5670),B5670=0),"",(C5670-B5670)/B5670)</x:f>
        <x:v>0.09998725465205217</x:v>
      </x:c>
      <x:c r="E5670" s="22" t="str">
        <x:f>IF(ISBLANK(C5670),"AmountIncludingTax缺失",IF(ABS(B5670-C5670)&lt;0.005,"一致","不一致"))</x:f>
        <x:v>不一致</x:v>
      </x:c>
      <x:c r="F5670" s="19" t="str">
        <x:v>approved</x:v>
      </x:c>
      <x:c r="G5670" s="19" t="str">
        <x:v>Repairer Invoiced Processed</x:v>
      </x:c>
      <x:c r="H5670" s="19" t="str">
        <x:v>In Field</x:v>
      </x:c>
      <x:c r="I5670" s="37" t="n">
        <x:v>46038</x:v>
      </x:c>
      <x:c r="J5670" s="37" t="n">
        <x:v>46038</x:v>
      </x:c>
      <x:c r="K5670" s="19" t="str">
        <x:v>Leisure Lion Pty Ltd - Toowoomba</x:v>
      </x:c>
      <x:c r="L5670" s="19" t="str">
        <x:v>Z006</x:v>
      </x:c>
      <x:c r="M5670" s="19" t="str">
        <x:v>In Field Warranty Claims</x:v>
      </x:c>
      <x:c r="N5670" s="37" t="n">
        <x:v>45925</x:v>
      </x:c>
      <x:c r="O5670" s="37"/>
      <x:c r="P5670" s="34" t="n">
        <x:v>172.61</x:v>
      </x:c>
      <x:c r="Q5670" s="37" t="n">
        <x:v>46037.92594907407</x:v>
      </x:c>
    </x:row>
    <x:row r="5671">
      <x:c r="A5671" s="22" t="n">
        <x:v>25848</x:v>
      </x:c>
      <x:c r="B5671" s="28" t="n">
        <x:v>455</x:v>
      </x:c>
      <x:c r="C5671" s="28"/>
      <x:c r="D5671" s="31" t="str">
        <x:f>IF(OR(ISBLANK(B5671),ISBLANK(C5671),B5671=0),"",(C5671-B5671)/B5671)</x:f>
      </x:c>
      <x:c r="E5671" s="22" t="str">
        <x:f>IF(ISBLANK(C5671),"AmountIncludingTax缺失",IF(ABS(B5671-C5671)&lt;0.005,"一致","不一致"))</x:f>
        <x:v>AmountIncludingTax缺失</x:v>
      </x:c>
      <x:c r="F5671" s="19" t="str">
        <x:v>approved</x:v>
      </x:c>
      <x:c r="G5671" s="19" t="str">
        <x:v>Repair in Progress</x:v>
      </x:c>
      <x:c r="H5671" s="19" t="str">
        <x:v>In Field</x:v>
      </x:c>
      <x:c r="I5671" s="37" t="n">
        <x:v>46169</x:v>
      </x:c>
      <x:c r="J5671" s="37" t="n">
        <x:v>46169</x:v>
      </x:c>
      <x:c r="K5671" s="19" t="str">
        <x:v>The Caravan Hub - Townsville</x:v>
      </x:c>
      <x:c r="L5671" s="19" t="str">
        <x:v>Z006</x:v>
      </x:c>
      <x:c r="M5671" s="19" t="str">
        <x:v>In Field Warranty Claims</x:v>
      </x:c>
      <x:c r="N5671" s="37" t="n">
        <x:v>45924</x:v>
      </x:c>
      <x:c r="O5671" s="37" t="n">
        <x:v>46063</x:v>
      </x:c>
      <x:c r="P5671" s="34" t="n">
        <x:v>0</x:v>
      </x:c>
      <x:c r="Q5671" s="37" t="n">
        <x:v>46169.073483796295</x:v>
      </x:c>
    </x:row>
    <x:row r="5672">
      <x:c r="A5672" s="22" t="n">
        <x:v>25844</x:v>
      </x:c>
      <x:c r="B5672" s="28" t="n">
        <x:v>1270.91</x:v>
      </x:c>
      <x:c r="C5672" s="28"/>
      <x:c r="D5672" s="31" t="str">
        <x:f>IF(OR(ISBLANK(B5672),ISBLANK(C5672),B5672=0),"",(C5672-B5672)/B5672)</x:f>
      </x:c>
      <x:c r="E5672" s="22" t="str">
        <x:f>IF(ISBLANK(C5672),"AmountIncludingTax缺失",IF(ABS(B5672-C5672)&lt;0.005,"一致","不一致"))</x:f>
        <x:v>AmountIncludingTax缺失</x:v>
      </x:c>
      <x:c r="F5672" s="19" t="str">
        <x:v>approved</x:v>
      </x:c>
      <x:c r="G5672" s="19" t="str">
        <x:v>Repairer Invoiced Received</x:v>
      </x:c>
      <x:c r="H5672" s="19" t="str">
        <x:v>In Field</x:v>
      </x:c>
      <x:c r="I5672" s="37" t="n">
        <x:v>46065</x:v>
      </x:c>
      <x:c r="J5672" s="37" t="n">
        <x:v>46065</x:v>
      </x:c>
      <x:c r="K5672" s="19" t="str">
        <x:v>Lesiure Lion-New Castle</x:v>
      </x:c>
      <x:c r="L5672" s="19" t="str">
        <x:v>Z006</x:v>
      </x:c>
      <x:c r="M5672" s="19" t="str">
        <x:v>In Field Warranty Claims</x:v>
      </x:c>
      <x:c r="N5672" s="37" t="n">
        <x:v>45924</x:v>
      </x:c>
      <x:c r="O5672" s="37"/>
      <x:c r="P5672" s="34" t="n">
        <x:v>1398</x:v>
      </x:c>
      <x:c r="Q5672" s="37" t="n">
        <x:v>46064.97363425926</x:v>
      </x:c>
    </x:row>
    <x:row r="5673">
      <x:c r="A5673" s="22" t="n">
        <x:v>25835</x:v>
      </x:c>
      <x:c r="B5673" s="28" t="n">
        <x:v>463.18</x:v>
      </x:c>
      <x:c r="C5673" s="28"/>
      <x:c r="D5673" s="31" t="str">
        <x:f>IF(OR(ISBLANK(B5673),ISBLANK(C5673),B5673=0),"",(C5673-B5673)/B5673)</x:f>
      </x:c>
      <x:c r="E5673" s="22" t="str">
        <x:f>IF(ISBLANK(C5673),"AmountIncludingTax缺失",IF(ABS(B5673-C5673)&lt;0.005,"一致","不一致"))</x:f>
        <x:v>AmountIncludingTax缺失</x:v>
      </x:c>
      <x:c r="F5673" s="19" t="str">
        <x:v>approved</x:v>
      </x:c>
      <x:c r="G5673" s="19" t="str">
        <x:v>Repair in Progress</x:v>
      </x:c>
      <x:c r="H5673" s="19" t="str">
        <x:v>In Field</x:v>
      </x:c>
      <x:c r="I5673" s="37" t="n">
        <x:v>46142</x:v>
      </x:c>
      <x:c r="J5673" s="37" t="n">
        <x:v>46142</x:v>
      </x:c>
      <x:c r="K5673" s="19" t="str">
        <x:v>Green RV - Forest Glen</x:v>
      </x:c>
      <x:c r="L5673" s="19" t="str">
        <x:v>Z006</x:v>
      </x:c>
      <x:c r="M5673" s="19" t="str">
        <x:v>In Field Warranty Claims</x:v>
      </x:c>
      <x:c r="N5673" s="37" t="n">
        <x:v>45924</x:v>
      </x:c>
      <x:c r="O5673" s="37"/>
      <x:c r="P5673" s="34" t="n">
        <x:v>0</x:v>
      </x:c>
      <x:c r="Q5673" s="37" t="n">
        <x:v>46142.14818287037</x:v>
      </x:c>
    </x:row>
    <x:row r="5674">
      <x:c r="A5674" s="22" t="n">
        <x:v>25826</x:v>
      </x:c>
      <x:c r="B5674" s="28" t="n">
        <x:v>183.75</x:v>
      </x:c>
      <x:c r="C5674" s="28"/>
      <x:c r="D5674" s="31" t="str">
        <x:f>IF(OR(ISBLANK(B5674),ISBLANK(C5674),B5674=0),"",(C5674-B5674)/B5674)</x:f>
      </x:c>
      <x:c r="E5674" s="22" t="str">
        <x:f>IF(ISBLANK(C5674),"AmountIncludingTax缺失",IF(ABS(B5674-C5674)&lt;0.005,"一致","不一致"))</x:f>
        <x:v>AmountIncludingTax缺失</x:v>
      </x:c>
      <x:c r="F5674" s="19" t="str">
        <x:v>approved</x:v>
      </x:c>
      <x:c r="G5674" s="19" t="str">
        <x:v>Repair in Progress</x:v>
      </x:c>
      <x:c r="H5674" s="19" t="str">
        <x:v>In Field</x:v>
      </x:c>
      <x:c r="I5674" s="37" t="n">
        <x:v>46067</x:v>
      </x:c>
      <x:c r="J5674" s="37" t="n">
        <x:v>46066</x:v>
      </x:c>
      <x:c r="K5674" s="19" t="str">
        <x:v>Regent RV Pty Ltd</x:v>
      </x:c>
      <x:c r="L5674" s="19" t="str">
        <x:v>Z006</x:v>
      </x:c>
      <x:c r="M5674" s="19" t="str">
        <x:v>In Field Warranty Claims</x:v>
      </x:c>
      <x:c r="N5674" s="37" t="n">
        <x:v>45924</x:v>
      </x:c>
      <x:c r="O5674" s="37"/>
      <x:c r="P5674" s="34" t="n">
        <x:v>0</x:v>
      </x:c>
      <x:c r="Q5674" s="37" t="n">
        <x:v>46066.561423611114</x:v>
      </x:c>
    </x:row>
    <x:row r="5675">
      <x:c r="A5675" s="22" t="n">
        <x:v>25821</x:v>
      </x:c>
      <x:c r="B5675" s="28" t="n">
        <x:v>540</x:v>
      </x:c>
      <x:c r="C5675" s="28"/>
      <x:c r="D5675" s="31" t="str">
        <x:f>IF(OR(ISBLANK(B5675),ISBLANK(C5675),B5675=0),"",(C5675-B5675)/B5675)</x:f>
      </x:c>
      <x:c r="E5675" s="22" t="str">
        <x:f>IF(ISBLANK(C5675),"AmountIncludingTax缺失",IF(ABS(B5675-C5675)&lt;0.005,"一致","不一致"))</x:f>
        <x:v>AmountIncludingTax缺失</x:v>
      </x:c>
      <x:c r="F5675" s="19" t="str">
        <x:v>approved</x:v>
      </x:c>
      <x:c r="G5675" s="19" t="str">
        <x:v>Repair in Progress</x:v>
      </x:c>
      <x:c r="H5675" s="19" t="str">
        <x:v>In Field</x:v>
      </x:c>
      <x:c r="I5675" s="37" t="n">
        <x:v>46125</x:v>
      </x:c>
      <x:c r="J5675" s="37" t="n">
        <x:v>46121</x:v>
      </x:c>
      <x:c r="K5675" s="19" t="str">
        <x:v>Newcastle RV Super Centre - Beresfield</x:v>
      </x:c>
      <x:c r="L5675" s="19" t="str">
        <x:v>Z006</x:v>
      </x:c>
      <x:c r="M5675" s="19" t="str">
        <x:v>In Field Warranty Claims</x:v>
      </x:c>
      <x:c r="N5675" s="37" t="n">
        <x:v>45924</x:v>
      </x:c>
      <x:c r="O5675" s="37" t="n">
        <x:v>45930</x:v>
      </x:c>
      <x:c r="P5675" s="34" t="n">
        <x:v>0</x:v>
      </x:c>
      <x:c r="Q5675" s="37" t="n">
        <x:v>46125.21976851852</x:v>
      </x:c>
    </x:row>
    <x:row r="5676">
      <x:c r="A5676" s="22" t="n">
        <x:v>25809</x:v>
      </x:c>
      <x:c r="B5676" s="28" t="n">
        <x:v>786.38</x:v>
      </x:c>
      <x:c r="C5676" s="28"/>
      <x:c r="D5676" s="31" t="str">
        <x:f>IF(OR(ISBLANK(B5676),ISBLANK(C5676),B5676=0),"",(C5676-B5676)/B5676)</x:f>
      </x:c>
      <x:c r="E5676" s="22" t="str">
        <x:f>IF(ISBLANK(C5676),"AmountIncludingTax缺失",IF(ABS(B5676-C5676)&lt;0.005,"一致","不一致"))</x:f>
        <x:v>AmountIncludingTax缺失</x:v>
      </x:c>
      <x:c r="F5676" s="19" t="str">
        <x:v>approved</x:v>
      </x:c>
      <x:c r="G5676" s="19" t="str">
        <x:v>Repair in Progress</x:v>
      </x:c>
      <x:c r="H5676" s="19" t="str">
        <x:v>In Field</x:v>
      </x:c>
      <x:c r="I5676" s="37" t="n">
        <x:v>46065</x:v>
      </x:c>
      <x:c r="J5676" s="37" t="n">
        <x:v>46065</x:v>
      </x:c>
      <x:c r="K5676" s="19" t="str">
        <x:v>Green RV - Forest Glen</x:v>
      </x:c>
      <x:c r="L5676" s="19" t="str">
        <x:v>Z006</x:v>
      </x:c>
      <x:c r="M5676" s="19" t="str">
        <x:v>In Field Warranty Claims</x:v>
      </x:c>
      <x:c r="N5676" s="37" t="n">
        <x:v>45923</x:v>
      </x:c>
      <x:c r="O5676" s="37"/>
      <x:c r="P5676" s="34" t="n">
        <x:v>0</x:v>
      </x:c>
      <x:c r="Q5676" s="37" t="n">
        <x:v>46065.187939814816</x:v>
      </x:c>
    </x:row>
    <x:row r="5677">
      <x:c r="A5677" s="22" t="n">
        <x:v>25798</x:v>
      </x:c>
      <x:c r="B5677" s="28" t="n">
        <x:v>103.64</x:v>
      </x:c>
      <x:c r="C5677" s="28"/>
      <x:c r="D5677" s="31" t="str">
        <x:f>IF(OR(ISBLANK(B5677),ISBLANK(C5677),B5677=0),"",(C5677-B5677)/B5677)</x:f>
      </x:c>
      <x:c r="E5677" s="22" t="str">
        <x:f>IF(ISBLANK(C5677),"AmountIncludingTax缺失",IF(ABS(B5677-C5677)&lt;0.005,"一致","不一致"))</x:f>
        <x:v>AmountIncludingTax缺失</x:v>
      </x:c>
      <x:c r="F5677" s="19" t="str">
        <x:v>approved</x:v>
      </x:c>
      <x:c r="G5677" s="19" t="str">
        <x:v>Repairer Invoiced Processed</x:v>
      </x:c>
      <x:c r="H5677" s="19" t="str">
        <x:v>In Field</x:v>
      </x:c>
      <x:c r="I5677" s="37" t="n">
        <x:v>46093</x:v>
      </x:c>
      <x:c r="J5677" s="37" t="n">
        <x:v>46093</x:v>
      </x:c>
      <x:c r="K5677" s="19" t="str">
        <x:v>Auswide Caravans - South Nowra</x:v>
      </x:c>
      <x:c r="L5677" s="19" t="str">
        <x:v>Z006</x:v>
      </x:c>
      <x:c r="M5677" s="19" t="str">
        <x:v>In Field Warranty Claims</x:v>
      </x:c>
      <x:c r="N5677" s="37" t="n">
        <x:v>45923</x:v>
      </x:c>
      <x:c r="O5677" s="37"/>
      <x:c r="P5677" s="34" t="n">
        <x:v>0</x:v>
      </x:c>
      <x:c r="Q5677" s="37" t="n">
        <x:v>46093.039930555555</x:v>
      </x:c>
    </x:row>
    <x:row r="5678">
      <x:c r="A5678" s="22" t="n">
        <x:v>25795</x:v>
      </x:c>
      <x:c r="B5678" s="28" t="n">
        <x:v>1026.42</x:v>
      </x:c>
      <x:c r="C5678" s="28"/>
      <x:c r="D5678" s="31" t="str">
        <x:f>IF(OR(ISBLANK(B5678),ISBLANK(C5678),B5678=0),"",(C5678-B5678)/B5678)</x:f>
      </x:c>
      <x:c r="E5678" s="22" t="str">
        <x:f>IF(ISBLANK(C5678),"AmountIncludingTax缺失",IF(ABS(B5678-C5678)&lt;0.005,"一致","不一致"))</x:f>
        <x:v>AmountIncludingTax缺失</x:v>
      </x:c>
      <x:c r="F5678" s="19" t="str">
        <x:v>approved</x:v>
      </x:c>
      <x:c r="G5678" s="19" t="str">
        <x:v>Repairer Invoiced Processed</x:v>
      </x:c>
      <x:c r="H5678" s="19" t="str">
        <x:v>In Field</x:v>
      </x:c>
      <x:c r="I5678" s="37" t="n">
        <x:v>46097</x:v>
      </x:c>
      <x:c r="J5678" s="37" t="n">
        <x:v>46097</x:v>
      </x:c>
      <x:c r="K5678" s="19" t="str">
        <x:v>Regent RV Pty Ltd</x:v>
      </x:c>
      <x:c r="L5678" s="19" t="str">
        <x:v>Z006</x:v>
      </x:c>
      <x:c r="M5678" s="19" t="str">
        <x:v>In Field Warranty Claims</x:v>
      </x:c>
      <x:c r="N5678" s="37" t="n">
        <x:v>45923</x:v>
      </x:c>
      <x:c r="O5678" s="37"/>
      <x:c r="P5678" s="34" t="n">
        <x:v>0</x:v>
      </x:c>
      <x:c r="Q5678" s="37" t="n">
        <x:v>46097.08210648148</x:v>
      </x:c>
    </x:row>
    <x:row r="5679">
      <x:c r="A5679" s="22" t="n">
        <x:v>25793</x:v>
      </x:c>
      <x:c r="B5679" s="28" t="n">
        <x:v>810</x:v>
      </x:c>
      <x:c r="C5679" s="28"/>
      <x:c r="D5679" s="31" t="str">
        <x:f>IF(OR(ISBLANK(B5679),ISBLANK(C5679),B5679=0),"",(C5679-B5679)/B5679)</x:f>
      </x:c>
      <x:c r="E5679" s="22" t="str">
        <x:f>IF(ISBLANK(C5679),"AmountIncludingTax缺失",IF(ABS(B5679-C5679)&lt;0.005,"一致","不一致"))</x:f>
        <x:v>AmountIncludingTax缺失</x:v>
      </x:c>
      <x:c r="F5679" s="19" t="str">
        <x:v>approved</x:v>
      </x:c>
      <x:c r="G5679" s="19" t="str">
        <x:v>Repair in Progress</x:v>
      </x:c>
      <x:c r="H5679" s="19" t="str">
        <x:v>In Field</x:v>
      </x:c>
      <x:c r="I5679" s="37" t="n">
        <x:v>46104</x:v>
      </x:c>
      <x:c r="J5679" s="37" t="n">
        <x:v>46104</x:v>
      </x:c>
      <x:c r="K5679" s="19" t="str">
        <x:v>Bendigo Caravan Group - Bendigo</x:v>
      </x:c>
      <x:c r="L5679" s="19" t="str">
        <x:v>Z006</x:v>
      </x:c>
      <x:c r="M5679" s="19" t="str">
        <x:v>In Field Warranty Claims</x:v>
      </x:c>
      <x:c r="N5679" s="37" t="n">
        <x:v>45923</x:v>
      </x:c>
      <x:c r="O5679" s="37"/>
      <x:c r="P5679" s="34" t="n">
        <x:v>0</x:v>
      </x:c>
      <x:c r="Q5679" s="37" t="n">
        <x:v>46104.12938657407</x:v>
      </x:c>
    </x:row>
    <x:row r="5680">
      <x:c r="A5680" s="22" t="n">
        <x:v>25783</x:v>
      </x:c>
      <x:c r="B5680" s="28" t="n">
        <x:v>681.82</x:v>
      </x:c>
      <x:c r="C5680" s="28" t="n">
        <x:v>750</x:v>
      </x:c>
      <x:c r="D5680" s="31" t="n">
        <x:f>IF(OR(ISBLANK(B5680),ISBLANK(C5680),B5680=0),"",(C5680-B5680)/B5680)</x:f>
        <x:v>0.0999970666744888</x:v>
      </x:c>
      <x:c r="E5680" s="22" t="str">
        <x:f>IF(ISBLANK(C5680),"AmountIncludingTax缺失",IF(ABS(B5680-C5680)&lt;0.005,"一致","不一致"))</x:f>
        <x:v>不一致</x:v>
      </x:c>
      <x:c r="F5680" s="19" t="str">
        <x:v>unapproved_closed</x:v>
      </x:c>
      <x:c r="G5680" s="19" t="str">
        <x:v>Unapproved Claims Closed (Closed)</x:v>
      </x:c>
      <x:c r="H5680" s="19" t="str">
        <x:v>In Field</x:v>
      </x:c>
      <x:c r="I5680" s="37" t="n">
        <x:v>46044</x:v>
      </x:c>
      <x:c r="J5680" s="37" t="n">
        <x:v>46044</x:v>
      </x:c>
      <x:c r="K5680" s="19" t="str">
        <x:v>Green RV - Forest Glen</x:v>
      </x:c>
      <x:c r="L5680" s="19" t="str">
        <x:v>Z006</x:v>
      </x:c>
      <x:c r="M5680" s="19" t="str">
        <x:v>In Field Warranty Claims</x:v>
      </x:c>
      <x:c r="N5680" s="37" t="n">
        <x:v>45922</x:v>
      </x:c>
      <x:c r="O5680" s="37" t="n">
        <x:v>46050</x:v>
      </x:c>
      <x:c r="P5680" s="34" t="n">
        <x:v>750</x:v>
      </x:c>
      <x:c r="Q5680" s="37" t="n">
        <x:v>46044.20960648148</x:v>
      </x:c>
    </x:row>
    <x:row r="5681">
      <x:c r="A5681" s="22" t="n">
        <x:v>25764</x:v>
      </x:c>
      <x:c r="B5681" s="28" t="n">
        <x:v>792.91</x:v>
      </x:c>
      <x:c r="C5681" s="28" t="n">
        <x:v>872.2</x:v>
      </x:c>
      <x:c r="D5681" s="31" t="n">
        <x:f>IF(OR(ISBLANK(B5681),ISBLANK(C5681),B5681=0),"",(C5681-B5681)/B5681)</x:f>
        <x:v>0.09999873882281732</x:v>
      </x:c>
      <x:c r="E5681" s="22" t="str">
        <x:f>IF(ISBLANK(C5681),"AmountIncludingTax缺失",IF(ABS(B5681-C5681)&lt;0.005,"一致","不一致"))</x:f>
        <x:v>不一致</x:v>
      </x:c>
      <x:c r="F5681" s="19" t="str">
        <x:v>approved</x:v>
      </x:c>
      <x:c r="G5681" s="19" t="str">
        <x:v>Repairer Invoiced Processed</x:v>
      </x:c>
      <x:c r="H5681" s="19" t="str">
        <x:v>In Field</x:v>
      </x:c>
      <x:c r="I5681" s="37" t="n">
        <x:v>46051</x:v>
      </x:c>
      <x:c r="J5681" s="37" t="n">
        <x:v>46051</x:v>
      </x:c>
      <x:c r="K5681" s="19" t="str">
        <x:v>Auswide Caravans - South Nowra</x:v>
      </x:c>
      <x:c r="L5681" s="19" t="str">
        <x:v>Z006</x:v>
      </x:c>
      <x:c r="M5681" s="19" t="str">
        <x:v>In Field Warranty Claims</x:v>
      </x:c>
      <x:c r="N5681" s="37" t="n">
        <x:v>45922</x:v>
      </x:c>
      <x:c r="O5681" s="37" t="n">
        <x:v>45986</x:v>
      </x:c>
      <x:c r="P5681" s="34" t="n">
        <x:v>872.2</x:v>
      </x:c>
      <x:c r="Q5681" s="37" t="n">
        <x:v>46051.20880787037</x:v>
      </x:c>
    </x:row>
    <x:row r="5682">
      <x:c r="A5682" s="22" t="n">
        <x:v>25759</x:v>
      </x:c>
      <x:c r="B5682" s="28" t="n">
        <x:v>6125</x:v>
      </x:c>
      <x:c r="C5682" s="28"/>
      <x:c r="D5682" s="31" t="str">
        <x:f>IF(OR(ISBLANK(B5682),ISBLANK(C5682),B5682=0),"",(C5682-B5682)/B5682)</x:f>
      </x:c>
      <x:c r="E5682" s="22" t="str">
        <x:f>IF(ISBLANK(C5682),"AmountIncludingTax缺失",IF(ABS(B5682-C5682)&lt;0.005,"一致","不一致"))</x:f>
        <x:v>AmountIncludingTax缺失</x:v>
      </x:c>
      <x:c r="F5682" s="19" t="str">
        <x:v>approved</x:v>
      </x:c>
      <x:c r="G5682" s="19" t="str">
        <x:v>Partially Picked</x:v>
      </x:c>
      <x:c r="H5682" s="19" t="str">
        <x:v>In Field</x:v>
      </x:c>
      <x:c r="I5682" s="37" t="n">
        <x:v>46121</x:v>
      </x:c>
      <x:c r="J5682" s="37" t="n">
        <x:v>46120</x:v>
      </x:c>
      <x:c r="K5682" s="19" t="str">
        <x:v>Green RV - Forest Glen</x:v>
      </x:c>
      <x:c r="L5682" s="19" t="str">
        <x:v>Z006</x:v>
      </x:c>
      <x:c r="M5682" s="19" t="str">
        <x:v>In Field Warranty Claims</x:v>
      </x:c>
      <x:c r="N5682" s="37" t="n">
        <x:v>45922</x:v>
      </x:c>
      <x:c r="O5682" s="37"/>
      <x:c r="P5682" s="34" t="n">
        <x:v>0</x:v>
      </x:c>
      <x:c r="Q5682" s="37" t="n">
        <x:v>46120.86371527778</x:v>
      </x:c>
    </x:row>
    <x:row r="5683">
      <x:c r="A5683" s="22" t="n">
        <x:v>25752</x:v>
      </x:c>
      <x:c r="B5683" s="28" t="n">
        <x:v>280</x:v>
      </x:c>
      <x:c r="C5683" s="28"/>
      <x:c r="D5683" s="31" t="str">
        <x:f>IF(OR(ISBLANK(B5683),ISBLANK(C5683),B5683=0),"",(C5683-B5683)/B5683)</x:f>
      </x:c>
      <x:c r="E5683" s="22" t="str">
        <x:f>IF(ISBLANK(C5683),"AmountIncludingTax缺失",IF(ABS(B5683-C5683)&lt;0.005,"一致","不一致"))</x:f>
        <x:v>AmountIncludingTax缺失</x:v>
      </x:c>
      <x:c r="F5683" s="19" t="str">
        <x:v>approved</x:v>
      </x:c>
      <x:c r="G5683" s="19" t="str">
        <x:v>Repair in Progress</x:v>
      </x:c>
      <x:c r="H5683" s="19" t="str">
        <x:v>Pre Delivery</x:v>
      </x:c>
      <x:c r="I5683" s="37" t="n">
        <x:v>46031</x:v>
      </x:c>
      <x:c r="J5683" s="37" t="n">
        <x:v>46031</x:v>
      </x:c>
      <x:c r="K5683" s="19" t="str">
        <x:v>Vanari Caravans - Marden Point</x:v>
      </x:c>
      <x:c r="L5683" s="19" t="str">
        <x:v>Z005</x:v>
      </x:c>
      <x:c r="M5683" s="19" t="str">
        <x:v>Pre Delivery Warranty Claims</x:v>
      </x:c>
      <x:c r="N5683" s="37" t="n">
        <x:v>45922</x:v>
      </x:c>
      <x:c r="O5683" s="37"/>
      <x:c r="P5683" s="34" t="n">
        <x:v>0</x:v>
      </x:c>
      <x:c r="Q5683" s="37" t="n">
        <x:v>46030.888969907406</x:v>
      </x:c>
    </x:row>
    <x:row r="5684">
      <x:c r="A5684" s="22" t="n">
        <x:v>25751</x:v>
      </x:c>
      <x:c r="B5684" s="28" t="n">
        <x:v>554.95</x:v>
      </x:c>
      <x:c r="C5684" s="28"/>
      <x:c r="D5684" s="31" t="str">
        <x:f>IF(OR(ISBLANK(B5684),ISBLANK(C5684),B5684=0),"",(C5684-B5684)/B5684)</x:f>
      </x:c>
      <x:c r="E5684" s="22" t="str">
        <x:f>IF(ISBLANK(C5684),"AmountIncludingTax缺失",IF(ABS(B5684-C5684)&lt;0.005,"一致","不一致"))</x:f>
        <x:v>AmountIncludingTax缺失</x:v>
      </x:c>
      <x:c r="F5684" s="19" t="str">
        <x:v>approved</x:v>
      </x:c>
      <x:c r="G5684" s="19" t="str">
        <x:v>Repairer Invoiced Processed</x:v>
      </x:c>
      <x:c r="H5684" s="19" t="str">
        <x:v>In Field</x:v>
      </x:c>
      <x:c r="I5684" s="37" t="n">
        <x:v>46148</x:v>
      </x:c>
      <x:c r="J5684" s="37" t="n">
        <x:v>46112</x:v>
      </x:c>
      <x:c r="K5684" s="19" t="str">
        <x:v>Green RV - Forest Glen</x:v>
      </x:c>
      <x:c r="L5684" s="19" t="str">
        <x:v>Z006</x:v>
      </x:c>
      <x:c r="M5684" s="19" t="str">
        <x:v>In Field Warranty Claims</x:v>
      </x:c>
      <x:c r="N5684" s="37" t="n">
        <x:v>45921</x:v>
      </x:c>
      <x:c r="O5684" s="37"/>
      <x:c r="P5684" s="34" t="n">
        <x:v>0</x:v>
      </x:c>
      <x:c r="Q5684" s="37" t="n">
        <x:v>46148.17797453704</x:v>
      </x:c>
    </x:row>
    <x:row r="5685">
      <x:c r="A5685" s="22" t="n">
        <x:v>25732</x:v>
      </x:c>
      <x:c r="B5685" s="28" t="n">
        <x:v>4977.38</x:v>
      </x:c>
      <x:c r="C5685" s="28"/>
      <x:c r="D5685" s="31" t="str">
        <x:f>IF(OR(ISBLANK(B5685),ISBLANK(C5685),B5685=0),"",(C5685-B5685)/B5685)</x:f>
      </x:c>
      <x:c r="E5685" s="22" t="str">
        <x:f>IF(ISBLANK(C5685),"AmountIncludingTax缺失",IF(ABS(B5685-C5685)&lt;0.005,"一致","不一致"))</x:f>
        <x:v>AmountIncludingTax缺失</x:v>
      </x:c>
      <x:c r="F5685" s="19" t="str">
        <x:v>approved</x:v>
      </x:c>
      <x:c r="G5685" s="19" t="str">
        <x:v>Repair in Progress</x:v>
      </x:c>
      <x:c r="H5685" s="19" t="str">
        <x:v>In Field</x:v>
      </x:c>
      <x:c r="I5685" s="37" t="n">
        <x:v>46119</x:v>
      </x:c>
      <x:c r="J5685" s="37" t="n">
        <x:v>46119</x:v>
      </x:c>
      <x:c r="K5685" s="19" t="str">
        <x:v>Green RV - Forest Glen</x:v>
      </x:c>
      <x:c r="L5685" s="19" t="str">
        <x:v>Z006</x:v>
      </x:c>
      <x:c r="M5685" s="19" t="str">
        <x:v>In Field Warranty Claims</x:v>
      </x:c>
      <x:c r="N5685" s="37" t="n">
        <x:v>45921</x:v>
      </x:c>
      <x:c r="O5685" s="37"/>
      <x:c r="P5685" s="34" t="n">
        <x:v>5475.12</x:v>
      </x:c>
      <x:c r="Q5685" s="37" t="n">
        <x:v>46119.057337962964</x:v>
      </x:c>
    </x:row>
    <x:row r="5686">
      <x:c r="A5686" s="22" t="n">
        <x:v>25729</x:v>
      </x:c>
      <x:c r="B5686" s="28" t="n">
        <x:v>135</x:v>
      </x:c>
      <x:c r="C5686" s="28"/>
      <x:c r="D5686" s="31" t="str">
        <x:f>IF(OR(ISBLANK(B5686),ISBLANK(C5686),B5686=0),"",(C5686-B5686)/B5686)</x:f>
      </x:c>
      <x:c r="E5686" s="22" t="str">
        <x:f>IF(ISBLANK(C5686),"AmountIncludingTax缺失",IF(ABS(B5686-C5686)&lt;0.005,"一致","不一致"))</x:f>
        <x:v>AmountIncludingTax缺失</x:v>
      </x:c>
      <x:c r="F5686" s="19" t="str">
        <x:v>approved</x:v>
      </x:c>
      <x:c r="G5686" s="19" t="str">
        <x:v>Repair in Progress</x:v>
      </x:c>
      <x:c r="H5686" s="19" t="str">
        <x:v>In Field</x:v>
      </x:c>
      <x:c r="I5686" s="37" t="n">
        <x:v>46035</x:v>
      </x:c>
      <x:c r="J5686" s="37" t="n">
        <x:v>46034</x:v>
      </x:c>
      <x:c r="K5686" s="19" t="str">
        <x:v>Regent RV - Frankston</x:v>
      </x:c>
      <x:c r="L5686" s="19" t="str">
        <x:v>Z006</x:v>
      </x:c>
      <x:c r="M5686" s="19" t="str">
        <x:v>In Field Warranty Claims</x:v>
      </x:c>
      <x:c r="N5686" s="37" t="n">
        <x:v>45921</x:v>
      </x:c>
      <x:c r="O5686" s="37"/>
      <x:c r="P5686" s="34" t="n">
        <x:v>0</x:v>
      </x:c>
      <x:c r="Q5686" s="37" t="n">
        <x:v>46034.92806712963</x:v>
      </x:c>
    </x:row>
    <x:row r="5687">
      <x:c r="A5687" s="22" t="n">
        <x:v>25726</x:v>
      </x:c>
      <x:c r="B5687" s="28" t="n">
        <x:v>1113.2</x:v>
      </x:c>
      <x:c r="C5687" s="28"/>
      <x:c r="D5687" s="31" t="str">
        <x:f>IF(OR(ISBLANK(B5687),ISBLANK(C5687),B5687=0),"",(C5687-B5687)/B5687)</x:f>
      </x:c>
      <x:c r="E5687" s="22" t="str">
        <x:f>IF(ISBLANK(C5687),"AmountIncludingTax缺失",IF(ABS(B5687-C5687)&lt;0.005,"一致","不一致"))</x:f>
        <x:v>AmountIncludingTax缺失</x:v>
      </x:c>
      <x:c r="F5687" s="19" t="str">
        <x:v>approved</x:v>
      </x:c>
      <x:c r="G5687" s="19" t="str">
        <x:v>Partially Picked</x:v>
      </x:c>
      <x:c r="H5687" s="19" t="str">
        <x:v>In Field</x:v>
      </x:c>
      <x:c r="I5687" s="37" t="n">
        <x:v>46108</x:v>
      </x:c>
      <x:c r="J5687" s="37" t="n">
        <x:v>46108</x:v>
      </x:c>
      <x:c r="K5687" s="19" t="str">
        <x:v>Vanari Caravans - Marden Point</x:v>
      </x:c>
      <x:c r="L5687" s="19" t="str">
        <x:v>Z006</x:v>
      </x:c>
      <x:c r="M5687" s="19" t="str">
        <x:v>In Field Warranty Claims</x:v>
      </x:c>
      <x:c r="N5687" s="37" t="n">
        <x:v>45921</x:v>
      </x:c>
      <x:c r="O5687" s="37"/>
      <x:c r="P5687" s="34" t="n">
        <x:v>0</x:v>
      </x:c>
      <x:c r="Q5687" s="37" t="n">
        <x:v>46108.11515046296</x:v>
      </x:c>
    </x:row>
    <x:row r="5688">
      <x:c r="A5688" s="22" t="n">
        <x:v>25725</x:v>
      </x:c>
      <x:c r="B5688" s="28" t="n">
        <x:v>326.25</x:v>
      </x:c>
      <x:c r="C5688" s="28"/>
      <x:c r="D5688" s="31" t="str">
        <x:f>IF(OR(ISBLANK(B5688),ISBLANK(C5688),B5688=0),"",(C5688-B5688)/B5688)</x:f>
      </x:c>
      <x:c r="E5688" s="22" t="str">
        <x:f>IF(ISBLANK(C5688),"AmountIncludingTax缺失",IF(ABS(B5688-C5688)&lt;0.005,"一致","不一致"))</x:f>
        <x:v>AmountIncludingTax缺失</x:v>
      </x:c>
      <x:c r="F5688" s="19" t="str">
        <x:v>approved</x:v>
      </x:c>
      <x:c r="G5688" s="19" t="str">
        <x:v>Repair in Progress</x:v>
      </x:c>
      <x:c r="H5688" s="19" t="str">
        <x:v>Pre Delivery</x:v>
      </x:c>
      <x:c r="I5688" s="37" t="n">
        <x:v>46072</x:v>
      </x:c>
      <x:c r="J5688" s="37" t="n">
        <x:v>46072</x:v>
      </x:c>
      <x:c r="K5688" s="19" t="str">
        <x:v>The Caravan Hub - Townsville</x:v>
      </x:c>
      <x:c r="L5688" s="19" t="str">
        <x:v>Z005</x:v>
      </x:c>
      <x:c r="M5688" s="19" t="str">
        <x:v>Pre Delivery Warranty Claims</x:v>
      </x:c>
      <x:c r="N5688" s="37" t="n">
        <x:v>45921</x:v>
      </x:c>
      <x:c r="O5688" s="37"/>
      <x:c r="P5688" s="34" t="n">
        <x:v>0</x:v>
      </x:c>
      <x:c r="Q5688" s="37" t="n">
        <x:v>46072.06543981482</x:v>
      </x:c>
    </x:row>
    <x:row r="5689">
      <x:c r="A5689" s="22" t="n">
        <x:v>25724</x:v>
      </x:c>
      <x:c r="B5689" s="28" t="n">
        <x:v>1275</x:v>
      </x:c>
      <x:c r="C5689" s="28"/>
      <x:c r="D5689" s="31" t="str">
        <x:f>IF(OR(ISBLANK(B5689),ISBLANK(C5689),B5689=0),"",(C5689-B5689)/B5689)</x:f>
      </x:c>
      <x:c r="E5689" s="22" t="str">
        <x:f>IF(ISBLANK(C5689),"AmountIncludingTax缺失",IF(ABS(B5689-C5689)&lt;0.005,"一致","不一致"))</x:f>
        <x:v>AmountIncludingTax缺失</x:v>
      </x:c>
      <x:c r="F5689" s="19" t="str">
        <x:v>approved</x:v>
      </x:c>
      <x:c r="G5689" s="19" t="str">
        <x:v>Repair in Progress</x:v>
      </x:c>
      <x:c r="H5689" s="19" t="str">
        <x:v>In Field</x:v>
      </x:c>
      <x:c r="I5689" s="37" t="n">
        <x:v>46147</x:v>
      </x:c>
      <x:c r="J5689" s="37" t="n">
        <x:v>46147</x:v>
      </x:c>
      <x:c r="K5689" s="19" t="str">
        <x:v>Auswide Caravans - South Nowra</x:v>
      </x:c>
      <x:c r="L5689" s="19" t="str">
        <x:v>Z006</x:v>
      </x:c>
      <x:c r="M5689" s="19" t="str">
        <x:v>In Field Warranty Claims</x:v>
      </x:c>
      <x:c r="N5689" s="37" t="n">
        <x:v>45921</x:v>
      </x:c>
      <x:c r="O5689" s="37" t="n">
        <x:v>45939</x:v>
      </x:c>
      <x:c r="P5689" s="34" t="n">
        <x:v>0</x:v>
      </x:c>
      <x:c r="Q5689" s="37" t="n">
        <x:v>46147.17954861111</x:v>
      </x:c>
    </x:row>
    <x:row r="5690">
      <x:c r="A5690" s="22" t="n">
        <x:v>25723</x:v>
      </x:c>
      <x:c r="B5690" s="28" t="n">
        <x:v>30</x:v>
      </x:c>
      <x:c r="C5690" s="28" t="n">
        <x:v>33</x:v>
      </x:c>
      <x:c r="D5690" s="31" t="n">
        <x:f>IF(OR(ISBLANK(B5690),ISBLANK(C5690),B5690=0),"",(C5690-B5690)/B5690)</x:f>
        <x:v>0.1</x:v>
      </x:c>
      <x:c r="E5690" s="22" t="str">
        <x:f>IF(ISBLANK(C5690),"AmountIncludingTax缺失",IF(ABS(B5690-C5690)&lt;0.005,"一致","不一致"))</x:f>
        <x:v>不一致</x:v>
      </x:c>
      <x:c r="F5690" s="19" t="str">
        <x:v>approved</x:v>
      </x:c>
      <x:c r="G5690" s="19" t="str">
        <x:v>Repair in Progress</x:v>
      </x:c>
      <x:c r="H5690" s="19" t="str">
        <x:v>In Field</x:v>
      </x:c>
      <x:c r="I5690" s="37" t="n">
        <x:v>46195</x:v>
      </x:c>
      <x:c r="J5690" s="37" t="n">
        <x:v>46195</x:v>
      </x:c>
      <x:c r="K5690" s="19" t="str">
        <x:v>Regent RV - Perth</x:v>
      </x:c>
      <x:c r="L5690" s="19" t="str">
        <x:v>Z006</x:v>
      </x:c>
      <x:c r="M5690" s="19" t="str">
        <x:v>In Field Warranty Claims</x:v>
      </x:c>
      <x:c r="N5690" s="37" t="n">
        <x:v>45921</x:v>
      </x:c>
      <x:c r="O5690" s="37" t="n">
        <x:v>46149</x:v>
      </x:c>
      <x:c r="P5690" s="34" t="n">
        <x:v>33</x:v>
      </x:c>
      <x:c r="Q5690" s="37" t="n">
        <x:v>46195.11106481482</x:v>
      </x:c>
    </x:row>
    <x:row r="5691">
      <x:c r="A5691" s="22" t="n">
        <x:v>25722</x:v>
      </x:c>
      <x:c r="B5691" s="28" t="n">
        <x:v>202.5</x:v>
      </x:c>
      <x:c r="C5691" s="28"/>
      <x:c r="D5691" s="31" t="str">
        <x:f>IF(OR(ISBLANK(B5691),ISBLANK(C5691),B5691=0),"",(C5691-B5691)/B5691)</x:f>
      </x:c>
      <x:c r="E5691" s="22" t="str">
        <x:f>IF(ISBLANK(C5691),"AmountIncludingTax缺失",IF(ABS(B5691-C5691)&lt;0.005,"一致","不一致"))</x:f>
        <x:v>AmountIncludingTax缺失</x:v>
      </x:c>
      <x:c r="F5691" s="19" t="str">
        <x:v>approved</x:v>
      </x:c>
      <x:c r="G5691" s="19" t="str">
        <x:v>Sales Order Approved</x:v>
      </x:c>
      <x:c r="H5691" s="19" t="str">
        <x:v>In Field</x:v>
      </x:c>
      <x:c r="I5691" s="37" t="n">
        <x:v>46121</x:v>
      </x:c>
      <x:c r="J5691" s="37" t="n">
        <x:v>46037</x:v>
      </x:c>
      <x:c r="K5691" s="19" t="str">
        <x:v>ABCO Caravans - Boambee Valley</x:v>
      </x:c>
      <x:c r="L5691" s="19" t="str">
        <x:v>Z006</x:v>
      </x:c>
      <x:c r="M5691" s="19" t="str">
        <x:v>In Field Warranty Claims</x:v>
      </x:c>
      <x:c r="N5691" s="37" t="n">
        <x:v>45921</x:v>
      </x:c>
      <x:c r="O5691" s="37"/>
      <x:c r="P5691" s="34" t="n">
        <x:v>0</x:v>
      </x:c>
      <x:c r="Q5691" s="37" t="n">
        <x:v>46121.021203703705</x:v>
      </x:c>
    </x:row>
    <x:row r="5692">
      <x:c r="A5692" s="22" t="n">
        <x:v>25712</x:v>
      </x:c>
      <x:c r="B5692" s="28" t="n">
        <x:v>1215</x:v>
      </x:c>
      <x:c r="C5692" s="28"/>
      <x:c r="D5692" s="31" t="str">
        <x:f>IF(OR(ISBLANK(B5692),ISBLANK(C5692),B5692=0),"",(C5692-B5692)/B5692)</x:f>
      </x:c>
      <x:c r="E5692" s="22" t="str">
        <x:f>IF(ISBLANK(C5692),"AmountIncludingTax缺失",IF(ABS(B5692-C5692)&lt;0.005,"一致","不一致"))</x:f>
        <x:v>AmountIncludingTax缺失</x:v>
      </x:c>
      <x:c r="F5692" s="19" t="str">
        <x:v>approved</x:v>
      </x:c>
      <x:c r="G5692" s="19" t="str">
        <x:v>Repair in Progress</x:v>
      </x:c>
      <x:c r="H5692" s="19" t="str">
        <x:v>In Field</x:v>
      </x:c>
      <x:c r="I5692" s="37" t="n">
        <x:v>46134</x:v>
      </x:c>
      <x:c r="J5692" s="37" t="n">
        <x:v>46134</x:v>
      </x:c>
      <x:c r="K5692" s="19" t="str">
        <x:v>Regent RV - Perth</x:v>
      </x:c>
      <x:c r="L5692" s="19" t="str">
        <x:v>Z006</x:v>
      </x:c>
      <x:c r="M5692" s="19" t="str">
        <x:v>In Field Warranty Claims</x:v>
      </x:c>
      <x:c r="N5692" s="37" t="n">
        <x:v>45920</x:v>
      </x:c>
      <x:c r="O5692" s="37"/>
      <x:c r="P5692" s="34" t="n">
        <x:v>0</x:v>
      </x:c>
      <x:c r="Q5692" s="37" t="n">
        <x:v>46134.09818287037</x:v>
      </x:c>
    </x:row>
    <x:row r="5693">
      <x:c r="A5693" s="22" t="n">
        <x:v>25703</x:v>
      </x:c>
      <x:c r="B5693" s="28" t="n">
        <x:v>11030.15</x:v>
      </x:c>
      <x:c r="C5693" s="28"/>
      <x:c r="D5693" s="31" t="str">
        <x:f>IF(OR(ISBLANK(B5693),ISBLANK(C5693),B5693=0),"",(C5693-B5693)/B5693)</x:f>
      </x:c>
      <x:c r="E5693" s="22" t="str">
        <x:f>IF(ISBLANK(C5693),"AmountIncludingTax缺失",IF(ABS(B5693-C5693)&lt;0.005,"一致","不一致"))</x:f>
        <x:v>AmountIncludingTax缺失</x:v>
      </x:c>
      <x:c r="F5693" s="19" t="str">
        <x:v>approved</x:v>
      </x:c>
      <x:c r="G5693" s="19" t="str">
        <x:v>Repairer Invoiced Processed</x:v>
      </x:c>
      <x:c r="H5693" s="19" t="str">
        <x:v>In Field</x:v>
      </x:c>
      <x:c r="I5693" s="37" t="n">
        <x:v>46183</x:v>
      </x:c>
      <x:c r="J5693" s="37" t="n">
        <x:v>46183</x:v>
      </x:c>
      <x:c r="K5693" s="19" t="str">
        <x:v>Green RV - Forest Glen</x:v>
      </x:c>
      <x:c r="L5693" s="19" t="str">
        <x:v>Z006</x:v>
      </x:c>
      <x:c r="M5693" s="19" t="str">
        <x:v>In Field Warranty Claims</x:v>
      </x:c>
      <x:c r="N5693" s="37" t="n">
        <x:v>45919</x:v>
      </x:c>
      <x:c r="O5693" s="37"/>
      <x:c r="P5693" s="34" t="n">
        <x:v>0</x:v>
      </x:c>
      <x:c r="Q5693" s="37" t="n">
        <x:v>46182.975277777776</x:v>
      </x:c>
    </x:row>
    <x:row r="5694">
      <x:c r="A5694" s="22" t="n">
        <x:v>25693</x:v>
      </x:c>
      <x:c r="B5694" s="28" t="n">
        <x:v>508.59</x:v>
      </x:c>
      <x:c r="C5694" s="28" t="n">
        <x:v>559.45</x:v>
      </x:c>
      <x:c r="D5694" s="31" t="n">
        <x:f>IF(OR(ISBLANK(B5694),ISBLANK(C5694),B5694=0),"",(C5694-B5694)/B5694)</x:f>
        <x:v>0.10000196622033479</x:v>
      </x:c>
      <x:c r="E5694" s="22" t="str">
        <x:f>IF(ISBLANK(C5694),"AmountIncludingTax缺失",IF(ABS(B5694-C5694)&lt;0.005,"一致","不一致"))</x:f>
        <x:v>不一致</x:v>
      </x:c>
      <x:c r="F5694" s="19" t="str">
        <x:v>approved</x:v>
      </x:c>
      <x:c r="G5694" s="19" t="str">
        <x:v>Repairer Invoiced Processed</x:v>
      </x:c>
      <x:c r="H5694" s="19" t="str">
        <x:v>In Field</x:v>
      </x:c>
      <x:c r="I5694" s="37" t="n">
        <x:v>46031</x:v>
      </x:c>
      <x:c r="J5694" s="37" t="n">
        <x:v>46031</x:v>
      </x:c>
      <x:c r="K5694" s="19" t="str">
        <x:v>Dario Caravans -St.Marys</x:v>
      </x:c>
      <x:c r="L5694" s="19" t="str">
        <x:v>Z006</x:v>
      </x:c>
      <x:c r="M5694" s="19" t="str">
        <x:v>In Field Warranty Claims</x:v>
      </x:c>
      <x:c r="N5694" s="37" t="n">
        <x:v>45919</x:v>
      </x:c>
      <x:c r="O5694" s="37"/>
      <x:c r="P5694" s="34" t="n">
        <x:v>559.45</x:v>
      </x:c>
      <x:c r="Q5694" s="37" t="n">
        <x:v>46030.88958333333</x:v>
      </x:c>
    </x:row>
    <x:row r="5695">
      <x:c r="A5695" s="22" t="n">
        <x:v>25637</x:v>
      </x:c>
      <x:c r="B5695" s="28" t="n">
        <x:v>1453.75</x:v>
      </x:c>
      <x:c r="C5695" s="28"/>
      <x:c r="D5695" s="31" t="str">
        <x:f>IF(OR(ISBLANK(B5695),ISBLANK(C5695),B5695=0),"",(C5695-B5695)/B5695)</x:f>
      </x:c>
      <x:c r="E5695" s="22" t="str">
        <x:f>IF(ISBLANK(C5695),"AmountIncludingTax缺失",IF(ABS(B5695-C5695)&lt;0.005,"一致","不一致"))</x:f>
        <x:v>AmountIncludingTax缺失</x:v>
      </x:c>
      <x:c r="F5695" s="19" t="str">
        <x:v>approved</x:v>
      </x:c>
      <x:c r="G5695" s="19" t="str">
        <x:v>Repair in Progress</x:v>
      </x:c>
      <x:c r="H5695" s="19" t="str">
        <x:v>Pre Delivery</x:v>
      </x:c>
      <x:c r="I5695" s="37" t="n">
        <x:v>46069</x:v>
      </x:c>
      <x:c r="J5695" s="37" t="n">
        <x:v>46035</x:v>
      </x:c>
      <x:c r="K5695" s="19" t="str">
        <x:v>The Caravan Hub - Townsville</x:v>
      </x:c>
      <x:c r="L5695" s="19" t="str">
        <x:v>Z005</x:v>
      </x:c>
      <x:c r="M5695" s="19" t="str">
        <x:v>Pre Delivery Warranty Claims</x:v>
      </x:c>
      <x:c r="N5695" s="37" t="n">
        <x:v>45919</x:v>
      </x:c>
      <x:c r="O5695" s="37"/>
      <x:c r="P5695" s="34" t="n">
        <x:v>0</x:v>
      </x:c>
      <x:c r="Q5695" s="37" t="n">
        <x:v>46069.196238425924</x:v>
      </x:c>
    </x:row>
    <x:row r="5696">
      <x:c r="A5696" s="22" t="n">
        <x:v>25632</x:v>
      </x:c>
      <x:c r="B5696" s="28" t="n">
        <x:v>712.27</x:v>
      </x:c>
      <x:c r="C5696" s="28" t="n">
        <x:v>783.5</x:v>
      </x:c>
      <x:c r="D5696" s="31" t="n">
        <x:f>IF(OR(ISBLANK(B5696),ISBLANK(C5696),B5696=0),"",(C5696-B5696)/B5696)</x:f>
        <x:v>0.10000421188594216</x:v>
      </x:c>
      <x:c r="E5696" s="22" t="str">
        <x:f>IF(ISBLANK(C5696),"AmountIncludingTax缺失",IF(ABS(B5696-C5696)&lt;0.005,"一致","不一致"))</x:f>
        <x:v>不一致</x:v>
      </x:c>
      <x:c r="F5696" s="19" t="str">
        <x:v>approved</x:v>
      </x:c>
      <x:c r="G5696" s="19" t="str">
        <x:v>Repairer Invoiced Processed</x:v>
      </x:c>
      <x:c r="H5696" s="19" t="str">
        <x:v>In Field</x:v>
      </x:c>
      <x:c r="I5696" s="37" t="n">
        <x:v>46105</x:v>
      </x:c>
      <x:c r="J5696" s="37" t="n">
        <x:v>46105</x:v>
      </x:c>
      <x:c r="K5696" s="19" t="str">
        <x:v>Green RV - Forest Glen</x:v>
      </x:c>
      <x:c r="L5696" s="19" t="str">
        <x:v>Z006</x:v>
      </x:c>
      <x:c r="M5696" s="19" t="str">
        <x:v>In Field Warranty Claims</x:v>
      </x:c>
      <x:c r="N5696" s="37" t="n">
        <x:v>45918</x:v>
      </x:c>
      <x:c r="O5696" s="37"/>
      <x:c r="P5696" s="34" t="n">
        <x:v>783.5</x:v>
      </x:c>
      <x:c r="Q5696" s="37" t="n">
        <x:v>46105.16627314815</x:v>
      </x:c>
    </x:row>
    <x:row r="5697">
      <x:c r="A5697" s="22" t="n">
        <x:v>25624</x:v>
      </x:c>
      <x:c r="B5697" s="28" t="n">
        <x:v>1477.29</x:v>
      </x:c>
      <x:c r="C5697" s="28"/>
      <x:c r="D5697" s="31" t="str">
        <x:f>IF(OR(ISBLANK(B5697),ISBLANK(C5697),B5697=0),"",(C5697-B5697)/B5697)</x:f>
      </x:c>
      <x:c r="E5697" s="22" t="str">
        <x:f>IF(ISBLANK(C5697),"AmountIncludingTax缺失",IF(ABS(B5697-C5697)&lt;0.005,"一致","不一致"))</x:f>
        <x:v>AmountIncludingTax缺失</x:v>
      </x:c>
      <x:c r="F5697" s="19" t="str">
        <x:v>approved</x:v>
      </x:c>
      <x:c r="G5697" s="19" t="str">
        <x:v>Repairer Invoiced Processed</x:v>
      </x:c>
      <x:c r="H5697" s="19" t="str">
        <x:v>In Field</x:v>
      </x:c>
      <x:c r="I5697" s="37" t="n">
        <x:v>46056</x:v>
      </x:c>
      <x:c r="J5697" s="37" t="n">
        <x:v>46056</x:v>
      </x:c>
      <x:c r="K5697" s="19" t="str">
        <x:v>Green RV - Slacks Creek</x:v>
      </x:c>
      <x:c r="L5697" s="19" t="str">
        <x:v>Z006</x:v>
      </x:c>
      <x:c r="M5697" s="19" t="str">
        <x:v>In Field Warranty Claims</x:v>
      </x:c>
      <x:c r="N5697" s="37" t="n">
        <x:v>45918</x:v>
      </x:c>
      <x:c r="O5697" s="37"/>
      <x:c r="P5697" s="34" t="n">
        <x:v>1625.02</x:v>
      </x:c>
      <x:c r="Q5697" s="37" t="n">
        <x:v>46055.93116898148</x:v>
      </x:c>
    </x:row>
    <x:row r="5698">
      <x:c r="A5698" s="22" t="n">
        <x:v>25623</x:v>
      </x:c>
      <x:c r="B5698" s="28" t="n">
        <x:v>1291</x:v>
      </x:c>
      <x:c r="C5698" s="28"/>
      <x:c r="D5698" s="31" t="str">
        <x:f>IF(OR(ISBLANK(B5698),ISBLANK(C5698),B5698=0),"",(C5698-B5698)/B5698)</x:f>
      </x:c>
      <x:c r="E5698" s="22" t="str">
        <x:f>IF(ISBLANK(C5698),"AmountIncludingTax缺失",IF(ABS(B5698-C5698)&lt;0.005,"一致","不一致"))</x:f>
        <x:v>AmountIncludingTax缺失</x:v>
      </x:c>
      <x:c r="F5698" s="19" t="str">
        <x:v>approved</x:v>
      </x:c>
      <x:c r="G5698" s="19" t="str">
        <x:v>Repairer Invoiced Processed</x:v>
      </x:c>
      <x:c r="H5698" s="19" t="str">
        <x:v>Pre Delivery</x:v>
      </x:c>
      <x:c r="I5698" s="37" t="n">
        <x:v>46083</x:v>
      </x:c>
      <x:c r="J5698" s="37" t="n">
        <x:v>46083</x:v>
      </x:c>
      <x:c r="K5698" s="19" t="str">
        <x:v>Green RV - Forest Glen</x:v>
      </x:c>
      <x:c r="L5698" s="19" t="str">
        <x:v>Z005</x:v>
      </x:c>
      <x:c r="M5698" s="19" t="str">
        <x:v>Pre Delivery Warranty Claims</x:v>
      </x:c>
      <x:c r="N5698" s="37" t="n">
        <x:v>45918</x:v>
      </x:c>
      <x:c r="O5698" s="37"/>
      <x:c r="P5698" s="34" t="n">
        <x:v>0</x:v>
      </x:c>
      <x:c r="Q5698" s="37" t="n">
        <x:v>46082.94751157407</x:v>
      </x:c>
    </x:row>
    <x:row r="5699">
      <x:c r="A5699" s="22" t="n">
        <x:v>25621</x:v>
      </x:c>
      <x:c r="B5699" s="28" t="n">
        <x:v>525</x:v>
      </x:c>
      <x:c r="C5699" s="28"/>
      <x:c r="D5699" s="31" t="str">
        <x:f>IF(OR(ISBLANK(B5699),ISBLANK(C5699),B5699=0),"",(C5699-B5699)/B5699)</x:f>
      </x:c>
      <x:c r="E5699" s="22" t="str">
        <x:f>IF(ISBLANK(C5699),"AmountIncludingTax缺失",IF(ABS(B5699-C5699)&lt;0.005,"一致","不一致"))</x:f>
        <x:v>AmountIncludingTax缺失</x:v>
      </x:c>
      <x:c r="F5699" s="19" t="str">
        <x:v>approved</x:v>
      </x:c>
      <x:c r="G5699" s="19" t="str">
        <x:v>Repair in Progress</x:v>
      </x:c>
      <x:c r="H5699" s="19" t="str">
        <x:v>In Field</x:v>
      </x:c>
      <x:c r="I5699" s="37" t="n">
        <x:v>46044</x:v>
      </x:c>
      <x:c r="J5699" s="37" t="n">
        <x:v>46044</x:v>
      </x:c>
      <x:c r="K5699" s="19" t="str">
        <x:v>Regent RV - Perth</x:v>
      </x:c>
      <x:c r="L5699" s="19" t="str">
        <x:v>Z006</x:v>
      </x:c>
      <x:c r="M5699" s="19" t="str">
        <x:v>In Field Warranty Claims</x:v>
      </x:c>
      <x:c r="N5699" s="37" t="n">
        <x:v>45918</x:v>
      </x:c>
      <x:c r="O5699" s="37"/>
      <x:c r="P5699" s="34" t="n">
        <x:v>0</x:v>
      </x:c>
      <x:c r="Q5699" s="37" t="n">
        <x:v>46044.508680555555</x:v>
      </x:c>
    </x:row>
    <x:row r="5700">
      <x:c r="A5700" s="22" t="n">
        <x:v>25617</x:v>
      </x:c>
      <x:c r="B5700" s="28" t="n">
        <x:v>819.5</x:v>
      </x:c>
      <x:c r="C5700" s="28"/>
      <x:c r="D5700" s="31" t="str">
        <x:f>IF(OR(ISBLANK(B5700),ISBLANK(C5700),B5700=0),"",(C5700-B5700)/B5700)</x:f>
      </x:c>
      <x:c r="E5700" s="22" t="str">
        <x:f>IF(ISBLANK(C5700),"AmountIncludingTax缺失",IF(ABS(B5700-C5700)&lt;0.005,"一致","不一致"))</x:f>
        <x:v>AmountIncludingTax缺失</x:v>
      </x:c>
      <x:c r="F5700" s="19" t="str">
        <x:v>approved</x:v>
      </x:c>
      <x:c r="G5700" s="19" t="str">
        <x:v>Repair in Progress</x:v>
      </x:c>
      <x:c r="H5700" s="19" t="str">
        <x:v>In Field</x:v>
      </x:c>
      <x:c r="I5700" s="37" t="n">
        <x:v>46098</x:v>
      </x:c>
      <x:c r="J5700" s="37" t="n">
        <x:v>46098</x:v>
      </x:c>
      <x:c r="K5700" s="19" t="str">
        <x:v>The Caravan Hub - Townsville</x:v>
      </x:c>
      <x:c r="L5700" s="19" t="str">
        <x:v>Z006</x:v>
      </x:c>
      <x:c r="M5700" s="19" t="str">
        <x:v>In Field Warranty Claims</x:v>
      </x:c>
      <x:c r="N5700" s="37" t="n">
        <x:v>45918</x:v>
      </x:c>
      <x:c r="O5700" s="37"/>
      <x:c r="P5700" s="34" t="n">
        <x:v>0</x:v>
      </x:c>
      <x:c r="Q5700" s="37" t="n">
        <x:v>46097.9252662037</x:v>
      </x:c>
    </x:row>
    <x:row r="5701">
      <x:c r="A5701" s="22" t="n">
        <x:v>25610</x:v>
      </x:c>
      <x:c r="B5701" s="28" t="n">
        <x:v>196.86</x:v>
      </x:c>
      <x:c r="C5701" s="28" t="n">
        <x:v>216.55</x:v>
      </x:c>
      <x:c r="D5701" s="31" t="n">
        <x:f>IF(OR(ISBLANK(B5701),ISBLANK(C5701),B5701=0),"",(C5701-B5701)/B5701)</x:f>
        <x:v>0.10002031900843238</x:v>
      </x:c>
      <x:c r="E5701" s="22" t="str">
        <x:f>IF(ISBLANK(C5701),"AmountIncludingTax缺失",IF(ABS(B5701-C5701)&lt;0.005,"一致","不一致"))</x:f>
        <x:v>不一致</x:v>
      </x:c>
      <x:c r="F5701" s="19" t="str">
        <x:v>approved</x:v>
      </x:c>
      <x:c r="G5701" s="19" t="str">
        <x:v>Repairer Invoiced Processed</x:v>
      </x:c>
      <x:c r="H5701" s="19" t="str">
        <x:v>In Field</x:v>
      </x:c>
      <x:c r="I5701" s="37" t="n">
        <x:v>46034</x:v>
      </x:c>
      <x:c r="J5701" s="37" t="n">
        <x:v>46034</x:v>
      </x:c>
      <x:c r="K5701" s="19" t="str">
        <x:v>The Caravan Hub - Townsville</x:v>
      </x:c>
      <x:c r="L5701" s="19" t="str">
        <x:v>Z006</x:v>
      </x:c>
      <x:c r="M5701" s="19" t="str">
        <x:v>In Field Warranty Claims</x:v>
      </x:c>
      <x:c r="N5701" s="37" t="n">
        <x:v>45918</x:v>
      </x:c>
      <x:c r="O5701" s="37"/>
      <x:c r="P5701" s="34" t="n">
        <x:v>216.55</x:v>
      </x:c>
      <x:c r="Q5701" s="37" t="n">
        <x:v>46034.025</x:v>
      </x:c>
    </x:row>
    <x:row r="5702">
      <x:c r="A5702" s="22" t="n">
        <x:v>25605</x:v>
      </x:c>
      <x:c r="B5702" s="28" t="n">
        <x:v>135</x:v>
      </x:c>
      <x:c r="C5702" s="28"/>
      <x:c r="D5702" s="31" t="str">
        <x:f>IF(OR(ISBLANK(B5702),ISBLANK(C5702),B5702=0),"",(C5702-B5702)/B5702)</x:f>
      </x:c>
      <x:c r="E5702" s="22" t="str">
        <x:f>IF(ISBLANK(C5702),"AmountIncludingTax缺失",IF(ABS(B5702-C5702)&lt;0.005,"一致","不一致"))</x:f>
        <x:v>AmountIncludingTax缺失</x:v>
      </x:c>
      <x:c r="F5702" s="19" t="str">
        <x:v>approved</x:v>
      </x:c>
      <x:c r="G5702" s="19" t="str">
        <x:v>Repairer Invoiced Processed</x:v>
      </x:c>
      <x:c r="H5702" s="19" t="str">
        <x:v>In Field</x:v>
      </x:c>
      <x:c r="I5702" s="37" t="n">
        <x:v>46083</x:v>
      </x:c>
      <x:c r="J5702" s="37" t="n">
        <x:v>46083</x:v>
      </x:c>
      <x:c r="K5702" s="19" t="str">
        <x:v>Green RV - Forest Glen</x:v>
      </x:c>
      <x:c r="L5702" s="19" t="str">
        <x:v>Z006</x:v>
      </x:c>
      <x:c r="M5702" s="19" t="str">
        <x:v>In Field Warranty Claims</x:v>
      </x:c>
      <x:c r="N5702" s="37" t="n">
        <x:v>45918</x:v>
      </x:c>
      <x:c r="O5702" s="37" t="n">
        <x:v>46080</x:v>
      </x:c>
      <x:c r="P5702" s="34" t="n">
        <x:v>0</x:v>
      </x:c>
      <x:c r="Q5702" s="37" t="n">
        <x:v>46082.87033564815</x:v>
      </x:c>
    </x:row>
    <x:row r="5703">
      <x:c r="A5703" s="22" t="n">
        <x:v>25597</x:v>
      </x:c>
      <x:c r="B5703" s="28" t="n">
        <x:v>1626.8</x:v>
      </x:c>
      <x:c r="C5703" s="28"/>
      <x:c r="D5703" s="31" t="str">
        <x:f>IF(OR(ISBLANK(B5703),ISBLANK(C5703),B5703=0),"",(C5703-B5703)/B5703)</x:f>
      </x:c>
      <x:c r="E5703" s="22" t="str">
        <x:f>IF(ISBLANK(C5703),"AmountIncludingTax缺失",IF(ABS(B5703-C5703)&lt;0.005,"一致","不一致"))</x:f>
        <x:v>AmountIncludingTax缺失</x:v>
      </x:c>
      <x:c r="F5703" s="19" t="str">
        <x:v>approved</x:v>
      </x:c>
      <x:c r="G5703" s="19" t="str">
        <x:v>Repairer Invoiced Processed</x:v>
      </x:c>
      <x:c r="H5703" s="19" t="str">
        <x:v>In Field</x:v>
      </x:c>
      <x:c r="I5703" s="37" t="n">
        <x:v>46107</x:v>
      </x:c>
      <x:c r="J5703" s="37" t="n">
        <x:v>46043</x:v>
      </x:c>
      <x:c r="K5703" s="19" t="str">
        <x:v>Auswide Caravans - South Nowra</x:v>
      </x:c>
      <x:c r="L5703" s="19" t="str">
        <x:v>Z006</x:v>
      </x:c>
      <x:c r="M5703" s="19" t="str">
        <x:v>In Field Warranty Claims</x:v>
      </x:c>
      <x:c r="N5703" s="37" t="n">
        <x:v>45918</x:v>
      </x:c>
      <x:c r="O5703" s="37"/>
      <x:c r="P5703" s="34" t="n">
        <x:v>1789.48</x:v>
      </x:c>
      <x:c r="Q5703" s="37" t="n">
        <x:v>46107.07346064815</x:v>
      </x:c>
    </x:row>
    <x:row r="5704">
      <x:c r="A5704" s="22" t="n">
        <x:v>25572</x:v>
      </x:c>
      <x:c r="B5704" s="28" t="n">
        <x:v>600</x:v>
      </x:c>
      <x:c r="C5704" s="28"/>
      <x:c r="D5704" s="31" t="str">
        <x:f>IF(OR(ISBLANK(B5704),ISBLANK(C5704),B5704=0),"",(C5704-B5704)/B5704)</x:f>
      </x:c>
      <x:c r="E5704" s="22" t="str">
        <x:f>IF(ISBLANK(C5704),"AmountIncludingTax缺失",IF(ABS(B5704-C5704)&lt;0.005,"一致","不一致"))</x:f>
        <x:v>AmountIncludingTax缺失</x:v>
      </x:c>
      <x:c r="F5704" s="19" t="str">
        <x:v>approved</x:v>
      </x:c>
      <x:c r="G5704" s="19" t="str">
        <x:v>Repair in Progress</x:v>
      </x:c>
      <x:c r="H5704" s="19" t="str">
        <x:v>In Field</x:v>
      </x:c>
      <x:c r="I5704" s="37" t="n">
        <x:v>46114</x:v>
      </x:c>
      <x:c r="J5704" s="37" t="n">
        <x:v>46114</x:v>
      </x:c>
      <x:c r="K5704" s="19" t="str">
        <x:v>Regent RV - Perth</x:v>
      </x:c>
      <x:c r="L5704" s="19" t="str">
        <x:v>Z006</x:v>
      </x:c>
      <x:c r="M5704" s="19" t="str">
        <x:v>In Field Warranty Claims</x:v>
      </x:c>
      <x:c r="N5704" s="37" t="n">
        <x:v>45917</x:v>
      </x:c>
      <x:c r="O5704" s="37"/>
      <x:c r="P5704" s="34" t="n">
        <x:v>0</x:v>
      </x:c>
      <x:c r="Q5704" s="37" t="n">
        <x:v>46114.100752314815</x:v>
      </x:c>
    </x:row>
    <x:row r="5705">
      <x:c r="A5705" s="22" t="n">
        <x:v>25569</x:v>
      </x:c>
      <x:c r="B5705" s="28" t="n">
        <x:v>41.6</x:v>
      </x:c>
      <x:c r="C5705" s="28"/>
      <x:c r="D5705" s="31" t="str">
        <x:f>IF(OR(ISBLANK(B5705),ISBLANK(C5705),B5705=0),"",(C5705-B5705)/B5705)</x:f>
      </x:c>
      <x:c r="E5705" s="22" t="str">
        <x:f>IF(ISBLANK(C5705),"AmountIncludingTax缺失",IF(ABS(B5705-C5705)&lt;0.005,"一致","不一致"))</x:f>
        <x:v>AmountIncludingTax缺失</x:v>
      </x:c>
      <x:c r="F5705" s="19" t="str">
        <x:v>approved</x:v>
      </x:c>
      <x:c r="G5705" s="19" t="str">
        <x:v>Repairer Invoiced Processed</x:v>
      </x:c>
      <x:c r="H5705" s="19" t="str">
        <x:v>In Field</x:v>
      </x:c>
      <x:c r="I5705" s="37" t="n">
        <x:v>46184</x:v>
      </x:c>
      <x:c r="J5705" s="37" t="n">
        <x:v>46184</x:v>
      </x:c>
      <x:c r="K5705" s="19" t="str">
        <x:v>Vanari Caravans - Marden Point</x:v>
      </x:c>
      <x:c r="L5705" s="19" t="str">
        <x:v>Z006</x:v>
      </x:c>
      <x:c r="M5705" s="19" t="str">
        <x:v>In Field Warranty Claims</x:v>
      </x:c>
      <x:c r="N5705" s="37" t="n">
        <x:v>45917</x:v>
      </x:c>
      <x:c r="O5705" s="37" t="n">
        <x:v>46101</x:v>
      </x:c>
      <x:c r="P5705" s="34" t="n">
        <x:v>0</x:v>
      </x:c>
      <x:c r="Q5705" s="37" t="n">
        <x:v>46183.94054398148</x:v>
      </x:c>
    </x:row>
    <x:row r="5706">
      <x:c r="A5706" s="22" t="n">
        <x:v>25561</x:v>
      </x:c>
      <x:c r="B5706" s="28" t="n">
        <x:v>1113.75</x:v>
      </x:c>
      <x:c r="C5706" s="28"/>
      <x:c r="D5706" s="31" t="str">
        <x:f>IF(OR(ISBLANK(B5706),ISBLANK(C5706),B5706=0),"",(C5706-B5706)/B5706)</x:f>
      </x:c>
      <x:c r="E5706" s="22" t="str">
        <x:f>IF(ISBLANK(C5706),"AmountIncludingTax缺失",IF(ABS(B5706-C5706)&lt;0.005,"一致","不一致"))</x:f>
        <x:v>AmountIncludingTax缺失</x:v>
      </x:c>
      <x:c r="F5706" s="19" t="str">
        <x:v>approved</x:v>
      </x:c>
      <x:c r="G5706" s="19" t="str">
        <x:v>Repair in Progress</x:v>
      </x:c>
      <x:c r="H5706" s="19" t="str">
        <x:v>In Field</x:v>
      </x:c>
      <x:c r="I5706" s="37" t="n">
        <x:v>46163</x:v>
      </x:c>
      <x:c r="J5706" s="37" t="n">
        <x:v>46163</x:v>
      </x:c>
      <x:c r="K5706" s="19" t="str">
        <x:v>Regent RV Pty Ltd</x:v>
      </x:c>
      <x:c r="L5706" s="19" t="str">
        <x:v>Z006</x:v>
      </x:c>
      <x:c r="M5706" s="19" t="str">
        <x:v>In Field Warranty Claims</x:v>
      </x:c>
      <x:c r="N5706" s="37" t="n">
        <x:v>45917</x:v>
      </x:c>
      <x:c r="O5706" s="37"/>
      <x:c r="P5706" s="34" t="n">
        <x:v>0</x:v>
      </x:c>
      <x:c r="Q5706" s="37" t="n">
        <x:v>46163.126875</x:v>
      </x:c>
    </x:row>
    <x:row r="5707">
      <x:c r="A5707" s="22" t="n">
        <x:v>25538</x:v>
      </x:c>
      <x:c r="B5707" s="28" t="n">
        <x:v>400</x:v>
      </x:c>
      <x:c r="C5707" s="28"/>
      <x:c r="D5707" s="31" t="str">
        <x:f>IF(OR(ISBLANK(B5707),ISBLANK(C5707),B5707=0),"",(C5707-B5707)/B5707)</x:f>
      </x:c>
      <x:c r="E5707" s="22" t="str">
        <x:f>IF(ISBLANK(C5707),"AmountIncludingTax缺失",IF(ABS(B5707-C5707)&lt;0.005,"一致","不一致"))</x:f>
        <x:v>AmountIncludingTax缺失</x:v>
      </x:c>
      <x:c r="F5707" s="19" t="str">
        <x:v>approved</x:v>
      </x:c>
      <x:c r="G5707" s="19" t="str">
        <x:v>Repair in Progress</x:v>
      </x:c>
      <x:c r="H5707" s="19" t="str">
        <x:v>Pre Delivery</x:v>
      </x:c>
      <x:c r="I5707" s="37" t="n">
        <x:v>46031</x:v>
      </x:c>
      <x:c r="J5707" s="37" t="n">
        <x:v>46031</x:v>
      </x:c>
      <x:c r="K5707" s="19" t="str">
        <x:v>Regent RV - Perth</x:v>
      </x:c>
      <x:c r="L5707" s="19" t="str">
        <x:v>Z005</x:v>
      </x:c>
      <x:c r="M5707" s="19" t="str">
        <x:v>Pre Delivery Warranty Claims</x:v>
      </x:c>
      <x:c r="N5707" s="37" t="n">
        <x:v>45917</x:v>
      </x:c>
      <x:c r="O5707" s="37"/>
      <x:c r="P5707" s="34" t="n">
        <x:v>0</x:v>
      </x:c>
      <x:c r="Q5707" s="37" t="n">
        <x:v>46030.8903125</x:v>
      </x:c>
    </x:row>
    <x:row r="5708">
      <x:c r="A5708" s="22" t="n">
        <x:v>25529</x:v>
      </x:c>
      <x:c r="B5708" s="28" t="n">
        <x:v>1075</x:v>
      </x:c>
      <x:c r="C5708" s="28"/>
      <x:c r="D5708" s="31" t="str">
        <x:f>IF(OR(ISBLANK(B5708),ISBLANK(C5708),B5708=0),"",(C5708-B5708)/B5708)</x:f>
      </x:c>
      <x:c r="E5708" s="22" t="str">
        <x:f>IF(ISBLANK(C5708),"AmountIncludingTax缺失",IF(ABS(B5708-C5708)&lt;0.005,"一致","不一致"))</x:f>
        <x:v>AmountIncludingTax缺失</x:v>
      </x:c>
      <x:c r="F5708" s="19" t="str">
        <x:v>approved</x:v>
      </x:c>
      <x:c r="G5708" s="19" t="str">
        <x:v>Repair in Progress</x:v>
      </x:c>
      <x:c r="H5708" s="19" t="str">
        <x:v>Pre Delivery</x:v>
      </x:c>
      <x:c r="I5708" s="37" t="n">
        <x:v>46106</x:v>
      </x:c>
      <x:c r="J5708" s="37" t="n">
        <x:v>46106</x:v>
      </x:c>
      <x:c r="K5708" s="19" t="str">
        <x:v>The Caravan Hub - Townsville</x:v>
      </x:c>
      <x:c r="L5708" s="19" t="str">
        <x:v>Z005</x:v>
      </x:c>
      <x:c r="M5708" s="19" t="str">
        <x:v>Pre Delivery Warranty Claims</x:v>
      </x:c>
      <x:c r="N5708" s="37" t="n">
        <x:v>45917</x:v>
      </x:c>
      <x:c r="O5708" s="37"/>
      <x:c r="P5708" s="34" t="n">
        <x:v>0</x:v>
      </x:c>
      <x:c r="Q5708" s="37" t="n">
        <x:v>46105.89716435185</x:v>
      </x:c>
    </x:row>
    <x:row r="5709">
      <x:c r="A5709" s="22" t="n">
        <x:v>25519</x:v>
      </x:c>
      <x:c r="B5709" s="28" t="n">
        <x:v>135</x:v>
      </x:c>
      <x:c r="C5709" s="28"/>
      <x:c r="D5709" s="31" t="str">
        <x:f>IF(OR(ISBLANK(B5709),ISBLANK(C5709),B5709=0),"",(C5709-B5709)/B5709)</x:f>
      </x:c>
      <x:c r="E5709" s="22" t="str">
        <x:f>IF(ISBLANK(C5709),"AmountIncludingTax缺失",IF(ABS(B5709-C5709)&lt;0.005,"一致","不一致"))</x:f>
        <x:v>AmountIncludingTax缺失</x:v>
      </x:c>
      <x:c r="F5709" s="19" t="str">
        <x:v>approved</x:v>
      </x:c>
      <x:c r="G5709" s="19" t="str">
        <x:v>Repair in Progress</x:v>
      </x:c>
      <x:c r="H5709" s="19" t="str">
        <x:v>In Field</x:v>
      </x:c>
      <x:c r="I5709" s="37" t="n">
        <x:v>46065</x:v>
      </x:c>
      <x:c r="J5709" s="37" t="n">
        <x:v>46065</x:v>
      </x:c>
      <x:c r="K5709" s="19" t="str">
        <x:v>Regent RV - Frankston</x:v>
      </x:c>
      <x:c r="L5709" s="19" t="str">
        <x:v>Z006</x:v>
      </x:c>
      <x:c r="M5709" s="19" t="str">
        <x:v>In Field Warranty Claims</x:v>
      </x:c>
      <x:c r="N5709" s="37" t="n">
        <x:v>45917</x:v>
      </x:c>
      <x:c r="O5709" s="37"/>
      <x:c r="P5709" s="34" t="n">
        <x:v>0</x:v>
      </x:c>
      <x:c r="Q5709" s="37" t="n">
        <x:v>46064.98474537037</x:v>
      </x:c>
    </x:row>
    <x:row r="5710">
      <x:c r="A5710" s="22" t="n">
        <x:v>25509</x:v>
      </x:c>
      <x:c r="B5710" s="28" t="n">
        <x:v>318.18</x:v>
      </x:c>
      <x:c r="C5710" s="28"/>
      <x:c r="D5710" s="31" t="str">
        <x:f>IF(OR(ISBLANK(B5710),ISBLANK(C5710),B5710=0),"",(C5710-B5710)/B5710)</x:f>
      </x:c>
      <x:c r="E5710" s="22" t="str">
        <x:f>IF(ISBLANK(C5710),"AmountIncludingTax缺失",IF(ABS(B5710-C5710)&lt;0.005,"一致","不一致"))</x:f>
        <x:v>AmountIncludingTax缺失</x:v>
      </x:c>
      <x:c r="F5710" s="19" t="str">
        <x:v>approved</x:v>
      </x:c>
      <x:c r="G5710" s="19" t="str">
        <x:v>Repairer Invoiced Processed</x:v>
      </x:c>
      <x:c r="H5710" s="19" t="str">
        <x:v>Pre Delivery</x:v>
      </x:c>
      <x:c r="I5710" s="37" t="n">
        <x:v>46077</x:v>
      </x:c>
      <x:c r="J5710" s="37" t="n">
        <x:v>46077</x:v>
      </x:c>
      <x:c r="K5710" s="19" t="str">
        <x:v>The Caravan Hub - Townsville</x:v>
      </x:c>
      <x:c r="L5710" s="19" t="str">
        <x:v>Z005</x:v>
      </x:c>
      <x:c r="M5710" s="19" t="str">
        <x:v>Pre Delivery Warranty Claims</x:v>
      </x:c>
      <x:c r="N5710" s="37" t="n">
        <x:v>45917</x:v>
      </x:c>
      <x:c r="O5710" s="37"/>
      <x:c r="P5710" s="34" t="n">
        <x:v>0</x:v>
      </x:c>
      <x:c r="Q5710" s="37" t="n">
        <x:v>46077.02203703704</x:v>
      </x:c>
    </x:row>
    <x:row r="5711">
      <x:c r="A5711" s="22" t="n">
        <x:v>25501</x:v>
      </x:c>
      <x:c r="B5711" s="28" t="n">
        <x:v>1046.25</x:v>
      </x:c>
      <x:c r="C5711" s="28"/>
      <x:c r="D5711" s="31" t="str">
        <x:f>IF(OR(ISBLANK(B5711),ISBLANK(C5711),B5711=0),"",(C5711-B5711)/B5711)</x:f>
      </x:c>
      <x:c r="E5711" s="22" t="str">
        <x:f>IF(ISBLANK(C5711),"AmountIncludingTax缺失",IF(ABS(B5711-C5711)&lt;0.005,"一致","不一致"))</x:f>
        <x:v>AmountIncludingTax缺失</x:v>
      </x:c>
      <x:c r="F5711" s="19" t="str">
        <x:v>approved</x:v>
      </x:c>
      <x:c r="G5711" s="19" t="str">
        <x:v>Repairer Invoiced Received</x:v>
      </x:c>
      <x:c r="H5711" s="19" t="str">
        <x:v>In Field</x:v>
      </x:c>
      <x:c r="I5711" s="37" t="n">
        <x:v>46057</x:v>
      </x:c>
      <x:c r="J5711" s="37" t="n">
        <x:v>46057</x:v>
      </x:c>
      <x:c r="K5711" s="19" t="str">
        <x:v>Green RV - Forest Glen</x:v>
      </x:c>
      <x:c r="L5711" s="19" t="str">
        <x:v>Z006</x:v>
      </x:c>
      <x:c r="M5711" s="19" t="str">
        <x:v>In Field Warranty Claims</x:v>
      </x:c>
      <x:c r="N5711" s="37" t="n">
        <x:v>45916</x:v>
      </x:c>
      <x:c r="O5711" s="37"/>
      <x:c r="P5711" s="34" t="n">
        <x:v>0</x:v>
      </x:c>
      <x:c r="Q5711" s="37" t="n">
        <x:v>46057.10324074074</x:v>
      </x:c>
    </x:row>
    <x:row r="5712">
      <x:c r="A5712" s="22" t="n">
        <x:v>25496</x:v>
      </x:c>
      <x:c r="B5712" s="28" t="n">
        <x:v>687.94</x:v>
      </x:c>
      <x:c r="C5712" s="28" t="n">
        <x:v>756.73</x:v>
      </x:c>
      <x:c r="D5712" s="31" t="n">
        <x:f>IF(OR(ISBLANK(B5712),ISBLANK(C5712),B5712=0),"",(C5712-B5712)/B5712)</x:f>
        <x:v>0.09999418553943652</x:v>
      </x:c>
      <x:c r="E5712" s="22" t="str">
        <x:f>IF(ISBLANK(C5712),"AmountIncludingTax缺失",IF(ABS(B5712-C5712)&lt;0.005,"一致","不一致"))</x:f>
        <x:v>不一致</x:v>
      </x:c>
      <x:c r="F5712" s="19" t="str">
        <x:v>approved</x:v>
      </x:c>
      <x:c r="G5712" s="19" t="str">
        <x:v>Repairer Invoiced Processed</x:v>
      </x:c>
      <x:c r="H5712" s="19" t="str">
        <x:v>In Field</x:v>
      </x:c>
      <x:c r="I5712" s="37" t="n">
        <x:v>46112</x:v>
      </x:c>
      <x:c r="J5712" s="37" t="n">
        <x:v>46112</x:v>
      </x:c>
      <x:c r="K5712" s="19" t="str">
        <x:v>The Caravan Hub - Townsville</x:v>
      </x:c>
      <x:c r="L5712" s="19" t="str">
        <x:v>Z006</x:v>
      </x:c>
      <x:c r="M5712" s="19" t="str">
        <x:v>In Field Warranty Claims</x:v>
      </x:c>
      <x:c r="N5712" s="37" t="n">
        <x:v>45916</x:v>
      </x:c>
      <x:c r="O5712" s="37"/>
      <x:c r="P5712" s="34" t="n">
        <x:v>756.73</x:v>
      </x:c>
      <x:c r="Q5712" s="37" t="n">
        <x:v>46112.085173611114</x:v>
      </x:c>
    </x:row>
    <x:row r="5713">
      <x:c r="A5713" s="22" t="n">
        <x:v>25487</x:v>
      </x:c>
      <x:c r="B5713" s="28" t="n">
        <x:v>654.55</x:v>
      </x:c>
      <x:c r="C5713" s="28"/>
      <x:c r="D5713" s="31" t="str">
        <x:f>IF(OR(ISBLANK(B5713),ISBLANK(C5713),B5713=0),"",(C5713-B5713)/B5713)</x:f>
      </x:c>
      <x:c r="E5713" s="22" t="str">
        <x:f>IF(ISBLANK(C5713),"AmountIncludingTax缺失",IF(ABS(B5713-C5713)&lt;0.005,"一致","不一致"))</x:f>
        <x:v>AmountIncludingTax缺失</x:v>
      </x:c>
      <x:c r="F5713" s="19" t="str">
        <x:v>approved</x:v>
      </x:c>
      <x:c r="G5713" s="19" t="str">
        <x:v>Repair in Progress</x:v>
      </x:c>
      <x:c r="H5713" s="19" t="str">
        <x:v>In Field</x:v>
      </x:c>
      <x:c r="I5713" s="37" t="n">
        <x:v>46052</x:v>
      </x:c>
      <x:c r="J5713" s="37" t="n">
        <x:v>46052</x:v>
      </x:c>
      <x:c r="K5713" s="19" t="str">
        <x:v>ABCO Caravans - Boambee Valley</x:v>
      </x:c>
      <x:c r="L5713" s="19" t="str">
        <x:v>Z006</x:v>
      </x:c>
      <x:c r="M5713" s="19" t="str">
        <x:v>In Field Warranty Claims</x:v>
      </x:c>
      <x:c r="N5713" s="37" t="n">
        <x:v>45916</x:v>
      </x:c>
      <x:c r="O5713" s="37"/>
      <x:c r="P5713" s="34" t="n">
        <x:v>0</x:v>
      </x:c>
      <x:c r="Q5713" s="37" t="n">
        <x:v>46052.038298611114</x:v>
      </x:c>
    </x:row>
    <x:row r="5714">
      <x:c r="A5714" s="22" t="n">
        <x:v>25483</x:v>
      </x:c>
      <x:c r="B5714" s="28" t="n">
        <x:v>135</x:v>
      </x:c>
      <x:c r="C5714" s="28" t="n">
        <x:v>148.5</x:v>
      </x:c>
      <x:c r="D5714" s="31" t="n">
        <x:f>IF(OR(ISBLANK(B5714),ISBLANK(C5714),B5714=0),"",(C5714-B5714)/B5714)</x:f>
        <x:v>0.1</x:v>
      </x:c>
      <x:c r="E5714" s="22" t="str">
        <x:f>IF(ISBLANK(C5714),"AmountIncludingTax缺失",IF(ABS(B5714-C5714)&lt;0.005,"一致","不一致"))</x:f>
        <x:v>不一致</x:v>
      </x:c>
      <x:c r="F5714" s="19" t="str">
        <x:v>approved</x:v>
      </x:c>
      <x:c r="G5714" s="19" t="str">
        <x:v>Repair in Progress</x:v>
      </x:c>
      <x:c r="H5714" s="19" t="str">
        <x:v>In Field</x:v>
      </x:c>
      <x:c r="I5714" s="37" t="n">
        <x:v>46064</x:v>
      </x:c>
      <x:c r="J5714" s="37" t="n">
        <x:v>46064</x:v>
      </x:c>
      <x:c r="K5714" s="19" t="str">
        <x:v>Green RV - Forest Glen</x:v>
      </x:c>
      <x:c r="L5714" s="19" t="str">
        <x:v>Z006</x:v>
      </x:c>
      <x:c r="M5714" s="19" t="str">
        <x:v>In Field Warranty Claims</x:v>
      </x:c>
      <x:c r="N5714" s="37" t="n">
        <x:v>45916</x:v>
      </x:c>
      <x:c r="O5714" s="37"/>
      <x:c r="P5714" s="34" t="n">
        <x:v>148.5</x:v>
      </x:c>
      <x:c r="Q5714" s="37" t="n">
        <x:v>46064.23902777778</x:v>
      </x:c>
    </x:row>
    <x:row r="5715">
      <x:c r="A5715" s="22" t="n">
        <x:v>25477</x:v>
      </x:c>
      <x:c r="B5715" s="28" t="n">
        <x:v>92.59</x:v>
      </x:c>
      <x:c r="C5715" s="28"/>
      <x:c r="D5715" s="31" t="str">
        <x:f>IF(OR(ISBLANK(B5715),ISBLANK(C5715),B5715=0),"",(C5715-B5715)/B5715)</x:f>
      </x:c>
      <x:c r="E5715" s="22" t="str">
        <x:f>IF(ISBLANK(C5715),"AmountIncludingTax缺失",IF(ABS(B5715-C5715)&lt;0.005,"一致","不一致"))</x:f>
        <x:v>AmountIncludingTax缺失</x:v>
      </x:c>
      <x:c r="F5715" s="19" t="str">
        <x:v>approved</x:v>
      </x:c>
      <x:c r="G5715" s="19" t="str">
        <x:v>Repair in Progress</x:v>
      </x:c>
      <x:c r="H5715" s="19" t="str">
        <x:v>In Field</x:v>
      </x:c>
      <x:c r="I5715" s="37" t="n">
        <x:v>46069</x:v>
      </x:c>
      <x:c r="J5715" s="37" t="n">
        <x:v>46069</x:v>
      </x:c>
      <x:c r="K5715" s="19" t="str">
        <x:v>Regent RV Pty Ltd</x:v>
      </x:c>
      <x:c r="L5715" s="19" t="str">
        <x:v>Z006</x:v>
      </x:c>
      <x:c r="M5715" s="19" t="str">
        <x:v>In Field Warranty Claims</x:v>
      </x:c>
      <x:c r="N5715" s="37" t="n">
        <x:v>45916</x:v>
      </x:c>
      <x:c r="O5715" s="37"/>
      <x:c r="P5715" s="34" t="n">
        <x:v>0</x:v>
      </x:c>
      <x:c r="Q5715" s="37" t="n">
        <x:v>46069.05431712963</x:v>
      </x:c>
    </x:row>
    <x:row r="5716">
      <x:c r="A5716" s="22" t="n">
        <x:v>25475</x:v>
      </x:c>
      <x:c r="B5716" s="28" t="n">
        <x:v>440</x:v>
      </x:c>
      <x:c r="C5716" s="28"/>
      <x:c r="D5716" s="31" t="str">
        <x:f>IF(OR(ISBLANK(B5716),ISBLANK(C5716),B5716=0),"",(C5716-B5716)/B5716)</x:f>
      </x:c>
      <x:c r="E5716" s="22" t="str">
        <x:f>IF(ISBLANK(C5716),"AmountIncludingTax缺失",IF(ABS(B5716-C5716)&lt;0.005,"一致","不一致"))</x:f>
        <x:v>AmountIncludingTax缺失</x:v>
      </x:c>
      <x:c r="F5716" s="19" t="str">
        <x:v>approved</x:v>
      </x:c>
      <x:c r="G5716" s="19" t="str">
        <x:v>Repair in Progress</x:v>
      </x:c>
      <x:c r="H5716" s="19" t="str">
        <x:v>In Field</x:v>
      </x:c>
      <x:c r="I5716" s="37" t="n">
        <x:v>46139</x:v>
      </x:c>
      <x:c r="J5716" s="37" t="n">
        <x:v>46108</x:v>
      </x:c>
      <x:c r="K5716" s="19" t="str">
        <x:v>The Caravan Hub - Townsville</x:v>
      </x:c>
      <x:c r="L5716" s="19" t="str">
        <x:v>Z006</x:v>
      </x:c>
      <x:c r="M5716" s="19" t="str">
        <x:v>In Field Warranty Claims</x:v>
      </x:c>
      <x:c r="N5716" s="37" t="n">
        <x:v>45916</x:v>
      </x:c>
      <x:c r="O5716" s="37"/>
      <x:c r="P5716" s="34" t="n">
        <x:v>0</x:v>
      </x:c>
      <x:c r="Q5716" s="37" t="n">
        <x:v>46139.12563657408</x:v>
      </x:c>
    </x:row>
    <x:row r="5717">
      <x:c r="A5717" s="22" t="n">
        <x:v>25468</x:v>
      </x:c>
      <x:c r="B5717" s="28" t="n">
        <x:v>248.86</x:v>
      </x:c>
      <x:c r="C5717" s="28"/>
      <x:c r="D5717" s="31" t="str">
        <x:f>IF(OR(ISBLANK(B5717),ISBLANK(C5717),B5717=0),"",(C5717-B5717)/B5717)</x:f>
      </x:c>
      <x:c r="E5717" s="22" t="str">
        <x:f>IF(ISBLANK(C5717),"AmountIncludingTax缺失",IF(ABS(B5717-C5717)&lt;0.005,"一致","不一致"))</x:f>
        <x:v>AmountIncludingTax缺失</x:v>
      </x:c>
      <x:c r="F5717" s="19" t="str">
        <x:v>approved</x:v>
      </x:c>
      <x:c r="G5717" s="19" t="str">
        <x:v>Repairer Invoiced Processed</x:v>
      </x:c>
      <x:c r="H5717" s="19" t="str">
        <x:v>In Field</x:v>
      </x:c>
      <x:c r="I5717" s="37" t="n">
        <x:v>46168</x:v>
      </x:c>
      <x:c r="J5717" s="37" t="n">
        <x:v>46168</x:v>
      </x:c>
      <x:c r="K5717" s="19" t="str">
        <x:v>Dario Caravans - Pooraka</x:v>
      </x:c>
      <x:c r="L5717" s="19" t="str">
        <x:v>Z006</x:v>
      </x:c>
      <x:c r="M5717" s="19" t="str">
        <x:v>In Field Warranty Claims</x:v>
      </x:c>
      <x:c r="N5717" s="37" t="n">
        <x:v>45916</x:v>
      </x:c>
      <x:c r="O5717" s="37"/>
      <x:c r="P5717" s="34" t="n">
        <x:v>0</x:v>
      </x:c>
      <x:c r="Q5717" s="37" t="n">
        <x:v>46168.21166666667</x:v>
      </x:c>
    </x:row>
    <x:row r="5718">
      <x:c r="A5718" s="22" t="n">
        <x:v>25454</x:v>
      </x:c>
      <x:c r="B5718" s="28" t="n">
        <x:v>1420</x:v>
      </x:c>
      <x:c r="C5718" s="28"/>
      <x:c r="D5718" s="31" t="str">
        <x:f>IF(OR(ISBLANK(B5718),ISBLANK(C5718),B5718=0),"",(C5718-B5718)/B5718)</x:f>
      </x:c>
      <x:c r="E5718" s="22" t="str">
        <x:f>IF(ISBLANK(C5718),"AmountIncludingTax缺失",IF(ABS(B5718-C5718)&lt;0.005,"一致","不一致"))</x:f>
        <x:v>AmountIncludingTax缺失</x:v>
      </x:c>
      <x:c r="F5718" s="19" t="str">
        <x:v>approved</x:v>
      </x:c>
      <x:c r="G5718" s="19" t="str">
        <x:v>Repair in Progress</x:v>
      </x:c>
      <x:c r="H5718" s="19" t="str">
        <x:v>In Field</x:v>
      </x:c>
      <x:c r="I5718" s="37" t="n">
        <x:v>46094</x:v>
      </x:c>
      <x:c r="J5718" s="37" t="n">
        <x:v>46094</x:v>
      </x:c>
      <x:c r="K5718" s="19" t="str">
        <x:v>Green RV - Forest Glen</x:v>
      </x:c>
      <x:c r="L5718" s="19" t="str">
        <x:v>Z006</x:v>
      </x:c>
      <x:c r="M5718" s="19" t="str">
        <x:v>In Field Warranty Claims</x:v>
      </x:c>
      <x:c r="N5718" s="37" t="n">
        <x:v>45915</x:v>
      </x:c>
      <x:c r="O5718" s="37"/>
      <x:c r="P5718" s="34" t="n">
        <x:v>0</x:v>
      </x:c>
      <x:c r="Q5718" s="37" t="n">
        <x:v>46093.965474537035</x:v>
      </x:c>
    </x:row>
    <x:row r="5719">
      <x:c r="A5719" s="22" t="n">
        <x:v>25447</x:v>
      </x:c>
      <x:c r="B5719" s="28" t="n">
        <x:v>1345</x:v>
      </x:c>
      <x:c r="C5719" s="28"/>
      <x:c r="D5719" s="31" t="str">
        <x:f>IF(OR(ISBLANK(B5719),ISBLANK(C5719),B5719=0),"",(C5719-B5719)/B5719)</x:f>
      </x:c>
      <x:c r="E5719" s="22" t="str">
        <x:f>IF(ISBLANK(C5719),"AmountIncludingTax缺失",IF(ABS(B5719-C5719)&lt;0.005,"一致","不一致"))</x:f>
        <x:v>AmountIncludingTax缺失</x:v>
      </x:c>
      <x:c r="F5719" s="19" t="str">
        <x:v>approved</x:v>
      </x:c>
      <x:c r="G5719" s="19" t="str">
        <x:v>Repair in Progress</x:v>
      </x:c>
      <x:c r="H5719" s="19" t="str">
        <x:v>Pre Delivery</x:v>
      </x:c>
      <x:c r="I5719" s="37" t="n">
        <x:v>46035</x:v>
      </x:c>
      <x:c r="J5719" s="37" t="n">
        <x:v>46035</x:v>
      </x:c>
      <x:c r="K5719" s="19" t="str">
        <x:v>The Caravan Hub - Townsville</x:v>
      </x:c>
      <x:c r="L5719" s="19" t="str">
        <x:v>Z005</x:v>
      </x:c>
      <x:c r="M5719" s="19" t="str">
        <x:v>Pre Delivery Warranty Claims</x:v>
      </x:c>
      <x:c r="N5719" s="37" t="n">
        <x:v>45916</x:v>
      </x:c>
      <x:c r="O5719" s="37"/>
      <x:c r="P5719" s="34" t="n">
        <x:v>0</x:v>
      </x:c>
      <x:c r="Q5719" s="37" t="n">
        <x:v>46035.212013888886</x:v>
      </x:c>
    </x:row>
    <x:row r="5720">
      <x:c r="A5720" s="22" t="n">
        <x:v>25446</x:v>
      </x:c>
      <x:c r="B5720" s="28" t="n">
        <x:v>1200</x:v>
      </x:c>
      <x:c r="C5720" s="28"/>
      <x:c r="D5720" s="31" t="str">
        <x:f>IF(OR(ISBLANK(B5720),ISBLANK(C5720),B5720=0),"",(C5720-B5720)/B5720)</x:f>
      </x:c>
      <x:c r="E5720" s="22" t="str">
        <x:f>IF(ISBLANK(C5720),"AmountIncludingTax缺失",IF(ABS(B5720-C5720)&lt;0.005,"一致","不一致"))</x:f>
        <x:v>AmountIncludingTax缺失</x:v>
      </x:c>
      <x:c r="F5720" s="19" t="str">
        <x:v>approved</x:v>
      </x:c>
      <x:c r="G5720" s="19" t="str">
        <x:v>Repair in Progress</x:v>
      </x:c>
      <x:c r="H5720" s="19" t="str">
        <x:v>Pre Delivery</x:v>
      </x:c>
      <x:c r="I5720" s="37" t="n">
        <x:v>46108</x:v>
      </x:c>
      <x:c r="J5720" s="37" t="n">
        <x:v>46108</x:v>
      </x:c>
      <x:c r="K5720" s="19" t="str">
        <x:v>The Caravan Hub - Townsville</x:v>
      </x:c>
      <x:c r="L5720" s="19" t="str">
        <x:v>Z005</x:v>
      </x:c>
      <x:c r="M5720" s="19" t="str">
        <x:v>Pre Delivery Warranty Claims</x:v>
      </x:c>
      <x:c r="N5720" s="37" t="n">
        <x:v>45916</x:v>
      </x:c>
      <x:c r="O5720" s="37"/>
      <x:c r="P5720" s="34" t="n">
        <x:v>0</x:v>
      </x:c>
      <x:c r="Q5720" s="37" t="n">
        <x:v>46108.22006944445</x:v>
      </x:c>
    </x:row>
    <x:row r="5721">
      <x:c r="A5721" s="22" t="n">
        <x:v>25440</x:v>
      </x:c>
      <x:c r="B5721" s="28" t="n">
        <x:v>810</x:v>
      </x:c>
      <x:c r="C5721" s="28"/>
      <x:c r="D5721" s="31" t="str">
        <x:f>IF(OR(ISBLANK(B5721),ISBLANK(C5721),B5721=0),"",(C5721-B5721)/B5721)</x:f>
      </x:c>
      <x:c r="E5721" s="22" t="str">
        <x:f>IF(ISBLANK(C5721),"AmountIncludingTax缺失",IF(ABS(B5721-C5721)&lt;0.005,"一致","不一致"))</x:f>
        <x:v>AmountIncludingTax缺失</x:v>
      </x:c>
      <x:c r="F5721" s="19" t="str">
        <x:v>approved</x:v>
      </x:c>
      <x:c r="G5721" s="19" t="str">
        <x:v>Repair in Progress</x:v>
      </x:c>
      <x:c r="H5721" s="19" t="str">
        <x:v>In Field</x:v>
      </x:c>
      <x:c r="I5721" s="37" t="n">
        <x:v>46149</x:v>
      </x:c>
      <x:c r="J5721" s="37" t="n">
        <x:v>46149</x:v>
      </x:c>
      <x:c r="K5721" s="19" t="str">
        <x:v>Green RV - Forest Glen</x:v>
      </x:c>
      <x:c r="L5721" s="19" t="str">
        <x:v>Z006</x:v>
      </x:c>
      <x:c r="M5721" s="19" t="str">
        <x:v>In Field Warranty Claims</x:v>
      </x:c>
      <x:c r="N5721" s="37" t="n">
        <x:v>45915</x:v>
      </x:c>
      <x:c r="O5721" s="37"/>
      <x:c r="P5721" s="34" t="n">
        <x:v>0</x:v>
      </x:c>
      <x:c r="Q5721" s="37" t="n">
        <x:v>46149.08519675926</x:v>
      </x:c>
    </x:row>
    <x:row r="5722">
      <x:c r="A5722" s="22" t="n">
        <x:v>25436</x:v>
      </x:c>
      <x:c r="B5722" s="28" t="n">
        <x:v>910</x:v>
      </x:c>
      <x:c r="C5722" s="28"/>
      <x:c r="D5722" s="31" t="str">
        <x:f>IF(OR(ISBLANK(B5722),ISBLANK(C5722),B5722=0),"",(C5722-B5722)/B5722)</x:f>
      </x:c>
      <x:c r="E5722" s="22" t="str">
        <x:f>IF(ISBLANK(C5722),"AmountIncludingTax缺失",IF(ABS(B5722-C5722)&lt;0.005,"一致","不一致"))</x:f>
        <x:v>AmountIncludingTax缺失</x:v>
      </x:c>
      <x:c r="F5722" s="19" t="str">
        <x:v>approved</x:v>
      </x:c>
      <x:c r="G5722" s="19" t="str">
        <x:v>Repair in Progress</x:v>
      </x:c>
      <x:c r="H5722" s="19" t="str">
        <x:v>In Field</x:v>
      </x:c>
      <x:c r="I5722" s="37" t="n">
        <x:v>46101</x:v>
      </x:c>
      <x:c r="J5722" s="37" t="n">
        <x:v>46101</x:v>
      </x:c>
      <x:c r="K5722" s="19" t="str">
        <x:v>Snowy River Launceston</x:v>
      </x:c>
      <x:c r="L5722" s="19" t="str">
        <x:v>Z006</x:v>
      </x:c>
      <x:c r="M5722" s="19" t="str">
        <x:v>In Field Warranty Claims</x:v>
      </x:c>
      <x:c r="N5722" s="37" t="n">
        <x:v>45915</x:v>
      </x:c>
      <x:c r="O5722" s="37"/>
      <x:c r="P5722" s="34" t="n">
        <x:v>0</x:v>
      </x:c>
      <x:c r="Q5722" s="37" t="n">
        <x:v>46101.16795138889</x:v>
      </x:c>
    </x:row>
    <x:row r="5723">
      <x:c r="A5723" s="22" t="n">
        <x:v>25435</x:v>
      </x:c>
      <x:c r="B5723" s="28" t="n">
        <x:v>153.64</x:v>
      </x:c>
      <x:c r="C5723" s="28" t="n">
        <x:v>169</x:v>
      </x:c>
      <x:c r="D5723" s="31" t="n">
        <x:f>IF(OR(ISBLANK(B5723),ISBLANK(C5723),B5723=0),"",(C5723-B5723)/B5723)</x:f>
        <x:v>0.09997396511325185</x:v>
      </x:c>
      <x:c r="E5723" s="22" t="str">
        <x:f>IF(ISBLANK(C5723),"AmountIncludingTax缺失",IF(ABS(B5723-C5723)&lt;0.005,"一致","不一致"))</x:f>
        <x:v>不一致</x:v>
      </x:c>
      <x:c r="F5723" s="19" t="str">
        <x:v>approved</x:v>
      </x:c>
      <x:c r="G5723" s="19" t="str">
        <x:v>Repairer Invoiced Processed</x:v>
      </x:c>
      <x:c r="H5723" s="19" t="str">
        <x:v>In Field</x:v>
      </x:c>
      <x:c r="I5723" s="37" t="n">
        <x:v>46098</x:v>
      </x:c>
      <x:c r="J5723" s="37" t="n">
        <x:v>46098</x:v>
      </x:c>
      <x:c r="K5723" s="19" t="str">
        <x:v>The Caravan Hub - Townsville</x:v>
      </x:c>
      <x:c r="L5723" s="19" t="str">
        <x:v>Z006</x:v>
      </x:c>
      <x:c r="M5723" s="19" t="str">
        <x:v>In Field Warranty Claims</x:v>
      </x:c>
      <x:c r="N5723" s="37" t="n">
        <x:v>45915</x:v>
      </x:c>
      <x:c r="O5723" s="37"/>
      <x:c r="P5723" s="34" t="n">
        <x:v>169</x:v>
      </x:c>
      <x:c r="Q5723" s="37" t="n">
        <x:v>46098.10197916667</x:v>
      </x:c>
    </x:row>
    <x:row r="5724">
      <x:c r="A5724" s="22" t="n">
        <x:v>25419</x:v>
      </x:c>
      <x:c r="B5724" s="28" t="n">
        <x:v>774.18</x:v>
      </x:c>
      <x:c r="C5724" s="28"/>
      <x:c r="D5724" s="31" t="str">
        <x:f>IF(OR(ISBLANK(B5724),ISBLANK(C5724),B5724=0),"",(C5724-B5724)/B5724)</x:f>
      </x:c>
      <x:c r="E5724" s="22" t="str">
        <x:f>IF(ISBLANK(C5724),"AmountIncludingTax缺失",IF(ABS(B5724-C5724)&lt;0.005,"一致","不一致"))</x:f>
        <x:v>AmountIncludingTax缺失</x:v>
      </x:c>
      <x:c r="F5724" s="19" t="str">
        <x:v>approved</x:v>
      </x:c>
      <x:c r="G5724" s="19" t="str">
        <x:v>Repairer Invoiced Processed</x:v>
      </x:c>
      <x:c r="H5724" s="19" t="str">
        <x:v>Pre Delivery</x:v>
      </x:c>
      <x:c r="I5724" s="37" t="n">
        <x:v>46057</x:v>
      </x:c>
      <x:c r="J5724" s="37" t="n">
        <x:v>46057</x:v>
      </x:c>
      <x:c r="K5724" s="19" t="str">
        <x:v>Green RV - Forest Glen</x:v>
      </x:c>
      <x:c r="L5724" s="19" t="str">
        <x:v>Z005</x:v>
      </x:c>
      <x:c r="M5724" s="19" t="str">
        <x:v>Pre Delivery Warranty Claims</x:v>
      </x:c>
      <x:c r="N5724" s="37" t="n">
        <x:v>45915</x:v>
      </x:c>
      <x:c r="O5724" s="37"/>
      <x:c r="P5724" s="34" t="n">
        <x:v>0</x:v>
      </x:c>
      <x:c r="Q5724" s="37" t="n">
        <x:v>46056.89265046296</x:v>
      </x:c>
    </x:row>
    <x:row r="5725">
      <x:c r="A5725" s="22" t="n">
        <x:v>25415</x:v>
      </x:c>
      <x:c r="B5725" s="28" t="n">
        <x:v>232.96</x:v>
      </x:c>
      <x:c r="C5725" s="28"/>
      <x:c r="D5725" s="31" t="str">
        <x:f>IF(OR(ISBLANK(B5725),ISBLANK(C5725),B5725=0),"",(C5725-B5725)/B5725)</x:f>
      </x:c>
      <x:c r="E5725" s="22" t="str">
        <x:f>IF(ISBLANK(C5725),"AmountIncludingTax缺失",IF(ABS(B5725-C5725)&lt;0.005,"一致","不一致"))</x:f>
        <x:v>AmountIncludingTax缺失</x:v>
      </x:c>
      <x:c r="F5725" s="19" t="str">
        <x:v>approved</x:v>
      </x:c>
      <x:c r="G5725" s="19" t="str">
        <x:v>Repairer Invoiced Processed</x:v>
      </x:c>
      <x:c r="H5725" s="19" t="str">
        <x:v>In Field</x:v>
      </x:c>
      <x:c r="I5725" s="37" t="n">
        <x:v>46055</x:v>
      </x:c>
      <x:c r="J5725" s="37" t="n">
        <x:v>46055</x:v>
      </x:c>
      <x:c r="K5725" s="19" t="str">
        <x:v>Green RV - Forest Glen</x:v>
      </x:c>
      <x:c r="L5725" s="19" t="str">
        <x:v>Z006</x:v>
      </x:c>
      <x:c r="M5725" s="19" t="str">
        <x:v>In Field Warranty Claims</x:v>
      </x:c>
      <x:c r="N5725" s="37" t="n">
        <x:v>45915</x:v>
      </x:c>
      <x:c r="O5725" s="37"/>
      <x:c r="P5725" s="34" t="n">
        <x:v>0</x:v>
      </x:c>
      <x:c r="Q5725" s="37" t="n">
        <x:v>46055.08777777778</x:v>
      </x:c>
    </x:row>
    <x:row r="5726">
      <x:c r="A5726" s="22" t="n">
        <x:v>25402</x:v>
      </x:c>
      <x:c r="B5726" s="28" t="n">
        <x:v>2010.18</x:v>
      </x:c>
      <x:c r="C5726" s="28"/>
      <x:c r="D5726" s="31" t="str">
        <x:f>IF(OR(ISBLANK(B5726),ISBLANK(C5726),B5726=0),"",(C5726-B5726)/B5726)</x:f>
      </x:c>
      <x:c r="E5726" s="22" t="str">
        <x:f>IF(ISBLANK(C5726),"AmountIncludingTax缺失",IF(ABS(B5726-C5726)&lt;0.005,"一致","不一致"))</x:f>
        <x:v>AmountIncludingTax缺失</x:v>
      </x:c>
      <x:c r="F5726" s="19" t="str">
        <x:v>approved</x:v>
      </x:c>
      <x:c r="G5726" s="19" t="str">
        <x:v>Repair in Progress</x:v>
      </x:c>
      <x:c r="H5726" s="19" t="str">
        <x:v>In Field</x:v>
      </x:c>
      <x:c r="I5726" s="37" t="n">
        <x:v>46086</x:v>
      </x:c>
      <x:c r="J5726" s="37" t="n">
        <x:v>46086</x:v>
      </x:c>
      <x:c r="K5726" s="19" t="str">
        <x:v>Green RV - Forest Glen</x:v>
      </x:c>
      <x:c r="L5726" s="19" t="str">
        <x:v>Z006</x:v>
      </x:c>
      <x:c r="M5726" s="19" t="str">
        <x:v>In Field Warranty Claims</x:v>
      </x:c>
      <x:c r="N5726" s="37" t="n">
        <x:v>45915</x:v>
      </x:c>
      <x:c r="O5726" s="37"/>
      <x:c r="P5726" s="34" t="n">
        <x:v>0</x:v>
      </x:c>
      <x:c r="Q5726" s="37" t="n">
        <x:v>46085.852951388886</x:v>
      </x:c>
    </x:row>
    <x:row r="5727">
      <x:c r="A5727" s="22" t="n">
        <x:v>25394</x:v>
      </x:c>
      <x:c r="B5727" s="28" t="n">
        <x:v>440</x:v>
      </x:c>
      <x:c r="C5727" s="28"/>
      <x:c r="D5727" s="31" t="str">
        <x:f>IF(OR(ISBLANK(B5727),ISBLANK(C5727),B5727=0),"",(C5727-B5727)/B5727)</x:f>
      </x:c>
      <x:c r="E5727" s="22" t="str">
        <x:f>IF(ISBLANK(C5727),"AmountIncludingTax缺失",IF(ABS(B5727-C5727)&lt;0.005,"一致","不一致"))</x:f>
        <x:v>AmountIncludingTax缺失</x:v>
      </x:c>
      <x:c r="F5727" s="19" t="str">
        <x:v>approved</x:v>
      </x:c>
      <x:c r="G5727" s="19" t="str">
        <x:v>Repair in Progress</x:v>
      </x:c>
      <x:c r="H5727" s="19" t="str">
        <x:v>In Field</x:v>
      </x:c>
      <x:c r="I5727" s="37" t="n">
        <x:v>46031</x:v>
      </x:c>
      <x:c r="J5727" s="37" t="n">
        <x:v>46031</x:v>
      </x:c>
      <x:c r="K5727" s="19" t="str">
        <x:v>Regent RV - Perth</x:v>
      </x:c>
      <x:c r="L5727" s="19" t="str">
        <x:v>Z006</x:v>
      </x:c>
      <x:c r="M5727" s="19" t="str">
        <x:v>In Field Warranty Claims</x:v>
      </x:c>
      <x:c r="N5727" s="37" t="n">
        <x:v>45914</x:v>
      </x:c>
      <x:c r="O5727" s="37"/>
      <x:c r="P5727" s="34" t="n">
        <x:v>0</x:v>
      </x:c>
      <x:c r="Q5727" s="37" t="n">
        <x:v>46030.893692129626</x:v>
      </x:c>
    </x:row>
    <x:row r="5728">
      <x:c r="A5728" s="22" t="n">
        <x:v>25368</x:v>
      </x:c>
      <x:c r="B5728" s="28" t="n">
        <x:v>600</x:v>
      </x:c>
      <x:c r="C5728" s="28"/>
      <x:c r="D5728" s="31" t="str">
        <x:f>IF(OR(ISBLANK(B5728),ISBLANK(C5728),B5728=0),"",(C5728-B5728)/B5728)</x:f>
      </x:c>
      <x:c r="E5728" s="22" t="str">
        <x:f>IF(ISBLANK(C5728),"AmountIncludingTax缺失",IF(ABS(B5728-C5728)&lt;0.005,"一致","不一致"))</x:f>
        <x:v>AmountIncludingTax缺失</x:v>
      </x:c>
      <x:c r="F5728" s="19" t="str">
        <x:v>approved</x:v>
      </x:c>
      <x:c r="G5728" s="19" t="str">
        <x:v>Repair in Progress</x:v>
      </x:c>
      <x:c r="H5728" s="19" t="str">
        <x:v>In Field</x:v>
      </x:c>
      <x:c r="I5728" s="37" t="n">
        <x:v>46177</x:v>
      </x:c>
      <x:c r="J5728" s="37" t="n">
        <x:v>46177</x:v>
      </x:c>
      <x:c r="K5728" s="19" t="str">
        <x:v>Regent RV - Perth</x:v>
      </x:c>
      <x:c r="L5728" s="19" t="str">
        <x:v>Z006</x:v>
      </x:c>
      <x:c r="M5728" s="19" t="str">
        <x:v>In Field Warranty Claims</x:v>
      </x:c>
      <x:c r="N5728" s="37" t="n">
        <x:v>45913</x:v>
      </x:c>
      <x:c r="O5728" s="37"/>
      <x:c r="P5728" s="34" t="n">
        <x:v>0</x:v>
      </x:c>
      <x:c r="Q5728" s="37" t="n">
        <x:v>46177.04145833333</x:v>
      </x:c>
    </x:row>
    <x:row r="5729">
      <x:c r="A5729" s="22" t="n">
        <x:v>25365</x:v>
      </x:c>
      <x:c r="B5729" s="28" t="n">
        <x:v>313.86</x:v>
      </x:c>
      <x:c r="C5729" s="28" t="n">
        <x:v>345.25</x:v>
      </x:c>
      <x:c r="D5729" s="31" t="n">
        <x:f>IF(OR(ISBLANK(B5729),ISBLANK(C5729),B5729=0),"",(C5729-B5729)/B5729)</x:f>
        <x:v>0.10001274453578024</x:v>
      </x:c>
      <x:c r="E5729" s="22" t="str">
        <x:f>IF(ISBLANK(C5729),"AmountIncludingTax缺失",IF(ABS(B5729-C5729)&lt;0.005,"一致","不一致"))</x:f>
        <x:v>不一致</x:v>
      </x:c>
      <x:c r="F5729" s="19" t="str">
        <x:v>approved</x:v>
      </x:c>
      <x:c r="G5729" s="19" t="str">
        <x:v>Repairer Invoiced Processed</x:v>
      </x:c>
      <x:c r="H5729" s="19" t="str">
        <x:v>In Field</x:v>
      </x:c>
      <x:c r="I5729" s="37" t="n">
        <x:v>46038</x:v>
      </x:c>
      <x:c r="J5729" s="37" t="n">
        <x:v>46038</x:v>
      </x:c>
      <x:c r="K5729" s="19" t="str">
        <x:v>Dario Caravans - Pooraka</x:v>
      </x:c>
      <x:c r="L5729" s="19" t="str">
        <x:v>Z006</x:v>
      </x:c>
      <x:c r="M5729" s="19" t="str">
        <x:v>In Field Warranty Claims</x:v>
      </x:c>
      <x:c r="N5729" s="37" t="n">
        <x:v>45912</x:v>
      </x:c>
      <x:c r="O5729" s="37"/>
      <x:c r="P5729" s="34" t="n">
        <x:v>345.25</x:v>
      </x:c>
      <x:c r="Q5729" s="37" t="n">
        <x:v>46038.05365740741</x:v>
      </x:c>
    </x:row>
    <x:row r="5730">
      <x:c r="A5730" s="22" t="n">
        <x:v>25353</x:v>
      </x:c>
      <x:c r="B5730" s="28" t="n">
        <x:v>615</x:v>
      </x:c>
      <x:c r="C5730" s="28"/>
      <x:c r="D5730" s="31" t="str">
        <x:f>IF(OR(ISBLANK(B5730),ISBLANK(C5730),B5730=0),"",(C5730-B5730)/B5730)</x:f>
      </x:c>
      <x:c r="E5730" s="22" t="str">
        <x:f>IF(ISBLANK(C5730),"AmountIncludingTax缺失",IF(ABS(B5730-C5730)&lt;0.005,"一致","不一致"))</x:f>
        <x:v>AmountIncludingTax缺失</x:v>
      </x:c>
      <x:c r="F5730" s="19" t="str">
        <x:v>approved</x:v>
      </x:c>
      <x:c r="G5730" s="19" t="str">
        <x:v>Repair in Progress</x:v>
      </x:c>
      <x:c r="H5730" s="19" t="str">
        <x:v>In Field</x:v>
      </x:c>
      <x:c r="I5730" s="37" t="n">
        <x:v>46064</x:v>
      </x:c>
      <x:c r="J5730" s="37" t="n">
        <x:v>46064</x:v>
      </x:c>
      <x:c r="K5730" s="19" t="str">
        <x:v>Regent RV - Traralgon</x:v>
      </x:c>
      <x:c r="L5730" s="19" t="str">
        <x:v>Z006</x:v>
      </x:c>
      <x:c r="M5730" s="19" t="str">
        <x:v>In Field Warranty Claims</x:v>
      </x:c>
      <x:c r="N5730" s="37" t="n">
        <x:v>45912</x:v>
      </x:c>
      <x:c r="O5730" s="37"/>
      <x:c r="P5730" s="34" t="n">
        <x:v>0</x:v>
      </x:c>
      <x:c r="Q5730" s="37" t="n">
        <x:v>46063.90899305556</x:v>
      </x:c>
    </x:row>
    <x:row r="5731">
      <x:c r="A5731" s="22" t="n">
        <x:v>25338</x:v>
      </x:c>
      <x:c r="B5731" s="28" t="n">
        <x:v>1191.54</x:v>
      </x:c>
      <x:c r="C5731" s="28"/>
      <x:c r="D5731" s="31" t="str">
        <x:f>IF(OR(ISBLANK(B5731),ISBLANK(C5731),B5731=0),"",(C5731-B5731)/B5731)</x:f>
      </x:c>
      <x:c r="E5731" s="22" t="str">
        <x:f>IF(ISBLANK(C5731),"AmountIncludingTax缺失",IF(ABS(B5731-C5731)&lt;0.005,"一致","不一致"))</x:f>
        <x:v>AmountIncludingTax缺失</x:v>
      </x:c>
      <x:c r="F5731" s="19" t="str">
        <x:v>approved</x:v>
      </x:c>
      <x:c r="G5731" s="19" t="str">
        <x:v>Repair in Progress</x:v>
      </x:c>
      <x:c r="H5731" s="19" t="str">
        <x:v>In Field</x:v>
      </x:c>
      <x:c r="I5731" s="37" t="n">
        <x:v>46042</x:v>
      </x:c>
      <x:c r="J5731" s="37" t="n">
        <x:v>46042</x:v>
      </x:c>
      <x:c r="K5731" s="19" t="str">
        <x:v>Green RV - Forest Glen</x:v>
      </x:c>
      <x:c r="L5731" s="19" t="str">
        <x:v>Z006</x:v>
      </x:c>
      <x:c r="M5731" s="19" t="str">
        <x:v>In Field Warranty Claims</x:v>
      </x:c>
      <x:c r="N5731" s="37" t="n">
        <x:v>45912</x:v>
      </x:c>
      <x:c r="O5731" s="37"/>
      <x:c r="P5731" s="34" t="n">
        <x:v>1310.69</x:v>
      </x:c>
      <x:c r="Q5731" s="37" t="n">
        <x:v>46042.18907407407</x:v>
      </x:c>
    </x:row>
    <x:row r="5732">
      <x:c r="A5732" s="22" t="n">
        <x:v>25324</x:v>
      </x:c>
      <x:c r="B5732" s="28" t="n">
        <x:v>1391.25</x:v>
      </x:c>
      <x:c r="C5732" s="28"/>
      <x:c r="D5732" s="31" t="str">
        <x:f>IF(OR(ISBLANK(B5732),ISBLANK(C5732),B5732=0),"",(C5732-B5732)/B5732)</x:f>
      </x:c>
      <x:c r="E5732" s="22" t="str">
        <x:f>IF(ISBLANK(C5732),"AmountIncludingTax缺失",IF(ABS(B5732-C5732)&lt;0.005,"一致","不一致"))</x:f>
        <x:v>AmountIncludingTax缺失</x:v>
      </x:c>
      <x:c r="F5732" s="19" t="str">
        <x:v>approved</x:v>
      </x:c>
      <x:c r="G5732" s="19" t="str">
        <x:v>Sales Order Approved</x:v>
      </x:c>
      <x:c r="H5732" s="19" t="str">
        <x:v>Pre Delivery</x:v>
      </x:c>
      <x:c r="I5732" s="37" t="n">
        <x:v>46072</x:v>
      </x:c>
      <x:c r="J5732" s="37" t="n">
        <x:v>46072</x:v>
      </x:c>
      <x:c r="K5732" s="19" t="str">
        <x:v>The Caravan Hub - Townsville</x:v>
      </x:c>
      <x:c r="L5732" s="19" t="str">
        <x:v>Z005</x:v>
      </x:c>
      <x:c r="M5732" s="19" t="str">
        <x:v>Pre Delivery Warranty Claims</x:v>
      </x:c>
      <x:c r="N5732" s="37" t="n">
        <x:v>45911</x:v>
      </x:c>
      <x:c r="O5732" s="37"/>
      <x:c r="P5732" s="34" t="n">
        <x:v>0</x:v>
      </x:c>
      <x:c r="Q5732" s="37" t="n">
        <x:v>46072.043032407404</x:v>
      </x:c>
    </x:row>
    <x:row r="5733">
      <x:c r="A5733" s="22" t="n">
        <x:v>25313</x:v>
      </x:c>
      <x:c r="B5733" s="28" t="n">
        <x:v>1200</x:v>
      </x:c>
      <x:c r="C5733" s="28"/>
      <x:c r="D5733" s="31" t="str">
        <x:f>IF(OR(ISBLANK(B5733),ISBLANK(C5733),B5733=0),"",(C5733-B5733)/B5733)</x:f>
      </x:c>
      <x:c r="E5733" s="22" t="str">
        <x:f>IF(ISBLANK(C5733),"AmountIncludingTax缺失",IF(ABS(B5733-C5733)&lt;0.005,"一致","不一致"))</x:f>
        <x:v>AmountIncludingTax缺失</x:v>
      </x:c>
      <x:c r="F5733" s="19" t="str">
        <x:v>approved</x:v>
      </x:c>
      <x:c r="G5733" s="19" t="str">
        <x:v>Repair in Progress</x:v>
      </x:c>
      <x:c r="H5733" s="19" t="str">
        <x:v>In Field</x:v>
      </x:c>
      <x:c r="I5733" s="37" t="n">
        <x:v>46043</x:v>
      </x:c>
      <x:c r="J5733" s="37" t="n">
        <x:v>46043</x:v>
      </x:c>
      <x:c r="K5733" s="19" t="str">
        <x:v>Regent RV - Perth</x:v>
      </x:c>
      <x:c r="L5733" s="19" t="str">
        <x:v>Z006</x:v>
      </x:c>
      <x:c r="M5733" s="19" t="str">
        <x:v>In Field Warranty Claims</x:v>
      </x:c>
      <x:c r="N5733" s="37" t="n">
        <x:v>45911</x:v>
      </x:c>
      <x:c r="O5733" s="37"/>
      <x:c r="P5733" s="34" t="n">
        <x:v>1320</x:v>
      </x:c>
      <x:c r="Q5733" s="37" t="n">
        <x:v>46043.32135416667</x:v>
      </x:c>
    </x:row>
    <x:row r="5734">
      <x:c r="A5734" s="22" t="n">
        <x:v>25309</x:v>
      </x:c>
      <x:c r="B5734" s="28" t="n">
        <x:v>768.86</x:v>
      </x:c>
      <x:c r="C5734" s="28"/>
      <x:c r="D5734" s="31" t="str">
        <x:f>IF(OR(ISBLANK(B5734),ISBLANK(C5734),B5734=0),"",(C5734-B5734)/B5734)</x:f>
      </x:c>
      <x:c r="E5734" s="22" t="str">
        <x:f>IF(ISBLANK(C5734),"AmountIncludingTax缺失",IF(ABS(B5734-C5734)&lt;0.005,"一致","不一致"))</x:f>
        <x:v>AmountIncludingTax缺失</x:v>
      </x:c>
      <x:c r="F5734" s="19" t="str">
        <x:v>approved</x:v>
      </x:c>
      <x:c r="G5734" s="19" t="str">
        <x:v>Repairer Invoiced Processed</x:v>
      </x:c>
      <x:c r="H5734" s="19" t="str">
        <x:v>In Field</x:v>
      </x:c>
      <x:c r="I5734" s="37" t="n">
        <x:v>46135</x:v>
      </x:c>
      <x:c r="J5734" s="37" t="n">
        <x:v>46135</x:v>
      </x:c>
      <x:c r="K5734" s="19" t="str">
        <x:v>Dario Caravans - Pooraka</x:v>
      </x:c>
      <x:c r="L5734" s="19" t="str">
        <x:v>Z006</x:v>
      </x:c>
      <x:c r="M5734" s="19" t="str">
        <x:v>In Field Warranty Claims</x:v>
      </x:c>
      <x:c r="N5734" s="37" t="n">
        <x:v>45911</x:v>
      </x:c>
      <x:c r="O5734" s="37"/>
      <x:c r="P5734" s="34" t="n">
        <x:v>0</x:v>
      </x:c>
      <x:c r="Q5734" s="37" t="n">
        <x:v>46135.16795138889</x:v>
      </x:c>
    </x:row>
    <x:row r="5735">
      <x:c r="A5735" s="22" t="n">
        <x:v>25303</x:v>
      </x:c>
      <x:c r="B5735" s="28" t="n">
        <x:v>540</x:v>
      </x:c>
      <x:c r="C5735" s="28"/>
      <x:c r="D5735" s="31" t="str">
        <x:f>IF(OR(ISBLANK(B5735),ISBLANK(C5735),B5735=0),"",(C5735-B5735)/B5735)</x:f>
      </x:c>
      <x:c r="E5735" s="22" t="str">
        <x:f>IF(ISBLANK(C5735),"AmountIncludingTax缺失",IF(ABS(B5735-C5735)&lt;0.005,"一致","不一致"))</x:f>
        <x:v>AmountIncludingTax缺失</x:v>
      </x:c>
      <x:c r="F5735" s="19" t="str">
        <x:v>approved</x:v>
      </x:c>
      <x:c r="G5735" s="19" t="str">
        <x:v>Repairer Invoiced Processed</x:v>
      </x:c>
      <x:c r="H5735" s="19" t="str">
        <x:v>In Field</x:v>
      </x:c>
      <x:c r="I5735" s="37" t="n">
        <x:v>46093</x:v>
      </x:c>
      <x:c r="J5735" s="37" t="n">
        <x:v>46093</x:v>
      </x:c>
      <x:c r="K5735" s="19" t="str">
        <x:v>Auswide Caravans - South Nowra</x:v>
      </x:c>
      <x:c r="L5735" s="19" t="str">
        <x:v>Z006</x:v>
      </x:c>
      <x:c r="M5735" s="19" t="str">
        <x:v>In Field Warranty Claims</x:v>
      </x:c>
      <x:c r="N5735" s="37" t="n">
        <x:v>45911</x:v>
      </x:c>
      <x:c r="O5735" s="37"/>
      <x:c r="P5735" s="34" t="n">
        <x:v>0</x:v>
      </x:c>
      <x:c r="Q5735" s="37" t="n">
        <x:v>46093.439259259256</x:v>
      </x:c>
    </x:row>
    <x:row r="5736">
      <x:c r="A5736" s="22" t="n">
        <x:v>25288</x:v>
      </x:c>
      <x:c r="B5736" s="28" t="n">
        <x:v>457.68</x:v>
      </x:c>
      <x:c r="C5736" s="28" t="n">
        <x:v>503.45</x:v>
      </x:c>
      <x:c r="D5736" s="31" t="n">
        <x:f>IF(OR(ISBLANK(B5736),ISBLANK(C5736),B5736=0),"",(C5736-B5736)/B5736)</x:f>
        <x:v>0.1000043698654081</x:v>
      </x:c>
      <x:c r="E5736" s="22" t="str">
        <x:f>IF(ISBLANK(C5736),"AmountIncludingTax缺失",IF(ABS(B5736-C5736)&lt;0.005,"一致","不一致"))</x:f>
        <x:v>不一致</x:v>
      </x:c>
      <x:c r="F5736" s="19" t="str">
        <x:v>approved</x:v>
      </x:c>
      <x:c r="G5736" s="19" t="str">
        <x:v>Repairer Invoiced Processed</x:v>
      </x:c>
      <x:c r="H5736" s="19" t="str">
        <x:v>In Field</x:v>
      </x:c>
      <x:c r="I5736" s="37" t="n">
        <x:v>46175</x:v>
      </x:c>
      <x:c r="J5736" s="37" t="n">
        <x:v>46175</x:v>
      </x:c>
      <x:c r="K5736" s="19" t="str">
        <x:v>The Caravan Hub - Townsville</x:v>
      </x:c>
      <x:c r="L5736" s="19" t="str">
        <x:v>Z006</x:v>
      </x:c>
      <x:c r="M5736" s="19" t="str">
        <x:v>In Field Warranty Claims</x:v>
      </x:c>
      <x:c r="N5736" s="37" t="n">
        <x:v>45911</x:v>
      </x:c>
      <x:c r="O5736" s="37" t="n">
        <x:v>46097</x:v>
      </x:c>
      <x:c r="P5736" s="34" t="n">
        <x:v>503.45</x:v>
      </x:c>
      <x:c r="Q5736" s="37" t="n">
        <x:v>46175.028032407405</x:v>
      </x:c>
    </x:row>
    <x:row r="5737">
      <x:c r="A5737" s="22" t="n">
        <x:v>25276</x:v>
      </x:c>
      <x:c r="B5737" s="28" t="n">
        <x:v>280</x:v>
      </x:c>
      <x:c r="C5737" s="28"/>
      <x:c r="D5737" s="31" t="str">
        <x:f>IF(OR(ISBLANK(B5737),ISBLANK(C5737),B5737=0),"",(C5737-B5737)/B5737)</x:f>
      </x:c>
      <x:c r="E5737" s="22" t="str">
        <x:f>IF(ISBLANK(C5737),"AmountIncludingTax缺失",IF(ABS(B5737-C5737)&lt;0.005,"一致","不一致"))</x:f>
        <x:v>AmountIncludingTax缺失</x:v>
      </x:c>
      <x:c r="F5737" s="19" t="str">
        <x:v>approved</x:v>
      </x:c>
      <x:c r="G5737" s="19" t="str">
        <x:v>Repairer Invoiced Processed</x:v>
      </x:c>
      <x:c r="H5737" s="19" t="str">
        <x:v>Pre Delivery</x:v>
      </x:c>
      <x:c r="I5737" s="37" t="n">
        <x:v>46202</x:v>
      </x:c>
      <x:c r="J5737" s="37" t="n">
        <x:v>46094</x:v>
      </x:c>
      <x:c r="K5737" s="19" t="str">
        <x:v>Green RV - Forest Glen</x:v>
      </x:c>
      <x:c r="L5737" s="19" t="str">
        <x:v>Z005</x:v>
      </x:c>
      <x:c r="M5737" s="19" t="str">
        <x:v>Pre Delivery Warranty Claims</x:v>
      </x:c>
      <x:c r="N5737" s="37" t="n">
        <x:v>45911</x:v>
      </x:c>
      <x:c r="O5737" s="37"/>
      <x:c r="P5737" s="34" t="n">
        <x:v>0</x:v>
      </x:c>
      <x:c r="Q5737" s="37" t="n">
        <x:v>46201.97618055555</x:v>
      </x:c>
    </x:row>
    <x:row r="5738">
      <x:c r="A5738" s="22" t="n">
        <x:v>25269</x:v>
      </x:c>
      <x:c r="B5738" s="28" t="n">
        <x:v>260</x:v>
      </x:c>
      <x:c r="C5738" s="28"/>
      <x:c r="D5738" s="31" t="str">
        <x:f>IF(OR(ISBLANK(B5738),ISBLANK(C5738),B5738=0),"",(C5738-B5738)/B5738)</x:f>
      </x:c>
      <x:c r="E5738" s="22" t="str">
        <x:f>IF(ISBLANK(C5738),"AmountIncludingTax缺失",IF(ABS(B5738-C5738)&lt;0.005,"一致","不一致"))</x:f>
        <x:v>AmountIncludingTax缺失</x:v>
      </x:c>
      <x:c r="F5738" s="19" t="str">
        <x:v>approved</x:v>
      </x:c>
      <x:c r="G5738" s="19" t="str">
        <x:v>Repairer Invoiced Processed</x:v>
      </x:c>
      <x:c r="H5738" s="19" t="str">
        <x:v>In Field</x:v>
      </x:c>
      <x:c r="I5738" s="37" t="n">
        <x:v>46128</x:v>
      </x:c>
      <x:c r="J5738" s="37" t="n">
        <x:v>46128</x:v>
      </x:c>
      <x:c r="K5738" s="19" t="str">
        <x:v>Green RV - Forest Glen</x:v>
      </x:c>
      <x:c r="L5738" s="19" t="str">
        <x:v>Z006</x:v>
      </x:c>
      <x:c r="M5738" s="19" t="str">
        <x:v>In Field Warranty Claims</x:v>
      </x:c>
      <x:c r="N5738" s="37" t="n">
        <x:v>45910</x:v>
      </x:c>
      <x:c r="O5738" s="37"/>
      <x:c r="P5738" s="34" t="n">
        <x:v>0</x:v>
      </x:c>
      <x:c r="Q5738" s="37" t="n">
        <x:v>46128.05907407407</x:v>
      </x:c>
    </x:row>
    <x:row r="5739">
      <x:c r="A5739" s="22" t="n">
        <x:v>25259</x:v>
      </x:c>
      <x:c r="B5739" s="28" t="n">
        <x:v>165</x:v>
      </x:c>
      <x:c r="C5739" s="28"/>
      <x:c r="D5739" s="31" t="str">
        <x:f>IF(OR(ISBLANK(B5739),ISBLANK(C5739),B5739=0),"",(C5739-B5739)/B5739)</x:f>
      </x:c>
      <x:c r="E5739" s="22" t="str">
        <x:f>IF(ISBLANK(C5739),"AmountIncludingTax缺失",IF(ABS(B5739-C5739)&lt;0.005,"一致","不一致"))</x:f>
        <x:v>AmountIncludingTax缺失</x:v>
      </x:c>
      <x:c r="F5739" s="19" t="str">
        <x:v>approved</x:v>
      </x:c>
      <x:c r="G5739" s="19" t="str">
        <x:v>Repair in Progress</x:v>
      </x:c>
      <x:c r="H5739" s="19" t="str">
        <x:v>In Field</x:v>
      </x:c>
      <x:c r="I5739" s="37" t="n">
        <x:v>46122</x:v>
      </x:c>
      <x:c r="J5739" s="37" t="n">
        <x:v>46122</x:v>
      </x:c>
      <x:c r="K5739" s="19" t="str">
        <x:v>Regent RV - Perth</x:v>
      </x:c>
      <x:c r="L5739" s="19" t="str">
        <x:v>Z006</x:v>
      </x:c>
      <x:c r="M5739" s="19" t="str">
        <x:v>In Field Warranty Claims</x:v>
      </x:c>
      <x:c r="N5739" s="37" t="n">
        <x:v>45910</x:v>
      </x:c>
      <x:c r="O5739" s="37"/>
      <x:c r="P5739" s="34" t="n">
        <x:v>0</x:v>
      </x:c>
      <x:c r="Q5739" s="37" t="n">
        <x:v>46121.91677083333</x:v>
      </x:c>
    </x:row>
    <x:row r="5740">
      <x:c r="A5740" s="22" t="n">
        <x:v>25255</x:v>
      </x:c>
      <x:c r="B5740" s="28" t="n">
        <x:v>1308.75</x:v>
      </x:c>
      <x:c r="C5740" s="28"/>
      <x:c r="D5740" s="31" t="str">
        <x:f>IF(OR(ISBLANK(B5740),ISBLANK(C5740),B5740=0),"",(C5740-B5740)/B5740)</x:f>
      </x:c>
      <x:c r="E5740" s="22" t="str">
        <x:f>IF(ISBLANK(C5740),"AmountIncludingTax缺失",IF(ABS(B5740-C5740)&lt;0.005,"一致","不一致"))</x:f>
        <x:v>AmountIncludingTax缺失</x:v>
      </x:c>
      <x:c r="F5740" s="19" t="str">
        <x:v>approved</x:v>
      </x:c>
      <x:c r="G5740" s="19" t="str">
        <x:v>Repair in Progress</x:v>
      </x:c>
      <x:c r="H5740" s="19" t="str">
        <x:v>Pre Delivery</x:v>
      </x:c>
      <x:c r="I5740" s="37" t="n">
        <x:v>46035</x:v>
      </x:c>
      <x:c r="J5740" s="37" t="n">
        <x:v>46035</x:v>
      </x:c>
      <x:c r="K5740" s="19" t="str">
        <x:v>The Caravan Hub - Townsville</x:v>
      </x:c>
      <x:c r="L5740" s="19" t="str">
        <x:v>Z005</x:v>
      </x:c>
      <x:c r="M5740" s="19" t="str">
        <x:v>Pre Delivery Warranty Claims</x:v>
      </x:c>
      <x:c r="N5740" s="37" t="n">
        <x:v>45910</x:v>
      </x:c>
      <x:c r="O5740" s="37"/>
      <x:c r="P5740" s="34" t="n">
        <x:v>0</x:v>
      </x:c>
      <x:c r="Q5740" s="37" t="n">
        <x:v>46035.20825231481</x:v>
      </x:c>
    </x:row>
    <x:row r="5741">
      <x:c r="A5741" s="22" t="n">
        <x:v>25249</x:v>
      </x:c>
      <x:c r="B5741" s="28" t="n">
        <x:v>276.37</x:v>
      </x:c>
      <x:c r="C5741" s="28"/>
      <x:c r="D5741" s="31" t="str">
        <x:f>IF(OR(ISBLANK(B5741),ISBLANK(C5741),B5741=0),"",(C5741-B5741)/B5741)</x:f>
      </x:c>
      <x:c r="E5741" s="22" t="str">
        <x:f>IF(ISBLANK(C5741),"AmountIncludingTax缺失",IF(ABS(B5741-C5741)&lt;0.005,"一致","不一致"))</x:f>
        <x:v>AmountIncludingTax缺失</x:v>
      </x:c>
      <x:c r="F5741" s="19" t="str">
        <x:v>approved</x:v>
      </x:c>
      <x:c r="G5741" s="19" t="str">
        <x:v>Repairer Invoiced Processed</x:v>
      </x:c>
      <x:c r="H5741" s="19" t="str">
        <x:v>Pre Delivery</x:v>
      </x:c>
      <x:c r="I5741" s="37" t="n">
        <x:v>46168</x:v>
      </x:c>
      <x:c r="J5741" s="37" t="n">
        <x:v>46084</x:v>
      </x:c>
      <x:c r="K5741" s="19" t="str">
        <x:v>Auswide Caravans - South Nowra</x:v>
      </x:c>
      <x:c r="L5741" s="19" t="str">
        <x:v>Z005</x:v>
      </x:c>
      <x:c r="M5741" s="19" t="str">
        <x:v>Pre Delivery Warranty Claims</x:v>
      </x:c>
      <x:c r="N5741" s="37" t="n">
        <x:v>45910</x:v>
      </x:c>
      <x:c r="O5741" s="37"/>
      <x:c r="P5741" s="34" t="n">
        <x:v>0</x:v>
      </x:c>
      <x:c r="Q5741" s="37" t="n">
        <x:v>46168.016076388885</x:v>
      </x:c>
    </x:row>
    <x:row r="5742">
      <x:c r="A5742" s="22" t="n">
        <x:v>25248</x:v>
      </x:c>
      <x:c r="B5742" s="28" t="n">
        <x:v>1776.36</x:v>
      </x:c>
      <x:c r="C5742" s="28"/>
      <x:c r="D5742" s="31" t="str">
        <x:f>IF(OR(ISBLANK(B5742),ISBLANK(C5742),B5742=0),"",(C5742-B5742)/B5742)</x:f>
      </x:c>
      <x:c r="E5742" s="22" t="str">
        <x:f>IF(ISBLANK(C5742),"AmountIncludingTax缺失",IF(ABS(B5742-C5742)&lt;0.005,"一致","不一致"))</x:f>
        <x:v>AmountIncludingTax缺失</x:v>
      </x:c>
      <x:c r="F5742" s="19" t="str">
        <x:v>approved</x:v>
      </x:c>
      <x:c r="G5742" s="19" t="str">
        <x:v>Repairer Invoiced Processed</x:v>
      </x:c>
      <x:c r="H5742" s="19" t="str">
        <x:v>In Field</x:v>
      </x:c>
      <x:c r="I5742" s="37" t="n">
        <x:v>46134</x:v>
      </x:c>
      <x:c r="J5742" s="37" t="n">
        <x:v>46134</x:v>
      </x:c>
      <x:c r="K5742" s="19" t="str">
        <x:v>Dario Caravans - Pooraka</x:v>
      </x:c>
      <x:c r="L5742" s="19" t="str">
        <x:v>Z006</x:v>
      </x:c>
      <x:c r="M5742" s="19" t="str">
        <x:v>In Field Warranty Claims</x:v>
      </x:c>
      <x:c r="N5742" s="37" t="n">
        <x:v>45910</x:v>
      </x:c>
      <x:c r="O5742" s="37"/>
      <x:c r="P5742" s="34" t="n">
        <x:v>1954</x:v>
      </x:c>
      <x:c r="Q5742" s="37" t="n">
        <x:v>46134.06767361111</x:v>
      </x:c>
    </x:row>
    <x:row r="5743">
      <x:c r="A5743" s="22" t="n">
        <x:v>25199</x:v>
      </x:c>
      <x:c r="B5743" s="28" t="n">
        <x:v>980.1</x:v>
      </x:c>
      <x:c r="C5743" s="28"/>
      <x:c r="D5743" s="31" t="str">
        <x:f>IF(OR(ISBLANK(B5743),ISBLANK(C5743),B5743=0),"",(C5743-B5743)/B5743)</x:f>
      </x:c>
      <x:c r="E5743" s="22" t="str">
        <x:f>IF(ISBLANK(C5743),"AmountIncludingTax缺失",IF(ABS(B5743-C5743)&lt;0.005,"一致","不一致"))</x:f>
        <x:v>AmountIncludingTax缺失</x:v>
      </x:c>
      <x:c r="F5743" s="19" t="str">
        <x:v>approved</x:v>
      </x:c>
      <x:c r="G5743" s="19" t="str">
        <x:v>Repairer Invoiced Processed</x:v>
      </x:c>
      <x:c r="H5743" s="19" t="str">
        <x:v>In Field</x:v>
      </x:c>
      <x:c r="I5743" s="37" t="n">
        <x:v>46119</x:v>
      </x:c>
      <x:c r="J5743" s="37" t="n">
        <x:v>46119</x:v>
      </x:c>
      <x:c r="K5743" s="19" t="str">
        <x:v>Green RV - Forest Glen</x:v>
      </x:c>
      <x:c r="L5743" s="19" t="str">
        <x:v>Z006</x:v>
      </x:c>
      <x:c r="M5743" s="19" t="str">
        <x:v>In Field Warranty Claims</x:v>
      </x:c>
      <x:c r="N5743" s="37" t="n">
        <x:v>45910</x:v>
      </x:c>
      <x:c r="O5743" s="37" t="n">
        <x:v>46101</x:v>
      </x:c>
      <x:c r="P5743" s="34" t="n">
        <x:v>1078.11</x:v>
      </x:c>
      <x:c r="Q5743" s="37" t="n">
        <x:v>46119.13597222222</x:v>
      </x:c>
    </x:row>
    <x:row r="5744">
      <x:c r="A5744" s="22" t="n">
        <x:v>25171</x:v>
      </x:c>
      <x:c r="B5744" s="28" t="n">
        <x:v>1578.26</x:v>
      </x:c>
      <x:c r="C5744" s="28"/>
      <x:c r="D5744" s="31" t="str">
        <x:f>IF(OR(ISBLANK(B5744),ISBLANK(C5744),B5744=0),"",(C5744-B5744)/B5744)</x:f>
      </x:c>
      <x:c r="E5744" s="22" t="str">
        <x:f>IF(ISBLANK(C5744),"AmountIncludingTax缺失",IF(ABS(B5744-C5744)&lt;0.005,"一致","不一致"))</x:f>
        <x:v>AmountIncludingTax缺失</x:v>
      </x:c>
      <x:c r="F5744" s="19" t="str">
        <x:v>approved</x:v>
      </x:c>
      <x:c r="G5744" s="19" t="str">
        <x:v>Repair in Progress</x:v>
      </x:c>
      <x:c r="H5744" s="19" t="str">
        <x:v>In Field</x:v>
      </x:c>
      <x:c r="I5744" s="37" t="n">
        <x:v>46170</x:v>
      </x:c>
      <x:c r="J5744" s="37" t="n">
        <x:v>46170</x:v>
      </x:c>
      <x:c r="K5744" s="19" t="str">
        <x:v>The Caravan Hub - Townsville</x:v>
      </x:c>
      <x:c r="L5744" s="19" t="str">
        <x:v>Z006</x:v>
      </x:c>
      <x:c r="M5744" s="19" t="str">
        <x:v>In Field Warranty Claims</x:v>
      </x:c>
      <x:c r="N5744" s="37" t="n">
        <x:v>45909</x:v>
      </x:c>
      <x:c r="O5744" s="37" t="n">
        <x:v>46139</x:v>
      </x:c>
      <x:c r="P5744" s="34" t="n">
        <x:v>0</x:v>
      </x:c>
      <x:c r="Q5744" s="37" t="n">
        <x:v>46169.918854166666</x:v>
      </x:c>
    </x:row>
    <x:row r="5745">
      <x:c r="A5745" s="22" t="n">
        <x:v>25165</x:v>
      </x:c>
      <x:c r="B5745" s="28" t="n">
        <x:v>1410.91</x:v>
      </x:c>
      <x:c r="C5745" s="28"/>
      <x:c r="D5745" s="31" t="str">
        <x:f>IF(OR(ISBLANK(B5745),ISBLANK(C5745),B5745=0),"",(C5745-B5745)/B5745)</x:f>
      </x:c>
      <x:c r="E5745" s="22" t="str">
        <x:f>IF(ISBLANK(C5745),"AmountIncludingTax缺失",IF(ABS(B5745-C5745)&lt;0.005,"一致","不一致"))</x:f>
        <x:v>AmountIncludingTax缺失</x:v>
      </x:c>
      <x:c r="F5745" s="19" t="str">
        <x:v>approved</x:v>
      </x:c>
      <x:c r="G5745" s="19" t="str">
        <x:v>Repair in Progress</x:v>
      </x:c>
      <x:c r="H5745" s="19" t="str">
        <x:v>In Field</x:v>
      </x:c>
      <x:c r="I5745" s="37" t="n">
        <x:v>46071</x:v>
      </x:c>
      <x:c r="J5745" s="37" t="n">
        <x:v>46071</x:v>
      </x:c>
      <x:c r="K5745" s="19" t="str">
        <x:v>Regent RV - Perth</x:v>
      </x:c>
      <x:c r="L5745" s="19" t="str">
        <x:v>Z006</x:v>
      </x:c>
      <x:c r="M5745" s="19" t="str">
        <x:v>In Field Warranty Claims</x:v>
      </x:c>
      <x:c r="N5745" s="37" t="n">
        <x:v>45909</x:v>
      </x:c>
      <x:c r="O5745" s="37"/>
      <x:c r="P5745" s="34" t="n">
        <x:v>1552</x:v>
      </x:c>
      <x:c r="Q5745" s="37" t="n">
        <x:v>46070.995046296295</x:v>
      </x:c>
    </x:row>
    <x:row r="5746">
      <x:c r="A5746" s="22" t="n">
        <x:v>25142</x:v>
      </x:c>
      <x:c r="B5746" s="28" t="n">
        <x:v>587.94</x:v>
      </x:c>
      <x:c r="C5746" s="28" t="n">
        <x:v>646.73</x:v>
      </x:c>
      <x:c r="D5746" s="31" t="n">
        <x:f>IF(OR(ISBLANK(B5746),ISBLANK(C5746),B5746=0),"",(C5746-B5746)/B5746)</x:f>
        <x:v>0.09999319658468545</x:v>
      </x:c>
      <x:c r="E5746" s="22" t="str">
        <x:f>IF(ISBLANK(C5746),"AmountIncludingTax缺失",IF(ABS(B5746-C5746)&lt;0.005,"一致","不一致"))</x:f>
        <x:v>不一致</x:v>
      </x:c>
      <x:c r="F5746" s="19" t="str">
        <x:v>approved</x:v>
      </x:c>
      <x:c r="G5746" s="19" t="str">
        <x:v>Repairer Invoiced Processed</x:v>
      </x:c>
      <x:c r="H5746" s="19" t="str">
        <x:v>Pre Delivery</x:v>
      </x:c>
      <x:c r="I5746" s="37" t="n">
        <x:v>46028</x:v>
      </x:c>
      <x:c r="J5746" s="37" t="n">
        <x:v>46027</x:v>
      </x:c>
      <x:c r="K5746" s="19" t="str">
        <x:v>Green RV - Slacks Creek</x:v>
      </x:c>
      <x:c r="L5746" s="19" t="str">
        <x:v>Z005</x:v>
      </x:c>
      <x:c r="M5746" s="19" t="str">
        <x:v>Pre Delivery Warranty Claims</x:v>
      </x:c>
      <x:c r="N5746" s="37" t="n">
        <x:v>45909</x:v>
      </x:c>
      <x:c r="O5746" s="37"/>
      <x:c r="P5746" s="34" t="n">
        <x:v>646.73</x:v>
      </x:c>
      <x:c r="Q5746" s="37" t="n">
        <x:v>46027.55395833333</x:v>
      </x:c>
    </x:row>
    <x:row r="5747">
      <x:c r="A5747" s="22" t="n">
        <x:v>25112</x:v>
      </x:c>
      <x:c r="B5747" s="28" t="n">
        <x:v>422.3</x:v>
      </x:c>
      <x:c r="C5747" s="28" t="n">
        <x:v>464.53</x:v>
      </x:c>
      <x:c r="D5747" s="31" t="n">
        <x:f>IF(OR(ISBLANK(B5747),ISBLANK(C5747),B5747=0),"",(C5747-B5747)/B5747)</x:f>
        <x:v>0.09999999999999991</x:v>
      </x:c>
      <x:c r="E5747" s="22" t="str">
        <x:f>IF(ISBLANK(C5747),"AmountIncludingTax缺失",IF(ABS(B5747-C5747)&lt;0.005,"一致","不一致"))</x:f>
        <x:v>不一致</x:v>
      </x:c>
      <x:c r="F5747" s="19" t="str">
        <x:v>approved</x:v>
      </x:c>
      <x:c r="G5747" s="19" t="str">
        <x:v>Repairer Invoiced Processed</x:v>
      </x:c>
      <x:c r="H5747" s="19" t="str">
        <x:v>Pre Delivery</x:v>
      </x:c>
      <x:c r="I5747" s="37" t="n">
        <x:v>46079</x:v>
      </x:c>
      <x:c r="J5747" s="37" t="n">
        <x:v>46079</x:v>
      </x:c>
      <x:c r="K5747" s="19" t="str">
        <x:v>Green RV - Slacks Creek</x:v>
      </x:c>
      <x:c r="L5747" s="19" t="str">
        <x:v>Z005</x:v>
      </x:c>
      <x:c r="M5747" s="19" t="str">
        <x:v>Pre Delivery Warranty Claims</x:v>
      </x:c>
      <x:c r="N5747" s="37" t="n">
        <x:v>45909</x:v>
      </x:c>
      <x:c r="O5747" s="37"/>
      <x:c r="P5747" s="34" t="n">
        <x:v>464.53</x:v>
      </x:c>
      <x:c r="Q5747" s="37" t="n">
        <x:v>46079.13618055556</x:v>
      </x:c>
    </x:row>
    <x:row r="5748">
      <x:c r="A5748" s="22" t="n">
        <x:v>25109</x:v>
      </x:c>
      <x:c r="B5748" s="28" t="n">
        <x:v>676.2</x:v>
      </x:c>
      <x:c r="C5748" s="28" t="n">
        <x:v>743.82</x:v>
      </x:c>
      <x:c r="D5748" s="31" t="n">
        <x:f>IF(OR(ISBLANK(B5748),ISBLANK(C5748),B5748=0),"",(C5748-B5748)/B5748)</x:f>
        <x:v>0.1</x:v>
      </x:c>
      <x:c r="E5748" s="22" t="str">
        <x:f>IF(ISBLANK(C5748),"AmountIncludingTax缺失",IF(ABS(B5748-C5748)&lt;0.005,"一致","不一致"))</x:f>
        <x:v>不一致</x:v>
      </x:c>
      <x:c r="F5748" s="19" t="str">
        <x:v>approved</x:v>
      </x:c>
      <x:c r="G5748" s="19" t="str">
        <x:v>Repairer Invoiced Processed</x:v>
      </x:c>
      <x:c r="H5748" s="19" t="str">
        <x:v>Pre Delivery</x:v>
      </x:c>
      <x:c r="I5748" s="37" t="n">
        <x:v>46079</x:v>
      </x:c>
      <x:c r="J5748" s="37" t="n">
        <x:v>46079</x:v>
      </x:c>
      <x:c r="K5748" s="19" t="str">
        <x:v>Green RV - Slacks Creek</x:v>
      </x:c>
      <x:c r="L5748" s="19" t="str">
        <x:v>Z005</x:v>
      </x:c>
      <x:c r="M5748" s="19" t="str">
        <x:v>Pre Delivery Warranty Claims</x:v>
      </x:c>
      <x:c r="N5748" s="37" t="n">
        <x:v>45909</x:v>
      </x:c>
      <x:c r="O5748" s="37"/>
      <x:c r="P5748" s="34" t="n">
        <x:v>743.82</x:v>
      </x:c>
      <x:c r="Q5748" s="37" t="n">
        <x:v>46079.08268518518</x:v>
      </x:c>
    </x:row>
    <x:row r="5749">
      <x:c r="A5749" s="22" t="n">
        <x:v>25107</x:v>
      </x:c>
      <x:c r="B5749" s="28" t="n">
        <x:v>405.65</x:v>
      </x:c>
      <x:c r="C5749" s="28" t="n">
        <x:v>446.22</x:v>
      </x:c>
      <x:c r="D5749" s="31" t="n">
        <x:f>IF(OR(ISBLANK(B5749),ISBLANK(C5749),B5749=0),"",(C5749-B5749)/B5749)</x:f>
        <x:v>0.10001232589670911</x:v>
      </x:c>
      <x:c r="E5749" s="22" t="str">
        <x:f>IF(ISBLANK(C5749),"AmountIncludingTax缺失",IF(ABS(B5749-C5749)&lt;0.005,"一致","不一致"))</x:f>
        <x:v>不一致</x:v>
      </x:c>
      <x:c r="F5749" s="19" t="str">
        <x:v>approved</x:v>
      </x:c>
      <x:c r="G5749" s="19" t="str">
        <x:v>Repairer Invoiced Processed</x:v>
      </x:c>
      <x:c r="H5749" s="19" t="str">
        <x:v>Pre Delivery</x:v>
      </x:c>
      <x:c r="I5749" s="37" t="n">
        <x:v>46028</x:v>
      </x:c>
      <x:c r="J5749" s="37" t="n">
        <x:v>46027</x:v>
      </x:c>
      <x:c r="K5749" s="19" t="str">
        <x:v>Green RV - Slacks Creek</x:v>
      </x:c>
      <x:c r="L5749" s="19" t="str">
        <x:v>Z005</x:v>
      </x:c>
      <x:c r="M5749" s="19" t="str">
        <x:v>Pre Delivery Warranty Claims</x:v>
      </x:c>
      <x:c r="N5749" s="37" t="n">
        <x:v>45909</x:v>
      </x:c>
      <x:c r="O5749" s="37"/>
      <x:c r="P5749" s="34" t="n">
        <x:v>446.22</x:v>
      </x:c>
      <x:c r="Q5749" s="37" t="n">
        <x:v>46027.55054398148</x:v>
      </x:c>
    </x:row>
    <x:row r="5750">
      <x:c r="A5750" s="22" t="n">
        <x:v>25104</x:v>
      </x:c>
      <x:c r="B5750" s="28" t="n">
        <x:v>1350.94</x:v>
      </x:c>
      <x:c r="C5750" s="28"/>
      <x:c r="D5750" s="31" t="str">
        <x:f>IF(OR(ISBLANK(B5750),ISBLANK(C5750),B5750=0),"",(C5750-B5750)/B5750)</x:f>
      </x:c>
      <x:c r="E5750" s="22" t="str">
        <x:f>IF(ISBLANK(C5750),"AmountIncludingTax缺失",IF(ABS(B5750-C5750)&lt;0.005,"一致","不一致"))</x:f>
        <x:v>AmountIncludingTax缺失</x:v>
      </x:c>
      <x:c r="F5750" s="19" t="str">
        <x:v>approved</x:v>
      </x:c>
      <x:c r="G5750" s="19" t="str">
        <x:v>Repair in Progress</x:v>
      </x:c>
      <x:c r="H5750" s="19" t="str">
        <x:v>Pre Delivery</x:v>
      </x:c>
      <x:c r="I5750" s="37" t="n">
        <x:v>46024</x:v>
      </x:c>
      <x:c r="J5750" s="37" t="n">
        <x:v>46024</x:v>
      </x:c>
      <x:c r="K5750" s="19" t="str">
        <x:v>Lesiure Lion-New Castle</x:v>
      </x:c>
      <x:c r="L5750" s="19" t="str">
        <x:v>Z005</x:v>
      </x:c>
      <x:c r="M5750" s="19" t="str">
        <x:v>Pre Delivery Warranty Claims</x:v>
      </x:c>
      <x:c r="N5750" s="37" t="n">
        <x:v>45909</x:v>
      </x:c>
      <x:c r="O5750" s="37"/>
      <x:c r="P5750" s="34" t="n">
        <x:v>0</x:v>
      </x:c>
      <x:c r="Q5750" s="37" t="n">
        <x:v>46024.262141203704</x:v>
      </x:c>
    </x:row>
    <x:row r="5751">
      <x:c r="A5751" s="22" t="n">
        <x:v>25103</x:v>
      </x:c>
      <x:c r="B5751" s="28" t="n">
        <x:v>292.73</x:v>
      </x:c>
      <x:c r="C5751" s="28" t="n">
        <x:v>322</x:v>
      </x:c>
      <x:c r="D5751" s="31" t="n">
        <x:f>IF(OR(ISBLANK(B5751),ISBLANK(C5751),B5751=0),"",(C5751-B5751)/B5751)</x:f>
        <x:v>0.0999897516482765</x:v>
      </x:c>
      <x:c r="E5751" s="22" t="str">
        <x:f>IF(ISBLANK(C5751),"AmountIncludingTax缺失",IF(ABS(B5751-C5751)&lt;0.005,"一致","不一致"))</x:f>
        <x:v>不一致</x:v>
      </x:c>
      <x:c r="F5751" s="19" t="str">
        <x:v>approved</x:v>
      </x:c>
      <x:c r="G5751" s="19" t="str">
        <x:v>Repairer Invoiced Processed</x:v>
      </x:c>
      <x:c r="H5751" s="19" t="str">
        <x:v>Pre Delivery</x:v>
      </x:c>
      <x:c r="I5751" s="37" t="n">
        <x:v>46028</x:v>
      </x:c>
      <x:c r="J5751" s="37" t="n">
        <x:v>46027</x:v>
      </x:c>
      <x:c r="K5751" s="19" t="str">
        <x:v>Green RV - Slacks Creek</x:v>
      </x:c>
      <x:c r="L5751" s="19" t="str">
        <x:v>Z005</x:v>
      </x:c>
      <x:c r="M5751" s="19" t="str">
        <x:v>Pre Delivery Warranty Claims</x:v>
      </x:c>
      <x:c r="N5751" s="37" t="n">
        <x:v>45909</x:v>
      </x:c>
      <x:c r="O5751" s="37"/>
      <x:c r="P5751" s="34" t="n">
        <x:v>322</x:v>
      </x:c>
      <x:c r="Q5751" s="37" t="n">
        <x:v>46027.54819444445</x:v>
      </x:c>
    </x:row>
    <x:row r="5752">
      <x:c r="A5752" s="22" t="n">
        <x:v>25098</x:v>
      </x:c>
      <x:c r="B5752" s="28" t="n">
        <x:v>175.45</x:v>
      </x:c>
      <x:c r="C5752" s="28" t="n">
        <x:v>193</x:v>
      </x:c>
      <x:c r="D5752" s="31" t="n">
        <x:f>IF(OR(ISBLANK(B5752),ISBLANK(C5752),B5752=0),"",(C5752-B5752)/B5752)</x:f>
        <x:v>0.10002849814762048</x:v>
      </x:c>
      <x:c r="E5752" s="22" t="str">
        <x:f>IF(ISBLANK(C5752),"AmountIncludingTax缺失",IF(ABS(B5752-C5752)&lt;0.005,"一致","不一致"))</x:f>
        <x:v>不一致</x:v>
      </x:c>
      <x:c r="F5752" s="19" t="str">
        <x:v>approved</x:v>
      </x:c>
      <x:c r="G5752" s="19" t="str">
        <x:v>Repairer Invoiced Processed</x:v>
      </x:c>
      <x:c r="H5752" s="19" t="str">
        <x:v>In Field</x:v>
      </x:c>
      <x:c r="I5752" s="37" t="n">
        <x:v>46202</x:v>
      </x:c>
      <x:c r="J5752" s="37" t="n">
        <x:v>46202</x:v>
      </x:c>
      <x:c r="K5752" s="19" t="str">
        <x:v>Dario Caravans -St.Marys</x:v>
      </x:c>
      <x:c r="L5752" s="19" t="str">
        <x:v>Z006</x:v>
      </x:c>
      <x:c r="M5752" s="19" t="str">
        <x:v>In Field Warranty Claims</x:v>
      </x:c>
      <x:c r="N5752" s="37" t="n">
        <x:v>45908</x:v>
      </x:c>
      <x:c r="O5752" s="37"/>
      <x:c r="P5752" s="34" t="n">
        <x:v>193</x:v>
      </x:c>
      <x:c r="Q5752" s="37" t="n">
        <x:v>46202.16193287037</x:v>
      </x:c>
    </x:row>
    <x:row r="5753">
      <x:c r="A5753" s="22" t="n">
        <x:v>25087</x:v>
      </x:c>
      <x:c r="B5753" s="28" t="n">
        <x:v>347.73</x:v>
      </x:c>
      <x:c r="C5753" s="28" t="n">
        <x:v>382.5</x:v>
      </x:c>
      <x:c r="D5753" s="31" t="n">
        <x:f>IF(OR(ISBLANK(B5753),ISBLANK(C5753),B5753=0),"",(C5753-B5753)/B5753)</x:f>
        <x:v>0.0999913726166853</x:v>
      </x:c>
      <x:c r="E5753" s="22" t="str">
        <x:f>IF(ISBLANK(C5753),"AmountIncludingTax缺失",IF(ABS(B5753-C5753)&lt;0.005,"一致","不一致"))</x:f>
        <x:v>不一致</x:v>
      </x:c>
      <x:c r="F5753" s="19" t="str">
        <x:v>approved</x:v>
      </x:c>
      <x:c r="G5753" s="19" t="str">
        <x:v>Repairer Invoiced Processed</x:v>
      </x:c>
      <x:c r="H5753" s="19" t="str">
        <x:v>In Field</x:v>
      </x:c>
      <x:c r="I5753" s="37" t="n">
        <x:v>46128</x:v>
      </x:c>
      <x:c r="J5753" s="37" t="n">
        <x:v>46128</x:v>
      </x:c>
      <x:c r="K5753" s="19" t="str">
        <x:v>Auswide Caravans - South Nowra</x:v>
      </x:c>
      <x:c r="L5753" s="19" t="str">
        <x:v>Z006</x:v>
      </x:c>
      <x:c r="M5753" s="19" t="str">
        <x:v>In Field Warranty Claims</x:v>
      </x:c>
      <x:c r="N5753" s="37" t="n">
        <x:v>45908</x:v>
      </x:c>
      <x:c r="O5753" s="37" t="n">
        <x:v>46105</x:v>
      </x:c>
      <x:c r="P5753" s="34" t="n">
        <x:v>382.5</x:v>
      </x:c>
      <x:c r="Q5753" s="37" t="n">
        <x:v>46127.967777777776</x:v>
      </x:c>
    </x:row>
    <x:row r="5754">
      <x:c r="A5754" s="22" t="n">
        <x:v>25071</x:v>
      </x:c>
      <x:c r="B5754" s="28" t="n">
        <x:v>82.5</x:v>
      </x:c>
      <x:c r="C5754" s="28"/>
      <x:c r="D5754" s="31" t="str">
        <x:f>IF(OR(ISBLANK(B5754),ISBLANK(C5754),B5754=0),"",(C5754-B5754)/B5754)</x:f>
      </x:c>
      <x:c r="E5754" s="22" t="str">
        <x:f>IF(ISBLANK(C5754),"AmountIncludingTax缺失",IF(ABS(B5754-C5754)&lt;0.005,"一致","不一致"))</x:f>
        <x:v>AmountIncludingTax缺失</x:v>
      </x:c>
      <x:c r="F5754" s="19" t="str">
        <x:v>approved</x:v>
      </x:c>
      <x:c r="G5754" s="19" t="str">
        <x:v>Repair in Progress</x:v>
      </x:c>
      <x:c r="H5754" s="19" t="str">
        <x:v>In Field</x:v>
      </x:c>
      <x:c r="I5754" s="37" t="n">
        <x:v>46076</x:v>
      </x:c>
      <x:c r="J5754" s="37" t="n">
        <x:v>46076</x:v>
      </x:c>
      <x:c r="K5754" s="19" t="str">
        <x:v>Green RV - Forest Glen</x:v>
      </x:c>
      <x:c r="L5754" s="19" t="str">
        <x:v>Z006</x:v>
      </x:c>
      <x:c r="M5754" s="19" t="str">
        <x:v>In Field Warranty Claims</x:v>
      </x:c>
      <x:c r="N5754" s="37" t="n">
        <x:v>45908</x:v>
      </x:c>
      <x:c r="O5754" s="37"/>
      <x:c r="P5754" s="34" t="n">
        <x:v>0</x:v>
      </x:c>
      <x:c r="Q5754" s="37" t="n">
        <x:v>46075.92710648148</x:v>
      </x:c>
    </x:row>
    <x:row r="5755">
      <x:c r="A5755" s="22" t="n">
        <x:v>25031</x:v>
      </x:c>
      <x:c r="B5755" s="28" t="n">
        <x:v>708.75</x:v>
      </x:c>
      <x:c r="C5755" s="28"/>
      <x:c r="D5755" s="31" t="str">
        <x:f>IF(OR(ISBLANK(B5755),ISBLANK(C5755),B5755=0),"",(C5755-B5755)/B5755)</x:f>
      </x:c>
      <x:c r="E5755" s="22" t="str">
        <x:f>IF(ISBLANK(C5755),"AmountIncludingTax缺失",IF(ABS(B5755-C5755)&lt;0.005,"一致","不一致"))</x:f>
        <x:v>AmountIncludingTax缺失</x:v>
      </x:c>
      <x:c r="F5755" s="19" t="str">
        <x:v>approved</x:v>
      </x:c>
      <x:c r="G5755" s="19" t="str">
        <x:v>Repair in Progress</x:v>
      </x:c>
      <x:c r="H5755" s="19" t="str">
        <x:v>In Field</x:v>
      </x:c>
      <x:c r="I5755" s="37" t="n">
        <x:v>46063</x:v>
      </x:c>
      <x:c r="J5755" s="37" t="n">
        <x:v>46063</x:v>
      </x:c>
      <x:c r="K5755" s="19" t="str">
        <x:v>Regent RV Pty Ltd</x:v>
      </x:c>
      <x:c r="L5755" s="19" t="str">
        <x:v>Z006</x:v>
      </x:c>
      <x:c r="M5755" s="19" t="str">
        <x:v>In Field Warranty Claims</x:v>
      </x:c>
      <x:c r="N5755" s="37" t="n">
        <x:v>45907</x:v>
      </x:c>
      <x:c r="O5755" s="37"/>
      <x:c r="P5755" s="34" t="n">
        <x:v>0</x:v>
      </x:c>
      <x:c r="Q5755" s="37" t="n">
        <x:v>46062.946863425925</x:v>
      </x:c>
    </x:row>
    <x:row r="5756">
      <x:c r="A5756" s="22" t="n">
        <x:v>25018</x:v>
      </x:c>
      <x:c r="B5756" s="28" t="n">
        <x:v>32.95</x:v>
      </x:c>
      <x:c r="C5756" s="28"/>
      <x:c r="D5756" s="31" t="str">
        <x:f>IF(OR(ISBLANK(B5756),ISBLANK(C5756),B5756=0),"",(C5756-B5756)/B5756)</x:f>
      </x:c>
      <x:c r="E5756" s="22" t="str">
        <x:f>IF(ISBLANK(C5756),"AmountIncludingTax缺失",IF(ABS(B5756-C5756)&lt;0.005,"一致","不一致"))</x:f>
        <x:v>AmountIncludingTax缺失</x:v>
      </x:c>
      <x:c r="F5756" s="19" t="str">
        <x:v>approved</x:v>
      </x:c>
      <x:c r="G5756" s="19" t="str">
        <x:v>Repair in Progress</x:v>
      </x:c>
      <x:c r="H5756" s="19" t="str">
        <x:v>In Field</x:v>
      </x:c>
      <x:c r="I5756" s="37" t="n">
        <x:v>46063</x:v>
      </x:c>
      <x:c r="J5756" s="37" t="n">
        <x:v>46063</x:v>
      </x:c>
      <x:c r="K5756" s="19" t="str">
        <x:v>The Caravan Hub - Townsville</x:v>
      </x:c>
      <x:c r="L5756" s="19" t="str">
        <x:v>Z006</x:v>
      </x:c>
      <x:c r="M5756" s="19" t="str">
        <x:v>In Field Warranty Claims</x:v>
      </x:c>
      <x:c r="N5756" s="37" t="n">
        <x:v>45907</x:v>
      </x:c>
      <x:c r="O5756" s="37"/>
      <x:c r="P5756" s="34" t="n">
        <x:v>0</x:v>
      </x:c>
      <x:c r="Q5756" s="37" t="n">
        <x:v>46062.922060185185</x:v>
      </x:c>
    </x:row>
    <x:row r="5757">
      <x:c r="A5757" s="22" t="n">
        <x:v>25017</x:v>
      </x:c>
      <x:c r="B5757" s="28" t="n">
        <x:v>1552.5</x:v>
      </x:c>
      <x:c r="C5757" s="28"/>
      <x:c r="D5757" s="31" t="str">
        <x:f>IF(OR(ISBLANK(B5757),ISBLANK(C5757),B5757=0),"",(C5757-B5757)/B5757)</x:f>
      </x:c>
      <x:c r="E5757" s="22" t="str">
        <x:f>IF(ISBLANK(C5757),"AmountIncludingTax缺失",IF(ABS(B5757-C5757)&lt;0.005,"一致","不一致"))</x:f>
        <x:v>AmountIncludingTax缺失</x:v>
      </x:c>
      <x:c r="F5757" s="19" t="str">
        <x:v>approved</x:v>
      </x:c>
      <x:c r="G5757" s="19" t="str">
        <x:v>Repairer Invoiced Processed</x:v>
      </x:c>
      <x:c r="H5757" s="19" t="str">
        <x:v>In Field</x:v>
      </x:c>
      <x:c r="I5757" s="37" t="n">
        <x:v>46069</x:v>
      </x:c>
      <x:c r="J5757" s="37" t="n">
        <x:v>46069</x:v>
      </x:c>
      <x:c r="K5757" s="19" t="str">
        <x:v>Regent RV Pty Ltd</x:v>
      </x:c>
      <x:c r="L5757" s="19" t="str">
        <x:v>Z006</x:v>
      </x:c>
      <x:c r="M5757" s="19" t="str">
        <x:v>In Field Warranty Claims</x:v>
      </x:c>
      <x:c r="N5757" s="37" t="n">
        <x:v>45907</x:v>
      </x:c>
      <x:c r="O5757" s="37"/>
      <x:c r="P5757" s="34" t="n">
        <x:v>0</x:v>
      </x:c>
      <x:c r="Q5757" s="37" t="n">
        <x:v>46068.96255787037</x:v>
      </x:c>
    </x:row>
    <x:row r="5758">
      <x:c r="A5758" s="22" t="n">
        <x:v>25012</x:v>
      </x:c>
      <x:c r="B5758" s="28" t="n">
        <x:v>10848.17</x:v>
      </x:c>
      <x:c r="C5758" s="28"/>
      <x:c r="D5758" s="31" t="str">
        <x:f>IF(OR(ISBLANK(B5758),ISBLANK(C5758),B5758=0),"",(C5758-B5758)/B5758)</x:f>
      </x:c>
      <x:c r="E5758" s="22" t="str">
        <x:f>IF(ISBLANK(C5758),"AmountIncludingTax缺失",IF(ABS(B5758-C5758)&lt;0.005,"一致","不一致"))</x:f>
        <x:v>AmountIncludingTax缺失</x:v>
      </x:c>
      <x:c r="F5758" s="19" t="str">
        <x:v>approved</x:v>
      </x:c>
      <x:c r="G5758" s="19" t="str">
        <x:v>Repairer Invoiced Processed</x:v>
      </x:c>
      <x:c r="H5758" s="19" t="str">
        <x:v>In Field</x:v>
      </x:c>
      <x:c r="I5758" s="37" t="n">
        <x:v>46072</x:v>
      </x:c>
      <x:c r="J5758" s="37" t="n">
        <x:v>46072</x:v>
      </x:c>
      <x:c r="K5758" s="19" t="str">
        <x:v>Green RV - Forest Glen</x:v>
      </x:c>
      <x:c r="L5758" s="19" t="str">
        <x:v>Z006</x:v>
      </x:c>
      <x:c r="M5758" s="19" t="str">
        <x:v>In Field Warranty Claims</x:v>
      </x:c>
      <x:c r="N5758" s="37" t="n">
        <x:v>45907</x:v>
      </x:c>
      <x:c r="O5758" s="37"/>
      <x:c r="P5758" s="34" t="n">
        <x:v>0</x:v>
      </x:c>
      <x:c r="Q5758" s="37" t="n">
        <x:v>46071.86271990741</x:v>
      </x:c>
    </x:row>
    <x:row r="5759">
      <x:c r="A5759" s="22" t="n">
        <x:v>24982</x:v>
      </x:c>
      <x:c r="B5759" s="28" t="n">
        <x:v>992.01</x:v>
      </x:c>
      <x:c r="C5759" s="28"/>
      <x:c r="D5759" s="31" t="str">
        <x:f>IF(OR(ISBLANK(B5759),ISBLANK(C5759),B5759=0),"",(C5759-B5759)/B5759)</x:f>
      </x:c>
      <x:c r="E5759" s="22" t="str">
        <x:f>IF(ISBLANK(C5759),"AmountIncludingTax缺失",IF(ABS(B5759-C5759)&lt;0.005,"一致","不一致"))</x:f>
        <x:v>AmountIncludingTax缺失</x:v>
      </x:c>
      <x:c r="F5759" s="19" t="str">
        <x:v>approved</x:v>
      </x:c>
      <x:c r="G5759" s="19" t="str">
        <x:v>Repairer Invoiced Processed</x:v>
      </x:c>
      <x:c r="H5759" s="19" t="str">
        <x:v>In Field</x:v>
      </x:c>
      <x:c r="I5759" s="37" t="n">
        <x:v>46153</x:v>
      </x:c>
      <x:c r="J5759" s="37" t="n">
        <x:v>46153</x:v>
      </x:c>
      <x:c r="K5759" s="19" t="str">
        <x:v>Regent RV - Perth</x:v>
      </x:c>
      <x:c r="L5759" s="19" t="str">
        <x:v>Z006</x:v>
      </x:c>
      <x:c r="M5759" s="19" t="str">
        <x:v>In Field Warranty Claims</x:v>
      </x:c>
      <x:c r="N5759" s="37" t="n">
        <x:v>45905</x:v>
      </x:c>
      <x:c r="O5759" s="37"/>
      <x:c r="P5759" s="34" t="n">
        <x:v>1091.21</x:v>
      </x:c>
      <x:c r="Q5759" s="37" t="n">
        <x:v>46152.94079861111</x:v>
      </x:c>
    </x:row>
    <x:row r="5760">
      <x:c r="A5760" s="22" t="n">
        <x:v>24973</x:v>
      </x:c>
      <x:c r="B5760" s="28" t="n">
        <x:v>318.18</x:v>
      </x:c>
      <x:c r="C5760" s="28"/>
      <x:c r="D5760" s="31" t="str">
        <x:f>IF(OR(ISBLANK(B5760),ISBLANK(C5760),B5760=0),"",(C5760-B5760)/B5760)</x:f>
      </x:c>
      <x:c r="E5760" s="22" t="str">
        <x:f>IF(ISBLANK(C5760),"AmountIncludingTax缺失",IF(ABS(B5760-C5760)&lt;0.005,"一致","不一致"))</x:f>
        <x:v>AmountIncludingTax缺失</x:v>
      </x:c>
      <x:c r="F5760" s="19" t="str">
        <x:v>approved</x:v>
      </x:c>
      <x:c r="G5760" s="19" t="str">
        <x:v>Repairer Invoiced Processed</x:v>
      </x:c>
      <x:c r="H5760" s="19" t="str">
        <x:v>In Field</x:v>
      </x:c>
      <x:c r="I5760" s="37" t="n">
        <x:v>46051</x:v>
      </x:c>
      <x:c r="J5760" s="37" t="n">
        <x:v>46051</x:v>
      </x:c>
      <x:c r="K5760" s="19" t="str">
        <x:v>Green RV - Forest Glen</x:v>
      </x:c>
      <x:c r="L5760" s="19" t="str">
        <x:v>Z006</x:v>
      </x:c>
      <x:c r="M5760" s="19" t="str">
        <x:v>In Field Warranty Claims</x:v>
      </x:c>
      <x:c r="N5760" s="37" t="n">
        <x:v>45904</x:v>
      </x:c>
      <x:c r="O5760" s="37"/>
      <x:c r="P5760" s="34" t="n">
        <x:v>0</x:v>
      </x:c>
      <x:c r="Q5760" s="37" t="n">
        <x:v>46050.912673611114</x:v>
      </x:c>
    </x:row>
    <x:row r="5761">
      <x:c r="A5761" s="22" t="n">
        <x:v>24900</x:v>
      </x:c>
      <x:c r="B5761" s="28" t="n">
        <x:v>607.5</x:v>
      </x:c>
      <x:c r="C5761" s="28"/>
      <x:c r="D5761" s="31" t="str">
        <x:f>IF(OR(ISBLANK(B5761),ISBLANK(C5761),B5761=0),"",(C5761-B5761)/B5761)</x:f>
      </x:c>
      <x:c r="E5761" s="22" t="str">
        <x:f>IF(ISBLANK(C5761),"AmountIncludingTax缺失",IF(ABS(B5761-C5761)&lt;0.005,"一致","不一致"))</x:f>
        <x:v>AmountIncludingTax缺失</x:v>
      </x:c>
      <x:c r="F5761" s="19" t="str">
        <x:v>approved</x:v>
      </x:c>
      <x:c r="G5761" s="19" t="str">
        <x:v>Repair in Progress</x:v>
      </x:c>
      <x:c r="H5761" s="19" t="str">
        <x:v>In Field</x:v>
      </x:c>
      <x:c r="I5761" s="37" t="n">
        <x:v>46106</x:v>
      </x:c>
      <x:c r="J5761" s="37" t="n">
        <x:v>46106</x:v>
      </x:c>
      <x:c r="K5761" s="19" t="str">
        <x:v>Regent RV - Traralgon</x:v>
      </x:c>
      <x:c r="L5761" s="19" t="str">
        <x:v>Z006</x:v>
      </x:c>
      <x:c r="M5761" s="19" t="str">
        <x:v>In Field Warranty Claims</x:v>
      </x:c>
      <x:c r="N5761" s="37" t="n">
        <x:v>45903</x:v>
      </x:c>
      <x:c r="O5761" s="37"/>
      <x:c r="P5761" s="34" t="n">
        <x:v>0</x:v>
      </x:c>
      <x:c r="Q5761" s="37" t="n">
        <x:v>46106.12611111111</x:v>
      </x:c>
    </x:row>
    <x:row r="5762">
      <x:c r="A5762" s="22" t="n">
        <x:v>24891</x:v>
      </x:c>
      <x:c r="B5762" s="28" t="n">
        <x:v>293.91</x:v>
      </x:c>
      <x:c r="C5762" s="28"/>
      <x:c r="D5762" s="31" t="str">
        <x:f>IF(OR(ISBLANK(B5762),ISBLANK(C5762),B5762=0),"",(C5762-B5762)/B5762)</x:f>
      </x:c>
      <x:c r="E5762" s="22" t="str">
        <x:f>IF(ISBLANK(C5762),"AmountIncludingTax缺失",IF(ABS(B5762-C5762)&lt;0.005,"一致","不一致"))</x:f>
        <x:v>AmountIncludingTax缺失</x:v>
      </x:c>
      <x:c r="F5762" s="19" t="str">
        <x:v>approved</x:v>
      </x:c>
      <x:c r="G5762" s="19" t="str">
        <x:v>Repair in Progress</x:v>
      </x:c>
      <x:c r="H5762" s="19" t="str">
        <x:v>Pre Delivery</x:v>
      </x:c>
      <x:c r="I5762" s="37" t="n">
        <x:v>46037</x:v>
      </x:c>
      <x:c r="J5762" s="37" t="n">
        <x:v>46037</x:v>
      </x:c>
      <x:c r="K5762" s="19" t="str">
        <x:v>Great Ocean Road RV &amp; Caravans - Warrnambool</x:v>
      </x:c>
      <x:c r="L5762" s="19" t="str">
        <x:v>Z005</x:v>
      </x:c>
      <x:c r="M5762" s="19" t="str">
        <x:v>Pre Delivery Warranty Claims</x:v>
      </x:c>
      <x:c r="N5762" s="37" t="n">
        <x:v>45903</x:v>
      </x:c>
      <x:c r="O5762" s="37"/>
      <x:c r="P5762" s="34" t="n">
        <x:v>0</x:v>
      </x:c>
      <x:c r="Q5762" s="37" t="n">
        <x:v>46037.05978009259</x:v>
      </x:c>
    </x:row>
    <x:row r="5763">
      <x:c r="A5763" s="22" t="n">
        <x:v>24876</x:v>
      </x:c>
      <x:c r="B5763" s="28" t="n">
        <x:v>135</x:v>
      </x:c>
      <x:c r="C5763" s="28"/>
      <x:c r="D5763" s="31" t="str">
        <x:f>IF(OR(ISBLANK(B5763),ISBLANK(C5763),B5763=0),"",(C5763-B5763)/B5763)</x:f>
      </x:c>
      <x:c r="E5763" s="22" t="str">
        <x:f>IF(ISBLANK(C5763),"AmountIncludingTax缺失",IF(ABS(B5763-C5763)&lt;0.005,"一致","不一致"))</x:f>
        <x:v>AmountIncludingTax缺失</x:v>
      </x:c>
      <x:c r="F5763" s="19" t="str">
        <x:v>approved</x:v>
      </x:c>
      <x:c r="G5763" s="19" t="str">
        <x:v>Repair in Progress</x:v>
      </x:c>
      <x:c r="H5763" s="19" t="str">
        <x:v>In Field</x:v>
      </x:c>
      <x:c r="I5763" s="37" t="n">
        <x:v>46133</x:v>
      </x:c>
      <x:c r="J5763" s="37" t="n">
        <x:v>46133</x:v>
      </x:c>
      <x:c r="K5763" s="19" t="str">
        <x:v>Regent RV - Perth</x:v>
      </x:c>
      <x:c r="L5763" s="19" t="str">
        <x:v>Z006</x:v>
      </x:c>
      <x:c r="M5763" s="19" t="str">
        <x:v>In Field Warranty Claims</x:v>
      </x:c>
      <x:c r="N5763" s="37" t="n">
        <x:v>45902</x:v>
      </x:c>
      <x:c r="O5763" s="37"/>
      <x:c r="P5763" s="34" t="n">
        <x:v>0</x:v>
      </x:c>
      <x:c r="Q5763" s="37" t="n">
        <x:v>46133.20909722222</x:v>
      </x:c>
    </x:row>
    <x:row r="5764">
      <x:c r="A5764" s="22" t="n">
        <x:v>24866</x:v>
      </x:c>
      <x:c r="B5764" s="28" t="n">
        <x:v>709.09</x:v>
      </x:c>
      <x:c r="C5764" s="28"/>
      <x:c r="D5764" s="31" t="str">
        <x:f>IF(OR(ISBLANK(B5764),ISBLANK(C5764),B5764=0),"",(C5764-B5764)/B5764)</x:f>
      </x:c>
      <x:c r="E5764" s="22" t="str">
        <x:f>IF(ISBLANK(C5764),"AmountIncludingTax缺失",IF(ABS(B5764-C5764)&lt;0.005,"一致","不一致"))</x:f>
        <x:v>AmountIncludingTax缺失</x:v>
      </x:c>
      <x:c r="F5764" s="19" t="str">
        <x:v>approved</x:v>
      </x:c>
      <x:c r="G5764" s="19" t="str">
        <x:v>Repair in Progress</x:v>
      </x:c>
      <x:c r="H5764" s="19" t="str">
        <x:v>Pre Delivery</x:v>
      </x:c>
      <x:c r="I5764" s="37" t="n">
        <x:v>46087</x:v>
      </x:c>
      <x:c r="J5764" s="37" t="n">
        <x:v>46087</x:v>
      </x:c>
      <x:c r="K5764" s="19" t="str">
        <x:v>QCCC - Gympie</x:v>
      </x:c>
      <x:c r="L5764" s="19" t="str">
        <x:v>Z005</x:v>
      </x:c>
      <x:c r="M5764" s="19" t="str">
        <x:v>Pre Delivery Warranty Claims</x:v>
      </x:c>
      <x:c r="N5764" s="37" t="n">
        <x:v>45902</x:v>
      </x:c>
      <x:c r="O5764" s="37"/>
      <x:c r="P5764" s="34" t="n">
        <x:v>0</x:v>
      </x:c>
      <x:c r="Q5764" s="37" t="n">
        <x:v>46087.19719907407</x:v>
      </x:c>
    </x:row>
    <x:row r="5765">
      <x:c r="A5765" s="22" t="n">
        <x:v>24843</x:v>
      </x:c>
      <x:c r="B5765" s="28" t="n">
        <x:v>550</x:v>
      </x:c>
      <x:c r="C5765" s="28" t="n">
        <x:v>605</x:v>
      </x:c>
      <x:c r="D5765" s="31" t="n">
        <x:f>IF(OR(ISBLANK(B5765),ISBLANK(C5765),B5765=0),"",(C5765-B5765)/B5765)</x:f>
        <x:v>0.1</x:v>
      </x:c>
      <x:c r="E5765" s="22" t="str">
        <x:f>IF(ISBLANK(C5765),"AmountIncludingTax缺失",IF(ABS(B5765-C5765)&lt;0.005,"一致","不一致"))</x:f>
        <x:v>不一致</x:v>
      </x:c>
      <x:c r="F5765" s="19" t="str">
        <x:v>approved</x:v>
      </x:c>
      <x:c r="G5765" s="19" t="str">
        <x:v>Repairer Invoiced Processed</x:v>
      </x:c>
      <x:c r="H5765" s="19" t="str">
        <x:v>In Field</x:v>
      </x:c>
      <x:c r="I5765" s="37" t="n">
        <x:v>46085</x:v>
      </x:c>
      <x:c r="J5765" s="37" t="n">
        <x:v>46085</x:v>
      </x:c>
      <x:c r="K5765" s="19" t="str">
        <x:v>Great Ocean Road RV &amp; Caravans - Warrnambool</x:v>
      </x:c>
      <x:c r="L5765" s="19" t="str">
        <x:v>Z006</x:v>
      </x:c>
      <x:c r="M5765" s="19" t="str">
        <x:v>In Field Warranty Claims</x:v>
      </x:c>
      <x:c r="N5765" s="37" t="n">
        <x:v>45901</x:v>
      </x:c>
      <x:c r="O5765" s="37"/>
      <x:c r="P5765" s="34" t="n">
        <x:v>605</x:v>
      </x:c>
      <x:c r="Q5765" s="37" t="n">
        <x:v>46084.926469907405</x:v>
      </x:c>
    </x:row>
    <x:row r="5766">
      <x:c r="A5766" s="22" t="n">
        <x:v>24834</x:v>
      </x:c>
      <x:c r="B5766" s="28" t="n">
        <x:v>222.5</x:v>
      </x:c>
      <x:c r="C5766" s="28"/>
      <x:c r="D5766" s="31" t="str">
        <x:f>IF(OR(ISBLANK(B5766),ISBLANK(C5766),B5766=0),"",(C5766-B5766)/B5766)</x:f>
      </x:c>
      <x:c r="E5766" s="22" t="str">
        <x:f>IF(ISBLANK(C5766),"AmountIncludingTax缺失",IF(ABS(B5766-C5766)&lt;0.005,"一致","不一致"))</x:f>
        <x:v>AmountIncludingTax缺失</x:v>
      </x:c>
      <x:c r="F5766" s="19" t="str">
        <x:v>approved</x:v>
      </x:c>
      <x:c r="G5766" s="19" t="str">
        <x:v>Repair in Progress</x:v>
      </x:c>
      <x:c r="H5766" s="19" t="str">
        <x:v>In Field</x:v>
      </x:c>
      <x:c r="I5766" s="37" t="n">
        <x:v>46129</x:v>
      </x:c>
      <x:c r="J5766" s="37" t="n">
        <x:v>46129</x:v>
      </x:c>
      <x:c r="K5766" s="19" t="str">
        <x:v>Leisure Lion Pty Ltd - Toowoomba</x:v>
      </x:c>
      <x:c r="L5766" s="19" t="str">
        <x:v>Z006</x:v>
      </x:c>
      <x:c r="M5766" s="19" t="str">
        <x:v>In Field Warranty Claims</x:v>
      </x:c>
      <x:c r="N5766" s="37" t="n">
        <x:v>45901</x:v>
      </x:c>
      <x:c r="O5766" s="37"/>
      <x:c r="P5766" s="34" t="n">
        <x:v>0</x:v>
      </x:c>
      <x:c r="Q5766" s="37" t="n">
        <x:v>46128.85325231482</x:v>
      </x:c>
    </x:row>
    <x:row r="5767">
      <x:c r="A5767" s="22" t="n">
        <x:v>24787</x:v>
      </x:c>
      <x:c r="B5767" s="28" t="n">
        <x:v>665</x:v>
      </x:c>
      <x:c r="C5767" s="28" t="n">
        <x:v>731.5</x:v>
      </x:c>
      <x:c r="D5767" s="31" t="n">
        <x:f>IF(OR(ISBLANK(B5767),ISBLANK(C5767),B5767=0),"",(C5767-B5767)/B5767)</x:f>
        <x:v>0.1</x:v>
      </x:c>
      <x:c r="E5767" s="22" t="str">
        <x:f>IF(ISBLANK(C5767),"AmountIncludingTax缺失",IF(ABS(B5767-C5767)&lt;0.005,"一致","不一致"))</x:f>
        <x:v>不一致</x:v>
      </x:c>
      <x:c r="F5767" s="19" t="str">
        <x:v>approved</x:v>
      </x:c>
      <x:c r="G5767" s="19" t="str">
        <x:v>Repairer Invoiced Processed</x:v>
      </x:c>
      <x:c r="H5767" s="19" t="str">
        <x:v>In Field</x:v>
      </x:c>
      <x:c r="I5767" s="37" t="n">
        <x:v>46119</x:v>
      </x:c>
      <x:c r="J5767" s="37" t="n">
        <x:v>46119</x:v>
      </x:c>
      <x:c r="K5767" s="19" t="str">
        <x:v>Regent RV Pty Ltd</x:v>
      </x:c>
      <x:c r="L5767" s="19" t="str">
        <x:v>Z006</x:v>
      </x:c>
      <x:c r="M5767" s="19" t="str">
        <x:v>In Field Warranty Claims</x:v>
      </x:c>
      <x:c r="N5767" s="37" t="n">
        <x:v>45900</x:v>
      </x:c>
      <x:c r="O5767" s="37"/>
      <x:c r="P5767" s="34" t="n">
        <x:v>731.5</x:v>
      </x:c>
      <x:c r="Q5767" s="37" t="n">
        <x:v>46119.05788194444</x:v>
      </x:c>
    </x:row>
    <x:row r="5768">
      <x:c r="A5768" s="22" t="n">
        <x:v>24783</x:v>
      </x:c>
      <x:c r="B5768" s="28" t="n">
        <x:v>270</x:v>
      </x:c>
      <x:c r="C5768" s="28"/>
      <x:c r="D5768" s="31" t="str">
        <x:f>IF(OR(ISBLANK(B5768),ISBLANK(C5768),B5768=0),"",(C5768-B5768)/B5768)</x:f>
      </x:c>
      <x:c r="E5768" s="22" t="str">
        <x:f>IF(ISBLANK(C5768),"AmountIncludingTax缺失",IF(ABS(B5768-C5768)&lt;0.005,"一致","不一致"))</x:f>
        <x:v>AmountIncludingTax缺失</x:v>
      </x:c>
      <x:c r="F5768" s="19" t="str">
        <x:v>approved</x:v>
      </x:c>
      <x:c r="G5768" s="19" t="str">
        <x:v>Partially Picked</x:v>
      </x:c>
      <x:c r="H5768" s="19" t="str">
        <x:v>In Field</x:v>
      </x:c>
      <x:c r="I5768" s="37" t="n">
        <x:v>46140</x:v>
      </x:c>
      <x:c r="J5768" s="37" t="n">
        <x:v>46140</x:v>
      </x:c>
      <x:c r="K5768" s="19" t="str">
        <x:v>Regent RV - Perth</x:v>
      </x:c>
      <x:c r="L5768" s="19" t="str">
        <x:v>Z006</x:v>
      </x:c>
      <x:c r="M5768" s="19" t="str">
        <x:v>In Field Warranty Claims</x:v>
      </x:c>
      <x:c r="N5768" s="37" t="n">
        <x:v>45900</x:v>
      </x:c>
      <x:c r="O5768" s="37"/>
      <x:c r="P5768" s="34" t="n">
        <x:v>0</x:v>
      </x:c>
      <x:c r="Q5768" s="37" t="n">
        <x:v>46140.13618055556</x:v>
      </x:c>
    </x:row>
    <x:row r="5769">
      <x:c r="A5769" s="22" t="n">
        <x:v>24782</x:v>
      </x:c>
      <x:c r="B5769" s="28" t="n">
        <x:v>810</x:v>
      </x:c>
      <x:c r="C5769" s="28"/>
      <x:c r="D5769" s="31" t="str">
        <x:f>IF(OR(ISBLANK(B5769),ISBLANK(C5769),B5769=0),"",(C5769-B5769)/B5769)</x:f>
      </x:c>
      <x:c r="E5769" s="22" t="str">
        <x:f>IF(ISBLANK(C5769),"AmountIncludingTax缺失",IF(ABS(B5769-C5769)&lt;0.005,"一致","不一致"))</x:f>
        <x:v>AmountIncludingTax缺失</x:v>
      </x:c>
      <x:c r="F5769" s="19" t="str">
        <x:v>approved</x:v>
      </x:c>
      <x:c r="G5769" s="19" t="str">
        <x:v>Repair in Progress</x:v>
      </x:c>
      <x:c r="H5769" s="19" t="str">
        <x:v>In Field</x:v>
      </x:c>
      <x:c r="I5769" s="37" t="n">
        <x:v>46113</x:v>
      </x:c>
      <x:c r="J5769" s="37" t="n">
        <x:v>46113</x:v>
      </x:c>
      <x:c r="K5769" s="19" t="str">
        <x:v>ABCO Caravans - Boambee Valley</x:v>
      </x:c>
      <x:c r="L5769" s="19" t="str">
        <x:v>Z006</x:v>
      </x:c>
      <x:c r="M5769" s="19" t="str">
        <x:v>In Field Warranty Claims</x:v>
      </x:c>
      <x:c r="N5769" s="37" t="n">
        <x:v>45900</x:v>
      </x:c>
      <x:c r="O5769" s="37"/>
      <x:c r="P5769" s="34" t="n">
        <x:v>0</x:v>
      </x:c>
      <x:c r="Q5769" s="37" t="n">
        <x:v>46113.06512731482</x:v>
      </x:c>
    </x:row>
    <x:row r="5770">
      <x:c r="A5770" s="22" t="n">
        <x:v>24717</x:v>
      </x:c>
      <x:c r="B5770" s="28" t="n">
        <x:v>245.45</x:v>
      </x:c>
      <x:c r="C5770" s="28" t="n">
        <x:v>270</x:v>
      </x:c>
      <x:c r="D5770" s="31" t="n">
        <x:f>IF(OR(ISBLANK(B5770),ISBLANK(C5770),B5770=0),"",(C5770-B5770)/B5770)</x:f>
        <x:v>0.10002037074760649</x:v>
      </x:c>
      <x:c r="E5770" s="22" t="str">
        <x:f>IF(ISBLANK(C5770),"AmountIncludingTax缺失",IF(ABS(B5770-C5770)&lt;0.005,"一致","不一致"))</x:f>
        <x:v>不一致</x:v>
      </x:c>
      <x:c r="F5770" s="19" t="str">
        <x:v>approved</x:v>
      </x:c>
      <x:c r="G5770" s="19" t="str">
        <x:v>Repairer Invoiced Processed</x:v>
      </x:c>
      <x:c r="H5770" s="19" t="str">
        <x:v>In Field</x:v>
      </x:c>
      <x:c r="I5770" s="37" t="n">
        <x:v>46119</x:v>
      </x:c>
      <x:c r="J5770" s="37" t="n">
        <x:v>46119</x:v>
      </x:c>
      <x:c r="K5770" s="19" t="str">
        <x:v>Regent RV - Frankston</x:v>
      </x:c>
      <x:c r="L5770" s="19" t="str">
        <x:v>Z006</x:v>
      </x:c>
      <x:c r="M5770" s="19" t="str">
        <x:v>In Field Warranty Claims</x:v>
      </x:c>
      <x:c r="N5770" s="37" t="n">
        <x:v>45898</x:v>
      </x:c>
      <x:c r="O5770" s="37"/>
      <x:c r="P5770" s="34" t="n">
        <x:v>270</x:v>
      </x:c>
      <x:c r="Q5770" s="37" t="n">
        <x:v>46119.051932870374</x:v>
      </x:c>
    </x:row>
    <x:row r="5771">
      <x:c r="A5771" s="22" t="n">
        <x:v>24716</x:v>
      </x:c>
      <x:c r="B5771" s="28" t="n">
        <x:v>302.28</x:v>
      </x:c>
      <x:c r="C5771" s="28" t="n">
        <x:v>332.51</x:v>
      </x:c>
      <x:c r="D5771" s="31" t="n">
        <x:f>IF(OR(ISBLANK(B5771),ISBLANK(C5771),B5771=0),"",(C5771-B5771)/B5771)</x:f>
        <x:v>0.10000661638216231</x:v>
      </x:c>
      <x:c r="E5771" s="22" t="str">
        <x:f>IF(ISBLANK(C5771),"AmountIncludingTax缺失",IF(ABS(B5771-C5771)&lt;0.005,"一致","不一致"))</x:f>
        <x:v>不一致</x:v>
      </x:c>
      <x:c r="F5771" s="19" t="str">
        <x:v>approved</x:v>
      </x:c>
      <x:c r="G5771" s="19" t="str">
        <x:v>Repairer Invoiced Processed</x:v>
      </x:c>
      <x:c r="H5771" s="19" t="str">
        <x:v>In Field</x:v>
      </x:c>
      <x:c r="I5771" s="37" t="n">
        <x:v>46106</x:v>
      </x:c>
      <x:c r="J5771" s="37" t="n">
        <x:v>46106</x:v>
      </x:c>
      <x:c r="K5771" s="19" t="str">
        <x:v>Regent RV - Traralgon</x:v>
      </x:c>
      <x:c r="L5771" s="19" t="str">
        <x:v>Z006</x:v>
      </x:c>
      <x:c r="M5771" s="19" t="str">
        <x:v>In Field Warranty Claims</x:v>
      </x:c>
      <x:c r="N5771" s="37" t="n">
        <x:v>45898</x:v>
      </x:c>
      <x:c r="O5771" s="37"/>
      <x:c r="P5771" s="34" t="n">
        <x:v>332.51</x:v>
      </x:c>
      <x:c r="Q5771" s="37" t="n">
        <x:v>46105.911041666666</x:v>
      </x:c>
    </x:row>
    <x:row r="5772">
      <x:c r="A5772" s="22" t="n">
        <x:v>24715</x:v>
      </x:c>
      <x:c r="B5772" s="28" t="n">
        <x:v>292.5</x:v>
      </x:c>
      <x:c r="C5772" s="28"/>
      <x:c r="D5772" s="31" t="str">
        <x:f>IF(OR(ISBLANK(B5772),ISBLANK(C5772),B5772=0),"",(C5772-B5772)/B5772)</x:f>
      </x:c>
      <x:c r="E5772" s="22" t="str">
        <x:f>IF(ISBLANK(C5772),"AmountIncludingTax缺失",IF(ABS(B5772-C5772)&lt;0.005,"一致","不一致"))</x:f>
        <x:v>AmountIncludingTax缺失</x:v>
      </x:c>
      <x:c r="F5772" s="19" t="str">
        <x:v>approved</x:v>
      </x:c>
      <x:c r="G5772" s="19" t="str">
        <x:v>Repair in Progress</x:v>
      </x:c>
      <x:c r="H5772" s="19" t="str">
        <x:v>In Field</x:v>
      </x:c>
      <x:c r="I5772" s="37" t="n">
        <x:v>46111</x:v>
      </x:c>
      <x:c r="J5772" s="37" t="n">
        <x:v>46111</x:v>
      </x:c>
      <x:c r="K5772" s="19" t="str">
        <x:v>Snowy River Launceston</x:v>
      </x:c>
      <x:c r="L5772" s="19" t="str">
        <x:v>Z006</x:v>
      </x:c>
      <x:c r="M5772" s="19" t="str">
        <x:v>In Field Warranty Claims</x:v>
      </x:c>
      <x:c r="N5772" s="37" t="n">
        <x:v>45898</x:v>
      </x:c>
      <x:c r="O5772" s="37" t="n">
        <x:v>46042</x:v>
      </x:c>
      <x:c r="P5772" s="34" t="n">
        <x:v>0</x:v>
      </x:c>
      <x:c r="Q5772" s="37" t="n">
        <x:v>46111.019224537034</x:v>
      </x:c>
    </x:row>
    <x:row r="5773">
      <x:c r="A5773" s="22" t="n">
        <x:v>24659</x:v>
      </x:c>
      <x:c r="B5773" s="28" t="n">
        <x:v>230</x:v>
      </x:c>
      <x:c r="C5773" s="28" t="n">
        <x:v>253</x:v>
      </x:c>
      <x:c r="D5773" s="31" t="n">
        <x:f>IF(OR(ISBLANK(B5773),ISBLANK(C5773),B5773=0),"",(C5773-B5773)/B5773)</x:f>
        <x:v>0.1</x:v>
      </x:c>
      <x:c r="E5773" s="22" t="str">
        <x:f>IF(ISBLANK(C5773),"AmountIncludingTax缺失",IF(ABS(B5773-C5773)&lt;0.005,"一致","不一致"))</x:f>
        <x:v>不一致</x:v>
      </x:c>
      <x:c r="F5773" s="19" t="str">
        <x:v>approved</x:v>
      </x:c>
      <x:c r="G5773" s="19" t="str">
        <x:v>Repairer Invoiced Processed</x:v>
      </x:c>
      <x:c r="H5773" s="19" t="str">
        <x:v>In Field</x:v>
      </x:c>
      <x:c r="I5773" s="37" t="n">
        <x:v>46036</x:v>
      </x:c>
      <x:c r="J5773" s="37" t="n">
        <x:v>46036</x:v>
      </x:c>
      <x:c r="K5773" s="19" t="str">
        <x:v>Regent RV Pty Ltd</x:v>
      </x:c>
      <x:c r="L5773" s="19" t="str">
        <x:v>Z006</x:v>
      </x:c>
      <x:c r="M5773" s="19" t="str">
        <x:v>In Field Warranty Claims</x:v>
      </x:c>
      <x:c r="N5773" s="37" t="n">
        <x:v>45896</x:v>
      </x:c>
      <x:c r="O5773" s="37"/>
      <x:c r="P5773" s="34" t="n">
        <x:v>253</x:v>
      </x:c>
      <x:c r="Q5773" s="37" t="n">
        <x:v>46036.220046296294</x:v>
      </x:c>
    </x:row>
    <x:row r="5774">
      <x:c r="A5774" s="22" t="n">
        <x:v>24614</x:v>
      </x:c>
      <x:c r="B5774" s="28" t="n">
        <x:v>668.81</x:v>
      </x:c>
      <x:c r="C5774" s="28"/>
      <x:c r="D5774" s="31" t="str">
        <x:f>IF(OR(ISBLANK(B5774),ISBLANK(C5774),B5774=0),"",(C5774-B5774)/B5774)</x:f>
      </x:c>
      <x:c r="E5774" s="22" t="str">
        <x:f>IF(ISBLANK(C5774),"AmountIncludingTax缺失",IF(ABS(B5774-C5774)&lt;0.005,"一致","不一致"))</x:f>
        <x:v>AmountIncludingTax缺失</x:v>
      </x:c>
      <x:c r="F5774" s="19" t="str">
        <x:v>approved</x:v>
      </x:c>
      <x:c r="G5774" s="19" t="str">
        <x:v>Repair in Progress</x:v>
      </x:c>
      <x:c r="H5774" s="19" t="str">
        <x:v>In Field</x:v>
      </x:c>
      <x:c r="I5774" s="37" t="n">
        <x:v>46199</x:v>
      </x:c>
      <x:c r="J5774" s="37" t="n">
        <x:v>46199</x:v>
      </x:c>
      <x:c r="K5774" s="19" t="str">
        <x:v>Regent RV Pty Ltd</x:v>
      </x:c>
      <x:c r="L5774" s="19" t="str">
        <x:v>Z006</x:v>
      </x:c>
      <x:c r="M5774" s="19" t="str">
        <x:v>In Field Warranty Claims</x:v>
      </x:c>
      <x:c r="N5774" s="37" t="n">
        <x:v>45896</x:v>
      </x:c>
      <x:c r="O5774" s="37"/>
      <x:c r="P5774" s="34" t="n">
        <x:v>0</x:v>
      </x:c>
      <x:c r="Q5774" s="37" t="n">
        <x:v>46199.15793981482</x:v>
      </x:c>
    </x:row>
    <x:row r="5775">
      <x:c r="A5775" s="22" t="n">
        <x:v>24599</x:v>
      </x:c>
      <x:c r="B5775" s="28" t="n">
        <x:v>740.88</x:v>
      </x:c>
      <x:c r="C5775" s="28" t="n">
        <x:v>558.45</x:v>
      </x:c>
      <x:c r="D5775" s="31" t="n">
        <x:f>IF(OR(ISBLANK(B5775),ISBLANK(C5775),B5775=0),"",(C5775-B5775)/B5775)</x:f>
        <x:v>-0.24623420796890177</x:v>
      </x:c>
      <x:c r="E5775" s="22" t="str">
        <x:f>IF(ISBLANK(C5775),"AmountIncludingTax缺失",IF(ABS(B5775-C5775)&lt;0.005,"一致","不一致"))</x:f>
        <x:v>不一致</x:v>
      </x:c>
      <x:c r="F5775" s="19" t="str">
        <x:v>approved</x:v>
      </x:c>
      <x:c r="G5775" s="19" t="str">
        <x:v>Repairer Invoiced Processed</x:v>
      </x:c>
      <x:c r="H5775" s="19" t="str">
        <x:v>In Field</x:v>
      </x:c>
      <x:c r="I5775" s="37" t="n">
        <x:v>46091</x:v>
      </x:c>
      <x:c r="J5775" s="37" t="n">
        <x:v>46091</x:v>
      </x:c>
      <x:c r="K5775" s="19" t="str">
        <x:v>Green RV - Forest Glen</x:v>
      </x:c>
      <x:c r="L5775" s="19" t="str">
        <x:v>Z006</x:v>
      </x:c>
      <x:c r="M5775" s="19" t="str">
        <x:v>In Field Warranty Claims</x:v>
      </x:c>
      <x:c r="N5775" s="37" t="n">
        <x:v>45895</x:v>
      </x:c>
      <x:c r="O5775" s="37" t="n">
        <x:v>46076</x:v>
      </x:c>
      <x:c r="P5775" s="34" t="n">
        <x:v>558.45</x:v>
      </x:c>
      <x:c r="Q5775" s="37" t="n">
        <x:v>46091.02380787037</x:v>
      </x:c>
    </x:row>
    <x:row r="5776">
      <x:c r="A5776" s="22" t="n">
        <x:v>24582</x:v>
      </x:c>
      <x:c r="B5776" s="28" t="n">
        <x:v>949.04</x:v>
      </x:c>
      <x:c r="C5776" s="28"/>
      <x:c r="D5776" s="31" t="str">
        <x:f>IF(OR(ISBLANK(B5776),ISBLANK(C5776),B5776=0),"",(C5776-B5776)/B5776)</x:f>
      </x:c>
      <x:c r="E5776" s="22" t="str">
        <x:f>IF(ISBLANK(C5776),"AmountIncludingTax缺失",IF(ABS(B5776-C5776)&lt;0.005,"一致","不一致"))</x:f>
        <x:v>AmountIncludingTax缺失</x:v>
      </x:c>
      <x:c r="F5776" s="19" t="str">
        <x:v>approved</x:v>
      </x:c>
      <x:c r="G5776" s="19" t="str">
        <x:v>Repair in Progress</x:v>
      </x:c>
      <x:c r="H5776" s="19" t="str">
        <x:v>In Field</x:v>
      </x:c>
      <x:c r="I5776" s="37" t="n">
        <x:v>46065</x:v>
      </x:c>
      <x:c r="J5776" s="37" t="n">
        <x:v>46065</x:v>
      </x:c>
      <x:c r="K5776" s="19" t="str">
        <x:v>Green RV - Forest Glen</x:v>
      </x:c>
      <x:c r="L5776" s="19" t="str">
        <x:v>Z006</x:v>
      </x:c>
      <x:c r="M5776" s="19" t="str">
        <x:v>In Field Warranty Claims</x:v>
      </x:c>
      <x:c r="N5776" s="37" t="n">
        <x:v>45895</x:v>
      </x:c>
      <x:c r="O5776" s="37"/>
      <x:c r="P5776" s="34" t="n">
        <x:v>0</x:v>
      </x:c>
      <x:c r="Q5776" s="37" t="n">
        <x:v>46065.103530092594</x:v>
      </x:c>
    </x:row>
    <x:row r="5777">
      <x:c r="A5777" s="22" t="n">
        <x:v>24518</x:v>
      </x:c>
      <x:c r="B5777" s="28" t="n">
        <x:v>3136.43</x:v>
      </x:c>
      <x:c r="C5777" s="28"/>
      <x:c r="D5777" s="31" t="str">
        <x:f>IF(OR(ISBLANK(B5777),ISBLANK(C5777),B5777=0),"",(C5777-B5777)/B5777)</x:f>
      </x:c>
      <x:c r="E5777" s="22" t="str">
        <x:f>IF(ISBLANK(C5777),"AmountIncludingTax缺失",IF(ABS(B5777-C5777)&lt;0.005,"一致","不一致"))</x:f>
        <x:v>AmountIncludingTax缺失</x:v>
      </x:c>
      <x:c r="F5777" s="19" t="str">
        <x:v>approved</x:v>
      </x:c>
      <x:c r="G5777" s="19" t="str">
        <x:v>Repair in Progress</x:v>
      </x:c>
      <x:c r="H5777" s="19" t="str">
        <x:v>In Field</x:v>
      </x:c>
      <x:c r="I5777" s="37" t="n">
        <x:v>46029</x:v>
      </x:c>
      <x:c r="J5777" s="37" t="n">
        <x:v>46029</x:v>
      </x:c>
      <x:c r="K5777" s="19" t="str">
        <x:v>Green RV - Forest Glen</x:v>
      </x:c>
      <x:c r="L5777" s="19" t="str">
        <x:v>Z006</x:v>
      </x:c>
      <x:c r="M5777" s="19" t="str">
        <x:v>In Field Warranty Claims</x:v>
      </x:c>
      <x:c r="N5777" s="37" t="n">
        <x:v>45894</x:v>
      </x:c>
      <x:c r="O5777" s="37"/>
      <x:c r="P5777" s="34" t="n">
        <x:v>0</x:v>
      </x:c>
      <x:c r="Q5777" s="37" t="n">
        <x:v>46028.93916666666</x:v>
      </x:c>
    </x:row>
    <x:row r="5778">
      <x:c r="A5778" s="22" t="n">
        <x:v>24491</x:v>
      </x:c>
      <x:c r="B5778" s="28" t="n">
        <x:v>130</x:v>
      </x:c>
      <x:c r="C5778" s="28"/>
      <x:c r="D5778" s="31" t="str">
        <x:f>IF(OR(ISBLANK(B5778),ISBLANK(C5778),B5778=0),"",(C5778-B5778)/B5778)</x:f>
      </x:c>
      <x:c r="E5778" s="22" t="str">
        <x:f>IF(ISBLANK(C5778),"AmountIncludingTax缺失",IF(ABS(B5778-C5778)&lt;0.005,"一致","不一致"))</x:f>
        <x:v>AmountIncludingTax缺失</x:v>
      </x:c>
      <x:c r="F5778" s="19" t="str">
        <x:v>approved</x:v>
      </x:c>
      <x:c r="G5778" s="19" t="str">
        <x:v>Repair in Progress</x:v>
      </x:c>
      <x:c r="H5778" s="19" t="str">
        <x:v>In Field</x:v>
      </x:c>
      <x:c r="I5778" s="37" t="n">
        <x:v>46077</x:v>
      </x:c>
      <x:c r="J5778" s="37" t="n">
        <x:v>46077</x:v>
      </x:c>
      <x:c r="K5778" s="19" t="str">
        <x:v>Newcastle RV Super Centre - Beresfield</x:v>
      </x:c>
      <x:c r="L5778" s="19" t="str">
        <x:v>Z006</x:v>
      </x:c>
      <x:c r="M5778" s="19" t="str">
        <x:v>In Field Warranty Claims</x:v>
      </x:c>
      <x:c r="N5778" s="37" t="n">
        <x:v>45893</x:v>
      </x:c>
      <x:c r="O5778" s="37"/>
      <x:c r="P5778" s="34" t="n">
        <x:v>0</x:v>
      </x:c>
      <x:c r="Q5778" s="37" t="n">
        <x:v>46076.88649305556</x:v>
      </x:c>
    </x:row>
    <x:row r="5779">
      <x:c r="A5779" s="22" t="n">
        <x:v>24468</x:v>
      </x:c>
      <x:c r="B5779" s="28" t="n">
        <x:v>1620</x:v>
      </x:c>
      <x:c r="C5779" s="28"/>
      <x:c r="D5779" s="31" t="str">
        <x:f>IF(OR(ISBLANK(B5779),ISBLANK(C5779),B5779=0),"",(C5779-B5779)/B5779)</x:f>
      </x:c>
      <x:c r="E5779" s="22" t="str">
        <x:f>IF(ISBLANK(C5779),"AmountIncludingTax缺失",IF(ABS(B5779-C5779)&lt;0.005,"一致","不一致"))</x:f>
        <x:v>AmountIncludingTax缺失</x:v>
      </x:c>
      <x:c r="F5779" s="19" t="str">
        <x:v>approved</x:v>
      </x:c>
      <x:c r="G5779" s="19" t="str">
        <x:v>Repairer Invoiced Processed</x:v>
      </x:c>
      <x:c r="H5779" s="19" t="str">
        <x:v>In Field</x:v>
      </x:c>
      <x:c r="I5779" s="37" t="n">
        <x:v>46081</x:v>
      </x:c>
      <x:c r="J5779" s="37" t="n">
        <x:v>46081</x:v>
      </x:c>
      <x:c r="K5779" s="19" t="str">
        <x:v>Green RV - Forest Glen</x:v>
      </x:c>
      <x:c r="L5779" s="19" t="str">
        <x:v>Z006</x:v>
      </x:c>
      <x:c r="M5779" s="19" t="str">
        <x:v>In Field Warranty Claims</x:v>
      </x:c>
      <x:c r="N5779" s="37" t="n">
        <x:v>45893</x:v>
      </x:c>
      <x:c r="O5779" s="37"/>
      <x:c r="P5779" s="34" t="n">
        <x:v>0</x:v>
      </x:c>
      <x:c r="Q5779" s="37" t="n">
        <x:v>46080.98672453704</x:v>
      </x:c>
    </x:row>
    <x:row r="5780">
      <x:c r="A5780" s="22" t="n">
        <x:v>24462</x:v>
      </x:c>
      <x:c r="B5780" s="28" t="n">
        <x:v>750</x:v>
      </x:c>
      <x:c r="C5780" s="28" t="n">
        <x:v>825</x:v>
      </x:c>
      <x:c r="D5780" s="31" t="n">
        <x:f>IF(OR(ISBLANK(B5780),ISBLANK(C5780),B5780=0),"",(C5780-B5780)/B5780)</x:f>
        <x:v>0.1</x:v>
      </x:c>
      <x:c r="E5780" s="22" t="str">
        <x:f>IF(ISBLANK(C5780),"AmountIncludingTax缺失",IF(ABS(B5780-C5780)&lt;0.005,"一致","不一致"))</x:f>
        <x:v>不一致</x:v>
      </x:c>
      <x:c r="F5780" s="19" t="str">
        <x:v>approved</x:v>
      </x:c>
      <x:c r="G5780" s="19" t="str">
        <x:v>Repair in Progress</x:v>
      </x:c>
      <x:c r="H5780" s="19" t="str">
        <x:v>In Field</x:v>
      </x:c>
      <x:c r="I5780" s="37" t="n">
        <x:v>46083</x:v>
      </x:c>
      <x:c r="J5780" s="37" t="n">
        <x:v>46083</x:v>
      </x:c>
      <x:c r="K5780" s="19" t="str">
        <x:v>Regent RV - Perth</x:v>
      </x:c>
      <x:c r="L5780" s="19" t="str">
        <x:v>Z006</x:v>
      </x:c>
      <x:c r="M5780" s="19" t="str">
        <x:v>In Field Warranty Claims</x:v>
      </x:c>
      <x:c r="N5780" s="37" t="n">
        <x:v>45893</x:v>
      </x:c>
      <x:c r="O5780" s="37" t="n">
        <x:v>46009</x:v>
      </x:c>
      <x:c r="P5780" s="34" t="n">
        <x:v>825</x:v>
      </x:c>
      <x:c r="Q5780" s="37" t="n">
        <x:v>46083.22221064815</x:v>
      </x:c>
    </x:row>
    <x:row r="5781">
      <x:c r="A5781" s="22" t="n">
        <x:v>24424</x:v>
      </x:c>
      <x:c r="B5781" s="28" t="n">
        <x:v>563</x:v>
      </x:c>
      <x:c r="C5781" s="28"/>
      <x:c r="D5781" s="31" t="str">
        <x:f>IF(OR(ISBLANK(B5781),ISBLANK(C5781),B5781=0),"",(C5781-B5781)/B5781)</x:f>
      </x:c>
      <x:c r="E5781" s="22" t="str">
        <x:f>IF(ISBLANK(C5781),"AmountIncludingTax缺失",IF(ABS(B5781-C5781)&lt;0.005,"一致","不一致"))</x:f>
        <x:v>AmountIncludingTax缺失</x:v>
      </x:c>
      <x:c r="F5781" s="19" t="str">
        <x:v>approved</x:v>
      </x:c>
      <x:c r="G5781" s="19" t="str">
        <x:v>Repair in Progress</x:v>
      </x:c>
      <x:c r="H5781" s="19" t="str">
        <x:v>In Field</x:v>
      </x:c>
      <x:c r="I5781" s="37" t="n">
        <x:v>46113</x:v>
      </x:c>
      <x:c r="J5781" s="37" t="n">
        <x:v>46113</x:v>
      </x:c>
      <x:c r="K5781" s="19" t="str">
        <x:v>Regent RV - Perth</x:v>
      </x:c>
      <x:c r="L5781" s="19" t="str">
        <x:v>Z006</x:v>
      </x:c>
      <x:c r="M5781" s="19" t="str">
        <x:v>In Field Warranty Claims</x:v>
      </x:c>
      <x:c r="N5781" s="37" t="n">
        <x:v>45891</x:v>
      </x:c>
      <x:c r="O5781" s="37"/>
      <x:c r="P5781" s="34" t="n">
        <x:v>0</x:v>
      </x:c>
      <x:c r="Q5781" s="37" t="n">
        <x:v>46112.87609953704</x:v>
      </x:c>
    </x:row>
    <x:row r="5782">
      <x:c r="A5782" s="22" t="n">
        <x:v>24418</x:v>
      </x:c>
      <x:c r="B5782" s="28" t="n">
        <x:v>1437.27</x:v>
      </x:c>
      <x:c r="C5782" s="28"/>
      <x:c r="D5782" s="31" t="str">
        <x:f>IF(OR(ISBLANK(B5782),ISBLANK(C5782),B5782=0),"",(C5782-B5782)/B5782)</x:f>
      </x:c>
      <x:c r="E5782" s="22" t="str">
        <x:f>IF(ISBLANK(C5782),"AmountIncludingTax缺失",IF(ABS(B5782-C5782)&lt;0.005,"一致","不一致"))</x:f>
        <x:v>AmountIncludingTax缺失</x:v>
      </x:c>
      <x:c r="F5782" s="19" t="str">
        <x:v>approved</x:v>
      </x:c>
      <x:c r="G5782" s="19" t="str">
        <x:v>Repairer Invoiced Processed</x:v>
      </x:c>
      <x:c r="H5782" s="19" t="str">
        <x:v>In Field</x:v>
      </x:c>
      <x:c r="I5782" s="37" t="n">
        <x:v>46134</x:v>
      </x:c>
      <x:c r="J5782" s="37" t="n">
        <x:v>46134</x:v>
      </x:c>
      <x:c r="K5782" s="19" t="str">
        <x:v>Dario Caravans -St.Marys</x:v>
      </x:c>
      <x:c r="L5782" s="19" t="str">
        <x:v>Z006</x:v>
      </x:c>
      <x:c r="M5782" s="19" t="str">
        <x:v>In Field Warranty Claims</x:v>
      </x:c>
      <x:c r="N5782" s="37" t="n">
        <x:v>45891</x:v>
      </x:c>
      <x:c r="O5782" s="37"/>
      <x:c r="P5782" s="34" t="n">
        <x:v>0</x:v>
      </x:c>
      <x:c r="Q5782" s="37" t="n">
        <x:v>46134.01938657407</x:v>
      </x:c>
    </x:row>
    <x:row r="5783">
      <x:c r="A5783" s="22" t="n">
        <x:v>24406</x:v>
      </x:c>
      <x:c r="B5783" s="28" t="n">
        <x:v>240</x:v>
      </x:c>
      <x:c r="C5783" s="28"/>
      <x:c r="D5783" s="31" t="str">
        <x:f>IF(OR(ISBLANK(B5783),ISBLANK(C5783),B5783=0),"",(C5783-B5783)/B5783)</x:f>
      </x:c>
      <x:c r="E5783" s="22" t="str">
        <x:f>IF(ISBLANK(C5783),"AmountIncludingTax缺失",IF(ABS(B5783-C5783)&lt;0.005,"一致","不一致"))</x:f>
        <x:v>AmountIncludingTax缺失</x:v>
      </x:c>
      <x:c r="F5783" s="19" t="str">
        <x:v>approved</x:v>
      </x:c>
      <x:c r="G5783" s="19" t="str">
        <x:v>Repair in Progress</x:v>
      </x:c>
      <x:c r="H5783" s="19" t="str">
        <x:v>In Field</x:v>
      </x:c>
      <x:c r="I5783" s="37" t="n">
        <x:v>46062</x:v>
      </x:c>
      <x:c r="J5783" s="37" t="n">
        <x:v>46062</x:v>
      </x:c>
      <x:c r="K5783" s="19" t="str">
        <x:v>Regent RV - Traralgon</x:v>
      </x:c>
      <x:c r="L5783" s="19" t="str">
        <x:v>Z006</x:v>
      </x:c>
      <x:c r="M5783" s="19" t="str">
        <x:v>In Field Warranty Claims</x:v>
      </x:c>
      <x:c r="N5783" s="37" t="n">
        <x:v>45891</x:v>
      </x:c>
      <x:c r="O5783" s="37"/>
      <x:c r="P5783" s="34" t="n">
        <x:v>0</x:v>
      </x:c>
      <x:c r="Q5783" s="37" t="n">
        <x:v>46062.16496527778</x:v>
      </x:c>
    </x:row>
    <x:row r="5784">
      <x:c r="A5784" s="22" t="n">
        <x:v>24387</x:v>
      </x:c>
      <x:c r="B5784" s="28" t="n">
        <x:v>52.56</x:v>
      </x:c>
      <x:c r="C5784" s="28"/>
      <x:c r="D5784" s="31" t="str">
        <x:f>IF(OR(ISBLANK(B5784),ISBLANK(C5784),B5784=0),"",(C5784-B5784)/B5784)</x:f>
      </x:c>
      <x:c r="E5784" s="22" t="str">
        <x:f>IF(ISBLANK(C5784),"AmountIncludingTax缺失",IF(ABS(B5784-C5784)&lt;0.005,"一致","不一致"))</x:f>
        <x:v>AmountIncludingTax缺失</x:v>
      </x:c>
      <x:c r="F5784" s="19" t="str">
        <x:v>approved</x:v>
      </x:c>
      <x:c r="G5784" s="19" t="str">
        <x:v>Repairer Invoiced Processed</x:v>
      </x:c>
      <x:c r="H5784" s="19" t="str">
        <x:v>In Field</x:v>
      </x:c>
      <x:c r="I5784" s="37" t="n">
        <x:v>46184</x:v>
      </x:c>
      <x:c r="J5784" s="37" t="n">
        <x:v>46184</x:v>
      </x:c>
      <x:c r="K5784" s="19" t="str">
        <x:v>Vanari Caravans - Marden Point</x:v>
      </x:c>
      <x:c r="L5784" s="19" t="str">
        <x:v>Z006</x:v>
      </x:c>
      <x:c r="M5784" s="19" t="str">
        <x:v>In Field Warranty Claims</x:v>
      </x:c>
      <x:c r="N5784" s="37" t="n">
        <x:v>45890</x:v>
      </x:c>
      <x:c r="O5784" s="37" t="n">
        <x:v>46101</x:v>
      </x:c>
      <x:c r="P5784" s="34" t="n">
        <x:v>0</x:v>
      </x:c>
      <x:c r="Q5784" s="37" t="n">
        <x:v>46183.942407407405</x:v>
      </x:c>
    </x:row>
    <x:row r="5785">
      <x:c r="A5785" s="22" t="n">
        <x:v>24384</x:v>
      </x:c>
      <x:c r="B5785" s="28" t="n">
        <x:v>447.73</x:v>
      </x:c>
      <x:c r="C5785" s="28"/>
      <x:c r="D5785" s="31" t="str">
        <x:f>IF(OR(ISBLANK(B5785),ISBLANK(C5785),B5785=0),"",(C5785-B5785)/B5785)</x:f>
      </x:c>
      <x:c r="E5785" s="22" t="str">
        <x:f>IF(ISBLANK(C5785),"AmountIncludingTax缺失",IF(ABS(B5785-C5785)&lt;0.005,"一致","不一致"))</x:f>
        <x:v>AmountIncludingTax缺失</x:v>
      </x:c>
      <x:c r="F5785" s="19" t="str">
        <x:v>approved</x:v>
      </x:c>
      <x:c r="G5785" s="19" t="str">
        <x:v>Repairer Invoiced Processed</x:v>
      </x:c>
      <x:c r="H5785" s="19" t="str">
        <x:v>In Field</x:v>
      </x:c>
      <x:c r="I5785" s="37" t="n">
        <x:v>46071</x:v>
      </x:c>
      <x:c r="J5785" s="37" t="n">
        <x:v>46031</x:v>
      </x:c>
      <x:c r="K5785" s="19" t="str">
        <x:v>The Caravan Hub - Townsville</x:v>
      </x:c>
      <x:c r="L5785" s="19" t="str">
        <x:v>Z006</x:v>
      </x:c>
      <x:c r="M5785" s="19" t="str">
        <x:v>In Field Warranty Claims</x:v>
      </x:c>
      <x:c r="N5785" s="37" t="n">
        <x:v>45890</x:v>
      </x:c>
      <x:c r="O5785" s="37"/>
      <x:c r="P5785" s="34" t="n">
        <x:v>0</x:v>
      </x:c>
      <x:c r="Q5785" s="37" t="n">
        <x:v>46070.895416666666</x:v>
      </x:c>
    </x:row>
    <x:row r="5786">
      <x:c r="A5786" s="22" t="n">
        <x:v>24339</x:v>
      </x:c>
      <x:c r="B5786" s="28" t="n">
        <x:v>405</x:v>
      </x:c>
      <x:c r="C5786" s="28"/>
      <x:c r="D5786" s="31" t="str">
        <x:f>IF(OR(ISBLANK(B5786),ISBLANK(C5786),B5786=0),"",(C5786-B5786)/B5786)</x:f>
      </x:c>
      <x:c r="E5786" s="22" t="str">
        <x:f>IF(ISBLANK(C5786),"AmountIncludingTax缺失",IF(ABS(B5786-C5786)&lt;0.005,"一致","不一致"))</x:f>
        <x:v>AmountIncludingTax缺失</x:v>
      </x:c>
      <x:c r="F5786" s="19" t="str">
        <x:v>approved</x:v>
      </x:c>
      <x:c r="G5786" s="19" t="str">
        <x:v>Repairer Invoiced Processed</x:v>
      </x:c>
      <x:c r="H5786" s="19" t="str">
        <x:v>In Field</x:v>
      </x:c>
      <x:c r="I5786" s="37" t="n">
        <x:v>46115</x:v>
      </x:c>
      <x:c r="J5786" s="37" t="n">
        <x:v>46115</x:v>
      </x:c>
      <x:c r="K5786" s="19" t="str">
        <x:v>Leisure Lion Pty Ltd - Toowoomba</x:v>
      </x:c>
      <x:c r="L5786" s="19" t="str">
        <x:v>Z006</x:v>
      </x:c>
      <x:c r="M5786" s="19" t="str">
        <x:v>In Field Warranty Claims</x:v>
      </x:c>
      <x:c r="N5786" s="37" t="n">
        <x:v>45890</x:v>
      </x:c>
      <x:c r="O5786" s="37"/>
      <x:c r="P5786" s="34" t="n">
        <x:v>0</x:v>
      </x:c>
      <x:c r="Q5786" s="37" t="n">
        <x:v>46115.45300925926</x:v>
      </x:c>
    </x:row>
    <x:row r="5787">
      <x:c r="A5787" s="22" t="n">
        <x:v>24335</x:v>
      </x:c>
      <x:c r="B5787" s="28" t="n">
        <x:v>1416.25</x:v>
      </x:c>
      <x:c r="C5787" s="28"/>
      <x:c r="D5787" s="31" t="str">
        <x:f>IF(OR(ISBLANK(B5787),ISBLANK(C5787),B5787=0),"",(C5787-B5787)/B5787)</x:f>
      </x:c>
      <x:c r="E5787" s="22" t="str">
        <x:f>IF(ISBLANK(C5787),"AmountIncludingTax缺失",IF(ABS(B5787-C5787)&lt;0.005,"一致","不一致"))</x:f>
        <x:v>AmountIncludingTax缺失</x:v>
      </x:c>
      <x:c r="F5787" s="19" t="str">
        <x:v>approved</x:v>
      </x:c>
      <x:c r="G5787" s="19" t="str">
        <x:v>Repair in Progress</x:v>
      </x:c>
      <x:c r="H5787" s="19" t="str">
        <x:v>In Field</x:v>
      </x:c>
      <x:c r="I5787" s="37" t="n">
        <x:v>46070</x:v>
      </x:c>
      <x:c r="J5787" s="37" t="n">
        <x:v>46070</x:v>
      </x:c>
      <x:c r="K5787" s="19" t="str">
        <x:v>Green RV - Forest Glen</x:v>
      </x:c>
      <x:c r="L5787" s="19" t="str">
        <x:v>Z006</x:v>
      </x:c>
      <x:c r="M5787" s="19" t="str">
        <x:v>In Field Warranty Claims</x:v>
      </x:c>
      <x:c r="N5787" s="37" t="n">
        <x:v>45890</x:v>
      </x:c>
      <x:c r="O5787" s="37"/>
      <x:c r="P5787" s="34" t="n">
        <x:v>0</x:v>
      </x:c>
      <x:c r="Q5787" s="37" t="n">
        <x:v>46069.90609953704</x:v>
      </x:c>
    </x:row>
    <x:row r="5788">
      <x:c r="A5788" s="22" t="n">
        <x:v>24284</x:v>
      </x:c>
      <x:c r="B5788" s="28" t="n">
        <x:v>4579.66</x:v>
      </x:c>
      <x:c r="C5788" s="28"/>
      <x:c r="D5788" s="31" t="str">
        <x:f>IF(OR(ISBLANK(B5788),ISBLANK(C5788),B5788=0),"",(C5788-B5788)/B5788)</x:f>
      </x:c>
      <x:c r="E5788" s="22" t="str">
        <x:f>IF(ISBLANK(C5788),"AmountIncludingTax缺失",IF(ABS(B5788-C5788)&lt;0.005,"一致","不一致"))</x:f>
        <x:v>AmountIncludingTax缺失</x:v>
      </x:c>
      <x:c r="F5788" s="19" t="str">
        <x:v>approved</x:v>
      </x:c>
      <x:c r="G5788" s="19" t="str">
        <x:v>Repairer Invoiced Processed</x:v>
      </x:c>
      <x:c r="H5788" s="19" t="str">
        <x:v>In Field</x:v>
      </x:c>
      <x:c r="I5788" s="37" t="n">
        <x:v>46112</x:v>
      </x:c>
      <x:c r="J5788" s="37" t="n">
        <x:v>46112</x:v>
      </x:c>
      <x:c r="K5788" s="19" t="str">
        <x:v>Green RV - Forest Glen</x:v>
      </x:c>
      <x:c r="L5788" s="19" t="str">
        <x:v>Z006</x:v>
      </x:c>
      <x:c r="M5788" s="19" t="str">
        <x:v>In Field Warranty Claims</x:v>
      </x:c>
      <x:c r="N5788" s="37" t="n">
        <x:v>45889</x:v>
      </x:c>
      <x:c r="O5788" s="37"/>
      <x:c r="P5788" s="34" t="n">
        <x:v>5037.63</x:v>
      </x:c>
      <x:c r="Q5788" s="37" t="n">
        <x:v>46112.09884259259</x:v>
      </x:c>
    </x:row>
    <x:row r="5789">
      <x:c r="A5789" s="22" t="n">
        <x:v>24264</x:v>
      </x:c>
      <x:c r="B5789" s="28" t="n">
        <x:v>113.64</x:v>
      </x:c>
      <x:c r="C5789" s="28"/>
      <x:c r="D5789" s="31" t="str">
        <x:f>IF(OR(ISBLANK(B5789),ISBLANK(C5789),B5789=0),"",(C5789-B5789)/B5789)</x:f>
      </x:c>
      <x:c r="E5789" s="22" t="str">
        <x:f>IF(ISBLANK(C5789),"AmountIncludingTax缺失",IF(ABS(B5789-C5789)&lt;0.005,"一致","不一致"))</x:f>
        <x:v>AmountIncludingTax缺失</x:v>
      </x:c>
      <x:c r="F5789" s="19" t="str">
        <x:v>approved</x:v>
      </x:c>
      <x:c r="G5789" s="19" t="str">
        <x:v>Repairer Invoiced Processed</x:v>
      </x:c>
      <x:c r="H5789" s="19" t="str">
        <x:v>In Field</x:v>
      </x:c>
      <x:c r="I5789" s="37" t="n">
        <x:v>46139</x:v>
      </x:c>
      <x:c r="J5789" s="37" t="n">
        <x:v>46139</x:v>
      </x:c>
      <x:c r="K5789" s="19" t="str">
        <x:v>Regent RV - Perth</x:v>
      </x:c>
      <x:c r="L5789" s="19" t="str">
        <x:v>Z006</x:v>
      </x:c>
      <x:c r="M5789" s="19" t="str">
        <x:v>In Field Warranty Claims</x:v>
      </x:c>
      <x:c r="N5789" s="37" t="n">
        <x:v>45888</x:v>
      </x:c>
      <x:c r="O5789" s="37" t="n">
        <x:v>46101</x:v>
      </x:c>
      <x:c r="P5789" s="34" t="n">
        <x:v>0</x:v>
      </x:c>
      <x:c r="Q5789" s="37" t="n">
        <x:v>46139.18164351852</x:v>
      </x:c>
    </x:row>
    <x:row r="5790">
      <x:c r="A5790" s="22" t="n">
        <x:v>24262</x:v>
      </x:c>
      <x:c r="B5790" s="28" t="n">
        <x:v>157.5</x:v>
      </x:c>
      <x:c r="C5790" s="28" t="n">
        <x:v>173.25</x:v>
      </x:c>
      <x:c r="D5790" s="31" t="n">
        <x:f>IF(OR(ISBLANK(B5790),ISBLANK(C5790),B5790=0),"",(C5790-B5790)/B5790)</x:f>
        <x:v>0.1</x:v>
      </x:c>
      <x:c r="E5790" s="22" t="str">
        <x:f>IF(ISBLANK(C5790),"AmountIncludingTax缺失",IF(ABS(B5790-C5790)&lt;0.005,"一致","不一致"))</x:f>
        <x:v>不一致</x:v>
      </x:c>
      <x:c r="F5790" s="19" t="str">
        <x:v>approved</x:v>
      </x:c>
      <x:c r="G5790" s="19" t="str">
        <x:v>Repair in Progress</x:v>
      </x:c>
      <x:c r="H5790" s="19" t="str">
        <x:v>In Field</x:v>
      </x:c>
      <x:c r="I5790" s="37" t="n">
        <x:v>46112</x:v>
      </x:c>
      <x:c r="J5790" s="37" t="n">
        <x:v>46112</x:v>
      </x:c>
      <x:c r="K5790" s="19" t="str">
        <x:v>Regent RV - Perth</x:v>
      </x:c>
      <x:c r="L5790" s="19" t="str">
        <x:v>Z006</x:v>
      </x:c>
      <x:c r="M5790" s="19" t="str">
        <x:v>In Field Warranty Claims</x:v>
      </x:c>
      <x:c r="N5790" s="37" t="n">
        <x:v>45888</x:v>
      </x:c>
      <x:c r="O5790" s="37" t="n">
        <x:v>45911</x:v>
      </x:c>
      <x:c r="P5790" s="34" t="n">
        <x:v>173.25</x:v>
      </x:c>
      <x:c r="Q5790" s="37" t="n">
        <x:v>46112.093148148146</x:v>
      </x:c>
    </x:row>
    <x:row r="5791">
      <x:c r="A5791" s="22" t="n">
        <x:v>24259</x:v>
      </x:c>
      <x:c r="B5791" s="28" t="n">
        <x:v>68.18</x:v>
      </x:c>
      <x:c r="C5791" s="28"/>
      <x:c r="D5791" s="31" t="str">
        <x:f>IF(OR(ISBLANK(B5791),ISBLANK(C5791),B5791=0),"",(C5791-B5791)/B5791)</x:f>
      </x:c>
      <x:c r="E5791" s="22" t="str">
        <x:f>IF(ISBLANK(C5791),"AmountIncludingTax缺失",IF(ABS(B5791-C5791)&lt;0.005,"一致","不一致"))</x:f>
        <x:v>AmountIncludingTax缺失</x:v>
      </x:c>
      <x:c r="F5791" s="19" t="str">
        <x:v>approved</x:v>
      </x:c>
      <x:c r="G5791" s="19" t="str">
        <x:v>Repairer Invoiced Processed</x:v>
      </x:c>
      <x:c r="H5791" s="19" t="str">
        <x:v>In Field</x:v>
      </x:c>
      <x:c r="I5791" s="37" t="n">
        <x:v>46105</x:v>
      </x:c>
      <x:c r="J5791" s="37" t="n">
        <x:v>46105</x:v>
      </x:c>
      <x:c r="K5791" s="19" t="str">
        <x:v>Lesiure Lion-New Castle</x:v>
      </x:c>
      <x:c r="L5791" s="19" t="str">
        <x:v>Z006</x:v>
      </x:c>
      <x:c r="M5791" s="19" t="str">
        <x:v>In Field Warranty Claims</x:v>
      </x:c>
      <x:c r="N5791" s="37" t="n">
        <x:v>45888</x:v>
      </x:c>
      <x:c r="O5791" s="37"/>
      <x:c r="P5791" s="34" t="n">
        <x:v>0</x:v>
      </x:c>
      <x:c r="Q5791" s="37" t="n">
        <x:v>46105.07540509259</x:v>
      </x:c>
    </x:row>
    <x:row r="5792">
      <x:c r="A5792" s="22" t="n">
        <x:v>24247</x:v>
      </x:c>
      <x:c r="B5792" s="28" t="n">
        <x:v>70</x:v>
      </x:c>
      <x:c r="C5792" s="28" t="n">
        <x:v>77</x:v>
      </x:c>
      <x:c r="D5792" s="31" t="n">
        <x:f>IF(OR(ISBLANK(B5792),ISBLANK(C5792),B5792=0),"",(C5792-B5792)/B5792)</x:f>
        <x:v>0.1</x:v>
      </x:c>
      <x:c r="E5792" s="22" t="str">
        <x:f>IF(ISBLANK(C5792),"AmountIncludingTax缺失",IF(ABS(B5792-C5792)&lt;0.005,"一致","不一致"))</x:f>
        <x:v>不一致</x:v>
      </x:c>
      <x:c r="F5792" s="19" t="str">
        <x:v>approved</x:v>
      </x:c>
      <x:c r="G5792" s="19" t="str">
        <x:v>Repairer Invoiced Processed</x:v>
      </x:c>
      <x:c r="H5792" s="19" t="str">
        <x:v>In Field</x:v>
      </x:c>
      <x:c r="I5792" s="37" t="n">
        <x:v>46191</x:v>
      </x:c>
      <x:c r="J5792" s="37" t="n">
        <x:v>46191</x:v>
      </x:c>
      <x:c r="K5792" s="19" t="str">
        <x:v>Regent RV Pty Ltd</x:v>
      </x:c>
      <x:c r="L5792" s="19" t="str">
        <x:v>Z006</x:v>
      </x:c>
      <x:c r="M5792" s="19" t="str">
        <x:v>In Field Warranty Claims</x:v>
      </x:c>
      <x:c r="N5792" s="37" t="n">
        <x:v>45888</x:v>
      </x:c>
      <x:c r="O5792" s="37" t="n">
        <x:v>46112</x:v>
      </x:c>
      <x:c r="P5792" s="34" t="n">
        <x:v>77</x:v>
      </x:c>
      <x:c r="Q5792" s="37" t="n">
        <x:v>46191.23601851852</x:v>
      </x:c>
    </x:row>
    <x:row r="5793">
      <x:c r="A5793" s="22" t="n">
        <x:v>24195</x:v>
      </x:c>
      <x:c r="B5793" s="28" t="n">
        <x:v>112.05</x:v>
      </x:c>
      <x:c r="C5793" s="28"/>
      <x:c r="D5793" s="31" t="str">
        <x:f>IF(OR(ISBLANK(B5793),ISBLANK(C5793),B5793=0),"",(C5793-B5793)/B5793)</x:f>
      </x:c>
      <x:c r="E5793" s="22" t="str">
        <x:f>IF(ISBLANK(C5793),"AmountIncludingTax缺失",IF(ABS(B5793-C5793)&lt;0.005,"一致","不一致"))</x:f>
        <x:v>AmountIncludingTax缺失</x:v>
      </x:c>
      <x:c r="F5793" s="19" t="str">
        <x:v>approved</x:v>
      </x:c>
      <x:c r="G5793" s="19" t="str">
        <x:v>Repair in Progress</x:v>
      </x:c>
      <x:c r="H5793" s="19" t="str">
        <x:v>In Field</x:v>
      </x:c>
      <x:c r="I5793" s="37" t="n">
        <x:v>46149</x:v>
      </x:c>
      <x:c r="J5793" s="37" t="n">
        <x:v>46149</x:v>
      </x:c>
      <x:c r="K5793" s="19" t="str">
        <x:v>Regent RV - Perth</x:v>
      </x:c>
      <x:c r="L5793" s="19" t="str">
        <x:v>Z006</x:v>
      </x:c>
      <x:c r="M5793" s="19" t="str">
        <x:v>In Field Warranty Claims</x:v>
      </x:c>
      <x:c r="N5793" s="37" t="n">
        <x:v>45887</x:v>
      </x:c>
      <x:c r="O5793" s="37"/>
      <x:c r="P5793" s="34" t="n">
        <x:v>0</x:v>
      </x:c>
      <x:c r="Q5793" s="37" t="n">
        <x:v>46149.065092592595</x:v>
      </x:c>
    </x:row>
    <x:row r="5794">
      <x:c r="A5794" s="22" t="n">
        <x:v>24106</x:v>
      </x:c>
      <x:c r="B5794" s="28" t="n">
        <x:v>795.45</x:v>
      </x:c>
      <x:c r="C5794" s="28"/>
      <x:c r="D5794" s="31" t="str">
        <x:f>IF(OR(ISBLANK(B5794),ISBLANK(C5794),B5794=0),"",(C5794-B5794)/B5794)</x:f>
      </x:c>
      <x:c r="E5794" s="22" t="str">
        <x:f>IF(ISBLANK(C5794),"AmountIncludingTax缺失",IF(ABS(B5794-C5794)&lt;0.005,"一致","不一致"))</x:f>
        <x:v>AmountIncludingTax缺失</x:v>
      </x:c>
      <x:c r="F5794" s="19" t="str">
        <x:v>approved</x:v>
      </x:c>
      <x:c r="G5794" s="19" t="str">
        <x:v>Repairer Invoiced Processed</x:v>
      </x:c>
      <x:c r="H5794" s="19" t="str">
        <x:v>In Field</x:v>
      </x:c>
      <x:c r="I5794" s="37" t="n">
        <x:v>46121</x:v>
      </x:c>
      <x:c r="J5794" s="37" t="n">
        <x:v>46121</x:v>
      </x:c>
      <x:c r="K5794" s="19" t="str">
        <x:v>Dario Caravans -St.Marys</x:v>
      </x:c>
      <x:c r="L5794" s="19" t="str">
        <x:v>Z006</x:v>
      </x:c>
      <x:c r="M5794" s="19" t="str">
        <x:v>In Field Warranty Claims</x:v>
      </x:c>
      <x:c r="N5794" s="37" t="n">
        <x:v>45884</x:v>
      </x:c>
      <x:c r="O5794" s="37"/>
      <x:c r="P5794" s="34" t="n">
        <x:v>0</x:v>
      </x:c>
      <x:c r="Q5794" s="37" t="n">
        <x:v>46121.13269675926</x:v>
      </x:c>
    </x:row>
    <x:row r="5795">
      <x:c r="A5795" s="22" t="n">
        <x:v>24025</x:v>
      </x:c>
      <x:c r="B5795" s="28" t="n">
        <x:v>709.12</x:v>
      </x:c>
      <x:c r="C5795" s="28"/>
      <x:c r="D5795" s="31" t="str">
        <x:f>IF(OR(ISBLANK(B5795),ISBLANK(C5795),B5795=0),"",(C5795-B5795)/B5795)</x:f>
      </x:c>
      <x:c r="E5795" s="22" t="str">
        <x:f>IF(ISBLANK(C5795),"AmountIncludingTax缺失",IF(ABS(B5795-C5795)&lt;0.005,"一致","不一致"))</x:f>
        <x:v>AmountIncludingTax缺失</x:v>
      </x:c>
      <x:c r="F5795" s="19" t="str">
        <x:v>approved</x:v>
      </x:c>
      <x:c r="G5795" s="19" t="str">
        <x:v>Repair in Progress</x:v>
      </x:c>
      <x:c r="H5795" s="19" t="str">
        <x:v>In Field</x:v>
      </x:c>
      <x:c r="I5795" s="37" t="n">
        <x:v>46083</x:v>
      </x:c>
      <x:c r="J5795" s="37" t="n">
        <x:v>46083</x:v>
      </x:c>
      <x:c r="K5795" s="19" t="str">
        <x:v>Regent RV - Traralgon</x:v>
      </x:c>
      <x:c r="L5795" s="19" t="str">
        <x:v>Z006</x:v>
      </x:c>
      <x:c r="M5795" s="19" t="str">
        <x:v>In Field Warranty Claims</x:v>
      </x:c>
      <x:c r="N5795" s="37" t="n">
        <x:v>45883</x:v>
      </x:c>
      <x:c r="O5795" s="37"/>
      <x:c r="P5795" s="34" t="n">
        <x:v>0</x:v>
      </x:c>
      <x:c r="Q5795" s="37" t="n">
        <x:v>46082.89931712963</x:v>
      </x:c>
    </x:row>
    <x:row r="5796">
      <x:c r="A5796" s="22" t="n">
        <x:v>24024</x:v>
      </x:c>
      <x:c r="B5796" s="28" t="n">
        <x:v>827.95</x:v>
      </x:c>
      <x:c r="C5796" s="28"/>
      <x:c r="D5796" s="31" t="str">
        <x:f>IF(OR(ISBLANK(B5796),ISBLANK(C5796),B5796=0),"",(C5796-B5796)/B5796)</x:f>
      </x:c>
      <x:c r="E5796" s="22" t="str">
        <x:f>IF(ISBLANK(C5796),"AmountIncludingTax缺失",IF(ABS(B5796-C5796)&lt;0.005,"一致","不一致"))</x:f>
        <x:v>AmountIncludingTax缺失</x:v>
      </x:c>
      <x:c r="F5796" s="19" t="str">
        <x:v>approved</x:v>
      </x:c>
      <x:c r="G5796" s="19" t="str">
        <x:v>Repairer Invoiced Processed</x:v>
      </x:c>
      <x:c r="H5796" s="19" t="str">
        <x:v>In Field</x:v>
      </x:c>
      <x:c r="I5796" s="37" t="n">
        <x:v>46205</x:v>
      </x:c>
      <x:c r="J5796" s="37" t="n">
        <x:v>46205</x:v>
      </x:c>
      <x:c r="K5796" s="19" t="str">
        <x:v>Green RV - Forest Glen</x:v>
      </x:c>
      <x:c r="L5796" s="19" t="str">
        <x:v>Z006</x:v>
      </x:c>
      <x:c r="M5796" s="19" t="str">
        <x:v>In Field Warranty Claims</x:v>
      </x:c>
      <x:c r="N5796" s="37" t="n">
        <x:v>45883</x:v>
      </x:c>
      <x:c r="O5796" s="37"/>
      <x:c r="P5796" s="34" t="n">
        <x:v>0</x:v>
      </x:c>
      <x:c r="Q5796" s="37" t="n">
        <x:v>46205.228993055556</x:v>
      </x:c>
    </x:row>
    <x:row r="5797">
      <x:c r="A5797" s="22" t="n">
        <x:v>24017</x:v>
      </x:c>
      <x:c r="B5797" s="28" t="n">
        <x:v>55</x:v>
      </x:c>
      <x:c r="C5797" s="28"/>
      <x:c r="D5797" s="31" t="str">
        <x:f>IF(OR(ISBLANK(B5797),ISBLANK(C5797),B5797=0),"",(C5797-B5797)/B5797)</x:f>
      </x:c>
      <x:c r="E5797" s="22" t="str">
        <x:f>IF(ISBLANK(C5797),"AmountIncludingTax缺失",IF(ABS(B5797-C5797)&lt;0.005,"一致","不一致"))</x:f>
        <x:v>AmountIncludingTax缺失</x:v>
      </x:c>
      <x:c r="F5797" s="19" t="str">
        <x:v>approved</x:v>
      </x:c>
      <x:c r="G5797" s="19" t="str">
        <x:v>Repair in Progress</x:v>
      </x:c>
      <x:c r="H5797" s="19" t="str">
        <x:v>In Field</x:v>
      </x:c>
      <x:c r="I5797" s="37" t="n">
        <x:v>46128</x:v>
      </x:c>
      <x:c r="J5797" s="37" t="n">
        <x:v>46128</x:v>
      </x:c>
      <x:c r="K5797" s="19" t="str">
        <x:v>Regent RV - Perth</x:v>
      </x:c>
      <x:c r="L5797" s="19" t="str">
        <x:v>Z006</x:v>
      </x:c>
      <x:c r="M5797" s="19" t="str">
        <x:v>In Field Warranty Claims</x:v>
      </x:c>
      <x:c r="N5797" s="37" t="n">
        <x:v>45883</x:v>
      </x:c>
      <x:c r="O5797" s="37"/>
      <x:c r="P5797" s="34" t="n">
        <x:v>0</x:v>
      </x:c>
      <x:c r="Q5797" s="37" t="n">
        <x:v>46128.09976851852</x:v>
      </x:c>
    </x:row>
    <x:row r="5798">
      <x:c r="A5798" s="22" t="n">
        <x:v>24012</x:v>
      </x:c>
      <x:c r="B5798" s="28" t="n">
        <x:v>236.36</x:v>
      </x:c>
      <x:c r="C5798" s="28" t="n">
        <x:v>260</x:v>
      </x:c>
      <x:c r="D5798" s="31" t="n">
        <x:f>IF(OR(ISBLANK(B5798),ISBLANK(C5798),B5798=0),"",(C5798-B5798)/B5798)</x:f>
        <x:v>0.10001692333728204</x:v>
      </x:c>
      <x:c r="E5798" s="22" t="str">
        <x:f>IF(ISBLANK(C5798),"AmountIncludingTax缺失",IF(ABS(B5798-C5798)&lt;0.005,"一致","不一致"))</x:f>
        <x:v>不一致</x:v>
      </x:c>
      <x:c r="F5798" s="19" t="str">
        <x:v>approved</x:v>
      </x:c>
      <x:c r="G5798" s="19" t="str">
        <x:v>Repairer Invoiced Processed</x:v>
      </x:c>
      <x:c r="H5798" s="19" t="str">
        <x:v>In Field</x:v>
      </x:c>
      <x:c r="I5798" s="37" t="n">
        <x:v>46037</x:v>
      </x:c>
      <x:c r="J5798" s="37" t="n">
        <x:v>46037</x:v>
      </x:c>
      <x:c r="K5798" s="19" t="str">
        <x:v>Green RV - Slacks Creek</x:v>
      </x:c>
      <x:c r="L5798" s="19" t="str">
        <x:v>Z006</x:v>
      </x:c>
      <x:c r="M5798" s="19" t="str">
        <x:v>In Field Warranty Claims</x:v>
      </x:c>
      <x:c r="N5798" s="37" t="n">
        <x:v>45883</x:v>
      </x:c>
      <x:c r="O5798" s="37"/>
      <x:c r="P5798" s="34" t="n">
        <x:v>260</x:v>
      </x:c>
      <x:c r="Q5798" s="37" t="n">
        <x:v>46036.87980324074</x:v>
      </x:c>
    </x:row>
    <x:row r="5799">
      <x:c r="A5799" s="22" t="n">
        <x:v>24001</x:v>
      </x:c>
      <x:c r="B5799" s="28" t="n">
        <x:v>2368.52</x:v>
      </x:c>
      <x:c r="C5799" s="28"/>
      <x:c r="D5799" s="31" t="str">
        <x:f>IF(OR(ISBLANK(B5799),ISBLANK(C5799),B5799=0),"",(C5799-B5799)/B5799)</x:f>
      </x:c>
      <x:c r="E5799" s="22" t="str">
        <x:f>IF(ISBLANK(C5799),"AmountIncludingTax缺失",IF(ABS(B5799-C5799)&lt;0.005,"一致","不一致"))</x:f>
        <x:v>AmountIncludingTax缺失</x:v>
      </x:c>
      <x:c r="F5799" s="19" t="str">
        <x:v>approved</x:v>
      </x:c>
      <x:c r="G5799" s="19" t="str">
        <x:v>Repairer Invoiced Processed</x:v>
      </x:c>
      <x:c r="H5799" s="19" t="str">
        <x:v>In Field</x:v>
      </x:c>
      <x:c r="I5799" s="37" t="n">
        <x:v>46086</x:v>
      </x:c>
      <x:c r="J5799" s="37" t="n">
        <x:v>46086</x:v>
      </x:c>
      <x:c r="K5799" s="19" t="str">
        <x:v>Green RV - Forest Glen</x:v>
      </x:c>
      <x:c r="L5799" s="19" t="str">
        <x:v>Z006</x:v>
      </x:c>
      <x:c r="M5799" s="19" t="str">
        <x:v>In Field Warranty Claims</x:v>
      </x:c>
      <x:c r="N5799" s="37" t="n">
        <x:v>45883</x:v>
      </x:c>
      <x:c r="O5799" s="37"/>
      <x:c r="P5799" s="34" t="n">
        <x:v>2605.37</x:v>
      </x:c>
      <x:c r="Q5799" s="37" t="n">
        <x:v>46086.433900462966</x:v>
      </x:c>
    </x:row>
    <x:row r="5800">
      <x:c r="A5800" s="22" t="n">
        <x:v>23971</x:v>
      </x:c>
      <x:c r="B5800" s="28" t="n">
        <x:v>1490</x:v>
      </x:c>
      <x:c r="C5800" s="28"/>
      <x:c r="D5800" s="31" t="str">
        <x:f>IF(OR(ISBLANK(B5800),ISBLANK(C5800),B5800=0),"",(C5800-B5800)/B5800)</x:f>
      </x:c>
      <x:c r="E5800" s="22" t="str">
        <x:f>IF(ISBLANK(C5800),"AmountIncludingTax缺失",IF(ABS(B5800-C5800)&lt;0.005,"一致","不一致"))</x:f>
        <x:v>AmountIncludingTax缺失</x:v>
      </x:c>
      <x:c r="F5800" s="19" t="str">
        <x:v>approved</x:v>
      </x:c>
      <x:c r="G5800" s="19" t="str">
        <x:v>Repair in Progress</x:v>
      </x:c>
      <x:c r="H5800" s="19" t="str">
        <x:v>In Field</x:v>
      </x:c>
      <x:c r="I5800" s="37" t="n">
        <x:v>46062</x:v>
      </x:c>
      <x:c r="J5800" s="37" t="n">
        <x:v>46062</x:v>
      </x:c>
      <x:c r="K5800" s="19" t="str">
        <x:v>The Caravan Hub - Townsville</x:v>
      </x:c>
      <x:c r="L5800" s="19" t="str">
        <x:v>Z006</x:v>
      </x:c>
      <x:c r="M5800" s="19" t="str">
        <x:v>In Field Warranty Claims</x:v>
      </x:c>
      <x:c r="N5800" s="37" t="n">
        <x:v>45882</x:v>
      </x:c>
      <x:c r="O5800" s="37"/>
      <x:c r="P5800" s="34" t="n">
        <x:v>0</x:v>
      </x:c>
      <x:c r="Q5800" s="37" t="n">
        <x:v>46062.19074074074</x:v>
      </x:c>
    </x:row>
    <x:row r="5801">
      <x:c r="A5801" s="22" t="n">
        <x:v>23953</x:v>
      </x:c>
      <x:c r="B5801" s="28" t="n">
        <x:v>2708.09</x:v>
      </x:c>
      <x:c r="C5801" s="28"/>
      <x:c r="D5801" s="31" t="str">
        <x:f>IF(OR(ISBLANK(B5801),ISBLANK(C5801),B5801=0),"",(C5801-B5801)/B5801)</x:f>
      </x:c>
      <x:c r="E5801" s="22" t="str">
        <x:f>IF(ISBLANK(C5801),"AmountIncludingTax缺失",IF(ABS(B5801-C5801)&lt;0.005,"一致","不一致"))</x:f>
        <x:v>AmountIncludingTax缺失</x:v>
      </x:c>
      <x:c r="F5801" s="19" t="str">
        <x:v>approved</x:v>
      </x:c>
      <x:c r="G5801" s="19" t="str">
        <x:v>Repairer Invoiced Processed</x:v>
      </x:c>
      <x:c r="H5801" s="19" t="str">
        <x:v>In Field</x:v>
      </x:c>
      <x:c r="I5801" s="37" t="n">
        <x:v>46042</x:v>
      </x:c>
      <x:c r="J5801" s="37" t="n">
        <x:v>46042</x:v>
      </x:c>
      <x:c r="K5801" s="19" t="str">
        <x:v>Green RV - Forest Glen</x:v>
      </x:c>
      <x:c r="L5801" s="19" t="str">
        <x:v>Z006</x:v>
      </x:c>
      <x:c r="M5801" s="19" t="str">
        <x:v>In Field Warranty Claims</x:v>
      </x:c>
      <x:c r="N5801" s="37" t="n">
        <x:v>45882</x:v>
      </x:c>
      <x:c r="O5801" s="37"/>
      <x:c r="P5801" s="34" t="n">
        <x:v>2978.9</x:v>
      </x:c>
      <x:c r="Q5801" s="37" t="n">
        <x:v>46042.28298611111</x:v>
      </x:c>
    </x:row>
    <x:row r="5802">
      <x:c r="A5802" s="22" t="n">
        <x:v>23938</x:v>
      </x:c>
      <x:c r="B5802" s="28" t="n">
        <x:v>1543.19</x:v>
      </x:c>
      <x:c r="C5802" s="28"/>
      <x:c r="D5802" s="31" t="str">
        <x:f>IF(OR(ISBLANK(B5802),ISBLANK(C5802),B5802=0),"",(C5802-B5802)/B5802)</x:f>
      </x:c>
      <x:c r="E5802" s="22" t="str">
        <x:f>IF(ISBLANK(C5802),"AmountIncludingTax缺失",IF(ABS(B5802-C5802)&lt;0.005,"一致","不一致"))</x:f>
        <x:v>AmountIncludingTax缺失</x:v>
      </x:c>
      <x:c r="F5802" s="19" t="str">
        <x:v>approved</x:v>
      </x:c>
      <x:c r="G5802" s="19" t="str">
        <x:v>Repairer Invoiced Processed</x:v>
      </x:c>
      <x:c r="H5802" s="19" t="str">
        <x:v>In Field</x:v>
      </x:c>
      <x:c r="I5802" s="37" t="n">
        <x:v>46042</x:v>
      </x:c>
      <x:c r="J5802" s="37" t="n">
        <x:v>46042</x:v>
      </x:c>
      <x:c r="K5802" s="19" t="str">
        <x:v>Green RV - Forest Glen</x:v>
      </x:c>
      <x:c r="L5802" s="19" t="str">
        <x:v>Z006</x:v>
      </x:c>
      <x:c r="M5802" s="19" t="str">
        <x:v>In Field Warranty Claims</x:v>
      </x:c>
      <x:c r="N5802" s="37" t="n">
        <x:v>45882</x:v>
      </x:c>
      <x:c r="O5802" s="37"/>
      <x:c r="P5802" s="34" t="n">
        <x:v>1697.51</x:v>
      </x:c>
      <x:c r="Q5802" s="37" t="n">
        <x:v>46042.21530092593</x:v>
      </x:c>
    </x:row>
    <x:row r="5803">
      <x:c r="A5803" s="22" t="n">
        <x:v>23896</x:v>
      </x:c>
      <x:c r="B5803" s="28" t="n">
        <x:v>324.2</x:v>
      </x:c>
      <x:c r="C5803" s="28" t="n">
        <x:v>356.62</x:v>
      </x:c>
      <x:c r="D5803" s="31" t="n">
        <x:f>IF(OR(ISBLANK(B5803),ISBLANK(C5803),B5803=0),"",(C5803-B5803)/B5803)</x:f>
        <x:v>0.10000000000000005</x:v>
      </x:c>
      <x:c r="E5803" s="22" t="str">
        <x:f>IF(ISBLANK(C5803),"AmountIncludingTax缺失",IF(ABS(B5803-C5803)&lt;0.005,"一致","不一致"))</x:f>
        <x:v>不一致</x:v>
      </x:c>
      <x:c r="F5803" s="19" t="str">
        <x:v>unapproved_closed</x:v>
      </x:c>
      <x:c r="G5803" s="19" t="str">
        <x:v>Unapproved Claims Closed (Closed)</x:v>
      </x:c>
      <x:c r="H5803" s="19" t="str">
        <x:v>In Field</x:v>
      </x:c>
      <x:c r="I5803" s="37" t="n">
        <x:v>46044</x:v>
      </x:c>
      <x:c r="J5803" s="37" t="n">
        <x:v>46044</x:v>
      </x:c>
      <x:c r="K5803" s="19" t="str">
        <x:v>Newcastle RV Super Centre - Beresfield</x:v>
      </x:c>
      <x:c r="L5803" s="19" t="str">
        <x:v>Z006</x:v>
      </x:c>
      <x:c r="M5803" s="19" t="str">
        <x:v>In Field Warranty Claims</x:v>
      </x:c>
      <x:c r="N5803" s="37" t="n">
        <x:v>45881</x:v>
      </x:c>
      <x:c r="O5803" s="37" t="n">
        <x:v>46168</x:v>
      </x:c>
      <x:c r="P5803" s="34" t="n">
        <x:v>356.62</x:v>
      </x:c>
      <x:c r="Q5803" s="37" t="n">
        <x:v>46044.506886574076</x:v>
      </x:c>
    </x:row>
    <x:row r="5804">
      <x:c r="A5804" s="22" t="n">
        <x:v>23895</x:v>
      </x:c>
      <x:c r="B5804" s="28" t="n">
        <x:v>322.34</x:v>
      </x:c>
      <x:c r="C5804" s="28" t="n">
        <x:v>354.57</x:v>
      </x:c>
      <x:c r="D5804" s="31" t="n">
        <x:f>IF(OR(ISBLANK(B5804),ISBLANK(C5804),B5804=0),"",(C5804-B5804)/B5804)</x:f>
        <x:v>0.09998759074269412</x:v>
      </x:c>
      <x:c r="E5804" s="22" t="str">
        <x:f>IF(ISBLANK(C5804),"AmountIncludingTax缺失",IF(ABS(B5804-C5804)&lt;0.005,"一致","不一致"))</x:f>
        <x:v>不一致</x:v>
      </x:c>
      <x:c r="F5804" s="19" t="str">
        <x:v>approved</x:v>
      </x:c>
      <x:c r="G5804" s="19" t="str">
        <x:v>Repairer Invoiced Processed</x:v>
      </x:c>
      <x:c r="H5804" s="19" t="str">
        <x:v>In Field</x:v>
      </x:c>
      <x:c r="I5804" s="37" t="n">
        <x:v>46078</x:v>
      </x:c>
      <x:c r="J5804" s="37" t="n">
        <x:v>46078</x:v>
      </x:c>
      <x:c r="K5804" s="19" t="str">
        <x:v>Regent RV - Townsville</x:v>
      </x:c>
      <x:c r="L5804" s="19" t="str">
        <x:v>Z006</x:v>
      </x:c>
      <x:c r="M5804" s="19" t="str">
        <x:v>In Field Warranty Claims</x:v>
      </x:c>
      <x:c r="N5804" s="37" t="n">
        <x:v>45881</x:v>
      </x:c>
      <x:c r="O5804" s="37"/>
      <x:c r="P5804" s="34" t="n">
        <x:v>354.57</x:v>
      </x:c>
      <x:c r="Q5804" s="37" t="n">
        <x:v>46077.93054398148</x:v>
      </x:c>
    </x:row>
    <x:row r="5805">
      <x:c r="A5805" s="22" t="n">
        <x:v>23893</x:v>
      </x:c>
      <x:c r="B5805" s="28" t="n">
        <x:v>1100</x:v>
      </x:c>
      <x:c r="C5805" s="28"/>
      <x:c r="D5805" s="31" t="str">
        <x:f>IF(OR(ISBLANK(B5805),ISBLANK(C5805),B5805=0),"",(C5805-B5805)/B5805)</x:f>
      </x:c>
      <x:c r="E5805" s="22" t="str">
        <x:f>IF(ISBLANK(C5805),"AmountIncludingTax缺失",IF(ABS(B5805-C5805)&lt;0.005,"一致","不一致"))</x:f>
        <x:v>AmountIncludingTax缺失</x:v>
      </x:c>
      <x:c r="F5805" s="19" t="str">
        <x:v>approved</x:v>
      </x:c>
      <x:c r="G5805" s="19" t="str">
        <x:v>Repairer Invoiced Received</x:v>
      </x:c>
      <x:c r="H5805" s="19" t="str">
        <x:v>In Field</x:v>
      </x:c>
      <x:c r="I5805" s="37" t="n">
        <x:v>46063</x:v>
      </x:c>
      <x:c r="J5805" s="37" t="n">
        <x:v>46063</x:v>
      </x:c>
      <x:c r="K5805" s="19" t="str">
        <x:v>Bendigo Caravan Group - Bendigo</x:v>
      </x:c>
      <x:c r="L5805" s="19" t="str">
        <x:v>Z006</x:v>
      </x:c>
      <x:c r="M5805" s="19" t="str">
        <x:v>In Field Warranty Claims</x:v>
      </x:c>
      <x:c r="N5805" s="37" t="n">
        <x:v>45881</x:v>
      </x:c>
      <x:c r="O5805" s="37"/>
      <x:c r="P5805" s="34" t="n">
        <x:v>0</x:v>
      </x:c>
      <x:c r="Q5805" s="37" t="n">
        <x:v>46062.95138888889</x:v>
      </x:c>
    </x:row>
    <x:row r="5806">
      <x:c r="A5806" s="22" t="n">
        <x:v>23886</x:v>
      </x:c>
      <x:c r="B5806" s="28" t="n">
        <x:v>675</x:v>
      </x:c>
      <x:c r="C5806" s="28" t="n">
        <x:v>742.5</x:v>
      </x:c>
      <x:c r="D5806" s="31" t="n">
        <x:f>IF(OR(ISBLANK(B5806),ISBLANK(C5806),B5806=0),"",(C5806-B5806)/B5806)</x:f>
        <x:v>0.1</x:v>
      </x:c>
      <x:c r="E5806" s="22" t="str">
        <x:f>IF(ISBLANK(C5806),"AmountIncludingTax缺失",IF(ABS(B5806-C5806)&lt;0.005,"一致","不一致"))</x:f>
        <x:v>不一致</x:v>
      </x:c>
      <x:c r="F5806" s="19" t="str">
        <x:v>approved</x:v>
      </x:c>
      <x:c r="G5806" s="19" t="str">
        <x:v>Repair in Progress</x:v>
      </x:c>
      <x:c r="H5806" s="19" t="str">
        <x:v>In Field</x:v>
      </x:c>
      <x:c r="I5806" s="37" t="n">
        <x:v>46104</x:v>
      </x:c>
      <x:c r="J5806" s="37" t="n">
        <x:v>46104</x:v>
      </x:c>
      <x:c r="K5806" s="19" t="str">
        <x:v>Green RV - Forest Glen</x:v>
      </x:c>
      <x:c r="L5806" s="19" t="str">
        <x:v>Z006</x:v>
      </x:c>
      <x:c r="M5806" s="19" t="str">
        <x:v>In Field Warranty Claims</x:v>
      </x:c>
      <x:c r="N5806" s="37" t="n">
        <x:v>45881</x:v>
      </x:c>
      <x:c r="O5806" s="37"/>
      <x:c r="P5806" s="34" t="n">
        <x:v>742.5</x:v>
      </x:c>
      <x:c r="Q5806" s="37" t="n">
        <x:v>46103.93556712963</x:v>
      </x:c>
    </x:row>
    <x:row r="5807">
      <x:c r="A5807" s="22" t="n">
        <x:v>23862</x:v>
      </x:c>
      <x:c r="B5807" s="28" t="n">
        <x:v>600</x:v>
      </x:c>
      <x:c r="C5807" s="28"/>
      <x:c r="D5807" s="31" t="str">
        <x:f>IF(OR(ISBLANK(B5807),ISBLANK(C5807),B5807=0),"",(C5807-B5807)/B5807)</x:f>
      </x:c>
      <x:c r="E5807" s="22" t="str">
        <x:f>IF(ISBLANK(C5807),"AmountIncludingTax缺失",IF(ABS(B5807-C5807)&lt;0.005,"一致","不一致"))</x:f>
        <x:v>AmountIncludingTax缺失</x:v>
      </x:c>
      <x:c r="F5807" s="19" t="str">
        <x:v>approved</x:v>
      </x:c>
      <x:c r="G5807" s="19" t="str">
        <x:v>Repair in Progress</x:v>
      </x:c>
      <x:c r="H5807" s="19" t="str">
        <x:v>In Field</x:v>
      </x:c>
      <x:c r="I5807" s="37" t="n">
        <x:v>46063</x:v>
      </x:c>
      <x:c r="J5807" s="37" t="n">
        <x:v>46063</x:v>
      </x:c>
      <x:c r="K5807" s="19" t="str">
        <x:v>Regent RV - Traralgon</x:v>
      </x:c>
      <x:c r="L5807" s="19" t="str">
        <x:v>Z006</x:v>
      </x:c>
      <x:c r="M5807" s="19" t="str">
        <x:v>In Field Warranty Claims</x:v>
      </x:c>
      <x:c r="N5807" s="37" t="n">
        <x:v>45881</x:v>
      </x:c>
      <x:c r="O5807" s="37"/>
      <x:c r="P5807" s="34" t="n">
        <x:v>0</x:v>
      </x:c>
      <x:c r="Q5807" s="37" t="n">
        <x:v>46063.103472222225</x:v>
      </x:c>
    </x:row>
    <x:row r="5808">
      <x:c r="A5808" s="22" t="n">
        <x:v>23849</x:v>
      </x:c>
      <x:c r="B5808" s="28" t="n">
        <x:v>600</x:v>
      </x:c>
      <x:c r="C5808" s="28"/>
      <x:c r="D5808" s="31" t="str">
        <x:f>IF(OR(ISBLANK(B5808),ISBLANK(C5808),B5808=0),"",(C5808-B5808)/B5808)</x:f>
      </x:c>
      <x:c r="E5808" s="22" t="str">
        <x:f>IF(ISBLANK(C5808),"AmountIncludingTax缺失",IF(ABS(B5808-C5808)&lt;0.005,"一致","不一致"))</x:f>
        <x:v>AmountIncludingTax缺失</x:v>
      </x:c>
      <x:c r="F5808" s="19" t="str">
        <x:v>approved</x:v>
      </x:c>
      <x:c r="G5808" s="19" t="str">
        <x:v>Repairer Invoiced Processed</x:v>
      </x:c>
      <x:c r="H5808" s="19" t="str">
        <x:v>In Field</x:v>
      </x:c>
      <x:c r="I5808" s="37" t="n">
        <x:v>46065</x:v>
      </x:c>
      <x:c r="J5808" s="37" t="n">
        <x:v>46065</x:v>
      </x:c>
      <x:c r="K5808" s="19" t="str">
        <x:v>Regent RV Pty Ltd</x:v>
      </x:c>
      <x:c r="L5808" s="19" t="str">
        <x:v>Z006</x:v>
      </x:c>
      <x:c r="M5808" s="19" t="str">
        <x:v>In Field Warranty Claims</x:v>
      </x:c>
      <x:c r="N5808" s="37" t="n">
        <x:v>45880</x:v>
      </x:c>
      <x:c r="O5808" s="37"/>
      <x:c r="P5808" s="34" t="n">
        <x:v>0</x:v>
      </x:c>
      <x:c r="Q5808" s="37" t="n">
        <x:v>46065.16376157408</x:v>
      </x:c>
    </x:row>
    <x:row r="5809">
      <x:c r="A5809" s="22" t="n">
        <x:v>23823</x:v>
      </x:c>
      <x:c r="B5809" s="28" t="n">
        <x:v>55</x:v>
      </x:c>
      <x:c r="C5809" s="28"/>
      <x:c r="D5809" s="31" t="str">
        <x:f>IF(OR(ISBLANK(B5809),ISBLANK(C5809),B5809=0),"",(C5809-B5809)/B5809)</x:f>
      </x:c>
      <x:c r="E5809" s="22" t="str">
        <x:f>IF(ISBLANK(C5809),"AmountIncludingTax缺失",IF(ABS(B5809-C5809)&lt;0.005,"一致","不一致"))</x:f>
        <x:v>AmountIncludingTax缺失</x:v>
      </x:c>
      <x:c r="F5809" s="19" t="str">
        <x:v>approved</x:v>
      </x:c>
      <x:c r="G5809" s="19" t="str">
        <x:v>Repairer Invoiced Processed</x:v>
      </x:c>
      <x:c r="H5809" s="19" t="str">
        <x:v>In Field</x:v>
      </x:c>
      <x:c r="I5809" s="37" t="n">
        <x:v>46098</x:v>
      </x:c>
      <x:c r="J5809" s="37" t="n">
        <x:v>46098</x:v>
      </x:c>
      <x:c r="K5809" s="19" t="str">
        <x:v>Regent RV - Perth</x:v>
      </x:c>
      <x:c r="L5809" s="19" t="str">
        <x:v>Z006</x:v>
      </x:c>
      <x:c r="M5809" s="19" t="str">
        <x:v>In Field Warranty Claims</x:v>
      </x:c>
      <x:c r="N5809" s="37" t="n">
        <x:v>45880</x:v>
      </x:c>
      <x:c r="O5809" s="37"/>
      <x:c r="P5809" s="34" t="n">
        <x:v>0</x:v>
      </x:c>
      <x:c r="Q5809" s="37" t="n">
        <x:v>46097.99361111111</x:v>
      </x:c>
    </x:row>
    <x:row r="5810">
      <x:c r="A5810" s="22" t="n">
        <x:v>23819</x:v>
      </x:c>
      <x:c r="B5810" s="28" t="n">
        <x:v>300</x:v>
      </x:c>
      <x:c r="C5810" s="28"/>
      <x:c r="D5810" s="31" t="str">
        <x:f>IF(OR(ISBLANK(B5810),ISBLANK(C5810),B5810=0),"",(C5810-B5810)/B5810)</x:f>
      </x:c>
      <x:c r="E5810" s="22" t="str">
        <x:f>IF(ISBLANK(C5810),"AmountIncludingTax缺失",IF(ABS(B5810-C5810)&lt;0.005,"一致","不一致"))</x:f>
        <x:v>AmountIncludingTax缺失</x:v>
      </x:c>
      <x:c r="F5810" s="19" t="str">
        <x:v>approved</x:v>
      </x:c>
      <x:c r="G5810" s="19" t="str">
        <x:v>Repair in Progress</x:v>
      </x:c>
      <x:c r="H5810" s="19" t="str">
        <x:v>In Field</x:v>
      </x:c>
      <x:c r="I5810" s="37" t="n">
        <x:v>46087</x:v>
      </x:c>
      <x:c r="J5810" s="37" t="n">
        <x:v>46087</x:v>
      </x:c>
      <x:c r="K5810" s="19" t="str">
        <x:v>Regent RV - Perth</x:v>
      </x:c>
      <x:c r="L5810" s="19" t="str">
        <x:v>Z006</x:v>
      </x:c>
      <x:c r="M5810" s="19" t="str">
        <x:v>In Field Warranty Claims</x:v>
      </x:c>
      <x:c r="N5810" s="37" t="n">
        <x:v>45880</x:v>
      </x:c>
      <x:c r="O5810" s="37"/>
      <x:c r="P5810" s="34" t="n">
        <x:v>0</x:v>
      </x:c>
      <x:c r="Q5810" s="37" t="n">
        <x:v>46087.09905092593</x:v>
      </x:c>
    </x:row>
    <x:row r="5811">
      <x:c r="A5811" s="22" t="n">
        <x:v>23787</x:v>
      </x:c>
      <x:c r="B5811" s="28" t="n">
        <x:v>113.65</x:v>
      </x:c>
      <x:c r="C5811" s="28"/>
      <x:c r="D5811" s="31" t="str">
        <x:f>IF(OR(ISBLANK(B5811),ISBLANK(C5811),B5811=0),"",(C5811-B5811)/B5811)</x:f>
      </x:c>
      <x:c r="E5811" s="22" t="str">
        <x:f>IF(ISBLANK(C5811),"AmountIncludingTax缺失",IF(ABS(B5811-C5811)&lt;0.005,"一致","不一致"))</x:f>
        <x:v>AmountIncludingTax缺失</x:v>
      </x:c>
      <x:c r="F5811" s="19" t="str">
        <x:v>approved</x:v>
      </x:c>
      <x:c r="G5811" s="19" t="str">
        <x:v>Repair in Progress</x:v>
      </x:c>
      <x:c r="H5811" s="19" t="str">
        <x:v>Pre Delivery</x:v>
      </x:c>
      <x:c r="I5811" s="37" t="n">
        <x:v>46072</x:v>
      </x:c>
      <x:c r="J5811" s="37" t="n">
        <x:v>46072</x:v>
      </x:c>
      <x:c r="K5811" s="19" t="str">
        <x:v>QCCC - Gympie</x:v>
      </x:c>
      <x:c r="L5811" s="19" t="str">
        <x:v>Z005</x:v>
      </x:c>
      <x:c r="M5811" s="19" t="str">
        <x:v>Pre Delivery Warranty Claims</x:v>
      </x:c>
      <x:c r="N5811" s="37" t="n">
        <x:v>45880</x:v>
      </x:c>
      <x:c r="O5811" s="37"/>
      <x:c r="P5811" s="34" t="n">
        <x:v>0</x:v>
      </x:c>
      <x:c r="Q5811" s="37" t="n">
        <x:v>46071.98894675926</x:v>
      </x:c>
    </x:row>
    <x:row r="5812">
      <x:c r="A5812" s="22" t="n">
        <x:v>23784</x:v>
      </x:c>
      <x:c r="B5812" s="28" t="n">
        <x:v>139.09</x:v>
      </x:c>
      <x:c r="C5812" s="28" t="n">
        <x:v>153</x:v>
      </x:c>
      <x:c r="D5812" s="31" t="n">
        <x:f>IF(OR(ISBLANK(B5812),ISBLANK(C5812),B5812=0),"",(C5812-B5812)/B5812)</x:f>
        <x:v>0.10000718958947441</x:v>
      </x:c>
      <x:c r="E5812" s="22" t="str">
        <x:f>IF(ISBLANK(C5812),"AmountIncludingTax缺失",IF(ABS(B5812-C5812)&lt;0.005,"一致","不一致"))</x:f>
        <x:v>不一致</x:v>
      </x:c>
      <x:c r="F5812" s="19" t="str">
        <x:v>approved</x:v>
      </x:c>
      <x:c r="G5812" s="19" t="str">
        <x:v>Repair in Progress</x:v>
      </x:c>
      <x:c r="H5812" s="19" t="str">
        <x:v>In Field</x:v>
      </x:c>
      <x:c r="I5812" s="37" t="n">
        <x:v>46104</x:v>
      </x:c>
      <x:c r="J5812" s="37" t="n">
        <x:v>46104</x:v>
      </x:c>
      <x:c r="K5812" s="19" t="str">
        <x:v>Green RV - Forest Glen</x:v>
      </x:c>
      <x:c r="L5812" s="19" t="str">
        <x:v>Z006</x:v>
      </x:c>
      <x:c r="M5812" s="19" t="str">
        <x:v>In Field Warranty Claims</x:v>
      </x:c>
      <x:c r="N5812" s="37" t="n">
        <x:v>45878</x:v>
      </x:c>
      <x:c r="O5812" s="37"/>
      <x:c r="P5812" s="34" t="n">
        <x:v>153</x:v>
      </x:c>
      <x:c r="Q5812" s="37" t="n">
        <x:v>46104.13295138889</x:v>
      </x:c>
    </x:row>
    <x:row r="5813">
      <x:c r="A5813" s="22" t="n">
        <x:v>23774</x:v>
      </x:c>
      <x:c r="B5813" s="28" t="n">
        <x:v>1485</x:v>
      </x:c>
      <x:c r="C5813" s="28"/>
      <x:c r="D5813" s="31" t="str">
        <x:f>IF(OR(ISBLANK(B5813),ISBLANK(C5813),B5813=0),"",(C5813-B5813)/B5813)</x:f>
      </x:c>
      <x:c r="E5813" s="22" t="str">
        <x:f>IF(ISBLANK(C5813),"AmountIncludingTax缺失",IF(ABS(B5813-C5813)&lt;0.005,"一致","不一致"))</x:f>
        <x:v>AmountIncludingTax缺失</x:v>
      </x:c>
      <x:c r="F5813" s="19" t="str">
        <x:v>approved</x:v>
      </x:c>
      <x:c r="G5813" s="19" t="str">
        <x:v>Repair in Progress</x:v>
      </x:c>
      <x:c r="H5813" s="19" t="str">
        <x:v>In Field</x:v>
      </x:c>
      <x:c r="I5813" s="37" t="n">
        <x:v>46043</x:v>
      </x:c>
      <x:c r="J5813" s="37" t="n">
        <x:v>46043</x:v>
      </x:c>
      <x:c r="K5813" s="19" t="str">
        <x:v>Regent RV - Perth</x:v>
      </x:c>
      <x:c r="L5813" s="19" t="str">
        <x:v>Z006</x:v>
      </x:c>
      <x:c r="M5813" s="19" t="str">
        <x:v>In Field Warranty Claims</x:v>
      </x:c>
      <x:c r="N5813" s="37" t="n">
        <x:v>45878</x:v>
      </x:c>
      <x:c r="O5813" s="37"/>
      <x:c r="P5813" s="34" t="n">
        <x:v>0</x:v>
      </x:c>
      <x:c r="Q5813" s="37" t="n">
        <x:v>46043.32844907408</x:v>
      </x:c>
    </x:row>
    <x:row r="5814">
      <x:c r="A5814" s="22" t="n">
        <x:v>23746</x:v>
      </x:c>
      <x:c r="B5814" s="28" t="n">
        <x:v>415</x:v>
      </x:c>
      <x:c r="C5814" s="28"/>
      <x:c r="D5814" s="31" t="str">
        <x:f>IF(OR(ISBLANK(B5814),ISBLANK(C5814),B5814=0),"",(C5814-B5814)/B5814)</x:f>
      </x:c>
      <x:c r="E5814" s="22" t="str">
        <x:f>IF(ISBLANK(C5814),"AmountIncludingTax缺失",IF(ABS(B5814-C5814)&lt;0.005,"一致","不一致"))</x:f>
        <x:v>AmountIncludingTax缺失</x:v>
      </x:c>
      <x:c r="F5814" s="19" t="str">
        <x:v>approved</x:v>
      </x:c>
      <x:c r="G5814" s="19" t="str">
        <x:v>Sales Order Approved</x:v>
      </x:c>
      <x:c r="H5814" s="19" t="str">
        <x:v>In Field</x:v>
      </x:c>
      <x:c r="I5814" s="37" t="n">
        <x:v>46196</x:v>
      </x:c>
      <x:c r="J5814" s="37" t="n">
        <x:v>46196</x:v>
      </x:c>
      <x:c r="K5814" s="19" t="str">
        <x:v>Bendigo Caravan Group - Bendigo</x:v>
      </x:c>
      <x:c r="L5814" s="19" t="str">
        <x:v>Z006</x:v>
      </x:c>
      <x:c r="M5814" s="19" t="str">
        <x:v>In Field Warranty Claims</x:v>
      </x:c>
      <x:c r="N5814" s="37" t="n">
        <x:v>45877</x:v>
      </x:c>
      <x:c r="O5814" s="37" t="n">
        <x:v>46015</x:v>
      </x:c>
      <x:c r="P5814" s="34" t="n">
        <x:v>0</x:v>
      </x:c>
      <x:c r="Q5814" s="37" t="n">
        <x:v>46195.88763888889</x:v>
      </x:c>
    </x:row>
    <x:row r="5815">
      <x:c r="A5815" s="22" t="n">
        <x:v>23741</x:v>
      </x:c>
      <x:c r="B5815" s="28" t="n">
        <x:v>2405.09</x:v>
      </x:c>
      <x:c r="C5815" s="28"/>
      <x:c r="D5815" s="31" t="str">
        <x:f>IF(OR(ISBLANK(B5815),ISBLANK(C5815),B5815=0),"",(C5815-B5815)/B5815)</x:f>
      </x:c>
      <x:c r="E5815" s="22" t="str">
        <x:f>IF(ISBLANK(C5815),"AmountIncludingTax缺失",IF(ABS(B5815-C5815)&lt;0.005,"一致","不一致"))</x:f>
        <x:v>AmountIncludingTax缺失</x:v>
      </x:c>
      <x:c r="F5815" s="19" t="str">
        <x:v>approved</x:v>
      </x:c>
      <x:c r="G5815" s="19" t="str">
        <x:v>Repair in Progress</x:v>
      </x:c>
      <x:c r="H5815" s="19" t="str">
        <x:v>In Field</x:v>
      </x:c>
      <x:c r="I5815" s="37" t="n">
        <x:v>46042</x:v>
      </x:c>
      <x:c r="J5815" s="37" t="n">
        <x:v>46042</x:v>
      </x:c>
      <x:c r="K5815" s="19" t="str">
        <x:v>Green RV - Forest Glen</x:v>
      </x:c>
      <x:c r="L5815" s="19" t="str">
        <x:v>Z006</x:v>
      </x:c>
      <x:c r="M5815" s="19" t="str">
        <x:v>In Field Warranty Claims</x:v>
      </x:c>
      <x:c r="N5815" s="37" t="n">
        <x:v>45877</x:v>
      </x:c>
      <x:c r="O5815" s="37"/>
      <x:c r="P5815" s="34" t="n">
        <x:v>2645.6</x:v>
      </x:c>
      <x:c r="Q5815" s="37" t="n">
        <x:v>46042.103900462964</x:v>
      </x:c>
    </x:row>
    <x:row r="5816">
      <x:c r="A5816" s="22" t="n">
        <x:v>23732</x:v>
      </x:c>
      <x:c r="B5816" s="28" t="n">
        <x:v>295.09</x:v>
      </x:c>
      <x:c r="C5816" s="28" t="n">
        <x:v>324.6</x:v>
      </x:c>
      <x:c r="D5816" s="31" t="n">
        <x:f>IF(OR(ISBLANK(B5816),ISBLANK(C5816),B5816=0),"",(C5816-B5816)/B5816)</x:f>
        <x:v>0.10000338879663849</x:v>
      </x:c>
      <x:c r="E5816" s="22" t="str">
        <x:f>IF(ISBLANK(C5816),"AmountIncludingTax缺失",IF(ABS(B5816-C5816)&lt;0.005,"一致","不一致"))</x:f>
        <x:v>不一致</x:v>
      </x:c>
      <x:c r="F5816" s="19" t="str">
        <x:v>approved</x:v>
      </x:c>
      <x:c r="G5816" s="19" t="str">
        <x:v>Repairer Invoiced Processed</x:v>
      </x:c>
      <x:c r="H5816" s="19" t="str">
        <x:v>In Field</x:v>
      </x:c>
      <x:c r="I5816" s="37" t="n">
        <x:v>46160</x:v>
      </x:c>
      <x:c r="J5816" s="37" t="n">
        <x:v>46160</x:v>
      </x:c>
      <x:c r="K5816" s="19" t="str">
        <x:v>Green RV - Forest Glen</x:v>
      </x:c>
      <x:c r="L5816" s="19" t="str">
        <x:v>Z006</x:v>
      </x:c>
      <x:c r="M5816" s="19" t="str">
        <x:v>In Field Warranty Claims</x:v>
      </x:c>
      <x:c r="N5816" s="37" t="n">
        <x:v>45876</x:v>
      </x:c>
      <x:c r="O5816" s="37"/>
      <x:c r="P5816" s="34" t="n">
        <x:v>324.6</x:v>
      </x:c>
      <x:c r="Q5816" s="37" t="n">
        <x:v>46160.00451388889</x:v>
      </x:c>
    </x:row>
    <x:row r="5817">
      <x:c r="A5817" s="22" t="n">
        <x:v>23728</x:v>
      </x:c>
      <x:c r="B5817" s="28" t="n">
        <x:v>1415.24</x:v>
      </x:c>
      <x:c r="C5817" s="28"/>
      <x:c r="D5817" s="31" t="str">
        <x:f>IF(OR(ISBLANK(B5817),ISBLANK(C5817),B5817=0),"",(C5817-B5817)/B5817)</x:f>
      </x:c>
      <x:c r="E5817" s="22" t="str">
        <x:f>IF(ISBLANK(C5817),"AmountIncludingTax缺失",IF(ABS(B5817-C5817)&lt;0.005,"一致","不一致"))</x:f>
        <x:v>AmountIncludingTax缺失</x:v>
      </x:c>
      <x:c r="F5817" s="19" t="str">
        <x:v>approved</x:v>
      </x:c>
      <x:c r="G5817" s="19" t="str">
        <x:v>Repairer Invoiced Processed</x:v>
      </x:c>
      <x:c r="H5817" s="19" t="str">
        <x:v>Pre Delivery</x:v>
      </x:c>
      <x:c r="I5817" s="37" t="n">
        <x:v>46135</x:v>
      </x:c>
      <x:c r="J5817" s="37" t="n">
        <x:v>46135</x:v>
      </x:c>
      <x:c r="K5817" s="19" t="str">
        <x:v>Green RV - Forest Glen</x:v>
      </x:c>
      <x:c r="L5817" s="19" t="str">
        <x:v>Z005</x:v>
      </x:c>
      <x:c r="M5817" s="19" t="str">
        <x:v>Pre Delivery Warranty Claims</x:v>
      </x:c>
      <x:c r="N5817" s="37" t="n">
        <x:v>45876</x:v>
      </x:c>
      <x:c r="O5817" s="37"/>
      <x:c r="P5817" s="34" t="n">
        <x:v>0</x:v>
      </x:c>
      <x:c r="Q5817" s="37" t="n">
        <x:v>46135.184965277775</x:v>
      </x:c>
    </x:row>
    <x:row r="5818">
      <x:c r="A5818" s="22" t="n">
        <x:v>23724</x:v>
      </x:c>
      <x:c r="B5818" s="28" t="n">
        <x:v>136.36</x:v>
      </x:c>
      <x:c r="C5818" s="28" t="n">
        <x:v>150</x:v>
      </x:c>
      <x:c r="D5818" s="31" t="n">
        <x:f>IF(OR(ISBLANK(B5818),ISBLANK(C5818),B5818=0),"",(C5818-B5818)/B5818)</x:f>
        <x:v>0.10002933411557631</x:v>
      </x:c>
      <x:c r="E5818" s="22" t="str">
        <x:f>IF(ISBLANK(C5818),"AmountIncludingTax缺失",IF(ABS(B5818-C5818)&lt;0.005,"一致","不一致"))</x:f>
        <x:v>不一致</x:v>
      </x:c>
      <x:c r="F5818" s="19" t="str">
        <x:v>approved</x:v>
      </x:c>
      <x:c r="G5818" s="19" t="str">
        <x:v>Repairer Invoiced Processed</x:v>
      </x:c>
      <x:c r="H5818" s="19" t="str">
        <x:v>In Field</x:v>
      </x:c>
      <x:c r="I5818" s="37" t="n">
        <x:v>46067</x:v>
      </x:c>
      <x:c r="J5818" s="37" t="n">
        <x:v>46067</x:v>
      </x:c>
      <x:c r="K5818" s="19" t="str">
        <x:v>Green RV - Forest Glen</x:v>
      </x:c>
      <x:c r="L5818" s="19" t="str">
        <x:v>Z006</x:v>
      </x:c>
      <x:c r="M5818" s="19" t="str">
        <x:v>In Field Warranty Claims</x:v>
      </x:c>
      <x:c r="N5818" s="37" t="n">
        <x:v>45876</x:v>
      </x:c>
      <x:c r="O5818" s="37"/>
      <x:c r="P5818" s="34" t="n">
        <x:v>150</x:v>
      </x:c>
      <x:c r="Q5818" s="37" t="n">
        <x:v>46067.38693287037</x:v>
      </x:c>
    </x:row>
    <x:row r="5819">
      <x:c r="A5819" s="22" t="n">
        <x:v>23715</x:v>
      </x:c>
      <x:c r="B5819" s="28" t="n">
        <x:v>670</x:v>
      </x:c>
      <x:c r="C5819" s="28" t="n">
        <x:v>737</x:v>
      </x:c>
      <x:c r="D5819" s="31" t="n">
        <x:f>IF(OR(ISBLANK(B5819),ISBLANK(C5819),B5819=0),"",(C5819-B5819)/B5819)</x:f>
        <x:v>0.1</x:v>
      </x:c>
      <x:c r="E5819" s="22" t="str">
        <x:f>IF(ISBLANK(C5819),"AmountIncludingTax缺失",IF(ABS(B5819-C5819)&lt;0.005,"一致","不一致"))</x:f>
        <x:v>不一致</x:v>
      </x:c>
      <x:c r="F5819" s="19" t="str">
        <x:v>approved</x:v>
      </x:c>
      <x:c r="G5819" s="19" t="str">
        <x:v>Repairer Invoiced Processed</x:v>
      </x:c>
      <x:c r="H5819" s="19" t="str">
        <x:v>In Field</x:v>
      </x:c>
      <x:c r="I5819" s="37" t="n">
        <x:v>46038</x:v>
      </x:c>
      <x:c r="J5819" s="37" t="n">
        <x:v>46037</x:v>
      </x:c>
      <x:c r="K5819" s="19" t="str">
        <x:v>Sherrif Caravans &amp; Traliers - Prospect Vale</x:v>
      </x:c>
      <x:c r="L5819" s="19" t="str">
        <x:v>Z006</x:v>
      </x:c>
      <x:c r="M5819" s="19" t="str">
        <x:v>In Field Warranty Claims</x:v>
      </x:c>
      <x:c r="N5819" s="37" t="n">
        <x:v>45876</x:v>
      </x:c>
      <x:c r="O5819" s="37"/>
      <x:c r="P5819" s="34" t="n">
        <x:v>737</x:v>
      </x:c>
      <x:c r="Q5819" s="37" t="n">
        <x:v>46037.548726851855</x:v>
      </x:c>
    </x:row>
    <x:row r="5820">
      <x:c r="A5820" s="22" t="n">
        <x:v>23711</x:v>
      </x:c>
      <x:c r="B5820" s="28" t="n">
        <x:v>4893.89</x:v>
      </x:c>
      <x:c r="C5820" s="28"/>
      <x:c r="D5820" s="31" t="str">
        <x:f>IF(OR(ISBLANK(B5820),ISBLANK(C5820),B5820=0),"",(C5820-B5820)/B5820)</x:f>
      </x:c>
      <x:c r="E5820" s="22" t="str">
        <x:f>IF(ISBLANK(C5820),"AmountIncludingTax缺失",IF(ABS(B5820-C5820)&lt;0.005,"一致","不一致"))</x:f>
        <x:v>AmountIncludingTax缺失</x:v>
      </x:c>
      <x:c r="F5820" s="19" t="str">
        <x:v>approved</x:v>
      </x:c>
      <x:c r="G5820" s="19" t="str">
        <x:v>Repairer Invoiced Processed</x:v>
      </x:c>
      <x:c r="H5820" s="19" t="str">
        <x:v>In Field</x:v>
      </x:c>
      <x:c r="I5820" s="37" t="n">
        <x:v>46065</x:v>
      </x:c>
      <x:c r="J5820" s="37" t="n">
        <x:v>46065</x:v>
      </x:c>
      <x:c r="K5820" s="19" t="str">
        <x:v>Regent RV Pty Ltd</x:v>
      </x:c>
      <x:c r="L5820" s="19" t="str">
        <x:v>Z006</x:v>
      </x:c>
      <x:c r="M5820" s="19" t="str">
        <x:v>In Field Warranty Claims</x:v>
      </x:c>
      <x:c r="N5820" s="37" t="n">
        <x:v>45876</x:v>
      </x:c>
      <x:c r="O5820" s="37"/>
      <x:c r="P5820" s="34" t="n">
        <x:v>0</x:v>
      </x:c>
      <x:c r="Q5820" s="37" t="n">
        <x:v>46065.16751157407</x:v>
      </x:c>
    </x:row>
    <x:row r="5821">
      <x:c r="A5821" s="22" t="n">
        <x:v>23689</x:v>
      </x:c>
      <x:c r="B5821" s="28" t="n">
        <x:v>2390</x:v>
      </x:c>
      <x:c r="C5821" s="28"/>
      <x:c r="D5821" s="31" t="str">
        <x:f>IF(OR(ISBLANK(B5821),ISBLANK(C5821),B5821=0),"",(C5821-B5821)/B5821)</x:f>
      </x:c>
      <x:c r="E5821" s="22" t="str">
        <x:f>IF(ISBLANK(C5821),"AmountIncludingTax缺失",IF(ABS(B5821-C5821)&lt;0.005,"一致","不一致"))</x:f>
        <x:v>AmountIncludingTax缺失</x:v>
      </x:c>
      <x:c r="F5821" s="19" t="str">
        <x:v>approved_closed</x:v>
      </x:c>
      <x:c r="G5821" s="19" t="str">
        <x:v>Approved Claims Closed (Closed)</x:v>
      </x:c>
      <x:c r="H5821" s="19" t="str">
        <x:v>In Field</x:v>
      </x:c>
      <x:c r="I5821" s="37" t="n">
        <x:v>46119</x:v>
      </x:c>
      <x:c r="J5821" s="37" t="n">
        <x:v>46119</x:v>
      </x:c>
      <x:c r="K5821" s="19" t="str">
        <x:v>Regent RV Pty Ltd</x:v>
      </x:c>
      <x:c r="L5821" s="19" t="str">
        <x:v>Z006</x:v>
      </x:c>
      <x:c r="M5821" s="19" t="str">
        <x:v>In Field Warranty Claims</x:v>
      </x:c>
      <x:c r="N5821" s="37" t="n">
        <x:v>45875</x:v>
      </x:c>
      <x:c r="O5821" s="37" t="n">
        <x:v>46171</x:v>
      </x:c>
      <x:c r="P5821" s="34" t="n">
        <x:v>0</x:v>
      </x:c>
      <x:c r="Q5821" s="37" t="n">
        <x:v>46119.05847222222</x:v>
      </x:c>
    </x:row>
    <x:row r="5822">
      <x:c r="A5822" s="22" t="n">
        <x:v>23678</x:v>
      </x:c>
      <x:c r="B5822" s="28" t="n">
        <x:v>1768.22</x:v>
      </x:c>
      <x:c r="C5822" s="28"/>
      <x:c r="D5822" s="31" t="str">
        <x:f>IF(OR(ISBLANK(B5822),ISBLANK(C5822),B5822=0),"",(C5822-B5822)/B5822)</x:f>
      </x:c>
      <x:c r="E5822" s="22" t="str">
        <x:f>IF(ISBLANK(C5822),"AmountIncludingTax缺失",IF(ABS(B5822-C5822)&lt;0.005,"一致","不一致"))</x:f>
        <x:v>AmountIncludingTax缺失</x:v>
      </x:c>
      <x:c r="F5822" s="19" t="str">
        <x:v>approved</x:v>
      </x:c>
      <x:c r="G5822" s="19" t="str">
        <x:v>Repair in Progress</x:v>
      </x:c>
      <x:c r="H5822" s="19" t="str">
        <x:v>In Field</x:v>
      </x:c>
      <x:c r="I5822" s="37" t="n">
        <x:v>46107</x:v>
      </x:c>
      <x:c r="J5822" s="37" t="n">
        <x:v>46107</x:v>
      </x:c>
      <x:c r="K5822" s="19" t="str">
        <x:v>Green RV - Forest Glen</x:v>
      </x:c>
      <x:c r="L5822" s="19" t="str">
        <x:v>Z006</x:v>
      </x:c>
      <x:c r="M5822" s="19" t="str">
        <x:v>In Field Warranty Claims</x:v>
      </x:c>
      <x:c r="N5822" s="37" t="n">
        <x:v>45875</x:v>
      </x:c>
      <x:c r="O5822" s="37" t="n">
        <x:v>46038</x:v>
      </x:c>
      <x:c r="P5822" s="34" t="n">
        <x:v>1945.04</x:v>
      </x:c>
      <x:c r="Q5822" s="37" t="n">
        <x:v>46106.8771875</x:v>
      </x:c>
    </x:row>
    <x:row r="5823">
      <x:c r="A5823" s="22" t="n">
        <x:v>23641</x:v>
      </x:c>
      <x:c r="B5823" s="28" t="n">
        <x:v>510</x:v>
      </x:c>
      <x:c r="C5823" s="28"/>
      <x:c r="D5823" s="31" t="str">
        <x:f>IF(OR(ISBLANK(B5823),ISBLANK(C5823),B5823=0),"",(C5823-B5823)/B5823)</x:f>
      </x:c>
      <x:c r="E5823" s="22" t="str">
        <x:f>IF(ISBLANK(C5823),"AmountIncludingTax缺失",IF(ABS(B5823-C5823)&lt;0.005,"一致","不一致"))</x:f>
        <x:v>AmountIncludingTax缺失</x:v>
      </x:c>
      <x:c r="F5823" s="19" t="str">
        <x:v>approved</x:v>
      </x:c>
      <x:c r="G5823" s="19" t="str">
        <x:v>Repairer Invoiced Processed</x:v>
      </x:c>
      <x:c r="H5823" s="19" t="str">
        <x:v>In Field</x:v>
      </x:c>
      <x:c r="I5823" s="37" t="n">
        <x:v>46038</x:v>
      </x:c>
      <x:c r="J5823" s="37" t="n">
        <x:v>46037</x:v>
      </x:c>
      <x:c r="K5823" s="19" t="str">
        <x:v>Newcastle RV Super Centre - Beresfield</x:v>
      </x:c>
      <x:c r="L5823" s="19" t="str">
        <x:v>Z006</x:v>
      </x:c>
      <x:c r="M5823" s="19" t="str">
        <x:v>In Field Warranty Claims</x:v>
      </x:c>
      <x:c r="N5823" s="37" t="n">
        <x:v>45874</x:v>
      </x:c>
      <x:c r="O5823" s="37"/>
      <x:c r="P5823" s="34" t="n">
        <x:v>0</x:v>
      </x:c>
      <x:c r="Q5823" s="37" t="n">
        <x:v>46037.54556712963</x:v>
      </x:c>
    </x:row>
    <x:row r="5824">
      <x:c r="A5824" s="22" t="n">
        <x:v>23562</x:v>
      </x:c>
      <x:c r="B5824" s="28" t="n">
        <x:v>1417.5</x:v>
      </x:c>
      <x:c r="C5824" s="28"/>
      <x:c r="D5824" s="31" t="str">
        <x:f>IF(OR(ISBLANK(B5824),ISBLANK(C5824),B5824=0),"",(C5824-B5824)/B5824)</x:f>
      </x:c>
      <x:c r="E5824" s="22" t="str">
        <x:f>IF(ISBLANK(C5824),"AmountIncludingTax缺失",IF(ABS(B5824-C5824)&lt;0.005,"一致","不一致"))</x:f>
        <x:v>AmountIncludingTax缺失</x:v>
      </x:c>
      <x:c r="F5824" s="19" t="str">
        <x:v>approved</x:v>
      </x:c>
      <x:c r="G5824" s="19" t="str">
        <x:v>Repair in Progress</x:v>
      </x:c>
      <x:c r="H5824" s="19" t="str">
        <x:v>In Field</x:v>
      </x:c>
      <x:c r="I5824" s="37" t="n">
        <x:v>46080</x:v>
      </x:c>
      <x:c r="J5824" s="37" t="n">
        <x:v>46063</x:v>
      </x:c>
      <x:c r="K5824" s="19" t="str">
        <x:v>Regent RV - Townsville</x:v>
      </x:c>
      <x:c r="L5824" s="19" t="str">
        <x:v>Z006</x:v>
      </x:c>
      <x:c r="M5824" s="19" t="str">
        <x:v>In Field Warranty Claims</x:v>
      </x:c>
      <x:c r="N5824" s="37" t="n">
        <x:v>45873</x:v>
      </x:c>
      <x:c r="O5824" s="37"/>
      <x:c r="P5824" s="34" t="n">
        <x:v>0</x:v>
      </x:c>
      <x:c r="Q5824" s="37" t="n">
        <x:v>46080.031319444446</x:v>
      </x:c>
    </x:row>
    <x:row r="5825">
      <x:c r="A5825" s="22" t="n">
        <x:v>23559</x:v>
      </x:c>
      <x:c r="B5825" s="28" t="n">
        <x:v>207.27</x:v>
      </x:c>
      <x:c r="C5825" s="28" t="n">
        <x:v>228</x:v>
      </x:c>
      <x:c r="D5825" s="31" t="n">
        <x:f>IF(OR(ISBLANK(B5825),ISBLANK(C5825),B5825=0),"",(C5825-B5825)/B5825)</x:f>
        <x:v>0.10001447387465619</x:v>
      </x:c>
      <x:c r="E5825" s="22" t="str">
        <x:f>IF(ISBLANK(C5825),"AmountIncludingTax缺失",IF(ABS(B5825-C5825)&lt;0.005,"一致","不一致"))</x:f>
        <x:v>不一致</x:v>
      </x:c>
      <x:c r="F5825" s="19" t="str">
        <x:v>approved</x:v>
      </x:c>
      <x:c r="G5825" s="19" t="str">
        <x:v>Repairer Invoiced Processed</x:v>
      </x:c>
      <x:c r="H5825" s="19" t="str">
        <x:v>In Field</x:v>
      </x:c>
      <x:c r="I5825" s="37" t="n">
        <x:v>46072</x:v>
      </x:c>
      <x:c r="J5825" s="37" t="n">
        <x:v>46072</x:v>
      </x:c>
      <x:c r="K5825" s="19" t="str">
        <x:v>Auswide Caravans - South Nowra</x:v>
      </x:c>
      <x:c r="L5825" s="19" t="str">
        <x:v>Z006</x:v>
      </x:c>
      <x:c r="M5825" s="19" t="str">
        <x:v>In Field Warranty Claims</x:v>
      </x:c>
      <x:c r="N5825" s="37" t="n">
        <x:v>45874</x:v>
      </x:c>
      <x:c r="O5825" s="37" t="n">
        <x:v>46003</x:v>
      </x:c>
      <x:c r="P5825" s="34" t="n">
        <x:v>228</x:v>
      </x:c>
      <x:c r="Q5825" s="37" t="n">
        <x:v>46072.2509375</x:v>
      </x:c>
    </x:row>
    <x:row r="5826">
      <x:c r="A5826" s="22" t="n">
        <x:v>23558</x:v>
      </x:c>
      <x:c r="B5826" s="28" t="n">
        <x:v>660</x:v>
      </x:c>
      <x:c r="C5826" s="28"/>
      <x:c r="D5826" s="31" t="str">
        <x:f>IF(OR(ISBLANK(B5826),ISBLANK(C5826),B5826=0),"",(C5826-B5826)/B5826)</x:f>
      </x:c>
      <x:c r="E5826" s="22" t="str">
        <x:f>IF(ISBLANK(C5826),"AmountIncludingTax缺失",IF(ABS(B5826-C5826)&lt;0.005,"一致","不一致"))</x:f>
        <x:v>AmountIncludingTax缺失</x:v>
      </x:c>
      <x:c r="F5826" s="19" t="str">
        <x:v>approved</x:v>
      </x:c>
      <x:c r="G5826" s="19" t="str">
        <x:v>Repair in Progress</x:v>
      </x:c>
      <x:c r="H5826" s="19" t="str">
        <x:v>In Field</x:v>
      </x:c>
      <x:c r="I5826" s="37" t="n">
        <x:v>46069</x:v>
      </x:c>
      <x:c r="J5826" s="37" t="n">
        <x:v>46069</x:v>
      </x:c>
      <x:c r="K5826" s="19" t="str">
        <x:v>Regent RV - Perth</x:v>
      </x:c>
      <x:c r="L5826" s="19" t="str">
        <x:v>Z006</x:v>
      </x:c>
      <x:c r="M5826" s="19" t="str">
        <x:v>In Field Warranty Claims</x:v>
      </x:c>
      <x:c r="N5826" s="37" t="n">
        <x:v>45874</x:v>
      </x:c>
      <x:c r="O5826" s="37"/>
      <x:c r="P5826" s="34" t="n">
        <x:v>0</x:v>
      </x:c>
      <x:c r="Q5826" s="37" t="n">
        <x:v>46069.129907407405</x:v>
      </x:c>
    </x:row>
    <x:row r="5827">
      <x:c r="A5827" s="22" t="n">
        <x:v>23546</x:v>
      </x:c>
      <x:c r="B5827" s="28" t="n">
        <x:v>1113.52</x:v>
      </x:c>
      <x:c r="C5827" s="28"/>
      <x:c r="D5827" s="31" t="str">
        <x:f>IF(OR(ISBLANK(B5827),ISBLANK(C5827),B5827=0),"",(C5827-B5827)/B5827)</x:f>
      </x:c>
      <x:c r="E5827" s="22" t="str">
        <x:f>IF(ISBLANK(C5827),"AmountIncludingTax缺失",IF(ABS(B5827-C5827)&lt;0.005,"一致","不一致"))</x:f>
        <x:v>AmountIncludingTax缺失</x:v>
      </x:c>
      <x:c r="F5827" s="19" t="str">
        <x:v>approved</x:v>
      </x:c>
      <x:c r="G5827" s="19" t="str">
        <x:v>Repairer Invoiced Processed</x:v>
      </x:c>
      <x:c r="H5827" s="19" t="str">
        <x:v>In Field</x:v>
      </x:c>
      <x:c r="I5827" s="37" t="n">
        <x:v>46079</x:v>
      </x:c>
      <x:c r="J5827" s="37" t="n">
        <x:v>46079</x:v>
      </x:c>
      <x:c r="K5827" s="19" t="str">
        <x:v>Green RV - Forest Glen</x:v>
      </x:c>
      <x:c r="L5827" s="19" t="str">
        <x:v>Z006</x:v>
      </x:c>
      <x:c r="M5827" s="19" t="str">
        <x:v>In Field Warranty Claims</x:v>
      </x:c>
      <x:c r="N5827" s="37" t="n">
        <x:v>45873</x:v>
      </x:c>
      <x:c r="O5827" s="37"/>
      <x:c r="P5827" s="34" t="n">
        <x:v>1224.87</x:v>
      </x:c>
      <x:c r="Q5827" s="37" t="n">
        <x:v>46078.9718287037</x:v>
      </x:c>
    </x:row>
    <x:row r="5828">
      <x:c r="A5828" s="22" t="n">
        <x:v>23538</x:v>
      </x:c>
      <x:c r="B5828" s="28" t="n">
        <x:v>1220.7</x:v>
      </x:c>
      <x:c r="C5828" s="28"/>
      <x:c r="D5828" s="31" t="str">
        <x:f>IF(OR(ISBLANK(B5828),ISBLANK(C5828),B5828=0),"",(C5828-B5828)/B5828)</x:f>
      </x:c>
      <x:c r="E5828" s="22" t="str">
        <x:f>IF(ISBLANK(C5828),"AmountIncludingTax缺失",IF(ABS(B5828-C5828)&lt;0.005,"一致","不一致"))</x:f>
        <x:v>AmountIncludingTax缺失</x:v>
      </x:c>
      <x:c r="F5828" s="19" t="str">
        <x:v>approved</x:v>
      </x:c>
      <x:c r="G5828" s="19" t="str">
        <x:v>Repairer Invoiced Processed</x:v>
      </x:c>
      <x:c r="H5828" s="19" t="str">
        <x:v>In Field</x:v>
      </x:c>
      <x:c r="I5828" s="37" t="n">
        <x:v>46042</x:v>
      </x:c>
      <x:c r="J5828" s="37" t="n">
        <x:v>46042</x:v>
      </x:c>
      <x:c r="K5828" s="19" t="str">
        <x:v>Green RV - Forest Glen</x:v>
      </x:c>
      <x:c r="L5828" s="19" t="str">
        <x:v>Z006</x:v>
      </x:c>
      <x:c r="M5828" s="19" t="str">
        <x:v>In Field Warranty Claims</x:v>
      </x:c>
      <x:c r="N5828" s="37" t="n">
        <x:v>45873</x:v>
      </x:c>
      <x:c r="O5828" s="37"/>
      <x:c r="P5828" s="34" t="n">
        <x:v>1342.77</x:v>
      </x:c>
      <x:c r="Q5828" s="37" t="n">
        <x:v>46042.201631944445</x:v>
      </x:c>
    </x:row>
    <x:row r="5829">
      <x:c r="A5829" s="22" t="n">
        <x:v>23500</x:v>
      </x:c>
      <x:c r="B5829" s="28" t="n">
        <x:v>135</x:v>
      </x:c>
      <x:c r="C5829" s="28"/>
      <x:c r="D5829" s="31" t="str">
        <x:f>IF(OR(ISBLANK(B5829),ISBLANK(C5829),B5829=0),"",(C5829-B5829)/B5829)</x:f>
      </x:c>
      <x:c r="E5829" s="22" t="str">
        <x:f>IF(ISBLANK(C5829),"AmountIncludingTax缺失",IF(ABS(B5829-C5829)&lt;0.005,"一致","不一致"))</x:f>
        <x:v>AmountIncludingTax缺失</x:v>
      </x:c>
      <x:c r="F5829" s="19" t="str">
        <x:v>approved</x:v>
      </x:c>
      <x:c r="G5829" s="19" t="str">
        <x:v>Repair in Progress</x:v>
      </x:c>
      <x:c r="H5829" s="19" t="str">
        <x:v>In Field</x:v>
      </x:c>
      <x:c r="I5829" s="37" t="n">
        <x:v>46058</x:v>
      </x:c>
      <x:c r="J5829" s="37" t="n">
        <x:v>46058</x:v>
      </x:c>
      <x:c r="K5829" s="19" t="str">
        <x:v>Snowy River Frankston</x:v>
      </x:c>
      <x:c r="L5829" s="19" t="str">
        <x:v>Z006</x:v>
      </x:c>
      <x:c r="M5829" s="19" t="str">
        <x:v>In Field Warranty Claims</x:v>
      </x:c>
      <x:c r="N5829" s="37" t="n">
        <x:v>45873</x:v>
      </x:c>
      <x:c r="O5829" s="37"/>
      <x:c r="P5829" s="34" t="n">
        <x:v>0</x:v>
      </x:c>
      <x:c r="Q5829" s="37" t="n">
        <x:v>46057.99023148148</x:v>
      </x:c>
    </x:row>
    <x:row r="5830">
      <x:c r="A5830" s="22" t="n">
        <x:v>23489</x:v>
      </x:c>
      <x:c r="B5830" s="28" t="n">
        <x:v>1000</x:v>
      </x:c>
      <x:c r="C5830" s="28"/>
      <x:c r="D5830" s="31" t="str">
        <x:f>IF(OR(ISBLANK(B5830),ISBLANK(C5830),B5830=0),"",(C5830-B5830)/B5830)</x:f>
      </x:c>
      <x:c r="E5830" s="22" t="str">
        <x:f>IF(ISBLANK(C5830),"AmountIncludingTax缺失",IF(ABS(B5830-C5830)&lt;0.005,"一致","不一致"))</x:f>
        <x:v>AmountIncludingTax缺失</x:v>
      </x:c>
      <x:c r="F5830" s="19" t="str">
        <x:v>approved</x:v>
      </x:c>
      <x:c r="G5830" s="19" t="str">
        <x:v>Repair in Progress</x:v>
      </x:c>
      <x:c r="H5830" s="19" t="str">
        <x:v>In Field</x:v>
      </x:c>
      <x:c r="I5830" s="37" t="n">
        <x:v>46024</x:v>
      </x:c>
      <x:c r="J5830" s="37" t="n">
        <x:v>46024</x:v>
      </x:c>
      <x:c r="K5830" s="19" t="str">
        <x:v>Regent RV - Perth</x:v>
      </x:c>
      <x:c r="L5830" s="19" t="str">
        <x:v>Z006</x:v>
      </x:c>
      <x:c r="M5830" s="19" t="str">
        <x:v>In Field Warranty Claims</x:v>
      </x:c>
      <x:c r="N5830" s="37" t="n">
        <x:v>45872</x:v>
      </x:c>
      <x:c r="O5830" s="37" t="n">
        <x:v>45896</x:v>
      </x:c>
      <x:c r="P5830" s="34" t="n">
        <x:v>0</x:v>
      </x:c>
      <x:c r="Q5830" s="37" t="n">
        <x:v>46024.263506944444</x:v>
      </x:c>
    </x:row>
    <x:row r="5831">
      <x:c r="A5831" s="22" t="n">
        <x:v>23462</x:v>
      </x:c>
      <x:c r="B5831" s="28" t="n">
        <x:v>481.25</x:v>
      </x:c>
      <x:c r="C5831" s="28"/>
      <x:c r="D5831" s="31" t="str">
        <x:f>IF(OR(ISBLANK(B5831),ISBLANK(C5831),B5831=0),"",(C5831-B5831)/B5831)</x:f>
      </x:c>
      <x:c r="E5831" s="22" t="str">
        <x:f>IF(ISBLANK(C5831),"AmountIncludingTax缺失",IF(ABS(B5831-C5831)&lt;0.005,"一致","不一致"))</x:f>
        <x:v>AmountIncludingTax缺失</x:v>
      </x:c>
      <x:c r="F5831" s="19" t="str">
        <x:v>approved</x:v>
      </x:c>
      <x:c r="G5831" s="19" t="str">
        <x:v>Repair in Progress</x:v>
      </x:c>
      <x:c r="H5831" s="19" t="str">
        <x:v>In Field</x:v>
      </x:c>
      <x:c r="I5831" s="37" t="n">
        <x:v>46062</x:v>
      </x:c>
      <x:c r="J5831" s="37" t="n">
        <x:v>46062</x:v>
      </x:c>
      <x:c r="K5831" s="19" t="str">
        <x:v>The Caravan Hub - Townsville</x:v>
      </x:c>
      <x:c r="L5831" s="19" t="str">
        <x:v>Z006</x:v>
      </x:c>
      <x:c r="M5831" s="19" t="str">
        <x:v>In Field Warranty Claims</x:v>
      </x:c>
      <x:c r="N5831" s="37" t="n">
        <x:v>45870</x:v>
      </x:c>
      <x:c r="O5831" s="37"/>
      <x:c r="P5831" s="34" t="n">
        <x:v>0</x:v>
      </x:c>
      <x:c r="Q5831" s="37" t="n">
        <x:v>46062.0490162037</x:v>
      </x:c>
    </x:row>
    <x:row r="5832">
      <x:c r="A5832" s="22" t="n">
        <x:v>23437</x:v>
      </x:c>
      <x:c r="B5832" s="28" t="n">
        <x:v>974.43</x:v>
      </x:c>
      <x:c r="C5832" s="28"/>
      <x:c r="D5832" s="31" t="str">
        <x:f>IF(OR(ISBLANK(B5832),ISBLANK(C5832),B5832=0),"",(C5832-B5832)/B5832)</x:f>
      </x:c>
      <x:c r="E5832" s="22" t="str">
        <x:f>IF(ISBLANK(C5832),"AmountIncludingTax缺失",IF(ABS(B5832-C5832)&lt;0.005,"一致","不一致"))</x:f>
        <x:v>AmountIncludingTax缺失</x:v>
      </x:c>
      <x:c r="F5832" s="19" t="str">
        <x:v>approved</x:v>
      </x:c>
      <x:c r="G5832" s="19" t="str">
        <x:v>Repair in Progress</x:v>
      </x:c>
      <x:c r="H5832" s="19" t="str">
        <x:v>In Field</x:v>
      </x:c>
      <x:c r="I5832" s="37" t="n">
        <x:v>46072</x:v>
      </x:c>
      <x:c r="J5832" s="37" t="n">
        <x:v>46072</x:v>
      </x:c>
      <x:c r="K5832" s="19" t="str">
        <x:v>The Caravan Hub - Townsville</x:v>
      </x:c>
      <x:c r="L5832" s="19" t="str">
        <x:v>Z006</x:v>
      </x:c>
      <x:c r="M5832" s="19" t="str">
        <x:v>In Field Warranty Claims</x:v>
      </x:c>
      <x:c r="N5832" s="37" t="n">
        <x:v>45869</x:v>
      </x:c>
      <x:c r="O5832" s="37"/>
      <x:c r="P5832" s="34" t="n">
        <x:v>0</x:v>
      </x:c>
      <x:c r="Q5832" s="37" t="n">
        <x:v>46072.056342592594</x:v>
      </x:c>
    </x:row>
    <x:row r="5833">
      <x:c r="A5833" s="22" t="n">
        <x:v>23428</x:v>
      </x:c>
      <x:c r="B5833" s="28" t="n">
        <x:v>748.75</x:v>
      </x:c>
      <x:c r="C5833" s="28"/>
      <x:c r="D5833" s="31" t="str">
        <x:f>IF(OR(ISBLANK(B5833),ISBLANK(C5833),B5833=0),"",(C5833-B5833)/B5833)</x:f>
      </x:c>
      <x:c r="E5833" s="22" t="str">
        <x:f>IF(ISBLANK(C5833),"AmountIncludingTax缺失",IF(ABS(B5833-C5833)&lt;0.005,"一致","不一致"))</x:f>
        <x:v>AmountIncludingTax缺失</x:v>
      </x:c>
      <x:c r="F5833" s="19" t="str">
        <x:v>approved</x:v>
      </x:c>
      <x:c r="G5833" s="19" t="str">
        <x:v>Sales Order Approved</x:v>
      </x:c>
      <x:c r="H5833" s="19" t="str">
        <x:v>In Field</x:v>
      </x:c>
      <x:c r="I5833" s="37" t="n">
        <x:v>46184</x:v>
      </x:c>
      <x:c r="J5833" s="37" t="n">
        <x:v>46062</x:v>
      </x:c>
      <x:c r="K5833" s="19" t="str">
        <x:v>The Caravan Hub - Townsville</x:v>
      </x:c>
      <x:c r="L5833" s="19" t="str">
        <x:v>Z006</x:v>
      </x:c>
      <x:c r="M5833" s="19" t="str">
        <x:v>In Field Warranty Claims</x:v>
      </x:c>
      <x:c r="N5833" s="37" t="n">
        <x:v>45869</x:v>
      </x:c>
      <x:c r="O5833" s="37"/>
      <x:c r="P5833" s="34" t="n">
        <x:v>0</x:v>
      </x:c>
      <x:c r="Q5833" s="37" t="n">
        <x:v>46183.90001157407</x:v>
      </x:c>
    </x:row>
    <x:row r="5834">
      <x:c r="A5834" s="22" t="n">
        <x:v>23400</x:v>
      </x:c>
      <x:c r="B5834" s="28" t="n">
        <x:v>1286.27</x:v>
      </x:c>
      <x:c r="C5834" s="28"/>
      <x:c r="D5834" s="31" t="str">
        <x:f>IF(OR(ISBLANK(B5834),ISBLANK(C5834),B5834=0),"",(C5834-B5834)/B5834)</x:f>
      </x:c>
      <x:c r="E5834" s="22" t="str">
        <x:f>IF(ISBLANK(C5834),"AmountIncludingTax缺失",IF(ABS(B5834-C5834)&lt;0.005,"一致","不一致"))</x:f>
        <x:v>AmountIncludingTax缺失</x:v>
      </x:c>
      <x:c r="F5834" s="19" t="str">
        <x:v>approved</x:v>
      </x:c>
      <x:c r="G5834" s="19" t="str">
        <x:v>Repairer Invoiced Processed</x:v>
      </x:c>
      <x:c r="H5834" s="19" t="str">
        <x:v>In Field</x:v>
      </x:c>
      <x:c r="I5834" s="37" t="n">
        <x:v>46070</x:v>
      </x:c>
      <x:c r="J5834" s="37" t="n">
        <x:v>46070</x:v>
      </x:c>
      <x:c r="K5834" s="19" t="str">
        <x:v>Green RV - Forest Glen</x:v>
      </x:c>
      <x:c r="L5834" s="19" t="str">
        <x:v>Z006</x:v>
      </x:c>
      <x:c r="M5834" s="19" t="str">
        <x:v>In Field Warranty Claims</x:v>
      </x:c>
      <x:c r="N5834" s="37" t="n">
        <x:v>45869</x:v>
      </x:c>
      <x:c r="O5834" s="37"/>
      <x:c r="P5834" s="34" t="n">
        <x:v>0</x:v>
      </x:c>
      <x:c r="Q5834" s="37" t="n">
        <x:v>46070.03393518519</x:v>
      </x:c>
    </x:row>
    <x:row r="5835">
      <x:c r="A5835" s="22" t="n">
        <x:v>23398</x:v>
      </x:c>
      <x:c r="B5835" s="28" t="n">
        <x:v>481.59</x:v>
      </x:c>
      <x:c r="C5835" s="28"/>
      <x:c r="D5835" s="31" t="str">
        <x:f>IF(OR(ISBLANK(B5835),ISBLANK(C5835),B5835=0),"",(C5835-B5835)/B5835)</x:f>
      </x:c>
      <x:c r="E5835" s="22" t="str">
        <x:f>IF(ISBLANK(C5835),"AmountIncludingTax缺失",IF(ABS(B5835-C5835)&lt;0.005,"一致","不一致"))</x:f>
        <x:v>AmountIncludingTax缺失</x:v>
      </x:c>
      <x:c r="F5835" s="19" t="str">
        <x:v>approved</x:v>
      </x:c>
      <x:c r="G5835" s="19" t="str">
        <x:v>Repairer Invoiced Received</x:v>
      </x:c>
      <x:c r="H5835" s="19" t="str">
        <x:v>In Field</x:v>
      </x:c>
      <x:c r="I5835" s="37" t="n">
        <x:v>46079</x:v>
      </x:c>
      <x:c r="J5835" s="37" t="n">
        <x:v>46079</x:v>
      </x:c>
      <x:c r="K5835" s="19" t="str">
        <x:v>Regent RV Pty Ltd</x:v>
      </x:c>
      <x:c r="L5835" s="19" t="str">
        <x:v>Z006</x:v>
      </x:c>
      <x:c r="M5835" s="19" t="str">
        <x:v>In Field Warranty Claims</x:v>
      </x:c>
      <x:c r="N5835" s="37" t="n">
        <x:v>45869</x:v>
      </x:c>
      <x:c r="O5835" s="37"/>
      <x:c r="P5835" s="34" t="n">
        <x:v>0</x:v>
      </x:c>
      <x:c r="Q5835" s="37" t="n">
        <x:v>46079.04622685185</x:v>
      </x:c>
    </x:row>
    <x:row r="5836">
      <x:c r="A5836" s="22" t="n">
        <x:v>23290</x:v>
      </x:c>
      <x:c r="B5836" s="28" t="n">
        <x:v>1353.43</x:v>
      </x:c>
      <x:c r="C5836" s="28"/>
      <x:c r="D5836" s="31" t="str">
        <x:f>IF(OR(ISBLANK(B5836),ISBLANK(C5836),B5836=0),"",(C5836-B5836)/B5836)</x:f>
      </x:c>
      <x:c r="E5836" s="22" t="str">
        <x:f>IF(ISBLANK(C5836),"AmountIncludingTax缺失",IF(ABS(B5836-C5836)&lt;0.005,"一致","不一致"))</x:f>
        <x:v>AmountIncludingTax缺失</x:v>
      </x:c>
      <x:c r="F5836" s="19" t="str">
        <x:v>approved</x:v>
      </x:c>
      <x:c r="G5836" s="19" t="str">
        <x:v>Repairer Invoiced Processed</x:v>
      </x:c>
      <x:c r="H5836" s="19" t="str">
        <x:v>In Field</x:v>
      </x:c>
      <x:c r="I5836" s="37" t="n">
        <x:v>46121</x:v>
      </x:c>
      <x:c r="J5836" s="37" t="n">
        <x:v>46121</x:v>
      </x:c>
      <x:c r="K5836" s="19" t="str">
        <x:v>Regent RV - Perth</x:v>
      </x:c>
      <x:c r="L5836" s="19" t="str">
        <x:v>Z006</x:v>
      </x:c>
      <x:c r="M5836" s="19" t="str">
        <x:v>In Field Warranty Claims</x:v>
      </x:c>
      <x:c r="N5836" s="37" t="n">
        <x:v>45867</x:v>
      </x:c>
      <x:c r="O5836" s="37"/>
      <x:c r="P5836" s="34" t="n">
        <x:v>0</x:v>
      </x:c>
      <x:c r="Q5836" s="37" t="n">
        <x:v>46121.16909722222</x:v>
      </x:c>
    </x:row>
    <x:row r="5837">
      <x:c r="A5837" s="22" t="n">
        <x:v>23276</x:v>
      </x:c>
      <x:c r="B5837" s="28" t="n">
        <x:v>4455</x:v>
      </x:c>
      <x:c r="C5837" s="28"/>
      <x:c r="D5837" s="31" t="str">
        <x:f>IF(OR(ISBLANK(B5837),ISBLANK(C5837),B5837=0),"",(C5837-B5837)/B5837)</x:f>
      </x:c>
      <x:c r="E5837" s="22" t="str">
        <x:f>IF(ISBLANK(C5837),"AmountIncludingTax缺失",IF(ABS(B5837-C5837)&lt;0.005,"一致","不一致"))</x:f>
        <x:v>AmountIncludingTax缺失</x:v>
      </x:c>
      <x:c r="F5837" s="19" t="str">
        <x:v>approved</x:v>
      </x:c>
      <x:c r="G5837" s="19" t="str">
        <x:v>Repair in Progress</x:v>
      </x:c>
      <x:c r="H5837" s="19" t="str">
        <x:v>In Field</x:v>
      </x:c>
      <x:c r="I5837" s="37" t="n">
        <x:v>46154</x:v>
      </x:c>
      <x:c r="J5837" s="37" t="n">
        <x:v>46154</x:v>
      </x:c>
      <x:c r="K5837" s="19" t="str">
        <x:v>Regent RV - Perth</x:v>
      </x:c>
      <x:c r="L5837" s="19" t="str">
        <x:v>Z006</x:v>
      </x:c>
      <x:c r="M5837" s="19" t="str">
        <x:v>In Field Warranty Claims</x:v>
      </x:c>
      <x:c r="N5837" s="37" t="n">
        <x:v>45867</x:v>
      </x:c>
      <x:c r="O5837" s="37" t="n">
        <x:v>46133</x:v>
      </x:c>
      <x:c r="P5837" s="34" t="n">
        <x:v>0</x:v>
      </x:c>
      <x:c r="Q5837" s="37" t="n">
        <x:v>46154.32642361111</x:v>
      </x:c>
    </x:row>
    <x:row r="5838">
      <x:c r="A5838" s="22" t="n">
        <x:v>23273</x:v>
      </x:c>
      <x:c r="B5838" s="28" t="n">
        <x:v>660.42</x:v>
      </x:c>
      <x:c r="C5838" s="28"/>
      <x:c r="D5838" s="31" t="str">
        <x:f>IF(OR(ISBLANK(B5838),ISBLANK(C5838),B5838=0),"",(C5838-B5838)/B5838)</x:f>
      </x:c>
      <x:c r="E5838" s="22" t="str">
        <x:f>IF(ISBLANK(C5838),"AmountIncludingTax缺失",IF(ABS(B5838-C5838)&lt;0.005,"一致","不一致"))</x:f>
        <x:v>AmountIncludingTax缺失</x:v>
      </x:c>
      <x:c r="F5838" s="19" t="str">
        <x:v>approved</x:v>
      </x:c>
      <x:c r="G5838" s="19" t="str">
        <x:v>Repairer Invoiced Processed</x:v>
      </x:c>
      <x:c r="H5838" s="19" t="str">
        <x:v>In Field</x:v>
      </x:c>
      <x:c r="I5838" s="37" t="n">
        <x:v>46087</x:v>
      </x:c>
      <x:c r="J5838" s="37" t="n">
        <x:v>46062</x:v>
      </x:c>
      <x:c r="K5838" s="19" t="str">
        <x:v>Regent RV - Townsville</x:v>
      </x:c>
      <x:c r="L5838" s="19" t="str">
        <x:v>Z006</x:v>
      </x:c>
      <x:c r="M5838" s="19" t="str">
        <x:v>In Field Warranty Claims</x:v>
      </x:c>
      <x:c r="N5838" s="37" t="n">
        <x:v>45867</x:v>
      </x:c>
      <x:c r="O5838" s="37"/>
      <x:c r="P5838" s="34" t="n">
        <x:v>0</x:v>
      </x:c>
      <x:c r="Q5838" s="37" t="n">
        <x:v>46087.038449074076</x:v>
      </x:c>
    </x:row>
    <x:row r="5839">
      <x:c r="A5839" s="22" t="n">
        <x:v>23219</x:v>
      </x:c>
      <x:c r="B5839" s="28" t="n">
        <x:v>1745</x:v>
      </x:c>
      <x:c r="C5839" s="28"/>
      <x:c r="D5839" s="31" t="str">
        <x:f>IF(OR(ISBLANK(B5839),ISBLANK(C5839),B5839=0),"",(C5839-B5839)/B5839)</x:f>
      </x:c>
      <x:c r="E5839" s="22" t="str">
        <x:f>IF(ISBLANK(C5839),"AmountIncludingTax缺失",IF(ABS(B5839-C5839)&lt;0.005,"一致","不一致"))</x:f>
        <x:v>AmountIncludingTax缺失</x:v>
      </x:c>
      <x:c r="F5839" s="19" t="str">
        <x:v>approved</x:v>
      </x:c>
      <x:c r="G5839" s="19" t="str">
        <x:v>Repairer Invoiced Processed</x:v>
      </x:c>
      <x:c r="H5839" s="19" t="str">
        <x:v>In Field</x:v>
      </x:c>
      <x:c r="I5839" s="37" t="n">
        <x:v>46028</x:v>
      </x:c>
      <x:c r="J5839" s="37" t="n">
        <x:v>46028</x:v>
      </x:c>
      <x:c r="K5839" s="19" t="str">
        <x:v>Regent RV - Perth</x:v>
      </x:c>
      <x:c r="L5839" s="19" t="str">
        <x:v>Z006</x:v>
      </x:c>
      <x:c r="M5839" s="19" t="str">
        <x:v>In Field Warranty Claims</x:v>
      </x:c>
      <x:c r="N5839" s="37" t="n">
        <x:v>45866</x:v>
      </x:c>
      <x:c r="O5839" s="37"/>
      <x:c r="P5839" s="34" t="n">
        <x:v>1919.5</x:v>
      </x:c>
      <x:c r="Q5839" s="37" t="n">
        <x:v>46027.953356481485</x:v>
      </x:c>
    </x:row>
    <x:row r="5840">
      <x:c r="A5840" s="22" t="n">
        <x:v>23217</x:v>
      </x:c>
      <x:c r="B5840" s="28" t="n">
        <x:v>950.8</x:v>
      </x:c>
      <x:c r="C5840" s="28"/>
      <x:c r="D5840" s="31" t="str">
        <x:f>IF(OR(ISBLANK(B5840),ISBLANK(C5840),B5840=0),"",(C5840-B5840)/B5840)</x:f>
      </x:c>
      <x:c r="E5840" s="22" t="str">
        <x:f>IF(ISBLANK(C5840),"AmountIncludingTax缺失",IF(ABS(B5840-C5840)&lt;0.005,"一致","不一致"))</x:f>
        <x:v>AmountIncludingTax缺失</x:v>
      </x:c>
      <x:c r="F5840" s="19" t="str">
        <x:v>approved</x:v>
      </x:c>
      <x:c r="G5840" s="19" t="str">
        <x:v>Repairer Invoiced Processed</x:v>
      </x:c>
      <x:c r="H5840" s="19" t="str">
        <x:v>In Field</x:v>
      </x:c>
      <x:c r="I5840" s="37" t="n">
        <x:v>46176</x:v>
      </x:c>
      <x:c r="J5840" s="37" t="n">
        <x:v>46176</x:v>
      </x:c>
      <x:c r="K5840" s="19" t="str">
        <x:v>Regent RV - Perth</x:v>
      </x:c>
      <x:c r="L5840" s="19" t="str">
        <x:v>Z006</x:v>
      </x:c>
      <x:c r="M5840" s="19" t="str">
        <x:v>In Field Warranty Claims</x:v>
      </x:c>
      <x:c r="N5840" s="37" t="n">
        <x:v>45866</x:v>
      </x:c>
      <x:c r="O5840" s="37" t="n">
        <x:v>46020</x:v>
      </x:c>
      <x:c r="P5840" s="34" t="n">
        <x:v>1045.88</x:v>
      </x:c>
      <x:c r="Q5840" s="37" t="n">
        <x:v>46176.14611111111</x:v>
      </x:c>
    </x:row>
    <x:row r="5841">
      <x:c r="A5841" s="22" t="n">
        <x:v>23212</x:v>
      </x:c>
      <x:c r="B5841" s="28" t="n">
        <x:v>1532.56</x:v>
      </x:c>
      <x:c r="C5841" s="28"/>
      <x:c r="D5841" s="31" t="str">
        <x:f>IF(OR(ISBLANK(B5841),ISBLANK(C5841),B5841=0),"",(C5841-B5841)/B5841)</x:f>
      </x:c>
      <x:c r="E5841" s="22" t="str">
        <x:f>IF(ISBLANK(C5841),"AmountIncludingTax缺失",IF(ABS(B5841-C5841)&lt;0.005,"一致","不一致"))</x:f>
        <x:v>AmountIncludingTax缺失</x:v>
      </x:c>
      <x:c r="F5841" s="19" t="str">
        <x:v>approved</x:v>
      </x:c>
      <x:c r="G5841" s="19" t="str">
        <x:v>Repairer Invoiced Processed</x:v>
      </x:c>
      <x:c r="H5841" s="19" t="str">
        <x:v>In Field</x:v>
      </x:c>
      <x:c r="I5841" s="37" t="n">
        <x:v>46042</x:v>
      </x:c>
      <x:c r="J5841" s="37" t="n">
        <x:v>46042</x:v>
      </x:c>
      <x:c r="K5841" s="19" t="str">
        <x:v>Green RV - Forest Glen</x:v>
      </x:c>
      <x:c r="L5841" s="19" t="str">
        <x:v>Z006</x:v>
      </x:c>
      <x:c r="M5841" s="19" t="str">
        <x:v>In Field Warranty Claims</x:v>
      </x:c>
      <x:c r="N5841" s="37" t="n">
        <x:v>45866</x:v>
      </x:c>
      <x:c r="O5841" s="37"/>
      <x:c r="P5841" s="34" t="n">
        <x:v>1685.82</x:v>
      </x:c>
      <x:c r="Q5841" s="37" t="n">
        <x:v>46042.21377314815</x:v>
      </x:c>
    </x:row>
    <x:row r="5842">
      <x:c r="A5842" s="22" t="n">
        <x:v>23209</x:v>
      </x:c>
      <x:c r="B5842" s="28" t="n">
        <x:v>1396.2</x:v>
      </x:c>
      <x:c r="C5842" s="28"/>
      <x:c r="D5842" s="31" t="str">
        <x:f>IF(OR(ISBLANK(B5842),ISBLANK(C5842),B5842=0),"",(C5842-B5842)/B5842)</x:f>
      </x:c>
      <x:c r="E5842" s="22" t="str">
        <x:f>IF(ISBLANK(C5842),"AmountIncludingTax缺失",IF(ABS(B5842-C5842)&lt;0.005,"一致","不一致"))</x:f>
        <x:v>AmountIncludingTax缺失</x:v>
      </x:c>
      <x:c r="F5842" s="19" t="str">
        <x:v>approved</x:v>
      </x:c>
      <x:c r="G5842" s="19" t="str">
        <x:v>Repairer Invoiced Processed</x:v>
      </x:c>
      <x:c r="H5842" s="19" t="str">
        <x:v>In Field</x:v>
      </x:c>
      <x:c r="I5842" s="37" t="n">
        <x:v>46042</x:v>
      </x:c>
      <x:c r="J5842" s="37" t="n">
        <x:v>46042</x:v>
      </x:c>
      <x:c r="K5842" s="19" t="str">
        <x:v>Green RV - Forest Glen</x:v>
      </x:c>
      <x:c r="L5842" s="19" t="str">
        <x:v>Z006</x:v>
      </x:c>
      <x:c r="M5842" s="19" t="str">
        <x:v>In Field Warranty Claims</x:v>
      </x:c>
      <x:c r="N5842" s="37" t="n">
        <x:v>45866</x:v>
      </x:c>
      <x:c r="O5842" s="37"/>
      <x:c r="P5842" s="34" t="n">
        <x:v>1535.82</x:v>
      </x:c>
      <x:c r="Q5842" s="37" t="n">
        <x:v>46042.211331018516</x:v>
      </x:c>
    </x:row>
    <x:row r="5843">
      <x:c r="A5843" s="22" t="n">
        <x:v>23203</x:v>
      </x:c>
      <x:c r="B5843" s="28" t="n">
        <x:v>617.23</x:v>
      </x:c>
      <x:c r="C5843" s="28"/>
      <x:c r="D5843" s="31" t="str">
        <x:f>IF(OR(ISBLANK(B5843),ISBLANK(C5843),B5843=0),"",(C5843-B5843)/B5843)</x:f>
      </x:c>
      <x:c r="E5843" s="22" t="str">
        <x:f>IF(ISBLANK(C5843),"AmountIncludingTax缺失",IF(ABS(B5843-C5843)&lt;0.005,"一致","不一致"))</x:f>
        <x:v>AmountIncludingTax缺失</x:v>
      </x:c>
      <x:c r="F5843" s="19" t="str">
        <x:v>approved</x:v>
      </x:c>
      <x:c r="G5843" s="19" t="str">
        <x:v>Repairer Invoiced Processed</x:v>
      </x:c>
      <x:c r="H5843" s="19" t="str">
        <x:v>In Field</x:v>
      </x:c>
      <x:c r="I5843" s="37" t="n">
        <x:v>46114</x:v>
      </x:c>
      <x:c r="J5843" s="37" t="n">
        <x:v>46114</x:v>
      </x:c>
      <x:c r="K5843" s="19" t="str">
        <x:v>CMG Campers - Christchurch</x:v>
      </x:c>
      <x:c r="L5843" s="19" t="str">
        <x:v>Z006</x:v>
      </x:c>
      <x:c r="M5843" s="19" t="str">
        <x:v>In Field Warranty Claims</x:v>
      </x:c>
      <x:c r="N5843" s="37" t="n">
        <x:v>45865</x:v>
      </x:c>
      <x:c r="O5843" s="37"/>
      <x:c r="P5843" s="34" t="n">
        <x:v>0</x:v>
      </x:c>
      <x:c r="Q5843" s="37" t="n">
        <x:v>46114.128171296295</x:v>
      </x:c>
    </x:row>
    <x:row r="5844">
      <x:c r="A5844" s="22" t="n">
        <x:v>23199</x:v>
      </x:c>
      <x:c r="B5844" s="28" t="n">
        <x:v>150</x:v>
      </x:c>
      <x:c r="C5844" s="28"/>
      <x:c r="D5844" s="31" t="str">
        <x:f>IF(OR(ISBLANK(B5844),ISBLANK(C5844),B5844=0),"",(C5844-B5844)/B5844)</x:f>
      </x:c>
      <x:c r="E5844" s="22" t="str">
        <x:f>IF(ISBLANK(C5844),"AmountIncludingTax缺失",IF(ABS(B5844-C5844)&lt;0.005,"一致","不一致"))</x:f>
        <x:v>AmountIncludingTax缺失</x:v>
      </x:c>
      <x:c r="F5844" s="19" t="str">
        <x:v>approved</x:v>
      </x:c>
      <x:c r="G5844" s="19" t="str">
        <x:v>Repair in Progress</x:v>
      </x:c>
      <x:c r="H5844" s="19" t="str">
        <x:v>In Field</x:v>
      </x:c>
      <x:c r="I5844" s="37" t="n">
        <x:v>46028</x:v>
      </x:c>
      <x:c r="J5844" s="37" t="n">
        <x:v>46028</x:v>
      </x:c>
      <x:c r="K5844" s="19" t="str">
        <x:v>Regent RV - Perth</x:v>
      </x:c>
      <x:c r="L5844" s="19" t="str">
        <x:v>Z006</x:v>
      </x:c>
      <x:c r="M5844" s="19" t="str">
        <x:v>In Field Warranty Claims</x:v>
      </x:c>
      <x:c r="N5844" s="37" t="n">
        <x:v>45864</x:v>
      </x:c>
      <x:c r="O5844" s="37"/>
      <x:c r="P5844" s="34" t="n">
        <x:v>0</x:v>
      </x:c>
      <x:c r="Q5844" s="37" t="n">
        <x:v>46027.95030092593</x:v>
      </x:c>
    </x:row>
    <x:row r="5845">
      <x:c r="A5845" s="22" t="n">
        <x:v>23177</x:v>
      </x:c>
      <x:c r="B5845" s="28" t="n">
        <x:v>131.82</x:v>
      </x:c>
      <x:c r="C5845" s="28" t="n">
        <x:v>145</x:v>
      </x:c>
      <x:c r="D5845" s="31" t="n">
        <x:f>IF(OR(ISBLANK(B5845),ISBLANK(C5845),B5845=0),"",(C5845-B5845)/B5845)</x:f>
        <x:v>0.09998482779547874</x:v>
      </x:c>
      <x:c r="E5845" s="22" t="str">
        <x:f>IF(ISBLANK(C5845),"AmountIncludingTax缺失",IF(ABS(B5845-C5845)&lt;0.005,"一致","不一致"))</x:f>
        <x:v>不一致</x:v>
      </x:c>
      <x:c r="F5845" s="19" t="str">
        <x:v>approved</x:v>
      </x:c>
      <x:c r="G5845" s="19" t="str">
        <x:v>Repairer Invoiced Processed</x:v>
      </x:c>
      <x:c r="H5845" s="19" t="str">
        <x:v>In Field</x:v>
      </x:c>
      <x:c r="I5845" s="37" t="n">
        <x:v>46096</x:v>
      </x:c>
      <x:c r="J5845" s="37" t="n">
        <x:v>46096</x:v>
      </x:c>
      <x:c r="K5845" s="19" t="str">
        <x:v>Auswide Caravans - South Nowra</x:v>
      </x:c>
      <x:c r="L5845" s="19" t="str">
        <x:v>Z006</x:v>
      </x:c>
      <x:c r="M5845" s="19" t="str">
        <x:v>In Field Warranty Claims</x:v>
      </x:c>
      <x:c r="N5845" s="37" t="n">
        <x:v>45863</x:v>
      </x:c>
      <x:c r="O5845" s="37"/>
      <x:c r="P5845" s="34" t="n">
        <x:v>145</x:v>
      </x:c>
      <x:c r="Q5845" s="37" t="n">
        <x:v>46096.39398148148</x:v>
      </x:c>
    </x:row>
    <x:row r="5846">
      <x:c r="A5846" s="22" t="n">
        <x:v>23173</x:v>
      </x:c>
      <x:c r="B5846" s="28" t="n">
        <x:v>1215.94</x:v>
      </x:c>
      <x:c r="C5846" s="28"/>
      <x:c r="D5846" s="31" t="str">
        <x:f>IF(OR(ISBLANK(B5846),ISBLANK(C5846),B5846=0),"",(C5846-B5846)/B5846)</x:f>
      </x:c>
      <x:c r="E5846" s="22" t="str">
        <x:f>IF(ISBLANK(C5846),"AmountIncludingTax缺失",IF(ABS(B5846-C5846)&lt;0.005,"一致","不一致"))</x:f>
        <x:v>AmountIncludingTax缺失</x:v>
      </x:c>
      <x:c r="F5846" s="19" t="str">
        <x:v>approved</x:v>
      </x:c>
      <x:c r="G5846" s="19" t="str">
        <x:v>Repairer Invoiced Processed</x:v>
      </x:c>
      <x:c r="H5846" s="19" t="str">
        <x:v>In Field</x:v>
      </x:c>
      <x:c r="I5846" s="37" t="n">
        <x:v>46044</x:v>
      </x:c>
      <x:c r="J5846" s="37" t="n">
        <x:v>46044</x:v>
      </x:c>
      <x:c r="K5846" s="19" t="str">
        <x:v>Green RV - Forest Glen</x:v>
      </x:c>
      <x:c r="L5846" s="19" t="str">
        <x:v>Z006</x:v>
      </x:c>
      <x:c r="M5846" s="19" t="str">
        <x:v>In Field Warranty Claims</x:v>
      </x:c>
      <x:c r="N5846" s="37" t="n">
        <x:v>45862</x:v>
      </x:c>
      <x:c r="O5846" s="37"/>
      <x:c r="P5846" s="34" t="n">
        <x:v>1337.53</x:v>
      </x:c>
      <x:c r="Q5846" s="37" t="n">
        <x:v>46043.882997685185</x:v>
      </x:c>
    </x:row>
    <x:row r="5847">
      <x:c r="A5847" s="22" t="n">
        <x:v>23157</x:v>
      </x:c>
      <x:c r="B5847" s="28" t="n">
        <x:v>400</x:v>
      </x:c>
      <x:c r="C5847" s="28"/>
      <x:c r="D5847" s="31" t="str">
        <x:f>IF(OR(ISBLANK(B5847),ISBLANK(C5847),B5847=0),"",(C5847-B5847)/B5847)</x:f>
      </x:c>
      <x:c r="E5847" s="22" t="str">
        <x:f>IF(ISBLANK(C5847),"AmountIncludingTax缺失",IF(ABS(B5847-C5847)&lt;0.005,"一致","不一致"))</x:f>
        <x:v>AmountIncludingTax缺失</x:v>
      </x:c>
      <x:c r="F5847" s="19" t="str">
        <x:v>approved</x:v>
      </x:c>
      <x:c r="G5847" s="19" t="str">
        <x:v>Repairer Invoiced Processed</x:v>
      </x:c>
      <x:c r="H5847" s="19" t="str">
        <x:v>In Field</x:v>
      </x:c>
      <x:c r="I5847" s="37" t="n">
        <x:v>46121</x:v>
      </x:c>
      <x:c r="J5847" s="37" t="n">
        <x:v>46121</x:v>
      </x:c>
      <x:c r="K5847" s="19" t="str">
        <x:v>Auswide Caravans - South Nowra</x:v>
      </x:c>
      <x:c r="L5847" s="19" t="str">
        <x:v>Z006</x:v>
      </x:c>
      <x:c r="M5847" s="19" t="str">
        <x:v>In Field Warranty Claims</x:v>
      </x:c>
      <x:c r="N5847" s="37" t="n">
        <x:v>45864</x:v>
      </x:c>
      <x:c r="O5847" s="37"/>
      <x:c r="P5847" s="34" t="n">
        <x:v>0</x:v>
      </x:c>
      <x:c r="Q5847" s="37" t="n">
        <x:v>46121.135625</x:v>
      </x:c>
    </x:row>
    <x:row r="5848">
      <x:c r="A5848" s="22" t="n">
        <x:v>23156</x:v>
      </x:c>
      <x:c r="B5848" s="28" t="n">
        <x:v>1120</x:v>
      </x:c>
      <x:c r="C5848" s="28"/>
      <x:c r="D5848" s="31" t="str">
        <x:f>IF(OR(ISBLANK(B5848),ISBLANK(C5848),B5848=0),"",(C5848-B5848)/B5848)</x:f>
      </x:c>
      <x:c r="E5848" s="22" t="str">
        <x:f>IF(ISBLANK(C5848),"AmountIncludingTax缺失",IF(ABS(B5848-C5848)&lt;0.005,"一致","不一致"))</x:f>
        <x:v>AmountIncludingTax缺失</x:v>
      </x:c>
      <x:c r="F5848" s="19" t="str">
        <x:v>approved</x:v>
      </x:c>
      <x:c r="G5848" s="19" t="str">
        <x:v>Repairer Invoiced Processed</x:v>
      </x:c>
      <x:c r="H5848" s="19" t="str">
        <x:v>In Field</x:v>
      </x:c>
      <x:c r="I5848" s="37" t="n">
        <x:v>46097</x:v>
      </x:c>
      <x:c r="J5848" s="37" t="n">
        <x:v>46097</x:v>
      </x:c>
      <x:c r="K5848" s="19" t="str">
        <x:v>Auswide Caravans - South Nowra</x:v>
      </x:c>
      <x:c r="L5848" s="19" t="str">
        <x:v>Z006</x:v>
      </x:c>
      <x:c r="M5848" s="19" t="str">
        <x:v>In Field Warranty Claims</x:v>
      </x:c>
      <x:c r="N5848" s="37" t="n">
        <x:v>45864</x:v>
      </x:c>
      <x:c r="O5848" s="37"/>
      <x:c r="P5848" s="34" t="n">
        <x:v>0</x:v>
      </x:c>
      <x:c r="Q5848" s="37" t="n">
        <x:v>46097.013020833336</x:v>
      </x:c>
    </x:row>
    <x:row r="5849">
      <x:c r="A5849" s="22" t="n">
        <x:v>23139</x:v>
      </x:c>
      <x:c r="B5849" s="28" t="n">
        <x:v>973.75</x:v>
      </x:c>
      <x:c r="C5849" s="28"/>
      <x:c r="D5849" s="31" t="str">
        <x:f>IF(OR(ISBLANK(B5849),ISBLANK(C5849),B5849=0),"",(C5849-B5849)/B5849)</x:f>
      </x:c>
      <x:c r="E5849" s="22" t="str">
        <x:f>IF(ISBLANK(C5849),"AmountIncludingTax缺失",IF(ABS(B5849-C5849)&lt;0.005,"一致","不一致"))</x:f>
        <x:v>AmountIncludingTax缺失</x:v>
      </x:c>
      <x:c r="F5849" s="19" t="str">
        <x:v>approved</x:v>
      </x:c>
      <x:c r="G5849" s="19" t="str">
        <x:v>Repairer Invoiced Processed</x:v>
      </x:c>
      <x:c r="H5849" s="19" t="str">
        <x:v>In Field</x:v>
      </x:c>
      <x:c r="I5849" s="37" t="n">
        <x:v>46058</x:v>
      </x:c>
      <x:c r="J5849" s="37" t="n">
        <x:v>46057</x:v>
      </x:c>
      <x:c r="K5849" s="19" t="str">
        <x:v>Green RV - Forest Glen</x:v>
      </x:c>
      <x:c r="L5849" s="19" t="str">
        <x:v>Z006</x:v>
      </x:c>
      <x:c r="M5849" s="19" t="str">
        <x:v>In Field Warranty Claims</x:v>
      </x:c>
      <x:c r="N5849" s="37" t="n">
        <x:v>45862</x:v>
      </x:c>
      <x:c r="O5849" s="37"/>
      <x:c r="P5849" s="34" t="n">
        <x:v>1252.04</x:v>
      </x:c>
      <x:c r="Q5849" s="37" t="n">
        <x:v>46058.07125</x:v>
      </x:c>
    </x:row>
    <x:row r="5850">
      <x:c r="A5850" s="22" t="n">
        <x:v>23138</x:v>
      </x:c>
      <x:c r="B5850" s="28" t="n">
        <x:v>111.37</x:v>
      </x:c>
      <x:c r="C5850" s="28"/>
      <x:c r="D5850" s="31" t="str">
        <x:f>IF(OR(ISBLANK(B5850),ISBLANK(C5850),B5850=0),"",(C5850-B5850)/B5850)</x:f>
      </x:c>
      <x:c r="E5850" s="22" t="str">
        <x:f>IF(ISBLANK(C5850),"AmountIncludingTax缺失",IF(ABS(B5850-C5850)&lt;0.005,"一致","不一致"))</x:f>
        <x:v>AmountIncludingTax缺失</x:v>
      </x:c>
      <x:c r="F5850" s="19" t="str">
        <x:v>approved</x:v>
      </x:c>
      <x:c r="G5850" s="19" t="str">
        <x:v>Repairer Invoiced Processed</x:v>
      </x:c>
      <x:c r="H5850" s="19" t="str">
        <x:v>In Field</x:v>
      </x:c>
      <x:c r="I5850" s="37" t="n">
        <x:v>46076</x:v>
      </x:c>
      <x:c r="J5850" s="37" t="n">
        <x:v>46076</x:v>
      </x:c>
      <x:c r="K5850" s="19" t="str">
        <x:v>Regent RV - Perth</x:v>
      </x:c>
      <x:c r="L5850" s="19" t="str">
        <x:v>Z006</x:v>
      </x:c>
      <x:c r="M5850" s="19" t="str">
        <x:v>In Field Warranty Claims</x:v>
      </x:c>
      <x:c r="N5850" s="37" t="n">
        <x:v>45862</x:v>
      </x:c>
      <x:c r="O5850" s="37"/>
      <x:c r="P5850" s="34" t="n">
        <x:v>0</x:v>
      </x:c>
      <x:c r="Q5850" s="37" t="n">
        <x:v>46075.94568287037</x:v>
      </x:c>
    </x:row>
    <x:row r="5851">
      <x:c r="A5851" s="22" t="n">
        <x:v>23129</x:v>
      </x:c>
      <x:c r="B5851" s="28" t="n">
        <x:v>785.06</x:v>
      </x:c>
      <x:c r="C5851" s="28" t="n">
        <x:v>863.57</x:v>
      </x:c>
      <x:c r="D5851" s="31" t="n">
        <x:f>IF(OR(ISBLANK(B5851),ISBLANK(C5851),B5851=0),"",(C5851-B5851)/B5851)</x:f>
        <x:v>0.10000509515196304</x:v>
      </x:c>
      <x:c r="E5851" s="22" t="str">
        <x:f>IF(ISBLANK(C5851),"AmountIncludingTax缺失",IF(ABS(B5851-C5851)&lt;0.005,"一致","不一致"))</x:f>
        <x:v>不一致</x:v>
      </x:c>
      <x:c r="F5851" s="19" t="str">
        <x:v>approved</x:v>
      </x:c>
      <x:c r="G5851" s="19" t="str">
        <x:v>Repairer Invoiced Processed</x:v>
      </x:c>
      <x:c r="H5851" s="19" t="str">
        <x:v>In Field</x:v>
      </x:c>
      <x:c r="I5851" s="37" t="n">
        <x:v>46028</x:v>
      </x:c>
      <x:c r="J5851" s="37" t="n">
        <x:v>46027</x:v>
      </x:c>
      <x:c r="K5851" s="19" t="str">
        <x:v>Green RV - Forest Glen</x:v>
      </x:c>
      <x:c r="L5851" s="19" t="str">
        <x:v>Z006</x:v>
      </x:c>
      <x:c r="M5851" s="19" t="str">
        <x:v>In Field Warranty Claims</x:v>
      </x:c>
      <x:c r="N5851" s="37" t="n">
        <x:v>45862</x:v>
      </x:c>
      <x:c r="O5851" s="37"/>
      <x:c r="P5851" s="34" t="n">
        <x:v>863.57</x:v>
      </x:c>
      <x:c r="Q5851" s="37" t="n">
        <x:v>46027.60438657407</x:v>
      </x:c>
    </x:row>
    <x:row r="5852">
      <x:c r="A5852" s="22" t="n">
        <x:v>23119</x:v>
      </x:c>
      <x:c r="B5852" s="28" t="n">
        <x:v>408.47</x:v>
      </x:c>
      <x:c r="C5852" s="28" t="n">
        <x:v>449.32</x:v>
      </x:c>
      <x:c r="D5852" s="31" t="n">
        <x:f>IF(OR(ISBLANK(B5852),ISBLANK(C5852),B5852=0),"",(C5852-B5852)/B5852)</x:f>
        <x:v>0.10000734448062272</x:v>
      </x:c>
      <x:c r="E5852" s="22" t="str">
        <x:f>IF(ISBLANK(C5852),"AmountIncludingTax缺失",IF(ABS(B5852-C5852)&lt;0.005,"一致","不一致"))</x:f>
        <x:v>不一致</x:v>
      </x:c>
      <x:c r="F5852" s="19" t="str">
        <x:v>approved</x:v>
      </x:c>
      <x:c r="G5852" s="19" t="str">
        <x:v>Repairer Invoiced Processed</x:v>
      </x:c>
      <x:c r="H5852" s="19" t="str">
        <x:v>In Field</x:v>
      </x:c>
      <x:c r="I5852" s="37" t="n">
        <x:v>46062</x:v>
      </x:c>
      <x:c r="J5852" s="37" t="n">
        <x:v>46062</x:v>
      </x:c>
      <x:c r="K5852" s="19" t="str">
        <x:v>Regent RV - Toowoomba</x:v>
      </x:c>
      <x:c r="L5852" s="19" t="str">
        <x:v>Z006</x:v>
      </x:c>
      <x:c r="M5852" s="19" t="str">
        <x:v>In Field Warranty Claims</x:v>
      </x:c>
      <x:c r="N5852" s="37" t="n">
        <x:v>45862</x:v>
      </x:c>
      <x:c r="O5852" s="37"/>
      <x:c r="P5852" s="34" t="n">
        <x:v>449.32</x:v>
      </x:c>
      <x:c r="Q5852" s="37" t="n">
        <x:v>46062.13118055555</x:v>
      </x:c>
    </x:row>
    <x:row r="5853">
      <x:c r="A5853" s="22" t="n">
        <x:v>23115</x:v>
      </x:c>
      <x:c r="B5853" s="28" t="n">
        <x:v>2190.93</x:v>
      </x:c>
      <x:c r="C5853" s="28"/>
      <x:c r="D5853" s="31" t="str">
        <x:f>IF(OR(ISBLANK(B5853),ISBLANK(C5853),B5853=0),"",(C5853-B5853)/B5853)</x:f>
      </x:c>
      <x:c r="E5853" s="22" t="str">
        <x:f>IF(ISBLANK(C5853),"AmountIncludingTax缺失",IF(ABS(B5853-C5853)&lt;0.005,"一致","不一致"))</x:f>
        <x:v>AmountIncludingTax缺失</x:v>
      </x:c>
      <x:c r="F5853" s="19" t="str">
        <x:v>approved</x:v>
      </x:c>
      <x:c r="G5853" s="19" t="str">
        <x:v>Repairer Invoiced Processed</x:v>
      </x:c>
      <x:c r="H5853" s="19" t="str">
        <x:v>In Field</x:v>
      </x:c>
      <x:c r="I5853" s="37" t="n">
        <x:v>46043</x:v>
      </x:c>
      <x:c r="J5853" s="37" t="n">
        <x:v>46043</x:v>
      </x:c>
      <x:c r="K5853" s="19" t="str">
        <x:v>Green RV - Forest Glen</x:v>
      </x:c>
      <x:c r="L5853" s="19" t="str">
        <x:v>Z006</x:v>
      </x:c>
      <x:c r="M5853" s="19" t="str">
        <x:v>In Field Warranty Claims</x:v>
      </x:c>
      <x:c r="N5853" s="37" t="n">
        <x:v>45862</x:v>
      </x:c>
      <x:c r="O5853" s="37"/>
      <x:c r="P5853" s="34" t="n">
        <x:v>2410.02</x:v>
      </x:c>
      <x:c r="Q5853" s="37" t="n">
        <x:v>46043.325</x:v>
      </x:c>
    </x:row>
    <x:row r="5854">
      <x:c r="A5854" s="22" t="n">
        <x:v>23099</x:v>
      </x:c>
      <x:c r="B5854" s="28" t="n">
        <x:v>852.9</x:v>
      </x:c>
      <x:c r="C5854" s="28"/>
      <x:c r="D5854" s="31" t="str">
        <x:f>IF(OR(ISBLANK(B5854),ISBLANK(C5854),B5854=0),"",(C5854-B5854)/B5854)</x:f>
      </x:c>
      <x:c r="E5854" s="22" t="str">
        <x:f>IF(ISBLANK(C5854),"AmountIncludingTax缺失",IF(ABS(B5854-C5854)&lt;0.005,"一致","不一致"))</x:f>
        <x:v>AmountIncludingTax缺失</x:v>
      </x:c>
      <x:c r="F5854" s="19" t="str">
        <x:v>approved</x:v>
      </x:c>
      <x:c r="G5854" s="19" t="str">
        <x:v>Repairer Invoiced Processed</x:v>
      </x:c>
      <x:c r="H5854" s="19" t="str">
        <x:v>In Field</x:v>
      </x:c>
      <x:c r="I5854" s="37" t="n">
        <x:v>46121</x:v>
      </x:c>
      <x:c r="J5854" s="37" t="n">
        <x:v>46121</x:v>
      </x:c>
      <x:c r="K5854" s="19" t="str">
        <x:v>Regent RV Pty Ltd</x:v>
      </x:c>
      <x:c r="L5854" s="19" t="str">
        <x:v>Z006</x:v>
      </x:c>
      <x:c r="M5854" s="19" t="str">
        <x:v>In Field Warranty Claims</x:v>
      </x:c>
      <x:c r="N5854" s="37" t="n">
        <x:v>45862</x:v>
      </x:c>
      <x:c r="O5854" s="37"/>
      <x:c r="P5854" s="34" t="n">
        <x:v>0</x:v>
      </x:c>
      <x:c r="Q5854" s="37" t="n">
        <x:v>46120.93607638889</x:v>
      </x:c>
    </x:row>
    <x:row r="5855">
      <x:c r="A5855" s="22" t="n">
        <x:v>23013</x:v>
      </x:c>
      <x:c r="B5855" s="28" t="n">
        <x:v>694.38</x:v>
      </x:c>
      <x:c r="C5855" s="28"/>
      <x:c r="D5855" s="31" t="str">
        <x:f>IF(OR(ISBLANK(B5855),ISBLANK(C5855),B5855=0),"",(C5855-B5855)/B5855)</x:f>
      </x:c>
      <x:c r="E5855" s="22" t="str">
        <x:f>IF(ISBLANK(C5855),"AmountIncludingTax缺失",IF(ABS(B5855-C5855)&lt;0.005,"一致","不一致"))</x:f>
        <x:v>AmountIncludingTax缺失</x:v>
      </x:c>
      <x:c r="F5855" s="19" t="str">
        <x:v>approved</x:v>
      </x:c>
      <x:c r="G5855" s="19" t="str">
        <x:v>Repairer Invoiced Received</x:v>
      </x:c>
      <x:c r="H5855" s="19" t="str">
        <x:v>In Field</x:v>
      </x:c>
      <x:c r="I5855" s="37" t="n">
        <x:v>46059</x:v>
      </x:c>
      <x:c r="J5855" s="37" t="n">
        <x:v>46059</x:v>
      </x:c>
      <x:c r="K5855" s="19" t="str">
        <x:v>CMG Campers - Christchurch</x:v>
      </x:c>
      <x:c r="L5855" s="19" t="str">
        <x:v>Z006</x:v>
      </x:c>
      <x:c r="M5855" s="19" t="str">
        <x:v>In Field Warranty Claims</x:v>
      </x:c>
      <x:c r="N5855" s="37" t="n">
        <x:v>45860</x:v>
      </x:c>
      <x:c r="O5855" s="37"/>
      <x:c r="P5855" s="34" t="n">
        <x:v>0</x:v>
      </x:c>
      <x:c r="Q5855" s="37" t="n">
        <x:v>46059.21988425926</x:v>
      </x:c>
    </x:row>
    <x:row r="5856">
      <x:c r="A5856" s="22" t="n">
        <x:v>22996</x:v>
      </x:c>
      <x:c r="B5856" s="28" t="n">
        <x:v>486.54</x:v>
      </x:c>
      <x:c r="C5856" s="28" t="n">
        <x:v>535.19</x:v>
      </x:c>
      <x:c r="D5856" s="31" t="n">
        <x:f>IF(OR(ISBLANK(B5856),ISBLANK(C5856),B5856=0),"",(C5856-B5856)/B5856)</x:f>
        <x:v>0.0999917786821228</x:v>
      </x:c>
      <x:c r="E5856" s="22" t="str">
        <x:f>IF(ISBLANK(C5856),"AmountIncludingTax缺失",IF(ABS(B5856-C5856)&lt;0.005,"一致","不一致"))</x:f>
        <x:v>不一致</x:v>
      </x:c>
      <x:c r="F5856" s="19" t="str">
        <x:v>approved</x:v>
      </x:c>
      <x:c r="G5856" s="19" t="str">
        <x:v>Repairer Invoiced Processed</x:v>
      </x:c>
      <x:c r="H5856" s="19" t="str">
        <x:v>In Field</x:v>
      </x:c>
      <x:c r="I5856" s="37" t="n">
        <x:v>46078</x:v>
      </x:c>
      <x:c r="J5856" s="37" t="n">
        <x:v>46078</x:v>
      </x:c>
      <x:c r="K5856" s="19" t="str">
        <x:v>Green RV - Forest Glen</x:v>
      </x:c>
      <x:c r="L5856" s="19" t="str">
        <x:v>Z006</x:v>
      </x:c>
      <x:c r="M5856" s="19" t="str">
        <x:v>In Field Warranty Claims</x:v>
      </x:c>
      <x:c r="N5856" s="37" t="n">
        <x:v>45860</x:v>
      </x:c>
      <x:c r="O5856" s="37"/>
      <x:c r="P5856" s="34" t="n">
        <x:v>535.19</x:v>
      </x:c>
      <x:c r="Q5856" s="37" t="n">
        <x:v>46078.52659722222</x:v>
      </x:c>
    </x:row>
    <x:row r="5857">
      <x:c r="A5857" s="22" t="n">
        <x:v>22977</x:v>
      </x:c>
      <x:c r="B5857" s="28" t="n">
        <x:v>1036.36</x:v>
      </x:c>
      <x:c r="C5857" s="28"/>
      <x:c r="D5857" s="31" t="str">
        <x:f>IF(OR(ISBLANK(B5857),ISBLANK(C5857),B5857=0),"",(C5857-B5857)/B5857)</x:f>
      </x:c>
      <x:c r="E5857" s="22" t="str">
        <x:f>IF(ISBLANK(C5857),"AmountIncludingTax缺失",IF(ABS(B5857-C5857)&lt;0.005,"一致","不一致"))</x:f>
        <x:v>AmountIncludingTax缺失</x:v>
      </x:c>
      <x:c r="F5857" s="19" t="str">
        <x:v>approved</x:v>
      </x:c>
      <x:c r="G5857" s="19" t="str">
        <x:v>Repairer Invoiced Processed</x:v>
      </x:c>
      <x:c r="H5857" s="19" t="str">
        <x:v>In Field</x:v>
      </x:c>
      <x:c r="I5857" s="37" t="n">
        <x:v>46043</x:v>
      </x:c>
      <x:c r="J5857" s="37" t="n">
        <x:v>46043</x:v>
      </x:c>
      <x:c r="K5857" s="19" t="str">
        <x:v>Newcastle RV Super Centre - Beresfield</x:v>
      </x:c>
      <x:c r="L5857" s="19" t="str">
        <x:v>Z006</x:v>
      </x:c>
      <x:c r="M5857" s="19" t="str">
        <x:v>In Field Warranty Claims</x:v>
      </x:c>
      <x:c r="N5857" s="37" t="n">
        <x:v>45860</x:v>
      </x:c>
      <x:c r="O5857" s="37"/>
      <x:c r="P5857" s="34" t="n">
        <x:v>1140</x:v>
      </x:c>
      <x:c r="Q5857" s="37" t="n">
        <x:v>46043.302199074074</x:v>
      </x:c>
    </x:row>
    <x:row r="5858">
      <x:c r="A5858" s="22" t="n">
        <x:v>22949</x:v>
      </x:c>
      <x:c r="B5858" s="28" t="n">
        <x:v>848.69</x:v>
      </x:c>
      <x:c r="C5858" s="28"/>
      <x:c r="D5858" s="31" t="str">
        <x:f>IF(OR(ISBLANK(B5858),ISBLANK(C5858),B5858=0),"",(C5858-B5858)/B5858)</x:f>
      </x:c>
      <x:c r="E5858" s="22" t="str">
        <x:f>IF(ISBLANK(C5858),"AmountIncludingTax缺失",IF(ABS(B5858-C5858)&lt;0.005,"一致","不一致"))</x:f>
        <x:v>AmountIncludingTax缺失</x:v>
      </x:c>
      <x:c r="F5858" s="19" t="str">
        <x:v>approved</x:v>
      </x:c>
      <x:c r="G5858" s="19" t="str">
        <x:v>Repairer Invoiced Processed</x:v>
      </x:c>
      <x:c r="H5858" s="19" t="str">
        <x:v>In Field</x:v>
      </x:c>
      <x:c r="I5858" s="37" t="n">
        <x:v>46056</x:v>
      </x:c>
      <x:c r="J5858" s="37" t="n">
        <x:v>46056</x:v>
      </x:c>
      <x:c r="K5858" s="19" t="str">
        <x:v>CMG Campers - Christchurch</x:v>
      </x:c>
      <x:c r="L5858" s="19" t="str">
        <x:v>Z006</x:v>
      </x:c>
      <x:c r="M5858" s="19" t="str">
        <x:v>In Field Warranty Claims</x:v>
      </x:c>
      <x:c r="N5858" s="37" t="n">
        <x:v>45859</x:v>
      </x:c>
      <x:c r="O5858" s="37"/>
      <x:c r="P5858" s="34" t="n">
        <x:v>0</x:v>
      </x:c>
      <x:c r="Q5858" s="37" t="n">
        <x:v>46056.15173611111</x:v>
      </x:c>
    </x:row>
    <x:row r="5859">
      <x:c r="A5859" s="22" t="n">
        <x:v>22881</x:v>
      </x:c>
      <x:c r="B5859" s="28" t="n">
        <x:v>27.27</x:v>
      </x:c>
      <x:c r="C5859" s="28" t="n">
        <x:v>30</x:v>
      </x:c>
      <x:c r="D5859" s="31" t="n">
        <x:f>IF(OR(ISBLANK(B5859),ISBLANK(C5859),B5859=0),"",(C5859-B5859)/B5859)</x:f>
        <x:v>0.10011001100110013</x:v>
      </x:c>
      <x:c r="E5859" s="22" t="str">
        <x:f>IF(ISBLANK(C5859),"AmountIncludingTax缺失",IF(ABS(B5859-C5859)&lt;0.005,"一致","不一致"))</x:f>
        <x:v>不一致</x:v>
      </x:c>
      <x:c r="F5859" s="19" t="str">
        <x:v>approved</x:v>
      </x:c>
      <x:c r="G5859" s="19" t="str">
        <x:v>Repairer Invoiced Processed</x:v>
      </x:c>
      <x:c r="H5859" s="19" t="str">
        <x:v>In Field</x:v>
      </x:c>
      <x:c r="I5859" s="37" t="n">
        <x:v>46066</x:v>
      </x:c>
      <x:c r="J5859" s="37" t="n">
        <x:v>46066</x:v>
      </x:c>
      <x:c r="K5859" s="19" t="str">
        <x:v>Lesiure Lion-New Castle</x:v>
      </x:c>
      <x:c r="L5859" s="19" t="str">
        <x:v>Z006</x:v>
      </x:c>
      <x:c r="M5859" s="19" t="str">
        <x:v>In Field Warranty Claims</x:v>
      </x:c>
      <x:c r="N5859" s="37" t="n">
        <x:v>45856</x:v>
      </x:c>
      <x:c r="O5859" s="37"/>
      <x:c r="P5859" s="34" t="n">
        <x:v>30</x:v>
      </x:c>
      <x:c r="Q5859" s="37" t="n">
        <x:v>46066.12357638889</x:v>
      </x:c>
    </x:row>
    <x:row r="5860">
      <x:c r="A5860" s="22" t="n">
        <x:v>22879</x:v>
      </x:c>
      <x:c r="B5860" s="28" t="n">
        <x:v>318.18</x:v>
      </x:c>
      <x:c r="C5860" s="28" t="n">
        <x:v>350</x:v>
      </x:c>
      <x:c r="D5860" s="31" t="n">
        <x:f>IF(OR(ISBLANK(B5860),ISBLANK(C5860),B5860=0),"",(C5860-B5860)/B5860)</x:f>
        <x:v>0.10000628575020426</x:v>
      </x:c>
      <x:c r="E5860" s="22" t="str">
        <x:f>IF(ISBLANK(C5860),"AmountIncludingTax缺失",IF(ABS(B5860-C5860)&lt;0.005,"一致","不一致"))</x:f>
        <x:v>不一致</x:v>
      </x:c>
      <x:c r="F5860" s="19" t="str">
        <x:v>approved</x:v>
      </x:c>
      <x:c r="G5860" s="19" t="str">
        <x:v>Repairer Invoiced Processed</x:v>
      </x:c>
      <x:c r="H5860" s="19" t="str">
        <x:v>Pre Delivery</x:v>
      </x:c>
      <x:c r="I5860" s="37" t="n">
        <x:v>46056</x:v>
      </x:c>
      <x:c r="J5860" s="37" t="n">
        <x:v>46056</x:v>
      </x:c>
      <x:c r="K5860" s="19" t="str">
        <x:v>QCCC - Gympie</x:v>
      </x:c>
      <x:c r="L5860" s="19" t="str">
        <x:v>Z005</x:v>
      </x:c>
      <x:c r="M5860" s="19" t="str">
        <x:v>Pre Delivery Warranty Claims</x:v>
      </x:c>
      <x:c r="N5860" s="37" t="n">
        <x:v>45856</x:v>
      </x:c>
      <x:c r="O5860" s="37"/>
      <x:c r="P5860" s="34" t="n">
        <x:v>350</x:v>
      </x:c>
      <x:c r="Q5860" s="37" t="n">
        <x:v>46055.92497685185</x:v>
      </x:c>
    </x:row>
    <x:row r="5861">
      <x:c r="A5861" s="22" t="n">
        <x:v>22878</x:v>
      </x:c>
      <x:c r="B5861" s="28" t="n">
        <x:v>404.49</x:v>
      </x:c>
      <x:c r="C5861" s="28" t="n">
        <x:v>444.94</x:v>
      </x:c>
      <x:c r="D5861" s="31" t="n">
        <x:f>IF(OR(ISBLANK(B5861),ISBLANK(C5861),B5861=0),"",(C5861-B5861)/B5861)</x:f>
        <x:v>0.1000024722490049</x:v>
      </x:c>
      <x:c r="E5861" s="22" t="str">
        <x:f>IF(ISBLANK(C5861),"AmountIncludingTax缺失",IF(ABS(B5861-C5861)&lt;0.005,"一致","不一致"))</x:f>
        <x:v>不一致</x:v>
      </x:c>
      <x:c r="F5861" s="19" t="str">
        <x:v>approved</x:v>
      </x:c>
      <x:c r="G5861" s="19" t="str">
        <x:v>Repairer Invoiced Received</x:v>
      </x:c>
      <x:c r="H5861" s="19" t="str">
        <x:v>Pre Delivery</x:v>
      </x:c>
      <x:c r="I5861" s="37" t="n">
        <x:v>46056</x:v>
      </x:c>
      <x:c r="J5861" s="37" t="n">
        <x:v>46056</x:v>
      </x:c>
      <x:c r="K5861" s="19" t="str">
        <x:v>QCCC - Gympie</x:v>
      </x:c>
      <x:c r="L5861" s="19" t="str">
        <x:v>Z005</x:v>
      </x:c>
      <x:c r="M5861" s="19" t="str">
        <x:v>Pre Delivery Warranty Claims</x:v>
      </x:c>
      <x:c r="N5861" s="37" t="n">
        <x:v>45856</x:v>
      </x:c>
      <x:c r="O5861" s="37"/>
      <x:c r="P5861" s="34" t="n">
        <x:v>444.94</x:v>
      </x:c>
      <x:c r="Q5861" s="37" t="n">
        <x:v>46055.929247685184</x:v>
      </x:c>
    </x:row>
    <x:row r="5862">
      <x:c r="A5862" s="22" t="n">
        <x:v>22800</x:v>
      </x:c>
      <x:c r="B5862" s="28" t="n">
        <x:v>172.73</x:v>
      </x:c>
      <x:c r="C5862" s="28"/>
      <x:c r="D5862" s="31" t="str">
        <x:f>IF(OR(ISBLANK(B5862),ISBLANK(C5862),B5862=0),"",(C5862-B5862)/B5862)</x:f>
      </x:c>
      <x:c r="E5862" s="22" t="str">
        <x:f>IF(ISBLANK(C5862),"AmountIncludingTax缺失",IF(ABS(B5862-C5862)&lt;0.005,"一致","不一致"))</x:f>
        <x:v>AmountIncludingTax缺失</x:v>
      </x:c>
      <x:c r="F5862" s="19" t="str">
        <x:v>approved</x:v>
      </x:c>
      <x:c r="G5862" s="19" t="str">
        <x:v>Repairer Invoiced Processed</x:v>
      </x:c>
      <x:c r="H5862" s="19" t="str">
        <x:v>In Field</x:v>
      </x:c>
      <x:c r="I5862" s="37" t="n">
        <x:v>46063</x:v>
      </x:c>
      <x:c r="J5862" s="37" t="n">
        <x:v>46063</x:v>
      </x:c>
      <x:c r="K5862" s="19" t="str">
        <x:v>Green RV - Forest Glen</x:v>
      </x:c>
      <x:c r="L5862" s="19" t="str">
        <x:v>Z006</x:v>
      </x:c>
      <x:c r="M5862" s="19" t="str">
        <x:v>In Field Warranty Claims</x:v>
      </x:c>
      <x:c r="N5862" s="37" t="n">
        <x:v>45854</x:v>
      </x:c>
      <x:c r="O5862" s="37"/>
      <x:c r="P5862" s="34" t="n">
        <x:v>0</x:v>
      </x:c>
      <x:c r="Q5862" s="37" t="n">
        <x:v>46062.97542824074</x:v>
      </x:c>
    </x:row>
    <x:row r="5863">
      <x:c r="A5863" s="22" t="n">
        <x:v>22783</x:v>
      </x:c>
      <x:c r="B5863" s="28" t="n">
        <x:v>2738.55</x:v>
      </x:c>
      <x:c r="C5863" s="28"/>
      <x:c r="D5863" s="31" t="str">
        <x:f>IF(OR(ISBLANK(B5863),ISBLANK(C5863),B5863=0),"",(C5863-B5863)/B5863)</x:f>
      </x:c>
      <x:c r="E5863" s="22" t="str">
        <x:f>IF(ISBLANK(C5863),"AmountIncludingTax缺失",IF(ABS(B5863-C5863)&lt;0.005,"一致","不一致"))</x:f>
        <x:v>AmountIncludingTax缺失</x:v>
      </x:c>
      <x:c r="F5863" s="19" t="str">
        <x:v>approved</x:v>
      </x:c>
      <x:c r="G5863" s="19" t="str">
        <x:v>Repairer Invoiced Processed</x:v>
      </x:c>
      <x:c r="H5863" s="19" t="str">
        <x:v>In Field</x:v>
      </x:c>
      <x:c r="I5863" s="37" t="n">
        <x:v>46052</x:v>
      </x:c>
      <x:c r="J5863" s="37" t="n">
        <x:v>46052</x:v>
      </x:c>
      <x:c r="K5863" s="19" t="str">
        <x:v>Green RV - Forest Glen</x:v>
      </x:c>
      <x:c r="L5863" s="19" t="str">
        <x:v>Z006</x:v>
      </x:c>
      <x:c r="M5863" s="19" t="str">
        <x:v>In Field Warranty Claims</x:v>
      </x:c>
      <x:c r="N5863" s="37" t="n">
        <x:v>45854</x:v>
      </x:c>
      <x:c r="O5863" s="37"/>
      <x:c r="P5863" s="34" t="n">
        <x:v>3012.41</x:v>
      </x:c>
      <x:c r="Q5863" s="37" t="n">
        <x:v>46052.30043981481</x:v>
      </x:c>
    </x:row>
    <x:row r="5864">
      <x:c r="A5864" s="22" t="n">
        <x:v>22779</x:v>
      </x:c>
      <x:c r="B5864" s="28" t="n">
        <x:v>861.93</x:v>
      </x:c>
      <x:c r="C5864" s="28"/>
      <x:c r="D5864" s="31" t="str">
        <x:f>IF(OR(ISBLANK(B5864),ISBLANK(C5864),B5864=0),"",(C5864-B5864)/B5864)</x:f>
      </x:c>
      <x:c r="E5864" s="22" t="str">
        <x:f>IF(ISBLANK(C5864),"AmountIncludingTax缺失",IF(ABS(B5864-C5864)&lt;0.005,"一致","不一致"))</x:f>
        <x:v>AmountIncludingTax缺失</x:v>
      </x:c>
      <x:c r="F5864" s="19" t="str">
        <x:v>approved</x:v>
      </x:c>
      <x:c r="G5864" s="19" t="str">
        <x:v>Repair in Progress</x:v>
      </x:c>
      <x:c r="H5864" s="19" t="str">
        <x:v>In Field</x:v>
      </x:c>
      <x:c r="I5864" s="37" t="n">
        <x:v>46113</x:v>
      </x:c>
      <x:c r="J5864" s="37" t="n">
        <x:v>46113</x:v>
      </x:c>
      <x:c r="K5864" s="19" t="str">
        <x:v>Auswide Caravans - South Nowra</x:v>
      </x:c>
      <x:c r="L5864" s="19" t="str">
        <x:v>Z006</x:v>
      </x:c>
      <x:c r="M5864" s="19" t="str">
        <x:v>In Field Warranty Claims</x:v>
      </x:c>
      <x:c r="N5864" s="37" t="n">
        <x:v>45854</x:v>
      </x:c>
      <x:c r="O5864" s="37"/>
      <x:c r="P5864" s="34" t="n">
        <x:v>0</x:v>
      </x:c>
      <x:c r="Q5864" s="37" t="n">
        <x:v>46113.07082175926</x:v>
      </x:c>
    </x:row>
    <x:row r="5865">
      <x:c r="A5865" s="22" t="n">
        <x:v>22774</x:v>
      </x:c>
      <x:c r="B5865" s="28" t="n">
        <x:v>1046.25</x:v>
      </x:c>
      <x:c r="C5865" s="28"/>
      <x:c r="D5865" s="31" t="str">
        <x:f>IF(OR(ISBLANK(B5865),ISBLANK(C5865),B5865=0),"",(C5865-B5865)/B5865)</x:f>
      </x:c>
      <x:c r="E5865" s="22" t="str">
        <x:f>IF(ISBLANK(C5865),"AmountIncludingTax缺失",IF(ABS(B5865-C5865)&lt;0.005,"一致","不一致"))</x:f>
        <x:v>AmountIncludingTax缺失</x:v>
      </x:c>
      <x:c r="F5865" s="19" t="str">
        <x:v>approved</x:v>
      </x:c>
      <x:c r="G5865" s="19" t="str">
        <x:v>Repair in Progress</x:v>
      </x:c>
      <x:c r="H5865" s="19" t="str">
        <x:v>In Field</x:v>
      </x:c>
      <x:c r="I5865" s="37" t="n">
        <x:v>46113</x:v>
      </x:c>
      <x:c r="J5865" s="37" t="n">
        <x:v>46113</x:v>
      </x:c>
      <x:c r="K5865" s="19" t="str">
        <x:v>ABCO Caravans - Boambee Valley</x:v>
      </x:c>
      <x:c r="L5865" s="19" t="str">
        <x:v>Z006</x:v>
      </x:c>
      <x:c r="M5865" s="19" t="str">
        <x:v>In Field Warranty Claims</x:v>
      </x:c>
      <x:c r="N5865" s="37" t="n">
        <x:v>45854</x:v>
      </x:c>
      <x:c r="O5865" s="37"/>
      <x:c r="P5865" s="34" t="n">
        <x:v>0</x:v>
      </x:c>
      <x:c r="Q5865" s="37" t="n">
        <x:v>46113.07167824074</x:v>
      </x:c>
    </x:row>
    <x:row r="5866">
      <x:c r="A5866" s="22" t="n">
        <x:v>22699</x:v>
      </x:c>
      <x:c r="B5866" s="28" t="n">
        <x:v>880</x:v>
      </x:c>
      <x:c r="C5866" s="28" t="n">
        <x:v>968</x:v>
      </x:c>
      <x:c r="D5866" s="31" t="n">
        <x:f>IF(OR(ISBLANK(B5866),ISBLANK(C5866),B5866=0),"",(C5866-B5866)/B5866)</x:f>
        <x:v>0.1</x:v>
      </x:c>
      <x:c r="E5866" s="22" t="str">
        <x:f>IF(ISBLANK(C5866),"AmountIncludingTax缺失",IF(ABS(B5866-C5866)&lt;0.005,"一致","不一致"))</x:f>
        <x:v>不一致</x:v>
      </x:c>
      <x:c r="F5866" s="19" t="str">
        <x:v>approved</x:v>
      </x:c>
      <x:c r="G5866" s="19" t="str">
        <x:v>Repair in Progress</x:v>
      </x:c>
      <x:c r="H5866" s="19" t="str">
        <x:v>In Field</x:v>
      </x:c>
      <x:c r="I5866" s="37" t="n">
        <x:v>46052</x:v>
      </x:c>
      <x:c r="J5866" s="37" t="n">
        <x:v>46052</x:v>
      </x:c>
      <x:c r="K5866" s="19" t="str">
        <x:v>Regent RV - Perth</x:v>
      </x:c>
      <x:c r="L5866" s="19" t="str">
        <x:v>Z006</x:v>
      </x:c>
      <x:c r="M5866" s="19" t="str">
        <x:v>In Field Warranty Claims</x:v>
      </x:c>
      <x:c r="N5866" s="37" t="n">
        <x:v>45853</x:v>
      </x:c>
      <x:c r="O5866" s="37"/>
      <x:c r="P5866" s="34" t="n">
        <x:v>968</x:v>
      </x:c>
      <x:c r="Q5866" s="37" t="n">
        <x:v>46051.91657407407</x:v>
      </x:c>
    </x:row>
    <x:row r="5867">
      <x:c r="A5867" s="22" t="n">
        <x:v>22616</x:v>
      </x:c>
      <x:c r="B5867" s="28" t="n">
        <x:v>2391.88</x:v>
      </x:c>
      <x:c r="C5867" s="28"/>
      <x:c r="D5867" s="31" t="str">
        <x:f>IF(OR(ISBLANK(B5867),ISBLANK(C5867),B5867=0),"",(C5867-B5867)/B5867)</x:f>
      </x:c>
      <x:c r="E5867" s="22" t="str">
        <x:f>IF(ISBLANK(C5867),"AmountIncludingTax缺失",IF(ABS(B5867-C5867)&lt;0.005,"一致","不一致"))</x:f>
        <x:v>AmountIncludingTax缺失</x:v>
      </x:c>
      <x:c r="F5867" s="19" t="str">
        <x:v>approved</x:v>
      </x:c>
      <x:c r="G5867" s="19" t="str">
        <x:v>Repairer Invoiced Processed</x:v>
      </x:c>
      <x:c r="H5867" s="19" t="str">
        <x:v>In Field</x:v>
      </x:c>
      <x:c r="I5867" s="37" t="n">
        <x:v>46069</x:v>
      </x:c>
      <x:c r="J5867" s="37" t="n">
        <x:v>46069</x:v>
      </x:c>
      <x:c r="K5867" s="19" t="str">
        <x:v>Lesiure Lion-New Castle</x:v>
      </x:c>
      <x:c r="L5867" s="19" t="str">
        <x:v>Z006</x:v>
      </x:c>
      <x:c r="M5867" s="19" t="str">
        <x:v>In Field Warranty Claims</x:v>
      </x:c>
      <x:c r="N5867" s="37" t="n">
        <x:v>45849</x:v>
      </x:c>
      <x:c r="O5867" s="37"/>
      <x:c r="P5867" s="34" t="n">
        <x:v>2631.07</x:v>
      </x:c>
      <x:c r="Q5867" s="37" t="n">
        <x:v>46068.95028935185</x:v>
      </x:c>
    </x:row>
    <x:row r="5868">
      <x:c r="A5868" s="22" t="n">
        <x:v>22604</x:v>
      </x:c>
      <x:c r="B5868" s="28" t="n">
        <x:v>1080.33</x:v>
      </x:c>
      <x:c r="C5868" s="28"/>
      <x:c r="D5868" s="31" t="str">
        <x:f>IF(OR(ISBLANK(B5868),ISBLANK(C5868),B5868=0),"",(C5868-B5868)/B5868)</x:f>
      </x:c>
      <x:c r="E5868" s="22" t="str">
        <x:f>IF(ISBLANK(C5868),"AmountIncludingTax缺失",IF(ABS(B5868-C5868)&lt;0.005,"一致","不一致"))</x:f>
        <x:v>AmountIncludingTax缺失</x:v>
      </x:c>
      <x:c r="F5868" s="19" t="str">
        <x:v>approved</x:v>
      </x:c>
      <x:c r="G5868" s="19" t="str">
        <x:v>Repairer Invoiced Processed</x:v>
      </x:c>
      <x:c r="H5868" s="19" t="str">
        <x:v>In Field</x:v>
      </x:c>
      <x:c r="I5868" s="37" t="n">
        <x:v>46133</x:v>
      </x:c>
      <x:c r="J5868" s="37" t="n">
        <x:v>46042</x:v>
      </x:c>
      <x:c r="K5868" s="19" t="str">
        <x:v>Green RV - Forest Glen</x:v>
      </x:c>
      <x:c r="L5868" s="19" t="str">
        <x:v>Z006</x:v>
      </x:c>
      <x:c r="M5868" s="19" t="str">
        <x:v>In Field Warranty Claims</x:v>
      </x:c>
      <x:c r="N5868" s="37" t="n">
        <x:v>45849</x:v>
      </x:c>
      <x:c r="O5868" s="37"/>
      <x:c r="P5868" s="34" t="n">
        <x:v>1315.68</x:v>
      </x:c>
      <x:c r="Q5868" s="37" t="n">
        <x:v>46133.174780092595</x:v>
      </x:c>
    </x:row>
    <x:row r="5869">
      <x:c r="A5869" s="22" t="n">
        <x:v>22578</x:v>
      </x:c>
      <x:c r="B5869" s="28" t="n">
        <x:v>1205</x:v>
      </x:c>
      <x:c r="C5869" s="28"/>
      <x:c r="D5869" s="31" t="str">
        <x:f>IF(OR(ISBLANK(B5869),ISBLANK(C5869),B5869=0),"",(C5869-B5869)/B5869)</x:f>
      </x:c>
      <x:c r="E5869" s="22" t="str">
        <x:f>IF(ISBLANK(C5869),"AmountIncludingTax缺失",IF(ABS(B5869-C5869)&lt;0.005,"一致","不一致"))</x:f>
        <x:v>AmountIncludingTax缺失</x:v>
      </x:c>
      <x:c r="F5869" s="19" t="str">
        <x:v>approved</x:v>
      </x:c>
      <x:c r="G5869" s="19" t="str">
        <x:v>Repair in Progress</x:v>
      </x:c>
      <x:c r="H5869" s="19" t="str">
        <x:v>In Field</x:v>
      </x:c>
      <x:c r="I5869" s="37" t="n">
        <x:v>46093</x:v>
      </x:c>
      <x:c r="J5869" s="37" t="n">
        <x:v>46093</x:v>
      </x:c>
      <x:c r="K5869" s="19" t="str">
        <x:v>The Caravan Hub - Townsville</x:v>
      </x:c>
      <x:c r="L5869" s="19" t="str">
        <x:v>Z006</x:v>
      </x:c>
      <x:c r="M5869" s="19" t="str">
        <x:v>In Field Warranty Claims</x:v>
      </x:c>
      <x:c r="N5869" s="37" t="n">
        <x:v>45848</x:v>
      </x:c>
      <x:c r="O5869" s="37"/>
      <x:c r="P5869" s="34" t="n">
        <x:v>0</x:v>
      </x:c>
      <x:c r="Q5869" s="37" t="n">
        <x:v>46093.449525462966</x:v>
      </x:c>
    </x:row>
    <x:row r="5870">
      <x:c r="A5870" s="22" t="n">
        <x:v>22532</x:v>
      </x:c>
      <x:c r="B5870" s="28" t="n">
        <x:v>486.38</x:v>
      </x:c>
      <x:c r="C5870" s="28"/>
      <x:c r="D5870" s="31" t="str">
        <x:f>IF(OR(ISBLANK(B5870),ISBLANK(C5870),B5870=0),"",(C5870-B5870)/B5870)</x:f>
      </x:c>
      <x:c r="E5870" s="22" t="str">
        <x:f>IF(ISBLANK(C5870),"AmountIncludingTax缺失",IF(ABS(B5870-C5870)&lt;0.005,"一致","不一致"))</x:f>
        <x:v>AmountIncludingTax缺失</x:v>
      </x:c>
      <x:c r="F5870" s="19" t="str">
        <x:v>approved</x:v>
      </x:c>
      <x:c r="G5870" s="19" t="str">
        <x:v>Repairer Invoiced Processed</x:v>
      </x:c>
      <x:c r="H5870" s="19" t="str">
        <x:v>In Field</x:v>
      </x:c>
      <x:c r="I5870" s="37" t="n">
        <x:v>46113</x:v>
      </x:c>
      <x:c r="J5870" s="37" t="n">
        <x:v>46113</x:v>
      </x:c>
      <x:c r="K5870" s="19" t="str">
        <x:v>Green RV - Forest Glen</x:v>
      </x:c>
      <x:c r="L5870" s="19" t="str">
        <x:v>Z006</x:v>
      </x:c>
      <x:c r="M5870" s="19" t="str">
        <x:v>In Field Warranty Claims</x:v>
      </x:c>
      <x:c r="N5870" s="37" t="n">
        <x:v>45847</x:v>
      </x:c>
      <x:c r="O5870" s="37"/>
      <x:c r="P5870" s="34" t="n">
        <x:v>0</x:v>
      </x:c>
      <x:c r="Q5870" s="37" t="n">
        <x:v>46113.14894675926</x:v>
      </x:c>
    </x:row>
    <x:row r="5871">
      <x:c r="A5871" s="22" t="n">
        <x:v>22531</x:v>
      </x:c>
      <x:c r="B5871" s="28" t="n">
        <x:v>2316.25</x:v>
      </x:c>
      <x:c r="C5871" s="28"/>
      <x:c r="D5871" s="31" t="str">
        <x:f>IF(OR(ISBLANK(B5871),ISBLANK(C5871),B5871=0),"",(C5871-B5871)/B5871)</x:f>
      </x:c>
      <x:c r="E5871" s="22" t="str">
        <x:f>IF(ISBLANK(C5871),"AmountIncludingTax缺失",IF(ABS(B5871-C5871)&lt;0.005,"一致","不一致"))</x:f>
        <x:v>AmountIncludingTax缺失</x:v>
      </x:c>
      <x:c r="F5871" s="19" t="str">
        <x:v>approved</x:v>
      </x:c>
      <x:c r="G5871" s="19" t="str">
        <x:v>Repair in Progress</x:v>
      </x:c>
      <x:c r="H5871" s="19" t="str">
        <x:v>In Field</x:v>
      </x:c>
      <x:c r="I5871" s="37" t="n">
        <x:v>46150</x:v>
      </x:c>
      <x:c r="J5871" s="37" t="n">
        <x:v>46150</x:v>
      </x:c>
      <x:c r="K5871" s="19" t="str">
        <x:v>Regent RV - Perth</x:v>
      </x:c>
      <x:c r="L5871" s="19" t="str">
        <x:v>Z006</x:v>
      </x:c>
      <x:c r="M5871" s="19" t="str">
        <x:v>In Field Warranty Claims</x:v>
      </x:c>
      <x:c r="N5871" s="37" t="n">
        <x:v>45847</x:v>
      </x:c>
      <x:c r="O5871" s="37" t="n">
        <x:v>45992</x:v>
      </x:c>
      <x:c r="P5871" s="34" t="n">
        <x:v>0</x:v>
      </x:c>
      <x:c r="Q5871" s="37" t="n">
        <x:v>46150.07356481482</x:v>
      </x:c>
    </x:row>
    <x:row r="5872">
      <x:c r="A5872" s="22" t="n">
        <x:v>22530</x:v>
      </x:c>
      <x:c r="B5872" s="28" t="n">
        <x:v>1271.61</x:v>
      </x:c>
      <x:c r="C5872" s="28"/>
      <x:c r="D5872" s="31" t="str">
        <x:f>IF(OR(ISBLANK(B5872),ISBLANK(C5872),B5872=0),"",(C5872-B5872)/B5872)</x:f>
      </x:c>
      <x:c r="E5872" s="22" t="str">
        <x:f>IF(ISBLANK(C5872),"AmountIncludingTax缺失",IF(ABS(B5872-C5872)&lt;0.005,"一致","不一致"))</x:f>
        <x:v>AmountIncludingTax缺失</x:v>
      </x:c>
      <x:c r="F5872" s="19" t="str">
        <x:v>approved</x:v>
      </x:c>
      <x:c r="G5872" s="19" t="str">
        <x:v>Repairer Invoiced Processed</x:v>
      </x:c>
      <x:c r="H5872" s="19" t="str">
        <x:v>In Field</x:v>
      </x:c>
      <x:c r="I5872" s="37" t="n">
        <x:v>46035</x:v>
      </x:c>
      <x:c r="J5872" s="37" t="n">
        <x:v>46035</x:v>
      </x:c>
      <x:c r="K5872" s="19" t="str">
        <x:v>Green RV - Forest Glen</x:v>
      </x:c>
      <x:c r="L5872" s="19" t="str">
        <x:v>Z006</x:v>
      </x:c>
      <x:c r="M5872" s="19" t="str">
        <x:v>In Field Warranty Claims</x:v>
      </x:c>
      <x:c r="N5872" s="37" t="n">
        <x:v>45847</x:v>
      </x:c>
      <x:c r="O5872" s="37"/>
      <x:c r="P5872" s="34" t="n">
        <x:v>1398.77</x:v>
      </x:c>
      <x:c r="Q5872" s="37" t="n">
        <x:v>46035.203043981484</x:v>
      </x:c>
    </x:row>
    <x:row r="5873">
      <x:c r="A5873" s="22" t="n">
        <x:v>22524</x:v>
      </x:c>
      <x:c r="B5873" s="28" t="n">
        <x:v>1256.58</x:v>
      </x:c>
      <x:c r="C5873" s="28"/>
      <x:c r="D5873" s="31" t="str">
        <x:f>IF(OR(ISBLANK(B5873),ISBLANK(C5873),B5873=0),"",(C5873-B5873)/B5873)</x:f>
      </x:c>
      <x:c r="E5873" s="22" t="str">
        <x:f>IF(ISBLANK(C5873),"AmountIncludingTax缺失",IF(ABS(B5873-C5873)&lt;0.005,"一致","不一致"))</x:f>
        <x:v>AmountIncludingTax缺失</x:v>
      </x:c>
      <x:c r="F5873" s="19" t="str">
        <x:v>approved</x:v>
      </x:c>
      <x:c r="G5873" s="19" t="str">
        <x:v>Repairer Invoiced Processed</x:v>
      </x:c>
      <x:c r="H5873" s="19" t="str">
        <x:v>In Field</x:v>
      </x:c>
      <x:c r="I5873" s="37" t="n">
        <x:v>46106</x:v>
      </x:c>
      <x:c r="J5873" s="37" t="n">
        <x:v>46106</x:v>
      </x:c>
      <x:c r="K5873" s="19" t="str">
        <x:v>Green RV - Slacks Creek</x:v>
      </x:c>
      <x:c r="L5873" s="19" t="str">
        <x:v>Z006</x:v>
      </x:c>
      <x:c r="M5873" s="19" t="str">
        <x:v>In Field Warranty Claims</x:v>
      </x:c>
      <x:c r="N5873" s="37" t="n">
        <x:v>45847</x:v>
      </x:c>
      <x:c r="O5873" s="37" t="n">
        <x:v>46037</x:v>
      </x:c>
      <x:c r="P5873" s="34" t="n">
        <x:v>0</x:v>
      </x:c>
      <x:c r="Q5873" s="37" t="n">
        <x:v>46106.069502314815</x:v>
      </x:c>
    </x:row>
    <x:row r="5874">
      <x:c r="A5874" s="22" t="n">
        <x:v>22510</x:v>
      </x:c>
      <x:c r="B5874" s="28" t="n">
        <x:v>340.91</x:v>
      </x:c>
      <x:c r="C5874" s="28" t="n">
        <x:v>375</x:v>
      </x:c>
      <x:c r="D5874" s="31" t="n">
        <x:f>IF(OR(ISBLANK(B5874),ISBLANK(C5874),B5874=0),"",(C5874-B5874)/B5874)</x:f>
        <x:v>0.0999970666744888</x:v>
      </x:c>
      <x:c r="E5874" s="22" t="str">
        <x:f>IF(ISBLANK(C5874),"AmountIncludingTax缺失",IF(ABS(B5874-C5874)&lt;0.005,"一致","不一致"))</x:f>
        <x:v>不一致</x:v>
      </x:c>
      <x:c r="F5874" s="19" t="str">
        <x:v>approved</x:v>
      </x:c>
      <x:c r="G5874" s="19" t="str">
        <x:v>Repairer Invoiced Processed</x:v>
      </x:c>
      <x:c r="H5874" s="19" t="str">
        <x:v>In Field</x:v>
      </x:c>
      <x:c r="I5874" s="37" t="n">
        <x:v>46037</x:v>
      </x:c>
      <x:c r="J5874" s="37" t="n">
        <x:v>46037</x:v>
      </x:c>
      <x:c r="K5874" s="19" t="str">
        <x:v>Green RV - Forest Glen</x:v>
      </x:c>
      <x:c r="L5874" s="19" t="str">
        <x:v>Z006</x:v>
      </x:c>
      <x:c r="M5874" s="19" t="str">
        <x:v>In Field Warranty Claims</x:v>
      </x:c>
      <x:c r="N5874" s="37" t="n">
        <x:v>45847</x:v>
      </x:c>
      <x:c r="O5874" s="37"/>
      <x:c r="P5874" s="34" t="n">
        <x:v>375</x:v>
      </x:c>
      <x:c r="Q5874" s="37" t="n">
        <x:v>46037.498460648145</x:v>
      </x:c>
    </x:row>
    <x:row r="5875">
      <x:c r="A5875" s="22" t="n">
        <x:v>22500</x:v>
      </x:c>
      <x:c r="B5875" s="28" t="n">
        <x:v>55</x:v>
      </x:c>
      <x:c r="C5875" s="28"/>
      <x:c r="D5875" s="31" t="str">
        <x:f>IF(OR(ISBLANK(B5875),ISBLANK(C5875),B5875=0),"",(C5875-B5875)/B5875)</x:f>
      </x:c>
      <x:c r="E5875" s="22" t="str">
        <x:f>IF(ISBLANK(C5875),"AmountIncludingTax缺失",IF(ABS(B5875-C5875)&lt;0.005,"一致","不一致"))</x:f>
        <x:v>AmountIncludingTax缺失</x:v>
      </x:c>
      <x:c r="F5875" s="19" t="str">
        <x:v>approved</x:v>
      </x:c>
      <x:c r="G5875" s="19" t="str">
        <x:v>Repair in Progress</x:v>
      </x:c>
      <x:c r="H5875" s="19" t="str">
        <x:v>In Field</x:v>
      </x:c>
      <x:c r="I5875" s="37" t="n">
        <x:v>46148</x:v>
      </x:c>
      <x:c r="J5875" s="37" t="n">
        <x:v>46148</x:v>
      </x:c>
      <x:c r="K5875" s="19" t="str">
        <x:v>Regent RV - Perth</x:v>
      </x:c>
      <x:c r="L5875" s="19" t="str">
        <x:v>Z006</x:v>
      </x:c>
      <x:c r="M5875" s="19" t="str">
        <x:v>In Field Warranty Claims</x:v>
      </x:c>
      <x:c r="N5875" s="37" t="n">
        <x:v>45847</x:v>
      </x:c>
      <x:c r="O5875" s="37"/>
      <x:c r="P5875" s="34" t="n">
        <x:v>0</x:v>
      </x:c>
      <x:c r="Q5875" s="37" t="n">
        <x:v>46148.17832175926</x:v>
      </x:c>
    </x:row>
    <x:row r="5876">
      <x:c r="A5876" s="22" t="n">
        <x:v>22416</x:v>
      </x:c>
      <x:c r="B5876" s="28" t="n">
        <x:v>622.73</x:v>
      </x:c>
      <x:c r="C5876" s="28"/>
      <x:c r="D5876" s="31" t="str">
        <x:f>IF(OR(ISBLANK(B5876),ISBLANK(C5876),B5876=0),"",(C5876-B5876)/B5876)</x:f>
      </x:c>
      <x:c r="E5876" s="22" t="str">
        <x:f>IF(ISBLANK(C5876),"AmountIncludingTax缺失",IF(ABS(B5876-C5876)&lt;0.005,"一致","不一致"))</x:f>
        <x:v>AmountIncludingTax缺失</x:v>
      </x:c>
      <x:c r="F5876" s="19" t="str">
        <x:v>approved</x:v>
      </x:c>
      <x:c r="G5876" s="19" t="str">
        <x:v>Repair in Progress</x:v>
      </x:c>
      <x:c r="H5876" s="19" t="str">
        <x:v>In Field</x:v>
      </x:c>
      <x:c r="I5876" s="37" t="n">
        <x:v>46155</x:v>
      </x:c>
      <x:c r="J5876" s="37" t="n">
        <x:v>46155</x:v>
      </x:c>
      <x:c r="K5876" s="19" t="str">
        <x:v>Auswide Caravans - South Nowra</x:v>
      </x:c>
      <x:c r="L5876" s="19" t="str">
        <x:v>Z006</x:v>
      </x:c>
      <x:c r="M5876" s="19" t="str">
        <x:v>In Field Warranty Claims</x:v>
      </x:c>
      <x:c r="N5876" s="37" t="n">
        <x:v>45846</x:v>
      </x:c>
      <x:c r="O5876" s="37" t="n">
        <x:v>45859</x:v>
      </x:c>
      <x:c r="P5876" s="34" t="n">
        <x:v>0</x:v>
      </x:c>
      <x:c r="Q5876" s="37" t="n">
        <x:v>46155.50399305556</x:v>
      </x:c>
    </x:row>
    <x:row r="5877">
      <x:c r="A5877" s="22" t="n">
        <x:v>22379</x:v>
      </x:c>
      <x:c r="B5877" s="28" t="n">
        <x:v>2875</x:v>
      </x:c>
      <x:c r="C5877" s="28"/>
      <x:c r="D5877" s="31" t="str">
        <x:f>IF(OR(ISBLANK(B5877),ISBLANK(C5877),B5877=0),"",(C5877-B5877)/B5877)</x:f>
      </x:c>
      <x:c r="E5877" s="22" t="str">
        <x:f>IF(ISBLANK(C5877),"AmountIncludingTax缺失",IF(ABS(B5877-C5877)&lt;0.005,"一致","不一致"))</x:f>
        <x:v>AmountIncludingTax缺失</x:v>
      </x:c>
      <x:c r="F5877" s="19" t="str">
        <x:v>approved</x:v>
      </x:c>
      <x:c r="G5877" s="19" t="str">
        <x:v>Repair in Progress</x:v>
      </x:c>
      <x:c r="H5877" s="19" t="str">
        <x:v>In Field</x:v>
      </x:c>
      <x:c r="I5877" s="37" t="n">
        <x:v>46119</x:v>
      </x:c>
      <x:c r="J5877" s="37" t="n">
        <x:v>46101</x:v>
      </x:c>
      <x:c r="K5877" s="19" t="str">
        <x:v>Vanari Caravans - Marden Point</x:v>
      </x:c>
      <x:c r="L5877" s="19" t="str">
        <x:v>Z006</x:v>
      </x:c>
      <x:c r="M5877" s="19" t="str">
        <x:v>In Field Warranty Claims</x:v>
      </x:c>
      <x:c r="N5877" s="37" t="n">
        <x:v>45845</x:v>
      </x:c>
      <x:c r="O5877" s="37"/>
      <x:c r="P5877" s="34" t="n">
        <x:v>2906.53</x:v>
      </x:c>
      <x:c r="Q5877" s="37" t="n">
        <x:v>46119.10548611111</x:v>
      </x:c>
    </x:row>
    <x:row r="5878">
      <x:c r="A5878" s="22" t="n">
        <x:v>22366</x:v>
      </x:c>
      <x:c r="B5878" s="28" t="n">
        <x:v>560</x:v>
      </x:c>
      <x:c r="C5878" s="28"/>
      <x:c r="D5878" s="31" t="str">
        <x:f>IF(OR(ISBLANK(B5878),ISBLANK(C5878),B5878=0),"",(C5878-B5878)/B5878)</x:f>
      </x:c>
      <x:c r="E5878" s="22" t="str">
        <x:f>IF(ISBLANK(C5878),"AmountIncludingTax缺失",IF(ABS(B5878-C5878)&lt;0.005,"一致","不一致"))</x:f>
        <x:v>AmountIncludingTax缺失</x:v>
      </x:c>
      <x:c r="F5878" s="19" t="str">
        <x:v>approved</x:v>
      </x:c>
      <x:c r="G5878" s="19" t="str">
        <x:v>Repair in Progress</x:v>
      </x:c>
      <x:c r="H5878" s="19" t="str">
        <x:v>In Field</x:v>
      </x:c>
      <x:c r="I5878" s="37" t="n">
        <x:v>46127</x:v>
      </x:c>
      <x:c r="J5878" s="37" t="n">
        <x:v>46127</x:v>
      </x:c>
      <x:c r="K5878" s="19" t="str">
        <x:v>Regent RV - Perth</x:v>
      </x:c>
      <x:c r="L5878" s="19" t="str">
        <x:v>Z006</x:v>
      </x:c>
      <x:c r="M5878" s="19" t="str">
        <x:v>In Field Warranty Claims</x:v>
      </x:c>
      <x:c r="N5878" s="37" t="n">
        <x:v>45844</x:v>
      </x:c>
      <x:c r="O5878" s="37" t="n">
        <x:v>46122</x:v>
      </x:c>
      <x:c r="P5878" s="34" t="n">
        <x:v>0</x:v>
      </x:c>
      <x:c r="Q5878" s="37" t="n">
        <x:v>46127.18111111111</x:v>
      </x:c>
    </x:row>
    <x:row r="5879">
      <x:c r="A5879" s="22" t="n">
        <x:v>22359</x:v>
      </x:c>
      <x:c r="B5879" s="28" t="n">
        <x:v>1350</x:v>
      </x:c>
      <x:c r="C5879" s="28"/>
      <x:c r="D5879" s="31" t="str">
        <x:f>IF(OR(ISBLANK(B5879),ISBLANK(C5879),B5879=0),"",(C5879-B5879)/B5879)</x:f>
      </x:c>
      <x:c r="E5879" s="22" t="str">
        <x:f>IF(ISBLANK(C5879),"AmountIncludingTax缺失",IF(ABS(B5879-C5879)&lt;0.005,"一致","不一致"))</x:f>
        <x:v>AmountIncludingTax缺失</x:v>
      </x:c>
      <x:c r="F5879" s="19" t="str">
        <x:v>approved</x:v>
      </x:c>
      <x:c r="G5879" s="19" t="str">
        <x:v>Repairer Invoiced Processed</x:v>
      </x:c>
      <x:c r="H5879" s="19" t="str">
        <x:v>In Field</x:v>
      </x:c>
      <x:c r="I5879" s="37" t="n">
        <x:v>46136</x:v>
      </x:c>
      <x:c r="J5879" s="37" t="n">
        <x:v>46136</x:v>
      </x:c>
      <x:c r="K5879" s="19" t="str">
        <x:v>Regent RV - Perth</x:v>
      </x:c>
      <x:c r="L5879" s="19" t="str">
        <x:v>Z006</x:v>
      </x:c>
      <x:c r="M5879" s="19" t="str">
        <x:v>In Field Warranty Claims</x:v>
      </x:c>
      <x:c r="N5879" s="37" t="n">
        <x:v>45843</x:v>
      </x:c>
      <x:c r="O5879" s="37"/>
      <x:c r="P5879" s="34" t="n">
        <x:v>0</x:v>
      </x:c>
      <x:c r="Q5879" s="37" t="n">
        <x:v>46136.01862268519</x:v>
      </x:c>
    </x:row>
    <x:row r="5880">
      <x:c r="A5880" s="22" t="n">
        <x:v>22339</x:v>
      </x:c>
      <x:c r="B5880" s="28" t="n">
        <x:v>151.35</x:v>
      </x:c>
      <x:c r="C5880" s="28" t="n">
        <x:v>137.03</x:v>
      </x:c>
      <x:c r="D5880" s="31" t="n">
        <x:f>IF(OR(ISBLANK(B5880),ISBLANK(C5880),B5880=0),"",(C5880-B5880)/B5880)</x:f>
        <x:v>-0.0946151304922365</x:v>
      </x:c>
      <x:c r="E5880" s="22" t="str">
        <x:f>IF(ISBLANK(C5880),"AmountIncludingTax缺失",IF(ABS(B5880-C5880)&lt;0.005,"一致","不一致"))</x:f>
        <x:v>不一致</x:v>
      </x:c>
      <x:c r="F5880" s="19" t="str">
        <x:v>approved</x:v>
      </x:c>
      <x:c r="G5880" s="19" t="str">
        <x:v>Repairer Invoiced Processed</x:v>
      </x:c>
      <x:c r="H5880" s="19" t="str">
        <x:v>In Field</x:v>
      </x:c>
      <x:c r="I5880" s="37" t="n">
        <x:v>46157</x:v>
      </x:c>
      <x:c r="J5880" s="37" t="n">
        <x:v>46157</x:v>
      </x:c>
      <x:c r="K5880" s="19" t="str">
        <x:v>Vanari Caravans - Marden Point</x:v>
      </x:c>
      <x:c r="L5880" s="19" t="str">
        <x:v>Z006</x:v>
      </x:c>
      <x:c r="M5880" s="19" t="str">
        <x:v>In Field Warranty Claims</x:v>
      </x:c>
      <x:c r="N5880" s="37" t="n">
        <x:v>45844</x:v>
      </x:c>
      <x:c r="O5880" s="37" t="n">
        <x:v>46114</x:v>
      </x:c>
      <x:c r="P5880" s="34" t="n">
        <x:v>137.03</x:v>
      </x:c>
      <x:c r="Q5880" s="37" t="n">
        <x:v>46157.20054398148</x:v>
      </x:c>
    </x:row>
    <x:row r="5881">
      <x:c r="A5881" s="22" t="n">
        <x:v>22303</x:v>
      </x:c>
      <x:c r="B5881" s="28" t="n">
        <x:v>513.9</x:v>
      </x:c>
      <x:c r="C5881" s="28" t="n">
        <x:v>511.82</x:v>
      </x:c>
      <x:c r="D5881" s="31" t="n">
        <x:f>IF(OR(ISBLANK(B5881),ISBLANK(C5881),B5881=0),"",(C5881-B5881)/B5881)</x:f>
        <x:v>-0.004047480054485277</x:v>
      </x:c>
      <x:c r="E5881" s="22" t="str">
        <x:f>IF(ISBLANK(C5881),"AmountIncludingTax缺失",IF(ABS(B5881-C5881)&lt;0.005,"一致","不一致"))</x:f>
        <x:v>不一致</x:v>
      </x:c>
      <x:c r="F5881" s="19" t="str">
        <x:v>approved</x:v>
      </x:c>
      <x:c r="G5881" s="19" t="str">
        <x:v>Repair in Progress</x:v>
      </x:c>
      <x:c r="H5881" s="19" t="str">
        <x:v>In Field</x:v>
      </x:c>
      <x:c r="I5881" s="37" t="n">
        <x:v>46119</x:v>
      </x:c>
      <x:c r="J5881" s="37" t="n">
        <x:v>46114</x:v>
      </x:c>
      <x:c r="K5881" s="19" t="str">
        <x:v>CMG Campers - Christchurch</x:v>
      </x:c>
      <x:c r="L5881" s="19" t="str">
        <x:v>Z006</x:v>
      </x:c>
      <x:c r="M5881" s="19" t="str">
        <x:v>In Field Warranty Claims</x:v>
      </x:c>
      <x:c r="N5881" s="37" t="n">
        <x:v>45841</x:v>
      </x:c>
      <x:c r="O5881" s="37"/>
      <x:c r="P5881" s="34" t="n">
        <x:v>511.82</x:v>
      </x:c>
      <x:c r="Q5881" s="37" t="n">
        <x:v>46119.015081018515</x:v>
      </x:c>
    </x:row>
    <x:row r="5882">
      <x:c r="A5882" s="22" t="n">
        <x:v>22282</x:v>
      </x:c>
      <x:c r="B5882" s="28" t="n">
        <x:v>506.25</x:v>
      </x:c>
      <x:c r="C5882" s="28"/>
      <x:c r="D5882" s="31" t="str">
        <x:f>IF(OR(ISBLANK(B5882),ISBLANK(C5882),B5882=0),"",(C5882-B5882)/B5882)</x:f>
      </x:c>
      <x:c r="E5882" s="22" t="str">
        <x:f>IF(ISBLANK(C5882),"AmountIncludingTax缺失",IF(ABS(B5882-C5882)&lt;0.005,"一致","不一致"))</x:f>
        <x:v>AmountIncludingTax缺失</x:v>
      </x:c>
      <x:c r="F5882" s="19" t="str">
        <x:v>approved</x:v>
      </x:c>
      <x:c r="G5882" s="19" t="str">
        <x:v>Partially Picked</x:v>
      </x:c>
      <x:c r="H5882" s="19" t="str">
        <x:v>In Field</x:v>
      </x:c>
      <x:c r="I5882" s="37" t="n">
        <x:v>46104</x:v>
      </x:c>
      <x:c r="J5882" s="37" t="n">
        <x:v>46104</x:v>
      </x:c>
      <x:c r="K5882" s="19" t="str">
        <x:v>Regent RV - Perth</x:v>
      </x:c>
      <x:c r="L5882" s="19" t="str">
        <x:v>Z006</x:v>
      </x:c>
      <x:c r="M5882" s="19" t="str">
        <x:v>In Field Warranty Claims</x:v>
      </x:c>
      <x:c r="N5882" s="37" t="n">
        <x:v>45841</x:v>
      </x:c>
      <x:c r="O5882" s="37"/>
      <x:c r="P5882" s="34" t="n">
        <x:v>0</x:v>
      </x:c>
      <x:c r="Q5882" s="37" t="n">
        <x:v>46104.020833333336</x:v>
      </x:c>
    </x:row>
    <x:row r="5883">
      <x:c r="A5883" s="22" t="n">
        <x:v>22255</x:v>
      </x:c>
      <x:c r="B5883" s="28" t="n">
        <x:v>1000</x:v>
      </x:c>
      <x:c r="C5883" s="28"/>
      <x:c r="D5883" s="31" t="str">
        <x:f>IF(OR(ISBLANK(B5883),ISBLANK(C5883),B5883=0),"",(C5883-B5883)/B5883)</x:f>
      </x:c>
      <x:c r="E5883" s="22" t="str">
        <x:f>IF(ISBLANK(C5883),"AmountIncludingTax缺失",IF(ABS(B5883-C5883)&lt;0.005,"一致","不一致"))</x:f>
        <x:v>AmountIncludingTax缺失</x:v>
      </x:c>
      <x:c r="F5883" s="19" t="str">
        <x:v>approved</x:v>
      </x:c>
      <x:c r="G5883" s="19" t="str">
        <x:v>Repairer Invoiced Processed</x:v>
      </x:c>
      <x:c r="H5883" s="19" t="str">
        <x:v>In Field</x:v>
      </x:c>
      <x:c r="I5883" s="37" t="n">
        <x:v>46049</x:v>
      </x:c>
      <x:c r="J5883" s="37" t="n">
        <x:v>46049</x:v>
      </x:c>
      <x:c r="K5883" s="19" t="str">
        <x:v>Regent RV - Perth</x:v>
      </x:c>
      <x:c r="L5883" s="19" t="str">
        <x:v>Z006</x:v>
      </x:c>
      <x:c r="M5883" s="19" t="str">
        <x:v>In Field Warranty Claims</x:v>
      </x:c>
      <x:c r="N5883" s="37" t="n">
        <x:v>45841</x:v>
      </x:c>
      <x:c r="O5883" s="37"/>
      <x:c r="P5883" s="34" t="n">
        <x:v>0</x:v>
      </x:c>
      <x:c r="Q5883" s="37" t="n">
        <x:v>46049.18467592593</x:v>
      </x:c>
    </x:row>
    <x:row r="5884">
      <x:c r="A5884" s="22" t="n">
        <x:v>22254</x:v>
      </x:c>
      <x:c r="B5884" s="28" t="n">
        <x:v>7994</x:v>
      </x:c>
      <x:c r="C5884" s="28"/>
      <x:c r="D5884" s="31" t="str">
        <x:f>IF(OR(ISBLANK(B5884),ISBLANK(C5884),B5884=0),"",(C5884-B5884)/B5884)</x:f>
      </x:c>
      <x:c r="E5884" s="22" t="str">
        <x:f>IF(ISBLANK(C5884),"AmountIncludingTax缺失",IF(ABS(B5884-C5884)&lt;0.005,"一致","不一致"))</x:f>
        <x:v>AmountIncludingTax缺失</x:v>
      </x:c>
      <x:c r="F5884" s="19" t="str">
        <x:v>approved</x:v>
      </x:c>
      <x:c r="G5884" s="19" t="str">
        <x:v>Repairer Invoiced Processed</x:v>
      </x:c>
      <x:c r="H5884" s="19" t="str">
        <x:v>In Field</x:v>
      </x:c>
      <x:c r="I5884" s="37" t="n">
        <x:v>46031</x:v>
      </x:c>
      <x:c r="J5884" s="37" t="n">
        <x:v>46031</x:v>
      </x:c>
      <x:c r="K5884" s="19" t="str">
        <x:v>Green RV - Forest Glen</x:v>
      </x:c>
      <x:c r="L5884" s="19" t="str">
        <x:v>Z006</x:v>
      </x:c>
      <x:c r="M5884" s="19" t="str">
        <x:v>In Field Warranty Claims</x:v>
      </x:c>
      <x:c r="N5884" s="37" t="n">
        <x:v>45841</x:v>
      </x:c>
      <x:c r="O5884" s="37"/>
      <x:c r="P5884" s="34" t="n">
        <x:v>8793.4</x:v>
      </x:c>
      <x:c r="Q5884" s="37" t="n">
        <x:v>46031.13517361111</x:v>
      </x:c>
    </x:row>
    <x:row r="5885">
      <x:c r="A5885" s="22" t="n">
        <x:v>22206</x:v>
      </x:c>
      <x:c r="B5885" s="28" t="n">
        <x:v>245.34</x:v>
      </x:c>
      <x:c r="C5885" s="28"/>
      <x:c r="D5885" s="31" t="str">
        <x:f>IF(OR(ISBLANK(B5885),ISBLANK(C5885),B5885=0),"",(C5885-B5885)/B5885)</x:f>
      </x:c>
      <x:c r="E5885" s="22" t="str">
        <x:f>IF(ISBLANK(C5885),"AmountIncludingTax缺失",IF(ABS(B5885-C5885)&lt;0.005,"一致","不一致"))</x:f>
        <x:v>AmountIncludingTax缺失</x:v>
      </x:c>
      <x:c r="F5885" s="19" t="str">
        <x:v>approved</x:v>
      </x:c>
      <x:c r="G5885" s="19" t="str">
        <x:v>Repairer Invoiced Processed</x:v>
      </x:c>
      <x:c r="H5885" s="19" t="str">
        <x:v>In Field</x:v>
      </x:c>
      <x:c r="I5885" s="37" t="n">
        <x:v>46055</x:v>
      </x:c>
      <x:c r="J5885" s="37" t="n">
        <x:v>46055</x:v>
      </x:c>
      <x:c r="K5885" s="19" t="str">
        <x:v>Green RV - Forest Glen</x:v>
      </x:c>
      <x:c r="L5885" s="19" t="str">
        <x:v>Z006</x:v>
      </x:c>
      <x:c r="M5885" s="19" t="str">
        <x:v>In Field Warranty Claims</x:v>
      </x:c>
      <x:c r="N5885" s="37" t="n">
        <x:v>45840</x:v>
      </x:c>
      <x:c r="O5885" s="37"/>
      <x:c r="P5885" s="34" t="n">
        <x:v>0</x:v>
      </x:c>
      <x:c r="Q5885" s="37" t="n">
        <x:v>46055.077581018515</x:v>
      </x:c>
    </x:row>
    <x:row r="5886">
      <x:c r="A5886" s="22" t="n">
        <x:v>22198</x:v>
      </x:c>
      <x:c r="B5886" s="28" t="n">
        <x:v>525.25</x:v>
      </x:c>
      <x:c r="C5886" s="28" t="n">
        <x:v>577.78</x:v>
      </x:c>
      <x:c r="D5886" s="31" t="n">
        <x:f>IF(OR(ISBLANK(B5886),ISBLANK(C5886),B5886=0),"",(C5886-B5886)/B5886)</x:f>
        <x:v>0.10000951927653493</x:v>
      </x:c>
      <x:c r="E5886" s="22" t="str">
        <x:f>IF(ISBLANK(C5886),"AmountIncludingTax缺失",IF(ABS(B5886-C5886)&lt;0.005,"一致","不一致"))</x:f>
        <x:v>不一致</x:v>
      </x:c>
      <x:c r="F5886" s="19" t="str">
        <x:v>approved</x:v>
      </x:c>
      <x:c r="G5886" s="19" t="str">
        <x:v>Repairer Invoiced Processed</x:v>
      </x:c>
      <x:c r="H5886" s="19" t="str">
        <x:v>In Field</x:v>
      </x:c>
      <x:c r="I5886" s="37" t="n">
        <x:v>46195</x:v>
      </x:c>
      <x:c r="J5886" s="37" t="n">
        <x:v>46195</x:v>
      </x:c>
      <x:c r="K5886" s="19" t="str">
        <x:v>The Caravan Hub - Townsville</x:v>
      </x:c>
      <x:c r="L5886" s="19" t="str">
        <x:v>Z006</x:v>
      </x:c>
      <x:c r="M5886" s="19" t="str">
        <x:v>In Field Warranty Claims</x:v>
      </x:c>
      <x:c r="N5886" s="37" t="n">
        <x:v>45839</x:v>
      </x:c>
      <x:c r="O5886" s="37" t="n">
        <x:v>46060</x:v>
      </x:c>
      <x:c r="P5886" s="34" t="n">
        <x:v>577.78</x:v>
      </x:c>
      <x:c r="Q5886" s="37" t="n">
        <x:v>46195.134884259256</x:v>
      </x:c>
    </x:row>
    <x:row r="5887">
      <x:c r="A5887" s="22" t="n">
        <x:v>22188</x:v>
      </x:c>
      <x:c r="B5887" s="28" t="n">
        <x:v>1525.68</x:v>
      </x:c>
      <x:c r="C5887" s="28"/>
      <x:c r="D5887" s="31" t="str">
        <x:f>IF(OR(ISBLANK(B5887),ISBLANK(C5887),B5887=0),"",(C5887-B5887)/B5887)</x:f>
      </x:c>
      <x:c r="E5887" s="22" t="str">
        <x:f>IF(ISBLANK(C5887),"AmountIncludingTax缺失",IF(ABS(B5887-C5887)&lt;0.005,"一致","不一致"))</x:f>
        <x:v>AmountIncludingTax缺失</x:v>
      </x:c>
      <x:c r="F5887" s="19" t="str">
        <x:v>approved</x:v>
      </x:c>
      <x:c r="G5887" s="19" t="str">
        <x:v>Partially Picked</x:v>
      </x:c>
      <x:c r="H5887" s="19" t="str">
        <x:v>In Field</x:v>
      </x:c>
      <x:c r="I5887" s="37" t="n">
        <x:v>46079</x:v>
      </x:c>
      <x:c r="J5887" s="37" t="n">
        <x:v>46079</x:v>
      </x:c>
      <x:c r="K5887" s="19" t="str">
        <x:v>Green RV - Forest Glen</x:v>
      </x:c>
      <x:c r="L5887" s="19" t="str">
        <x:v>Z006</x:v>
      </x:c>
      <x:c r="M5887" s="19" t="str">
        <x:v>In Field Warranty Claims</x:v>
      </x:c>
      <x:c r="N5887" s="37" t="n">
        <x:v>45839</x:v>
      </x:c>
      <x:c r="O5887" s="37"/>
      <x:c r="P5887" s="34" t="n">
        <x:v>0</x:v>
      </x:c>
      <x:c r="Q5887" s="37" t="n">
        <x:v>46079.15483796296</x:v>
      </x:c>
    </x:row>
    <x:row r="5888">
      <x:c r="A5888" s="22" t="n">
        <x:v>22182</x:v>
      </x:c>
      <x:c r="B5888" s="28" t="n">
        <x:v>4102.73</x:v>
      </x:c>
      <x:c r="C5888" s="28"/>
      <x:c r="D5888" s="31" t="str">
        <x:f>IF(OR(ISBLANK(B5888),ISBLANK(C5888),B5888=0),"",(C5888-B5888)/B5888)</x:f>
      </x:c>
      <x:c r="E5888" s="22" t="str">
        <x:f>IF(ISBLANK(C5888),"AmountIncludingTax缺失",IF(ABS(B5888-C5888)&lt;0.005,"一致","不一致"))</x:f>
        <x:v>AmountIncludingTax缺失</x:v>
      </x:c>
      <x:c r="F5888" s="19" t="str">
        <x:v>approved</x:v>
      </x:c>
      <x:c r="G5888" s="19" t="str">
        <x:v>Repairer Invoiced Processed</x:v>
      </x:c>
      <x:c r="H5888" s="19" t="str">
        <x:v>In Field</x:v>
      </x:c>
      <x:c r="I5888" s="37" t="n">
        <x:v>46036</x:v>
      </x:c>
      <x:c r="J5888" s="37" t="n">
        <x:v>46036</x:v>
      </x:c>
      <x:c r="K5888" s="19" t="str">
        <x:v>Green RV - Forest Glen</x:v>
      </x:c>
      <x:c r="L5888" s="19" t="str">
        <x:v>Z006</x:v>
      </x:c>
      <x:c r="M5888" s="19" t="str">
        <x:v>In Field Warranty Claims</x:v>
      </x:c>
      <x:c r="N5888" s="37" t="n">
        <x:v>45839</x:v>
      </x:c>
      <x:c r="O5888" s="37"/>
      <x:c r="P5888" s="34" t="n">
        <x:v>4513</x:v>
      </x:c>
      <x:c r="Q5888" s="37" t="n">
        <x:v>46036.14393518519</x:v>
      </x:c>
    </x:row>
    <x:row r="5889">
      <x:c r="A5889" s="22" t="n">
        <x:v>22119</x:v>
      </x:c>
      <x:c r="B5889" s="28" t="n">
        <x:v>6404.27</x:v>
      </x:c>
      <x:c r="C5889" s="28"/>
      <x:c r="D5889" s="31" t="str">
        <x:f>IF(OR(ISBLANK(B5889),ISBLANK(C5889),B5889=0),"",(C5889-B5889)/B5889)</x:f>
      </x:c>
      <x:c r="E5889" s="22" t="str">
        <x:f>IF(ISBLANK(C5889),"AmountIncludingTax缺失",IF(ABS(B5889-C5889)&lt;0.005,"一致","不一致"))</x:f>
        <x:v>AmountIncludingTax缺失</x:v>
      </x:c>
      <x:c r="F5889" s="19" t="str">
        <x:v>approved</x:v>
      </x:c>
      <x:c r="G5889" s="19" t="str">
        <x:v>Repairer Invoiced Processed</x:v>
      </x:c>
      <x:c r="H5889" s="19" t="str">
        <x:v>In Field</x:v>
      </x:c>
      <x:c r="I5889" s="37" t="n">
        <x:v>46197</x:v>
      </x:c>
      <x:c r="J5889" s="37" t="n">
        <x:v>46197</x:v>
      </x:c>
      <x:c r="K5889" s="19" t="str">
        <x:v>Green RV - Forest Glen</x:v>
      </x:c>
      <x:c r="L5889" s="19" t="str">
        <x:v>Z006</x:v>
      </x:c>
      <x:c r="M5889" s="19" t="str">
        <x:v>In Field Warranty Claims</x:v>
      </x:c>
      <x:c r="N5889" s="37" t="n">
        <x:v>45838</x:v>
      </x:c>
      <x:c r="O5889" s="37"/>
      <x:c r="P5889" s="34" t="n">
        <x:v>0</x:v>
      </x:c>
      <x:c r="Q5889" s="37" t="n">
        <x:v>46197.140868055554</x:v>
      </x:c>
    </x:row>
    <x:row r="5890">
      <x:c r="A5890" s="22" t="n">
        <x:v>22050</x:v>
      </x:c>
      <x:c r="B5890" s="28" t="n">
        <x:v>429.55</x:v>
      </x:c>
      <x:c r="C5890" s="28" t="n">
        <x:v>472.51</x:v>
      </x:c>
      <x:c r="D5890" s="31" t="n">
        <x:f>IF(OR(ISBLANK(B5890),ISBLANK(C5890),B5890=0),"",(C5890-B5890)/B5890)</x:f>
        <x:v>0.10001164008846462</x:v>
      </x:c>
      <x:c r="E5890" s="22" t="str">
        <x:f>IF(ISBLANK(C5890),"AmountIncludingTax缺失",IF(ABS(B5890-C5890)&lt;0.005,"一致","不一致"))</x:f>
        <x:v>不一致</x:v>
      </x:c>
      <x:c r="F5890" s="19" t="str">
        <x:v>approved</x:v>
      </x:c>
      <x:c r="G5890" s="19" t="str">
        <x:v>Repairer Invoiced Processed</x:v>
      </x:c>
      <x:c r="H5890" s="19" t="str">
        <x:v>In Field</x:v>
      </x:c>
      <x:c r="I5890" s="37" t="n">
        <x:v>46190</x:v>
      </x:c>
      <x:c r="J5890" s="37" t="n">
        <x:v>46190</x:v>
      </x:c>
      <x:c r="K5890" s="19" t="str">
        <x:v>Green RV - Forest Glen</x:v>
      </x:c>
      <x:c r="L5890" s="19" t="str">
        <x:v>Z006</x:v>
      </x:c>
      <x:c r="M5890" s="19" t="str">
        <x:v>In Field Warranty Claims</x:v>
      </x:c>
      <x:c r="N5890" s="37" t="n">
        <x:v>45837</x:v>
      </x:c>
      <x:c r="O5890" s="37" t="n">
        <x:v>45838</x:v>
      </x:c>
      <x:c r="P5890" s="34" t="n">
        <x:v>472.51</x:v>
      </x:c>
      <x:c r="Q5890" s="37" t="n">
        <x:v>46190.21025462963</x:v>
      </x:c>
    </x:row>
    <x:row r="5891">
      <x:c r="A5891" s="22" t="n">
        <x:v>21983</x:v>
      </x:c>
      <x:c r="B5891" s="28" t="n">
        <x:v>1802.45</x:v>
      </x:c>
      <x:c r="C5891" s="28"/>
      <x:c r="D5891" s="31" t="str">
        <x:f>IF(OR(ISBLANK(B5891),ISBLANK(C5891),B5891=0),"",(C5891-B5891)/B5891)</x:f>
      </x:c>
      <x:c r="E5891" s="22" t="str">
        <x:f>IF(ISBLANK(C5891),"AmountIncludingTax缺失",IF(ABS(B5891-C5891)&lt;0.005,"一致","不一致"))</x:f>
        <x:v>AmountIncludingTax缺失</x:v>
      </x:c>
      <x:c r="F5891" s="19" t="str">
        <x:v>approved</x:v>
      </x:c>
      <x:c r="G5891" s="19" t="str">
        <x:v>Repair in Progress</x:v>
      </x:c>
      <x:c r="H5891" s="19" t="str">
        <x:v>Pre Delivery</x:v>
      </x:c>
      <x:c r="I5891" s="37" t="n">
        <x:v>46051</x:v>
      </x:c>
      <x:c r="J5891" s="37" t="n">
        <x:v>46051</x:v>
      </x:c>
      <x:c r="K5891" s="19" t="str">
        <x:v>Vanari Caravans - Marden Point</x:v>
      </x:c>
      <x:c r="L5891" s="19" t="str">
        <x:v>Z005</x:v>
      </x:c>
      <x:c r="M5891" s="19" t="str">
        <x:v>Pre Delivery Warranty Claims</x:v>
      </x:c>
      <x:c r="N5891" s="37" t="n">
        <x:v>45835</x:v>
      </x:c>
      <x:c r="O5891" s="37"/>
      <x:c r="P5891" s="34" t="n">
        <x:v>0</x:v>
      </x:c>
      <x:c r="Q5891" s="37" t="n">
        <x:v>46051.19258101852</x:v>
      </x:c>
    </x:row>
    <x:row r="5892">
      <x:c r="A5892" s="22" t="n">
        <x:v>21867</x:v>
      </x:c>
      <x:c r="B5892" s="28" t="n">
        <x:v>720.45</x:v>
      </x:c>
      <x:c r="C5892" s="28" t="n">
        <x:v>792.5</x:v>
      </x:c>
      <x:c r="D5892" s="31" t="n">
        <x:f>IF(OR(ISBLANK(B5892),ISBLANK(C5892),B5892=0),"",(C5892-B5892)/B5892)</x:f>
        <x:v>0.10000694010687758</x:v>
      </x:c>
      <x:c r="E5892" s="22" t="str">
        <x:f>IF(ISBLANK(C5892),"AmountIncludingTax缺失",IF(ABS(B5892-C5892)&lt;0.005,"一致","不一致"))</x:f>
        <x:v>不一致</x:v>
      </x:c>
      <x:c r="F5892" s="19" t="str">
        <x:v>approved</x:v>
      </x:c>
      <x:c r="G5892" s="19" t="str">
        <x:v>Repairer Invoiced Processed</x:v>
      </x:c>
      <x:c r="H5892" s="19" t="str">
        <x:v>Pre Delivery</x:v>
      </x:c>
      <x:c r="I5892" s="37" t="n">
        <x:v>46134</x:v>
      </x:c>
      <x:c r="J5892" s="37" t="n">
        <x:v>46134</x:v>
      </x:c>
      <x:c r="K5892" s="19" t="str">
        <x:v>Dario Caravans - Pooraka</x:v>
      </x:c>
      <x:c r="L5892" s="19" t="str">
        <x:v>Z005</x:v>
      </x:c>
      <x:c r="M5892" s="19" t="str">
        <x:v>Pre Delivery Warranty Claims</x:v>
      </x:c>
      <x:c r="N5892" s="37" t="n">
        <x:v>45833</x:v>
      </x:c>
      <x:c r="O5892" s="37"/>
      <x:c r="P5892" s="34" t="n">
        <x:v>792.5</x:v>
      </x:c>
      <x:c r="Q5892" s="37" t="n">
        <x:v>46134.03094907408</x:v>
      </x:c>
    </x:row>
    <x:row r="5893">
      <x:c r="A5893" s="22" t="n">
        <x:v>21821</x:v>
      </x:c>
      <x:c r="B5893" s="28" t="n">
        <x:v>227.28</x:v>
      </x:c>
      <x:c r="C5893" s="28"/>
      <x:c r="D5893" s="31" t="str">
        <x:f>IF(OR(ISBLANK(B5893),ISBLANK(C5893),B5893=0),"",(C5893-B5893)/B5893)</x:f>
      </x:c>
      <x:c r="E5893" s="22" t="str">
        <x:f>IF(ISBLANK(C5893),"AmountIncludingTax缺失",IF(ABS(B5893-C5893)&lt;0.005,"一致","不一致"))</x:f>
        <x:v>AmountIncludingTax缺失</x:v>
      </x:c>
      <x:c r="F5893" s="19" t="str">
        <x:v>approved</x:v>
      </x:c>
      <x:c r="G5893" s="19" t="str">
        <x:v>Repair in Progress</x:v>
      </x:c>
      <x:c r="H5893" s="19" t="str">
        <x:v>In Field</x:v>
      </x:c>
      <x:c r="I5893" s="37" t="n">
        <x:v>46098</x:v>
      </x:c>
      <x:c r="J5893" s="37" t="n">
        <x:v>46098</x:v>
      </x:c>
      <x:c r="K5893" s="19" t="str">
        <x:v>Regent RV - Toowoomba</x:v>
      </x:c>
      <x:c r="L5893" s="19" t="str">
        <x:v>Z006</x:v>
      </x:c>
      <x:c r="M5893" s="19" t="str">
        <x:v>In Field Warranty Claims</x:v>
      </x:c>
      <x:c r="N5893" s="37" t="n">
        <x:v>45833</x:v>
      </x:c>
      <x:c r="O5893" s="37" t="n">
        <x:v>46015</x:v>
      </x:c>
      <x:c r="P5893" s="34" t="n">
        <x:v>0</x:v>
      </x:c>
      <x:c r="Q5893" s="37" t="n">
        <x:v>46097.953564814816</x:v>
      </x:c>
    </x:row>
    <x:row r="5894">
      <x:c r="A5894" s="22" t="n">
        <x:v>21764</x:v>
      </x:c>
      <x:c r="B5894" s="28" t="n">
        <x:v>342.5</x:v>
      </x:c>
      <x:c r="C5894" s="28"/>
      <x:c r="D5894" s="31" t="str">
        <x:f>IF(OR(ISBLANK(B5894),ISBLANK(C5894),B5894=0),"",(C5894-B5894)/B5894)</x:f>
      </x:c>
      <x:c r="E5894" s="22" t="str">
        <x:f>IF(ISBLANK(C5894),"AmountIncludingTax缺失",IF(ABS(B5894-C5894)&lt;0.005,"一致","不一致"))</x:f>
        <x:v>AmountIncludingTax缺失</x:v>
      </x:c>
      <x:c r="F5894" s="19" t="str">
        <x:v>approved</x:v>
      </x:c>
      <x:c r="G5894" s="19" t="str">
        <x:v>Repairer Invoiced Processed</x:v>
      </x:c>
      <x:c r="H5894" s="19" t="str">
        <x:v>In Field</x:v>
      </x:c>
      <x:c r="I5894" s="37" t="n">
        <x:v>46098</x:v>
      </x:c>
      <x:c r="J5894" s="37" t="n">
        <x:v>46098</x:v>
      </x:c>
      <x:c r="K5894" s="19" t="str">
        <x:v>Regent RV Pty Ltd</x:v>
      </x:c>
      <x:c r="L5894" s="19" t="str">
        <x:v>Z006</x:v>
      </x:c>
      <x:c r="M5894" s="19" t="str">
        <x:v>In Field Warranty Claims</x:v>
      </x:c>
      <x:c r="N5894" s="37" t="n">
        <x:v>45832</x:v>
      </x:c>
      <x:c r="O5894" s="37" t="n">
        <x:v>46101</x:v>
      </x:c>
      <x:c r="P5894" s="34" t="n">
        <x:v>0</x:v>
      </x:c>
      <x:c r="Q5894" s="37" t="n">
        <x:v>46098.02773148148</x:v>
      </x:c>
    </x:row>
    <x:row r="5895">
      <x:c r="A5895" s="22" t="n">
        <x:v>21746</x:v>
      </x:c>
      <x:c r="B5895" s="28" t="n">
        <x:v>136.36</x:v>
      </x:c>
      <x:c r="C5895" s="28"/>
      <x:c r="D5895" s="31" t="str">
        <x:f>IF(OR(ISBLANK(B5895),ISBLANK(C5895),B5895=0),"",(C5895-B5895)/B5895)</x:f>
      </x:c>
      <x:c r="E5895" s="22" t="str">
        <x:f>IF(ISBLANK(C5895),"AmountIncludingTax缺失",IF(ABS(B5895-C5895)&lt;0.005,"一致","不一致"))</x:f>
        <x:v>AmountIncludingTax缺失</x:v>
      </x:c>
      <x:c r="F5895" s="19" t="str">
        <x:v>approved</x:v>
      </x:c>
      <x:c r="G5895" s="19" t="str">
        <x:v>Repair in Progress</x:v>
      </x:c>
      <x:c r="H5895" s="19" t="str">
        <x:v>In Field</x:v>
      </x:c>
      <x:c r="I5895" s="37" t="n">
        <x:v>46076</x:v>
      </x:c>
      <x:c r="J5895" s="37" t="n">
        <x:v>46076</x:v>
      </x:c>
      <x:c r="K5895" s="19" t="str">
        <x:v>Sherrif Caravans &amp; Traliers - Prospect Vale</x:v>
      </x:c>
      <x:c r="L5895" s="19" t="str">
        <x:v>Z006</x:v>
      </x:c>
      <x:c r="M5895" s="19" t="str">
        <x:v>In Field Warranty Claims</x:v>
      </x:c>
      <x:c r="N5895" s="37" t="n">
        <x:v>45832</x:v>
      </x:c>
      <x:c r="O5895" s="37" t="n">
        <x:v>46028</x:v>
      </x:c>
      <x:c r="P5895" s="34" t="n">
        <x:v>0</x:v>
      </x:c>
      <x:c r="Q5895" s="37" t="n">
        <x:v>46076.079560185186</x:v>
      </x:c>
    </x:row>
    <x:row r="5896">
      <x:c r="A5896" s="22" t="n">
        <x:v>21634</x:v>
      </x:c>
      <x:c r="B5896" s="28" t="n">
        <x:v>550</x:v>
      </x:c>
      <x:c r="C5896" s="28"/>
      <x:c r="D5896" s="31" t="str">
        <x:f>IF(OR(ISBLANK(B5896),ISBLANK(C5896),B5896=0),"",(C5896-B5896)/B5896)</x:f>
      </x:c>
      <x:c r="E5896" s="22" t="str">
        <x:f>IF(ISBLANK(C5896),"AmountIncludingTax缺失",IF(ABS(B5896-C5896)&lt;0.005,"一致","不一致"))</x:f>
        <x:v>AmountIncludingTax缺失</x:v>
      </x:c>
      <x:c r="F5896" s="19" t="str">
        <x:v>approved</x:v>
      </x:c>
      <x:c r="G5896" s="19" t="str">
        <x:v>Repair in Progress</x:v>
      </x:c>
      <x:c r="H5896" s="19" t="str">
        <x:v>In Field</x:v>
      </x:c>
      <x:c r="I5896" s="37" t="n">
        <x:v>46108</x:v>
      </x:c>
      <x:c r="J5896" s="37" t="n">
        <x:v>46108</x:v>
      </x:c>
      <x:c r="K5896" s="19" t="str">
        <x:v>Regent RV - Perth</x:v>
      </x:c>
      <x:c r="L5896" s="19" t="str">
        <x:v>Z006</x:v>
      </x:c>
      <x:c r="M5896" s="19" t="str">
        <x:v>In Field Warranty Claims</x:v>
      </x:c>
      <x:c r="N5896" s="37" t="n">
        <x:v>45829</x:v>
      </x:c>
      <x:c r="O5896" s="37" t="n">
        <x:v>46028</x:v>
      </x:c>
      <x:c r="P5896" s="34" t="n">
        <x:v>0</x:v>
      </x:c>
      <x:c r="Q5896" s="37" t="n">
        <x:v>46107.91061342593</x:v>
      </x:c>
    </x:row>
    <x:row r="5897">
      <x:c r="A5897" s="22" t="n">
        <x:v>21597</x:v>
      </x:c>
      <x:c r="B5897" s="28" t="n">
        <x:v>50</x:v>
      </x:c>
      <x:c r="C5897" s="28"/>
      <x:c r="D5897" s="31" t="str">
        <x:f>IF(OR(ISBLANK(B5897),ISBLANK(C5897),B5897=0),"",(C5897-B5897)/B5897)</x:f>
      </x:c>
      <x:c r="E5897" s="22" t="str">
        <x:f>IF(ISBLANK(C5897),"AmountIncludingTax缺失",IF(ABS(B5897-C5897)&lt;0.005,"一致","不一致"))</x:f>
        <x:v>AmountIncludingTax缺失</x:v>
      </x:c>
      <x:c r="F5897" s="19" t="str">
        <x:v>approved</x:v>
      </x:c>
      <x:c r="G5897" s="19" t="str">
        <x:v>Repair in Progress</x:v>
      </x:c>
      <x:c r="H5897" s="19" t="str">
        <x:v>In Field</x:v>
      </x:c>
      <x:c r="I5897" s="37" t="n">
        <x:v>46101</x:v>
      </x:c>
      <x:c r="J5897" s="37" t="n">
        <x:v>46101</x:v>
      </x:c>
      <x:c r="K5897" s="19" t="str">
        <x:v>Regent RV - Perth</x:v>
      </x:c>
      <x:c r="L5897" s="19" t="str">
        <x:v>Z006</x:v>
      </x:c>
      <x:c r="M5897" s="19" t="str">
        <x:v>In Field Warranty Claims</x:v>
      </x:c>
      <x:c r="N5897" s="37" t="n">
        <x:v>45827</x:v>
      </x:c>
      <x:c r="O5897" s="37" t="n">
        <x:v>45994</x:v>
      </x:c>
      <x:c r="P5897" s="34" t="n">
        <x:v>0</x:v>
      </x:c>
      <x:c r="Q5897" s="37" t="n">
        <x:v>46101.233923611115</x:v>
      </x:c>
    </x:row>
    <x:row r="5898">
      <x:c r="A5898" s="22" t="n">
        <x:v>21585</x:v>
      </x:c>
      <x:c r="B5898" s="28" t="n">
        <x:v>286.59</x:v>
      </x:c>
      <x:c r="C5898" s="28"/>
      <x:c r="D5898" s="31" t="str">
        <x:f>IF(OR(ISBLANK(B5898),ISBLANK(C5898),B5898=0),"",(C5898-B5898)/B5898)</x:f>
      </x:c>
      <x:c r="E5898" s="22" t="str">
        <x:f>IF(ISBLANK(C5898),"AmountIncludingTax缺失",IF(ABS(B5898-C5898)&lt;0.005,"一致","不一致"))</x:f>
        <x:v>AmountIncludingTax缺失</x:v>
      </x:c>
      <x:c r="F5898" s="19" t="str">
        <x:v>approved</x:v>
      </x:c>
      <x:c r="G5898" s="19" t="str">
        <x:v>Repairer Invoiced Processed</x:v>
      </x:c>
      <x:c r="H5898" s="19" t="str">
        <x:v>In Field</x:v>
      </x:c>
      <x:c r="I5898" s="37" t="n">
        <x:v>46098</x:v>
      </x:c>
      <x:c r="J5898" s="37" t="n">
        <x:v>46098</x:v>
      </x:c>
      <x:c r="K5898" s="19" t="str">
        <x:v>Regent RV - Perth</x:v>
      </x:c>
      <x:c r="L5898" s="19" t="str">
        <x:v>Z006</x:v>
      </x:c>
      <x:c r="M5898" s="19" t="str">
        <x:v>In Field Warranty Claims</x:v>
      </x:c>
      <x:c r="N5898" s="37" t="n">
        <x:v>45827</x:v>
      </x:c>
      <x:c r="O5898" s="37" t="n">
        <x:v>45854</x:v>
      </x:c>
      <x:c r="P5898" s="34" t="n">
        <x:v>0</x:v>
      </x:c>
      <x:c r="Q5898" s="37" t="n">
        <x:v>46098.1121875</x:v>
      </x:c>
    </x:row>
    <x:row r="5899">
      <x:c r="A5899" s="22" t="n">
        <x:v>21570</x:v>
      </x:c>
      <x:c r="B5899" s="28" t="n">
        <x:v>264.78</x:v>
      </x:c>
      <x:c r="C5899" s="28" t="n">
        <x:v>291.26</x:v>
      </x:c>
      <x:c r="D5899" s="31" t="n">
        <x:f>IF(OR(ISBLANK(B5899),ISBLANK(C5899),B5899=0),"",(C5899-B5899)/B5899)</x:f>
        <x:v>0.10000755344059227</x:v>
      </x:c>
      <x:c r="E5899" s="22" t="str">
        <x:f>IF(ISBLANK(C5899),"AmountIncludingTax缺失",IF(ABS(B5899-C5899)&lt;0.005,"一致","不一致"))</x:f>
        <x:v>不一致</x:v>
      </x:c>
      <x:c r="F5899" s="19" t="str">
        <x:v>approved</x:v>
      </x:c>
      <x:c r="G5899" s="19" t="str">
        <x:v>Repairer Invoiced Processed</x:v>
      </x:c>
      <x:c r="H5899" s="19" t="str">
        <x:v>In Field</x:v>
      </x:c>
      <x:c r="I5899" s="37" t="n">
        <x:v>46126</x:v>
      </x:c>
      <x:c r="J5899" s="37" t="n">
        <x:v>46126</x:v>
      </x:c>
      <x:c r="K5899" s="19" t="str">
        <x:v>Green RV - Forest Glen</x:v>
      </x:c>
      <x:c r="L5899" s="19" t="str">
        <x:v>Z006</x:v>
      </x:c>
      <x:c r="M5899" s="19" t="str">
        <x:v>In Field Warranty Claims</x:v>
      </x:c>
      <x:c r="N5899" s="37" t="n">
        <x:v>45827</x:v>
      </x:c>
      <x:c r="O5899" s="37" t="n">
        <x:v>46101</x:v>
      </x:c>
      <x:c r="P5899" s="34" t="n">
        <x:v>291.26</x:v>
      </x:c>
      <x:c r="Q5899" s="37" t="n">
        <x:v>46126.167337962965</x:v>
      </x:c>
    </x:row>
    <x:row r="5900">
      <x:c r="A5900" s="22" t="n">
        <x:v>21558</x:v>
      </x:c>
      <x:c r="B5900" s="28" t="n">
        <x:v>3120.68</x:v>
      </x:c>
      <x:c r="C5900" s="28"/>
      <x:c r="D5900" s="31" t="str">
        <x:f>IF(OR(ISBLANK(B5900),ISBLANK(C5900),B5900=0),"",(C5900-B5900)/B5900)</x:f>
      </x:c>
      <x:c r="E5900" s="22" t="str">
        <x:f>IF(ISBLANK(C5900),"AmountIncludingTax缺失",IF(ABS(B5900-C5900)&lt;0.005,"一致","不一致"))</x:f>
        <x:v>AmountIncludingTax缺失</x:v>
      </x:c>
      <x:c r="F5900" s="19" t="str">
        <x:v>approved</x:v>
      </x:c>
      <x:c r="G5900" s="19" t="str">
        <x:v>Repairer Invoiced Processed</x:v>
      </x:c>
      <x:c r="H5900" s="19" t="str">
        <x:v>In Field</x:v>
      </x:c>
      <x:c r="I5900" s="37" t="n">
        <x:v>46057</x:v>
      </x:c>
      <x:c r="J5900" s="37" t="n">
        <x:v>46057</x:v>
      </x:c>
      <x:c r="K5900" s="19" t="str">
        <x:v>Green RV - Forest Glen</x:v>
      </x:c>
      <x:c r="L5900" s="19" t="str">
        <x:v>Z006</x:v>
      </x:c>
      <x:c r="M5900" s="19" t="str">
        <x:v>In Field Warranty Claims</x:v>
      </x:c>
      <x:c r="N5900" s="37" t="n">
        <x:v>45827</x:v>
      </x:c>
      <x:c r="O5900" s="37"/>
      <x:c r="P5900" s="34" t="n">
        <x:v>0</x:v>
      </x:c>
      <x:c r="Q5900" s="37" t="n">
        <x:v>46057.14505787037</x:v>
      </x:c>
    </x:row>
    <x:row r="5901">
      <x:c r="A5901" s="22" t="n">
        <x:v>21476</x:v>
      </x:c>
      <x:c r="B5901" s="28" t="n">
        <x:v>321.3</x:v>
      </x:c>
      <x:c r="C5901" s="28"/>
      <x:c r="D5901" s="31" t="str">
        <x:f>IF(OR(ISBLANK(B5901),ISBLANK(C5901),B5901=0),"",(C5901-B5901)/B5901)</x:f>
      </x:c>
      <x:c r="E5901" s="22" t="str">
        <x:f>IF(ISBLANK(C5901),"AmountIncludingTax缺失",IF(ABS(B5901-C5901)&lt;0.005,"一致","不一致"))</x:f>
        <x:v>AmountIncludingTax缺失</x:v>
      </x:c>
      <x:c r="F5901" s="19" t="str">
        <x:v>approved</x:v>
      </x:c>
      <x:c r="G5901" s="19" t="str">
        <x:v>Repairer Invoiced Processed</x:v>
      </x:c>
      <x:c r="H5901" s="19" t="str">
        <x:v>In Field</x:v>
      </x:c>
      <x:c r="I5901" s="37" t="n">
        <x:v>46184</x:v>
      </x:c>
      <x:c r="J5901" s="37" t="n">
        <x:v>46184</x:v>
      </x:c>
      <x:c r="K5901" s="19" t="str">
        <x:v>Vanari Caravans - Marden Point</x:v>
      </x:c>
      <x:c r="L5901" s="19" t="str">
        <x:v>Z006</x:v>
      </x:c>
      <x:c r="M5901" s="19" t="str">
        <x:v>In Field Warranty Claims</x:v>
      </x:c>
      <x:c r="N5901" s="37" t="n">
        <x:v>45825</x:v>
      </x:c>
      <x:c r="O5901" s="37" t="n">
        <x:v>46101</x:v>
      </x:c>
      <x:c r="P5901" s="34" t="n">
        <x:v>0</x:v>
      </x:c>
      <x:c r="Q5901" s="37" t="n">
        <x:v>46183.949849537035</x:v>
      </x:c>
    </x:row>
    <x:row r="5902">
      <x:c r="A5902" s="22" t="n">
        <x:v>21461</x:v>
      </x:c>
      <x:c r="B5902" s="28" t="n">
        <x:v>168.75</x:v>
      </x:c>
      <x:c r="C5902" s="28"/>
      <x:c r="D5902" s="31" t="str">
        <x:f>IF(OR(ISBLANK(B5902),ISBLANK(C5902),B5902=0),"",(C5902-B5902)/B5902)</x:f>
      </x:c>
      <x:c r="E5902" s="22" t="str">
        <x:f>IF(ISBLANK(C5902),"AmountIncludingTax缺失",IF(ABS(B5902-C5902)&lt;0.005,"一致","不一致"))</x:f>
        <x:v>AmountIncludingTax缺失</x:v>
      </x:c>
      <x:c r="F5902" s="19" t="str">
        <x:v>approved</x:v>
      </x:c>
      <x:c r="G5902" s="19" t="str">
        <x:v>Repair in Progress</x:v>
      </x:c>
      <x:c r="H5902" s="19" t="str">
        <x:v>Pre Delivery</x:v>
      </x:c>
      <x:c r="I5902" s="37" t="n">
        <x:v>46079</x:v>
      </x:c>
      <x:c r="J5902" s="37" t="n">
        <x:v>46079</x:v>
      </x:c>
      <x:c r="K5902" s="19" t="str">
        <x:v>Regent RV - Perth</x:v>
      </x:c>
      <x:c r="L5902" s="19" t="str">
        <x:v>Z005</x:v>
      </x:c>
      <x:c r="M5902" s="19" t="str">
        <x:v>Pre Delivery Warranty Claims</x:v>
      </x:c>
      <x:c r="N5902" s="37" t="n">
        <x:v>45824</x:v>
      </x:c>
      <x:c r="O5902" s="37"/>
      <x:c r="P5902" s="34" t="n">
        <x:v>0</x:v>
      </x:c>
      <x:c r="Q5902" s="37" t="n">
        <x:v>46078.94996527778</x:v>
      </x:c>
    </x:row>
    <x:row r="5903">
      <x:c r="A5903" s="22" t="n">
        <x:v>21443</x:v>
      </x:c>
      <x:c r="B5903" s="28" t="n">
        <x:v>2067.84</x:v>
      </x:c>
      <x:c r="C5903" s="28"/>
      <x:c r="D5903" s="31" t="str">
        <x:f>IF(OR(ISBLANK(B5903),ISBLANK(C5903),B5903=0),"",(C5903-B5903)/B5903)</x:f>
      </x:c>
      <x:c r="E5903" s="22" t="str">
        <x:f>IF(ISBLANK(C5903),"AmountIncludingTax缺失",IF(ABS(B5903-C5903)&lt;0.005,"一致","不一致"))</x:f>
        <x:v>AmountIncludingTax缺失</x:v>
      </x:c>
      <x:c r="F5903" s="19" t="str">
        <x:v>approved</x:v>
      </x:c>
      <x:c r="G5903" s="19" t="str">
        <x:v>Repair in Progress</x:v>
      </x:c>
      <x:c r="H5903" s="19" t="str">
        <x:v>In Field</x:v>
      </x:c>
      <x:c r="I5903" s="37" t="n">
        <x:v>46079</x:v>
      </x:c>
      <x:c r="J5903" s="37" t="n">
        <x:v>46079</x:v>
      </x:c>
      <x:c r="K5903" s="19" t="str">
        <x:v>Green RV - Forest Glen</x:v>
      </x:c>
      <x:c r="L5903" s="19" t="str">
        <x:v>Z006</x:v>
      </x:c>
      <x:c r="M5903" s="19" t="str">
        <x:v>In Field Warranty Claims</x:v>
      </x:c>
      <x:c r="N5903" s="37" t="n">
        <x:v>45824</x:v>
      </x:c>
      <x:c r="O5903" s="37"/>
      <x:c r="P5903" s="34" t="n">
        <x:v>0</x:v>
      </x:c>
      <x:c r="Q5903" s="37" t="n">
        <x:v>46078.95887731481</x:v>
      </x:c>
    </x:row>
    <x:row r="5904">
      <x:c r="A5904" s="22" t="n">
        <x:v>21431</x:v>
      </x:c>
      <x:c r="B5904" s="28" t="n">
        <x:v>1113.63</x:v>
      </x:c>
      <x:c r="C5904" s="28"/>
      <x:c r="D5904" s="31" t="str">
        <x:f>IF(OR(ISBLANK(B5904),ISBLANK(C5904),B5904=0),"",(C5904-B5904)/B5904)</x:f>
      </x:c>
      <x:c r="E5904" s="22" t="str">
        <x:f>IF(ISBLANK(C5904),"AmountIncludingTax缺失",IF(ABS(B5904-C5904)&lt;0.005,"一致","不一致"))</x:f>
        <x:v>AmountIncludingTax缺失</x:v>
      </x:c>
      <x:c r="F5904" s="19" t="str">
        <x:v>approved</x:v>
      </x:c>
      <x:c r="G5904" s="19" t="str">
        <x:v>Repairer Invoiced Processed</x:v>
      </x:c>
      <x:c r="H5904" s="19" t="str">
        <x:v>In Field</x:v>
      </x:c>
      <x:c r="I5904" s="37" t="n">
        <x:v>46079</x:v>
      </x:c>
      <x:c r="J5904" s="37" t="n">
        <x:v>46028</x:v>
      </x:c>
      <x:c r="K5904" s="19" t="str">
        <x:v>Newcastle RV Super Centre - Beresfield</x:v>
      </x:c>
      <x:c r="L5904" s="19" t="str">
        <x:v>Z006</x:v>
      </x:c>
      <x:c r="M5904" s="19" t="str">
        <x:v>In Field Warranty Claims</x:v>
      </x:c>
      <x:c r="N5904" s="37" t="n">
        <x:v>45824</x:v>
      </x:c>
      <x:c r="O5904" s="37"/>
      <x:c r="P5904" s="34" t="n">
        <x:v>0</x:v>
      </x:c>
      <x:c r="Q5904" s="37" t="n">
        <x:v>46079.09652777778</x:v>
      </x:c>
    </x:row>
    <x:row r="5905">
      <x:c r="A5905" s="22" t="n">
        <x:v>21414</x:v>
      </x:c>
      <x:c r="B5905" s="28" t="n">
        <x:v>391.25</x:v>
      </x:c>
      <x:c r="C5905" s="28" t="n">
        <x:v>430.38</x:v>
      </x:c>
      <x:c r="D5905" s="31" t="n">
        <x:f>IF(OR(ISBLANK(B5905),ISBLANK(C5905),B5905=0),"",(C5905-B5905)/B5905)</x:f>
        <x:v>0.10001277955271565</x:v>
      </x:c>
      <x:c r="E5905" s="22" t="str">
        <x:f>IF(ISBLANK(C5905),"AmountIncludingTax缺失",IF(ABS(B5905-C5905)&lt;0.005,"一致","不一致"))</x:f>
        <x:v>不一致</x:v>
      </x:c>
      <x:c r="F5905" s="19" t="str">
        <x:v>approved</x:v>
      </x:c>
      <x:c r="G5905" s="19" t="str">
        <x:v>Repairer Invoiced Processed</x:v>
      </x:c>
      <x:c r="H5905" s="19" t="str">
        <x:v>In Field</x:v>
      </x:c>
      <x:c r="I5905" s="37" t="n">
        <x:v>46086</x:v>
      </x:c>
      <x:c r="J5905" s="37" t="n">
        <x:v>46086</x:v>
      </x:c>
      <x:c r="K5905" s="19" t="str">
        <x:v>Green RV - Forest Glen</x:v>
      </x:c>
      <x:c r="L5905" s="19" t="str">
        <x:v>Z006</x:v>
      </x:c>
      <x:c r="M5905" s="19" t="str">
        <x:v>In Field Warranty Claims</x:v>
      </x:c>
      <x:c r="N5905" s="37" t="n">
        <x:v>45823</x:v>
      </x:c>
      <x:c r="O5905" s="37"/>
      <x:c r="P5905" s="34" t="n">
        <x:v>430.38</x:v>
      </x:c>
      <x:c r="Q5905" s="37" t="n">
        <x:v>46086.18450231481</x:v>
      </x:c>
    </x:row>
    <x:row r="5906">
      <x:c r="A5906" s="22" t="n">
        <x:v>21376</x:v>
      </x:c>
      <x:c r="B5906" s="28" t="n">
        <x:v>1819.09</x:v>
      </x:c>
      <x:c r="C5906" s="28"/>
      <x:c r="D5906" s="31" t="str">
        <x:f>IF(OR(ISBLANK(B5906),ISBLANK(C5906),B5906=0),"",(C5906-B5906)/B5906)</x:f>
      </x:c>
      <x:c r="E5906" s="22" t="str">
        <x:f>IF(ISBLANK(C5906),"AmountIncludingTax缺失",IF(ABS(B5906-C5906)&lt;0.005,"一致","不一致"))</x:f>
        <x:v>AmountIncludingTax缺失</x:v>
      </x:c>
      <x:c r="F5906" s="19" t="str">
        <x:v>approved</x:v>
      </x:c>
      <x:c r="G5906" s="19" t="str">
        <x:v>Repair in Progress</x:v>
      </x:c>
      <x:c r="H5906" s="19" t="str">
        <x:v>In Field</x:v>
      </x:c>
      <x:c r="I5906" s="37" t="n">
        <x:v>46024</x:v>
      </x:c>
      <x:c r="J5906" s="37" t="n">
        <x:v>46024</x:v>
      </x:c>
      <x:c r="K5906" s="19" t="str">
        <x:v>Regent RV - Perth</x:v>
      </x:c>
      <x:c r="L5906" s="19" t="str">
        <x:v>Z006</x:v>
      </x:c>
      <x:c r="M5906" s="19" t="str">
        <x:v>In Field Warranty Claims</x:v>
      </x:c>
      <x:c r="N5906" s="37" t="n">
        <x:v>45822</x:v>
      </x:c>
      <x:c r="O5906" s="37"/>
      <x:c r="P5906" s="34" t="n">
        <x:v>0</x:v>
      </x:c>
      <x:c r="Q5906" s="37" t="n">
        <x:v>46024.26451388889</x:v>
      </x:c>
    </x:row>
    <x:row r="5907">
      <x:c r="A5907" s="22" t="n">
        <x:v>21320</x:v>
      </x:c>
      <x:c r="B5907" s="28" t="n">
        <x:v>95.45</x:v>
      </x:c>
      <x:c r="C5907" s="28"/>
      <x:c r="D5907" s="31" t="str">
        <x:f>IF(OR(ISBLANK(B5907),ISBLANK(C5907),B5907=0),"",(C5907-B5907)/B5907)</x:f>
      </x:c>
      <x:c r="E5907" s="22" t="str">
        <x:f>IF(ISBLANK(C5907),"AmountIncludingTax缺失",IF(ABS(B5907-C5907)&lt;0.005,"一致","不一致"))</x:f>
        <x:v>AmountIncludingTax缺失</x:v>
      </x:c>
      <x:c r="F5907" s="19" t="str">
        <x:v>approved</x:v>
      </x:c>
      <x:c r="G5907" s="19" t="str">
        <x:v>Repairer Invoiced Processed</x:v>
      </x:c>
      <x:c r="H5907" s="19" t="str">
        <x:v>Pre Delivery</x:v>
      </x:c>
      <x:c r="I5907" s="37" t="n">
        <x:v>46105</x:v>
      </x:c>
      <x:c r="J5907" s="37" t="n">
        <x:v>46105</x:v>
      </x:c>
      <x:c r="K5907" s="19" t="str">
        <x:v>Lesiure Lion-New Castle</x:v>
      </x:c>
      <x:c r="L5907" s="19" t="str">
        <x:v>Z005</x:v>
      </x:c>
      <x:c r="M5907" s="19" t="str">
        <x:v>Pre Delivery Warranty Claims</x:v>
      </x:c>
      <x:c r="N5907" s="37" t="n">
        <x:v>45820</x:v>
      </x:c>
      <x:c r="O5907" s="37"/>
      <x:c r="P5907" s="34" t="n">
        <x:v>0</x:v>
      </x:c>
      <x:c r="Q5907" s="37" t="n">
        <x:v>46105.06896990741</x:v>
      </x:c>
    </x:row>
    <x:row r="5908">
      <x:c r="A5908" s="22" t="n">
        <x:v>21317</x:v>
      </x:c>
      <x:c r="B5908" s="28" t="n">
        <x:v>68.18</x:v>
      </x:c>
      <x:c r="C5908" s="28"/>
      <x:c r="D5908" s="31" t="str">
        <x:f>IF(OR(ISBLANK(B5908),ISBLANK(C5908),B5908=0),"",(C5908-B5908)/B5908)</x:f>
      </x:c>
      <x:c r="E5908" s="22" t="str">
        <x:f>IF(ISBLANK(C5908),"AmountIncludingTax缺失",IF(ABS(B5908-C5908)&lt;0.005,"一致","不一致"))</x:f>
        <x:v>AmountIncludingTax缺失</x:v>
      </x:c>
      <x:c r="F5908" s="19" t="str">
        <x:v>approved</x:v>
      </x:c>
      <x:c r="G5908" s="19" t="str">
        <x:v>Repairer Invoiced Processed</x:v>
      </x:c>
      <x:c r="H5908" s="19" t="str">
        <x:v>Pre Delivery</x:v>
      </x:c>
      <x:c r="I5908" s="37" t="n">
        <x:v>46105</x:v>
      </x:c>
      <x:c r="J5908" s="37" t="n">
        <x:v>46105</x:v>
      </x:c>
      <x:c r="K5908" s="19" t="str">
        <x:v>Lesiure Lion-New Castle</x:v>
      </x:c>
      <x:c r="L5908" s="19" t="str">
        <x:v>Z005</x:v>
      </x:c>
      <x:c r="M5908" s="19" t="str">
        <x:v>Pre Delivery Warranty Claims</x:v>
      </x:c>
      <x:c r="N5908" s="37" t="n">
        <x:v>45820</x:v>
      </x:c>
      <x:c r="O5908" s="37"/>
      <x:c r="P5908" s="34" t="n">
        <x:v>0</x:v>
      </x:c>
      <x:c r="Q5908" s="37" t="n">
        <x:v>46105.06549768519</x:v>
      </x:c>
    </x:row>
    <x:row r="5909">
      <x:c r="A5909" s="22" t="n">
        <x:v>21316</x:v>
      </x:c>
      <x:c r="B5909" s="28" t="n">
        <x:v>1890</x:v>
      </x:c>
      <x:c r="C5909" s="28"/>
      <x:c r="D5909" s="31" t="str">
        <x:f>IF(OR(ISBLANK(B5909),ISBLANK(C5909),B5909=0),"",(C5909-B5909)/B5909)</x:f>
      </x:c>
      <x:c r="E5909" s="22" t="str">
        <x:f>IF(ISBLANK(C5909),"AmountIncludingTax缺失",IF(ABS(B5909-C5909)&lt;0.005,"一致","不一致"))</x:f>
        <x:v>AmountIncludingTax缺失</x:v>
      </x:c>
      <x:c r="F5909" s="19" t="str">
        <x:v>approved</x:v>
      </x:c>
      <x:c r="G5909" s="19" t="str">
        <x:v>Repairer Invoiced Processed</x:v>
      </x:c>
      <x:c r="H5909" s="19" t="str">
        <x:v>Pre Delivery</x:v>
      </x:c>
      <x:c r="I5909" s="37" t="n">
        <x:v>46105</x:v>
      </x:c>
      <x:c r="J5909" s="37" t="n">
        <x:v>46105</x:v>
      </x:c>
      <x:c r="K5909" s="19" t="str">
        <x:v>Lesiure Lion-New Castle</x:v>
      </x:c>
      <x:c r="L5909" s="19" t="str">
        <x:v>Z005</x:v>
      </x:c>
      <x:c r="M5909" s="19" t="str">
        <x:v>Pre Delivery Warranty Claims</x:v>
      </x:c>
      <x:c r="N5909" s="37" t="n">
        <x:v>45820</x:v>
      </x:c>
      <x:c r="O5909" s="37"/>
      <x:c r="P5909" s="34" t="n">
        <x:v>0</x:v>
      </x:c>
      <x:c r="Q5909" s="37" t="n">
        <x:v>46105.06285879629</x:v>
      </x:c>
    </x:row>
    <x:row r="5910">
      <x:c r="A5910" s="22" t="n">
        <x:v>21310</x:v>
      </x:c>
      <x:c r="B5910" s="28" t="n">
        <x:v>68.18</x:v>
      </x:c>
      <x:c r="C5910" s="28"/>
      <x:c r="D5910" s="31" t="str">
        <x:f>IF(OR(ISBLANK(B5910),ISBLANK(C5910),B5910=0),"",(C5910-B5910)/B5910)</x:f>
      </x:c>
      <x:c r="E5910" s="22" t="str">
        <x:f>IF(ISBLANK(C5910),"AmountIncludingTax缺失",IF(ABS(B5910-C5910)&lt;0.005,"一致","不一致"))</x:f>
        <x:v>AmountIncludingTax缺失</x:v>
      </x:c>
      <x:c r="F5910" s="19" t="str">
        <x:v>approved</x:v>
      </x:c>
      <x:c r="G5910" s="19" t="str">
        <x:v>Sales Order Approved</x:v>
      </x:c>
      <x:c r="H5910" s="19" t="str">
        <x:v>Pre Delivery</x:v>
      </x:c>
      <x:c r="I5910" s="37" t="n">
        <x:v>46080</x:v>
      </x:c>
      <x:c r="J5910" s="37" t="n">
        <x:v>46080</x:v>
      </x:c>
      <x:c r="K5910" s="19" t="str">
        <x:v>Lesiure Lion-New Castle</x:v>
      </x:c>
      <x:c r="L5910" s="19" t="str">
        <x:v>Z005</x:v>
      </x:c>
      <x:c r="M5910" s="19" t="str">
        <x:v>Pre Delivery Warranty Claims</x:v>
      </x:c>
      <x:c r="N5910" s="37" t="n">
        <x:v>45820</x:v>
      </x:c>
      <x:c r="O5910" s="37"/>
      <x:c r="P5910" s="34" t="n">
        <x:v>0</x:v>
      </x:c>
      <x:c r="Q5910" s="37" t="n">
        <x:v>46079.93256944444</x:v>
      </x:c>
    </x:row>
    <x:row r="5911">
      <x:c r="A5911" s="22" t="n">
        <x:v>21293</x:v>
      </x:c>
      <x:c r="B5911" s="28" t="n">
        <x:v>745</x:v>
      </x:c>
      <x:c r="C5911" s="28"/>
      <x:c r="D5911" s="31" t="str">
        <x:f>IF(OR(ISBLANK(B5911),ISBLANK(C5911),B5911=0),"",(C5911-B5911)/B5911)</x:f>
      </x:c>
      <x:c r="E5911" s="22" t="str">
        <x:f>IF(ISBLANK(C5911),"AmountIncludingTax缺失",IF(ABS(B5911-C5911)&lt;0.005,"一致","不一致"))</x:f>
        <x:v>AmountIncludingTax缺失</x:v>
      </x:c>
      <x:c r="F5911" s="19" t="str">
        <x:v>approved</x:v>
      </x:c>
      <x:c r="G5911" s="19" t="str">
        <x:v>Repairer Invoiced Processed</x:v>
      </x:c>
      <x:c r="H5911" s="19" t="str">
        <x:v>In Field</x:v>
      </x:c>
      <x:c r="I5911" s="37" t="n">
        <x:v>46072</x:v>
      </x:c>
      <x:c r="J5911" s="37" t="n">
        <x:v>46072</x:v>
      </x:c>
      <x:c r="K5911" s="19" t="str">
        <x:v>The Caravan Hub - Townsville</x:v>
      </x:c>
      <x:c r="L5911" s="19" t="str">
        <x:v>Z006</x:v>
      </x:c>
      <x:c r="M5911" s="19" t="str">
        <x:v>In Field Warranty Claims</x:v>
      </x:c>
      <x:c r="N5911" s="37" t="n">
        <x:v>45819</x:v>
      </x:c>
      <x:c r="O5911" s="37"/>
      <x:c r="P5911" s="34" t="n">
        <x:v>0</x:v>
      </x:c>
      <x:c r="Q5911" s="37" t="n">
        <x:v>46072.0555787037</x:v>
      </x:c>
    </x:row>
    <x:row r="5912">
      <x:c r="A5912" s="22" t="n">
        <x:v>21258</x:v>
      </x:c>
      <x:c r="B5912" s="28" t="n">
        <x:v>7591.61</x:v>
      </x:c>
      <x:c r="C5912" s="28"/>
      <x:c r="D5912" s="31" t="str">
        <x:f>IF(OR(ISBLANK(B5912),ISBLANK(C5912),B5912=0),"",(C5912-B5912)/B5912)</x:f>
      </x:c>
      <x:c r="E5912" s="22" t="str">
        <x:f>IF(ISBLANK(C5912),"AmountIncludingTax缺失",IF(ABS(B5912-C5912)&lt;0.005,"一致","不一致"))</x:f>
        <x:v>AmountIncludingTax缺失</x:v>
      </x:c>
      <x:c r="F5912" s="19" t="str">
        <x:v>approved</x:v>
      </x:c>
      <x:c r="G5912" s="19" t="str">
        <x:v>Repair in Progress</x:v>
      </x:c>
      <x:c r="H5912" s="19" t="str">
        <x:v>In Field</x:v>
      </x:c>
      <x:c r="I5912" s="37" t="n">
        <x:v>46108</x:v>
      </x:c>
      <x:c r="J5912" s="37" t="n">
        <x:v>46108</x:v>
      </x:c>
      <x:c r="K5912" s="19" t="str">
        <x:v>Green RV - Forest Glen</x:v>
      </x:c>
      <x:c r="L5912" s="19" t="str">
        <x:v>Z006</x:v>
      </x:c>
      <x:c r="M5912" s="19" t="str">
        <x:v>In Field Warranty Claims</x:v>
      </x:c>
      <x:c r="N5912" s="37" t="n">
        <x:v>45819</x:v>
      </x:c>
      <x:c r="O5912" s="37"/>
      <x:c r="P5912" s="34" t="n">
        <x:v>8350.77</x:v>
      </x:c>
      <x:c r="Q5912" s="37" t="n">
        <x:v>46108.20725694444</x:v>
      </x:c>
    </x:row>
    <x:row r="5913">
      <x:c r="A5913" s="22" t="n">
        <x:v>21244</x:v>
      </x:c>
      <x:c r="B5913" s="28" t="n">
        <x:v>585.9</x:v>
      </x:c>
      <x:c r="C5913" s="28"/>
      <x:c r="D5913" s="31" t="str">
        <x:f>IF(OR(ISBLANK(B5913),ISBLANK(C5913),B5913=0),"",(C5913-B5913)/B5913)</x:f>
      </x:c>
      <x:c r="E5913" s="22" t="str">
        <x:f>IF(ISBLANK(C5913),"AmountIncludingTax缺失",IF(ABS(B5913-C5913)&lt;0.005,"一致","不一致"))</x:f>
        <x:v>AmountIncludingTax缺失</x:v>
      </x:c>
      <x:c r="F5913" s="19" t="str">
        <x:v>approved</x:v>
      </x:c>
      <x:c r="G5913" s="19" t="str">
        <x:v>Repair in Progress</x:v>
      </x:c>
      <x:c r="H5913" s="19" t="str">
        <x:v>In Field</x:v>
      </x:c>
      <x:c r="I5913" s="37" t="n">
        <x:v>46097</x:v>
      </x:c>
      <x:c r="J5913" s="37" t="n">
        <x:v>46097</x:v>
      </x:c>
      <x:c r="K5913" s="19" t="str">
        <x:v>Green RV - Forest Glen</x:v>
      </x:c>
      <x:c r="L5913" s="19" t="str">
        <x:v>Z006</x:v>
      </x:c>
      <x:c r="M5913" s="19" t="str">
        <x:v>In Field Warranty Claims</x:v>
      </x:c>
      <x:c r="N5913" s="37" t="n">
        <x:v>45818</x:v>
      </x:c>
      <x:c r="O5913" s="37"/>
      <x:c r="P5913" s="34" t="n">
        <x:v>0</x:v>
      </x:c>
      <x:c r="Q5913" s="37" t="n">
        <x:v>46096.98868055556</x:v>
      </x:c>
    </x:row>
    <x:row r="5914">
      <x:c r="A5914" s="22" t="n">
        <x:v>21243</x:v>
      </x:c>
      <x:c r="B5914" s="28" t="n">
        <x:v>877.5</x:v>
      </x:c>
      <x:c r="C5914" s="28"/>
      <x:c r="D5914" s="31" t="str">
        <x:f>IF(OR(ISBLANK(B5914),ISBLANK(C5914),B5914=0),"",(C5914-B5914)/B5914)</x:f>
      </x:c>
      <x:c r="E5914" s="22" t="str">
        <x:f>IF(ISBLANK(C5914),"AmountIncludingTax缺失",IF(ABS(B5914-C5914)&lt;0.005,"一致","不一致"))</x:f>
        <x:v>AmountIncludingTax缺失</x:v>
      </x:c>
      <x:c r="F5914" s="19" t="str">
        <x:v>approved</x:v>
      </x:c>
      <x:c r="G5914" s="19" t="str">
        <x:v>Repairer Invoiced Processed</x:v>
      </x:c>
      <x:c r="H5914" s="19" t="str">
        <x:v>In Field</x:v>
      </x:c>
      <x:c r="I5914" s="37" t="n">
        <x:v>46059</x:v>
      </x:c>
      <x:c r="J5914" s="37" t="n">
        <x:v>46059</x:v>
      </x:c>
      <x:c r="K5914" s="19" t="str">
        <x:v>Green RV - Forest Glen</x:v>
      </x:c>
      <x:c r="L5914" s="19" t="str">
        <x:v>Z006</x:v>
      </x:c>
      <x:c r="M5914" s="19" t="str">
        <x:v>In Field Warranty Claims</x:v>
      </x:c>
      <x:c r="N5914" s="37" t="n">
        <x:v>45818</x:v>
      </x:c>
      <x:c r="O5914" s="37"/>
      <x:c r="P5914" s="34" t="n">
        <x:v>1032.26</x:v>
      </x:c>
      <x:c r="Q5914" s="37" t="n">
        <x:v>46059.150358796294</x:v>
      </x:c>
    </x:row>
    <x:row r="5915">
      <x:c r="A5915" s="22" t="n">
        <x:v>21220</x:v>
      </x:c>
      <x:c r="B5915" s="28" t="n">
        <x:v>227.5</x:v>
      </x:c>
      <x:c r="C5915" s="28"/>
      <x:c r="D5915" s="31" t="str">
        <x:f>IF(OR(ISBLANK(B5915),ISBLANK(C5915),B5915=0),"",(C5915-B5915)/B5915)</x:f>
      </x:c>
      <x:c r="E5915" s="22" t="str">
        <x:f>IF(ISBLANK(C5915),"AmountIncludingTax缺失",IF(ABS(B5915-C5915)&lt;0.005,"一致","不一致"))</x:f>
        <x:v>AmountIncludingTax缺失</x:v>
      </x:c>
      <x:c r="F5915" s="19" t="str">
        <x:v>approved</x:v>
      </x:c>
      <x:c r="G5915" s="19" t="str">
        <x:v>Repair in Progress</x:v>
      </x:c>
      <x:c r="H5915" s="19" t="str">
        <x:v>In Field</x:v>
      </x:c>
      <x:c r="I5915" s="37" t="n">
        <x:v>46062</x:v>
      </x:c>
      <x:c r="J5915" s="37" t="n">
        <x:v>46062</x:v>
      </x:c>
      <x:c r="K5915" s="19" t="str">
        <x:v>The Caravan Hub - Townsville</x:v>
      </x:c>
      <x:c r="L5915" s="19" t="str">
        <x:v>Z006</x:v>
      </x:c>
      <x:c r="M5915" s="19" t="str">
        <x:v>In Field Warranty Claims</x:v>
      </x:c>
      <x:c r="N5915" s="37" t="n">
        <x:v>45818</x:v>
      </x:c>
      <x:c r="O5915" s="37"/>
      <x:c r="P5915" s="34" t="n">
        <x:v>0</x:v>
      </x:c>
      <x:c r="Q5915" s="37" t="n">
        <x:v>46061.99868055555</x:v>
      </x:c>
    </x:row>
    <x:row r="5916">
      <x:c r="A5916" s="22" t="n">
        <x:v>21205</x:v>
      </x:c>
      <x:c r="B5916" s="28" t="n">
        <x:v>2204.25</x:v>
      </x:c>
      <x:c r="C5916" s="28"/>
      <x:c r="D5916" s="31" t="str">
        <x:f>IF(OR(ISBLANK(B5916),ISBLANK(C5916),B5916=0),"",(C5916-B5916)/B5916)</x:f>
      </x:c>
      <x:c r="E5916" s="22" t="str">
        <x:f>IF(ISBLANK(C5916),"AmountIncludingTax缺失",IF(ABS(B5916-C5916)&lt;0.005,"一致","不一致"))</x:f>
        <x:v>AmountIncludingTax缺失</x:v>
      </x:c>
      <x:c r="F5916" s="19" t="str">
        <x:v>approved</x:v>
      </x:c>
      <x:c r="G5916" s="19" t="str">
        <x:v>Repairer Invoiced Processed</x:v>
      </x:c>
      <x:c r="H5916" s="19" t="str">
        <x:v>In Field</x:v>
      </x:c>
      <x:c r="I5916" s="37" t="n">
        <x:v>46100</x:v>
      </x:c>
      <x:c r="J5916" s="37" t="n">
        <x:v>46093</x:v>
      </x:c>
      <x:c r="K5916" s="19" t="str">
        <x:v>QCCC - Gympie</x:v>
      </x:c>
      <x:c r="L5916" s="19" t="str">
        <x:v>Z006</x:v>
      </x:c>
      <x:c r="M5916" s="19" t="str">
        <x:v>In Field Warranty Claims</x:v>
      </x:c>
      <x:c r="N5916" s="37" t="n">
        <x:v>45818</x:v>
      </x:c>
      <x:c r="O5916" s="37" t="n">
        <x:v>46028</x:v>
      </x:c>
      <x:c r="P5916" s="34" t="n">
        <x:v>0</x:v>
      </x:c>
      <x:c r="Q5916" s="37" t="n">
        <x:v>46100.02476851852</x:v>
      </x:c>
    </x:row>
    <x:row r="5917">
      <x:c r="A5917" s="22" t="n">
        <x:v>21173</x:v>
      </x:c>
      <x:c r="B5917" s="28" t="n">
        <x:v>287.27</x:v>
      </x:c>
      <x:c r="C5917" s="28" t="n">
        <x:v>316</x:v>
      </x:c>
      <x:c r="D5917" s="31" t="n">
        <x:f>IF(OR(ISBLANK(B5917),ISBLANK(C5917),B5917=0),"",(C5917-B5917)/B5917)</x:f>
        <x:v>0.10001044313711846</x:v>
      </x:c>
      <x:c r="E5917" s="22" t="str">
        <x:f>IF(ISBLANK(C5917),"AmountIncludingTax缺失",IF(ABS(B5917-C5917)&lt;0.005,"一致","不一致"))</x:f>
        <x:v>不一致</x:v>
      </x:c>
      <x:c r="F5917" s="19" t="str">
        <x:v>approved</x:v>
      </x:c>
      <x:c r="G5917" s="19" t="str">
        <x:v>Repairer Invoiced Processed</x:v>
      </x:c>
      <x:c r="H5917" s="19" t="str">
        <x:v>In Field</x:v>
      </x:c>
      <x:c r="I5917" s="37" t="n">
        <x:v>46058</x:v>
      </x:c>
      <x:c r="J5917" s="37" t="n">
        <x:v>46058</x:v>
      </x:c>
      <x:c r="K5917" s="19" t="str">
        <x:v>The Caravan Hub - Townsville</x:v>
      </x:c>
      <x:c r="L5917" s="19" t="str">
        <x:v>Z006</x:v>
      </x:c>
      <x:c r="M5917" s="19" t="str">
        <x:v>In Field Warranty Claims</x:v>
      </x:c>
      <x:c r="N5917" s="37" t="n">
        <x:v>45817</x:v>
      </x:c>
      <x:c r="O5917" s="37"/>
      <x:c r="P5917" s="34" t="n">
        <x:v>316</x:v>
      </x:c>
      <x:c r="Q5917" s="37" t="n">
        <x:v>46058.13412037037</x:v>
      </x:c>
    </x:row>
    <x:row r="5918">
      <x:c r="A5918" s="22" t="n">
        <x:v>21146</x:v>
      </x:c>
      <x:c r="B5918" s="28" t="n">
        <x:v>573.75</x:v>
      </x:c>
      <x:c r="C5918" s="28"/>
      <x:c r="D5918" s="31" t="str">
        <x:f>IF(OR(ISBLANK(B5918),ISBLANK(C5918),B5918=0),"",(C5918-B5918)/B5918)</x:f>
      </x:c>
      <x:c r="E5918" s="22" t="str">
        <x:f>IF(ISBLANK(C5918),"AmountIncludingTax缺失",IF(ABS(B5918-C5918)&lt;0.005,"一致","不一致"))</x:f>
        <x:v>AmountIncludingTax缺失</x:v>
      </x:c>
      <x:c r="F5918" s="19" t="str">
        <x:v>approved</x:v>
      </x:c>
      <x:c r="G5918" s="19" t="str">
        <x:v>Sales Order Approved</x:v>
      </x:c>
      <x:c r="H5918" s="19" t="str">
        <x:v>In Field</x:v>
      </x:c>
      <x:c r="I5918" s="37" t="n">
        <x:v>46168</x:v>
      </x:c>
      <x:c r="J5918" s="37" t="n">
        <x:v>46168</x:v>
      </x:c>
      <x:c r="K5918" s="19" t="str">
        <x:v>Bendigo Caravan Group - Bendigo</x:v>
      </x:c>
      <x:c r="L5918" s="19" t="str">
        <x:v>Z006</x:v>
      </x:c>
      <x:c r="M5918" s="19" t="str">
        <x:v>In Field Warranty Claims</x:v>
      </x:c>
      <x:c r="N5918" s="37" t="n">
        <x:v>45817</x:v>
      </x:c>
      <x:c r="O5918" s="37" t="n">
        <x:v>46101</x:v>
      </x:c>
      <x:c r="P5918" s="34" t="n">
        <x:v>0</x:v>
      </x:c>
      <x:c r="Q5918" s="37" t="n">
        <x:v>46168.25451388889</x:v>
      </x:c>
    </x:row>
    <x:row r="5919">
      <x:c r="A5919" s="22" t="n">
        <x:v>21142</x:v>
      </x:c>
      <x:c r="B5919" s="28" t="n">
        <x:v>1274.46</x:v>
      </x:c>
      <x:c r="C5919" s="28"/>
      <x:c r="D5919" s="31" t="str">
        <x:f>IF(OR(ISBLANK(B5919),ISBLANK(C5919),B5919=0),"",(C5919-B5919)/B5919)</x:f>
      </x:c>
      <x:c r="E5919" s="22" t="str">
        <x:f>IF(ISBLANK(C5919),"AmountIncludingTax缺失",IF(ABS(B5919-C5919)&lt;0.005,"一致","不一致"))</x:f>
        <x:v>AmountIncludingTax缺失</x:v>
      </x:c>
      <x:c r="F5919" s="19" t="str">
        <x:v>approved</x:v>
      </x:c>
      <x:c r="G5919" s="19" t="str">
        <x:v>Repairer Invoiced Processed</x:v>
      </x:c>
      <x:c r="H5919" s="19" t="str">
        <x:v>In Field</x:v>
      </x:c>
      <x:c r="I5919" s="37" t="n">
        <x:v>46140</x:v>
      </x:c>
      <x:c r="J5919" s="37" t="n">
        <x:v>46140</x:v>
      </x:c>
      <x:c r="K5919" s="19" t="str">
        <x:v>Green RV - Forest Glen</x:v>
      </x:c>
      <x:c r="L5919" s="19" t="str">
        <x:v>Z006</x:v>
      </x:c>
      <x:c r="M5919" s="19" t="str">
        <x:v>In Field Warranty Claims</x:v>
      </x:c>
      <x:c r="N5919" s="37" t="n">
        <x:v>45815</x:v>
      </x:c>
      <x:c r="O5919" s="37"/>
      <x:c r="P5919" s="34" t="n">
        <x:v>1401.91</x:v>
      </x:c>
      <x:c r="Q5919" s="37" t="n">
        <x:v>46140.247824074075</x:v>
      </x:c>
    </x:row>
    <x:row r="5920">
      <x:c r="A5920" s="22" t="n">
        <x:v>21096</x:v>
      </x:c>
      <x:c r="B5920" s="28" t="n">
        <x:v>310.36</x:v>
      </x:c>
      <x:c r="C5920" s="28" t="n">
        <x:v>341.4</x:v>
      </x:c>
      <x:c r="D5920" s="31" t="n">
        <x:f>IF(OR(ISBLANK(B5920),ISBLANK(C5920),B5920=0),"",(C5920-B5920)/B5920)</x:f>
        <x:v>0.10001288825879612</x:v>
      </x:c>
      <x:c r="E5920" s="22" t="str">
        <x:f>IF(ISBLANK(C5920),"AmountIncludingTax缺失",IF(ABS(B5920-C5920)&lt;0.005,"一致","不一致"))</x:f>
        <x:v>不一致</x:v>
      </x:c>
      <x:c r="F5920" s="19" t="str">
        <x:v>approved</x:v>
      </x:c>
      <x:c r="G5920" s="19" t="str">
        <x:v>Repairer Invoiced Processed</x:v>
      </x:c>
      <x:c r="H5920" s="19" t="str">
        <x:v>In Field</x:v>
      </x:c>
      <x:c r="I5920" s="37" t="n">
        <x:v>46149</x:v>
      </x:c>
      <x:c r="J5920" s="37" t="n">
        <x:v>46149</x:v>
      </x:c>
      <x:c r="K5920" s="19" t="str">
        <x:v>Auswide Caravans - South Nowra</x:v>
      </x:c>
      <x:c r="L5920" s="19" t="str">
        <x:v>Z006</x:v>
      </x:c>
      <x:c r="M5920" s="19" t="str">
        <x:v>In Field Warranty Claims</x:v>
      </x:c>
      <x:c r="N5920" s="37" t="n">
        <x:v>45814</x:v>
      </x:c>
      <x:c r="O5920" s="37"/>
      <x:c r="P5920" s="34" t="n">
        <x:v>341.4</x:v>
      </x:c>
      <x:c r="Q5920" s="37" t="n">
        <x:v>46148.98517361111</x:v>
      </x:c>
    </x:row>
    <x:row r="5921">
      <x:c r="A5921" s="22" t="n">
        <x:v>21091</x:v>
      </x:c>
      <x:c r="B5921" s="28" t="n">
        <x:v>580</x:v>
      </x:c>
      <x:c r="C5921" s="28"/>
      <x:c r="D5921" s="31" t="str">
        <x:f>IF(OR(ISBLANK(B5921),ISBLANK(C5921),B5921=0),"",(C5921-B5921)/B5921)</x:f>
      </x:c>
      <x:c r="E5921" s="22" t="str">
        <x:f>IF(ISBLANK(C5921),"AmountIncludingTax缺失",IF(ABS(B5921-C5921)&lt;0.005,"一致","不一致"))</x:f>
        <x:v>AmountIncludingTax缺失</x:v>
      </x:c>
      <x:c r="F5921" s="19" t="str">
        <x:v>approved</x:v>
      </x:c>
      <x:c r="G5921" s="19" t="str">
        <x:v>Repairer Invoiced Processed</x:v>
      </x:c>
      <x:c r="H5921" s="19" t="str">
        <x:v>In Field</x:v>
      </x:c>
      <x:c r="I5921" s="37" t="n">
        <x:v>46099</x:v>
      </x:c>
      <x:c r="J5921" s="37" t="n">
        <x:v>46099</x:v>
      </x:c>
      <x:c r="K5921" s="19" t="str">
        <x:v>Vanari Caravans - Marden Point</x:v>
      </x:c>
      <x:c r="L5921" s="19" t="str">
        <x:v>Z006</x:v>
      </x:c>
      <x:c r="M5921" s="19" t="str">
        <x:v>In Field Warranty Claims</x:v>
      </x:c>
      <x:c r="N5921" s="37" t="n">
        <x:v>45813</x:v>
      </x:c>
      <x:c r="O5921" s="37"/>
      <x:c r="P5921" s="34" t="n">
        <x:v>0</x:v>
      </x:c>
      <x:c r="Q5921" s="37" t="n">
        <x:v>46099.11565972222</x:v>
      </x:c>
    </x:row>
    <x:row r="5922">
      <x:c r="A5922" s="22" t="n">
        <x:v>21079</x:v>
      </x:c>
      <x:c r="B5922" s="28" t="n">
        <x:v>8060.18</x:v>
      </x:c>
      <x:c r="C5922" s="28"/>
      <x:c r="D5922" s="31" t="str">
        <x:f>IF(OR(ISBLANK(B5922),ISBLANK(C5922),B5922=0),"",(C5922-B5922)/B5922)</x:f>
      </x:c>
      <x:c r="E5922" s="22" t="str">
        <x:f>IF(ISBLANK(C5922),"AmountIncludingTax缺失",IF(ABS(B5922-C5922)&lt;0.005,"一致","不一致"))</x:f>
        <x:v>AmountIncludingTax缺失</x:v>
      </x:c>
      <x:c r="F5922" s="19" t="str">
        <x:v>unapproved_closed</x:v>
      </x:c>
      <x:c r="G5922" s="19" t="str">
        <x:v>Unapproved Claims Closed (Closed)</x:v>
      </x:c>
      <x:c r="H5922" s="19" t="str">
        <x:v>In Field</x:v>
      </x:c>
      <x:c r="I5922" s="37" t="n">
        <x:v>46035</x:v>
      </x:c>
      <x:c r="J5922" s="37" t="n">
        <x:v>46035</x:v>
      </x:c>
      <x:c r="K5922" s="19" t="str">
        <x:v>Green RV - Forest Glen</x:v>
      </x:c>
      <x:c r="L5922" s="19" t="str">
        <x:v>Z006</x:v>
      </x:c>
      <x:c r="M5922" s="19" t="str">
        <x:v>In Field Warranty Claims</x:v>
      </x:c>
      <x:c r="N5922" s="37" t="n">
        <x:v>45813</x:v>
      </x:c>
      <x:c r="O5922" s="37" t="n">
        <x:v>46038</x:v>
      </x:c>
      <x:c r="P5922" s="34" t="n">
        <x:v>8866.2</x:v>
      </x:c>
      <x:c r="Q5922" s="37" t="n">
        <x:v>46035.02395833333</x:v>
      </x:c>
    </x:row>
    <x:row r="5923">
      <x:c r="A5923" s="22" t="n">
        <x:v>21069</x:v>
      </x:c>
      <x:c r="B5923" s="28" t="n">
        <x:v>1068.17</x:v>
      </x:c>
      <x:c r="C5923" s="28"/>
      <x:c r="D5923" s="31" t="str">
        <x:f>IF(OR(ISBLANK(B5923),ISBLANK(C5923),B5923=0),"",(C5923-B5923)/B5923)</x:f>
      </x:c>
      <x:c r="E5923" s="22" t="str">
        <x:f>IF(ISBLANK(C5923),"AmountIncludingTax缺失",IF(ABS(B5923-C5923)&lt;0.005,"一致","不一致"))</x:f>
        <x:v>AmountIncludingTax缺失</x:v>
      </x:c>
      <x:c r="F5923" s="19" t="str">
        <x:v>approved</x:v>
      </x:c>
      <x:c r="G5923" s="19" t="str">
        <x:v>Repair in Progress</x:v>
      </x:c>
      <x:c r="H5923" s="19" t="str">
        <x:v>In Field</x:v>
      </x:c>
      <x:c r="I5923" s="37" t="n">
        <x:v>46024</x:v>
      </x:c>
      <x:c r="J5923" s="37" t="n">
        <x:v>46024</x:v>
      </x:c>
      <x:c r="K5923" s="19" t="str">
        <x:v>Regent RV - Perth</x:v>
      </x:c>
      <x:c r="L5923" s="19" t="str">
        <x:v>Z006</x:v>
      </x:c>
      <x:c r="M5923" s="19" t="str">
        <x:v>In Field Warranty Claims</x:v>
      </x:c>
      <x:c r="N5923" s="37" t="n">
        <x:v>45814</x:v>
      </x:c>
      <x:c r="O5923" s="37"/>
      <x:c r="P5923" s="34" t="n">
        <x:v>0</x:v>
      </x:c>
      <x:c r="Q5923" s="37" t="n">
        <x:v>46024.26495370371</x:v>
      </x:c>
    </x:row>
    <x:row r="5924">
      <x:c r="A5924" s="22" t="n">
        <x:v>21008</x:v>
      </x:c>
      <x:c r="B5924" s="28" t="n">
        <x:v>50</x:v>
      </x:c>
      <x:c r="C5924" s="28"/>
      <x:c r="D5924" s="31" t="str">
        <x:f>IF(OR(ISBLANK(B5924),ISBLANK(C5924),B5924=0),"",(C5924-B5924)/B5924)</x:f>
      </x:c>
      <x:c r="E5924" s="22" t="str">
        <x:f>IF(ISBLANK(C5924),"AmountIncludingTax缺失",IF(ABS(B5924-C5924)&lt;0.005,"一致","不一致"))</x:f>
        <x:v>AmountIncludingTax缺失</x:v>
      </x:c>
      <x:c r="F5924" s="19" t="str">
        <x:v>approved</x:v>
      </x:c>
      <x:c r="G5924" s="19" t="str">
        <x:v>Repair in Progress</x:v>
      </x:c>
      <x:c r="H5924" s="19" t="str">
        <x:v>Pre Delivery</x:v>
      </x:c>
      <x:c r="I5924" s="37" t="n">
        <x:v>46083</x:v>
      </x:c>
      <x:c r="J5924" s="37" t="n">
        <x:v>46083</x:v>
      </x:c>
      <x:c r="K5924" s="19" t="str">
        <x:v>Regent RV - Perth</x:v>
      </x:c>
      <x:c r="L5924" s="19" t="str">
        <x:v>Z005</x:v>
      </x:c>
      <x:c r="M5924" s="19" t="str">
        <x:v>Pre Delivery Warranty Claims</x:v>
      </x:c>
      <x:c r="N5924" s="37" t="n">
        <x:v>45812</x:v>
      </x:c>
      <x:c r="O5924" s="37"/>
      <x:c r="P5924" s="34" t="n">
        <x:v>0</x:v>
      </x:c>
      <x:c r="Q5924" s="37" t="n">
        <x:v>46083.00303240741</x:v>
      </x:c>
    </x:row>
    <x:row r="5925">
      <x:c r="A5925" s="22" t="n">
        <x:v>21007</x:v>
      </x:c>
      <x:c r="B5925" s="28" t="n">
        <x:v>3275.82</x:v>
      </x:c>
      <x:c r="C5925" s="28"/>
      <x:c r="D5925" s="31" t="str">
        <x:f>IF(OR(ISBLANK(B5925),ISBLANK(C5925),B5925=0),"",(C5925-B5925)/B5925)</x:f>
      </x:c>
      <x:c r="E5925" s="22" t="str">
        <x:f>IF(ISBLANK(C5925),"AmountIncludingTax缺失",IF(ABS(B5925-C5925)&lt;0.005,"一致","不一致"))</x:f>
        <x:v>AmountIncludingTax缺失</x:v>
      </x:c>
      <x:c r="F5925" s="19" t="str">
        <x:v>approved</x:v>
      </x:c>
      <x:c r="G5925" s="19" t="str">
        <x:v>Repairer Invoiced Processed</x:v>
      </x:c>
      <x:c r="H5925" s="19" t="str">
        <x:v>In Field</x:v>
      </x:c>
      <x:c r="I5925" s="37" t="n">
        <x:v>46057</x:v>
      </x:c>
      <x:c r="J5925" s="37" t="n">
        <x:v>46057</x:v>
      </x:c>
      <x:c r="K5925" s="19" t="str">
        <x:v>Green RV - Forest Glen</x:v>
      </x:c>
      <x:c r="L5925" s="19" t="str">
        <x:v>Z006</x:v>
      </x:c>
      <x:c r="M5925" s="19" t="str">
        <x:v>In Field Warranty Claims</x:v>
      </x:c>
      <x:c r="N5925" s="37" t="n">
        <x:v>45812</x:v>
      </x:c>
      <x:c r="O5925" s="37"/>
      <x:c r="P5925" s="34" t="n">
        <x:v>3603.4</x:v>
      </x:c>
      <x:c r="Q5925" s="37" t="n">
        <x:v>46057.142847222225</x:v>
      </x:c>
    </x:row>
    <x:row r="5926">
      <x:c r="A5926" s="22" t="n">
        <x:v>20991</x:v>
      </x:c>
      <x:c r="B5926" s="28" t="n">
        <x:v>250</x:v>
      </x:c>
      <x:c r="C5926" s="28"/>
      <x:c r="D5926" s="31" t="str">
        <x:f>IF(OR(ISBLANK(B5926),ISBLANK(C5926),B5926=0),"",(C5926-B5926)/B5926)</x:f>
      </x:c>
      <x:c r="E5926" s="22" t="str">
        <x:f>IF(ISBLANK(C5926),"AmountIncludingTax缺失",IF(ABS(B5926-C5926)&lt;0.005,"一致","不一致"))</x:f>
        <x:v>AmountIncludingTax缺失</x:v>
      </x:c>
      <x:c r="F5926" s="19" t="str">
        <x:v>approved</x:v>
      </x:c>
      <x:c r="G5926" s="19" t="str">
        <x:v>Repair in Progress</x:v>
      </x:c>
      <x:c r="H5926" s="19" t="str">
        <x:v>In Field</x:v>
      </x:c>
      <x:c r="I5926" s="37" t="n">
        <x:v>46028</x:v>
      </x:c>
      <x:c r="J5926" s="37" t="n">
        <x:v>46028</x:v>
      </x:c>
      <x:c r="K5926" s="19" t="str">
        <x:v>Regent RV - Perth</x:v>
      </x:c>
      <x:c r="L5926" s="19" t="str">
        <x:v>Z006</x:v>
      </x:c>
      <x:c r="M5926" s="19" t="str">
        <x:v>In Field Warranty Claims</x:v>
      </x:c>
      <x:c r="N5926" s="37" t="n">
        <x:v>45812</x:v>
      </x:c>
      <x:c r="O5926" s="37"/>
      <x:c r="P5926" s="34" t="n">
        <x:v>0</x:v>
      </x:c>
      <x:c r="Q5926" s="37" t="n">
        <x:v>46027.8906712963</x:v>
      </x:c>
    </x:row>
    <x:row r="5927">
      <x:c r="A5927" s="22" t="n">
        <x:v>20988</x:v>
      </x:c>
      <x:c r="B5927" s="28" t="n">
        <x:v>2121.39</x:v>
      </x:c>
      <x:c r="C5927" s="28"/>
      <x:c r="D5927" s="31" t="str">
        <x:f>IF(OR(ISBLANK(B5927),ISBLANK(C5927),B5927=0),"",(C5927-B5927)/B5927)</x:f>
      </x:c>
      <x:c r="E5927" s="22" t="str">
        <x:f>IF(ISBLANK(C5927),"AmountIncludingTax缺失",IF(ABS(B5927-C5927)&lt;0.005,"一致","不一致"))</x:f>
        <x:v>AmountIncludingTax缺失</x:v>
      </x:c>
      <x:c r="F5927" s="19" t="str">
        <x:v>approved</x:v>
      </x:c>
      <x:c r="G5927" s="19" t="str">
        <x:v>Repairer Invoiced Processed</x:v>
      </x:c>
      <x:c r="H5927" s="19" t="str">
        <x:v>In Field</x:v>
      </x:c>
      <x:c r="I5927" s="37" t="n">
        <x:v>46050</x:v>
      </x:c>
      <x:c r="J5927" s="37" t="n">
        <x:v>46050</x:v>
      </x:c>
      <x:c r="K5927" s="19" t="str">
        <x:v>Green RV - Forest Glen</x:v>
      </x:c>
      <x:c r="L5927" s="19" t="str">
        <x:v>Z006</x:v>
      </x:c>
      <x:c r="M5927" s="19" t="str">
        <x:v>In Field Warranty Claims</x:v>
      </x:c>
      <x:c r="N5927" s="37" t="n">
        <x:v>45812</x:v>
      </x:c>
      <x:c r="O5927" s="37"/>
      <x:c r="P5927" s="34" t="n">
        <x:v>2333.53</x:v>
      </x:c>
      <x:c r="Q5927" s="37" t="n">
        <x:v>46050.284317129626</x:v>
      </x:c>
    </x:row>
    <x:row r="5928">
      <x:c r="A5928" s="22" t="n">
        <x:v>20978</x:v>
      </x:c>
      <x:c r="B5928" s="28" t="n">
        <x:v>715</x:v>
      </x:c>
      <x:c r="C5928" s="28"/>
      <x:c r="D5928" s="31" t="str">
        <x:f>IF(OR(ISBLANK(B5928),ISBLANK(C5928),B5928=0),"",(C5928-B5928)/B5928)</x:f>
      </x:c>
      <x:c r="E5928" s="22" t="str">
        <x:f>IF(ISBLANK(C5928),"AmountIncludingTax缺失",IF(ABS(B5928-C5928)&lt;0.005,"一致","不一致"))</x:f>
        <x:v>AmountIncludingTax缺失</x:v>
      </x:c>
      <x:c r="F5928" s="19" t="str">
        <x:v>approved</x:v>
      </x:c>
      <x:c r="G5928" s="19" t="str">
        <x:v>Repair in Progress</x:v>
      </x:c>
      <x:c r="H5928" s="19" t="str">
        <x:v>In Field</x:v>
      </x:c>
      <x:c r="I5928" s="37" t="n">
        <x:v>46072</x:v>
      </x:c>
      <x:c r="J5928" s="37" t="n">
        <x:v>46072</x:v>
      </x:c>
      <x:c r="K5928" s="19" t="str">
        <x:v>Regent RV - Perth</x:v>
      </x:c>
      <x:c r="L5928" s="19" t="str">
        <x:v>Z006</x:v>
      </x:c>
      <x:c r="M5928" s="19" t="str">
        <x:v>In Field Warranty Claims</x:v>
      </x:c>
      <x:c r="N5928" s="37" t="n">
        <x:v>45811</x:v>
      </x:c>
      <x:c r="O5928" s="37"/>
      <x:c r="P5928" s="34" t="n">
        <x:v>0</x:v>
      </x:c>
      <x:c r="Q5928" s="37" t="n">
        <x:v>46071.88748842593</x:v>
      </x:c>
    </x:row>
    <x:row r="5929">
      <x:c r="A5929" s="22" t="n">
        <x:v>20950</x:v>
      </x:c>
      <x:c r="B5929" s="28" t="n">
        <x:v>495</x:v>
      </x:c>
      <x:c r="C5929" s="28"/>
      <x:c r="D5929" s="31" t="str">
        <x:f>IF(OR(ISBLANK(B5929),ISBLANK(C5929),B5929=0),"",(C5929-B5929)/B5929)</x:f>
      </x:c>
      <x:c r="E5929" s="22" t="str">
        <x:f>IF(ISBLANK(C5929),"AmountIncludingTax缺失",IF(ABS(B5929-C5929)&lt;0.005,"一致","不一致"))</x:f>
        <x:v>AmountIncludingTax缺失</x:v>
      </x:c>
      <x:c r="F5929" s="19" t="str">
        <x:v>approved</x:v>
      </x:c>
      <x:c r="G5929" s="19" t="str">
        <x:v>Repairer Invoiced Received</x:v>
      </x:c>
      <x:c r="H5929" s="19" t="str">
        <x:v>In Field</x:v>
      </x:c>
      <x:c r="I5929" s="37" t="n">
        <x:v>46064</x:v>
      </x:c>
      <x:c r="J5929" s="37" t="n">
        <x:v>46064</x:v>
      </x:c>
      <x:c r="K5929" s="19" t="str">
        <x:v>Regent RV - Frankston</x:v>
      </x:c>
      <x:c r="L5929" s="19" t="str">
        <x:v>Z006</x:v>
      </x:c>
      <x:c r="M5929" s="19" t="str">
        <x:v>In Field Warranty Claims</x:v>
      </x:c>
      <x:c r="N5929" s="37" t="n">
        <x:v>45811</x:v>
      </x:c>
      <x:c r="O5929" s="37"/>
      <x:c r="P5929" s="34" t="n">
        <x:v>0</x:v>
      </x:c>
      <x:c r="Q5929" s="37" t="n">
        <x:v>46063.98291666667</x:v>
      </x:c>
    </x:row>
    <x:row r="5930">
      <x:c r="A5930" s="22" t="n">
        <x:v>20943</x:v>
      </x:c>
      <x:c r="B5930" s="28" t="n">
        <x:v>860</x:v>
      </x:c>
      <x:c r="C5930" s="28"/>
      <x:c r="D5930" s="31" t="str">
        <x:f>IF(OR(ISBLANK(B5930),ISBLANK(C5930),B5930=0),"",(C5930-B5930)/B5930)</x:f>
      </x:c>
      <x:c r="E5930" s="22" t="str">
        <x:f>IF(ISBLANK(C5930),"AmountIncludingTax缺失",IF(ABS(B5930-C5930)&lt;0.005,"一致","不一致"))</x:f>
        <x:v>AmountIncludingTax缺失</x:v>
      </x:c>
      <x:c r="F5930" s="19" t="str">
        <x:v>approved</x:v>
      </x:c>
      <x:c r="G5930" s="19" t="str">
        <x:v>Repairer Invoiced Processed</x:v>
      </x:c>
      <x:c r="H5930" s="19" t="str">
        <x:v>In Field</x:v>
      </x:c>
      <x:c r="I5930" s="37" t="n">
        <x:v>46111</x:v>
      </x:c>
      <x:c r="J5930" s="37" t="n">
        <x:v>46111</x:v>
      </x:c>
      <x:c r="K5930" s="19" t="str">
        <x:v>Green RV - Forest Glen</x:v>
      </x:c>
      <x:c r="L5930" s="19" t="str">
        <x:v>Z006</x:v>
      </x:c>
      <x:c r="M5930" s="19" t="str">
        <x:v>In Field Warranty Claims</x:v>
      </x:c>
      <x:c r="N5930" s="37" t="n">
        <x:v>45811</x:v>
      </x:c>
      <x:c r="O5930" s="37"/>
      <x:c r="P5930" s="34" t="n">
        <x:v>0</x:v>
      </x:c>
      <x:c r="Q5930" s="37" t="n">
        <x:v>46111.19060185185</x:v>
      </x:c>
    </x:row>
    <x:row r="5931">
      <x:c r="A5931" s="22" t="n">
        <x:v>20931</x:v>
      </x:c>
      <x:c r="B5931" s="28" t="n">
        <x:v>818.28</x:v>
      </x:c>
      <x:c r="C5931" s="28"/>
      <x:c r="D5931" s="31" t="str">
        <x:f>IF(OR(ISBLANK(B5931),ISBLANK(C5931),B5931=0),"",(C5931-B5931)/B5931)</x:f>
      </x:c>
      <x:c r="E5931" s="22" t="str">
        <x:f>IF(ISBLANK(C5931),"AmountIncludingTax缺失",IF(ABS(B5931-C5931)&lt;0.005,"一致","不一致"))</x:f>
        <x:v>AmountIncludingTax缺失</x:v>
      </x:c>
      <x:c r="F5931" s="19" t="str">
        <x:v>approved</x:v>
      </x:c>
      <x:c r="G5931" s="19" t="str">
        <x:v>Repair in Progress</x:v>
      </x:c>
      <x:c r="H5931" s="19" t="str">
        <x:v>In Field</x:v>
      </x:c>
      <x:c r="I5931" s="37" t="n">
        <x:v>46050</x:v>
      </x:c>
      <x:c r="J5931" s="37" t="n">
        <x:v>46050</x:v>
      </x:c>
      <x:c r="K5931" s="19" t="str">
        <x:v>Springvale Caravan Centre - Keysborough</x:v>
      </x:c>
      <x:c r="L5931" s="19" t="str">
        <x:v>Z006</x:v>
      </x:c>
      <x:c r="M5931" s="19" t="str">
        <x:v>In Field Warranty Claims</x:v>
      </x:c>
      <x:c r="N5931" s="37" t="n">
        <x:v>45810</x:v>
      </x:c>
      <x:c r="O5931" s="37"/>
      <x:c r="P5931" s="34" t="n">
        <x:v>0</x:v>
      </x:c>
      <x:c r="Q5931" s="37" t="n">
        <x:v>46050.32467592593</x:v>
      </x:c>
    </x:row>
    <x:row r="5932">
      <x:c r="A5932" s="22" t="n">
        <x:v>20923</x:v>
      </x:c>
      <x:c r="B5932" s="28" t="n">
        <x:v>145</x:v>
      </x:c>
      <x:c r="C5932" s="28" t="n">
        <x:v>131.28</x:v>
      </x:c>
      <x:c r="D5932" s="31" t="n">
        <x:f>IF(OR(ISBLANK(B5932),ISBLANK(C5932),B5932=0),"",(C5932-B5932)/B5932)</x:f>
        <x:v>-0.09462068965517241</x:v>
      </x:c>
      <x:c r="E5932" s="22" t="str">
        <x:f>IF(ISBLANK(C5932),"AmountIncludingTax缺失",IF(ABS(B5932-C5932)&lt;0.005,"一致","不一致"))</x:f>
        <x:v>不一致</x:v>
      </x:c>
      <x:c r="F5932" s="19" t="str">
        <x:v>approved</x:v>
      </x:c>
      <x:c r="G5932" s="19" t="str">
        <x:v>Repairer Invoiced Processed</x:v>
      </x:c>
      <x:c r="H5932" s="19" t="str">
        <x:v>In Field</x:v>
      </x:c>
      <x:c r="I5932" s="37" t="n">
        <x:v>46098</x:v>
      </x:c>
      <x:c r="J5932" s="37" t="n">
        <x:v>46098</x:v>
      </x:c>
      <x:c r="K5932" s="19" t="str">
        <x:v>Vanari Caravans - Marden Point</x:v>
      </x:c>
      <x:c r="L5932" s="19" t="str">
        <x:v>Z006</x:v>
      </x:c>
      <x:c r="M5932" s="19" t="str">
        <x:v>In Field Warranty Claims</x:v>
      </x:c>
      <x:c r="N5932" s="37" t="n">
        <x:v>45810</x:v>
      </x:c>
      <x:c r="O5932" s="37"/>
      <x:c r="P5932" s="34" t="n">
        <x:v>131.28</x:v>
      </x:c>
      <x:c r="Q5932" s="37" t="n">
        <x:v>46098.10591435185</x:v>
      </x:c>
    </x:row>
    <x:row r="5933">
      <x:c r="A5933" s="22" t="n">
        <x:v>20899</x:v>
      </x:c>
      <x:c r="B5933" s="28" t="n">
        <x:v>2381.22</x:v>
      </x:c>
      <x:c r="C5933" s="28"/>
      <x:c r="D5933" s="31" t="str">
        <x:f>IF(OR(ISBLANK(B5933),ISBLANK(C5933),B5933=0),"",(C5933-B5933)/B5933)</x:f>
      </x:c>
      <x:c r="E5933" s="22" t="str">
        <x:f>IF(ISBLANK(C5933),"AmountIncludingTax缺失",IF(ABS(B5933-C5933)&lt;0.005,"一致","不一致"))</x:f>
        <x:v>AmountIncludingTax缺失</x:v>
      </x:c>
      <x:c r="F5933" s="19" t="str">
        <x:v>approved</x:v>
      </x:c>
      <x:c r="G5933" s="19" t="str">
        <x:v>Repairer Invoiced Processed</x:v>
      </x:c>
      <x:c r="H5933" s="19" t="str">
        <x:v>In Field</x:v>
      </x:c>
      <x:c r="I5933" s="37" t="n">
        <x:v>46052</x:v>
      </x:c>
      <x:c r="J5933" s="37" t="n">
        <x:v>46052</x:v>
      </x:c>
      <x:c r="K5933" s="19" t="str">
        <x:v>Green RV - Forest Glen</x:v>
      </x:c>
      <x:c r="L5933" s="19" t="str">
        <x:v>Z006</x:v>
      </x:c>
      <x:c r="M5933" s="19" t="str">
        <x:v>In Field Warranty Claims</x:v>
      </x:c>
      <x:c r="N5933" s="37" t="n">
        <x:v>45810</x:v>
      </x:c>
      <x:c r="O5933" s="37"/>
      <x:c r="P5933" s="34" t="n">
        <x:v>2619.34</x:v>
      </x:c>
      <x:c r="Q5933" s="37" t="n">
        <x:v>46052.291967592595</x:v>
      </x:c>
    </x:row>
    <x:row r="5934">
      <x:c r="A5934" s="22" t="n">
        <x:v>20898</x:v>
      </x:c>
      <x:c r="B5934" s="28" t="n">
        <x:v>141.37</x:v>
      </x:c>
      <x:c r="C5934" s="28"/>
      <x:c r="D5934" s="31" t="str">
        <x:f>IF(OR(ISBLANK(B5934),ISBLANK(C5934),B5934=0),"",(C5934-B5934)/B5934)</x:f>
      </x:c>
      <x:c r="E5934" s="22" t="str">
        <x:f>IF(ISBLANK(C5934),"AmountIncludingTax缺失",IF(ABS(B5934-C5934)&lt;0.005,"一致","不一致"))</x:f>
        <x:v>AmountIncludingTax缺失</x:v>
      </x:c>
      <x:c r="F5934" s="19" t="str">
        <x:v>approved</x:v>
      </x:c>
      <x:c r="G5934" s="19" t="str">
        <x:v>Repairer Invoiced Received</x:v>
      </x:c>
      <x:c r="H5934" s="19" t="str">
        <x:v>In Field</x:v>
      </x:c>
      <x:c r="I5934" s="37" t="n">
        <x:v>46056</x:v>
      </x:c>
      <x:c r="J5934" s="37" t="n">
        <x:v>46056</x:v>
      </x:c>
      <x:c r="K5934" s="19" t="str">
        <x:v>Lesiure Lion-New Castle</x:v>
      </x:c>
      <x:c r="L5934" s="19" t="str">
        <x:v>Z006</x:v>
      </x:c>
      <x:c r="M5934" s="19" t="str">
        <x:v>In Field Warranty Claims</x:v>
      </x:c>
      <x:c r="N5934" s="37" t="n">
        <x:v>45810</x:v>
      </x:c>
      <x:c r="O5934" s="37"/>
      <x:c r="P5934" s="34" t="n">
        <x:v>0</x:v>
      </x:c>
      <x:c r="Q5934" s="37" t="n">
        <x:v>46055.93990740741</x:v>
      </x:c>
    </x:row>
    <x:row r="5935">
      <x:c r="A5935" s="22" t="n">
        <x:v>20761</x:v>
      </x:c>
      <x:c r="B5935" s="28" t="n">
        <x:v>1608.09</x:v>
      </x:c>
      <x:c r="C5935" s="28"/>
      <x:c r="D5935" s="31" t="str">
        <x:f>IF(OR(ISBLANK(B5935),ISBLANK(C5935),B5935=0),"",(C5935-B5935)/B5935)</x:f>
      </x:c>
      <x:c r="E5935" s="22" t="str">
        <x:f>IF(ISBLANK(C5935),"AmountIncludingTax缺失",IF(ABS(B5935-C5935)&lt;0.005,"一致","不一致"))</x:f>
        <x:v>AmountIncludingTax缺失</x:v>
      </x:c>
      <x:c r="F5935" s="19" t="str">
        <x:v>approved</x:v>
      </x:c>
      <x:c r="G5935" s="19" t="str">
        <x:v>Repair in Progress</x:v>
      </x:c>
      <x:c r="H5935" s="19" t="str">
        <x:v>In Field</x:v>
      </x:c>
      <x:c r="I5935" s="37" t="n">
        <x:v>46024</x:v>
      </x:c>
      <x:c r="J5935" s="37" t="n">
        <x:v>46024</x:v>
      </x:c>
      <x:c r="K5935" s="19" t="str">
        <x:v>The Caravan Hub - Townsville</x:v>
      </x:c>
      <x:c r="L5935" s="19" t="str">
        <x:v>Z006</x:v>
      </x:c>
      <x:c r="M5935" s="19" t="str">
        <x:v>In Field Warranty Claims</x:v>
      </x:c>
      <x:c r="N5935" s="37" t="n">
        <x:v>45804</x:v>
      </x:c>
      <x:c r="O5935" s="37" t="n">
        <x:v>45854</x:v>
      </x:c>
      <x:c r="P5935" s="34" t="n">
        <x:v>0</x:v>
      </x:c>
      <x:c r="Q5935" s="37" t="n">
        <x:v>46024.2658912037</x:v>
      </x:c>
    </x:row>
    <x:row r="5936">
      <x:c r="A5936" s="22" t="n">
        <x:v>20750</x:v>
      </x:c>
      <x:c r="B5936" s="28" t="n">
        <x:v>67.5</x:v>
      </x:c>
      <x:c r="C5936" s="28"/>
      <x:c r="D5936" s="31" t="str">
        <x:f>IF(OR(ISBLANK(B5936),ISBLANK(C5936),B5936=0),"",(C5936-B5936)/B5936)</x:f>
      </x:c>
      <x:c r="E5936" s="22" t="str">
        <x:f>IF(ISBLANK(C5936),"AmountIncludingTax缺失",IF(ABS(B5936-C5936)&lt;0.005,"一致","不一致"))</x:f>
        <x:v>AmountIncludingTax缺失</x:v>
      </x:c>
      <x:c r="F5936" s="19" t="str">
        <x:v>approved</x:v>
      </x:c>
      <x:c r="G5936" s="19" t="str">
        <x:v>Repairer Invoiced Processed</x:v>
      </x:c>
      <x:c r="H5936" s="19" t="str">
        <x:v>Pre Delivery</x:v>
      </x:c>
      <x:c r="I5936" s="37" t="n">
        <x:v>46073</x:v>
      </x:c>
      <x:c r="J5936" s="37" t="n">
        <x:v>46073</x:v>
      </x:c>
      <x:c r="K5936" s="19" t="str">
        <x:v>QCCC - Gympie</x:v>
      </x:c>
      <x:c r="L5936" s="19" t="str">
        <x:v>Z005</x:v>
      </x:c>
      <x:c r="M5936" s="19" t="str">
        <x:v>Pre Delivery Warranty Claims</x:v>
      </x:c>
      <x:c r="N5936" s="37" t="n">
        <x:v>45804</x:v>
      </x:c>
      <x:c r="O5936" s="37"/>
      <x:c r="P5936" s="34" t="n">
        <x:v>0</x:v>
      </x:c>
      <x:c r="Q5936" s="37" t="n">
        <x:v>46072.93738425926</x:v>
      </x:c>
    </x:row>
    <x:row r="5937">
      <x:c r="A5937" s="22" t="n">
        <x:v>20749</x:v>
      </x:c>
      <x:c r="B5937" s="28" t="n">
        <x:v>67.5</x:v>
      </x:c>
      <x:c r="C5937" s="28"/>
      <x:c r="D5937" s="31" t="str">
        <x:f>IF(OR(ISBLANK(B5937),ISBLANK(C5937),B5937=0),"",(C5937-B5937)/B5937)</x:f>
      </x:c>
      <x:c r="E5937" s="22" t="str">
        <x:f>IF(ISBLANK(C5937),"AmountIncludingTax缺失",IF(ABS(B5937-C5937)&lt;0.005,"一致","不一致"))</x:f>
        <x:v>AmountIncludingTax缺失</x:v>
      </x:c>
      <x:c r="F5937" s="19" t="str">
        <x:v>approved</x:v>
      </x:c>
      <x:c r="G5937" s="19" t="str">
        <x:v>Repairer Invoiced Processed</x:v>
      </x:c>
      <x:c r="H5937" s="19" t="str">
        <x:v>Pre Delivery</x:v>
      </x:c>
      <x:c r="I5937" s="37" t="n">
        <x:v>46073</x:v>
      </x:c>
      <x:c r="J5937" s="37" t="n">
        <x:v>46073</x:v>
      </x:c>
      <x:c r="K5937" s="19" t="str">
        <x:v>QCCC - Gympie</x:v>
      </x:c>
      <x:c r="L5937" s="19" t="str">
        <x:v>Z005</x:v>
      </x:c>
      <x:c r="M5937" s="19" t="str">
        <x:v>Pre Delivery Warranty Claims</x:v>
      </x:c>
      <x:c r="N5937" s="37" t="n">
        <x:v>45804</x:v>
      </x:c>
      <x:c r="O5937" s="37"/>
      <x:c r="P5937" s="34" t="n">
        <x:v>0</x:v>
      </x:c>
      <x:c r="Q5937" s="37" t="n">
        <x:v>46072.950150462966</x:v>
      </x:c>
    </x:row>
    <x:row r="5938">
      <x:c r="A5938" s="22" t="n">
        <x:v>20695</x:v>
      </x:c>
      <x:c r="B5938" s="28" t="n">
        <x:v>720</x:v>
      </x:c>
      <x:c r="C5938" s="28"/>
      <x:c r="D5938" s="31" t="str">
        <x:f>IF(OR(ISBLANK(B5938),ISBLANK(C5938),B5938=0),"",(C5938-B5938)/B5938)</x:f>
      </x:c>
      <x:c r="E5938" s="22" t="str">
        <x:f>IF(ISBLANK(C5938),"AmountIncludingTax缺失",IF(ABS(B5938-C5938)&lt;0.005,"一致","不一致"))</x:f>
        <x:v>AmountIncludingTax缺失</x:v>
      </x:c>
      <x:c r="F5938" s="19" t="str">
        <x:v>approved</x:v>
      </x:c>
      <x:c r="G5938" s="19" t="str">
        <x:v>Repair in Progress</x:v>
      </x:c>
      <x:c r="H5938" s="19" t="str">
        <x:v>In Field</x:v>
      </x:c>
      <x:c r="I5938" s="37" t="n">
        <x:v>46028</x:v>
      </x:c>
      <x:c r="J5938" s="37" t="n">
        <x:v>46028</x:v>
      </x:c>
      <x:c r="K5938" s="19" t="str">
        <x:v>Regent RV - Traralgon</x:v>
      </x:c>
      <x:c r="L5938" s="19" t="str">
        <x:v>Z006</x:v>
      </x:c>
      <x:c r="M5938" s="19" t="str">
        <x:v>In Field Warranty Claims</x:v>
      </x:c>
      <x:c r="N5938" s="37" t="n">
        <x:v>45803</x:v>
      </x:c>
      <x:c r="O5938" s="37"/>
      <x:c r="P5938" s="34" t="n">
        <x:v>0</x:v>
      </x:c>
      <x:c r="Q5938" s="37" t="n">
        <x:v>46027.92912037037</x:v>
      </x:c>
    </x:row>
    <x:row r="5939">
      <x:c r="A5939" s="22" t="n">
        <x:v>20686</x:v>
      </x:c>
      <x:c r="B5939" s="28" t="n">
        <x:v>1692.7</x:v>
      </x:c>
      <x:c r="C5939" s="28"/>
      <x:c r="D5939" s="31" t="str">
        <x:f>IF(OR(ISBLANK(B5939),ISBLANK(C5939),B5939=0),"",(C5939-B5939)/B5939)</x:f>
      </x:c>
      <x:c r="E5939" s="22" t="str">
        <x:f>IF(ISBLANK(C5939),"AmountIncludingTax缺失",IF(ABS(B5939-C5939)&lt;0.005,"一致","不一致"))</x:f>
        <x:v>AmountIncludingTax缺失</x:v>
      </x:c>
      <x:c r="F5939" s="19" t="str">
        <x:v>approved</x:v>
      </x:c>
      <x:c r="G5939" s="19" t="str">
        <x:v>Partially Picked</x:v>
      </x:c>
      <x:c r="H5939" s="19" t="str">
        <x:v>In Field</x:v>
      </x:c>
      <x:c r="I5939" s="37" t="n">
        <x:v>46184</x:v>
      </x:c>
      <x:c r="J5939" s="37" t="n">
        <x:v>46097</x:v>
      </x:c>
      <x:c r="K5939" s="19" t="str">
        <x:v>Green RV - Forest Glen</x:v>
      </x:c>
      <x:c r="L5939" s="19" t="str">
        <x:v>Z006</x:v>
      </x:c>
      <x:c r="M5939" s="19" t="str">
        <x:v>In Field Warranty Claims</x:v>
      </x:c>
      <x:c r="N5939" s="37" t="n">
        <x:v>45803</x:v>
      </x:c>
      <x:c r="O5939" s="37"/>
      <x:c r="P5939" s="34" t="n">
        <x:v>0</x:v>
      </x:c>
      <x:c r="Q5939" s="37" t="n">
        <x:v>46184.228321759256</x:v>
      </x:c>
    </x:row>
    <x:row r="5940">
      <x:c r="A5940" s="22" t="n">
        <x:v>20604</x:v>
      </x:c>
      <x:c r="B5940" s="28" t="n">
        <x:v>1624.47</x:v>
      </x:c>
      <x:c r="C5940" s="28"/>
      <x:c r="D5940" s="31" t="str">
        <x:f>IF(OR(ISBLANK(B5940),ISBLANK(C5940),B5940=0),"",(C5940-B5940)/B5940)</x:f>
      </x:c>
      <x:c r="E5940" s="22" t="str">
        <x:f>IF(ISBLANK(C5940),"AmountIncludingTax缺失",IF(ABS(B5940-C5940)&lt;0.005,"一致","不一致"))</x:f>
        <x:v>AmountIncludingTax缺失</x:v>
      </x:c>
      <x:c r="F5940" s="19" t="str">
        <x:v>approved</x:v>
      </x:c>
      <x:c r="G5940" s="19" t="str">
        <x:v>Repairer Invoiced Processed</x:v>
      </x:c>
      <x:c r="H5940" s="19" t="str">
        <x:v>In Field</x:v>
      </x:c>
      <x:c r="I5940" s="37" t="n">
        <x:v>46196</x:v>
      </x:c>
      <x:c r="J5940" s="37" t="n">
        <x:v>46196</x:v>
      </x:c>
      <x:c r="K5940" s="19" t="str">
        <x:v>Auswide Caravans - South Nowra</x:v>
      </x:c>
      <x:c r="L5940" s="19" t="str">
        <x:v>Z006</x:v>
      </x:c>
      <x:c r="M5940" s="19" t="str">
        <x:v>In Field Warranty Claims</x:v>
      </x:c>
      <x:c r="N5940" s="37" t="n">
        <x:v>45799</x:v>
      </x:c>
      <x:c r="O5940" s="37" t="n">
        <x:v>45894</x:v>
      </x:c>
      <x:c r="P5940" s="34" t="n">
        <x:v>1786.92</x:v>
      </x:c>
      <x:c r="Q5940" s="37" t="n">
        <x:v>46196.199895833335</x:v>
      </x:c>
    </x:row>
    <x:row r="5941">
      <x:c r="A5941" s="22" t="n">
        <x:v>20603</x:v>
      </x:c>
      <x:c r="B5941" s="28" t="n">
        <x:v>836.27</x:v>
      </x:c>
      <x:c r="C5941" s="28"/>
      <x:c r="D5941" s="31" t="str">
        <x:f>IF(OR(ISBLANK(B5941),ISBLANK(C5941),B5941=0),"",(C5941-B5941)/B5941)</x:f>
      </x:c>
      <x:c r="E5941" s="22" t="str">
        <x:f>IF(ISBLANK(C5941),"AmountIncludingTax缺失",IF(ABS(B5941-C5941)&lt;0.005,"一致","不一致"))</x:f>
        <x:v>AmountIncludingTax缺失</x:v>
      </x:c>
      <x:c r="F5941" s="19" t="str">
        <x:v>approved</x:v>
      </x:c>
      <x:c r="G5941" s="19" t="str">
        <x:v>Repairer Invoiced Processed</x:v>
      </x:c>
      <x:c r="H5941" s="19" t="str">
        <x:v>In Field</x:v>
      </x:c>
      <x:c r="I5941" s="37" t="n">
        <x:v>46055</x:v>
      </x:c>
      <x:c r="J5941" s="37" t="n">
        <x:v>46055</x:v>
      </x:c>
      <x:c r="K5941" s="19" t="str">
        <x:v>Auswide Caravans - South Nowra</x:v>
      </x:c>
      <x:c r="L5941" s="19" t="str">
        <x:v>Z006</x:v>
      </x:c>
      <x:c r="M5941" s="19" t="str">
        <x:v>In Field Warranty Claims</x:v>
      </x:c>
      <x:c r="N5941" s="37" t="n">
        <x:v>45799</x:v>
      </x:c>
      <x:c r="O5941" s="37" t="n">
        <x:v>46015</x:v>
      </x:c>
      <x:c r="P5941" s="34" t="n">
        <x:v>0</x:v>
      </x:c>
      <x:c r="Q5941" s="37" t="n">
        <x:v>46055.23070601852</x:v>
      </x:c>
    </x:row>
    <x:row r="5942">
      <x:c r="A5942" s="22" t="n">
        <x:v>20601</x:v>
      </x:c>
      <x:c r="B5942" s="28" t="n">
        <x:v>851.21</x:v>
      </x:c>
      <x:c r="C5942" s="28"/>
      <x:c r="D5942" s="31" t="str">
        <x:f>IF(OR(ISBLANK(B5942),ISBLANK(C5942),B5942=0),"",(C5942-B5942)/B5942)</x:f>
      </x:c>
      <x:c r="E5942" s="22" t="str">
        <x:f>IF(ISBLANK(C5942),"AmountIncludingTax缺失",IF(ABS(B5942-C5942)&lt;0.005,"一致","不一致"))</x:f>
        <x:v>AmountIncludingTax缺失</x:v>
      </x:c>
      <x:c r="F5942" s="19" t="str">
        <x:v>approved</x:v>
      </x:c>
      <x:c r="G5942" s="19" t="str">
        <x:v>Repairer Invoiced Processed</x:v>
      </x:c>
      <x:c r="H5942" s="19" t="str">
        <x:v>In Field</x:v>
      </x:c>
      <x:c r="I5942" s="37" t="n">
        <x:v>46050</x:v>
      </x:c>
      <x:c r="J5942" s="37" t="n">
        <x:v>46050</x:v>
      </x:c>
      <x:c r="K5942" s="19" t="str">
        <x:v>Green RV - Forest Glen</x:v>
      </x:c>
      <x:c r="L5942" s="19" t="str">
        <x:v>Z006</x:v>
      </x:c>
      <x:c r="M5942" s="19" t="str">
        <x:v>In Field Warranty Claims</x:v>
      </x:c>
      <x:c r="N5942" s="37" t="n">
        <x:v>45799</x:v>
      </x:c>
      <x:c r="O5942" s="37"/>
      <x:c r="P5942" s="34" t="n">
        <x:v>0</x:v>
      </x:c>
      <x:c r="Q5942" s="37" t="n">
        <x:v>46050.138078703705</x:v>
      </x:c>
    </x:row>
    <x:row r="5943">
      <x:c r="A5943" s="22" t="n">
        <x:v>20520</x:v>
      </x:c>
      <x:c r="B5943" s="28" t="n">
        <x:v>3527.48</x:v>
      </x:c>
      <x:c r="C5943" s="28"/>
      <x:c r="D5943" s="31" t="str">
        <x:f>IF(OR(ISBLANK(B5943),ISBLANK(C5943),B5943=0),"",(C5943-B5943)/B5943)</x:f>
      </x:c>
      <x:c r="E5943" s="22" t="str">
        <x:f>IF(ISBLANK(C5943),"AmountIncludingTax缺失",IF(ABS(B5943-C5943)&lt;0.005,"一致","不一致"))</x:f>
        <x:v>AmountIncludingTax缺失</x:v>
      </x:c>
      <x:c r="F5943" s="19" t="str">
        <x:v>approved</x:v>
      </x:c>
      <x:c r="G5943" s="19" t="str">
        <x:v>Repairer Invoiced Processed</x:v>
      </x:c>
      <x:c r="H5943" s="19" t="str">
        <x:v>In Field</x:v>
      </x:c>
      <x:c r="I5943" s="37" t="n">
        <x:v>46031</x:v>
      </x:c>
      <x:c r="J5943" s="37" t="n">
        <x:v>46031</x:v>
      </x:c>
      <x:c r="K5943" s="19" t="str">
        <x:v>Green RV - Forest Glen</x:v>
      </x:c>
      <x:c r="L5943" s="19" t="str">
        <x:v>Z006</x:v>
      </x:c>
      <x:c r="M5943" s="19" t="str">
        <x:v>In Field Warranty Claims</x:v>
      </x:c>
      <x:c r="N5943" s="37" t="n">
        <x:v>45797</x:v>
      </x:c>
      <x:c r="O5943" s="37"/>
      <x:c r="P5943" s="34" t="n">
        <x:v>3880.23</x:v>
      </x:c>
      <x:c r="Q5943" s="37" t="n">
        <x:v>46031.04222222222</x:v>
      </x:c>
    </x:row>
    <x:row r="5944">
      <x:c r="A5944" s="22" t="n">
        <x:v>20478</x:v>
      </x:c>
      <x:c r="B5944" s="28" t="n">
        <x:v>240.68</x:v>
      </x:c>
      <x:c r="C5944" s="28" t="n">
        <x:v>264.75</x:v>
      </x:c>
      <x:c r="D5944" s="31" t="n">
        <x:f>IF(OR(ISBLANK(B5944),ISBLANK(C5944),B5944=0),"",(C5944-B5944)/B5944)</x:f>
        <x:v>0.10000830978893133</x:v>
      </x:c>
      <x:c r="E5944" s="22" t="str">
        <x:f>IF(ISBLANK(C5944),"AmountIncludingTax缺失",IF(ABS(B5944-C5944)&lt;0.005,"一致","不一致"))</x:f>
        <x:v>不一致</x:v>
      </x:c>
      <x:c r="F5944" s="19" t="str">
        <x:v>approved</x:v>
      </x:c>
      <x:c r="G5944" s="19" t="str">
        <x:v>Repairer Invoiced Processed</x:v>
      </x:c>
      <x:c r="H5944" s="19" t="str">
        <x:v>In Field</x:v>
      </x:c>
      <x:c r="I5944" s="37" t="n">
        <x:v>46139</x:v>
      </x:c>
      <x:c r="J5944" s="37" t="n">
        <x:v>46139</x:v>
      </x:c>
      <x:c r="K5944" s="19" t="str">
        <x:v>Regent RV - Perth</x:v>
      </x:c>
      <x:c r="L5944" s="19" t="str">
        <x:v>Z006</x:v>
      </x:c>
      <x:c r="M5944" s="19" t="str">
        <x:v>In Field Warranty Claims</x:v>
      </x:c>
      <x:c r="N5944" s="37" t="n">
        <x:v>45797</x:v>
      </x:c>
      <x:c r="O5944" s="37" t="n">
        <x:v>45993</x:v>
      </x:c>
      <x:c r="P5944" s="34" t="n">
        <x:v>264.75</x:v>
      </x:c>
      <x:c r="Q5944" s="37" t="n">
        <x:v>46139.12353009259</x:v>
      </x:c>
    </x:row>
    <x:row r="5945">
      <x:c r="A5945" s="22" t="n">
        <x:v>20444</x:v>
      </x:c>
      <x:c r="B5945" s="28" t="n">
        <x:v>995</x:v>
      </x:c>
      <x:c r="C5945" s="28"/>
      <x:c r="D5945" s="31" t="str">
        <x:f>IF(OR(ISBLANK(B5945),ISBLANK(C5945),B5945=0),"",(C5945-B5945)/B5945)</x:f>
      </x:c>
      <x:c r="E5945" s="22" t="str">
        <x:f>IF(ISBLANK(C5945),"AmountIncludingTax缺失",IF(ABS(B5945-C5945)&lt;0.005,"一致","不一致"))</x:f>
        <x:v>AmountIncludingTax缺失</x:v>
      </x:c>
      <x:c r="F5945" s="19" t="str">
        <x:v>approved</x:v>
      </x:c>
      <x:c r="G5945" s="19" t="str">
        <x:v>Repair in Progress</x:v>
      </x:c>
      <x:c r="H5945" s="19" t="str">
        <x:v>In Field</x:v>
      </x:c>
      <x:c r="I5945" s="37" t="n">
        <x:v>46101</x:v>
      </x:c>
      <x:c r="J5945" s="37" t="n">
        <x:v>46101</x:v>
      </x:c>
      <x:c r="K5945" s="19" t="str">
        <x:v>Leisure Lion Pty Ltd - Toowoomba</x:v>
      </x:c>
      <x:c r="L5945" s="19" t="str">
        <x:v>Z006</x:v>
      </x:c>
      <x:c r="M5945" s="19" t="str">
        <x:v>In Field Warranty Claims</x:v>
      </x:c>
      <x:c r="N5945" s="37" t="n">
        <x:v>45796</x:v>
      </x:c>
      <x:c r="O5945" s="37" t="n">
        <x:v>46015</x:v>
      </x:c>
      <x:c r="P5945" s="34" t="n">
        <x:v>0</x:v>
      </x:c>
      <x:c r="Q5945" s="37" t="n">
        <x:v>46101.19519675926</x:v>
      </x:c>
    </x:row>
    <x:row r="5946">
      <x:c r="A5946" s="22" t="n">
        <x:v>20417</x:v>
      </x:c>
      <x:c r="B5946" s="28" t="n">
        <x:v>805.68</x:v>
      </x:c>
      <x:c r="C5946" s="28"/>
      <x:c r="D5946" s="31" t="str">
        <x:f>IF(OR(ISBLANK(B5946),ISBLANK(C5946),B5946=0),"",(C5946-B5946)/B5946)</x:f>
      </x:c>
      <x:c r="E5946" s="22" t="str">
        <x:f>IF(ISBLANK(C5946),"AmountIncludingTax缺失",IF(ABS(B5946-C5946)&lt;0.005,"一致","不一致"))</x:f>
        <x:v>AmountIncludingTax缺失</x:v>
      </x:c>
      <x:c r="F5946" s="19" t="str">
        <x:v>approved</x:v>
      </x:c>
      <x:c r="G5946" s="19" t="str">
        <x:v>Repair in Progress</x:v>
      </x:c>
      <x:c r="H5946" s="19" t="str">
        <x:v>In Field</x:v>
      </x:c>
      <x:c r="I5946" s="37" t="n">
        <x:v>46167</x:v>
      </x:c>
      <x:c r="J5946" s="37" t="n">
        <x:v>46167</x:v>
      </x:c>
      <x:c r="K5946" s="19" t="str">
        <x:v>Green RV - Forest Glen</x:v>
      </x:c>
      <x:c r="L5946" s="19" t="str">
        <x:v>Z006</x:v>
      </x:c>
      <x:c r="M5946" s="19" t="str">
        <x:v>In Field Warranty Claims</x:v>
      </x:c>
      <x:c r="N5946" s="37" t="n">
        <x:v>45796</x:v>
      </x:c>
      <x:c r="O5946" s="37"/>
      <x:c r="P5946" s="34" t="n">
        <x:v>0</x:v>
      </x:c>
      <x:c r="Q5946" s="37" t="n">
        <x:v>46167.04222222222</x:v>
      </x:c>
    </x:row>
    <x:row r="5947">
      <x:c r="A5947" s="22" t="n">
        <x:v>20375</x:v>
      </x:c>
      <x:c r="B5947" s="28" t="n">
        <x:v>740.91</x:v>
      </x:c>
      <x:c r="C5947" s="28"/>
      <x:c r="D5947" s="31" t="str">
        <x:f>IF(OR(ISBLANK(B5947),ISBLANK(C5947),B5947=0),"",(C5947-B5947)/B5947)</x:f>
      </x:c>
      <x:c r="E5947" s="22" t="str">
        <x:f>IF(ISBLANK(C5947),"AmountIncludingTax缺失",IF(ABS(B5947-C5947)&lt;0.005,"一致","不一致"))</x:f>
        <x:v>AmountIncludingTax缺失</x:v>
      </x:c>
      <x:c r="F5947" s="19" t="str">
        <x:v>approved</x:v>
      </x:c>
      <x:c r="G5947" s="19" t="str">
        <x:v>Repairer Invoiced Processed</x:v>
      </x:c>
      <x:c r="H5947" s="19" t="str">
        <x:v>In Field</x:v>
      </x:c>
      <x:c r="I5947" s="37" t="n">
        <x:v>46134</x:v>
      </x:c>
      <x:c r="J5947" s="37" t="n">
        <x:v>46134</x:v>
      </x:c>
      <x:c r="K5947" s="19" t="str">
        <x:v>Green RV - Forest Glen</x:v>
      </x:c>
      <x:c r="L5947" s="19" t="str">
        <x:v>Z006</x:v>
      </x:c>
      <x:c r="M5947" s="19" t="str">
        <x:v>In Field Warranty Claims</x:v>
      </x:c>
      <x:c r="N5947" s="37" t="n">
        <x:v>45793</x:v>
      </x:c>
      <x:c r="O5947" s="37"/>
      <x:c r="P5947" s="34" t="n">
        <x:v>0</x:v>
      </x:c>
      <x:c r="Q5947" s="37" t="n">
        <x:v>46134.07247685185</x:v>
      </x:c>
    </x:row>
    <x:row r="5948">
      <x:c r="A5948" s="22" t="n">
        <x:v>20363</x:v>
      </x:c>
      <x:c r="B5948" s="28" t="n">
        <x:v>3510</x:v>
      </x:c>
      <x:c r="C5948" s="28"/>
      <x:c r="D5948" s="31" t="str">
        <x:f>IF(OR(ISBLANK(B5948),ISBLANK(C5948),B5948=0),"",(C5948-B5948)/B5948)</x:f>
      </x:c>
      <x:c r="E5948" s="22" t="str">
        <x:f>IF(ISBLANK(C5948),"AmountIncludingTax缺失",IF(ABS(B5948-C5948)&lt;0.005,"一致","不一致"))</x:f>
        <x:v>AmountIncludingTax缺失</x:v>
      </x:c>
      <x:c r="F5948" s="19" t="str">
        <x:v>approved</x:v>
      </x:c>
      <x:c r="G5948" s="19" t="str">
        <x:v>Repairer Invoiced Processed</x:v>
      </x:c>
      <x:c r="H5948" s="19" t="str">
        <x:v>In Field</x:v>
      </x:c>
      <x:c r="I5948" s="37" t="n">
        <x:v>46106</x:v>
      </x:c>
      <x:c r="J5948" s="37" t="n">
        <x:v>46106</x:v>
      </x:c>
      <x:c r="K5948" s="19" t="str">
        <x:v>Green RV - Forest Glen</x:v>
      </x:c>
      <x:c r="L5948" s="19" t="str">
        <x:v>Z006</x:v>
      </x:c>
      <x:c r="M5948" s="19" t="str">
        <x:v>In Field Warranty Claims</x:v>
      </x:c>
      <x:c r="N5948" s="37" t="n">
        <x:v>45792</x:v>
      </x:c>
      <x:c r="O5948" s="37"/>
      <x:c r="P5948" s="34" t="n">
        <x:v>0</x:v>
      </x:c>
      <x:c r="Q5948" s="37" t="n">
        <x:v>46106.05914351852</x:v>
      </x:c>
    </x:row>
    <x:row r="5949">
      <x:c r="A5949" s="22" t="n">
        <x:v>20355</x:v>
      </x:c>
      <x:c r="B5949" s="28" t="n">
        <x:v>1320</x:v>
      </x:c>
      <x:c r="C5949" s="28"/>
      <x:c r="D5949" s="31" t="str">
        <x:f>IF(OR(ISBLANK(B5949),ISBLANK(C5949),B5949=0),"",(C5949-B5949)/B5949)</x:f>
      </x:c>
      <x:c r="E5949" s="22" t="str">
        <x:f>IF(ISBLANK(C5949),"AmountIncludingTax缺失",IF(ABS(B5949-C5949)&lt;0.005,"一致","不一致"))</x:f>
        <x:v>AmountIncludingTax缺失</x:v>
      </x:c>
      <x:c r="F5949" s="19" t="str">
        <x:v>approved</x:v>
      </x:c>
      <x:c r="G5949" s="19" t="str">
        <x:v>Partially Picked</x:v>
      </x:c>
      <x:c r="H5949" s="19" t="str">
        <x:v>In Field</x:v>
      </x:c>
      <x:c r="I5949" s="37" t="n">
        <x:v>46078</x:v>
      </x:c>
      <x:c r="J5949" s="37" t="n">
        <x:v>46078</x:v>
      </x:c>
      <x:c r="K5949" s="19" t="str">
        <x:v>Regent RV - Perth</x:v>
      </x:c>
      <x:c r="L5949" s="19" t="str">
        <x:v>Z006</x:v>
      </x:c>
      <x:c r="M5949" s="19" t="str">
        <x:v>In Field Warranty Claims</x:v>
      </x:c>
      <x:c r="N5949" s="37" t="n">
        <x:v>45792</x:v>
      </x:c>
      <x:c r="O5949" s="37"/>
      <x:c r="P5949" s="34" t="n">
        <x:v>0</x:v>
      </x:c>
      <x:c r="Q5949" s="37" t="n">
        <x:v>46078.08561342592</x:v>
      </x:c>
    </x:row>
    <x:row r="5950">
      <x:c r="A5950" s="22" t="n">
        <x:v>20330</x:v>
      </x:c>
      <x:c r="B5950" s="28" t="n">
        <x:v>1075</x:v>
      </x:c>
      <x:c r="C5950" s="28"/>
      <x:c r="D5950" s="31" t="str">
        <x:f>IF(OR(ISBLANK(B5950),ISBLANK(C5950),B5950=0),"",(C5950-B5950)/B5950)</x:f>
      </x:c>
      <x:c r="E5950" s="22" t="str">
        <x:f>IF(ISBLANK(C5950),"AmountIncludingTax缺失",IF(ABS(B5950-C5950)&lt;0.005,"一致","不一致"))</x:f>
        <x:v>AmountIncludingTax缺失</x:v>
      </x:c>
      <x:c r="F5950" s="19" t="str">
        <x:v>approved</x:v>
      </x:c>
      <x:c r="G5950" s="19" t="str">
        <x:v>Repair in Progress</x:v>
      </x:c>
      <x:c r="H5950" s="19" t="str">
        <x:v>In Field</x:v>
      </x:c>
      <x:c r="I5950" s="37" t="n">
        <x:v>46093</x:v>
      </x:c>
      <x:c r="J5950" s="37" t="n">
        <x:v>46093</x:v>
      </x:c>
      <x:c r="K5950" s="19" t="str">
        <x:v>Regent RV Pty Ltd</x:v>
      </x:c>
      <x:c r="L5950" s="19" t="str">
        <x:v>Z006</x:v>
      </x:c>
      <x:c r="M5950" s="19" t="str">
        <x:v>In Field Warranty Claims</x:v>
      </x:c>
      <x:c r="N5950" s="37" t="n">
        <x:v>45792</x:v>
      </x:c>
      <x:c r="O5950" s="37"/>
      <x:c r="P5950" s="34" t="n">
        <x:v>0</x:v>
      </x:c>
      <x:c r="Q5950" s="37" t="n">
        <x:v>46093.45177083334</x:v>
      </x:c>
    </x:row>
    <x:row r="5951">
      <x:c r="A5951" s="22" t="n">
        <x:v>20219</x:v>
      </x:c>
      <x:c r="B5951" s="28" t="n">
        <x:v>2190.3</x:v>
      </x:c>
      <x:c r="C5951" s="28"/>
      <x:c r="D5951" s="31" t="str">
        <x:f>IF(OR(ISBLANK(B5951),ISBLANK(C5951),B5951=0),"",(C5951-B5951)/B5951)</x:f>
      </x:c>
      <x:c r="E5951" s="22" t="str">
        <x:f>IF(ISBLANK(C5951),"AmountIncludingTax缺失",IF(ABS(B5951-C5951)&lt;0.005,"一致","不一致"))</x:f>
        <x:v>AmountIncludingTax缺失</x:v>
      </x:c>
      <x:c r="F5951" s="19" t="str">
        <x:v>approved</x:v>
      </x:c>
      <x:c r="G5951" s="19" t="str">
        <x:v>Repairer Invoiced Processed</x:v>
      </x:c>
      <x:c r="H5951" s="19" t="str">
        <x:v>In Field</x:v>
      </x:c>
      <x:c r="I5951" s="37" t="n">
        <x:v>46031</x:v>
      </x:c>
      <x:c r="J5951" s="37" t="n">
        <x:v>46031</x:v>
      </x:c>
      <x:c r="K5951" s="19" t="str">
        <x:v>Regent RV - Townsville</x:v>
      </x:c>
      <x:c r="L5951" s="19" t="str">
        <x:v>Z006</x:v>
      </x:c>
      <x:c r="M5951" s="19" t="str">
        <x:v>In Field Warranty Claims</x:v>
      </x:c>
      <x:c r="N5951" s="37" t="n">
        <x:v>45790</x:v>
      </x:c>
      <x:c r="O5951" s="37"/>
      <x:c r="P5951" s="34" t="n">
        <x:v>2409.33</x:v>
      </x:c>
      <x:c r="Q5951" s="37" t="n">
        <x:v>46031.136469907404</x:v>
      </x:c>
    </x:row>
    <x:row r="5952">
      <x:c r="A5952" s="22" t="n">
        <x:v>20187</x:v>
      </x:c>
      <x:c r="B5952" s="28" t="n">
        <x:v>1220</x:v>
      </x:c>
      <x:c r="C5952" s="28"/>
      <x:c r="D5952" s="31" t="str">
        <x:f>IF(OR(ISBLANK(B5952),ISBLANK(C5952),B5952=0),"",(C5952-B5952)/B5952)</x:f>
      </x:c>
      <x:c r="E5952" s="22" t="str">
        <x:f>IF(ISBLANK(C5952),"AmountIncludingTax缺失",IF(ABS(B5952-C5952)&lt;0.005,"一致","不一致"))</x:f>
        <x:v>AmountIncludingTax缺失</x:v>
      </x:c>
      <x:c r="F5952" s="19" t="str">
        <x:v>approved</x:v>
      </x:c>
      <x:c r="G5952" s="19" t="str">
        <x:v>Repairer Invoiced Processed</x:v>
      </x:c>
      <x:c r="H5952" s="19" t="str">
        <x:v>In Field</x:v>
      </x:c>
      <x:c r="I5952" s="37" t="n">
        <x:v>46092</x:v>
      </x:c>
      <x:c r="J5952" s="37" t="n">
        <x:v>46092</x:v>
      </x:c>
      <x:c r="K5952" s="19" t="str">
        <x:v>Lesiure Lion-New Castle</x:v>
      </x:c>
      <x:c r="L5952" s="19" t="str">
        <x:v>Z006</x:v>
      </x:c>
      <x:c r="M5952" s="19" t="str">
        <x:v>In Field Warranty Claims</x:v>
      </x:c>
      <x:c r="N5952" s="37" t="n">
        <x:v>45790</x:v>
      </x:c>
      <x:c r="O5952" s="37"/>
      <x:c r="P5952" s="34" t="n">
        <x:v>0</x:v>
      </x:c>
      <x:c r="Q5952" s="37" t="n">
        <x:v>46092.02762731481</x:v>
      </x:c>
    </x:row>
    <x:row r="5953">
      <x:c r="A5953" s="22" t="n">
        <x:v>20177</x:v>
      </x:c>
      <x:c r="B5953" s="28" t="n">
        <x:v>1310</x:v>
      </x:c>
      <x:c r="C5953" s="28"/>
      <x:c r="D5953" s="31" t="str">
        <x:f>IF(OR(ISBLANK(B5953),ISBLANK(C5953),B5953=0),"",(C5953-B5953)/B5953)</x:f>
      </x:c>
      <x:c r="E5953" s="22" t="str">
        <x:f>IF(ISBLANK(C5953),"AmountIncludingTax缺失",IF(ABS(B5953-C5953)&lt;0.005,"一致","不一致"))</x:f>
        <x:v>AmountIncludingTax缺失</x:v>
      </x:c>
      <x:c r="F5953" s="19" t="str">
        <x:v>approved</x:v>
      </x:c>
      <x:c r="G5953" s="19" t="str">
        <x:v>Repairer Invoiced Processed</x:v>
      </x:c>
      <x:c r="H5953" s="19" t="str">
        <x:v>In Field</x:v>
      </x:c>
      <x:c r="I5953" s="37" t="n">
        <x:v>46072</x:v>
      </x:c>
      <x:c r="J5953" s="37" t="n">
        <x:v>46072</x:v>
      </x:c>
      <x:c r="K5953" s="19" t="str">
        <x:v>Regent RV Pty Ltd</x:v>
      </x:c>
      <x:c r="L5953" s="19" t="str">
        <x:v>Z006</x:v>
      </x:c>
      <x:c r="M5953" s="19" t="str">
        <x:v>In Field Warranty Claims</x:v>
      </x:c>
      <x:c r="N5953" s="37" t="n">
        <x:v>45789</x:v>
      </x:c>
      <x:c r="O5953" s="37"/>
      <x:c r="P5953" s="34" t="n">
        <x:v>0</x:v>
      </x:c>
      <x:c r="Q5953" s="37" t="n">
        <x:v>46072.177407407406</x:v>
      </x:c>
    </x:row>
    <x:row r="5954">
      <x:c r="A5954" s="22" t="n">
        <x:v>19966</x:v>
      </x:c>
      <x:c r="B5954" s="28" t="n">
        <x:v>405</x:v>
      </x:c>
      <x:c r="C5954" s="28"/>
      <x:c r="D5954" s="31" t="str">
        <x:f>IF(OR(ISBLANK(B5954),ISBLANK(C5954),B5954=0),"",(C5954-B5954)/B5954)</x:f>
      </x:c>
      <x:c r="E5954" s="22" t="str">
        <x:f>IF(ISBLANK(C5954),"AmountIncludingTax缺失",IF(ABS(B5954-C5954)&lt;0.005,"一致","不一致"))</x:f>
        <x:v>AmountIncludingTax缺失</x:v>
      </x:c>
      <x:c r="F5954" s="19" t="str">
        <x:v>approved</x:v>
      </x:c>
      <x:c r="G5954" s="19" t="str">
        <x:v>Repair in Progress</x:v>
      </x:c>
      <x:c r="H5954" s="19" t="str">
        <x:v>In Field</x:v>
      </x:c>
      <x:c r="I5954" s="37" t="n">
        <x:v>46098</x:v>
      </x:c>
      <x:c r="J5954" s="37" t="n">
        <x:v>46098</x:v>
      </x:c>
      <x:c r="K5954" s="19" t="str">
        <x:v>Green RV - Forest Glen</x:v>
      </x:c>
      <x:c r="L5954" s="19" t="str">
        <x:v>Z006</x:v>
      </x:c>
      <x:c r="M5954" s="19" t="str">
        <x:v>In Field Warranty Claims</x:v>
      </x:c>
      <x:c r="N5954" s="37" t="n">
        <x:v>45784</x:v>
      </x:c>
      <x:c r="O5954" s="37" t="n">
        <x:v>46024</x:v>
      </x:c>
      <x:c r="P5954" s="34" t="n">
        <x:v>0</x:v>
      </x:c>
      <x:c r="Q5954" s="37" t="n">
        <x:v>46098.00331018519</x:v>
      </x:c>
    </x:row>
    <x:row r="5955">
      <x:c r="A5955" s="22" t="n">
        <x:v>19902</x:v>
      </x:c>
      <x:c r="B5955" s="28" t="n">
        <x:v>600</x:v>
      </x:c>
      <x:c r="C5955" s="28"/>
      <x:c r="D5955" s="31" t="str">
        <x:f>IF(OR(ISBLANK(B5955),ISBLANK(C5955),B5955=0),"",(C5955-B5955)/B5955)</x:f>
      </x:c>
      <x:c r="E5955" s="22" t="str">
        <x:f>IF(ISBLANK(C5955),"AmountIncludingTax缺失",IF(ABS(B5955-C5955)&lt;0.005,"一致","不一致"))</x:f>
        <x:v>AmountIncludingTax缺失</x:v>
      </x:c>
      <x:c r="F5955" s="19" t="str">
        <x:v>approved</x:v>
      </x:c>
      <x:c r="G5955" s="19" t="str">
        <x:v>Repair in Progress</x:v>
      </x:c>
      <x:c r="H5955" s="19" t="str">
        <x:v>In Field</x:v>
      </x:c>
      <x:c r="I5955" s="37" t="n">
        <x:v>46114</x:v>
      </x:c>
      <x:c r="J5955" s="37" t="n">
        <x:v>46114</x:v>
      </x:c>
      <x:c r="K5955" s="19" t="str">
        <x:v>Regent RV - Traralgon</x:v>
      </x:c>
      <x:c r="L5955" s="19" t="str">
        <x:v>Z006</x:v>
      </x:c>
      <x:c r="M5955" s="19" t="str">
        <x:v>In Field Warranty Claims</x:v>
      </x:c>
      <x:c r="N5955" s="37" t="n">
        <x:v>45782</x:v>
      </x:c>
      <x:c r="O5955" s="37"/>
      <x:c r="P5955" s="34" t="n">
        <x:v>0</x:v>
      </x:c>
      <x:c r="Q5955" s="37" t="n">
        <x:v>46113.886296296296</x:v>
      </x:c>
    </x:row>
    <x:row r="5956">
      <x:c r="A5956" s="22" t="n">
        <x:v>19883</x:v>
      </x:c>
      <x:c r="B5956" s="28" t="n">
        <x:v>1017.5</x:v>
      </x:c>
      <x:c r="C5956" s="28"/>
      <x:c r="D5956" s="31" t="str">
        <x:f>IF(OR(ISBLANK(B5956),ISBLANK(C5956),B5956=0),"",(C5956-B5956)/B5956)</x:f>
      </x:c>
      <x:c r="E5956" s="22" t="str">
        <x:f>IF(ISBLANK(C5956),"AmountIncludingTax缺失",IF(ABS(B5956-C5956)&lt;0.005,"一致","不一致"))</x:f>
        <x:v>AmountIncludingTax缺失</x:v>
      </x:c>
      <x:c r="F5956" s="19" t="str">
        <x:v>approved</x:v>
      </x:c>
      <x:c r="G5956" s="19" t="str">
        <x:v>Sales Order Approved</x:v>
      </x:c>
      <x:c r="H5956" s="19" t="str">
        <x:v>In Field</x:v>
      </x:c>
      <x:c r="I5956" s="37" t="n">
        <x:v>46101</x:v>
      </x:c>
      <x:c r="J5956" s="37" t="n">
        <x:v>46101</x:v>
      </x:c>
      <x:c r="K5956" s="19" t="str">
        <x:v>Regent RV - Perth</x:v>
      </x:c>
      <x:c r="L5956" s="19" t="str">
        <x:v>Z006</x:v>
      </x:c>
      <x:c r="M5956" s="19" t="str">
        <x:v>In Field Warranty Claims</x:v>
      </x:c>
      <x:c r="N5956" s="37" t="n">
        <x:v>45780</x:v>
      </x:c>
      <x:c r="O5956" s="37"/>
      <x:c r="P5956" s="34" t="n">
        <x:v>0</x:v>
      </x:c>
      <x:c r="Q5956" s="37" t="n">
        <x:v>46100.91947916667</x:v>
      </x:c>
    </x:row>
    <x:row r="5957">
      <x:c r="A5957" s="22" t="n">
        <x:v>19820</x:v>
      </x:c>
      <x:c r="B5957" s="28" t="n">
        <x:v>600</x:v>
      </x:c>
      <x:c r="C5957" s="28"/>
      <x:c r="D5957" s="31" t="str">
        <x:f>IF(OR(ISBLANK(B5957),ISBLANK(C5957),B5957=0),"",(C5957-B5957)/B5957)</x:f>
      </x:c>
      <x:c r="E5957" s="22" t="str">
        <x:f>IF(ISBLANK(C5957),"AmountIncludingTax缺失",IF(ABS(B5957-C5957)&lt;0.005,"一致","不一致"))</x:f>
        <x:v>AmountIncludingTax缺失</x:v>
      </x:c>
      <x:c r="F5957" s="19" t="str">
        <x:v>approved</x:v>
      </x:c>
      <x:c r="G5957" s="19" t="str">
        <x:v>Repair in Progress</x:v>
      </x:c>
      <x:c r="H5957" s="19" t="str">
        <x:v>In Field</x:v>
      </x:c>
      <x:c r="I5957" s="37" t="n">
        <x:v>46176</x:v>
      </x:c>
      <x:c r="J5957" s="37" t="n">
        <x:v>46176</x:v>
      </x:c>
      <x:c r="K5957" s="19" t="str">
        <x:v>The Caravan Hub - Townsville</x:v>
      </x:c>
      <x:c r="L5957" s="19" t="str">
        <x:v>Z006</x:v>
      </x:c>
      <x:c r="M5957" s="19" t="str">
        <x:v>In Field Warranty Claims</x:v>
      </x:c>
      <x:c r="N5957" s="37" t="n">
        <x:v>45778</x:v>
      </x:c>
      <x:c r="O5957" s="37" t="n">
        <x:v>46060</x:v>
      </x:c>
      <x:c r="P5957" s="34" t="n">
        <x:v>0</x:v>
      </x:c>
      <x:c r="Q5957" s="37" t="n">
        <x:v>46175.97185185185</x:v>
      </x:c>
    </x:row>
    <x:row r="5958">
      <x:c r="A5958" s="22" t="n">
        <x:v>19778</x:v>
      </x:c>
      <x:c r="B5958" s="28" t="n">
        <x:v>390</x:v>
      </x:c>
      <x:c r="C5958" s="28"/>
      <x:c r="D5958" s="31" t="str">
        <x:f>IF(OR(ISBLANK(B5958),ISBLANK(C5958),B5958=0),"",(C5958-B5958)/B5958)</x:f>
      </x:c>
      <x:c r="E5958" s="22" t="str">
        <x:f>IF(ISBLANK(C5958),"AmountIncludingTax缺失",IF(ABS(B5958-C5958)&lt;0.005,"一致","不一致"))</x:f>
        <x:v>AmountIncludingTax缺失</x:v>
      </x:c>
      <x:c r="F5958" s="19" t="str">
        <x:v>approved</x:v>
      </x:c>
      <x:c r="G5958" s="19" t="str">
        <x:v>Repair in Progress</x:v>
      </x:c>
      <x:c r="H5958" s="19" t="str">
        <x:v>In Field</x:v>
      </x:c>
      <x:c r="I5958" s="37" t="n">
        <x:v>46024</x:v>
      </x:c>
      <x:c r="J5958" s="37" t="n">
        <x:v>46024</x:v>
      </x:c>
      <x:c r="K5958" s="19" t="str">
        <x:v>Green RV - Forest Glen</x:v>
      </x:c>
      <x:c r="L5958" s="19" t="str">
        <x:v>Z006</x:v>
      </x:c>
      <x:c r="M5958" s="19" t="str">
        <x:v>In Field Warranty Claims</x:v>
      </x:c>
      <x:c r="N5958" s="37" t="n">
        <x:v>45777</x:v>
      </x:c>
      <x:c r="O5958" s="37"/>
      <x:c r="P5958" s="34" t="n">
        <x:v>0</x:v>
      </x:c>
      <x:c r="Q5958" s="37" t="n">
        <x:v>46024.406331018516</x:v>
      </x:c>
    </x:row>
    <x:row r="5959">
      <x:c r="A5959" s="22" t="n">
        <x:v>19703</x:v>
      </x:c>
      <x:c r="B5959" s="28" t="n">
        <x:v>138.18</x:v>
      </x:c>
      <x:c r="C5959" s="28"/>
      <x:c r="D5959" s="31" t="str">
        <x:f>IF(OR(ISBLANK(B5959),ISBLANK(C5959),B5959=0),"",(C5959-B5959)/B5959)</x:f>
      </x:c>
      <x:c r="E5959" s="22" t="str">
        <x:f>IF(ISBLANK(C5959),"AmountIncludingTax缺失",IF(ABS(B5959-C5959)&lt;0.005,"一致","不一致"))</x:f>
        <x:v>AmountIncludingTax缺失</x:v>
      </x:c>
      <x:c r="F5959" s="19" t="str">
        <x:v>approved</x:v>
      </x:c>
      <x:c r="G5959" s="19" t="str">
        <x:v>Repairer Invoiced Processed</x:v>
      </x:c>
      <x:c r="H5959" s="19" t="str">
        <x:v>Pre Delivery</x:v>
      </x:c>
      <x:c r="I5959" s="37" t="n">
        <x:v>46072</x:v>
      </x:c>
      <x:c r="J5959" s="37" t="n">
        <x:v>46072</x:v>
      </x:c>
      <x:c r="K5959" s="19" t="str">
        <x:v>Auswide Caravans - South Nowra</x:v>
      </x:c>
      <x:c r="L5959" s="19" t="str">
        <x:v>Z005</x:v>
      </x:c>
      <x:c r="M5959" s="19" t="str">
        <x:v>Pre Delivery Warranty Claims</x:v>
      </x:c>
      <x:c r="N5959" s="37" t="n">
        <x:v>45775</x:v>
      </x:c>
      <x:c r="O5959" s="37"/>
      <x:c r="P5959" s="34" t="n">
        <x:v>0</x:v>
      </x:c>
      <x:c r="Q5959" s="37" t="n">
        <x:v>46072.08150462963</x:v>
      </x:c>
    </x:row>
    <x:row r="5960">
      <x:c r="A5960" s="22" t="n">
        <x:v>19679</x:v>
      </x:c>
      <x:c r="B5960" s="28" t="n">
        <x:v>495</x:v>
      </x:c>
      <x:c r="C5960" s="28"/>
      <x:c r="D5960" s="31" t="str">
        <x:f>IF(OR(ISBLANK(B5960),ISBLANK(C5960),B5960=0),"",(C5960-B5960)/B5960)</x:f>
      </x:c>
      <x:c r="E5960" s="22" t="str">
        <x:f>IF(ISBLANK(C5960),"AmountIncludingTax缺失",IF(ABS(B5960-C5960)&lt;0.005,"一致","不一致"))</x:f>
        <x:v>AmountIncludingTax缺失</x:v>
      </x:c>
      <x:c r="F5960" s="19" t="str">
        <x:v>approved</x:v>
      </x:c>
      <x:c r="G5960" s="19" t="str">
        <x:v>Repairer Invoiced Processed</x:v>
      </x:c>
      <x:c r="H5960" s="19" t="str">
        <x:v>In Field</x:v>
      </x:c>
      <x:c r="I5960" s="37" t="n">
        <x:v>46069</x:v>
      </x:c>
      <x:c r="J5960" s="37" t="n">
        <x:v>46069</x:v>
      </x:c>
      <x:c r="K5960" s="19" t="str">
        <x:v>Auswide Caravans - South Nowra</x:v>
      </x:c>
      <x:c r="L5960" s="19" t="str">
        <x:v>Z006</x:v>
      </x:c>
      <x:c r="M5960" s="19" t="str">
        <x:v>In Field Warranty Claims</x:v>
      </x:c>
      <x:c r="N5960" s="37" t="n">
        <x:v>45775</x:v>
      </x:c>
      <x:c r="O5960" s="37"/>
      <x:c r="P5960" s="34" t="n">
        <x:v>0</x:v>
      </x:c>
      <x:c r="Q5960" s="37" t="n">
        <x:v>46069.18042824074</x:v>
      </x:c>
    </x:row>
    <x:row r="5961">
      <x:c r="A5961" s="22" t="n">
        <x:v>19635</x:v>
      </x:c>
      <x:c r="B5961" s="28" t="n">
        <x:v>1287.86</x:v>
      </x:c>
      <x:c r="C5961" s="28"/>
      <x:c r="D5961" s="31" t="str">
        <x:f>IF(OR(ISBLANK(B5961),ISBLANK(C5961),B5961=0),"",(C5961-B5961)/B5961)</x:f>
      </x:c>
      <x:c r="E5961" s="22" t="str">
        <x:f>IF(ISBLANK(C5961),"AmountIncludingTax缺失",IF(ABS(B5961-C5961)&lt;0.005,"一致","不一致"))</x:f>
        <x:v>AmountIncludingTax缺失</x:v>
      </x:c>
      <x:c r="F5961" s="19" t="str">
        <x:v>approved</x:v>
      </x:c>
      <x:c r="G5961" s="19" t="str">
        <x:v>Repairer Invoiced Processed</x:v>
      </x:c>
      <x:c r="H5961" s="19" t="str">
        <x:v>In Field</x:v>
      </x:c>
      <x:c r="I5961" s="37" t="n">
        <x:v>46129</x:v>
      </x:c>
      <x:c r="J5961" s="37" t="n">
        <x:v>46129</x:v>
      </x:c>
      <x:c r="K5961" s="19" t="str">
        <x:v>Regent RV Pty Ltd</x:v>
      </x:c>
      <x:c r="L5961" s="19" t="str">
        <x:v>Z006</x:v>
      </x:c>
      <x:c r="M5961" s="19" t="str">
        <x:v>In Field Warranty Claims</x:v>
      </x:c>
      <x:c r="N5961" s="37" t="n">
        <x:v>45774</x:v>
      </x:c>
      <x:c r="O5961" s="37"/>
      <x:c r="P5961" s="34" t="n">
        <x:v>1416.65</x:v>
      </x:c>
      <x:c r="Q5961" s="37" t="n">
        <x:v>46129.21806712963</x:v>
      </x:c>
    </x:row>
    <x:row r="5962">
      <x:c r="A5962" s="22" t="n">
        <x:v>19629</x:v>
      </x:c>
      <x:c r="B5962" s="28" t="n">
        <x:v>828</x:v>
      </x:c>
      <x:c r="C5962" s="28"/>
      <x:c r="D5962" s="31" t="str">
        <x:f>IF(OR(ISBLANK(B5962),ISBLANK(C5962),B5962=0),"",(C5962-B5962)/B5962)</x:f>
      </x:c>
      <x:c r="E5962" s="22" t="str">
        <x:f>IF(ISBLANK(C5962),"AmountIncludingTax缺失",IF(ABS(B5962-C5962)&lt;0.005,"一致","不一致"))</x:f>
        <x:v>AmountIncludingTax缺失</x:v>
      </x:c>
      <x:c r="F5962" s="19" t="str">
        <x:v>approved</x:v>
      </x:c>
      <x:c r="G5962" s="19" t="str">
        <x:v>Repairer Invoiced Processed</x:v>
      </x:c>
      <x:c r="H5962" s="19" t="str">
        <x:v>In Field</x:v>
      </x:c>
      <x:c r="I5962" s="37" t="n">
        <x:v>46079</x:v>
      </x:c>
      <x:c r="J5962" s="37" t="n">
        <x:v>46079</x:v>
      </x:c>
      <x:c r="K5962" s="19" t="str">
        <x:v>Green RV - Forest Glen</x:v>
      </x:c>
      <x:c r="L5962" s="19" t="str">
        <x:v>Z006</x:v>
      </x:c>
      <x:c r="M5962" s="19" t="str">
        <x:v>In Field Warranty Claims</x:v>
      </x:c>
      <x:c r="N5962" s="37" t="n">
        <x:v>45774</x:v>
      </x:c>
      <x:c r="O5962" s="37"/>
      <x:c r="P5962" s="34" t="n">
        <x:v>0</x:v>
      </x:c>
      <x:c r="Q5962" s="37" t="n">
        <x:v>46079.104837962965</x:v>
      </x:c>
    </x:row>
    <x:row r="5963">
      <x:c r="A5963" s="22" t="n">
        <x:v>19627</x:v>
      </x:c>
      <x:c r="B5963" s="28" t="n">
        <x:v>1620</x:v>
      </x:c>
      <x:c r="C5963" s="28"/>
      <x:c r="D5963" s="31" t="str">
        <x:f>IF(OR(ISBLANK(B5963),ISBLANK(C5963),B5963=0),"",(C5963-B5963)/B5963)</x:f>
      </x:c>
      <x:c r="E5963" s="22" t="str">
        <x:f>IF(ISBLANK(C5963),"AmountIncludingTax缺失",IF(ABS(B5963-C5963)&lt;0.005,"一致","不一致"))</x:f>
        <x:v>AmountIncludingTax缺失</x:v>
      </x:c>
      <x:c r="F5963" s="19" t="str">
        <x:v>approved</x:v>
      </x:c>
      <x:c r="G5963" s="19" t="str">
        <x:v>Repair in Progress</x:v>
      </x:c>
      <x:c r="H5963" s="19" t="str">
        <x:v>In Field</x:v>
      </x:c>
      <x:c r="I5963" s="37" t="n">
        <x:v>46154</x:v>
      </x:c>
      <x:c r="J5963" s="37" t="n">
        <x:v>46154</x:v>
      </x:c>
      <x:c r="K5963" s="19" t="str">
        <x:v>Regent RV - Perth</x:v>
      </x:c>
      <x:c r="L5963" s="19" t="str">
        <x:v>Z006</x:v>
      </x:c>
      <x:c r="M5963" s="19" t="str">
        <x:v>In Field Warranty Claims</x:v>
      </x:c>
      <x:c r="N5963" s="37" t="n">
        <x:v>45774</x:v>
      </x:c>
      <x:c r="O5963" s="37"/>
      <x:c r="P5963" s="34" t="n">
        <x:v>0</x:v>
      </x:c>
      <x:c r="Q5963" s="37" t="n">
        <x:v>46154.005891203706</x:v>
      </x:c>
    </x:row>
    <x:row r="5964">
      <x:c r="A5964" s="22" t="n">
        <x:v>19506</x:v>
      </x:c>
      <x:c r="B5964" s="28" t="n">
        <x:v>237.12</x:v>
      </x:c>
      <x:c r="C5964" s="28"/>
      <x:c r="D5964" s="31" t="str">
        <x:f>IF(OR(ISBLANK(B5964),ISBLANK(C5964),B5964=0),"",(C5964-B5964)/B5964)</x:f>
      </x:c>
      <x:c r="E5964" s="22" t="str">
        <x:f>IF(ISBLANK(C5964),"AmountIncludingTax缺失",IF(ABS(B5964-C5964)&lt;0.005,"一致","不一致"))</x:f>
        <x:v>AmountIncludingTax缺失</x:v>
      </x:c>
      <x:c r="F5964" s="19" t="str">
        <x:v>approved</x:v>
      </x:c>
      <x:c r="G5964" s="19" t="str">
        <x:v>Partially Picked</x:v>
      </x:c>
      <x:c r="H5964" s="19" t="str">
        <x:v>Pre Delivery</x:v>
      </x:c>
      <x:c r="I5964" s="37" t="n">
        <x:v>46072</x:v>
      </x:c>
      <x:c r="J5964" s="37" t="n">
        <x:v>46072</x:v>
      </x:c>
      <x:c r="K5964" s="19" t="str">
        <x:v>Auswide Caravans - South Nowra</x:v>
      </x:c>
      <x:c r="L5964" s="19" t="str">
        <x:v>Z005</x:v>
      </x:c>
      <x:c r="M5964" s="19" t="str">
        <x:v>Pre Delivery Warranty Claims</x:v>
      </x:c>
      <x:c r="N5964" s="37" t="n">
        <x:v>45768</x:v>
      </x:c>
      <x:c r="O5964" s="37"/>
      <x:c r="P5964" s="34" t="n">
        <x:v>0</x:v>
      </x:c>
      <x:c r="Q5964" s="37" t="n">
        <x:v>46072.0840625</x:v>
      </x:c>
    </x:row>
    <x:row r="5965">
      <x:c r="A5965" s="22" t="n">
        <x:v>19492</x:v>
      </x:c>
      <x:c r="B5965" s="28" t="n">
        <x:v>135</x:v>
      </x:c>
      <x:c r="C5965" s="28"/>
      <x:c r="D5965" s="31" t="str">
        <x:f>IF(OR(ISBLANK(B5965),ISBLANK(C5965),B5965=0),"",(C5965-B5965)/B5965)</x:f>
      </x:c>
      <x:c r="E5965" s="22" t="str">
        <x:f>IF(ISBLANK(C5965),"AmountIncludingTax缺失",IF(ABS(B5965-C5965)&lt;0.005,"一致","不一致"))</x:f>
        <x:v>AmountIncludingTax缺失</x:v>
      </x:c>
      <x:c r="F5965" s="19" t="str">
        <x:v>approved</x:v>
      </x:c>
      <x:c r="G5965" s="19" t="str">
        <x:v>Repair in Progress</x:v>
      </x:c>
      <x:c r="H5965" s="19" t="str">
        <x:v>In Field</x:v>
      </x:c>
      <x:c r="I5965" s="37" t="n">
        <x:v>46066</x:v>
      </x:c>
      <x:c r="J5965" s="37" t="n">
        <x:v>46066</x:v>
      </x:c>
      <x:c r="K5965" s="19" t="str">
        <x:v>Newcastle RV Super Centre - Beresfield</x:v>
      </x:c>
      <x:c r="L5965" s="19" t="str">
        <x:v>Z006</x:v>
      </x:c>
      <x:c r="M5965" s="19" t="str">
        <x:v>In Field Warranty Claims</x:v>
      </x:c>
      <x:c r="N5965" s="37" t="n">
        <x:v>45767</x:v>
      </x:c>
      <x:c r="O5965" s="37"/>
      <x:c r="P5965" s="34" t="n">
        <x:v>0</x:v>
      </x:c>
      <x:c r="Q5965" s="37" t="n">
        <x:v>46066.08524305555</x:v>
      </x:c>
    </x:row>
    <x:row r="5966">
      <x:c r="A5966" s="22" t="n">
        <x:v>19336</x:v>
      </x:c>
      <x:c r="B5966" s="28" t="n">
        <x:v>195</x:v>
      </x:c>
      <x:c r="C5966" s="28"/>
      <x:c r="D5966" s="31" t="str">
        <x:f>IF(OR(ISBLANK(B5966),ISBLANK(C5966),B5966=0),"",(C5966-B5966)/B5966)</x:f>
      </x:c>
      <x:c r="E5966" s="22" t="str">
        <x:f>IF(ISBLANK(C5966),"AmountIncludingTax缺失",IF(ABS(B5966-C5966)&lt;0.005,"一致","不一致"))</x:f>
        <x:v>AmountIncludingTax缺失</x:v>
      </x:c>
      <x:c r="F5966" s="19" t="str">
        <x:v>approved</x:v>
      </x:c>
      <x:c r="G5966" s="19" t="str">
        <x:v>Repairer Invoiced Received</x:v>
      </x:c>
      <x:c r="H5966" s="19" t="str">
        <x:v>Pre Delivery</x:v>
      </x:c>
      <x:c r="I5966" s="37" t="n">
        <x:v>46079</x:v>
      </x:c>
      <x:c r="J5966" s="37" t="n">
        <x:v>46079</x:v>
      </x:c>
      <x:c r="K5966" s="19" t="str">
        <x:v>Snowy River Launceston</x:v>
      </x:c>
      <x:c r="L5966" s="19" t="str">
        <x:v>Z005</x:v>
      </x:c>
      <x:c r="M5966" s="19" t="str">
        <x:v>Pre Delivery Warranty Claims</x:v>
      </x:c>
      <x:c r="N5966" s="37" t="n">
        <x:v>45761</x:v>
      </x:c>
      <x:c r="O5966" s="37"/>
      <x:c r="P5966" s="34" t="n">
        <x:v>0</x:v>
      </x:c>
      <x:c r="Q5966" s="37" t="n">
        <x:v>46079.14435185185</x:v>
      </x:c>
    </x:row>
    <x:row r="5967">
      <x:c r="A5967" s="22" t="n">
        <x:v>19334</x:v>
      </x:c>
      <x:c r="B5967" s="28" t="n">
        <x:v>173.06</x:v>
      </x:c>
      <x:c r="C5967" s="28" t="n">
        <x:v>190.37</x:v>
      </x:c>
      <x:c r="D5967" s="31" t="n">
        <x:f>IF(OR(ISBLANK(B5967),ISBLANK(C5967),B5967=0),"",(C5967-B5967)/B5967)</x:f>
        <x:v>0.10002311337108519</x:v>
      </x:c>
      <x:c r="E5967" s="22" t="str">
        <x:f>IF(ISBLANK(C5967),"AmountIncludingTax缺失",IF(ABS(B5967-C5967)&lt;0.005,"一致","不一致"))</x:f>
        <x:v>不一致</x:v>
      </x:c>
      <x:c r="F5967" s="19" t="str">
        <x:v>approved</x:v>
      </x:c>
      <x:c r="G5967" s="19" t="str">
        <x:v>Repairer Invoiced Processed</x:v>
      </x:c>
      <x:c r="H5967" s="19" t="str">
        <x:v>Pre Delivery</x:v>
      </x:c>
      <x:c r="I5967" s="37" t="n">
        <x:v>46055</x:v>
      </x:c>
      <x:c r="J5967" s="37" t="n">
        <x:v>46055</x:v>
      </x:c>
      <x:c r="K5967" s="19" t="str">
        <x:v>QCCC - Gympie</x:v>
      </x:c>
      <x:c r="L5967" s="19" t="str">
        <x:v>Z005</x:v>
      </x:c>
      <x:c r="M5967" s="19" t="str">
        <x:v>Pre Delivery Warranty Claims</x:v>
      </x:c>
      <x:c r="N5967" s="37" t="n">
        <x:v>45761</x:v>
      </x:c>
      <x:c r="O5967" s="37"/>
      <x:c r="P5967" s="34" t="n">
        <x:v>190.37</x:v>
      </x:c>
      <x:c r="Q5967" s="37" t="n">
        <x:v>46055.19295138889</x:v>
      </x:c>
    </x:row>
    <x:row r="5968">
      <x:c r="A5968" s="22" t="n">
        <x:v>19294</x:v>
      </x:c>
      <x:c r="B5968" s="28" t="n">
        <x:v>1064.72</x:v>
      </x:c>
      <x:c r="C5968" s="28"/>
      <x:c r="D5968" s="31" t="str">
        <x:f>IF(OR(ISBLANK(B5968),ISBLANK(C5968),B5968=0),"",(C5968-B5968)/B5968)</x:f>
      </x:c>
      <x:c r="E5968" s="22" t="str">
        <x:f>IF(ISBLANK(C5968),"AmountIncludingTax缺失",IF(ABS(B5968-C5968)&lt;0.005,"一致","不一致"))</x:f>
        <x:v>AmountIncludingTax缺失</x:v>
      </x:c>
      <x:c r="F5968" s="19" t="str">
        <x:v>approved</x:v>
      </x:c>
      <x:c r="G5968" s="19" t="str">
        <x:v>Repair in Progress</x:v>
      </x:c>
      <x:c r="H5968" s="19" t="str">
        <x:v>In Field</x:v>
      </x:c>
      <x:c r="I5968" s="37" t="n">
        <x:v>46042</x:v>
      </x:c>
      <x:c r="J5968" s="37" t="n">
        <x:v>46042</x:v>
      </x:c>
      <x:c r="K5968" s="19" t="str">
        <x:v>Green RV - Forest Glen</x:v>
      </x:c>
      <x:c r="L5968" s="19" t="str">
        <x:v>Z006</x:v>
      </x:c>
      <x:c r="M5968" s="19" t="str">
        <x:v>In Field Warranty Claims</x:v>
      </x:c>
      <x:c r="N5968" s="37" t="n">
        <x:v>45759</x:v>
      </x:c>
      <x:c r="O5968" s="37"/>
      <x:c r="P5968" s="34" t="n">
        <x:v>0</x:v>
      </x:c>
      <x:c r="Q5968" s="37" t="n">
        <x:v>46042.233136574076</x:v>
      </x:c>
    </x:row>
    <x:row r="5969">
      <x:c r="A5969" s="22" t="n">
        <x:v>19279</x:v>
      </x:c>
      <x:c r="B5969" s="28" t="n">
        <x:v>558.36</x:v>
      </x:c>
      <x:c r="C5969" s="28"/>
      <x:c r="D5969" s="31" t="str">
        <x:f>IF(OR(ISBLANK(B5969),ISBLANK(C5969),B5969=0),"",(C5969-B5969)/B5969)</x:f>
      </x:c>
      <x:c r="E5969" s="22" t="str">
        <x:f>IF(ISBLANK(C5969),"AmountIncludingTax缺失",IF(ABS(B5969-C5969)&lt;0.005,"一致","不一致"))</x:f>
        <x:v>AmountIncludingTax缺失</x:v>
      </x:c>
      <x:c r="F5969" s="19" t="str">
        <x:v>approved</x:v>
      </x:c>
      <x:c r="G5969" s="19" t="str">
        <x:v>Repairer Invoiced Processed</x:v>
      </x:c>
      <x:c r="H5969" s="19" t="str">
        <x:v>In Field</x:v>
      </x:c>
      <x:c r="I5969" s="37" t="n">
        <x:v>46143</x:v>
      </x:c>
      <x:c r="J5969" s="37" t="n">
        <x:v>46143</x:v>
      </x:c>
      <x:c r="K5969" s="19" t="str">
        <x:v>Regent RV Pty Ltd</x:v>
      </x:c>
      <x:c r="L5969" s="19" t="str">
        <x:v>Z006</x:v>
      </x:c>
      <x:c r="M5969" s="19" t="str">
        <x:v>In Field Warranty Claims</x:v>
      </x:c>
      <x:c r="N5969" s="37" t="n">
        <x:v>45758</x:v>
      </x:c>
      <x:c r="O5969" s="37"/>
      <x:c r="P5969" s="34" t="n">
        <x:v>0</x:v>
      </x:c>
      <x:c r="Q5969" s="37" t="n">
        <x:v>46142.988530092596</x:v>
      </x:c>
    </x:row>
    <x:row r="5970">
      <x:c r="A5970" s="22" t="n">
        <x:v>19274</x:v>
      </x:c>
      <x:c r="B5970" s="28" t="n">
        <x:v>2356.36</x:v>
      </x:c>
      <x:c r="C5970" s="28"/>
      <x:c r="D5970" s="31" t="str">
        <x:f>IF(OR(ISBLANK(B5970),ISBLANK(C5970),B5970=0),"",(C5970-B5970)/B5970)</x:f>
      </x:c>
      <x:c r="E5970" s="22" t="str">
        <x:f>IF(ISBLANK(C5970),"AmountIncludingTax缺失",IF(ABS(B5970-C5970)&lt;0.005,"一致","不一致"))</x:f>
        <x:v>AmountIncludingTax缺失</x:v>
      </x:c>
      <x:c r="F5970" s="19" t="str">
        <x:v>approved</x:v>
      </x:c>
      <x:c r="G5970" s="19" t="str">
        <x:v>Sales Order Approved</x:v>
      </x:c>
      <x:c r="H5970" s="19" t="str">
        <x:v>In Field</x:v>
      </x:c>
      <x:c r="I5970" s="37" t="n">
        <x:v>46189</x:v>
      </x:c>
      <x:c r="J5970" s="37" t="n">
        <x:v>46189</x:v>
      </x:c>
      <x:c r="K5970" s="19" t="str">
        <x:v>Auswide Caravans - South Nowra</x:v>
      </x:c>
      <x:c r="L5970" s="19" t="str">
        <x:v>Z006</x:v>
      </x:c>
      <x:c r="M5970" s="19" t="str">
        <x:v>In Field Warranty Claims</x:v>
      </x:c>
      <x:c r="N5970" s="37" t="n">
        <x:v>45758</x:v>
      </x:c>
      <x:c r="O5970" s="37"/>
      <x:c r="P5970" s="34" t="n">
        <x:v>0</x:v>
      </x:c>
      <x:c r="Q5970" s="37" t="n">
        <x:v>46188.91849537037</x:v>
      </x:c>
    </x:row>
    <x:row r="5971">
      <x:c r="A5971" s="22" t="n">
        <x:v>19272</x:v>
      </x:c>
      <x:c r="B5971" s="28" t="n">
        <x:v>2582.39</x:v>
      </x:c>
      <x:c r="C5971" s="28"/>
      <x:c r="D5971" s="31" t="str">
        <x:f>IF(OR(ISBLANK(B5971),ISBLANK(C5971),B5971=0),"",(C5971-B5971)/B5971)</x:f>
      </x:c>
      <x:c r="E5971" s="22" t="str">
        <x:f>IF(ISBLANK(C5971),"AmountIncludingTax缺失",IF(ABS(B5971-C5971)&lt;0.005,"一致","不一致"))</x:f>
        <x:v>AmountIncludingTax缺失</x:v>
      </x:c>
      <x:c r="F5971" s="19" t="str">
        <x:v>approved</x:v>
      </x:c>
      <x:c r="G5971" s="19" t="str">
        <x:v>Repairer Invoiced Processed</x:v>
      </x:c>
      <x:c r="H5971" s="19" t="str">
        <x:v>In Field</x:v>
      </x:c>
      <x:c r="I5971" s="37" t="n">
        <x:v>46133</x:v>
      </x:c>
      <x:c r="J5971" s="37" t="n">
        <x:v>46133</x:v>
      </x:c>
      <x:c r="K5971" s="19" t="str">
        <x:v>CMG Campers - Christchurch</x:v>
      </x:c>
      <x:c r="L5971" s="19" t="str">
        <x:v>Z006</x:v>
      </x:c>
      <x:c r="M5971" s="19" t="str">
        <x:v>In Field Warranty Claims</x:v>
      </x:c>
      <x:c r="N5971" s="37" t="n">
        <x:v>45758</x:v>
      </x:c>
      <x:c r="O5971" s="37"/>
      <x:c r="P5971" s="34" t="n">
        <x:v>2338.1</x:v>
      </x:c>
      <x:c r="Q5971" s="37" t="n">
        <x:v>46133.24085648148</x:v>
      </x:c>
    </x:row>
    <x:row r="5972">
      <x:c r="A5972" s="22" t="n">
        <x:v>19241</x:v>
      </x:c>
      <x:c r="B5972" s="28" t="n">
        <x:v>236.25</x:v>
      </x:c>
      <x:c r="C5972" s="28"/>
      <x:c r="D5972" s="31" t="str">
        <x:f>IF(OR(ISBLANK(B5972),ISBLANK(C5972),B5972=0),"",(C5972-B5972)/B5972)</x:f>
      </x:c>
      <x:c r="E5972" s="22" t="str">
        <x:f>IF(ISBLANK(C5972),"AmountIncludingTax缺失",IF(ABS(B5972-C5972)&lt;0.005,"一致","不一致"))</x:f>
        <x:v>AmountIncludingTax缺失</x:v>
      </x:c>
      <x:c r="F5972" s="19" t="str">
        <x:v>approved</x:v>
      </x:c>
      <x:c r="G5972" s="19" t="str">
        <x:v>Repairer Invoiced Processed</x:v>
      </x:c>
      <x:c r="H5972" s="19" t="str">
        <x:v>Pre Delivery</x:v>
      </x:c>
      <x:c r="I5972" s="37" t="n">
        <x:v>46073</x:v>
      </x:c>
      <x:c r="J5972" s="37" t="n">
        <x:v>46073</x:v>
      </x:c>
      <x:c r="K5972" s="19" t="str">
        <x:v>QCCC - Gympie</x:v>
      </x:c>
      <x:c r="L5972" s="19" t="str">
        <x:v>Z005</x:v>
      </x:c>
      <x:c r="M5972" s="19" t="str">
        <x:v>Pre Delivery Warranty Claims</x:v>
      </x:c>
      <x:c r="N5972" s="37" t="n">
        <x:v>45757</x:v>
      </x:c>
      <x:c r="O5972" s="37"/>
      <x:c r="P5972" s="34" t="n">
        <x:v>0</x:v>
      </x:c>
      <x:c r="Q5972" s="37" t="n">
        <x:v>46072.98049768519</x:v>
      </x:c>
    </x:row>
    <x:row r="5973">
      <x:c r="A5973" s="22" t="n">
        <x:v>19188</x:v>
      </x:c>
      <x:c r="B5973" s="28" t="n">
        <x:v>303.75</x:v>
      </x:c>
      <x:c r="C5973" s="28"/>
      <x:c r="D5973" s="31" t="str">
        <x:f>IF(OR(ISBLANK(B5973),ISBLANK(C5973),B5973=0),"",(C5973-B5973)/B5973)</x:f>
      </x:c>
      <x:c r="E5973" s="22" t="str">
        <x:f>IF(ISBLANK(C5973),"AmountIncludingTax缺失",IF(ABS(B5973-C5973)&lt;0.005,"一致","不一致"))</x:f>
        <x:v>AmountIncludingTax缺失</x:v>
      </x:c>
      <x:c r="F5973" s="19" t="str">
        <x:v>approved</x:v>
      </x:c>
      <x:c r="G5973" s="19" t="str">
        <x:v>Repairer Invoiced Received</x:v>
      </x:c>
      <x:c r="H5973" s="19" t="str">
        <x:v>Pre Delivery</x:v>
      </x:c>
      <x:c r="I5973" s="37" t="n">
        <x:v>46055</x:v>
      </x:c>
      <x:c r="J5973" s="37" t="n">
        <x:v>46055</x:v>
      </x:c>
      <x:c r="K5973" s="19" t="str">
        <x:v>QCCC - Gympie</x:v>
      </x:c>
      <x:c r="L5973" s="19" t="str">
        <x:v>Z005</x:v>
      </x:c>
      <x:c r="M5973" s="19" t="str">
        <x:v>Pre Delivery Warranty Claims</x:v>
      </x:c>
      <x:c r="N5973" s="37" t="n">
        <x:v>45756</x:v>
      </x:c>
      <x:c r="O5973" s="37"/>
      <x:c r="P5973" s="34" t="n">
        <x:v>0</x:v>
      </x:c>
      <x:c r="Q5973" s="37" t="n">
        <x:v>46055.19770833333</x:v>
      </x:c>
    </x:row>
    <x:row r="5974">
      <x:c r="A5974" s="22" t="n">
        <x:v>19182</x:v>
      </x:c>
      <x:c r="B5974" s="28" t="n">
        <x:v>168.75</x:v>
      </x:c>
      <x:c r="C5974" s="28"/>
      <x:c r="D5974" s="31" t="str">
        <x:f>IF(OR(ISBLANK(B5974),ISBLANK(C5974),B5974=0),"",(C5974-B5974)/B5974)</x:f>
      </x:c>
      <x:c r="E5974" s="22" t="str">
        <x:f>IF(ISBLANK(C5974),"AmountIncludingTax缺失",IF(ABS(B5974-C5974)&lt;0.005,"一致","不一致"))</x:f>
        <x:v>AmountIncludingTax缺失</x:v>
      </x:c>
      <x:c r="F5974" s="19" t="str">
        <x:v>approved</x:v>
      </x:c>
      <x:c r="G5974" s="19" t="str">
        <x:v>Repairer Invoiced Processed</x:v>
      </x:c>
      <x:c r="H5974" s="19" t="str">
        <x:v>Pre Delivery</x:v>
      </x:c>
      <x:c r="I5974" s="37" t="n">
        <x:v>46073</x:v>
      </x:c>
      <x:c r="J5974" s="37" t="n">
        <x:v>46073</x:v>
      </x:c>
      <x:c r="K5974" s="19" t="str">
        <x:v>QCCC - Gympie</x:v>
      </x:c>
      <x:c r="L5974" s="19" t="str">
        <x:v>Z005</x:v>
      </x:c>
      <x:c r="M5974" s="19" t="str">
        <x:v>Pre Delivery Warranty Claims</x:v>
      </x:c>
      <x:c r="N5974" s="37" t="n">
        <x:v>45755</x:v>
      </x:c>
      <x:c r="O5974" s="37"/>
      <x:c r="P5974" s="34" t="n">
        <x:v>0</x:v>
      </x:c>
      <x:c r="Q5974" s="37" t="n">
        <x:v>46072.98266203704</x:v>
      </x:c>
    </x:row>
    <x:row r="5975">
      <x:c r="A5975" s="22" t="n">
        <x:v>19180</x:v>
      </x:c>
      <x:c r="B5975" s="28" t="n">
        <x:v>337.5</x:v>
      </x:c>
      <x:c r="C5975" s="28"/>
      <x:c r="D5975" s="31" t="str">
        <x:f>IF(OR(ISBLANK(B5975),ISBLANK(C5975),B5975=0),"",(C5975-B5975)/B5975)</x:f>
      </x:c>
      <x:c r="E5975" s="22" t="str">
        <x:f>IF(ISBLANK(C5975),"AmountIncludingTax缺失",IF(ABS(B5975-C5975)&lt;0.005,"一致","不一致"))</x:f>
        <x:v>AmountIncludingTax缺失</x:v>
      </x:c>
      <x:c r="F5975" s="19" t="str">
        <x:v>approved</x:v>
      </x:c>
      <x:c r="G5975" s="19" t="str">
        <x:v>Repairer Invoiced Processed</x:v>
      </x:c>
      <x:c r="H5975" s="19" t="str">
        <x:v>Pre Delivery</x:v>
      </x:c>
      <x:c r="I5975" s="37" t="n">
        <x:v>46073</x:v>
      </x:c>
      <x:c r="J5975" s="37" t="n">
        <x:v>46073</x:v>
      </x:c>
      <x:c r="K5975" s="19" t="str">
        <x:v>QCCC - Gympie</x:v>
      </x:c>
      <x:c r="L5975" s="19" t="str">
        <x:v>Z005</x:v>
      </x:c>
      <x:c r="M5975" s="19" t="str">
        <x:v>Pre Delivery Warranty Claims</x:v>
      </x:c>
      <x:c r="N5975" s="37" t="n">
        <x:v>45756</x:v>
      </x:c>
      <x:c r="O5975" s="37"/>
      <x:c r="P5975" s="34" t="n">
        <x:v>0</x:v>
      </x:c>
      <x:c r="Q5975" s="37" t="n">
        <x:v>46072.95664351852</x:v>
      </x:c>
    </x:row>
    <x:row r="5976">
      <x:c r="A5976" s="22" t="n">
        <x:v>19157</x:v>
      </x:c>
      <x:c r="B5976" s="28" t="n">
        <x:v>270</x:v>
      </x:c>
      <x:c r="C5976" s="28"/>
      <x:c r="D5976" s="31" t="str">
        <x:f>IF(OR(ISBLANK(B5976),ISBLANK(C5976),B5976=0),"",(C5976-B5976)/B5976)</x:f>
      </x:c>
      <x:c r="E5976" s="22" t="str">
        <x:f>IF(ISBLANK(C5976),"AmountIncludingTax缺失",IF(ABS(B5976-C5976)&lt;0.005,"一致","不一致"))</x:f>
        <x:v>AmountIncludingTax缺失</x:v>
      </x:c>
      <x:c r="F5976" s="19" t="str">
        <x:v>approved</x:v>
      </x:c>
      <x:c r="G5976" s="19" t="str">
        <x:v>Repairer Invoiced Received</x:v>
      </x:c>
      <x:c r="H5976" s="19" t="str">
        <x:v>Pre Delivery</x:v>
      </x:c>
      <x:c r="I5976" s="37" t="n">
        <x:v>46055</x:v>
      </x:c>
      <x:c r="J5976" s="37" t="n">
        <x:v>46055</x:v>
      </x:c>
      <x:c r="K5976" s="19" t="str">
        <x:v>QCCC - Gympie</x:v>
      </x:c>
      <x:c r="L5976" s="19" t="str">
        <x:v>Z005</x:v>
      </x:c>
      <x:c r="M5976" s="19" t="str">
        <x:v>Pre Delivery Warranty Claims</x:v>
      </x:c>
      <x:c r="N5976" s="37" t="n">
        <x:v>45755</x:v>
      </x:c>
      <x:c r="O5976" s="37"/>
      <x:c r="P5976" s="34" t="n">
        <x:v>0</x:v>
      </x:c>
      <x:c r="Q5976" s="37" t="n">
        <x:v>46055.233611111114</x:v>
      </x:c>
    </x:row>
    <x:row r="5977">
      <x:c r="A5977" s="22" t="n">
        <x:v>19150</x:v>
      </x:c>
      <x:c r="B5977" s="28" t="n">
        <x:v>5564.73</x:v>
      </x:c>
      <x:c r="C5977" s="28"/>
      <x:c r="D5977" s="31" t="str">
        <x:f>IF(OR(ISBLANK(B5977),ISBLANK(C5977),B5977=0),"",(C5977-B5977)/B5977)</x:f>
      </x:c>
      <x:c r="E5977" s="22" t="str">
        <x:f>IF(ISBLANK(C5977),"AmountIncludingTax缺失",IF(ABS(B5977-C5977)&lt;0.005,"一致","不一致"))</x:f>
        <x:v>AmountIncludingTax缺失</x:v>
      </x:c>
      <x:c r="F5977" s="19" t="str">
        <x:v>approved</x:v>
      </x:c>
      <x:c r="G5977" s="19" t="str">
        <x:v>Repairer Invoiced Processed</x:v>
      </x:c>
      <x:c r="H5977" s="19" t="str">
        <x:v>In Field</x:v>
      </x:c>
      <x:c r="I5977" s="37" t="n">
        <x:v>46045</x:v>
      </x:c>
      <x:c r="J5977" s="37" t="n">
        <x:v>46044</x:v>
      </x:c>
      <x:c r="K5977" s="19" t="str">
        <x:v>Green RV - Forest Glen</x:v>
      </x:c>
      <x:c r="L5977" s="19" t="str">
        <x:v>Z006</x:v>
      </x:c>
      <x:c r="M5977" s="19" t="str">
        <x:v>In Field Warranty Claims</x:v>
      </x:c>
      <x:c r="N5977" s="37" t="n">
        <x:v>45755</x:v>
      </x:c>
      <x:c r="O5977" s="37"/>
      <x:c r="P5977" s="34" t="n">
        <x:v>0</x:v>
      </x:c>
      <x:c r="Q5977" s="37" t="n">
        <x:v>46044.99054398148</x:v>
      </x:c>
    </x:row>
    <x:row r="5978">
      <x:c r="A5978" s="22" t="n">
        <x:v>19145</x:v>
      </x:c>
      <x:c r="B5978" s="28" t="n">
        <x:v>291.6</x:v>
      </x:c>
      <x:c r="C5978" s="28"/>
      <x:c r="D5978" s="31" t="str">
        <x:f>IF(OR(ISBLANK(B5978),ISBLANK(C5978),B5978=0),"",(C5978-B5978)/B5978)</x:f>
      </x:c>
      <x:c r="E5978" s="22" t="str">
        <x:f>IF(ISBLANK(C5978),"AmountIncludingTax缺失",IF(ABS(B5978-C5978)&lt;0.005,"一致","不一致"))</x:f>
        <x:v>AmountIncludingTax缺失</x:v>
      </x:c>
      <x:c r="F5978" s="19" t="str">
        <x:v>approved</x:v>
      </x:c>
      <x:c r="G5978" s="19" t="str">
        <x:v>Repairer Invoiced Received</x:v>
      </x:c>
      <x:c r="H5978" s="19" t="str">
        <x:v>Pre Delivery</x:v>
      </x:c>
      <x:c r="I5978" s="37" t="n">
        <x:v>46055</x:v>
      </x:c>
      <x:c r="J5978" s="37" t="n">
        <x:v>46055</x:v>
      </x:c>
      <x:c r="K5978" s="19" t="str">
        <x:v>QCCC - Gympie</x:v>
      </x:c>
      <x:c r="L5978" s="19" t="str">
        <x:v>Z005</x:v>
      </x:c>
      <x:c r="M5978" s="19" t="str">
        <x:v>Pre Delivery Warranty Claims</x:v>
      </x:c>
      <x:c r="N5978" s="37" t="n">
        <x:v>45755</x:v>
      </x:c>
      <x:c r="O5978" s="37"/>
      <x:c r="P5978" s="34" t="n">
        <x:v>0</x:v>
      </x:c>
      <x:c r="Q5978" s="37" t="n">
        <x:v>46055.20347222222</x:v>
      </x:c>
    </x:row>
    <x:row r="5979">
      <x:c r="A5979" s="22" t="n">
        <x:v>19025</x:v>
      </x:c>
      <x:c r="B5979" s="28" t="n">
        <x:v>1755.93</x:v>
      </x:c>
      <x:c r="C5979" s="28"/>
      <x:c r="D5979" s="31" t="str">
        <x:f>IF(OR(ISBLANK(B5979),ISBLANK(C5979),B5979=0),"",(C5979-B5979)/B5979)</x:f>
      </x:c>
      <x:c r="E5979" s="22" t="str">
        <x:f>IF(ISBLANK(C5979),"AmountIncludingTax缺失",IF(ABS(B5979-C5979)&lt;0.005,"一致","不一致"))</x:f>
        <x:v>AmountIncludingTax缺失</x:v>
      </x:c>
      <x:c r="F5979" s="19" t="str">
        <x:v>approved</x:v>
      </x:c>
      <x:c r="G5979" s="19" t="str">
        <x:v>Repairer Invoiced Processed</x:v>
      </x:c>
      <x:c r="H5979" s="19" t="str">
        <x:v>In Field</x:v>
      </x:c>
      <x:c r="I5979" s="37" t="n">
        <x:v>46148</x:v>
      </x:c>
      <x:c r="J5979" s="37" t="n">
        <x:v>46042</x:v>
      </x:c>
      <x:c r="K5979" s="19" t="str">
        <x:v>Auswide Caravans - South Nowra</x:v>
      </x:c>
      <x:c r="L5979" s="19" t="str">
        <x:v>Z006</x:v>
      </x:c>
      <x:c r="M5979" s="19" t="str">
        <x:v>In Field Warranty Claims</x:v>
      </x:c>
      <x:c r="N5979" s="37" t="n">
        <x:v>45751</x:v>
      </x:c>
      <x:c r="O5979" s="37"/>
      <x:c r="P5979" s="34" t="n">
        <x:v>0</x:v>
      </x:c>
      <x:c r="Q5979" s="37" t="n">
        <x:v>46148.222604166665</x:v>
      </x:c>
    </x:row>
    <x:row r="5980">
      <x:c r="A5980" s="22" t="n">
        <x:v>18724</x:v>
      </x:c>
      <x:c r="B5980" s="28" t="n">
        <x:v>234.1</x:v>
      </x:c>
      <x:c r="C5980" s="28"/>
      <x:c r="D5980" s="31" t="str">
        <x:f>IF(OR(ISBLANK(B5980),ISBLANK(C5980),B5980=0),"",(C5980-B5980)/B5980)</x:f>
      </x:c>
      <x:c r="E5980" s="22" t="str">
        <x:f>IF(ISBLANK(C5980),"AmountIncludingTax缺失",IF(ABS(B5980-C5980)&lt;0.005,"一致","不一致"))</x:f>
        <x:v>AmountIncludingTax缺失</x:v>
      </x:c>
      <x:c r="F5980" s="19" t="str">
        <x:v>approved</x:v>
      </x:c>
      <x:c r="G5980" s="19" t="str">
        <x:v>Repairer Invoiced Processed</x:v>
      </x:c>
      <x:c r="H5980" s="19" t="str">
        <x:v>In Field</x:v>
      </x:c>
      <x:c r="I5980" s="37" t="n">
        <x:v>46073</x:v>
      </x:c>
      <x:c r="J5980" s="37" t="n">
        <x:v>46073</x:v>
      </x:c>
      <x:c r="K5980" s="19" t="str">
        <x:v>Leisure Lion Pty Ltd - Toowoomba</x:v>
      </x:c>
      <x:c r="L5980" s="19" t="str">
        <x:v>Z006</x:v>
      </x:c>
      <x:c r="M5980" s="19" t="str">
        <x:v>In Field Warranty Claims</x:v>
      </x:c>
      <x:c r="N5980" s="37" t="n">
        <x:v>45743</x:v>
      </x:c>
      <x:c r="O5980" s="37"/>
      <x:c r="P5980" s="34" t="n">
        <x:v>0</x:v>
      </x:c>
      <x:c r="Q5980" s="37" t="n">
        <x:v>46072.96377314815</x:v>
      </x:c>
    </x:row>
    <x:row r="5981">
      <x:c r="A5981" s="22" t="n">
        <x:v>18697</x:v>
      </x:c>
      <x:c r="B5981" s="28" t="n">
        <x:v>1420</x:v>
      </x:c>
      <x:c r="C5981" s="28"/>
      <x:c r="D5981" s="31" t="str">
        <x:f>IF(OR(ISBLANK(B5981),ISBLANK(C5981),B5981=0),"",(C5981-B5981)/B5981)</x:f>
      </x:c>
      <x:c r="E5981" s="22" t="str">
        <x:f>IF(ISBLANK(C5981),"AmountIncludingTax缺失",IF(ABS(B5981-C5981)&lt;0.005,"一致","不一致"))</x:f>
        <x:v>AmountIncludingTax缺失</x:v>
      </x:c>
      <x:c r="F5981" s="19" t="str">
        <x:v>approved</x:v>
      </x:c>
      <x:c r="G5981" s="19" t="str">
        <x:v>Repair in Progress</x:v>
      </x:c>
      <x:c r="H5981" s="19" t="str">
        <x:v>In Field</x:v>
      </x:c>
      <x:c r="I5981" s="37" t="n">
        <x:v>46071</x:v>
      </x:c>
      <x:c r="J5981" s="37" t="n">
        <x:v>46071</x:v>
      </x:c>
      <x:c r="K5981" s="19" t="str">
        <x:v>Sherrif Caravans &amp; Traliers - Prospect Vale</x:v>
      </x:c>
      <x:c r="L5981" s="19" t="str">
        <x:v>Z006</x:v>
      </x:c>
      <x:c r="M5981" s="19" t="str">
        <x:v>In Field Warranty Claims</x:v>
      </x:c>
      <x:c r="N5981" s="37" t="n">
        <x:v>45742</x:v>
      </x:c>
      <x:c r="O5981" s="37"/>
      <x:c r="P5981" s="34" t="n">
        <x:v>1312.25</x:v>
      </x:c>
      <x:c r="Q5981" s="37" t="n">
        <x:v>46071.13253472222</x:v>
      </x:c>
    </x:row>
    <x:row r="5982">
      <x:c r="A5982" s="22" t="n">
        <x:v>18668</x:v>
      </x:c>
      <x:c r="B5982" s="28" t="n">
        <x:v>92.58</x:v>
      </x:c>
      <x:c r="C5982" s="28"/>
      <x:c r="D5982" s="31" t="str">
        <x:f>IF(OR(ISBLANK(B5982),ISBLANK(C5982),B5982=0),"",(C5982-B5982)/B5982)</x:f>
      </x:c>
      <x:c r="E5982" s="22" t="str">
        <x:f>IF(ISBLANK(C5982),"AmountIncludingTax缺失",IF(ABS(B5982-C5982)&lt;0.005,"一致","不一致"))</x:f>
        <x:v>AmountIncludingTax缺失</x:v>
      </x:c>
      <x:c r="F5982" s="19" t="str">
        <x:v>approved</x:v>
      </x:c>
      <x:c r="G5982" s="19" t="str">
        <x:v>Repairer Invoiced Processed</x:v>
      </x:c>
      <x:c r="H5982" s="19" t="str">
        <x:v>In Field</x:v>
      </x:c>
      <x:c r="I5982" s="37" t="n">
        <x:v>46087</x:v>
      </x:c>
      <x:c r="J5982" s="37" t="n">
        <x:v>46087</x:v>
      </x:c>
      <x:c r="K5982" s="19" t="str">
        <x:v>Auswide Caravans - South Nowra</x:v>
      </x:c>
      <x:c r="L5982" s="19" t="str">
        <x:v>Z006</x:v>
      </x:c>
      <x:c r="M5982" s="19" t="str">
        <x:v>In Field Warranty Claims</x:v>
      </x:c>
      <x:c r="N5982" s="37" t="n">
        <x:v>45742</x:v>
      </x:c>
      <x:c r="O5982" s="37" t="n">
        <x:v>45992</x:v>
      </x:c>
      <x:c r="P5982" s="34" t="n">
        <x:v>0</x:v>
      </x:c>
      <x:c r="Q5982" s="37" t="n">
        <x:v>46087.1899537037</x:v>
      </x:c>
    </x:row>
    <x:row r="5983">
      <x:c r="A5983" s="22" t="n">
        <x:v>18568</x:v>
      </x:c>
      <x:c r="B5983" s="28" t="n">
        <x:v>663.65</x:v>
      </x:c>
      <x:c r="C5983" s="28"/>
      <x:c r="D5983" s="31" t="str">
        <x:f>IF(OR(ISBLANK(B5983),ISBLANK(C5983),B5983=0),"",(C5983-B5983)/B5983)</x:f>
      </x:c>
      <x:c r="E5983" s="22" t="str">
        <x:f>IF(ISBLANK(C5983),"AmountIncludingTax缺失",IF(ABS(B5983-C5983)&lt;0.005,"一致","不一致"))</x:f>
        <x:v>AmountIncludingTax缺失</x:v>
      </x:c>
      <x:c r="F5983" s="19" t="str">
        <x:v>approved</x:v>
      </x:c>
      <x:c r="G5983" s="19" t="str">
        <x:v>Repairer Invoiced Received</x:v>
      </x:c>
      <x:c r="H5983" s="19" t="str">
        <x:v>In Field</x:v>
      </x:c>
      <x:c r="I5983" s="37" t="n">
        <x:v>46055</x:v>
      </x:c>
      <x:c r="J5983" s="37" t="n">
        <x:v>46055</x:v>
      </x:c>
      <x:c r="K5983" s="19" t="str">
        <x:v>Green RV - Forest Glen</x:v>
      </x:c>
      <x:c r="L5983" s="19" t="str">
        <x:v>Z006</x:v>
      </x:c>
      <x:c r="M5983" s="19" t="str">
        <x:v>In Field Warranty Claims</x:v>
      </x:c>
      <x:c r="N5983" s="37" t="n">
        <x:v>45740</x:v>
      </x:c>
      <x:c r="O5983" s="37"/>
      <x:c r="P5983" s="34" t="n">
        <x:v>0</x:v>
      </x:c>
      <x:c r="Q5983" s="37" t="n">
        <x:v>46055.17545138889</x:v>
      </x:c>
    </x:row>
    <x:row r="5984">
      <x:c r="A5984" s="22" t="n">
        <x:v>18545</x:v>
      </x:c>
      <x:c r="B5984" s="28" t="n">
        <x:v>139.17</x:v>
      </x:c>
      <x:c r="C5984" s="28" t="n">
        <x:v>126</x:v>
      </x:c>
      <x:c r="D5984" s="31" t="n">
        <x:f>IF(OR(ISBLANK(B5984),ISBLANK(C5984),B5984=0),"",(C5984-B5984)/B5984)</x:f>
        <x:v>-0.09463246389308032</x:v>
      </x:c>
      <x:c r="E5984" s="22" t="str">
        <x:f>IF(ISBLANK(C5984),"AmountIncludingTax缺失",IF(ABS(B5984-C5984)&lt;0.005,"一致","不一致"))</x:f>
        <x:v>不一致</x:v>
      </x:c>
      <x:c r="F5984" s="19" t="str">
        <x:v>approved</x:v>
      </x:c>
      <x:c r="G5984" s="19" t="str">
        <x:v>Repairer Invoiced Processed</x:v>
      </x:c>
      <x:c r="H5984" s="19" t="str">
        <x:v>In Field</x:v>
      </x:c>
      <x:c r="I5984" s="37" t="n">
        <x:v>46091</x:v>
      </x:c>
      <x:c r="J5984" s="37" t="n">
        <x:v>46091</x:v>
      </x:c>
      <x:c r="K5984" s="19" t="str">
        <x:v>Vanari Caravans - Marden Point</x:v>
      </x:c>
      <x:c r="L5984" s="19" t="str">
        <x:v>Z006</x:v>
      </x:c>
      <x:c r="M5984" s="19" t="str">
        <x:v>In Field Warranty Claims</x:v>
      </x:c>
      <x:c r="N5984" s="37" t="n">
        <x:v>45739</x:v>
      </x:c>
      <x:c r="O5984" s="37" t="n">
        <x:v>46024</x:v>
      </x:c>
      <x:c r="P5984" s="34" t="n">
        <x:v>126</x:v>
      </x:c>
      <x:c r="Q5984" s="37" t="n">
        <x:v>46091.14555555556</x:v>
      </x:c>
    </x:row>
    <x:row r="5985">
      <x:c r="A5985" s="22" t="n">
        <x:v>18515</x:v>
      </x:c>
      <x:c r="B5985" s="28" t="n">
        <x:v>1389.8</x:v>
      </x:c>
      <x:c r="C5985" s="28"/>
      <x:c r="D5985" s="31" t="str">
        <x:f>IF(OR(ISBLANK(B5985),ISBLANK(C5985),B5985=0),"",(C5985-B5985)/B5985)</x:f>
      </x:c>
      <x:c r="E5985" s="22" t="str">
        <x:f>IF(ISBLANK(C5985),"AmountIncludingTax缺失",IF(ABS(B5985-C5985)&lt;0.005,"一致","不一致"))</x:f>
        <x:v>AmountIncludingTax缺失</x:v>
      </x:c>
      <x:c r="F5985" s="19" t="str">
        <x:v>approved</x:v>
      </x:c>
      <x:c r="G5985" s="19" t="str">
        <x:v>Repairer Invoiced Processed</x:v>
      </x:c>
      <x:c r="H5985" s="19" t="str">
        <x:v>In Field</x:v>
      </x:c>
      <x:c r="I5985" s="37" t="n">
        <x:v>46042</x:v>
      </x:c>
      <x:c r="J5985" s="37" t="n">
        <x:v>46042</x:v>
      </x:c>
      <x:c r="K5985" s="19" t="str">
        <x:v>Green RV - Forest Glen</x:v>
      </x:c>
      <x:c r="L5985" s="19" t="str">
        <x:v>Z006</x:v>
      </x:c>
      <x:c r="M5985" s="19" t="str">
        <x:v>In Field Warranty Claims</x:v>
      </x:c>
      <x:c r="N5985" s="37" t="n">
        <x:v>45738</x:v>
      </x:c>
      <x:c r="O5985" s="37"/>
      <x:c r="P5985" s="34" t="n">
        <x:v>1528.78</x:v>
      </x:c>
      <x:c r="Q5985" s="37" t="n">
        <x:v>46042.20778935185</x:v>
      </x:c>
    </x:row>
    <x:row r="5986">
      <x:c r="A5986" s="22" t="n">
        <x:v>18506</x:v>
      </x:c>
      <x:c r="B5986" s="28" t="n">
        <x:v>540</x:v>
      </x:c>
      <x:c r="C5986" s="28"/>
      <x:c r="D5986" s="31" t="str">
        <x:f>IF(OR(ISBLANK(B5986),ISBLANK(C5986),B5986=0),"",(C5986-B5986)/B5986)</x:f>
      </x:c>
      <x:c r="E5986" s="22" t="str">
        <x:f>IF(ISBLANK(C5986),"AmountIncludingTax缺失",IF(ABS(B5986-C5986)&lt;0.005,"一致","不一致"))</x:f>
        <x:v>AmountIncludingTax缺失</x:v>
      </x:c>
      <x:c r="F5986" s="19" t="str">
        <x:v>approved</x:v>
      </x:c>
      <x:c r="G5986" s="19" t="str">
        <x:v>Repairer Invoiced Processed</x:v>
      </x:c>
      <x:c r="H5986" s="19" t="str">
        <x:v>In Field</x:v>
      </x:c>
      <x:c r="I5986" s="37" t="n">
        <x:v>46203</x:v>
      </x:c>
      <x:c r="J5986" s="37" t="n">
        <x:v>46056</x:v>
      </x:c>
      <x:c r="K5986" s="19" t="str">
        <x:v>QCCC - Gympie</x:v>
      </x:c>
      <x:c r="L5986" s="19" t="str">
        <x:v>Z006</x:v>
      </x:c>
      <x:c r="M5986" s="19" t="str">
        <x:v>In Field Warranty Claims</x:v>
      </x:c>
      <x:c r="N5986" s="37" t="n">
        <x:v>45737</x:v>
      </x:c>
      <x:c r="O5986" s="37" t="n">
        <x:v>45742</x:v>
      </x:c>
      <x:c r="P5986" s="34" t="n">
        <x:v>0</x:v>
      </x:c>
      <x:c r="Q5986" s="37" t="n">
        <x:v>46203.12800925926</x:v>
      </x:c>
    </x:row>
    <x:row r="5987">
      <x:c r="A5987" s="22" t="n">
        <x:v>18397</x:v>
      </x:c>
      <x:c r="B5987" s="28" t="n">
        <x:v>2225.2</x:v>
      </x:c>
      <x:c r="C5987" s="28"/>
      <x:c r="D5987" s="31" t="str">
        <x:f>IF(OR(ISBLANK(B5987),ISBLANK(C5987),B5987=0),"",(C5987-B5987)/B5987)</x:f>
      </x:c>
      <x:c r="E5987" s="22" t="str">
        <x:f>IF(ISBLANK(C5987),"AmountIncludingTax缺失",IF(ABS(B5987-C5987)&lt;0.005,"一致","不一致"))</x:f>
        <x:v>AmountIncludingTax缺失</x:v>
      </x:c>
      <x:c r="F5987" s="19" t="str">
        <x:v>approved</x:v>
      </x:c>
      <x:c r="G5987" s="19" t="str">
        <x:v>Repairer Invoiced Processed</x:v>
      </x:c>
      <x:c r="H5987" s="19" t="str">
        <x:v>In Field</x:v>
      </x:c>
      <x:c r="I5987" s="37" t="n">
        <x:v>46079</x:v>
      </x:c>
      <x:c r="J5987" s="37" t="n">
        <x:v>46079</x:v>
      </x:c>
      <x:c r="K5987" s="19" t="str">
        <x:v>Green RV - Forest Glen</x:v>
      </x:c>
      <x:c r="L5987" s="19" t="str">
        <x:v>Z006</x:v>
      </x:c>
      <x:c r="M5987" s="19" t="str">
        <x:v>In Field Warranty Claims</x:v>
      </x:c>
      <x:c r="N5987" s="37" t="n">
        <x:v>45734</x:v>
      </x:c>
      <x:c r="O5987" s="37"/>
      <x:c r="P5987" s="34" t="n">
        <x:v>2447.72</x:v>
      </x:c>
      <x:c r="Q5987" s="37" t="n">
        <x:v>46079.17841435185</x:v>
      </x:c>
    </x:row>
    <x:row r="5988">
      <x:c r="A5988" s="22" t="n">
        <x:v>18383</x:v>
      </x:c>
      <x:c r="B5988" s="28" t="n">
        <x:v>1449.98</x:v>
      </x:c>
      <x:c r="C5988" s="28"/>
      <x:c r="D5988" s="31" t="str">
        <x:f>IF(OR(ISBLANK(B5988),ISBLANK(C5988),B5988=0),"",(C5988-B5988)/B5988)</x:f>
      </x:c>
      <x:c r="E5988" s="22" t="str">
        <x:f>IF(ISBLANK(C5988),"AmountIncludingTax缺失",IF(ABS(B5988-C5988)&lt;0.005,"一致","不一致"))</x:f>
        <x:v>AmountIncludingTax缺失</x:v>
      </x:c>
      <x:c r="F5988" s="19" t="str">
        <x:v>approved</x:v>
      </x:c>
      <x:c r="G5988" s="19" t="str">
        <x:v>Repairer Invoiced Received</x:v>
      </x:c>
      <x:c r="H5988" s="19" t="str">
        <x:v>In Field</x:v>
      </x:c>
      <x:c r="I5988" s="37" t="n">
        <x:v>46055</x:v>
      </x:c>
      <x:c r="J5988" s="37" t="n">
        <x:v>46055</x:v>
      </x:c>
      <x:c r="K5988" s="19" t="str">
        <x:v>Green RV - Forest Glen</x:v>
      </x:c>
      <x:c r="L5988" s="19" t="str">
        <x:v>Z006</x:v>
      </x:c>
      <x:c r="M5988" s="19" t="str">
        <x:v>In Field Warranty Claims</x:v>
      </x:c>
      <x:c r="N5988" s="37" t="n">
        <x:v>45734</x:v>
      </x:c>
      <x:c r="O5988" s="37"/>
      <x:c r="P5988" s="34" t="n">
        <x:v>0</x:v>
      </x:c>
      <x:c r="Q5988" s="37" t="n">
        <x:v>46055.10435185185</x:v>
      </x:c>
    </x:row>
    <x:row r="5989">
      <x:c r="A5989" s="22" t="n">
        <x:v>18378</x:v>
      </x:c>
      <x:c r="B5989" s="28" t="n">
        <x:v>1345.86</x:v>
      </x:c>
      <x:c r="C5989" s="28"/>
      <x:c r="D5989" s="31" t="str">
        <x:f>IF(OR(ISBLANK(B5989),ISBLANK(C5989),B5989=0),"",(C5989-B5989)/B5989)</x:f>
      </x:c>
      <x:c r="E5989" s="22" t="str">
        <x:f>IF(ISBLANK(C5989),"AmountIncludingTax缺失",IF(ABS(B5989-C5989)&lt;0.005,"一致","不一致"))</x:f>
        <x:v>AmountIncludingTax缺失</x:v>
      </x:c>
      <x:c r="F5989" s="19" t="str">
        <x:v>approved</x:v>
      </x:c>
      <x:c r="G5989" s="19" t="str">
        <x:v>Repairer Invoiced Processed</x:v>
      </x:c>
      <x:c r="H5989" s="19" t="str">
        <x:v>In Field</x:v>
      </x:c>
      <x:c r="I5989" s="37" t="n">
        <x:v>46196</x:v>
      </x:c>
      <x:c r="J5989" s="37" t="n">
        <x:v>46196</x:v>
      </x:c>
      <x:c r="K5989" s="19" t="str">
        <x:v>Green RV - Forest Glen</x:v>
      </x:c>
      <x:c r="L5989" s="19" t="str">
        <x:v>Z006</x:v>
      </x:c>
      <x:c r="M5989" s="19" t="str">
        <x:v>In Field Warranty Claims</x:v>
      </x:c>
      <x:c r="N5989" s="37" t="n">
        <x:v>45734</x:v>
      </x:c>
      <x:c r="O5989" s="37"/>
      <x:c r="P5989" s="34" t="n">
        <x:v>0</x:v>
      </x:c>
      <x:c r="Q5989" s="37" t="n">
        <x:v>46196.02924768518</x:v>
      </x:c>
    </x:row>
    <x:row r="5990">
      <x:c r="A5990" s="22" t="n">
        <x:v>18271</x:v>
      </x:c>
      <x:c r="B5990" s="28" t="n">
        <x:v>77.95</x:v>
      </x:c>
      <x:c r="C5990" s="28"/>
      <x:c r="D5990" s="31" t="str">
        <x:f>IF(OR(ISBLANK(B5990),ISBLANK(C5990),B5990=0),"",(C5990-B5990)/B5990)</x:f>
      </x:c>
      <x:c r="E5990" s="22" t="str">
        <x:f>IF(ISBLANK(C5990),"AmountIncludingTax缺失",IF(ABS(B5990-C5990)&lt;0.005,"一致","不一致"))</x:f>
        <x:v>AmountIncludingTax缺失</x:v>
      </x:c>
      <x:c r="F5990" s="19" t="str">
        <x:v>approved</x:v>
      </x:c>
      <x:c r="G5990" s="19" t="str">
        <x:v>Repairer Invoiced Processed</x:v>
      </x:c>
      <x:c r="H5990" s="19" t="str">
        <x:v>In Field</x:v>
      </x:c>
      <x:c r="I5990" s="37" t="n">
        <x:v>46212</x:v>
      </x:c>
      <x:c r="J5990" s="37" t="n">
        <x:v>46212</x:v>
      </x:c>
      <x:c r="K5990" s="19" t="str">
        <x:v>Dario Caravans - Pooraka</x:v>
      </x:c>
      <x:c r="L5990" s="19" t="str">
        <x:v>Z006</x:v>
      </x:c>
      <x:c r="M5990" s="19" t="str">
        <x:v>In Field Warranty Claims</x:v>
      </x:c>
      <x:c r="N5990" s="37" t="n">
        <x:v>45728</x:v>
      </x:c>
      <x:c r="O5990" s="37"/>
      <x:c r="P5990" s="34" t="n">
        <x:v>0</x:v>
      </x:c>
      <x:c r="Q5990" s="37" t="n">
        <x:v>46211.99337962963</x:v>
      </x:c>
    </x:row>
    <x:row r="5991">
      <x:c r="A5991" s="22" t="n">
        <x:v>18248</x:v>
      </x:c>
      <x:c r="B5991" s="28" t="n">
        <x:v>1500</x:v>
      </x:c>
      <x:c r="C5991" s="28"/>
      <x:c r="D5991" s="31" t="str">
        <x:f>IF(OR(ISBLANK(B5991),ISBLANK(C5991),B5991=0),"",(C5991-B5991)/B5991)</x:f>
      </x:c>
      <x:c r="E5991" s="22" t="str">
        <x:f>IF(ISBLANK(C5991),"AmountIncludingTax缺失",IF(ABS(B5991-C5991)&lt;0.005,"一致","不一致"))</x:f>
        <x:v>AmountIncludingTax缺失</x:v>
      </x:c>
      <x:c r="F5991" s="19" t="str">
        <x:v>approved</x:v>
      </x:c>
      <x:c r="G5991" s="19" t="str">
        <x:v>Repair in Progress</x:v>
      </x:c>
      <x:c r="H5991" s="19" t="str">
        <x:v>In Field</x:v>
      </x:c>
      <x:c r="I5991" s="37" t="n">
        <x:v>46162</x:v>
      </x:c>
      <x:c r="J5991" s="37" t="n">
        <x:v>46162</x:v>
      </x:c>
      <x:c r="K5991" s="19" t="str">
        <x:v>Springvale Caravan Centre - Keysborough</x:v>
      </x:c>
      <x:c r="L5991" s="19" t="str">
        <x:v>Z006</x:v>
      </x:c>
      <x:c r="M5991" s="19" t="str">
        <x:v>In Field Warranty Claims</x:v>
      </x:c>
      <x:c r="N5991" s="37" t="n">
        <x:v>45728</x:v>
      </x:c>
      <x:c r="O5991" s="37"/>
      <x:c r="P5991" s="34" t="n">
        <x:v>1650</x:v>
      </x:c>
      <x:c r="Q5991" s="37" t="n">
        <x:v>46162.129282407404</x:v>
      </x:c>
    </x:row>
    <x:row r="5992">
      <x:c r="A5992" s="22" t="n">
        <x:v>18229</x:v>
      </x:c>
      <x:c r="B5992" s="28" t="n">
        <x:v>1098.75</x:v>
      </x:c>
      <x:c r="C5992" s="28"/>
      <x:c r="D5992" s="31" t="str">
        <x:f>IF(OR(ISBLANK(B5992),ISBLANK(C5992),B5992=0),"",(C5992-B5992)/B5992)</x:f>
      </x:c>
      <x:c r="E5992" s="22" t="str">
        <x:f>IF(ISBLANK(C5992),"AmountIncludingTax缺失",IF(ABS(B5992-C5992)&lt;0.005,"一致","不一致"))</x:f>
        <x:v>AmountIncludingTax缺失</x:v>
      </x:c>
      <x:c r="F5992" s="19" t="str">
        <x:v>approved</x:v>
      </x:c>
      <x:c r="G5992" s="19" t="str">
        <x:v>Sales Order Approved</x:v>
      </x:c>
      <x:c r="H5992" s="19" t="str">
        <x:v>Pre Delivery</x:v>
      </x:c>
      <x:c r="I5992" s="37" t="n">
        <x:v>46176</x:v>
      </x:c>
      <x:c r="J5992" s="37" t="n">
        <x:v>46176</x:v>
      </x:c>
      <x:c r="K5992" s="19" t="str">
        <x:v>The Caravan Hub - Townsville</x:v>
      </x:c>
      <x:c r="L5992" s="19" t="str">
        <x:v>Z005</x:v>
      </x:c>
      <x:c r="M5992" s="19" t="str">
        <x:v>Pre Delivery Warranty Claims</x:v>
      </x:c>
      <x:c r="N5992" s="37" t="n">
        <x:v>45728</x:v>
      </x:c>
      <x:c r="O5992" s="37" t="n">
        <x:v>46060</x:v>
      </x:c>
      <x:c r="P5992" s="34" t="n">
        <x:v>0</x:v>
      </x:c>
      <x:c r="Q5992" s="37" t="n">
        <x:v>46176.10039351852</x:v>
      </x:c>
    </x:row>
    <x:row r="5993">
      <x:c r="A5993" s="22" t="n">
        <x:v>18106</x:v>
      </x:c>
      <x:c r="B5993" s="28" t="n">
        <x:v>237.95</x:v>
      </x:c>
      <x:c r="C5993" s="28" t="n">
        <x:v>261.75</x:v>
      </x:c>
      <x:c r="D5993" s="31" t="n">
        <x:f>IF(OR(ISBLANK(B5993),ISBLANK(C5993),B5993=0),"",(C5993-B5993)/B5993)</x:f>
        <x:v>0.10002101281781892</x:v>
      </x:c>
      <x:c r="E5993" s="22" t="str">
        <x:f>IF(ISBLANK(C5993),"AmountIncludingTax缺失",IF(ABS(B5993-C5993)&lt;0.005,"一致","不一致"))</x:f>
        <x:v>不一致</x:v>
      </x:c>
      <x:c r="F5993" s="19" t="str">
        <x:v>approved</x:v>
      </x:c>
      <x:c r="G5993" s="19" t="str">
        <x:v>Repair in Progress</x:v>
      </x:c>
      <x:c r="H5993" s="19" t="str">
        <x:v>In Field</x:v>
      </x:c>
      <x:c r="I5993" s="37" t="n">
        <x:v>46067</x:v>
      </x:c>
      <x:c r="J5993" s="37" t="n">
        <x:v>46067</x:v>
      </x:c>
      <x:c r="K5993" s="19" t="str">
        <x:v>Green RV - Forest Glen</x:v>
      </x:c>
      <x:c r="L5993" s="19" t="str">
        <x:v>Z006</x:v>
      </x:c>
      <x:c r="M5993" s="19" t="str">
        <x:v>In Field Warranty Claims</x:v>
      </x:c>
      <x:c r="N5993" s="37" t="n">
        <x:v>45723</x:v>
      </x:c>
      <x:c r="O5993" s="37"/>
      <x:c r="P5993" s="34" t="n">
        <x:v>261.75</x:v>
      </x:c>
      <x:c r="Q5993" s="37" t="n">
        <x:v>46067.37695601852</x:v>
      </x:c>
    </x:row>
    <x:row r="5994">
      <x:c r="A5994" s="22" t="n">
        <x:v>17831</x:v>
      </x:c>
      <x:c r="B5994" s="28" t="n">
        <x:v>130</x:v>
      </x:c>
      <x:c r="C5994" s="28"/>
      <x:c r="D5994" s="31" t="str">
        <x:f>IF(OR(ISBLANK(B5994),ISBLANK(C5994),B5994=0),"",(C5994-B5994)/B5994)</x:f>
      </x:c>
      <x:c r="E5994" s="22" t="str">
        <x:f>IF(ISBLANK(C5994),"AmountIncludingTax缺失",IF(ABS(B5994-C5994)&lt;0.005,"一致","不一致"))</x:f>
        <x:v>AmountIncludingTax缺失</x:v>
      </x:c>
      <x:c r="F5994" s="19" t="str">
        <x:v>approved</x:v>
      </x:c>
      <x:c r="G5994" s="19" t="str">
        <x:v>Repairer Invoiced Received</x:v>
      </x:c>
      <x:c r="H5994" s="19" t="str">
        <x:v>In Field</x:v>
      </x:c>
      <x:c r="I5994" s="37" t="n">
        <x:v>46064</x:v>
      </x:c>
      <x:c r="J5994" s="37" t="n">
        <x:v>46064</x:v>
      </x:c>
      <x:c r="K5994" s="19" t="str">
        <x:v>Green RV - Forest Glen</x:v>
      </x:c>
      <x:c r="L5994" s="19" t="str">
        <x:v>Z006</x:v>
      </x:c>
      <x:c r="M5994" s="19" t="str">
        <x:v>In Field Warranty Claims</x:v>
      </x:c>
      <x:c r="N5994" s="37" t="n">
        <x:v>45714</x:v>
      </x:c>
      <x:c r="O5994" s="37"/>
      <x:c r="P5994" s="34" t="n">
        <x:v>0</x:v>
      </x:c>
      <x:c r="Q5994" s="37" t="n">
        <x:v>46063.9934375</x:v>
      </x:c>
    </x:row>
    <x:row r="5995">
      <x:c r="A5995" s="22" t="n">
        <x:v>17317</x:v>
      </x:c>
      <x:c r="B5995" s="28" t="n">
        <x:v>36.36</x:v>
      </x:c>
      <x:c r="C5995" s="28"/>
      <x:c r="D5995" s="31" t="str">
        <x:f>IF(OR(ISBLANK(B5995),ISBLANK(C5995),B5995=0),"",(C5995-B5995)/B5995)</x:f>
      </x:c>
      <x:c r="E5995" s="22" t="str">
        <x:f>IF(ISBLANK(C5995),"AmountIncludingTax缺失",IF(ABS(B5995-C5995)&lt;0.005,"一致","不一致"))</x:f>
        <x:v>AmountIncludingTax缺失</x:v>
      </x:c>
      <x:c r="F5995" s="19" t="str">
        <x:v>approved</x:v>
      </x:c>
      <x:c r="G5995" s="19" t="str">
        <x:v>Repairer Invoiced Processed</x:v>
      </x:c>
      <x:c r="H5995" s="19" t="str">
        <x:v>Pre Delivery</x:v>
      </x:c>
      <x:c r="I5995" s="37" t="n">
        <x:v>46121</x:v>
      </x:c>
      <x:c r="J5995" s="37" t="n">
        <x:v>46121</x:v>
      </x:c>
      <x:c r="K5995" s="19" t="str">
        <x:v>Lesiure Lion-New Castle</x:v>
      </x:c>
      <x:c r="L5995" s="19" t="str">
        <x:v>Z005</x:v>
      </x:c>
      <x:c r="M5995" s="19" t="str">
        <x:v>Pre Delivery Warranty Claims</x:v>
      </x:c>
      <x:c r="N5995" s="37" t="n">
        <x:v>45698</x:v>
      </x:c>
      <x:c r="O5995" s="37" t="n">
        <x:v>46101</x:v>
      </x:c>
      <x:c r="P5995" s="34" t="n">
        <x:v>0</x:v>
      </x:c>
      <x:c r="Q5995" s="37" t="n">
        <x:v>46121.02469907407</x:v>
      </x:c>
    </x:row>
    <x:row r="5996">
      <x:c r="A5996" s="22" t="n">
        <x:v>17312</x:v>
      </x:c>
      <x:c r="B5996" s="28" t="n">
        <x:v>170.46</x:v>
      </x:c>
      <x:c r="C5996" s="28"/>
      <x:c r="D5996" s="31" t="str">
        <x:f>IF(OR(ISBLANK(B5996),ISBLANK(C5996),B5996=0),"",(C5996-B5996)/B5996)</x:f>
      </x:c>
      <x:c r="E5996" s="22" t="str">
        <x:f>IF(ISBLANK(C5996),"AmountIncludingTax缺失",IF(ABS(B5996-C5996)&lt;0.005,"一致","不一致"))</x:f>
        <x:v>AmountIncludingTax缺失</x:v>
      </x:c>
      <x:c r="F5996" s="19" t="str">
        <x:v>approved</x:v>
      </x:c>
      <x:c r="G5996" s="19" t="str">
        <x:v>Repair in Progress</x:v>
      </x:c>
      <x:c r="H5996" s="19" t="str">
        <x:v>Pre Delivery</x:v>
      </x:c>
      <x:c r="I5996" s="37" t="n">
        <x:v>46072</x:v>
      </x:c>
      <x:c r="J5996" s="37" t="n">
        <x:v>46072</x:v>
      </x:c>
      <x:c r="K5996" s="19" t="str">
        <x:v>Green RV - Forest Glen</x:v>
      </x:c>
      <x:c r="L5996" s="19" t="str">
        <x:v>Z005</x:v>
      </x:c>
      <x:c r="M5996" s="19" t="str">
        <x:v>Pre Delivery Warranty Claims</x:v>
      </x:c>
      <x:c r="N5996" s="37" t="n">
        <x:v>45698</x:v>
      </x:c>
      <x:c r="O5996" s="37"/>
      <x:c r="P5996" s="34" t="n">
        <x:v>0</x:v>
      </x:c>
      <x:c r="Q5996" s="37" t="n">
        <x:v>46072.0862037037</x:v>
      </x:c>
    </x:row>
    <x:row r="5997">
      <x:c r="A5997" s="22" t="n">
        <x:v>17294</x:v>
      </x:c>
      <x:c r="B5997" s="28" t="n">
        <x:v>245</x:v>
      </x:c>
      <x:c r="C5997" s="28"/>
      <x:c r="D5997" s="31" t="str">
        <x:f>IF(OR(ISBLANK(B5997),ISBLANK(C5997),B5997=0),"",(C5997-B5997)/B5997)</x:f>
      </x:c>
      <x:c r="E5997" s="22" t="str">
        <x:f>IF(ISBLANK(C5997),"AmountIncludingTax缺失",IF(ABS(B5997-C5997)&lt;0.005,"一致","不一致"))</x:f>
        <x:v>AmountIncludingTax缺失</x:v>
      </x:c>
      <x:c r="F5997" s="19" t="str">
        <x:v>approved</x:v>
      </x:c>
      <x:c r="G5997" s="19" t="str">
        <x:v>Repair in Progress</x:v>
      </x:c>
      <x:c r="H5997" s="19" t="str">
        <x:v>In Field</x:v>
      </x:c>
      <x:c r="I5997" s="37" t="n">
        <x:v>46071</x:v>
      </x:c>
      <x:c r="J5997" s="37" t="n">
        <x:v>46071</x:v>
      </x:c>
      <x:c r="K5997" s="19" t="str">
        <x:v>ABCO Caravans - Boambee Valley</x:v>
      </x:c>
      <x:c r="L5997" s="19" t="str">
        <x:v>Z006</x:v>
      </x:c>
      <x:c r="M5997" s="19" t="str">
        <x:v>In Field Warranty Claims</x:v>
      </x:c>
      <x:c r="N5997" s="37" t="n">
        <x:v>45696</x:v>
      </x:c>
      <x:c r="O5997" s="37"/>
      <x:c r="P5997" s="34" t="n">
        <x:v>0</x:v>
      </x:c>
      <x:c r="Q5997" s="37" t="n">
        <x:v>46070.8368287037</x:v>
      </x:c>
    </x:row>
    <x:row r="5998">
      <x:c r="A5998" s="22" t="n">
        <x:v>17289</x:v>
      </x:c>
      <x:c r="B5998" s="28" t="n">
        <x:v>1254.56</x:v>
      </x:c>
      <x:c r="C5998" s="28"/>
      <x:c r="D5998" s="31" t="str">
        <x:f>IF(OR(ISBLANK(B5998),ISBLANK(C5998),B5998=0),"",(C5998-B5998)/B5998)</x:f>
      </x:c>
      <x:c r="E5998" s="22" t="str">
        <x:f>IF(ISBLANK(C5998),"AmountIncludingTax缺失",IF(ABS(B5998-C5998)&lt;0.005,"一致","不一致"))</x:f>
        <x:v>AmountIncludingTax缺失</x:v>
      </x:c>
      <x:c r="F5998" s="19" t="str">
        <x:v>approved</x:v>
      </x:c>
      <x:c r="G5998" s="19" t="str">
        <x:v>Repairer Invoiced Processed</x:v>
      </x:c>
      <x:c r="H5998" s="19" t="str">
        <x:v>In Field</x:v>
      </x:c>
      <x:c r="I5998" s="37" t="n">
        <x:v>46055</x:v>
      </x:c>
      <x:c r="J5998" s="37" t="n">
        <x:v>46055</x:v>
      </x:c>
      <x:c r="K5998" s="19" t="str">
        <x:v>Green RV - Forest Glen</x:v>
      </x:c>
      <x:c r="L5998" s="19" t="str">
        <x:v>Z006</x:v>
      </x:c>
      <x:c r="M5998" s="19" t="str">
        <x:v>In Field Warranty Claims</x:v>
      </x:c>
      <x:c r="N5998" s="37" t="n">
        <x:v>45698</x:v>
      </x:c>
      <x:c r="O5998" s="37"/>
      <x:c r="P5998" s="34" t="n">
        <x:v>0</x:v>
      </x:c>
      <x:c r="Q5998" s="37" t="n">
        <x:v>46055.09679398148</x:v>
      </x:c>
    </x:row>
    <x:row r="5999">
      <x:c r="A5999" s="22" t="n">
        <x:v>17197</x:v>
      </x:c>
      <x:c r="B5999" s="28" t="n">
        <x:v>272.73</x:v>
      </x:c>
      <x:c r="C5999" s="28" t="n">
        <x:v>300</x:v>
      </x:c>
      <x:c r="D5999" s="31" t="n">
        <x:f>IF(OR(ISBLANK(B5999),ISBLANK(C5999),B5999=0),"",(C5999-B5999)/B5999)</x:f>
        <x:v>0.09998900010999882</x:v>
      </x:c>
      <x:c r="E5999" s="22" t="str">
        <x:f>IF(ISBLANK(C5999),"AmountIncludingTax缺失",IF(ABS(B5999-C5999)&lt;0.005,"一致","不一致"))</x:f>
        <x:v>不一致</x:v>
      </x:c>
      <x:c r="F5999" s="19" t="str">
        <x:v>approved</x:v>
      </x:c>
      <x:c r="G5999" s="19" t="str">
        <x:v>Repairer Invoiced Processed</x:v>
      </x:c>
      <x:c r="H5999" s="19" t="str">
        <x:v>In Field</x:v>
      </x:c>
      <x:c r="I5999" s="37" t="n">
        <x:v>46056</x:v>
      </x:c>
      <x:c r="J5999" s="37" t="n">
        <x:v>46056</x:v>
      </x:c>
      <x:c r="K5999" s="19" t="str">
        <x:v>Regent RV - Perth</x:v>
      </x:c>
      <x:c r="L5999" s="19" t="str">
        <x:v>Z006</x:v>
      </x:c>
      <x:c r="M5999" s="19" t="str">
        <x:v>In Field Warranty Claims</x:v>
      </x:c>
      <x:c r="N5999" s="37" t="n">
        <x:v>45693</x:v>
      </x:c>
      <x:c r="O5999" s="37"/>
      <x:c r="P5999" s="34" t="n">
        <x:v>300</x:v>
      </x:c>
      <x:c r="Q5999" s="37" t="n">
        <x:v>46056.16962962963</x:v>
      </x:c>
    </x:row>
    <x:row r="6000">
      <x:c r="A6000" s="22" t="n">
        <x:v>17184</x:v>
      </x:c>
      <x:c r="B6000" s="28" t="n">
        <x:v>127.3</x:v>
      </x:c>
      <x:c r="C6000" s="28"/>
      <x:c r="D6000" s="31" t="str">
        <x:f>IF(OR(ISBLANK(B6000),ISBLANK(C6000),B6000=0),"",(C6000-B6000)/B6000)</x:f>
      </x:c>
      <x:c r="E6000" s="22" t="str">
        <x:f>IF(ISBLANK(C6000),"AmountIncludingTax缺失",IF(ABS(B6000-C6000)&lt;0.005,"一致","不一致"))</x:f>
        <x:v>AmountIncludingTax缺失</x:v>
      </x:c>
      <x:c r="F6000" s="19" t="str">
        <x:v>approved</x:v>
      </x:c>
      <x:c r="G6000" s="19" t="str">
        <x:v>Repairer Invoiced Processed</x:v>
      </x:c>
      <x:c r="H6000" s="19" t="str">
        <x:v>In Field</x:v>
      </x:c>
      <x:c r="I6000" s="37" t="n">
        <x:v>46072</x:v>
      </x:c>
      <x:c r="J6000" s="37" t="n">
        <x:v>46072</x:v>
      </x:c>
      <x:c r="K6000" s="19" t="str">
        <x:v>Newcastle RV Super Centre - Beresfield</x:v>
      </x:c>
      <x:c r="L6000" s="19" t="str">
        <x:v>Z006</x:v>
      </x:c>
      <x:c r="M6000" s="19" t="str">
        <x:v>In Field Warranty Claims</x:v>
      </x:c>
      <x:c r="N6000" s="37" t="n">
        <x:v>45693</x:v>
      </x:c>
      <x:c r="O6000" s="37"/>
      <x:c r="P6000" s="34" t="n">
        <x:v>0</x:v>
      </x:c>
      <x:c r="Q6000" s="37" t="n">
        <x:v>46072.160532407404</x:v>
      </x:c>
    </x:row>
    <x:row r="6001">
      <x:c r="A6001" s="22" t="n">
        <x:v>17082</x:v>
      </x:c>
      <x:c r="B6001" s="28" t="n">
        <x:v>1405.04</x:v>
      </x:c>
      <x:c r="C6001" s="28"/>
      <x:c r="D6001" s="31" t="str">
        <x:f>IF(OR(ISBLANK(B6001),ISBLANK(C6001),B6001=0),"",(C6001-B6001)/B6001)</x:f>
      </x:c>
      <x:c r="E6001" s="22" t="str">
        <x:f>IF(ISBLANK(C6001),"AmountIncludingTax缺失",IF(ABS(B6001-C6001)&lt;0.005,"一致","不一致"))</x:f>
        <x:v>AmountIncludingTax缺失</x:v>
      </x:c>
      <x:c r="F6001" s="19" t="str">
        <x:v>approved</x:v>
      </x:c>
      <x:c r="G6001" s="19" t="str">
        <x:v>Repairer Invoiced Processed</x:v>
      </x:c>
      <x:c r="H6001" s="19" t="str">
        <x:v>In Field</x:v>
      </x:c>
      <x:c r="I6001" s="37" t="n">
        <x:v>46028</x:v>
      </x:c>
      <x:c r="J6001" s="37" t="n">
        <x:v>46028</x:v>
      </x:c>
      <x:c r="K6001" s="19" t="str">
        <x:v>Green RV - Forest Glen</x:v>
      </x:c>
      <x:c r="L6001" s="19" t="str">
        <x:v>Z006</x:v>
      </x:c>
      <x:c r="M6001" s="19" t="str">
        <x:v>In Field Warranty Claims</x:v>
      </x:c>
      <x:c r="N6001" s="37" t="n">
        <x:v>45691</x:v>
      </x:c>
      <x:c r="O6001" s="37"/>
      <x:c r="P6001" s="34" t="n">
        <x:v>0</x:v>
      </x:c>
      <x:c r="Q6001" s="37" t="n">
        <x:v>46028.088217592594</x:v>
      </x:c>
    </x:row>
    <x:row r="6002">
      <x:c r="A6002" s="22" t="n">
        <x:v>16864</x:v>
      </x:c>
      <x:c r="B6002" s="28" t="n">
        <x:v>337.5</x:v>
      </x:c>
      <x:c r="C6002" s="28"/>
      <x:c r="D6002" s="31" t="str">
        <x:f>IF(OR(ISBLANK(B6002),ISBLANK(C6002),B6002=0),"",(C6002-B6002)/B6002)</x:f>
      </x:c>
      <x:c r="E6002" s="22" t="str">
        <x:f>IF(ISBLANK(C6002),"AmountIncludingTax缺失",IF(ABS(B6002-C6002)&lt;0.005,"一致","不一致"))</x:f>
        <x:v>AmountIncludingTax缺失</x:v>
      </x:c>
      <x:c r="F6002" s="19" t="str">
        <x:v>approved</x:v>
      </x:c>
      <x:c r="G6002" s="19" t="str">
        <x:v>Repair in Progress</x:v>
      </x:c>
      <x:c r="H6002" s="19" t="str">
        <x:v>In Field</x:v>
      </x:c>
      <x:c r="I6002" s="37" t="n">
        <x:v>46162</x:v>
      </x:c>
      <x:c r="J6002" s="37" t="n">
        <x:v>46162</x:v>
      </x:c>
      <x:c r="K6002" s="19" t="str">
        <x:v>Regent RV - Perth</x:v>
      </x:c>
      <x:c r="L6002" s="19" t="str">
        <x:v>Z006</x:v>
      </x:c>
      <x:c r="M6002" s="19" t="str">
        <x:v>In Field Warranty Claims</x:v>
      </x:c>
      <x:c r="N6002" s="37" t="n">
        <x:v>45684</x:v>
      </x:c>
      <x:c r="O6002" s="37" t="n">
        <x:v>46024</x:v>
      </x:c>
      <x:c r="P6002" s="34" t="n">
        <x:v>0</x:v>
      </x:c>
      <x:c r="Q6002" s="37" t="n">
        <x:v>46162.182974537034</x:v>
      </x:c>
    </x:row>
    <x:row r="6003">
      <x:c r="A6003" s="22" t="n">
        <x:v>16835</x:v>
      </x:c>
      <x:c r="B6003" s="28" t="n">
        <x:v>303.75</x:v>
      </x:c>
      <x:c r="C6003" s="28"/>
      <x:c r="D6003" s="31" t="str">
        <x:f>IF(OR(ISBLANK(B6003),ISBLANK(C6003),B6003=0),"",(C6003-B6003)/B6003)</x:f>
      </x:c>
      <x:c r="E6003" s="22" t="str">
        <x:f>IF(ISBLANK(C6003),"AmountIncludingTax缺失",IF(ABS(B6003-C6003)&lt;0.005,"一致","不一致"))</x:f>
        <x:v>AmountIncludingTax缺失</x:v>
      </x:c>
      <x:c r="F6003" s="19" t="str">
        <x:v>approved</x:v>
      </x:c>
      <x:c r="G6003" s="19" t="str">
        <x:v>Repairer Invoiced Processed</x:v>
      </x:c>
      <x:c r="H6003" s="19" t="str">
        <x:v>In Field</x:v>
      </x:c>
      <x:c r="I6003" s="37" t="n">
        <x:v>46196</x:v>
      </x:c>
      <x:c r="J6003" s="37" t="n">
        <x:v>46196</x:v>
      </x:c>
      <x:c r="K6003" s="19" t="str">
        <x:v>Dario Caravans -St.Marys</x:v>
      </x:c>
      <x:c r="L6003" s="19" t="str">
        <x:v>Z006</x:v>
      </x:c>
      <x:c r="M6003" s="19" t="str">
        <x:v>In Field Warranty Claims</x:v>
      </x:c>
      <x:c r="N6003" s="37" t="n">
        <x:v>45681</x:v>
      </x:c>
      <x:c r="O6003" s="37" t="n">
        <x:v>46009</x:v>
      </x:c>
      <x:c r="P6003" s="34" t="n">
        <x:v>0</x:v>
      </x:c>
      <x:c r="Q6003" s="37" t="n">
        <x:v>46196.202731481484</x:v>
      </x:c>
    </x:row>
    <x:row r="6004">
      <x:c r="A6004" s="22" t="n">
        <x:v>16776</x:v>
      </x:c>
      <x:c r="B6004" s="28" t="n">
        <x:v>1442.08</x:v>
      </x:c>
      <x:c r="C6004" s="28"/>
      <x:c r="D6004" s="31" t="str">
        <x:f>IF(OR(ISBLANK(B6004),ISBLANK(C6004),B6004=0),"",(C6004-B6004)/B6004)</x:f>
      </x:c>
      <x:c r="E6004" s="22" t="str">
        <x:f>IF(ISBLANK(C6004),"AmountIncludingTax缺失",IF(ABS(B6004-C6004)&lt;0.005,"一致","不一致"))</x:f>
        <x:v>AmountIncludingTax缺失</x:v>
      </x:c>
      <x:c r="F6004" s="19" t="str">
        <x:v>approved</x:v>
      </x:c>
      <x:c r="G6004" s="19" t="str">
        <x:v>Repairer Invoiced Processed</x:v>
      </x:c>
      <x:c r="H6004" s="19" t="str">
        <x:v>In Field</x:v>
      </x:c>
      <x:c r="I6004" s="37" t="n">
        <x:v>46055</x:v>
      </x:c>
      <x:c r="J6004" s="37" t="n">
        <x:v>46055</x:v>
      </x:c>
      <x:c r="K6004" s="19" t="str">
        <x:v>Green RV - Forest Glen</x:v>
      </x:c>
      <x:c r="L6004" s="19" t="str">
        <x:v>Z006</x:v>
      </x:c>
      <x:c r="M6004" s="19" t="str">
        <x:v>In Field Warranty Claims</x:v>
      </x:c>
      <x:c r="N6004" s="37" t="n">
        <x:v>45680</x:v>
      </x:c>
      <x:c r="O6004" s="37"/>
      <x:c r="P6004" s="34" t="n">
        <x:v>1586.29</x:v>
      </x:c>
      <x:c r="Q6004" s="37" t="n">
        <x:v>46055.1631712963</x:v>
      </x:c>
    </x:row>
    <x:row r="6005">
      <x:c r="A6005" s="22" t="n">
        <x:v>16634</x:v>
      </x:c>
      <x:c r="B6005" s="28" t="n">
        <x:v>310</x:v>
      </x:c>
      <x:c r="C6005" s="28"/>
      <x:c r="D6005" s="31" t="str">
        <x:f>IF(OR(ISBLANK(B6005),ISBLANK(C6005),B6005=0),"",(C6005-B6005)/B6005)</x:f>
      </x:c>
      <x:c r="E6005" s="22" t="str">
        <x:f>IF(ISBLANK(C6005),"AmountIncludingTax缺失",IF(ABS(B6005-C6005)&lt;0.005,"一致","不一致"))</x:f>
        <x:v>AmountIncludingTax缺失</x:v>
      </x:c>
      <x:c r="F6005" s="19" t="str">
        <x:v>approved</x:v>
      </x:c>
      <x:c r="G6005" s="19" t="str">
        <x:v>Repairer Invoiced Processed</x:v>
      </x:c>
      <x:c r="H6005" s="19" t="str">
        <x:v>In Field</x:v>
      </x:c>
      <x:c r="I6005" s="37" t="n">
        <x:v>46150</x:v>
      </x:c>
      <x:c r="J6005" s="37" t="n">
        <x:v>46150</x:v>
      </x:c>
      <x:c r="K6005" s="19" t="str">
        <x:v>Lesiure Lion-New Castle</x:v>
      </x:c>
      <x:c r="L6005" s="19" t="str">
        <x:v>Z006</x:v>
      </x:c>
      <x:c r="M6005" s="19" t="str">
        <x:v>In Field Warranty Claims</x:v>
      </x:c>
      <x:c r="N6005" s="37" t="n">
        <x:v>45677</x:v>
      </x:c>
      <x:c r="O6005" s="37"/>
      <x:c r="P6005" s="34" t="n">
        <x:v>0</x:v>
      </x:c>
      <x:c r="Q6005" s="37" t="n">
        <x:v>46149.95751157407</x:v>
      </x:c>
    </x:row>
    <x:row r="6006">
      <x:c r="A6006" s="22" t="n">
        <x:v>16598</x:v>
      </x:c>
      <x:c r="B6006" s="28" t="n">
        <x:v>262.95</x:v>
      </x:c>
      <x:c r="C6006" s="28" t="n">
        <x:v>289.25</x:v>
      </x:c>
      <x:c r="D6006" s="31" t="n">
        <x:f>IF(OR(ISBLANK(B6006),ISBLANK(C6006),B6006=0),"",(C6006-B6006)/B6006)</x:f>
        <x:v>0.10001901502186732</x:v>
      </x:c>
      <x:c r="E6006" s="22" t="str">
        <x:f>IF(ISBLANK(C6006),"AmountIncludingTax缺失",IF(ABS(B6006-C6006)&lt;0.005,"一致","不一致"))</x:f>
        <x:v>不一致</x:v>
      </x:c>
      <x:c r="F6006" s="19" t="str">
        <x:v>approved</x:v>
      </x:c>
      <x:c r="G6006" s="19" t="str">
        <x:v>Repair in Progress</x:v>
      </x:c>
      <x:c r="H6006" s="19" t="str">
        <x:v>In Field</x:v>
      </x:c>
      <x:c r="I6006" s="37" t="n">
        <x:v>46121</x:v>
      </x:c>
      <x:c r="J6006" s="37" t="n">
        <x:v>46121</x:v>
      </x:c>
      <x:c r="K6006" s="19" t="str">
        <x:v>Green RV - Forest Glen</x:v>
      </x:c>
      <x:c r="L6006" s="19" t="str">
        <x:v>Z006</x:v>
      </x:c>
      <x:c r="M6006" s="19" t="str">
        <x:v>In Field Warranty Claims</x:v>
      </x:c>
      <x:c r="N6006" s="37" t="n">
        <x:v>45676</x:v>
      </x:c>
      <x:c r="O6006" s="37"/>
      <x:c r="P6006" s="34" t="n">
        <x:v>289.25</x:v>
      </x:c>
      <x:c r="Q6006" s="37" t="n">
        <x:v>46121.22114583333</x:v>
      </x:c>
    </x:row>
    <x:row r="6007">
      <x:c r="A6007" s="22" t="n">
        <x:v>16485</x:v>
      </x:c>
      <x:c r="B6007" s="28" t="n">
        <x:v>1046.25</x:v>
      </x:c>
      <x:c r="C6007" s="28"/>
      <x:c r="D6007" s="31" t="str">
        <x:f>IF(OR(ISBLANK(B6007),ISBLANK(C6007),B6007=0),"",(C6007-B6007)/B6007)</x:f>
      </x:c>
      <x:c r="E6007" s="22" t="str">
        <x:f>IF(ISBLANK(C6007),"AmountIncludingTax缺失",IF(ABS(B6007-C6007)&lt;0.005,"一致","不一致"))</x:f>
        <x:v>AmountIncludingTax缺失</x:v>
      </x:c>
      <x:c r="F6007" s="19" t="str">
        <x:v>approved</x:v>
      </x:c>
      <x:c r="G6007" s="19" t="str">
        <x:v>Repair in Progress</x:v>
      </x:c>
      <x:c r="H6007" s="19" t="str">
        <x:v>Pre Delivery</x:v>
      </x:c>
      <x:c r="I6007" s="37" t="n">
        <x:v>46083</x:v>
      </x:c>
      <x:c r="J6007" s="37" t="n">
        <x:v>46083</x:v>
      </x:c>
      <x:c r="K6007" s="19" t="str">
        <x:v>Regent RV Pty Ltd</x:v>
      </x:c>
      <x:c r="L6007" s="19" t="str">
        <x:v>Z005</x:v>
      </x:c>
      <x:c r="M6007" s="19" t="str">
        <x:v>Pre Delivery Warranty Claims</x:v>
      </x:c>
      <x:c r="N6007" s="37" t="n">
        <x:v>45673</x:v>
      </x:c>
      <x:c r="O6007" s="37"/>
      <x:c r="P6007" s="34" t="n">
        <x:v>0</x:v>
      </x:c>
      <x:c r="Q6007" s="37" t="n">
        <x:v>46082.89295138889</x:v>
      </x:c>
    </x:row>
    <x:row r="6008">
      <x:c r="A6008" s="22" t="n">
        <x:v>16439</x:v>
      </x:c>
      <x:c r="B6008" s="28" t="n">
        <x:v>1000</x:v>
      </x:c>
      <x:c r="C6008" s="28"/>
      <x:c r="D6008" s="31" t="str">
        <x:f>IF(OR(ISBLANK(B6008),ISBLANK(C6008),B6008=0),"",(C6008-B6008)/B6008)</x:f>
      </x:c>
      <x:c r="E6008" s="22" t="str">
        <x:f>IF(ISBLANK(C6008),"AmountIncludingTax缺失",IF(ABS(B6008-C6008)&lt;0.005,"一致","不一致"))</x:f>
        <x:v>AmountIncludingTax缺失</x:v>
      </x:c>
      <x:c r="F6008" s="19" t="str">
        <x:v>approved</x:v>
      </x:c>
      <x:c r="G6008" s="19" t="str">
        <x:v>Repairer Invoiced Processed</x:v>
      </x:c>
      <x:c r="H6008" s="19" t="str">
        <x:v>In Field</x:v>
      </x:c>
      <x:c r="I6008" s="37" t="n">
        <x:v>46148</x:v>
      </x:c>
      <x:c r="J6008" s="37" t="n">
        <x:v>46148</x:v>
      </x:c>
      <x:c r="K6008" s="19" t="str">
        <x:v>Bendigo Caravan Group - Bendigo</x:v>
      </x:c>
      <x:c r="L6008" s="19" t="str">
        <x:v>Z006</x:v>
      </x:c>
      <x:c r="M6008" s="19" t="str">
        <x:v>In Field Warranty Claims</x:v>
      </x:c>
      <x:c r="N6008" s="37" t="n">
        <x:v>45672</x:v>
      </x:c>
      <x:c r="O6008" s="37" t="n">
        <x:v>46020</x:v>
      </x:c>
      <x:c r="P6008" s="34" t="n">
        <x:v>1100</x:v>
      </x:c>
      <x:c r="Q6008" s="37" t="n">
        <x:v>46148.041296296295</x:v>
      </x:c>
    </x:row>
    <x:row r="6009">
      <x:c r="A6009" s="22" t="n">
        <x:v>16284</x:v>
      </x:c>
      <x:c r="B6009" s="28" t="n">
        <x:v>80.5</x:v>
      </x:c>
      <x:c r="C6009" s="28"/>
      <x:c r="D6009" s="31" t="str">
        <x:f>IF(OR(ISBLANK(B6009),ISBLANK(C6009),B6009=0),"",(C6009-B6009)/B6009)</x:f>
      </x:c>
      <x:c r="E6009" s="22" t="str">
        <x:f>IF(ISBLANK(C6009),"AmountIncludingTax缺失",IF(ABS(B6009-C6009)&lt;0.005,"一致","不一致"))</x:f>
        <x:v>AmountIncludingTax缺失</x:v>
      </x:c>
      <x:c r="F6009" s="19" t="str">
        <x:v>approved</x:v>
      </x:c>
      <x:c r="G6009" s="19" t="str">
        <x:v>Sales Order Approved</x:v>
      </x:c>
      <x:c r="H6009" s="19" t="str">
        <x:v>In Field</x:v>
      </x:c>
      <x:c r="I6009" s="37" t="n">
        <x:v>46107</x:v>
      </x:c>
      <x:c r="J6009" s="37" t="n">
        <x:v>46107</x:v>
      </x:c>
      <x:c r="K6009" s="19" t="str">
        <x:v>CMG Campers - Christchurch</x:v>
      </x:c>
      <x:c r="L6009" s="19" t="str">
        <x:v>Z006</x:v>
      </x:c>
      <x:c r="M6009" s="19" t="str">
        <x:v>In Field Warranty Claims</x:v>
      </x:c>
      <x:c r="N6009" s="37" t="n">
        <x:v>45666</x:v>
      </x:c>
      <x:c r="O6009" s="37" t="n">
        <x:v>46101</x:v>
      </x:c>
      <x:c r="P6009" s="34" t="n">
        <x:v>0</x:v>
      </x:c>
      <x:c r="Q6009" s="37" t="n">
        <x:v>46106.87986111111</x:v>
      </x:c>
    </x:row>
    <x:row r="6010">
      <x:c r="A6010" s="22" t="n">
        <x:v>16152</x:v>
      </x:c>
      <x:c r="B6010" s="28" t="n">
        <x:v>6314.03</x:v>
      </x:c>
      <x:c r="C6010" s="28"/>
      <x:c r="D6010" s="31" t="str">
        <x:f>IF(OR(ISBLANK(B6010),ISBLANK(C6010),B6010=0),"",(C6010-B6010)/B6010)</x:f>
      </x:c>
      <x:c r="E6010" s="22" t="str">
        <x:f>IF(ISBLANK(C6010),"AmountIncludingTax缺失",IF(ABS(B6010-C6010)&lt;0.005,"一致","不一致"))</x:f>
        <x:v>AmountIncludingTax缺失</x:v>
      </x:c>
      <x:c r="F6010" s="19" t="str">
        <x:v>approved</x:v>
      </x:c>
      <x:c r="G6010" s="19" t="str">
        <x:v>Repair in Progress</x:v>
      </x:c>
      <x:c r="H6010" s="19" t="str">
        <x:v>In Field</x:v>
      </x:c>
      <x:c r="I6010" s="37" t="n">
        <x:v>46108</x:v>
      </x:c>
      <x:c r="J6010" s="37" t="n">
        <x:v>46108</x:v>
      </x:c>
      <x:c r="K6010" s="19" t="str">
        <x:v>The Caravan Hub - Townsville</x:v>
      </x:c>
      <x:c r="L6010" s="19" t="str">
        <x:v>Z006</x:v>
      </x:c>
      <x:c r="M6010" s="19" t="str">
        <x:v>In Field Warranty Claims</x:v>
      </x:c>
      <x:c r="N6010" s="37" t="n">
        <x:v>45663</x:v>
      </x:c>
      <x:c r="O6010" s="37"/>
      <x:c r="P6010" s="34" t="n">
        <x:v>0</x:v>
      </x:c>
      <x:c r="Q6010" s="37" t="n">
        <x:v>46107.942094907405</x:v>
      </x:c>
    </x:row>
    <x:row r="6011">
      <x:c r="A6011" s="22" t="n">
        <x:v>16146</x:v>
      </x:c>
      <x:c r="B6011" s="28" t="n">
        <x:v>250</x:v>
      </x:c>
      <x:c r="C6011" s="28"/>
      <x:c r="D6011" s="31" t="str">
        <x:f>IF(OR(ISBLANK(B6011),ISBLANK(C6011),B6011=0),"",(C6011-B6011)/B6011)</x:f>
      </x:c>
      <x:c r="E6011" s="22" t="str">
        <x:f>IF(ISBLANK(C6011),"AmountIncludingTax缺失",IF(ABS(B6011-C6011)&lt;0.005,"一致","不一致"))</x:f>
        <x:v>AmountIncludingTax缺失</x:v>
      </x:c>
      <x:c r="F6011" s="19" t="str">
        <x:v>approved</x:v>
      </x:c>
      <x:c r="G6011" s="19" t="str">
        <x:v>Repair in Progress</x:v>
      </x:c>
      <x:c r="H6011" s="19" t="str">
        <x:v>Pre Delivery</x:v>
      </x:c>
      <x:c r="I6011" s="37" t="n">
        <x:v>46072</x:v>
      </x:c>
      <x:c r="J6011" s="37" t="n">
        <x:v>46072</x:v>
      </x:c>
      <x:c r="K6011" s="19" t="str">
        <x:v>Regent RV - Perth</x:v>
      </x:c>
      <x:c r="L6011" s="19" t="str">
        <x:v>Z005</x:v>
      </x:c>
      <x:c r="M6011" s="19" t="str">
        <x:v>Pre Delivery Warranty Claims</x:v>
      </x:c>
      <x:c r="N6011" s="37" t="n">
        <x:v>45663</x:v>
      </x:c>
      <x:c r="O6011" s="37"/>
      <x:c r="P6011" s="34" t="n">
        <x:v>0</x:v>
      </x:c>
      <x:c r="Q6011" s="37" t="n">
        <x:v>46071.91931712963</x:v>
      </x:c>
    </x:row>
    <x:row r="6012">
      <x:c r="A6012" s="22" t="n">
        <x:v>16105</x:v>
      </x:c>
      <x:c r="B6012" s="28" t="n">
        <x:v>2400</x:v>
      </x:c>
      <x:c r="C6012" s="28"/>
      <x:c r="D6012" s="31" t="str">
        <x:f>IF(OR(ISBLANK(B6012),ISBLANK(C6012),B6012=0),"",(C6012-B6012)/B6012)</x:f>
      </x:c>
      <x:c r="E6012" s="22" t="str">
        <x:f>IF(ISBLANK(C6012),"AmountIncludingTax缺失",IF(ABS(B6012-C6012)&lt;0.005,"一致","不一致"))</x:f>
        <x:v>AmountIncludingTax缺失</x:v>
      </x:c>
      <x:c r="F6012" s="19" t="str">
        <x:v>approved</x:v>
      </x:c>
      <x:c r="G6012" s="19" t="str">
        <x:v>Repair in Progress</x:v>
      </x:c>
      <x:c r="H6012" s="19" t="str">
        <x:v>In Field</x:v>
      </x:c>
      <x:c r="I6012" s="37" t="n">
        <x:v>46079</x:v>
      </x:c>
      <x:c r="J6012" s="37" t="n">
        <x:v>46079</x:v>
      </x:c>
      <x:c r="K6012" s="19" t="str">
        <x:v>Regent RV - Perth</x:v>
      </x:c>
      <x:c r="L6012" s="19" t="str">
        <x:v>Z006</x:v>
      </x:c>
      <x:c r="M6012" s="19" t="str">
        <x:v>In Field Warranty Claims</x:v>
      </x:c>
      <x:c r="N6012" s="37" t="n">
        <x:v>45659</x:v>
      </x:c>
      <x:c r="O6012" s="37"/>
      <x:c r="P6012" s="34" t="n">
        <x:v>2640</x:v>
      </x:c>
      <x:c r="Q6012" s="37" t="n">
        <x:v>46079.17741898148</x:v>
      </x:c>
    </x:row>
    <x:row r="6013">
      <x:c r="A6013" s="22" t="n">
        <x:v>16092</x:v>
      </x:c>
      <x:c r="B6013" s="28" t="n">
        <x:v>2591.16</x:v>
      </x:c>
      <x:c r="C6013" s="28"/>
      <x:c r="D6013" s="31" t="str">
        <x:f>IF(OR(ISBLANK(B6013),ISBLANK(C6013),B6013=0),"",(C6013-B6013)/B6013)</x:f>
      </x:c>
      <x:c r="E6013" s="22" t="str">
        <x:f>IF(ISBLANK(C6013),"AmountIncludingTax缺失",IF(ABS(B6013-C6013)&lt;0.005,"一致","不一致"))</x:f>
        <x:v>AmountIncludingTax缺失</x:v>
      </x:c>
      <x:c r="F6013" s="19" t="str">
        <x:v>approved</x:v>
      </x:c>
      <x:c r="G6013" s="19" t="str">
        <x:v>Repair in Progress</x:v>
      </x:c>
      <x:c r="H6013" s="19" t="str">
        <x:v>Pre Delivery</x:v>
      </x:c>
      <x:c r="I6013" s="37" t="n">
        <x:v>46065</x:v>
      </x:c>
      <x:c r="J6013" s="37" t="n">
        <x:v>46065</x:v>
      </x:c>
      <x:c r="K6013" s="19" t="str">
        <x:v>Regent RV Pty Ltd</x:v>
      </x:c>
      <x:c r="L6013" s="19" t="str">
        <x:v>Z005</x:v>
      </x:c>
      <x:c r="M6013" s="19" t="str">
        <x:v>Pre Delivery Warranty Claims</x:v>
      </x:c>
      <x:c r="N6013" s="37" t="n">
        <x:v>45659</x:v>
      </x:c>
      <x:c r="O6013" s="37"/>
      <x:c r="P6013" s="34" t="n">
        <x:v>2850.28</x:v>
      </x:c>
      <x:c r="Q6013" s="37" t="n">
        <x:v>46064.913611111115</x:v>
      </x:c>
    </x:row>
    <x:row r="6014">
      <x:c r="A6014" s="22" t="n">
        <x:v>15874</x:v>
      </x:c>
      <x:c r="B6014" s="28" t="n">
        <x:v>3703.05</x:v>
      </x:c>
      <x:c r="C6014" s="28"/>
      <x:c r="D6014" s="31" t="str">
        <x:f>IF(OR(ISBLANK(B6014),ISBLANK(C6014),B6014=0),"",(C6014-B6014)/B6014)</x:f>
      </x:c>
      <x:c r="E6014" s="22" t="str">
        <x:f>IF(ISBLANK(C6014),"AmountIncludingTax缺失",IF(ABS(B6014-C6014)&lt;0.005,"一致","不一致"))</x:f>
        <x:v>AmountIncludingTax缺失</x:v>
      </x:c>
      <x:c r="F6014" s="19" t="str">
        <x:v>approved</x:v>
      </x:c>
      <x:c r="G6014" s="19" t="str">
        <x:v>Repairer Invoiced Processed</x:v>
      </x:c>
      <x:c r="H6014" s="19" t="str">
        <x:v>In Field</x:v>
      </x:c>
      <x:c r="I6014" s="37" t="n">
        <x:v>46050</x:v>
      </x:c>
      <x:c r="J6014" s="37" t="n">
        <x:v>46050</x:v>
      </x:c>
      <x:c r="K6014" s="19" t="str">
        <x:v>Green RV - Forest Glen</x:v>
      </x:c>
      <x:c r="L6014" s="19" t="str">
        <x:v>Z006</x:v>
      </x:c>
      <x:c r="M6014" s="19" t="str">
        <x:v>In Field Warranty Claims</x:v>
      </x:c>
      <x:c r="N6014" s="37" t="n">
        <x:v>45643</x:v>
      </x:c>
      <x:c r="O6014" s="37" t="n">
        <x:v>45645</x:v>
      </x:c>
      <x:c r="P6014" s="34" t="n">
        <x:v>0</x:v>
      </x:c>
      <x:c r="Q6014" s="37" t="n">
        <x:v>46050.13260416667</x:v>
      </x:c>
    </x:row>
    <x:row r="6015">
      <x:c r="A6015" s="22" t="n">
        <x:v>15781</x:v>
      </x:c>
      <x:c r="B6015" s="28" t="n">
        <x:v>2760</x:v>
      </x:c>
      <x:c r="C6015" s="28"/>
      <x:c r="D6015" s="31" t="str">
        <x:f>IF(OR(ISBLANK(B6015),ISBLANK(C6015),B6015=0),"",(C6015-B6015)/B6015)</x:f>
      </x:c>
      <x:c r="E6015" s="22" t="str">
        <x:f>IF(ISBLANK(C6015),"AmountIncludingTax缺失",IF(ABS(B6015-C6015)&lt;0.005,"一致","不一致"))</x:f>
        <x:v>AmountIncludingTax缺失</x:v>
      </x:c>
      <x:c r="F6015" s="19" t="str">
        <x:v>approved</x:v>
      </x:c>
      <x:c r="G6015" s="19" t="str">
        <x:v>Sales Order Approved</x:v>
      </x:c>
      <x:c r="H6015" s="19" t="str">
        <x:v>In Field</x:v>
      </x:c>
      <x:c r="I6015" s="37" t="n">
        <x:v>46195</x:v>
      </x:c>
      <x:c r="J6015" s="37" t="n">
        <x:v>46195</x:v>
      </x:c>
      <x:c r="K6015" s="19" t="str">
        <x:v>CMG Campers - Christchurch</x:v>
      </x:c>
      <x:c r="L6015" s="19" t="str">
        <x:v>Z006</x:v>
      </x:c>
      <x:c r="M6015" s="19" t="str">
        <x:v>In Field Warranty Claims</x:v>
      </x:c>
      <x:c r="N6015" s="37" t="n">
        <x:v>45641</x:v>
      </x:c>
      <x:c r="O6015" s="37" t="n">
        <x:v>46099</x:v>
      </x:c>
      <x:c r="P6015" s="34" t="n">
        <x:v>0</x:v>
      </x:c>
      <x:c r="Q6015" s="37" t="n">
        <x:v>46195.24565972222</x:v>
      </x:c>
    </x:row>
    <x:row r="6016">
      <x:c r="A6016" s="22" t="n">
        <x:v>15560</x:v>
      </x:c>
      <x:c r="B6016" s="28" t="n">
        <x:v>425</x:v>
      </x:c>
      <x:c r="C6016" s="28"/>
      <x:c r="D6016" s="31" t="str">
        <x:f>IF(OR(ISBLANK(B6016),ISBLANK(C6016),B6016=0),"",(C6016-B6016)/B6016)</x:f>
      </x:c>
      <x:c r="E6016" s="22" t="str">
        <x:f>IF(ISBLANK(C6016),"AmountIncludingTax缺失",IF(ABS(B6016-C6016)&lt;0.005,"一致","不一致"))</x:f>
        <x:v>AmountIncludingTax缺失</x:v>
      </x:c>
      <x:c r="F6016" s="19" t="str">
        <x:v>approved</x:v>
      </x:c>
      <x:c r="G6016" s="19" t="str">
        <x:v>Repair in Progress</x:v>
      </x:c>
      <x:c r="H6016" s="19" t="str">
        <x:v>In Field</x:v>
      </x:c>
      <x:c r="I6016" s="37" t="n">
        <x:v>46126</x:v>
      </x:c>
      <x:c r="J6016" s="37" t="n">
        <x:v>46126</x:v>
      </x:c>
      <x:c r="K6016" s="19" t="str">
        <x:v>Regent RV - Perth</x:v>
      </x:c>
      <x:c r="L6016" s="19" t="str">
        <x:v>Z006</x:v>
      </x:c>
      <x:c r="M6016" s="19" t="str">
        <x:v>In Field Warranty Claims</x:v>
      </x:c>
      <x:c r="N6016" s="37" t="n">
        <x:v>45635</x:v>
      </x:c>
      <x:c r="O6016" s="37" t="n">
        <x:v>46024</x:v>
      </x:c>
      <x:c r="P6016" s="34" t="n">
        <x:v>0</x:v>
      </x:c>
      <x:c r="Q6016" s="37" t="n">
        <x:v>46126.08831018519</x:v>
      </x:c>
    </x:row>
    <x:row r="6017">
      <x:c r="A6017" s="22" t="n">
        <x:v>15387</x:v>
      </x:c>
      <x:c r="B6017" s="28" t="n">
        <x:v>820</x:v>
      </x:c>
      <x:c r="C6017" s="28" t="n">
        <x:v>902</x:v>
      </x:c>
      <x:c r="D6017" s="31" t="n">
        <x:f>IF(OR(ISBLANK(B6017),ISBLANK(C6017),B6017=0),"",(C6017-B6017)/B6017)</x:f>
        <x:v>0.1</x:v>
      </x:c>
      <x:c r="E6017" s="22" t="str">
        <x:f>IF(ISBLANK(C6017),"AmountIncludingTax缺失",IF(ABS(B6017-C6017)&lt;0.005,"一致","不一致"))</x:f>
        <x:v>不一致</x:v>
      </x:c>
      <x:c r="F6017" s="19" t="str">
        <x:v>approved</x:v>
      </x:c>
      <x:c r="G6017" s="19" t="str">
        <x:v>Repairer Invoiced Processed</x:v>
      </x:c>
      <x:c r="H6017" s="19" t="str">
        <x:v>In Field</x:v>
      </x:c>
      <x:c r="I6017" s="37" t="n">
        <x:v>46156</x:v>
      </x:c>
      <x:c r="J6017" s="37" t="n">
        <x:v>46155</x:v>
      </x:c>
      <x:c r="K6017" s="19" t="str">
        <x:v>Springvale Caravan Centre - Keysborough</x:v>
      </x:c>
      <x:c r="L6017" s="19" t="str">
        <x:v>Z006</x:v>
      </x:c>
      <x:c r="M6017" s="19" t="str">
        <x:v>In Field Warranty Claims</x:v>
      </x:c>
      <x:c r="N6017" s="37" t="n">
        <x:v>45629</x:v>
      </x:c>
      <x:c r="O6017" s="37"/>
      <x:c r="P6017" s="34" t="n">
        <x:v>902</x:v>
      </x:c>
      <x:c r="Q6017" s="37" t="n">
        <x:v>46156.267962962964</x:v>
      </x:c>
    </x:row>
    <x:row r="6018">
      <x:c r="A6018" s="22" t="n">
        <x:v>15325</x:v>
      </x:c>
      <x:c r="B6018" s="28" t="n">
        <x:v>719.55</x:v>
      </x:c>
      <x:c r="C6018" s="28"/>
      <x:c r="D6018" s="31" t="str">
        <x:f>IF(OR(ISBLANK(B6018),ISBLANK(C6018),B6018=0),"",(C6018-B6018)/B6018)</x:f>
      </x:c>
      <x:c r="E6018" s="22" t="str">
        <x:f>IF(ISBLANK(C6018),"AmountIncludingTax缺失",IF(ABS(B6018-C6018)&lt;0.005,"一致","不一致"))</x:f>
        <x:v>AmountIncludingTax缺失</x:v>
      </x:c>
      <x:c r="F6018" s="19" t="str">
        <x:v>approved</x:v>
      </x:c>
      <x:c r="G6018" s="19" t="str">
        <x:v>Repair in Progress</x:v>
      </x:c>
      <x:c r="H6018" s="19" t="str">
        <x:v>In Field</x:v>
      </x:c>
      <x:c r="I6018" s="37" t="n">
        <x:v>46175</x:v>
      </x:c>
      <x:c r="J6018" s="37" t="n">
        <x:v>46175</x:v>
      </x:c>
      <x:c r="K6018" s="19" t="str">
        <x:v>Great Ocean Road RV &amp; Caravans - Warrnambool</x:v>
      </x:c>
      <x:c r="L6018" s="19" t="str">
        <x:v>Z006</x:v>
      </x:c>
      <x:c r="M6018" s="19" t="str">
        <x:v>In Field Warranty Claims</x:v>
      </x:c>
      <x:c r="N6018" s="37" t="n">
        <x:v>45627</x:v>
      </x:c>
      <x:c r="O6018" s="37" t="n">
        <x:v>45992</x:v>
      </x:c>
      <x:c r="P6018" s="34" t="n">
        <x:v>0</x:v>
      </x:c>
      <x:c r="Q6018" s="37" t="n">
        <x:v>46175.04792824074</x:v>
      </x:c>
    </x:row>
    <x:row r="6019">
      <x:c r="A6019" s="22" t="n">
        <x:v>15292</x:v>
      </x:c>
      <x:c r="B6019" s="28" t="n">
        <x:v>1365</x:v>
      </x:c>
      <x:c r="C6019" s="28"/>
      <x:c r="D6019" s="31" t="str">
        <x:f>IF(OR(ISBLANK(B6019),ISBLANK(C6019),B6019=0),"",(C6019-B6019)/B6019)</x:f>
      </x:c>
      <x:c r="E6019" s="22" t="str">
        <x:f>IF(ISBLANK(C6019),"AmountIncludingTax缺失",IF(ABS(B6019-C6019)&lt;0.005,"一致","不一致"))</x:f>
        <x:v>AmountIncludingTax缺失</x:v>
      </x:c>
      <x:c r="F6019" s="19" t="str">
        <x:v>approved</x:v>
      </x:c>
      <x:c r="G6019" s="19" t="str">
        <x:v>Repair in Progress</x:v>
      </x:c>
      <x:c r="H6019" s="19" t="str">
        <x:v>Pre Delivery</x:v>
      </x:c>
      <x:c r="I6019" s="37" t="n">
        <x:v>46136</x:v>
      </x:c>
      <x:c r="J6019" s="37" t="n">
        <x:v>46136</x:v>
      </x:c>
      <x:c r="K6019" s="19" t="str">
        <x:v>Regent RV - Perth</x:v>
      </x:c>
      <x:c r="L6019" s="19" t="str">
        <x:v>Z005</x:v>
      </x:c>
      <x:c r="M6019" s="19" t="str">
        <x:v>Pre Delivery Warranty Claims</x:v>
      </x:c>
      <x:c r="N6019" s="37" t="n">
        <x:v>45625</x:v>
      </x:c>
      <x:c r="O6019" s="37" t="n">
        <x:v>45699</x:v>
      </x:c>
      <x:c r="P6019" s="34" t="n">
        <x:v>1501.5</x:v>
      </x:c>
      <x:c r="Q6019" s="37" t="n">
        <x:v>46136.09831018518</x:v>
      </x:c>
    </x:row>
    <x:row r="6020">
      <x:c r="A6020" s="22" t="n">
        <x:v>14689</x:v>
      </x:c>
      <x:c r="B6020" s="28" t="n">
        <x:v>215</x:v>
      </x:c>
      <x:c r="C6020" s="28"/>
      <x:c r="D6020" s="31" t="str">
        <x:f>IF(OR(ISBLANK(B6020),ISBLANK(C6020),B6020=0),"",(C6020-B6020)/B6020)</x:f>
      </x:c>
      <x:c r="E6020" s="22" t="str">
        <x:f>IF(ISBLANK(C6020),"AmountIncludingTax缺失",IF(ABS(B6020-C6020)&lt;0.005,"一致","不一致"))</x:f>
        <x:v>AmountIncludingTax缺失</x:v>
      </x:c>
      <x:c r="F6020" s="19" t="str">
        <x:v>approved</x:v>
      </x:c>
      <x:c r="G6020" s="19" t="str">
        <x:v>Repairer Invoiced Processed</x:v>
      </x:c>
      <x:c r="H6020" s="19" t="str">
        <x:v>In Field</x:v>
      </x:c>
      <x:c r="I6020" s="37" t="n">
        <x:v>46119</x:v>
      </x:c>
      <x:c r="J6020" s="37" t="n">
        <x:v>46119</x:v>
      </x:c>
      <x:c r="K6020" s="19" t="str">
        <x:v>QCCC - Gympie</x:v>
      </x:c>
      <x:c r="L6020" s="19" t="str">
        <x:v>Z006</x:v>
      </x:c>
      <x:c r="M6020" s="19" t="str">
        <x:v>In Field Warranty Claims</x:v>
      </x:c>
      <x:c r="N6020" s="37" t="n">
        <x:v>45609</x:v>
      </x:c>
      <x:c r="O6020" s="37"/>
      <x:c r="P6020" s="34" t="n">
        <x:v>0</x:v>
      </x:c>
      <x:c r="Q6020" s="37" t="n">
        <x:v>46118.99716435185</x:v>
      </x:c>
    </x:row>
    <x:row r="6021">
      <x:c r="A6021" s="22" t="n">
        <x:v>14427</x:v>
      </x:c>
      <x:c r="B6021" s="28" t="n">
        <x:v>275</x:v>
      </x:c>
      <x:c r="C6021" s="28"/>
      <x:c r="D6021" s="31" t="str">
        <x:f>IF(OR(ISBLANK(B6021),ISBLANK(C6021),B6021=0),"",(C6021-B6021)/B6021)</x:f>
      </x:c>
      <x:c r="E6021" s="22" t="str">
        <x:f>IF(ISBLANK(C6021),"AmountIncludingTax缺失",IF(ABS(B6021-C6021)&lt;0.005,"一致","不一致"))</x:f>
        <x:v>AmountIncludingTax缺失</x:v>
      </x:c>
      <x:c r="F6021" s="19" t="str">
        <x:v>approved</x:v>
      </x:c>
      <x:c r="G6021" s="19" t="str">
        <x:v>Repair in Progress</x:v>
      </x:c>
      <x:c r="H6021" s="19" t="str">
        <x:v>In Field</x:v>
      </x:c>
      <x:c r="I6021" s="37" t="n">
        <x:v>46126</x:v>
      </x:c>
      <x:c r="J6021" s="37" t="n">
        <x:v>46126</x:v>
      </x:c>
      <x:c r="K6021" s="19" t="str">
        <x:v>Regent RV - Perth</x:v>
      </x:c>
      <x:c r="L6021" s="19" t="str">
        <x:v>Z006</x:v>
      </x:c>
      <x:c r="M6021" s="19" t="str">
        <x:v>In Field Warranty Claims</x:v>
      </x:c>
      <x:c r="N6021" s="37" t="n">
        <x:v>45599</x:v>
      </x:c>
      <x:c r="O6021" s="37" t="n">
        <x:v>46024</x:v>
      </x:c>
      <x:c r="P6021" s="34" t="n">
        <x:v>0</x:v>
      </x:c>
      <x:c r="Q6021" s="37" t="n">
        <x:v>46125.95085648148</x:v>
      </x:c>
    </x:row>
    <x:row r="6022">
      <x:c r="A6022" s="22" t="n">
        <x:v>13226</x:v>
      </x:c>
      <x:c r="B6022" s="28" t="n">
        <x:v>405</x:v>
      </x:c>
      <x:c r="C6022" s="28"/>
      <x:c r="D6022" s="31" t="str">
        <x:f>IF(OR(ISBLANK(B6022),ISBLANK(C6022),B6022=0),"",(C6022-B6022)/B6022)</x:f>
      </x:c>
      <x:c r="E6022" s="22" t="str">
        <x:f>IF(ISBLANK(C6022),"AmountIncludingTax缺失",IF(ABS(B6022-C6022)&lt;0.005,"一致","不一致"))</x:f>
        <x:v>AmountIncludingTax缺失</x:v>
      </x:c>
      <x:c r="F6022" s="19" t="str">
        <x:v>approved</x:v>
      </x:c>
      <x:c r="G6022" s="19" t="str">
        <x:v>Repair in Progress</x:v>
      </x:c>
      <x:c r="H6022" s="19" t="str">
        <x:v>In Field</x:v>
      </x:c>
      <x:c r="I6022" s="37" t="n">
        <x:v>46190</x:v>
      </x:c>
      <x:c r="J6022" s="37" t="n">
        <x:v>46190</x:v>
      </x:c>
      <x:c r="K6022" s="19" t="str">
        <x:v>Auswide Caravans - South Nowra</x:v>
      </x:c>
      <x:c r="L6022" s="19" t="str">
        <x:v>Z006</x:v>
      </x:c>
      <x:c r="M6022" s="19" t="str">
        <x:v>In Field Warranty Claims</x:v>
      </x:c>
      <x:c r="N6022" s="37" t="n">
        <x:v>45559</x:v>
      </x:c>
      <x:c r="O6022" s="37" t="n">
        <x:v>46122</x:v>
      </x:c>
      <x:c r="P6022" s="34" t="n">
        <x:v>0</x:v>
      </x:c>
      <x:c r="Q6022" s="37" t="n">
        <x:v>46190.20900462963</x:v>
      </x:c>
    </x:row>
    <x:row r="6023">
      <x:c r="A6023" s="22" t="n">
        <x:v>13151</x:v>
      </x:c>
      <x:c r="B6023" s="28" t="n">
        <x:v>472.74</x:v>
      </x:c>
      <x:c r="C6023" s="28"/>
      <x:c r="D6023" s="31" t="str">
        <x:f>IF(OR(ISBLANK(B6023),ISBLANK(C6023),B6023=0),"",(C6023-B6023)/B6023)</x:f>
      </x:c>
      <x:c r="E6023" s="22" t="str">
        <x:f>IF(ISBLANK(C6023),"AmountIncludingTax缺失",IF(ABS(B6023-C6023)&lt;0.005,"一致","不一致"))</x:f>
        <x:v>AmountIncludingTax缺失</x:v>
      </x:c>
      <x:c r="F6023" s="19" t="str">
        <x:v>approved</x:v>
      </x:c>
      <x:c r="G6023" s="19" t="str">
        <x:v>Repairer Invoiced Processed</x:v>
      </x:c>
      <x:c r="H6023" s="19" t="str">
        <x:v>In Field</x:v>
      </x:c>
      <x:c r="I6023" s="37" t="n">
        <x:v>46161</x:v>
      </x:c>
      <x:c r="J6023" s="37" t="n">
        <x:v>46161</x:v>
      </x:c>
      <x:c r="K6023" s="19" t="str">
        <x:v>Green RV - Forest Glen</x:v>
      </x:c>
      <x:c r="L6023" s="19" t="str">
        <x:v>Z006</x:v>
      </x:c>
      <x:c r="M6023" s="19" t="str">
        <x:v>In Field Warranty Claims</x:v>
      </x:c>
      <x:c r="N6023" s="37" t="n">
        <x:v>45556</x:v>
      </x:c>
      <x:c r="O6023" s="37"/>
      <x:c r="P6023" s="34" t="n">
        <x:v>0</x:v>
      </x:c>
      <x:c r="Q6023" s="37" t="n">
        <x:v>46161.087488425925</x:v>
      </x:c>
    </x:row>
    <x:row r="6024">
      <x:c r="A6024" s="22" t="n">
        <x:v>12615</x:v>
      </x:c>
      <x:c r="B6024" s="28" t="n">
        <x:v>540</x:v>
      </x:c>
      <x:c r="C6024" s="28" t="n">
        <x:v>594</x:v>
      </x:c>
      <x:c r="D6024" s="31" t="n">
        <x:f>IF(OR(ISBLANK(B6024),ISBLANK(C6024),B6024=0),"",(C6024-B6024)/B6024)</x:f>
        <x:v>0.1</x:v>
      </x:c>
      <x:c r="E6024" s="22" t="str">
        <x:f>IF(ISBLANK(C6024),"AmountIncludingTax缺失",IF(ABS(B6024-C6024)&lt;0.005,"一致","不一致"))</x:f>
        <x:v>不一致</x:v>
      </x:c>
      <x:c r="F6024" s="19" t="str">
        <x:v>approved</x:v>
      </x:c>
      <x:c r="G6024" s="19" t="str">
        <x:v>Repair in Progress</x:v>
      </x:c>
      <x:c r="H6024" s="19" t="str">
        <x:v>In Field</x:v>
      </x:c>
      <x:c r="I6024" s="37" t="n">
        <x:v>46059</x:v>
      </x:c>
      <x:c r="J6024" s="37" t="n">
        <x:v>46059</x:v>
      </x:c>
      <x:c r="K6024" s="19" t="str">
        <x:v>Green RV - Forest Glen</x:v>
      </x:c>
      <x:c r="L6024" s="19" t="str">
        <x:v>Z006</x:v>
      </x:c>
      <x:c r="M6024" s="19" t="str">
        <x:v>In Field Warranty Claims</x:v>
      </x:c>
      <x:c r="N6024" s="37" t="n">
        <x:v>45540</x:v>
      </x:c>
      <x:c r="O6024" s="37"/>
      <x:c r="P6024" s="34" t="n">
        <x:v>594</x:v>
      </x:c>
      <x:c r="Q6024" s="37" t="n">
        <x:v>46059.062743055554</x:v>
      </x:c>
    </x:row>
    <x:row r="6025">
      <x:c r="A6025" s="22" t="n">
        <x:v>11890</x:v>
      </x:c>
      <x:c r="B6025" s="28" t="n">
        <x:v>418.19</x:v>
      </x:c>
      <x:c r="C6025" s="28"/>
      <x:c r="D6025" s="31" t="str">
        <x:f>IF(OR(ISBLANK(B6025),ISBLANK(C6025),B6025=0),"",(C6025-B6025)/B6025)</x:f>
      </x:c>
      <x:c r="E6025" s="22" t="str">
        <x:f>IF(ISBLANK(C6025),"AmountIncludingTax缺失",IF(ABS(B6025-C6025)&lt;0.005,"一致","不一致"))</x:f>
        <x:v>AmountIncludingTax缺失</x:v>
      </x:c>
      <x:c r="F6025" s="19" t="str">
        <x:v>approved</x:v>
      </x:c>
      <x:c r="G6025" s="19" t="str">
        <x:v>Repairer Invoiced Processed</x:v>
      </x:c>
      <x:c r="H6025" s="19" t="str">
        <x:v>Pre Delivery</x:v>
      </x:c>
      <x:c r="I6025" s="37" t="n">
        <x:v>46055</x:v>
      </x:c>
      <x:c r="J6025" s="37" t="n">
        <x:v>46055</x:v>
      </x:c>
      <x:c r="K6025" s="19" t="str">
        <x:v>Regent RV - Toowoomba</x:v>
      </x:c>
      <x:c r="L6025" s="19" t="str">
        <x:v>Z005</x:v>
      </x:c>
      <x:c r="M6025" s="19" t="str">
        <x:v>Pre Delivery Warranty Claims</x:v>
      </x:c>
      <x:c r="N6025" s="37" t="n">
        <x:v>45513</x:v>
      </x:c>
      <x:c r="O6025" s="37"/>
      <x:c r="P6025" s="34" t="n">
        <x:v>0</x:v>
      </x:c>
      <x:c r="Q6025" s="37" t="n">
        <x:v>46055.04112268519</x:v>
      </x:c>
    </x:row>
    <x:row r="6026">
      <x:c r="A6026" s="22" t="n">
        <x:v>11508</x:v>
      </x:c>
      <x:c r="B6026" s="28" t="n">
        <x:v>727.29</x:v>
      </x:c>
      <x:c r="C6026" s="28" t="n">
        <x:v>800.02</x:v>
      </x:c>
      <x:c r="D6026" s="31" t="n">
        <x:f>IF(OR(ISBLANK(B6026),ISBLANK(C6026),B6026=0),"",(C6026-B6026)/B6026)</x:f>
        <x:v>0.10000137496734456</x:v>
      </x:c>
      <x:c r="E6026" s="22" t="str">
        <x:f>IF(ISBLANK(C6026),"AmountIncludingTax缺失",IF(ABS(B6026-C6026)&lt;0.005,"一致","不一致"))</x:f>
        <x:v>不一致</x:v>
      </x:c>
      <x:c r="F6026" s="19" t="str">
        <x:v>approved</x:v>
      </x:c>
      <x:c r="G6026" s="19" t="str">
        <x:v>Repairer Invoiced Processed</x:v>
      </x:c>
      <x:c r="H6026" s="19" t="str">
        <x:v>In Field</x:v>
      </x:c>
      <x:c r="I6026" s="37" t="n">
        <x:v>46059</x:v>
      </x:c>
      <x:c r="J6026" s="37" t="n">
        <x:v>46059</x:v>
      </x:c>
      <x:c r="K6026" s="19" t="str">
        <x:v>Green RV - Forest Glen</x:v>
      </x:c>
      <x:c r="L6026" s="19" t="str">
        <x:v>Z006</x:v>
      </x:c>
      <x:c r="M6026" s="19" t="str">
        <x:v>In Field Warranty Claims</x:v>
      </x:c>
      <x:c r="N6026" s="37" t="n">
        <x:v>45503</x:v>
      </x:c>
      <x:c r="O6026" s="37"/>
      <x:c r="P6026" s="34" t="n">
        <x:v>800.02</x:v>
      </x:c>
      <x:c r="Q6026" s="37" t="n">
        <x:v>46059.055983796294</x:v>
      </x:c>
    </x:row>
    <x:row r="6027">
      <x:c r="A6027" s="22" t="n">
        <x:v>11044</x:v>
      </x:c>
      <x:c r="B6027" s="28" t="n">
        <x:v>276.14</x:v>
      </x:c>
      <x:c r="C6027" s="28"/>
      <x:c r="D6027" s="31" t="str">
        <x:f>IF(OR(ISBLANK(B6027),ISBLANK(C6027),B6027=0),"",(C6027-B6027)/B6027)</x:f>
      </x:c>
      <x:c r="E6027" s="22" t="str">
        <x:f>IF(ISBLANK(C6027),"AmountIncludingTax缺失",IF(ABS(B6027-C6027)&lt;0.005,"一致","不一致"))</x:f>
        <x:v>AmountIncludingTax缺失</x:v>
      </x:c>
      <x:c r="F6027" s="19" t="str">
        <x:v>approved</x:v>
      </x:c>
      <x:c r="G6027" s="19" t="str">
        <x:v>Repairer Invoiced Processed</x:v>
      </x:c>
      <x:c r="H6027" s="19" t="str">
        <x:v>In Field</x:v>
      </x:c>
      <x:c r="I6027" s="37" t="n">
        <x:v>46055</x:v>
      </x:c>
      <x:c r="J6027" s="37" t="n">
        <x:v>46055</x:v>
      </x:c>
      <x:c r="K6027" s="19" t="str">
        <x:v>Regent RV - Toowoomba</x:v>
      </x:c>
      <x:c r="L6027" s="19" t="str">
        <x:v>Z006</x:v>
      </x:c>
      <x:c r="M6027" s="19" t="str">
        <x:v>In Field Warranty Claims</x:v>
      </x:c>
      <x:c r="N6027" s="37" t="n">
        <x:v>45485</x:v>
      </x:c>
      <x:c r="O6027" s="37"/>
      <x:c r="P6027" s="34" t="n">
        <x:v>0</x:v>
      </x:c>
      <x:c r="Q6027" s="37" t="n">
        <x:v>46055.082337962966</x:v>
      </x:c>
    </x:row>
    <x:row r="6028">
      <x:c r="A6028" s="22" t="n">
        <x:v>9173</x:v>
      </x:c>
      <x:c r="B6028" s="28" t="n">
        <x:v>373.64</x:v>
      </x:c>
      <x:c r="C6028" s="28" t="n">
        <x:v>411</x:v>
      </x:c>
      <x:c r="D6028" s="31" t="n">
        <x:f>IF(OR(ISBLANK(B6028),ISBLANK(C6028),B6028=0),"",(C6028-B6028)/B6028)</x:f>
        <x:v>0.0999892945080827</x:v>
      </x:c>
      <x:c r="E6028" s="22" t="str">
        <x:f>IF(ISBLANK(C6028),"AmountIncludingTax缺失",IF(ABS(B6028-C6028)&lt;0.005,"一致","不一致"))</x:f>
        <x:v>不一致</x:v>
      </x:c>
      <x:c r="F6028" s="19" t="str">
        <x:v>approved</x:v>
      </x:c>
      <x:c r="G6028" s="19" t="str">
        <x:v>Repairer Invoiced Processed</x:v>
      </x:c>
      <x:c r="H6028" s="19" t="str">
        <x:v>Pre Delivery</x:v>
      </x:c>
      <x:c r="I6028" s="37" t="n">
        <x:v>46171</x:v>
      </x:c>
      <x:c r="J6028" s="37" t="n">
        <x:v>46171</x:v>
      </x:c>
      <x:c r="K6028" s="19" t="str">
        <x:v>Regent RV - Townsville</x:v>
      </x:c>
      <x:c r="L6028" s="19" t="str">
        <x:v>Z005</x:v>
      </x:c>
      <x:c r="M6028" s="19" t="str">
        <x:v>Pre Delivery Warranty Claims</x:v>
      </x:c>
      <x:c r="N6028" s="37" t="n">
        <x:v>45404</x:v>
      </x:c>
      <x:c r="O6028" s="37"/>
      <x:c r="P6028" s="34" t="n">
        <x:v>411</x:v>
      </x:c>
      <x:c r="Q6028" s="37" t="n">
        <x:v>46171.19341435185</x:v>
      </x:c>
    </x:row>
    <x:row r="6029">
      <x:c r="A6029" s="22" t="n">
        <x:v>8469</x:v>
      </x:c>
      <x:c r="B6029" s="28" t="n">
        <x:v>3170.32</x:v>
      </x:c>
      <x:c r="C6029" s="28"/>
      <x:c r="D6029" s="31" t="str">
        <x:f>IF(OR(ISBLANK(B6029),ISBLANK(C6029),B6029=0),"",(C6029-B6029)/B6029)</x:f>
      </x:c>
      <x:c r="E6029" s="22" t="str">
        <x:f>IF(ISBLANK(C6029),"AmountIncludingTax缺失",IF(ABS(B6029-C6029)&lt;0.005,"一致","不一致"))</x:f>
        <x:v>AmountIncludingTax缺失</x:v>
      </x:c>
      <x:c r="F6029" s="19" t="str">
        <x:v>approved</x:v>
      </x:c>
      <x:c r="G6029" s="19" t="str">
        <x:v>Repairer Invoiced Processed</x:v>
      </x:c>
      <x:c r="H6029" s="19" t="str">
        <x:v>Pre Delivery</x:v>
      </x:c>
      <x:c r="I6029" s="37" t="n">
        <x:v>46036</x:v>
      </x:c>
      <x:c r="J6029" s="37" t="n">
        <x:v>46036</x:v>
      </x:c>
      <x:c r="K6029" s="19" t="str">
        <x:v>Regent RV - Townsville</x:v>
      </x:c>
      <x:c r="L6029" s="19" t="str">
        <x:v>Z005</x:v>
      </x:c>
      <x:c r="M6029" s="19" t="str">
        <x:v>Pre Delivery Warranty Claims</x:v>
      </x:c>
      <x:c r="N6029" s="37" t="n">
        <x:v>45373</x:v>
      </x:c>
      <x:c r="O6029" s="37"/>
      <x:c r="P6029" s="34" t="n">
        <x:v>3487.35</x:v>
      </x:c>
      <x:c r="Q6029" s="37" t="n">
        <x:v>46035.99332175926</x:v>
      </x:c>
    </x:row>
    <x:row r="6030">
      <x:c r="A6030" s="22" t="n">
        <x:v>5067</x:v>
      </x:c>
      <x:c r="B6030" s="28" t="n">
        <x:v>894.64</x:v>
      </x:c>
      <x:c r="C6030" s="28"/>
      <x:c r="D6030" s="31" t="str">
        <x:f>IF(OR(ISBLANK(B6030),ISBLANK(C6030),B6030=0),"",(C6030-B6030)/B6030)</x:f>
      </x:c>
      <x:c r="E6030" s="22" t="str">
        <x:f>IF(ISBLANK(C6030),"AmountIncludingTax缺失",IF(ABS(B6030-C6030)&lt;0.005,"一致","不一致"))</x:f>
        <x:v>AmountIncludingTax缺失</x:v>
      </x:c>
      <x:c r="F6030" s="19" t="str">
        <x:v>approved</x:v>
      </x:c>
      <x:c r="G6030" s="19" t="str">
        <x:v>Repairer Invoiced Processed</x:v>
      </x:c>
      <x:c r="H6030" s="19" t="str">
        <x:v>Pre Delivery</x:v>
      </x:c>
      <x:c r="I6030" s="37" t="n">
        <x:v>46196</x:v>
      </x:c>
      <x:c r="J6030" s="37" t="n">
        <x:v>46196</x:v>
      </x:c>
      <x:c r="K6030" s="19" t="str">
        <x:v>The Caravan Hub - Townsville</x:v>
      </x:c>
      <x:c r="L6030" s="19" t="str">
        <x:v>Z005</x:v>
      </x:c>
      <x:c r="M6030" s="19" t="str">
        <x:v>Pre Delivery Warranty Claims</x:v>
      </x:c>
      <x:c r="N6030" s="37" t="n">
        <x:v>45208</x:v>
      </x:c>
      <x:c r="O6030" s="37" t="n">
        <x:v>45492</x:v>
      </x:c>
      <x:c r="P6030" s="34" t="n">
        <x:v>0</x:v>
      </x:c>
      <x:c r="Q6030" s="37" t="n">
        <x:v>46196.25038194445</x:v>
      </x:c>
    </x:row>
    <x:row r="6031">
      <x:c r="A6031" s="22" t="n">
        <x:v>5063</x:v>
      </x:c>
      <x:c r="B6031" s="28" t="n">
        <x:v>180</x:v>
      </x:c>
      <x:c r="C6031" s="28"/>
      <x:c r="D6031" s="31" t="str">
        <x:f>IF(OR(ISBLANK(B6031),ISBLANK(C6031),B6031=0),"",(C6031-B6031)/B6031)</x:f>
      </x:c>
      <x:c r="E6031" s="22" t="str">
        <x:f>IF(ISBLANK(C6031),"AmountIncludingTax缺失",IF(ABS(B6031-C6031)&lt;0.005,"一致","不一致"))</x:f>
        <x:v>AmountIncludingTax缺失</x:v>
      </x:c>
      <x:c r="F6031" s="19" t="str">
        <x:v>approved</x:v>
      </x:c>
      <x:c r="G6031" s="19" t="str">
        <x:v>Sales Order Approved</x:v>
      </x:c>
      <x:c r="H6031" s="19" t="str">
        <x:v>Pre Delivery</x:v>
      </x:c>
      <x:c r="I6031" s="37" t="n">
        <x:v>46171</x:v>
      </x:c>
      <x:c r="J6031" s="37" t="n">
        <x:v>46171</x:v>
      </x:c>
      <x:c r="K6031" s="19" t="str">
        <x:v>The Caravan Hub - Townsville</x:v>
      </x:c>
      <x:c r="L6031" s="19" t="str">
        <x:v>Z005</x:v>
      </x:c>
      <x:c r="M6031" s="19" t="str">
        <x:v>Pre Delivery Warranty Claims</x:v>
      </x:c>
      <x:c r="N6031" s="37" t="n">
        <x:v>45208</x:v>
      </x:c>
      <x:c r="O6031" s="37"/>
      <x:c r="P6031" s="34" t="n">
        <x:v>0</x:v>
      </x:c>
      <x:c r="Q6031" s="37" t="n">
        <x:v>46171.02668981482</x:v>
      </x:c>
    </x:row>
    <x:row r="6032">
      <x:c r="A6032" s="22" t="n">
        <x:v>5038</x:v>
      </x:c>
      <x:c r="B6032" s="28" t="n">
        <x:v>1128.04</x:v>
      </x:c>
      <x:c r="C6032" s="28"/>
      <x:c r="D6032" s="31" t="str">
        <x:f>IF(OR(ISBLANK(B6032),ISBLANK(C6032),B6032=0),"",(C6032-B6032)/B6032)</x:f>
      </x:c>
      <x:c r="E6032" s="22" t="str">
        <x:f>IF(ISBLANK(C6032),"AmountIncludingTax缺失",IF(ABS(B6032-C6032)&lt;0.005,"一致","不一致"))</x:f>
        <x:v>AmountIncludingTax缺失</x:v>
      </x:c>
      <x:c r="F6032" s="19" t="str">
        <x:v>approved</x:v>
      </x:c>
      <x:c r="G6032" s="19" t="str">
        <x:v>Repairer Invoiced Processed</x:v>
      </x:c>
      <x:c r="H6032" s="19" t="str">
        <x:v>Pre Delivery</x:v>
      </x:c>
      <x:c r="I6032" s="37" t="n">
        <x:v>46196</x:v>
      </x:c>
      <x:c r="J6032" s="37" t="n">
        <x:v>46196</x:v>
      </x:c>
      <x:c r="K6032" s="19" t="str">
        <x:v>The Caravan Hub - Townsville</x:v>
      </x:c>
      <x:c r="L6032" s="19" t="str">
        <x:v>Z005</x:v>
      </x:c>
      <x:c r="M6032" s="19" t="str">
        <x:v>Pre Delivery Warranty Claims</x:v>
      </x:c>
      <x:c r="N6032" s="37" t="n">
        <x:v>45208</x:v>
      </x:c>
      <x:c r="O6032" s="37"/>
      <x:c r="P6032" s="34" t="n">
        <x:v>1240.84</x:v>
      </x:c>
      <x:c r="Q6032" s="37" t="n">
        <x:v>46196.005578703705</x:v>
      </x:c>
    </x:row>
    <x:row r="6033">
      <x:c r="A6033" s="22" t="n">
        <x:v>5017</x:v>
      </x:c>
      <x:c r="B6033" s="28" t="n">
        <x:v>120</x:v>
      </x:c>
      <x:c r="C6033" s="28"/>
      <x:c r="D6033" s="31" t="str">
        <x:f>IF(OR(ISBLANK(B6033),ISBLANK(C6033),B6033=0),"",(C6033-B6033)/B6033)</x:f>
      </x:c>
      <x:c r="E6033" s="22" t="str">
        <x:f>IF(ISBLANK(C6033),"AmountIncludingTax缺失",IF(ABS(B6033-C6033)&lt;0.005,"一致","不一致"))</x:f>
        <x:v>AmountIncludingTax缺失</x:v>
      </x:c>
      <x:c r="F6033" s="19" t="str">
        <x:v>approved</x:v>
      </x:c>
      <x:c r="G6033" s="19" t="str">
        <x:v>Repairer Invoiced Processed</x:v>
      </x:c>
      <x:c r="H6033" s="19" t="str">
        <x:v>Pre Delivery</x:v>
      </x:c>
      <x:c r="I6033" s="37" t="n">
        <x:v>46171</x:v>
      </x:c>
      <x:c r="J6033" s="37" t="n">
        <x:v>46171</x:v>
      </x:c>
      <x:c r="K6033" s="19" t="str">
        <x:v>The Caravan Hub - Townsville</x:v>
      </x:c>
      <x:c r="L6033" s="19" t="str">
        <x:v>Z005</x:v>
      </x:c>
      <x:c r="M6033" s="19" t="str">
        <x:v>Pre Delivery Warranty Claims</x:v>
      </x:c>
      <x:c r="N6033" s="37" t="n">
        <x:v>45205</x:v>
      </x:c>
      <x:c r="O6033" s="37"/>
      <x:c r="P6033" s="34" t="n">
        <x:v>0</x:v>
      </x:c>
      <x:c r="Q6033" s="37" t="n">
        <x:v>46171.177939814814</x:v>
      </x:c>
    </x:row>
    <x:row r="6034">
      <x:c r="A6034" s="22" t="n">
        <x:v>4973</x:v>
      </x:c>
      <x:c r="B6034" s="28" t="n">
        <x:v>300</x:v>
      </x:c>
      <x:c r="C6034" s="28"/>
      <x:c r="D6034" s="31" t="str">
        <x:f>IF(OR(ISBLANK(B6034),ISBLANK(C6034),B6034=0),"",(C6034-B6034)/B6034)</x:f>
      </x:c>
      <x:c r="E6034" s="22" t="str">
        <x:f>IF(ISBLANK(C6034),"AmountIncludingTax缺失",IF(ABS(B6034-C6034)&lt;0.005,"一致","不一致"))</x:f>
        <x:v>AmountIncludingTax缺失</x:v>
      </x:c>
      <x:c r="F6034" s="19" t="str">
        <x:v>approved</x:v>
      </x:c>
      <x:c r="G6034" s="19" t="str">
        <x:v>Repairer Invoiced Processed</x:v>
      </x:c>
      <x:c r="H6034" s="19" t="str">
        <x:v>Pre Delivery</x:v>
      </x:c>
      <x:c r="I6034" s="37" t="n">
        <x:v>46171</x:v>
      </x:c>
      <x:c r="J6034" s="37" t="n">
        <x:v>46171</x:v>
      </x:c>
      <x:c r="K6034" s="19" t="str">
        <x:v>The Caravan Hub - Townsville</x:v>
      </x:c>
      <x:c r="L6034" s="19" t="str">
        <x:v>Z005</x:v>
      </x:c>
      <x:c r="M6034" s="19" t="str">
        <x:v>Pre Delivery Warranty Claims</x:v>
      </x:c>
      <x:c r="N6034" s="37" t="n">
        <x:v>45203</x:v>
      </x:c>
      <x:c r="O6034" s="37"/>
      <x:c r="P6034" s="34" t="n">
        <x:v>0</x:v>
      </x:c>
      <x:c r="Q6034" s="37" t="n">
        <x:v>46171.18337962963</x:v>
      </x:c>
    </x:row>
    <x:row r="6035">
      <x:c r="A6035" s="22" t="n">
        <x:v>4887</x:v>
      </x:c>
      <x:c r="B6035" s="28" t="n">
        <x:v>1401.14</x:v>
      </x:c>
      <x:c r="C6035" s="28"/>
      <x:c r="D6035" s="31" t="str">
        <x:f>IF(OR(ISBLANK(B6035),ISBLANK(C6035),B6035=0),"",(C6035-B6035)/B6035)</x:f>
      </x:c>
      <x:c r="E6035" s="22" t="str">
        <x:f>IF(ISBLANK(C6035),"AmountIncludingTax缺失",IF(ABS(B6035-C6035)&lt;0.005,"一致","不一致"))</x:f>
        <x:v>AmountIncludingTax缺失</x:v>
      </x:c>
      <x:c r="F6035" s="19" t="str">
        <x:v>approved</x:v>
      </x:c>
      <x:c r="G6035" s="19" t="str">
        <x:v>Partially Picked</x:v>
      </x:c>
      <x:c r="H6035" s="19" t="str">
        <x:v>In Field</x:v>
      </x:c>
      <x:c r="I6035" s="37" t="n">
        <x:v>46196</x:v>
      </x:c>
      <x:c r="J6035" s="37" t="n">
        <x:v>46196</x:v>
      </x:c>
      <x:c r="K6035" s="19" t="str">
        <x:v>QCCC - Gympie</x:v>
      </x:c>
      <x:c r="L6035" s="19" t="str">
        <x:v>Z006</x:v>
      </x:c>
      <x:c r="M6035" s="19" t="str">
        <x:v>In Field Warranty Claims</x:v>
      </x:c>
      <x:c r="N6035" s="37" t="n">
        <x:v>45197</x:v>
      </x:c>
      <x:c r="O6035" s="37" t="n">
        <x:v>46022</x:v>
      </x:c>
      <x:c r="P6035" s="34" t="n">
        <x:v>0</x:v>
      </x:c>
      <x:c r="Q6035" s="37" t="n">
        <x:v>46196.19256944444</x:v>
      </x:c>
    </x:row>
    <x:row r="6036">
      <x:c r="A6036" s="23" t="n">
        <x:v>4683</x:v>
      </x:c>
      <x:c r="B6036" s="29" t="n">
        <x:v>240</x:v>
      </x:c>
      <x:c r="C6036" s="29"/>
      <x:c r="D6036" s="32" t="str">
        <x:f>IF(OR(ISBLANK(B6036),ISBLANK(C6036),B6036=0),"",(C6036-B6036)/B6036)</x:f>
      </x:c>
      <x:c r="E6036" s="23" t="str">
        <x:f>IF(ISBLANK(C6036),"AmountIncludingTax缺失",IF(ABS(B6036-C6036)&lt;0.005,"一致","不一致"))</x:f>
        <x:v>AmountIncludingTax缺失</x:v>
      </x:c>
      <x:c r="F6036" s="20" t="str">
        <x:v>approved</x:v>
      </x:c>
      <x:c r="G6036" s="20" t="str">
        <x:v>Repairer Invoiced Processed</x:v>
      </x:c>
      <x:c r="H6036" s="20" t="str">
        <x:v>Pre Delivery</x:v>
      </x:c>
      <x:c r="I6036" s="38" t="n">
        <x:v>46169</x:v>
      </x:c>
      <x:c r="J6036" s="38" t="n">
        <x:v>46169</x:v>
      </x:c>
      <x:c r="K6036" s="20" t="str">
        <x:v>The Caravan Hub - Townsville</x:v>
      </x:c>
      <x:c r="L6036" s="20" t="str">
        <x:v>Z005</x:v>
      </x:c>
      <x:c r="M6036" s="20" t="str">
        <x:v>Pre Delivery Warranty Claims</x:v>
      </x:c>
      <x:c r="N6036" s="38" t="n">
        <x:v>45187</x:v>
      </x:c>
      <x:c r="O6036" s="38"/>
      <x:c r="P6036" s="35" t="n">
        <x:v>0</x:v>
      </x:c>
      <x:c r="Q6036" s="38" t="n">
        <x:v>46169.22488425926</x:v>
      </x:c>
    </x:row>
  </x:sheetData>
  <x:conditionalFormatting sqref="A2:Q6036">
    <x:cfRule type="expression" dxfId="0" priority="1">
      <x:formula>AND($C2&lt;&gt;"",ABS($B2-$C2)&gt;0.005)</x:formula>
    </x:cfRule>
    <x:cfRule type="expression" dxfId="1" priority="2">
      <x:formula>AND($B2&lt;&gt;"",ISBLANK($C2))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4f74c3e25d7469b"/>
  </x:tableParts>
</x:worksheet>
</file>